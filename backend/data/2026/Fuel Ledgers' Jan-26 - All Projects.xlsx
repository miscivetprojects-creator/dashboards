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filterPrivacy="1"/>
  <xr:revisionPtr revIDLastSave="11521" documentId="8_{21E78461-8472-4FC4-9B9A-C4551723630E}" xr6:coauthVersionLast="47" xr6:coauthVersionMax="47" xr10:uidLastSave="{79F7CA34-10CA-42D7-A667-93056F8C4FBD}"/>
  <bookViews>
    <workbookView xWindow="-60" yWindow="-60" windowWidth="15480" windowHeight="11640" firstSheet="33" activeTab="16" xr2:uid="{00000000-000D-0000-FFFF-FFFF00000000}"/>
  </bookViews>
  <sheets>
    <sheet name="Jan-26" sheetId="56" r:id="rId1"/>
    <sheet name="Sheet1" sheetId="77" r:id="rId2"/>
    <sheet name="HO(DG)" sheetId="81" r:id="rId3"/>
    <sheet name="Sheet2" sheetId="84" r:id="rId4"/>
    <sheet name="Khammam-1" sheetId="50" r:id="rId5"/>
    <sheet name="Khammam-2" sheetId="47" r:id="rId6"/>
    <sheet name="Khammam-3" sheetId="82" r:id="rId7"/>
    <sheet name="Jadcherla-3" sheetId="72" r:id="rId8"/>
    <sheet name="Jadcherla-4" sheetId="78" r:id="rId9"/>
    <sheet name="Devarakhadra" sheetId="59" r:id="rId10"/>
    <sheet name="Devarakhadra-2" sheetId="70" r:id="rId11"/>
    <sheet name="Dindi" sheetId="58" r:id="rId12"/>
    <sheet name="Amalapuram" sheetId="65" r:id="rId13"/>
    <sheet name="Madana palli" sheetId="71" r:id="rId14"/>
    <sheet name="Kadur" sheetId="7" r:id="rId15"/>
    <sheet name="YG Gudda " sheetId="2" r:id="rId16"/>
    <sheet name="YG Gudda-2" sheetId="62" r:id="rId17"/>
    <sheet name="Hosadurga" sheetId="1" r:id="rId18"/>
    <sheet name="Hosadurga -2" sheetId="52" r:id="rId19"/>
    <sheet name="Hiriyur(VJNL)" sheetId="3" r:id="rId20"/>
    <sheet name="Malebenur(KUWSDB)" sheetId="16" r:id="rId21"/>
    <sheet name="Molakamuru" sheetId="63" r:id="rId22"/>
    <sheet name="Chellakere -1" sheetId="68" r:id="rId23"/>
    <sheet name=" Chellakere-PKG-9" sheetId="73" r:id="rId24"/>
    <sheet name=" Chennagiri" sheetId="74" r:id="rId25"/>
    <sheet name="Khanapur" sheetId="24" r:id="rId26"/>
    <sheet name="Munavali" sheetId="61" r:id="rId27"/>
    <sheet name="Munavali-2" sheetId="80" r:id="rId28"/>
    <sheet name="Borgaon" sheetId="10" r:id="rId29"/>
    <sheet name="Ugar,Khagwad,Kudichi" sheetId="11" r:id="rId30"/>
    <sheet name="Kabbur" sheetId="40" r:id="rId31"/>
    <sheet name="kumta" sheetId="25" r:id="rId32"/>
    <sheet name="Jalgaon" sheetId="22" r:id="rId33"/>
    <sheet name="MKBD" sheetId="14" r:id="rId34"/>
    <sheet name="Haveri" sheetId="15" r:id="rId35"/>
    <sheet name=" Haveri-2" sheetId="75" r:id="rId36"/>
    <sheet name="Guttal" sheetId="36" r:id="rId37"/>
    <sheet name=" Guttal-2" sheetId="79" r:id="rId38"/>
    <sheet name="Rattihali" sheetId="37" r:id="rId39"/>
    <sheet name="Rattihali-2" sheetId="76" r:id="rId40"/>
    <sheet name="Gajendragada" sheetId="12" r:id="rId41"/>
    <sheet name="Gokak Dharwad PKG 3" sheetId="41" r:id="rId42"/>
    <sheet name="Ankalgi" sheetId="60" r:id="rId43"/>
    <sheet name=" TR Associates" sheetId="83" r:id="rId44"/>
    <sheet name=" Shankeshwar" sheetId="57" r:id="rId45"/>
    <sheet name=" Talikote" sheetId="26" r:id="rId46"/>
    <sheet name="Chadchan" sheetId="9" r:id="rId47"/>
    <sheet name="Sindagi" sheetId="33" r:id="rId48"/>
    <sheet name="Muddebihal" sheetId="34" r:id="rId49"/>
    <sheet name="Muddebhihal-2" sheetId="69" r:id="rId50"/>
    <sheet name="Alemela" sheetId="35" r:id="rId51"/>
    <sheet name="Nalatwad" sheetId="51" r:id="rId52"/>
    <sheet name="Srirangapatna" sheetId="19" r:id="rId53"/>
    <sheet name="BPCL March 25" sheetId="44" r:id="rId54"/>
    <sheet name=" HPCL March 2025" sheetId="45" r:id="rId55"/>
  </sheets>
  <definedNames>
    <definedName name="_xlnm._FilterDatabase" localSheetId="1" hidden="1">Sheet1!$B$2:$I$2</definedName>
    <definedName name="_xlnm._FilterDatabase" localSheetId="53" hidden="1">'BPCL March 25'!$A$2:$O$2</definedName>
    <definedName name="_xlnm.Print_Area" localSheetId="17">Hosadurga!$A$2:$N$39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41" l="1"/>
  <c r="K40" i="47"/>
  <c r="P34" i="59"/>
  <c r="M22" i="45"/>
  <c r="K22" i="45"/>
  <c r="G77" i="44"/>
  <c r="G78" i="44"/>
  <c r="G79" i="44"/>
  <c r="K78" i="44"/>
  <c r="K79" i="44"/>
  <c r="K77" i="44"/>
  <c r="M77" i="44" s="1"/>
  <c r="M78" i="44" s="1"/>
  <c r="M79" i="44" s="1"/>
  <c r="M80" i="44" s="1"/>
  <c r="J76" i="44"/>
  <c r="J77" i="44"/>
  <c r="M70" i="44"/>
  <c r="M71" i="44"/>
  <c r="M72" i="44"/>
  <c r="M73" i="44"/>
  <c r="M74" i="44"/>
  <c r="M75" i="44"/>
  <c r="K76" i="44"/>
  <c r="M76" i="44" s="1"/>
  <c r="G76" i="44"/>
  <c r="K75" i="44"/>
  <c r="J69" i="44"/>
  <c r="J70" i="44"/>
  <c r="J71" i="44"/>
  <c r="J72" i="44"/>
  <c r="J73" i="44"/>
  <c r="J74" i="44"/>
  <c r="J75" i="44"/>
  <c r="G75" i="44"/>
  <c r="K74" i="44"/>
  <c r="G74" i="44"/>
  <c r="K72" i="44"/>
  <c r="K73" i="44"/>
  <c r="G73" i="44"/>
  <c r="G72" i="44"/>
  <c r="K70" i="44"/>
  <c r="K71" i="44"/>
  <c r="G70" i="44"/>
  <c r="G71" i="44"/>
  <c r="G4" i="56"/>
  <c r="F4" i="56"/>
  <c r="D4" i="56"/>
  <c r="O20" i="7"/>
  <c r="G29" i="63"/>
  <c r="G30" i="63"/>
  <c r="G31" i="63"/>
  <c r="G32" i="63"/>
  <c r="J25" i="63"/>
  <c r="K25" i="63"/>
  <c r="J26" i="63"/>
  <c r="K26" i="63"/>
  <c r="J27" i="63"/>
  <c r="K27" i="63"/>
  <c r="J28" i="63"/>
  <c r="K28" i="63"/>
  <c r="J29" i="63"/>
  <c r="K29" i="63"/>
  <c r="J30" i="63"/>
  <c r="K30" i="63"/>
  <c r="J31" i="63"/>
  <c r="K31" i="63"/>
  <c r="J32" i="63"/>
  <c r="K32" i="63"/>
  <c r="M34" i="68"/>
  <c r="J32" i="68"/>
  <c r="K32" i="68"/>
  <c r="J33" i="68"/>
  <c r="K33" i="68"/>
  <c r="J34" i="68"/>
  <c r="K34" i="68"/>
  <c r="G32" i="68"/>
  <c r="G33" i="68"/>
  <c r="G34" i="68"/>
  <c r="M33" i="65"/>
  <c r="M34" i="65"/>
  <c r="G30" i="35"/>
  <c r="K6" i="45"/>
  <c r="K21" i="45"/>
  <c r="G67" i="44"/>
  <c r="G68" i="44"/>
  <c r="G69" i="44"/>
  <c r="K69" i="44"/>
  <c r="K68" i="44"/>
  <c r="J67" i="44"/>
  <c r="J68" i="44"/>
  <c r="K67" i="44"/>
  <c r="M67" i="44" s="1"/>
  <c r="M68" i="44" s="1"/>
  <c r="M69" i="44" s="1"/>
  <c r="J31" i="82"/>
  <c r="J20" i="78"/>
  <c r="J21" i="78"/>
  <c r="J22" i="78"/>
  <c r="J23" i="78"/>
  <c r="J24" i="78"/>
  <c r="J25" i="78"/>
  <c r="J26" i="78"/>
  <c r="J27" i="78"/>
  <c r="J28" i="78"/>
  <c r="J29" i="78"/>
  <c r="J30" i="78"/>
  <c r="J31" i="78"/>
  <c r="J32" i="78"/>
  <c r="J33" i="78"/>
  <c r="H37" i="76"/>
  <c r="H35" i="24"/>
  <c r="J29" i="35"/>
  <c r="G29" i="35"/>
  <c r="G28" i="35"/>
  <c r="O66" i="44"/>
  <c r="M66" i="44"/>
  <c r="K66" i="44"/>
  <c r="J66" i="44"/>
  <c r="G65" i="44"/>
  <c r="G66" i="44"/>
  <c r="K65" i="44"/>
  <c r="M65" i="44" s="1"/>
  <c r="J65" i="44"/>
  <c r="M63" i="44"/>
  <c r="M64" i="44"/>
  <c r="K63" i="44"/>
  <c r="K64" i="44"/>
  <c r="J62" i="44"/>
  <c r="J63" i="44"/>
  <c r="J64" i="44"/>
  <c r="G63" i="44"/>
  <c r="G64" i="44"/>
  <c r="K62" i="44"/>
  <c r="M62" i="44" s="1"/>
  <c r="G61" i="44"/>
  <c r="G62" i="44"/>
  <c r="M58" i="44"/>
  <c r="M59" i="44"/>
  <c r="M60" i="44"/>
  <c r="K58" i="44"/>
  <c r="K59" i="44"/>
  <c r="K60" i="44"/>
  <c r="K61" i="44"/>
  <c r="M61" i="44" s="1"/>
  <c r="J56" i="44"/>
  <c r="J57" i="44"/>
  <c r="J58" i="44"/>
  <c r="J59" i="44"/>
  <c r="J60" i="44"/>
  <c r="J61" i="44"/>
  <c r="G60" i="44"/>
  <c r="G59" i="44"/>
  <c r="G58" i="44"/>
  <c r="E29" i="51"/>
  <c r="E28" i="51"/>
  <c r="G26" i="35"/>
  <c r="G27" i="35"/>
  <c r="E29" i="9"/>
  <c r="E28" i="9"/>
  <c r="E18" i="26"/>
  <c r="AM5" i="84"/>
  <c r="AM6" i="84"/>
  <c r="AM7" i="84"/>
  <c r="AM8" i="84"/>
  <c r="AM9" i="84"/>
  <c r="AM10" i="84"/>
  <c r="AM11" i="84"/>
  <c r="AM12" i="84"/>
  <c r="AM13" i="84"/>
  <c r="AM14" i="84"/>
  <c r="AM15" i="84"/>
  <c r="AM4" i="84"/>
  <c r="J28" i="65"/>
  <c r="G24" i="35"/>
  <c r="G25" i="35"/>
  <c r="M54" i="44"/>
  <c r="M55" i="44"/>
  <c r="K53" i="44"/>
  <c r="K54" i="44"/>
  <c r="K55" i="44"/>
  <c r="K56" i="44"/>
  <c r="M56" i="44" s="1"/>
  <c r="K57" i="44"/>
  <c r="G54" i="44"/>
  <c r="G55" i="44"/>
  <c r="G56" i="44"/>
  <c r="G57" i="44"/>
  <c r="J53" i="44"/>
  <c r="J54" i="44"/>
  <c r="J55" i="44"/>
  <c r="G53" i="44"/>
  <c r="M22" i="47"/>
  <c r="M23" i="47"/>
  <c r="M24" i="47"/>
  <c r="M25" i="47"/>
  <c r="M26" i="47"/>
  <c r="E26" i="47"/>
  <c r="G23" i="35"/>
  <c r="G22" i="35"/>
  <c r="G21" i="35"/>
  <c r="K15" i="45"/>
  <c r="K16" i="45"/>
  <c r="K17" i="45"/>
  <c r="K18" i="45"/>
  <c r="K19" i="45"/>
  <c r="K20" i="45"/>
  <c r="K13" i="45"/>
  <c r="K14" i="45"/>
  <c r="K10" i="45"/>
  <c r="K11" i="45"/>
  <c r="K12" i="45"/>
  <c r="K9" i="45"/>
  <c r="K26" i="44"/>
  <c r="K27" i="44"/>
  <c r="K28" i="44"/>
  <c r="K29" i="44"/>
  <c r="K30" i="44"/>
  <c r="K31" i="44"/>
  <c r="K32" i="44"/>
  <c r="K33" i="44"/>
  <c r="K34" i="44"/>
  <c r="K35" i="44"/>
  <c r="K36" i="44"/>
  <c r="K37" i="44"/>
  <c r="K38" i="44"/>
  <c r="K39" i="44"/>
  <c r="K40" i="44"/>
  <c r="K41" i="44"/>
  <c r="K42" i="44"/>
  <c r="K43" i="44"/>
  <c r="K44" i="44"/>
  <c r="K45" i="44"/>
  <c r="K46" i="44"/>
  <c r="K47" i="44"/>
  <c r="K48" i="44"/>
  <c r="K49" i="44"/>
  <c r="K50" i="44"/>
  <c r="K51" i="44"/>
  <c r="K52" i="44"/>
  <c r="J46" i="44"/>
  <c r="J47" i="44"/>
  <c r="J48" i="44"/>
  <c r="J49" i="44"/>
  <c r="J50" i="44"/>
  <c r="J51" i="44"/>
  <c r="J52" i="44"/>
  <c r="G52" i="44"/>
  <c r="G51" i="44"/>
  <c r="G50" i="44"/>
  <c r="G49" i="44"/>
  <c r="G48" i="44"/>
  <c r="G47" i="44"/>
  <c r="J44" i="44"/>
  <c r="J45" i="44"/>
  <c r="G46" i="44"/>
  <c r="G45" i="44"/>
  <c r="G43" i="44"/>
  <c r="G44" i="44"/>
  <c r="J37" i="44"/>
  <c r="J38" i="44"/>
  <c r="J39" i="44"/>
  <c r="J40" i="44"/>
  <c r="J41" i="44"/>
  <c r="J42" i="44"/>
  <c r="J43" i="44"/>
  <c r="G41" i="44"/>
  <c r="G42" i="44"/>
  <c r="G40" i="44"/>
  <c r="G39" i="44"/>
  <c r="G38" i="44"/>
  <c r="G37" i="44"/>
  <c r="J34" i="44"/>
  <c r="J35" i="44"/>
  <c r="J36" i="44"/>
  <c r="G36" i="44"/>
  <c r="G34" i="44"/>
  <c r="G35" i="44"/>
  <c r="J32" i="44"/>
  <c r="J33" i="44"/>
  <c r="G33" i="44"/>
  <c r="G31" i="44"/>
  <c r="G32" i="44"/>
  <c r="J31" i="44"/>
  <c r="J28" i="44"/>
  <c r="J29" i="44"/>
  <c r="J30" i="44"/>
  <c r="G30" i="44"/>
  <c r="M26" i="44"/>
  <c r="M27" i="44"/>
  <c r="M28" i="44"/>
  <c r="M29" i="44"/>
  <c r="M30" i="44"/>
  <c r="M31" i="44" s="1"/>
  <c r="M32" i="44" s="1"/>
  <c r="M33" i="44" s="1"/>
  <c r="M34" i="44" s="1"/>
  <c r="M35" i="44" s="1"/>
  <c r="M36" i="44" s="1"/>
  <c r="M37" i="44" s="1"/>
  <c r="M38" i="44" s="1"/>
  <c r="M39" i="44" s="1"/>
  <c r="M40" i="44" s="1"/>
  <c r="M41" i="44" s="1"/>
  <c r="M42" i="44" s="1"/>
  <c r="M43" i="44" s="1"/>
  <c r="M44" i="44" s="1"/>
  <c r="M45" i="44" s="1"/>
  <c r="M46" i="44" s="1"/>
  <c r="M47" i="44" s="1"/>
  <c r="M48" i="44" s="1"/>
  <c r="M49" i="44" s="1"/>
  <c r="M50" i="44" s="1"/>
  <c r="M51" i="44" s="1"/>
  <c r="M52" i="44" s="1"/>
  <c r="M53" i="44" s="1"/>
  <c r="G29" i="44"/>
  <c r="G28" i="44"/>
  <c r="J24" i="44"/>
  <c r="J25" i="44"/>
  <c r="J26" i="44"/>
  <c r="J27" i="44"/>
  <c r="G26" i="44"/>
  <c r="G27" i="44"/>
  <c r="G19" i="35"/>
  <c r="G20" i="35"/>
  <c r="L12" i="16"/>
  <c r="G5" i="78"/>
  <c r="J17" i="75"/>
  <c r="G18" i="51"/>
  <c r="G18" i="35"/>
  <c r="I4" i="56"/>
  <c r="I40" i="56"/>
  <c r="L35" i="83"/>
  <c r="J40" i="56" s="1"/>
  <c r="H35" i="83"/>
  <c r="F40" i="56" s="1"/>
  <c r="E35" i="83"/>
  <c r="D40" i="56" s="1"/>
  <c r="J34" i="83"/>
  <c r="G34" i="83"/>
  <c r="K34" i="83" s="1"/>
  <c r="J33" i="83"/>
  <c r="G33" i="83"/>
  <c r="K33" i="83" s="1"/>
  <c r="J32" i="83"/>
  <c r="G32" i="83"/>
  <c r="K32" i="83" s="1"/>
  <c r="J31" i="83"/>
  <c r="G31" i="83"/>
  <c r="K31" i="83" s="1"/>
  <c r="J30" i="83"/>
  <c r="G30" i="83"/>
  <c r="K30" i="83" s="1"/>
  <c r="J29" i="83"/>
  <c r="G29" i="83"/>
  <c r="K29" i="83" s="1"/>
  <c r="J28" i="83"/>
  <c r="G28" i="83"/>
  <c r="K28" i="83" s="1"/>
  <c r="J27" i="83"/>
  <c r="G27" i="83"/>
  <c r="K27" i="83" s="1"/>
  <c r="J26" i="83"/>
  <c r="G26" i="83"/>
  <c r="K26" i="83" s="1"/>
  <c r="J25" i="83"/>
  <c r="G25" i="83"/>
  <c r="K25" i="83" s="1"/>
  <c r="J24" i="83"/>
  <c r="G24" i="83"/>
  <c r="K24" i="83" s="1"/>
  <c r="J23" i="83"/>
  <c r="G23" i="83"/>
  <c r="K23" i="83" s="1"/>
  <c r="J22" i="83"/>
  <c r="G22" i="83"/>
  <c r="K22" i="83" s="1"/>
  <c r="J21" i="83"/>
  <c r="G21" i="83"/>
  <c r="K21" i="83" s="1"/>
  <c r="J20" i="83"/>
  <c r="G20" i="83"/>
  <c r="K20" i="83" s="1"/>
  <c r="J19" i="83"/>
  <c r="G19" i="83"/>
  <c r="K19" i="83" s="1"/>
  <c r="J18" i="83"/>
  <c r="G18" i="83"/>
  <c r="K18" i="83" s="1"/>
  <c r="J17" i="83"/>
  <c r="G17" i="83"/>
  <c r="K17" i="83" s="1"/>
  <c r="J16" i="83"/>
  <c r="G16" i="83"/>
  <c r="K16" i="83" s="1"/>
  <c r="J15" i="83"/>
  <c r="G15" i="83"/>
  <c r="K15" i="83" s="1"/>
  <c r="J14" i="83"/>
  <c r="G14" i="83"/>
  <c r="K14" i="83" s="1"/>
  <c r="J13" i="83"/>
  <c r="G13" i="83"/>
  <c r="K13" i="83" s="1"/>
  <c r="J12" i="83"/>
  <c r="G12" i="83"/>
  <c r="K12" i="83" s="1"/>
  <c r="J11" i="83"/>
  <c r="G11" i="83"/>
  <c r="K11" i="83" s="1"/>
  <c r="J10" i="83"/>
  <c r="G10" i="83"/>
  <c r="K10" i="83" s="1"/>
  <c r="J9" i="83"/>
  <c r="G9" i="83"/>
  <c r="K9" i="83" s="1"/>
  <c r="J8" i="83"/>
  <c r="G8" i="83"/>
  <c r="K8" i="83" s="1"/>
  <c r="J7" i="83"/>
  <c r="G7" i="83"/>
  <c r="K7" i="83" s="1"/>
  <c r="J6" i="83"/>
  <c r="G6" i="83"/>
  <c r="K6" i="83" s="1"/>
  <c r="J5" i="83"/>
  <c r="G5" i="83"/>
  <c r="K5" i="83" s="1"/>
  <c r="J4" i="83"/>
  <c r="J35" i="83" s="1"/>
  <c r="G40" i="56" s="1"/>
  <c r="G4" i="83"/>
  <c r="L35" i="82"/>
  <c r="J4" i="56" s="1"/>
  <c r="H35" i="82"/>
  <c r="E35" i="82"/>
  <c r="J34" i="82"/>
  <c r="G34" i="82"/>
  <c r="K34" i="82" s="1"/>
  <c r="J33" i="82"/>
  <c r="G33" i="82"/>
  <c r="K33" i="82" s="1"/>
  <c r="J32" i="82"/>
  <c r="G32" i="82"/>
  <c r="K32" i="82" s="1"/>
  <c r="G31" i="82"/>
  <c r="K31" i="82" s="1"/>
  <c r="J30" i="82"/>
  <c r="G30" i="82"/>
  <c r="K30" i="82" s="1"/>
  <c r="J29" i="82"/>
  <c r="G29" i="82"/>
  <c r="K29" i="82" s="1"/>
  <c r="J28" i="82"/>
  <c r="G28" i="82"/>
  <c r="K28" i="82" s="1"/>
  <c r="J27" i="82"/>
  <c r="G27" i="82"/>
  <c r="K27" i="82" s="1"/>
  <c r="J26" i="82"/>
  <c r="G26" i="82"/>
  <c r="K26" i="82" s="1"/>
  <c r="J25" i="82"/>
  <c r="G25" i="82"/>
  <c r="K25" i="82" s="1"/>
  <c r="J24" i="82"/>
  <c r="G24" i="82"/>
  <c r="K24" i="82" s="1"/>
  <c r="J23" i="82"/>
  <c r="G23" i="82"/>
  <c r="K23" i="82" s="1"/>
  <c r="J22" i="82"/>
  <c r="G22" i="82"/>
  <c r="K22" i="82" s="1"/>
  <c r="J21" i="82"/>
  <c r="G21" i="82"/>
  <c r="K21" i="82" s="1"/>
  <c r="J20" i="82"/>
  <c r="G20" i="82"/>
  <c r="K20" i="82" s="1"/>
  <c r="J19" i="82"/>
  <c r="G19" i="82"/>
  <c r="K19" i="82" s="1"/>
  <c r="J18" i="82"/>
  <c r="G18" i="82"/>
  <c r="K18" i="82" s="1"/>
  <c r="J17" i="82"/>
  <c r="G17" i="82"/>
  <c r="K17" i="82" s="1"/>
  <c r="J16" i="82"/>
  <c r="G16" i="82"/>
  <c r="K16" i="82" s="1"/>
  <c r="J15" i="82"/>
  <c r="G15" i="82"/>
  <c r="K15" i="82" s="1"/>
  <c r="J14" i="82"/>
  <c r="G14" i="82"/>
  <c r="K14" i="82" s="1"/>
  <c r="J13" i="82"/>
  <c r="G13" i="82"/>
  <c r="K13" i="82" s="1"/>
  <c r="J12" i="82"/>
  <c r="G12" i="82"/>
  <c r="K12" i="82" s="1"/>
  <c r="J11" i="82"/>
  <c r="G11" i="82"/>
  <c r="K11" i="82" s="1"/>
  <c r="J10" i="82"/>
  <c r="G10" i="82"/>
  <c r="K10" i="82" s="1"/>
  <c r="J9" i="82"/>
  <c r="G9" i="82"/>
  <c r="K9" i="82" s="1"/>
  <c r="J8" i="82"/>
  <c r="G8" i="82"/>
  <c r="K8" i="82" s="1"/>
  <c r="J7" i="82"/>
  <c r="G7" i="82"/>
  <c r="K7" i="82" s="1"/>
  <c r="J6" i="82"/>
  <c r="G6" i="82"/>
  <c r="K6" i="82" s="1"/>
  <c r="J5" i="82"/>
  <c r="G5" i="82"/>
  <c r="K5" i="82" s="1"/>
  <c r="J4" i="82"/>
  <c r="J35" i="82" s="1"/>
  <c r="G4" i="82"/>
  <c r="M15" i="9"/>
  <c r="M22" i="44"/>
  <c r="M23" i="44"/>
  <c r="K24" i="44"/>
  <c r="M24" i="44" s="1"/>
  <c r="K25" i="44"/>
  <c r="G25" i="44"/>
  <c r="K22" i="44"/>
  <c r="K23" i="44"/>
  <c r="J22" i="44"/>
  <c r="J23" i="44"/>
  <c r="G20" i="44"/>
  <c r="G21" i="44"/>
  <c r="G22" i="44"/>
  <c r="G23" i="44"/>
  <c r="G24" i="44"/>
  <c r="K21" i="44"/>
  <c r="J21" i="44"/>
  <c r="J11" i="25"/>
  <c r="J12" i="25"/>
  <c r="J13" i="25"/>
  <c r="J14" i="25"/>
  <c r="G12" i="35"/>
  <c r="G13" i="35"/>
  <c r="M17" i="44"/>
  <c r="M18" i="44"/>
  <c r="M19" i="44"/>
  <c r="K17" i="44"/>
  <c r="K18" i="44"/>
  <c r="K19" i="44"/>
  <c r="K20" i="44"/>
  <c r="M20" i="44" s="1"/>
  <c r="M21" i="44" s="1"/>
  <c r="J16" i="44"/>
  <c r="J17" i="44"/>
  <c r="J18" i="44"/>
  <c r="J19" i="44"/>
  <c r="J20" i="44"/>
  <c r="G19" i="44"/>
  <c r="G18" i="44"/>
  <c r="G17" i="44"/>
  <c r="I50" i="56"/>
  <c r="G50" i="56"/>
  <c r="F50" i="56"/>
  <c r="G6" i="72"/>
  <c r="G7" i="72"/>
  <c r="G8" i="72"/>
  <c r="G9" i="72"/>
  <c r="G10" i="72"/>
  <c r="G11" i="72"/>
  <c r="G12" i="72"/>
  <c r="G33" i="81"/>
  <c r="J33" i="81"/>
  <c r="K33" i="81"/>
  <c r="G34" i="81"/>
  <c r="J34" i="81"/>
  <c r="K34" i="81"/>
  <c r="M47" i="81"/>
  <c r="L36" i="81"/>
  <c r="J50" i="56" s="1"/>
  <c r="H36" i="81"/>
  <c r="E36" i="81"/>
  <c r="D50" i="56" s="1"/>
  <c r="J35" i="81"/>
  <c r="G35" i="81"/>
  <c r="K35" i="81" s="1"/>
  <c r="J32" i="81"/>
  <c r="G32" i="81"/>
  <c r="K32" i="81" s="1"/>
  <c r="J31" i="81"/>
  <c r="G31" i="81"/>
  <c r="K31" i="81" s="1"/>
  <c r="J30" i="81"/>
  <c r="G30" i="81"/>
  <c r="K30" i="81" s="1"/>
  <c r="J29" i="81"/>
  <c r="G29" i="81"/>
  <c r="K29" i="81" s="1"/>
  <c r="J28" i="81"/>
  <c r="G28" i="81"/>
  <c r="K28" i="81" s="1"/>
  <c r="J27" i="81"/>
  <c r="G27" i="81"/>
  <c r="K27" i="81" s="1"/>
  <c r="J26" i="81"/>
  <c r="G26" i="81"/>
  <c r="K26" i="81" s="1"/>
  <c r="J25" i="81"/>
  <c r="G25" i="81"/>
  <c r="K25" i="81" s="1"/>
  <c r="J24" i="81"/>
  <c r="G24" i="81"/>
  <c r="K24" i="81" s="1"/>
  <c r="J23" i="81"/>
  <c r="G23" i="81"/>
  <c r="K23" i="81" s="1"/>
  <c r="J22" i="81"/>
  <c r="G22" i="81"/>
  <c r="K22" i="81" s="1"/>
  <c r="J21" i="81"/>
  <c r="G21" i="81"/>
  <c r="K21" i="81" s="1"/>
  <c r="J20" i="81"/>
  <c r="G20" i="81"/>
  <c r="K20" i="81" s="1"/>
  <c r="J19" i="81"/>
  <c r="G19" i="81"/>
  <c r="K19" i="81" s="1"/>
  <c r="J18" i="81"/>
  <c r="G18" i="81"/>
  <c r="K18" i="81" s="1"/>
  <c r="J17" i="81"/>
  <c r="G17" i="81"/>
  <c r="K17" i="81" s="1"/>
  <c r="J16" i="81"/>
  <c r="G16" i="81"/>
  <c r="K16" i="81" s="1"/>
  <c r="G15" i="81"/>
  <c r="K15" i="81" s="1"/>
  <c r="G14" i="81"/>
  <c r="K14" i="81" s="1"/>
  <c r="G13" i="81"/>
  <c r="K13" i="81" s="1"/>
  <c r="G12" i="81"/>
  <c r="K12" i="81" s="1"/>
  <c r="J11" i="81"/>
  <c r="G11" i="81"/>
  <c r="K11" i="81" s="1"/>
  <c r="J10" i="81"/>
  <c r="G10" i="81"/>
  <c r="K10" i="81" s="1"/>
  <c r="J9" i="81"/>
  <c r="G9" i="81"/>
  <c r="K9" i="81" s="1"/>
  <c r="J8" i="81"/>
  <c r="G8" i="81"/>
  <c r="K8" i="81" s="1"/>
  <c r="J7" i="81"/>
  <c r="G7" i="81"/>
  <c r="K7" i="81" s="1"/>
  <c r="J6" i="81"/>
  <c r="G6" i="81"/>
  <c r="K6" i="81" s="1"/>
  <c r="J5" i="81"/>
  <c r="G5" i="81"/>
  <c r="K5" i="81" s="1"/>
  <c r="J4" i="81"/>
  <c r="J36" i="81" s="1"/>
  <c r="G4" i="81"/>
  <c r="J12" i="16"/>
  <c r="K12" i="16"/>
  <c r="G12" i="16"/>
  <c r="K8" i="45"/>
  <c r="K5" i="45"/>
  <c r="K16" i="44"/>
  <c r="G16" i="44"/>
  <c r="G13" i="44"/>
  <c r="G14" i="44"/>
  <c r="G15" i="44"/>
  <c r="J13" i="44"/>
  <c r="K13" i="44" s="1"/>
  <c r="J14" i="44"/>
  <c r="K14" i="44" s="1"/>
  <c r="J15" i="44"/>
  <c r="K15" i="44" s="1"/>
  <c r="M15" i="44" s="1"/>
  <c r="M16" i="44" s="1"/>
  <c r="M11" i="44"/>
  <c r="M12" i="44"/>
  <c r="M13" i="44"/>
  <c r="K11" i="44"/>
  <c r="K12" i="44"/>
  <c r="J11" i="44"/>
  <c r="J12" i="44"/>
  <c r="G10" i="44"/>
  <c r="G11" i="44"/>
  <c r="G12" i="44"/>
  <c r="I25" i="56"/>
  <c r="I35" i="56"/>
  <c r="G8" i="50"/>
  <c r="G9" i="50"/>
  <c r="K9" i="50"/>
  <c r="J8" i="44"/>
  <c r="J9" i="44"/>
  <c r="J10" i="44"/>
  <c r="K10" i="44" s="1"/>
  <c r="G9" i="44"/>
  <c r="K9" i="44" s="1"/>
  <c r="G8" i="44"/>
  <c r="K8" i="44" s="1"/>
  <c r="J6" i="44"/>
  <c r="J7" i="44"/>
  <c r="G7" i="44"/>
  <c r="K7" i="44" s="1"/>
  <c r="G6" i="44"/>
  <c r="K6" i="44" s="1"/>
  <c r="L37" i="80"/>
  <c r="J25" i="56" s="1"/>
  <c r="H37" i="80"/>
  <c r="F25" i="56" s="1"/>
  <c r="E37" i="80"/>
  <c r="D25" i="56" s="1"/>
  <c r="J36" i="80"/>
  <c r="G36" i="80"/>
  <c r="K36" i="80" s="1"/>
  <c r="J35" i="80"/>
  <c r="G35" i="80"/>
  <c r="K35" i="80" s="1"/>
  <c r="J34" i="80"/>
  <c r="G34" i="80"/>
  <c r="K34" i="80" s="1"/>
  <c r="J33" i="80"/>
  <c r="G33" i="80"/>
  <c r="K33" i="80" s="1"/>
  <c r="J32" i="80"/>
  <c r="G32" i="80"/>
  <c r="K32" i="80" s="1"/>
  <c r="J31" i="80"/>
  <c r="G31" i="80"/>
  <c r="K31" i="80" s="1"/>
  <c r="J30" i="80"/>
  <c r="G30" i="80"/>
  <c r="K30" i="80" s="1"/>
  <c r="J29" i="80"/>
  <c r="G29" i="80"/>
  <c r="K29" i="80" s="1"/>
  <c r="J28" i="80"/>
  <c r="G28" i="80"/>
  <c r="K28" i="80" s="1"/>
  <c r="J27" i="80"/>
  <c r="G27" i="80"/>
  <c r="K27" i="80" s="1"/>
  <c r="J26" i="80"/>
  <c r="G26" i="80"/>
  <c r="K26" i="80" s="1"/>
  <c r="J25" i="80"/>
  <c r="G25" i="80"/>
  <c r="K25" i="80" s="1"/>
  <c r="J24" i="80"/>
  <c r="G24" i="80"/>
  <c r="K24" i="80" s="1"/>
  <c r="J23" i="80"/>
  <c r="G23" i="80"/>
  <c r="K23" i="80" s="1"/>
  <c r="J22" i="80"/>
  <c r="G22" i="80"/>
  <c r="K22" i="80" s="1"/>
  <c r="J21" i="80"/>
  <c r="G21" i="80"/>
  <c r="K21" i="80" s="1"/>
  <c r="J20" i="80"/>
  <c r="G20" i="80"/>
  <c r="K20" i="80" s="1"/>
  <c r="J19" i="80"/>
  <c r="G19" i="80"/>
  <c r="K19" i="80" s="1"/>
  <c r="J18" i="80"/>
  <c r="G18" i="80"/>
  <c r="K18" i="80" s="1"/>
  <c r="J17" i="80"/>
  <c r="G17" i="80"/>
  <c r="K17" i="80" s="1"/>
  <c r="J16" i="80"/>
  <c r="G16" i="80"/>
  <c r="K16" i="80" s="1"/>
  <c r="J15" i="80"/>
  <c r="G15" i="80"/>
  <c r="K15" i="80" s="1"/>
  <c r="J14" i="80"/>
  <c r="G14" i="80"/>
  <c r="K14" i="80" s="1"/>
  <c r="J13" i="80"/>
  <c r="G13" i="80"/>
  <c r="K13" i="80" s="1"/>
  <c r="J12" i="80"/>
  <c r="G12" i="80"/>
  <c r="K12" i="80" s="1"/>
  <c r="J11" i="80"/>
  <c r="G11" i="80"/>
  <c r="K11" i="80" s="1"/>
  <c r="J10" i="80"/>
  <c r="G10" i="80"/>
  <c r="K10" i="80" s="1"/>
  <c r="J9" i="80"/>
  <c r="G9" i="80"/>
  <c r="K9" i="80" s="1"/>
  <c r="J8" i="80"/>
  <c r="G8" i="80"/>
  <c r="K8" i="80" s="1"/>
  <c r="J7" i="80"/>
  <c r="G7" i="80"/>
  <c r="K7" i="80" s="1"/>
  <c r="J6" i="80"/>
  <c r="G6" i="80"/>
  <c r="K6" i="80" s="1"/>
  <c r="J5" i="80"/>
  <c r="G5" i="80"/>
  <c r="K5" i="80" s="1"/>
  <c r="J4" i="80"/>
  <c r="J37" i="80" s="1"/>
  <c r="G25" i="56" s="1"/>
  <c r="G6" i="60"/>
  <c r="G5" i="79"/>
  <c r="G6" i="79"/>
  <c r="G7" i="79"/>
  <c r="L35" i="79"/>
  <c r="J35" i="56" s="1"/>
  <c r="H35" i="79"/>
  <c r="F35" i="56" s="1"/>
  <c r="E35" i="79"/>
  <c r="D35" i="56" s="1"/>
  <c r="J34" i="79"/>
  <c r="G34" i="79"/>
  <c r="K34" i="79" s="1"/>
  <c r="J33" i="79"/>
  <c r="G33" i="79"/>
  <c r="K33" i="79" s="1"/>
  <c r="J32" i="79"/>
  <c r="G32" i="79"/>
  <c r="K32" i="79" s="1"/>
  <c r="J31" i="79"/>
  <c r="G31" i="79"/>
  <c r="K31" i="79" s="1"/>
  <c r="J30" i="79"/>
  <c r="G30" i="79"/>
  <c r="K30" i="79" s="1"/>
  <c r="J29" i="79"/>
  <c r="G29" i="79"/>
  <c r="K29" i="79" s="1"/>
  <c r="J28" i="79"/>
  <c r="G28" i="79"/>
  <c r="K28" i="79" s="1"/>
  <c r="J27" i="79"/>
  <c r="G27" i="79"/>
  <c r="K27" i="79" s="1"/>
  <c r="J26" i="79"/>
  <c r="G26" i="79"/>
  <c r="K26" i="79" s="1"/>
  <c r="J25" i="79"/>
  <c r="G25" i="79"/>
  <c r="K25" i="79" s="1"/>
  <c r="J24" i="79"/>
  <c r="G24" i="79"/>
  <c r="K24" i="79" s="1"/>
  <c r="I38" i="79" s="1"/>
  <c r="J23" i="79"/>
  <c r="G23" i="79"/>
  <c r="K23" i="79" s="1"/>
  <c r="J22" i="79"/>
  <c r="G22" i="79"/>
  <c r="K22" i="79" s="1"/>
  <c r="J21" i="79"/>
  <c r="G21" i="79"/>
  <c r="K21" i="79" s="1"/>
  <c r="J20" i="79"/>
  <c r="G20" i="79"/>
  <c r="K20" i="79" s="1"/>
  <c r="J19" i="79"/>
  <c r="G19" i="79"/>
  <c r="K19" i="79" s="1"/>
  <c r="J18" i="79"/>
  <c r="G18" i="79"/>
  <c r="K18" i="79" s="1"/>
  <c r="J17" i="79"/>
  <c r="G17" i="79"/>
  <c r="K17" i="79" s="1"/>
  <c r="J16" i="79"/>
  <c r="G16" i="79"/>
  <c r="K16" i="79" s="1"/>
  <c r="J15" i="79"/>
  <c r="G15" i="79"/>
  <c r="K15" i="79" s="1"/>
  <c r="J14" i="79"/>
  <c r="G14" i="79"/>
  <c r="K14" i="79" s="1"/>
  <c r="J13" i="79"/>
  <c r="G13" i="79"/>
  <c r="K13" i="79" s="1"/>
  <c r="J12" i="79"/>
  <c r="G12" i="79"/>
  <c r="K12" i="79" s="1"/>
  <c r="J11" i="79"/>
  <c r="G11" i="79"/>
  <c r="K11" i="79" s="1"/>
  <c r="J10" i="79"/>
  <c r="G10" i="79"/>
  <c r="K10" i="79" s="1"/>
  <c r="J9" i="79"/>
  <c r="G9" i="79"/>
  <c r="K9" i="79" s="1"/>
  <c r="J8" i="79"/>
  <c r="G8" i="79"/>
  <c r="K8" i="79" s="1"/>
  <c r="J7" i="79"/>
  <c r="K7" i="79"/>
  <c r="J6" i="79"/>
  <c r="K6" i="79"/>
  <c r="J5" i="79"/>
  <c r="K5" i="79"/>
  <c r="J4" i="79"/>
  <c r="J35" i="79" s="1"/>
  <c r="G35" i="56" s="1"/>
  <c r="G4" i="79"/>
  <c r="M3" i="79"/>
  <c r="G32" i="19"/>
  <c r="G33" i="19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6" i="25"/>
  <c r="J6" i="25"/>
  <c r="G7" i="25"/>
  <c r="J7" i="25"/>
  <c r="G8" i="25"/>
  <c r="J8" i="25"/>
  <c r="G9" i="25"/>
  <c r="J9" i="25"/>
  <c r="G10" i="25"/>
  <c r="J10" i="25"/>
  <c r="G11" i="25"/>
  <c r="G12" i="25"/>
  <c r="G13" i="25"/>
  <c r="G14" i="25"/>
  <c r="G15" i="25"/>
  <c r="J15" i="25"/>
  <c r="G16" i="25"/>
  <c r="J16" i="25"/>
  <c r="G17" i="25"/>
  <c r="J17" i="25"/>
  <c r="G18" i="25"/>
  <c r="J18" i="25"/>
  <c r="G19" i="25"/>
  <c r="J19" i="25"/>
  <c r="G20" i="25"/>
  <c r="J20" i="25"/>
  <c r="G21" i="25"/>
  <c r="J21" i="25"/>
  <c r="G22" i="25"/>
  <c r="J22" i="25"/>
  <c r="G23" i="25"/>
  <c r="J23" i="25"/>
  <c r="G24" i="25"/>
  <c r="J24" i="25"/>
  <c r="G25" i="25"/>
  <c r="J25" i="25"/>
  <c r="G26" i="25"/>
  <c r="J26" i="25"/>
  <c r="G27" i="25"/>
  <c r="J27" i="25"/>
  <c r="G28" i="25"/>
  <c r="J28" i="25"/>
  <c r="G29" i="25"/>
  <c r="J29" i="25"/>
  <c r="G30" i="25"/>
  <c r="J30" i="25"/>
  <c r="G31" i="25"/>
  <c r="J31" i="25"/>
  <c r="G32" i="25"/>
  <c r="J32" i="25"/>
  <c r="G33" i="25"/>
  <c r="J33" i="25"/>
  <c r="G34" i="25"/>
  <c r="J34" i="25"/>
  <c r="G5" i="59"/>
  <c r="G6" i="59"/>
  <c r="G7" i="59"/>
  <c r="G8" i="59"/>
  <c r="G9" i="59"/>
  <c r="G10" i="59"/>
  <c r="G11" i="59"/>
  <c r="G12" i="59"/>
  <c r="G13" i="59"/>
  <c r="G14" i="59"/>
  <c r="G15" i="59"/>
  <c r="G16" i="59"/>
  <c r="G17" i="59"/>
  <c r="G18" i="59"/>
  <c r="G19" i="59"/>
  <c r="G20" i="59"/>
  <c r="G21" i="59"/>
  <c r="G22" i="59"/>
  <c r="G23" i="59"/>
  <c r="G24" i="59"/>
  <c r="G25" i="59"/>
  <c r="G26" i="59"/>
  <c r="G27" i="59"/>
  <c r="G28" i="59"/>
  <c r="G29" i="59"/>
  <c r="G30" i="59"/>
  <c r="G31" i="59"/>
  <c r="G32" i="59"/>
  <c r="G33" i="59"/>
  <c r="G4" i="65"/>
  <c r="J4" i="65"/>
  <c r="K4" i="65" s="1"/>
  <c r="G5" i="65"/>
  <c r="J5" i="65"/>
  <c r="G6" i="65"/>
  <c r="J6" i="65"/>
  <c r="G7" i="65"/>
  <c r="J7" i="65"/>
  <c r="G8" i="65"/>
  <c r="J8" i="65"/>
  <c r="G10" i="65"/>
  <c r="J10" i="65"/>
  <c r="G12" i="65"/>
  <c r="J12" i="65"/>
  <c r="G13" i="65"/>
  <c r="J13" i="65"/>
  <c r="G14" i="65"/>
  <c r="J14" i="65"/>
  <c r="G15" i="65"/>
  <c r="J15" i="65"/>
  <c r="G16" i="65"/>
  <c r="J16" i="65"/>
  <c r="G17" i="65"/>
  <c r="J17" i="65"/>
  <c r="G18" i="65"/>
  <c r="J18" i="65"/>
  <c r="G19" i="65"/>
  <c r="J19" i="65"/>
  <c r="G20" i="65"/>
  <c r="J20" i="65"/>
  <c r="G21" i="65"/>
  <c r="J21" i="65"/>
  <c r="G22" i="65"/>
  <c r="J22" i="65"/>
  <c r="G23" i="65"/>
  <c r="J23" i="65"/>
  <c r="G24" i="65"/>
  <c r="J24" i="65"/>
  <c r="J25" i="65"/>
  <c r="G25" i="65"/>
  <c r="K25" i="65" s="1"/>
  <c r="J26" i="65"/>
  <c r="K26" i="65" s="1"/>
  <c r="G28" i="65"/>
  <c r="G29" i="65"/>
  <c r="J29" i="65"/>
  <c r="G32" i="65"/>
  <c r="J32" i="65"/>
  <c r="G35" i="65"/>
  <c r="J35" i="65"/>
  <c r="G36" i="65"/>
  <c r="J36" i="65"/>
  <c r="G37" i="65"/>
  <c r="J37" i="65"/>
  <c r="G5" i="57"/>
  <c r="J5" i="57"/>
  <c r="K5" i="57"/>
  <c r="G6" i="57"/>
  <c r="J6" i="57"/>
  <c r="K6" i="57"/>
  <c r="G7" i="57"/>
  <c r="J7" i="57"/>
  <c r="K7" i="57"/>
  <c r="G8" i="57"/>
  <c r="J8" i="57"/>
  <c r="K8" i="57"/>
  <c r="G9" i="57"/>
  <c r="J9" i="57"/>
  <c r="K9" i="57"/>
  <c r="G10" i="57"/>
  <c r="J10" i="57"/>
  <c r="K10" i="57"/>
  <c r="G11" i="57"/>
  <c r="J11" i="57"/>
  <c r="K11" i="57"/>
  <c r="G12" i="57"/>
  <c r="J12" i="57"/>
  <c r="K12" i="57"/>
  <c r="G13" i="57"/>
  <c r="J13" i="57"/>
  <c r="K13" i="57"/>
  <c r="G14" i="57"/>
  <c r="J14" i="57"/>
  <c r="K14" i="57"/>
  <c r="G15" i="57"/>
  <c r="J15" i="57"/>
  <c r="K15" i="57"/>
  <c r="G16" i="57"/>
  <c r="J16" i="57"/>
  <c r="K16" i="57"/>
  <c r="G17" i="57"/>
  <c r="J17" i="57"/>
  <c r="K17" i="57"/>
  <c r="G18" i="57"/>
  <c r="J18" i="57"/>
  <c r="K18" i="57"/>
  <c r="G19" i="57"/>
  <c r="J19" i="57"/>
  <c r="K19" i="57"/>
  <c r="G20" i="57"/>
  <c r="J20" i="57"/>
  <c r="K20" i="57"/>
  <c r="G21" i="57"/>
  <c r="J21" i="57"/>
  <c r="K21" i="57"/>
  <c r="G22" i="57"/>
  <c r="J22" i="57"/>
  <c r="K22" i="57"/>
  <c r="G23" i="57"/>
  <c r="J23" i="57"/>
  <c r="K23" i="57"/>
  <c r="G24" i="57"/>
  <c r="J24" i="57"/>
  <c r="K24" i="57"/>
  <c r="G25" i="57"/>
  <c r="J25" i="57"/>
  <c r="K25" i="57"/>
  <c r="G26" i="57"/>
  <c r="J26" i="57"/>
  <c r="K26" i="57"/>
  <c r="G27" i="57"/>
  <c r="J27" i="57"/>
  <c r="K27" i="57"/>
  <c r="G28" i="57"/>
  <c r="J28" i="57"/>
  <c r="K28" i="57"/>
  <c r="G29" i="57"/>
  <c r="J29" i="57"/>
  <c r="K29" i="57"/>
  <c r="G30" i="57"/>
  <c r="J30" i="57"/>
  <c r="K30" i="57"/>
  <c r="G31" i="57"/>
  <c r="J31" i="57"/>
  <c r="K31" i="57"/>
  <c r="G32" i="57"/>
  <c r="J32" i="57"/>
  <c r="K32" i="57"/>
  <c r="G33" i="57"/>
  <c r="J33" i="57"/>
  <c r="K33" i="57"/>
  <c r="G34" i="57"/>
  <c r="J34" i="57"/>
  <c r="K34" i="57"/>
  <c r="G4" i="41"/>
  <c r="G5" i="41"/>
  <c r="G5" i="60"/>
  <c r="J5" i="60"/>
  <c r="J6" i="60"/>
  <c r="G7" i="60"/>
  <c r="J7" i="60"/>
  <c r="G8" i="60"/>
  <c r="J8" i="60"/>
  <c r="G9" i="60"/>
  <c r="J9" i="60"/>
  <c r="G10" i="60"/>
  <c r="J10" i="60"/>
  <c r="G11" i="60"/>
  <c r="J11" i="60"/>
  <c r="G12" i="60"/>
  <c r="J12" i="60"/>
  <c r="G13" i="60"/>
  <c r="J13" i="60"/>
  <c r="G14" i="60"/>
  <c r="J14" i="60"/>
  <c r="G15" i="60"/>
  <c r="J15" i="60"/>
  <c r="G16" i="60"/>
  <c r="J16" i="60"/>
  <c r="G17" i="60"/>
  <c r="J17" i="60"/>
  <c r="G18" i="60"/>
  <c r="J18" i="60"/>
  <c r="G19" i="60"/>
  <c r="J19" i="60"/>
  <c r="G20" i="60"/>
  <c r="J20" i="60"/>
  <c r="G21" i="60"/>
  <c r="J21" i="60"/>
  <c r="G22" i="60"/>
  <c r="J22" i="60"/>
  <c r="G23" i="60"/>
  <c r="J23" i="60"/>
  <c r="G24" i="60"/>
  <c r="J24" i="60"/>
  <c r="G25" i="60"/>
  <c r="J25" i="60"/>
  <c r="G26" i="60"/>
  <c r="J26" i="60"/>
  <c r="G27" i="60"/>
  <c r="J27" i="60"/>
  <c r="G28" i="60"/>
  <c r="J28" i="60"/>
  <c r="G29" i="60"/>
  <c r="J29" i="60"/>
  <c r="G30" i="60"/>
  <c r="J30" i="60"/>
  <c r="G31" i="60"/>
  <c r="J31" i="60"/>
  <c r="G32" i="60"/>
  <c r="J32" i="60"/>
  <c r="G33" i="60"/>
  <c r="J33" i="60"/>
  <c r="G34" i="60"/>
  <c r="J34" i="60"/>
  <c r="J5" i="41"/>
  <c r="G6" i="41"/>
  <c r="J6" i="41"/>
  <c r="G7" i="41"/>
  <c r="J7" i="41"/>
  <c r="G8" i="41"/>
  <c r="J8" i="41"/>
  <c r="G9" i="41"/>
  <c r="J9" i="41"/>
  <c r="G10" i="41"/>
  <c r="J10" i="41"/>
  <c r="G11" i="41"/>
  <c r="J11" i="41"/>
  <c r="G12" i="41"/>
  <c r="J12" i="41"/>
  <c r="G13" i="41"/>
  <c r="J13" i="41"/>
  <c r="G14" i="41"/>
  <c r="J14" i="41"/>
  <c r="G15" i="41"/>
  <c r="J15" i="41"/>
  <c r="G16" i="41"/>
  <c r="J16" i="41"/>
  <c r="G17" i="41"/>
  <c r="J17" i="41"/>
  <c r="G18" i="41"/>
  <c r="J18" i="41"/>
  <c r="G19" i="41"/>
  <c r="J19" i="41"/>
  <c r="G20" i="41"/>
  <c r="J20" i="41"/>
  <c r="G21" i="41"/>
  <c r="J21" i="41"/>
  <c r="G22" i="41"/>
  <c r="J22" i="41"/>
  <c r="G23" i="41"/>
  <c r="J23" i="41"/>
  <c r="J24" i="41"/>
  <c r="G25" i="41"/>
  <c r="J25" i="41"/>
  <c r="G26" i="41"/>
  <c r="J26" i="41"/>
  <c r="G27" i="41"/>
  <c r="J27" i="41"/>
  <c r="G28" i="41"/>
  <c r="J28" i="41"/>
  <c r="G29" i="41"/>
  <c r="J29" i="41"/>
  <c r="G30" i="41"/>
  <c r="J30" i="41"/>
  <c r="G31" i="41"/>
  <c r="J31" i="41"/>
  <c r="G32" i="41"/>
  <c r="J32" i="41"/>
  <c r="G33" i="41"/>
  <c r="J33" i="41"/>
  <c r="G34" i="41"/>
  <c r="J34" i="41"/>
  <c r="G35" i="41"/>
  <c r="J35" i="41"/>
  <c r="G36" i="41"/>
  <c r="J36" i="41"/>
  <c r="M4" i="24"/>
  <c r="G5" i="24"/>
  <c r="J5" i="24"/>
  <c r="G6" i="24"/>
  <c r="J6" i="24"/>
  <c r="G7" i="24"/>
  <c r="J7" i="24"/>
  <c r="G8" i="24"/>
  <c r="J8" i="24"/>
  <c r="G9" i="24"/>
  <c r="J9" i="24"/>
  <c r="G10" i="24"/>
  <c r="J10" i="24"/>
  <c r="G11" i="24"/>
  <c r="J11" i="24"/>
  <c r="G12" i="24"/>
  <c r="J12" i="24"/>
  <c r="G13" i="24"/>
  <c r="J13" i="24"/>
  <c r="G14" i="24"/>
  <c r="J14" i="24"/>
  <c r="G15" i="24"/>
  <c r="J15" i="24"/>
  <c r="G16" i="24"/>
  <c r="J16" i="24"/>
  <c r="G17" i="24"/>
  <c r="J17" i="24"/>
  <c r="G18" i="24"/>
  <c r="J18" i="24"/>
  <c r="G19" i="24"/>
  <c r="J19" i="24"/>
  <c r="G20" i="24"/>
  <c r="J20" i="24"/>
  <c r="G21" i="24"/>
  <c r="J21" i="24"/>
  <c r="G22" i="24"/>
  <c r="J22" i="24"/>
  <c r="G23" i="24"/>
  <c r="J23" i="24"/>
  <c r="G24" i="24"/>
  <c r="J24" i="24"/>
  <c r="G25" i="24"/>
  <c r="J25" i="24"/>
  <c r="G26" i="24"/>
  <c r="J26" i="24"/>
  <c r="G27" i="24"/>
  <c r="J27" i="24"/>
  <c r="G28" i="24"/>
  <c r="J28" i="24"/>
  <c r="G29" i="24"/>
  <c r="J29" i="24"/>
  <c r="G30" i="24"/>
  <c r="J30" i="24"/>
  <c r="G31" i="24"/>
  <c r="J31" i="24"/>
  <c r="G32" i="24"/>
  <c r="J32" i="24"/>
  <c r="G33" i="24"/>
  <c r="J33" i="24"/>
  <c r="G34" i="24"/>
  <c r="J34" i="24"/>
  <c r="G5" i="61"/>
  <c r="G6" i="61"/>
  <c r="G7" i="61"/>
  <c r="G8" i="61"/>
  <c r="G9" i="61"/>
  <c r="G10" i="61"/>
  <c r="G11" i="61"/>
  <c r="G12" i="61"/>
  <c r="G13" i="61"/>
  <c r="G14" i="61"/>
  <c r="G15" i="61"/>
  <c r="G16" i="61"/>
  <c r="G17" i="61"/>
  <c r="G18" i="61"/>
  <c r="G19" i="61"/>
  <c r="G20" i="61"/>
  <c r="G21" i="61"/>
  <c r="G22" i="61"/>
  <c r="G23" i="61"/>
  <c r="G24" i="61"/>
  <c r="G25" i="61"/>
  <c r="G26" i="61"/>
  <c r="G27" i="61"/>
  <c r="G28" i="61"/>
  <c r="G29" i="61"/>
  <c r="G30" i="61"/>
  <c r="G31" i="61"/>
  <c r="G32" i="61"/>
  <c r="G33" i="61"/>
  <c r="G34" i="61"/>
  <c r="G35" i="61"/>
  <c r="G5" i="22"/>
  <c r="J5" i="22"/>
  <c r="K5" i="22"/>
  <c r="G6" i="22"/>
  <c r="J6" i="22"/>
  <c r="K6" i="22"/>
  <c r="G7" i="22"/>
  <c r="J7" i="22"/>
  <c r="K7" i="22"/>
  <c r="G8" i="22"/>
  <c r="J8" i="22"/>
  <c r="K8" i="22"/>
  <c r="G9" i="22"/>
  <c r="J9" i="22"/>
  <c r="K9" i="22"/>
  <c r="G10" i="22"/>
  <c r="J10" i="22"/>
  <c r="K10" i="22"/>
  <c r="G11" i="22"/>
  <c r="J11" i="22"/>
  <c r="K11" i="22"/>
  <c r="G12" i="22"/>
  <c r="J12" i="22"/>
  <c r="K12" i="22"/>
  <c r="G13" i="22"/>
  <c r="J13" i="22"/>
  <c r="K13" i="22"/>
  <c r="G14" i="22"/>
  <c r="J14" i="22"/>
  <c r="K14" i="22"/>
  <c r="G15" i="22"/>
  <c r="J15" i="22"/>
  <c r="K15" i="22"/>
  <c r="G16" i="22"/>
  <c r="J16" i="22"/>
  <c r="K16" i="22"/>
  <c r="G17" i="22"/>
  <c r="J17" i="22"/>
  <c r="K17" i="22"/>
  <c r="G18" i="22"/>
  <c r="J18" i="22"/>
  <c r="K18" i="22"/>
  <c r="G19" i="22"/>
  <c r="J19" i="22"/>
  <c r="K19" i="22"/>
  <c r="G20" i="22"/>
  <c r="J20" i="22"/>
  <c r="K20" i="22"/>
  <c r="G21" i="22"/>
  <c r="J21" i="22"/>
  <c r="K21" i="22"/>
  <c r="G22" i="22"/>
  <c r="J22" i="22"/>
  <c r="K22" i="22"/>
  <c r="G23" i="22"/>
  <c r="J23" i="22"/>
  <c r="K23" i="22"/>
  <c r="G24" i="22"/>
  <c r="J24" i="22"/>
  <c r="K24" i="22"/>
  <c r="G25" i="22"/>
  <c r="J25" i="22"/>
  <c r="K25" i="22"/>
  <c r="G26" i="22"/>
  <c r="J26" i="22"/>
  <c r="K26" i="22"/>
  <c r="G27" i="22"/>
  <c r="J27" i="22"/>
  <c r="K27" i="22"/>
  <c r="G28" i="22"/>
  <c r="J28" i="22"/>
  <c r="K28" i="22"/>
  <c r="G29" i="22"/>
  <c r="J29" i="22"/>
  <c r="K29" i="22"/>
  <c r="G30" i="22"/>
  <c r="J30" i="22"/>
  <c r="K30" i="22"/>
  <c r="G31" i="22"/>
  <c r="J31" i="22"/>
  <c r="K31" i="22"/>
  <c r="G32" i="22"/>
  <c r="J32" i="22"/>
  <c r="K32" i="22"/>
  <c r="G33" i="22"/>
  <c r="J33" i="22"/>
  <c r="K33" i="22"/>
  <c r="G34" i="22"/>
  <c r="J34" i="22"/>
  <c r="K34" i="22"/>
  <c r="G35" i="22"/>
  <c r="J35" i="22"/>
  <c r="K35" i="22"/>
  <c r="G36" i="22"/>
  <c r="J36" i="22"/>
  <c r="K36" i="22"/>
  <c r="G37" i="22"/>
  <c r="J37" i="22"/>
  <c r="K37" i="22"/>
  <c r="G38" i="22"/>
  <c r="J38" i="22"/>
  <c r="K38" i="22"/>
  <c r="G5" i="51"/>
  <c r="J5" i="51"/>
  <c r="K5" i="51"/>
  <c r="G6" i="51"/>
  <c r="J6" i="51"/>
  <c r="K6" i="51"/>
  <c r="G7" i="51"/>
  <c r="J7" i="51"/>
  <c r="K7" i="51"/>
  <c r="G8" i="51"/>
  <c r="J8" i="51"/>
  <c r="K8" i="51"/>
  <c r="G9" i="51"/>
  <c r="J9" i="51"/>
  <c r="K9" i="51"/>
  <c r="G10" i="51"/>
  <c r="J10" i="51"/>
  <c r="K10" i="51"/>
  <c r="G11" i="51"/>
  <c r="J11" i="51"/>
  <c r="K11" i="51"/>
  <c r="G12" i="51"/>
  <c r="J12" i="51"/>
  <c r="K12" i="51"/>
  <c r="G13" i="51"/>
  <c r="J13" i="51"/>
  <c r="K13" i="51"/>
  <c r="G14" i="51"/>
  <c r="J14" i="51"/>
  <c r="K14" i="51"/>
  <c r="G15" i="51"/>
  <c r="J15" i="51"/>
  <c r="K15" i="51"/>
  <c r="G16" i="51"/>
  <c r="J16" i="51"/>
  <c r="K16" i="51"/>
  <c r="G17" i="51"/>
  <c r="J17" i="51"/>
  <c r="K17" i="51"/>
  <c r="J18" i="51"/>
  <c r="K18" i="51"/>
  <c r="G19" i="51"/>
  <c r="J19" i="51"/>
  <c r="K19" i="51"/>
  <c r="G20" i="51"/>
  <c r="J20" i="51"/>
  <c r="K20" i="51"/>
  <c r="G21" i="51"/>
  <c r="J21" i="51"/>
  <c r="K21" i="51"/>
  <c r="G22" i="51"/>
  <c r="J22" i="51"/>
  <c r="K22" i="51"/>
  <c r="G23" i="51"/>
  <c r="J23" i="51"/>
  <c r="K23" i="51"/>
  <c r="G24" i="51"/>
  <c r="J24" i="51"/>
  <c r="K24" i="51"/>
  <c r="G25" i="51"/>
  <c r="J25" i="51"/>
  <c r="K25" i="51"/>
  <c r="G26" i="51"/>
  <c r="J26" i="51"/>
  <c r="K26" i="51"/>
  <c r="G27" i="51"/>
  <c r="J27" i="51"/>
  <c r="K27" i="51"/>
  <c r="G28" i="51"/>
  <c r="J28" i="51"/>
  <c r="K28" i="51"/>
  <c r="G29" i="51"/>
  <c r="J29" i="51"/>
  <c r="K29" i="51"/>
  <c r="G30" i="51"/>
  <c r="J30" i="51"/>
  <c r="K30" i="51"/>
  <c r="G31" i="51"/>
  <c r="J31" i="51"/>
  <c r="K31" i="51"/>
  <c r="G32" i="51"/>
  <c r="J32" i="51"/>
  <c r="K32" i="51"/>
  <c r="G33" i="51"/>
  <c r="J33" i="51"/>
  <c r="K33" i="51"/>
  <c r="G34" i="51"/>
  <c r="J34" i="51"/>
  <c r="K34" i="51"/>
  <c r="G35" i="51"/>
  <c r="J35" i="51"/>
  <c r="K35" i="51"/>
  <c r="G36" i="51"/>
  <c r="J36" i="51"/>
  <c r="K36" i="51"/>
  <c r="G37" i="51"/>
  <c r="J37" i="51"/>
  <c r="K37" i="51"/>
  <c r="G38" i="51"/>
  <c r="J38" i="51"/>
  <c r="K38" i="51"/>
  <c r="G39" i="51"/>
  <c r="J39" i="51"/>
  <c r="K39" i="51"/>
  <c r="G40" i="51"/>
  <c r="J40" i="51"/>
  <c r="K40" i="51"/>
  <c r="G5" i="69"/>
  <c r="J5" i="69"/>
  <c r="K5" i="69"/>
  <c r="G6" i="69"/>
  <c r="J6" i="69"/>
  <c r="K6" i="69"/>
  <c r="G7" i="69"/>
  <c r="J7" i="69"/>
  <c r="K7" i="69"/>
  <c r="G8" i="69"/>
  <c r="J8" i="69"/>
  <c r="K8" i="69"/>
  <c r="G9" i="69"/>
  <c r="J9" i="69"/>
  <c r="K9" i="69"/>
  <c r="G10" i="69"/>
  <c r="J10" i="69"/>
  <c r="K10" i="69"/>
  <c r="G11" i="69"/>
  <c r="J11" i="69"/>
  <c r="K11" i="69"/>
  <c r="G12" i="69"/>
  <c r="J12" i="69"/>
  <c r="K12" i="69"/>
  <c r="G13" i="69"/>
  <c r="J13" i="69"/>
  <c r="K13" i="69"/>
  <c r="G14" i="69"/>
  <c r="J14" i="69"/>
  <c r="K14" i="69"/>
  <c r="G15" i="69"/>
  <c r="J15" i="69"/>
  <c r="K15" i="69"/>
  <c r="G16" i="69"/>
  <c r="J16" i="69"/>
  <c r="K16" i="69"/>
  <c r="G17" i="69"/>
  <c r="J17" i="69"/>
  <c r="K17" i="69"/>
  <c r="G18" i="69"/>
  <c r="J18" i="69"/>
  <c r="K18" i="69"/>
  <c r="G19" i="69"/>
  <c r="J19" i="69"/>
  <c r="K19" i="69"/>
  <c r="G20" i="69"/>
  <c r="J20" i="69"/>
  <c r="K20" i="69"/>
  <c r="G21" i="69"/>
  <c r="J21" i="69"/>
  <c r="K21" i="69"/>
  <c r="G22" i="69"/>
  <c r="J22" i="69"/>
  <c r="K22" i="69"/>
  <c r="G23" i="69"/>
  <c r="J23" i="69"/>
  <c r="K23" i="69"/>
  <c r="G24" i="69"/>
  <c r="J24" i="69"/>
  <c r="K24" i="69"/>
  <c r="G25" i="69"/>
  <c r="J25" i="69"/>
  <c r="K25" i="69"/>
  <c r="G26" i="69"/>
  <c r="J26" i="69"/>
  <c r="K26" i="69"/>
  <c r="G27" i="69"/>
  <c r="J27" i="69"/>
  <c r="K27" i="69"/>
  <c r="G28" i="69"/>
  <c r="J28" i="69"/>
  <c r="K28" i="69"/>
  <c r="G29" i="69"/>
  <c r="J29" i="69"/>
  <c r="K29" i="69"/>
  <c r="G30" i="69"/>
  <c r="J30" i="69"/>
  <c r="K30" i="69"/>
  <c r="G31" i="69"/>
  <c r="J31" i="69"/>
  <c r="K31" i="69"/>
  <c r="G32" i="69"/>
  <c r="J32" i="69"/>
  <c r="K32" i="69"/>
  <c r="G33" i="69"/>
  <c r="J33" i="69"/>
  <c r="K33" i="69"/>
  <c r="G34" i="69"/>
  <c r="J34" i="69"/>
  <c r="K34" i="69"/>
  <c r="G35" i="69"/>
  <c r="J35" i="69"/>
  <c r="K35" i="69"/>
  <c r="G36" i="69"/>
  <c r="J36" i="69"/>
  <c r="K36" i="69"/>
  <c r="G37" i="69"/>
  <c r="J37" i="69"/>
  <c r="K37" i="69"/>
  <c r="G38" i="69"/>
  <c r="J38" i="69"/>
  <c r="K38" i="69"/>
  <c r="G39" i="69"/>
  <c r="J39" i="69"/>
  <c r="K39" i="69"/>
  <c r="G5" i="9"/>
  <c r="J5" i="9"/>
  <c r="G6" i="9"/>
  <c r="J6" i="9"/>
  <c r="G7" i="9"/>
  <c r="J7" i="9"/>
  <c r="G8" i="9"/>
  <c r="J8" i="9"/>
  <c r="G9" i="9"/>
  <c r="J9" i="9"/>
  <c r="G10" i="9"/>
  <c r="J10" i="9"/>
  <c r="G11" i="9"/>
  <c r="J11" i="9"/>
  <c r="G12" i="9"/>
  <c r="J12" i="9"/>
  <c r="G13" i="9"/>
  <c r="J13" i="9"/>
  <c r="G14" i="9"/>
  <c r="J14" i="9"/>
  <c r="G15" i="9"/>
  <c r="J15" i="9"/>
  <c r="G16" i="9"/>
  <c r="J16" i="9"/>
  <c r="G17" i="9"/>
  <c r="J17" i="9"/>
  <c r="G18" i="9"/>
  <c r="J18" i="9"/>
  <c r="G19" i="9"/>
  <c r="J19" i="9"/>
  <c r="G20" i="9"/>
  <c r="J20" i="9"/>
  <c r="G21" i="9"/>
  <c r="J21" i="9"/>
  <c r="G22" i="9"/>
  <c r="J22" i="9"/>
  <c r="G23" i="9"/>
  <c r="J23" i="9"/>
  <c r="G24" i="9"/>
  <c r="J24" i="9"/>
  <c r="G25" i="9"/>
  <c r="J25" i="9"/>
  <c r="G26" i="9"/>
  <c r="J26" i="9"/>
  <c r="G27" i="9"/>
  <c r="J27" i="9"/>
  <c r="G28" i="9"/>
  <c r="J28" i="9"/>
  <c r="G29" i="9"/>
  <c r="J29" i="9"/>
  <c r="G30" i="9"/>
  <c r="J30" i="9"/>
  <c r="G31" i="9"/>
  <c r="J31" i="9"/>
  <c r="G32" i="9"/>
  <c r="J32" i="9"/>
  <c r="G33" i="9"/>
  <c r="J33" i="9"/>
  <c r="G34" i="9"/>
  <c r="J34" i="9"/>
  <c r="G4" i="26"/>
  <c r="G5" i="26"/>
  <c r="G6" i="26"/>
  <c r="G7" i="26"/>
  <c r="G8" i="26"/>
  <c r="G9" i="26"/>
  <c r="G10" i="26"/>
  <c r="G11" i="26"/>
  <c r="G12" i="26"/>
  <c r="G13" i="26"/>
  <c r="G14" i="26"/>
  <c r="G15" i="26"/>
  <c r="G16" i="26"/>
  <c r="G17" i="26"/>
  <c r="J5" i="62"/>
  <c r="J6" i="62"/>
  <c r="J7" i="62"/>
  <c r="J8" i="62"/>
  <c r="J9" i="62"/>
  <c r="J10" i="62"/>
  <c r="J11" i="62"/>
  <c r="J12" i="62"/>
  <c r="J13" i="62"/>
  <c r="J14" i="62"/>
  <c r="J15" i="62"/>
  <c r="J16" i="62"/>
  <c r="J17" i="62"/>
  <c r="J18" i="62"/>
  <c r="J19" i="62"/>
  <c r="J20" i="62"/>
  <c r="J21" i="62"/>
  <c r="J22" i="62"/>
  <c r="J23" i="62"/>
  <c r="J24" i="62"/>
  <c r="J25" i="62"/>
  <c r="J26" i="62"/>
  <c r="J27" i="62"/>
  <c r="J28" i="62"/>
  <c r="J29" i="62"/>
  <c r="J30" i="62"/>
  <c r="J31" i="62"/>
  <c r="J32" i="62"/>
  <c r="J33" i="62"/>
  <c r="J34" i="62"/>
  <c r="M3" i="62"/>
  <c r="G5" i="11"/>
  <c r="J5" i="11"/>
  <c r="G6" i="11"/>
  <c r="J6" i="11"/>
  <c r="G7" i="11"/>
  <c r="J7" i="11"/>
  <c r="G8" i="11"/>
  <c r="J8" i="11"/>
  <c r="G9" i="11"/>
  <c r="J9" i="11"/>
  <c r="G10" i="11"/>
  <c r="J10" i="11"/>
  <c r="G11" i="11"/>
  <c r="J11" i="11"/>
  <c r="G12" i="11"/>
  <c r="J12" i="11"/>
  <c r="G13" i="11"/>
  <c r="J13" i="11"/>
  <c r="G14" i="11"/>
  <c r="J14" i="11"/>
  <c r="G15" i="11"/>
  <c r="J15" i="11"/>
  <c r="G16" i="11"/>
  <c r="J16" i="11"/>
  <c r="G17" i="11"/>
  <c r="J17" i="11"/>
  <c r="G18" i="11"/>
  <c r="J18" i="11"/>
  <c r="G19" i="11"/>
  <c r="J19" i="11"/>
  <c r="G20" i="11"/>
  <c r="J20" i="11"/>
  <c r="G21" i="11"/>
  <c r="J21" i="11"/>
  <c r="G22" i="11"/>
  <c r="J22" i="11"/>
  <c r="G23" i="11"/>
  <c r="J23" i="11"/>
  <c r="G24" i="11"/>
  <c r="J24" i="11"/>
  <c r="G25" i="11"/>
  <c r="J25" i="11"/>
  <c r="G26" i="11"/>
  <c r="J26" i="11"/>
  <c r="G27" i="11"/>
  <c r="J27" i="11"/>
  <c r="G28" i="11"/>
  <c r="J28" i="11"/>
  <c r="G29" i="11"/>
  <c r="J29" i="11"/>
  <c r="G30" i="11"/>
  <c r="J30" i="11"/>
  <c r="G31" i="11"/>
  <c r="J31" i="11"/>
  <c r="G32" i="11"/>
  <c r="J32" i="11"/>
  <c r="G33" i="11"/>
  <c r="J33" i="11"/>
  <c r="G34" i="11"/>
  <c r="J34" i="11"/>
  <c r="G5" i="10"/>
  <c r="J5" i="10"/>
  <c r="G6" i="10"/>
  <c r="J6" i="10"/>
  <c r="G7" i="10"/>
  <c r="J7" i="10"/>
  <c r="G8" i="10"/>
  <c r="J8" i="10"/>
  <c r="G9" i="10"/>
  <c r="J9" i="10"/>
  <c r="G10" i="10"/>
  <c r="J10" i="10"/>
  <c r="G11" i="10"/>
  <c r="J11" i="10"/>
  <c r="G12" i="10"/>
  <c r="J12" i="10"/>
  <c r="G13" i="10"/>
  <c r="J13" i="10"/>
  <c r="G14" i="10"/>
  <c r="J14" i="10"/>
  <c r="G15" i="10"/>
  <c r="J15" i="10"/>
  <c r="G16" i="10"/>
  <c r="J16" i="10"/>
  <c r="G17" i="10"/>
  <c r="J17" i="10"/>
  <c r="G18" i="10"/>
  <c r="J18" i="10"/>
  <c r="G19" i="10"/>
  <c r="J19" i="10"/>
  <c r="G20" i="10"/>
  <c r="J20" i="10"/>
  <c r="G21" i="10"/>
  <c r="J21" i="10"/>
  <c r="G22" i="10"/>
  <c r="J22" i="10"/>
  <c r="G23" i="10"/>
  <c r="J23" i="10"/>
  <c r="G24" i="10"/>
  <c r="J24" i="10"/>
  <c r="G25" i="10"/>
  <c r="J25" i="10"/>
  <c r="G26" i="10"/>
  <c r="J26" i="10"/>
  <c r="G27" i="10"/>
  <c r="J27" i="10"/>
  <c r="G28" i="10"/>
  <c r="J28" i="10"/>
  <c r="G29" i="10"/>
  <c r="J29" i="10"/>
  <c r="G30" i="10"/>
  <c r="J30" i="10"/>
  <c r="G31" i="10"/>
  <c r="J31" i="10"/>
  <c r="G32" i="10"/>
  <c r="J32" i="10"/>
  <c r="G33" i="10"/>
  <c r="J33" i="10"/>
  <c r="G34" i="10"/>
  <c r="J34" i="10"/>
  <c r="G4" i="76"/>
  <c r="G20" i="76"/>
  <c r="J20" i="76"/>
  <c r="G21" i="76"/>
  <c r="J21" i="76"/>
  <c r="G22" i="76"/>
  <c r="J22" i="76"/>
  <c r="G23" i="76"/>
  <c r="J23" i="76"/>
  <c r="G24" i="76"/>
  <c r="J24" i="76"/>
  <c r="G25" i="76"/>
  <c r="J25" i="76"/>
  <c r="G26" i="76"/>
  <c r="J26" i="76"/>
  <c r="G27" i="76"/>
  <c r="J27" i="76"/>
  <c r="G28" i="76"/>
  <c r="J28" i="76"/>
  <c r="G29" i="76"/>
  <c r="J29" i="76"/>
  <c r="G30" i="76"/>
  <c r="J30" i="76"/>
  <c r="G31" i="76"/>
  <c r="J31" i="76"/>
  <c r="G32" i="76"/>
  <c r="J32" i="76"/>
  <c r="G33" i="76"/>
  <c r="J33" i="76"/>
  <c r="G34" i="76"/>
  <c r="J34" i="76"/>
  <c r="G5" i="36"/>
  <c r="J5" i="36"/>
  <c r="G6" i="36"/>
  <c r="J6" i="36"/>
  <c r="G7" i="36"/>
  <c r="J7" i="36"/>
  <c r="G8" i="36"/>
  <c r="J8" i="36"/>
  <c r="G9" i="36"/>
  <c r="J9" i="36"/>
  <c r="G10" i="36"/>
  <c r="J10" i="36"/>
  <c r="G11" i="36"/>
  <c r="J11" i="36"/>
  <c r="G12" i="36"/>
  <c r="J12" i="36"/>
  <c r="G13" i="36"/>
  <c r="J13" i="36"/>
  <c r="G14" i="36"/>
  <c r="J14" i="36"/>
  <c r="G15" i="36"/>
  <c r="J15" i="36"/>
  <c r="G16" i="36"/>
  <c r="J16" i="36"/>
  <c r="G17" i="36"/>
  <c r="J17" i="36"/>
  <c r="G18" i="36"/>
  <c r="J18" i="36"/>
  <c r="G19" i="36"/>
  <c r="J19" i="36"/>
  <c r="G20" i="36"/>
  <c r="J20" i="36"/>
  <c r="G21" i="36"/>
  <c r="J21" i="36"/>
  <c r="G22" i="36"/>
  <c r="J22" i="36"/>
  <c r="G23" i="36"/>
  <c r="J23" i="36"/>
  <c r="G24" i="36"/>
  <c r="J24" i="36"/>
  <c r="G25" i="36"/>
  <c r="J25" i="36"/>
  <c r="G26" i="36"/>
  <c r="J26" i="36"/>
  <c r="G27" i="36"/>
  <c r="J27" i="36"/>
  <c r="G28" i="36"/>
  <c r="J28" i="36"/>
  <c r="G29" i="36"/>
  <c r="J29" i="36"/>
  <c r="G30" i="36"/>
  <c r="J30" i="36"/>
  <c r="G31" i="36"/>
  <c r="J31" i="36"/>
  <c r="G32" i="36"/>
  <c r="J32" i="36"/>
  <c r="G33" i="36"/>
  <c r="J33" i="36"/>
  <c r="G34" i="36"/>
  <c r="J34" i="36"/>
  <c r="G4" i="75"/>
  <c r="G5" i="16"/>
  <c r="J5" i="16"/>
  <c r="G6" i="16"/>
  <c r="J6" i="16"/>
  <c r="G7" i="16"/>
  <c r="J7" i="16"/>
  <c r="G8" i="16"/>
  <c r="J8" i="16"/>
  <c r="G9" i="16"/>
  <c r="J9" i="16"/>
  <c r="G10" i="16"/>
  <c r="J10" i="16"/>
  <c r="G11" i="16"/>
  <c r="J11" i="16"/>
  <c r="G13" i="16"/>
  <c r="J13" i="16"/>
  <c r="G14" i="16"/>
  <c r="J14" i="16"/>
  <c r="G15" i="16"/>
  <c r="J15" i="16"/>
  <c r="G16" i="16"/>
  <c r="J16" i="16"/>
  <c r="G17" i="16"/>
  <c r="J17" i="16"/>
  <c r="G18" i="16"/>
  <c r="J18" i="16"/>
  <c r="G19" i="16"/>
  <c r="J19" i="16"/>
  <c r="G20" i="16"/>
  <c r="J20" i="16"/>
  <c r="G21" i="16"/>
  <c r="J21" i="16"/>
  <c r="G22" i="16"/>
  <c r="J22" i="16"/>
  <c r="G23" i="16"/>
  <c r="J23" i="16"/>
  <c r="G24" i="16"/>
  <c r="J24" i="16"/>
  <c r="G25" i="16"/>
  <c r="J25" i="16"/>
  <c r="G26" i="16"/>
  <c r="J26" i="16"/>
  <c r="G27" i="16"/>
  <c r="J27" i="16"/>
  <c r="G28" i="16"/>
  <c r="J28" i="16"/>
  <c r="G29" i="16"/>
  <c r="J29" i="16"/>
  <c r="G30" i="16"/>
  <c r="J30" i="16"/>
  <c r="G31" i="16"/>
  <c r="J31" i="16"/>
  <c r="G32" i="16"/>
  <c r="J32" i="16"/>
  <c r="G33" i="16"/>
  <c r="J33" i="16"/>
  <c r="G34" i="16"/>
  <c r="J34" i="16"/>
  <c r="J34" i="73"/>
  <c r="G31" i="73"/>
  <c r="G32" i="73"/>
  <c r="G33" i="73"/>
  <c r="G34" i="73"/>
  <c r="K34" i="73" s="1"/>
  <c r="L34" i="73" s="1"/>
  <c r="K34" i="24"/>
  <c r="K34" i="60"/>
  <c r="G17" i="35"/>
  <c r="G28" i="63"/>
  <c r="G33" i="63"/>
  <c r="G34" i="63"/>
  <c r="K34" i="63" s="1"/>
  <c r="E35" i="74"/>
  <c r="G27" i="74"/>
  <c r="G28" i="74"/>
  <c r="G29" i="74"/>
  <c r="G30" i="74"/>
  <c r="G31" i="74"/>
  <c r="G32" i="74"/>
  <c r="G33" i="74"/>
  <c r="K33" i="74" s="1"/>
  <c r="L33" i="74" s="1"/>
  <c r="G34" i="74"/>
  <c r="K34" i="74" s="1"/>
  <c r="L34" i="74" s="1"/>
  <c r="J27" i="50"/>
  <c r="J28" i="50"/>
  <c r="J29" i="50"/>
  <c r="J30" i="50"/>
  <c r="J31" i="50"/>
  <c r="J32" i="50"/>
  <c r="J33" i="50"/>
  <c r="I6" i="56"/>
  <c r="G32" i="78"/>
  <c r="K32" i="78"/>
  <c r="G33" i="78"/>
  <c r="K33" i="78"/>
  <c r="G34" i="78"/>
  <c r="J34" i="78"/>
  <c r="K34" i="78"/>
  <c r="L35" i="78"/>
  <c r="J6" i="56" s="1"/>
  <c r="H35" i="78"/>
  <c r="F6" i="56" s="1"/>
  <c r="E35" i="78"/>
  <c r="D6" i="56" s="1"/>
  <c r="G31" i="78"/>
  <c r="K31" i="78" s="1"/>
  <c r="G30" i="78"/>
  <c r="K30" i="78" s="1"/>
  <c r="G29" i="78"/>
  <c r="K29" i="78" s="1"/>
  <c r="G28" i="78"/>
  <c r="K28" i="78" s="1"/>
  <c r="G27" i="78"/>
  <c r="K27" i="78" s="1"/>
  <c r="G26" i="78"/>
  <c r="G25" i="78"/>
  <c r="K25" i="78" s="1"/>
  <c r="G24" i="78"/>
  <c r="K24" i="78" s="1"/>
  <c r="G23" i="78"/>
  <c r="K23" i="78" s="1"/>
  <c r="G22" i="78"/>
  <c r="K22" i="78" s="1"/>
  <c r="G21" i="78"/>
  <c r="K21" i="78" s="1"/>
  <c r="G20" i="78"/>
  <c r="K20" i="78" s="1"/>
  <c r="J19" i="78"/>
  <c r="G19" i="78"/>
  <c r="K19" i="78" s="1"/>
  <c r="J18" i="78"/>
  <c r="G18" i="78"/>
  <c r="K18" i="78" s="1"/>
  <c r="J17" i="78"/>
  <c r="G17" i="78"/>
  <c r="K17" i="78" s="1"/>
  <c r="J16" i="78"/>
  <c r="G16" i="78"/>
  <c r="K16" i="78" s="1"/>
  <c r="G15" i="78"/>
  <c r="K15" i="78" s="1"/>
  <c r="G14" i="78"/>
  <c r="K14" i="78" s="1"/>
  <c r="G13" i="78"/>
  <c r="K13" i="78" s="1"/>
  <c r="G12" i="78"/>
  <c r="K12" i="78" s="1"/>
  <c r="J11" i="78"/>
  <c r="G11" i="78"/>
  <c r="K11" i="78" s="1"/>
  <c r="J10" i="78"/>
  <c r="G10" i="78"/>
  <c r="K10" i="78" s="1"/>
  <c r="J9" i="78"/>
  <c r="G9" i="78"/>
  <c r="K9" i="78" s="1"/>
  <c r="J8" i="78"/>
  <c r="G8" i="78"/>
  <c r="K8" i="78" s="1"/>
  <c r="J7" i="78"/>
  <c r="G7" i="78"/>
  <c r="K7" i="78" s="1"/>
  <c r="J6" i="78"/>
  <c r="G6" i="78"/>
  <c r="K6" i="78" s="1"/>
  <c r="J5" i="78"/>
  <c r="K5" i="78"/>
  <c r="J4" i="78"/>
  <c r="G4" i="78"/>
  <c r="K4" i="78" s="1"/>
  <c r="M4" i="78" s="1"/>
  <c r="M5" i="78" s="1"/>
  <c r="M6" i="78" s="1"/>
  <c r="M7" i="78" s="1"/>
  <c r="M8" i="78" s="1"/>
  <c r="M9" i="78" s="1"/>
  <c r="M10" i="78" s="1"/>
  <c r="M11" i="78" s="1"/>
  <c r="M12" i="78" s="1"/>
  <c r="M13" i="78" s="1"/>
  <c r="M14" i="78" s="1"/>
  <c r="M15" i="78" s="1"/>
  <c r="M16" i="78" s="1"/>
  <c r="M17" i="78" s="1"/>
  <c r="M18" i="78" s="1"/>
  <c r="M19" i="78" s="1"/>
  <c r="M20" i="78" s="1"/>
  <c r="M21" i="78" s="1"/>
  <c r="M22" i="78" s="1"/>
  <c r="M23" i="78" s="1"/>
  <c r="M24" i="78" s="1"/>
  <c r="M25" i="78" s="1"/>
  <c r="F50" i="77"/>
  <c r="E37" i="61"/>
  <c r="G18" i="58"/>
  <c r="G19" i="58"/>
  <c r="G20" i="58"/>
  <c r="G21" i="58"/>
  <c r="G22" i="58"/>
  <c r="G23" i="58"/>
  <c r="G24" i="58"/>
  <c r="G25" i="58"/>
  <c r="G26" i="58"/>
  <c r="G27" i="58"/>
  <c r="J29" i="14"/>
  <c r="K29" i="14" s="1"/>
  <c r="Q22" i="14"/>
  <c r="J24" i="50"/>
  <c r="J25" i="50"/>
  <c r="J26" i="50"/>
  <c r="J18" i="50"/>
  <c r="J19" i="50"/>
  <c r="J20" i="50"/>
  <c r="J21" i="50"/>
  <c r="J22" i="50"/>
  <c r="J23" i="50"/>
  <c r="J6" i="14"/>
  <c r="J23" i="14"/>
  <c r="K23" i="14"/>
  <c r="I37" i="56"/>
  <c r="L37" i="76"/>
  <c r="J37" i="56" s="1"/>
  <c r="F37" i="56"/>
  <c r="E37" i="76"/>
  <c r="D37" i="56" s="1"/>
  <c r="J35" i="76"/>
  <c r="G35" i="76"/>
  <c r="K35" i="76" s="1"/>
  <c r="K34" i="76"/>
  <c r="K33" i="76"/>
  <c r="K32" i="76"/>
  <c r="K31" i="76"/>
  <c r="K30" i="76"/>
  <c r="K29" i="76"/>
  <c r="K28" i="76"/>
  <c r="K27" i="76"/>
  <c r="K26" i="76"/>
  <c r="K25" i="76"/>
  <c r="I40" i="76" s="1"/>
  <c r="K24" i="76"/>
  <c r="K23" i="76"/>
  <c r="K22" i="76"/>
  <c r="K21" i="76"/>
  <c r="K20" i="76"/>
  <c r="J19" i="76"/>
  <c r="G19" i="76"/>
  <c r="K19" i="76" s="1"/>
  <c r="J18" i="76"/>
  <c r="G18" i="76"/>
  <c r="K18" i="76" s="1"/>
  <c r="G17" i="76"/>
  <c r="K17" i="76" s="1"/>
  <c r="J16" i="76"/>
  <c r="G16" i="76"/>
  <c r="K16" i="76" s="1"/>
  <c r="J15" i="76"/>
  <c r="G15" i="76"/>
  <c r="K15" i="76" s="1"/>
  <c r="J14" i="76"/>
  <c r="G14" i="76"/>
  <c r="K14" i="76" s="1"/>
  <c r="J13" i="76"/>
  <c r="G13" i="76"/>
  <c r="K13" i="76" s="1"/>
  <c r="J12" i="76"/>
  <c r="G12" i="76"/>
  <c r="K12" i="76" s="1"/>
  <c r="J11" i="76"/>
  <c r="G11" i="76"/>
  <c r="K11" i="76" s="1"/>
  <c r="J10" i="76"/>
  <c r="G10" i="76"/>
  <c r="K10" i="76" s="1"/>
  <c r="J9" i="76"/>
  <c r="G9" i="76"/>
  <c r="K9" i="76" s="1"/>
  <c r="J8" i="76"/>
  <c r="G8" i="76"/>
  <c r="K8" i="76" s="1"/>
  <c r="J7" i="76"/>
  <c r="G7" i="76"/>
  <c r="K7" i="76" s="1"/>
  <c r="J6" i="76"/>
  <c r="G6" i="76"/>
  <c r="K6" i="76" s="1"/>
  <c r="J5" i="76"/>
  <c r="G5" i="76"/>
  <c r="J4" i="76"/>
  <c r="G21" i="7"/>
  <c r="I33" i="56"/>
  <c r="E35" i="57"/>
  <c r="L35" i="9"/>
  <c r="E35" i="10"/>
  <c r="J13" i="50"/>
  <c r="J14" i="50"/>
  <c r="J15" i="50"/>
  <c r="J16" i="50"/>
  <c r="J17" i="50"/>
  <c r="E35" i="60"/>
  <c r="G12" i="58"/>
  <c r="G13" i="58"/>
  <c r="G14" i="58"/>
  <c r="G15" i="58"/>
  <c r="G16" i="58"/>
  <c r="G17" i="58"/>
  <c r="K12" i="58"/>
  <c r="L12" i="58"/>
  <c r="K13" i="58"/>
  <c r="L13" i="58"/>
  <c r="K14" i="58"/>
  <c r="L14" i="58"/>
  <c r="K15" i="58"/>
  <c r="L15" i="58"/>
  <c r="K16" i="58"/>
  <c r="L16" i="58"/>
  <c r="K17" i="58"/>
  <c r="L17" i="58"/>
  <c r="K18" i="58"/>
  <c r="L18" i="58"/>
  <c r="G15" i="68"/>
  <c r="J12" i="50"/>
  <c r="J10" i="50"/>
  <c r="J11" i="50"/>
  <c r="G9" i="58"/>
  <c r="G10" i="58"/>
  <c r="G11" i="58"/>
  <c r="J9" i="50"/>
  <c r="J7" i="50"/>
  <c r="J8" i="50"/>
  <c r="L37" i="75"/>
  <c r="J33" i="56" s="1"/>
  <c r="H37" i="75"/>
  <c r="F33" i="56" s="1"/>
  <c r="E37" i="75"/>
  <c r="D33" i="56" s="1"/>
  <c r="J35" i="75"/>
  <c r="G35" i="75"/>
  <c r="K35" i="75" s="1"/>
  <c r="J34" i="75"/>
  <c r="G34" i="75"/>
  <c r="K34" i="75" s="1"/>
  <c r="J33" i="75"/>
  <c r="G33" i="75"/>
  <c r="K33" i="75" s="1"/>
  <c r="J32" i="75"/>
  <c r="G32" i="75"/>
  <c r="K32" i="75" s="1"/>
  <c r="J31" i="75"/>
  <c r="G31" i="75"/>
  <c r="K31" i="75" s="1"/>
  <c r="J30" i="75"/>
  <c r="G30" i="75"/>
  <c r="K30" i="75" s="1"/>
  <c r="J29" i="75"/>
  <c r="G29" i="75"/>
  <c r="K29" i="75" s="1"/>
  <c r="J28" i="75"/>
  <c r="G28" i="75"/>
  <c r="K28" i="75" s="1"/>
  <c r="J27" i="75"/>
  <c r="G27" i="75"/>
  <c r="K27" i="75" s="1"/>
  <c r="J26" i="75"/>
  <c r="G26" i="75"/>
  <c r="K26" i="75" s="1"/>
  <c r="J25" i="75"/>
  <c r="G25" i="75"/>
  <c r="K25" i="75" s="1"/>
  <c r="I40" i="75" s="1"/>
  <c r="J24" i="75"/>
  <c r="G24" i="75"/>
  <c r="K24" i="75" s="1"/>
  <c r="J23" i="75"/>
  <c r="G23" i="75"/>
  <c r="K23" i="75" s="1"/>
  <c r="J22" i="75"/>
  <c r="G22" i="75"/>
  <c r="K22" i="75" s="1"/>
  <c r="J21" i="75"/>
  <c r="G21" i="75"/>
  <c r="K21" i="75" s="1"/>
  <c r="J20" i="75"/>
  <c r="G20" i="75"/>
  <c r="K20" i="75" s="1"/>
  <c r="J19" i="75"/>
  <c r="G19" i="75"/>
  <c r="K19" i="75" s="1"/>
  <c r="J18" i="75"/>
  <c r="G18" i="75"/>
  <c r="K18" i="75" s="1"/>
  <c r="G17" i="75"/>
  <c r="K17" i="75" s="1"/>
  <c r="J16" i="75"/>
  <c r="G16" i="75"/>
  <c r="K16" i="75" s="1"/>
  <c r="J15" i="75"/>
  <c r="G15" i="75"/>
  <c r="K15" i="75" s="1"/>
  <c r="J14" i="75"/>
  <c r="G14" i="75"/>
  <c r="K14" i="75" s="1"/>
  <c r="J13" i="75"/>
  <c r="G13" i="75"/>
  <c r="K13" i="75" s="1"/>
  <c r="J12" i="75"/>
  <c r="G12" i="75"/>
  <c r="K12" i="75" s="1"/>
  <c r="J11" i="75"/>
  <c r="G11" i="75"/>
  <c r="K11" i="75" s="1"/>
  <c r="J10" i="75"/>
  <c r="G10" i="75"/>
  <c r="K10" i="75" s="1"/>
  <c r="J9" i="75"/>
  <c r="G9" i="75"/>
  <c r="K9" i="75" s="1"/>
  <c r="J8" i="75"/>
  <c r="G8" i="75"/>
  <c r="K8" i="75" s="1"/>
  <c r="J7" i="75"/>
  <c r="G7" i="75"/>
  <c r="K7" i="75" s="1"/>
  <c r="J6" i="75"/>
  <c r="G6" i="75"/>
  <c r="K6" i="75" s="1"/>
  <c r="J5" i="75"/>
  <c r="G5" i="75"/>
  <c r="J4" i="75"/>
  <c r="J6" i="50"/>
  <c r="J5" i="50"/>
  <c r="I22" i="56"/>
  <c r="J4" i="25"/>
  <c r="G4" i="60"/>
  <c r="J4" i="68"/>
  <c r="G4" i="68"/>
  <c r="K4" i="68" s="1"/>
  <c r="M3" i="14"/>
  <c r="G19" i="2"/>
  <c r="P3" i="11"/>
  <c r="E54" i="22"/>
  <c r="G30" i="50"/>
  <c r="I20" i="56"/>
  <c r="H35" i="74"/>
  <c r="F22" i="56" s="1"/>
  <c r="D22" i="56"/>
  <c r="J33" i="74"/>
  <c r="J32" i="74"/>
  <c r="J31" i="74"/>
  <c r="J30" i="74"/>
  <c r="J29" i="74"/>
  <c r="K29" i="74"/>
  <c r="L29" i="74" s="1"/>
  <c r="J28" i="74"/>
  <c r="K28" i="74"/>
  <c r="L28" i="74" s="1"/>
  <c r="J27" i="74"/>
  <c r="K27" i="74"/>
  <c r="L27" i="74" s="1"/>
  <c r="J26" i="74"/>
  <c r="G26" i="74"/>
  <c r="K26" i="74" s="1"/>
  <c r="L26" i="74" s="1"/>
  <c r="J25" i="74"/>
  <c r="G25" i="74"/>
  <c r="K25" i="74" s="1"/>
  <c r="L25" i="74" s="1"/>
  <c r="J24" i="74"/>
  <c r="G24" i="74"/>
  <c r="K24" i="74" s="1"/>
  <c r="L24" i="74" s="1"/>
  <c r="J23" i="74"/>
  <c r="G23" i="74"/>
  <c r="K23" i="74" s="1"/>
  <c r="L23" i="74" s="1"/>
  <c r="J22" i="74"/>
  <c r="G22" i="74"/>
  <c r="K22" i="74" s="1"/>
  <c r="L22" i="74" s="1"/>
  <c r="J21" i="74"/>
  <c r="G21" i="74"/>
  <c r="K21" i="74" s="1"/>
  <c r="L21" i="74" s="1"/>
  <c r="J20" i="74"/>
  <c r="G20" i="74"/>
  <c r="K20" i="74" s="1"/>
  <c r="L20" i="74" s="1"/>
  <c r="J19" i="74"/>
  <c r="G19" i="74"/>
  <c r="K19" i="74" s="1"/>
  <c r="L19" i="74" s="1"/>
  <c r="J18" i="74"/>
  <c r="G18" i="74"/>
  <c r="K18" i="74" s="1"/>
  <c r="L18" i="74" s="1"/>
  <c r="J17" i="74"/>
  <c r="G17" i="74"/>
  <c r="K17" i="74" s="1"/>
  <c r="L17" i="74" s="1"/>
  <c r="J16" i="74"/>
  <c r="G16" i="74"/>
  <c r="K16" i="74" s="1"/>
  <c r="L16" i="74" s="1"/>
  <c r="J15" i="74"/>
  <c r="G15" i="74"/>
  <c r="K15" i="74" s="1"/>
  <c r="L15" i="74" s="1"/>
  <c r="J14" i="74"/>
  <c r="G14" i="74"/>
  <c r="K14" i="74" s="1"/>
  <c r="L14" i="74" s="1"/>
  <c r="J13" i="74"/>
  <c r="G13" i="74"/>
  <c r="K13" i="74" s="1"/>
  <c r="L13" i="74" s="1"/>
  <c r="J12" i="74"/>
  <c r="G12" i="74"/>
  <c r="K12" i="74" s="1"/>
  <c r="L12" i="74" s="1"/>
  <c r="J11" i="74"/>
  <c r="G11" i="74"/>
  <c r="K11" i="74" s="1"/>
  <c r="L11" i="74" s="1"/>
  <c r="J10" i="74"/>
  <c r="G10" i="74"/>
  <c r="K10" i="74" s="1"/>
  <c r="L10" i="74" s="1"/>
  <c r="J9" i="74"/>
  <c r="G9" i="74"/>
  <c r="K9" i="74" s="1"/>
  <c r="L9" i="74" s="1"/>
  <c r="J8" i="74"/>
  <c r="G8" i="74"/>
  <c r="K8" i="74" s="1"/>
  <c r="L8" i="74" s="1"/>
  <c r="J7" i="74"/>
  <c r="G7" i="74"/>
  <c r="K7" i="74" s="1"/>
  <c r="L7" i="74" s="1"/>
  <c r="J6" i="74"/>
  <c r="G6" i="74"/>
  <c r="K6" i="74" s="1"/>
  <c r="L6" i="74" s="1"/>
  <c r="J5" i="74"/>
  <c r="G5" i="74"/>
  <c r="K5" i="74" s="1"/>
  <c r="L5" i="74" s="1"/>
  <c r="J4" i="74"/>
  <c r="J35" i="74" s="1"/>
  <c r="G22" i="56" s="1"/>
  <c r="G4" i="74"/>
  <c r="M3" i="74"/>
  <c r="H35" i="73"/>
  <c r="F20" i="56" s="1"/>
  <c r="E35" i="73"/>
  <c r="D20" i="56" s="1"/>
  <c r="J33" i="73"/>
  <c r="K33" i="73"/>
  <c r="L33" i="73" s="1"/>
  <c r="J32" i="73"/>
  <c r="K32" i="73"/>
  <c r="L32" i="73" s="1"/>
  <c r="J31" i="73"/>
  <c r="K31" i="73"/>
  <c r="L31" i="73" s="1"/>
  <c r="J30" i="73"/>
  <c r="G30" i="73"/>
  <c r="K30" i="73" s="1"/>
  <c r="L30" i="73" s="1"/>
  <c r="J29" i="73"/>
  <c r="G29" i="73"/>
  <c r="K29" i="73" s="1"/>
  <c r="L29" i="73" s="1"/>
  <c r="J28" i="73"/>
  <c r="G28" i="73"/>
  <c r="K28" i="73" s="1"/>
  <c r="L28" i="73" s="1"/>
  <c r="J27" i="73"/>
  <c r="G27" i="73"/>
  <c r="K27" i="73" s="1"/>
  <c r="L27" i="73" s="1"/>
  <c r="J26" i="73"/>
  <c r="G26" i="73"/>
  <c r="K26" i="73" s="1"/>
  <c r="L26" i="73" s="1"/>
  <c r="J25" i="73"/>
  <c r="G25" i="73"/>
  <c r="K25" i="73" s="1"/>
  <c r="L25" i="73" s="1"/>
  <c r="J24" i="73"/>
  <c r="G24" i="73"/>
  <c r="K24" i="73" s="1"/>
  <c r="L24" i="73" s="1"/>
  <c r="J23" i="73"/>
  <c r="G23" i="73"/>
  <c r="K23" i="73" s="1"/>
  <c r="L23" i="73" s="1"/>
  <c r="J22" i="73"/>
  <c r="G22" i="73"/>
  <c r="K22" i="73" s="1"/>
  <c r="L22" i="73" s="1"/>
  <c r="J21" i="73"/>
  <c r="G21" i="73"/>
  <c r="K21" i="73" s="1"/>
  <c r="L21" i="73" s="1"/>
  <c r="J20" i="73"/>
  <c r="G20" i="73"/>
  <c r="K20" i="73" s="1"/>
  <c r="L20" i="73" s="1"/>
  <c r="J19" i="73"/>
  <c r="G19" i="73"/>
  <c r="K19" i="73" s="1"/>
  <c r="L19" i="73" s="1"/>
  <c r="J18" i="73"/>
  <c r="G18" i="73"/>
  <c r="K18" i="73" s="1"/>
  <c r="L18" i="73" s="1"/>
  <c r="J17" i="73"/>
  <c r="G17" i="73"/>
  <c r="K17" i="73" s="1"/>
  <c r="L17" i="73" s="1"/>
  <c r="J16" i="73"/>
  <c r="G16" i="73"/>
  <c r="K16" i="73" s="1"/>
  <c r="L16" i="73" s="1"/>
  <c r="J15" i="73"/>
  <c r="G15" i="73"/>
  <c r="K15" i="73" s="1"/>
  <c r="L15" i="73" s="1"/>
  <c r="J14" i="73"/>
  <c r="G14" i="73"/>
  <c r="K14" i="73" s="1"/>
  <c r="L14" i="73" s="1"/>
  <c r="J13" i="73"/>
  <c r="G13" i="73"/>
  <c r="K13" i="73" s="1"/>
  <c r="L13" i="73" s="1"/>
  <c r="J12" i="73"/>
  <c r="G12" i="73"/>
  <c r="K12" i="73" s="1"/>
  <c r="L12" i="73" s="1"/>
  <c r="J11" i="73"/>
  <c r="G11" i="73"/>
  <c r="K11" i="73" s="1"/>
  <c r="L11" i="73" s="1"/>
  <c r="J10" i="73"/>
  <c r="G10" i="73"/>
  <c r="K10" i="73" s="1"/>
  <c r="L10" i="73" s="1"/>
  <c r="J9" i="73"/>
  <c r="G9" i="73"/>
  <c r="K9" i="73" s="1"/>
  <c r="L9" i="73" s="1"/>
  <c r="J8" i="73"/>
  <c r="G8" i="73"/>
  <c r="K8" i="73" s="1"/>
  <c r="L8" i="73" s="1"/>
  <c r="J7" i="73"/>
  <c r="G7" i="73"/>
  <c r="K7" i="73" s="1"/>
  <c r="L7" i="73" s="1"/>
  <c r="J6" i="73"/>
  <c r="G6" i="73"/>
  <c r="K6" i="73" s="1"/>
  <c r="L6" i="73" s="1"/>
  <c r="J5" i="73"/>
  <c r="G5" i="73"/>
  <c r="K5" i="73" s="1"/>
  <c r="L5" i="73" s="1"/>
  <c r="J4" i="73"/>
  <c r="J35" i="73" s="1"/>
  <c r="G20" i="56" s="1"/>
  <c r="G4" i="73"/>
  <c r="M3" i="73"/>
  <c r="G18" i="72"/>
  <c r="G19" i="72"/>
  <c r="G17" i="15"/>
  <c r="K17" i="15" s="1"/>
  <c r="G17" i="72"/>
  <c r="J15" i="34"/>
  <c r="J13" i="14"/>
  <c r="G13" i="14"/>
  <c r="K13" i="14" s="1"/>
  <c r="H35" i="9"/>
  <c r="G11" i="68"/>
  <c r="K7" i="45"/>
  <c r="K4" i="45"/>
  <c r="P17" i="71"/>
  <c r="Q12" i="71"/>
  <c r="O12" i="71"/>
  <c r="I7" i="56"/>
  <c r="I5" i="56"/>
  <c r="G5" i="56"/>
  <c r="F5" i="56"/>
  <c r="G7" i="56"/>
  <c r="L35" i="72"/>
  <c r="J5" i="56" s="1"/>
  <c r="H35" i="72"/>
  <c r="E35" i="72"/>
  <c r="D5" i="56" s="1"/>
  <c r="J34" i="72"/>
  <c r="G34" i="72"/>
  <c r="K34" i="72" s="1"/>
  <c r="J33" i="72"/>
  <c r="G33" i="72"/>
  <c r="K33" i="72" s="1"/>
  <c r="J32" i="72"/>
  <c r="G32" i="72"/>
  <c r="K32" i="72" s="1"/>
  <c r="J31" i="72"/>
  <c r="G31" i="72"/>
  <c r="K31" i="72" s="1"/>
  <c r="J30" i="72"/>
  <c r="G30" i="72"/>
  <c r="K30" i="72" s="1"/>
  <c r="J29" i="72"/>
  <c r="G29" i="72"/>
  <c r="K29" i="72" s="1"/>
  <c r="J28" i="72"/>
  <c r="G28" i="72"/>
  <c r="K28" i="72" s="1"/>
  <c r="J27" i="72"/>
  <c r="G27" i="72"/>
  <c r="K27" i="72" s="1"/>
  <c r="J26" i="72"/>
  <c r="G26" i="72"/>
  <c r="K26" i="72" s="1"/>
  <c r="J25" i="72"/>
  <c r="G25" i="72"/>
  <c r="K25" i="72" s="1"/>
  <c r="J24" i="72"/>
  <c r="G24" i="72"/>
  <c r="K24" i="72" s="1"/>
  <c r="J23" i="72"/>
  <c r="G23" i="72"/>
  <c r="K23" i="72" s="1"/>
  <c r="J22" i="72"/>
  <c r="G22" i="72"/>
  <c r="K22" i="72" s="1"/>
  <c r="J21" i="72"/>
  <c r="G21" i="72"/>
  <c r="K21" i="72" s="1"/>
  <c r="J20" i="72"/>
  <c r="G20" i="72"/>
  <c r="K20" i="72" s="1"/>
  <c r="J19" i="72"/>
  <c r="K19" i="72" s="1"/>
  <c r="J18" i="72"/>
  <c r="K18" i="72" s="1"/>
  <c r="J17" i="72"/>
  <c r="K17" i="72" s="1"/>
  <c r="J16" i="72"/>
  <c r="G16" i="72"/>
  <c r="K16" i="72" s="1"/>
  <c r="J15" i="72"/>
  <c r="G15" i="72"/>
  <c r="K15" i="72" s="1"/>
  <c r="J14" i="72"/>
  <c r="G14" i="72"/>
  <c r="K14" i="72" s="1"/>
  <c r="J13" i="72"/>
  <c r="G13" i="72"/>
  <c r="K13" i="72" s="1"/>
  <c r="J12" i="72"/>
  <c r="K12" i="72"/>
  <c r="J11" i="72"/>
  <c r="K11" i="72"/>
  <c r="J10" i="72"/>
  <c r="K10" i="72"/>
  <c r="J9" i="72"/>
  <c r="K9" i="72"/>
  <c r="J8" i="72"/>
  <c r="K8" i="72"/>
  <c r="J7" i="72"/>
  <c r="K7" i="72"/>
  <c r="J6" i="72"/>
  <c r="K6" i="72"/>
  <c r="J5" i="72"/>
  <c r="G5" i="72"/>
  <c r="K5" i="72" s="1"/>
  <c r="J4" i="72"/>
  <c r="J35" i="72" s="1"/>
  <c r="G4" i="72"/>
  <c r="J7" i="61"/>
  <c r="I19" i="56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5" i="40"/>
  <c r="J4" i="40"/>
  <c r="J7" i="68"/>
  <c r="J8" i="68"/>
  <c r="J9" i="68"/>
  <c r="J10" i="68"/>
  <c r="J11" i="68"/>
  <c r="K11" i="68" s="1"/>
  <c r="J12" i="68"/>
  <c r="J13" i="68"/>
  <c r="J14" i="68"/>
  <c r="J15" i="68"/>
  <c r="J16" i="68"/>
  <c r="J17" i="68"/>
  <c r="J18" i="68"/>
  <c r="J19" i="68"/>
  <c r="J20" i="68"/>
  <c r="J21" i="68"/>
  <c r="J22" i="68"/>
  <c r="J23" i="68"/>
  <c r="J24" i="68"/>
  <c r="J25" i="68"/>
  <c r="J26" i="68"/>
  <c r="J27" i="68"/>
  <c r="J28" i="68"/>
  <c r="J29" i="68"/>
  <c r="J30" i="68"/>
  <c r="J31" i="68"/>
  <c r="J6" i="68"/>
  <c r="G7" i="68"/>
  <c r="K7" i="68" s="1"/>
  <c r="G8" i="68"/>
  <c r="K8" i="68" s="1"/>
  <c r="G9" i="68"/>
  <c r="K9" i="68" s="1"/>
  <c r="G10" i="68"/>
  <c r="K10" i="68" s="1"/>
  <c r="G12" i="68"/>
  <c r="K12" i="68" s="1"/>
  <c r="G13" i="68"/>
  <c r="K13" i="68" s="1"/>
  <c r="G14" i="68"/>
  <c r="K15" i="68"/>
  <c r="G16" i="68"/>
  <c r="K16" i="68" s="1"/>
  <c r="G17" i="68"/>
  <c r="K17" i="68" s="1"/>
  <c r="G18" i="68"/>
  <c r="K18" i="68" s="1"/>
  <c r="G19" i="68"/>
  <c r="K19" i="68" s="1"/>
  <c r="G20" i="68"/>
  <c r="K20" i="68" s="1"/>
  <c r="G21" i="68"/>
  <c r="K21" i="68" s="1"/>
  <c r="G22" i="68"/>
  <c r="K22" i="68" s="1"/>
  <c r="G23" i="68"/>
  <c r="K23" i="68" s="1"/>
  <c r="G24" i="68"/>
  <c r="K24" i="68" s="1"/>
  <c r="G25" i="68"/>
  <c r="K25" i="68" s="1"/>
  <c r="G26" i="68"/>
  <c r="K26" i="68" s="1"/>
  <c r="G27" i="68"/>
  <c r="K27" i="68" s="1"/>
  <c r="G28" i="68"/>
  <c r="K28" i="68" s="1"/>
  <c r="G29" i="68"/>
  <c r="K29" i="68" s="1"/>
  <c r="G30" i="68"/>
  <c r="K30" i="68" s="1"/>
  <c r="G31" i="68"/>
  <c r="K31" i="68" s="1"/>
  <c r="G6" i="68"/>
  <c r="K6" i="68" s="1"/>
  <c r="G10" i="7"/>
  <c r="J10" i="7"/>
  <c r="K10" i="7"/>
  <c r="G11" i="7"/>
  <c r="J11" i="7"/>
  <c r="K11" i="7"/>
  <c r="G12" i="7"/>
  <c r="J12" i="7"/>
  <c r="K12" i="7"/>
  <c r="G13" i="7"/>
  <c r="J13" i="7"/>
  <c r="K13" i="7"/>
  <c r="G14" i="7"/>
  <c r="J14" i="7"/>
  <c r="K14" i="7"/>
  <c r="G15" i="7"/>
  <c r="J15" i="7"/>
  <c r="K15" i="7"/>
  <c r="G16" i="7"/>
  <c r="J16" i="7"/>
  <c r="K16" i="7"/>
  <c r="G17" i="7"/>
  <c r="J17" i="7"/>
  <c r="K17" i="7"/>
  <c r="H35" i="71"/>
  <c r="J5" i="63"/>
  <c r="G5" i="63"/>
  <c r="K5" i="63" s="1"/>
  <c r="G16" i="35"/>
  <c r="H43" i="35"/>
  <c r="G14" i="35"/>
  <c r="G15" i="35"/>
  <c r="K10" i="56"/>
  <c r="E11" i="77" s="1"/>
  <c r="I10" i="56"/>
  <c r="F10" i="56"/>
  <c r="E35" i="71"/>
  <c r="D10" i="56" s="1"/>
  <c r="J34" i="71"/>
  <c r="G34" i="71"/>
  <c r="K34" i="71" s="1"/>
  <c r="L34" i="71" s="1"/>
  <c r="J33" i="71"/>
  <c r="G33" i="71"/>
  <c r="K33" i="71" s="1"/>
  <c r="L33" i="71" s="1"/>
  <c r="J32" i="71"/>
  <c r="G32" i="71"/>
  <c r="K32" i="71" s="1"/>
  <c r="L32" i="71" s="1"/>
  <c r="J31" i="71"/>
  <c r="G31" i="71"/>
  <c r="K31" i="71" s="1"/>
  <c r="L31" i="71" s="1"/>
  <c r="J30" i="71"/>
  <c r="G30" i="71"/>
  <c r="K30" i="71" s="1"/>
  <c r="L30" i="71" s="1"/>
  <c r="J29" i="71"/>
  <c r="G29" i="71"/>
  <c r="K29" i="71" s="1"/>
  <c r="L29" i="71" s="1"/>
  <c r="J28" i="71"/>
  <c r="G28" i="71"/>
  <c r="K28" i="71" s="1"/>
  <c r="L28" i="71" s="1"/>
  <c r="J27" i="71"/>
  <c r="G27" i="71"/>
  <c r="K27" i="71" s="1"/>
  <c r="L27" i="71" s="1"/>
  <c r="J26" i="71"/>
  <c r="G26" i="71"/>
  <c r="K26" i="71" s="1"/>
  <c r="L26" i="71" s="1"/>
  <c r="J25" i="71"/>
  <c r="G25" i="71"/>
  <c r="K25" i="71" s="1"/>
  <c r="L25" i="71" s="1"/>
  <c r="J24" i="71"/>
  <c r="G24" i="71"/>
  <c r="K24" i="71" s="1"/>
  <c r="L24" i="71" s="1"/>
  <c r="J23" i="71"/>
  <c r="G23" i="71"/>
  <c r="K23" i="71" s="1"/>
  <c r="L23" i="71" s="1"/>
  <c r="J22" i="71"/>
  <c r="G22" i="71"/>
  <c r="K22" i="71" s="1"/>
  <c r="L22" i="71" s="1"/>
  <c r="J21" i="71"/>
  <c r="G21" i="71"/>
  <c r="K21" i="71" s="1"/>
  <c r="L21" i="71" s="1"/>
  <c r="J20" i="71"/>
  <c r="G20" i="71"/>
  <c r="K20" i="71" s="1"/>
  <c r="L20" i="71" s="1"/>
  <c r="J19" i="71"/>
  <c r="G19" i="71"/>
  <c r="K19" i="71" s="1"/>
  <c r="L19" i="71" s="1"/>
  <c r="J18" i="71"/>
  <c r="G18" i="71"/>
  <c r="K18" i="71" s="1"/>
  <c r="L18" i="71" s="1"/>
  <c r="J17" i="71"/>
  <c r="G17" i="71"/>
  <c r="K17" i="71" s="1"/>
  <c r="L17" i="71" s="1"/>
  <c r="J16" i="71"/>
  <c r="G16" i="71"/>
  <c r="K16" i="71" s="1"/>
  <c r="L16" i="71" s="1"/>
  <c r="J15" i="71"/>
  <c r="G15" i="71"/>
  <c r="K15" i="71" s="1"/>
  <c r="L15" i="71" s="1"/>
  <c r="J14" i="71"/>
  <c r="G14" i="71"/>
  <c r="K14" i="71" s="1"/>
  <c r="L14" i="71" s="1"/>
  <c r="J13" i="71"/>
  <c r="G13" i="71"/>
  <c r="K13" i="71" s="1"/>
  <c r="L13" i="71" s="1"/>
  <c r="J12" i="71"/>
  <c r="G12" i="71"/>
  <c r="K12" i="71" s="1"/>
  <c r="L12" i="71" s="1"/>
  <c r="J11" i="71"/>
  <c r="G11" i="71"/>
  <c r="K11" i="71" s="1"/>
  <c r="L11" i="71" s="1"/>
  <c r="J10" i="71"/>
  <c r="G10" i="71"/>
  <c r="K10" i="71" s="1"/>
  <c r="L10" i="71" s="1"/>
  <c r="J9" i="71"/>
  <c r="G9" i="71"/>
  <c r="K9" i="71" s="1"/>
  <c r="L9" i="71" s="1"/>
  <c r="J8" i="71"/>
  <c r="G8" i="71"/>
  <c r="K8" i="71" s="1"/>
  <c r="L8" i="71" s="1"/>
  <c r="J7" i="71"/>
  <c r="G7" i="71"/>
  <c r="K7" i="71" s="1"/>
  <c r="L7" i="71" s="1"/>
  <c r="J6" i="71"/>
  <c r="G6" i="71"/>
  <c r="K6" i="71" s="1"/>
  <c r="L6" i="71" s="1"/>
  <c r="J5" i="71"/>
  <c r="G5" i="71"/>
  <c r="K5" i="71" s="1"/>
  <c r="L5" i="71" s="1"/>
  <c r="J4" i="71"/>
  <c r="J35" i="71" s="1"/>
  <c r="G10" i="56" s="1"/>
  <c r="G4" i="71"/>
  <c r="Y24" i="19"/>
  <c r="Y22" i="19"/>
  <c r="Y23" i="19"/>
  <c r="Y21" i="19"/>
  <c r="Y25" i="19"/>
  <c r="X22" i="19"/>
  <c r="X23" i="19"/>
  <c r="X24" i="19"/>
  <c r="X25" i="19"/>
  <c r="T23" i="19"/>
  <c r="T24" i="19"/>
  <c r="T25" i="19"/>
  <c r="H54" i="22"/>
  <c r="U22" i="34"/>
  <c r="U21" i="34"/>
  <c r="V22" i="34"/>
  <c r="V21" i="34"/>
  <c r="T22" i="34"/>
  <c r="T21" i="34"/>
  <c r="I46" i="56"/>
  <c r="I9" i="56"/>
  <c r="G9" i="56"/>
  <c r="F9" i="56"/>
  <c r="L35" i="70"/>
  <c r="J9" i="56" s="1"/>
  <c r="H35" i="70"/>
  <c r="E35" i="70"/>
  <c r="D9" i="56" s="1"/>
  <c r="J34" i="70"/>
  <c r="G34" i="70"/>
  <c r="K34" i="70" s="1"/>
  <c r="J33" i="70"/>
  <c r="G33" i="70"/>
  <c r="K33" i="70" s="1"/>
  <c r="J32" i="70"/>
  <c r="G32" i="70"/>
  <c r="K32" i="70" s="1"/>
  <c r="J31" i="70"/>
  <c r="G31" i="70"/>
  <c r="K31" i="70" s="1"/>
  <c r="J30" i="70"/>
  <c r="G30" i="70"/>
  <c r="K30" i="70" s="1"/>
  <c r="J29" i="70"/>
  <c r="G29" i="70"/>
  <c r="K29" i="70" s="1"/>
  <c r="J28" i="70"/>
  <c r="G28" i="70"/>
  <c r="K28" i="70" s="1"/>
  <c r="J27" i="70"/>
  <c r="G27" i="70"/>
  <c r="K27" i="70" s="1"/>
  <c r="J26" i="70"/>
  <c r="G26" i="70"/>
  <c r="K26" i="70" s="1"/>
  <c r="J25" i="70"/>
  <c r="G25" i="70"/>
  <c r="K25" i="70" s="1"/>
  <c r="J24" i="70"/>
  <c r="G24" i="70"/>
  <c r="K24" i="70" s="1"/>
  <c r="J23" i="70"/>
  <c r="G23" i="70"/>
  <c r="K23" i="70" s="1"/>
  <c r="J22" i="70"/>
  <c r="G22" i="70"/>
  <c r="K22" i="70" s="1"/>
  <c r="J21" i="70"/>
  <c r="G21" i="70"/>
  <c r="K21" i="70" s="1"/>
  <c r="J20" i="70"/>
  <c r="G20" i="70"/>
  <c r="K20" i="70" s="1"/>
  <c r="J19" i="70"/>
  <c r="K19" i="70"/>
  <c r="J18" i="70"/>
  <c r="K18" i="70"/>
  <c r="J17" i="70"/>
  <c r="K17" i="70"/>
  <c r="J16" i="70"/>
  <c r="G16" i="70"/>
  <c r="K16" i="70" s="1"/>
  <c r="J15" i="70"/>
  <c r="G15" i="70"/>
  <c r="K15" i="70" s="1"/>
  <c r="J14" i="70"/>
  <c r="G14" i="70"/>
  <c r="K14" i="70" s="1"/>
  <c r="J13" i="70"/>
  <c r="G13" i="70"/>
  <c r="K13" i="70" s="1"/>
  <c r="J12" i="70"/>
  <c r="G12" i="70"/>
  <c r="K12" i="70" s="1"/>
  <c r="J11" i="70"/>
  <c r="G11" i="70"/>
  <c r="K11" i="70" s="1"/>
  <c r="J10" i="70"/>
  <c r="G10" i="70"/>
  <c r="K10" i="70" s="1"/>
  <c r="J9" i="70"/>
  <c r="G9" i="70"/>
  <c r="K9" i="70" s="1"/>
  <c r="J8" i="70"/>
  <c r="G8" i="70"/>
  <c r="K8" i="70" s="1"/>
  <c r="J7" i="70"/>
  <c r="G7" i="70"/>
  <c r="K7" i="70" s="1"/>
  <c r="J6" i="70"/>
  <c r="G6" i="70"/>
  <c r="K6" i="70" s="1"/>
  <c r="J5" i="70"/>
  <c r="G5" i="70"/>
  <c r="K5" i="70" s="1"/>
  <c r="J4" i="70"/>
  <c r="J35" i="70" s="1"/>
  <c r="G4" i="70"/>
  <c r="H46" i="26"/>
  <c r="T22" i="19"/>
  <c r="X21" i="19"/>
  <c r="T21" i="19"/>
  <c r="H48" i="69"/>
  <c r="F46" i="56" s="1"/>
  <c r="J47" i="69"/>
  <c r="G47" i="69"/>
  <c r="K47" i="69" s="1"/>
  <c r="L47" i="69" s="1"/>
  <c r="J46" i="69"/>
  <c r="G46" i="69"/>
  <c r="K46" i="69" s="1"/>
  <c r="L46" i="69" s="1"/>
  <c r="L48" i="69" s="1"/>
  <c r="J46" i="56" s="1"/>
  <c r="J45" i="69"/>
  <c r="G45" i="69"/>
  <c r="K45" i="69" s="1"/>
  <c r="J44" i="69"/>
  <c r="G44" i="69"/>
  <c r="K44" i="69" s="1"/>
  <c r="J43" i="69"/>
  <c r="G43" i="69"/>
  <c r="K43" i="69" s="1"/>
  <c r="J42" i="69"/>
  <c r="G42" i="69"/>
  <c r="K42" i="69" s="1"/>
  <c r="J41" i="69"/>
  <c r="G41" i="69"/>
  <c r="K41" i="69" s="1"/>
  <c r="J40" i="69"/>
  <c r="G40" i="69"/>
  <c r="K40" i="69" s="1"/>
  <c r="J4" i="69"/>
  <c r="J48" i="69" s="1"/>
  <c r="G46" i="56" s="1"/>
  <c r="G4" i="69"/>
  <c r="H35" i="68"/>
  <c r="F19" i="56" s="1"/>
  <c r="E35" i="68"/>
  <c r="D19" i="56" s="1"/>
  <c r="J35" i="68"/>
  <c r="G19" i="56" s="1"/>
  <c r="M3" i="68"/>
  <c r="K17" i="65"/>
  <c r="G11" i="35"/>
  <c r="G10" i="35"/>
  <c r="G7" i="35"/>
  <c r="G8" i="35"/>
  <c r="G9" i="35"/>
  <c r="I23" i="56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K27" i="40" s="1"/>
  <c r="G28" i="40"/>
  <c r="K28" i="40" s="1"/>
  <c r="G29" i="40"/>
  <c r="K29" i="40" s="1"/>
  <c r="G30" i="40"/>
  <c r="K30" i="40" s="1"/>
  <c r="G31" i="40"/>
  <c r="K31" i="40" s="1"/>
  <c r="G32" i="40"/>
  <c r="K32" i="40" s="1"/>
  <c r="G9" i="14"/>
  <c r="J9" i="14"/>
  <c r="K9" i="14"/>
  <c r="G10" i="14"/>
  <c r="J10" i="14"/>
  <c r="K10" i="14"/>
  <c r="G11" i="14"/>
  <c r="J11" i="14"/>
  <c r="K11" i="14"/>
  <c r="G12" i="14"/>
  <c r="J12" i="14"/>
  <c r="K12" i="14"/>
  <c r="G14" i="14"/>
  <c r="J14" i="14"/>
  <c r="K14" i="14"/>
  <c r="G15" i="14"/>
  <c r="J15" i="14"/>
  <c r="K15" i="14"/>
  <c r="G16" i="14"/>
  <c r="J16" i="14"/>
  <c r="K16" i="14"/>
  <c r="G17" i="14"/>
  <c r="J17" i="14"/>
  <c r="K17" i="14"/>
  <c r="G18" i="14"/>
  <c r="J18" i="14"/>
  <c r="K18" i="14"/>
  <c r="G19" i="14"/>
  <c r="J19" i="14"/>
  <c r="K19" i="14"/>
  <c r="G20" i="14"/>
  <c r="J20" i="14"/>
  <c r="K20" i="14"/>
  <c r="G21" i="14"/>
  <c r="J21" i="14"/>
  <c r="K21" i="14"/>
  <c r="G22" i="14"/>
  <c r="J22" i="14"/>
  <c r="K22" i="14"/>
  <c r="G24" i="14"/>
  <c r="J24" i="14"/>
  <c r="K24" i="14"/>
  <c r="G25" i="14"/>
  <c r="J25" i="14"/>
  <c r="K25" i="14"/>
  <c r="G26" i="14"/>
  <c r="J26" i="14"/>
  <c r="K26" i="14"/>
  <c r="G27" i="14"/>
  <c r="J27" i="14"/>
  <c r="K27" i="14"/>
  <c r="G28" i="14"/>
  <c r="J28" i="14"/>
  <c r="K28" i="14"/>
  <c r="G30" i="14"/>
  <c r="J30" i="14"/>
  <c r="K30" i="14"/>
  <c r="G31" i="14"/>
  <c r="J31" i="14"/>
  <c r="K31" i="14"/>
  <c r="G32" i="14"/>
  <c r="J32" i="14"/>
  <c r="K32" i="14"/>
  <c r="G33" i="14"/>
  <c r="J33" i="14"/>
  <c r="K33" i="14"/>
  <c r="G34" i="14"/>
  <c r="J34" i="14"/>
  <c r="K34" i="14"/>
  <c r="G35" i="14"/>
  <c r="J35" i="14"/>
  <c r="K35" i="14"/>
  <c r="G36" i="14"/>
  <c r="J36" i="14"/>
  <c r="K36" i="14"/>
  <c r="R13" i="25"/>
  <c r="R11" i="25"/>
  <c r="G6" i="35"/>
  <c r="G5" i="35"/>
  <c r="J7" i="3"/>
  <c r="G7" i="3"/>
  <c r="K7" i="3" s="1"/>
  <c r="G39" i="22"/>
  <c r="J39" i="22"/>
  <c r="K39" i="22"/>
  <c r="G40" i="22"/>
  <c r="J40" i="22"/>
  <c r="K40" i="22"/>
  <c r="G41" i="22"/>
  <c r="J41" i="22"/>
  <c r="K41" i="22"/>
  <c r="G42" i="22"/>
  <c r="J42" i="22"/>
  <c r="K42" i="22"/>
  <c r="G43" i="22"/>
  <c r="J43" i="22"/>
  <c r="K43" i="22"/>
  <c r="G44" i="22"/>
  <c r="J44" i="22"/>
  <c r="K44" i="22"/>
  <c r="G45" i="22"/>
  <c r="J45" i="22"/>
  <c r="K45" i="22"/>
  <c r="G46" i="22"/>
  <c r="J46" i="22"/>
  <c r="K46" i="22"/>
  <c r="G47" i="22"/>
  <c r="J47" i="22"/>
  <c r="K47" i="22"/>
  <c r="G48" i="22"/>
  <c r="J48" i="22"/>
  <c r="K48" i="22"/>
  <c r="G49" i="22"/>
  <c r="J49" i="22"/>
  <c r="K49" i="22"/>
  <c r="G50" i="22"/>
  <c r="J50" i="22"/>
  <c r="K50" i="22"/>
  <c r="G51" i="22"/>
  <c r="J51" i="22"/>
  <c r="K51" i="22"/>
  <c r="G52" i="22"/>
  <c r="J52" i="22"/>
  <c r="K52" i="22"/>
  <c r="M3" i="22"/>
  <c r="G5" i="12"/>
  <c r="J5" i="12"/>
  <c r="K5" i="12"/>
  <c r="G6" i="12"/>
  <c r="J6" i="12"/>
  <c r="K6" i="12"/>
  <c r="G7" i="12"/>
  <c r="J7" i="12"/>
  <c r="K7" i="12"/>
  <c r="G8" i="12"/>
  <c r="J8" i="12"/>
  <c r="K8" i="12"/>
  <c r="G9" i="12"/>
  <c r="J9" i="12"/>
  <c r="K9" i="12"/>
  <c r="G10" i="12"/>
  <c r="J10" i="12"/>
  <c r="K10" i="12"/>
  <c r="G11" i="12"/>
  <c r="J11" i="12"/>
  <c r="K11" i="12"/>
  <c r="G12" i="12"/>
  <c r="J12" i="12"/>
  <c r="K12" i="12"/>
  <c r="J13" i="12"/>
  <c r="K13" i="12"/>
  <c r="J14" i="12"/>
  <c r="K14" i="12"/>
  <c r="J15" i="12"/>
  <c r="K15" i="12"/>
  <c r="J16" i="12"/>
  <c r="K16" i="12"/>
  <c r="J17" i="12"/>
  <c r="K17" i="12"/>
  <c r="J18" i="12"/>
  <c r="K18" i="12"/>
  <c r="J19" i="12"/>
  <c r="K19" i="12"/>
  <c r="J20" i="12"/>
  <c r="K20" i="12"/>
  <c r="J21" i="12"/>
  <c r="K21" i="12"/>
  <c r="J22" i="12"/>
  <c r="K22" i="12"/>
  <c r="J23" i="12"/>
  <c r="K23" i="12"/>
  <c r="J24" i="12"/>
  <c r="K24" i="12"/>
  <c r="J25" i="12"/>
  <c r="K25" i="12"/>
  <c r="J26" i="12"/>
  <c r="K26" i="12"/>
  <c r="J27" i="12"/>
  <c r="K27" i="12"/>
  <c r="J28" i="12"/>
  <c r="K28" i="12"/>
  <c r="J29" i="12"/>
  <c r="K29" i="12"/>
  <c r="J30" i="12"/>
  <c r="K30" i="12"/>
  <c r="J31" i="12"/>
  <c r="K31" i="12"/>
  <c r="J32" i="12"/>
  <c r="K32" i="12"/>
  <c r="J33" i="12"/>
  <c r="K33" i="12"/>
  <c r="J34" i="12"/>
  <c r="K34" i="12"/>
  <c r="G5" i="37"/>
  <c r="J5" i="37"/>
  <c r="K5" i="37"/>
  <c r="G6" i="37"/>
  <c r="J6" i="37"/>
  <c r="K6" i="37"/>
  <c r="G7" i="37"/>
  <c r="J7" i="37"/>
  <c r="K7" i="37"/>
  <c r="G8" i="37"/>
  <c r="J8" i="37"/>
  <c r="K8" i="37"/>
  <c r="G9" i="37"/>
  <c r="J9" i="37"/>
  <c r="K9" i="37"/>
  <c r="G10" i="37"/>
  <c r="J10" i="37"/>
  <c r="K10" i="37"/>
  <c r="G11" i="37"/>
  <c r="J11" i="37"/>
  <c r="K11" i="37"/>
  <c r="G12" i="37"/>
  <c r="J12" i="37"/>
  <c r="K12" i="37"/>
  <c r="G13" i="37"/>
  <c r="J13" i="37"/>
  <c r="K13" i="37"/>
  <c r="G14" i="37"/>
  <c r="J14" i="37"/>
  <c r="K14" i="37"/>
  <c r="G15" i="37"/>
  <c r="J15" i="37"/>
  <c r="K15" i="37"/>
  <c r="G16" i="37"/>
  <c r="J16" i="37"/>
  <c r="K16" i="37"/>
  <c r="G17" i="37"/>
  <c r="J17" i="37"/>
  <c r="K17" i="37"/>
  <c r="G18" i="37"/>
  <c r="J18" i="37"/>
  <c r="K18" i="37"/>
  <c r="G19" i="37"/>
  <c r="J19" i="37"/>
  <c r="K19" i="37"/>
  <c r="G20" i="37"/>
  <c r="J20" i="37"/>
  <c r="K20" i="37"/>
  <c r="G21" i="37"/>
  <c r="J21" i="37"/>
  <c r="K21" i="37"/>
  <c r="G22" i="37"/>
  <c r="J22" i="37"/>
  <c r="K22" i="37"/>
  <c r="G23" i="37"/>
  <c r="J23" i="37"/>
  <c r="K23" i="37"/>
  <c r="G24" i="37"/>
  <c r="J24" i="37"/>
  <c r="K24" i="37"/>
  <c r="G25" i="37"/>
  <c r="J25" i="37"/>
  <c r="K25" i="37"/>
  <c r="G26" i="37"/>
  <c r="J26" i="37"/>
  <c r="K26" i="37"/>
  <c r="G27" i="37"/>
  <c r="J27" i="37"/>
  <c r="K27" i="37"/>
  <c r="G28" i="37"/>
  <c r="J28" i="37"/>
  <c r="K28" i="37"/>
  <c r="G29" i="37"/>
  <c r="J29" i="37"/>
  <c r="K29" i="37"/>
  <c r="G30" i="37"/>
  <c r="J30" i="37"/>
  <c r="K30" i="37"/>
  <c r="G31" i="37"/>
  <c r="J31" i="37"/>
  <c r="K31" i="37"/>
  <c r="G32" i="37"/>
  <c r="J32" i="37"/>
  <c r="K32" i="37"/>
  <c r="G33" i="37"/>
  <c r="J33" i="37"/>
  <c r="K33" i="37"/>
  <c r="K5" i="36"/>
  <c r="K6" i="36"/>
  <c r="K7" i="36"/>
  <c r="K8" i="36"/>
  <c r="K9" i="36"/>
  <c r="K10" i="36"/>
  <c r="K11" i="36"/>
  <c r="K12" i="36"/>
  <c r="K13" i="36"/>
  <c r="K14" i="36"/>
  <c r="K15" i="36"/>
  <c r="K16" i="36"/>
  <c r="K17" i="36"/>
  <c r="K18" i="36"/>
  <c r="K19" i="36"/>
  <c r="K20" i="36"/>
  <c r="K21" i="36"/>
  <c r="K22" i="36"/>
  <c r="K23" i="36"/>
  <c r="K24" i="36"/>
  <c r="K25" i="36"/>
  <c r="K26" i="36"/>
  <c r="K27" i="36"/>
  <c r="K28" i="36"/>
  <c r="K29" i="36"/>
  <c r="K30" i="36"/>
  <c r="K31" i="36"/>
  <c r="K32" i="36"/>
  <c r="K33" i="36"/>
  <c r="G5" i="15"/>
  <c r="J5" i="15"/>
  <c r="K5" i="15"/>
  <c r="G6" i="15"/>
  <c r="J6" i="15"/>
  <c r="K6" i="15"/>
  <c r="G7" i="15"/>
  <c r="J7" i="15"/>
  <c r="K7" i="15"/>
  <c r="G8" i="15"/>
  <c r="J8" i="15"/>
  <c r="K8" i="15"/>
  <c r="G9" i="15"/>
  <c r="J9" i="15"/>
  <c r="K9" i="15"/>
  <c r="G10" i="15"/>
  <c r="J10" i="15"/>
  <c r="K10" i="15"/>
  <c r="G11" i="15"/>
  <c r="J11" i="15"/>
  <c r="K11" i="15"/>
  <c r="G12" i="15"/>
  <c r="J12" i="15"/>
  <c r="K12" i="15"/>
  <c r="G13" i="15"/>
  <c r="J13" i="15"/>
  <c r="K13" i="15"/>
  <c r="G14" i="15"/>
  <c r="J14" i="15"/>
  <c r="K14" i="15"/>
  <c r="G15" i="15"/>
  <c r="J15" i="15"/>
  <c r="K15" i="15"/>
  <c r="G16" i="15"/>
  <c r="J16" i="15"/>
  <c r="K16" i="15"/>
  <c r="G18" i="15"/>
  <c r="J18" i="15"/>
  <c r="K18" i="15"/>
  <c r="G19" i="15"/>
  <c r="J19" i="15"/>
  <c r="K19" i="15"/>
  <c r="G20" i="15"/>
  <c r="J20" i="15"/>
  <c r="K20" i="15"/>
  <c r="G21" i="15"/>
  <c r="J21" i="15"/>
  <c r="K21" i="15"/>
  <c r="G22" i="15"/>
  <c r="J22" i="15"/>
  <c r="K22" i="15"/>
  <c r="G23" i="15"/>
  <c r="J23" i="15"/>
  <c r="K23" i="15"/>
  <c r="G24" i="15"/>
  <c r="J24" i="15"/>
  <c r="K24" i="15"/>
  <c r="G25" i="15"/>
  <c r="J25" i="15"/>
  <c r="K25" i="15"/>
  <c r="G26" i="15"/>
  <c r="J26" i="15"/>
  <c r="K26" i="15"/>
  <c r="G27" i="15"/>
  <c r="J27" i="15"/>
  <c r="K27" i="15"/>
  <c r="G28" i="15"/>
  <c r="J28" i="15"/>
  <c r="K28" i="15"/>
  <c r="G29" i="15"/>
  <c r="J29" i="15"/>
  <c r="K29" i="15"/>
  <c r="G30" i="15"/>
  <c r="J30" i="15"/>
  <c r="K30" i="15"/>
  <c r="G31" i="15"/>
  <c r="J31" i="15"/>
  <c r="K31" i="15"/>
  <c r="G32" i="15"/>
  <c r="J32" i="15"/>
  <c r="K32" i="15"/>
  <c r="G33" i="15"/>
  <c r="J33" i="15"/>
  <c r="K33" i="15"/>
  <c r="G34" i="15"/>
  <c r="J34" i="15"/>
  <c r="K34" i="15"/>
  <c r="K5" i="16"/>
  <c r="K6" i="16"/>
  <c r="K7" i="16"/>
  <c r="K8" i="16"/>
  <c r="K9" i="16"/>
  <c r="K10" i="16"/>
  <c r="K11" i="16"/>
  <c r="K13" i="16"/>
  <c r="K14" i="16"/>
  <c r="K15" i="16"/>
  <c r="K16" i="16"/>
  <c r="K17" i="16"/>
  <c r="K18" i="16"/>
  <c r="K19" i="16"/>
  <c r="K20" i="16"/>
  <c r="K21" i="16"/>
  <c r="K22" i="16"/>
  <c r="K23" i="16"/>
  <c r="K24" i="16"/>
  <c r="K25" i="16"/>
  <c r="K26" i="16"/>
  <c r="K27" i="16"/>
  <c r="K28" i="16"/>
  <c r="K29" i="16"/>
  <c r="K30" i="16"/>
  <c r="K31" i="16"/>
  <c r="K32" i="16"/>
  <c r="K33" i="16"/>
  <c r="K34" i="16"/>
  <c r="G35" i="16"/>
  <c r="J35" i="16"/>
  <c r="K35" i="16"/>
  <c r="M3" i="16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7" i="19"/>
  <c r="G5" i="25"/>
  <c r="J5" i="25"/>
  <c r="K5" i="25"/>
  <c r="L5" i="25"/>
  <c r="K6" i="25"/>
  <c r="L6" i="25"/>
  <c r="K7" i="25"/>
  <c r="L7" i="25"/>
  <c r="K8" i="25"/>
  <c r="L8" i="25"/>
  <c r="K9" i="25"/>
  <c r="L9" i="25"/>
  <c r="K10" i="25"/>
  <c r="L10" i="25"/>
  <c r="K11" i="25"/>
  <c r="L11" i="25"/>
  <c r="K12" i="25"/>
  <c r="L12" i="25"/>
  <c r="K13" i="25"/>
  <c r="L13" i="25"/>
  <c r="K14" i="25"/>
  <c r="L14" i="25"/>
  <c r="K15" i="25"/>
  <c r="L15" i="25"/>
  <c r="K16" i="25"/>
  <c r="L16" i="25"/>
  <c r="K17" i="25"/>
  <c r="L17" i="25"/>
  <c r="K18" i="25"/>
  <c r="L18" i="25"/>
  <c r="K19" i="25"/>
  <c r="L19" i="25"/>
  <c r="K20" i="25"/>
  <c r="L20" i="25"/>
  <c r="K21" i="25"/>
  <c r="L21" i="25"/>
  <c r="K22" i="25"/>
  <c r="L22" i="25"/>
  <c r="K23" i="25"/>
  <c r="L23" i="25"/>
  <c r="K24" i="25"/>
  <c r="L24" i="25"/>
  <c r="K25" i="25"/>
  <c r="L25" i="25"/>
  <c r="K26" i="25"/>
  <c r="L26" i="25"/>
  <c r="K27" i="25"/>
  <c r="L27" i="25"/>
  <c r="K28" i="25"/>
  <c r="L28" i="25"/>
  <c r="K29" i="25"/>
  <c r="L29" i="25"/>
  <c r="K30" i="25"/>
  <c r="L30" i="25"/>
  <c r="K31" i="25"/>
  <c r="L31" i="25"/>
  <c r="K32" i="25"/>
  <c r="L32" i="25"/>
  <c r="K33" i="25"/>
  <c r="L33" i="25"/>
  <c r="K34" i="25"/>
  <c r="K5" i="24"/>
  <c r="K6" i="24"/>
  <c r="K7" i="24"/>
  <c r="K8" i="24"/>
  <c r="K9" i="24"/>
  <c r="K10" i="24"/>
  <c r="K11" i="24"/>
  <c r="K12" i="24"/>
  <c r="K13" i="24"/>
  <c r="K14" i="24"/>
  <c r="K15" i="24"/>
  <c r="K16" i="24"/>
  <c r="K17" i="24"/>
  <c r="K18" i="24"/>
  <c r="K19" i="24"/>
  <c r="K20" i="24"/>
  <c r="K21" i="24"/>
  <c r="K22" i="24"/>
  <c r="K23" i="24"/>
  <c r="K24" i="24"/>
  <c r="K25" i="24"/>
  <c r="K26" i="24"/>
  <c r="K27" i="24"/>
  <c r="K28" i="24"/>
  <c r="K29" i="24"/>
  <c r="K30" i="24"/>
  <c r="K31" i="24"/>
  <c r="K32" i="24"/>
  <c r="K33" i="24"/>
  <c r="L35" i="24"/>
  <c r="J23" i="56" s="1"/>
  <c r="J5" i="61"/>
  <c r="K5" i="61"/>
  <c r="J6" i="61"/>
  <c r="K6" i="61"/>
  <c r="K7" i="61"/>
  <c r="J8" i="61"/>
  <c r="K8" i="61"/>
  <c r="J9" i="61"/>
  <c r="K9" i="61"/>
  <c r="J10" i="61"/>
  <c r="K10" i="61"/>
  <c r="J11" i="61"/>
  <c r="K11" i="61"/>
  <c r="J12" i="61"/>
  <c r="K12" i="61"/>
  <c r="J13" i="61"/>
  <c r="K13" i="61"/>
  <c r="J14" i="61"/>
  <c r="K14" i="61"/>
  <c r="J15" i="61"/>
  <c r="K15" i="61"/>
  <c r="J16" i="61"/>
  <c r="K16" i="61"/>
  <c r="J17" i="61"/>
  <c r="K17" i="61"/>
  <c r="J18" i="61"/>
  <c r="K18" i="61"/>
  <c r="J19" i="61"/>
  <c r="K19" i="61"/>
  <c r="J20" i="61"/>
  <c r="K20" i="61"/>
  <c r="J21" i="61"/>
  <c r="K21" i="61"/>
  <c r="J22" i="61"/>
  <c r="K22" i="61"/>
  <c r="J23" i="61"/>
  <c r="K23" i="61"/>
  <c r="J24" i="61"/>
  <c r="K24" i="61"/>
  <c r="J25" i="61"/>
  <c r="K25" i="61"/>
  <c r="J26" i="61"/>
  <c r="K26" i="61"/>
  <c r="J27" i="61"/>
  <c r="K27" i="61"/>
  <c r="J28" i="61"/>
  <c r="K28" i="61"/>
  <c r="J29" i="61"/>
  <c r="K29" i="61"/>
  <c r="J30" i="61"/>
  <c r="K30" i="61"/>
  <c r="J31" i="61"/>
  <c r="K31" i="61"/>
  <c r="J32" i="61"/>
  <c r="K32" i="61"/>
  <c r="J33" i="61"/>
  <c r="K33" i="61"/>
  <c r="J34" i="61"/>
  <c r="K34" i="61"/>
  <c r="J35" i="61"/>
  <c r="K35" i="61"/>
  <c r="G36" i="61"/>
  <c r="J36" i="61"/>
  <c r="K36" i="61"/>
  <c r="K5" i="60"/>
  <c r="K6" i="60"/>
  <c r="K7" i="60"/>
  <c r="K8" i="60"/>
  <c r="K9" i="60"/>
  <c r="K10" i="60"/>
  <c r="K11" i="60"/>
  <c r="K12" i="60"/>
  <c r="K13" i="60"/>
  <c r="K14" i="60"/>
  <c r="K15" i="60"/>
  <c r="K16" i="60"/>
  <c r="K17" i="60"/>
  <c r="K18" i="60"/>
  <c r="K19" i="60"/>
  <c r="K20" i="60"/>
  <c r="K21" i="60"/>
  <c r="K22" i="60"/>
  <c r="K23" i="60"/>
  <c r="K24" i="60"/>
  <c r="K25" i="60"/>
  <c r="K26" i="60"/>
  <c r="K27" i="60"/>
  <c r="K28" i="60"/>
  <c r="K29" i="60"/>
  <c r="K30" i="60"/>
  <c r="K31" i="60"/>
  <c r="K32" i="60"/>
  <c r="K33" i="60"/>
  <c r="K5" i="41"/>
  <c r="K6" i="41"/>
  <c r="K7" i="41"/>
  <c r="K8" i="41"/>
  <c r="K9" i="41"/>
  <c r="K10" i="41"/>
  <c r="K11" i="41"/>
  <c r="K12" i="41"/>
  <c r="K13" i="41"/>
  <c r="K14" i="41"/>
  <c r="K15" i="41"/>
  <c r="K16" i="41"/>
  <c r="K17" i="41"/>
  <c r="K18" i="41"/>
  <c r="K19" i="41"/>
  <c r="K20" i="41"/>
  <c r="K21" i="41"/>
  <c r="K22" i="41"/>
  <c r="K23" i="41"/>
  <c r="K24" i="41"/>
  <c r="K25" i="41"/>
  <c r="K26" i="41"/>
  <c r="K27" i="41"/>
  <c r="K28" i="41"/>
  <c r="K29" i="41"/>
  <c r="K30" i="41"/>
  <c r="K31" i="41"/>
  <c r="K32" i="41"/>
  <c r="K33" i="41"/>
  <c r="K34" i="41"/>
  <c r="K35" i="41"/>
  <c r="K36" i="41"/>
  <c r="G37" i="41"/>
  <c r="J37" i="41"/>
  <c r="K37" i="41"/>
  <c r="G38" i="41"/>
  <c r="J38" i="41"/>
  <c r="K38" i="41"/>
  <c r="G39" i="41"/>
  <c r="J39" i="41"/>
  <c r="K39" i="41"/>
  <c r="G41" i="51"/>
  <c r="J41" i="51"/>
  <c r="K41" i="51"/>
  <c r="J5" i="35"/>
  <c r="K5" i="35"/>
  <c r="J6" i="35"/>
  <c r="K6" i="35"/>
  <c r="J7" i="35"/>
  <c r="K7" i="35"/>
  <c r="J8" i="35"/>
  <c r="K8" i="35"/>
  <c r="J9" i="35"/>
  <c r="K9" i="35"/>
  <c r="J10" i="35"/>
  <c r="K10" i="35"/>
  <c r="J11" i="35"/>
  <c r="J12" i="35"/>
  <c r="K12" i="35" s="1"/>
  <c r="J13" i="35"/>
  <c r="K13" i="35" s="1"/>
  <c r="J14" i="35"/>
  <c r="K14" i="35"/>
  <c r="J15" i="35"/>
  <c r="K15" i="35"/>
  <c r="J16" i="35"/>
  <c r="K16" i="35"/>
  <c r="J17" i="35"/>
  <c r="K17" i="35"/>
  <c r="J18" i="35"/>
  <c r="K18" i="35"/>
  <c r="J19" i="35"/>
  <c r="K19" i="35"/>
  <c r="J20" i="35"/>
  <c r="K20" i="35"/>
  <c r="J21" i="35"/>
  <c r="K21" i="35"/>
  <c r="J22" i="35"/>
  <c r="K22" i="35"/>
  <c r="J23" i="35"/>
  <c r="K23" i="35"/>
  <c r="J24" i="35"/>
  <c r="K24" i="35"/>
  <c r="J25" i="35"/>
  <c r="K25" i="35"/>
  <c r="J26" i="35"/>
  <c r="K26" i="35"/>
  <c r="J27" i="35"/>
  <c r="K27" i="35"/>
  <c r="J28" i="35"/>
  <c r="K28" i="35"/>
  <c r="K29" i="35"/>
  <c r="J30" i="35"/>
  <c r="K30" i="35"/>
  <c r="J31" i="35"/>
  <c r="K31" i="35"/>
  <c r="J32" i="35"/>
  <c r="K32" i="35"/>
  <c r="J33" i="35"/>
  <c r="K33" i="35"/>
  <c r="J34" i="35"/>
  <c r="K34" i="35"/>
  <c r="J35" i="35"/>
  <c r="K35" i="35"/>
  <c r="J36" i="35"/>
  <c r="K36" i="35"/>
  <c r="J37" i="35"/>
  <c r="K37" i="35"/>
  <c r="J38" i="35"/>
  <c r="K38" i="35"/>
  <c r="J39" i="35"/>
  <c r="K39" i="35"/>
  <c r="J40" i="35"/>
  <c r="K40" i="35"/>
  <c r="J41" i="35"/>
  <c r="K41" i="35"/>
  <c r="G5" i="34"/>
  <c r="G4" i="34"/>
  <c r="G6" i="34"/>
  <c r="G7" i="34"/>
  <c r="G8" i="34"/>
  <c r="G9" i="34"/>
  <c r="G10" i="34"/>
  <c r="G11" i="34"/>
  <c r="G12" i="34"/>
  <c r="G13" i="34"/>
  <c r="G14" i="34"/>
  <c r="G15" i="34"/>
  <c r="K15" i="34" s="1"/>
  <c r="G16" i="34"/>
  <c r="G17" i="34"/>
  <c r="G18" i="34"/>
  <c r="G19" i="34"/>
  <c r="G20" i="34"/>
  <c r="G21" i="34"/>
  <c r="G22" i="34"/>
  <c r="G23" i="34"/>
  <c r="G24" i="34"/>
  <c r="G25" i="34"/>
  <c r="G26" i="34"/>
  <c r="G27" i="34"/>
  <c r="G28" i="34"/>
  <c r="G29" i="34"/>
  <c r="G30" i="34"/>
  <c r="G31" i="34"/>
  <c r="G32" i="34"/>
  <c r="G33" i="34"/>
  <c r="G34" i="34"/>
  <c r="G35" i="34"/>
  <c r="G36" i="34"/>
  <c r="G37" i="34"/>
  <c r="G38" i="34"/>
  <c r="G39" i="34"/>
  <c r="G40" i="34"/>
  <c r="G41" i="34"/>
  <c r="G42" i="34"/>
  <c r="G43" i="34"/>
  <c r="G44" i="34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35" i="9" s="1"/>
  <c r="K18" i="9"/>
  <c r="K19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K33" i="9"/>
  <c r="K34" i="9"/>
  <c r="J5" i="26"/>
  <c r="K5" i="26"/>
  <c r="J6" i="26"/>
  <c r="K6" i="26"/>
  <c r="J7" i="26"/>
  <c r="K7" i="26"/>
  <c r="J8" i="26"/>
  <c r="K8" i="26"/>
  <c r="J9" i="26"/>
  <c r="K9" i="26"/>
  <c r="J10" i="26"/>
  <c r="K10" i="26"/>
  <c r="J11" i="26"/>
  <c r="K11" i="26"/>
  <c r="J12" i="26"/>
  <c r="K12" i="26"/>
  <c r="J13" i="26"/>
  <c r="K13" i="26"/>
  <c r="J14" i="26"/>
  <c r="K14" i="26"/>
  <c r="J15" i="26"/>
  <c r="K15" i="26"/>
  <c r="J16" i="26"/>
  <c r="K16" i="26"/>
  <c r="J17" i="26"/>
  <c r="K17" i="26"/>
  <c r="G18" i="26"/>
  <c r="J18" i="26"/>
  <c r="K18" i="26"/>
  <c r="G19" i="26"/>
  <c r="J19" i="26"/>
  <c r="K19" i="26"/>
  <c r="G20" i="26"/>
  <c r="J20" i="26"/>
  <c r="K20" i="26"/>
  <c r="G21" i="26"/>
  <c r="J21" i="26"/>
  <c r="K21" i="26"/>
  <c r="G22" i="26"/>
  <c r="J22" i="26"/>
  <c r="K22" i="26"/>
  <c r="G23" i="26"/>
  <c r="J23" i="26"/>
  <c r="K23" i="26"/>
  <c r="G24" i="26"/>
  <c r="J24" i="26"/>
  <c r="K24" i="26"/>
  <c r="G25" i="26"/>
  <c r="J25" i="26"/>
  <c r="K25" i="26"/>
  <c r="G26" i="26"/>
  <c r="J26" i="26"/>
  <c r="K26" i="26"/>
  <c r="G27" i="26"/>
  <c r="J27" i="26"/>
  <c r="K27" i="26"/>
  <c r="G28" i="26"/>
  <c r="J28" i="26"/>
  <c r="K28" i="26"/>
  <c r="G29" i="26"/>
  <c r="J29" i="26"/>
  <c r="K29" i="26"/>
  <c r="G30" i="26"/>
  <c r="J30" i="26"/>
  <c r="K30" i="26"/>
  <c r="G31" i="26"/>
  <c r="J31" i="26"/>
  <c r="K31" i="26"/>
  <c r="G32" i="26"/>
  <c r="J32" i="26"/>
  <c r="K32" i="26"/>
  <c r="G33" i="26"/>
  <c r="J33" i="26"/>
  <c r="K33" i="26"/>
  <c r="G34" i="26"/>
  <c r="J34" i="26"/>
  <c r="K34" i="26"/>
  <c r="G35" i="26"/>
  <c r="J35" i="26"/>
  <c r="K35" i="26"/>
  <c r="G36" i="26"/>
  <c r="J36" i="26"/>
  <c r="K36" i="26"/>
  <c r="G37" i="26"/>
  <c r="J37" i="26"/>
  <c r="K37" i="26"/>
  <c r="G38" i="26"/>
  <c r="J38" i="26"/>
  <c r="K38" i="26"/>
  <c r="G39" i="26"/>
  <c r="J39" i="26"/>
  <c r="K39" i="26"/>
  <c r="G40" i="26"/>
  <c r="J40" i="26"/>
  <c r="K40" i="26"/>
  <c r="G41" i="26"/>
  <c r="J41" i="26"/>
  <c r="K41" i="26"/>
  <c r="G42" i="26"/>
  <c r="J42" i="26"/>
  <c r="K42" i="26"/>
  <c r="G43" i="26"/>
  <c r="J43" i="26"/>
  <c r="K43" i="26"/>
  <c r="G44" i="26"/>
  <c r="J44" i="26"/>
  <c r="K44" i="26"/>
  <c r="K6" i="10"/>
  <c r="K7" i="10"/>
  <c r="K8" i="10"/>
  <c r="K9" i="10"/>
  <c r="K10" i="10"/>
  <c r="K11" i="10"/>
  <c r="K12" i="10"/>
  <c r="K13" i="10"/>
  <c r="K14" i="10"/>
  <c r="K15" i="10"/>
  <c r="K16" i="10"/>
  <c r="K17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5" i="65"/>
  <c r="M35" i="65" s="1"/>
  <c r="M36" i="65" s="1"/>
  <c r="M37" i="65" s="1"/>
  <c r="E38" i="24"/>
  <c r="P33" i="16"/>
  <c r="G5" i="19"/>
  <c r="J5" i="19"/>
  <c r="G6" i="19"/>
  <c r="J6" i="19"/>
  <c r="G7" i="19"/>
  <c r="G8" i="19"/>
  <c r="J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4" i="19"/>
  <c r="G5" i="33"/>
  <c r="J5" i="33"/>
  <c r="K5" i="33"/>
  <c r="G6" i="33"/>
  <c r="J6" i="33"/>
  <c r="K6" i="33"/>
  <c r="G7" i="33"/>
  <c r="J7" i="33"/>
  <c r="K7" i="33"/>
  <c r="G8" i="33"/>
  <c r="J8" i="33"/>
  <c r="K8" i="33"/>
  <c r="G9" i="33"/>
  <c r="J9" i="33"/>
  <c r="K9" i="33"/>
  <c r="G10" i="33"/>
  <c r="J10" i="33"/>
  <c r="K10" i="33"/>
  <c r="G11" i="33"/>
  <c r="J11" i="33"/>
  <c r="K11" i="33"/>
  <c r="G12" i="33"/>
  <c r="J12" i="33"/>
  <c r="K12" i="33"/>
  <c r="G13" i="33"/>
  <c r="J13" i="33"/>
  <c r="K13" i="33"/>
  <c r="G14" i="33"/>
  <c r="J14" i="33"/>
  <c r="K14" i="33"/>
  <c r="G15" i="33"/>
  <c r="J15" i="33"/>
  <c r="K15" i="33"/>
  <c r="G16" i="33"/>
  <c r="J16" i="33"/>
  <c r="K16" i="33"/>
  <c r="G17" i="33"/>
  <c r="J17" i="33"/>
  <c r="K17" i="33"/>
  <c r="G18" i="33"/>
  <c r="J18" i="33"/>
  <c r="K18" i="33"/>
  <c r="G19" i="33"/>
  <c r="J19" i="33"/>
  <c r="K19" i="33"/>
  <c r="G20" i="33"/>
  <c r="J20" i="33"/>
  <c r="K20" i="33"/>
  <c r="G21" i="33"/>
  <c r="J21" i="33"/>
  <c r="K21" i="33"/>
  <c r="G22" i="33"/>
  <c r="J22" i="33"/>
  <c r="K22" i="33"/>
  <c r="G23" i="33"/>
  <c r="J23" i="33"/>
  <c r="K23" i="33"/>
  <c r="G24" i="33"/>
  <c r="J24" i="33"/>
  <c r="K24" i="33"/>
  <c r="G25" i="33"/>
  <c r="J25" i="33"/>
  <c r="K25" i="33"/>
  <c r="G26" i="33"/>
  <c r="J26" i="33"/>
  <c r="K26" i="33"/>
  <c r="G27" i="33"/>
  <c r="J27" i="33"/>
  <c r="K27" i="33"/>
  <c r="G28" i="33"/>
  <c r="J28" i="33"/>
  <c r="K28" i="33"/>
  <c r="G29" i="33"/>
  <c r="J29" i="33"/>
  <c r="K29" i="33"/>
  <c r="G30" i="33"/>
  <c r="J30" i="33"/>
  <c r="K30" i="33"/>
  <c r="G31" i="33"/>
  <c r="J31" i="33"/>
  <c r="K31" i="33"/>
  <c r="G32" i="33"/>
  <c r="J32" i="33"/>
  <c r="K32" i="33"/>
  <c r="G33" i="33"/>
  <c r="J33" i="33"/>
  <c r="K33" i="33"/>
  <c r="G34" i="33"/>
  <c r="J34" i="33"/>
  <c r="K34" i="33"/>
  <c r="G35" i="33"/>
  <c r="J35" i="33"/>
  <c r="K35" i="33"/>
  <c r="G36" i="33"/>
  <c r="J36" i="33"/>
  <c r="K36" i="33"/>
  <c r="G37" i="33"/>
  <c r="J37" i="33"/>
  <c r="K37" i="33"/>
  <c r="G38" i="33"/>
  <c r="J38" i="33"/>
  <c r="K38" i="33"/>
  <c r="G39" i="33"/>
  <c r="J39" i="33"/>
  <c r="K39" i="33"/>
  <c r="G40" i="33"/>
  <c r="J40" i="33"/>
  <c r="K40" i="33"/>
  <c r="G41" i="33"/>
  <c r="J41" i="33"/>
  <c r="K41" i="33"/>
  <c r="G42" i="33"/>
  <c r="J42" i="33"/>
  <c r="K42" i="33"/>
  <c r="G8" i="14"/>
  <c r="J8" i="14"/>
  <c r="K8" i="14"/>
  <c r="G37" i="14"/>
  <c r="J37" i="14"/>
  <c r="K37" i="14"/>
  <c r="G53" i="22"/>
  <c r="J53" i="22"/>
  <c r="K53" i="22"/>
  <c r="L34" i="25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G33" i="40"/>
  <c r="K33" i="40" s="1"/>
  <c r="G34" i="40"/>
  <c r="K34" i="40"/>
  <c r="K5" i="10"/>
  <c r="K34" i="10"/>
  <c r="H35" i="10"/>
  <c r="L35" i="10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G6" i="63"/>
  <c r="J6" i="63"/>
  <c r="G7" i="63"/>
  <c r="J7" i="63"/>
  <c r="G8" i="63"/>
  <c r="J8" i="63"/>
  <c r="G9" i="63"/>
  <c r="J9" i="63"/>
  <c r="G10" i="63"/>
  <c r="J10" i="63"/>
  <c r="G11" i="63"/>
  <c r="J11" i="63"/>
  <c r="G12" i="63"/>
  <c r="J12" i="63"/>
  <c r="G13" i="63"/>
  <c r="J13" i="63"/>
  <c r="G14" i="63"/>
  <c r="J14" i="63"/>
  <c r="G15" i="63"/>
  <c r="J15" i="63"/>
  <c r="G16" i="63"/>
  <c r="J16" i="63"/>
  <c r="G17" i="63"/>
  <c r="J17" i="63"/>
  <c r="G18" i="63"/>
  <c r="J18" i="63"/>
  <c r="G19" i="63"/>
  <c r="J19" i="63"/>
  <c r="G20" i="63"/>
  <c r="J20" i="63"/>
  <c r="G21" i="63"/>
  <c r="J21" i="63"/>
  <c r="G22" i="63"/>
  <c r="J22" i="63"/>
  <c r="G23" i="63"/>
  <c r="J23" i="63"/>
  <c r="G24" i="63"/>
  <c r="J24" i="63"/>
  <c r="G25" i="63"/>
  <c r="G26" i="63"/>
  <c r="G27" i="63"/>
  <c r="J33" i="63"/>
  <c r="G5" i="3"/>
  <c r="J5" i="3"/>
  <c r="K5" i="3"/>
  <c r="G6" i="3"/>
  <c r="J6" i="3"/>
  <c r="K6" i="3"/>
  <c r="G8" i="3"/>
  <c r="J8" i="3"/>
  <c r="K8" i="3"/>
  <c r="G9" i="3"/>
  <c r="J9" i="3"/>
  <c r="K9" i="3"/>
  <c r="G10" i="3"/>
  <c r="J10" i="3"/>
  <c r="K10" i="3"/>
  <c r="G11" i="3"/>
  <c r="J11" i="3"/>
  <c r="K11" i="3"/>
  <c r="G12" i="3"/>
  <c r="J12" i="3"/>
  <c r="K12" i="3"/>
  <c r="G13" i="3"/>
  <c r="J13" i="3"/>
  <c r="K13" i="3"/>
  <c r="G14" i="3"/>
  <c r="J14" i="3"/>
  <c r="K14" i="3"/>
  <c r="G15" i="3"/>
  <c r="J15" i="3"/>
  <c r="K15" i="3"/>
  <c r="G16" i="3"/>
  <c r="J16" i="3"/>
  <c r="K16" i="3"/>
  <c r="G17" i="3"/>
  <c r="J17" i="3"/>
  <c r="K17" i="3"/>
  <c r="G18" i="3"/>
  <c r="J18" i="3"/>
  <c r="K18" i="3"/>
  <c r="G19" i="3"/>
  <c r="J19" i="3"/>
  <c r="K19" i="3"/>
  <c r="G20" i="3"/>
  <c r="J20" i="3"/>
  <c r="K20" i="3"/>
  <c r="G21" i="3"/>
  <c r="J21" i="3"/>
  <c r="K21" i="3"/>
  <c r="G22" i="3"/>
  <c r="J22" i="3"/>
  <c r="K22" i="3"/>
  <c r="G23" i="3"/>
  <c r="J23" i="3"/>
  <c r="K23" i="3"/>
  <c r="G24" i="3"/>
  <c r="J24" i="3"/>
  <c r="K24" i="3"/>
  <c r="G25" i="3"/>
  <c r="J25" i="3"/>
  <c r="K25" i="3"/>
  <c r="G26" i="3"/>
  <c r="J26" i="3"/>
  <c r="K26" i="3"/>
  <c r="G27" i="3"/>
  <c r="J27" i="3"/>
  <c r="K27" i="3"/>
  <c r="G28" i="3"/>
  <c r="J28" i="3"/>
  <c r="K28" i="3"/>
  <c r="G29" i="3"/>
  <c r="J29" i="3"/>
  <c r="K29" i="3"/>
  <c r="G30" i="3"/>
  <c r="J30" i="3"/>
  <c r="K30" i="3"/>
  <c r="G31" i="3"/>
  <c r="J31" i="3"/>
  <c r="K31" i="3"/>
  <c r="G32" i="3"/>
  <c r="J32" i="3"/>
  <c r="K32" i="3"/>
  <c r="G33" i="3"/>
  <c r="J33" i="3"/>
  <c r="K33" i="3"/>
  <c r="G36" i="16"/>
  <c r="J36" i="16"/>
  <c r="K36" i="16"/>
  <c r="G5" i="52"/>
  <c r="J5" i="52"/>
  <c r="K5" i="52"/>
  <c r="G6" i="52"/>
  <c r="J6" i="52"/>
  <c r="K6" i="52"/>
  <c r="G7" i="52"/>
  <c r="J7" i="52"/>
  <c r="K7" i="52"/>
  <c r="G8" i="52"/>
  <c r="J8" i="52"/>
  <c r="K8" i="52"/>
  <c r="G9" i="52"/>
  <c r="J9" i="52"/>
  <c r="K9" i="52"/>
  <c r="G10" i="52"/>
  <c r="J10" i="52"/>
  <c r="K10" i="52"/>
  <c r="G11" i="52"/>
  <c r="J11" i="52"/>
  <c r="K11" i="52"/>
  <c r="G12" i="52"/>
  <c r="J12" i="52"/>
  <c r="K12" i="52"/>
  <c r="G13" i="52"/>
  <c r="J13" i="52"/>
  <c r="K13" i="52"/>
  <c r="G14" i="52"/>
  <c r="J14" i="52"/>
  <c r="K14" i="52"/>
  <c r="G15" i="52"/>
  <c r="J15" i="52"/>
  <c r="K15" i="52"/>
  <c r="G16" i="52"/>
  <c r="J16" i="52"/>
  <c r="K16" i="52"/>
  <c r="G17" i="52"/>
  <c r="J17" i="52"/>
  <c r="K17" i="52"/>
  <c r="G18" i="52"/>
  <c r="J18" i="52"/>
  <c r="K18" i="52"/>
  <c r="G19" i="52"/>
  <c r="J19" i="52"/>
  <c r="K19" i="52"/>
  <c r="G20" i="52"/>
  <c r="J20" i="52"/>
  <c r="K20" i="52"/>
  <c r="G21" i="52"/>
  <c r="J21" i="52"/>
  <c r="K21" i="52"/>
  <c r="G22" i="52"/>
  <c r="J22" i="52"/>
  <c r="K22" i="52"/>
  <c r="G23" i="52"/>
  <c r="J23" i="52"/>
  <c r="K23" i="52"/>
  <c r="G24" i="52"/>
  <c r="J24" i="52"/>
  <c r="K24" i="52"/>
  <c r="G25" i="52"/>
  <c r="J25" i="52"/>
  <c r="K25" i="52"/>
  <c r="G26" i="52"/>
  <c r="J26" i="52"/>
  <c r="K26" i="52"/>
  <c r="G27" i="52"/>
  <c r="J27" i="52"/>
  <c r="K27" i="52"/>
  <c r="G28" i="52"/>
  <c r="J28" i="52"/>
  <c r="K28" i="52"/>
  <c r="G29" i="52"/>
  <c r="J29" i="52"/>
  <c r="K29" i="52"/>
  <c r="G30" i="52"/>
  <c r="J30" i="52"/>
  <c r="K30" i="52"/>
  <c r="G31" i="52"/>
  <c r="J31" i="52"/>
  <c r="K31" i="52"/>
  <c r="G32" i="52"/>
  <c r="J32" i="52"/>
  <c r="K32" i="52"/>
  <c r="G33" i="52"/>
  <c r="J33" i="52"/>
  <c r="K33" i="52"/>
  <c r="J26" i="1"/>
  <c r="K26" i="1"/>
  <c r="J27" i="1"/>
  <c r="K27" i="1"/>
  <c r="J28" i="1"/>
  <c r="K28" i="1"/>
  <c r="J29" i="1"/>
  <c r="K29" i="1"/>
  <c r="J30" i="1"/>
  <c r="K30" i="1"/>
  <c r="J31" i="1"/>
  <c r="K31" i="1"/>
  <c r="G5" i="62"/>
  <c r="K5" i="62"/>
  <c r="G6" i="62"/>
  <c r="K6" i="62"/>
  <c r="G7" i="62"/>
  <c r="K7" i="62"/>
  <c r="G8" i="62"/>
  <c r="K8" i="62"/>
  <c r="G9" i="62"/>
  <c r="K9" i="62"/>
  <c r="G10" i="62"/>
  <c r="K10" i="62"/>
  <c r="G11" i="62"/>
  <c r="K11" i="62"/>
  <c r="G12" i="62"/>
  <c r="K12" i="62"/>
  <c r="G13" i="62"/>
  <c r="K13" i="62"/>
  <c r="G14" i="62"/>
  <c r="K14" i="62"/>
  <c r="G15" i="62"/>
  <c r="K15" i="62"/>
  <c r="G16" i="62"/>
  <c r="K16" i="62"/>
  <c r="G17" i="62"/>
  <c r="K17" i="62"/>
  <c r="G18" i="62"/>
  <c r="K18" i="62"/>
  <c r="G19" i="62"/>
  <c r="K19" i="62"/>
  <c r="G20" i="62"/>
  <c r="K20" i="62"/>
  <c r="G21" i="62"/>
  <c r="K21" i="62"/>
  <c r="G22" i="62"/>
  <c r="K22" i="62"/>
  <c r="G23" i="62"/>
  <c r="K23" i="62"/>
  <c r="G24" i="62"/>
  <c r="K24" i="62"/>
  <c r="G25" i="62"/>
  <c r="K25" i="62"/>
  <c r="G26" i="62"/>
  <c r="K26" i="62"/>
  <c r="G27" i="62"/>
  <c r="K27" i="62"/>
  <c r="G28" i="62"/>
  <c r="K28" i="62"/>
  <c r="G29" i="62"/>
  <c r="K29" i="62"/>
  <c r="G30" i="62"/>
  <c r="K30" i="62"/>
  <c r="G31" i="62"/>
  <c r="K31" i="62"/>
  <c r="G32" i="62"/>
  <c r="K32" i="62"/>
  <c r="G33" i="62"/>
  <c r="K33" i="62"/>
  <c r="G34" i="62"/>
  <c r="K34" i="62"/>
  <c r="G35" i="62"/>
  <c r="J35" i="62"/>
  <c r="K35" i="62"/>
  <c r="G5" i="2"/>
  <c r="J5" i="2"/>
  <c r="K5" i="2"/>
  <c r="G6" i="2"/>
  <c r="J6" i="2"/>
  <c r="K6" i="2"/>
  <c r="G7" i="2"/>
  <c r="J7" i="2"/>
  <c r="K7" i="2"/>
  <c r="G8" i="2"/>
  <c r="J8" i="2"/>
  <c r="K8" i="2"/>
  <c r="G9" i="2"/>
  <c r="J9" i="2"/>
  <c r="K9" i="2"/>
  <c r="G10" i="2"/>
  <c r="J10" i="2"/>
  <c r="K10" i="2"/>
  <c r="G11" i="2"/>
  <c r="J11" i="2"/>
  <c r="K11" i="2"/>
  <c r="G12" i="2"/>
  <c r="J12" i="2"/>
  <c r="K12" i="2"/>
  <c r="G13" i="2"/>
  <c r="J13" i="2"/>
  <c r="K13" i="2"/>
  <c r="G14" i="2"/>
  <c r="J14" i="2"/>
  <c r="K14" i="2"/>
  <c r="G15" i="2"/>
  <c r="J15" i="2"/>
  <c r="K15" i="2"/>
  <c r="G16" i="2"/>
  <c r="J16" i="2"/>
  <c r="K16" i="2"/>
  <c r="G17" i="2"/>
  <c r="J17" i="2"/>
  <c r="K17" i="2"/>
  <c r="G18" i="2"/>
  <c r="J18" i="2"/>
  <c r="K18" i="2"/>
  <c r="J19" i="2"/>
  <c r="K19" i="2"/>
  <c r="G20" i="2"/>
  <c r="J20" i="2"/>
  <c r="K20" i="2"/>
  <c r="G21" i="2"/>
  <c r="J21" i="2"/>
  <c r="K21" i="2"/>
  <c r="G22" i="2"/>
  <c r="J22" i="2"/>
  <c r="K22" i="2"/>
  <c r="G23" i="2"/>
  <c r="J23" i="2"/>
  <c r="K23" i="2"/>
  <c r="G24" i="2"/>
  <c r="J24" i="2"/>
  <c r="K24" i="2"/>
  <c r="G25" i="2"/>
  <c r="J25" i="2"/>
  <c r="K25" i="2"/>
  <c r="G26" i="2"/>
  <c r="J26" i="2"/>
  <c r="K26" i="2"/>
  <c r="G27" i="2"/>
  <c r="J27" i="2"/>
  <c r="K27" i="2"/>
  <c r="G28" i="2"/>
  <c r="J28" i="2"/>
  <c r="K28" i="2"/>
  <c r="G29" i="2"/>
  <c r="J29" i="2"/>
  <c r="K29" i="2"/>
  <c r="G30" i="2"/>
  <c r="J30" i="2"/>
  <c r="K30" i="2"/>
  <c r="G31" i="2"/>
  <c r="J31" i="2"/>
  <c r="K31" i="2"/>
  <c r="G32" i="2"/>
  <c r="J32" i="2"/>
  <c r="K32" i="2"/>
  <c r="G33" i="2"/>
  <c r="J33" i="2"/>
  <c r="K33" i="2"/>
  <c r="G34" i="2"/>
  <c r="J34" i="2"/>
  <c r="K34" i="2"/>
  <c r="G35" i="2"/>
  <c r="J35" i="2"/>
  <c r="K35" i="2"/>
  <c r="K5" i="65"/>
  <c r="K6" i="65"/>
  <c r="K7" i="65"/>
  <c r="K8" i="65"/>
  <c r="K10" i="65"/>
  <c r="K12" i="65"/>
  <c r="K13" i="65"/>
  <c r="K14" i="65"/>
  <c r="K15" i="65"/>
  <c r="K16" i="65"/>
  <c r="L38" i="65" s="1"/>
  <c r="J11" i="56" s="1"/>
  <c r="K18" i="65"/>
  <c r="K19" i="65"/>
  <c r="K20" i="65"/>
  <c r="K21" i="65"/>
  <c r="K22" i="65"/>
  <c r="K28" i="65"/>
  <c r="K29" i="65"/>
  <c r="K32" i="65"/>
  <c r="K36" i="65"/>
  <c r="K37" i="65"/>
  <c r="J5" i="59"/>
  <c r="K5" i="59"/>
  <c r="J6" i="59"/>
  <c r="K6" i="59"/>
  <c r="J7" i="59"/>
  <c r="K7" i="59"/>
  <c r="J8" i="59"/>
  <c r="K8" i="59"/>
  <c r="J9" i="59"/>
  <c r="K9" i="59"/>
  <c r="J10" i="59"/>
  <c r="K10" i="59"/>
  <c r="J11" i="59"/>
  <c r="K11" i="59"/>
  <c r="J12" i="59"/>
  <c r="K12" i="59"/>
  <c r="J13" i="59"/>
  <c r="K13" i="59"/>
  <c r="J14" i="59"/>
  <c r="K14" i="59"/>
  <c r="J15" i="59"/>
  <c r="K15" i="59"/>
  <c r="J16" i="59"/>
  <c r="K16" i="59"/>
  <c r="J17" i="59"/>
  <c r="K17" i="59"/>
  <c r="J18" i="59"/>
  <c r="K18" i="59"/>
  <c r="J19" i="59"/>
  <c r="K19" i="59"/>
  <c r="J20" i="59"/>
  <c r="K20" i="59"/>
  <c r="J21" i="59"/>
  <c r="K21" i="59"/>
  <c r="J22" i="59"/>
  <c r="K22" i="59"/>
  <c r="J23" i="59"/>
  <c r="K23" i="59"/>
  <c r="J24" i="59"/>
  <c r="K24" i="59"/>
  <c r="J25" i="59"/>
  <c r="K25" i="59"/>
  <c r="J26" i="59"/>
  <c r="K26" i="59"/>
  <c r="J27" i="59"/>
  <c r="K27" i="59"/>
  <c r="J28" i="59"/>
  <c r="K28" i="59"/>
  <c r="J29" i="59"/>
  <c r="K29" i="59"/>
  <c r="J30" i="59"/>
  <c r="K30" i="59"/>
  <c r="J31" i="59"/>
  <c r="K31" i="59"/>
  <c r="J32" i="59"/>
  <c r="K32" i="59"/>
  <c r="J33" i="59"/>
  <c r="K33" i="59"/>
  <c r="G34" i="59"/>
  <c r="J34" i="59"/>
  <c r="K34" i="59"/>
  <c r="G5" i="58"/>
  <c r="J5" i="58"/>
  <c r="K5" i="58"/>
  <c r="L5" i="58"/>
  <c r="G6" i="58"/>
  <c r="J6" i="58"/>
  <c r="K6" i="58"/>
  <c r="L6" i="58"/>
  <c r="G7" i="58"/>
  <c r="J7" i="58"/>
  <c r="K7" i="58"/>
  <c r="L7" i="58"/>
  <c r="G8" i="58"/>
  <c r="J8" i="58"/>
  <c r="K8" i="58"/>
  <c r="L8" i="58"/>
  <c r="J9" i="58"/>
  <c r="K9" i="58"/>
  <c r="L9" i="58"/>
  <c r="J10" i="58"/>
  <c r="K10" i="58"/>
  <c r="L10" i="58"/>
  <c r="J11" i="58"/>
  <c r="K11" i="58"/>
  <c r="L11" i="58"/>
  <c r="J12" i="58"/>
  <c r="J13" i="58"/>
  <c r="J14" i="58"/>
  <c r="J15" i="58"/>
  <c r="J16" i="58"/>
  <c r="J17" i="58"/>
  <c r="J18" i="58"/>
  <c r="J19" i="58"/>
  <c r="K19" i="58"/>
  <c r="L19" i="58"/>
  <c r="J20" i="58"/>
  <c r="K20" i="58"/>
  <c r="L20" i="58"/>
  <c r="J21" i="58"/>
  <c r="K21" i="58"/>
  <c r="L21" i="58"/>
  <c r="J22" i="58"/>
  <c r="K22" i="58"/>
  <c r="L22" i="58"/>
  <c r="J23" i="58"/>
  <c r="K23" i="58"/>
  <c r="L23" i="58"/>
  <c r="J24" i="58"/>
  <c r="K24" i="58"/>
  <c r="L24" i="58"/>
  <c r="J25" i="58"/>
  <c r="K25" i="58"/>
  <c r="L25" i="58"/>
  <c r="J26" i="58"/>
  <c r="K26" i="58"/>
  <c r="L26" i="58"/>
  <c r="J27" i="58"/>
  <c r="K27" i="58"/>
  <c r="L27" i="58"/>
  <c r="J28" i="58"/>
  <c r="K28" i="58"/>
  <c r="L28" i="58"/>
  <c r="G29" i="58"/>
  <c r="J29" i="58"/>
  <c r="K29" i="58"/>
  <c r="L29" i="58"/>
  <c r="G30" i="58"/>
  <c r="J30" i="58"/>
  <c r="K30" i="58"/>
  <c r="L30" i="58"/>
  <c r="G31" i="58"/>
  <c r="J31" i="58"/>
  <c r="K31" i="58"/>
  <c r="L31" i="58"/>
  <c r="G32" i="58"/>
  <c r="J32" i="58"/>
  <c r="K32" i="58"/>
  <c r="L32" i="58"/>
  <c r="G33" i="58"/>
  <c r="J33" i="58"/>
  <c r="K33" i="58"/>
  <c r="L33" i="58"/>
  <c r="G5" i="47"/>
  <c r="J5" i="47"/>
  <c r="K5" i="47"/>
  <c r="G6" i="47"/>
  <c r="J6" i="47"/>
  <c r="K6" i="47"/>
  <c r="G7" i="47"/>
  <c r="J7" i="47"/>
  <c r="K7" i="47"/>
  <c r="G8" i="47"/>
  <c r="J8" i="47"/>
  <c r="K8" i="47"/>
  <c r="G9" i="47"/>
  <c r="J9" i="47"/>
  <c r="K9" i="47"/>
  <c r="G10" i="47"/>
  <c r="J10" i="47"/>
  <c r="K10" i="47"/>
  <c r="G11" i="47"/>
  <c r="J11" i="47"/>
  <c r="K11" i="47"/>
  <c r="G12" i="47"/>
  <c r="J12" i="47"/>
  <c r="K12" i="47"/>
  <c r="G13" i="47"/>
  <c r="J13" i="47"/>
  <c r="K13" i="47"/>
  <c r="G14" i="47"/>
  <c r="J14" i="47"/>
  <c r="K14" i="47"/>
  <c r="G15" i="47"/>
  <c r="J15" i="47"/>
  <c r="K15" i="47"/>
  <c r="G16" i="47"/>
  <c r="J16" i="47"/>
  <c r="K16" i="47"/>
  <c r="G17" i="47"/>
  <c r="J17" i="47"/>
  <c r="K17" i="47"/>
  <c r="G18" i="47"/>
  <c r="J18" i="47"/>
  <c r="K18" i="47"/>
  <c r="G19" i="47"/>
  <c r="J19" i="47"/>
  <c r="K19" i="47"/>
  <c r="G20" i="47"/>
  <c r="J20" i="47"/>
  <c r="K20" i="47"/>
  <c r="G21" i="47"/>
  <c r="J21" i="47"/>
  <c r="K21" i="47"/>
  <c r="G22" i="47"/>
  <c r="J22" i="47"/>
  <c r="K22" i="47"/>
  <c r="G24" i="47"/>
  <c r="J24" i="47"/>
  <c r="K24" i="47"/>
  <c r="G25" i="47"/>
  <c r="J25" i="47"/>
  <c r="K25" i="47"/>
  <c r="G26" i="47"/>
  <c r="J26" i="47"/>
  <c r="K26" i="47"/>
  <c r="G27" i="47"/>
  <c r="J27" i="47"/>
  <c r="K27" i="47"/>
  <c r="M27" i="47" s="1"/>
  <c r="G28" i="47"/>
  <c r="J28" i="47"/>
  <c r="K28" i="47"/>
  <c r="G29" i="47"/>
  <c r="J29" i="47"/>
  <c r="K29" i="47"/>
  <c r="G30" i="47"/>
  <c r="J30" i="47"/>
  <c r="K30" i="47"/>
  <c r="G31" i="47"/>
  <c r="J31" i="47"/>
  <c r="K31" i="47"/>
  <c r="G32" i="47"/>
  <c r="J32" i="47"/>
  <c r="K32" i="47"/>
  <c r="G33" i="47"/>
  <c r="J33" i="47"/>
  <c r="K33" i="47"/>
  <c r="G34" i="47"/>
  <c r="J34" i="47"/>
  <c r="K34" i="47"/>
  <c r="G35" i="47"/>
  <c r="J35" i="47"/>
  <c r="K35" i="47"/>
  <c r="G5" i="50"/>
  <c r="K5" i="50"/>
  <c r="G6" i="50"/>
  <c r="K6" i="50"/>
  <c r="G7" i="50"/>
  <c r="K7" i="50"/>
  <c r="K8" i="50"/>
  <c r="G10" i="50"/>
  <c r="K10" i="50"/>
  <c r="G11" i="50"/>
  <c r="K11" i="50"/>
  <c r="G12" i="50"/>
  <c r="K12" i="50"/>
  <c r="G13" i="50"/>
  <c r="K13" i="50"/>
  <c r="G14" i="50"/>
  <c r="K14" i="50"/>
  <c r="G15" i="50"/>
  <c r="K15" i="50"/>
  <c r="G16" i="50"/>
  <c r="K16" i="50"/>
  <c r="G17" i="50"/>
  <c r="K17" i="50"/>
  <c r="G18" i="50"/>
  <c r="K18" i="50"/>
  <c r="G19" i="50"/>
  <c r="K19" i="50"/>
  <c r="G20" i="50"/>
  <c r="K20" i="50"/>
  <c r="G21" i="50"/>
  <c r="K21" i="50"/>
  <c r="G22" i="50"/>
  <c r="K22" i="50"/>
  <c r="G23" i="50"/>
  <c r="K23" i="50"/>
  <c r="G24" i="50"/>
  <c r="K24" i="50"/>
  <c r="G25" i="50"/>
  <c r="K25" i="50"/>
  <c r="G26" i="50"/>
  <c r="K26" i="50"/>
  <c r="G27" i="50"/>
  <c r="K27" i="50"/>
  <c r="G28" i="50"/>
  <c r="K28" i="50"/>
  <c r="G29" i="50"/>
  <c r="K29" i="50"/>
  <c r="K30" i="50"/>
  <c r="G31" i="50"/>
  <c r="K31" i="50"/>
  <c r="G32" i="50"/>
  <c r="K32" i="50"/>
  <c r="G33" i="50"/>
  <c r="K33" i="50"/>
  <c r="G34" i="50"/>
  <c r="K34" i="50"/>
  <c r="G35" i="50"/>
  <c r="J35" i="50"/>
  <c r="K35" i="50"/>
  <c r="G36" i="50"/>
  <c r="J36" i="50"/>
  <c r="K36" i="50"/>
  <c r="G37" i="50"/>
  <c r="J37" i="50"/>
  <c r="K37" i="50"/>
  <c r="H35" i="59"/>
  <c r="I11" i="56"/>
  <c r="H38" i="65"/>
  <c r="F11" i="56" s="1"/>
  <c r="E38" i="65"/>
  <c r="D11" i="56" s="1"/>
  <c r="J38" i="65"/>
  <c r="G11" i="56" s="1"/>
  <c r="I21" i="56"/>
  <c r="H35" i="63"/>
  <c r="F21" i="56" s="1"/>
  <c r="E35" i="63"/>
  <c r="D21" i="56" s="1"/>
  <c r="K24" i="63"/>
  <c r="K23" i="63"/>
  <c r="L23" i="63" s="1"/>
  <c r="K22" i="63"/>
  <c r="L22" i="63" s="1"/>
  <c r="K21" i="63"/>
  <c r="L21" i="63" s="1"/>
  <c r="K20" i="63"/>
  <c r="K19" i="63"/>
  <c r="L19" i="63" s="1"/>
  <c r="K18" i="63"/>
  <c r="L18" i="63" s="1"/>
  <c r="K17" i="63"/>
  <c r="L17" i="63" s="1"/>
  <c r="K16" i="63"/>
  <c r="K15" i="63"/>
  <c r="L15" i="63" s="1"/>
  <c r="K14" i="63"/>
  <c r="L14" i="63" s="1"/>
  <c r="K13" i="63"/>
  <c r="L13" i="63" s="1"/>
  <c r="K12" i="63"/>
  <c r="L12" i="63" s="1"/>
  <c r="K11" i="63"/>
  <c r="K10" i="63"/>
  <c r="L10" i="63" s="1"/>
  <c r="K9" i="63"/>
  <c r="L9" i="63" s="1"/>
  <c r="K8" i="63"/>
  <c r="L8" i="63" s="1"/>
  <c r="K7" i="63"/>
  <c r="L7" i="63" s="1"/>
  <c r="J4" i="63"/>
  <c r="J35" i="63" s="1"/>
  <c r="G21" i="56" s="1"/>
  <c r="G4" i="63"/>
  <c r="G5" i="44"/>
  <c r="I27" i="56"/>
  <c r="L36" i="62"/>
  <c r="J13" i="56" s="1"/>
  <c r="H36" i="62"/>
  <c r="F13" i="56" s="1"/>
  <c r="E36" i="62"/>
  <c r="D13" i="56" s="1"/>
  <c r="J4" i="62"/>
  <c r="J36" i="62" s="1"/>
  <c r="G13" i="56" s="1"/>
  <c r="G4" i="62"/>
  <c r="I13" i="56"/>
  <c r="K5" i="19"/>
  <c r="L5" i="19"/>
  <c r="K6" i="19"/>
  <c r="L6" i="19"/>
  <c r="K7" i="19"/>
  <c r="L7" i="19"/>
  <c r="K8" i="19"/>
  <c r="L8" i="19"/>
  <c r="K9" i="19"/>
  <c r="L9" i="19"/>
  <c r="K10" i="19"/>
  <c r="L10" i="19"/>
  <c r="K11" i="19"/>
  <c r="L11" i="19"/>
  <c r="K12" i="19"/>
  <c r="L12" i="19"/>
  <c r="K13" i="19"/>
  <c r="L13" i="19"/>
  <c r="K14" i="19"/>
  <c r="L14" i="19"/>
  <c r="K15" i="19"/>
  <c r="L15" i="19"/>
  <c r="K16" i="19"/>
  <c r="L16" i="19"/>
  <c r="K17" i="19"/>
  <c r="L17" i="19"/>
  <c r="K18" i="19"/>
  <c r="L18" i="19"/>
  <c r="K19" i="19"/>
  <c r="L19" i="19" s="1"/>
  <c r="K20" i="19"/>
  <c r="L20" i="19"/>
  <c r="K21" i="19"/>
  <c r="L21" i="19"/>
  <c r="K22" i="19"/>
  <c r="L22" i="19"/>
  <c r="K23" i="19"/>
  <c r="L23" i="19"/>
  <c r="K24" i="19"/>
  <c r="L24" i="19"/>
  <c r="K25" i="19"/>
  <c r="L25" i="19"/>
  <c r="K26" i="19"/>
  <c r="L26" i="19"/>
  <c r="K27" i="19"/>
  <c r="L27" i="19"/>
  <c r="K28" i="19"/>
  <c r="L28" i="19"/>
  <c r="K29" i="19"/>
  <c r="L29" i="19"/>
  <c r="K30" i="19"/>
  <c r="L30" i="19"/>
  <c r="K31" i="19"/>
  <c r="L31" i="19"/>
  <c r="K32" i="19"/>
  <c r="L32" i="19"/>
  <c r="K33" i="19"/>
  <c r="L33" i="19"/>
  <c r="G43" i="33"/>
  <c r="J43" i="33"/>
  <c r="K43" i="33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K34" i="36"/>
  <c r="G34" i="37"/>
  <c r="J34" i="37"/>
  <c r="K34" i="37"/>
  <c r="L34" i="37"/>
  <c r="G6" i="14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G34" i="3"/>
  <c r="J34" i="3"/>
  <c r="K34" i="3"/>
  <c r="J23" i="7"/>
  <c r="K23" i="7"/>
  <c r="J24" i="7"/>
  <c r="K24" i="7"/>
  <c r="J25" i="7"/>
  <c r="K25" i="7"/>
  <c r="J26" i="7"/>
  <c r="K26" i="7"/>
  <c r="J27" i="7"/>
  <c r="K27" i="7"/>
  <c r="J28" i="7"/>
  <c r="K28" i="7"/>
  <c r="J29" i="7"/>
  <c r="K29" i="7"/>
  <c r="J30" i="7"/>
  <c r="K30" i="7"/>
  <c r="J31" i="7"/>
  <c r="K31" i="7"/>
  <c r="G32" i="7"/>
  <c r="J32" i="7"/>
  <c r="K32" i="7"/>
  <c r="G8" i="1"/>
  <c r="J8" i="1"/>
  <c r="K8" i="1"/>
  <c r="G9" i="1"/>
  <c r="J9" i="1"/>
  <c r="K9" i="1"/>
  <c r="G10" i="1"/>
  <c r="J10" i="1"/>
  <c r="K10" i="1"/>
  <c r="G11" i="1"/>
  <c r="J11" i="1"/>
  <c r="K11" i="1"/>
  <c r="G12" i="1"/>
  <c r="J12" i="1"/>
  <c r="K12" i="1"/>
  <c r="G13" i="1"/>
  <c r="J13" i="1"/>
  <c r="K13" i="1"/>
  <c r="G14" i="1"/>
  <c r="J14" i="1"/>
  <c r="K14" i="1"/>
  <c r="G15" i="1"/>
  <c r="J15" i="1"/>
  <c r="K15" i="1"/>
  <c r="G16" i="1"/>
  <c r="J16" i="1"/>
  <c r="K16" i="1"/>
  <c r="G17" i="1"/>
  <c r="J17" i="1"/>
  <c r="K17" i="1"/>
  <c r="G18" i="1"/>
  <c r="J18" i="1"/>
  <c r="K18" i="1"/>
  <c r="G19" i="1"/>
  <c r="J19" i="1"/>
  <c r="K19" i="1"/>
  <c r="G20" i="1"/>
  <c r="J20" i="1"/>
  <c r="K20" i="1"/>
  <c r="G21" i="1"/>
  <c r="J21" i="1"/>
  <c r="K21" i="1"/>
  <c r="G22" i="1"/>
  <c r="J22" i="1"/>
  <c r="K22" i="1"/>
  <c r="G23" i="1"/>
  <c r="J23" i="1"/>
  <c r="K23" i="1"/>
  <c r="G24" i="1"/>
  <c r="J24" i="1"/>
  <c r="K24" i="1"/>
  <c r="G25" i="1"/>
  <c r="J25" i="1"/>
  <c r="K25" i="1"/>
  <c r="G26" i="1"/>
  <c r="G27" i="1"/>
  <c r="G28" i="1"/>
  <c r="G29" i="1"/>
  <c r="G30" i="1"/>
  <c r="G31" i="1"/>
  <c r="G32" i="1"/>
  <c r="J32" i="1"/>
  <c r="K32" i="1"/>
  <c r="G33" i="1"/>
  <c r="J33" i="1"/>
  <c r="K33" i="1"/>
  <c r="G34" i="1"/>
  <c r="J34" i="1"/>
  <c r="K34" i="1"/>
  <c r="H35" i="37"/>
  <c r="E43" i="35"/>
  <c r="E35" i="11"/>
  <c r="H40" i="41"/>
  <c r="I41" i="56"/>
  <c r="I24" i="56"/>
  <c r="H37" i="61"/>
  <c r="F24" i="56" s="1"/>
  <c r="D24" i="56"/>
  <c r="L37" i="61"/>
  <c r="J24" i="56" s="1"/>
  <c r="J4" i="61"/>
  <c r="J37" i="61" s="1"/>
  <c r="G24" i="56" s="1"/>
  <c r="G4" i="61"/>
  <c r="H35" i="12"/>
  <c r="E37" i="15"/>
  <c r="E35" i="37"/>
  <c r="Q21" i="34"/>
  <c r="E47" i="34"/>
  <c r="G5" i="1"/>
  <c r="G6" i="1"/>
  <c r="G7" i="1"/>
  <c r="I47" i="56"/>
  <c r="I45" i="56"/>
  <c r="H35" i="60"/>
  <c r="F41" i="56" s="1"/>
  <c r="D41" i="56"/>
  <c r="J4" i="60"/>
  <c r="J35" i="60" s="1"/>
  <c r="G41" i="56" s="1"/>
  <c r="I36" i="56"/>
  <c r="I32" i="56"/>
  <c r="I43" i="56"/>
  <c r="G4" i="52"/>
  <c r="J4" i="47"/>
  <c r="J5" i="14"/>
  <c r="H36" i="2"/>
  <c r="P11" i="33"/>
  <c r="I8" i="56"/>
  <c r="F8" i="56"/>
  <c r="E35" i="59"/>
  <c r="D8" i="56" s="1"/>
  <c r="J4" i="59"/>
  <c r="J35" i="59" s="1"/>
  <c r="G8" i="56" s="1"/>
  <c r="G4" i="59"/>
  <c r="L40" i="41"/>
  <c r="I48" i="56"/>
  <c r="I44" i="56"/>
  <c r="I39" i="56"/>
  <c r="I38" i="56"/>
  <c r="I31" i="56"/>
  <c r="I30" i="56"/>
  <c r="I26" i="56"/>
  <c r="I18" i="56"/>
  <c r="I17" i="56"/>
  <c r="I16" i="56"/>
  <c r="I15" i="56"/>
  <c r="I14" i="56"/>
  <c r="M3" i="45"/>
  <c r="J5" i="44"/>
  <c r="G4" i="9"/>
  <c r="G4" i="1"/>
  <c r="K34" i="19"/>
  <c r="L34" i="19"/>
  <c r="L33" i="57"/>
  <c r="L34" i="57"/>
  <c r="G4" i="37"/>
  <c r="G35" i="15"/>
  <c r="J35" i="15"/>
  <c r="K35" i="15"/>
  <c r="G5" i="14"/>
  <c r="K5" i="14" s="1"/>
  <c r="M3" i="3"/>
  <c r="G5" i="7"/>
  <c r="J5" i="7"/>
  <c r="G6" i="7"/>
  <c r="J6" i="7"/>
  <c r="G7" i="7"/>
  <c r="J7" i="7"/>
  <c r="G8" i="7"/>
  <c r="J8" i="7"/>
  <c r="G9" i="7"/>
  <c r="J9" i="7"/>
  <c r="G18" i="7"/>
  <c r="J18" i="7"/>
  <c r="G19" i="7"/>
  <c r="J19" i="7"/>
  <c r="G20" i="7"/>
  <c r="J20" i="7"/>
  <c r="J21" i="7"/>
  <c r="J22" i="7"/>
  <c r="G33" i="7"/>
  <c r="J33" i="7"/>
  <c r="J5" i="1"/>
  <c r="K5" i="1"/>
  <c r="J6" i="1"/>
  <c r="K6" i="1"/>
  <c r="J7" i="1"/>
  <c r="K7" i="1"/>
  <c r="G4" i="50"/>
  <c r="K4" i="50"/>
  <c r="G34" i="58"/>
  <c r="J34" i="58"/>
  <c r="K34" i="58"/>
  <c r="L34" i="58"/>
  <c r="J4" i="58"/>
  <c r="G4" i="58"/>
  <c r="H35" i="58"/>
  <c r="F7" i="56" s="1"/>
  <c r="E35" i="58"/>
  <c r="D7" i="56" s="1"/>
  <c r="J35" i="58"/>
  <c r="H35" i="36"/>
  <c r="E35" i="36"/>
  <c r="D34" i="56"/>
  <c r="H35" i="19"/>
  <c r="E35" i="19"/>
  <c r="H43" i="51"/>
  <c r="E43" i="51"/>
  <c r="F49" i="56"/>
  <c r="D49" i="56"/>
  <c r="F48" i="56"/>
  <c r="D48" i="56"/>
  <c r="D47" i="56"/>
  <c r="E44" i="33"/>
  <c r="D45" i="56" s="1"/>
  <c r="F44" i="56"/>
  <c r="E35" i="9"/>
  <c r="D44" i="56" s="1"/>
  <c r="F43" i="56"/>
  <c r="E46" i="26"/>
  <c r="D43" i="56" s="1"/>
  <c r="H35" i="57"/>
  <c r="F42" i="56" s="1"/>
  <c r="D42" i="56"/>
  <c r="J4" i="57"/>
  <c r="J35" i="57" s="1"/>
  <c r="G42" i="56" s="1"/>
  <c r="G4" i="57"/>
  <c r="J39" i="56"/>
  <c r="F39" i="56"/>
  <c r="E40" i="41"/>
  <c r="D39" i="56" s="1"/>
  <c r="E35" i="12"/>
  <c r="L35" i="12"/>
  <c r="J38" i="56"/>
  <c r="F38" i="56"/>
  <c r="D38" i="56"/>
  <c r="F30" i="56"/>
  <c r="D30" i="56"/>
  <c r="I12" i="56"/>
  <c r="H47" i="34"/>
  <c r="D36" i="56"/>
  <c r="D32" i="56"/>
  <c r="E38" i="14"/>
  <c r="D31" i="56" s="1"/>
  <c r="E35" i="25"/>
  <c r="D29" i="56" s="1"/>
  <c r="E35" i="40"/>
  <c r="D28" i="56" s="1"/>
  <c r="D27" i="56"/>
  <c r="J26" i="56"/>
  <c r="D26" i="56"/>
  <c r="E35" i="24"/>
  <c r="D23" i="56" s="1"/>
  <c r="E35" i="3"/>
  <c r="D18" i="56" s="1"/>
  <c r="E35" i="7"/>
  <c r="D17" i="56" s="1"/>
  <c r="E37" i="16"/>
  <c r="D16" i="56" s="1"/>
  <c r="L37" i="16"/>
  <c r="E35" i="52"/>
  <c r="D15" i="56" s="1"/>
  <c r="E35" i="1"/>
  <c r="D14" i="56" s="1"/>
  <c r="E36" i="2"/>
  <c r="D12" i="56" s="1"/>
  <c r="J44" i="56"/>
  <c r="F36" i="56"/>
  <c r="F34" i="56"/>
  <c r="L35" i="11"/>
  <c r="J27" i="56" s="1"/>
  <c r="H35" i="11"/>
  <c r="F27" i="56" s="1"/>
  <c r="F26" i="56"/>
  <c r="H35" i="3"/>
  <c r="F18" i="56" s="1"/>
  <c r="L35" i="3"/>
  <c r="J18" i="56" s="1"/>
  <c r="H35" i="7"/>
  <c r="F17" i="56" s="1"/>
  <c r="L36" i="2"/>
  <c r="J12" i="56" s="1"/>
  <c r="I3" i="56"/>
  <c r="I2" i="56"/>
  <c r="L38" i="50"/>
  <c r="J2" i="56" s="1"/>
  <c r="H38" i="50"/>
  <c r="F2" i="56" s="1"/>
  <c r="E38" i="50"/>
  <c r="D2" i="56" s="1"/>
  <c r="F47" i="56"/>
  <c r="L37" i="15"/>
  <c r="J32" i="56" s="1"/>
  <c r="H37" i="15"/>
  <c r="F32" i="56" s="1"/>
  <c r="L38" i="14"/>
  <c r="J31" i="56" s="1"/>
  <c r="H38" i="14"/>
  <c r="F31" i="56" s="1"/>
  <c r="H35" i="25"/>
  <c r="F29" i="56" s="1"/>
  <c r="J35" i="40"/>
  <c r="G28" i="56" s="1"/>
  <c r="H35" i="40"/>
  <c r="F28" i="56" s="1"/>
  <c r="F23" i="56"/>
  <c r="K38" i="16"/>
  <c r="L35" i="52"/>
  <c r="J15" i="56" s="1"/>
  <c r="H35" i="52"/>
  <c r="F15" i="56" s="1"/>
  <c r="H35" i="1"/>
  <c r="F14" i="56" s="1"/>
  <c r="G35" i="1"/>
  <c r="E14" i="56" s="1"/>
  <c r="L35" i="1"/>
  <c r="J14" i="56" s="1"/>
  <c r="F12" i="56"/>
  <c r="E36" i="47"/>
  <c r="D3" i="56" s="1"/>
  <c r="L36" i="47"/>
  <c r="J3" i="56" s="1"/>
  <c r="H36" i="47"/>
  <c r="F3" i="56" s="1"/>
  <c r="G37" i="15"/>
  <c r="E32" i="56" s="1"/>
  <c r="J4" i="44"/>
  <c r="G4" i="44"/>
  <c r="G4" i="51"/>
  <c r="G4" i="22"/>
  <c r="K5" i="7"/>
  <c r="K6" i="7"/>
  <c r="K7" i="7"/>
  <c r="K8" i="7"/>
  <c r="K9" i="7"/>
  <c r="K18" i="7"/>
  <c r="K19" i="7"/>
  <c r="K20" i="7"/>
  <c r="K21" i="7"/>
  <c r="K22" i="7"/>
  <c r="K33" i="7"/>
  <c r="M3" i="52"/>
  <c r="J4" i="52"/>
  <c r="K4" i="52"/>
  <c r="M4" i="52"/>
  <c r="M5" i="52"/>
  <c r="M6" i="52"/>
  <c r="M7" i="52"/>
  <c r="M8" i="52"/>
  <c r="M9" i="52"/>
  <c r="M10" i="52"/>
  <c r="M11" i="52"/>
  <c r="M12" i="52"/>
  <c r="M13" i="52"/>
  <c r="M14" i="52"/>
  <c r="M15" i="52"/>
  <c r="M16" i="52"/>
  <c r="M17" i="52" s="1"/>
  <c r="M18" i="52"/>
  <c r="M19" i="52"/>
  <c r="M20" i="52"/>
  <c r="M21" i="52"/>
  <c r="M22" i="52"/>
  <c r="M23" i="52"/>
  <c r="M24" i="52"/>
  <c r="M25" i="52"/>
  <c r="M26" i="52"/>
  <c r="M27" i="52"/>
  <c r="M28" i="52"/>
  <c r="M29" i="52"/>
  <c r="M30" i="52"/>
  <c r="M31" i="52"/>
  <c r="J45" i="26"/>
  <c r="J4" i="41"/>
  <c r="J42" i="51"/>
  <c r="G42" i="51"/>
  <c r="K42" i="51" s="1"/>
  <c r="L42" i="51" s="1"/>
  <c r="J4" i="51"/>
  <c r="G45" i="26"/>
  <c r="K45" i="26"/>
  <c r="G34" i="7"/>
  <c r="J34" i="7"/>
  <c r="K34" i="7"/>
  <c r="G4" i="47"/>
  <c r="M3" i="50"/>
  <c r="L35" i="36"/>
  <c r="J34" i="56" s="1"/>
  <c r="X16" i="1"/>
  <c r="V22" i="16"/>
  <c r="V21" i="16"/>
  <c r="G4" i="40"/>
  <c r="G4" i="25"/>
  <c r="J4" i="24"/>
  <c r="J35" i="24" s="1"/>
  <c r="G23" i="56" s="1"/>
  <c r="G4" i="12"/>
  <c r="G35" i="12" s="1"/>
  <c r="E38" i="56" s="1"/>
  <c r="H37" i="16"/>
  <c r="F16" i="56" s="1"/>
  <c r="M3" i="40"/>
  <c r="I38" i="37"/>
  <c r="J4" i="37"/>
  <c r="I38" i="36"/>
  <c r="J4" i="36"/>
  <c r="J35" i="36" s="1"/>
  <c r="G4" i="36"/>
  <c r="G35" i="36" s="1"/>
  <c r="E34" i="56" s="1"/>
  <c r="M3" i="36"/>
  <c r="I34" i="56" s="1"/>
  <c r="J42" i="35"/>
  <c r="G42" i="35"/>
  <c r="K42" i="35" s="1"/>
  <c r="L42" i="35" s="1"/>
  <c r="J4" i="35"/>
  <c r="G46" i="34"/>
  <c r="L46" i="34" s="1"/>
  <c r="G45" i="34"/>
  <c r="L45" i="34" s="1"/>
  <c r="H44" i="33"/>
  <c r="F45" i="56" s="1"/>
  <c r="J4" i="33"/>
  <c r="J44" i="33" s="1"/>
  <c r="G45" i="56" s="1"/>
  <c r="G4" i="33"/>
  <c r="J4" i="10"/>
  <c r="J35" i="10" s="1"/>
  <c r="M3" i="9"/>
  <c r="J4" i="22"/>
  <c r="J54" i="22" s="1"/>
  <c r="G30" i="56" s="1"/>
  <c r="L35" i="7"/>
  <c r="J17" i="56" s="1"/>
  <c r="M3" i="1"/>
  <c r="I40" i="15"/>
  <c r="J4" i="26"/>
  <c r="J4" i="9"/>
  <c r="J4" i="15"/>
  <c r="M3" i="25"/>
  <c r="G4" i="7"/>
  <c r="G4" i="24"/>
  <c r="G4" i="19"/>
  <c r="G35" i="19" s="1"/>
  <c r="E49" i="56" s="1"/>
  <c r="J4" i="19"/>
  <c r="K4" i="19"/>
  <c r="J4" i="16"/>
  <c r="G4" i="16"/>
  <c r="K4" i="16" s="1"/>
  <c r="J4" i="14"/>
  <c r="G4" i="14"/>
  <c r="K4" i="14"/>
  <c r="J4" i="7"/>
  <c r="J35" i="7" s="1"/>
  <c r="G17" i="56" s="1"/>
  <c r="J4" i="12"/>
  <c r="G4" i="11"/>
  <c r="J4" i="11"/>
  <c r="J35" i="11" s="1"/>
  <c r="G27" i="56" s="1"/>
  <c r="K4" i="11"/>
  <c r="M4" i="11" s="1"/>
  <c r="M5" i="11" s="1"/>
  <c r="G4" i="10"/>
  <c r="G35" i="10" s="1"/>
  <c r="J4" i="3"/>
  <c r="J35" i="3" s="1"/>
  <c r="G18" i="56" s="1"/>
  <c r="G4" i="3"/>
  <c r="G35" i="3" s="1"/>
  <c r="E18" i="56" s="1"/>
  <c r="J4" i="2"/>
  <c r="J36" i="2" s="1"/>
  <c r="G12" i="56" s="1"/>
  <c r="G4" i="2"/>
  <c r="G36" i="2" s="1"/>
  <c r="E12" i="56" s="1"/>
  <c r="H12" i="56" s="1"/>
  <c r="J4" i="1"/>
  <c r="J35" i="1" s="1"/>
  <c r="G14" i="56" s="1"/>
  <c r="K4" i="1"/>
  <c r="K35" i="1" s="1"/>
  <c r="K24" i="65" l="1"/>
  <c r="K23" i="65"/>
  <c r="K36" i="47"/>
  <c r="M57" i="44"/>
  <c r="M28" i="47"/>
  <c r="M29" i="47" s="1"/>
  <c r="M30" i="47" s="1"/>
  <c r="M31" i="47" s="1"/>
  <c r="M32" i="47" s="1"/>
  <c r="M33" i="47" s="1"/>
  <c r="M34" i="47" s="1"/>
  <c r="M35" i="47" s="1"/>
  <c r="M25" i="44"/>
  <c r="J35" i="78"/>
  <c r="G6" i="56" s="1"/>
  <c r="G35" i="83"/>
  <c r="E40" i="56" s="1"/>
  <c r="H40" i="56" s="1"/>
  <c r="K40" i="56" s="1"/>
  <c r="K4" i="83"/>
  <c r="I51" i="56"/>
  <c r="G35" i="82"/>
  <c r="E4" i="56" s="1"/>
  <c r="H4" i="56" s="1"/>
  <c r="K4" i="56" s="1"/>
  <c r="K4" i="82"/>
  <c r="F51" i="56"/>
  <c r="G36" i="81"/>
  <c r="E50" i="56" s="1"/>
  <c r="H50" i="56" s="1"/>
  <c r="K50" i="56" s="1"/>
  <c r="K4" i="81"/>
  <c r="M14" i="44"/>
  <c r="G37" i="80"/>
  <c r="E25" i="56" s="1"/>
  <c r="H25" i="56" s="1"/>
  <c r="K25" i="56" s="1"/>
  <c r="K4" i="80"/>
  <c r="G35" i="79"/>
  <c r="E35" i="56" s="1"/>
  <c r="H35" i="56" s="1"/>
  <c r="K35" i="56" s="1"/>
  <c r="K4" i="79"/>
  <c r="K32" i="74"/>
  <c r="L32" i="74" s="1"/>
  <c r="K31" i="74"/>
  <c r="L31" i="74" s="1"/>
  <c r="K30" i="74"/>
  <c r="L30" i="74" s="1"/>
  <c r="K33" i="63"/>
  <c r="L33" i="63" s="1"/>
  <c r="K26" i="78"/>
  <c r="G35" i="78"/>
  <c r="E6" i="56" s="1"/>
  <c r="H6" i="56" s="1"/>
  <c r="K6" i="56" s="1"/>
  <c r="K6" i="14"/>
  <c r="J37" i="76"/>
  <c r="G37" i="56" s="1"/>
  <c r="K4" i="76"/>
  <c r="G37" i="76"/>
  <c r="E37" i="56" s="1"/>
  <c r="H37" i="56" s="1"/>
  <c r="K37" i="56" s="1"/>
  <c r="E36" i="77" s="1"/>
  <c r="K5" i="76"/>
  <c r="J37" i="75"/>
  <c r="G33" i="56" s="1"/>
  <c r="K4" i="75"/>
  <c r="G37" i="75"/>
  <c r="E33" i="56" s="1"/>
  <c r="H33" i="56" s="1"/>
  <c r="K33" i="56" s="1"/>
  <c r="E33" i="77" s="1"/>
  <c r="K5" i="75"/>
  <c r="K18" i="10"/>
  <c r="K14" i="68"/>
  <c r="G35" i="74"/>
  <c r="E22" i="56" s="1"/>
  <c r="H22" i="56" s="1"/>
  <c r="K4" i="74"/>
  <c r="G35" i="73"/>
  <c r="E20" i="56" s="1"/>
  <c r="H20" i="56" s="1"/>
  <c r="K4" i="73"/>
  <c r="G35" i="72"/>
  <c r="E5" i="56" s="1"/>
  <c r="H5" i="56" s="1"/>
  <c r="K5" i="56" s="1"/>
  <c r="E7" i="77" s="1"/>
  <c r="K4" i="72"/>
  <c r="H18" i="56"/>
  <c r="K18" i="56" s="1"/>
  <c r="E19" i="77" s="1"/>
  <c r="M32" i="52"/>
  <c r="M33" i="52" s="1"/>
  <c r="K11" i="35"/>
  <c r="G35" i="71"/>
  <c r="E10" i="56" s="1"/>
  <c r="H10" i="56" s="1"/>
  <c r="K4" i="71"/>
  <c r="G35" i="70"/>
  <c r="E9" i="56" s="1"/>
  <c r="H9" i="56" s="1"/>
  <c r="K4" i="70"/>
  <c r="M4" i="45"/>
  <c r="M5" i="45" s="1"/>
  <c r="M6" i="45" s="1"/>
  <c r="M7" i="45" s="1"/>
  <c r="M8" i="45" s="1"/>
  <c r="M9" i="45" s="1"/>
  <c r="M10" i="45" s="1"/>
  <c r="M11" i="45" s="1"/>
  <c r="M12" i="45" s="1"/>
  <c r="M13" i="45" s="1"/>
  <c r="M14" i="45" s="1"/>
  <c r="M15" i="45" s="1"/>
  <c r="M16" i="45" s="1"/>
  <c r="M17" i="45" s="1"/>
  <c r="M18" i="45" s="1"/>
  <c r="M19" i="45" s="1"/>
  <c r="M20" i="45" s="1"/>
  <c r="M21" i="45" s="1"/>
  <c r="K4" i="69"/>
  <c r="E48" i="69"/>
  <c r="D46" i="56" s="1"/>
  <c r="D51" i="56" s="1"/>
  <c r="G35" i="68"/>
  <c r="E19" i="56" s="1"/>
  <c r="K4" i="44"/>
  <c r="M4" i="44" s="1"/>
  <c r="K5" i="44"/>
  <c r="M6" i="11"/>
  <c r="G38" i="65"/>
  <c r="E11" i="56" s="1"/>
  <c r="H11" i="56" s="1"/>
  <c r="K11" i="56" s="1"/>
  <c r="E12" i="77" s="1"/>
  <c r="K38" i="65"/>
  <c r="J37" i="16"/>
  <c r="G16" i="56" s="1"/>
  <c r="L46" i="26"/>
  <c r="G35" i="63"/>
  <c r="E21" i="56" s="1"/>
  <c r="H21" i="56" s="1"/>
  <c r="K4" i="63"/>
  <c r="M7" i="11"/>
  <c r="M8" i="11" s="1"/>
  <c r="M9" i="11" s="1"/>
  <c r="M10" i="11" s="1"/>
  <c r="M11" i="11" s="1"/>
  <c r="M12" i="11" s="1"/>
  <c r="M13" i="11" s="1"/>
  <c r="M14" i="11" s="1"/>
  <c r="M15" i="11" s="1"/>
  <c r="M16" i="11" s="1"/>
  <c r="M17" i="11" s="1"/>
  <c r="M18" i="11" s="1"/>
  <c r="M19" i="11" s="1"/>
  <c r="G36" i="62"/>
  <c r="E13" i="56" s="1"/>
  <c r="H13" i="56" s="1"/>
  <c r="K13" i="56" s="1"/>
  <c r="E14" i="77" s="1"/>
  <c r="K4" i="62"/>
  <c r="G37" i="61"/>
  <c r="E24" i="56" s="1"/>
  <c r="H24" i="56" s="1"/>
  <c r="K24" i="56" s="1"/>
  <c r="E25" i="77" s="1"/>
  <c r="K4" i="61"/>
  <c r="G35" i="60"/>
  <c r="E41" i="56" s="1"/>
  <c r="H41" i="56" s="1"/>
  <c r="K4" i="60"/>
  <c r="J43" i="51"/>
  <c r="G48" i="56" s="1"/>
  <c r="G47" i="34"/>
  <c r="J16" i="56"/>
  <c r="G35" i="59"/>
  <c r="E8" i="56" s="1"/>
  <c r="H8" i="56" s="1"/>
  <c r="K4" i="59"/>
  <c r="M4" i="59" s="1"/>
  <c r="M5" i="59" s="1"/>
  <c r="M6" i="59" s="1"/>
  <c r="M7" i="59" s="1"/>
  <c r="M8" i="59" s="1"/>
  <c r="M9" i="59" s="1"/>
  <c r="M10" i="59" s="1"/>
  <c r="M11" i="59" s="1"/>
  <c r="M12" i="59" s="1"/>
  <c r="M13" i="59" s="1"/>
  <c r="M14" i="59" s="1"/>
  <c r="M15" i="59" s="1"/>
  <c r="M16" i="59" s="1"/>
  <c r="M17" i="59" s="1"/>
  <c r="M18" i="59" s="1"/>
  <c r="M19" i="59" s="1"/>
  <c r="M20" i="59" s="1"/>
  <c r="M21" i="59" s="1"/>
  <c r="M22" i="59" s="1"/>
  <c r="M23" i="59" s="1"/>
  <c r="K4" i="12"/>
  <c r="K35" i="12" s="1"/>
  <c r="J35" i="12"/>
  <c r="G38" i="56" s="1"/>
  <c r="H38" i="56"/>
  <c r="K38" i="56" s="1"/>
  <c r="E37" i="77" s="1"/>
  <c r="H14" i="56"/>
  <c r="K14" i="56" s="1"/>
  <c r="E15" i="77" s="1"/>
  <c r="J47" i="34"/>
  <c r="G44" i="33"/>
  <c r="E45" i="56" s="1"/>
  <c r="H45" i="56" s="1"/>
  <c r="J35" i="9"/>
  <c r="G44" i="56" s="1"/>
  <c r="J46" i="26"/>
  <c r="G43" i="56" s="1"/>
  <c r="G54" i="22"/>
  <c r="E30" i="56" s="1"/>
  <c r="H30" i="56" s="1"/>
  <c r="K4" i="40"/>
  <c r="L4" i="40" s="1"/>
  <c r="G35" i="40"/>
  <c r="E28" i="56" s="1"/>
  <c r="H28" i="56" s="1"/>
  <c r="L35" i="40"/>
  <c r="J28" i="56" s="1"/>
  <c r="K35" i="40"/>
  <c r="J35" i="52"/>
  <c r="G15" i="56" s="1"/>
  <c r="K35" i="52"/>
  <c r="H15" i="56" s="1"/>
  <c r="K15" i="56" s="1"/>
  <c r="E16" i="77" s="1"/>
  <c r="G35" i="52"/>
  <c r="K12" i="56"/>
  <c r="E13" i="77" s="1"/>
  <c r="J40" i="41"/>
  <c r="G39" i="56" s="1"/>
  <c r="J37" i="15"/>
  <c r="G32" i="56" s="1"/>
  <c r="H32" i="56" s="1"/>
  <c r="G35" i="11"/>
  <c r="E27" i="56" s="1"/>
  <c r="G43" i="35"/>
  <c r="E47" i="56" s="1"/>
  <c r="G43" i="51"/>
  <c r="E48" i="56" s="1"/>
  <c r="H48" i="56" s="1"/>
  <c r="J43" i="56"/>
  <c r="G46" i="26"/>
  <c r="E43" i="56" s="1"/>
  <c r="J35" i="19"/>
  <c r="G49" i="56" s="1"/>
  <c r="H49" i="56" s="1"/>
  <c r="H43" i="56"/>
  <c r="J43" i="35"/>
  <c r="G47" i="56" s="1"/>
  <c r="H47" i="56" s="1"/>
  <c r="G35" i="9"/>
  <c r="E44" i="56" s="1"/>
  <c r="G40" i="41"/>
  <c r="E39" i="56" s="1"/>
  <c r="H39" i="56" s="1"/>
  <c r="K32" i="56"/>
  <c r="E32" i="77" s="1"/>
  <c r="G35" i="58"/>
  <c r="E7" i="56" s="1"/>
  <c r="H7" i="56" s="1"/>
  <c r="K4" i="58"/>
  <c r="G35" i="57"/>
  <c r="E42" i="56" s="1"/>
  <c r="H42" i="56" s="1"/>
  <c r="K4" i="57"/>
  <c r="L4" i="57" s="1"/>
  <c r="L35" i="57" s="1"/>
  <c r="J42" i="56" s="1"/>
  <c r="H27" i="56"/>
  <c r="K27" i="56" s="1"/>
  <c r="E27" i="77" s="1"/>
  <c r="G35" i="7"/>
  <c r="E17" i="56" s="1"/>
  <c r="J36" i="47"/>
  <c r="G3" i="56" s="1"/>
  <c r="G26" i="56"/>
  <c r="J35" i="37"/>
  <c r="G36" i="56" s="1"/>
  <c r="J38" i="14"/>
  <c r="G31" i="56" s="1"/>
  <c r="G38" i="14"/>
  <c r="E31" i="56" s="1"/>
  <c r="H31" i="56" s="1"/>
  <c r="K31" i="56" s="1"/>
  <c r="E31" i="77" s="1"/>
  <c r="G36" i="47"/>
  <c r="E3" i="56" s="1"/>
  <c r="K35" i="19"/>
  <c r="H19" i="56"/>
  <c r="J38" i="50"/>
  <c r="G2" i="56" s="1"/>
  <c r="G38" i="50"/>
  <c r="E2" i="56" s="1"/>
  <c r="G34" i="56"/>
  <c r="G35" i="25"/>
  <c r="E29" i="56" s="1"/>
  <c r="J35" i="25"/>
  <c r="G29" i="56" s="1"/>
  <c r="H29" i="56" s="1"/>
  <c r="K35" i="11"/>
  <c r="E26" i="56"/>
  <c r="G35" i="24"/>
  <c r="E23" i="56" s="1"/>
  <c r="H23" i="56" s="1"/>
  <c r="G35" i="37"/>
  <c r="E36" i="56" s="1"/>
  <c r="H36" i="56" s="1"/>
  <c r="K4" i="41"/>
  <c r="K38" i="14"/>
  <c r="K4" i="22"/>
  <c r="M4" i="22" s="1"/>
  <c r="M5" i="22" s="1"/>
  <c r="M6" i="22" s="1"/>
  <c r="M7" i="22" s="1"/>
  <c r="M8" i="22" s="1"/>
  <c r="M9" i="22" s="1"/>
  <c r="M10" i="22" s="1"/>
  <c r="M11" i="22" s="1"/>
  <c r="M12" i="22" s="1"/>
  <c r="M13" i="22" s="1"/>
  <c r="M14" i="22" s="1"/>
  <c r="M15" i="22" s="1"/>
  <c r="M16" i="22" s="1"/>
  <c r="M17" i="22" s="1"/>
  <c r="M18" i="22" s="1"/>
  <c r="M19" i="22" s="1"/>
  <c r="M20" i="22" s="1"/>
  <c r="M21" i="22" s="1"/>
  <c r="M22" i="22" s="1"/>
  <c r="M23" i="22" s="1"/>
  <c r="M24" i="22" s="1"/>
  <c r="M25" i="22" s="1"/>
  <c r="M26" i="22" s="1"/>
  <c r="M27" i="22" s="1"/>
  <c r="M28" i="22" s="1"/>
  <c r="M29" i="22" s="1"/>
  <c r="M30" i="22" s="1"/>
  <c r="M31" i="22" s="1"/>
  <c r="M32" i="22" s="1"/>
  <c r="M33" i="22" s="1"/>
  <c r="M34" i="22" s="1"/>
  <c r="M35" i="22" s="1"/>
  <c r="M36" i="22" s="1"/>
  <c r="M37" i="22" s="1"/>
  <c r="M38" i="22" s="1"/>
  <c r="M39" i="22" s="1"/>
  <c r="M40" i="22" s="1"/>
  <c r="M41" i="22" s="1"/>
  <c r="M42" i="22" s="1"/>
  <c r="M43" i="22" s="1"/>
  <c r="M44" i="22" s="1"/>
  <c r="M45" i="22" s="1"/>
  <c r="M46" i="22" s="1"/>
  <c r="M47" i="22" s="1"/>
  <c r="M48" i="22" s="1"/>
  <c r="M49" i="22" s="1"/>
  <c r="M50" i="22" s="1"/>
  <c r="M51" i="22" s="1"/>
  <c r="M52" i="22" s="1"/>
  <c r="M53" i="22" s="1"/>
  <c r="P53" i="22" s="1"/>
  <c r="K4" i="51"/>
  <c r="K4" i="24"/>
  <c r="K38" i="50"/>
  <c r="K4" i="47"/>
  <c r="M4" i="47"/>
  <c r="O4" i="47" s="1"/>
  <c r="G37" i="16"/>
  <c r="M5" i="47"/>
  <c r="M6" i="47" s="1"/>
  <c r="M7" i="47" s="1"/>
  <c r="M8" i="47" s="1"/>
  <c r="M9" i="47" s="1"/>
  <c r="M10" i="47" s="1"/>
  <c r="M11" i="47" s="1"/>
  <c r="M12" i="47" s="1"/>
  <c r="M13" i="47" s="1"/>
  <c r="M14" i="47" s="1"/>
  <c r="M15" i="47" s="1"/>
  <c r="M16" i="47" s="1"/>
  <c r="M17" i="47" s="1"/>
  <c r="M18" i="47" s="1"/>
  <c r="M19" i="47" s="1"/>
  <c r="M20" i="47" s="1"/>
  <c r="M21" i="47" s="1"/>
  <c r="M4" i="12"/>
  <c r="K4" i="37"/>
  <c r="K4" i="36"/>
  <c r="K35" i="36" s="1"/>
  <c r="K4" i="35"/>
  <c r="M4" i="35" s="1"/>
  <c r="M5" i="35" s="1"/>
  <c r="M6" i="35" s="1"/>
  <c r="M7" i="35" s="1"/>
  <c r="M8" i="35" s="1"/>
  <c r="M4" i="34"/>
  <c r="K4" i="33"/>
  <c r="L4" i="19"/>
  <c r="L35" i="19" s="1"/>
  <c r="J49" i="56" s="1"/>
  <c r="K4" i="7"/>
  <c r="K35" i="7" s="1"/>
  <c r="M4" i="14"/>
  <c r="M5" i="14" s="1"/>
  <c r="M6" i="14" s="1"/>
  <c r="M7" i="14" s="1"/>
  <c r="M8" i="14" s="1"/>
  <c r="M9" i="14" s="1"/>
  <c r="M10" i="14" s="1"/>
  <c r="K4" i="9"/>
  <c r="K4" i="10"/>
  <c r="K35" i="10" s="1"/>
  <c r="K4" i="2"/>
  <c r="K36" i="2" s="1"/>
  <c r="K4" i="26"/>
  <c r="M4" i="26" s="1"/>
  <c r="M5" i="26" s="1"/>
  <c r="M11" i="14"/>
  <c r="M12" i="14" s="1"/>
  <c r="M13" i="14" s="1"/>
  <c r="M14" i="14" s="1"/>
  <c r="M15" i="14" s="1"/>
  <c r="M5" i="12"/>
  <c r="M6" i="12" s="1"/>
  <c r="M7" i="12" s="1"/>
  <c r="M8" i="12" s="1"/>
  <c r="M9" i="12" s="1"/>
  <c r="M10" i="12" s="1"/>
  <c r="M11" i="12" s="1"/>
  <c r="M12" i="12" s="1"/>
  <c r="M13" i="12" s="1"/>
  <c r="M14" i="12" s="1"/>
  <c r="M15" i="12" s="1"/>
  <c r="M4" i="1"/>
  <c r="M5" i="1" s="1"/>
  <c r="M6" i="1" s="1"/>
  <c r="M7" i="1" s="1"/>
  <c r="M8" i="1" s="1"/>
  <c r="M9" i="1" s="1"/>
  <c r="M10" i="1" s="1"/>
  <c r="M11" i="1" s="1"/>
  <c r="M12" i="1" s="1"/>
  <c r="M13" i="1" s="1"/>
  <c r="M14" i="1" s="1"/>
  <c r="M15" i="1" s="1"/>
  <c r="M16" i="1" s="1"/>
  <c r="M17" i="1" s="1"/>
  <c r="M18" i="1" s="1"/>
  <c r="M19" i="1" s="1"/>
  <c r="M20" i="1" s="1"/>
  <c r="M21" i="1" s="1"/>
  <c r="M22" i="1" s="1"/>
  <c r="M23" i="1" s="1"/>
  <c r="M24" i="1" s="1"/>
  <c r="M25" i="1" s="1"/>
  <c r="M26" i="1" s="1"/>
  <c r="M27" i="1" s="1"/>
  <c r="M28" i="1" s="1"/>
  <c r="M29" i="1" s="1"/>
  <c r="M30" i="1" s="1"/>
  <c r="M31" i="1" s="1"/>
  <c r="M32" i="1" s="1"/>
  <c r="M33" i="1" s="1"/>
  <c r="M34" i="1" s="1"/>
  <c r="M4" i="2"/>
  <c r="M5" i="2" s="1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K4" i="25"/>
  <c r="K4" i="15"/>
  <c r="K37" i="15" s="1"/>
  <c r="K4" i="3"/>
  <c r="K35" i="83" l="1"/>
  <c r="M4" i="83"/>
  <c r="M5" i="83" s="1"/>
  <c r="M6" i="83" s="1"/>
  <c r="M7" i="83" s="1"/>
  <c r="M8" i="83" s="1"/>
  <c r="M9" i="83" s="1"/>
  <c r="M10" i="83" s="1"/>
  <c r="M11" i="83" s="1"/>
  <c r="M12" i="83" s="1"/>
  <c r="M13" i="83" s="1"/>
  <c r="M14" i="83" s="1"/>
  <c r="M15" i="83" s="1"/>
  <c r="M16" i="83" s="1"/>
  <c r="M17" i="83" s="1"/>
  <c r="M18" i="83" s="1"/>
  <c r="M19" i="83" s="1"/>
  <c r="M20" i="83" s="1"/>
  <c r="M21" i="83" s="1"/>
  <c r="M22" i="83" s="1"/>
  <c r="M23" i="83" s="1"/>
  <c r="M24" i="83" s="1"/>
  <c r="M25" i="83" s="1"/>
  <c r="M26" i="83" s="1"/>
  <c r="M27" i="83" s="1"/>
  <c r="M28" i="83" s="1"/>
  <c r="M29" i="83" s="1"/>
  <c r="M30" i="83" s="1"/>
  <c r="M31" i="83" s="1"/>
  <c r="M32" i="83" s="1"/>
  <c r="M33" i="83" s="1"/>
  <c r="M34" i="83" s="1"/>
  <c r="K35" i="82"/>
  <c r="M4" i="82"/>
  <c r="G51" i="56"/>
  <c r="H2" i="56"/>
  <c r="K36" i="81"/>
  <c r="M4" i="81"/>
  <c r="M5" i="81" s="1"/>
  <c r="M6" i="81" s="1"/>
  <c r="M7" i="81" s="1"/>
  <c r="M8" i="81" s="1"/>
  <c r="M9" i="81" s="1"/>
  <c r="M10" i="81" s="1"/>
  <c r="M11" i="81" s="1"/>
  <c r="M12" i="81" s="1"/>
  <c r="M13" i="81" s="1"/>
  <c r="M14" i="81" s="1"/>
  <c r="M5" i="44"/>
  <c r="M6" i="44" s="1"/>
  <c r="M7" i="44" s="1"/>
  <c r="M8" i="44" s="1"/>
  <c r="M9" i="44" s="1"/>
  <c r="M10" i="44" s="1"/>
  <c r="K37" i="80"/>
  <c r="M4" i="80"/>
  <c r="M5" i="80" s="1"/>
  <c r="M6" i="80" s="1"/>
  <c r="M7" i="80" s="1"/>
  <c r="M8" i="80" s="1"/>
  <c r="M9" i="80" s="1"/>
  <c r="M10" i="80" s="1"/>
  <c r="M11" i="80" s="1"/>
  <c r="M12" i="80" s="1"/>
  <c r="M13" i="80" s="1"/>
  <c r="M14" i="80" s="1"/>
  <c r="M15" i="80" s="1"/>
  <c r="M16" i="80" s="1"/>
  <c r="M17" i="80" s="1"/>
  <c r="M18" i="80" s="1"/>
  <c r="M19" i="80" s="1"/>
  <c r="M20" i="80" s="1"/>
  <c r="M21" i="80" s="1"/>
  <c r="M22" i="80" s="1"/>
  <c r="M23" i="80" s="1"/>
  <c r="M24" i="80" s="1"/>
  <c r="M25" i="80" s="1"/>
  <c r="M26" i="80" s="1"/>
  <c r="M27" i="80" s="1"/>
  <c r="M28" i="80" s="1"/>
  <c r="M29" i="80" s="1"/>
  <c r="M30" i="80" s="1"/>
  <c r="M31" i="80" s="1"/>
  <c r="M32" i="80" s="1"/>
  <c r="M33" i="80" s="1"/>
  <c r="M34" i="80" s="1"/>
  <c r="M35" i="80" s="1"/>
  <c r="M36" i="80" s="1"/>
  <c r="K35" i="79"/>
  <c r="M4" i="79"/>
  <c r="M5" i="79" s="1"/>
  <c r="M6" i="79" s="1"/>
  <c r="M7" i="79" s="1"/>
  <c r="M8" i="79" s="1"/>
  <c r="M9" i="79" s="1"/>
  <c r="M10" i="79" s="1"/>
  <c r="M11" i="79" s="1"/>
  <c r="M12" i="79" s="1"/>
  <c r="M13" i="79" s="1"/>
  <c r="M14" i="79" s="1"/>
  <c r="M15" i="79" s="1"/>
  <c r="M16" i="79" s="1"/>
  <c r="M17" i="79" s="1"/>
  <c r="M18" i="79" s="1"/>
  <c r="M19" i="79" s="1"/>
  <c r="M20" i="79" s="1"/>
  <c r="M21" i="79" s="1"/>
  <c r="M22" i="79" s="1"/>
  <c r="M23" i="79" s="1"/>
  <c r="M24" i="79" s="1"/>
  <c r="M25" i="79" s="1"/>
  <c r="M26" i="79" s="1"/>
  <c r="M27" i="79" s="1"/>
  <c r="M28" i="79" s="1"/>
  <c r="M29" i="79" s="1"/>
  <c r="M30" i="79" s="1"/>
  <c r="M31" i="79" s="1"/>
  <c r="M32" i="79" s="1"/>
  <c r="M33" i="79" s="1"/>
  <c r="M34" i="79" s="1"/>
  <c r="K35" i="78"/>
  <c r="M26" i="78"/>
  <c r="M27" i="78" s="1"/>
  <c r="M28" i="78" s="1"/>
  <c r="M29" i="78" s="1"/>
  <c r="M30" i="78" s="1"/>
  <c r="M31" i="78" s="1"/>
  <c r="M32" i="78" s="1"/>
  <c r="M33" i="78" s="1"/>
  <c r="M34" i="78" s="1"/>
  <c r="K37" i="76"/>
  <c r="M4" i="76"/>
  <c r="M5" i="76" s="1"/>
  <c r="M6" i="76" s="1"/>
  <c r="M7" i="76" s="1"/>
  <c r="M8" i="76" s="1"/>
  <c r="M9" i="76" s="1"/>
  <c r="M10" i="76" s="1"/>
  <c r="M11" i="76" s="1"/>
  <c r="M12" i="76" s="1"/>
  <c r="M13" i="76" s="1"/>
  <c r="M14" i="76" s="1"/>
  <c r="M15" i="76" s="1"/>
  <c r="M16" i="76" s="1"/>
  <c r="M17" i="76" s="1"/>
  <c r="M18" i="76" s="1"/>
  <c r="M19" i="76" s="1"/>
  <c r="M20" i="76" s="1"/>
  <c r="M21" i="76" s="1"/>
  <c r="M22" i="76" s="1"/>
  <c r="M23" i="76" s="1"/>
  <c r="M24" i="76" s="1"/>
  <c r="M25" i="76" s="1"/>
  <c r="M26" i="76" s="1"/>
  <c r="M27" i="76" s="1"/>
  <c r="M28" i="76" s="1"/>
  <c r="M29" i="76" s="1"/>
  <c r="M30" i="76" s="1"/>
  <c r="M31" i="76" s="1"/>
  <c r="M32" i="76" s="1"/>
  <c r="M33" i="76" s="1"/>
  <c r="M34" i="76" s="1"/>
  <c r="M35" i="76" s="1"/>
  <c r="M36" i="76" s="1"/>
  <c r="K37" i="75"/>
  <c r="M4" i="75"/>
  <c r="M5" i="75" s="1"/>
  <c r="M6" i="75" s="1"/>
  <c r="M7" i="75" s="1"/>
  <c r="M8" i="75" s="1"/>
  <c r="M9" i="75" s="1"/>
  <c r="M10" i="75" s="1"/>
  <c r="M11" i="75" s="1"/>
  <c r="M12" i="75" s="1"/>
  <c r="M13" i="75" s="1"/>
  <c r="M14" i="75" s="1"/>
  <c r="M15" i="75" s="1"/>
  <c r="M16" i="75" s="1"/>
  <c r="M17" i="75" s="1"/>
  <c r="M18" i="75" s="1"/>
  <c r="M19" i="75" s="1"/>
  <c r="M20" i="75" s="1"/>
  <c r="M21" i="75" s="1"/>
  <c r="M22" i="75" s="1"/>
  <c r="M23" i="75" s="1"/>
  <c r="M24" i="75" s="1"/>
  <c r="M25" i="75" s="1"/>
  <c r="M26" i="75" s="1"/>
  <c r="M27" i="75" s="1"/>
  <c r="M28" i="75" s="1"/>
  <c r="M29" i="75" s="1"/>
  <c r="M30" i="75" s="1"/>
  <c r="M31" i="75" s="1"/>
  <c r="M32" i="75" s="1"/>
  <c r="M33" i="75" s="1"/>
  <c r="M34" i="75" s="1"/>
  <c r="M35" i="75" s="1"/>
  <c r="M36" i="75" s="1"/>
  <c r="K35" i="74"/>
  <c r="L4" i="74"/>
  <c r="L35" i="74" s="1"/>
  <c r="J22" i="56" s="1"/>
  <c r="K22" i="56" s="1"/>
  <c r="E23" i="77" s="1"/>
  <c r="M4" i="74"/>
  <c r="M5" i="74" s="1"/>
  <c r="M6" i="74" s="1"/>
  <c r="M7" i="74" s="1"/>
  <c r="M8" i="74" s="1"/>
  <c r="M9" i="74" s="1"/>
  <c r="M10" i="74" s="1"/>
  <c r="M11" i="74" s="1"/>
  <c r="M12" i="74" s="1"/>
  <c r="M13" i="74" s="1"/>
  <c r="M14" i="74" s="1"/>
  <c r="M15" i="74" s="1"/>
  <c r="M16" i="74" s="1"/>
  <c r="M17" i="74" s="1"/>
  <c r="M18" i="74" s="1"/>
  <c r="M19" i="74" s="1"/>
  <c r="M20" i="74" s="1"/>
  <c r="M21" i="74" s="1"/>
  <c r="M22" i="74" s="1"/>
  <c r="M23" i="74" s="1"/>
  <c r="M24" i="74" s="1"/>
  <c r="M25" i="74" s="1"/>
  <c r="M26" i="74" s="1"/>
  <c r="M27" i="74" s="1"/>
  <c r="K35" i="73"/>
  <c r="L4" i="73"/>
  <c r="L35" i="73" s="1"/>
  <c r="J20" i="56" s="1"/>
  <c r="M4" i="73"/>
  <c r="M5" i="73" s="1"/>
  <c r="M6" i="73" s="1"/>
  <c r="M7" i="73" s="1"/>
  <c r="M8" i="73" s="1"/>
  <c r="M9" i="73" s="1"/>
  <c r="M10" i="73" s="1"/>
  <c r="M11" i="73" s="1"/>
  <c r="M12" i="73" s="1"/>
  <c r="M13" i="73" s="1"/>
  <c r="M14" i="73" s="1"/>
  <c r="M15" i="73" s="1"/>
  <c r="M16" i="73" s="1"/>
  <c r="M17" i="73" s="1"/>
  <c r="M18" i="73" s="1"/>
  <c r="M19" i="73" s="1"/>
  <c r="M20" i="73" s="1"/>
  <c r="M21" i="73" s="1"/>
  <c r="M22" i="73" s="1"/>
  <c r="M23" i="73" s="1"/>
  <c r="M24" i="73" s="1"/>
  <c r="M25" i="73" s="1"/>
  <c r="M26" i="73" s="1"/>
  <c r="M27" i="73" s="1"/>
  <c r="K35" i="72"/>
  <c r="M4" i="72"/>
  <c r="M5" i="72" s="1"/>
  <c r="M6" i="72" s="1"/>
  <c r="M7" i="72" s="1"/>
  <c r="M8" i="72" s="1"/>
  <c r="M9" i="72" s="1"/>
  <c r="M10" i="72" s="1"/>
  <c r="M11" i="72" s="1"/>
  <c r="M12" i="72" s="1"/>
  <c r="M13" i="72" s="1"/>
  <c r="M14" i="72" s="1"/>
  <c r="M15" i="72" s="1"/>
  <c r="M16" i="72" s="1"/>
  <c r="M17" i="72" s="1"/>
  <c r="M18" i="72" s="1"/>
  <c r="M19" i="72" s="1"/>
  <c r="M20" i="72" s="1"/>
  <c r="M21" i="72" s="1"/>
  <c r="M22" i="72" s="1"/>
  <c r="M23" i="72" s="1"/>
  <c r="M24" i="72" s="1"/>
  <c r="M25" i="72" s="1"/>
  <c r="M26" i="72" s="1"/>
  <c r="M27" i="72" s="1"/>
  <c r="M28" i="72" s="1"/>
  <c r="M29" i="72" s="1"/>
  <c r="M30" i="72" s="1"/>
  <c r="M31" i="72" s="1"/>
  <c r="M32" i="72" s="1"/>
  <c r="M33" i="72" s="1"/>
  <c r="M34" i="72" s="1"/>
  <c r="M5" i="24"/>
  <c r="M6" i="24" s="1"/>
  <c r="M7" i="24" s="1"/>
  <c r="M8" i="24" s="1"/>
  <c r="M9" i="24" s="1"/>
  <c r="M10" i="24" s="1"/>
  <c r="M11" i="24" s="1"/>
  <c r="M12" i="24" s="1"/>
  <c r="K35" i="24"/>
  <c r="H3" i="56"/>
  <c r="K3" i="56" s="1"/>
  <c r="E4" i="77" s="1"/>
  <c r="E6" i="77"/>
  <c r="K35" i="71"/>
  <c r="L4" i="71"/>
  <c r="L35" i="71" s="1"/>
  <c r="J10" i="56" s="1"/>
  <c r="K35" i="70"/>
  <c r="M4" i="70"/>
  <c r="M5" i="70" s="1"/>
  <c r="M6" i="70" s="1"/>
  <c r="M7" i="70" s="1"/>
  <c r="M8" i="70" s="1"/>
  <c r="M9" i="70" s="1"/>
  <c r="M10" i="70" s="1"/>
  <c r="M11" i="70" s="1"/>
  <c r="M12" i="70" s="1"/>
  <c r="M13" i="70" s="1"/>
  <c r="M14" i="70" s="1"/>
  <c r="M15" i="70" s="1"/>
  <c r="M16" i="70" s="1"/>
  <c r="M17" i="70" s="1"/>
  <c r="M18" i="70" s="1"/>
  <c r="M19" i="70" s="1"/>
  <c r="M20" i="70" s="1"/>
  <c r="M21" i="70" s="1"/>
  <c r="M22" i="70" s="1"/>
  <c r="M23" i="70" s="1"/>
  <c r="M24" i="70" s="1"/>
  <c r="M25" i="70" s="1"/>
  <c r="M26" i="70" s="1"/>
  <c r="M27" i="70" s="1"/>
  <c r="M28" i="70" s="1"/>
  <c r="M29" i="70" s="1"/>
  <c r="M30" i="70" s="1"/>
  <c r="M31" i="70" s="1"/>
  <c r="M32" i="70" s="1"/>
  <c r="M33" i="70" s="1"/>
  <c r="M34" i="70" s="1"/>
  <c r="K9" i="56" s="1"/>
  <c r="E10" i="77" s="1"/>
  <c r="G48" i="69"/>
  <c r="E46" i="56" s="1"/>
  <c r="K48" i="69"/>
  <c r="H46" i="56" s="1"/>
  <c r="M4" i="69"/>
  <c r="M5" i="69" s="1"/>
  <c r="M6" i="69" s="1"/>
  <c r="M7" i="69" s="1"/>
  <c r="M8" i="69" s="1"/>
  <c r="M9" i="69" s="1"/>
  <c r="K35" i="68"/>
  <c r="L35" i="68"/>
  <c r="J19" i="56" s="1"/>
  <c r="M4" i="68"/>
  <c r="M5" i="68" s="1"/>
  <c r="M6" i="68" s="1"/>
  <c r="M7" i="68" s="1"/>
  <c r="M8" i="68" s="1"/>
  <c r="M9" i="68" s="1"/>
  <c r="M10" i="68" s="1"/>
  <c r="M11" i="68" s="1"/>
  <c r="M12" i="68" s="1"/>
  <c r="M13" i="68" s="1"/>
  <c r="M14" i="68" s="1"/>
  <c r="M15" i="68" s="1"/>
  <c r="M16" i="68" s="1"/>
  <c r="M17" i="68" s="1"/>
  <c r="M18" i="68" s="1"/>
  <c r="M19" i="68" s="1"/>
  <c r="M20" i="68" s="1"/>
  <c r="M21" i="68" s="1"/>
  <c r="M22" i="68" s="1"/>
  <c r="M23" i="68" s="1"/>
  <c r="M24" i="68" s="1"/>
  <c r="M25" i="68" s="1"/>
  <c r="M26" i="68" s="1"/>
  <c r="M27" i="68" s="1"/>
  <c r="M28" i="68" s="1"/>
  <c r="M29" i="68" s="1"/>
  <c r="M30" i="68" s="1"/>
  <c r="M31" i="68" s="1"/>
  <c r="M32" i="68" s="1"/>
  <c r="M33" i="68" s="1"/>
  <c r="K35" i="25"/>
  <c r="H44" i="56"/>
  <c r="K44" i="56" s="1"/>
  <c r="E42" i="77" s="1"/>
  <c r="M9" i="35"/>
  <c r="M10" i="35" s="1"/>
  <c r="M11" i="35" s="1"/>
  <c r="M12" i="35" s="1"/>
  <c r="M13" i="35" s="1"/>
  <c r="M14" i="35" s="1"/>
  <c r="M15" i="35" s="1"/>
  <c r="M16" i="35" s="1"/>
  <c r="M17" i="35" s="1"/>
  <c r="H17" i="56"/>
  <c r="M4" i="3"/>
  <c r="M5" i="3" s="1"/>
  <c r="M6" i="3" s="1"/>
  <c r="M7" i="3" s="1"/>
  <c r="M8" i="3" s="1"/>
  <c r="M9" i="3" s="1"/>
  <c r="M10" i="3" s="1"/>
  <c r="M11" i="3" s="1"/>
  <c r="M12" i="3" s="1"/>
  <c r="M13" i="3" s="1"/>
  <c r="M14" i="3" s="1"/>
  <c r="K35" i="3"/>
  <c r="M20" i="11"/>
  <c r="M21" i="11" s="1"/>
  <c r="M22" i="11" s="1"/>
  <c r="M23" i="11" s="1"/>
  <c r="M24" i="11" s="1"/>
  <c r="M25" i="11" s="1"/>
  <c r="M26" i="11" s="1"/>
  <c r="M27" i="11" s="1"/>
  <c r="M28" i="11" s="1"/>
  <c r="M29" i="11" s="1"/>
  <c r="M30" i="11" s="1"/>
  <c r="M31" i="11" s="1"/>
  <c r="M32" i="11" s="1"/>
  <c r="M33" i="11" s="1"/>
  <c r="M34" i="11" s="1"/>
  <c r="M4" i="65"/>
  <c r="M5" i="65" s="1"/>
  <c r="M6" i="65" s="1"/>
  <c r="M7" i="65" s="1"/>
  <c r="M8" i="65" s="1"/>
  <c r="M9" i="65" s="1"/>
  <c r="M10" i="65" s="1"/>
  <c r="M11" i="65" s="1"/>
  <c r="M12" i="65" s="1"/>
  <c r="M13" i="65" s="1"/>
  <c r="M14" i="65" s="1"/>
  <c r="M15" i="65" s="1"/>
  <c r="M16" i="65" s="1"/>
  <c r="E16" i="56"/>
  <c r="H16" i="56" s="1"/>
  <c r="K16" i="56" s="1"/>
  <c r="E17" i="77" s="1"/>
  <c r="K35" i="63"/>
  <c r="L4" i="63"/>
  <c r="L35" i="63" s="1"/>
  <c r="J21" i="56" s="1"/>
  <c r="M4" i="63"/>
  <c r="M5" i="63" s="1"/>
  <c r="M6" i="63" s="1"/>
  <c r="M7" i="63" s="1"/>
  <c r="M8" i="63" s="1"/>
  <c r="M9" i="63" s="1"/>
  <c r="M10" i="63" s="1"/>
  <c r="M11" i="63" s="1"/>
  <c r="M12" i="63" s="1"/>
  <c r="M13" i="63" s="1"/>
  <c r="M14" i="63" s="1"/>
  <c r="M15" i="63" s="1"/>
  <c r="M16" i="63" s="1"/>
  <c r="M17" i="63" s="1"/>
  <c r="M18" i="63" s="1"/>
  <c r="M19" i="63" s="1"/>
  <c r="M20" i="63" s="1"/>
  <c r="M21" i="63" s="1"/>
  <c r="M22" i="63" s="1"/>
  <c r="M23" i="63" s="1"/>
  <c r="M24" i="63" s="1"/>
  <c r="M25" i="63" s="1"/>
  <c r="M26" i="63" s="1"/>
  <c r="M27" i="63" s="1"/>
  <c r="M28" i="63" s="1"/>
  <c r="M29" i="63" s="1"/>
  <c r="M30" i="63" s="1"/>
  <c r="M31" i="63" s="1"/>
  <c r="M32" i="63" s="1"/>
  <c r="M33" i="63" s="1"/>
  <c r="M34" i="63" s="1"/>
  <c r="K36" i="62"/>
  <c r="M4" i="62"/>
  <c r="M5" i="62" s="1"/>
  <c r="M6" i="62" s="1"/>
  <c r="M7" i="62" s="1"/>
  <c r="M8" i="62" s="1"/>
  <c r="M9" i="62" s="1"/>
  <c r="M10" i="62" s="1"/>
  <c r="M11" i="62" s="1"/>
  <c r="M12" i="62" s="1"/>
  <c r="M13" i="62" s="1"/>
  <c r="M14" i="62" s="1"/>
  <c r="M15" i="62" s="1"/>
  <c r="M16" i="62" s="1"/>
  <c r="M17" i="62" s="1"/>
  <c r="M18" i="62" s="1"/>
  <c r="M19" i="62" s="1"/>
  <c r="M20" i="62" s="1"/>
  <c r="M21" i="62" s="1"/>
  <c r="M22" i="62" s="1"/>
  <c r="M23" i="62" s="1"/>
  <c r="M24" i="62" s="1"/>
  <c r="M25" i="62" s="1"/>
  <c r="M26" i="62" s="1"/>
  <c r="M27" i="62" s="1"/>
  <c r="M28" i="62" s="1"/>
  <c r="M29" i="62" s="1"/>
  <c r="M30" i="62" s="1"/>
  <c r="M31" i="62" s="1"/>
  <c r="M32" i="62" s="1"/>
  <c r="M33" i="62" s="1"/>
  <c r="M34" i="62" s="1"/>
  <c r="M35" i="62" s="1"/>
  <c r="L43" i="51"/>
  <c r="M4" i="51"/>
  <c r="M5" i="51" s="1"/>
  <c r="M6" i="51" s="1"/>
  <c r="K43" i="51"/>
  <c r="K43" i="56"/>
  <c r="E41" i="77" s="1"/>
  <c r="K37" i="61"/>
  <c r="M4" i="61"/>
  <c r="M5" i="61" s="1"/>
  <c r="M6" i="61" s="1"/>
  <c r="M7" i="61" s="1"/>
  <c r="M8" i="61" s="1"/>
  <c r="M9" i="61" s="1"/>
  <c r="M10" i="61" s="1"/>
  <c r="M11" i="61" s="1"/>
  <c r="M12" i="61" s="1"/>
  <c r="M13" i="61" s="1"/>
  <c r="K39" i="56"/>
  <c r="E38" i="77" s="1"/>
  <c r="K35" i="60"/>
  <c r="K46" i="26"/>
  <c r="M4" i="10"/>
  <c r="K44" i="33"/>
  <c r="M4" i="9"/>
  <c r="K42" i="56"/>
  <c r="E40" i="77" s="1"/>
  <c r="M16" i="14"/>
  <c r="M17" i="14" s="1"/>
  <c r="M18" i="14" s="1"/>
  <c r="M19" i="14" s="1"/>
  <c r="M20" i="14" s="1"/>
  <c r="M21" i="14" s="1"/>
  <c r="M22" i="14" s="1"/>
  <c r="K47" i="34"/>
  <c r="E15" i="56"/>
  <c r="E51" i="56" s="1"/>
  <c r="K35" i="59"/>
  <c r="M16" i="12"/>
  <c r="M17" i="12" s="1"/>
  <c r="M18" i="12" s="1"/>
  <c r="M19" i="12" s="1"/>
  <c r="M20" i="12" s="1"/>
  <c r="M21" i="12" s="1"/>
  <c r="M22" i="12" s="1"/>
  <c r="M23" i="12" s="1"/>
  <c r="M24" i="12" s="1"/>
  <c r="M25" i="12" s="1"/>
  <c r="M26" i="12" s="1"/>
  <c r="M27" i="12" s="1"/>
  <c r="M28" i="12" s="1"/>
  <c r="M29" i="12" s="1"/>
  <c r="M30" i="12" s="1"/>
  <c r="M31" i="12" s="1"/>
  <c r="M32" i="12" s="1"/>
  <c r="M33" i="12" s="1"/>
  <c r="M34" i="12" s="1"/>
  <c r="K35" i="37"/>
  <c r="K28" i="56"/>
  <c r="E28" i="77" s="1"/>
  <c r="H26" i="56"/>
  <c r="M4" i="41"/>
  <c r="M5" i="41" s="1"/>
  <c r="M6" i="41" s="1"/>
  <c r="M7" i="41" s="1"/>
  <c r="M8" i="41" s="1"/>
  <c r="M9" i="41" s="1"/>
  <c r="M10" i="41" s="1"/>
  <c r="M11" i="41" s="1"/>
  <c r="M12" i="41" s="1"/>
  <c r="K40" i="41"/>
  <c r="M4" i="16"/>
  <c r="K37" i="16"/>
  <c r="K49" i="56"/>
  <c r="E48" i="77" s="1"/>
  <c r="K35" i="58"/>
  <c r="L4" i="58"/>
  <c r="L35" i="58" s="1"/>
  <c r="J7" i="56" s="1"/>
  <c r="H34" i="56"/>
  <c r="K35" i="57"/>
  <c r="M4" i="57"/>
  <c r="M5" i="57" s="1"/>
  <c r="M6" i="57" s="1"/>
  <c r="M7" i="57" s="1"/>
  <c r="M8" i="57" s="1"/>
  <c r="M9" i="57" s="1"/>
  <c r="M10" i="57" s="1"/>
  <c r="M11" i="57" s="1"/>
  <c r="M12" i="57" s="1"/>
  <c r="M13" i="57" s="1"/>
  <c r="M14" i="57" s="1"/>
  <c r="M15" i="57" s="1"/>
  <c r="M16" i="57" s="1"/>
  <c r="M17" i="57" s="1"/>
  <c r="M18" i="57" s="1"/>
  <c r="M19" i="57" s="1"/>
  <c r="M20" i="57" s="1"/>
  <c r="M21" i="57" s="1"/>
  <c r="M22" i="57" s="1"/>
  <c r="M23" i="57" s="1"/>
  <c r="M24" i="57" s="1"/>
  <c r="M25" i="57" s="1"/>
  <c r="M26" i="57" s="1"/>
  <c r="M27" i="57" s="1"/>
  <c r="M28" i="57" s="1"/>
  <c r="M29" i="57" s="1"/>
  <c r="M30" i="57" s="1"/>
  <c r="M31" i="57" s="1"/>
  <c r="M32" i="57" s="1"/>
  <c r="M33" i="57" s="1"/>
  <c r="M34" i="57" s="1"/>
  <c r="K54" i="22"/>
  <c r="K34" i="56"/>
  <c r="E34" i="77" s="1"/>
  <c r="E5" i="77"/>
  <c r="K2" i="56"/>
  <c r="E3" i="77" s="1"/>
  <c r="M6" i="26"/>
  <c r="M7" i="26" s="1"/>
  <c r="M8" i="26" s="1"/>
  <c r="M9" i="26" s="1"/>
  <c r="M10" i="26" s="1"/>
  <c r="M11" i="26" s="1"/>
  <c r="M12" i="26" s="1"/>
  <c r="M13" i="26" s="1"/>
  <c r="M14" i="26" s="1"/>
  <c r="M15" i="26" s="1"/>
  <c r="M16" i="26" s="1"/>
  <c r="M17" i="26" s="1"/>
  <c r="M18" i="26" s="1"/>
  <c r="M19" i="26" s="1"/>
  <c r="M20" i="26" s="1"/>
  <c r="M21" i="26" s="1"/>
  <c r="M22" i="26" s="1"/>
  <c r="M23" i="26" s="1"/>
  <c r="M24" i="26" s="1"/>
  <c r="M25" i="26" s="1"/>
  <c r="M26" i="26" s="1"/>
  <c r="M27" i="26" s="1"/>
  <c r="M28" i="26" s="1"/>
  <c r="M29" i="26" s="1"/>
  <c r="M30" i="26" s="1"/>
  <c r="M31" i="26" s="1"/>
  <c r="M32" i="26" s="1"/>
  <c r="M33" i="26" s="1"/>
  <c r="M34" i="26" s="1"/>
  <c r="M35" i="26" s="1"/>
  <c r="M36" i="26" s="1"/>
  <c r="M37" i="26" s="1"/>
  <c r="M38" i="26" s="1"/>
  <c r="M39" i="26" s="1"/>
  <c r="M40" i="26" s="1"/>
  <c r="M41" i="26" s="1"/>
  <c r="M42" i="26" s="1"/>
  <c r="M43" i="26" s="1"/>
  <c r="M44" i="26" s="1"/>
  <c r="M45" i="26" s="1"/>
  <c r="M4" i="50"/>
  <c r="L4" i="25"/>
  <c r="M5" i="16"/>
  <c r="M6" i="16" s="1"/>
  <c r="M7" i="16"/>
  <c r="M8" i="16" s="1"/>
  <c r="M9" i="16" s="1"/>
  <c r="M10" i="16" s="1"/>
  <c r="M11" i="16" s="1"/>
  <c r="M12" i="16" s="1"/>
  <c r="M13" i="16" s="1"/>
  <c r="M14" i="16" s="1"/>
  <c r="M15" i="16" s="1"/>
  <c r="M16" i="16" s="1"/>
  <c r="M17" i="16" s="1"/>
  <c r="M18" i="16" s="1"/>
  <c r="M19" i="16" s="1"/>
  <c r="M20" i="16" s="1"/>
  <c r="M21" i="16" s="1"/>
  <c r="M22" i="16" s="1"/>
  <c r="M23" i="16" s="1"/>
  <c r="M24" i="16" s="1"/>
  <c r="M25" i="16" s="1"/>
  <c r="M26" i="16" s="1"/>
  <c r="M27" i="16" s="1"/>
  <c r="M28" i="16" s="1"/>
  <c r="M29" i="16" s="1"/>
  <c r="M30" i="16" s="1"/>
  <c r="M31" i="16" s="1"/>
  <c r="M32" i="16" s="1"/>
  <c r="M33" i="16" s="1"/>
  <c r="M34" i="16" s="1"/>
  <c r="M35" i="16" s="1"/>
  <c r="M36" i="16" s="1"/>
  <c r="M4" i="36"/>
  <c r="M5" i="36" s="1"/>
  <c r="M6" i="36" s="1"/>
  <c r="M7" i="36" s="1"/>
  <c r="M8" i="36" s="1"/>
  <c r="M9" i="36" s="1"/>
  <c r="M10" i="36" s="1"/>
  <c r="M11" i="36" s="1"/>
  <c r="M12" i="36" s="1"/>
  <c r="M13" i="36" s="1"/>
  <c r="M14" i="36" s="1"/>
  <c r="M15" i="36" s="1"/>
  <c r="M16" i="36" s="1"/>
  <c r="M17" i="36" s="1"/>
  <c r="M18" i="36" s="1"/>
  <c r="M19" i="36" s="1"/>
  <c r="M20" i="36" s="1"/>
  <c r="M21" i="36" s="1"/>
  <c r="M22" i="36" s="1"/>
  <c r="M23" i="36" s="1"/>
  <c r="M24" i="36" s="1"/>
  <c r="M25" i="36" s="1"/>
  <c r="M26" i="36" s="1"/>
  <c r="M27" i="36" s="1"/>
  <c r="M28" i="36" s="1"/>
  <c r="M29" i="36" s="1"/>
  <c r="M30" i="36" s="1"/>
  <c r="K43" i="35"/>
  <c r="L43" i="35"/>
  <c r="J47" i="56" s="1"/>
  <c r="K47" i="56" s="1"/>
  <c r="E46" i="77" s="1"/>
  <c r="M4" i="7"/>
  <c r="M5" i="7" s="1"/>
  <c r="M6" i="7" s="1"/>
  <c r="M7" i="7" s="1"/>
  <c r="M8" i="7" s="1"/>
  <c r="M9" i="7" s="1"/>
  <c r="M10" i="7" s="1"/>
  <c r="M11" i="7" s="1"/>
  <c r="M12" i="7" s="1"/>
  <c r="M13" i="7" s="1"/>
  <c r="M14" i="7" s="1"/>
  <c r="M15" i="7" s="1"/>
  <c r="M16" i="7" s="1"/>
  <c r="M17" i="7" s="1"/>
  <c r="M18" i="7" s="1"/>
  <c r="M19" i="7" s="1"/>
  <c r="M20" i="7" s="1"/>
  <c r="M21" i="7" s="1"/>
  <c r="M22" i="7" s="1"/>
  <c r="M23" i="7" s="1"/>
  <c r="M24" i="7" s="1"/>
  <c r="M25" i="7" s="1"/>
  <c r="M26" i="7" s="1"/>
  <c r="M27" i="7" s="1"/>
  <c r="M28" i="7" s="1"/>
  <c r="M29" i="7" s="1"/>
  <c r="M30" i="7" s="1"/>
  <c r="M31" i="7" s="1"/>
  <c r="M32" i="7" s="1"/>
  <c r="M33" i="7" s="1"/>
  <c r="M5" i="9"/>
  <c r="M6" i="9" s="1"/>
  <c r="M7" i="9" s="1"/>
  <c r="M8" i="9" s="1"/>
  <c r="M9" i="9" s="1"/>
  <c r="M10" i="9" s="1"/>
  <c r="M11" i="9" s="1"/>
  <c r="M12" i="9" s="1"/>
  <c r="M4" i="15"/>
  <c r="M5" i="15" s="1"/>
  <c r="M6" i="15" s="1"/>
  <c r="M7" i="15" s="1"/>
  <c r="M8" i="15" s="1"/>
  <c r="M9" i="15" s="1"/>
  <c r="M10" i="15" s="1"/>
  <c r="M11" i="15" s="1"/>
  <c r="M12" i="15" s="1"/>
  <c r="M13" i="15" s="1"/>
  <c r="M14" i="15" s="1"/>
  <c r="M15" i="15" s="1"/>
  <c r="K19" i="56"/>
  <c r="J48" i="56" l="1"/>
  <c r="K48" i="56" s="1"/>
  <c r="E47" i="77" s="1"/>
  <c r="M5" i="82"/>
  <c r="M6" i="82" s="1"/>
  <c r="M7" i="82" s="1"/>
  <c r="M8" i="82" s="1"/>
  <c r="M9" i="82" s="1"/>
  <c r="M10" i="82" s="1"/>
  <c r="M11" i="82" s="1"/>
  <c r="M12" i="82" s="1"/>
  <c r="M13" i="82" s="1"/>
  <c r="M14" i="82" s="1"/>
  <c r="M15" i="82" s="1"/>
  <c r="O4" i="82"/>
  <c r="K26" i="56"/>
  <c r="E26" i="77" s="1"/>
  <c r="H51" i="56"/>
  <c r="M15" i="81"/>
  <c r="M16" i="81" s="1"/>
  <c r="M17" i="81" s="1"/>
  <c r="M18" i="81" s="1"/>
  <c r="M19" i="81" s="1"/>
  <c r="M20" i="81" s="1"/>
  <c r="M21" i="81" s="1"/>
  <c r="M22" i="81" s="1"/>
  <c r="M23" i="81" s="1"/>
  <c r="M24" i="81" s="1"/>
  <c r="M25" i="81" s="1"/>
  <c r="M26" i="81" s="1"/>
  <c r="M27" i="81" s="1"/>
  <c r="M28" i="81" s="1"/>
  <c r="M29" i="81" s="1"/>
  <c r="M30" i="81" s="1"/>
  <c r="M31" i="81" s="1"/>
  <c r="M32" i="81" s="1"/>
  <c r="M33" i="81" s="1"/>
  <c r="M34" i="81" s="1"/>
  <c r="Q14" i="81"/>
  <c r="K20" i="56"/>
  <c r="E21" i="77" s="1"/>
  <c r="K21" i="56"/>
  <c r="E22" i="77" s="1"/>
  <c r="M13" i="41"/>
  <c r="M14" i="41" s="1"/>
  <c r="M15" i="41" s="1"/>
  <c r="M16" i="41" s="1"/>
  <c r="M17" i="41" s="1"/>
  <c r="M18" i="41" s="1"/>
  <c r="M19" i="41" s="1"/>
  <c r="M20" i="41" s="1"/>
  <c r="M21" i="41" s="1"/>
  <c r="M22" i="41" s="1"/>
  <c r="M23" i="41" s="1"/>
  <c r="M24" i="41" s="1"/>
  <c r="M25" i="41" s="1"/>
  <c r="M26" i="41" s="1"/>
  <c r="M27" i="41" s="1"/>
  <c r="M28" i="41" s="1"/>
  <c r="M29" i="41" s="1"/>
  <c r="M30" i="41" s="1"/>
  <c r="M31" i="41" s="1"/>
  <c r="M32" i="41" s="1"/>
  <c r="M33" i="41" s="1"/>
  <c r="M34" i="41" s="1"/>
  <c r="M35" i="41" s="1"/>
  <c r="M36" i="41" s="1"/>
  <c r="M37" i="41" s="1"/>
  <c r="M38" i="41" s="1"/>
  <c r="M39" i="41" s="1"/>
  <c r="P12" i="41"/>
  <c r="M7" i="51"/>
  <c r="M8" i="51" s="1"/>
  <c r="M9" i="51" s="1"/>
  <c r="M10" i="51" s="1"/>
  <c r="M11" i="51" s="1"/>
  <c r="M12" i="51" s="1"/>
  <c r="M13" i="51" s="1"/>
  <c r="M14" i="51" s="1"/>
  <c r="M15" i="51" s="1"/>
  <c r="M16" i="51" s="1"/>
  <c r="M17" i="51" s="1"/>
  <c r="M18" i="51" s="1"/>
  <c r="M19" i="51" s="1"/>
  <c r="M10" i="69"/>
  <c r="M11" i="69" s="1"/>
  <c r="M12" i="69" s="1"/>
  <c r="M13" i="69" s="1"/>
  <c r="M14" i="69" s="1"/>
  <c r="M15" i="69" s="1"/>
  <c r="M16" i="69" s="1"/>
  <c r="M17" i="69" s="1"/>
  <c r="M18" i="69" s="1"/>
  <c r="M19" i="69" s="1"/>
  <c r="M20" i="69" s="1"/>
  <c r="M21" i="69" s="1"/>
  <c r="M22" i="69" s="1"/>
  <c r="M23" i="69" s="1"/>
  <c r="M24" i="69" s="1"/>
  <c r="M25" i="69" s="1"/>
  <c r="M26" i="69" s="1"/>
  <c r="M27" i="69" s="1"/>
  <c r="M28" i="69" s="1"/>
  <c r="M29" i="69" s="1"/>
  <c r="M30" i="69" s="1"/>
  <c r="M31" i="69" s="1"/>
  <c r="M32" i="69" s="1"/>
  <c r="M33" i="69" s="1"/>
  <c r="M34" i="69" s="1"/>
  <c r="M35" i="69" s="1"/>
  <c r="M36" i="69" s="1"/>
  <c r="M37" i="69" s="1"/>
  <c r="M38" i="69" s="1"/>
  <c r="M39" i="69" s="1"/>
  <c r="M40" i="69" s="1"/>
  <c r="M41" i="69" s="1"/>
  <c r="M42" i="69" s="1"/>
  <c r="M43" i="69" s="1"/>
  <c r="M44" i="69" s="1"/>
  <c r="M45" i="69" s="1"/>
  <c r="M46" i="69" s="1"/>
  <c r="M47" i="69" s="1"/>
  <c r="K46" i="56" s="1"/>
  <c r="E45" i="77" s="1"/>
  <c r="C60" i="56" a="1"/>
  <c r="C60" i="56" s="1"/>
  <c r="E20" i="77"/>
  <c r="M23" i="14"/>
  <c r="M24" i="14" s="1"/>
  <c r="M25" i="14" s="1"/>
  <c r="M26" i="14" s="1"/>
  <c r="M27" i="14" s="1"/>
  <c r="M28" i="14" s="1"/>
  <c r="M29" i="14" s="1"/>
  <c r="M30" i="14" s="1"/>
  <c r="M31" i="14" s="1"/>
  <c r="M32" i="14" s="1"/>
  <c r="M33" i="14" s="1"/>
  <c r="M34" i="14" s="1"/>
  <c r="M35" i="14" s="1"/>
  <c r="M36" i="14" s="1"/>
  <c r="M37" i="14" s="1"/>
  <c r="M5" i="10"/>
  <c r="M6" i="10" s="1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3" i="24"/>
  <c r="M18" i="65"/>
  <c r="M19" i="65" s="1"/>
  <c r="M20" i="65" s="1"/>
  <c r="M21" i="65" s="1"/>
  <c r="M22" i="65" s="1"/>
  <c r="M23" i="65" s="1"/>
  <c r="M24" i="65" s="1"/>
  <c r="M25" i="65" s="1"/>
  <c r="M26" i="65" s="1"/>
  <c r="M27" i="65" s="1"/>
  <c r="M28" i="65" s="1"/>
  <c r="M29" i="65" s="1"/>
  <c r="M30" i="65" s="1"/>
  <c r="M31" i="65" s="1"/>
  <c r="M32" i="65" s="1"/>
  <c r="M17" i="65"/>
  <c r="M15" i="3"/>
  <c r="M16" i="3" s="1"/>
  <c r="M17" i="3" s="1"/>
  <c r="M18" i="3" s="1"/>
  <c r="M19" i="3" s="1"/>
  <c r="M20" i="3" s="1"/>
  <c r="M21" i="3" s="1"/>
  <c r="M22" i="3" s="1"/>
  <c r="M23" i="3" s="1"/>
  <c r="M24" i="3" s="1"/>
  <c r="M25" i="3" s="1"/>
  <c r="M26" i="3" s="1"/>
  <c r="M27" i="3" s="1"/>
  <c r="M28" i="3" s="1"/>
  <c r="M29" i="3" s="1"/>
  <c r="M30" i="3" s="1"/>
  <c r="M31" i="3" s="1"/>
  <c r="M32" i="3" s="1"/>
  <c r="M33" i="3" s="1"/>
  <c r="M34" i="3" s="1"/>
  <c r="S18" i="16"/>
  <c r="M31" i="36"/>
  <c r="M32" i="36" s="1"/>
  <c r="M33" i="36" s="1"/>
  <c r="M34" i="36" s="1"/>
  <c r="M18" i="10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L35" i="25"/>
  <c r="J29" i="56" s="1"/>
  <c r="M4" i="25"/>
  <c r="M5" i="25" s="1"/>
  <c r="M6" i="25" s="1"/>
  <c r="M7" i="25" s="1"/>
  <c r="M8" i="25" s="1"/>
  <c r="M9" i="25" s="1"/>
  <c r="M10" i="25" s="1"/>
  <c r="M11" i="25" s="1"/>
  <c r="M12" i="25" s="1"/>
  <c r="M13" i="25" s="1"/>
  <c r="M14" i="25" s="1"/>
  <c r="M15" i="25" s="1"/>
  <c r="M16" i="25" s="1"/>
  <c r="M17" i="25" s="1"/>
  <c r="M18" i="25" s="1"/>
  <c r="M19" i="25" s="1"/>
  <c r="M20" i="25" s="1"/>
  <c r="M21" i="25" s="1"/>
  <c r="M22" i="25" s="1"/>
  <c r="M23" i="25" s="1"/>
  <c r="M24" i="25" s="1"/>
  <c r="M25" i="25" s="1"/>
  <c r="M26" i="25" s="1"/>
  <c r="M27" i="25" s="1"/>
  <c r="M28" i="25" s="1"/>
  <c r="M29" i="25" s="1"/>
  <c r="M30" i="25" s="1"/>
  <c r="M31" i="25" s="1"/>
  <c r="M32" i="25" s="1"/>
  <c r="M33" i="25" s="1"/>
  <c r="M34" i="25" s="1"/>
  <c r="K17" i="56"/>
  <c r="E18" i="77" s="1"/>
  <c r="M20" i="51"/>
  <c r="M21" i="51" s="1"/>
  <c r="M22" i="51" s="1"/>
  <c r="M23" i="51" s="1"/>
  <c r="M24" i="51" s="1"/>
  <c r="M25" i="51" s="1"/>
  <c r="M26" i="51" s="1"/>
  <c r="M27" i="51" s="1"/>
  <c r="M28" i="51" s="1"/>
  <c r="M29" i="51" s="1"/>
  <c r="M30" i="51" s="1"/>
  <c r="M31" i="51" s="1"/>
  <c r="M14" i="61"/>
  <c r="M15" i="61" s="1"/>
  <c r="M16" i="61"/>
  <c r="M17" i="61" s="1"/>
  <c r="M18" i="61" s="1"/>
  <c r="M19" i="61" s="1"/>
  <c r="M20" i="61" s="1"/>
  <c r="M21" i="61" s="1"/>
  <c r="M22" i="61" s="1"/>
  <c r="M23" i="61" s="1"/>
  <c r="M24" i="61" s="1"/>
  <c r="M25" i="61" s="1"/>
  <c r="M26" i="61" s="1"/>
  <c r="M27" i="61" s="1"/>
  <c r="M28" i="61" s="1"/>
  <c r="M29" i="61" s="1"/>
  <c r="M30" i="61" s="1"/>
  <c r="M31" i="61" s="1"/>
  <c r="M32" i="61" s="1"/>
  <c r="L35" i="37"/>
  <c r="J36" i="56" s="1"/>
  <c r="K36" i="56" s="1"/>
  <c r="E35" i="77" s="1"/>
  <c r="M4" i="37"/>
  <c r="M5" i="37" s="1"/>
  <c r="M6" i="37" s="1"/>
  <c r="M7" i="37" s="1"/>
  <c r="M8" i="37" s="1"/>
  <c r="M9" i="37" s="1"/>
  <c r="M10" i="37" s="1"/>
  <c r="M11" i="37" s="1"/>
  <c r="M12" i="37" s="1"/>
  <c r="M13" i="37" s="1"/>
  <c r="M14" i="37" s="1"/>
  <c r="M15" i="37" s="1"/>
  <c r="M16" i="37" s="1"/>
  <c r="P19" i="41"/>
  <c r="L35" i="60"/>
  <c r="J41" i="56" s="1"/>
  <c r="K41" i="56" s="1"/>
  <c r="E39" i="77" s="1"/>
  <c r="M4" i="60"/>
  <c r="M5" i="60" s="1"/>
  <c r="M6" i="60" s="1"/>
  <c r="M7" i="60" s="1"/>
  <c r="M8" i="60" s="1"/>
  <c r="M9" i="60" s="1"/>
  <c r="M10" i="60" s="1"/>
  <c r="M11" i="60" s="1"/>
  <c r="M12" i="60" s="1"/>
  <c r="M13" i="60" s="1"/>
  <c r="M14" i="60" s="1"/>
  <c r="M15" i="60" s="1"/>
  <c r="L35" i="59"/>
  <c r="J8" i="56" s="1"/>
  <c r="K8" i="56" s="1"/>
  <c r="E9" i="77" s="1"/>
  <c r="M24" i="59"/>
  <c r="M25" i="59" s="1"/>
  <c r="M26" i="59" s="1"/>
  <c r="M27" i="59" s="1"/>
  <c r="M28" i="59" s="1"/>
  <c r="M29" i="59" s="1"/>
  <c r="M30" i="59" s="1"/>
  <c r="M31" i="59" s="1"/>
  <c r="M32" i="59" s="1"/>
  <c r="M33" i="59" s="1"/>
  <c r="M34" i="59" s="1"/>
  <c r="L44" i="33"/>
  <c r="J45" i="56" s="1"/>
  <c r="M4" i="33"/>
  <c r="L47" i="34"/>
  <c r="M5" i="34"/>
  <c r="M6" i="34" s="1"/>
  <c r="M7" i="34" s="1"/>
  <c r="M8" i="34" s="1"/>
  <c r="M9" i="34" s="1"/>
  <c r="M10" i="34" s="1"/>
  <c r="M11" i="34" s="1"/>
  <c r="M12" i="34" s="1"/>
  <c r="M13" i="34" s="1"/>
  <c r="M14" i="34" s="1"/>
  <c r="M15" i="34" s="1"/>
  <c r="M16" i="34" s="1"/>
  <c r="M17" i="34" s="1"/>
  <c r="M18" i="34" s="1"/>
  <c r="M19" i="34" s="1"/>
  <c r="M20" i="34" s="1"/>
  <c r="M21" i="34" s="1"/>
  <c r="M22" i="34" s="1"/>
  <c r="M23" i="34" s="1"/>
  <c r="M24" i="34" s="1"/>
  <c r="M25" i="34" s="1"/>
  <c r="M26" i="34" s="1"/>
  <c r="M27" i="34" s="1"/>
  <c r="M28" i="34" s="1"/>
  <c r="K7" i="56"/>
  <c r="E8" i="77" s="1"/>
  <c r="L54" i="22"/>
  <c r="J30" i="56" s="1"/>
  <c r="M5" i="50"/>
  <c r="M6" i="50" s="1"/>
  <c r="M7" i="50" s="1"/>
  <c r="M8" i="50" s="1"/>
  <c r="M9" i="50" s="1"/>
  <c r="M10" i="50" s="1"/>
  <c r="M11" i="50" s="1"/>
  <c r="M12" i="50" s="1"/>
  <c r="M13" i="50" s="1"/>
  <c r="M13" i="9"/>
  <c r="M14" i="9" s="1"/>
  <c r="M16" i="9" s="1"/>
  <c r="M17" i="9" s="1"/>
  <c r="M18" i="9" s="1"/>
  <c r="M19" i="9" s="1"/>
  <c r="M20" i="9" s="1"/>
  <c r="M21" i="9" s="1"/>
  <c r="M22" i="9" s="1"/>
  <c r="M23" i="9" s="1"/>
  <c r="M24" i="9" s="1"/>
  <c r="M25" i="9" s="1"/>
  <c r="M26" i="9" s="1"/>
  <c r="M27" i="9" s="1"/>
  <c r="L47" i="35"/>
  <c r="M16" i="15"/>
  <c r="M16" i="82" l="1"/>
  <c r="M17" i="82" s="1"/>
  <c r="M18" i="82" s="1"/>
  <c r="M19" i="82" s="1"/>
  <c r="M20" i="82" s="1"/>
  <c r="M21" i="82" s="1"/>
  <c r="M22" i="82" s="1"/>
  <c r="M23" i="82" s="1"/>
  <c r="M24" i="82" s="1"/>
  <c r="M25" i="82" s="1"/>
  <c r="M26" i="82" s="1"/>
  <c r="M27" i="82" s="1"/>
  <c r="M28" i="82" s="1"/>
  <c r="M29" i="82" s="1"/>
  <c r="M30" i="82" s="1"/>
  <c r="M31" i="82" s="1"/>
  <c r="M32" i="82" s="1"/>
  <c r="M33" i="82" s="1"/>
  <c r="M34" i="82" s="1"/>
  <c r="K29" i="56"/>
  <c r="E29" i="77" s="1"/>
  <c r="J51" i="56"/>
  <c r="K51" i="56" s="1"/>
  <c r="M35" i="81"/>
  <c r="P34" i="81"/>
  <c r="Q37" i="14"/>
  <c r="K45" i="56"/>
  <c r="E43" i="77" s="1"/>
  <c r="B57" i="56" a="1"/>
  <c r="B57" i="56" s="1"/>
  <c r="M32" i="51"/>
  <c r="M33" i="51" s="1"/>
  <c r="M34" i="51" s="1"/>
  <c r="M35" i="51" s="1"/>
  <c r="M36" i="51" s="1"/>
  <c r="M37" i="51" s="1"/>
  <c r="M38" i="51" s="1"/>
  <c r="M39" i="51" s="1"/>
  <c r="M14" i="24"/>
  <c r="M17" i="15"/>
  <c r="M18" i="15" s="1"/>
  <c r="M19" i="15" s="1"/>
  <c r="M20" i="15" s="1"/>
  <c r="M21" i="15" s="1"/>
  <c r="M22" i="15" s="1"/>
  <c r="M23" i="15" s="1"/>
  <c r="M24" i="15" s="1"/>
  <c r="M25" i="15" s="1"/>
  <c r="M26" i="15" s="1"/>
  <c r="M27" i="15" s="1"/>
  <c r="M28" i="15" s="1"/>
  <c r="M29" i="15" s="1"/>
  <c r="M30" i="15" s="1"/>
  <c r="M31" i="15" s="1"/>
  <c r="M32" i="15" s="1"/>
  <c r="M33" i="15" s="1"/>
  <c r="M34" i="15" s="1"/>
  <c r="M35" i="15" s="1"/>
  <c r="M36" i="15" s="1"/>
  <c r="M17" i="37"/>
  <c r="M18" i="37" s="1"/>
  <c r="M19" i="37" s="1"/>
  <c r="M20" i="37" s="1"/>
  <c r="M21" i="37" s="1"/>
  <c r="M22" i="37" s="1"/>
  <c r="M23" i="37" s="1"/>
  <c r="M24" i="37" s="1"/>
  <c r="M25" i="37" s="1"/>
  <c r="M26" i="37" s="1"/>
  <c r="M27" i="37" s="1"/>
  <c r="M28" i="37" s="1"/>
  <c r="M29" i="37" s="1"/>
  <c r="M30" i="37" s="1"/>
  <c r="M31" i="37" s="1"/>
  <c r="M32" i="37" s="1"/>
  <c r="M16" i="60"/>
  <c r="M17" i="60" s="1"/>
  <c r="M18" i="60" s="1"/>
  <c r="M19" i="60" s="1"/>
  <c r="M20" i="60" s="1"/>
  <c r="M21" i="60"/>
  <c r="M22" i="60" s="1"/>
  <c r="M23" i="60" s="1"/>
  <c r="M24" i="60" s="1"/>
  <c r="M25" i="60" s="1"/>
  <c r="M26" i="60" s="1"/>
  <c r="M27" i="60" s="1"/>
  <c r="M28" i="60" s="1"/>
  <c r="M29" i="60" s="1"/>
  <c r="M30" i="60" s="1"/>
  <c r="M31" i="60" s="1"/>
  <c r="M32" i="60" s="1"/>
  <c r="M33" i="60" s="1"/>
  <c r="M34" i="60" s="1"/>
  <c r="M14" i="50"/>
  <c r="M15" i="50" s="1"/>
  <c r="M16" i="50" s="1"/>
  <c r="M17" i="50" s="1"/>
  <c r="M18" i="50" s="1"/>
  <c r="M19" i="50" s="1"/>
  <c r="M20" i="50" s="1"/>
  <c r="M21" i="50" s="1"/>
  <c r="M22" i="50" s="1"/>
  <c r="M23" i="50" s="1"/>
  <c r="M24" i="50" s="1"/>
  <c r="M25" i="50" s="1"/>
  <c r="M26" i="50" s="1"/>
  <c r="M27" i="50" s="1"/>
  <c r="M28" i="50" s="1"/>
  <c r="M29" i="50" s="1"/>
  <c r="M30" i="50" s="1"/>
  <c r="M28" i="9"/>
  <c r="M29" i="9" s="1"/>
  <c r="M30" i="9" s="1"/>
  <c r="M31" i="9" s="1"/>
  <c r="M32" i="9" s="1"/>
  <c r="M33" i="9" s="1"/>
  <c r="M34" i="9" s="1"/>
  <c r="M33" i="61"/>
  <c r="M34" i="61" s="1"/>
  <c r="M35" i="61" s="1"/>
  <c r="M36" i="61" s="1"/>
  <c r="M31" i="50"/>
  <c r="M32" i="50" s="1"/>
  <c r="M29" i="34"/>
  <c r="M30" i="34" s="1"/>
  <c r="M31" i="34" s="1"/>
  <c r="M32" i="34" s="1"/>
  <c r="M33" i="34" s="1"/>
  <c r="M34" i="34" s="1"/>
  <c r="M35" i="34" s="1"/>
  <c r="M36" i="34" s="1"/>
  <c r="M37" i="34" s="1"/>
  <c r="M38" i="34" s="1"/>
  <c r="M39" i="34" s="1"/>
  <c r="M40" i="34" s="1"/>
  <c r="M41" i="34" s="1"/>
  <c r="M42" i="34" s="1"/>
  <c r="M43" i="34" s="1"/>
  <c r="M44" i="34" s="1"/>
  <c r="M45" i="34" s="1"/>
  <c r="M46" i="34" s="1"/>
  <c r="E44" i="77"/>
  <c r="M5" i="33"/>
  <c r="M6" i="33" s="1"/>
  <c r="M7" i="33" s="1"/>
  <c r="M8" i="33" s="1"/>
  <c r="M9" i="33" s="1"/>
  <c r="M10" i="33" s="1"/>
  <c r="M11" i="33" s="1"/>
  <c r="M12" i="33" s="1"/>
  <c r="M13" i="33" s="1"/>
  <c r="M14" i="33" s="1"/>
  <c r="M15" i="33" s="1"/>
  <c r="M16" i="33" s="1"/>
  <c r="M17" i="33" s="1"/>
  <c r="M18" i="33" s="1"/>
  <c r="M19" i="33" s="1"/>
  <c r="M20" i="33" s="1"/>
  <c r="M21" i="33" s="1"/>
  <c r="M22" i="33" s="1"/>
  <c r="M23" i="33" s="1"/>
  <c r="M24" i="33" s="1"/>
  <c r="M25" i="33" s="1"/>
  <c r="M26" i="33" s="1"/>
  <c r="M27" i="33" s="1"/>
  <c r="M28" i="33" s="1"/>
  <c r="M29" i="33" s="1"/>
  <c r="M30" i="33" s="1"/>
  <c r="M31" i="33" s="1"/>
  <c r="M32" i="33" s="1"/>
  <c r="M33" i="33" s="1"/>
  <c r="M34" i="33" s="1"/>
  <c r="M35" i="33" s="1"/>
  <c r="M36" i="33" s="1"/>
  <c r="M37" i="33" s="1"/>
  <c r="M38" i="33" s="1"/>
  <c r="M39" i="33" s="1"/>
  <c r="M40" i="33" s="1"/>
  <c r="M41" i="33" s="1"/>
  <c r="M42" i="33" s="1"/>
  <c r="M43" i="33" s="1"/>
  <c r="K30" i="56"/>
  <c r="E30" i="77" s="1"/>
  <c r="M33" i="37" l="1"/>
  <c r="M34" i="37" s="1"/>
  <c r="M15" i="24"/>
  <c r="M16" i="24" s="1"/>
  <c r="M17" i="24" s="1"/>
  <c r="M51" i="56"/>
  <c r="M33" i="50"/>
  <c r="M34" i="50" s="1"/>
  <c r="M35" i="50" s="1"/>
  <c r="M18" i="35"/>
  <c r="M19" i="35" s="1"/>
  <c r="M20" i="35" s="1"/>
  <c r="M21" i="35" s="1"/>
  <c r="M22" i="35" s="1"/>
  <c r="M23" i="35" s="1"/>
  <c r="M24" i="35" s="1"/>
  <c r="M25" i="35" s="1"/>
  <c r="M26" i="35" s="1"/>
  <c r="M27" i="35" s="1"/>
  <c r="M28" i="35" s="1"/>
  <c r="M29" i="35" s="1"/>
  <c r="M30" i="35" s="1"/>
  <c r="M31" i="35" s="1"/>
  <c r="M32" i="35" s="1"/>
  <c r="M33" i="35" s="1"/>
  <c r="M34" i="35" s="1"/>
  <c r="M35" i="35" s="1"/>
  <c r="M36" i="35" s="1"/>
  <c r="M37" i="35" s="1"/>
  <c r="M38" i="35" s="1"/>
  <c r="M39" i="35" s="1"/>
  <c r="M40" i="35" s="1"/>
  <c r="M41" i="35" s="1"/>
  <c r="M42" i="35" s="1"/>
  <c r="M18" i="24" l="1"/>
  <c r="M19" i="24" l="1"/>
  <c r="M20" i="24" l="1"/>
  <c r="M21" i="24" l="1"/>
  <c r="M22" i="24" l="1"/>
  <c r="M23" i="24" l="1"/>
  <c r="M24" i="24" s="1"/>
  <c r="M25" i="24" s="1"/>
  <c r="M26" i="24" s="1"/>
  <c r="M27" i="24" s="1"/>
  <c r="M28" i="24" s="1"/>
  <c r="M29" i="24" s="1"/>
  <c r="M30" i="24" s="1"/>
  <c r="M31" i="24" s="1"/>
  <c r="M32" i="24" s="1"/>
  <c r="M33" i="24" s="1"/>
  <c r="M34" i="24" s="1"/>
  <c r="M35" i="24"/>
  <c r="K23" i="56" s="1"/>
  <c r="E24" i="77" s="1"/>
  <c r="E50" i="7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tc={4E9CF956-EFA3-4175-A59C-0ACB55EBD985}</author>
  </authors>
  <commentList>
    <comment ref="H28" authorId="0" shapeId="0" xr:uid="{4E9CF956-EFA3-4175-A59C-0ACB55EBD985}">
      <text>
        <t>[Threaded comment]
Your version of Excel allows you to read this threaded comment; however, any edits to it will get removed if the file is opened in a newer version of Excel. Learn more: https://go.microsoft.com/fwlink/?linkid=870924
Comment:
    Civet:
Hydraulic Oil VG 68 - 26 Ltr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<sst xmlns="http://schemas.openxmlformats.org/spreadsheetml/2006/main" count="1888" uniqueCount="376">
  <si>
    <t>S.no</t>
  </si>
  <si>
    <t>Site Name</t>
  </si>
  <si>
    <t xml:space="preserve">Bunk Name </t>
  </si>
  <si>
    <t>Diesel(Liters)</t>
  </si>
  <si>
    <t>Diesel Amount</t>
  </si>
  <si>
    <t>Petrol(Liters)</t>
  </si>
  <si>
    <t>Petrol Amount</t>
  </si>
  <si>
    <t>Total Amount</t>
  </si>
  <si>
    <t>Opening Blance</t>
  </si>
  <si>
    <t>Amount Paid</t>
  </si>
  <si>
    <t>Closing Balances</t>
  </si>
  <si>
    <t>Khammam-1</t>
  </si>
  <si>
    <t xml:space="preserve">Divya laxmi ganapathi </t>
  </si>
  <si>
    <t>Khammam-2</t>
  </si>
  <si>
    <t>Jayasai union bunk</t>
  </si>
  <si>
    <t>Khammam-3</t>
  </si>
  <si>
    <t>JSASFuel Genie India Pvt.Ltd</t>
  </si>
  <si>
    <t>Jadcherla-3</t>
  </si>
  <si>
    <t>Jadcherla-4</t>
  </si>
  <si>
    <t>Shree Poornima F/S</t>
  </si>
  <si>
    <t>Dindi</t>
  </si>
  <si>
    <t>Akarapu Balakistamma Fillling</t>
  </si>
  <si>
    <t>Devarkhadra-1</t>
  </si>
  <si>
    <t>Kurumurthy Swami  F/S</t>
  </si>
  <si>
    <t>Devarkhadra-3</t>
  </si>
  <si>
    <t>Madanapalli</t>
  </si>
  <si>
    <t>Amalapuram</t>
  </si>
  <si>
    <t>Sathya Filling Station</t>
  </si>
  <si>
    <t>YG Gudda-1</t>
  </si>
  <si>
    <t>Pallavi Petrolium</t>
  </si>
  <si>
    <t>YG Gudda-2</t>
  </si>
  <si>
    <t>Pankaja HP Fuel Center</t>
  </si>
  <si>
    <t>Hosadurga-1</t>
  </si>
  <si>
    <t>Merchant Petroliums</t>
  </si>
  <si>
    <t>Hosadurga-2</t>
  </si>
  <si>
    <t>Shree Veeraprathap Fuel</t>
  </si>
  <si>
    <t>Malebennuru(KUWSDB)</t>
  </si>
  <si>
    <t>Sri Ramanjuneya Service Station</t>
  </si>
  <si>
    <t>kadur</t>
  </si>
  <si>
    <t>Vishal Service Station</t>
  </si>
  <si>
    <t>Hiriyur(VJNL)</t>
  </si>
  <si>
    <t>Sri Balaji Agencies</t>
  </si>
  <si>
    <t>Chellakere(KUWSDB)</t>
  </si>
  <si>
    <t>Shivaganga Service Station</t>
  </si>
  <si>
    <t>Chellakere(KUWSDB)-09</t>
  </si>
  <si>
    <t>Molakalmuru</t>
  </si>
  <si>
    <t>Sri Lakshmi Venkateshwara Filling Station</t>
  </si>
  <si>
    <t>Chennagiri</t>
  </si>
  <si>
    <t>Khanapur(PKG-3)</t>
  </si>
  <si>
    <t>V.V.Varde</t>
  </si>
  <si>
    <t>Munavalli(PKG-3)-1</t>
  </si>
  <si>
    <t xml:space="preserve">Shri Daneshwari </t>
  </si>
  <si>
    <t>Munavalli(PKG-3)-2</t>
  </si>
  <si>
    <t>Borgaon(PKG-3)</t>
  </si>
  <si>
    <t>Aadisagar Petrolium</t>
  </si>
  <si>
    <t>Ugar,Kudichi(PKG-3)</t>
  </si>
  <si>
    <t>Shiri Bhrhmanath Petrolium</t>
  </si>
  <si>
    <t>Kabbur(PKG-3)</t>
  </si>
  <si>
    <t>Shri Jai Hanuman Petrolium</t>
  </si>
  <si>
    <t>Kumta (PKG-1)</t>
  </si>
  <si>
    <t>Krishma fuel station</t>
  </si>
  <si>
    <t>Jalgaon</t>
  </si>
  <si>
    <t>Sri Sai Petrol Pump</t>
  </si>
  <si>
    <t>MKBD</t>
  </si>
  <si>
    <t>Shree Sai Samarth Petroleum</t>
  </si>
  <si>
    <t>Haveri</t>
  </si>
  <si>
    <t>Shivalingeshwar Petroleum</t>
  </si>
  <si>
    <t>M/s Magavi City Fuels</t>
  </si>
  <si>
    <t>Guttal</t>
  </si>
  <si>
    <t>Taware filling station</t>
  </si>
  <si>
    <t>Guttal-2</t>
  </si>
  <si>
    <t>Himagiri Petroleum</t>
  </si>
  <si>
    <t>Rattihali</t>
  </si>
  <si>
    <t xml:space="preserve"> Shree Siri Gowari petroliam</t>
  </si>
  <si>
    <t>Rattihali-2</t>
  </si>
  <si>
    <t>Shiva Oil Traders</t>
  </si>
  <si>
    <t>Gajendragada</t>
  </si>
  <si>
    <t>Vanasri Petrol Pump</t>
  </si>
  <si>
    <t>Gokak(PKG-3)</t>
  </si>
  <si>
    <t>AJ Petrolinks</t>
  </si>
  <si>
    <t>Hukkere</t>
  </si>
  <si>
    <t>TR Assocites</t>
  </si>
  <si>
    <t>Ankaligi</t>
  </si>
  <si>
    <t>Shivaganga</t>
  </si>
  <si>
    <t>ShankeshWAR</t>
  </si>
  <si>
    <t>SR Patil</t>
  </si>
  <si>
    <t>Talikote(PKG-1)</t>
  </si>
  <si>
    <t>Raykar Oil Agencies</t>
  </si>
  <si>
    <t>Chadchan(PKG-1)</t>
  </si>
  <si>
    <t>Khavekar Petrolium</t>
  </si>
  <si>
    <t>Sindagi</t>
  </si>
  <si>
    <t>G.P.PORWAL</t>
  </si>
  <si>
    <t>Muddebihal(PKG-1)2</t>
  </si>
  <si>
    <t xml:space="preserve">PS NAGATHAN PETROLIUM </t>
  </si>
  <si>
    <t>Almela(PKG-1)</t>
  </si>
  <si>
    <t>Shiddeshwar Petroleums</t>
  </si>
  <si>
    <t>Nalatwad(PKG-1)</t>
  </si>
  <si>
    <t>Shri Pawad Basaweshwar Petroleums</t>
  </si>
  <si>
    <t>Srirangapatna</t>
  </si>
  <si>
    <t>Anupama F/S</t>
  </si>
  <si>
    <t>HO(DG)</t>
  </si>
  <si>
    <t>Total</t>
  </si>
  <si>
    <t>Outstannding</t>
  </si>
  <si>
    <t xml:space="preserve">Last Payment </t>
  </si>
  <si>
    <t>L.P Date</t>
  </si>
  <si>
    <t>Credit  period in Days</t>
  </si>
  <si>
    <t>Next Payment Date</t>
  </si>
  <si>
    <t>15.12.2025</t>
  </si>
  <si>
    <t>30.01.2025</t>
  </si>
  <si>
    <t>Jadcherla-1</t>
  </si>
  <si>
    <t>Sai Baba Fuel Station</t>
  </si>
  <si>
    <t>Close</t>
  </si>
  <si>
    <t>Jadcherla-2</t>
  </si>
  <si>
    <t xml:space="preserve">ADHOC FILLING STATION STATION </t>
  </si>
  <si>
    <t>13.12.2025</t>
  </si>
  <si>
    <t>16.12.2025</t>
  </si>
  <si>
    <t>05.01.2026</t>
  </si>
  <si>
    <t>C&amp;C</t>
  </si>
  <si>
    <t>27.12.2025</t>
  </si>
  <si>
    <t>15.01.2026</t>
  </si>
  <si>
    <t>30.12.2025</t>
  </si>
  <si>
    <t>03.01.2025</t>
  </si>
  <si>
    <t xml:space="preserve">Priyanka Petroleum </t>
  </si>
  <si>
    <t>New</t>
  </si>
  <si>
    <t>12.12.2025</t>
  </si>
  <si>
    <t>24.12.2025</t>
  </si>
  <si>
    <t>Shiv ganga</t>
  </si>
  <si>
    <t>Muddebihal(PKG-1)</t>
  </si>
  <si>
    <t xml:space="preserve"> Bhosle Service Station</t>
  </si>
  <si>
    <t>S.No</t>
  </si>
  <si>
    <t>Date</t>
  </si>
  <si>
    <t>GRN No</t>
  </si>
  <si>
    <t>Ind No/Bill No</t>
  </si>
  <si>
    <t>Diesel (Lts)</t>
  </si>
  <si>
    <t>Price</t>
  </si>
  <si>
    <t xml:space="preserve">Amount </t>
  </si>
  <si>
    <t>Petrol (Lts)</t>
  </si>
  <si>
    <t xml:space="preserve">Total amount </t>
  </si>
  <si>
    <t>Amount paid</t>
  </si>
  <si>
    <t>As on date</t>
  </si>
  <si>
    <t>Remarks</t>
  </si>
  <si>
    <t>Opening Balance</t>
  </si>
  <si>
    <t>NAme</t>
  </si>
  <si>
    <t>Lacation</t>
  </si>
  <si>
    <t>Card Number</t>
  </si>
  <si>
    <t>Category</t>
  </si>
  <si>
    <t>1st Jan</t>
  </si>
  <si>
    <t>2nd Jan</t>
  </si>
  <si>
    <t>3rd Jan</t>
  </si>
  <si>
    <t>4th Jan</t>
  </si>
  <si>
    <t>5th Jan</t>
  </si>
  <si>
    <t>6th Jan</t>
  </si>
  <si>
    <t>7th Jan</t>
  </si>
  <si>
    <t>8th Jan</t>
  </si>
  <si>
    <t>9th Jan</t>
  </si>
  <si>
    <t>10th Jan</t>
  </si>
  <si>
    <t>11th Jan</t>
  </si>
  <si>
    <t>12th Jan</t>
  </si>
  <si>
    <t>13th Jan</t>
  </si>
  <si>
    <t>14th Jan</t>
  </si>
  <si>
    <t>15th Jan</t>
  </si>
  <si>
    <t>16th Jan</t>
  </si>
  <si>
    <t>17th Jan</t>
  </si>
  <si>
    <t>18th Jan</t>
  </si>
  <si>
    <t>19th Jan</t>
  </si>
  <si>
    <t>20th Jan</t>
  </si>
  <si>
    <t>21st Jan</t>
  </si>
  <si>
    <t>22nd Jan</t>
  </si>
  <si>
    <t>23rd Jan</t>
  </si>
  <si>
    <t>24th Jan</t>
  </si>
  <si>
    <t>25th Jan</t>
  </si>
  <si>
    <t>26th Jan</t>
  </si>
  <si>
    <t>27th Jan</t>
  </si>
  <si>
    <t>28th Jan</t>
  </si>
  <si>
    <t>29th Jan</t>
  </si>
  <si>
    <t>30th Jan</t>
  </si>
  <si>
    <t>31st Jan</t>
  </si>
  <si>
    <t>Diesel</t>
  </si>
  <si>
    <t>Rambabu</t>
  </si>
  <si>
    <t>HO(Two Wheeler)</t>
  </si>
  <si>
    <t>FC3450563999</t>
  </si>
  <si>
    <t>Petrol</t>
  </si>
  <si>
    <t>Hanumanth Rao</t>
  </si>
  <si>
    <t>HO</t>
  </si>
  <si>
    <t>FC3450676131</t>
  </si>
  <si>
    <t>Radhakrishna</t>
  </si>
  <si>
    <t>FC8000207658</t>
  </si>
  <si>
    <t>VIjay</t>
  </si>
  <si>
    <t>FC3450698859</t>
  </si>
  <si>
    <t>Client</t>
  </si>
  <si>
    <t>Hiriyur</t>
  </si>
  <si>
    <t>FC3450698864</t>
  </si>
  <si>
    <t>Hosadurga</t>
  </si>
  <si>
    <t>FC3450698865</t>
  </si>
  <si>
    <t>Diesel Price</t>
  </si>
  <si>
    <t>As 0n Date</t>
  </si>
  <si>
    <t>Round Off</t>
  </si>
  <si>
    <t xml:space="preserve">JSASFuel Genie India Pvt.Ltd													</t>
  </si>
  <si>
    <t>Ind no/Bill No</t>
  </si>
  <si>
    <t>As on Date</t>
  </si>
  <si>
    <t>/</t>
  </si>
  <si>
    <t xml:space="preserve"> Fuel bills </t>
  </si>
  <si>
    <t>Sri venkateswara Enterprises</t>
  </si>
  <si>
    <t>Yanam</t>
  </si>
  <si>
    <t>BP Kakinada (coco)</t>
  </si>
  <si>
    <t>Kakinada</t>
  </si>
  <si>
    <t>Sree Suryaprakash Service Station</t>
  </si>
  <si>
    <t>Rajahmundry</t>
  </si>
  <si>
    <t>BP Lalacheruvu,BPCL</t>
  </si>
  <si>
    <t>Padma Highway Filling Station</t>
  </si>
  <si>
    <t xml:space="preserve">APSRTC Petrol Bunk </t>
  </si>
  <si>
    <t>Rangampeta</t>
  </si>
  <si>
    <t>CSR VANA Durga Filling Station</t>
  </si>
  <si>
    <t>Vijayawada</t>
  </si>
  <si>
    <t> </t>
  </si>
  <si>
    <t xml:space="preserve">  Indian Oil</t>
  </si>
  <si>
    <t xml:space="preserve"> </t>
  </si>
  <si>
    <t>Rounoff</t>
  </si>
  <si>
    <t>Bill No</t>
  </si>
  <si>
    <t>Sree Veerabhadreshwara Service Station</t>
  </si>
  <si>
    <t>laxmi ranganath(HP)</t>
  </si>
  <si>
    <t>Molakamuru</t>
  </si>
  <si>
    <t>Priyanka Petroleum (BPCL)</t>
  </si>
  <si>
    <t>Shivaganga Service Station (BPCL)</t>
  </si>
  <si>
    <t>Chellakere-PKG-09</t>
  </si>
  <si>
    <t>HPCL</t>
  </si>
  <si>
    <t>Date of payment</t>
  </si>
  <si>
    <t>Shiri Shva Petroluem</t>
  </si>
  <si>
    <t>Start</t>
  </si>
  <si>
    <t>d</t>
  </si>
  <si>
    <t>IOCL Card</t>
  </si>
  <si>
    <t>Bpcl</t>
  </si>
  <si>
    <t>01.1.2026</t>
  </si>
  <si>
    <t>02.1.2026</t>
  </si>
  <si>
    <t>03.1.2026</t>
  </si>
  <si>
    <t>04.1.2026</t>
  </si>
  <si>
    <t>05.1.2026</t>
  </si>
  <si>
    <t>07.1.2026</t>
  </si>
  <si>
    <t>08.1.2026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</si>
  <si>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</si>
  <si>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</si>
  <si>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</si>
  <si>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</si>
  <si>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</si>
  <si>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</si>
  <si>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</si>
  <si>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</si>
  <si>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</si>
  <si>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</si>
  <si>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</si>
  <si>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20.01.2026</t>
  </si>
  <si>
    <t>21.01.2026</t>
  </si>
  <si>
    <t>22.01.2026</t>
  </si>
  <si>
    <t>23.01.2026</t>
  </si>
  <si>
    <t>24.01.2026</t>
  </si>
  <si>
    <t>25.01.2026</t>
  </si>
  <si>
    <t>26.01.2026</t>
  </si>
  <si>
    <t>27.01.2026</t>
  </si>
  <si>
    <t>28.01.2026</t>
  </si>
  <si>
    <t>29.01.2026</t>
  </si>
  <si>
    <t>30.01.2026</t>
  </si>
  <si>
    <t>31.01.2026</t>
  </si>
  <si>
    <t>Lubricant Purchaged</t>
  </si>
  <si>
    <t>Roud off</t>
  </si>
  <si>
    <t>.</t>
  </si>
  <si>
    <t>BPCL OTP</t>
  </si>
  <si>
    <t xml:space="preserve"> Magavi fuel F/S</t>
  </si>
  <si>
    <t xml:space="preserve">  Shree Siri Gowari petroliam</t>
  </si>
  <si>
    <t>raja bhakshi</t>
  </si>
  <si>
    <t>Shiva ganga</t>
  </si>
  <si>
    <t xml:space="preserve"> S R PATIL</t>
  </si>
  <si>
    <t>Talikote</t>
  </si>
  <si>
    <t>1.01.2026</t>
  </si>
  <si>
    <t>2.01.2026</t>
  </si>
  <si>
    <t>3.01.2026</t>
  </si>
  <si>
    <t>5.01.2026</t>
  </si>
  <si>
    <t>6.01.2026</t>
  </si>
  <si>
    <t>7.01.2026</t>
  </si>
  <si>
    <t>8.01.2026</t>
  </si>
  <si>
    <t>10.01.2026</t>
  </si>
  <si>
    <t>12.01.2026</t>
  </si>
  <si>
    <t>13.01.2026</t>
  </si>
  <si>
    <t>16.01.2026</t>
  </si>
  <si>
    <t>17.01.2026</t>
  </si>
  <si>
    <t>19.01.2026</t>
  </si>
  <si>
    <t>03.01.2026</t>
  </si>
  <si>
    <t>04.01.2026</t>
  </si>
  <si>
    <t>06.01.2026</t>
  </si>
  <si>
    <t>07.01.2026</t>
  </si>
  <si>
    <t>08.01.2026</t>
  </si>
  <si>
    <t>09.01.2026</t>
  </si>
  <si>
    <t>11.01.2026</t>
  </si>
  <si>
    <t>14.01.2026</t>
  </si>
  <si>
    <t>18.01.2026</t>
  </si>
  <si>
    <t>02.01.2025</t>
  </si>
  <si>
    <t>04.01.2025</t>
  </si>
  <si>
    <t>05.01.2025</t>
  </si>
  <si>
    <t>06.01.2025</t>
  </si>
  <si>
    <t>07.01.2025</t>
  </si>
  <si>
    <t>08.01.2025</t>
  </si>
  <si>
    <t>iocl</t>
  </si>
  <si>
    <t>hpcl</t>
  </si>
  <si>
    <t>BPCL Card Ledger</t>
  </si>
  <si>
    <t>Petrol Bunk Name</t>
  </si>
  <si>
    <t>Card No</t>
  </si>
  <si>
    <t>Recharge Amount</t>
  </si>
  <si>
    <t>Redeem</t>
  </si>
  <si>
    <t>01.01.2026</t>
  </si>
  <si>
    <t>SRI VENKATESWARA ENTERPRISES BHARAT PETROLEUM DEALERS</t>
  </si>
  <si>
    <t>FC8000207659</t>
  </si>
  <si>
    <t>V.V.VARDE BHARAT PETROLEUM DEALERS</t>
  </si>
  <si>
    <t>FC8000207649</t>
  </si>
  <si>
    <t>MAGAVI CITY FUELS BHARAT PETROLEUM DEALERS</t>
  </si>
  <si>
    <t>FC8000207650</t>
  </si>
  <si>
    <t>PRIYANKA PETROLEUM BHARAT PETROLEUM DEALERS</t>
  </si>
  <si>
    <t>SHIVAGANGA SERVICE STATION BHARAT PETROLEUM DEALERS</t>
  </si>
  <si>
    <t>SANDHYA FUEL STATION BHARAT PETROLEUM DEALERS</t>
  </si>
  <si>
    <t>JUBILEE HILLS FILL. STN. BHARAT PETROLEUM DEALERS</t>
  </si>
  <si>
    <t>VIJAYA BHARAT FUEL &amp; SERVICES BHARAT PETROLEUM DEALERS</t>
  </si>
  <si>
    <t>FC3450698863</t>
  </si>
  <si>
    <t>VEERABHADRESWAR PETROLEUM SERV BHARAT PETROLEUM DEALERS</t>
  </si>
  <si>
    <t>MAHMOOD FILLING STATION BHARAT PETROLEUM DEALERS</t>
  </si>
  <si>
    <t>W SRINIVAS RAO &amp; SONS BHARAT PETROLEUM DEALERS</t>
  </si>
  <si>
    <t>DANESWARI PETROLEUM BHARAT PETROLEUM DEALERS</t>
  </si>
  <si>
    <t>FC8000207648</t>
  </si>
  <si>
    <t>SREE VEERABHADRESHWARA SER.STA BHARAT PETROLEUM DEALERS</t>
  </si>
  <si>
    <t>BP-KAKINADA BHARAT PETROLEUM CORPORATION L</t>
  </si>
  <si>
    <t>KESHAV PETROFIL BHARAT PETROLEUM DEALERS</t>
  </si>
  <si>
    <t>SAI PRIYA FILLING STATION BHARAT PETROLEUM DEALERS</t>
  </si>
  <si>
    <t>MOHSIN MOTOR NEEDS, BHARAT PETROLEUM DEALERS</t>
  </si>
  <si>
    <t>P S NAGATHAN PETROLEUMS BHARAT PETROLEUM DEALERS</t>
  </si>
  <si>
    <t>RAJ PETROS BHARAT PETROLEUM DEALERS</t>
  </si>
  <si>
    <t>SHRI BRAHMANATH PETROLEUM BHARAT PETROLEUM DEALERS</t>
  </si>
  <si>
    <t>SRI BALAJI BHARATH FILLING STA BHARAT PETROLEUM DEALERS</t>
  </si>
  <si>
    <t>EARTH PAVERS (HYD) PRIVATE LIM BHARAT PETROLEUM DEALERS</t>
  </si>
  <si>
    <t>SREE SURYAPRAKASH SERVICE STAT BHARAT PETROLEUM DEALERS</t>
  </si>
  <si>
    <t>SALEM DISTRICT LORRY OWNERS AS BHARAT PETROLEUM DEALERS</t>
  </si>
  <si>
    <t>BP-LALLACHERUVU BHARAT PETROLEUM DEALERS</t>
  </si>
  <si>
    <t>SHREE SAI SAMARTH PETROLEUM BHARAT PETROLEUM DEALERS</t>
  </si>
  <si>
    <t>SUPER FILLS BHARAT PETROLEUM DEALERS</t>
  </si>
  <si>
    <t>T. R. ASSOCIATES BHARAT PETROLEUM DEALERS</t>
  </si>
  <si>
    <t>FC3450698868</t>
  </si>
  <si>
    <t>V G SHETRU BHARAT PETROLEUM DEALERS</t>
  </si>
  <si>
    <t>BP-AMEERPET BHARAT PETROLEUM DEALERS</t>
  </si>
  <si>
    <t>KESAR FUELS BHARAT PETROLEUM DEALERS</t>
  </si>
  <si>
    <t>VIJAYA BHARAT FUEL &amp; SERVICES BHARAT PETROLEUM</t>
  </si>
  <si>
    <t xml:space="preserve"> FC3450698865</t>
  </si>
  <si>
    <t>APSRTC PETROL BUNK,RANGAMPETA BHARAT</t>
  </si>
  <si>
    <t xml:space="preserve"> FC8000207659</t>
  </si>
  <si>
    <t>V.M.MIRJANKAR (KUMTA) BHARAT PETROLEUM</t>
  </si>
  <si>
    <t xml:space="preserve"> FC8000207650</t>
  </si>
  <si>
    <t>AKARAPU BALAKISTAMMA FILLLING BHARAT PETROLEUM DEALERS</t>
  </si>
  <si>
    <t>FC3450676134</t>
  </si>
  <si>
    <t>AMBATI PUSHPALATHA CHANNAIAH F BHARAT PETROLEUM DEALERS</t>
  </si>
  <si>
    <t>V.M.MIRJANKAR (KUMTA) BHARAT PETROLEUM DEALERS</t>
  </si>
  <si>
    <t>GSR VANA DURGA FILLING STATION BHARAT PETROLEUM DEALERS</t>
  </si>
  <si>
    <t>31.01.2`026</t>
  </si>
  <si>
    <t>CAPITAL FUELS BHARAT PETROLEUM DEALERS</t>
  </si>
  <si>
    <t>HPCL Card Ledger</t>
  </si>
  <si>
    <t>PANKAJA HP FUEL CENTRE</t>
  </si>
  <si>
    <t>8200079004507153</t>
  </si>
  <si>
    <t>SEI LAKSHMI RANGANATHA SALES &amp;amp; SERVICE</t>
  </si>
  <si>
    <t>8200079004507062</t>
  </si>
  <si>
    <t>TUMCOS FUEL STATION</t>
  </si>
  <si>
    <t>SHIVA OIL TRADERS</t>
  </si>
  <si>
    <t>82000790045071308</t>
  </si>
  <si>
    <t>AJ PETROLINKS</t>
  </si>
  <si>
    <t>MSHSD SHRI HEMAGIRI PETROLEUM</t>
  </si>
  <si>
    <t>8200079004507121</t>
  </si>
  <si>
    <t>POORNIMA FILLING STATION</t>
  </si>
  <si>
    <t>8200079000522041</t>
  </si>
  <si>
    <t>SHRI SHIVA PETROLEUM</t>
  </si>
  <si>
    <t>8200079005271387</t>
  </si>
  <si>
    <t>DIVYA LAXMI GANAPATHI AUTO SERVICES</t>
  </si>
  <si>
    <t>8200079000522057</t>
  </si>
  <si>
    <t xml:space="preserve">NARSINGH PETROLEUM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</si>
</sst>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 * #,##0.00_ ;_ * \-#,##0.00_ ;_ * &quot;-&quot;??_ ;_ @_ "/>
    <numFmt numFmtId="165" formatCode="[$-409]d\-mmm\-yy;@"/>
    <numFmt numFmtId="166" formatCode="0.00_ "/>
    <numFmt numFmtId="167" formatCode="[$-409]h:mm\ AM/PM;@"/>
    <numFmt numFmtId="168" formatCode="_ * #,##0.0_ ;_ * \-#,##0.0_ ;_ * &quot;-&quot;??_ ;_ @_ "/>
    <numFmt numFmtId="169" formatCode="_ * #,##0_ ;_ * \-#,##0_ ;_ * &quot;-&quot;??_ ;_ @_ "/>
    <numFmt numFmtId="170" formatCode="_(* #,##0_);_(* \(#,##0\);_(* &quot;-&quot;??_);_(@_)"/>
    <numFmt numFmtId="171" formatCode="0.0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  <scheme val="minor"/>
    </font>
    <font>
      <sz val="12"/>
      <color rgb="FF000000"/>
      <name val="Book Antiqua"/>
      <family val="1"/>
    </font>
    <font>
      <sz val="11"/>
      <color rgb="FF000000"/>
      <name val="Cambria"/>
      <family val="1"/>
    </font>
    <font>
      <b/>
      <sz val="10"/>
      <color theme="1"/>
      <name val="Calibri"/>
    </font>
    <font>
      <sz val="10"/>
      <color theme="1"/>
      <name val="Calibri"/>
    </font>
    <font>
      <sz val="10"/>
      <color theme="0"/>
      <name val="Calibri"/>
    </font>
    <font>
      <sz val="12"/>
      <color rgb="FF000000"/>
      <name val="Calibri"/>
    </font>
    <font>
      <sz val="11"/>
      <color theme="0"/>
      <name val="Calibri"/>
    </font>
    <font>
      <sz val="12"/>
      <color theme="0"/>
      <name val="Calibri"/>
    </font>
    <font>
      <sz val="12"/>
      <color theme="0"/>
      <name val="Calibri"/>
      <family val="2"/>
      <scheme val="minor"/>
    </font>
    <font>
      <sz val="10"/>
      <color rgb="FF000000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charset val="134"/>
    </font>
    <font>
      <sz val="11"/>
      <color rgb="FF242424"/>
      <name val="Aptos Narrow"/>
      <charset val="1"/>
    </font>
    <font>
      <b/>
      <sz val="12"/>
      <color rgb="FF000000"/>
      <name val="Calibri"/>
    </font>
    <font>
      <b/>
      <sz val="12"/>
      <color theme="1"/>
      <name val="Calibri"/>
      <family val="2"/>
      <scheme val="minor"/>
    </font>
    <font>
      <sz val="10"/>
      <color theme="1"/>
      <name val="Cambria"/>
      <family val="1"/>
    </font>
    <font>
      <sz val="9"/>
      <color theme="1"/>
      <name val="Cambria"/>
      <family val="1"/>
    </font>
    <font>
      <sz val="11"/>
      <color theme="1"/>
      <name val="Calibri"/>
      <family val="2"/>
    </font>
    <font>
      <b/>
      <sz val="12"/>
      <color theme="0"/>
      <name val="Calibri"/>
    </font>
    <font>
      <sz val="12"/>
      <color theme="1"/>
      <name val="Calibri"/>
    </font>
    <font>
      <b/>
      <sz val="12"/>
      <color theme="1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mbria"/>
      <charset val="134"/>
    </font>
    <font>
      <sz val="11"/>
      <color rgb="FFFF0000"/>
      <name val="Calibri"/>
      <family val="2"/>
      <scheme val="minor"/>
    </font>
    <font>
      <sz val="11"/>
      <color theme="1"/>
      <name val="Cambria"/>
      <family val="1"/>
    </font>
    <font>
      <sz val="11"/>
      <color rgb="FF000000"/>
      <name val="Aptos Narrow"/>
      <family val="2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0"/>
      <name val="Calibri"/>
    </font>
    <font>
      <sz val="8"/>
      <color rgb="FF000000"/>
      <name val="Calibri"/>
    </font>
    <font>
      <sz val="8"/>
      <color rgb="FF212529"/>
      <name val="Calibri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-0.499984740745262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757171"/>
      </right>
      <top/>
      <bottom style="thin">
        <color rgb="FF75717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9" fillId="0" borderId="0" applyNumberFormat="0" applyFill="0" applyBorder="0" applyAlignment="0" applyProtection="0"/>
  </cellStyleXfs>
  <cellXfs count="508">
    <xf numFmtId="0" fontId="0" fillId="0" borderId="0" xfId="0"/>
    <xf numFmtId="0" fontId="4" fillId="0" borderId="0" xfId="0" applyFont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1" applyFont="1" applyAlignment="1">
      <alignment horizontal="center" vertical="center"/>
    </xf>
    <xf numFmtId="0" fontId="3" fillId="0" borderId="0" xfId="0" applyFont="1"/>
    <xf numFmtId="0" fontId="3" fillId="0" borderId="5" xfId="0" applyFont="1" applyBorder="1"/>
    <xf numFmtId="164" fontId="3" fillId="0" borderId="2" xfId="1" applyFont="1" applyBorder="1" applyAlignment="1">
      <alignment horizontal="center" vertical="center"/>
    </xf>
    <xf numFmtId="164" fontId="3" fillId="0" borderId="5" xfId="1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164" fontId="3" fillId="0" borderId="2" xfId="1" applyFont="1" applyBorder="1" applyAlignment="1">
      <alignment vertical="center"/>
    </xf>
    <xf numFmtId="164" fontId="3" fillId="0" borderId="6" xfId="1" applyFont="1" applyBorder="1" applyAlignment="1">
      <alignment vertical="center"/>
    </xf>
    <xf numFmtId="164" fontId="3" fillId="0" borderId="2" xfId="1" applyFont="1" applyBorder="1" applyAlignment="1">
      <alignment horizontal="center" vertical="top"/>
    </xf>
    <xf numFmtId="164" fontId="3" fillId="0" borderId="6" xfId="1" applyFont="1" applyBorder="1" applyAlignment="1">
      <alignment horizontal="center" vertical="top"/>
    </xf>
    <xf numFmtId="164" fontId="3" fillId="0" borderId="4" xfId="1" applyFont="1" applyBorder="1" applyAlignment="1">
      <alignment horizontal="center" vertical="center"/>
    </xf>
    <xf numFmtId="0" fontId="0" fillId="0" borderId="5" xfId="0" applyBorder="1"/>
    <xf numFmtId="0" fontId="3" fillId="0" borderId="5" xfId="0" applyFont="1" applyBorder="1" applyAlignment="1">
      <alignment horizontal="center" vertical="center" wrapText="1"/>
    </xf>
    <xf numFmtId="164" fontId="3" fillId="0" borderId="12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2" fontId="0" fillId="0" borderId="0" xfId="0" applyNumberFormat="1"/>
    <xf numFmtId="0" fontId="7" fillId="0" borderId="2" xfId="3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2" xfId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64" fontId="9" fillId="0" borderId="0" xfId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164" fontId="10" fillId="0" borderId="5" xfId="1" applyFont="1" applyFill="1" applyBorder="1" applyAlignment="1">
      <alignment horizontal="center" vertical="center"/>
    </xf>
    <xf numFmtId="164" fontId="10" fillId="0" borderId="5" xfId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164" fontId="10" fillId="0" borderId="0" xfId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2" fontId="0" fillId="0" borderId="5" xfId="0" applyNumberFormat="1" applyBorder="1"/>
    <xf numFmtId="164" fontId="3" fillId="0" borderId="5" xfId="1" applyFont="1" applyBorder="1" applyAlignment="1">
      <alignment vertical="center"/>
    </xf>
    <xf numFmtId="2" fontId="9" fillId="4" borderId="5" xfId="0" applyNumberFormat="1" applyFont="1" applyFill="1" applyBorder="1" applyAlignment="1">
      <alignment horizontal="center" vertical="center"/>
    </xf>
    <xf numFmtId="164" fontId="9" fillId="4" borderId="5" xfId="1" applyFont="1" applyFill="1" applyBorder="1" applyAlignment="1">
      <alignment horizontal="center" vertical="center"/>
    </xf>
    <xf numFmtId="0" fontId="5" fillId="0" borderId="5" xfId="0" applyFont="1" applyBorder="1"/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center" wrapText="1"/>
    </xf>
    <xf numFmtId="43" fontId="3" fillId="0" borderId="5" xfId="0" applyNumberFormat="1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43" fontId="3" fillId="0" borderId="0" xfId="0" applyNumberFormat="1" applyFont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 wrapText="1"/>
    </xf>
    <xf numFmtId="43" fontId="13" fillId="3" borderId="2" xfId="0" applyNumberFormat="1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/>
    </xf>
    <xf numFmtId="43" fontId="13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0" fillId="0" borderId="0" xfId="0" applyFont="1"/>
    <xf numFmtId="2" fontId="4" fillId="4" borderId="5" xfId="0" applyNumberFormat="1" applyFont="1" applyFill="1" applyBorder="1" applyAlignment="1">
      <alignment horizontal="center" vertical="center"/>
    </xf>
    <xf numFmtId="164" fontId="4" fillId="4" borderId="5" xfId="1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/>
    </xf>
    <xf numFmtId="2" fontId="3" fillId="0" borderId="5" xfId="0" applyNumberFormat="1" applyFont="1" applyBorder="1"/>
    <xf numFmtId="0" fontId="3" fillId="0" borderId="5" xfId="0" applyFont="1" applyBorder="1" applyAlignment="1">
      <alignment vertical="center"/>
    </xf>
    <xf numFmtId="164" fontId="3" fillId="0" borderId="5" xfId="1" applyFont="1" applyBorder="1" applyAlignment="1">
      <alignment horizontal="center" vertical="top"/>
    </xf>
    <xf numFmtId="0" fontId="3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2" fontId="3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164" fontId="3" fillId="0" borderId="0" xfId="1" applyFont="1" applyAlignment="1">
      <alignment vertical="center"/>
    </xf>
    <xf numFmtId="164" fontId="3" fillId="0" borderId="0" xfId="1" applyFont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0" fontId="0" fillId="0" borderId="0" xfId="0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164" fontId="3" fillId="0" borderId="5" xfId="1" applyFont="1" applyBorder="1" applyAlignment="1">
      <alignment horizontal="center" indent="1"/>
    </xf>
    <xf numFmtId="164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 wrapText="1"/>
    </xf>
    <xf numFmtId="43" fontId="13" fillId="3" borderId="5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 wrapText="1"/>
    </xf>
    <xf numFmtId="2" fontId="13" fillId="3" borderId="5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5" fillId="0" borderId="12" xfId="0" applyFont="1" applyBorder="1"/>
    <xf numFmtId="0" fontId="0" fillId="0" borderId="13" xfId="0" applyBorder="1"/>
    <xf numFmtId="0" fontId="17" fillId="0" borderId="5" xfId="0" applyFont="1" applyBorder="1"/>
    <xf numFmtId="2" fontId="17" fillId="0" borderId="5" xfId="0" applyNumberFormat="1" applyFont="1" applyBorder="1"/>
    <xf numFmtId="0" fontId="0" fillId="0" borderId="10" xfId="0" applyBorder="1"/>
    <xf numFmtId="0" fontId="13" fillId="3" borderId="1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center"/>
    </xf>
    <xf numFmtId="0" fontId="13" fillId="3" borderId="15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11" fillId="3" borderId="5" xfId="0" applyFont="1" applyFill="1" applyBorder="1" applyAlignment="1">
      <alignment horizontal="center" vertical="center"/>
    </xf>
    <xf numFmtId="0" fontId="18" fillId="0" borderId="5" xfId="0" applyFont="1" applyBorder="1"/>
    <xf numFmtId="164" fontId="0" fillId="0" borderId="5" xfId="0" applyNumberFormat="1" applyBorder="1"/>
    <xf numFmtId="0" fontId="11" fillId="3" borderId="5" xfId="0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43" fontId="3" fillId="0" borderId="10" xfId="0" applyNumberFormat="1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164" fontId="3" fillId="0" borderId="18" xfId="1" applyFont="1" applyFill="1" applyBorder="1" applyAlignment="1">
      <alignment horizontal="center" vertical="center"/>
    </xf>
    <xf numFmtId="43" fontId="11" fillId="3" borderId="17" xfId="0" applyNumberFormat="1" applyFont="1" applyFill="1" applyBorder="1" applyAlignment="1">
      <alignment horizontal="center" vertical="center" wrapText="1"/>
    </xf>
    <xf numFmtId="43" fontId="11" fillId="3" borderId="6" xfId="0" applyNumberFormat="1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center"/>
    </xf>
    <xf numFmtId="0" fontId="11" fillId="3" borderId="6" xfId="0" applyFont="1" applyFill="1" applyBorder="1" applyAlignment="1">
      <alignment horizontal="center" vertical="center"/>
    </xf>
    <xf numFmtId="43" fontId="11" fillId="3" borderId="6" xfId="0" applyNumberFormat="1" applyFont="1" applyFill="1" applyBorder="1" applyAlignment="1">
      <alignment horizontal="center" vertical="center"/>
    </xf>
    <xf numFmtId="43" fontId="11" fillId="3" borderId="17" xfId="0" applyNumberFormat="1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/>
    </xf>
    <xf numFmtId="0" fontId="12" fillId="0" borderId="7" xfId="3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4" fontId="6" fillId="0" borderId="5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4" fontId="6" fillId="0" borderId="12" xfId="0" applyNumberFormat="1" applyFont="1" applyBorder="1" applyAlignment="1">
      <alignment horizontal="center"/>
    </xf>
    <xf numFmtId="0" fontId="13" fillId="3" borderId="13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center" vertical="center" wrapText="1"/>
    </xf>
    <xf numFmtId="43" fontId="13" fillId="3" borderId="13" xfId="0" applyNumberFormat="1" applyFont="1" applyFill="1" applyBorder="1" applyAlignment="1">
      <alignment horizontal="center" vertical="center" wrapText="1"/>
    </xf>
    <xf numFmtId="43" fontId="13" fillId="3" borderId="13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vertical="center"/>
    </xf>
    <xf numFmtId="164" fontId="3" fillId="0" borderId="12" xfId="0" applyNumberFormat="1" applyFont="1" applyBorder="1" applyAlignment="1">
      <alignment vertical="center"/>
    </xf>
    <xf numFmtId="164" fontId="3" fillId="0" borderId="12" xfId="1" applyFont="1" applyBorder="1" applyAlignment="1">
      <alignment horizontal="center" vertical="top"/>
    </xf>
    <xf numFmtId="164" fontId="9" fillId="0" borderId="5" xfId="1" applyFont="1" applyBorder="1" applyAlignment="1">
      <alignment vertical="center"/>
    </xf>
    <xf numFmtId="0" fontId="17" fillId="0" borderId="19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17" fillId="0" borderId="18" xfId="0" applyFont="1" applyBorder="1" applyAlignment="1">
      <alignment vertical="center"/>
    </xf>
    <xf numFmtId="164" fontId="0" fillId="0" borderId="0" xfId="0" applyNumberFormat="1"/>
    <xf numFmtId="43" fontId="0" fillId="0" borderId="5" xfId="0" applyNumberFormat="1" applyBorder="1"/>
    <xf numFmtId="0" fontId="0" fillId="0" borderId="12" xfId="0" applyBorder="1"/>
    <xf numFmtId="43" fontId="13" fillId="3" borderId="6" xfId="0" applyNumberFormat="1" applyFont="1" applyFill="1" applyBorder="1" applyAlignment="1">
      <alignment horizontal="center" vertical="center" wrapText="1"/>
    </xf>
    <xf numFmtId="43" fontId="13" fillId="3" borderId="6" xfId="0" applyNumberFormat="1" applyFont="1" applyFill="1" applyBorder="1" applyAlignment="1">
      <alignment horizontal="center" vertical="center"/>
    </xf>
    <xf numFmtId="164" fontId="3" fillId="0" borderId="8" xfId="1" applyFont="1" applyBorder="1" applyAlignment="1">
      <alignment horizontal="center" vertical="center"/>
    </xf>
    <xf numFmtId="164" fontId="3" fillId="0" borderId="7" xfId="1" applyFont="1" applyBorder="1" applyAlignment="1">
      <alignment horizontal="center" vertical="top"/>
    </xf>
    <xf numFmtId="164" fontId="3" fillId="0" borderId="7" xfId="1" applyFont="1" applyBorder="1" applyAlignment="1">
      <alignment vertical="center"/>
    </xf>
    <xf numFmtId="43" fontId="13" fillId="3" borderId="17" xfId="0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 wrapText="1"/>
    </xf>
    <xf numFmtId="43" fontId="3" fillId="2" borderId="5" xfId="0" applyNumberFormat="1" applyFont="1" applyFill="1" applyBorder="1" applyAlignment="1">
      <alignment horizontal="center" vertical="center"/>
    </xf>
    <xf numFmtId="43" fontId="5" fillId="2" borderId="5" xfId="0" applyNumberFormat="1" applyFont="1" applyFill="1" applyBorder="1" applyAlignment="1">
      <alignment horizontal="center" vertical="center"/>
    </xf>
    <xf numFmtId="2" fontId="10" fillId="0" borderId="5" xfId="0" applyNumberFormat="1" applyFont="1" applyBorder="1" applyAlignment="1">
      <alignment horizontal="center" vertical="center"/>
    </xf>
    <xf numFmtId="2" fontId="9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vertical="center"/>
    </xf>
    <xf numFmtId="164" fontId="3" fillId="0" borderId="7" xfId="0" applyNumberFormat="1" applyFont="1" applyBorder="1" applyAlignment="1">
      <alignment vertical="center"/>
    </xf>
    <xf numFmtId="166" fontId="3" fillId="0" borderId="12" xfId="0" applyNumberFormat="1" applyFont="1" applyBorder="1" applyAlignment="1">
      <alignment horizontal="center"/>
    </xf>
    <xf numFmtId="2" fontId="3" fillId="0" borderId="12" xfId="0" applyNumberFormat="1" applyFont="1" applyBorder="1"/>
    <xf numFmtId="0" fontId="13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 wrapText="1"/>
    </xf>
    <xf numFmtId="43" fontId="13" fillId="2" borderId="5" xfId="0" applyNumberFormat="1" applyFont="1" applyFill="1" applyBorder="1" applyAlignment="1">
      <alignment horizontal="center" vertical="center"/>
    </xf>
    <xf numFmtId="164" fontId="3" fillId="0" borderId="5" xfId="0" applyNumberFormat="1" applyFont="1" applyBorder="1" applyAlignment="1">
      <alignment vertical="center"/>
    </xf>
    <xf numFmtId="2" fontId="4" fillId="4" borderId="12" xfId="0" applyNumberFormat="1" applyFont="1" applyFill="1" applyBorder="1" applyAlignment="1">
      <alignment horizontal="center" vertical="center"/>
    </xf>
    <xf numFmtId="164" fontId="4" fillId="4" borderId="12" xfId="1" applyFont="1" applyFill="1" applyBorder="1" applyAlignment="1">
      <alignment horizontal="center" vertical="center"/>
    </xf>
    <xf numFmtId="2" fontId="3" fillId="0" borderId="5" xfId="0" applyNumberFormat="1" applyFont="1" applyBorder="1" applyAlignment="1">
      <alignment horizontal="right"/>
    </xf>
    <xf numFmtId="164" fontId="4" fillId="0" borderId="5" xfId="1" applyFont="1" applyBorder="1" applyAlignment="1">
      <alignment horizontal="center" vertical="center" indent="1"/>
    </xf>
    <xf numFmtId="0" fontId="5" fillId="0" borderId="5" xfId="0" applyFont="1" applyBorder="1" applyAlignment="1">
      <alignment vertical="center"/>
    </xf>
    <xf numFmtId="164" fontId="3" fillId="0" borderId="5" xfId="0" applyNumberFormat="1" applyFont="1" applyBorder="1" applyAlignment="1">
      <alignment horizontal="center" vertical="center"/>
    </xf>
    <xf numFmtId="43" fontId="11" fillId="3" borderId="5" xfId="0" applyNumberFormat="1" applyFont="1" applyFill="1" applyBorder="1" applyAlignment="1">
      <alignment horizontal="center" vertical="center"/>
    </xf>
    <xf numFmtId="0" fontId="18" fillId="2" borderId="5" xfId="0" applyFont="1" applyFill="1" applyBorder="1"/>
    <xf numFmtId="0" fontId="5" fillId="0" borderId="13" xfId="0" applyFont="1" applyBorder="1" applyAlignment="1">
      <alignment horizontal="center"/>
    </xf>
    <xf numFmtId="0" fontId="10" fillId="0" borderId="17" xfId="0" applyFont="1" applyBorder="1" applyAlignment="1">
      <alignment horizontal="center" vertical="center"/>
    </xf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2" fontId="3" fillId="0" borderId="13" xfId="0" applyNumberFormat="1" applyFont="1" applyBorder="1"/>
    <xf numFmtId="2" fontId="3" fillId="0" borderId="13" xfId="0" applyNumberFormat="1" applyFont="1" applyBorder="1" applyAlignment="1">
      <alignment horizontal="right"/>
    </xf>
    <xf numFmtId="43" fontId="5" fillId="2" borderId="13" xfId="0" applyNumberFormat="1" applyFont="1" applyFill="1" applyBorder="1" applyAlignment="1">
      <alignment horizontal="center" vertical="center"/>
    </xf>
    <xf numFmtId="43" fontId="0" fillId="0" borderId="0" xfId="0" applyNumberFormat="1"/>
    <xf numFmtId="2" fontId="13" fillId="3" borderId="13" xfId="0" applyNumberFormat="1" applyFont="1" applyFill="1" applyBorder="1" applyAlignment="1">
      <alignment horizontal="center" vertical="center"/>
    </xf>
    <xf numFmtId="0" fontId="3" fillId="0" borderId="5" xfId="1" applyNumberFormat="1" applyFont="1" applyBorder="1" applyAlignment="1">
      <alignment vertical="center"/>
    </xf>
    <xf numFmtId="0" fontId="3" fillId="0" borderId="11" xfId="0" applyFont="1" applyBorder="1"/>
    <xf numFmtId="2" fontId="4" fillId="0" borderId="0" xfId="0" applyNumberFormat="1" applyFont="1"/>
    <xf numFmtId="2" fontId="0" fillId="0" borderId="12" xfId="0" applyNumberFormat="1" applyBorder="1"/>
    <xf numFmtId="0" fontId="10" fillId="0" borderId="13" xfId="0" applyFont="1" applyBorder="1" applyAlignment="1">
      <alignment horizontal="center" vertical="center"/>
    </xf>
    <xf numFmtId="2" fontId="9" fillId="4" borderId="26" xfId="0" applyNumberFormat="1" applyFont="1" applyFill="1" applyBorder="1" applyAlignment="1">
      <alignment horizontal="center" vertical="center"/>
    </xf>
    <xf numFmtId="164" fontId="3" fillId="0" borderId="13" xfId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right" vertical="center" wrapText="1"/>
    </xf>
    <xf numFmtId="0" fontId="0" fillId="0" borderId="5" xfId="0" applyBorder="1" applyAlignment="1">
      <alignment horizontal="right"/>
    </xf>
    <xf numFmtId="0" fontId="0" fillId="0" borderId="0" xfId="0" applyAlignment="1">
      <alignment horizontal="right"/>
    </xf>
    <xf numFmtId="43" fontId="13" fillId="3" borderId="6" xfId="0" applyNumberFormat="1" applyFont="1" applyFill="1" applyBorder="1" applyAlignment="1">
      <alignment horizontal="right" vertical="center" wrapText="1"/>
    </xf>
    <xf numFmtId="0" fontId="3" fillId="0" borderId="5" xfId="3" applyNumberFormat="1" applyFont="1" applyBorder="1" applyAlignment="1">
      <alignment vertical="center"/>
    </xf>
    <xf numFmtId="3" fontId="3" fillId="0" borderId="5" xfId="3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3" fillId="0" borderId="17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164" fontId="3" fillId="0" borderId="13" xfId="1" applyFont="1" applyBorder="1" applyAlignment="1">
      <alignment vertical="center"/>
    </xf>
    <xf numFmtId="164" fontId="3" fillId="0" borderId="11" xfId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horizontal="center"/>
    </xf>
    <xf numFmtId="164" fontId="10" fillId="0" borderId="10" xfId="1" applyFont="1" applyBorder="1" applyAlignment="1">
      <alignment horizontal="center" vertical="center"/>
    </xf>
    <xf numFmtId="164" fontId="10" fillId="0" borderId="11" xfId="1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 vertical="center"/>
    </xf>
    <xf numFmtId="164" fontId="10" fillId="0" borderId="5" xfId="1" applyFont="1" applyBorder="1" applyAlignment="1">
      <alignment horizontal="left" vertical="top"/>
    </xf>
    <xf numFmtId="165" fontId="3" fillId="0" borderId="10" xfId="0" applyNumberFormat="1" applyFont="1" applyBorder="1" applyAlignment="1">
      <alignment horizontal="center"/>
    </xf>
    <xf numFmtId="164" fontId="9" fillId="0" borderId="13" xfId="1" applyFont="1" applyBorder="1" applyAlignment="1">
      <alignment horizontal="center" vertical="center"/>
    </xf>
    <xf numFmtId="0" fontId="10" fillId="0" borderId="13" xfId="0" applyFont="1" applyBorder="1"/>
    <xf numFmtId="2" fontId="9" fillId="4" borderId="12" xfId="0" applyNumberFormat="1" applyFont="1" applyFill="1" applyBorder="1" applyAlignment="1">
      <alignment horizontal="center" vertical="center"/>
    </xf>
    <xf numFmtId="164" fontId="9" fillId="4" borderId="12" xfId="1" applyFont="1" applyFill="1" applyBorder="1" applyAlignment="1">
      <alignment horizontal="center" vertical="center"/>
    </xf>
    <xf numFmtId="0" fontId="12" fillId="0" borderId="5" xfId="3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12" fillId="0" borderId="17" xfId="3" applyNumberFormat="1" applyFon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0" fontId="3" fillId="0" borderId="12" xfId="1" applyNumberFormat="1" applyFont="1" applyBorder="1" applyAlignment="1">
      <alignment vertical="center"/>
    </xf>
    <xf numFmtId="164" fontId="3" fillId="0" borderId="12" xfId="1" applyFont="1" applyBorder="1" applyAlignment="1">
      <alignment vertical="center"/>
    </xf>
    <xf numFmtId="2" fontId="0" fillId="0" borderId="13" xfId="0" applyNumberFormat="1" applyBorder="1"/>
    <xf numFmtId="2" fontId="13" fillId="3" borderId="13" xfId="0" applyNumberFormat="1" applyFont="1" applyFill="1" applyBorder="1" applyAlignment="1">
      <alignment horizontal="center" vertical="center" wrapText="1"/>
    </xf>
    <xf numFmtId="2" fontId="0" fillId="0" borderId="13" xfId="0" applyNumberFormat="1" applyBorder="1" applyAlignment="1">
      <alignment horizontal="center"/>
    </xf>
    <xf numFmtId="0" fontId="13" fillId="2" borderId="13" xfId="0" applyFont="1" applyFill="1" applyBorder="1" applyAlignment="1">
      <alignment horizontal="center" vertical="center" wrapText="1"/>
    </xf>
    <xf numFmtId="164" fontId="10" fillId="0" borderId="12" xfId="1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center"/>
    </xf>
    <xf numFmtId="165" fontId="3" fillId="0" borderId="27" xfId="0" applyNumberFormat="1" applyFont="1" applyBorder="1" applyAlignment="1">
      <alignment horizontal="center"/>
    </xf>
    <xf numFmtId="0" fontId="0" fillId="0" borderId="21" xfId="0" applyBorder="1"/>
    <xf numFmtId="0" fontId="3" fillId="0" borderId="10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15" fontId="18" fillId="2" borderId="5" xfId="0" applyNumberFormat="1" applyFont="1" applyFill="1" applyBorder="1"/>
    <xf numFmtId="0" fontId="5" fillId="0" borderId="13" xfId="0" applyFont="1" applyBorder="1"/>
    <xf numFmtId="0" fontId="20" fillId="0" borderId="0" xfId="0" applyFont="1"/>
    <xf numFmtId="2" fontId="13" fillId="3" borderId="6" xfId="0" applyNumberFormat="1" applyFont="1" applyFill="1" applyBorder="1" applyAlignment="1">
      <alignment horizontal="center" vertical="center" wrapText="1"/>
    </xf>
    <xf numFmtId="2" fontId="13" fillId="3" borderId="6" xfId="0" applyNumberFormat="1" applyFont="1" applyFill="1" applyBorder="1" applyAlignment="1">
      <alignment horizontal="center" vertical="center"/>
    </xf>
    <xf numFmtId="0" fontId="17" fillId="0" borderId="13" xfId="0" applyFont="1" applyBorder="1"/>
    <xf numFmtId="2" fontId="9" fillId="4" borderId="5" xfId="1" applyNumberFormat="1" applyFont="1" applyFill="1" applyBorder="1" applyAlignment="1">
      <alignment horizontal="center" vertical="center"/>
    </xf>
    <xf numFmtId="0" fontId="0" fillId="0" borderId="5" xfId="0" applyBorder="1" applyAlignment="1">
      <alignment wrapText="1"/>
    </xf>
    <xf numFmtId="164" fontId="3" fillId="2" borderId="5" xfId="1" applyFont="1" applyFill="1" applyBorder="1" applyAlignment="1">
      <alignment horizontal="center" vertical="center"/>
    </xf>
    <xf numFmtId="164" fontId="9" fillId="0" borderId="10" xfId="1" applyFont="1" applyBorder="1" applyAlignment="1">
      <alignment vertical="center"/>
    </xf>
    <xf numFmtId="0" fontId="0" fillId="0" borderId="11" xfId="0" applyBorder="1"/>
    <xf numFmtId="164" fontId="10" fillId="0" borderId="8" xfId="1" applyFont="1" applyBorder="1" applyAlignment="1">
      <alignment horizontal="center" vertical="center"/>
    </xf>
    <xf numFmtId="164" fontId="10" fillId="0" borderId="4" xfId="1" applyFont="1" applyBorder="1" applyAlignment="1">
      <alignment horizontal="center" vertical="center"/>
    </xf>
    <xf numFmtId="164" fontId="10" fillId="0" borderId="18" xfId="1" applyFont="1" applyBorder="1" applyAlignment="1">
      <alignment horizontal="center" vertical="center"/>
    </xf>
    <xf numFmtId="164" fontId="10" fillId="0" borderId="24" xfId="1" applyFont="1" applyBorder="1" applyAlignment="1">
      <alignment horizontal="center" vertical="center"/>
    </xf>
    <xf numFmtId="167" fontId="0" fillId="0" borderId="0" xfId="0" applyNumberFormat="1"/>
    <xf numFmtId="4" fontId="3" fillId="0" borderId="0" xfId="0" applyNumberFormat="1" applyFont="1" applyAlignment="1">
      <alignment vertical="center" wrapText="1"/>
    </xf>
    <xf numFmtId="43" fontId="3" fillId="0" borderId="0" xfId="0" applyNumberFormat="1" applyFont="1" applyAlignment="1">
      <alignment vertical="center"/>
    </xf>
    <xf numFmtId="4" fontId="0" fillId="0" borderId="0" xfId="0" applyNumberFormat="1"/>
    <xf numFmtId="168" fontId="3" fillId="0" borderId="2" xfId="1" applyNumberFormat="1" applyFont="1" applyBorder="1" applyAlignment="1">
      <alignment horizontal="center" vertical="top"/>
    </xf>
    <xf numFmtId="0" fontId="4" fillId="7" borderId="0" xfId="0" applyFont="1" applyFill="1" applyAlignment="1">
      <alignment vertical="center"/>
    </xf>
    <xf numFmtId="0" fontId="17" fillId="7" borderId="0" xfId="0" applyFont="1" applyFill="1"/>
    <xf numFmtId="0" fontId="0" fillId="0" borderId="12" xfId="0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2" fontId="3" fillId="0" borderId="5" xfId="1" applyNumberFormat="1" applyFont="1" applyBorder="1" applyAlignment="1">
      <alignment horizontal="center" vertical="center"/>
    </xf>
    <xf numFmtId="2" fontId="3" fillId="0" borderId="0" xfId="1" applyNumberFormat="1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4" fontId="5" fillId="0" borderId="5" xfId="0" applyNumberFormat="1" applyFont="1" applyBorder="1"/>
    <xf numFmtId="164" fontId="0" fillId="0" borderId="0" xfId="0" applyNumberFormat="1" applyAlignment="1">
      <alignment horizontal="center"/>
    </xf>
    <xf numFmtId="0" fontId="13" fillId="3" borderId="6" xfId="0" applyFont="1" applyFill="1" applyBorder="1" applyAlignment="1">
      <alignment vertical="center" wrapText="1"/>
    </xf>
    <xf numFmtId="166" fontId="3" fillId="0" borderId="5" xfId="0" applyNumberFormat="1" applyFont="1" applyBorder="1"/>
    <xf numFmtId="164" fontId="4" fillId="4" borderId="5" xfId="1" applyFont="1" applyFill="1" applyBorder="1" applyAlignment="1">
      <alignment vertical="center"/>
    </xf>
    <xf numFmtId="169" fontId="0" fillId="0" borderId="11" xfId="0" applyNumberFormat="1" applyBorder="1"/>
    <xf numFmtId="0" fontId="23" fillId="0" borderId="11" xfId="0" applyFont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1" fontId="17" fillId="0" borderId="20" xfId="0" applyNumberFormat="1" applyFont="1" applyBorder="1" applyAlignment="1">
      <alignment vertical="center"/>
    </xf>
    <xf numFmtId="164" fontId="19" fillId="0" borderId="32" xfId="1" applyFont="1" applyBorder="1" applyAlignment="1">
      <alignment horizontal="center"/>
    </xf>
    <xf numFmtId="1" fontId="3" fillId="2" borderId="5" xfId="0" applyNumberFormat="1" applyFont="1" applyFill="1" applyBorder="1" applyAlignment="1">
      <alignment horizontal="center" vertical="center"/>
    </xf>
    <xf numFmtId="169" fontId="0" fillId="0" borderId="0" xfId="0" applyNumberFormat="1"/>
    <xf numFmtId="0" fontId="8" fillId="0" borderId="5" xfId="0" applyFont="1" applyBorder="1"/>
    <xf numFmtId="166" fontId="25" fillId="0" borderId="5" xfId="0" applyNumberFormat="1" applyFont="1" applyBorder="1" applyAlignment="1">
      <alignment horizontal="center"/>
    </xf>
    <xf numFmtId="166" fontId="23" fillId="0" borderId="5" xfId="0" applyNumberFormat="1" applyFont="1" applyBorder="1" applyAlignment="1">
      <alignment horizontal="center" vertical="center"/>
    </xf>
    <xf numFmtId="164" fontId="23" fillId="0" borderId="5" xfId="1" applyFont="1" applyBorder="1" applyAlignment="1">
      <alignment vertical="center"/>
    </xf>
    <xf numFmtId="0" fontId="26" fillId="8" borderId="28" xfId="0" applyFont="1" applyFill="1" applyBorder="1"/>
    <xf numFmtId="0" fontId="26" fillId="8" borderId="29" xfId="0" applyFont="1" applyFill="1" applyBorder="1"/>
    <xf numFmtId="2" fontId="26" fillId="8" borderId="29" xfId="0" applyNumberFormat="1" applyFont="1" applyFill="1" applyBorder="1"/>
    <xf numFmtId="2" fontId="26" fillId="8" borderId="30" xfId="0" applyNumberFormat="1" applyFont="1" applyFill="1" applyBorder="1"/>
    <xf numFmtId="0" fontId="27" fillId="0" borderId="0" xfId="0" applyFont="1"/>
    <xf numFmtId="0" fontId="27" fillId="0" borderId="5" xfId="0" applyFont="1" applyBorder="1"/>
    <xf numFmtId="1" fontId="27" fillId="2" borderId="5" xfId="0" applyNumberFormat="1" applyFont="1" applyFill="1" applyBorder="1"/>
    <xf numFmtId="0" fontId="27" fillId="0" borderId="5" xfId="0" applyFont="1" applyBorder="1" applyAlignment="1">
      <alignment wrapText="1"/>
    </xf>
    <xf numFmtId="2" fontId="27" fillId="0" borderId="5" xfId="0" applyNumberFormat="1" applyFont="1" applyBorder="1"/>
    <xf numFmtId="2" fontId="27" fillId="0" borderId="0" xfId="0" applyNumberFormat="1" applyFont="1"/>
    <xf numFmtId="1" fontId="27" fillId="0" borderId="0" xfId="0" applyNumberFormat="1" applyFont="1"/>
    <xf numFmtId="164" fontId="29" fillId="0" borderId="5" xfId="4" applyNumberFormat="1" applyBorder="1" applyAlignment="1">
      <alignment horizontal="center" vertical="center"/>
    </xf>
    <xf numFmtId="164" fontId="3" fillId="0" borderId="10" xfId="1" applyFont="1" applyBorder="1" applyAlignment="1">
      <alignment horizontal="center" vertical="top"/>
    </xf>
    <xf numFmtId="0" fontId="14" fillId="5" borderId="5" xfId="0" applyFont="1" applyFill="1" applyBorder="1" applyAlignment="1">
      <alignment horizontal="right" vertical="center"/>
    </xf>
    <xf numFmtId="0" fontId="13" fillId="3" borderId="5" xfId="0" applyFont="1" applyFill="1" applyBorder="1" applyAlignment="1">
      <alignment horizontal="right" vertical="center" wrapText="1"/>
    </xf>
    <xf numFmtId="2" fontId="13" fillId="3" borderId="5" xfId="0" applyNumberFormat="1" applyFont="1" applyFill="1" applyBorder="1" applyAlignment="1">
      <alignment horizontal="right" vertical="center" wrapText="1"/>
    </xf>
    <xf numFmtId="0" fontId="13" fillId="3" borderId="5" xfId="0" applyFont="1" applyFill="1" applyBorder="1" applyAlignment="1">
      <alignment horizontal="right" vertical="center"/>
    </xf>
    <xf numFmtId="2" fontId="13" fillId="3" borderId="5" xfId="0" applyNumberFormat="1" applyFont="1" applyFill="1" applyBorder="1" applyAlignment="1">
      <alignment horizontal="right" vertical="center"/>
    </xf>
    <xf numFmtId="43" fontId="13" fillId="3" borderId="5" xfId="0" applyNumberFormat="1" applyFont="1" applyFill="1" applyBorder="1" applyAlignment="1">
      <alignment horizontal="right" vertical="center"/>
    </xf>
    <xf numFmtId="0" fontId="22" fillId="6" borderId="13" xfId="0" applyFont="1" applyFill="1" applyBorder="1" applyAlignment="1">
      <alignment horizontal="right"/>
    </xf>
    <xf numFmtId="2" fontId="21" fillId="6" borderId="21" xfId="0" applyNumberFormat="1" applyFont="1" applyFill="1" applyBorder="1" applyAlignment="1">
      <alignment horizontal="right"/>
    </xf>
    <xf numFmtId="2" fontId="21" fillId="6" borderId="11" xfId="0" applyNumberFormat="1" applyFont="1" applyFill="1" applyBorder="1" applyAlignment="1">
      <alignment horizontal="right"/>
    </xf>
    <xf numFmtId="2" fontId="0" fillId="0" borderId="5" xfId="0" applyNumberFormat="1" applyBorder="1" applyAlignment="1">
      <alignment horizontal="right"/>
    </xf>
    <xf numFmtId="2" fontId="0" fillId="2" borderId="5" xfId="0" applyNumberFormat="1" applyFill="1" applyBorder="1" applyAlignment="1">
      <alignment horizontal="right"/>
    </xf>
    <xf numFmtId="2" fontId="0" fillId="0" borderId="13" xfId="0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Border="1" applyAlignment="1">
      <alignment horizontal="right"/>
    </xf>
    <xf numFmtId="0" fontId="0" fillId="0" borderId="13" xfId="0" applyBorder="1" applyAlignment="1">
      <alignment horizontal="right"/>
    </xf>
    <xf numFmtId="2" fontId="4" fillId="2" borderId="11" xfId="0" applyNumberFormat="1" applyFont="1" applyFill="1" applyBorder="1" applyAlignment="1">
      <alignment vertical="center"/>
    </xf>
    <xf numFmtId="2" fontId="4" fillId="2" borderId="5" xfId="0" applyNumberFormat="1" applyFont="1" applyFill="1" applyBorder="1" applyAlignment="1">
      <alignment vertical="center"/>
    </xf>
    <xf numFmtId="43" fontId="5" fillId="2" borderId="12" xfId="0" applyNumberFormat="1" applyFont="1" applyFill="1" applyBorder="1" applyAlignment="1">
      <alignment horizontal="center" vertical="center"/>
    </xf>
    <xf numFmtId="164" fontId="30" fillId="0" borderId="5" xfId="1" applyFont="1" applyBorder="1" applyAlignment="1"/>
    <xf numFmtId="0" fontId="25" fillId="0" borderId="5" xfId="0" applyFont="1" applyBorder="1"/>
    <xf numFmtId="1" fontId="27" fillId="2" borderId="0" xfId="1" applyNumberFormat="1" applyFont="1" applyFill="1" applyBorder="1" applyAlignment="1">
      <alignment vertical="center"/>
    </xf>
    <xf numFmtId="170" fontId="5" fillId="2" borderId="5" xfId="0" applyNumberFormat="1" applyFont="1" applyFill="1" applyBorder="1" applyAlignment="1">
      <alignment horizontal="center" vertical="center"/>
    </xf>
    <xf numFmtId="170" fontId="0" fillId="0" borderId="11" xfId="0" applyNumberFormat="1" applyBorder="1"/>
    <xf numFmtId="43" fontId="31" fillId="0" borderId="0" xfId="0" applyNumberFormat="1" applyFont="1"/>
    <xf numFmtId="2" fontId="13" fillId="3" borderId="17" xfId="0" applyNumberFormat="1" applyFont="1" applyFill="1" applyBorder="1" applyAlignment="1">
      <alignment horizontal="center" vertical="center"/>
    </xf>
    <xf numFmtId="2" fontId="0" fillId="0" borderId="11" xfId="0" applyNumberFormat="1" applyBorder="1"/>
    <xf numFmtId="2" fontId="0" fillId="2" borderId="11" xfId="0" applyNumberFormat="1" applyFill="1" applyBorder="1" applyAlignment="1">
      <alignment horizontal="right"/>
    </xf>
    <xf numFmtId="0" fontId="0" fillId="2" borderId="10" xfId="0" applyFill="1" applyBorder="1"/>
    <xf numFmtId="0" fontId="18" fillId="0" borderId="12" xfId="0" applyFont="1" applyBorder="1"/>
    <xf numFmtId="2" fontId="21" fillId="6" borderId="25" xfId="0" applyNumberFormat="1" applyFont="1" applyFill="1" applyBorder="1" applyAlignment="1">
      <alignment horizontal="right"/>
    </xf>
    <xf numFmtId="2" fontId="0" fillId="2" borderId="12" xfId="0" applyNumberFormat="1" applyFill="1" applyBorder="1" applyAlignment="1">
      <alignment horizontal="right"/>
    </xf>
    <xf numFmtId="0" fontId="18" fillId="0" borderId="13" xfId="0" applyFont="1" applyBorder="1"/>
    <xf numFmtId="0" fontId="3" fillId="2" borderId="31" xfId="0" applyFont="1" applyFill="1" applyBorder="1"/>
    <xf numFmtId="2" fontId="0" fillId="0" borderId="24" xfId="0" applyNumberFormat="1" applyBorder="1" applyAlignment="1">
      <alignment horizontal="right"/>
    </xf>
    <xf numFmtId="0" fontId="18" fillId="0" borderId="11" xfId="0" applyFont="1" applyBorder="1"/>
    <xf numFmtId="0" fontId="18" fillId="2" borderId="13" xfId="0" applyFont="1" applyFill="1" applyBorder="1"/>
    <xf numFmtId="0" fontId="18" fillId="2" borderId="12" xfId="0" applyFont="1" applyFill="1" applyBorder="1"/>
    <xf numFmtId="166" fontId="30" fillId="0" borderId="5" xfId="0" applyNumberFormat="1" applyFont="1" applyBorder="1" applyAlignment="1">
      <alignment horizontal="center"/>
    </xf>
    <xf numFmtId="2" fontId="3" fillId="0" borderId="3" xfId="1" applyNumberFormat="1" applyFont="1" applyBorder="1" applyAlignment="1">
      <alignment vertical="center"/>
    </xf>
    <xf numFmtId="166" fontId="30" fillId="0" borderId="5" xfId="0" applyNumberFormat="1" applyFont="1" applyBorder="1" applyAlignment="1">
      <alignment horizontal="center" vertical="center"/>
    </xf>
    <xf numFmtId="0" fontId="26" fillId="8" borderId="5" xfId="0" applyFont="1" applyFill="1" applyBorder="1"/>
    <xf numFmtId="2" fontId="26" fillId="8" borderId="5" xfId="0" applyNumberFormat="1" applyFont="1" applyFill="1" applyBorder="1"/>
    <xf numFmtId="0" fontId="27" fillId="10" borderId="5" xfId="0" applyFont="1" applyFill="1" applyBorder="1"/>
    <xf numFmtId="164" fontId="30" fillId="0" borderId="5" xfId="1" applyFont="1" applyBorder="1" applyAlignment="1">
      <alignment vertical="center"/>
    </xf>
    <xf numFmtId="0" fontId="0" fillId="0" borderId="5" xfId="0" applyBorder="1" applyAlignment="1">
      <alignment horizontal="left"/>
    </xf>
    <xf numFmtId="0" fontId="18" fillId="0" borderId="0" xfId="0" applyFont="1"/>
    <xf numFmtId="2" fontId="0" fillId="2" borderId="13" xfId="0" applyNumberFormat="1" applyFill="1" applyBorder="1" applyAlignment="1">
      <alignment horizontal="right"/>
    </xf>
    <xf numFmtId="0" fontId="31" fillId="0" borderId="0" xfId="0" applyFont="1"/>
    <xf numFmtId="0" fontId="0" fillId="0" borderId="11" xfId="0" applyBorder="1" applyAlignment="1">
      <alignment horizontal="right"/>
    </xf>
    <xf numFmtId="0" fontId="0" fillId="0" borderId="24" xfId="0" applyBorder="1" applyAlignment="1">
      <alignment horizontal="right"/>
    </xf>
    <xf numFmtId="1" fontId="0" fillId="0" borderId="0" xfId="0" applyNumberFormat="1"/>
    <xf numFmtId="0" fontId="25" fillId="0" borderId="5" xfId="0" applyFont="1" applyBorder="1" applyAlignment="1">
      <alignment horizontal="center" vertical="center"/>
    </xf>
    <xf numFmtId="0" fontId="30" fillId="0" borderId="5" xfId="0" applyFont="1" applyBorder="1"/>
    <xf numFmtId="0" fontId="0" fillId="0" borderId="2" xfId="0" applyBorder="1" applyAlignment="1">
      <alignment horizontal="center" vertical="center"/>
    </xf>
    <xf numFmtId="0" fontId="18" fillId="0" borderId="33" xfId="0" applyFont="1" applyBorder="1"/>
    <xf numFmtId="15" fontId="18" fillId="2" borderId="10" xfId="0" applyNumberFormat="1" applyFont="1" applyFill="1" applyBorder="1"/>
    <xf numFmtId="164" fontId="3" fillId="0" borderId="10" xfId="0" applyNumberFormat="1" applyFont="1" applyBorder="1" applyAlignment="1">
      <alignment vertical="center"/>
    </xf>
    <xf numFmtId="166" fontId="3" fillId="0" borderId="13" xfId="0" applyNumberFormat="1" applyFont="1" applyBorder="1"/>
    <xf numFmtId="166" fontId="3" fillId="0" borderId="12" xfId="0" applyNumberFormat="1" applyFont="1" applyBorder="1"/>
    <xf numFmtId="164" fontId="3" fillId="0" borderId="13" xfId="1" applyFont="1" applyBorder="1" applyAlignment="1">
      <alignment horizontal="center" vertical="top"/>
    </xf>
    <xf numFmtId="169" fontId="3" fillId="0" borderId="5" xfId="0" applyNumberFormat="1" applyFont="1" applyBorder="1" applyAlignment="1">
      <alignment vertical="center"/>
    </xf>
    <xf numFmtId="164" fontId="10" fillId="2" borderId="5" xfId="1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/>
    </xf>
    <xf numFmtId="166" fontId="3" fillId="0" borderId="11" xfId="0" applyNumberFormat="1" applyFont="1" applyBorder="1" applyAlignment="1">
      <alignment horizontal="center"/>
    </xf>
    <xf numFmtId="0" fontId="3" fillId="0" borderId="12" xfId="0" applyFont="1" applyBorder="1"/>
    <xf numFmtId="164" fontId="19" fillId="0" borderId="2" xfId="1" applyFont="1" applyBorder="1" applyAlignment="1">
      <alignment horizontal="center"/>
    </xf>
    <xf numFmtId="16" fontId="0" fillId="0" borderId="0" xfId="0" applyNumberFormat="1"/>
    <xf numFmtId="0" fontId="18" fillId="0" borderId="5" xfId="0" applyFont="1" applyBorder="1" applyAlignment="1">
      <alignment wrapText="1"/>
    </xf>
    <xf numFmtId="2" fontId="0" fillId="2" borderId="33" xfId="0" applyNumberFormat="1" applyFill="1" applyBorder="1" applyAlignment="1">
      <alignment horizontal="right"/>
    </xf>
    <xf numFmtId="0" fontId="18" fillId="2" borderId="33" xfId="0" applyFont="1" applyFill="1" applyBorder="1"/>
    <xf numFmtId="0" fontId="27" fillId="0" borderId="11" xfId="0" applyFont="1" applyBorder="1"/>
    <xf numFmtId="0" fontId="27" fillId="10" borderId="0" xfId="0" applyFont="1" applyFill="1"/>
    <xf numFmtId="0" fontId="27" fillId="11" borderId="0" xfId="0" applyFont="1" applyFill="1"/>
    <xf numFmtId="166" fontId="30" fillId="0" borderId="5" xfId="0" applyNumberFormat="1" applyFont="1" applyBorder="1" applyAlignment="1">
      <alignment horizontal="left" indent="2"/>
    </xf>
    <xf numFmtId="0" fontId="3" fillId="0" borderId="5" xfId="0" applyFont="1" applyBorder="1" applyAlignment="1">
      <alignment horizontal="left" indent="2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33" fillId="0" borderId="5" xfId="0" applyFont="1" applyBorder="1"/>
    <xf numFmtId="0" fontId="3" fillId="2" borderId="11" xfId="0" applyFont="1" applyFill="1" applyBorder="1"/>
    <xf numFmtId="0" fontId="27" fillId="0" borderId="31" xfId="0" applyFont="1" applyBorder="1" applyAlignment="1">
      <alignment horizontal="center"/>
    </xf>
    <xf numFmtId="1" fontId="27" fillId="2" borderId="34" xfId="0" applyNumberFormat="1" applyFont="1" applyFill="1" applyBorder="1"/>
    <xf numFmtId="1" fontId="27" fillId="9" borderId="38" xfId="0" applyNumberFormat="1" applyFont="1" applyFill="1" applyBorder="1"/>
    <xf numFmtId="1" fontId="27" fillId="9" borderId="39" xfId="0" applyNumberFormat="1" applyFont="1" applyFill="1" applyBorder="1"/>
    <xf numFmtId="14" fontId="32" fillId="0" borderId="5" xfId="0" applyNumberFormat="1" applyFont="1" applyBorder="1" applyAlignment="1">
      <alignment horizontal="center"/>
    </xf>
    <xf numFmtId="15" fontId="18" fillId="2" borderId="23" xfId="0" applyNumberFormat="1" applyFont="1" applyFill="1" applyBorder="1"/>
    <xf numFmtId="0" fontId="26" fillId="8" borderId="41" xfId="0" applyFont="1" applyFill="1" applyBorder="1"/>
    <xf numFmtId="0" fontId="27" fillId="0" borderId="10" xfId="0" applyFont="1" applyBorder="1"/>
    <xf numFmtId="0" fontId="27" fillId="0" borderId="10" xfId="0" applyFont="1" applyBorder="1" applyAlignment="1">
      <alignment wrapText="1"/>
    </xf>
    <xf numFmtId="0" fontId="27" fillId="0" borderId="21" xfId="0" applyFont="1" applyBorder="1"/>
    <xf numFmtId="0" fontId="3" fillId="2" borderId="42" xfId="0" applyFont="1" applyFill="1" applyBorder="1"/>
    <xf numFmtId="0" fontId="3" fillId="2" borderId="21" xfId="0" applyFont="1" applyFill="1" applyBorder="1"/>
    <xf numFmtId="2" fontId="27" fillId="0" borderId="10" xfId="0" applyNumberFormat="1" applyFont="1" applyBorder="1"/>
    <xf numFmtId="1" fontId="0" fillId="0" borderId="5" xfId="0" applyNumberFormat="1" applyBorder="1"/>
    <xf numFmtId="0" fontId="27" fillId="0" borderId="43" xfId="0" applyFont="1" applyBorder="1" applyAlignment="1">
      <alignment horizontal="center"/>
    </xf>
    <xf numFmtId="2" fontId="27" fillId="0" borderId="13" xfId="0" applyNumberFormat="1" applyFont="1" applyBorder="1"/>
    <xf numFmtId="2" fontId="27" fillId="0" borderId="23" xfId="0" applyNumberFormat="1" applyFont="1" applyBorder="1"/>
    <xf numFmtId="171" fontId="0" fillId="0" borderId="0" xfId="0" applyNumberFormat="1"/>
    <xf numFmtId="0" fontId="18" fillId="0" borderId="44" xfId="0" applyFont="1" applyBorder="1"/>
    <xf numFmtId="0" fontId="34" fillId="8" borderId="5" xfId="0" applyFont="1" applyFill="1" applyBorder="1"/>
    <xf numFmtId="1" fontId="27" fillId="2" borderId="13" xfId="0" applyNumberFormat="1" applyFont="1" applyFill="1" applyBorder="1"/>
    <xf numFmtId="2" fontId="25" fillId="0" borderId="5" xfId="0" applyNumberFormat="1" applyFont="1" applyBorder="1"/>
    <xf numFmtId="0" fontId="35" fillId="0" borderId="12" xfId="0" applyFont="1" applyBorder="1" applyAlignment="1">
      <alignment horizontal="center" vertical="top"/>
    </xf>
    <xf numFmtId="0" fontId="35" fillId="0" borderId="5" xfId="0" applyFont="1" applyBorder="1" applyAlignment="1">
      <alignment horizontal="center" vertical="top"/>
    </xf>
    <xf numFmtId="0" fontId="0" fillId="10" borderId="5" xfId="0" applyFill="1" applyBorder="1"/>
    <xf numFmtId="0" fontId="14" fillId="5" borderId="9" xfId="0" applyFont="1" applyFill="1" applyBorder="1" applyAlignment="1">
      <alignment horizontal="center" vertical="center"/>
    </xf>
    <xf numFmtId="4" fontId="18" fillId="0" borderId="11" xfId="0" applyNumberFormat="1" applyFont="1" applyBorder="1"/>
    <xf numFmtId="0" fontId="27" fillId="0" borderId="24" xfId="0" applyFont="1" applyBorder="1" applyAlignment="1">
      <alignment horizontal="center"/>
    </xf>
    <xf numFmtId="1" fontId="3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2" fontId="9" fillId="4" borderId="46" xfId="0" applyNumberFormat="1" applyFont="1" applyFill="1" applyBorder="1" applyAlignment="1">
      <alignment horizontal="center" vertical="center"/>
    </xf>
    <xf numFmtId="164" fontId="9" fillId="4" borderId="46" xfId="1" applyFont="1" applyFill="1" applyBorder="1" applyAlignment="1">
      <alignment horizontal="center" vertical="center"/>
    </xf>
    <xf numFmtId="164" fontId="9" fillId="4" borderId="47" xfId="1" applyFont="1" applyFill="1" applyBorder="1" applyAlignment="1">
      <alignment horizontal="center" vertical="center"/>
    </xf>
    <xf numFmtId="164" fontId="9" fillId="4" borderId="48" xfId="1" applyFont="1" applyFill="1" applyBorder="1" applyAlignment="1">
      <alignment horizontal="center" vertical="center"/>
    </xf>
    <xf numFmtId="164" fontId="10" fillId="0" borderId="0" xfId="1" applyFont="1" applyAlignment="1">
      <alignment horizontal="center" vertical="center"/>
    </xf>
    <xf numFmtId="0" fontId="17" fillId="0" borderId="0" xfId="0" applyFont="1"/>
    <xf numFmtId="15" fontId="18" fillId="2" borderId="27" xfId="0" applyNumberFormat="1" applyFont="1" applyFill="1" applyBorder="1"/>
    <xf numFmtId="0" fontId="18" fillId="0" borderId="12" xfId="0" applyFont="1" applyBorder="1" applyAlignment="1">
      <alignment wrapText="1"/>
    </xf>
    <xf numFmtId="2" fontId="0" fillId="10" borderId="5" xfId="0" applyNumberFormat="1" applyFill="1" applyBorder="1"/>
    <xf numFmtId="1" fontId="27" fillId="2" borderId="5" xfId="1" applyNumberFormat="1" applyFont="1" applyFill="1" applyBorder="1" applyAlignment="1">
      <alignment vertical="center"/>
    </xf>
    <xf numFmtId="1" fontId="27" fillId="2" borderId="10" xfId="0" applyNumberFormat="1" applyFont="1" applyFill="1" applyBorder="1"/>
    <xf numFmtId="1" fontId="27" fillId="2" borderId="11" xfId="0" applyNumberFormat="1" applyFont="1" applyFill="1" applyBorder="1"/>
    <xf numFmtId="1" fontId="27" fillId="2" borderId="17" xfId="1" applyNumberFormat="1" applyFont="1" applyFill="1" applyBorder="1" applyAlignment="1">
      <alignment vertical="center"/>
    </xf>
    <xf numFmtId="0" fontId="18" fillId="0" borderId="10" xfId="0" applyFont="1" applyBorder="1"/>
    <xf numFmtId="0" fontId="18" fillId="2" borderId="10" xfId="0" applyFont="1" applyFill="1" applyBorder="1"/>
    <xf numFmtId="0" fontId="18" fillId="0" borderId="27" xfId="0" applyFont="1" applyBorder="1"/>
    <xf numFmtId="0" fontId="0" fillId="2" borderId="0" xfId="0" applyFill="1"/>
    <xf numFmtId="2" fontId="36" fillId="2" borderId="5" xfId="0" applyNumberFormat="1" applyFont="1" applyFill="1" applyBorder="1" applyAlignment="1">
      <alignment horizontal="center" vertical="center"/>
    </xf>
    <xf numFmtId="171" fontId="0" fillId="0" borderId="5" xfId="0" applyNumberFormat="1" applyBorder="1"/>
    <xf numFmtId="0" fontId="36" fillId="12" borderId="5" xfId="0" applyFont="1" applyFill="1" applyBorder="1" applyAlignment="1">
      <alignment horizontal="center" vertical="center" wrapText="1"/>
    </xf>
    <xf numFmtId="2" fontId="36" fillId="12" borderId="5" xfId="0" applyNumberFormat="1" applyFont="1" applyFill="1" applyBorder="1" applyAlignment="1">
      <alignment horizontal="left" vertical="center" wrapText="1"/>
    </xf>
    <xf numFmtId="2" fontId="36" fillId="12" borderId="5" xfId="0" applyNumberFormat="1" applyFont="1" applyFill="1" applyBorder="1" applyAlignment="1">
      <alignment horizontal="center" vertical="center" wrapText="1"/>
    </xf>
    <xf numFmtId="2" fontId="36" fillId="12" borderId="5" xfId="0" applyNumberFormat="1" applyFont="1" applyFill="1" applyBorder="1" applyAlignment="1">
      <alignment horizontal="center" vertical="center"/>
    </xf>
    <xf numFmtId="14" fontId="36" fillId="12" borderId="5" xfId="0" applyNumberFormat="1" applyFont="1" applyFill="1" applyBorder="1" applyAlignment="1">
      <alignment horizontal="center" vertical="center"/>
    </xf>
    <xf numFmtId="0" fontId="36" fillId="2" borderId="5" xfId="0" applyFont="1" applyFill="1" applyBorder="1" applyAlignment="1">
      <alignment horizontal="center" vertical="center" wrapText="1"/>
    </xf>
    <xf numFmtId="2" fontId="36" fillId="2" borderId="5" xfId="0" applyNumberFormat="1" applyFont="1" applyFill="1" applyBorder="1" applyAlignment="1">
      <alignment horizontal="left" vertical="center" wrapText="1"/>
    </xf>
    <xf numFmtId="2" fontId="36" fillId="2" borderId="5" xfId="0" applyNumberFormat="1" applyFont="1" applyFill="1" applyBorder="1" applyAlignment="1">
      <alignment horizontal="center" vertical="center" wrapText="1"/>
    </xf>
    <xf numFmtId="2" fontId="39" fillId="2" borderId="5" xfId="0" applyNumberFormat="1" applyFont="1" applyFill="1" applyBorder="1" applyAlignment="1">
      <alignment horizontal="center" vertical="center" wrapText="1"/>
    </xf>
    <xf numFmtId="14" fontId="36" fillId="2" borderId="5" xfId="0" applyNumberFormat="1" applyFont="1" applyFill="1" applyBorder="1" applyAlignment="1">
      <alignment horizontal="center" vertical="center"/>
    </xf>
    <xf numFmtId="0" fontId="38" fillId="7" borderId="5" xfId="0" applyFont="1" applyFill="1" applyBorder="1"/>
    <xf numFmtId="0" fontId="38" fillId="6" borderId="5" xfId="0" applyFont="1" applyFill="1" applyBorder="1"/>
    <xf numFmtId="171" fontId="18" fillId="0" borderId="5" xfId="0" applyNumberFormat="1" applyFont="1" applyBorder="1"/>
    <xf numFmtId="0" fontId="38" fillId="9" borderId="5" xfId="0" applyFont="1" applyFill="1" applyBorder="1"/>
    <xf numFmtId="0" fontId="18" fillId="0" borderId="21" xfId="0" applyFont="1" applyBorder="1"/>
    <xf numFmtId="166" fontId="25" fillId="0" borderId="5" xfId="0" applyNumberFormat="1" applyFont="1" applyBorder="1" applyAlignment="1">
      <alignment horizontal="left" indent="1"/>
    </xf>
    <xf numFmtId="4" fontId="0" fillId="0" borderId="5" xfId="0" applyNumberFormat="1" applyBorder="1" applyAlignment="1">
      <alignment horizontal="right"/>
    </xf>
    <xf numFmtId="2" fontId="5" fillId="0" borderId="13" xfId="0" applyNumberFormat="1" applyFont="1" applyBorder="1"/>
    <xf numFmtId="0" fontId="3" fillId="0" borderId="23" xfId="0" applyFont="1" applyBorder="1"/>
    <xf numFmtId="0" fontId="3" fillId="0" borderId="5" xfId="0" quotePrefix="1" applyFont="1" applyBorder="1" applyAlignment="1">
      <alignment horizontal="center"/>
    </xf>
    <xf numFmtId="2" fontId="5" fillId="0" borderId="24" xfId="0" applyNumberFormat="1" applyFont="1" applyBorder="1"/>
    <xf numFmtId="0" fontId="40" fillId="0" borderId="5" xfId="0" applyFont="1" applyBorder="1"/>
    <xf numFmtId="0" fontId="3" fillId="0" borderId="5" xfId="0" quotePrefix="1" applyFont="1" applyBorder="1"/>
    <xf numFmtId="0" fontId="3" fillId="0" borderId="12" xfId="0" quotePrefix="1" applyFont="1" applyBorder="1" applyAlignment="1">
      <alignment horizontal="center"/>
    </xf>
    <xf numFmtId="0" fontId="40" fillId="0" borderId="12" xfId="0" applyFont="1" applyBorder="1"/>
    <xf numFmtId="0" fontId="3" fillId="0" borderId="24" xfId="0" applyFont="1" applyBorder="1"/>
    <xf numFmtId="1" fontId="3" fillId="0" borderId="5" xfId="0" quotePrefix="1" applyNumberFormat="1" applyFont="1" applyBorder="1"/>
    <xf numFmtId="0" fontId="3" fillId="0" borderId="13" xfId="0" quotePrefix="1" applyFont="1" applyBorder="1"/>
    <xf numFmtId="0" fontId="3" fillId="0" borderId="13" xfId="0" quotePrefix="1" applyFont="1" applyBorder="1" applyAlignment="1">
      <alignment horizontal="center"/>
    </xf>
    <xf numFmtId="2" fontId="3" fillId="0" borderId="40" xfId="0" applyNumberFormat="1" applyFont="1" applyBorder="1"/>
    <xf numFmtId="0" fontId="41" fillId="0" borderId="0" xfId="0" applyFont="1"/>
    <xf numFmtId="2" fontId="5" fillId="0" borderId="5" xfId="0" applyNumberFormat="1" applyFont="1" applyBorder="1"/>
    <xf numFmtId="43" fontId="9" fillId="0" borderId="0" xfId="0" applyNumberFormat="1" applyFont="1" applyAlignment="1">
      <alignment horizontal="center" vertical="center"/>
    </xf>
    <xf numFmtId="2" fontId="0" fillId="0" borderId="33" xfId="0" applyNumberFormat="1" applyBorder="1" applyAlignment="1">
      <alignment horizontal="right"/>
    </xf>
    <xf numFmtId="0" fontId="18" fillId="2" borderId="24" xfId="0" applyFont="1" applyFill="1" applyBorder="1"/>
    <xf numFmtId="0" fontId="4" fillId="0" borderId="0" xfId="0" applyFont="1" applyAlignment="1">
      <alignment horizontal="center" vertical="center"/>
    </xf>
    <xf numFmtId="0" fontId="14" fillId="5" borderId="9" xfId="0" applyFont="1" applyFill="1" applyBorder="1" applyAlignment="1">
      <alignment horizontal="center"/>
    </xf>
    <xf numFmtId="0" fontId="28" fillId="9" borderId="35" xfId="0" applyFont="1" applyFill="1" applyBorder="1" applyAlignment="1">
      <alignment horizontal="center"/>
    </xf>
    <xf numFmtId="0" fontId="28" fillId="9" borderId="36" xfId="0" applyFont="1" applyFill="1" applyBorder="1" applyAlignment="1">
      <alignment horizontal="center"/>
    </xf>
    <xf numFmtId="0" fontId="28" fillId="9" borderId="37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14" fillId="5" borderId="9" xfId="0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2" fontId="36" fillId="12" borderId="5" xfId="0" applyNumberFormat="1" applyFont="1" applyFill="1" applyBorder="1" applyAlignment="1">
      <alignment horizontal="center" vertical="center"/>
    </xf>
    <xf numFmtId="0" fontId="37" fillId="0" borderId="5" xfId="0" applyFont="1" applyBorder="1" applyAlignment="1">
      <alignment horizontal="center"/>
    </xf>
    <xf numFmtId="0" fontId="37" fillId="0" borderId="5" xfId="0" applyFont="1" applyBorder="1" applyAlignment="1">
      <alignment horizontal="center" vertical="center"/>
    </xf>
    <xf numFmtId="0" fontId="14" fillId="5" borderId="5" xfId="0" applyFont="1" applyFill="1" applyBorder="1" applyAlignment="1">
      <alignment horizontal="center"/>
    </xf>
    <xf numFmtId="0" fontId="17" fillId="0" borderId="13" xfId="0" applyFont="1" applyBorder="1" applyAlignment="1">
      <alignment horizontal="center"/>
    </xf>
    <xf numFmtId="0" fontId="17" fillId="0" borderId="23" xfId="0" applyFont="1" applyBorder="1" applyAlignment="1">
      <alignment horizontal="center"/>
    </xf>
    <xf numFmtId="0" fontId="17" fillId="0" borderId="25" xfId="0" applyFont="1" applyBorder="1" applyAlignment="1">
      <alignment horizontal="center"/>
    </xf>
    <xf numFmtId="0" fontId="3" fillId="0" borderId="0" xfId="0" applyFont="1" applyAlignment="1">
      <alignment vertical="center"/>
    </xf>
    <xf numFmtId="0" fontId="14" fillId="5" borderId="45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7" fillId="0" borderId="24" xfId="0" applyFont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7" fillId="0" borderId="22" xfId="0" applyFont="1" applyBorder="1" applyAlignment="1">
      <alignment horizontal="center"/>
    </xf>
    <xf numFmtId="0" fontId="14" fillId="5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5" borderId="9" xfId="0" applyFont="1" applyFill="1" applyBorder="1" applyAlignment="1">
      <alignment horizontal="center"/>
    </xf>
    <xf numFmtId="0" fontId="13" fillId="5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center"/>
    </xf>
    <xf numFmtId="0" fontId="14" fillId="5" borderId="5" xfId="0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4" xfId="0" applyBorder="1" applyAlignment="1">
      <alignment horizontal="center"/>
    </xf>
    <xf numFmtId="0" fontId="14" fillId="5" borderId="0" xfId="0" applyFont="1" applyFill="1" applyAlignment="1">
      <alignment horizontal="center" wrapText="1"/>
    </xf>
    <xf numFmtId="0" fontId="4" fillId="0" borderId="21" xfId="0" applyFont="1" applyBorder="1" applyAlignment="1">
      <alignment horizontal="center"/>
    </xf>
    <xf numFmtId="0" fontId="14" fillId="5" borderId="0" xfId="0" applyFont="1" applyFill="1" applyAlignment="1">
      <alignment horizontal="center"/>
    </xf>
    <xf numFmtId="43" fontId="4" fillId="0" borderId="0" xfId="0" applyNumberFormat="1" applyFont="1" applyAlignment="1">
      <alignment horizontal="center" vertical="center"/>
    </xf>
    <xf numFmtId="2" fontId="14" fillId="5" borderId="10" xfId="0" applyNumberFormat="1" applyFont="1" applyFill="1" applyBorder="1" applyAlignment="1">
      <alignment horizontal="center" vertical="center"/>
    </xf>
    <xf numFmtId="2" fontId="14" fillId="5" borderId="21" xfId="0" applyNumberFormat="1" applyFont="1" applyFill="1" applyBorder="1" applyAlignment="1">
      <alignment horizontal="center" vertical="center"/>
    </xf>
    <xf numFmtId="2" fontId="14" fillId="5" borderId="11" xfId="0" applyNumberFormat="1" applyFont="1" applyFill="1" applyBorder="1" applyAlignment="1">
      <alignment horizontal="center" vertical="center"/>
    </xf>
    <xf numFmtId="2" fontId="4" fillId="2" borderId="10" xfId="0" applyNumberFormat="1" applyFont="1" applyFill="1" applyBorder="1" applyAlignment="1">
      <alignment horizontal="center" vertical="center"/>
    </xf>
    <xf numFmtId="2" fontId="4" fillId="2" borderId="21" xfId="0" applyNumberFormat="1" applyFont="1" applyFill="1" applyBorder="1" applyAlignment="1">
      <alignment horizontal="center" vertical="center"/>
    </xf>
    <xf numFmtId="2" fontId="4" fillId="2" borderId="11" xfId="0" applyNumberFormat="1" applyFont="1" applyFill="1" applyBorder="1" applyAlignment="1">
      <alignment horizontal="center" vertical="center"/>
    </xf>
    <xf numFmtId="2" fontId="14" fillId="5" borderId="5" xfId="0" applyNumberFormat="1" applyFont="1" applyFill="1" applyBorder="1" applyAlignment="1">
      <alignment horizontal="center" vertical="center"/>
    </xf>
    <xf numFmtId="2" fontId="4" fillId="2" borderId="5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43" fontId="4" fillId="2" borderId="10" xfId="0" applyNumberFormat="1" applyFont="1" applyFill="1" applyBorder="1" applyAlignment="1">
      <alignment horizontal="center" vertical="center"/>
    </xf>
    <xf numFmtId="43" fontId="4" fillId="2" borderId="11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</cellXfs>
  <cellStyles count="5">
    <cellStyle name="Comma" xfId="1" builtinId="3"/>
    <cellStyle name="Comma 3" xfId="2" xr:uid="{00000000-0005-0000-0000-000001000000}"/>
    <cellStyle name="Comma 4" xfId="3" xr:uid="{00000000-0005-0000-0000-000002000000}"/>
    <cellStyle name="Hyperlink" xfId="4" builtinId="8"/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  <dxf>
      <font>
        <color rgb="FF9C0006"/>
      </font>
      <fill>
        <patternFill patternType="solid">
          <bgColor theme="5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eetMetadata" Target="metadata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S" id="{ECDA2E53-E796-4FA2-B0EA-83016F93297E}" userId="S::mis@civetprojects.com::385d0a88-2879-4baf-a915-f9a0490de5d8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8" dT="2025-12-26T05:17:28.75" personId="{ECDA2E53-E796-4FA2-B0EA-83016F93297E}" id="{4E9CF956-EFA3-4175-A59C-0ACB55EBD985}">
    <text>Civet:
Hydraulic Oil VG 68 - 26 Ltr</text>
  </threadedComment>
</ThreadedComment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civetprojectss-my.sharepoint.com/:x:/g/personal/mis_civetprojects_com/EaN7JETNVtRCqKO_Lcark7UBOl55m2ikPSDC63AQ1xDxNg?e=f6qb82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00C14-FF28-4670-9BCC-E8E660C202C7}">
  <dimension ref="A1:N76"/>
  <sheetViews>
    <sheetView workbookViewId="0">
      <selection activeCell="A12" sqref="A12:XFD12"/>
    </sheetView>
  </sheetViews>
  <sheetFormatPr defaultColWidth="8.28515625" defaultRowHeight="15.75"/>
  <cols>
    <col min="1" max="1" width="8.28515625" style="280"/>
    <col min="2" max="2" width="25" style="280" customWidth="1"/>
    <col min="3" max="3" width="34.5703125" style="280" bestFit="1" customWidth="1"/>
    <col min="4" max="4" width="14.85546875" style="280" customWidth="1"/>
    <col min="5" max="5" width="15.42578125" style="280" customWidth="1"/>
    <col min="6" max="6" width="14.5703125" style="280" customWidth="1"/>
    <col min="7" max="7" width="16.5703125" style="280" customWidth="1"/>
    <col min="8" max="8" width="23.5703125" style="280" customWidth="1"/>
    <col min="9" max="9" width="17.42578125" style="280" customWidth="1"/>
    <col min="10" max="10" width="16.7109375" style="280" customWidth="1"/>
    <col min="11" max="11" width="20.42578125" style="280" customWidth="1"/>
    <col min="12" max="12" width="22.7109375" style="280" customWidth="1"/>
    <col min="13" max="13" width="16.85546875" style="280" customWidth="1"/>
    <col min="14" max="16384" width="8.28515625" style="280"/>
  </cols>
  <sheetData>
    <row r="1" spans="1:11">
      <c r="A1" s="276" t="s">
        <v>0</v>
      </c>
      <c r="B1" s="277" t="s">
        <v>1</v>
      </c>
      <c r="C1" s="277" t="s">
        <v>2</v>
      </c>
      <c r="D1" s="278" t="s">
        <v>3</v>
      </c>
      <c r="E1" s="278" t="s">
        <v>4</v>
      </c>
      <c r="F1" s="278" t="s">
        <v>5</v>
      </c>
      <c r="G1" s="278" t="s">
        <v>6</v>
      </c>
      <c r="H1" s="278" t="s">
        <v>7</v>
      </c>
      <c r="I1" s="278" t="s">
        <v>8</v>
      </c>
      <c r="J1" s="278" t="s">
        <v>9</v>
      </c>
      <c r="K1" s="279" t="s">
        <v>10</v>
      </c>
    </row>
    <row r="2" spans="1:11">
      <c r="A2" s="370">
        <v>1</v>
      </c>
      <c r="B2" s="281" t="s">
        <v>11</v>
      </c>
      <c r="C2" s="281" t="s">
        <v>12</v>
      </c>
      <c r="D2" s="282">
        <f>+'Khammam-1'!E38</f>
        <v>55934.28</v>
      </c>
      <c r="E2" s="282">
        <f>+'Khammam-1'!G38</f>
        <v>5351791.9104000004</v>
      </c>
      <c r="F2" s="282">
        <f>+'Khammam-1'!H38</f>
        <v>295</v>
      </c>
      <c r="G2" s="282">
        <f>+'Khammam-1'!J38</f>
        <v>31700.699999999993</v>
      </c>
      <c r="H2" s="282">
        <f>E2+G2</f>
        <v>5383492.6104000006</v>
      </c>
      <c r="I2" s="282">
        <f>+'Khammam-1'!K3</f>
        <v>3956161.3412999953</v>
      </c>
      <c r="J2" s="282">
        <f>+'Khammam-1'!L38</f>
        <v>6503593</v>
      </c>
      <c r="K2" s="371">
        <f>H2+I2-J2</f>
        <v>2836060.9516999964</v>
      </c>
    </row>
    <row r="3" spans="1:11">
      <c r="A3" s="370">
        <v>2</v>
      </c>
      <c r="B3" s="281" t="s">
        <v>13</v>
      </c>
      <c r="C3" s="281" t="s">
        <v>14</v>
      </c>
      <c r="D3" s="282">
        <f>+'Khammam-2'!E36</f>
        <v>62644.368999999999</v>
      </c>
      <c r="E3" s="282">
        <f>+'Khammam-2'!G36</f>
        <v>5995066.1133000003</v>
      </c>
      <c r="F3" s="282">
        <f>+'Khammam-2'!H36</f>
        <v>816.52</v>
      </c>
      <c r="G3" s="282">
        <f>+'Khammam-2'!J36</f>
        <v>87759.569600000017</v>
      </c>
      <c r="H3" s="282">
        <f>E3+G3</f>
        <v>6082825.6829000004</v>
      </c>
      <c r="I3" s="282">
        <f>+'Khammam-2'!K3</f>
        <v>3669815.5999999996</v>
      </c>
      <c r="J3" s="282">
        <f>+'Khammam-2'!L36</f>
        <v>5316864.4800000004</v>
      </c>
      <c r="K3" s="371">
        <f>H3+I3-J3</f>
        <v>4435776.8028999995</v>
      </c>
    </row>
    <row r="4" spans="1:11">
      <c r="A4" s="370">
        <v>3</v>
      </c>
      <c r="B4" s="281" t="s">
        <v>15</v>
      </c>
      <c r="C4" s="281" t="s">
        <v>16</v>
      </c>
      <c r="D4" s="282">
        <f>+'Khammam-3'!E35</f>
        <v>12000</v>
      </c>
      <c r="E4" s="282">
        <f>+'Khammam-3'!G35</f>
        <v>1136400</v>
      </c>
      <c r="F4" s="282">
        <f>+'Khammam-3'!H35</f>
        <v>0</v>
      </c>
      <c r="G4" s="282">
        <f>+'Khammam-3'!J35</f>
        <v>0</v>
      </c>
      <c r="H4" s="282">
        <f>E4+G4</f>
        <v>1136400</v>
      </c>
      <c r="I4" s="282">
        <f>+'Khammam-3'!M3</f>
        <v>0</v>
      </c>
      <c r="J4" s="282">
        <f>+'Khammam-3'!L35</f>
        <v>1016000</v>
      </c>
      <c r="K4" s="371">
        <f>H4+I4-J4</f>
        <v>120400</v>
      </c>
    </row>
    <row r="5" spans="1:11">
      <c r="A5" s="370">
        <v>4</v>
      </c>
      <c r="B5" s="281" t="s">
        <v>17</v>
      </c>
      <c r="C5" s="281" t="s">
        <v>16</v>
      </c>
      <c r="D5" s="282">
        <f>+'Jadcherla-3'!E35</f>
        <v>7500</v>
      </c>
      <c r="E5" s="282">
        <f>+'Jadcherla-3'!G35</f>
        <v>715725</v>
      </c>
      <c r="F5" s="282">
        <f>+'Jadcherla-3'!H35</f>
        <v>0</v>
      </c>
      <c r="G5" s="282">
        <f>+'Jadcherla-3'!J35</f>
        <v>0</v>
      </c>
      <c r="H5" s="282">
        <f>E5+G5</f>
        <v>715725</v>
      </c>
      <c r="I5" s="282">
        <f>+'Jadcherla-3'!M3</f>
        <v>1183331.5</v>
      </c>
      <c r="J5" s="282">
        <f>+'Jadcherla-3'!L35</f>
        <v>1600000</v>
      </c>
      <c r="K5" s="371">
        <f>H5+I5-J5</f>
        <v>299056.5</v>
      </c>
    </row>
    <row r="6" spans="1:11">
      <c r="A6" s="370">
        <v>5</v>
      </c>
      <c r="B6" s="281" t="s">
        <v>18</v>
      </c>
      <c r="C6" s="281" t="s">
        <v>19</v>
      </c>
      <c r="D6" s="282">
        <f>+'Jadcherla-4'!E35</f>
        <v>0</v>
      </c>
      <c r="E6" s="282">
        <f>+'Jadcherla-4'!G35</f>
        <v>0</v>
      </c>
      <c r="F6" s="282">
        <f>+'Jadcherla-4'!H35</f>
        <v>150</v>
      </c>
      <c r="G6" s="282">
        <f>+'Jadcherla-4'!J35</f>
        <v>16215</v>
      </c>
      <c r="H6" s="282">
        <f>E6+G6</f>
        <v>16215</v>
      </c>
      <c r="I6" s="282">
        <f>+'Jadcherla-4'!M3</f>
        <v>5405</v>
      </c>
      <c r="J6" s="282">
        <f>+'Jadcherla-4'!L35</f>
        <v>16215</v>
      </c>
      <c r="K6" s="371">
        <f>H6+I6-J6</f>
        <v>5405</v>
      </c>
    </row>
    <row r="7" spans="1:11">
      <c r="A7" s="370">
        <v>6</v>
      </c>
      <c r="B7" s="281" t="s">
        <v>20</v>
      </c>
      <c r="C7" s="281" t="s">
        <v>21</v>
      </c>
      <c r="D7" s="282">
        <f>+Dindi!E35</f>
        <v>36.130000000000003</v>
      </c>
      <c r="E7" s="282">
        <f>+Dindi!G35</f>
        <v>3498.4679000000001</v>
      </c>
      <c r="F7" s="282">
        <f>+Dindi!H35</f>
        <v>0</v>
      </c>
      <c r="G7" s="282">
        <f>+Dindi!J35</f>
        <v>0</v>
      </c>
      <c r="H7" s="282">
        <f>E7+G7</f>
        <v>3498.4679000000001</v>
      </c>
      <c r="I7" s="282">
        <f>+Dindi!M3</f>
        <v>0</v>
      </c>
      <c r="J7" s="282">
        <f>+Dindi!L35</f>
        <v>3498.4679000000001</v>
      </c>
      <c r="K7" s="371">
        <f t="shared" ref="K7:K50" si="0">H7+I7-J7</f>
        <v>0</v>
      </c>
    </row>
    <row r="8" spans="1:11">
      <c r="A8" s="370">
        <v>7</v>
      </c>
      <c r="B8" s="281" t="s">
        <v>22</v>
      </c>
      <c r="C8" s="281" t="s">
        <v>23</v>
      </c>
      <c r="D8" s="282">
        <f>+Devarakhadra!E35</f>
        <v>90</v>
      </c>
      <c r="E8" s="282">
        <f>+Devarakhadra!G35</f>
        <v>8739</v>
      </c>
      <c r="F8" s="282">
        <f>+Devarakhadra!H35</f>
        <v>42.58</v>
      </c>
      <c r="G8" s="282">
        <f>+Devarakhadra!J35</f>
        <v>4633.9813999999997</v>
      </c>
      <c r="H8" s="282">
        <f>E8+G8</f>
        <v>13372.981400000001</v>
      </c>
      <c r="I8" s="282">
        <f>+Devarakhadra!M3</f>
        <v>5026.3109999998924</v>
      </c>
      <c r="J8" s="282">
        <f>+Devarakhadra!L35</f>
        <v>12543</v>
      </c>
      <c r="K8" s="371">
        <f t="shared" si="0"/>
        <v>5856.292399999893</v>
      </c>
    </row>
    <row r="9" spans="1:11">
      <c r="A9" s="370">
        <v>8</v>
      </c>
      <c r="B9" s="281" t="s">
        <v>24</v>
      </c>
      <c r="C9" s="281" t="s">
        <v>16</v>
      </c>
      <c r="D9" s="282">
        <f>+'Devarakhadra-2'!E35</f>
        <v>0</v>
      </c>
      <c r="E9" s="282">
        <f>+'Devarakhadra-2'!G35</f>
        <v>0</v>
      </c>
      <c r="F9" s="282">
        <f>+'Devarakhadra-2'!H35</f>
        <v>0</v>
      </c>
      <c r="G9" s="282">
        <f>+'Devarakhadra-2'!I35</f>
        <v>0</v>
      </c>
      <c r="H9" s="282">
        <f>E9+G9</f>
        <v>0</v>
      </c>
      <c r="I9" s="282">
        <f>+'Devarakhadra-2'!M3</f>
        <v>0</v>
      </c>
      <c r="J9" s="282">
        <f>+'Devarakhadra-2'!L35</f>
        <v>0</v>
      </c>
      <c r="K9" s="371">
        <f>+'Devarakhadra-2'!M34</f>
        <v>0</v>
      </c>
    </row>
    <row r="10" spans="1:11">
      <c r="A10" s="370">
        <v>9</v>
      </c>
      <c r="B10" s="281" t="s">
        <v>25</v>
      </c>
      <c r="C10" s="281"/>
      <c r="D10" s="282">
        <f>+'Madana palli'!E35</f>
        <v>20.52</v>
      </c>
      <c r="E10" s="282">
        <f>+'Madana palli'!G35</f>
        <v>1999.2636</v>
      </c>
      <c r="F10" s="282">
        <f>+'Madana palli'!H35</f>
        <v>16.920000000000002</v>
      </c>
      <c r="G10" s="282">
        <f>+'Madana palli'!J35</f>
        <v>1854.6012000000001</v>
      </c>
      <c r="H10" s="282">
        <f>E10+G10</f>
        <v>3853.8648000000003</v>
      </c>
      <c r="I10" s="282">
        <f>+'Madana palli'!M3</f>
        <v>0</v>
      </c>
      <c r="J10" s="282">
        <f>+'Madana palli'!L35</f>
        <v>3853.8647999999998</v>
      </c>
      <c r="K10" s="371">
        <f>+'Devarakhadra-2'!M35</f>
        <v>0</v>
      </c>
    </row>
    <row r="11" spans="1:11">
      <c r="A11" s="370">
        <v>10</v>
      </c>
      <c r="B11" s="281" t="s">
        <v>26</v>
      </c>
      <c r="C11" s="281" t="s">
        <v>27</v>
      </c>
      <c r="D11" s="282">
        <f>+Amalapuram!E38</f>
        <v>284.37</v>
      </c>
      <c r="E11" s="282">
        <f>+Amalapuram!G38</f>
        <v>26054.424999999999</v>
      </c>
      <c r="F11" s="282">
        <f>+Amalapuram!H38</f>
        <v>67.52</v>
      </c>
      <c r="G11" s="282">
        <f>+Amalapuram!J38</f>
        <v>6736.69</v>
      </c>
      <c r="H11" s="282">
        <f>E11+G11</f>
        <v>32791.114999999998</v>
      </c>
      <c r="I11" s="282">
        <f>+Amalapuram!M3</f>
        <v>0</v>
      </c>
      <c r="J11" s="282">
        <f>+Amalapuram!L38</f>
        <v>32791.439999999995</v>
      </c>
      <c r="K11" s="371">
        <f t="shared" si="0"/>
        <v>-0.32499999999708962</v>
      </c>
    </row>
    <row r="12" spans="1:11">
      <c r="A12" s="370">
        <v>11</v>
      </c>
      <c r="B12" s="281" t="s">
        <v>28</v>
      </c>
      <c r="C12" s="281" t="s">
        <v>29</v>
      </c>
      <c r="D12" s="282">
        <f>+'YG Gudda '!E36</f>
        <v>0</v>
      </c>
      <c r="E12" s="282">
        <f>+'YG Gudda '!G36</f>
        <v>0</v>
      </c>
      <c r="F12" s="282">
        <f>+'YG Gudda '!H36</f>
        <v>0</v>
      </c>
      <c r="G12" s="282">
        <f>+'YG Gudda '!J36</f>
        <v>0</v>
      </c>
      <c r="H12" s="282">
        <f t="shared" ref="H12:H13" si="1">E12+G12</f>
        <v>0</v>
      </c>
      <c r="I12" s="282">
        <f>'YG Gudda '!K3</f>
        <v>21.541513800228131</v>
      </c>
      <c r="J12" s="282">
        <f>+'YG Gudda '!L36</f>
        <v>21.54</v>
      </c>
      <c r="K12" s="371">
        <f t="shared" si="0"/>
        <v>1.5138002281318563E-3</v>
      </c>
    </row>
    <row r="13" spans="1:11">
      <c r="A13" s="370">
        <v>12</v>
      </c>
      <c r="B13" s="281" t="s">
        <v>30</v>
      </c>
      <c r="C13" s="281" t="s">
        <v>31</v>
      </c>
      <c r="D13" s="282">
        <f>+'YG Gudda-2'!E36</f>
        <v>9620</v>
      </c>
      <c r="E13" s="282">
        <f>+'YG Gudda-2'!G36</f>
        <v>878594.6</v>
      </c>
      <c r="F13" s="282">
        <f>+'YG Gudda-2'!H36</f>
        <v>365</v>
      </c>
      <c r="G13" s="282">
        <f>+'YG Gudda-2'!J36</f>
        <v>37693.550000000003</v>
      </c>
      <c r="H13" s="282">
        <f t="shared" si="1"/>
        <v>916288.15</v>
      </c>
      <c r="I13" s="282">
        <f>+'YG Gudda-2'!M3</f>
        <v>713890.20290300006</v>
      </c>
      <c r="J13" s="282">
        <f>+'YG Gudda-2'!L36</f>
        <v>1151841.5</v>
      </c>
      <c r="K13" s="371">
        <f t="shared" si="0"/>
        <v>478336.85290300008</v>
      </c>
    </row>
    <row r="14" spans="1:11">
      <c r="A14" s="370">
        <v>13</v>
      </c>
      <c r="B14" s="281" t="s">
        <v>32</v>
      </c>
      <c r="C14" s="281" t="s">
        <v>33</v>
      </c>
      <c r="D14" s="282">
        <f>+Hosadurga!E35</f>
        <v>0</v>
      </c>
      <c r="E14" s="282">
        <f>+Hosadurga!G35</f>
        <v>0</v>
      </c>
      <c r="F14" s="282">
        <f>+Hosadurga!H35</f>
        <v>0</v>
      </c>
      <c r="G14" s="282">
        <f>+Hosadurga!J35</f>
        <v>0</v>
      </c>
      <c r="H14" s="282">
        <f t="shared" ref="H14:H50" si="2">E14+G14</f>
        <v>0</v>
      </c>
      <c r="I14" s="282">
        <f>+Hosadurga!K3</f>
        <v>2258.5999999999767</v>
      </c>
      <c r="J14" s="282">
        <f>+Hosadurga!L35</f>
        <v>0</v>
      </c>
      <c r="K14" s="371">
        <f t="shared" si="0"/>
        <v>2258.5999999999767</v>
      </c>
    </row>
    <row r="15" spans="1:11">
      <c r="A15" s="370">
        <v>14</v>
      </c>
      <c r="B15" s="281" t="s">
        <v>34</v>
      </c>
      <c r="C15" s="281" t="s">
        <v>35</v>
      </c>
      <c r="D15" s="282">
        <f>+'Hosadurga -2'!E35</f>
        <v>6000</v>
      </c>
      <c r="E15" s="282">
        <f>+'Hosadurga -2'!G35</f>
        <v>549300</v>
      </c>
      <c r="F15" s="282">
        <f>+'Hosadurga -2'!H35</f>
        <v>280</v>
      </c>
      <c r="G15" s="282">
        <f>+'Hosadurga -2'!J35</f>
        <v>29044.400000000001</v>
      </c>
      <c r="H15" s="282">
        <f>+'Hosadurga -2'!K35</f>
        <v>578344.4</v>
      </c>
      <c r="I15" s="282">
        <f>+'Hosadurga -2'!K3</f>
        <v>197553.79690000025</v>
      </c>
      <c r="J15" s="282">
        <f>+'Hosadurga -2'!L35</f>
        <v>450000</v>
      </c>
      <c r="K15" s="371">
        <f>H15+I15-J15</f>
        <v>325898.19690000033</v>
      </c>
    </row>
    <row r="16" spans="1:11" ht="15.75" customHeight="1">
      <c r="A16" s="370">
        <v>15</v>
      </c>
      <c r="B16" s="283" t="s">
        <v>36</v>
      </c>
      <c r="C16" s="283" t="s">
        <v>37</v>
      </c>
      <c r="D16" s="282">
        <f>+'Malebenur(KUWSDB)'!E37</f>
        <v>5549.91</v>
      </c>
      <c r="E16" s="282">
        <f>+'Malebenur(KUWSDB)'!G37</f>
        <v>511543.2047</v>
      </c>
      <c r="F16" s="282">
        <f>+'Malebenur(KUWSDB)'!H37</f>
        <v>214</v>
      </c>
      <c r="G16" s="282">
        <f>+'Malebenur(KUWSDB)'!J37</f>
        <v>22263.120000000003</v>
      </c>
      <c r="H16" s="282">
        <f>E16+G16</f>
        <v>533806.3247</v>
      </c>
      <c r="I16" s="282">
        <f>+'Malebenur(KUWSDB)'!K3</f>
        <v>202357.35500000001</v>
      </c>
      <c r="J16" s="282">
        <f>+'Malebenur(KUWSDB)'!L37</f>
        <v>522465.12</v>
      </c>
      <c r="K16" s="371">
        <f>H16+I16-J16</f>
        <v>213698.55969999998</v>
      </c>
    </row>
    <row r="17" spans="1:11">
      <c r="A17" s="370">
        <v>16</v>
      </c>
      <c r="B17" s="281" t="s">
        <v>38</v>
      </c>
      <c r="C17" s="281" t="s">
        <v>39</v>
      </c>
      <c r="D17" s="282">
        <f>+Kadur!E35</f>
        <v>0</v>
      </c>
      <c r="E17" s="282">
        <f>+Kadur!G35</f>
        <v>0</v>
      </c>
      <c r="F17" s="282">
        <f>+Kadur!H35</f>
        <v>140</v>
      </c>
      <c r="G17" s="282">
        <f>+Kadur!J35</f>
        <v>14597.8</v>
      </c>
      <c r="H17" s="282">
        <f t="shared" si="2"/>
        <v>14597.8</v>
      </c>
      <c r="I17" s="282">
        <f>+Kadur!K3</f>
        <v>210029.23099999977</v>
      </c>
      <c r="J17" s="282">
        <f>+Kadur!L35</f>
        <v>210000</v>
      </c>
      <c r="K17" s="371">
        <f t="shared" si="0"/>
        <v>14627.030999999755</v>
      </c>
    </row>
    <row r="18" spans="1:11">
      <c r="A18" s="370">
        <v>17</v>
      </c>
      <c r="B18" s="281" t="s">
        <v>40</v>
      </c>
      <c r="C18" s="281" t="s">
        <v>41</v>
      </c>
      <c r="D18" s="282">
        <f>+'Hiriyur(VJNL)'!E35</f>
        <v>2300</v>
      </c>
      <c r="E18" s="282">
        <f>+'Hiriyur(VJNL)'!G35</f>
        <v>212198</v>
      </c>
      <c r="F18" s="282">
        <f>+'Hiriyur(VJNL)'!H35</f>
        <v>210</v>
      </c>
      <c r="G18" s="282">
        <f>+'Hiriyur(VJNL)'!J35</f>
        <v>21867.3</v>
      </c>
      <c r="H18" s="282">
        <f t="shared" si="2"/>
        <v>234065.3</v>
      </c>
      <c r="I18" s="282">
        <f>+'Hiriyur(VJNL)'!K3</f>
        <v>438828.80000000005</v>
      </c>
      <c r="J18" s="282">
        <f>+'Hiriyur(VJNL)'!L35</f>
        <v>453408</v>
      </c>
      <c r="K18" s="371">
        <f t="shared" si="0"/>
        <v>219486.10000000009</v>
      </c>
    </row>
    <row r="19" spans="1:11">
      <c r="A19" s="370">
        <v>18</v>
      </c>
      <c r="B19" s="281" t="s">
        <v>42</v>
      </c>
      <c r="C19" s="281" t="s">
        <v>43</v>
      </c>
      <c r="D19" s="282">
        <f>+'Chellakere -1'!E35</f>
        <v>3800</v>
      </c>
      <c r="E19" s="282">
        <f>+'Chellakere -1'!G35</f>
        <v>350474</v>
      </c>
      <c r="F19" s="282">
        <f>+'Chellakere -1'!H35</f>
        <v>230.04</v>
      </c>
      <c r="G19" s="282">
        <f>+'Chellakere -1'!J35</f>
        <v>23944.863600000004</v>
      </c>
      <c r="H19" s="282">
        <f t="shared" si="2"/>
        <v>374418.86359999998</v>
      </c>
      <c r="I19" s="282">
        <f>+'Chellakere -1'!K3</f>
        <v>145403.1</v>
      </c>
      <c r="J19" s="282">
        <f>+'Chellakere -1'!L35</f>
        <v>358717</v>
      </c>
      <c r="K19" s="371">
        <f t="shared" si="0"/>
        <v>161104.96360000002</v>
      </c>
    </row>
    <row r="20" spans="1:11">
      <c r="A20" s="370">
        <v>19</v>
      </c>
      <c r="B20" s="281" t="s">
        <v>44</v>
      </c>
      <c r="C20" s="359"/>
      <c r="D20" s="282">
        <f>+' Chellakere-PKG-9'!E35</f>
        <v>509.99</v>
      </c>
      <c r="E20" s="282">
        <f>+' Chellakere-PKG-9'!G35</f>
        <v>47036.377699999997</v>
      </c>
      <c r="F20" s="282">
        <f>+' Chellakere-PKG-9'!H35</f>
        <v>33.08</v>
      </c>
      <c r="G20" s="282">
        <f>+' Chellakere-PKG-9'!J35</f>
        <v>3442.9971999999998</v>
      </c>
      <c r="H20" s="282">
        <f t="shared" si="2"/>
        <v>50479.374899999995</v>
      </c>
      <c r="I20" s="282">
        <f>+' Chellakere-PKG-9'!M3</f>
        <v>0</v>
      </c>
      <c r="J20" s="282">
        <f>+' Chellakere-PKG-9'!L35</f>
        <v>50479.374899999995</v>
      </c>
      <c r="K20" s="371">
        <f t="shared" si="0"/>
        <v>0</v>
      </c>
    </row>
    <row r="21" spans="1:11">
      <c r="A21" s="370">
        <v>20</v>
      </c>
      <c r="B21" s="281" t="s">
        <v>45</v>
      </c>
      <c r="C21" s="321" t="s">
        <v>46</v>
      </c>
      <c r="D21" s="282">
        <f>+Molakamuru!E35</f>
        <v>1045</v>
      </c>
      <c r="E21" s="282">
        <f>+Molakamuru!G35</f>
        <v>96369.9</v>
      </c>
      <c r="F21" s="282">
        <f>+Molakamuru!H35</f>
        <v>49.69</v>
      </c>
      <c r="G21" s="282">
        <f>+Molakamuru!J35</f>
        <v>5171.7351999999992</v>
      </c>
      <c r="H21" s="282">
        <f t="shared" si="2"/>
        <v>101541.63519999999</v>
      </c>
      <c r="I21" s="282">
        <f>+Molakamuru!K3</f>
        <v>53588.5</v>
      </c>
      <c r="J21" s="282">
        <f>+Molakamuru!L35</f>
        <v>127139.54</v>
      </c>
      <c r="K21" s="371">
        <f t="shared" si="0"/>
        <v>27990.595199999996</v>
      </c>
    </row>
    <row r="22" spans="1:11">
      <c r="A22" s="370">
        <v>21</v>
      </c>
      <c r="B22" s="281" t="s">
        <v>47</v>
      </c>
      <c r="C22" s="369"/>
      <c r="D22" s="282">
        <f>+' Chennagiri'!E35</f>
        <v>625.91999999999996</v>
      </c>
      <c r="E22" s="282">
        <f>+' Chennagiri'!G35</f>
        <v>57616.108999999997</v>
      </c>
      <c r="F22" s="282">
        <f>+' Chennagiri'!H35</f>
        <v>31</v>
      </c>
      <c r="G22" s="282">
        <f>+' Chennagiri'!J35</f>
        <v>3226.4799999999996</v>
      </c>
      <c r="H22" s="282">
        <f t="shared" si="2"/>
        <v>60842.588999999993</v>
      </c>
      <c r="I22" s="282">
        <f>+' Chennagiri'!K3</f>
        <v>0</v>
      </c>
      <c r="J22" s="282">
        <f>+' Chennagiri'!L35</f>
        <v>60842.588999999993</v>
      </c>
      <c r="K22" s="371">
        <f t="shared" si="0"/>
        <v>0</v>
      </c>
    </row>
    <row r="23" spans="1:11">
      <c r="A23" s="370">
        <v>22</v>
      </c>
      <c r="B23" s="281" t="s">
        <v>48</v>
      </c>
      <c r="C23" s="281" t="s">
        <v>49</v>
      </c>
      <c r="D23" s="282">
        <f>+Khanapur!E35</f>
        <v>1989.96</v>
      </c>
      <c r="E23" s="282">
        <f>+Khanapur!G35</f>
        <v>180847.56479999996</v>
      </c>
      <c r="F23" s="282">
        <f>+Khanapur!H35</f>
        <v>84</v>
      </c>
      <c r="G23" s="282">
        <f>+Khanapur!J35</f>
        <v>8632.68</v>
      </c>
      <c r="H23" s="282">
        <f t="shared" si="2"/>
        <v>189480.24479999996</v>
      </c>
      <c r="I23" s="282">
        <f>+Khanapur!M3</f>
        <v>98982.50039999999</v>
      </c>
      <c r="J23" s="282">
        <f>+Khanapur!L35</f>
        <v>184520</v>
      </c>
      <c r="K23" s="371">
        <f t="shared" si="0"/>
        <v>103942.74519999995</v>
      </c>
    </row>
    <row r="24" spans="1:11">
      <c r="A24" s="370">
        <v>23</v>
      </c>
      <c r="B24" s="281" t="s">
        <v>50</v>
      </c>
      <c r="C24" s="281" t="s">
        <v>51</v>
      </c>
      <c r="D24" s="282">
        <f>+Munavali!E37</f>
        <v>135</v>
      </c>
      <c r="E24" s="282">
        <f>+Munavali!G37</f>
        <v>12328.2</v>
      </c>
      <c r="F24" s="282">
        <f>+Munavali!H37</f>
        <v>37</v>
      </c>
      <c r="G24" s="282">
        <f>+Munavali!J37</f>
        <v>3819.8799999999997</v>
      </c>
      <c r="H24" s="282">
        <f t="shared" si="2"/>
        <v>16148.08</v>
      </c>
      <c r="I24" s="282">
        <f>+Munavali!M3</f>
        <v>660530.80199999979</v>
      </c>
      <c r="J24" s="282">
        <f>+Munavali!L37</f>
        <v>676678.88</v>
      </c>
      <c r="K24" s="371">
        <f t="shared" si="0"/>
        <v>1.9999997457489371E-3</v>
      </c>
    </row>
    <row r="25" spans="1:11">
      <c r="A25" s="370">
        <v>24</v>
      </c>
      <c r="B25" s="281" t="s">
        <v>52</v>
      </c>
      <c r="C25" s="281"/>
      <c r="D25" s="282">
        <f>+'Munavali-2'!E37</f>
        <v>6730</v>
      </c>
      <c r="E25" s="282">
        <f>+'Munavali-2'!G37</f>
        <v>616064.20000000007</v>
      </c>
      <c r="F25" s="282">
        <f>+'Munavali-2'!H37</f>
        <v>201</v>
      </c>
      <c r="G25" s="282">
        <f>+'Munavali-2'!J37</f>
        <v>20799.48</v>
      </c>
      <c r="H25" s="282">
        <f t="shared" si="2"/>
        <v>636863.68000000005</v>
      </c>
      <c r="I25" s="282">
        <f>+'Munavali-2'!M3</f>
        <v>0</v>
      </c>
      <c r="J25" s="282">
        <f>+'Munavali-2'!L37</f>
        <v>293246</v>
      </c>
      <c r="K25" s="371">
        <f t="shared" si="0"/>
        <v>343617.68000000005</v>
      </c>
    </row>
    <row r="26" spans="1:11">
      <c r="A26" s="370">
        <v>25</v>
      </c>
      <c r="B26" s="281" t="s">
        <v>53</v>
      </c>
      <c r="C26" s="281" t="s">
        <v>54</v>
      </c>
      <c r="D26" s="282">
        <f>+Borgaon!E35</f>
        <v>4415</v>
      </c>
      <c r="E26" s="282">
        <f>+Borgaon!G35</f>
        <v>405164.55000000005</v>
      </c>
      <c r="F26" s="282">
        <f>+Borgaon!H35</f>
        <v>94</v>
      </c>
      <c r="G26" s="282">
        <f>+Borgaon!J35</f>
        <v>9750.619999999999</v>
      </c>
      <c r="H26" s="282">
        <f t="shared" si="2"/>
        <v>414915.17000000004</v>
      </c>
      <c r="I26" s="282">
        <f>+Borgaon!K3</f>
        <v>120395.81309999998</v>
      </c>
      <c r="J26" s="282">
        <f>+Borgaon!L35</f>
        <v>420000</v>
      </c>
      <c r="K26" s="371">
        <f>H26+I26-J26</f>
        <v>115310.98310000007</v>
      </c>
    </row>
    <row r="27" spans="1:11">
      <c r="A27" s="370">
        <v>26</v>
      </c>
      <c r="B27" s="281" t="s">
        <v>55</v>
      </c>
      <c r="C27" s="281" t="s">
        <v>56</v>
      </c>
      <c r="D27" s="282">
        <f>+'Ugar,Khagwad,Kudichi'!E35</f>
        <v>3546.7799999999997</v>
      </c>
      <c r="E27" s="282">
        <f>+'Ugar,Khagwad,Kudichi'!G35</f>
        <v>326055.48540000006</v>
      </c>
      <c r="F27" s="282">
        <f>+'Ugar,Khagwad,Kudichi'!H35</f>
        <v>280</v>
      </c>
      <c r="G27" s="282">
        <f>+'Ugar,Khagwad,Kudichi'!J35</f>
        <v>29089.200000000004</v>
      </c>
      <c r="H27" s="282">
        <f t="shared" si="2"/>
        <v>355144.68540000007</v>
      </c>
      <c r="I27" s="282">
        <f>+'Ugar,Khagwad,Kudichi'!M3</f>
        <v>292365.86150000012</v>
      </c>
      <c r="J27" s="282">
        <f>+'Ugar,Khagwad,Kudichi'!L35</f>
        <v>496000</v>
      </c>
      <c r="K27" s="371">
        <f>H27+I27-J27</f>
        <v>151510.54690000019</v>
      </c>
    </row>
    <row r="28" spans="1:11">
      <c r="A28" s="370">
        <v>27</v>
      </c>
      <c r="B28" s="281" t="s">
        <v>57</v>
      </c>
      <c r="C28" s="281" t="s">
        <v>58</v>
      </c>
      <c r="D28" s="282">
        <f>+Kabbur!E35</f>
        <v>103</v>
      </c>
      <c r="E28" s="282">
        <f>+Kabbur!G35</f>
        <v>9433.77</v>
      </c>
      <c r="F28" s="282">
        <f>+Kabbur!H35</f>
        <v>32.799999999999997</v>
      </c>
      <c r="G28" s="282">
        <f>+Kabbur!J35</f>
        <v>3395.7840000000001</v>
      </c>
      <c r="H28" s="282">
        <f t="shared" si="2"/>
        <v>12829.554</v>
      </c>
      <c r="I28" s="282">
        <v>0</v>
      </c>
      <c r="J28" s="282">
        <f>+Kabbur!L35</f>
        <v>12829.554</v>
      </c>
      <c r="K28" s="371">
        <f t="shared" si="0"/>
        <v>0</v>
      </c>
    </row>
    <row r="29" spans="1:11">
      <c r="A29" s="370">
        <v>28</v>
      </c>
      <c r="B29" s="281" t="s">
        <v>59</v>
      </c>
      <c r="C29" s="281" t="s">
        <v>60</v>
      </c>
      <c r="D29" s="282">
        <f>+kumta!E35</f>
        <v>1346.59</v>
      </c>
      <c r="E29" s="282">
        <f>+kumta!G35</f>
        <v>123790.05279999999</v>
      </c>
      <c r="F29" s="282">
        <f>+kumta!H35</f>
        <v>87.41</v>
      </c>
      <c r="G29" s="282">
        <f>+kumta!J35</f>
        <v>9087.1435999999994</v>
      </c>
      <c r="H29" s="282">
        <f t="shared" si="2"/>
        <v>132877.19639999999</v>
      </c>
      <c r="I29" s="282">
        <v>0</v>
      </c>
      <c r="J29" s="282">
        <f>+kumta!L35</f>
        <v>132877.19639999999</v>
      </c>
      <c r="K29" s="371">
        <f t="shared" si="0"/>
        <v>0</v>
      </c>
    </row>
    <row r="30" spans="1:11">
      <c r="A30" s="370">
        <v>29</v>
      </c>
      <c r="B30" s="281" t="s">
        <v>61</v>
      </c>
      <c r="C30" s="281" t="s">
        <v>62</v>
      </c>
      <c r="D30" s="282">
        <f>+Jalgaon!E54</f>
        <v>24100</v>
      </c>
      <c r="E30" s="282">
        <f>+Jalgaon!G54</f>
        <v>2209671</v>
      </c>
      <c r="F30" s="282">
        <f>+Jalgaon!H54</f>
        <v>272</v>
      </c>
      <c r="G30" s="282">
        <f>+Jalgaon!J54</f>
        <v>28611.68</v>
      </c>
      <c r="H30" s="282">
        <f t="shared" si="2"/>
        <v>2238282.6800000002</v>
      </c>
      <c r="I30" s="282">
        <f>+Jalgaon!K3</f>
        <v>730303.7849000002</v>
      </c>
      <c r="J30" s="282">
        <f>+Jalgaon!L54</f>
        <v>1600000</v>
      </c>
      <c r="K30" s="371">
        <f t="shared" si="0"/>
        <v>1368586.4649000005</v>
      </c>
    </row>
    <row r="31" spans="1:11">
      <c r="A31" s="370">
        <v>30</v>
      </c>
      <c r="B31" s="281" t="s">
        <v>63</v>
      </c>
      <c r="C31" s="281" t="s">
        <v>64</v>
      </c>
      <c r="D31" s="282">
        <f>+MKBD!E38</f>
        <v>5600</v>
      </c>
      <c r="E31" s="282">
        <f>+MKBD!G38</f>
        <v>510384</v>
      </c>
      <c r="F31" s="282">
        <f>+MKBD!H38</f>
        <v>103</v>
      </c>
      <c r="G31" s="282">
        <f>+MKBD!J38</f>
        <v>16348.869999999999</v>
      </c>
      <c r="H31" s="282">
        <f t="shared" si="2"/>
        <v>526732.87</v>
      </c>
      <c r="I31" s="282">
        <f>+MKBD!K3</f>
        <v>362563.77999999991</v>
      </c>
      <c r="J31" s="282">
        <f>+MKBD!L38</f>
        <v>523255</v>
      </c>
      <c r="K31" s="371">
        <f t="shared" si="0"/>
        <v>366041.64999999991</v>
      </c>
    </row>
    <row r="32" spans="1:11">
      <c r="A32" s="370">
        <v>31</v>
      </c>
      <c r="B32" s="281" t="s">
        <v>65</v>
      </c>
      <c r="C32" s="281" t="s">
        <v>66</v>
      </c>
      <c r="D32" s="282">
        <f>+Haveri!E37</f>
        <v>0</v>
      </c>
      <c r="E32" s="282">
        <f>+Haveri!G37</f>
        <v>0</v>
      </c>
      <c r="F32" s="282">
        <f>+Haveri!H37</f>
        <v>0</v>
      </c>
      <c r="G32" s="282">
        <f>+Haveri!J37</f>
        <v>0</v>
      </c>
      <c r="H32" s="282">
        <f t="shared" si="2"/>
        <v>0</v>
      </c>
      <c r="I32" s="282">
        <f>+Haveri!M3</f>
        <v>9461.0768999998982</v>
      </c>
      <c r="J32" s="282">
        <f>+Haveri!L37</f>
        <v>9461.08</v>
      </c>
      <c r="K32" s="371">
        <f t="shared" si="0"/>
        <v>-3.100000101767364E-3</v>
      </c>
    </row>
    <row r="33" spans="1:13">
      <c r="A33" s="370">
        <v>32</v>
      </c>
      <c r="B33" s="281" t="s">
        <v>65</v>
      </c>
      <c r="C33" s="281" t="s">
        <v>67</v>
      </c>
      <c r="D33" s="282">
        <f>' Haveri-2'!E37</f>
        <v>4555.2700000000004</v>
      </c>
      <c r="E33" s="282">
        <f>' Haveri-2'!G37</f>
        <v>416750.85229999991</v>
      </c>
      <c r="F33" s="282">
        <f>' Haveri-2'!H37</f>
        <v>109.93</v>
      </c>
      <c r="G33" s="282">
        <f>' Haveri-2'!J37</f>
        <v>11370.059899999998</v>
      </c>
      <c r="H33" s="282">
        <f t="shared" si="2"/>
        <v>428120.9121999999</v>
      </c>
      <c r="I33" s="282">
        <f>' Haveri-2'!M3</f>
        <v>164443.72110000002</v>
      </c>
      <c r="J33" s="282">
        <f>+' Haveri-2'!L37</f>
        <v>441733.9</v>
      </c>
      <c r="K33" s="371">
        <f t="shared" si="0"/>
        <v>150830.73329999985</v>
      </c>
    </row>
    <row r="34" spans="1:13">
      <c r="A34" s="370">
        <v>33</v>
      </c>
      <c r="B34" s="281" t="s">
        <v>68</v>
      </c>
      <c r="C34" s="281" t="s">
        <v>69</v>
      </c>
      <c r="D34" s="282">
        <f>+Guttal!E35</f>
        <v>0</v>
      </c>
      <c r="E34" s="282">
        <f>+Guttal!G35</f>
        <v>0</v>
      </c>
      <c r="F34" s="282">
        <f>+Guttal!H35</f>
        <v>0</v>
      </c>
      <c r="G34" s="282">
        <f>+Guttal!J35</f>
        <v>0</v>
      </c>
      <c r="H34" s="282">
        <f t="shared" si="2"/>
        <v>0</v>
      </c>
      <c r="I34" s="282">
        <f>+Guttal!M3</f>
        <v>336687.37039999996</v>
      </c>
      <c r="J34" s="282">
        <f>+Guttal!L35</f>
        <v>336687.37</v>
      </c>
      <c r="K34" s="371">
        <f t="shared" si="0"/>
        <v>3.9999996079131961E-4</v>
      </c>
    </row>
    <row r="35" spans="1:13">
      <c r="A35" s="370">
        <v>34</v>
      </c>
      <c r="B35" s="281" t="s">
        <v>70</v>
      </c>
      <c r="C35" s="281" t="s">
        <v>71</v>
      </c>
      <c r="D35" s="282">
        <f>+' Guttal-2'!E35</f>
        <v>9282.01</v>
      </c>
      <c r="E35" s="282">
        <f>+' Guttal-2'!G35</f>
        <v>851902.87780000013</v>
      </c>
      <c r="F35" s="282">
        <f>+' Guttal-2'!H35</f>
        <v>100</v>
      </c>
      <c r="G35" s="282">
        <f>+' Guttal-2'!J35</f>
        <v>10374.000000000002</v>
      </c>
      <c r="H35" s="282">
        <f t="shared" si="2"/>
        <v>862276.87780000013</v>
      </c>
      <c r="I35" s="282">
        <f>+' Guttal-2'!M3</f>
        <v>0</v>
      </c>
      <c r="J35" s="282">
        <f>+' Guttal-2'!L35</f>
        <v>330000</v>
      </c>
      <c r="K35" s="371">
        <f t="shared" si="0"/>
        <v>532276.87780000013</v>
      </c>
    </row>
    <row r="36" spans="1:13">
      <c r="A36" s="370">
        <v>35</v>
      </c>
      <c r="B36" s="281" t="s">
        <v>72</v>
      </c>
      <c r="C36" s="281" t="s">
        <v>73</v>
      </c>
      <c r="D36" s="282">
        <f>+Rattihali!E35</f>
        <v>0</v>
      </c>
      <c r="E36" s="282">
        <f>+Rattihali!G35</f>
        <v>0</v>
      </c>
      <c r="F36" s="282">
        <f>+Rattihali!H35</f>
        <v>0</v>
      </c>
      <c r="G36" s="282">
        <f>+Rattihali!J35</f>
        <v>0</v>
      </c>
      <c r="H36" s="282">
        <f t="shared" si="2"/>
        <v>0</v>
      </c>
      <c r="I36" s="282">
        <f>+Rattihali!M3</f>
        <v>6442.7239999999874</v>
      </c>
      <c r="J36" s="282">
        <f>+Rattihali!L35</f>
        <v>0</v>
      </c>
      <c r="K36" s="371">
        <f t="shared" si="0"/>
        <v>6442.7239999999874</v>
      </c>
    </row>
    <row r="37" spans="1:13">
      <c r="A37" s="370">
        <v>36</v>
      </c>
      <c r="B37" s="281" t="s">
        <v>74</v>
      </c>
      <c r="C37" s="281" t="s">
        <v>75</v>
      </c>
      <c r="D37" s="282">
        <f>+'Rattihali-2'!E37</f>
        <v>3858.5999999999995</v>
      </c>
      <c r="E37" s="282">
        <f>+'Rattihali-2'!G37</f>
        <v>354566.7539999999</v>
      </c>
      <c r="F37" s="282">
        <f>+'Rattihali-2'!H37</f>
        <v>210</v>
      </c>
      <c r="G37" s="282">
        <f>+'Rattihali-2'!J37</f>
        <v>21932.819999999996</v>
      </c>
      <c r="H37" s="282">
        <f t="shared" si="2"/>
        <v>376499.57399999991</v>
      </c>
      <c r="I37" s="282">
        <f>+'Rattihali-2'!M3</f>
        <v>310880.30250000005</v>
      </c>
      <c r="J37" s="282">
        <f>+'Rattihali-2'!L37</f>
        <v>525000</v>
      </c>
      <c r="K37" s="371">
        <f t="shared" si="0"/>
        <v>162379.87650000001</v>
      </c>
    </row>
    <row r="38" spans="1:13">
      <c r="A38" s="370">
        <v>37</v>
      </c>
      <c r="B38" s="281" t="s">
        <v>76</v>
      </c>
      <c r="C38" s="281" t="s">
        <v>77</v>
      </c>
      <c r="D38" s="282">
        <f>+Gajendragada!E35</f>
        <v>40</v>
      </c>
      <c r="E38" s="282">
        <f>+Gajendragada!G35</f>
        <v>3673.2</v>
      </c>
      <c r="F38" s="282">
        <f>+Gajendragada!H35</f>
        <v>20</v>
      </c>
      <c r="G38" s="282">
        <f>+Gajendragada!J35</f>
        <v>2076</v>
      </c>
      <c r="H38" s="282">
        <f t="shared" si="2"/>
        <v>5749.2</v>
      </c>
      <c r="I38" s="282">
        <f>+Gajendragada!K3</f>
        <v>4500.2015000000083</v>
      </c>
      <c r="J38" s="282">
        <f>+Gajendragada!L35</f>
        <v>0</v>
      </c>
      <c r="K38" s="371">
        <f t="shared" si="0"/>
        <v>10249.401500000007</v>
      </c>
    </row>
    <row r="39" spans="1:13">
      <c r="A39" s="370">
        <v>38</v>
      </c>
      <c r="B39" s="284" t="s">
        <v>78</v>
      </c>
      <c r="C39" s="284" t="s">
        <v>79</v>
      </c>
      <c r="D39" s="282">
        <f>+'Gokak Dharwad PKG 3'!E40</f>
        <v>11885.350000000002</v>
      </c>
      <c r="E39" s="282">
        <f>+'Gokak Dharwad PKG 3'!G40</f>
        <v>1087271.818</v>
      </c>
      <c r="F39" s="282">
        <f>+'Gokak Dharwad PKG 3'!H40</f>
        <v>339</v>
      </c>
      <c r="G39" s="282">
        <f>+'Gokak Dharwad PKG 3'!J40</f>
        <v>35055.989999999991</v>
      </c>
      <c r="H39" s="282">
        <f t="shared" si="2"/>
        <v>1122327.808</v>
      </c>
      <c r="I39" s="412">
        <f>+'Gokak Dharwad PKG 3'!K3</f>
        <v>547359.48420000065</v>
      </c>
      <c r="J39" s="282">
        <f>+'Gokak Dharwad PKG 3'!L40</f>
        <v>1231700</v>
      </c>
      <c r="K39" s="371">
        <f t="shared" si="0"/>
        <v>437987.29220000049</v>
      </c>
      <c r="M39" s="286"/>
    </row>
    <row r="40" spans="1:13">
      <c r="A40" s="370">
        <v>39</v>
      </c>
      <c r="B40" s="284" t="s">
        <v>80</v>
      </c>
      <c r="C40" s="284" t="s">
        <v>81</v>
      </c>
      <c r="D40" s="282">
        <f>+' TR Associates'!E35</f>
        <v>10355.070000000002</v>
      </c>
      <c r="E40" s="282">
        <f>+' TR Associates'!G35</f>
        <v>945624.99239999987</v>
      </c>
      <c r="F40" s="282">
        <f>+' TR Associates'!H35</f>
        <v>20</v>
      </c>
      <c r="G40" s="282">
        <f>+' TR Associates'!J35</f>
        <v>2064.7999999999997</v>
      </c>
      <c r="H40" s="410">
        <f t="shared" si="2"/>
        <v>947689.79239999992</v>
      </c>
      <c r="I40" s="409">
        <f>+' TR Associates'!M3</f>
        <v>0</v>
      </c>
      <c r="J40" s="411">
        <f>+' TR Associates'!L35</f>
        <v>300000</v>
      </c>
      <c r="K40" s="371">
        <f t="shared" si="0"/>
        <v>647689.79239999992</v>
      </c>
      <c r="M40" s="286"/>
    </row>
    <row r="41" spans="1:13">
      <c r="A41" s="370">
        <v>40</v>
      </c>
      <c r="B41" s="284" t="s">
        <v>82</v>
      </c>
      <c r="C41" s="284" t="s">
        <v>83</v>
      </c>
      <c r="D41" s="282">
        <f>+Ankalgi!E35</f>
        <v>5235.8999999999996</v>
      </c>
      <c r="E41" s="282">
        <f>+Ankalgi!G35</f>
        <v>478090.02899999998</v>
      </c>
      <c r="F41" s="282">
        <f>+Ankalgi!H35</f>
        <v>82</v>
      </c>
      <c r="G41" s="282">
        <f>+Ankalgi!J35</f>
        <v>8464.86</v>
      </c>
      <c r="H41" s="282">
        <f t="shared" si="2"/>
        <v>486554.88899999997</v>
      </c>
      <c r="I41" s="309">
        <f>+Ankalgi!M3</f>
        <v>180107.61949999994</v>
      </c>
      <c r="J41" s="282">
        <f>+Ankalgi!L35</f>
        <v>360000</v>
      </c>
      <c r="K41" s="371">
        <f t="shared" si="0"/>
        <v>306662.50849999988</v>
      </c>
    </row>
    <row r="42" spans="1:13">
      <c r="A42" s="370">
        <v>41</v>
      </c>
      <c r="B42" s="284" t="s">
        <v>84</v>
      </c>
      <c r="C42" s="284" t="s">
        <v>85</v>
      </c>
      <c r="D42" s="282">
        <f>+' Shankeshwar'!E35</f>
        <v>390</v>
      </c>
      <c r="E42" s="282">
        <f>+' Shankeshwar'!G35</f>
        <v>35607</v>
      </c>
      <c r="F42" s="282">
        <f>+' Shankeshwar'!H35</f>
        <v>159.25</v>
      </c>
      <c r="G42" s="282">
        <f>+' Shankeshwar'!J35</f>
        <v>16437.785</v>
      </c>
      <c r="H42" s="282">
        <f t="shared" si="2"/>
        <v>52044.785000000003</v>
      </c>
      <c r="I42" s="282"/>
      <c r="J42" s="282">
        <f>+' Shankeshwar'!L35</f>
        <v>52044.785000000003</v>
      </c>
      <c r="K42" s="371">
        <f t="shared" si="0"/>
        <v>0</v>
      </c>
    </row>
    <row r="43" spans="1:13">
      <c r="A43" s="370">
        <v>42</v>
      </c>
      <c r="B43" s="284" t="s">
        <v>86</v>
      </c>
      <c r="C43" s="284" t="s">
        <v>87</v>
      </c>
      <c r="D43" s="282">
        <f>+' Talikote'!E46</f>
        <v>492.26</v>
      </c>
      <c r="E43" s="282">
        <f>+' Talikote'!G46</f>
        <v>45041.789999999994</v>
      </c>
      <c r="F43" s="282">
        <f>+' Talikote'!H46</f>
        <v>82.27</v>
      </c>
      <c r="G43" s="282">
        <f>+' Talikote'!J46</f>
        <v>8510.0087999999996</v>
      </c>
      <c r="H43" s="282">
        <f t="shared" si="2"/>
        <v>53551.79879999999</v>
      </c>
      <c r="I43" s="282">
        <f>+' Talikote'!N3</f>
        <v>21107.79589999999</v>
      </c>
      <c r="J43" s="282">
        <f>+' Talikote'!L46</f>
        <v>47000</v>
      </c>
      <c r="K43" s="371">
        <f t="shared" si="0"/>
        <v>27659.594699999987</v>
      </c>
    </row>
    <row r="44" spans="1:13">
      <c r="A44" s="370">
        <v>43</v>
      </c>
      <c r="B44" s="284" t="s">
        <v>88</v>
      </c>
      <c r="C44" s="284" t="s">
        <v>89</v>
      </c>
      <c r="D44" s="282">
        <f>+Chadchan!E35</f>
        <v>1897.95</v>
      </c>
      <c r="E44" s="282">
        <f>+Chadchan!G35</f>
        <v>173149.97849999997</v>
      </c>
      <c r="F44" s="282">
        <f>+Chadchan!H35</f>
        <v>80.539999999999992</v>
      </c>
      <c r="G44" s="282">
        <f>+Chadchan!J35</f>
        <v>8288.9634000000005</v>
      </c>
      <c r="H44" s="282">
        <f t="shared" si="2"/>
        <v>181438.94189999998</v>
      </c>
      <c r="I44" s="282">
        <f>+Chadchan!K3</f>
        <v>81512.172200000059</v>
      </c>
      <c r="J44" s="282">
        <f>+Chadchan!L35</f>
        <v>176000</v>
      </c>
      <c r="K44" s="371">
        <f t="shared" si="0"/>
        <v>86951.114100000006</v>
      </c>
    </row>
    <row r="45" spans="1:13">
      <c r="A45" s="370">
        <v>44</v>
      </c>
      <c r="B45" s="284" t="s">
        <v>90</v>
      </c>
      <c r="C45" s="284" t="s">
        <v>91</v>
      </c>
      <c r="D45" s="282">
        <f>+Sindagi!E44</f>
        <v>0</v>
      </c>
      <c r="E45" s="282">
        <f>+Sindagi!G44</f>
        <v>0</v>
      </c>
      <c r="F45" s="282">
        <f>+Sindagi!H44</f>
        <v>5</v>
      </c>
      <c r="G45" s="282">
        <f>+Sindagi!J44</f>
        <v>515.75</v>
      </c>
      <c r="H45" s="282">
        <f t="shared" si="2"/>
        <v>515.75</v>
      </c>
      <c r="I45" s="282">
        <f>+Sindagi!M3</f>
        <v>3671.4887000000012</v>
      </c>
      <c r="J45" s="282">
        <f>+Sindagi!L44</f>
        <v>0</v>
      </c>
      <c r="K45" s="371">
        <f t="shared" si="0"/>
        <v>4187.2387000000017</v>
      </c>
    </row>
    <row r="46" spans="1:13">
      <c r="A46" s="370">
        <v>45</v>
      </c>
      <c r="B46" s="284" t="s">
        <v>92</v>
      </c>
      <c r="C46" s="284" t="s">
        <v>93</v>
      </c>
      <c r="D46" s="282">
        <f>+'Muddebhihal-2'!E48</f>
        <v>1946.8699999999997</v>
      </c>
      <c r="E46" s="282">
        <f>+'Muddebhihal-2'!G48</f>
        <v>177982.85540000003</v>
      </c>
      <c r="F46" s="282">
        <f>+'Muddebhihal-2'!H48</f>
        <v>62.05</v>
      </c>
      <c r="G46" s="282">
        <f>+'Muddebhihal-2'!J48</f>
        <v>6464.0504999999994</v>
      </c>
      <c r="H46" s="282">
        <f>+'Muddebhihal-2'!K48</f>
        <v>184446.90590000004</v>
      </c>
      <c r="I46" s="282">
        <f>+'Muddebhihal-2'!M3</f>
        <v>106452.54359999996</v>
      </c>
      <c r="J46" s="282">
        <f>+'Muddebhihal-2'!L48</f>
        <v>209000</v>
      </c>
      <c r="K46" s="371">
        <f>+'Muddebhihal-2'!M47</f>
        <v>81899.44949999993</v>
      </c>
    </row>
    <row r="47" spans="1:13">
      <c r="A47" s="370">
        <v>46</v>
      </c>
      <c r="B47" s="284" t="s">
        <v>94</v>
      </c>
      <c r="C47" s="284" t="s">
        <v>95</v>
      </c>
      <c r="D47" s="282">
        <f>+Alemela!E43</f>
        <v>734.4899999999999</v>
      </c>
      <c r="E47" s="282">
        <f>+Alemela!G43</f>
        <v>67080.971699999995</v>
      </c>
      <c r="F47" s="282">
        <f>+Alemela!H43</f>
        <v>79.460000000000008</v>
      </c>
      <c r="G47" s="282">
        <f>+Alemela!J43</f>
        <v>8205.0396000000001</v>
      </c>
      <c r="H47" s="282">
        <f t="shared" si="2"/>
        <v>75286.011299999998</v>
      </c>
      <c r="I47" s="282">
        <f>+Alemela!M3</f>
        <v>5104.7894000000097</v>
      </c>
      <c r="J47" s="282">
        <f>+Alemela!L43</f>
        <v>28000</v>
      </c>
      <c r="K47" s="371">
        <f t="shared" si="0"/>
        <v>52390.800700000007</v>
      </c>
    </row>
    <row r="48" spans="1:13">
      <c r="A48" s="370">
        <v>47</v>
      </c>
      <c r="B48" s="284" t="s">
        <v>96</v>
      </c>
      <c r="C48" s="284" t="s">
        <v>97</v>
      </c>
      <c r="D48" s="282">
        <f>+Nalatwad!E43</f>
        <v>696.06000000000006</v>
      </c>
      <c r="E48" s="282">
        <f>+Nalatwad!G43</f>
        <v>63773.017200000002</v>
      </c>
      <c r="F48" s="282">
        <f>+Nalatwad!H43</f>
        <v>52.89</v>
      </c>
      <c r="G48" s="282">
        <f>+Nalatwad!J43</f>
        <v>5477.8173000000006</v>
      </c>
      <c r="H48" s="282">
        <f>E48+G48</f>
        <v>69250.834499999997</v>
      </c>
      <c r="I48" s="282">
        <f>+Nalatwad!M3</f>
        <v>32417.28596000003</v>
      </c>
      <c r="J48" s="282">
        <f>+Nalatwad!L43</f>
        <v>42500</v>
      </c>
      <c r="K48" s="371">
        <f>H48+I48-J48</f>
        <v>59168.120460000035</v>
      </c>
    </row>
    <row r="49" spans="1:13">
      <c r="A49" s="370">
        <v>48</v>
      </c>
      <c r="B49" s="284" t="s">
        <v>98</v>
      </c>
      <c r="C49" s="284" t="s">
        <v>99</v>
      </c>
      <c r="D49" s="282">
        <f>+Srirangapatna!E35</f>
        <v>198.72</v>
      </c>
      <c r="E49" s="282">
        <f>+Srirangapatna!G35</f>
        <v>17998.070399999997</v>
      </c>
      <c r="F49" s="282">
        <f>+Srirangapatna!H35</f>
        <v>18.579999999999998</v>
      </c>
      <c r="G49" s="282">
        <f>+Srirangapatna!J35</f>
        <v>1903.7067999999999</v>
      </c>
      <c r="H49" s="282">
        <f t="shared" si="2"/>
        <v>19901.777199999997</v>
      </c>
      <c r="I49" s="282">
        <v>0</v>
      </c>
      <c r="J49" s="282">
        <f>+Srirangapatna!L35</f>
        <v>19901.777199999993</v>
      </c>
      <c r="K49" s="371">
        <f t="shared" si="0"/>
        <v>0</v>
      </c>
    </row>
    <row r="50" spans="1:13">
      <c r="A50" s="370">
        <v>49</v>
      </c>
      <c r="B50" s="284" t="s">
        <v>100</v>
      </c>
      <c r="C50" s="281" t="s">
        <v>16</v>
      </c>
      <c r="D50" s="390">
        <f>+'HO(DG)'!E36</f>
        <v>793.68000000000006</v>
      </c>
      <c r="E50" s="390">
        <f>+'HO(DG)'!G36</f>
        <v>76050.554399999994</v>
      </c>
      <c r="F50" s="390">
        <f>+'HO(DG)'!H36</f>
        <v>0</v>
      </c>
      <c r="G50" s="390">
        <f>+'HO(DG)'!J36</f>
        <v>0</v>
      </c>
      <c r="H50" s="282">
        <f t="shared" si="2"/>
        <v>76050.554399999994</v>
      </c>
      <c r="I50" s="390">
        <f>+'HO(DG)'!M3</f>
        <v>16292.058299999999</v>
      </c>
      <c r="J50" s="390">
        <f>+'HO(DG)'!L36</f>
        <v>59742</v>
      </c>
      <c r="K50" s="371">
        <f t="shared" si="0"/>
        <v>32600.612699999998</v>
      </c>
    </row>
    <row r="51" spans="1:13">
      <c r="A51" s="456" t="s">
        <v>101</v>
      </c>
      <c r="B51" s="457"/>
      <c r="C51" s="458"/>
      <c r="D51" s="372">
        <f>SUM(D2:D50)</f>
        <v>268289.04899999994</v>
      </c>
      <c r="E51" s="372">
        <f t="shared" ref="E51:G51" si="3">SUM(E2:E50)</f>
        <v>25130709.955699999</v>
      </c>
      <c r="F51" s="372">
        <f t="shared" si="3"/>
        <v>5553.5300000000007</v>
      </c>
      <c r="G51" s="372">
        <f>SUM(G2:G50)</f>
        <v>586829.77709999995</v>
      </c>
      <c r="H51" s="372">
        <f t="shared" ref="H51:J51" si="4">SUM(H2:H50)</f>
        <v>25717539.732800007</v>
      </c>
      <c r="I51" s="372">
        <f t="shared" si="4"/>
        <v>14875254.055676801</v>
      </c>
      <c r="J51" s="372">
        <f t="shared" si="4"/>
        <v>26398451.459199995</v>
      </c>
      <c r="K51" s="373">
        <f>H51+I51-J51</f>
        <v>14194342.329276815</v>
      </c>
      <c r="L51" s="280">
        <v>11794956.597562991</v>
      </c>
      <c r="M51" s="286">
        <f>K51-L51</f>
        <v>2399385.731713824</v>
      </c>
    </row>
    <row r="52" spans="1:13">
      <c r="K52" s="285"/>
    </row>
    <row r="54" spans="1:13">
      <c r="K54" s="285"/>
    </row>
    <row r="55" spans="1:13">
      <c r="K55" s="285"/>
    </row>
    <row r="56" spans="1:13">
      <c r="A56" s="329" t="s">
        <v>0</v>
      </c>
      <c r="B56" s="329" t="s">
        <v>1</v>
      </c>
      <c r="C56" s="329" t="s">
        <v>2</v>
      </c>
      <c r="D56" s="330" t="s">
        <v>3</v>
      </c>
      <c r="E56" s="330" t="s">
        <v>4</v>
      </c>
      <c r="F56" s="330" t="s">
        <v>5</v>
      </c>
      <c r="G56" s="330" t="s">
        <v>6</v>
      </c>
      <c r="H56" s="330" t="s">
        <v>7</v>
      </c>
      <c r="I56" s="330" t="s">
        <v>8</v>
      </c>
      <c r="J56" s="330" t="s">
        <v>9</v>
      </c>
      <c r="K56" s="330" t="s">
        <v>10</v>
      </c>
    </row>
    <row r="57" spans="1:13">
      <c r="A57" s="331">
        <v>39</v>
      </c>
      <c r="B57" s="331" t="str" cm="1">
        <f t="array" ref="B57:K57">VLOOKUP(A57,A1:K49,{2,3,4,5,6,7,8,9,10,11},FALSE)</f>
        <v>Hukkere</v>
      </c>
      <c r="C57" s="331" t="str">
        <v>TR Assocites</v>
      </c>
      <c r="D57" s="331">
        <v>10355.070000000002</v>
      </c>
      <c r="E57" s="331">
        <v>945624.99239999987</v>
      </c>
      <c r="F57" s="331">
        <v>20</v>
      </c>
      <c r="G57" s="331">
        <v>2064.7999999999997</v>
      </c>
      <c r="H57" s="331">
        <v>947689.79239999992</v>
      </c>
      <c r="I57" s="331">
        <v>0</v>
      </c>
      <c r="J57" s="331">
        <v>300000</v>
      </c>
      <c r="K57" s="331">
        <v>647689.79239999992</v>
      </c>
    </row>
    <row r="59" spans="1:13">
      <c r="B59" s="329" t="s">
        <v>1</v>
      </c>
      <c r="C59" s="329" t="s">
        <v>2</v>
      </c>
      <c r="D59" s="330" t="s">
        <v>3</v>
      </c>
      <c r="E59" s="330" t="s">
        <v>4</v>
      </c>
      <c r="F59" s="330" t="s">
        <v>5</v>
      </c>
      <c r="G59" s="330" t="s">
        <v>6</v>
      </c>
      <c r="H59" s="330" t="s">
        <v>7</v>
      </c>
      <c r="I59" s="330" t="s">
        <v>8</v>
      </c>
      <c r="J59" s="330" t="s">
        <v>9</v>
      </c>
      <c r="K59" s="330" t="s">
        <v>10</v>
      </c>
    </row>
    <row r="60" spans="1:13">
      <c r="B60" s="280" t="s">
        <v>42</v>
      </c>
      <c r="C60" s="280" t="str" cm="1">
        <f t="array" ref="C60:K60">VLOOKUP(B60,B1:K49,{2,3,4,5,6,7,8,9,10},FALSE)</f>
        <v>Shivaganga Service Station</v>
      </c>
      <c r="D60" s="280">
        <v>3800</v>
      </c>
      <c r="E60" s="280">
        <v>350474</v>
      </c>
      <c r="F60" s="280">
        <v>230.04</v>
      </c>
      <c r="G60" s="280">
        <v>23944.863600000004</v>
      </c>
      <c r="H60" s="280">
        <v>374418.86359999998</v>
      </c>
      <c r="I60" s="280">
        <v>145403.1</v>
      </c>
      <c r="J60" s="280">
        <v>358717</v>
      </c>
      <c r="K60" s="280">
        <v>161104.96360000002</v>
      </c>
    </row>
    <row r="67" spans="2:14">
      <c r="B67" s="280">
        <v>60000</v>
      </c>
    </row>
    <row r="68" spans="2:14">
      <c r="B68" s="280">
        <v>18000</v>
      </c>
    </row>
    <row r="69" spans="2:14">
      <c r="B69" s="280">
        <v>18000</v>
      </c>
    </row>
    <row r="70" spans="2:14">
      <c r="B70" s="280">
        <v>75000</v>
      </c>
    </row>
    <row r="71" spans="2:14">
      <c r="B71" s="280">
        <v>360000</v>
      </c>
    </row>
    <row r="75" spans="2:14">
      <c r="M75" s="361"/>
    </row>
    <row r="76" spans="2:14">
      <c r="M76" s="361"/>
      <c r="N76" s="360"/>
    </row>
  </sheetData>
  <sheetProtection algorithmName="SHA-512" hashValue="XrilyTk32+pC8wCmhNGrxTGXztjSAWxXdjA4uALJT21eD58AYIZVT3xr+nvR+ZWu26xi+OL5N3kNDG6GmgD8iw==" saltValue="/Eg4kNKLPKeb4ka0/Ym5Jw==" spinCount="100000" sheet="1" objects="1" scenarios="1"/>
  <mergeCells count="1">
    <mergeCell ref="A51:C5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B6632-9320-4CC6-B9BB-ED75FDE9C322}">
  <dimension ref="B2:X50"/>
  <sheetViews>
    <sheetView topLeftCell="A13" workbookViewId="0">
      <selection activeCell="D51" sqref="D51"/>
    </sheetView>
  </sheetViews>
  <sheetFormatPr defaultRowHeight="15"/>
  <cols>
    <col min="2" max="2" width="5.28515625" bestFit="1" customWidth="1"/>
    <col min="3" max="3" width="27.140625" customWidth="1"/>
    <col min="4" max="4" width="38.140625" bestFit="1" customWidth="1"/>
    <col min="5" max="5" width="13" bestFit="1" customWidth="1"/>
    <col min="6" max="6" width="16.5703125" customWidth="1"/>
    <col min="7" max="7" width="13.28515625" customWidth="1"/>
    <col min="8" max="8" width="20.140625" bestFit="1" customWidth="1"/>
    <col min="9" max="9" width="18.28515625" bestFit="1" customWidth="1"/>
  </cols>
  <sheetData>
    <row r="2" spans="2:9" ht="15.75">
      <c r="B2" s="276" t="s">
        <v>0</v>
      </c>
      <c r="C2" s="277" t="s">
        <v>1</v>
      </c>
      <c r="D2" s="376" t="s">
        <v>2</v>
      </c>
      <c r="E2" s="389" t="s">
        <v>102</v>
      </c>
      <c r="F2" s="389" t="s">
        <v>103</v>
      </c>
      <c r="G2" s="389" t="s">
        <v>104</v>
      </c>
      <c r="H2" s="389" t="s">
        <v>105</v>
      </c>
      <c r="I2" s="389" t="s">
        <v>106</v>
      </c>
    </row>
    <row r="3" spans="2:9" ht="15.75">
      <c r="B3" s="370">
        <v>1</v>
      </c>
      <c r="C3" s="281" t="s">
        <v>11</v>
      </c>
      <c r="D3" s="377" t="s">
        <v>12</v>
      </c>
      <c r="E3" s="383">
        <f>+'Jan-26'!K2</f>
        <v>2836060.9516999964</v>
      </c>
      <c r="F3" s="17">
        <v>7753305</v>
      </c>
      <c r="G3" s="17" t="s">
        <v>107</v>
      </c>
      <c r="H3" s="199">
        <v>45</v>
      </c>
      <c r="I3" s="17" t="s">
        <v>108</v>
      </c>
    </row>
    <row r="4" spans="2:9" ht="15.75">
      <c r="B4" s="370">
        <v>2</v>
      </c>
      <c r="C4" s="281" t="s">
        <v>13</v>
      </c>
      <c r="D4" s="377" t="s">
        <v>14</v>
      </c>
      <c r="E4" s="383">
        <f>+'Jan-26'!K3</f>
        <v>4435776.8028999995</v>
      </c>
      <c r="F4" s="17">
        <v>9561886</v>
      </c>
      <c r="G4" s="17" t="s">
        <v>107</v>
      </c>
      <c r="H4" s="199">
        <v>45</v>
      </c>
      <c r="I4" s="17" t="s">
        <v>108</v>
      </c>
    </row>
    <row r="5" spans="2:9" ht="15.75">
      <c r="B5" s="370">
        <v>3</v>
      </c>
      <c r="C5" s="281" t="s">
        <v>109</v>
      </c>
      <c r="D5" s="377" t="s">
        <v>110</v>
      </c>
      <c r="E5" s="383" t="e">
        <f>+'Jan-26'!#REF!</f>
        <v>#REF!</v>
      </c>
      <c r="F5" s="17">
        <v>307000</v>
      </c>
      <c r="G5" s="17" t="s">
        <v>107</v>
      </c>
      <c r="H5" s="199" t="s">
        <v>111</v>
      </c>
      <c r="I5" s="199" t="s">
        <v>111</v>
      </c>
    </row>
    <row r="6" spans="2:9" ht="15.75">
      <c r="B6" s="370">
        <v>4</v>
      </c>
      <c r="C6" s="281" t="s">
        <v>112</v>
      </c>
      <c r="D6" s="377" t="s">
        <v>113</v>
      </c>
      <c r="E6" s="383" t="e">
        <f>+'Jan-26'!#REF!</f>
        <v>#REF!</v>
      </c>
      <c r="F6" s="17">
        <v>1123622.8999999999</v>
      </c>
      <c r="G6" s="17" t="s">
        <v>114</v>
      </c>
      <c r="H6" s="199" t="s">
        <v>111</v>
      </c>
      <c r="I6" s="199" t="s">
        <v>111</v>
      </c>
    </row>
    <row r="7" spans="2:9" ht="15.75">
      <c r="B7" s="370">
        <v>5</v>
      </c>
      <c r="C7" s="281" t="s">
        <v>17</v>
      </c>
      <c r="D7" s="377" t="s">
        <v>16</v>
      </c>
      <c r="E7" s="383">
        <f>+'Jan-26'!K5</f>
        <v>299056.5</v>
      </c>
      <c r="F7" s="17">
        <v>2755171</v>
      </c>
      <c r="G7" s="17" t="s">
        <v>115</v>
      </c>
      <c r="H7" s="199">
        <v>15</v>
      </c>
      <c r="I7" s="17" t="s">
        <v>116</v>
      </c>
    </row>
    <row r="8" spans="2:9" ht="15.75">
      <c r="B8" s="370">
        <v>6</v>
      </c>
      <c r="C8" s="281" t="s">
        <v>20</v>
      </c>
      <c r="D8" s="377" t="s">
        <v>21</v>
      </c>
      <c r="E8" s="383">
        <f>+'Jan-26'!K7</f>
        <v>0</v>
      </c>
      <c r="F8" s="17"/>
      <c r="G8" s="17"/>
      <c r="H8" s="199"/>
      <c r="I8" s="17" t="s">
        <v>117</v>
      </c>
    </row>
    <row r="9" spans="2:9" ht="15.75">
      <c r="B9" s="370">
        <v>7</v>
      </c>
      <c r="C9" s="281" t="s">
        <v>22</v>
      </c>
      <c r="D9" s="377" t="s">
        <v>23</v>
      </c>
      <c r="E9" s="383">
        <f>+'Jan-26'!K8</f>
        <v>5856.292399999893</v>
      </c>
      <c r="F9" s="17">
        <v>55563</v>
      </c>
      <c r="G9" s="17" t="s">
        <v>115</v>
      </c>
      <c r="H9" s="199">
        <v>10</v>
      </c>
      <c r="I9" s="17" t="s">
        <v>116</v>
      </c>
    </row>
    <row r="10" spans="2:9" ht="15.75">
      <c r="B10" s="370">
        <v>8</v>
      </c>
      <c r="C10" s="281" t="s">
        <v>24</v>
      </c>
      <c r="D10" s="377" t="s">
        <v>16</v>
      </c>
      <c r="E10" s="383">
        <f>+'Jan-26'!K9</f>
        <v>0</v>
      </c>
      <c r="F10" s="17">
        <v>66053.77</v>
      </c>
      <c r="G10" s="17" t="s">
        <v>115</v>
      </c>
      <c r="H10" s="199">
        <v>15</v>
      </c>
      <c r="I10" s="17" t="s">
        <v>116</v>
      </c>
    </row>
    <row r="11" spans="2:9" ht="15.75">
      <c r="B11" s="370">
        <v>9</v>
      </c>
      <c r="C11" s="281" t="s">
        <v>25</v>
      </c>
      <c r="D11" s="377"/>
      <c r="E11" s="383">
        <f>+'Jan-26'!K10</f>
        <v>0</v>
      </c>
      <c r="F11" s="17"/>
      <c r="G11" s="17"/>
      <c r="H11" s="199"/>
      <c r="I11" s="17" t="s">
        <v>117</v>
      </c>
    </row>
    <row r="12" spans="2:9" ht="15.75">
      <c r="B12" s="370">
        <v>10</v>
      </c>
      <c r="C12" s="281" t="s">
        <v>26</v>
      </c>
      <c r="D12" s="377" t="s">
        <v>27</v>
      </c>
      <c r="E12" s="383">
        <f>+'Jan-26'!K11</f>
        <v>-0.32499999999708962</v>
      </c>
      <c r="F12" s="17"/>
      <c r="G12" s="17"/>
      <c r="H12" s="199"/>
      <c r="I12" s="17" t="s">
        <v>117</v>
      </c>
    </row>
    <row r="13" spans="2:9" ht="15.75">
      <c r="B13" s="370">
        <v>11</v>
      </c>
      <c r="C13" s="281" t="s">
        <v>28</v>
      </c>
      <c r="D13" s="377" t="s">
        <v>29</v>
      </c>
      <c r="E13" s="383">
        <f>+'Jan-26'!K12</f>
        <v>1.5138002281318563E-3</v>
      </c>
      <c r="F13" s="17">
        <v>25000</v>
      </c>
      <c r="G13" s="17" t="s">
        <v>115</v>
      </c>
      <c r="H13" s="199">
        <v>10</v>
      </c>
      <c r="I13" s="199">
        <v>0</v>
      </c>
    </row>
    <row r="14" spans="2:9" ht="15.75">
      <c r="B14" s="370">
        <v>12</v>
      </c>
      <c r="C14" s="281" t="s">
        <v>30</v>
      </c>
      <c r="D14" s="377" t="s">
        <v>31</v>
      </c>
      <c r="E14" s="383">
        <f>+'Jan-26'!K13</f>
        <v>478336.85290300008</v>
      </c>
      <c r="F14" s="17">
        <v>205413</v>
      </c>
      <c r="G14" s="17" t="s">
        <v>107</v>
      </c>
      <c r="H14" s="199">
        <v>15</v>
      </c>
      <c r="I14" s="17" t="s">
        <v>116</v>
      </c>
    </row>
    <row r="15" spans="2:9" ht="15.75">
      <c r="B15" s="370">
        <v>13</v>
      </c>
      <c r="C15" s="281" t="s">
        <v>32</v>
      </c>
      <c r="D15" s="377" t="s">
        <v>33</v>
      </c>
      <c r="E15" s="383">
        <f>+'Jan-26'!K14</f>
        <v>2258.5999999999767</v>
      </c>
      <c r="F15" s="17"/>
      <c r="G15" s="17"/>
      <c r="H15" s="199"/>
      <c r="I15" s="17">
        <v>0</v>
      </c>
    </row>
    <row r="16" spans="2:9" ht="15.75">
      <c r="B16" s="370">
        <v>14</v>
      </c>
      <c r="C16" s="281" t="s">
        <v>34</v>
      </c>
      <c r="D16" s="377" t="s">
        <v>35</v>
      </c>
      <c r="E16" s="383">
        <f>+'Jan-26'!K15</f>
        <v>325898.19690000033</v>
      </c>
      <c r="F16" s="17">
        <v>551781.84</v>
      </c>
      <c r="G16" s="17" t="s">
        <v>107</v>
      </c>
      <c r="H16" s="199">
        <v>15</v>
      </c>
      <c r="I16" s="17" t="s">
        <v>116</v>
      </c>
    </row>
    <row r="17" spans="2:24" ht="14.25" customHeight="1">
      <c r="B17" s="370">
        <v>15</v>
      </c>
      <c r="C17" s="283" t="s">
        <v>36</v>
      </c>
      <c r="D17" s="378" t="s">
        <v>37</v>
      </c>
      <c r="E17" s="383">
        <f>+'Jan-26'!K16</f>
        <v>213698.55969999998</v>
      </c>
      <c r="F17" s="17">
        <v>40495</v>
      </c>
      <c r="G17" s="17" t="s">
        <v>107</v>
      </c>
      <c r="H17" s="199">
        <v>10</v>
      </c>
      <c r="I17" s="17" t="s">
        <v>118</v>
      </c>
    </row>
    <row r="18" spans="2:24" ht="15.75">
      <c r="B18" s="370">
        <v>16</v>
      </c>
      <c r="C18" s="281" t="s">
        <v>38</v>
      </c>
      <c r="D18" s="377" t="s">
        <v>39</v>
      </c>
      <c r="E18" s="383">
        <f>+'Jan-26'!K17</f>
        <v>14627.030999999755</v>
      </c>
      <c r="F18" s="17">
        <v>175801</v>
      </c>
      <c r="G18" s="17" t="s">
        <v>107</v>
      </c>
      <c r="H18" s="199">
        <v>30</v>
      </c>
      <c r="I18" s="17" t="s">
        <v>119</v>
      </c>
    </row>
    <row r="19" spans="2:24" ht="15.75">
      <c r="B19" s="370">
        <v>17</v>
      </c>
      <c r="C19" s="281" t="s">
        <v>40</v>
      </c>
      <c r="D19" s="377" t="s">
        <v>41</v>
      </c>
      <c r="E19" s="383">
        <f>+'Jan-26'!K18</f>
        <v>219486.10000000009</v>
      </c>
      <c r="F19" s="17">
        <v>135912</v>
      </c>
      <c r="G19" s="17" t="s">
        <v>107</v>
      </c>
      <c r="H19" s="199">
        <v>10</v>
      </c>
      <c r="I19" s="17" t="s">
        <v>120</v>
      </c>
    </row>
    <row r="20" spans="2:24" ht="15.75">
      <c r="B20" s="370">
        <v>18</v>
      </c>
      <c r="C20" s="281" t="s">
        <v>42</v>
      </c>
      <c r="D20" s="377" t="s">
        <v>43</v>
      </c>
      <c r="E20" s="383">
        <f>+'Jan-26'!K19</f>
        <v>161104.96360000002</v>
      </c>
      <c r="F20" s="17">
        <v>58955.35</v>
      </c>
      <c r="G20" s="17" t="s">
        <v>107</v>
      </c>
      <c r="H20" s="199">
        <v>15</v>
      </c>
      <c r="I20" s="17" t="s">
        <v>121</v>
      </c>
    </row>
    <row r="21" spans="2:24" ht="15.75">
      <c r="B21" s="370">
        <v>19</v>
      </c>
      <c r="C21" s="281" t="s">
        <v>44</v>
      </c>
      <c r="D21" s="379"/>
      <c r="E21" s="383">
        <f>+'Jan-26'!K20</f>
        <v>0</v>
      </c>
      <c r="F21" s="17"/>
      <c r="G21" s="17"/>
      <c r="H21" s="199"/>
      <c r="I21" s="17" t="s">
        <v>117</v>
      </c>
    </row>
    <row r="22" spans="2:24" ht="15.75">
      <c r="B22" s="370">
        <v>20</v>
      </c>
      <c r="C22" s="281" t="s">
        <v>45</v>
      </c>
      <c r="D22" s="380" t="s">
        <v>122</v>
      </c>
      <c r="E22" s="383">
        <f>+'Jan-26'!K21</f>
        <v>27990.595199999996</v>
      </c>
      <c r="F22" s="189" t="s">
        <v>123</v>
      </c>
      <c r="G22" s="17"/>
      <c r="H22" s="199"/>
      <c r="I22" s="17" t="s">
        <v>116</v>
      </c>
    </row>
    <row r="23" spans="2:24" ht="15.75">
      <c r="B23" s="370">
        <v>21</v>
      </c>
      <c r="C23" s="281" t="s">
        <v>47</v>
      </c>
      <c r="D23" s="381"/>
      <c r="E23" s="383">
        <f>+'Jan-26'!K22</f>
        <v>0</v>
      </c>
      <c r="F23" s="17"/>
      <c r="G23" s="17"/>
      <c r="H23" s="199"/>
      <c r="I23" s="17"/>
    </row>
    <row r="24" spans="2:24" ht="15.75">
      <c r="B24" s="370">
        <v>22</v>
      </c>
      <c r="C24" s="281" t="s">
        <v>48</v>
      </c>
      <c r="D24" s="377" t="s">
        <v>49</v>
      </c>
      <c r="E24" s="383">
        <f>+'Jan-26'!K23</f>
        <v>103942.74519999995</v>
      </c>
      <c r="F24" s="17">
        <v>50000</v>
      </c>
      <c r="G24" s="17" t="s">
        <v>114</v>
      </c>
      <c r="H24" s="199">
        <v>15</v>
      </c>
      <c r="I24" s="17" t="s">
        <v>121</v>
      </c>
    </row>
    <row r="25" spans="2:24" ht="15.75">
      <c r="B25" s="370">
        <v>23</v>
      </c>
      <c r="C25" s="281" t="s">
        <v>52</v>
      </c>
      <c r="D25" s="377" t="s">
        <v>51</v>
      </c>
      <c r="E25" s="383">
        <f>+'Jan-26'!K24</f>
        <v>1.9999997457489371E-3</v>
      </c>
      <c r="F25" s="17">
        <v>107000</v>
      </c>
      <c r="G25" s="17" t="s">
        <v>107</v>
      </c>
      <c r="H25" s="199">
        <v>10</v>
      </c>
      <c r="I25" s="17" t="s">
        <v>120</v>
      </c>
    </row>
    <row r="26" spans="2:24" ht="15.75">
      <c r="B26" s="370">
        <v>24</v>
      </c>
      <c r="C26" s="281" t="s">
        <v>53</v>
      </c>
      <c r="D26" s="377" t="s">
        <v>54</v>
      </c>
      <c r="E26" s="383">
        <f>+'Jan-26'!K26</f>
        <v>115310.98310000007</v>
      </c>
      <c r="F26" s="383">
        <v>287043.30059999996</v>
      </c>
      <c r="G26" s="17" t="s">
        <v>115</v>
      </c>
      <c r="H26" s="199">
        <v>30</v>
      </c>
      <c r="I26" s="17" t="s">
        <v>119</v>
      </c>
    </row>
    <row r="27" spans="2:24" ht="15.75">
      <c r="B27" s="370">
        <v>25</v>
      </c>
      <c r="C27" s="281" t="s">
        <v>55</v>
      </c>
      <c r="D27" s="377" t="s">
        <v>56</v>
      </c>
      <c r="E27" s="383">
        <f>+'Jan-26'!K27</f>
        <v>151510.54690000019</v>
      </c>
      <c r="F27" s="17">
        <v>313314</v>
      </c>
      <c r="G27" s="17" t="s">
        <v>107</v>
      </c>
      <c r="H27" s="199">
        <v>30</v>
      </c>
      <c r="I27" s="17" t="s">
        <v>119</v>
      </c>
    </row>
    <row r="28" spans="2:24" ht="15.75">
      <c r="B28" s="370">
        <v>26</v>
      </c>
      <c r="C28" s="281" t="s">
        <v>57</v>
      </c>
      <c r="D28" s="377" t="s">
        <v>58</v>
      </c>
      <c r="E28" s="383">
        <f>+'Jan-26'!K28</f>
        <v>0</v>
      </c>
      <c r="F28" s="17"/>
      <c r="G28" s="17"/>
      <c r="H28" s="199"/>
      <c r="I28" s="17"/>
      <c r="X28" s="376"/>
    </row>
    <row r="29" spans="2:24" ht="15.75">
      <c r="B29" s="370">
        <v>27</v>
      </c>
      <c r="C29" s="281" t="s">
        <v>59</v>
      </c>
      <c r="D29" s="377" t="s">
        <v>60</v>
      </c>
      <c r="E29" s="383">
        <f>+'Jan-26'!K29</f>
        <v>0</v>
      </c>
      <c r="F29" s="17"/>
      <c r="G29" s="17"/>
      <c r="H29" s="199"/>
      <c r="I29" s="17"/>
    </row>
    <row r="30" spans="2:24" ht="15.75">
      <c r="B30" s="370">
        <v>28</v>
      </c>
      <c r="C30" s="281" t="s">
        <v>61</v>
      </c>
      <c r="D30" s="377" t="s">
        <v>62</v>
      </c>
      <c r="E30" s="383">
        <f>+'Jan-26'!K30</f>
        <v>1368586.4649000005</v>
      </c>
      <c r="F30" s="17">
        <v>1700000</v>
      </c>
      <c r="G30" s="17" t="s">
        <v>107</v>
      </c>
      <c r="H30" s="199">
        <v>30</v>
      </c>
      <c r="I30" s="17" t="s">
        <v>119</v>
      </c>
    </row>
    <row r="31" spans="2:24" ht="15.75">
      <c r="B31" s="370">
        <v>29</v>
      </c>
      <c r="C31" s="281" t="s">
        <v>63</v>
      </c>
      <c r="D31" s="377" t="s">
        <v>64</v>
      </c>
      <c r="E31" s="383">
        <f>+'Jan-26'!K31</f>
        <v>366041.64999999991</v>
      </c>
      <c r="F31" s="17">
        <v>461912.77</v>
      </c>
      <c r="G31" s="17" t="s">
        <v>107</v>
      </c>
      <c r="H31" s="199">
        <v>30</v>
      </c>
      <c r="I31" s="17" t="s">
        <v>119</v>
      </c>
    </row>
    <row r="32" spans="2:24" ht="15.75">
      <c r="B32" s="370">
        <v>30</v>
      </c>
      <c r="C32" s="281" t="s">
        <v>65</v>
      </c>
      <c r="D32" s="377" t="s">
        <v>66</v>
      </c>
      <c r="E32" s="383">
        <f>+'Jan-26'!K32</f>
        <v>-3.100000101767364E-3</v>
      </c>
      <c r="F32" s="17">
        <v>224862</v>
      </c>
      <c r="G32" s="17" t="s">
        <v>124</v>
      </c>
      <c r="H32" s="199">
        <v>10</v>
      </c>
      <c r="I32" s="17"/>
    </row>
    <row r="33" spans="2:9" ht="15.75">
      <c r="B33" s="370">
        <v>31</v>
      </c>
      <c r="C33" s="281" t="s">
        <v>65</v>
      </c>
      <c r="D33" s="377" t="s">
        <v>67</v>
      </c>
      <c r="E33" s="383">
        <f>+'Jan-26'!K33</f>
        <v>150830.73329999985</v>
      </c>
      <c r="F33" s="17">
        <v>14064</v>
      </c>
      <c r="G33" s="17" t="s">
        <v>115</v>
      </c>
      <c r="H33" s="199">
        <v>13</v>
      </c>
      <c r="I33" s="17" t="s">
        <v>121</v>
      </c>
    </row>
    <row r="34" spans="2:9" ht="15.75">
      <c r="B34" s="370">
        <v>32</v>
      </c>
      <c r="C34" s="281" t="s">
        <v>68</v>
      </c>
      <c r="D34" s="377" t="s">
        <v>69</v>
      </c>
      <c r="E34" s="383">
        <f>+'Jan-26'!K34</f>
        <v>3.9999996079131961E-4</v>
      </c>
      <c r="F34" s="17">
        <v>50000</v>
      </c>
      <c r="G34" s="17" t="s">
        <v>125</v>
      </c>
      <c r="H34" s="199">
        <v>7</v>
      </c>
      <c r="I34" s="17" t="s">
        <v>120</v>
      </c>
    </row>
    <row r="35" spans="2:9" ht="15.75">
      <c r="B35" s="370">
        <v>33</v>
      </c>
      <c r="C35" s="281" t="s">
        <v>72</v>
      </c>
      <c r="D35" s="377" t="s">
        <v>73</v>
      </c>
      <c r="E35" s="383">
        <f>+'Jan-26'!K36</f>
        <v>6442.7239999999874</v>
      </c>
      <c r="F35" s="17">
        <v>272393</v>
      </c>
      <c r="G35" s="17" t="s">
        <v>107</v>
      </c>
      <c r="H35" s="199">
        <v>15</v>
      </c>
      <c r="I35" s="17" t="s">
        <v>120</v>
      </c>
    </row>
    <row r="36" spans="2:9" ht="15.75">
      <c r="B36" s="370">
        <v>34</v>
      </c>
      <c r="C36" s="281" t="s">
        <v>74</v>
      </c>
      <c r="D36" s="377" t="s">
        <v>75</v>
      </c>
      <c r="E36" s="383">
        <f>+'Jan-26'!K37</f>
        <v>162379.87650000001</v>
      </c>
      <c r="F36" s="189" t="s">
        <v>123</v>
      </c>
      <c r="G36" s="17"/>
      <c r="H36" s="199">
        <v>15</v>
      </c>
      <c r="I36" s="17" t="s">
        <v>116</v>
      </c>
    </row>
    <row r="37" spans="2:9" ht="15.75">
      <c r="B37" s="370">
        <v>35</v>
      </c>
      <c r="C37" s="281" t="s">
        <v>76</v>
      </c>
      <c r="D37" s="377" t="s">
        <v>77</v>
      </c>
      <c r="E37" s="383">
        <f>+'Jan-26'!K38</f>
        <v>10249.401500000007</v>
      </c>
      <c r="F37" s="17"/>
      <c r="G37" s="17"/>
      <c r="H37" s="199">
        <v>30</v>
      </c>
      <c r="I37" s="17" t="s">
        <v>116</v>
      </c>
    </row>
    <row r="38" spans="2:9" ht="15.75">
      <c r="B38" s="370">
        <v>36</v>
      </c>
      <c r="C38" s="284" t="s">
        <v>78</v>
      </c>
      <c r="D38" s="382" t="s">
        <v>79</v>
      </c>
      <c r="E38" s="383">
        <f>+'Jan-26'!K39</f>
        <v>437987.29220000049</v>
      </c>
      <c r="F38" s="17">
        <v>1000000</v>
      </c>
      <c r="G38" s="17" t="s">
        <v>114</v>
      </c>
      <c r="H38" s="199">
        <v>15</v>
      </c>
      <c r="I38" s="17" t="s">
        <v>116</v>
      </c>
    </row>
    <row r="39" spans="2:9" ht="15.75">
      <c r="B39" s="370">
        <v>37</v>
      </c>
      <c r="C39" s="284" t="s">
        <v>82</v>
      </c>
      <c r="D39" s="382" t="s">
        <v>126</v>
      </c>
      <c r="E39" s="383">
        <f>+'Jan-26'!K41</f>
        <v>306662.50849999988</v>
      </c>
      <c r="F39" s="17">
        <v>361718.01</v>
      </c>
      <c r="G39" s="17" t="s">
        <v>107</v>
      </c>
      <c r="H39" s="199">
        <v>15</v>
      </c>
      <c r="I39" s="17" t="s">
        <v>121</v>
      </c>
    </row>
    <row r="40" spans="2:9" ht="15.75">
      <c r="B40" s="370">
        <v>38</v>
      </c>
      <c r="C40" s="284" t="s">
        <v>84</v>
      </c>
      <c r="D40" s="382" t="s">
        <v>85</v>
      </c>
      <c r="E40" s="383">
        <f>+'Jan-26'!K42</f>
        <v>0</v>
      </c>
      <c r="F40" s="17"/>
      <c r="G40" s="17"/>
      <c r="H40" s="199"/>
      <c r="I40" s="17" t="s">
        <v>117</v>
      </c>
    </row>
    <row r="41" spans="2:9" ht="15.75">
      <c r="B41" s="370">
        <v>39</v>
      </c>
      <c r="C41" s="284" t="s">
        <v>86</v>
      </c>
      <c r="D41" s="382" t="s">
        <v>87</v>
      </c>
      <c r="E41" s="383">
        <f>+'Jan-26'!K43</f>
        <v>27659.594699999987</v>
      </c>
      <c r="F41" s="17">
        <v>64000</v>
      </c>
      <c r="G41" s="17" t="s">
        <v>107</v>
      </c>
      <c r="H41" s="199">
        <v>10</v>
      </c>
      <c r="I41" s="17" t="s">
        <v>120</v>
      </c>
    </row>
    <row r="42" spans="2:9" ht="15.75">
      <c r="B42" s="370">
        <v>40</v>
      </c>
      <c r="C42" s="284" t="s">
        <v>88</v>
      </c>
      <c r="D42" s="382" t="s">
        <v>89</v>
      </c>
      <c r="E42" s="383">
        <f>+'Jan-26'!K44</f>
        <v>86951.114100000006</v>
      </c>
      <c r="F42" s="17">
        <v>173004</v>
      </c>
      <c r="G42" s="17" t="s">
        <v>107</v>
      </c>
      <c r="H42" s="199">
        <v>30</v>
      </c>
      <c r="I42" s="17" t="s">
        <v>119</v>
      </c>
    </row>
    <row r="43" spans="2:9" ht="15.75">
      <c r="B43" s="370">
        <v>41</v>
      </c>
      <c r="C43" s="284" t="s">
        <v>90</v>
      </c>
      <c r="D43" s="382" t="s">
        <v>91</v>
      </c>
      <c r="E43" s="383">
        <f>+'Jan-26'!K45</f>
        <v>4187.2387000000017</v>
      </c>
      <c r="F43" s="17">
        <v>11016</v>
      </c>
      <c r="G43" s="17" t="s">
        <v>107</v>
      </c>
      <c r="H43" s="199">
        <v>15</v>
      </c>
      <c r="I43" s="17" t="s">
        <v>120</v>
      </c>
    </row>
    <row r="44" spans="2:9" ht="15.75">
      <c r="B44" s="370">
        <v>42</v>
      </c>
      <c r="C44" s="284" t="s">
        <v>127</v>
      </c>
      <c r="D44" s="382" t="s">
        <v>128</v>
      </c>
      <c r="E44" s="383" t="e">
        <f>+'Jan-26'!#REF!</f>
        <v>#REF!</v>
      </c>
      <c r="F44" s="17">
        <v>8500</v>
      </c>
      <c r="G44" s="17" t="s">
        <v>107</v>
      </c>
      <c r="H44" s="199"/>
      <c r="I44" s="17"/>
    </row>
    <row r="45" spans="2:9" ht="15.75">
      <c r="B45" s="370">
        <v>43</v>
      </c>
      <c r="C45" s="284" t="s">
        <v>92</v>
      </c>
      <c r="D45" s="382" t="s">
        <v>93</v>
      </c>
      <c r="E45" s="383">
        <f>+'Jan-26'!K46</f>
        <v>81899.44949999993</v>
      </c>
      <c r="F45" s="17">
        <v>160000</v>
      </c>
      <c r="G45" s="17" t="s">
        <v>107</v>
      </c>
      <c r="H45" s="199">
        <v>15</v>
      </c>
      <c r="I45" s="17" t="s">
        <v>116</v>
      </c>
    </row>
    <row r="46" spans="2:9" ht="15.75">
      <c r="B46" s="370">
        <v>44</v>
      </c>
      <c r="C46" s="284" t="s">
        <v>94</v>
      </c>
      <c r="D46" s="382" t="s">
        <v>95</v>
      </c>
      <c r="E46" s="383">
        <f>+'Jan-26'!K47</f>
        <v>52390.800700000007</v>
      </c>
      <c r="F46" s="17">
        <v>32000</v>
      </c>
      <c r="G46" s="17" t="s">
        <v>107</v>
      </c>
      <c r="H46" s="199">
        <v>10</v>
      </c>
      <c r="I46" s="17" t="s">
        <v>120</v>
      </c>
    </row>
    <row r="47" spans="2:9" ht="15.75">
      <c r="B47" s="370">
        <v>45</v>
      </c>
      <c r="C47" s="284" t="s">
        <v>96</v>
      </c>
      <c r="D47" s="382" t="s">
        <v>97</v>
      </c>
      <c r="E47" s="383">
        <f>+'Jan-26'!K48</f>
        <v>59168.120460000035</v>
      </c>
      <c r="F47" s="17">
        <v>66000</v>
      </c>
      <c r="G47" s="17" t="s">
        <v>107</v>
      </c>
      <c r="H47" s="199">
        <v>10</v>
      </c>
      <c r="I47" s="17" t="s">
        <v>120</v>
      </c>
    </row>
    <row r="48" spans="2:9" ht="15.75">
      <c r="B48" s="384">
        <v>46</v>
      </c>
      <c r="C48" s="385" t="s">
        <v>98</v>
      </c>
      <c r="D48" s="386" t="s">
        <v>99</v>
      </c>
      <c r="E48" s="383">
        <f>+'Jan-26'!K49</f>
        <v>0</v>
      </c>
      <c r="F48" s="17"/>
      <c r="G48" s="17"/>
      <c r="H48" s="199"/>
      <c r="I48" s="17"/>
    </row>
    <row r="49" spans="2:9" ht="15.75">
      <c r="B49" s="397"/>
      <c r="C49" s="385"/>
      <c r="D49" s="386"/>
      <c r="E49" s="383"/>
      <c r="F49" s="17"/>
      <c r="G49" s="17"/>
      <c r="H49" s="199"/>
      <c r="I49" s="17"/>
    </row>
    <row r="50" spans="2:9">
      <c r="B50" s="459" t="s">
        <v>101</v>
      </c>
      <c r="C50" s="459"/>
      <c r="D50" s="460"/>
      <c r="E50" s="383" t="e">
        <f>SUM(E3:E48)</f>
        <v>#REF!</v>
      </c>
      <c r="F50" s="383">
        <f>SUM(F3:F48)</f>
        <v>28172786.9406</v>
      </c>
      <c r="G50" s="17"/>
      <c r="H50" s="199"/>
      <c r="I50" s="17"/>
    </row>
  </sheetData>
  <autoFilter ref="B2:I50" xr:uid="{10EB6632-9320-4CC6-B9BB-ED75FDE9C322}"/>
  <mergeCells count="1">
    <mergeCell ref="B50:D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39FC-1DEE-4D53-95A1-C1F1A0CD88CD}">
  <dimension ref="A1:Q47"/>
  <sheetViews>
    <sheetView topLeftCell="A7" workbookViewId="0">
      <selection activeCell="S16" sqref="S16"/>
    </sheetView>
  </sheetViews>
  <sheetFormatPr defaultRowHeight="15"/>
  <cols>
    <col min="12" max="12" width="9.5703125" bestFit="1" customWidth="1"/>
    <col min="16" max="16" width="13.5703125" bestFit="1" customWidth="1"/>
  </cols>
  <sheetData>
    <row r="1" spans="1:17" ht="15.75">
      <c r="A1" s="461" t="s">
        <v>16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</row>
    <row r="2" spans="1:17" ht="27">
      <c r="A2" s="106" t="s">
        <v>129</v>
      </c>
      <c r="B2" s="109" t="s">
        <v>130</v>
      </c>
      <c r="C2" s="109" t="s">
        <v>131</v>
      </c>
      <c r="D2" s="109" t="s">
        <v>132</v>
      </c>
      <c r="E2" s="109" t="s">
        <v>133</v>
      </c>
      <c r="F2" s="109" t="s">
        <v>134</v>
      </c>
      <c r="G2" s="109" t="s">
        <v>135</v>
      </c>
      <c r="H2" s="109" t="s">
        <v>136</v>
      </c>
      <c r="I2" s="109" t="s">
        <v>134</v>
      </c>
      <c r="J2" s="109" t="s">
        <v>135</v>
      </c>
      <c r="K2" s="147" t="s">
        <v>137</v>
      </c>
      <c r="L2" s="147" t="s">
        <v>138</v>
      </c>
      <c r="M2" s="147" t="s">
        <v>139</v>
      </c>
      <c r="N2" s="109" t="s">
        <v>140</v>
      </c>
    </row>
    <row r="3" spans="1:17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4"/>
      <c r="K3" s="134"/>
      <c r="L3" s="237"/>
      <c r="M3" s="339">
        <v>16292.058299999999</v>
      </c>
      <c r="N3" s="238"/>
      <c r="O3">
        <v>2623243.3616999988</v>
      </c>
    </row>
    <row r="4" spans="1:17">
      <c r="A4" s="26">
        <v>1</v>
      </c>
      <c r="B4" s="27">
        <v>46023</v>
      </c>
      <c r="C4" s="110"/>
      <c r="D4" s="35"/>
      <c r="E4" s="37"/>
      <c r="F4" s="37"/>
      <c r="G4" s="37">
        <f>E4*F4</f>
        <v>0</v>
      </c>
      <c r="H4" s="350">
        <v>0</v>
      </c>
      <c r="I4" s="350">
        <v>0</v>
      </c>
      <c r="J4" s="37">
        <f>H4*I4</f>
        <v>0</v>
      </c>
      <c r="K4" s="37">
        <f t="shared" ref="K4:K35" si="0">G4+J4</f>
        <v>0</v>
      </c>
      <c r="L4" s="202">
        <v>0</v>
      </c>
      <c r="M4" s="37">
        <f>M3+K4-L4</f>
        <v>16292.058299999999</v>
      </c>
      <c r="N4" s="239"/>
      <c r="P4" s="22"/>
    </row>
    <row r="5" spans="1:17">
      <c r="A5" s="26">
        <v>2</v>
      </c>
      <c r="B5" s="27">
        <v>46024</v>
      </c>
      <c r="C5" s="110"/>
      <c r="D5" s="35"/>
      <c r="E5" s="37"/>
      <c r="F5" s="37"/>
      <c r="G5" s="37">
        <f t="shared" ref="G5:G34" si="1">E5*F5</f>
        <v>0</v>
      </c>
      <c r="H5" s="350">
        <v>0</v>
      </c>
      <c r="I5" s="350">
        <v>0</v>
      </c>
      <c r="J5" s="37">
        <f t="shared" ref="J5:J11" si="2">H5*I5</f>
        <v>0</v>
      </c>
      <c r="K5" s="37">
        <f t="shared" si="0"/>
        <v>0</v>
      </c>
      <c r="L5" s="202">
        <v>0</v>
      </c>
      <c r="M5" s="37">
        <f t="shared" ref="M5:M35" si="3">M4+K5-L5</f>
        <v>16292.058299999999</v>
      </c>
      <c r="N5" s="240"/>
    </row>
    <row r="6" spans="1:17">
      <c r="A6" s="26">
        <v>3</v>
      </c>
      <c r="B6" s="27">
        <v>46025</v>
      </c>
      <c r="C6" s="110"/>
      <c r="D6" s="35"/>
      <c r="E6" s="37"/>
      <c r="F6" s="37"/>
      <c r="G6" s="37">
        <f t="shared" si="1"/>
        <v>0</v>
      </c>
      <c r="H6" s="350">
        <v>0</v>
      </c>
      <c r="I6" s="350">
        <v>0</v>
      </c>
      <c r="J6" s="37">
        <f t="shared" si="2"/>
        <v>0</v>
      </c>
      <c r="K6" s="37">
        <f t="shared" si="0"/>
        <v>0</v>
      </c>
      <c r="L6" s="202">
        <v>0</v>
      </c>
      <c r="M6" s="37">
        <f t="shared" si="3"/>
        <v>16292.058299999999</v>
      </c>
      <c r="N6" s="241"/>
    </row>
    <row r="7" spans="1:17">
      <c r="A7" s="26">
        <v>4</v>
      </c>
      <c r="B7" s="27">
        <v>46026</v>
      </c>
      <c r="C7" s="110"/>
      <c r="D7" s="35"/>
      <c r="E7" s="37"/>
      <c r="F7" s="37"/>
      <c r="G7" s="37">
        <f t="shared" si="1"/>
        <v>0</v>
      </c>
      <c r="H7" s="350">
        <v>0</v>
      </c>
      <c r="I7" s="350">
        <v>0</v>
      </c>
      <c r="J7" s="37">
        <f t="shared" si="2"/>
        <v>0</v>
      </c>
      <c r="K7" s="37">
        <f t="shared" si="0"/>
        <v>0</v>
      </c>
      <c r="L7" s="202">
        <v>0</v>
      </c>
      <c r="M7" s="37">
        <f>M6+K7-L7</f>
        <v>16292.058299999999</v>
      </c>
      <c r="N7" s="203"/>
      <c r="P7">
        <v>5679</v>
      </c>
    </row>
    <row r="8" spans="1:17">
      <c r="A8" s="26">
        <v>5</v>
      </c>
      <c r="B8" s="27">
        <v>46027</v>
      </c>
      <c r="C8" s="34"/>
      <c r="D8" s="35"/>
      <c r="E8" s="37"/>
      <c r="F8" s="37"/>
      <c r="G8" s="37">
        <f t="shared" si="1"/>
        <v>0</v>
      </c>
      <c r="H8" s="350">
        <v>0</v>
      </c>
      <c r="I8" s="350">
        <v>0</v>
      </c>
      <c r="J8" s="37">
        <f t="shared" si="2"/>
        <v>0</v>
      </c>
      <c r="K8" s="37">
        <f t="shared" si="0"/>
        <v>0</v>
      </c>
      <c r="L8" s="202">
        <v>0</v>
      </c>
      <c r="M8" s="37">
        <f>M7+K8-L8</f>
        <v>16292.058299999999</v>
      </c>
      <c r="N8" s="203"/>
    </row>
    <row r="9" spans="1:17">
      <c r="A9" s="26">
        <v>6</v>
      </c>
      <c r="B9" s="27">
        <v>46028</v>
      </c>
      <c r="C9" s="34"/>
      <c r="D9" s="35"/>
      <c r="E9" s="37"/>
      <c r="F9" s="37"/>
      <c r="G9" s="37">
        <f t="shared" si="1"/>
        <v>0</v>
      </c>
      <c r="H9" s="350">
        <v>0</v>
      </c>
      <c r="I9" s="350">
        <v>0</v>
      </c>
      <c r="J9" s="37">
        <f t="shared" si="2"/>
        <v>0</v>
      </c>
      <c r="K9" s="37">
        <f t="shared" si="0"/>
        <v>0</v>
      </c>
      <c r="L9" s="202">
        <v>0</v>
      </c>
      <c r="M9" s="37">
        <f t="shared" si="3"/>
        <v>16292.058299999999</v>
      </c>
      <c r="N9" s="203"/>
    </row>
    <row r="10" spans="1:17">
      <c r="A10" s="26">
        <v>7</v>
      </c>
      <c r="B10" s="27">
        <v>46029</v>
      </c>
      <c r="C10" s="34"/>
      <c r="D10" s="35"/>
      <c r="E10" s="37"/>
      <c r="F10" s="37"/>
      <c r="G10" s="37">
        <f t="shared" si="1"/>
        <v>0</v>
      </c>
      <c r="H10" s="350">
        <v>0</v>
      </c>
      <c r="I10" s="350">
        <v>0</v>
      </c>
      <c r="J10" s="37">
        <f t="shared" si="2"/>
        <v>0</v>
      </c>
      <c r="K10" s="37">
        <f t="shared" si="0"/>
        <v>0</v>
      </c>
      <c r="L10" s="202">
        <v>0</v>
      </c>
      <c r="M10" s="37">
        <f t="shared" si="3"/>
        <v>16292.058299999999</v>
      </c>
      <c r="N10" s="203"/>
    </row>
    <row r="11" spans="1:17">
      <c r="A11" s="26">
        <v>8</v>
      </c>
      <c r="B11" s="27">
        <v>46030</v>
      </c>
      <c r="C11" s="34"/>
      <c r="D11" s="35">
        <v>2</v>
      </c>
      <c r="E11" s="37">
        <v>200</v>
      </c>
      <c r="F11" s="37">
        <v>95.83</v>
      </c>
      <c r="G11" s="37">
        <f t="shared" si="1"/>
        <v>19166</v>
      </c>
      <c r="H11" s="350">
        <v>0</v>
      </c>
      <c r="I11" s="350">
        <v>0</v>
      </c>
      <c r="J11" s="37">
        <f t="shared" si="2"/>
        <v>0</v>
      </c>
      <c r="K11" s="37">
        <f t="shared" si="0"/>
        <v>19166</v>
      </c>
      <c r="L11" s="202">
        <v>0</v>
      </c>
      <c r="M11" s="37">
        <f t="shared" si="3"/>
        <v>35458.058299999997</v>
      </c>
      <c r="N11" s="203"/>
    </row>
    <row r="12" spans="1:17">
      <c r="A12" s="26">
        <v>9</v>
      </c>
      <c r="B12" s="27">
        <v>46031</v>
      </c>
      <c r="C12" s="34"/>
      <c r="D12" s="35"/>
      <c r="E12" s="37"/>
      <c r="F12" s="37"/>
      <c r="G12" s="37">
        <f t="shared" si="1"/>
        <v>0</v>
      </c>
      <c r="H12" s="350">
        <v>0</v>
      </c>
      <c r="I12" s="350">
        <v>0</v>
      </c>
      <c r="J12" s="37"/>
      <c r="K12" s="37">
        <f t="shared" si="0"/>
        <v>0</v>
      </c>
      <c r="L12" s="202">
        <v>0</v>
      </c>
      <c r="M12" s="37">
        <f t="shared" si="3"/>
        <v>35458.058299999997</v>
      </c>
      <c r="N12" s="203"/>
    </row>
    <row r="13" spans="1:17">
      <c r="A13" s="26">
        <v>10</v>
      </c>
      <c r="B13" s="27">
        <v>46032</v>
      </c>
      <c r="C13" s="34"/>
      <c r="D13" s="35"/>
      <c r="E13" s="37"/>
      <c r="F13" s="37"/>
      <c r="G13" s="37">
        <f t="shared" si="1"/>
        <v>0</v>
      </c>
      <c r="H13" s="350">
        <v>0</v>
      </c>
      <c r="I13" s="350">
        <v>0</v>
      </c>
      <c r="J13" s="37"/>
      <c r="K13" s="37">
        <f t="shared" si="0"/>
        <v>0</v>
      </c>
      <c r="L13" s="202">
        <v>0</v>
      </c>
      <c r="M13" s="37">
        <f>M12+K13-L13</f>
        <v>35458.058299999997</v>
      </c>
      <c r="N13" s="203"/>
    </row>
    <row r="14" spans="1:17">
      <c r="A14" s="26">
        <v>11</v>
      </c>
      <c r="B14" s="27">
        <v>46033</v>
      </c>
      <c r="C14" s="34"/>
      <c r="D14" s="35"/>
      <c r="E14" s="37"/>
      <c r="F14" s="37"/>
      <c r="G14" s="37">
        <f t="shared" si="1"/>
        <v>0</v>
      </c>
      <c r="H14" s="350">
        <v>0</v>
      </c>
      <c r="I14" s="350">
        <v>0</v>
      </c>
      <c r="J14" s="37"/>
      <c r="K14" s="37">
        <f t="shared" si="0"/>
        <v>0</v>
      </c>
      <c r="L14" s="202">
        <v>0</v>
      </c>
      <c r="M14" s="37">
        <f>M13+K14-L14</f>
        <v>35458.058299999997</v>
      </c>
      <c r="N14" s="203"/>
      <c r="P14">
        <v>1905988</v>
      </c>
      <c r="Q14" s="179">
        <f>P14-M14</f>
        <v>1870529.9417000001</v>
      </c>
    </row>
    <row r="15" spans="1:17">
      <c r="A15" s="26">
        <v>12</v>
      </c>
      <c r="B15" s="27">
        <v>46034</v>
      </c>
      <c r="C15" s="34"/>
      <c r="D15" s="35"/>
      <c r="E15" s="37"/>
      <c r="F15" s="37"/>
      <c r="G15" s="37">
        <f t="shared" si="1"/>
        <v>0</v>
      </c>
      <c r="H15" s="350">
        <v>0</v>
      </c>
      <c r="I15" s="350">
        <v>0</v>
      </c>
      <c r="J15" s="37"/>
      <c r="K15" s="37">
        <f t="shared" si="0"/>
        <v>0</v>
      </c>
      <c r="L15" s="202">
        <v>0</v>
      </c>
      <c r="M15" s="37">
        <f t="shared" si="3"/>
        <v>35458.058299999997</v>
      </c>
      <c r="N15" s="203"/>
    </row>
    <row r="16" spans="1:17">
      <c r="A16" s="26">
        <v>13</v>
      </c>
      <c r="B16" s="27">
        <v>46035</v>
      </c>
      <c r="C16" s="34"/>
      <c r="D16" s="35"/>
      <c r="E16" s="37"/>
      <c r="F16" s="37"/>
      <c r="G16" s="37">
        <f t="shared" si="1"/>
        <v>0</v>
      </c>
      <c r="H16" s="350">
        <v>0</v>
      </c>
      <c r="I16" s="350">
        <v>0</v>
      </c>
      <c r="J16" s="37">
        <f t="shared" ref="J16:J45" si="4">H16*I16</f>
        <v>0</v>
      </c>
      <c r="K16" s="37">
        <f t="shared" si="0"/>
        <v>0</v>
      </c>
      <c r="L16" s="202">
        <v>0</v>
      </c>
      <c r="M16" s="37">
        <f t="shared" si="3"/>
        <v>35458.058299999997</v>
      </c>
      <c r="N16" s="203"/>
    </row>
    <row r="17" spans="1:14">
      <c r="A17" s="26">
        <v>14</v>
      </c>
      <c r="B17" s="27">
        <v>46036</v>
      </c>
      <c r="C17" s="34"/>
      <c r="D17" s="35"/>
      <c r="E17" s="37"/>
      <c r="F17" s="37"/>
      <c r="G17" s="37">
        <f t="shared" si="1"/>
        <v>0</v>
      </c>
      <c r="H17" s="350">
        <v>0</v>
      </c>
      <c r="I17" s="350">
        <v>0</v>
      </c>
      <c r="J17" s="37">
        <f t="shared" si="4"/>
        <v>0</v>
      </c>
      <c r="K17" s="37">
        <f t="shared" si="0"/>
        <v>0</v>
      </c>
      <c r="L17" s="202">
        <v>0</v>
      </c>
      <c r="M17" s="37">
        <f t="shared" si="3"/>
        <v>35458.058299999997</v>
      </c>
      <c r="N17" s="203"/>
    </row>
    <row r="18" spans="1:14">
      <c r="A18" s="26">
        <v>15</v>
      </c>
      <c r="B18" s="27">
        <v>46037</v>
      </c>
      <c r="C18" s="173"/>
      <c r="D18" s="35"/>
      <c r="E18" s="37">
        <v>193.68</v>
      </c>
      <c r="F18" s="37">
        <v>95.83</v>
      </c>
      <c r="G18" s="37">
        <f t="shared" si="1"/>
        <v>18560.3544</v>
      </c>
      <c r="H18" s="350">
        <v>0</v>
      </c>
      <c r="I18" s="350">
        <v>0</v>
      </c>
      <c r="J18" s="37">
        <f t="shared" si="4"/>
        <v>0</v>
      </c>
      <c r="K18" s="37">
        <f t="shared" si="0"/>
        <v>18560.3544</v>
      </c>
      <c r="L18" s="202">
        <v>0</v>
      </c>
      <c r="M18" s="37">
        <f t="shared" si="3"/>
        <v>54018.412700000001</v>
      </c>
      <c r="N18" s="242"/>
    </row>
    <row r="19" spans="1:14">
      <c r="A19" s="26">
        <v>16</v>
      </c>
      <c r="B19" s="27">
        <v>46038</v>
      </c>
      <c r="C19" s="110"/>
      <c r="D19" s="35"/>
      <c r="E19" s="37"/>
      <c r="F19" s="37"/>
      <c r="G19" s="37">
        <f t="shared" si="1"/>
        <v>0</v>
      </c>
      <c r="H19" s="350">
        <v>0</v>
      </c>
      <c r="I19" s="350">
        <v>0</v>
      </c>
      <c r="J19" s="37">
        <f t="shared" si="4"/>
        <v>0</v>
      </c>
      <c r="K19" s="37">
        <f t="shared" si="0"/>
        <v>0</v>
      </c>
      <c r="L19" s="202">
        <v>0</v>
      </c>
      <c r="M19" s="37">
        <f t="shared" si="3"/>
        <v>54018.412700000001</v>
      </c>
      <c r="N19" s="242"/>
    </row>
    <row r="20" spans="1:14">
      <c r="A20" s="26">
        <v>17</v>
      </c>
      <c r="B20" s="27">
        <v>46039</v>
      </c>
      <c r="C20" s="185"/>
      <c r="D20" s="35"/>
      <c r="E20" s="37"/>
      <c r="F20" s="37"/>
      <c r="G20" s="37">
        <f t="shared" si="1"/>
        <v>0</v>
      </c>
      <c r="H20" s="350"/>
      <c r="I20" s="350"/>
      <c r="J20" s="37">
        <f t="shared" si="4"/>
        <v>0</v>
      </c>
      <c r="K20" s="37">
        <f t="shared" si="0"/>
        <v>0</v>
      </c>
      <c r="L20" s="202">
        <v>0</v>
      </c>
      <c r="M20" s="37">
        <f t="shared" si="3"/>
        <v>54018.412700000001</v>
      </c>
      <c r="N20" s="242"/>
    </row>
    <row r="21" spans="1:14">
      <c r="A21" s="26">
        <v>18</v>
      </c>
      <c r="B21" s="27">
        <v>46040</v>
      </c>
      <c r="C21" s="185"/>
      <c r="D21" s="35"/>
      <c r="E21" s="37"/>
      <c r="F21" s="37"/>
      <c r="G21" s="37">
        <f t="shared" si="1"/>
        <v>0</v>
      </c>
      <c r="H21" s="350"/>
      <c r="I21" s="350"/>
      <c r="J21" s="37">
        <f t="shared" si="4"/>
        <v>0</v>
      </c>
      <c r="K21" s="37">
        <f t="shared" si="0"/>
        <v>0</v>
      </c>
      <c r="L21" s="202">
        <v>0</v>
      </c>
      <c r="M21" s="37">
        <f t="shared" si="3"/>
        <v>54018.412700000001</v>
      </c>
      <c r="N21" s="242"/>
    </row>
    <row r="22" spans="1:14">
      <c r="A22" s="26">
        <v>19</v>
      </c>
      <c r="B22" s="27">
        <v>46041</v>
      </c>
      <c r="C22" s="110"/>
      <c r="D22" s="35"/>
      <c r="E22" s="37"/>
      <c r="F22" s="37"/>
      <c r="G22" s="37">
        <f t="shared" si="1"/>
        <v>0</v>
      </c>
      <c r="H22" s="350"/>
      <c r="I22" s="350"/>
      <c r="J22" s="37">
        <f t="shared" si="4"/>
        <v>0</v>
      </c>
      <c r="K22" s="37">
        <f t="shared" si="0"/>
        <v>0</v>
      </c>
      <c r="L22" s="202">
        <v>54000</v>
      </c>
      <c r="M22" s="37">
        <f t="shared" si="3"/>
        <v>18.412700000000768</v>
      </c>
      <c r="N22" s="203"/>
    </row>
    <row r="23" spans="1:14">
      <c r="A23" s="26">
        <v>20</v>
      </c>
      <c r="B23" s="27">
        <v>46042</v>
      </c>
      <c r="C23" s="110"/>
      <c r="D23" s="35"/>
      <c r="E23" s="37"/>
      <c r="F23" s="37"/>
      <c r="G23" s="37">
        <f t="shared" si="1"/>
        <v>0</v>
      </c>
      <c r="H23" s="350"/>
      <c r="I23" s="350"/>
      <c r="J23" s="37">
        <f t="shared" si="4"/>
        <v>0</v>
      </c>
      <c r="K23" s="37">
        <f t="shared" si="0"/>
        <v>0</v>
      </c>
      <c r="L23" s="202"/>
      <c r="M23" s="37">
        <f t="shared" si="3"/>
        <v>18.412700000000768</v>
      </c>
      <c r="N23" s="203"/>
    </row>
    <row r="24" spans="1:14">
      <c r="A24" s="26">
        <v>21</v>
      </c>
      <c r="B24" s="27">
        <v>46043</v>
      </c>
      <c r="C24" s="110"/>
      <c r="D24" s="35"/>
      <c r="E24" s="37"/>
      <c r="F24" s="37"/>
      <c r="G24" s="37">
        <f t="shared" si="1"/>
        <v>0</v>
      </c>
      <c r="H24" s="350"/>
      <c r="I24" s="350"/>
      <c r="J24" s="37">
        <f t="shared" si="4"/>
        <v>0</v>
      </c>
      <c r="K24" s="37">
        <f t="shared" si="0"/>
        <v>0</v>
      </c>
      <c r="L24" s="202"/>
      <c r="M24" s="37">
        <f t="shared" si="3"/>
        <v>18.412700000000768</v>
      </c>
      <c r="N24" s="203"/>
    </row>
    <row r="25" spans="1:14">
      <c r="A25" s="26">
        <v>22</v>
      </c>
      <c r="B25" s="27">
        <v>46044</v>
      </c>
      <c r="C25" s="110"/>
      <c r="D25" s="35"/>
      <c r="E25" s="37"/>
      <c r="F25" s="37"/>
      <c r="G25" s="37">
        <f t="shared" si="1"/>
        <v>0</v>
      </c>
      <c r="H25" s="350"/>
      <c r="I25" s="350"/>
      <c r="J25" s="37">
        <f t="shared" si="4"/>
        <v>0</v>
      </c>
      <c r="K25" s="37">
        <f t="shared" si="0"/>
        <v>0</v>
      </c>
      <c r="L25" s="202"/>
      <c r="M25" s="37">
        <f t="shared" si="3"/>
        <v>18.412700000000768</v>
      </c>
      <c r="N25" s="203"/>
    </row>
    <row r="26" spans="1:14">
      <c r="A26" s="26">
        <v>23</v>
      </c>
      <c r="B26" s="27">
        <v>46045</v>
      </c>
      <c r="C26" s="110"/>
      <c r="D26" s="35"/>
      <c r="E26" s="37">
        <v>60</v>
      </c>
      <c r="F26" s="37">
        <v>95.7</v>
      </c>
      <c r="G26" s="37">
        <f t="shared" si="1"/>
        <v>5742</v>
      </c>
      <c r="H26" s="350"/>
      <c r="I26" s="350"/>
      <c r="J26" s="37">
        <f t="shared" si="4"/>
        <v>0</v>
      </c>
      <c r="K26" s="37">
        <f t="shared" si="0"/>
        <v>5742</v>
      </c>
      <c r="L26" s="202">
        <v>5742</v>
      </c>
      <c r="M26" s="37">
        <f t="shared" si="3"/>
        <v>18.412700000000768</v>
      </c>
      <c r="N26" s="203"/>
    </row>
    <row r="27" spans="1:14">
      <c r="A27" s="26">
        <v>24</v>
      </c>
      <c r="B27" s="27">
        <v>46046</v>
      </c>
      <c r="C27" s="110"/>
      <c r="D27" s="35"/>
      <c r="E27" s="37">
        <v>160</v>
      </c>
      <c r="F27" s="37">
        <v>95.83</v>
      </c>
      <c r="G27" s="37">
        <f t="shared" si="1"/>
        <v>15332.8</v>
      </c>
      <c r="H27" s="350"/>
      <c r="I27" s="350"/>
      <c r="J27" s="37">
        <f t="shared" si="4"/>
        <v>0</v>
      </c>
      <c r="K27" s="37">
        <f t="shared" si="0"/>
        <v>15332.8</v>
      </c>
      <c r="L27" s="202"/>
      <c r="M27" s="37">
        <f t="shared" si="3"/>
        <v>15351.2127</v>
      </c>
      <c r="N27" s="203"/>
    </row>
    <row r="28" spans="1:14">
      <c r="A28" s="26">
        <v>25</v>
      </c>
      <c r="B28" s="27">
        <v>46047</v>
      </c>
      <c r="C28" s="110"/>
      <c r="D28" s="35"/>
      <c r="E28" s="37"/>
      <c r="F28" s="37"/>
      <c r="G28" s="37">
        <f t="shared" si="1"/>
        <v>0</v>
      </c>
      <c r="H28" s="350"/>
      <c r="I28" s="350"/>
      <c r="J28" s="37">
        <f t="shared" si="4"/>
        <v>0</v>
      </c>
      <c r="K28" s="37">
        <f t="shared" si="0"/>
        <v>0</v>
      </c>
      <c r="L28" s="202"/>
      <c r="M28" s="37">
        <f t="shared" si="3"/>
        <v>15351.2127</v>
      </c>
      <c r="N28" s="203"/>
    </row>
    <row r="29" spans="1:14">
      <c r="A29" s="26">
        <v>26</v>
      </c>
      <c r="B29" s="27">
        <v>46048</v>
      </c>
      <c r="C29" s="110"/>
      <c r="D29" s="35"/>
      <c r="E29" s="37"/>
      <c r="F29" s="37"/>
      <c r="G29" s="37">
        <f t="shared" si="1"/>
        <v>0</v>
      </c>
      <c r="H29" s="350"/>
      <c r="I29" s="350"/>
      <c r="J29" s="37">
        <f t="shared" si="4"/>
        <v>0</v>
      </c>
      <c r="K29" s="37">
        <f t="shared" si="0"/>
        <v>0</v>
      </c>
      <c r="L29" s="202"/>
      <c r="M29" s="37">
        <f t="shared" si="3"/>
        <v>15351.2127</v>
      </c>
      <c r="N29" s="203"/>
    </row>
    <row r="30" spans="1:14">
      <c r="A30" s="26">
        <v>27</v>
      </c>
      <c r="B30" s="27">
        <v>46049</v>
      </c>
      <c r="C30" s="110"/>
      <c r="D30" s="35"/>
      <c r="E30" s="37"/>
      <c r="F30" s="37"/>
      <c r="G30" s="37">
        <f t="shared" si="1"/>
        <v>0</v>
      </c>
      <c r="H30" s="350"/>
      <c r="I30" s="350"/>
      <c r="J30" s="37">
        <f t="shared" si="4"/>
        <v>0</v>
      </c>
      <c r="K30" s="37">
        <f t="shared" si="0"/>
        <v>0</v>
      </c>
      <c r="L30" s="202"/>
      <c r="M30" s="37">
        <f>M29+K30-L30</f>
        <v>15351.2127</v>
      </c>
      <c r="N30" s="203"/>
    </row>
    <row r="31" spans="1:14">
      <c r="A31" s="26">
        <v>28</v>
      </c>
      <c r="B31" s="27">
        <v>46050</v>
      </c>
      <c r="C31" s="110"/>
      <c r="D31" s="35"/>
      <c r="E31" s="37"/>
      <c r="F31" s="37"/>
      <c r="G31" s="37">
        <f t="shared" si="1"/>
        <v>0</v>
      </c>
      <c r="H31" s="350"/>
      <c r="I31" s="350"/>
      <c r="J31" s="37">
        <f t="shared" si="4"/>
        <v>0</v>
      </c>
      <c r="K31" s="37">
        <f t="shared" si="0"/>
        <v>0</v>
      </c>
      <c r="L31" s="202"/>
      <c r="M31" s="37">
        <f t="shared" si="3"/>
        <v>15351.2127</v>
      </c>
      <c r="N31" s="203"/>
    </row>
    <row r="32" spans="1:14">
      <c r="A32" s="26">
        <v>29</v>
      </c>
      <c r="B32" s="27">
        <v>46051</v>
      </c>
      <c r="C32" s="110"/>
      <c r="D32" s="35"/>
      <c r="E32" s="37"/>
      <c r="F32" s="37"/>
      <c r="G32" s="37">
        <f t="shared" si="1"/>
        <v>0</v>
      </c>
      <c r="H32" s="350"/>
      <c r="I32" s="350"/>
      <c r="J32" s="37">
        <f t="shared" si="4"/>
        <v>0</v>
      </c>
      <c r="K32" s="37">
        <f t="shared" si="0"/>
        <v>0</v>
      </c>
      <c r="L32" s="202"/>
      <c r="M32" s="37">
        <f t="shared" si="3"/>
        <v>15351.2127</v>
      </c>
      <c r="N32" s="203"/>
    </row>
    <row r="33" spans="1:16">
      <c r="A33" s="26">
        <v>30</v>
      </c>
      <c r="B33" s="27">
        <v>46052</v>
      </c>
      <c r="C33" s="110"/>
      <c r="D33" s="35"/>
      <c r="E33" s="37"/>
      <c r="F33" s="37"/>
      <c r="G33" s="37">
        <f t="shared" ref="G33:G34" si="5">E33*F33</f>
        <v>0</v>
      </c>
      <c r="H33" s="350"/>
      <c r="I33" s="350"/>
      <c r="J33" s="37">
        <f t="shared" ref="J33:J34" si="6">H33*I33</f>
        <v>0</v>
      </c>
      <c r="K33" s="37">
        <f t="shared" ref="K33:K34" si="7">G33+J33</f>
        <v>0</v>
      </c>
      <c r="L33" s="202"/>
      <c r="M33" s="37">
        <f t="shared" si="3"/>
        <v>15351.2127</v>
      </c>
      <c r="N33" s="203"/>
    </row>
    <row r="34" spans="1:16">
      <c r="A34" s="26">
        <v>31</v>
      </c>
      <c r="B34" s="27">
        <v>46053</v>
      </c>
      <c r="C34" s="110"/>
      <c r="D34" s="35"/>
      <c r="E34" s="37">
        <v>180</v>
      </c>
      <c r="F34" s="37">
        <v>95.83</v>
      </c>
      <c r="G34" s="37">
        <f t="shared" si="5"/>
        <v>17249.400000000001</v>
      </c>
      <c r="H34" s="350"/>
      <c r="I34" s="350"/>
      <c r="J34" s="37">
        <f t="shared" si="6"/>
        <v>0</v>
      </c>
      <c r="K34" s="37">
        <f t="shared" si="7"/>
        <v>17249.400000000001</v>
      </c>
      <c r="L34" s="202">
        <v>0</v>
      </c>
      <c r="M34" s="37">
        <f t="shared" si="3"/>
        <v>32600.612700000001</v>
      </c>
      <c r="N34" s="242"/>
      <c r="O34">
        <v>2669494</v>
      </c>
      <c r="P34" s="179">
        <f>O34-M34</f>
        <v>2636893.3873000001</v>
      </c>
    </row>
    <row r="35" spans="1:16">
      <c r="A35" s="398"/>
      <c r="B35" s="27"/>
      <c r="C35" s="33"/>
      <c r="D35" s="399"/>
      <c r="E35" s="37">
        <v>0</v>
      </c>
      <c r="F35" s="37">
        <v>0</v>
      </c>
      <c r="G35" s="37">
        <f>E35*F35</f>
        <v>0</v>
      </c>
      <c r="H35" s="37"/>
      <c r="I35" s="37"/>
      <c r="J35" s="37">
        <f t="shared" si="4"/>
        <v>0</v>
      </c>
      <c r="K35" s="37">
        <f t="shared" si="0"/>
        <v>0</v>
      </c>
      <c r="L35" s="39"/>
      <c r="M35" s="202">
        <f t="shared" si="3"/>
        <v>32600.612700000001</v>
      </c>
      <c r="N35" s="37"/>
    </row>
    <row r="36" spans="1:16">
      <c r="A36" s="186"/>
      <c r="B36" s="400"/>
      <c r="C36" s="400"/>
      <c r="D36" s="400"/>
      <c r="E36" s="401">
        <f>SUM(E4:E34)</f>
        <v>793.68000000000006</v>
      </c>
      <c r="F36" s="401"/>
      <c r="G36" s="401">
        <f>SUM(G4:G34)</f>
        <v>76050.554399999994</v>
      </c>
      <c r="H36" s="401">
        <f>SUM(H4:H34)</f>
        <v>0</v>
      </c>
      <c r="I36" s="401"/>
      <c r="J36" s="401">
        <f>SUM(J4:J34)</f>
        <v>0</v>
      </c>
      <c r="K36" s="401">
        <f>SUM(K4:K34)</f>
        <v>76050.554399999994</v>
      </c>
      <c r="L36" s="401">
        <f>SUM(L4:L34)</f>
        <v>59742</v>
      </c>
      <c r="M36" s="402"/>
      <c r="N36" s="403"/>
    </row>
    <row r="37" spans="1:16">
      <c r="A37" s="38"/>
      <c r="B37" s="38"/>
      <c r="C37" s="38"/>
      <c r="D37" s="38"/>
      <c r="E37" s="404"/>
      <c r="F37" s="404"/>
      <c r="G37" s="404"/>
      <c r="H37" s="404"/>
      <c r="I37" s="404"/>
      <c r="J37" s="404"/>
      <c r="K37" s="404"/>
      <c r="L37" s="404"/>
      <c r="M37" s="404"/>
      <c r="N37" s="404"/>
    </row>
    <row r="38" spans="1:16">
      <c r="A38" s="33"/>
      <c r="B38" s="33"/>
      <c r="C38" s="33"/>
      <c r="D38" s="33"/>
      <c r="E38" s="33"/>
      <c r="F38" s="33"/>
      <c r="G38" s="40"/>
      <c r="H38" s="33"/>
      <c r="I38" s="33"/>
      <c r="J38" s="33"/>
      <c r="K38" s="33"/>
      <c r="L38" s="33"/>
      <c r="M38" s="33"/>
      <c r="N38" s="33"/>
    </row>
    <row r="39" spans="1:16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</row>
    <row r="43" spans="1:16">
      <c r="E43" s="179"/>
    </row>
    <row r="45" spans="1:16">
      <c r="M45">
        <v>2408309</v>
      </c>
    </row>
    <row r="46" spans="1:16">
      <c r="M46">
        <v>5327.86</v>
      </c>
    </row>
    <row r="47" spans="1:16">
      <c r="M47" s="405">
        <f>M45-M46</f>
        <v>2402981.14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CC797-301E-4D70-B954-BDEBA92A43C0}">
  <dimension ref="A2:AM18"/>
  <sheetViews>
    <sheetView workbookViewId="0">
      <pane xSplit="5" topLeftCell="AD1" activePane="topRight" state="frozen"/>
      <selection pane="topRight" activeCell="AH18" sqref="AH18"/>
    </sheetView>
  </sheetViews>
  <sheetFormatPr defaultRowHeight="15"/>
  <cols>
    <col min="2" max="2" width="16" bestFit="1" customWidth="1"/>
    <col min="3" max="3" width="17.42578125" bestFit="1" customWidth="1"/>
    <col min="4" max="4" width="24.85546875" customWidth="1"/>
    <col min="5" max="5" width="18" customWidth="1"/>
    <col min="7" max="7" width="11.28515625" bestFit="1" customWidth="1"/>
    <col min="8" max="8" width="11.140625" bestFit="1" customWidth="1"/>
  </cols>
  <sheetData>
    <row r="2" spans="1:39">
      <c r="A2" s="419" t="s">
        <v>129</v>
      </c>
      <c r="B2" s="420" t="s">
        <v>142</v>
      </c>
      <c r="C2" s="421" t="s">
        <v>143</v>
      </c>
      <c r="D2" s="421" t="s">
        <v>144</v>
      </c>
      <c r="E2" s="421" t="s">
        <v>144</v>
      </c>
      <c r="F2" s="421" t="s">
        <v>145</v>
      </c>
      <c r="G2" s="465" t="s">
        <v>146</v>
      </c>
      <c r="H2" s="465"/>
      <c r="I2" s="422" t="s">
        <v>147</v>
      </c>
      <c r="J2" s="422" t="s">
        <v>148</v>
      </c>
      <c r="K2" s="422" t="s">
        <v>149</v>
      </c>
      <c r="L2" s="422" t="s">
        <v>150</v>
      </c>
      <c r="M2" s="422" t="s">
        <v>151</v>
      </c>
      <c r="N2" s="422" t="s">
        <v>152</v>
      </c>
      <c r="O2" s="422" t="s">
        <v>153</v>
      </c>
      <c r="P2" s="422" t="s">
        <v>154</v>
      </c>
      <c r="Q2" s="422" t="s">
        <v>155</v>
      </c>
      <c r="R2" s="422" t="s">
        <v>156</v>
      </c>
      <c r="S2" s="422" t="s">
        <v>157</v>
      </c>
      <c r="T2" s="422" t="s">
        <v>158</v>
      </c>
      <c r="U2" s="422" t="s">
        <v>159</v>
      </c>
      <c r="V2" s="422" t="s">
        <v>160</v>
      </c>
      <c r="W2" s="422" t="s">
        <v>161</v>
      </c>
      <c r="X2" s="422" t="s">
        <v>162</v>
      </c>
      <c r="Y2" s="422" t="s">
        <v>163</v>
      </c>
      <c r="Z2" s="422" t="s">
        <v>164</v>
      </c>
      <c r="AA2" s="422" t="s">
        <v>165</v>
      </c>
      <c r="AB2" s="422" t="s">
        <v>166</v>
      </c>
      <c r="AC2" s="422" t="s">
        <v>167</v>
      </c>
      <c r="AD2" s="422" t="s">
        <v>168</v>
      </c>
      <c r="AE2" s="422" t="s">
        <v>169</v>
      </c>
      <c r="AF2" s="422" t="s">
        <v>170</v>
      </c>
      <c r="AG2" s="422" t="s">
        <v>171</v>
      </c>
      <c r="AH2" s="422" t="s">
        <v>172</v>
      </c>
      <c r="AI2" s="422" t="s">
        <v>173</v>
      </c>
      <c r="AJ2" s="422" t="s">
        <v>174</v>
      </c>
      <c r="AK2" s="422" t="s">
        <v>175</v>
      </c>
      <c r="AL2" s="422" t="s">
        <v>176</v>
      </c>
      <c r="AM2" s="423" t="s">
        <v>101</v>
      </c>
    </row>
    <row r="3" spans="1:39" s="416" customFormat="1">
      <c r="A3" s="424"/>
      <c r="B3" s="425"/>
      <c r="C3" s="426"/>
      <c r="D3" s="426"/>
      <c r="E3" s="426"/>
      <c r="F3" s="427" t="s">
        <v>177</v>
      </c>
      <c r="G3" s="417"/>
      <c r="H3" s="417"/>
      <c r="I3" s="417"/>
      <c r="J3" s="417"/>
      <c r="K3" s="417"/>
      <c r="L3" s="417"/>
      <c r="M3" s="417"/>
      <c r="N3" s="417"/>
      <c r="O3" s="417"/>
      <c r="P3" s="417"/>
      <c r="Q3" s="417"/>
      <c r="R3" s="417"/>
      <c r="S3" s="417"/>
      <c r="T3" s="417"/>
      <c r="U3" s="417"/>
      <c r="V3" s="417"/>
      <c r="W3" s="417"/>
      <c r="X3" s="417"/>
      <c r="Y3" s="417"/>
      <c r="Z3" s="417"/>
      <c r="AA3" s="417"/>
      <c r="AB3" s="417"/>
      <c r="AC3" s="417"/>
      <c r="AD3" s="417"/>
      <c r="AE3" s="417"/>
      <c r="AF3" s="417"/>
      <c r="AG3" s="417"/>
      <c r="AH3" s="417"/>
      <c r="AI3" s="417"/>
      <c r="AJ3" s="417"/>
      <c r="AK3" s="417"/>
      <c r="AL3" s="417"/>
      <c r="AM3" s="428"/>
    </row>
    <row r="4" spans="1:39" ht="15.75">
      <c r="A4" s="459">
        <v>1</v>
      </c>
      <c r="B4" s="466" t="s">
        <v>178</v>
      </c>
      <c r="C4" s="466" t="s">
        <v>179</v>
      </c>
      <c r="D4" s="467" t="s">
        <v>180</v>
      </c>
      <c r="E4" s="429" t="s">
        <v>177</v>
      </c>
      <c r="F4" s="418">
        <v>0</v>
      </c>
      <c r="G4" s="418">
        <v>0</v>
      </c>
      <c r="H4" s="418">
        <v>0</v>
      </c>
      <c r="I4" s="418">
        <v>0</v>
      </c>
      <c r="J4" s="418">
        <v>0</v>
      </c>
      <c r="K4" s="418">
        <v>0</v>
      </c>
      <c r="L4" s="418">
        <v>0</v>
      </c>
      <c r="M4" s="418">
        <v>0</v>
      </c>
      <c r="N4" s="418">
        <v>0</v>
      </c>
      <c r="O4" s="418">
        <v>0</v>
      </c>
      <c r="P4" s="418">
        <v>0</v>
      </c>
      <c r="Q4" s="418">
        <v>0</v>
      </c>
      <c r="R4" s="418">
        <v>0</v>
      </c>
      <c r="S4" s="418">
        <v>0</v>
      </c>
      <c r="T4" s="418">
        <v>0</v>
      </c>
      <c r="U4" s="418">
        <v>0</v>
      </c>
      <c r="V4" s="418">
        <v>0</v>
      </c>
      <c r="W4" s="418">
        <v>0</v>
      </c>
      <c r="X4" s="418">
        <v>5.22</v>
      </c>
      <c r="Y4" s="418">
        <v>0</v>
      </c>
      <c r="Z4" s="418">
        <v>0</v>
      </c>
      <c r="AA4" s="418">
        <v>0</v>
      </c>
      <c r="AB4" s="418">
        <v>0</v>
      </c>
      <c r="AC4" s="418">
        <v>0</v>
      </c>
      <c r="AD4" s="418">
        <v>60</v>
      </c>
      <c r="AE4" s="418">
        <v>0</v>
      </c>
      <c r="AF4" s="418">
        <v>0</v>
      </c>
      <c r="AG4" s="418">
        <v>0</v>
      </c>
      <c r="AH4" s="418">
        <v>4.5599999999999996</v>
      </c>
      <c r="AI4" s="418">
        <v>0</v>
      </c>
      <c r="AJ4" s="418">
        <v>0</v>
      </c>
      <c r="AK4" s="418">
        <v>0</v>
      </c>
      <c r="AL4" s="418">
        <v>0</v>
      </c>
      <c r="AM4" s="418">
        <f>SUM(F4:AL4)</f>
        <v>69.78</v>
      </c>
    </row>
    <row r="5" spans="1:39" ht="15.75">
      <c r="A5" s="459"/>
      <c r="B5" s="466"/>
      <c r="C5" s="466"/>
      <c r="D5" s="467"/>
      <c r="E5" s="430" t="s">
        <v>181</v>
      </c>
      <c r="F5" s="418">
        <v>0</v>
      </c>
      <c r="G5" s="418">
        <v>4.6900000000000004</v>
      </c>
      <c r="H5" s="418">
        <v>0</v>
      </c>
      <c r="I5" s="418">
        <v>0</v>
      </c>
      <c r="J5" s="418">
        <v>0</v>
      </c>
      <c r="K5" s="418">
        <v>0</v>
      </c>
      <c r="L5" s="418">
        <v>0</v>
      </c>
      <c r="M5" s="418">
        <v>0</v>
      </c>
      <c r="N5" s="418">
        <v>3.91</v>
      </c>
      <c r="O5" s="418">
        <v>0</v>
      </c>
      <c r="P5" s="418">
        <v>6.98</v>
      </c>
      <c r="Q5" s="418">
        <v>0</v>
      </c>
      <c r="R5" s="418">
        <v>0</v>
      </c>
      <c r="S5" s="418">
        <v>0</v>
      </c>
      <c r="T5" s="418">
        <v>0</v>
      </c>
      <c r="U5" s="418">
        <v>0</v>
      </c>
      <c r="V5" s="418">
        <v>0</v>
      </c>
      <c r="W5" s="418">
        <v>0</v>
      </c>
      <c r="X5" s="418">
        <v>0</v>
      </c>
      <c r="Y5" s="418">
        <v>0</v>
      </c>
      <c r="Z5" s="418">
        <v>0</v>
      </c>
      <c r="AA5" s="418"/>
      <c r="AB5" s="418">
        <v>0</v>
      </c>
      <c r="AC5" s="431">
        <v>0</v>
      </c>
      <c r="AD5" s="418">
        <v>0</v>
      </c>
      <c r="AE5" s="418">
        <v>0</v>
      </c>
      <c r="AF5" s="418">
        <v>0</v>
      </c>
      <c r="AG5" s="418">
        <v>0</v>
      </c>
      <c r="AH5" s="418">
        <v>0</v>
      </c>
      <c r="AI5" s="418">
        <v>0</v>
      </c>
      <c r="AJ5" s="418">
        <v>0</v>
      </c>
      <c r="AK5" s="418">
        <v>0</v>
      </c>
      <c r="AL5" s="418">
        <v>0</v>
      </c>
      <c r="AM5" s="418">
        <f t="shared" ref="AM5:AM15" si="0">SUM(F5:AL5)</f>
        <v>15.580000000000002</v>
      </c>
    </row>
    <row r="6" spans="1:39" ht="15.75">
      <c r="A6" s="459">
        <v>2</v>
      </c>
      <c r="B6" s="466" t="s">
        <v>182</v>
      </c>
      <c r="C6" s="466" t="s">
        <v>183</v>
      </c>
      <c r="D6" s="467" t="s">
        <v>184</v>
      </c>
      <c r="E6" s="432" t="s">
        <v>177</v>
      </c>
      <c r="F6" s="418">
        <v>0</v>
      </c>
      <c r="G6" s="418">
        <v>0</v>
      </c>
      <c r="H6" s="418">
        <v>0</v>
      </c>
      <c r="I6" s="418">
        <v>0</v>
      </c>
      <c r="J6" s="418">
        <v>0</v>
      </c>
      <c r="K6" s="418">
        <v>0</v>
      </c>
      <c r="L6" s="418">
        <v>0</v>
      </c>
      <c r="M6" s="418">
        <v>0</v>
      </c>
      <c r="N6" s="418">
        <v>0</v>
      </c>
      <c r="O6" s="418">
        <v>0</v>
      </c>
      <c r="P6" s="418">
        <v>0</v>
      </c>
      <c r="Q6" s="418">
        <v>0</v>
      </c>
      <c r="R6" s="418">
        <v>0</v>
      </c>
      <c r="S6" s="418">
        <v>0</v>
      </c>
      <c r="T6" s="418">
        <v>0</v>
      </c>
      <c r="U6" s="418">
        <v>0</v>
      </c>
      <c r="V6" s="418">
        <v>0</v>
      </c>
      <c r="W6" s="418">
        <v>0</v>
      </c>
      <c r="X6" s="418">
        <v>0</v>
      </c>
      <c r="Y6" s="418">
        <v>0</v>
      </c>
      <c r="Z6" s="418">
        <v>0</v>
      </c>
      <c r="AA6" s="418">
        <v>0</v>
      </c>
      <c r="AB6" s="418">
        <v>0</v>
      </c>
      <c r="AC6" s="418">
        <v>0</v>
      </c>
      <c r="AD6" s="418">
        <v>0</v>
      </c>
      <c r="AE6" s="418">
        <v>0</v>
      </c>
      <c r="AF6" s="418">
        <v>0</v>
      </c>
      <c r="AG6" s="418">
        <v>0</v>
      </c>
      <c r="AH6" s="418">
        <v>0</v>
      </c>
      <c r="AI6" s="418">
        <v>0</v>
      </c>
      <c r="AJ6" s="418">
        <v>0</v>
      </c>
      <c r="AK6" s="418">
        <v>0</v>
      </c>
      <c r="AL6" s="418">
        <v>0</v>
      </c>
      <c r="AM6" s="418">
        <f t="shared" si="0"/>
        <v>0</v>
      </c>
    </row>
    <row r="7" spans="1:39" ht="15.75">
      <c r="A7" s="459"/>
      <c r="B7" s="466"/>
      <c r="C7" s="466"/>
      <c r="D7" s="467"/>
      <c r="E7" s="430" t="s">
        <v>181</v>
      </c>
      <c r="F7" s="418">
        <v>0</v>
      </c>
      <c r="G7" s="418">
        <v>0</v>
      </c>
      <c r="H7" s="418">
        <v>0</v>
      </c>
      <c r="I7" s="418">
        <v>0</v>
      </c>
      <c r="J7" s="418">
        <v>0</v>
      </c>
      <c r="K7" s="418">
        <v>0</v>
      </c>
      <c r="L7" s="418">
        <v>0</v>
      </c>
      <c r="M7" s="418">
        <v>0</v>
      </c>
      <c r="N7" s="418">
        <v>0</v>
      </c>
      <c r="O7" s="418">
        <v>0</v>
      </c>
      <c r="P7" s="418">
        <v>0</v>
      </c>
      <c r="Q7" s="418">
        <v>0</v>
      </c>
      <c r="R7" s="418">
        <v>0</v>
      </c>
      <c r="S7" s="418">
        <v>0</v>
      </c>
      <c r="T7" s="418">
        <v>0</v>
      </c>
      <c r="U7" s="418">
        <v>0</v>
      </c>
      <c r="V7" s="418">
        <v>0</v>
      </c>
      <c r="W7" s="418">
        <v>0</v>
      </c>
      <c r="X7" s="418">
        <v>0</v>
      </c>
      <c r="Y7" s="418">
        <v>0</v>
      </c>
      <c r="Z7" s="418">
        <v>0</v>
      </c>
      <c r="AA7" s="418"/>
      <c r="AB7" s="418">
        <v>0</v>
      </c>
      <c r="AC7" s="431">
        <v>0</v>
      </c>
      <c r="AD7" s="418">
        <v>0</v>
      </c>
      <c r="AE7" s="418">
        <v>0</v>
      </c>
      <c r="AF7" s="418">
        <v>0</v>
      </c>
      <c r="AG7" s="418">
        <v>0</v>
      </c>
      <c r="AH7" s="418">
        <v>0</v>
      </c>
      <c r="AI7" s="418">
        <v>0</v>
      </c>
      <c r="AJ7" s="418">
        <v>0</v>
      </c>
      <c r="AK7" s="418">
        <v>0</v>
      </c>
      <c r="AL7" s="418">
        <v>0</v>
      </c>
      <c r="AM7" s="418">
        <f t="shared" si="0"/>
        <v>0</v>
      </c>
    </row>
    <row r="8" spans="1:39" ht="15.75">
      <c r="A8" s="459">
        <v>3</v>
      </c>
      <c r="B8" s="466" t="s">
        <v>185</v>
      </c>
      <c r="C8" s="466" t="s">
        <v>183</v>
      </c>
      <c r="D8" s="467" t="s">
        <v>186</v>
      </c>
      <c r="E8" s="432" t="s">
        <v>177</v>
      </c>
      <c r="F8" s="418">
        <v>0</v>
      </c>
      <c r="G8" s="418">
        <v>0</v>
      </c>
      <c r="H8" s="418">
        <v>0</v>
      </c>
      <c r="I8" s="418">
        <v>0</v>
      </c>
      <c r="J8" s="418">
        <v>33.44</v>
      </c>
      <c r="K8" s="418">
        <v>0</v>
      </c>
      <c r="L8" s="418">
        <v>0</v>
      </c>
      <c r="M8" s="418">
        <v>0</v>
      </c>
      <c r="N8" s="418">
        <v>0</v>
      </c>
      <c r="O8" s="418">
        <v>0</v>
      </c>
      <c r="P8" s="418">
        <v>0</v>
      </c>
      <c r="Q8" s="418">
        <v>0</v>
      </c>
      <c r="R8" s="418">
        <v>35.53</v>
      </c>
      <c r="S8" s="418">
        <v>0</v>
      </c>
      <c r="T8" s="418">
        <v>0</v>
      </c>
      <c r="U8" s="418">
        <v>0</v>
      </c>
      <c r="V8" s="418">
        <v>0</v>
      </c>
      <c r="W8" s="418">
        <v>0</v>
      </c>
      <c r="X8" s="418">
        <v>0</v>
      </c>
      <c r="Y8" s="418">
        <v>0</v>
      </c>
      <c r="Z8" s="418">
        <v>0</v>
      </c>
      <c r="AA8" s="418">
        <v>0</v>
      </c>
      <c r="AB8" s="418">
        <v>33.44</v>
      </c>
      <c r="AC8" s="418">
        <v>0</v>
      </c>
      <c r="AD8" s="418">
        <v>0</v>
      </c>
      <c r="AE8" s="418">
        <v>0</v>
      </c>
      <c r="AF8" s="418">
        <v>0</v>
      </c>
      <c r="AG8" s="418">
        <v>0</v>
      </c>
      <c r="AH8" s="418">
        <v>0</v>
      </c>
      <c r="AI8" s="418">
        <v>0</v>
      </c>
      <c r="AJ8" s="418">
        <v>0</v>
      </c>
      <c r="AK8" s="418">
        <v>0</v>
      </c>
      <c r="AL8" s="418">
        <v>0</v>
      </c>
      <c r="AM8" s="418">
        <f t="shared" si="0"/>
        <v>102.41</v>
      </c>
    </row>
    <row r="9" spans="1:39" ht="15.75">
      <c r="A9" s="459"/>
      <c r="B9" s="466"/>
      <c r="C9" s="466"/>
      <c r="D9" s="467"/>
      <c r="E9" s="430" t="s">
        <v>181</v>
      </c>
      <c r="F9" s="418">
        <v>0</v>
      </c>
      <c r="G9" s="418">
        <v>0</v>
      </c>
      <c r="H9" s="418">
        <v>0</v>
      </c>
      <c r="I9" s="418">
        <v>0</v>
      </c>
      <c r="J9" s="418">
        <v>0</v>
      </c>
      <c r="K9" s="418">
        <v>0</v>
      </c>
      <c r="L9" s="418">
        <v>0</v>
      </c>
      <c r="M9" s="418">
        <v>0</v>
      </c>
      <c r="N9" s="418">
        <v>0</v>
      </c>
      <c r="O9" s="418">
        <v>0</v>
      </c>
      <c r="P9" s="418">
        <v>0</v>
      </c>
      <c r="Q9" s="418">
        <v>0</v>
      </c>
      <c r="R9" s="418">
        <v>0</v>
      </c>
      <c r="S9" s="418">
        <v>0</v>
      </c>
      <c r="T9" s="418">
        <v>0</v>
      </c>
      <c r="U9" s="418">
        <v>0</v>
      </c>
      <c r="V9" s="418">
        <v>0</v>
      </c>
      <c r="W9" s="418">
        <v>0</v>
      </c>
      <c r="X9" s="418">
        <v>0</v>
      </c>
      <c r="Y9" s="418">
        <v>0</v>
      </c>
      <c r="Z9" s="418">
        <v>0</v>
      </c>
      <c r="AA9" s="418"/>
      <c r="AB9" s="418">
        <v>0</v>
      </c>
      <c r="AC9" s="431">
        <v>0</v>
      </c>
      <c r="AD9" s="418">
        <v>0</v>
      </c>
      <c r="AE9" s="418">
        <v>0</v>
      </c>
      <c r="AF9" s="418">
        <v>0</v>
      </c>
      <c r="AG9" s="418">
        <v>0</v>
      </c>
      <c r="AH9" s="418">
        <v>0</v>
      </c>
      <c r="AI9" s="418">
        <v>0</v>
      </c>
      <c r="AJ9" s="418">
        <v>0</v>
      </c>
      <c r="AK9" s="418">
        <v>0</v>
      </c>
      <c r="AL9" s="418">
        <v>0</v>
      </c>
      <c r="AM9" s="418">
        <f t="shared" si="0"/>
        <v>0</v>
      </c>
    </row>
    <row r="10" spans="1:39" ht="15.75">
      <c r="A10" s="459">
        <v>4</v>
      </c>
      <c r="B10" s="466" t="s">
        <v>187</v>
      </c>
      <c r="C10" s="466" t="s">
        <v>183</v>
      </c>
      <c r="D10" s="467" t="s">
        <v>188</v>
      </c>
      <c r="E10" s="432" t="s">
        <v>177</v>
      </c>
      <c r="F10" s="418">
        <v>0</v>
      </c>
      <c r="G10" s="418">
        <v>0</v>
      </c>
      <c r="H10" s="418">
        <v>0</v>
      </c>
      <c r="I10" s="418">
        <v>0</v>
      </c>
      <c r="J10" s="418">
        <v>0</v>
      </c>
      <c r="K10" s="418">
        <v>0</v>
      </c>
      <c r="L10" s="418">
        <v>0</v>
      </c>
      <c r="M10" s="418">
        <v>0</v>
      </c>
      <c r="N10" s="418">
        <v>0</v>
      </c>
      <c r="O10" s="418">
        <v>0</v>
      </c>
      <c r="P10" s="418">
        <v>49.22</v>
      </c>
      <c r="Q10" s="418">
        <v>0</v>
      </c>
      <c r="R10" s="418">
        <v>0</v>
      </c>
      <c r="S10" s="418">
        <v>0</v>
      </c>
      <c r="T10" s="418">
        <v>0</v>
      </c>
      <c r="U10" s="418">
        <v>54.57</v>
      </c>
      <c r="V10" s="418">
        <v>0</v>
      </c>
      <c r="W10" s="418">
        <v>0</v>
      </c>
      <c r="X10" s="418">
        <v>0</v>
      </c>
      <c r="Y10" s="418">
        <v>0</v>
      </c>
      <c r="Z10" s="418">
        <v>0</v>
      </c>
      <c r="AA10" s="418">
        <v>0</v>
      </c>
      <c r="AB10" s="418">
        <v>0</v>
      </c>
      <c r="AC10" s="418">
        <v>0</v>
      </c>
      <c r="AD10" s="418">
        <v>49.8</v>
      </c>
      <c r="AE10" s="418">
        <v>0</v>
      </c>
      <c r="AF10" s="418">
        <v>0</v>
      </c>
      <c r="AG10" s="418">
        <v>0</v>
      </c>
      <c r="AH10" s="418">
        <v>0</v>
      </c>
      <c r="AI10" s="418">
        <v>0</v>
      </c>
      <c r="AJ10" s="418">
        <v>0</v>
      </c>
      <c r="AK10" s="418">
        <v>0</v>
      </c>
      <c r="AL10" s="418">
        <v>0</v>
      </c>
      <c r="AM10" s="418">
        <f t="shared" si="0"/>
        <v>153.58999999999997</v>
      </c>
    </row>
    <row r="11" spans="1:39" ht="15.75">
      <c r="A11" s="459"/>
      <c r="B11" s="466"/>
      <c r="C11" s="466"/>
      <c r="D11" s="467"/>
      <c r="E11" s="430" t="s">
        <v>181</v>
      </c>
      <c r="F11" s="418">
        <v>0</v>
      </c>
      <c r="G11" s="418">
        <v>0</v>
      </c>
      <c r="H11" s="418">
        <v>0</v>
      </c>
      <c r="I11" s="418">
        <v>0</v>
      </c>
      <c r="J11" s="418">
        <v>0</v>
      </c>
      <c r="K11" s="418">
        <v>0</v>
      </c>
      <c r="L11" s="418">
        <v>0</v>
      </c>
      <c r="M11" s="418">
        <v>0</v>
      </c>
      <c r="N11" s="418">
        <v>0</v>
      </c>
      <c r="O11" s="418">
        <v>0</v>
      </c>
      <c r="P11" s="418">
        <v>0</v>
      </c>
      <c r="Q11" s="418">
        <v>0</v>
      </c>
      <c r="R11" s="418">
        <v>0</v>
      </c>
      <c r="S11" s="418">
        <v>0</v>
      </c>
      <c r="T11" s="418">
        <v>0</v>
      </c>
      <c r="U11" s="418">
        <v>0</v>
      </c>
      <c r="V11" s="418">
        <v>0</v>
      </c>
      <c r="W11" s="418">
        <v>0</v>
      </c>
      <c r="X11" s="418">
        <v>0</v>
      </c>
      <c r="Y11" s="418">
        <v>0</v>
      </c>
      <c r="Z11" s="418">
        <v>0</v>
      </c>
      <c r="AA11" s="418"/>
      <c r="AB11" s="418">
        <v>0</v>
      </c>
      <c r="AC11" s="431">
        <v>0</v>
      </c>
      <c r="AD11" s="418">
        <v>0</v>
      </c>
      <c r="AE11" s="418">
        <v>0</v>
      </c>
      <c r="AF11" s="418">
        <v>0</v>
      </c>
      <c r="AG11" s="418">
        <v>0</v>
      </c>
      <c r="AH11" s="418">
        <v>0</v>
      </c>
      <c r="AI11" s="418">
        <v>0</v>
      </c>
      <c r="AJ11" s="418">
        <v>0</v>
      </c>
      <c r="AK11" s="418">
        <v>0</v>
      </c>
      <c r="AL11" s="418">
        <v>0</v>
      </c>
      <c r="AM11" s="418">
        <f t="shared" si="0"/>
        <v>0</v>
      </c>
    </row>
    <row r="12" spans="1:39" ht="15.75">
      <c r="A12" s="459">
        <v>5</v>
      </c>
      <c r="B12" s="466" t="s">
        <v>189</v>
      </c>
      <c r="C12" s="466" t="s">
        <v>190</v>
      </c>
      <c r="D12" s="467" t="s">
        <v>191</v>
      </c>
      <c r="E12" s="432" t="s">
        <v>177</v>
      </c>
      <c r="F12" s="418">
        <v>0</v>
      </c>
      <c r="G12" s="418">
        <v>0</v>
      </c>
      <c r="H12" s="418">
        <v>0</v>
      </c>
      <c r="I12" s="418">
        <v>0</v>
      </c>
      <c r="J12" s="418">
        <v>0</v>
      </c>
      <c r="K12" s="418">
        <v>0</v>
      </c>
      <c r="L12" s="418">
        <v>0</v>
      </c>
      <c r="M12" s="418">
        <v>0</v>
      </c>
      <c r="N12" s="418">
        <v>86.29</v>
      </c>
      <c r="O12" s="418">
        <v>0</v>
      </c>
      <c r="P12" s="418">
        <v>0</v>
      </c>
      <c r="Q12" s="418">
        <v>0</v>
      </c>
      <c r="R12" s="418">
        <v>0</v>
      </c>
      <c r="S12" s="418">
        <v>0</v>
      </c>
      <c r="T12" s="418">
        <v>0</v>
      </c>
      <c r="U12" s="418">
        <v>0</v>
      </c>
      <c r="V12" s="418">
        <v>0</v>
      </c>
      <c r="W12" s="418">
        <v>0</v>
      </c>
      <c r="X12" s="418">
        <v>0</v>
      </c>
      <c r="Y12" s="418">
        <v>0</v>
      </c>
      <c r="Z12" s="418">
        <v>0</v>
      </c>
      <c r="AA12" s="418">
        <v>0</v>
      </c>
      <c r="AB12" s="418">
        <v>0</v>
      </c>
      <c r="AC12" s="418">
        <v>0</v>
      </c>
      <c r="AD12" s="418">
        <v>145.61000000000001</v>
      </c>
      <c r="AE12" s="418">
        <v>0</v>
      </c>
      <c r="AF12" s="418">
        <v>0</v>
      </c>
      <c r="AG12" s="418">
        <v>0</v>
      </c>
      <c r="AH12" s="418">
        <v>0</v>
      </c>
      <c r="AI12" s="418">
        <v>0</v>
      </c>
      <c r="AJ12" s="418">
        <v>0</v>
      </c>
      <c r="AK12" s="418">
        <v>0</v>
      </c>
      <c r="AL12" s="418">
        <v>0</v>
      </c>
      <c r="AM12" s="418">
        <f t="shared" si="0"/>
        <v>231.90000000000003</v>
      </c>
    </row>
    <row r="13" spans="1:39" ht="15.75">
      <c r="A13" s="459"/>
      <c r="B13" s="466"/>
      <c r="C13" s="466"/>
      <c r="D13" s="467"/>
      <c r="E13" s="430" t="s">
        <v>181</v>
      </c>
      <c r="F13" s="418">
        <v>0</v>
      </c>
      <c r="G13" s="418">
        <v>0</v>
      </c>
      <c r="H13" s="418">
        <v>0</v>
      </c>
      <c r="I13" s="418">
        <v>0</v>
      </c>
      <c r="J13" s="418">
        <v>0</v>
      </c>
      <c r="K13" s="418">
        <v>0</v>
      </c>
      <c r="L13" s="418">
        <v>0</v>
      </c>
      <c r="M13" s="418">
        <v>0</v>
      </c>
      <c r="N13" s="418">
        <v>0</v>
      </c>
      <c r="O13" s="418">
        <v>0</v>
      </c>
      <c r="P13" s="418">
        <v>0</v>
      </c>
      <c r="Q13" s="418">
        <v>0</v>
      </c>
      <c r="R13" s="418">
        <v>0</v>
      </c>
      <c r="S13" s="418">
        <v>0</v>
      </c>
      <c r="T13" s="418">
        <v>0</v>
      </c>
      <c r="U13" s="418">
        <v>0</v>
      </c>
      <c r="V13" s="418">
        <v>0</v>
      </c>
      <c r="W13" s="418">
        <v>0</v>
      </c>
      <c r="X13" s="418">
        <v>0</v>
      </c>
      <c r="Y13" s="418">
        <v>0</v>
      </c>
      <c r="Z13" s="418">
        <v>0</v>
      </c>
      <c r="AA13" s="418"/>
      <c r="AB13" s="418">
        <v>0</v>
      </c>
      <c r="AC13" s="431">
        <v>0</v>
      </c>
      <c r="AD13" s="418">
        <v>0</v>
      </c>
      <c r="AE13" s="418">
        <v>0</v>
      </c>
      <c r="AF13" s="418">
        <v>0</v>
      </c>
      <c r="AG13" s="418">
        <v>0</v>
      </c>
      <c r="AH13" s="418">
        <v>0</v>
      </c>
      <c r="AI13" s="418">
        <v>0</v>
      </c>
      <c r="AJ13" s="418">
        <v>0</v>
      </c>
      <c r="AK13" s="418">
        <v>0</v>
      </c>
      <c r="AL13" s="418">
        <v>0</v>
      </c>
      <c r="AM13" s="418">
        <f t="shared" si="0"/>
        <v>0</v>
      </c>
    </row>
    <row r="14" spans="1:39" ht="15.75">
      <c r="A14" s="459">
        <v>6</v>
      </c>
      <c r="B14" s="466" t="s">
        <v>189</v>
      </c>
      <c r="C14" s="466" t="s">
        <v>192</v>
      </c>
      <c r="D14" s="467" t="s">
        <v>193</v>
      </c>
      <c r="E14" s="432" t="s">
        <v>177</v>
      </c>
      <c r="F14" s="418">
        <v>0</v>
      </c>
      <c r="G14" s="418">
        <v>0</v>
      </c>
      <c r="H14" s="418">
        <v>0</v>
      </c>
      <c r="I14" s="418">
        <v>0</v>
      </c>
      <c r="J14" s="418">
        <v>0</v>
      </c>
      <c r="K14" s="418">
        <v>0</v>
      </c>
      <c r="L14" s="418">
        <v>40</v>
      </c>
      <c r="M14" s="418">
        <v>40</v>
      </c>
      <c r="N14" s="418">
        <v>0</v>
      </c>
      <c r="O14" s="418">
        <v>36</v>
      </c>
      <c r="P14" s="418">
        <v>35</v>
      </c>
      <c r="Q14" s="418">
        <v>0</v>
      </c>
      <c r="R14" s="418">
        <v>0</v>
      </c>
      <c r="S14" s="418">
        <v>0</v>
      </c>
      <c r="T14" s="418">
        <v>0</v>
      </c>
      <c r="U14" s="418">
        <v>0</v>
      </c>
      <c r="V14" s="418">
        <v>0</v>
      </c>
      <c r="W14" s="418">
        <v>45</v>
      </c>
      <c r="X14" s="418">
        <v>45</v>
      </c>
      <c r="Y14" s="418">
        <v>43.53</v>
      </c>
      <c r="Z14" s="418">
        <v>40</v>
      </c>
      <c r="AA14" s="418">
        <v>43</v>
      </c>
      <c r="AB14" s="418">
        <v>0</v>
      </c>
      <c r="AC14" s="418">
        <v>40</v>
      </c>
      <c r="AD14" s="418">
        <v>0</v>
      </c>
      <c r="AE14" s="418">
        <v>40</v>
      </c>
      <c r="AF14" s="418">
        <v>0</v>
      </c>
      <c r="AG14" s="418">
        <v>0</v>
      </c>
      <c r="AH14" s="418">
        <v>0</v>
      </c>
      <c r="AI14" s="418">
        <v>0</v>
      </c>
      <c r="AJ14" s="418">
        <v>0</v>
      </c>
      <c r="AK14" s="418">
        <v>0</v>
      </c>
      <c r="AL14" s="418">
        <v>0</v>
      </c>
      <c r="AM14" s="418">
        <f t="shared" si="0"/>
        <v>447.53</v>
      </c>
    </row>
    <row r="15" spans="1:39" ht="15.75">
      <c r="A15" s="459"/>
      <c r="B15" s="466"/>
      <c r="C15" s="466"/>
      <c r="D15" s="467"/>
      <c r="E15" s="430" t="s">
        <v>181</v>
      </c>
      <c r="F15" s="418">
        <v>0</v>
      </c>
      <c r="G15" s="418">
        <v>0</v>
      </c>
      <c r="H15" s="418">
        <v>0</v>
      </c>
      <c r="I15" s="418">
        <v>0</v>
      </c>
      <c r="J15" s="418">
        <v>0</v>
      </c>
      <c r="K15" s="418">
        <v>0</v>
      </c>
      <c r="L15" s="418">
        <v>0</v>
      </c>
      <c r="M15" s="418">
        <v>0</v>
      </c>
      <c r="N15" s="418">
        <v>0</v>
      </c>
      <c r="O15" s="418">
        <v>0</v>
      </c>
      <c r="P15" s="418">
        <v>0</v>
      </c>
      <c r="Q15" s="418">
        <v>0</v>
      </c>
      <c r="R15" s="418">
        <v>0</v>
      </c>
      <c r="S15" s="418">
        <v>0</v>
      </c>
      <c r="T15" s="418">
        <v>0</v>
      </c>
      <c r="U15" s="418">
        <v>0</v>
      </c>
      <c r="V15" s="418">
        <v>0</v>
      </c>
      <c r="W15" s="418">
        <v>0</v>
      </c>
      <c r="X15" s="418">
        <v>0</v>
      </c>
      <c r="Y15" s="418">
        <v>0</v>
      </c>
      <c r="Z15" s="418">
        <v>0</v>
      </c>
      <c r="AA15" s="418"/>
      <c r="AB15" s="418">
        <v>0</v>
      </c>
      <c r="AC15" s="431">
        <v>0</v>
      </c>
      <c r="AD15" s="418">
        <v>0</v>
      </c>
      <c r="AE15" s="418">
        <v>0</v>
      </c>
      <c r="AF15" s="418">
        <v>0</v>
      </c>
      <c r="AG15" s="418">
        <v>0</v>
      </c>
      <c r="AH15" s="418">
        <v>0</v>
      </c>
      <c r="AI15" s="418">
        <v>0</v>
      </c>
      <c r="AJ15" s="418">
        <v>0</v>
      </c>
      <c r="AK15" s="418">
        <v>0</v>
      </c>
      <c r="AL15" s="418">
        <v>0</v>
      </c>
      <c r="AM15" s="418">
        <f t="shared" si="0"/>
        <v>0</v>
      </c>
    </row>
    <row r="18" spans="7:7">
      <c r="G18" t="s">
        <v>194</v>
      </c>
    </row>
  </sheetData>
  <mergeCells count="25">
    <mergeCell ref="B14:B15"/>
    <mergeCell ref="C4:C5"/>
    <mergeCell ref="C6:C7"/>
    <mergeCell ref="C8:C9"/>
    <mergeCell ref="A4:A5"/>
    <mergeCell ref="A6:A7"/>
    <mergeCell ref="A8:A9"/>
    <mergeCell ref="A10:A11"/>
    <mergeCell ref="A12:A13"/>
    <mergeCell ref="A14:A15"/>
    <mergeCell ref="B4:B5"/>
    <mergeCell ref="B6:B7"/>
    <mergeCell ref="B8:B9"/>
    <mergeCell ref="B10:B11"/>
    <mergeCell ref="B12:B13"/>
    <mergeCell ref="G2:H2"/>
    <mergeCell ref="C10:C11"/>
    <mergeCell ref="C12:C13"/>
    <mergeCell ref="C14:C15"/>
    <mergeCell ref="D4:D5"/>
    <mergeCell ref="D6:D7"/>
    <mergeCell ref="D8:D9"/>
    <mergeCell ref="D10:D11"/>
    <mergeCell ref="D12:D13"/>
    <mergeCell ref="D14:D15"/>
  </mergeCells>
  <conditionalFormatting sqref="F5:AL5">
    <cfRule type="cellIs" dxfId="11" priority="12" operator="greaterThan">
      <formula>0</formula>
    </cfRule>
  </conditionalFormatting>
  <conditionalFormatting sqref="F7:AL7">
    <cfRule type="cellIs" dxfId="10" priority="11" operator="greaterThan">
      <formula>0</formula>
    </cfRule>
  </conditionalFormatting>
  <conditionalFormatting sqref="F9:AL9">
    <cfRule type="cellIs" dxfId="9" priority="10" operator="greaterThan">
      <formula>0</formula>
    </cfRule>
  </conditionalFormatting>
  <conditionalFormatting sqref="F11:AL11">
    <cfRule type="cellIs" dxfId="8" priority="9" operator="greaterThan">
      <formula>0</formula>
    </cfRule>
  </conditionalFormatting>
  <conditionalFormatting sqref="F13:AL13">
    <cfRule type="cellIs" dxfId="7" priority="8" operator="greaterThan">
      <formula>0</formula>
    </cfRule>
  </conditionalFormatting>
  <conditionalFormatting sqref="F15:AL15">
    <cfRule type="cellIs" dxfId="6" priority="7" operator="greaterThan">
      <formula>0</formula>
    </cfRule>
  </conditionalFormatting>
  <conditionalFormatting sqref="F4:AM4 AM5:AM15">
    <cfRule type="cellIs" dxfId="5" priority="6" operator="greaterThan">
      <formula>0</formula>
    </cfRule>
  </conditionalFormatting>
  <conditionalFormatting sqref="F6:AL6">
    <cfRule type="cellIs" dxfId="4" priority="5" operator="greaterThan">
      <formula>0</formula>
    </cfRule>
  </conditionalFormatting>
  <conditionalFormatting sqref="F8:AL8">
    <cfRule type="cellIs" dxfId="3" priority="4" operator="greaterThan">
      <formula>0</formula>
    </cfRule>
  </conditionalFormatting>
  <conditionalFormatting sqref="F10:AL10">
    <cfRule type="cellIs" dxfId="2" priority="3" operator="greaterThan">
      <formula>0</formula>
    </cfRule>
  </conditionalFormatting>
  <conditionalFormatting sqref="F12:AL12">
    <cfRule type="cellIs" dxfId="1" priority="2" operator="greaterThan">
      <formula>0</formula>
    </cfRule>
  </conditionalFormatting>
  <conditionalFormatting sqref="F14:AL14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5461-B56A-421B-8409-CCEF1CCB2111}">
  <sheetPr>
    <tabColor rgb="FF00B050"/>
  </sheetPr>
  <dimension ref="A1:R40"/>
  <sheetViews>
    <sheetView topLeftCell="A16" workbookViewId="0">
      <selection activeCell="K38" sqref="K38"/>
    </sheetView>
  </sheetViews>
  <sheetFormatPr defaultRowHeight="15"/>
  <cols>
    <col min="2" max="2" width="10.5703125" bestFit="1" customWidth="1"/>
    <col min="4" max="4" width="14" customWidth="1"/>
    <col min="5" max="5" width="16.85546875" customWidth="1"/>
    <col min="7" max="7" width="13.85546875" customWidth="1"/>
    <col min="11" max="11" width="13" customWidth="1"/>
    <col min="12" max="12" width="16.42578125" customWidth="1"/>
    <col min="13" max="13" width="12.28515625" bestFit="1" customWidth="1"/>
    <col min="16" max="16" width="12.140625" bestFit="1" customWidth="1"/>
    <col min="18" max="18" width="13" bestFit="1" customWidth="1"/>
  </cols>
  <sheetData>
    <row r="1" spans="1:18" ht="15.75">
      <c r="A1" s="468" t="s">
        <v>12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</row>
    <row r="2" spans="1:18" ht="30">
      <c r="A2" s="127" t="s">
        <v>129</v>
      </c>
      <c r="B2" s="128" t="s">
        <v>130</v>
      </c>
      <c r="C2" s="128" t="s">
        <v>131</v>
      </c>
      <c r="D2" s="128" t="s">
        <v>132</v>
      </c>
      <c r="E2" s="128" t="s">
        <v>133</v>
      </c>
      <c r="F2" s="128" t="s">
        <v>134</v>
      </c>
      <c r="G2" s="128" t="s">
        <v>135</v>
      </c>
      <c r="H2" s="128" t="s">
        <v>136</v>
      </c>
      <c r="I2" s="128" t="s">
        <v>134</v>
      </c>
      <c r="J2" s="129" t="s">
        <v>135</v>
      </c>
      <c r="K2" s="127" t="s">
        <v>137</v>
      </c>
      <c r="L2" s="130" t="s">
        <v>138</v>
      </c>
      <c r="M2" s="130" t="s">
        <v>195</v>
      </c>
      <c r="N2" s="128" t="s">
        <v>140</v>
      </c>
    </row>
    <row r="3" spans="1:18">
      <c r="A3" s="469" t="s">
        <v>141</v>
      </c>
      <c r="B3" s="469"/>
      <c r="C3" s="469"/>
      <c r="D3" s="469"/>
      <c r="E3" s="469"/>
      <c r="F3" s="469"/>
      <c r="G3" s="469"/>
      <c r="H3" s="469"/>
      <c r="I3" s="469"/>
      <c r="J3" s="469"/>
      <c r="K3">
        <v>3956161.3412999953</v>
      </c>
      <c r="L3" s="233"/>
      <c r="M3" s="217">
        <f>+K3</f>
        <v>3956161.3412999953</v>
      </c>
      <c r="N3" s="97"/>
      <c r="O3">
        <v>11178223.678099994</v>
      </c>
    </row>
    <row r="4" spans="1:18">
      <c r="A4" s="26">
        <v>1</v>
      </c>
      <c r="B4" s="27">
        <v>46023</v>
      </c>
      <c r="C4" s="17"/>
      <c r="D4" s="17"/>
      <c r="E4" s="17"/>
      <c r="F4" s="17"/>
      <c r="G4" s="17">
        <f>E4*F4</f>
        <v>0</v>
      </c>
      <c r="H4" s="333"/>
      <c r="I4" s="17"/>
      <c r="J4" s="17"/>
      <c r="K4" s="17">
        <f>G4+J4</f>
        <v>0</v>
      </c>
      <c r="L4" s="17">
        <v>0</v>
      </c>
      <c r="M4" s="41">
        <f>M3+K4-L4</f>
        <v>3956161.3412999953</v>
      </c>
      <c r="N4" s="17"/>
    </row>
    <row r="5" spans="1:18">
      <c r="A5" s="26">
        <v>2</v>
      </c>
      <c r="B5" s="27">
        <v>46024</v>
      </c>
      <c r="C5" s="17"/>
      <c r="D5" s="17"/>
      <c r="E5" s="17">
        <v>2000</v>
      </c>
      <c r="F5" s="17">
        <v>95.68</v>
      </c>
      <c r="G5" s="17">
        <f>E5*F5</f>
        <v>191360</v>
      </c>
      <c r="H5" s="333"/>
      <c r="I5" s="17"/>
      <c r="J5" s="17">
        <f>H5*I5</f>
        <v>0</v>
      </c>
      <c r="K5" s="17">
        <f t="shared" ref="K5:K37" si="0">G5+J5</f>
        <v>191360</v>
      </c>
      <c r="L5" s="17">
        <v>0</v>
      </c>
      <c r="M5" s="41">
        <f>M4+K5-L5</f>
        <v>4147521.3412999953</v>
      </c>
      <c r="N5" s="17"/>
    </row>
    <row r="6" spans="1:18">
      <c r="A6" s="26">
        <v>3</v>
      </c>
      <c r="B6" s="27">
        <v>46025</v>
      </c>
      <c r="C6" s="17"/>
      <c r="D6" s="17"/>
      <c r="E6" s="17">
        <v>2000</v>
      </c>
      <c r="F6" s="17">
        <v>95.68</v>
      </c>
      <c r="G6" s="17">
        <f>E6*F6</f>
        <v>191360</v>
      </c>
      <c r="H6" s="333"/>
      <c r="I6" s="17"/>
      <c r="J6" s="17">
        <f>H6*I6</f>
        <v>0</v>
      </c>
      <c r="K6" s="17">
        <f t="shared" si="0"/>
        <v>191360</v>
      </c>
      <c r="L6" s="17">
        <v>0</v>
      </c>
      <c r="M6" s="41">
        <f t="shared" ref="M6:M8" si="1">M5+K6-L6</f>
        <v>4338881.3412999958</v>
      </c>
      <c r="N6" s="17"/>
    </row>
    <row r="7" spans="1:18">
      <c r="A7" s="26">
        <v>4</v>
      </c>
      <c r="B7" s="27">
        <v>46026</v>
      </c>
      <c r="C7" s="17"/>
      <c r="D7" s="17"/>
      <c r="E7" s="17">
        <v>2000</v>
      </c>
      <c r="F7" s="17">
        <v>95.68</v>
      </c>
      <c r="G7" s="17">
        <f>E7*F7</f>
        <v>191360</v>
      </c>
      <c r="H7" s="333"/>
      <c r="I7" s="17"/>
      <c r="J7" s="17">
        <f t="shared" ref="J7:J33" si="2">H7*I7</f>
        <v>0</v>
      </c>
      <c r="K7" s="17">
        <f t="shared" si="0"/>
        <v>191360</v>
      </c>
      <c r="L7" s="17">
        <v>0</v>
      </c>
      <c r="M7" s="41">
        <f t="shared" si="1"/>
        <v>4530241.3412999958</v>
      </c>
      <c r="N7" s="17"/>
    </row>
    <row r="8" spans="1:18">
      <c r="A8" s="26">
        <v>5</v>
      </c>
      <c r="B8" s="27">
        <v>46027</v>
      </c>
      <c r="C8" s="17"/>
      <c r="D8" s="17"/>
      <c r="E8" s="17">
        <v>1891.06</v>
      </c>
      <c r="F8" s="17">
        <v>95.68</v>
      </c>
      <c r="G8" s="41">
        <f t="shared" ref="G8:G9" si="3">E8*F8</f>
        <v>180936.6208</v>
      </c>
      <c r="H8" s="333"/>
      <c r="I8" s="17"/>
      <c r="J8" s="17">
        <f t="shared" si="2"/>
        <v>0</v>
      </c>
      <c r="K8" s="41">
        <f t="shared" si="0"/>
        <v>180936.6208</v>
      </c>
      <c r="L8" s="17">
        <v>0</v>
      </c>
      <c r="M8" s="41">
        <f t="shared" si="1"/>
        <v>4711177.9620999955</v>
      </c>
      <c r="N8" s="17"/>
    </row>
    <row r="9" spans="1:18">
      <c r="A9" s="26">
        <v>6</v>
      </c>
      <c r="B9" s="27">
        <v>46028</v>
      </c>
      <c r="C9" s="17"/>
      <c r="D9" s="17"/>
      <c r="E9" s="17">
        <v>4534.9799999999996</v>
      </c>
      <c r="F9" s="17">
        <v>95.68</v>
      </c>
      <c r="G9" s="41">
        <f t="shared" si="3"/>
        <v>433906.88640000002</v>
      </c>
      <c r="H9" s="333">
        <v>40</v>
      </c>
      <c r="I9" s="17">
        <v>107.46</v>
      </c>
      <c r="J9" s="17">
        <f t="shared" si="2"/>
        <v>4298.3999999999996</v>
      </c>
      <c r="K9" s="41">
        <f>G9+J9</f>
        <v>438205.28640000004</v>
      </c>
      <c r="L9" s="17">
        <v>0</v>
      </c>
      <c r="M9" s="41">
        <f>M8+K9-L9</f>
        <v>5149383.2484999951</v>
      </c>
      <c r="N9" s="17"/>
    </row>
    <row r="10" spans="1:18">
      <c r="A10" s="26">
        <v>7</v>
      </c>
      <c r="B10" s="27">
        <v>46029</v>
      </c>
      <c r="C10" s="17"/>
      <c r="D10" s="17"/>
      <c r="E10" s="17">
        <v>6508.24</v>
      </c>
      <c r="F10" s="17">
        <v>95.68</v>
      </c>
      <c r="G10" s="41">
        <f>E10*F10</f>
        <v>622708.40320000006</v>
      </c>
      <c r="H10" s="333">
        <v>40</v>
      </c>
      <c r="I10" s="17">
        <v>107.46</v>
      </c>
      <c r="J10" s="17">
        <f t="shared" si="2"/>
        <v>4298.3999999999996</v>
      </c>
      <c r="K10" s="41">
        <f t="shared" si="0"/>
        <v>627006.80320000008</v>
      </c>
      <c r="L10" s="17">
        <v>0</v>
      </c>
      <c r="M10" s="41">
        <f>M9+K10-L10</f>
        <v>5776390.0516999951</v>
      </c>
      <c r="N10" s="17"/>
    </row>
    <row r="11" spans="1:18">
      <c r="A11" s="26">
        <v>8</v>
      </c>
      <c r="B11" s="27">
        <v>46030</v>
      </c>
      <c r="C11" s="17"/>
      <c r="D11" s="17"/>
      <c r="E11" s="17">
        <v>3700</v>
      </c>
      <c r="F11" s="17">
        <v>95.68</v>
      </c>
      <c r="G11" s="41">
        <f>E11*F11</f>
        <v>354016</v>
      </c>
      <c r="H11" s="333">
        <v>40</v>
      </c>
      <c r="I11" s="17">
        <v>107.46</v>
      </c>
      <c r="J11" s="17">
        <f t="shared" si="2"/>
        <v>4298.3999999999996</v>
      </c>
      <c r="K11" s="41">
        <f t="shared" si="0"/>
        <v>358314.4</v>
      </c>
      <c r="L11" s="17">
        <v>0</v>
      </c>
      <c r="M11" s="41">
        <f>M10+K11-L11</f>
        <v>6134704.4516999954</v>
      </c>
      <c r="N11" s="17"/>
    </row>
    <row r="12" spans="1:18">
      <c r="A12" s="26">
        <v>9</v>
      </c>
      <c r="B12" s="27">
        <v>46031</v>
      </c>
      <c r="C12" s="17"/>
      <c r="D12" s="17"/>
      <c r="E12" s="17">
        <v>2000</v>
      </c>
      <c r="F12" s="17">
        <v>95.68</v>
      </c>
      <c r="G12" s="41">
        <f>E12*F12</f>
        <v>191360</v>
      </c>
      <c r="H12" s="333">
        <v>20</v>
      </c>
      <c r="I12" s="17">
        <v>107.46</v>
      </c>
      <c r="J12" s="17">
        <f t="shared" si="2"/>
        <v>2149.1999999999998</v>
      </c>
      <c r="K12" s="41">
        <f t="shared" si="0"/>
        <v>193509.2</v>
      </c>
      <c r="L12" s="17">
        <v>0</v>
      </c>
      <c r="M12" s="41">
        <f>M11+K12-L12</f>
        <v>6328213.6516999956</v>
      </c>
      <c r="N12" s="17"/>
    </row>
    <row r="13" spans="1:18">
      <c r="A13" s="26">
        <v>10</v>
      </c>
      <c r="B13" s="27">
        <v>46032</v>
      </c>
      <c r="C13" s="17"/>
      <c r="D13" s="17"/>
      <c r="E13" s="17">
        <v>4500</v>
      </c>
      <c r="F13" s="17">
        <v>95.68</v>
      </c>
      <c r="G13" s="41">
        <f>E13*F13</f>
        <v>430560.00000000006</v>
      </c>
      <c r="H13" s="333">
        <v>40</v>
      </c>
      <c r="I13" s="17">
        <v>107.46</v>
      </c>
      <c r="J13" s="17">
        <f t="shared" si="2"/>
        <v>4298.3999999999996</v>
      </c>
      <c r="K13" s="41">
        <f t="shared" si="0"/>
        <v>434858.40000000008</v>
      </c>
      <c r="L13" s="17">
        <v>0</v>
      </c>
      <c r="M13" s="41">
        <f t="shared" ref="M13:M35" si="4">M12+K13-L13</f>
        <v>6763072.051699996</v>
      </c>
      <c r="N13" s="17"/>
      <c r="P13" s="22"/>
    </row>
    <row r="14" spans="1:18">
      <c r="A14" s="26">
        <v>11</v>
      </c>
      <c r="B14" s="27">
        <v>46033</v>
      </c>
      <c r="C14" s="17"/>
      <c r="D14" s="17"/>
      <c r="E14" s="17"/>
      <c r="F14" s="17"/>
      <c r="G14" s="41">
        <f>E14*F14</f>
        <v>0</v>
      </c>
      <c r="H14" s="333"/>
      <c r="I14" s="17"/>
      <c r="J14" s="17">
        <f t="shared" si="2"/>
        <v>0</v>
      </c>
      <c r="K14" s="41">
        <f t="shared" si="0"/>
        <v>0</v>
      </c>
      <c r="L14" s="17">
        <v>0</v>
      </c>
      <c r="M14" s="41">
        <f t="shared" si="4"/>
        <v>6763072.051699996</v>
      </c>
      <c r="N14" s="17"/>
    </row>
    <row r="15" spans="1:18">
      <c r="A15" s="26">
        <v>12</v>
      </c>
      <c r="B15" s="27">
        <v>46034</v>
      </c>
      <c r="C15" s="17"/>
      <c r="D15" s="17"/>
      <c r="E15" s="17"/>
      <c r="F15" s="17"/>
      <c r="G15" s="41">
        <f>E15*F15</f>
        <v>0</v>
      </c>
      <c r="H15" s="333"/>
      <c r="I15" s="17"/>
      <c r="J15" s="17">
        <f t="shared" si="2"/>
        <v>0</v>
      </c>
      <c r="K15" s="41">
        <f t="shared" si="0"/>
        <v>0</v>
      </c>
      <c r="L15" s="17">
        <v>0</v>
      </c>
      <c r="M15" s="41">
        <f t="shared" si="4"/>
        <v>6763072.051699996</v>
      </c>
      <c r="N15" s="17"/>
      <c r="R15" s="22"/>
    </row>
    <row r="16" spans="1:18">
      <c r="A16" s="26">
        <v>13</v>
      </c>
      <c r="B16" s="27">
        <v>46035</v>
      </c>
      <c r="C16" s="17"/>
      <c r="D16" s="17"/>
      <c r="E16" s="17"/>
      <c r="F16" s="17"/>
      <c r="G16" s="41">
        <f>E16*F16</f>
        <v>0</v>
      </c>
      <c r="H16" s="333"/>
      <c r="I16" s="17"/>
      <c r="J16" s="17">
        <f t="shared" si="2"/>
        <v>0</v>
      </c>
      <c r="K16" s="41">
        <f t="shared" si="0"/>
        <v>0</v>
      </c>
      <c r="L16" s="17">
        <v>0</v>
      </c>
      <c r="M16" s="41">
        <f t="shared" si="4"/>
        <v>6763072.051699996</v>
      </c>
      <c r="N16" s="17"/>
    </row>
    <row r="17" spans="1:16">
      <c r="A17" s="26">
        <v>14</v>
      </c>
      <c r="B17" s="27">
        <v>46036</v>
      </c>
      <c r="C17" s="17"/>
      <c r="D17" s="17"/>
      <c r="E17" s="17"/>
      <c r="F17" s="17"/>
      <c r="G17" s="41">
        <f>E17*F17</f>
        <v>0</v>
      </c>
      <c r="H17" s="333"/>
      <c r="I17" s="17"/>
      <c r="J17" s="17">
        <f t="shared" si="2"/>
        <v>0</v>
      </c>
      <c r="K17" s="17">
        <f t="shared" si="0"/>
        <v>0</v>
      </c>
      <c r="L17" s="17">
        <v>0</v>
      </c>
      <c r="M17" s="41">
        <f t="shared" si="4"/>
        <v>6763072.051699996</v>
      </c>
      <c r="N17" s="17"/>
    </row>
    <row r="18" spans="1:16">
      <c r="A18" s="26">
        <v>15</v>
      </c>
      <c r="B18" s="27">
        <v>46037</v>
      </c>
      <c r="C18" s="17"/>
      <c r="D18" s="17"/>
      <c r="E18" s="17"/>
      <c r="F18" s="17"/>
      <c r="G18" s="41">
        <f>E18*F18</f>
        <v>0</v>
      </c>
      <c r="H18" s="333"/>
      <c r="I18" s="17"/>
      <c r="J18" s="17">
        <f t="shared" si="2"/>
        <v>0</v>
      </c>
      <c r="K18" s="17">
        <f t="shared" si="0"/>
        <v>0</v>
      </c>
      <c r="L18" s="17">
        <v>0</v>
      </c>
      <c r="M18" s="41">
        <f t="shared" si="4"/>
        <v>6763072.051699996</v>
      </c>
      <c r="N18" s="17"/>
    </row>
    <row r="19" spans="1:16">
      <c r="A19" s="26">
        <v>16</v>
      </c>
      <c r="B19" s="27">
        <v>46038</v>
      </c>
      <c r="C19" s="17"/>
      <c r="D19" s="17"/>
      <c r="E19" s="17"/>
      <c r="F19" s="17"/>
      <c r="G19" s="41">
        <f>E19*F19</f>
        <v>0</v>
      </c>
      <c r="H19" s="333"/>
      <c r="I19" s="17"/>
      <c r="J19" s="17">
        <f t="shared" si="2"/>
        <v>0</v>
      </c>
      <c r="K19" s="17">
        <f t="shared" si="0"/>
        <v>0</v>
      </c>
      <c r="L19" s="17">
        <v>0</v>
      </c>
      <c r="M19" s="41">
        <f t="shared" si="4"/>
        <v>6763072.051699996</v>
      </c>
      <c r="N19" s="17"/>
    </row>
    <row r="20" spans="1:16">
      <c r="A20" s="26">
        <v>17</v>
      </c>
      <c r="B20" s="27">
        <v>46039</v>
      </c>
      <c r="C20" s="17"/>
      <c r="D20" s="17"/>
      <c r="E20" s="17"/>
      <c r="F20" s="17"/>
      <c r="G20" s="41">
        <f>E20*F20</f>
        <v>0</v>
      </c>
      <c r="H20" s="333"/>
      <c r="I20" s="17"/>
      <c r="J20" s="17">
        <f t="shared" si="2"/>
        <v>0</v>
      </c>
      <c r="K20" s="17">
        <f t="shared" si="0"/>
        <v>0</v>
      </c>
      <c r="L20" s="17">
        <v>0</v>
      </c>
      <c r="M20" s="41">
        <f t="shared" si="4"/>
        <v>6763072.051699996</v>
      </c>
      <c r="N20" s="17"/>
    </row>
    <row r="21" spans="1:16">
      <c r="A21" s="26">
        <v>18</v>
      </c>
      <c r="B21" s="27">
        <v>46040</v>
      </c>
      <c r="C21" s="17"/>
      <c r="D21" s="17"/>
      <c r="E21" s="17"/>
      <c r="F21" s="17"/>
      <c r="G21" s="41">
        <f>E21*F21</f>
        <v>0</v>
      </c>
      <c r="H21" s="333"/>
      <c r="I21" s="17"/>
      <c r="J21" s="17">
        <f t="shared" si="2"/>
        <v>0</v>
      </c>
      <c r="K21" s="17">
        <f t="shared" si="0"/>
        <v>0</v>
      </c>
      <c r="L21" s="17">
        <v>0</v>
      </c>
      <c r="M21" s="41">
        <f t="shared" si="4"/>
        <v>6763072.051699996</v>
      </c>
      <c r="N21" s="17"/>
    </row>
    <row r="22" spans="1:16">
      <c r="A22" s="26">
        <v>19</v>
      </c>
      <c r="B22" s="27">
        <v>46041</v>
      </c>
      <c r="C22" s="17"/>
      <c r="D22" s="17"/>
      <c r="E22" s="17">
        <v>5500</v>
      </c>
      <c r="F22" s="17">
        <v>95.68</v>
      </c>
      <c r="G22" s="383">
        <f>E22*F22</f>
        <v>526240</v>
      </c>
      <c r="H22" s="333">
        <v>95</v>
      </c>
      <c r="I22" s="17">
        <v>107.46</v>
      </c>
      <c r="J22" s="17">
        <f t="shared" si="2"/>
        <v>10208.699999999999</v>
      </c>
      <c r="K22" s="17">
        <f t="shared" si="0"/>
        <v>536448.69999999995</v>
      </c>
      <c r="L22" s="17">
        <v>6503593</v>
      </c>
      <c r="M22" s="41">
        <f t="shared" si="4"/>
        <v>795927.75169999618</v>
      </c>
      <c r="N22" s="17"/>
    </row>
    <row r="23" spans="1:16">
      <c r="A23" s="26">
        <v>20</v>
      </c>
      <c r="B23" s="27">
        <v>46042</v>
      </c>
      <c r="C23" s="17"/>
      <c r="D23" s="17"/>
      <c r="E23" s="17"/>
      <c r="F23" s="17"/>
      <c r="G23" s="383">
        <f>E23*F23</f>
        <v>0</v>
      </c>
      <c r="H23" s="333"/>
      <c r="I23" s="17"/>
      <c r="J23" s="17">
        <f t="shared" si="2"/>
        <v>0</v>
      </c>
      <c r="K23" s="17">
        <f t="shared" si="0"/>
        <v>0</v>
      </c>
      <c r="L23" s="17">
        <v>0</v>
      </c>
      <c r="M23" s="41">
        <f t="shared" si="4"/>
        <v>795927.75169999618</v>
      </c>
      <c r="N23" s="17"/>
    </row>
    <row r="24" spans="1:16">
      <c r="A24" s="26">
        <v>21</v>
      </c>
      <c r="B24" s="27">
        <v>46043</v>
      </c>
      <c r="C24" s="17"/>
      <c r="D24" s="17"/>
      <c r="E24" s="17">
        <v>1500</v>
      </c>
      <c r="F24" s="17">
        <v>95.68</v>
      </c>
      <c r="G24" s="383">
        <f>E24*F24</f>
        <v>143520</v>
      </c>
      <c r="H24" s="333"/>
      <c r="I24" s="17"/>
      <c r="J24" s="17">
        <f t="shared" si="2"/>
        <v>0</v>
      </c>
      <c r="K24" s="17">
        <f t="shared" si="0"/>
        <v>143520</v>
      </c>
      <c r="L24" s="17">
        <v>0</v>
      </c>
      <c r="M24" s="41">
        <f t="shared" si="4"/>
        <v>939447.75169999618</v>
      </c>
      <c r="N24" s="17"/>
    </row>
    <row r="25" spans="1:16">
      <c r="A25" s="26">
        <v>22</v>
      </c>
      <c r="B25" s="27">
        <v>46044</v>
      </c>
      <c r="C25" s="17"/>
      <c r="D25" s="17"/>
      <c r="E25" s="17">
        <v>1500</v>
      </c>
      <c r="F25" s="17">
        <v>95.68</v>
      </c>
      <c r="G25" s="383">
        <f>E25*F25</f>
        <v>143520</v>
      </c>
      <c r="H25" s="333"/>
      <c r="I25" s="17"/>
      <c r="J25" s="17">
        <f t="shared" si="2"/>
        <v>0</v>
      </c>
      <c r="K25" s="17">
        <f t="shared" si="0"/>
        <v>143520</v>
      </c>
      <c r="L25" s="17">
        <v>0</v>
      </c>
      <c r="M25" s="41">
        <f t="shared" si="4"/>
        <v>1082967.7516999962</v>
      </c>
      <c r="N25" s="17"/>
    </row>
    <row r="26" spans="1:16">
      <c r="A26" s="26">
        <v>23</v>
      </c>
      <c r="B26" s="27">
        <v>46045</v>
      </c>
      <c r="C26" s="17"/>
      <c r="D26" s="17"/>
      <c r="E26" s="17">
        <v>4300</v>
      </c>
      <c r="F26" s="17">
        <v>95.68</v>
      </c>
      <c r="G26" s="383">
        <f>E26*F26</f>
        <v>411424.00000000006</v>
      </c>
      <c r="H26" s="333">
        <v>20</v>
      </c>
      <c r="I26" s="17">
        <v>107.46</v>
      </c>
      <c r="J26" s="17">
        <f t="shared" si="2"/>
        <v>2149.1999999999998</v>
      </c>
      <c r="K26" s="17">
        <f t="shared" si="0"/>
        <v>413573.20000000007</v>
      </c>
      <c r="L26" s="17">
        <v>0</v>
      </c>
      <c r="M26" s="41">
        <f t="shared" si="4"/>
        <v>1496540.9516999964</v>
      </c>
      <c r="N26" s="17"/>
    </row>
    <row r="27" spans="1:16">
      <c r="A27" s="26">
        <v>24</v>
      </c>
      <c r="B27" s="27">
        <v>46046</v>
      </c>
      <c r="C27" s="17"/>
      <c r="D27" s="17"/>
      <c r="E27" s="17">
        <v>1500</v>
      </c>
      <c r="F27" s="17">
        <v>95.68</v>
      </c>
      <c r="G27" s="383">
        <f>E27*F27</f>
        <v>143520</v>
      </c>
      <c r="H27" s="333"/>
      <c r="I27" s="17"/>
      <c r="J27" s="17">
        <f t="shared" si="2"/>
        <v>0</v>
      </c>
      <c r="K27" s="17">
        <f t="shared" si="0"/>
        <v>143520</v>
      </c>
      <c r="L27" s="17">
        <v>0</v>
      </c>
      <c r="M27" s="41">
        <f t="shared" si="4"/>
        <v>1640060.9516999964</v>
      </c>
      <c r="N27" s="17"/>
    </row>
    <row r="28" spans="1:16">
      <c r="A28" s="26">
        <v>25</v>
      </c>
      <c r="B28" s="27">
        <v>46047</v>
      </c>
      <c r="C28" s="17"/>
      <c r="D28" s="17"/>
      <c r="E28" s="17">
        <v>1500</v>
      </c>
      <c r="F28" s="17">
        <v>95.68</v>
      </c>
      <c r="G28" s="383">
        <f>E28*F28</f>
        <v>143520</v>
      </c>
      <c r="H28" s="333"/>
      <c r="I28" s="17"/>
      <c r="J28" s="17">
        <f t="shared" si="2"/>
        <v>0</v>
      </c>
      <c r="K28" s="17">
        <f t="shared" si="0"/>
        <v>143520</v>
      </c>
      <c r="L28" s="17">
        <v>0</v>
      </c>
      <c r="M28" s="41">
        <f t="shared" si="4"/>
        <v>1783580.9516999964</v>
      </c>
      <c r="N28" s="17"/>
    </row>
    <row r="29" spans="1:16">
      <c r="A29" s="26">
        <v>26</v>
      </c>
      <c r="B29" s="27">
        <v>46048</v>
      </c>
      <c r="C29" s="17"/>
      <c r="D29" s="17"/>
      <c r="E29" s="17">
        <v>1500</v>
      </c>
      <c r="F29" s="17">
        <v>95.68</v>
      </c>
      <c r="G29" s="383">
        <f>E29*F29</f>
        <v>143520</v>
      </c>
      <c r="H29" s="333"/>
      <c r="I29" s="17"/>
      <c r="J29" s="17">
        <f t="shared" si="2"/>
        <v>0</v>
      </c>
      <c r="K29" s="17">
        <f t="shared" si="0"/>
        <v>143520</v>
      </c>
      <c r="L29" s="17">
        <v>0</v>
      </c>
      <c r="M29" s="41">
        <f t="shared" si="4"/>
        <v>1927100.9516999964</v>
      </c>
      <c r="N29" s="17"/>
    </row>
    <row r="30" spans="1:16">
      <c r="A30" s="26">
        <v>27</v>
      </c>
      <c r="B30" s="27">
        <v>46049</v>
      </c>
      <c r="C30" s="17"/>
      <c r="D30" s="17"/>
      <c r="E30" s="17">
        <v>1500</v>
      </c>
      <c r="F30" s="17">
        <v>95.68</v>
      </c>
      <c r="G30" s="383">
        <f t="shared" ref="G30" si="5">E30*F30</f>
        <v>143520</v>
      </c>
      <c r="H30" s="333"/>
      <c r="I30" s="17"/>
      <c r="J30" s="17">
        <f t="shared" si="2"/>
        <v>0</v>
      </c>
      <c r="K30" s="17">
        <f t="shared" si="0"/>
        <v>143520</v>
      </c>
      <c r="L30" s="17">
        <v>0</v>
      </c>
      <c r="M30" s="41">
        <f t="shared" si="4"/>
        <v>2070620.9516999964</v>
      </c>
      <c r="N30" s="17"/>
      <c r="P30" s="22"/>
    </row>
    <row r="31" spans="1:16">
      <c r="A31" s="26">
        <v>28</v>
      </c>
      <c r="B31" s="27">
        <v>46050</v>
      </c>
      <c r="C31" s="17"/>
      <c r="D31" s="17"/>
      <c r="E31" s="17">
        <v>1500</v>
      </c>
      <c r="F31" s="17">
        <v>95.68</v>
      </c>
      <c r="G31" s="383">
        <f>E31*F31</f>
        <v>143520</v>
      </c>
      <c r="H31" s="333"/>
      <c r="I31" s="17"/>
      <c r="J31" s="17">
        <f t="shared" si="2"/>
        <v>0</v>
      </c>
      <c r="K31" s="17">
        <f t="shared" si="0"/>
        <v>143520</v>
      </c>
      <c r="L31" s="17">
        <v>0</v>
      </c>
      <c r="M31" s="41">
        <f t="shared" si="4"/>
        <v>2214140.9516999964</v>
      </c>
      <c r="N31" s="17"/>
    </row>
    <row r="32" spans="1:16">
      <c r="A32" s="26">
        <v>29</v>
      </c>
      <c r="B32" s="27">
        <v>46051</v>
      </c>
      <c r="C32" s="17"/>
      <c r="D32" s="17"/>
      <c r="E32" s="17">
        <v>2500</v>
      </c>
      <c r="F32" s="17">
        <v>95.68</v>
      </c>
      <c r="G32" s="383">
        <f>E32*F32</f>
        <v>239200.00000000003</v>
      </c>
      <c r="H32" s="333"/>
      <c r="I32" s="17"/>
      <c r="J32" s="17">
        <f t="shared" si="2"/>
        <v>0</v>
      </c>
      <c r="K32" s="17">
        <f t="shared" si="0"/>
        <v>239200.00000000003</v>
      </c>
      <c r="L32" s="17">
        <v>0</v>
      </c>
      <c r="M32" s="41">
        <f t="shared" si="4"/>
        <v>2453340.9516999964</v>
      </c>
      <c r="N32" s="17"/>
      <c r="P32" s="22"/>
    </row>
    <row r="33" spans="1:14">
      <c r="A33" s="26">
        <v>30</v>
      </c>
      <c r="B33" s="27">
        <v>46052</v>
      </c>
      <c r="C33" s="17"/>
      <c r="D33" s="17"/>
      <c r="E33" s="17">
        <v>1500</v>
      </c>
      <c r="F33" s="17">
        <v>95.68</v>
      </c>
      <c r="G33" s="383">
        <f>E33*F33</f>
        <v>143520</v>
      </c>
      <c r="H33" s="333"/>
      <c r="I33" s="17"/>
      <c r="J33" s="17">
        <f t="shared" si="2"/>
        <v>0</v>
      </c>
      <c r="K33" s="17">
        <f t="shared" si="0"/>
        <v>143520</v>
      </c>
      <c r="L33" s="17">
        <v>0</v>
      </c>
      <c r="M33" s="41">
        <f t="shared" si="4"/>
        <v>2596860.9516999964</v>
      </c>
      <c r="N33" s="17"/>
    </row>
    <row r="34" spans="1:14">
      <c r="A34" s="26">
        <v>31</v>
      </c>
      <c r="B34" s="27">
        <v>46053</v>
      </c>
      <c r="C34" s="17"/>
      <c r="D34" s="17"/>
      <c r="E34" s="17">
        <v>2500</v>
      </c>
      <c r="F34" s="17">
        <v>95.68</v>
      </c>
      <c r="G34" s="383">
        <f>E34*F34</f>
        <v>239200.00000000003</v>
      </c>
      <c r="H34" s="333"/>
      <c r="I34" s="17"/>
      <c r="J34" s="17"/>
      <c r="K34" s="17">
        <f t="shared" si="0"/>
        <v>239200.00000000003</v>
      </c>
      <c r="L34" s="17">
        <v>0</v>
      </c>
      <c r="M34" s="41">
        <f t="shared" si="4"/>
        <v>2836060.9516999964</v>
      </c>
      <c r="N34" s="17"/>
    </row>
    <row r="35" spans="1:14">
      <c r="A35" s="26">
        <v>32</v>
      </c>
      <c r="B35" s="27"/>
      <c r="C35" s="17"/>
      <c r="D35" s="17"/>
      <c r="E35" s="17"/>
      <c r="F35" s="17"/>
      <c r="G35" s="383">
        <f>E35*F35</f>
        <v>0</v>
      </c>
      <c r="H35" s="333"/>
      <c r="I35" s="17"/>
      <c r="J35" s="17">
        <f t="shared" ref="J5:J37" si="6">H35*I35</f>
        <v>0</v>
      </c>
      <c r="K35" s="17">
        <f t="shared" si="0"/>
        <v>0</v>
      </c>
      <c r="L35" s="17">
        <v>0</v>
      </c>
      <c r="M35" s="41">
        <f t="shared" si="4"/>
        <v>2836060.9516999964</v>
      </c>
      <c r="N35" s="17"/>
    </row>
    <row r="36" spans="1:14">
      <c r="A36" s="26">
        <v>33</v>
      </c>
      <c r="B36" s="27"/>
      <c r="C36" s="17"/>
      <c r="D36" s="17"/>
      <c r="E36" s="17"/>
      <c r="F36" s="17"/>
      <c r="G36" s="383">
        <f>E36*F36</f>
        <v>0</v>
      </c>
      <c r="H36" s="333"/>
      <c r="I36" s="17"/>
      <c r="J36" s="17">
        <f t="shared" si="6"/>
        <v>0</v>
      </c>
      <c r="K36" s="17">
        <f t="shared" si="0"/>
        <v>0</v>
      </c>
      <c r="L36" s="17">
        <v>0</v>
      </c>
      <c r="M36" s="17"/>
      <c r="N36" s="17"/>
    </row>
    <row r="37" spans="1:14">
      <c r="A37" s="26">
        <v>34</v>
      </c>
      <c r="B37" s="27"/>
      <c r="C37" s="17"/>
      <c r="D37" s="17"/>
      <c r="E37" s="17"/>
      <c r="F37" s="17"/>
      <c r="G37" s="383">
        <f>E37*F37</f>
        <v>0</v>
      </c>
      <c r="H37" s="333"/>
      <c r="I37" s="17"/>
      <c r="J37" s="17">
        <f t="shared" si="6"/>
        <v>0</v>
      </c>
      <c r="K37" s="17">
        <f t="shared" si="0"/>
        <v>0</v>
      </c>
      <c r="L37" s="17"/>
      <c r="M37" s="17"/>
      <c r="N37" s="17"/>
    </row>
    <row r="38" spans="1:14">
      <c r="A38" s="43"/>
      <c r="B38" s="43"/>
      <c r="C38" s="43"/>
      <c r="D38" s="43"/>
      <c r="E38" s="234">
        <f>SUM(E3:E37)</f>
        <v>55934.28</v>
      </c>
      <c r="F38" s="234"/>
      <c r="G38" s="234">
        <f>SUM(G3:G37)</f>
        <v>5351791.9104000004</v>
      </c>
      <c r="H38" s="234">
        <f>SUM(H3:H37)</f>
        <v>295</v>
      </c>
      <c r="I38" s="234"/>
      <c r="J38" s="234">
        <f>SUM(J3:J37)</f>
        <v>31700.699999999993</v>
      </c>
      <c r="K38" s="234">
        <f>SUM(K4:K37)</f>
        <v>5383492.6104000006</v>
      </c>
      <c r="L38" s="234">
        <f>SUM(L3:L37)</f>
        <v>6503593</v>
      </c>
      <c r="M38" s="234"/>
      <c r="N38" s="234"/>
    </row>
    <row r="39" spans="1:14">
      <c r="E39">
        <v>62644.368999999999</v>
      </c>
    </row>
    <row r="40" spans="1:14">
      <c r="E40">
        <v>12000</v>
      </c>
    </row>
  </sheetData>
  <mergeCells count="2">
    <mergeCell ref="A1:N1"/>
    <mergeCell ref="A3:J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40FDB-C841-4265-A23A-57FCCE1432F4}">
  <sheetPr>
    <tabColor rgb="FF00B050"/>
  </sheetPr>
  <dimension ref="A1:P40"/>
  <sheetViews>
    <sheetView topLeftCell="A10" workbookViewId="0">
      <selection activeCell="K40" sqref="K40"/>
    </sheetView>
  </sheetViews>
  <sheetFormatPr defaultRowHeight="15"/>
  <cols>
    <col min="2" max="2" width="12.140625" customWidth="1"/>
    <col min="4" max="4" width="12.5703125" customWidth="1"/>
    <col min="5" max="5" width="23.42578125" customWidth="1"/>
    <col min="7" max="7" width="14.42578125" customWidth="1"/>
    <col min="11" max="11" width="12.85546875" customWidth="1"/>
    <col min="12" max="12" width="13.7109375" customWidth="1"/>
    <col min="13" max="13" width="16" customWidth="1"/>
    <col min="14" max="14" width="34.5703125" customWidth="1"/>
    <col min="15" max="15" width="12.5703125" bestFit="1" customWidth="1"/>
  </cols>
  <sheetData>
    <row r="1" spans="1:16" ht="15.75">
      <c r="A1" s="468" t="s">
        <v>14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</row>
    <row r="2" spans="1:16" ht="30">
      <c r="A2" s="67" t="s">
        <v>129</v>
      </c>
      <c r="B2" s="86" t="s">
        <v>130</v>
      </c>
      <c r="C2" s="86" t="s">
        <v>131</v>
      </c>
      <c r="D2" s="86" t="s">
        <v>132</v>
      </c>
      <c r="E2" s="86" t="s">
        <v>133</v>
      </c>
      <c r="F2" s="86" t="s">
        <v>134</v>
      </c>
      <c r="G2" s="86" t="s">
        <v>135</v>
      </c>
      <c r="H2" s="86" t="s">
        <v>136</v>
      </c>
      <c r="I2" s="86" t="s">
        <v>134</v>
      </c>
      <c r="J2" s="87" t="s">
        <v>135</v>
      </c>
      <c r="K2" s="127" t="s">
        <v>137</v>
      </c>
      <c r="L2" s="130" t="s">
        <v>138</v>
      </c>
      <c r="M2" s="130" t="s">
        <v>195</v>
      </c>
      <c r="N2" s="128" t="s">
        <v>140</v>
      </c>
      <c r="O2" s="336"/>
      <c r="P2" s="22"/>
    </row>
    <row r="3" spans="1:16">
      <c r="A3" s="470" t="s">
        <v>141</v>
      </c>
      <c r="B3" s="471"/>
      <c r="C3" s="471"/>
      <c r="D3" s="471"/>
      <c r="E3" s="471"/>
      <c r="F3" s="471"/>
      <c r="G3" s="471"/>
      <c r="H3" s="471"/>
      <c r="I3" s="471"/>
      <c r="J3" s="471"/>
      <c r="K3">
        <v>3669815.5999999996</v>
      </c>
      <c r="L3" s="233"/>
      <c r="M3">
        <v>3669815.5999999996</v>
      </c>
      <c r="N3" s="97"/>
    </row>
    <row r="4" spans="1:16">
      <c r="A4" s="26">
        <v>1</v>
      </c>
      <c r="B4" s="27">
        <v>46023</v>
      </c>
      <c r="C4" s="17"/>
      <c r="D4" s="265"/>
      <c r="E4" s="274"/>
      <c r="F4" s="332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41">
        <f>M3+K4-L4</f>
        <v>3669815.5999999996</v>
      </c>
      <c r="N4" s="17"/>
      <c r="O4" s="41">
        <f t="shared" ref="O4" si="0">O3+M4-N4</f>
        <v>3669815.5999999996</v>
      </c>
    </row>
    <row r="5" spans="1:16">
      <c r="A5" s="26">
        <v>2</v>
      </c>
      <c r="B5" s="27">
        <v>46024</v>
      </c>
      <c r="C5" s="17"/>
      <c r="D5" s="265"/>
      <c r="E5" s="328">
        <v>2700</v>
      </c>
      <c r="F5" s="275">
        <v>95.7</v>
      </c>
      <c r="G5" s="17">
        <f t="shared" ref="G5:G35" si="1">E5*F5</f>
        <v>258390</v>
      </c>
      <c r="H5" s="17">
        <v>75</v>
      </c>
      <c r="I5" s="17">
        <v>107.48</v>
      </c>
      <c r="J5" s="17">
        <f t="shared" ref="J5:J35" si="2">H5*I5</f>
        <v>8061</v>
      </c>
      <c r="K5" s="17">
        <f t="shared" ref="K5:K35" si="3">G5+J5</f>
        <v>266451</v>
      </c>
      <c r="L5" s="17"/>
      <c r="M5" s="41">
        <f t="shared" ref="M5:M16" si="4">M4+K5-L5</f>
        <v>3936266.5999999996</v>
      </c>
      <c r="N5" s="17"/>
    </row>
    <row r="6" spans="1:16">
      <c r="A6" s="26">
        <v>3</v>
      </c>
      <c r="B6" s="27">
        <v>46025</v>
      </c>
      <c r="C6" s="17"/>
      <c r="D6" s="265"/>
      <c r="E6" s="274">
        <v>5500</v>
      </c>
      <c r="F6" s="275">
        <v>95.7</v>
      </c>
      <c r="G6" s="17">
        <f t="shared" si="1"/>
        <v>526350</v>
      </c>
      <c r="H6" s="17">
        <v>60</v>
      </c>
      <c r="I6" s="17">
        <v>107.48</v>
      </c>
      <c r="J6" s="17">
        <f t="shared" si="2"/>
        <v>6448.8</v>
      </c>
      <c r="K6" s="17">
        <f t="shared" si="3"/>
        <v>532798.80000000005</v>
      </c>
      <c r="L6" s="17"/>
      <c r="M6" s="41">
        <f t="shared" si="4"/>
        <v>4469065.3999999994</v>
      </c>
      <c r="N6" s="17"/>
    </row>
    <row r="7" spans="1:16">
      <c r="A7" s="26">
        <v>4</v>
      </c>
      <c r="B7" s="27">
        <v>46026</v>
      </c>
      <c r="C7" s="17"/>
      <c r="D7" s="265"/>
      <c r="E7" s="274"/>
      <c r="F7" s="332"/>
      <c r="G7" s="17">
        <f t="shared" si="1"/>
        <v>0</v>
      </c>
      <c r="H7" s="17"/>
      <c r="I7" s="17"/>
      <c r="J7" s="17">
        <f t="shared" si="2"/>
        <v>0</v>
      </c>
      <c r="K7" s="17">
        <f t="shared" si="3"/>
        <v>0</v>
      </c>
      <c r="L7" s="17"/>
      <c r="M7" s="41">
        <f t="shared" si="4"/>
        <v>4469065.3999999994</v>
      </c>
      <c r="N7" s="17"/>
    </row>
    <row r="8" spans="1:16">
      <c r="A8" s="26">
        <v>5</v>
      </c>
      <c r="B8" s="27">
        <v>46027</v>
      </c>
      <c r="C8" s="17"/>
      <c r="D8" s="265"/>
      <c r="E8" s="274">
        <v>2700</v>
      </c>
      <c r="F8" s="275">
        <v>95.7</v>
      </c>
      <c r="G8" s="17">
        <f t="shared" si="1"/>
        <v>258390</v>
      </c>
      <c r="H8" s="17">
        <v>60</v>
      </c>
      <c r="I8" s="17">
        <v>107.48</v>
      </c>
      <c r="J8" s="17">
        <f t="shared" si="2"/>
        <v>6448.8</v>
      </c>
      <c r="K8" s="17">
        <f t="shared" si="3"/>
        <v>264838.8</v>
      </c>
      <c r="L8" s="17"/>
      <c r="M8" s="41">
        <f t="shared" si="4"/>
        <v>4733904.1999999993</v>
      </c>
      <c r="N8" s="17"/>
      <c r="O8">
        <v>12802499.148000002</v>
      </c>
    </row>
    <row r="9" spans="1:16">
      <c r="A9" s="26">
        <v>6</v>
      </c>
      <c r="B9" s="27">
        <v>46028</v>
      </c>
      <c r="C9" s="17"/>
      <c r="D9" s="265"/>
      <c r="E9" s="328">
        <v>2800</v>
      </c>
      <c r="F9" s="275">
        <v>95.7</v>
      </c>
      <c r="G9" s="17">
        <f t="shared" si="1"/>
        <v>267960</v>
      </c>
      <c r="H9" s="17"/>
      <c r="I9" s="17"/>
      <c r="J9" s="17">
        <f t="shared" si="2"/>
        <v>0</v>
      </c>
      <c r="K9" s="17">
        <f t="shared" si="3"/>
        <v>267960</v>
      </c>
      <c r="L9" s="17"/>
      <c r="M9" s="41">
        <f t="shared" si="4"/>
        <v>5001864.1999999993</v>
      </c>
      <c r="N9" s="235"/>
    </row>
    <row r="10" spans="1:16">
      <c r="A10" s="26">
        <v>7</v>
      </c>
      <c r="B10" s="27">
        <v>46029</v>
      </c>
      <c r="C10" s="17"/>
      <c r="D10" s="265"/>
      <c r="E10" s="328"/>
      <c r="F10" s="332"/>
      <c r="G10" s="17">
        <f t="shared" si="1"/>
        <v>0</v>
      </c>
      <c r="H10" s="17"/>
      <c r="I10" s="17"/>
      <c r="J10" s="17">
        <f t="shared" si="2"/>
        <v>0</v>
      </c>
      <c r="K10" s="17">
        <f t="shared" si="3"/>
        <v>0</v>
      </c>
      <c r="L10" s="17"/>
      <c r="M10" s="41">
        <f t="shared" si="4"/>
        <v>5001864.1999999993</v>
      </c>
      <c r="N10" s="17"/>
    </row>
    <row r="11" spans="1:16">
      <c r="A11" s="26">
        <v>8</v>
      </c>
      <c r="B11" s="27">
        <v>46030</v>
      </c>
      <c r="C11" s="17"/>
      <c r="D11" s="265"/>
      <c r="E11" s="274"/>
      <c r="F11" s="332"/>
      <c r="G11" s="17">
        <f t="shared" si="1"/>
        <v>0</v>
      </c>
      <c r="H11" s="17"/>
      <c r="I11" s="17"/>
      <c r="J11" s="17">
        <f t="shared" si="2"/>
        <v>0</v>
      </c>
      <c r="K11" s="17">
        <f t="shared" si="3"/>
        <v>0</v>
      </c>
      <c r="L11" s="17"/>
      <c r="M11" s="41">
        <f t="shared" si="4"/>
        <v>5001864.1999999993</v>
      </c>
      <c r="N11" s="17"/>
    </row>
    <row r="12" spans="1:16">
      <c r="A12" s="26">
        <v>9</v>
      </c>
      <c r="B12" s="27">
        <v>46031</v>
      </c>
      <c r="C12" s="17"/>
      <c r="D12" s="265"/>
      <c r="E12" s="274"/>
      <c r="F12" s="332"/>
      <c r="G12" s="17">
        <f t="shared" si="1"/>
        <v>0</v>
      </c>
      <c r="H12" s="17"/>
      <c r="I12" s="17"/>
      <c r="J12" s="17">
        <f t="shared" si="2"/>
        <v>0</v>
      </c>
      <c r="K12" s="17">
        <f t="shared" si="3"/>
        <v>0</v>
      </c>
      <c r="L12" s="17"/>
      <c r="M12" s="41">
        <f t="shared" si="4"/>
        <v>5001864.1999999993</v>
      </c>
      <c r="N12" s="17"/>
    </row>
    <row r="13" spans="1:16">
      <c r="A13" s="26">
        <v>10</v>
      </c>
      <c r="B13" s="27">
        <v>46032</v>
      </c>
      <c r="C13" s="17"/>
      <c r="D13" s="265"/>
      <c r="E13" s="274"/>
      <c r="F13" s="332"/>
      <c r="G13" s="17">
        <f t="shared" si="1"/>
        <v>0</v>
      </c>
      <c r="H13" s="17"/>
      <c r="I13" s="17"/>
      <c r="J13" s="17">
        <f t="shared" si="2"/>
        <v>0</v>
      </c>
      <c r="K13" s="17">
        <f t="shared" si="3"/>
        <v>0</v>
      </c>
      <c r="L13" s="17"/>
      <c r="M13" s="41">
        <f t="shared" si="4"/>
        <v>5001864.1999999993</v>
      </c>
      <c r="N13" s="17"/>
    </row>
    <row r="14" spans="1:16">
      <c r="A14" s="26">
        <v>11</v>
      </c>
      <c r="B14" s="27">
        <v>46033</v>
      </c>
      <c r="C14" s="17"/>
      <c r="D14" s="265"/>
      <c r="E14" s="274"/>
      <c r="F14" s="332"/>
      <c r="G14" s="17">
        <f t="shared" si="1"/>
        <v>0</v>
      </c>
      <c r="H14" s="17"/>
      <c r="I14" s="17"/>
      <c r="J14" s="17">
        <f t="shared" si="2"/>
        <v>0</v>
      </c>
      <c r="K14" s="17">
        <f t="shared" si="3"/>
        <v>0</v>
      </c>
      <c r="L14" s="17"/>
      <c r="M14" s="41">
        <f t="shared" si="4"/>
        <v>5001864.1999999993</v>
      </c>
      <c r="N14" s="17"/>
    </row>
    <row r="15" spans="1:16">
      <c r="A15" s="26">
        <v>12</v>
      </c>
      <c r="B15" s="27">
        <v>46034</v>
      </c>
      <c r="C15" s="17"/>
      <c r="D15" s="265"/>
      <c r="E15" s="274">
        <v>3194.3690000000001</v>
      </c>
      <c r="F15" s="332">
        <v>95.7</v>
      </c>
      <c r="G15" s="17">
        <f t="shared" si="1"/>
        <v>305701.11330000003</v>
      </c>
      <c r="H15" s="17">
        <v>40</v>
      </c>
      <c r="I15" s="17">
        <v>107.48</v>
      </c>
      <c r="J15" s="17">
        <f t="shared" si="2"/>
        <v>4299.2</v>
      </c>
      <c r="K15" s="41">
        <f t="shared" si="3"/>
        <v>310000.31330000004</v>
      </c>
      <c r="L15" s="17"/>
      <c r="M15" s="41">
        <f t="shared" si="4"/>
        <v>5311864.5132999998</v>
      </c>
      <c r="N15" s="17"/>
    </row>
    <row r="16" spans="1:16">
      <c r="A16" s="26">
        <v>13</v>
      </c>
      <c r="B16" s="27">
        <v>46035</v>
      </c>
      <c r="C16" s="17"/>
      <c r="D16" s="265"/>
      <c r="E16" s="274"/>
      <c r="F16" s="332"/>
      <c r="G16" s="17">
        <f t="shared" si="1"/>
        <v>0</v>
      </c>
      <c r="H16" s="17"/>
      <c r="I16" s="17"/>
      <c r="J16" s="17">
        <f t="shared" si="2"/>
        <v>0</v>
      </c>
      <c r="K16" s="17">
        <f t="shared" si="3"/>
        <v>0</v>
      </c>
      <c r="L16" s="17"/>
      <c r="M16" s="41">
        <f t="shared" si="4"/>
        <v>5311864.5132999998</v>
      </c>
      <c r="N16" s="17"/>
    </row>
    <row r="17" spans="1:14">
      <c r="A17" s="26">
        <v>14</v>
      </c>
      <c r="B17" s="27">
        <v>46036</v>
      </c>
      <c r="C17" s="17"/>
      <c r="D17" s="265"/>
      <c r="E17" s="274"/>
      <c r="F17" s="332"/>
      <c r="G17" s="17">
        <f t="shared" si="1"/>
        <v>0</v>
      </c>
      <c r="H17" s="17"/>
      <c r="I17" s="17"/>
      <c r="J17" s="17">
        <f t="shared" si="2"/>
        <v>0</v>
      </c>
      <c r="K17" s="17">
        <f t="shared" si="3"/>
        <v>0</v>
      </c>
      <c r="L17" s="17"/>
      <c r="M17" s="41">
        <f t="shared" ref="M17:M35" si="5">M16+K17-L17</f>
        <v>5311864.5132999998</v>
      </c>
      <c r="N17" s="17"/>
    </row>
    <row r="18" spans="1:14">
      <c r="A18" s="26">
        <v>15</v>
      </c>
      <c r="B18" s="27">
        <v>46037</v>
      </c>
      <c r="C18" s="17"/>
      <c r="D18" s="265"/>
      <c r="E18" s="274"/>
      <c r="F18" s="332"/>
      <c r="G18" s="17">
        <f t="shared" si="1"/>
        <v>0</v>
      </c>
      <c r="H18" s="17"/>
      <c r="I18" s="17"/>
      <c r="J18" s="17">
        <f t="shared" si="2"/>
        <v>0</v>
      </c>
      <c r="K18" s="17">
        <f t="shared" si="3"/>
        <v>0</v>
      </c>
      <c r="L18" s="17"/>
      <c r="M18" s="41">
        <f t="shared" si="5"/>
        <v>5311864.5132999998</v>
      </c>
      <c r="N18" s="17"/>
    </row>
    <row r="19" spans="1:14">
      <c r="A19" s="26">
        <v>16</v>
      </c>
      <c r="B19" s="27">
        <v>46038</v>
      </c>
      <c r="C19" s="17"/>
      <c r="D19" s="265"/>
      <c r="E19" s="274"/>
      <c r="F19" s="332"/>
      <c r="G19" s="17">
        <f t="shared" si="1"/>
        <v>0</v>
      </c>
      <c r="H19" s="17">
        <v>46.52</v>
      </c>
      <c r="I19" s="17">
        <v>107.48</v>
      </c>
      <c r="J19" s="17">
        <f t="shared" si="2"/>
        <v>4999.9696000000004</v>
      </c>
      <c r="K19" s="17">
        <f t="shared" si="3"/>
        <v>4999.9696000000004</v>
      </c>
      <c r="L19" s="17"/>
      <c r="M19" s="41">
        <f t="shared" si="5"/>
        <v>5316864.4829000002</v>
      </c>
      <c r="N19" s="17"/>
    </row>
    <row r="20" spans="1:14">
      <c r="A20" s="26">
        <v>17</v>
      </c>
      <c r="B20" s="27">
        <v>46039</v>
      </c>
      <c r="C20" s="17"/>
      <c r="D20" s="265" t="s">
        <v>196</v>
      </c>
      <c r="E20" s="274"/>
      <c r="F20" s="332"/>
      <c r="G20" s="17">
        <f t="shared" si="1"/>
        <v>0</v>
      </c>
      <c r="H20" s="17"/>
      <c r="I20" s="17"/>
      <c r="J20" s="17">
        <f t="shared" si="2"/>
        <v>0</v>
      </c>
      <c r="K20" s="17">
        <f t="shared" si="3"/>
        <v>0</v>
      </c>
      <c r="L20" s="17"/>
      <c r="M20" s="41">
        <f t="shared" si="5"/>
        <v>5316864.4829000002</v>
      </c>
      <c r="N20" s="17"/>
    </row>
    <row r="21" spans="1:14">
      <c r="A21" s="26">
        <v>18</v>
      </c>
      <c r="B21" s="27">
        <v>46040</v>
      </c>
      <c r="C21" s="17"/>
      <c r="D21" s="265"/>
      <c r="E21" s="274"/>
      <c r="F21" s="332"/>
      <c r="G21" s="17">
        <f t="shared" si="1"/>
        <v>0</v>
      </c>
      <c r="H21" s="17"/>
      <c r="I21" s="17"/>
      <c r="J21" s="17">
        <f t="shared" si="2"/>
        <v>0</v>
      </c>
      <c r="K21" s="17">
        <f t="shared" si="3"/>
        <v>0</v>
      </c>
      <c r="L21" s="17"/>
      <c r="M21" s="41">
        <f t="shared" si="5"/>
        <v>5316864.4829000002</v>
      </c>
      <c r="N21" s="17"/>
    </row>
    <row r="22" spans="1:14">
      <c r="A22" s="26">
        <v>19</v>
      </c>
      <c r="B22" s="27">
        <v>46041</v>
      </c>
      <c r="C22" s="17"/>
      <c r="D22" s="265"/>
      <c r="E22" s="274"/>
      <c r="F22" s="332"/>
      <c r="G22" s="17">
        <f t="shared" si="1"/>
        <v>0</v>
      </c>
      <c r="H22" s="17"/>
      <c r="I22" s="17"/>
      <c r="J22" s="17">
        <f t="shared" si="2"/>
        <v>0</v>
      </c>
      <c r="K22" s="17">
        <f t="shared" si="3"/>
        <v>0</v>
      </c>
      <c r="L22" s="17">
        <v>5316861</v>
      </c>
      <c r="M22" s="41">
        <f t="shared" si="5"/>
        <v>3.4829000001773238</v>
      </c>
      <c r="N22" s="17"/>
    </row>
    <row r="23" spans="1:14">
      <c r="A23" s="26"/>
      <c r="B23" s="27">
        <v>46041</v>
      </c>
      <c r="C23" s="17"/>
      <c r="D23" s="265"/>
      <c r="E23" s="274"/>
      <c r="F23" s="332"/>
      <c r="G23" s="17"/>
      <c r="H23" s="17"/>
      <c r="I23" s="17"/>
      <c r="J23" s="17"/>
      <c r="K23" s="17"/>
      <c r="L23" s="17">
        <v>3.48</v>
      </c>
      <c r="M23" s="41">
        <f t="shared" si="5"/>
        <v>2.900000177323836E-3</v>
      </c>
      <c r="N23" s="17"/>
    </row>
    <row r="24" spans="1:14">
      <c r="A24" s="26">
        <v>20</v>
      </c>
      <c r="B24" s="27">
        <v>46042</v>
      </c>
      <c r="C24" s="17"/>
      <c r="D24" s="265"/>
      <c r="E24" s="274">
        <v>5000</v>
      </c>
      <c r="F24" s="332">
        <v>95.7</v>
      </c>
      <c r="G24" s="17">
        <f t="shared" si="1"/>
        <v>478500</v>
      </c>
      <c r="H24" s="17">
        <v>40</v>
      </c>
      <c r="I24" s="17">
        <v>107.48</v>
      </c>
      <c r="J24" s="17">
        <f t="shared" si="2"/>
        <v>4299.2</v>
      </c>
      <c r="K24" s="17">
        <f t="shared" si="3"/>
        <v>482799.2</v>
      </c>
      <c r="L24" s="17"/>
      <c r="M24" s="41">
        <f t="shared" si="5"/>
        <v>482799.20290000021</v>
      </c>
      <c r="N24" s="17"/>
    </row>
    <row r="25" spans="1:14">
      <c r="A25" s="26">
        <v>21</v>
      </c>
      <c r="B25" s="27">
        <v>46043</v>
      </c>
      <c r="C25" s="17"/>
      <c r="D25" s="265"/>
      <c r="E25" s="274">
        <v>2700</v>
      </c>
      <c r="F25" s="332">
        <v>95.7</v>
      </c>
      <c r="G25" s="17">
        <f t="shared" si="1"/>
        <v>258390</v>
      </c>
      <c r="H25" s="17">
        <v>60</v>
      </c>
      <c r="I25" s="17">
        <v>107.48</v>
      </c>
      <c r="J25" s="17">
        <f t="shared" si="2"/>
        <v>6448.8</v>
      </c>
      <c r="K25" s="17">
        <f t="shared" si="3"/>
        <v>264838.8</v>
      </c>
      <c r="L25" s="17"/>
      <c r="M25" s="41">
        <f t="shared" si="5"/>
        <v>747638.0029000002</v>
      </c>
      <c r="N25" s="17"/>
    </row>
    <row r="26" spans="1:14">
      <c r="A26" s="26">
        <v>22</v>
      </c>
      <c r="B26" s="27">
        <v>46044</v>
      </c>
      <c r="C26" s="17"/>
      <c r="D26" s="265"/>
      <c r="E26" s="328">
        <f>2800+2700</f>
        <v>5500</v>
      </c>
      <c r="F26" s="332">
        <v>95.7</v>
      </c>
      <c r="G26" s="17">
        <f t="shared" si="1"/>
        <v>526350</v>
      </c>
      <c r="H26" s="17">
        <v>60</v>
      </c>
      <c r="I26" s="17">
        <v>107.48</v>
      </c>
      <c r="J26" s="17">
        <f t="shared" si="2"/>
        <v>6448.8</v>
      </c>
      <c r="K26" s="17">
        <f t="shared" si="3"/>
        <v>532798.80000000005</v>
      </c>
      <c r="L26" s="17"/>
      <c r="M26" s="41">
        <f t="shared" si="5"/>
        <v>1280436.8029000002</v>
      </c>
      <c r="N26" s="17"/>
    </row>
    <row r="27" spans="1:14">
      <c r="A27" s="26">
        <v>23</v>
      </c>
      <c r="B27" s="27">
        <v>46045</v>
      </c>
      <c r="C27" s="17"/>
      <c r="D27" s="265"/>
      <c r="E27" s="274">
        <v>2850</v>
      </c>
      <c r="F27" s="332">
        <v>95.7</v>
      </c>
      <c r="G27" s="17">
        <f t="shared" si="1"/>
        <v>272745</v>
      </c>
      <c r="H27" s="17">
        <v>55</v>
      </c>
      <c r="I27" s="17">
        <v>107.48</v>
      </c>
      <c r="J27" s="17">
        <f t="shared" si="2"/>
        <v>5911.4000000000005</v>
      </c>
      <c r="K27" s="17">
        <f t="shared" si="3"/>
        <v>278656.40000000002</v>
      </c>
      <c r="L27" s="17"/>
      <c r="M27" s="41">
        <f t="shared" si="5"/>
        <v>1559093.2029000004</v>
      </c>
      <c r="N27" s="17"/>
    </row>
    <row r="28" spans="1:14">
      <c r="A28" s="26">
        <v>24</v>
      </c>
      <c r="B28" s="27">
        <v>46046</v>
      </c>
      <c r="C28" s="17"/>
      <c r="D28" s="265"/>
      <c r="E28" s="274">
        <v>5400</v>
      </c>
      <c r="F28" s="332">
        <v>95.7</v>
      </c>
      <c r="G28" s="17">
        <f t="shared" si="1"/>
        <v>516780</v>
      </c>
      <c r="H28" s="17">
        <v>40</v>
      </c>
      <c r="I28" s="17">
        <v>107.48</v>
      </c>
      <c r="J28" s="17">
        <f t="shared" si="2"/>
        <v>4299.2</v>
      </c>
      <c r="K28" s="17">
        <f t="shared" si="3"/>
        <v>521079.2</v>
      </c>
      <c r="L28" s="17"/>
      <c r="M28" s="41">
        <f t="shared" si="5"/>
        <v>2080172.4029000003</v>
      </c>
      <c r="N28" s="17"/>
    </row>
    <row r="29" spans="1:14">
      <c r="A29" s="26">
        <v>25</v>
      </c>
      <c r="B29" s="27">
        <v>46047</v>
      </c>
      <c r="C29" s="17"/>
      <c r="D29" s="265"/>
      <c r="E29" s="274">
        <v>2800</v>
      </c>
      <c r="F29" s="332">
        <v>95.7</v>
      </c>
      <c r="G29" s="17">
        <f t="shared" si="1"/>
        <v>267960</v>
      </c>
      <c r="H29" s="17">
        <v>60</v>
      </c>
      <c r="I29" s="17">
        <v>107.48</v>
      </c>
      <c r="J29" s="17">
        <f t="shared" si="2"/>
        <v>6448.8</v>
      </c>
      <c r="K29" s="17">
        <f t="shared" si="3"/>
        <v>274408.8</v>
      </c>
      <c r="L29" s="17"/>
      <c r="M29" s="41">
        <f t="shared" si="5"/>
        <v>2354581.2029000004</v>
      </c>
      <c r="N29" s="17"/>
    </row>
    <row r="30" spans="1:14">
      <c r="A30" s="26">
        <v>26</v>
      </c>
      <c r="B30" s="27">
        <v>46048</v>
      </c>
      <c r="C30" s="17"/>
      <c r="D30" s="265"/>
      <c r="E30" s="274"/>
      <c r="F30" s="332">
        <v>95.7</v>
      </c>
      <c r="G30" s="17">
        <f t="shared" si="1"/>
        <v>0</v>
      </c>
      <c r="H30" s="17"/>
      <c r="I30" s="17">
        <v>107.48</v>
      </c>
      <c r="J30" s="17">
        <f t="shared" si="2"/>
        <v>0</v>
      </c>
      <c r="K30" s="17">
        <f t="shared" si="3"/>
        <v>0</v>
      </c>
      <c r="L30" s="17"/>
      <c r="M30" s="41">
        <f t="shared" si="5"/>
        <v>2354581.2029000004</v>
      </c>
      <c r="N30" s="17"/>
    </row>
    <row r="31" spans="1:14">
      <c r="A31" s="26">
        <v>27</v>
      </c>
      <c r="B31" s="27">
        <v>46049</v>
      </c>
      <c r="C31" s="17"/>
      <c r="D31" s="265"/>
      <c r="E31" s="274">
        <v>5300</v>
      </c>
      <c r="F31" s="332">
        <v>95.7</v>
      </c>
      <c r="G31" s="17">
        <f t="shared" si="1"/>
        <v>507210</v>
      </c>
      <c r="H31" s="17">
        <v>40</v>
      </c>
      <c r="I31" s="17">
        <v>107.48</v>
      </c>
      <c r="J31" s="17">
        <f t="shared" si="2"/>
        <v>4299.2</v>
      </c>
      <c r="K31" s="17">
        <f t="shared" si="3"/>
        <v>511509.2</v>
      </c>
      <c r="L31" s="17"/>
      <c r="M31" s="41">
        <f t="shared" si="5"/>
        <v>2866090.4029000006</v>
      </c>
      <c r="N31" s="17"/>
    </row>
    <row r="32" spans="1:14">
      <c r="A32" s="26">
        <v>28</v>
      </c>
      <c r="B32" s="27">
        <v>46050</v>
      </c>
      <c r="C32" s="17"/>
      <c r="D32" s="265"/>
      <c r="E32" s="274">
        <v>2700</v>
      </c>
      <c r="F32" s="332">
        <v>95.7</v>
      </c>
      <c r="G32" s="17">
        <f t="shared" si="1"/>
        <v>258390</v>
      </c>
      <c r="H32" s="17">
        <v>60</v>
      </c>
      <c r="I32" s="17">
        <v>107.48</v>
      </c>
      <c r="J32" s="17">
        <f t="shared" si="2"/>
        <v>6448.8</v>
      </c>
      <c r="K32" s="17">
        <f t="shared" si="3"/>
        <v>264838.8</v>
      </c>
      <c r="L32" s="17"/>
      <c r="M32" s="41">
        <f t="shared" si="5"/>
        <v>3130929.2029000004</v>
      </c>
      <c r="N32" s="17"/>
    </row>
    <row r="33" spans="1:14">
      <c r="A33" s="26">
        <v>29</v>
      </c>
      <c r="B33" s="27">
        <v>46051</v>
      </c>
      <c r="C33" s="17"/>
      <c r="D33" s="265"/>
      <c r="E33" s="274">
        <v>5500</v>
      </c>
      <c r="F33" s="332">
        <v>95.7</v>
      </c>
      <c r="G33" s="17">
        <f t="shared" si="1"/>
        <v>526350</v>
      </c>
      <c r="H33" s="17">
        <v>20</v>
      </c>
      <c r="I33" s="17">
        <v>107.48</v>
      </c>
      <c r="J33" s="17">
        <f t="shared" si="2"/>
        <v>2149.6</v>
      </c>
      <c r="K33" s="17">
        <f t="shared" si="3"/>
        <v>528499.6</v>
      </c>
      <c r="L33" s="17"/>
      <c r="M33" s="41">
        <f t="shared" si="5"/>
        <v>3659428.8029000005</v>
      </c>
      <c r="N33" s="17"/>
    </row>
    <row r="34" spans="1:14">
      <c r="A34" s="26">
        <v>30</v>
      </c>
      <c r="B34" s="27">
        <v>46052</v>
      </c>
      <c r="C34" s="17"/>
      <c r="D34" s="265"/>
      <c r="E34" s="274">
        <v>5500</v>
      </c>
      <c r="F34" s="332">
        <v>95.7</v>
      </c>
      <c r="G34" s="17">
        <f t="shared" si="1"/>
        <v>526350</v>
      </c>
      <c r="H34" s="17">
        <v>40</v>
      </c>
      <c r="I34" s="17">
        <v>107.48</v>
      </c>
      <c r="J34" s="17">
        <f t="shared" si="2"/>
        <v>4299.2</v>
      </c>
      <c r="K34" s="17">
        <f t="shared" si="3"/>
        <v>530649.19999999995</v>
      </c>
      <c r="L34" s="17"/>
      <c r="M34" s="41">
        <f t="shared" si="5"/>
        <v>4190078.0029000007</v>
      </c>
      <c r="N34" s="17"/>
    </row>
    <row r="35" spans="1:14">
      <c r="A35" s="26">
        <v>31</v>
      </c>
      <c r="B35" s="27">
        <v>46053</v>
      </c>
      <c r="C35" s="17"/>
      <c r="D35" s="265"/>
      <c r="E35" s="274">
        <v>2500</v>
      </c>
      <c r="F35" s="332">
        <v>95.7</v>
      </c>
      <c r="G35" s="17">
        <f t="shared" si="1"/>
        <v>239250</v>
      </c>
      <c r="H35" s="17">
        <v>60</v>
      </c>
      <c r="I35" s="17">
        <v>107.48</v>
      </c>
      <c r="J35" s="17">
        <f t="shared" si="2"/>
        <v>6448.8</v>
      </c>
      <c r="K35" s="17">
        <f t="shared" si="3"/>
        <v>245698.8</v>
      </c>
      <c r="L35" s="17"/>
      <c r="M35" s="41">
        <f t="shared" si="5"/>
        <v>4435776.8029000005</v>
      </c>
      <c r="N35" s="17"/>
    </row>
    <row r="36" spans="1:14">
      <c r="A36" s="43"/>
      <c r="B36" s="43"/>
      <c r="C36" s="43"/>
      <c r="D36" s="43"/>
      <c r="E36" s="44">
        <f>SUM(E4:E35)</f>
        <v>62644.368999999999</v>
      </c>
      <c r="F36" s="44"/>
      <c r="G36" s="44">
        <f>SUM(G4:G35)</f>
        <v>5995066.1133000003</v>
      </c>
      <c r="H36" s="44">
        <f>SUM(H4:H35)</f>
        <v>816.52</v>
      </c>
      <c r="I36" s="44"/>
      <c r="J36" s="44">
        <f>SUM(J4:J35)</f>
        <v>87759.569600000017</v>
      </c>
      <c r="K36" s="44">
        <f>SUM(K4:K35)</f>
        <v>6082825.6828999994</v>
      </c>
      <c r="L36" s="44">
        <f>SUM(L4:L35)</f>
        <v>5316864.4800000004</v>
      </c>
      <c r="M36" s="44"/>
      <c r="N36" s="44"/>
    </row>
    <row r="37" spans="1:14">
      <c r="K37">
        <v>5383492.6104000006</v>
      </c>
    </row>
    <row r="38" spans="1:14">
      <c r="K38">
        <v>1133100</v>
      </c>
    </row>
    <row r="39" spans="1:14">
      <c r="K39">
        <v>6082825.6828999994</v>
      </c>
    </row>
    <row r="40" spans="1:14">
      <c r="K40">
        <f>SUM(K37:K39)</f>
        <v>12599418.293299999</v>
      </c>
      <c r="M40" s="22"/>
    </row>
  </sheetData>
  <mergeCells count="2">
    <mergeCell ref="A1:N1"/>
    <mergeCell ref="A3:J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62600-625A-4673-A405-708447C74D8E}">
  <sheetPr>
    <tabColor rgb="FF00B050"/>
  </sheetPr>
  <dimension ref="A1:P39"/>
  <sheetViews>
    <sheetView topLeftCell="A3" workbookViewId="0">
      <selection activeCell="F17" sqref="F17"/>
    </sheetView>
  </sheetViews>
  <sheetFormatPr defaultRowHeight="15"/>
  <cols>
    <col min="7" max="7" width="11.85546875" bestFit="1" customWidth="1"/>
    <col min="11" max="12" width="13.5703125" bestFit="1" customWidth="1"/>
    <col min="13" max="13" width="11.42578125" bestFit="1" customWidth="1"/>
    <col min="14" max="14" width="8.7109375" bestFit="1" customWidth="1"/>
  </cols>
  <sheetData>
    <row r="1" spans="1:16" ht="15.75">
      <c r="A1" s="468" t="s">
        <v>197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</row>
    <row r="2" spans="1:16" ht="30.75">
      <c r="A2" s="67" t="s">
        <v>129</v>
      </c>
      <c r="B2" s="86" t="s">
        <v>130</v>
      </c>
      <c r="C2" s="86" t="s">
        <v>131</v>
      </c>
      <c r="D2" s="86" t="s">
        <v>132</v>
      </c>
      <c r="E2" s="86" t="s">
        <v>133</v>
      </c>
      <c r="F2" s="86" t="s">
        <v>134</v>
      </c>
      <c r="G2" s="86" t="s">
        <v>135</v>
      </c>
      <c r="H2" s="86" t="s">
        <v>136</v>
      </c>
      <c r="I2" s="86" t="s">
        <v>134</v>
      </c>
      <c r="J2" s="87" t="s">
        <v>135</v>
      </c>
      <c r="K2" s="127" t="s">
        <v>137</v>
      </c>
      <c r="L2" s="130" t="s">
        <v>138</v>
      </c>
      <c r="M2" s="130" t="s">
        <v>195</v>
      </c>
      <c r="N2" s="128" t="s">
        <v>140</v>
      </c>
      <c r="O2" s="336"/>
      <c r="P2" s="22"/>
    </row>
    <row r="3" spans="1:16">
      <c r="A3" s="470" t="s">
        <v>141</v>
      </c>
      <c r="B3" s="471"/>
      <c r="C3" s="471"/>
      <c r="D3" s="471"/>
      <c r="E3" s="471"/>
      <c r="F3" s="471"/>
      <c r="G3" s="471"/>
      <c r="H3" s="471"/>
      <c r="I3" s="471"/>
      <c r="J3" s="471"/>
      <c r="K3">
        <v>0</v>
      </c>
      <c r="L3" s="233"/>
      <c r="M3">
        <v>0</v>
      </c>
      <c r="N3" s="97"/>
    </row>
    <row r="4" spans="1:16">
      <c r="A4" s="26">
        <v>1</v>
      </c>
      <c r="B4" s="27">
        <v>46023</v>
      </c>
      <c r="C4" s="17"/>
      <c r="D4" s="265"/>
      <c r="E4" s="274"/>
      <c r="F4" s="332"/>
      <c r="G4" s="17">
        <f>E4*F4</f>
        <v>0</v>
      </c>
      <c r="H4" s="17"/>
      <c r="I4" s="17"/>
      <c r="J4" s="17">
        <f>H4*I4</f>
        <v>0</v>
      </c>
      <c r="K4" s="17">
        <f>G4+J4</f>
        <v>0</v>
      </c>
      <c r="L4" s="17"/>
      <c r="M4" s="41">
        <f>M3+K4-L4</f>
        <v>0</v>
      </c>
      <c r="N4" s="17"/>
      <c r="O4" s="41">
        <f t="shared" ref="O4" si="0">O3+M4-N4</f>
        <v>0</v>
      </c>
    </row>
    <row r="5" spans="1:16">
      <c r="A5" s="26">
        <v>2</v>
      </c>
      <c r="B5" s="27">
        <v>46024</v>
      </c>
      <c r="C5" s="17"/>
      <c r="D5" s="265"/>
      <c r="E5" s="328"/>
      <c r="F5" s="275"/>
      <c r="G5" s="17">
        <f t="shared" ref="G5:G34" si="1">E5*F5</f>
        <v>0</v>
      </c>
      <c r="H5" s="17"/>
      <c r="I5" s="17"/>
      <c r="J5" s="17">
        <f>H5*I5</f>
        <v>0</v>
      </c>
      <c r="K5" s="17">
        <f>G5+J5</f>
        <v>0</v>
      </c>
      <c r="L5" s="17"/>
      <c r="M5" s="41">
        <f t="shared" ref="M5:M34" si="2">M4+K5-L5</f>
        <v>0</v>
      </c>
      <c r="N5" s="17"/>
    </row>
    <row r="6" spans="1:16">
      <c r="A6" s="26">
        <v>3</v>
      </c>
      <c r="B6" s="27">
        <v>46025</v>
      </c>
      <c r="C6" s="17"/>
      <c r="D6" s="265"/>
      <c r="E6" s="274"/>
      <c r="F6" s="275"/>
      <c r="G6" s="17">
        <f t="shared" si="1"/>
        <v>0</v>
      </c>
      <c r="H6" s="17"/>
      <c r="I6" s="17"/>
      <c r="J6" s="17">
        <f>H6*I6</f>
        <v>0</v>
      </c>
      <c r="K6" s="17">
        <f>G6+J6</f>
        <v>0</v>
      </c>
      <c r="L6" s="17"/>
      <c r="M6" s="41">
        <f t="shared" si="2"/>
        <v>0</v>
      </c>
      <c r="N6" s="17"/>
    </row>
    <row r="7" spans="1:16">
      <c r="A7" s="26">
        <v>4</v>
      </c>
      <c r="B7" s="27">
        <v>46026</v>
      </c>
      <c r="C7" s="17"/>
      <c r="D7" s="265"/>
      <c r="E7" s="274"/>
      <c r="F7" s="332"/>
      <c r="G7" s="17">
        <f t="shared" si="1"/>
        <v>0</v>
      </c>
      <c r="H7" s="17"/>
      <c r="I7" s="17"/>
      <c r="J7" s="17">
        <f>H7*I7</f>
        <v>0</v>
      </c>
      <c r="K7" s="17">
        <f>G7+J7</f>
        <v>0</v>
      </c>
      <c r="L7" s="17"/>
      <c r="M7" s="41">
        <f t="shared" si="2"/>
        <v>0</v>
      </c>
      <c r="N7" s="17"/>
    </row>
    <row r="8" spans="1:16">
      <c r="A8" s="26">
        <v>5</v>
      </c>
      <c r="B8" s="27">
        <v>46027</v>
      </c>
      <c r="C8" s="17"/>
      <c r="D8" s="265"/>
      <c r="E8" s="274"/>
      <c r="F8" s="275"/>
      <c r="G8" s="17">
        <f t="shared" si="1"/>
        <v>0</v>
      </c>
      <c r="H8" s="17"/>
      <c r="I8" s="17"/>
      <c r="J8" s="17">
        <f>H8*I8</f>
        <v>0</v>
      </c>
      <c r="K8" s="17">
        <f>G8+J8</f>
        <v>0</v>
      </c>
      <c r="L8" s="17"/>
      <c r="M8" s="41">
        <f t="shared" si="2"/>
        <v>0</v>
      </c>
      <c r="N8" s="17"/>
    </row>
    <row r="9" spans="1:16">
      <c r="A9" s="26">
        <v>6</v>
      </c>
      <c r="B9" s="27">
        <v>46028</v>
      </c>
      <c r="C9" s="17"/>
      <c r="D9" s="265"/>
      <c r="E9" s="328"/>
      <c r="F9" s="275"/>
      <c r="G9" s="17">
        <f t="shared" si="1"/>
        <v>0</v>
      </c>
      <c r="H9" s="17"/>
      <c r="I9" s="17"/>
      <c r="J9" s="17">
        <f>H9*I9</f>
        <v>0</v>
      </c>
      <c r="K9" s="17">
        <f>G9+J9</f>
        <v>0</v>
      </c>
      <c r="L9" s="17"/>
      <c r="M9" s="41">
        <f t="shared" si="2"/>
        <v>0</v>
      </c>
      <c r="N9" s="235"/>
    </row>
    <row r="10" spans="1:16">
      <c r="A10" s="26">
        <v>7</v>
      </c>
      <c r="B10" s="27">
        <v>46029</v>
      </c>
      <c r="C10" s="17"/>
      <c r="D10" s="265"/>
      <c r="E10" s="328"/>
      <c r="F10" s="332"/>
      <c r="G10" s="17">
        <f t="shared" si="1"/>
        <v>0</v>
      </c>
      <c r="H10" s="17"/>
      <c r="I10" s="17"/>
      <c r="J10" s="17">
        <f>H10*I10</f>
        <v>0</v>
      </c>
      <c r="K10" s="17">
        <f>G10+J10</f>
        <v>0</v>
      </c>
      <c r="L10" s="17"/>
      <c r="M10" s="41">
        <f t="shared" si="2"/>
        <v>0</v>
      </c>
      <c r="N10" s="17"/>
    </row>
    <row r="11" spans="1:16">
      <c r="A11" s="26">
        <v>8</v>
      </c>
      <c r="B11" s="27">
        <v>46030</v>
      </c>
      <c r="C11" s="17"/>
      <c r="D11" s="265"/>
      <c r="E11" s="274"/>
      <c r="F11" s="332"/>
      <c r="G11" s="17">
        <f t="shared" si="1"/>
        <v>0</v>
      </c>
      <c r="H11" s="17"/>
      <c r="I11" s="17"/>
      <c r="J11" s="17">
        <f>H11*I11</f>
        <v>0</v>
      </c>
      <c r="K11" s="17">
        <f>G11+J11</f>
        <v>0</v>
      </c>
      <c r="L11" s="17"/>
      <c r="M11" s="41">
        <f t="shared" si="2"/>
        <v>0</v>
      </c>
      <c r="N11" s="17"/>
    </row>
    <row r="12" spans="1:16">
      <c r="A12" s="26">
        <v>9</v>
      </c>
      <c r="B12" s="27">
        <v>46031</v>
      </c>
      <c r="C12" s="17"/>
      <c r="D12" s="265"/>
      <c r="E12" s="274"/>
      <c r="F12" s="332"/>
      <c r="G12" s="17">
        <f t="shared" si="1"/>
        <v>0</v>
      </c>
      <c r="H12" s="17"/>
      <c r="I12" s="17"/>
      <c r="J12" s="17">
        <f>H12*I12</f>
        <v>0</v>
      </c>
      <c r="K12" s="17">
        <f>G12+J12</f>
        <v>0</v>
      </c>
      <c r="L12" s="17"/>
      <c r="M12" s="41">
        <f t="shared" si="2"/>
        <v>0</v>
      </c>
      <c r="N12" s="17"/>
    </row>
    <row r="13" spans="1:16">
      <c r="A13" s="26">
        <v>10</v>
      </c>
      <c r="B13" s="27">
        <v>46032</v>
      </c>
      <c r="C13" s="17"/>
      <c r="D13" s="265"/>
      <c r="E13" s="274"/>
      <c r="F13" s="332"/>
      <c r="G13" s="17">
        <f t="shared" si="1"/>
        <v>0</v>
      </c>
      <c r="H13" s="17"/>
      <c r="I13" s="17"/>
      <c r="J13" s="17">
        <f>H13*I13</f>
        <v>0</v>
      </c>
      <c r="K13" s="17">
        <f>G13+J13</f>
        <v>0</v>
      </c>
      <c r="L13" s="17"/>
      <c r="M13" s="41">
        <f t="shared" si="2"/>
        <v>0</v>
      </c>
      <c r="N13" s="17"/>
    </row>
    <row r="14" spans="1:16">
      <c r="A14" s="26">
        <v>11</v>
      </c>
      <c r="B14" s="27">
        <v>46033</v>
      </c>
      <c r="C14" s="17"/>
      <c r="D14" s="265"/>
      <c r="E14" s="274"/>
      <c r="F14" s="332"/>
      <c r="G14" s="17">
        <f t="shared" si="1"/>
        <v>0</v>
      </c>
      <c r="H14" s="17"/>
      <c r="I14" s="17"/>
      <c r="J14" s="17">
        <f>H14*I14</f>
        <v>0</v>
      </c>
      <c r="K14" s="17">
        <f>G14+J14</f>
        <v>0</v>
      </c>
      <c r="L14" s="17"/>
      <c r="M14" s="41">
        <f t="shared" si="2"/>
        <v>0</v>
      </c>
      <c r="N14" s="17"/>
    </row>
    <row r="15" spans="1:16">
      <c r="A15" s="26">
        <v>12</v>
      </c>
      <c r="B15" s="27">
        <v>46034</v>
      </c>
      <c r="C15" s="17"/>
      <c r="D15" s="265"/>
      <c r="E15" s="274"/>
      <c r="F15" s="332"/>
      <c r="G15" s="17">
        <f t="shared" si="1"/>
        <v>0</v>
      </c>
      <c r="H15" s="17"/>
      <c r="I15" s="17"/>
      <c r="J15" s="17">
        <f>H15*I15</f>
        <v>0</v>
      </c>
      <c r="K15" s="17">
        <f>G15+J15</f>
        <v>0</v>
      </c>
      <c r="L15" s="17"/>
      <c r="M15" s="41">
        <f t="shared" si="2"/>
        <v>0</v>
      </c>
      <c r="N15" s="17"/>
    </row>
    <row r="16" spans="1:16">
      <c r="A16" s="26">
        <v>13</v>
      </c>
      <c r="B16" s="27">
        <v>46035</v>
      </c>
      <c r="C16" s="17"/>
      <c r="D16" s="265"/>
      <c r="E16" s="274">
        <v>6000</v>
      </c>
      <c r="F16" s="332">
        <v>94.7</v>
      </c>
      <c r="G16" s="17">
        <f t="shared" si="1"/>
        <v>568200</v>
      </c>
      <c r="H16" s="17"/>
      <c r="I16" s="17"/>
      <c r="J16" s="17">
        <f>H16*I16</f>
        <v>0</v>
      </c>
      <c r="K16" s="17">
        <f>G16+J16</f>
        <v>568200</v>
      </c>
      <c r="L16" s="17"/>
      <c r="M16" s="41">
        <f>M15+K16-L16</f>
        <v>568200</v>
      </c>
      <c r="N16" s="17"/>
    </row>
    <row r="17" spans="1:14">
      <c r="A17" s="26">
        <v>14</v>
      </c>
      <c r="B17" s="27">
        <v>46036</v>
      </c>
      <c r="C17" s="17"/>
      <c r="D17" s="265"/>
      <c r="E17" s="274">
        <v>6000</v>
      </c>
      <c r="F17" s="332">
        <v>94.7</v>
      </c>
      <c r="G17" s="17">
        <f t="shared" si="1"/>
        <v>568200</v>
      </c>
      <c r="H17" s="17"/>
      <c r="I17" s="17"/>
      <c r="J17" s="17">
        <f>H17*I17</f>
        <v>0</v>
      </c>
      <c r="K17" s="17">
        <f>G17+J17</f>
        <v>568200</v>
      </c>
      <c r="L17" s="17"/>
      <c r="M17" s="41">
        <f t="shared" si="2"/>
        <v>1136400</v>
      </c>
      <c r="N17" s="17"/>
    </row>
    <row r="18" spans="1:14">
      <c r="A18" s="26">
        <v>15</v>
      </c>
      <c r="B18" s="27">
        <v>46037</v>
      </c>
      <c r="C18" s="17"/>
      <c r="D18" s="265"/>
      <c r="E18" s="274"/>
      <c r="F18" s="332"/>
      <c r="G18" s="17">
        <f t="shared" si="1"/>
        <v>0</v>
      </c>
      <c r="H18" s="17"/>
      <c r="I18" s="17"/>
      <c r="J18" s="17">
        <f>H18*I18</f>
        <v>0</v>
      </c>
      <c r="K18" s="17">
        <f>G18+J18</f>
        <v>0</v>
      </c>
      <c r="L18" s="17"/>
      <c r="M18" s="41">
        <f t="shared" si="2"/>
        <v>1136400</v>
      </c>
      <c r="N18" s="17"/>
    </row>
    <row r="19" spans="1:14">
      <c r="A19" s="26">
        <v>16</v>
      </c>
      <c r="B19" s="27">
        <v>46038</v>
      </c>
      <c r="C19" s="17"/>
      <c r="D19" s="265"/>
      <c r="E19" s="274"/>
      <c r="F19" s="332"/>
      <c r="G19" s="17">
        <f t="shared" si="1"/>
        <v>0</v>
      </c>
      <c r="H19" s="17"/>
      <c r="I19" s="17"/>
      <c r="J19" s="17">
        <f>H19*I19</f>
        <v>0</v>
      </c>
      <c r="K19" s="17">
        <f>G19+J19</f>
        <v>0</v>
      </c>
      <c r="L19" s="17"/>
      <c r="M19" s="41">
        <f t="shared" si="2"/>
        <v>1136400</v>
      </c>
      <c r="N19" s="17"/>
    </row>
    <row r="20" spans="1:14">
      <c r="A20" s="26">
        <v>17</v>
      </c>
      <c r="B20" s="27">
        <v>46039</v>
      </c>
      <c r="C20" s="17"/>
      <c r="D20" s="265"/>
      <c r="E20" s="274"/>
      <c r="F20" s="332"/>
      <c r="G20" s="17">
        <f t="shared" si="1"/>
        <v>0</v>
      </c>
      <c r="H20" s="17"/>
      <c r="I20" s="17"/>
      <c r="J20" s="17">
        <f>H20*I20</f>
        <v>0</v>
      </c>
      <c r="K20" s="17">
        <f>G20+J20</f>
        <v>0</v>
      </c>
      <c r="L20" s="17"/>
      <c r="M20" s="41">
        <f t="shared" si="2"/>
        <v>1136400</v>
      </c>
      <c r="N20" s="17"/>
    </row>
    <row r="21" spans="1:14">
      <c r="A21" s="26">
        <v>18</v>
      </c>
      <c r="B21" s="27">
        <v>46040</v>
      </c>
      <c r="C21" s="17"/>
      <c r="D21" s="265"/>
      <c r="E21" s="274"/>
      <c r="F21" s="332"/>
      <c r="G21" s="17">
        <f t="shared" si="1"/>
        <v>0</v>
      </c>
      <c r="H21" s="17"/>
      <c r="I21" s="17"/>
      <c r="J21" s="17">
        <f>H21*I21</f>
        <v>0</v>
      </c>
      <c r="K21" s="17">
        <f>G21+J21</f>
        <v>0</v>
      </c>
      <c r="L21" s="17"/>
      <c r="M21" s="41">
        <f t="shared" si="2"/>
        <v>1136400</v>
      </c>
      <c r="N21" s="17"/>
    </row>
    <row r="22" spans="1:14">
      <c r="A22" s="26">
        <v>19</v>
      </c>
      <c r="B22" s="27">
        <v>46041</v>
      </c>
      <c r="C22" s="17"/>
      <c r="D22" s="265"/>
      <c r="E22" s="274"/>
      <c r="F22" s="332"/>
      <c r="G22" s="17">
        <f t="shared" si="1"/>
        <v>0</v>
      </c>
      <c r="H22" s="17"/>
      <c r="I22" s="17"/>
      <c r="J22" s="17">
        <f>H22*I22</f>
        <v>0</v>
      </c>
      <c r="K22" s="17">
        <f>G22+J22</f>
        <v>0</v>
      </c>
      <c r="L22" s="17">
        <v>1016000</v>
      </c>
      <c r="M22" s="41">
        <f t="shared" si="2"/>
        <v>120400</v>
      </c>
      <c r="N22" s="17"/>
    </row>
    <row r="23" spans="1:14">
      <c r="A23" s="26">
        <v>20</v>
      </c>
      <c r="B23" s="27">
        <v>46042</v>
      </c>
      <c r="C23" s="17"/>
      <c r="D23" s="265"/>
      <c r="E23" s="274"/>
      <c r="F23" s="332"/>
      <c r="G23" s="17">
        <f t="shared" si="1"/>
        <v>0</v>
      </c>
      <c r="H23" s="17"/>
      <c r="I23" s="17"/>
      <c r="J23" s="17">
        <f>H23*I23</f>
        <v>0</v>
      </c>
      <c r="K23" s="17">
        <f>G23+J23</f>
        <v>0</v>
      </c>
      <c r="L23" s="17"/>
      <c r="M23" s="41">
        <f t="shared" si="2"/>
        <v>120400</v>
      </c>
      <c r="N23" s="17"/>
    </row>
    <row r="24" spans="1:14">
      <c r="A24" s="26">
        <v>21</v>
      </c>
      <c r="B24" s="27">
        <v>46043</v>
      </c>
      <c r="C24" s="17"/>
      <c r="D24" s="265"/>
      <c r="E24" s="274"/>
      <c r="F24" s="332"/>
      <c r="G24" s="17">
        <f t="shared" si="1"/>
        <v>0</v>
      </c>
      <c r="H24" s="17"/>
      <c r="I24" s="17"/>
      <c r="J24" s="17">
        <f>H24*I24</f>
        <v>0</v>
      </c>
      <c r="K24" s="17">
        <f>G24+J24</f>
        <v>0</v>
      </c>
      <c r="L24" s="17"/>
      <c r="M24" s="41">
        <f t="shared" si="2"/>
        <v>120400</v>
      </c>
      <c r="N24" s="17"/>
    </row>
    <row r="25" spans="1:14">
      <c r="A25" s="26">
        <v>22</v>
      </c>
      <c r="B25" s="27">
        <v>46044</v>
      </c>
      <c r="C25" s="17"/>
      <c r="D25" s="265"/>
      <c r="E25" s="274"/>
      <c r="F25" s="332"/>
      <c r="G25" s="17">
        <f t="shared" si="1"/>
        <v>0</v>
      </c>
      <c r="H25" s="17"/>
      <c r="I25" s="17"/>
      <c r="J25" s="17">
        <f>H25*I25</f>
        <v>0</v>
      </c>
      <c r="K25" s="17">
        <f>G25+J25</f>
        <v>0</v>
      </c>
      <c r="L25" s="17"/>
      <c r="M25" s="41">
        <f t="shared" si="2"/>
        <v>120400</v>
      </c>
      <c r="N25" s="17"/>
    </row>
    <row r="26" spans="1:14">
      <c r="A26" s="26">
        <v>23</v>
      </c>
      <c r="B26" s="27">
        <v>46045</v>
      </c>
      <c r="C26" s="17"/>
      <c r="D26" s="265"/>
      <c r="E26" s="274"/>
      <c r="F26" s="332"/>
      <c r="G26" s="17">
        <f t="shared" si="1"/>
        <v>0</v>
      </c>
      <c r="H26" s="17"/>
      <c r="I26" s="17"/>
      <c r="J26" s="17">
        <f>H26*I26</f>
        <v>0</v>
      </c>
      <c r="K26" s="17">
        <f>G26+J26</f>
        <v>0</v>
      </c>
      <c r="L26" s="17"/>
      <c r="M26" s="41">
        <f t="shared" si="2"/>
        <v>120400</v>
      </c>
      <c r="N26" s="17"/>
    </row>
    <row r="27" spans="1:14">
      <c r="A27" s="26">
        <v>24</v>
      </c>
      <c r="B27" s="27">
        <v>46046</v>
      </c>
      <c r="C27" s="17"/>
      <c r="D27" s="265"/>
      <c r="E27" s="274"/>
      <c r="F27" s="332"/>
      <c r="G27" s="17">
        <f t="shared" si="1"/>
        <v>0</v>
      </c>
      <c r="H27" s="17"/>
      <c r="I27" s="17"/>
      <c r="J27" s="17">
        <f>H27*I27</f>
        <v>0</v>
      </c>
      <c r="K27" s="17">
        <f>G27+J27</f>
        <v>0</v>
      </c>
      <c r="L27" s="17"/>
      <c r="M27" s="41">
        <f t="shared" si="2"/>
        <v>120400</v>
      </c>
      <c r="N27" s="17"/>
    </row>
    <row r="28" spans="1:14">
      <c r="A28" s="26">
        <v>25</v>
      </c>
      <c r="B28" s="27">
        <v>46047</v>
      </c>
      <c r="C28" s="17"/>
      <c r="D28" s="265"/>
      <c r="E28" s="274"/>
      <c r="F28" s="332"/>
      <c r="G28" s="17">
        <f t="shared" si="1"/>
        <v>0</v>
      </c>
      <c r="H28" s="17"/>
      <c r="I28" s="17"/>
      <c r="J28" s="17">
        <f>H28*I28</f>
        <v>0</v>
      </c>
      <c r="K28" s="17">
        <f>G28+J28</f>
        <v>0</v>
      </c>
      <c r="L28" s="17"/>
      <c r="M28" s="41">
        <f t="shared" si="2"/>
        <v>120400</v>
      </c>
      <c r="N28" s="17"/>
    </row>
    <row r="29" spans="1:14">
      <c r="A29" s="26">
        <v>26</v>
      </c>
      <c r="B29" s="27">
        <v>46048</v>
      </c>
      <c r="C29" s="17"/>
      <c r="D29" s="265"/>
      <c r="E29" s="274"/>
      <c r="F29" s="332"/>
      <c r="G29" s="17">
        <f t="shared" si="1"/>
        <v>0</v>
      </c>
      <c r="H29" s="17"/>
      <c r="I29" s="17"/>
      <c r="J29" s="17">
        <f>H29*I29</f>
        <v>0</v>
      </c>
      <c r="K29" s="17">
        <f>G29+J29</f>
        <v>0</v>
      </c>
      <c r="L29" s="17"/>
      <c r="M29" s="41">
        <f t="shared" si="2"/>
        <v>120400</v>
      </c>
      <c r="N29" s="17"/>
    </row>
    <row r="30" spans="1:14">
      <c r="A30" s="26">
        <v>27</v>
      </c>
      <c r="B30" s="27">
        <v>46049</v>
      </c>
      <c r="C30" s="17"/>
      <c r="D30" s="265"/>
      <c r="E30" s="274"/>
      <c r="F30" s="332"/>
      <c r="G30" s="17">
        <f t="shared" si="1"/>
        <v>0</v>
      </c>
      <c r="H30" s="17"/>
      <c r="I30" s="17"/>
      <c r="J30" s="17">
        <f>H30*I30</f>
        <v>0</v>
      </c>
      <c r="K30" s="17">
        <f>G30+J30</f>
        <v>0</v>
      </c>
      <c r="L30" s="17"/>
      <c r="M30" s="41">
        <f t="shared" si="2"/>
        <v>120400</v>
      </c>
      <c r="N30" s="17"/>
    </row>
    <row r="31" spans="1:14">
      <c r="A31" s="26">
        <v>28</v>
      </c>
      <c r="B31" s="27">
        <v>46050</v>
      </c>
      <c r="C31" s="17"/>
      <c r="D31" s="265"/>
      <c r="E31" s="274"/>
      <c r="F31" s="332"/>
      <c r="G31" s="17">
        <f t="shared" si="1"/>
        <v>0</v>
      </c>
      <c r="J31" s="17">
        <f>H31*I31</f>
        <v>0</v>
      </c>
      <c r="K31" s="17">
        <f>G31+J31</f>
        <v>0</v>
      </c>
      <c r="L31" s="17"/>
      <c r="M31" s="41">
        <f t="shared" si="2"/>
        <v>120400</v>
      </c>
      <c r="N31" s="17"/>
    </row>
    <row r="32" spans="1:14">
      <c r="A32" s="26">
        <v>29</v>
      </c>
      <c r="B32" s="27">
        <v>46051</v>
      </c>
      <c r="C32" s="17"/>
      <c r="D32" s="265"/>
      <c r="E32" s="274"/>
      <c r="F32" s="332"/>
      <c r="G32" s="17">
        <f t="shared" si="1"/>
        <v>0</v>
      </c>
      <c r="H32" s="17"/>
      <c r="I32" s="17"/>
      <c r="J32" s="17">
        <f>H32*I32</f>
        <v>0</v>
      </c>
      <c r="K32" s="17">
        <f>G32+J32</f>
        <v>0</v>
      </c>
      <c r="L32" s="17"/>
      <c r="M32" s="41">
        <f t="shared" si="2"/>
        <v>120400</v>
      </c>
      <c r="N32" s="17"/>
    </row>
    <row r="33" spans="1:14">
      <c r="A33" s="26">
        <v>30</v>
      </c>
      <c r="B33" s="27">
        <v>46052</v>
      </c>
      <c r="C33" s="17"/>
      <c r="D33" s="265"/>
      <c r="E33" s="274"/>
      <c r="F33" s="332"/>
      <c r="G33" s="17">
        <f t="shared" si="1"/>
        <v>0</v>
      </c>
      <c r="H33" s="17"/>
      <c r="I33" s="17"/>
      <c r="J33" s="17">
        <f>H33*I33</f>
        <v>0</v>
      </c>
      <c r="K33" s="17">
        <f>G33+J33</f>
        <v>0</v>
      </c>
      <c r="L33" s="17"/>
      <c r="M33" s="41">
        <f t="shared" si="2"/>
        <v>120400</v>
      </c>
      <c r="N33" s="17"/>
    </row>
    <row r="34" spans="1:14">
      <c r="A34" s="26">
        <v>31</v>
      </c>
      <c r="B34" s="27">
        <v>46053</v>
      </c>
      <c r="C34" s="17"/>
      <c r="D34" s="265"/>
      <c r="E34" s="274"/>
      <c r="F34" s="332"/>
      <c r="G34" s="17">
        <f t="shared" si="1"/>
        <v>0</v>
      </c>
      <c r="H34" s="17"/>
      <c r="I34" s="17"/>
      <c r="J34" s="17">
        <f>H34*I34</f>
        <v>0</v>
      </c>
      <c r="K34" s="17">
        <f>G34+J34</f>
        <v>0</v>
      </c>
      <c r="L34" s="17"/>
      <c r="M34" s="41">
        <f t="shared" si="2"/>
        <v>120400</v>
      </c>
      <c r="N34" s="17"/>
    </row>
    <row r="35" spans="1:14">
      <c r="A35" s="43"/>
      <c r="B35" s="43"/>
      <c r="C35" s="43"/>
      <c r="D35" s="43"/>
      <c r="E35" s="44">
        <f>SUM(E4:E34)</f>
        <v>12000</v>
      </c>
      <c r="F35" s="44"/>
      <c r="G35" s="44">
        <f>SUM(G4:G34)</f>
        <v>1136400</v>
      </c>
      <c r="H35" s="44">
        <f>SUM(H4:H34)</f>
        <v>0</v>
      </c>
      <c r="I35" s="44"/>
      <c r="J35" s="44">
        <f>SUM(J4:J34)</f>
        <v>0</v>
      </c>
      <c r="K35" s="44">
        <f>SUM(K4:K34)</f>
        <v>1136400</v>
      </c>
      <c r="L35" s="44">
        <f>SUM(L4:L34)</f>
        <v>1016000</v>
      </c>
      <c r="M35" s="44"/>
      <c r="N35" s="44"/>
    </row>
    <row r="39" spans="1:14">
      <c r="M39" s="22"/>
    </row>
  </sheetData>
  <mergeCells count="2">
    <mergeCell ref="A1:N1"/>
    <mergeCell ref="A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C4AB8-1190-4CA3-8E20-1BC2619602FD}">
  <dimension ref="A1:R44"/>
  <sheetViews>
    <sheetView topLeftCell="A19" workbookViewId="0">
      <selection activeCell="B4" sqref="B4"/>
    </sheetView>
  </sheetViews>
  <sheetFormatPr defaultRowHeight="15"/>
  <cols>
    <col min="2" max="2" width="10.140625" bestFit="1" customWidth="1"/>
    <col min="3" max="3" width="12.140625" customWidth="1"/>
    <col min="4" max="4" width="15.140625" customWidth="1"/>
    <col min="5" max="5" width="10.85546875" customWidth="1"/>
    <col min="7" max="7" width="13.7109375" bestFit="1" customWidth="1"/>
    <col min="11" max="12" width="13.5703125" bestFit="1" customWidth="1"/>
    <col min="13" max="13" width="13.140625" bestFit="1" customWidth="1"/>
    <col min="14" max="14" width="8.42578125" bestFit="1" customWidth="1"/>
  </cols>
  <sheetData>
    <row r="1" spans="1:18" ht="15.75">
      <c r="A1" s="461" t="s">
        <v>16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5"/>
    </row>
    <row r="2" spans="1:18" ht="30.75">
      <c r="A2" s="101" t="s">
        <v>129</v>
      </c>
      <c r="B2" s="102" t="s">
        <v>130</v>
      </c>
      <c r="C2" s="102" t="s">
        <v>131</v>
      </c>
      <c r="D2" s="102" t="s">
        <v>198</v>
      </c>
      <c r="E2" s="261" t="s">
        <v>133</v>
      </c>
      <c r="F2" s="261" t="s">
        <v>134</v>
      </c>
      <c r="G2" s="102" t="s">
        <v>135</v>
      </c>
      <c r="H2" s="102" t="s">
        <v>136</v>
      </c>
      <c r="I2" s="102" t="s">
        <v>134</v>
      </c>
      <c r="J2" s="141" t="s">
        <v>135</v>
      </c>
      <c r="K2" s="103" t="s">
        <v>137</v>
      </c>
      <c r="L2" s="142" t="s">
        <v>138</v>
      </c>
      <c r="M2" s="146" t="s">
        <v>199</v>
      </c>
      <c r="N2" s="104" t="s">
        <v>140</v>
      </c>
      <c r="O2" s="62"/>
    </row>
    <row r="3" spans="1:18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151">
        <v>1183331.5</v>
      </c>
      <c r="N3" s="160"/>
      <c r="O3" s="62"/>
    </row>
    <row r="4" spans="1:18">
      <c r="A4" s="201">
        <v>1</v>
      </c>
      <c r="B4" s="224">
        <v>46023</v>
      </c>
      <c r="C4" s="70"/>
      <c r="D4" s="163"/>
      <c r="E4" s="262">
        <v>1500</v>
      </c>
      <c r="F4" s="262">
        <v>95.43</v>
      </c>
      <c r="G4" s="8">
        <f t="shared" ref="G4:G34" si="0">E4*F4</f>
        <v>143145</v>
      </c>
      <c r="H4" s="68">
        <v>0</v>
      </c>
      <c r="I4" s="69">
        <v>0</v>
      </c>
      <c r="J4" s="8">
        <f>H4*I4</f>
        <v>0</v>
      </c>
      <c r="K4" s="8">
        <f>G4+J4</f>
        <v>143145</v>
      </c>
      <c r="L4" s="71">
        <v>0</v>
      </c>
      <c r="M4" s="71">
        <f>+M3+K4-L4</f>
        <v>1326476.5</v>
      </c>
      <c r="N4" s="8"/>
    </row>
    <row r="5" spans="1:18">
      <c r="A5" s="47">
        <v>2</v>
      </c>
      <c r="B5" s="224">
        <v>46024</v>
      </c>
      <c r="C5" s="70"/>
      <c r="D5" s="163"/>
      <c r="E5" s="262"/>
      <c r="F5" s="262"/>
      <c r="G5" s="8">
        <f t="shared" si="0"/>
        <v>0</v>
      </c>
      <c r="H5" s="68">
        <v>0</v>
      </c>
      <c r="I5" s="69">
        <v>0</v>
      </c>
      <c r="J5" s="8">
        <f t="shared" ref="J5:J34" si="1">H5*I5</f>
        <v>0</v>
      </c>
      <c r="K5" s="8">
        <f t="shared" ref="K5:K34" si="2">G5+J5</f>
        <v>0</v>
      </c>
      <c r="L5" s="71">
        <v>0</v>
      </c>
      <c r="M5" s="71">
        <f t="shared" ref="M5:M8" si="3">+M4+K5-L5</f>
        <v>1326476.5</v>
      </c>
      <c r="N5" s="8"/>
    </row>
    <row r="6" spans="1:18">
      <c r="A6" s="47">
        <v>3</v>
      </c>
      <c r="B6" s="224">
        <v>46025</v>
      </c>
      <c r="C6" s="70"/>
      <c r="D6" s="163"/>
      <c r="E6" s="262">
        <v>1000</v>
      </c>
      <c r="F6" s="262">
        <v>95.43</v>
      </c>
      <c r="G6" s="8">
        <f t="shared" si="0"/>
        <v>95430</v>
      </c>
      <c r="H6" s="68">
        <v>0</v>
      </c>
      <c r="I6" s="69">
        <v>0</v>
      </c>
      <c r="J6" s="8">
        <f t="shared" si="1"/>
        <v>0</v>
      </c>
      <c r="K6" s="8">
        <f t="shared" si="2"/>
        <v>95430</v>
      </c>
      <c r="L6" s="71"/>
      <c r="M6" s="71">
        <f t="shared" si="3"/>
        <v>1421906.5</v>
      </c>
      <c r="N6" s="8"/>
    </row>
    <row r="7" spans="1:18">
      <c r="A7" s="47">
        <v>4</v>
      </c>
      <c r="B7" s="224">
        <v>46026</v>
      </c>
      <c r="C7" s="70"/>
      <c r="D7" s="163"/>
      <c r="E7" s="262"/>
      <c r="F7" s="262"/>
      <c r="G7" s="8">
        <f t="shared" si="0"/>
        <v>0</v>
      </c>
      <c r="H7" s="68">
        <v>0</v>
      </c>
      <c r="I7" s="69">
        <v>0</v>
      </c>
      <c r="J7" s="8">
        <f t="shared" si="1"/>
        <v>0</v>
      </c>
      <c r="K7" s="8">
        <f t="shared" si="2"/>
        <v>0</v>
      </c>
      <c r="L7" s="71"/>
      <c r="M7" s="71">
        <f t="shared" si="3"/>
        <v>1421906.5</v>
      </c>
      <c r="N7" s="8"/>
    </row>
    <row r="8" spans="1:18">
      <c r="A8" s="47">
        <v>5</v>
      </c>
      <c r="B8" s="224">
        <v>46027</v>
      </c>
      <c r="C8" s="70"/>
      <c r="D8" s="163"/>
      <c r="E8" s="262"/>
      <c r="F8" s="262"/>
      <c r="G8" s="8">
        <f t="shared" si="0"/>
        <v>0</v>
      </c>
      <c r="H8" s="68">
        <v>0</v>
      </c>
      <c r="I8" s="69">
        <v>0</v>
      </c>
      <c r="J8" s="8">
        <f t="shared" si="1"/>
        <v>0</v>
      </c>
      <c r="K8" s="8">
        <f t="shared" si="2"/>
        <v>0</v>
      </c>
      <c r="L8" s="71"/>
      <c r="M8" s="71">
        <f t="shared" si="3"/>
        <v>1421906.5</v>
      </c>
      <c r="N8" s="8"/>
      <c r="O8" s="72"/>
      <c r="R8" s="230"/>
    </row>
    <row r="9" spans="1:18">
      <c r="A9" s="47">
        <v>6</v>
      </c>
      <c r="B9" s="224">
        <v>46028</v>
      </c>
      <c r="C9" s="70"/>
      <c r="D9" s="163"/>
      <c r="E9" s="262"/>
      <c r="F9" s="262"/>
      <c r="G9" s="8">
        <f t="shared" si="0"/>
        <v>0</v>
      </c>
      <c r="H9" s="68">
        <v>0</v>
      </c>
      <c r="I9" s="69">
        <v>0</v>
      </c>
      <c r="J9" s="8">
        <f t="shared" si="1"/>
        <v>0</v>
      </c>
      <c r="K9" s="8">
        <f t="shared" si="2"/>
        <v>0</v>
      </c>
      <c r="L9" s="71"/>
      <c r="M9" s="71">
        <f>+M8+K9-L9</f>
        <v>1421906.5</v>
      </c>
      <c r="N9" s="8"/>
      <c r="O9" s="72"/>
    </row>
    <row r="10" spans="1:18">
      <c r="A10" s="47">
        <v>7</v>
      </c>
      <c r="B10" s="224">
        <v>46029</v>
      </c>
      <c r="C10" s="70"/>
      <c r="D10" s="163"/>
      <c r="E10" s="262"/>
      <c r="F10" s="262"/>
      <c r="G10" s="8">
        <f t="shared" si="0"/>
        <v>0</v>
      </c>
      <c r="H10" s="68">
        <v>0</v>
      </c>
      <c r="I10" s="69">
        <v>0</v>
      </c>
      <c r="J10" s="8">
        <f t="shared" si="1"/>
        <v>0</v>
      </c>
      <c r="K10" s="8">
        <f t="shared" si="2"/>
        <v>0</v>
      </c>
      <c r="L10" s="71"/>
      <c r="M10" s="71">
        <f>+M9+K10-L10</f>
        <v>1421906.5</v>
      </c>
      <c r="N10" s="8"/>
      <c r="O10" s="72"/>
    </row>
    <row r="11" spans="1:18">
      <c r="A11" s="47">
        <v>8</v>
      </c>
      <c r="B11" s="224">
        <v>46030</v>
      </c>
      <c r="C11" s="70"/>
      <c r="D11" s="163"/>
      <c r="E11" s="262">
        <v>1000</v>
      </c>
      <c r="F11" s="262">
        <v>95.43</v>
      </c>
      <c r="G11" s="8">
        <f t="shared" si="0"/>
        <v>95430</v>
      </c>
      <c r="H11" s="68">
        <v>0</v>
      </c>
      <c r="I11" s="69">
        <v>0</v>
      </c>
      <c r="J11" s="8">
        <f t="shared" si="1"/>
        <v>0</v>
      </c>
      <c r="K11" s="8">
        <f t="shared" si="2"/>
        <v>95430</v>
      </c>
      <c r="L11" s="71"/>
      <c r="M11" s="71">
        <f>+M10+K11-L11</f>
        <v>1517336.5</v>
      </c>
      <c r="N11" s="8"/>
      <c r="O11" s="72"/>
    </row>
    <row r="12" spans="1:18">
      <c r="A12" s="47">
        <v>9</v>
      </c>
      <c r="B12" s="224">
        <v>46031</v>
      </c>
      <c r="C12" s="70"/>
      <c r="D12" s="163"/>
      <c r="E12" s="262"/>
      <c r="F12" s="262"/>
      <c r="G12" s="8">
        <f t="shared" si="0"/>
        <v>0</v>
      </c>
      <c r="H12" s="68">
        <v>0</v>
      </c>
      <c r="I12" s="69">
        <v>0</v>
      </c>
      <c r="J12" s="8">
        <f t="shared" si="1"/>
        <v>0</v>
      </c>
      <c r="K12" s="8">
        <f t="shared" si="2"/>
        <v>0</v>
      </c>
      <c r="L12" s="71"/>
      <c r="M12" s="71">
        <f t="shared" ref="M12:M34" si="4">+M11+K12-L12</f>
        <v>1517336.5</v>
      </c>
      <c r="N12" s="8"/>
      <c r="O12" s="72"/>
    </row>
    <row r="13" spans="1:18">
      <c r="A13" s="47">
        <v>10</v>
      </c>
      <c r="B13" s="224">
        <v>46032</v>
      </c>
      <c r="C13" s="70"/>
      <c r="D13" s="163"/>
      <c r="E13" s="262"/>
      <c r="F13" s="262"/>
      <c r="G13" s="8">
        <f t="shared" si="0"/>
        <v>0</v>
      </c>
      <c r="H13" s="68">
        <v>0</v>
      </c>
      <c r="I13" s="69">
        <v>0</v>
      </c>
      <c r="J13" s="8">
        <f t="shared" si="1"/>
        <v>0</v>
      </c>
      <c r="K13" s="8">
        <f t="shared" si="2"/>
        <v>0</v>
      </c>
      <c r="L13" s="71"/>
      <c r="M13" s="71">
        <f t="shared" si="4"/>
        <v>1517336.5</v>
      </c>
      <c r="N13" s="8"/>
      <c r="O13" s="72"/>
    </row>
    <row r="14" spans="1:18">
      <c r="A14" s="47">
        <v>11</v>
      </c>
      <c r="B14" s="224">
        <v>46033</v>
      </c>
      <c r="C14" s="70"/>
      <c r="D14" s="163"/>
      <c r="E14" s="262"/>
      <c r="F14" s="262"/>
      <c r="G14" s="8">
        <f t="shared" si="0"/>
        <v>0</v>
      </c>
      <c r="H14" s="68">
        <v>0</v>
      </c>
      <c r="I14" s="69">
        <v>0</v>
      </c>
      <c r="J14" s="8">
        <f t="shared" si="1"/>
        <v>0</v>
      </c>
      <c r="K14" s="8">
        <f t="shared" si="2"/>
        <v>0</v>
      </c>
      <c r="L14" s="71"/>
      <c r="M14" s="71">
        <f t="shared" si="4"/>
        <v>1517336.5</v>
      </c>
      <c r="N14" s="8"/>
      <c r="O14" s="72"/>
    </row>
    <row r="15" spans="1:18">
      <c r="A15" s="47">
        <v>12</v>
      </c>
      <c r="B15" s="224">
        <v>46034</v>
      </c>
      <c r="C15" s="70"/>
      <c r="D15" s="163"/>
      <c r="E15" s="262"/>
      <c r="F15" s="262"/>
      <c r="G15" s="8">
        <f t="shared" si="0"/>
        <v>0</v>
      </c>
      <c r="H15" s="68">
        <v>0</v>
      </c>
      <c r="I15" s="69">
        <v>0</v>
      </c>
      <c r="J15" s="8">
        <f t="shared" si="1"/>
        <v>0</v>
      </c>
      <c r="K15" s="8">
        <f t="shared" si="2"/>
        <v>0</v>
      </c>
      <c r="L15" s="71"/>
      <c r="M15" s="71">
        <f t="shared" si="4"/>
        <v>1517336.5</v>
      </c>
      <c r="N15" s="8"/>
      <c r="O15" s="72"/>
    </row>
    <row r="16" spans="1:18">
      <c r="A16" s="47">
        <v>13</v>
      </c>
      <c r="B16" s="224">
        <v>46035</v>
      </c>
      <c r="C16" s="70"/>
      <c r="D16" s="163"/>
      <c r="E16" s="262"/>
      <c r="F16" s="262"/>
      <c r="G16" s="8">
        <f t="shared" si="0"/>
        <v>0</v>
      </c>
      <c r="H16" s="68">
        <v>0</v>
      </c>
      <c r="I16" s="69">
        <v>0</v>
      </c>
      <c r="J16" s="8">
        <f t="shared" si="1"/>
        <v>0</v>
      </c>
      <c r="K16" s="8">
        <f t="shared" si="2"/>
        <v>0</v>
      </c>
      <c r="L16" s="71">
        <v>1000000</v>
      </c>
      <c r="M16" s="71">
        <f t="shared" si="4"/>
        <v>517336.5</v>
      </c>
      <c r="N16" s="8"/>
      <c r="O16" s="72"/>
    </row>
    <row r="17" spans="1:17">
      <c r="A17" s="47">
        <v>14</v>
      </c>
      <c r="B17" s="224">
        <v>46036</v>
      </c>
      <c r="C17" s="70"/>
      <c r="D17" s="163"/>
      <c r="E17" s="262">
        <v>1000</v>
      </c>
      <c r="F17" s="262">
        <v>95.43</v>
      </c>
      <c r="G17" s="8">
        <f t="shared" si="0"/>
        <v>95430</v>
      </c>
      <c r="H17" s="68">
        <v>0</v>
      </c>
      <c r="I17" s="69">
        <v>0</v>
      </c>
      <c r="J17" s="8">
        <f t="shared" si="1"/>
        <v>0</v>
      </c>
      <c r="K17" s="8">
        <f t="shared" si="2"/>
        <v>95430</v>
      </c>
      <c r="L17" s="71"/>
      <c r="M17" s="71">
        <f t="shared" si="4"/>
        <v>612766.5</v>
      </c>
      <c r="N17" s="8"/>
      <c r="O17" s="72"/>
    </row>
    <row r="18" spans="1:17">
      <c r="A18" s="47">
        <v>15</v>
      </c>
      <c r="B18" s="224">
        <v>46037</v>
      </c>
      <c r="C18" s="70"/>
      <c r="D18" s="163"/>
      <c r="E18" s="262"/>
      <c r="F18" s="262"/>
      <c r="G18" s="8">
        <f t="shared" si="0"/>
        <v>0</v>
      </c>
      <c r="H18" s="68">
        <v>0</v>
      </c>
      <c r="I18" s="69">
        <v>0</v>
      </c>
      <c r="J18" s="8">
        <f t="shared" si="1"/>
        <v>0</v>
      </c>
      <c r="K18" s="8">
        <f t="shared" si="2"/>
        <v>0</v>
      </c>
      <c r="L18" s="71"/>
      <c r="M18" s="71">
        <f t="shared" si="4"/>
        <v>612766.5</v>
      </c>
      <c r="N18" s="187"/>
      <c r="O18" s="72"/>
    </row>
    <row r="19" spans="1:17">
      <c r="A19" s="47">
        <v>16</v>
      </c>
      <c r="B19" s="224">
        <v>46038</v>
      </c>
      <c r="C19" s="70"/>
      <c r="D19" s="163"/>
      <c r="E19" s="262"/>
      <c r="F19" s="262"/>
      <c r="G19" s="8">
        <f t="shared" si="0"/>
        <v>0</v>
      </c>
      <c r="H19" s="68">
        <v>0</v>
      </c>
      <c r="I19" s="69">
        <v>0</v>
      </c>
      <c r="J19" s="8">
        <f t="shared" si="1"/>
        <v>0</v>
      </c>
      <c r="K19" s="8">
        <f t="shared" si="2"/>
        <v>0</v>
      </c>
      <c r="L19" s="71"/>
      <c r="M19" s="71">
        <f t="shared" si="4"/>
        <v>612766.5</v>
      </c>
      <c r="N19" s="287"/>
      <c r="O19" s="72"/>
    </row>
    <row r="20" spans="1:17">
      <c r="A20" s="47">
        <v>17</v>
      </c>
      <c r="B20" s="224">
        <v>46039</v>
      </c>
      <c r="C20" s="70"/>
      <c r="D20" s="163"/>
      <c r="E20" s="262"/>
      <c r="F20" s="262"/>
      <c r="G20" s="8">
        <f t="shared" si="0"/>
        <v>0</v>
      </c>
      <c r="H20" s="68">
        <v>0</v>
      </c>
      <c r="I20" s="69">
        <v>0</v>
      </c>
      <c r="J20" s="8">
        <f t="shared" si="1"/>
        <v>0</v>
      </c>
      <c r="K20" s="8">
        <f t="shared" si="2"/>
        <v>0</v>
      </c>
      <c r="L20" s="71"/>
      <c r="M20" s="71">
        <f t="shared" si="4"/>
        <v>612766.5</v>
      </c>
      <c r="N20" s="19"/>
      <c r="O20" s="72"/>
    </row>
    <row r="21" spans="1:17">
      <c r="A21" s="47">
        <v>18</v>
      </c>
      <c r="B21" s="224">
        <v>46040</v>
      </c>
      <c r="C21" s="70"/>
      <c r="D21" s="163"/>
      <c r="E21" s="262"/>
      <c r="F21" s="262"/>
      <c r="G21" s="8">
        <f t="shared" si="0"/>
        <v>0</v>
      </c>
      <c r="H21" s="68">
        <v>0</v>
      </c>
      <c r="I21" s="69">
        <v>0</v>
      </c>
      <c r="J21" s="8">
        <f t="shared" si="1"/>
        <v>0</v>
      </c>
      <c r="K21" s="8">
        <f t="shared" si="2"/>
        <v>0</v>
      </c>
      <c r="L21" s="71"/>
      <c r="M21" s="71">
        <f t="shared" si="4"/>
        <v>612766.5</v>
      </c>
      <c r="N21" s="8"/>
      <c r="O21" s="72"/>
    </row>
    <row r="22" spans="1:17">
      <c r="A22" s="47">
        <v>19</v>
      </c>
      <c r="B22" s="224">
        <v>46041</v>
      </c>
      <c r="C22" s="70"/>
      <c r="D22" s="163"/>
      <c r="E22" s="262"/>
      <c r="F22" s="262"/>
      <c r="G22" s="8">
        <f t="shared" si="0"/>
        <v>0</v>
      </c>
      <c r="H22" s="68">
        <v>0</v>
      </c>
      <c r="I22" s="69">
        <v>0</v>
      </c>
      <c r="J22" s="8">
        <f t="shared" si="1"/>
        <v>0</v>
      </c>
      <c r="K22" s="8">
        <f t="shared" si="2"/>
        <v>0</v>
      </c>
      <c r="L22" s="71">
        <v>600000</v>
      </c>
      <c r="M22" s="71">
        <f t="shared" si="4"/>
        <v>12766.5</v>
      </c>
      <c r="N22" s="8"/>
      <c r="O22" s="72"/>
      <c r="Q22" s="22"/>
    </row>
    <row r="23" spans="1:17">
      <c r="A23" s="47">
        <v>20</v>
      </c>
      <c r="B23" s="224">
        <v>46042</v>
      </c>
      <c r="C23" s="70"/>
      <c r="D23" s="163"/>
      <c r="E23" s="262"/>
      <c r="F23" s="262"/>
      <c r="G23" s="8">
        <f t="shared" si="0"/>
        <v>0</v>
      </c>
      <c r="H23" s="68">
        <v>0</v>
      </c>
      <c r="I23" s="69">
        <v>0</v>
      </c>
      <c r="J23" s="8">
        <f t="shared" si="1"/>
        <v>0</v>
      </c>
      <c r="K23" s="8">
        <f t="shared" si="2"/>
        <v>0</v>
      </c>
      <c r="L23" s="71"/>
      <c r="M23" s="71">
        <f t="shared" si="4"/>
        <v>12766.5</v>
      </c>
      <c r="N23" s="8"/>
      <c r="O23" s="72"/>
    </row>
    <row r="24" spans="1:17">
      <c r="A24" s="47">
        <v>21</v>
      </c>
      <c r="B24" s="224">
        <v>46043</v>
      </c>
      <c r="C24" s="70"/>
      <c r="D24" s="163"/>
      <c r="E24" s="262"/>
      <c r="F24" s="262"/>
      <c r="G24" s="8">
        <f t="shared" si="0"/>
        <v>0</v>
      </c>
      <c r="H24" s="68">
        <v>0</v>
      </c>
      <c r="I24" s="69">
        <v>0</v>
      </c>
      <c r="J24" s="8">
        <f t="shared" si="1"/>
        <v>0</v>
      </c>
      <c r="K24" s="8">
        <f t="shared" si="2"/>
        <v>0</v>
      </c>
      <c r="L24" s="71"/>
      <c r="M24" s="71">
        <f t="shared" si="4"/>
        <v>12766.5</v>
      </c>
      <c r="N24" s="8"/>
      <c r="O24" s="72"/>
    </row>
    <row r="25" spans="1:17">
      <c r="A25" s="47">
        <v>22</v>
      </c>
      <c r="B25" s="224">
        <v>46044</v>
      </c>
      <c r="C25" s="70"/>
      <c r="D25" s="163"/>
      <c r="E25" s="262"/>
      <c r="F25" s="262"/>
      <c r="G25" s="8">
        <f t="shared" si="0"/>
        <v>0</v>
      </c>
      <c r="H25" s="68">
        <v>0</v>
      </c>
      <c r="I25" s="69">
        <v>0</v>
      </c>
      <c r="J25" s="8">
        <f t="shared" si="1"/>
        <v>0</v>
      </c>
      <c r="K25" s="8">
        <f t="shared" si="2"/>
        <v>0</v>
      </c>
      <c r="L25" s="71"/>
      <c r="M25" s="71">
        <f t="shared" si="4"/>
        <v>12766.5</v>
      </c>
      <c r="N25" s="8"/>
      <c r="O25" s="72"/>
    </row>
    <row r="26" spans="1:17">
      <c r="A26" s="47">
        <v>23</v>
      </c>
      <c r="B26" s="224">
        <v>46045</v>
      </c>
      <c r="C26" s="70"/>
      <c r="D26" s="163"/>
      <c r="E26" s="262"/>
      <c r="F26" s="262"/>
      <c r="G26" s="8">
        <f t="shared" si="0"/>
        <v>0</v>
      </c>
      <c r="H26" s="68">
        <v>0</v>
      </c>
      <c r="I26" s="69">
        <v>0</v>
      </c>
      <c r="J26" s="8">
        <f t="shared" si="1"/>
        <v>0</v>
      </c>
      <c r="K26" s="8">
        <f t="shared" si="2"/>
        <v>0</v>
      </c>
      <c r="L26" s="71"/>
      <c r="M26" s="71">
        <f t="shared" si="4"/>
        <v>12766.5</v>
      </c>
      <c r="N26" s="8"/>
      <c r="O26" s="72"/>
    </row>
    <row r="27" spans="1:17">
      <c r="A27" s="47">
        <v>24</v>
      </c>
      <c r="B27" s="224">
        <v>46046</v>
      </c>
      <c r="C27" s="70"/>
      <c r="D27" s="163"/>
      <c r="E27" s="262">
        <v>1000</v>
      </c>
      <c r="F27" s="262">
        <v>95.43</v>
      </c>
      <c r="G27" s="8">
        <f t="shared" si="0"/>
        <v>95430</v>
      </c>
      <c r="H27" s="68">
        <v>0</v>
      </c>
      <c r="I27" s="69">
        <v>0</v>
      </c>
      <c r="J27" s="8">
        <f t="shared" si="1"/>
        <v>0</v>
      </c>
      <c r="K27" s="8">
        <f t="shared" si="2"/>
        <v>95430</v>
      </c>
      <c r="L27" s="71"/>
      <c r="M27" s="71">
        <f t="shared" si="4"/>
        <v>108196.5</v>
      </c>
      <c r="N27" s="8"/>
      <c r="O27" s="72"/>
    </row>
    <row r="28" spans="1:17">
      <c r="A28" s="226">
        <v>25</v>
      </c>
      <c r="B28" s="224">
        <v>46047</v>
      </c>
      <c r="C28" s="70"/>
      <c r="D28" s="163"/>
      <c r="E28" s="262"/>
      <c r="F28" s="262"/>
      <c r="G28" s="8">
        <f t="shared" si="0"/>
        <v>0</v>
      </c>
      <c r="H28" s="68">
        <v>0</v>
      </c>
      <c r="I28" s="69">
        <v>0</v>
      </c>
      <c r="J28" s="8">
        <f t="shared" si="1"/>
        <v>0</v>
      </c>
      <c r="K28" s="8">
        <f t="shared" si="2"/>
        <v>0</v>
      </c>
      <c r="L28" s="71"/>
      <c r="M28" s="71">
        <f t="shared" si="4"/>
        <v>108196.5</v>
      </c>
      <c r="N28" s="8"/>
      <c r="O28" s="72"/>
    </row>
    <row r="29" spans="1:17">
      <c r="A29" s="226">
        <v>26</v>
      </c>
      <c r="B29" s="224">
        <v>46048</v>
      </c>
      <c r="C29" s="70"/>
      <c r="D29" s="163"/>
      <c r="E29" s="262"/>
      <c r="F29" s="262"/>
      <c r="G29" s="8">
        <f t="shared" si="0"/>
        <v>0</v>
      </c>
      <c r="H29" s="68">
        <v>0</v>
      </c>
      <c r="I29" s="69">
        <v>0</v>
      </c>
      <c r="J29" s="8">
        <f t="shared" si="1"/>
        <v>0</v>
      </c>
      <c r="K29" s="8">
        <f t="shared" si="2"/>
        <v>0</v>
      </c>
      <c r="L29" s="71"/>
      <c r="M29" s="71">
        <f t="shared" si="4"/>
        <v>108196.5</v>
      </c>
      <c r="N29" s="8"/>
      <c r="O29" s="72"/>
    </row>
    <row r="30" spans="1:17">
      <c r="A30" s="226">
        <v>27</v>
      </c>
      <c r="B30" s="224">
        <v>46049</v>
      </c>
      <c r="C30" s="70"/>
      <c r="D30" s="163"/>
      <c r="E30" s="262"/>
      <c r="F30" s="262"/>
      <c r="G30" s="8">
        <f t="shared" si="0"/>
        <v>0</v>
      </c>
      <c r="H30" s="68">
        <v>0</v>
      </c>
      <c r="I30" s="69">
        <v>0</v>
      </c>
      <c r="J30" s="8">
        <f t="shared" si="1"/>
        <v>0</v>
      </c>
      <c r="K30" s="8">
        <f t="shared" si="2"/>
        <v>0</v>
      </c>
      <c r="L30" s="71"/>
      <c r="M30" s="71">
        <f t="shared" si="4"/>
        <v>108196.5</v>
      </c>
      <c r="N30" s="8"/>
      <c r="O30" s="72"/>
    </row>
    <row r="31" spans="1:17">
      <c r="A31" s="226">
        <v>28</v>
      </c>
      <c r="B31" s="224">
        <v>46050</v>
      </c>
      <c r="C31" s="70"/>
      <c r="D31" s="163"/>
      <c r="E31" s="262"/>
      <c r="F31" s="262"/>
      <c r="G31" s="8">
        <f t="shared" si="0"/>
        <v>0</v>
      </c>
      <c r="H31" s="68">
        <v>0</v>
      </c>
      <c r="I31" s="69">
        <v>0</v>
      </c>
      <c r="J31" s="8">
        <f t="shared" si="1"/>
        <v>0</v>
      </c>
      <c r="K31" s="8">
        <f t="shared" si="2"/>
        <v>0</v>
      </c>
      <c r="L31" s="71"/>
      <c r="M31" s="71">
        <f t="shared" si="4"/>
        <v>108196.5</v>
      </c>
      <c r="N31" s="8"/>
      <c r="O31" s="72"/>
    </row>
    <row r="32" spans="1:17">
      <c r="A32" s="227">
        <v>29</v>
      </c>
      <c r="B32" s="224">
        <v>46051</v>
      </c>
      <c r="C32" s="70"/>
      <c r="D32" s="163"/>
      <c r="E32" s="262"/>
      <c r="F32" s="262"/>
      <c r="G32" s="8">
        <f t="shared" si="0"/>
        <v>0</v>
      </c>
      <c r="H32" s="68">
        <v>0</v>
      </c>
      <c r="I32" s="69">
        <v>0</v>
      </c>
      <c r="J32" s="8">
        <f t="shared" si="1"/>
        <v>0</v>
      </c>
      <c r="K32" s="8">
        <f t="shared" si="2"/>
        <v>0</v>
      </c>
      <c r="L32" s="71"/>
      <c r="M32" s="71">
        <f t="shared" si="4"/>
        <v>108196.5</v>
      </c>
      <c r="N32" s="8"/>
      <c r="O32" s="72"/>
    </row>
    <row r="33" spans="1:15">
      <c r="A33" s="227">
        <v>30</v>
      </c>
      <c r="B33" s="224">
        <v>46052</v>
      </c>
      <c r="C33" s="70"/>
      <c r="D33" s="163"/>
      <c r="E33" s="262">
        <v>2000</v>
      </c>
      <c r="F33" s="262">
        <v>95.43</v>
      </c>
      <c r="G33" s="8">
        <f t="shared" si="0"/>
        <v>190860</v>
      </c>
      <c r="H33" s="68">
        <v>0</v>
      </c>
      <c r="I33" s="69">
        <v>0</v>
      </c>
      <c r="J33" s="8">
        <f t="shared" si="1"/>
        <v>0</v>
      </c>
      <c r="K33" s="8">
        <f t="shared" si="2"/>
        <v>190860</v>
      </c>
      <c r="L33" s="71"/>
      <c r="M33" s="71">
        <f t="shared" si="4"/>
        <v>299056.5</v>
      </c>
      <c r="N33" s="8"/>
      <c r="O33" s="72"/>
    </row>
    <row r="34" spans="1:15">
      <c r="A34" s="227">
        <v>31</v>
      </c>
      <c r="B34" s="224">
        <v>46053</v>
      </c>
      <c r="C34" s="70"/>
      <c r="D34" s="163"/>
      <c r="E34" s="262"/>
      <c r="F34" s="262"/>
      <c r="G34" s="8">
        <f t="shared" si="0"/>
        <v>0</v>
      </c>
      <c r="H34" s="68">
        <v>0</v>
      </c>
      <c r="I34" s="69">
        <v>0</v>
      </c>
      <c r="J34" s="8">
        <f t="shared" si="1"/>
        <v>0</v>
      </c>
      <c r="K34" s="8">
        <f t="shared" si="2"/>
        <v>0</v>
      </c>
      <c r="L34" s="71">
        <v>0</v>
      </c>
      <c r="M34" s="71">
        <f t="shared" si="4"/>
        <v>299056.5</v>
      </c>
      <c r="N34" s="8"/>
      <c r="O34" s="72"/>
    </row>
    <row r="35" spans="1:15">
      <c r="A35" s="65"/>
      <c r="B35" s="65"/>
      <c r="C35" s="65"/>
      <c r="D35" s="65"/>
      <c r="E35" s="263">
        <f>SUM(E4:E34)</f>
        <v>7500</v>
      </c>
      <c r="F35" s="263"/>
      <c r="G35" s="66">
        <f>SUM(G4:G34)</f>
        <v>715725</v>
      </c>
      <c r="H35" s="66">
        <f>SUM(H4:H34)</f>
        <v>0</v>
      </c>
      <c r="I35" s="66"/>
      <c r="J35" s="66">
        <f>SUM(J4:J34)</f>
        <v>0</v>
      </c>
      <c r="K35" s="66">
        <f>SUM(K4:K34)</f>
        <v>715725</v>
      </c>
      <c r="L35" s="66">
        <f>SUM(L4:L34)</f>
        <v>1600000</v>
      </c>
      <c r="M35" s="66"/>
      <c r="N35" s="66"/>
      <c r="O35" s="62"/>
    </row>
    <row r="36" spans="1:15">
      <c r="A36" s="75"/>
      <c r="B36" s="76"/>
      <c r="C36" s="75"/>
      <c r="D36" s="75"/>
      <c r="E36" s="77"/>
      <c r="F36" s="77"/>
      <c r="G36" s="77"/>
      <c r="H36" s="77"/>
      <c r="I36" s="77"/>
      <c r="J36" s="78"/>
      <c r="K36" s="78"/>
      <c r="L36" s="78"/>
      <c r="M36" s="78"/>
      <c r="N36" s="77"/>
      <c r="O36" s="72"/>
    </row>
    <row r="37" spans="1:15">
      <c r="O37" s="72"/>
    </row>
    <row r="38" spans="1:15">
      <c r="F38" t="s">
        <v>200</v>
      </c>
      <c r="O38" s="72"/>
    </row>
    <row r="39" spans="1:15">
      <c r="O39" s="72"/>
    </row>
    <row r="40" spans="1:15">
      <c r="O40" s="72"/>
    </row>
    <row r="41" spans="1:15">
      <c r="O41" s="72"/>
    </row>
    <row r="42" spans="1:15">
      <c r="A42" s="72"/>
      <c r="B42" s="62"/>
      <c r="C42" s="72"/>
      <c r="D42" s="72"/>
      <c r="E42" s="72"/>
      <c r="F42" s="72"/>
      <c r="G42" s="79"/>
      <c r="H42" s="72"/>
      <c r="I42" s="72"/>
      <c r="J42" s="62"/>
      <c r="K42" s="62"/>
      <c r="L42" s="62"/>
      <c r="M42" s="62"/>
      <c r="N42" s="72"/>
      <c r="O42" s="77"/>
    </row>
    <row r="43" spans="1:15">
      <c r="A43" s="72"/>
      <c r="B43" s="472"/>
      <c r="C43" s="472"/>
      <c r="D43" s="472"/>
      <c r="E43" s="472"/>
      <c r="F43" s="72"/>
      <c r="G43" s="72"/>
      <c r="H43" s="72"/>
      <c r="I43" s="472"/>
      <c r="J43" s="472"/>
      <c r="K43" s="472"/>
      <c r="L43" s="472"/>
      <c r="M43" s="472"/>
      <c r="N43" s="472"/>
      <c r="O43" s="77"/>
    </row>
    <row r="44" spans="1:15">
      <c r="A44" s="72"/>
      <c r="B44" s="62"/>
      <c r="C44" s="72"/>
      <c r="D44" s="72"/>
      <c r="E44" s="72"/>
      <c r="F44" s="72"/>
      <c r="G44" s="72"/>
      <c r="H44" s="72"/>
      <c r="I44" s="72"/>
      <c r="J44" s="62"/>
      <c r="K44" s="62"/>
      <c r="L44" s="62"/>
      <c r="M44" s="62"/>
      <c r="N44" s="72"/>
      <c r="O44" s="77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FE56-609E-4DFF-AE6F-57743C385CA3}">
  <dimension ref="A1:N35"/>
  <sheetViews>
    <sheetView topLeftCell="A16" workbookViewId="0">
      <selection activeCell="M31" sqref="M31"/>
    </sheetView>
  </sheetViews>
  <sheetFormatPr defaultRowHeight="15"/>
  <cols>
    <col min="2" max="2" width="10.140625" bestFit="1" customWidth="1"/>
  </cols>
  <sheetData>
    <row r="1" spans="1:14" ht="15.75">
      <c r="A1" s="473" t="s">
        <v>19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</row>
    <row r="2" spans="1:14" ht="27">
      <c r="A2" s="106" t="s">
        <v>129</v>
      </c>
      <c r="B2" s="109" t="s">
        <v>130</v>
      </c>
      <c r="C2" s="109" t="s">
        <v>131</v>
      </c>
      <c r="D2" s="109" t="s">
        <v>132</v>
      </c>
      <c r="E2" s="109" t="s">
        <v>133</v>
      </c>
      <c r="F2" s="109" t="s">
        <v>134</v>
      </c>
      <c r="G2" s="109" t="s">
        <v>135</v>
      </c>
      <c r="H2" s="109" t="s">
        <v>136</v>
      </c>
      <c r="I2" s="109" t="s">
        <v>134</v>
      </c>
      <c r="J2" s="109" t="s">
        <v>135</v>
      </c>
      <c r="K2" s="147" t="s">
        <v>137</v>
      </c>
      <c r="L2" s="147" t="s">
        <v>138</v>
      </c>
      <c r="M2" s="147" t="s">
        <v>139</v>
      </c>
      <c r="N2" s="109" t="s">
        <v>140</v>
      </c>
    </row>
    <row r="3" spans="1:14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4"/>
      <c r="K3" s="134"/>
      <c r="L3" s="237"/>
      <c r="M3" s="339">
        <v>5405</v>
      </c>
      <c r="N3" s="238"/>
    </row>
    <row r="4" spans="1:14">
      <c r="A4" s="26">
        <v>1</v>
      </c>
      <c r="B4" s="27">
        <v>46023</v>
      </c>
      <c r="C4" s="110"/>
      <c r="D4" s="35"/>
      <c r="E4" s="37"/>
      <c r="F4" s="37"/>
      <c r="G4" s="37">
        <f>E4*F4</f>
        <v>0</v>
      </c>
      <c r="H4" s="350">
        <v>0</v>
      </c>
      <c r="I4" s="350">
        <v>0</v>
      </c>
      <c r="J4" s="37">
        <f>H4*I4</f>
        <v>0</v>
      </c>
      <c r="K4" s="37">
        <f t="shared" ref="K4:K31" si="0">G4+J4</f>
        <v>0</v>
      </c>
      <c r="L4" s="202">
        <v>0</v>
      </c>
      <c r="M4" s="37">
        <f>M3+K4-L4</f>
        <v>5405</v>
      </c>
      <c r="N4" s="239"/>
    </row>
    <row r="5" spans="1:14">
      <c r="A5" s="26">
        <v>2</v>
      </c>
      <c r="B5" s="27">
        <v>46024</v>
      </c>
      <c r="C5" s="110"/>
      <c r="D5" s="35"/>
      <c r="E5" s="37"/>
      <c r="F5" s="37"/>
      <c r="G5" s="37">
        <f>E5*F5</f>
        <v>0</v>
      </c>
      <c r="H5" s="350">
        <v>50</v>
      </c>
      <c r="I5" s="350">
        <v>108.1</v>
      </c>
      <c r="J5" s="37">
        <f>H5*I5</f>
        <v>5405</v>
      </c>
      <c r="K5" s="37">
        <f t="shared" si="0"/>
        <v>5405</v>
      </c>
      <c r="L5" s="202">
        <v>0</v>
      </c>
      <c r="M5" s="37">
        <f t="shared" ref="M5:M31" si="1">M4+K5-L5</f>
        <v>10810</v>
      </c>
      <c r="N5" s="240"/>
    </row>
    <row r="6" spans="1:14">
      <c r="A6" s="26">
        <v>3</v>
      </c>
      <c r="B6" s="27">
        <v>46025</v>
      </c>
      <c r="C6" s="110"/>
      <c r="D6" s="35"/>
      <c r="E6" s="37"/>
      <c r="F6" s="37"/>
      <c r="G6" s="37">
        <f t="shared" ref="G6:G31" si="2">E6*F6</f>
        <v>0</v>
      </c>
      <c r="H6" s="350">
        <v>0</v>
      </c>
      <c r="I6" s="350">
        <v>0</v>
      </c>
      <c r="J6" s="37">
        <f t="shared" ref="J6:J11" si="3">H6*I6</f>
        <v>0</v>
      </c>
      <c r="K6" s="37">
        <f t="shared" si="0"/>
        <v>0</v>
      </c>
      <c r="L6" s="202">
        <v>0</v>
      </c>
      <c r="M6" s="37">
        <f t="shared" si="1"/>
        <v>10810</v>
      </c>
      <c r="N6" s="241"/>
    </row>
    <row r="7" spans="1:14">
      <c r="A7" s="26">
        <v>4</v>
      </c>
      <c r="B7" s="27">
        <v>46026</v>
      </c>
      <c r="C7" s="110"/>
      <c r="D7" s="35"/>
      <c r="E7" s="37"/>
      <c r="F7" s="37"/>
      <c r="G7" s="37">
        <f t="shared" si="2"/>
        <v>0</v>
      </c>
      <c r="H7" s="350">
        <v>0</v>
      </c>
      <c r="I7" s="350">
        <v>0</v>
      </c>
      <c r="J7" s="37">
        <f t="shared" si="3"/>
        <v>0</v>
      </c>
      <c r="K7" s="37">
        <f t="shared" si="0"/>
        <v>0</v>
      </c>
      <c r="L7" s="202">
        <v>0</v>
      </c>
      <c r="M7" s="37">
        <f>M6+K7-L7</f>
        <v>10810</v>
      </c>
      <c r="N7" s="203"/>
    </row>
    <row r="8" spans="1:14">
      <c r="A8" s="26">
        <v>5</v>
      </c>
      <c r="B8" s="27">
        <v>46027</v>
      </c>
      <c r="C8" s="34"/>
      <c r="D8" s="35"/>
      <c r="E8" s="37"/>
      <c r="F8" s="37"/>
      <c r="G8" s="37">
        <f t="shared" si="2"/>
        <v>0</v>
      </c>
      <c r="H8" s="350">
        <v>0</v>
      </c>
      <c r="I8" s="350">
        <v>0</v>
      </c>
      <c r="J8" s="37">
        <f t="shared" si="3"/>
        <v>0</v>
      </c>
      <c r="K8" s="37">
        <f t="shared" si="0"/>
        <v>0</v>
      </c>
      <c r="L8" s="202">
        <v>0</v>
      </c>
      <c r="M8" s="37">
        <f>M7+K8-L8</f>
        <v>10810</v>
      </c>
      <c r="N8" s="203"/>
    </row>
    <row r="9" spans="1:14">
      <c r="A9" s="26">
        <v>6</v>
      </c>
      <c r="B9" s="27">
        <v>46028</v>
      </c>
      <c r="C9" s="34"/>
      <c r="D9" s="35"/>
      <c r="E9" s="37"/>
      <c r="F9" s="37"/>
      <c r="G9" s="37">
        <f t="shared" si="2"/>
        <v>0</v>
      </c>
      <c r="H9" s="350">
        <v>0</v>
      </c>
      <c r="I9" s="350">
        <v>0</v>
      </c>
      <c r="J9" s="37">
        <f t="shared" si="3"/>
        <v>0</v>
      </c>
      <c r="K9" s="37">
        <f t="shared" si="0"/>
        <v>0</v>
      </c>
      <c r="L9" s="202">
        <v>0</v>
      </c>
      <c r="M9" s="37">
        <f t="shared" si="1"/>
        <v>10810</v>
      </c>
      <c r="N9" s="203"/>
    </row>
    <row r="10" spans="1:14">
      <c r="A10" s="26">
        <v>7</v>
      </c>
      <c r="B10" s="27">
        <v>46029</v>
      </c>
      <c r="C10" s="34"/>
      <c r="D10" s="35"/>
      <c r="E10" s="37"/>
      <c r="F10" s="37"/>
      <c r="G10" s="37">
        <f t="shared" si="2"/>
        <v>0</v>
      </c>
      <c r="H10" s="350">
        <v>0</v>
      </c>
      <c r="I10" s="350">
        <v>0</v>
      </c>
      <c r="J10" s="37">
        <f t="shared" si="3"/>
        <v>0</v>
      </c>
      <c r="K10" s="37">
        <f t="shared" si="0"/>
        <v>0</v>
      </c>
      <c r="L10" s="202">
        <v>0</v>
      </c>
      <c r="M10" s="37">
        <f t="shared" si="1"/>
        <v>10810</v>
      </c>
      <c r="N10" s="203"/>
    </row>
    <row r="11" spans="1:14">
      <c r="A11" s="26">
        <v>8</v>
      </c>
      <c r="B11" s="27">
        <v>46030</v>
      </c>
      <c r="C11" s="34"/>
      <c r="D11" s="35"/>
      <c r="E11" s="37"/>
      <c r="F11" s="37"/>
      <c r="G11" s="37">
        <f t="shared" si="2"/>
        <v>0</v>
      </c>
      <c r="H11" s="350">
        <v>0</v>
      </c>
      <c r="I11" s="350">
        <v>0</v>
      </c>
      <c r="J11" s="37">
        <f t="shared" si="3"/>
        <v>0</v>
      </c>
      <c r="K11" s="37">
        <f t="shared" si="0"/>
        <v>0</v>
      </c>
      <c r="L11" s="202">
        <v>0</v>
      </c>
      <c r="M11" s="37">
        <f t="shared" si="1"/>
        <v>10810</v>
      </c>
      <c r="N11" s="203"/>
    </row>
    <row r="12" spans="1:14">
      <c r="A12" s="26">
        <v>9</v>
      </c>
      <c r="B12" s="27">
        <v>46031</v>
      </c>
      <c r="C12" s="34"/>
      <c r="D12" s="35"/>
      <c r="E12" s="37"/>
      <c r="F12" s="37"/>
      <c r="G12" s="37">
        <f t="shared" si="2"/>
        <v>0</v>
      </c>
      <c r="H12" s="350">
        <v>0</v>
      </c>
      <c r="I12" s="350">
        <v>0</v>
      </c>
      <c r="J12" s="37"/>
      <c r="K12" s="37">
        <f t="shared" si="0"/>
        <v>0</v>
      </c>
      <c r="L12" s="202">
        <v>0</v>
      </c>
      <c r="M12" s="37">
        <f t="shared" si="1"/>
        <v>10810</v>
      </c>
      <c r="N12" s="203"/>
    </row>
    <row r="13" spans="1:14">
      <c r="A13" s="26">
        <v>10</v>
      </c>
      <c r="B13" s="27">
        <v>46032</v>
      </c>
      <c r="C13" s="34"/>
      <c r="D13" s="35"/>
      <c r="E13" s="37"/>
      <c r="F13" s="37"/>
      <c r="G13" s="37">
        <f t="shared" si="2"/>
        <v>0</v>
      </c>
      <c r="H13" s="350">
        <v>0</v>
      </c>
      <c r="I13" s="350">
        <v>0</v>
      </c>
      <c r="J13" s="37"/>
      <c r="K13" s="37">
        <f t="shared" si="0"/>
        <v>0</v>
      </c>
      <c r="L13" s="202">
        <v>0</v>
      </c>
      <c r="M13" s="37">
        <f>M12+K13-L13</f>
        <v>10810</v>
      </c>
      <c r="N13" s="203"/>
    </row>
    <row r="14" spans="1:14">
      <c r="A14" s="26">
        <v>11</v>
      </c>
      <c r="B14" s="27">
        <v>46033</v>
      </c>
      <c r="C14" s="34"/>
      <c r="D14" s="35"/>
      <c r="E14" s="37"/>
      <c r="F14" s="37"/>
      <c r="G14" s="37">
        <f t="shared" si="2"/>
        <v>0</v>
      </c>
      <c r="H14" s="350">
        <v>0</v>
      </c>
      <c r="I14" s="350">
        <v>0</v>
      </c>
      <c r="J14" s="37"/>
      <c r="K14" s="37">
        <f t="shared" si="0"/>
        <v>0</v>
      </c>
      <c r="L14" s="202">
        <v>0</v>
      </c>
      <c r="M14" s="37">
        <f>M13+K14-L14</f>
        <v>10810</v>
      </c>
      <c r="N14" s="203"/>
    </row>
    <row r="15" spans="1:14">
      <c r="A15" s="26">
        <v>12</v>
      </c>
      <c r="B15" s="27">
        <v>46034</v>
      </c>
      <c r="C15" s="34"/>
      <c r="D15" s="35"/>
      <c r="E15" s="37"/>
      <c r="F15" s="37"/>
      <c r="G15" s="37">
        <f t="shared" si="2"/>
        <v>0</v>
      </c>
      <c r="H15" s="350">
        <v>0</v>
      </c>
      <c r="I15" s="350">
        <v>0</v>
      </c>
      <c r="J15" s="37"/>
      <c r="K15" s="37">
        <f t="shared" si="0"/>
        <v>0</v>
      </c>
      <c r="L15" s="202">
        <v>0</v>
      </c>
      <c r="M15" s="37">
        <f t="shared" si="1"/>
        <v>10810</v>
      </c>
      <c r="N15" s="203"/>
    </row>
    <row r="16" spans="1:14">
      <c r="A16" s="26">
        <v>13</v>
      </c>
      <c r="B16" s="27">
        <v>46035</v>
      </c>
      <c r="C16" s="34"/>
      <c r="D16" s="35"/>
      <c r="E16" s="37"/>
      <c r="F16" s="37"/>
      <c r="G16" s="37">
        <f t="shared" si="2"/>
        <v>0</v>
      </c>
      <c r="H16" s="350">
        <v>0</v>
      </c>
      <c r="I16" s="350">
        <v>0</v>
      </c>
      <c r="J16" s="37">
        <f t="shared" ref="J16:J33" si="4">H16*I16</f>
        <v>0</v>
      </c>
      <c r="K16" s="37">
        <f t="shared" si="0"/>
        <v>0</v>
      </c>
      <c r="L16" s="202">
        <v>0</v>
      </c>
      <c r="M16" s="37">
        <f t="shared" si="1"/>
        <v>10810</v>
      </c>
      <c r="N16" s="203"/>
    </row>
    <row r="17" spans="1:14">
      <c r="A17" s="26">
        <v>14</v>
      </c>
      <c r="B17" s="27">
        <v>46036</v>
      </c>
      <c r="C17" s="34"/>
      <c r="D17" s="35"/>
      <c r="E17" s="37"/>
      <c r="F17" s="37"/>
      <c r="G17" s="37">
        <f t="shared" si="2"/>
        <v>0</v>
      </c>
      <c r="H17" s="350">
        <v>0</v>
      </c>
      <c r="I17" s="350">
        <v>0</v>
      </c>
      <c r="J17" s="37">
        <f t="shared" si="4"/>
        <v>0</v>
      </c>
      <c r="K17" s="37">
        <f t="shared" si="0"/>
        <v>0</v>
      </c>
      <c r="L17" s="202">
        <v>0</v>
      </c>
      <c r="M17" s="37">
        <f t="shared" si="1"/>
        <v>10810</v>
      </c>
      <c r="N17" s="203"/>
    </row>
    <row r="18" spans="1:14">
      <c r="A18" s="26">
        <v>15</v>
      </c>
      <c r="B18" s="27">
        <v>46037</v>
      </c>
      <c r="C18" s="173"/>
      <c r="D18" s="35"/>
      <c r="E18" s="37"/>
      <c r="F18" s="37"/>
      <c r="G18" s="37">
        <f t="shared" si="2"/>
        <v>0</v>
      </c>
      <c r="H18" s="350">
        <v>0</v>
      </c>
      <c r="I18" s="350">
        <v>0</v>
      </c>
      <c r="J18" s="37">
        <f t="shared" si="4"/>
        <v>0</v>
      </c>
      <c r="K18" s="37">
        <f t="shared" si="0"/>
        <v>0</v>
      </c>
      <c r="L18" s="202">
        <v>0</v>
      </c>
      <c r="M18" s="37">
        <f t="shared" si="1"/>
        <v>10810</v>
      </c>
      <c r="N18" s="242"/>
    </row>
    <row r="19" spans="1:14">
      <c r="A19" s="26">
        <v>16</v>
      </c>
      <c r="B19" s="27">
        <v>46038</v>
      </c>
      <c r="C19" s="110"/>
      <c r="D19" s="35"/>
      <c r="E19" s="37"/>
      <c r="F19" s="37"/>
      <c r="G19" s="37">
        <f t="shared" si="2"/>
        <v>0</v>
      </c>
      <c r="H19" s="350">
        <v>0</v>
      </c>
      <c r="I19" s="350">
        <v>0</v>
      </c>
      <c r="J19" s="37">
        <f t="shared" si="4"/>
        <v>0</v>
      </c>
      <c r="K19" s="37">
        <f t="shared" si="0"/>
        <v>0</v>
      </c>
      <c r="L19" s="202">
        <v>0</v>
      </c>
      <c r="M19" s="37">
        <f t="shared" si="1"/>
        <v>10810</v>
      </c>
      <c r="N19" s="242"/>
    </row>
    <row r="20" spans="1:14">
      <c r="A20" s="26">
        <v>17</v>
      </c>
      <c r="B20" s="27">
        <v>46039</v>
      </c>
      <c r="C20" s="185"/>
      <c r="D20" s="35"/>
      <c r="E20" s="37"/>
      <c r="F20" s="37"/>
      <c r="G20" s="37">
        <f t="shared" si="2"/>
        <v>0</v>
      </c>
      <c r="H20" s="350">
        <v>50</v>
      </c>
      <c r="I20" s="350">
        <v>108.1</v>
      </c>
      <c r="J20" s="37">
        <f t="shared" si="4"/>
        <v>5405</v>
      </c>
      <c r="K20" s="37">
        <f t="shared" si="0"/>
        <v>5405</v>
      </c>
      <c r="L20" s="202">
        <v>16215</v>
      </c>
      <c r="M20" s="37">
        <f t="shared" si="1"/>
        <v>0</v>
      </c>
      <c r="N20" s="242"/>
    </row>
    <row r="21" spans="1:14">
      <c r="A21" s="26">
        <v>18</v>
      </c>
      <c r="B21" s="27">
        <v>46040</v>
      </c>
      <c r="C21" s="185"/>
      <c r="D21" s="35"/>
      <c r="E21" s="37"/>
      <c r="F21" s="37"/>
      <c r="G21" s="37">
        <f t="shared" si="2"/>
        <v>0</v>
      </c>
      <c r="H21" s="350">
        <v>0</v>
      </c>
      <c r="I21" s="350">
        <v>0</v>
      </c>
      <c r="J21" s="37">
        <f t="shared" si="4"/>
        <v>0</v>
      </c>
      <c r="K21" s="37">
        <f t="shared" si="0"/>
        <v>0</v>
      </c>
      <c r="L21" s="202">
        <v>0</v>
      </c>
      <c r="M21" s="37">
        <f t="shared" si="1"/>
        <v>0</v>
      </c>
      <c r="N21" s="242"/>
    </row>
    <row r="22" spans="1:14">
      <c r="A22" s="26">
        <v>19</v>
      </c>
      <c r="B22" s="27">
        <v>46041</v>
      </c>
      <c r="C22" s="110"/>
      <c r="D22" s="35"/>
      <c r="E22" s="37"/>
      <c r="F22" s="37"/>
      <c r="G22" s="37">
        <f t="shared" si="2"/>
        <v>0</v>
      </c>
      <c r="H22" s="350">
        <v>0</v>
      </c>
      <c r="I22" s="350">
        <v>0</v>
      </c>
      <c r="J22" s="37">
        <f t="shared" si="4"/>
        <v>0</v>
      </c>
      <c r="K22" s="37">
        <f t="shared" si="0"/>
        <v>0</v>
      </c>
      <c r="L22" s="202">
        <v>0</v>
      </c>
      <c r="M22" s="37">
        <f t="shared" si="1"/>
        <v>0</v>
      </c>
      <c r="N22" s="203"/>
    </row>
    <row r="23" spans="1:14">
      <c r="A23" s="26">
        <v>20</v>
      </c>
      <c r="B23" s="27">
        <v>46042</v>
      </c>
      <c r="C23" s="110"/>
      <c r="D23" s="35"/>
      <c r="E23" s="37"/>
      <c r="F23" s="37"/>
      <c r="G23" s="37">
        <f t="shared" si="2"/>
        <v>0</v>
      </c>
      <c r="H23" s="350">
        <v>0</v>
      </c>
      <c r="I23" s="350">
        <v>0</v>
      </c>
      <c r="J23" s="37">
        <f t="shared" si="4"/>
        <v>0</v>
      </c>
      <c r="K23" s="37">
        <f t="shared" si="0"/>
        <v>0</v>
      </c>
      <c r="L23" s="202">
        <v>0</v>
      </c>
      <c r="M23" s="37">
        <f t="shared" si="1"/>
        <v>0</v>
      </c>
      <c r="N23" s="203"/>
    </row>
    <row r="24" spans="1:14">
      <c r="A24" s="26">
        <v>21</v>
      </c>
      <c r="B24" s="27">
        <v>46043</v>
      </c>
      <c r="C24" s="110"/>
      <c r="D24" s="35"/>
      <c r="E24" s="37"/>
      <c r="F24" s="37"/>
      <c r="G24" s="37">
        <f t="shared" si="2"/>
        <v>0</v>
      </c>
      <c r="H24" s="350">
        <v>0</v>
      </c>
      <c r="I24" s="350">
        <v>0</v>
      </c>
      <c r="J24" s="37">
        <f t="shared" si="4"/>
        <v>0</v>
      </c>
      <c r="K24" s="37">
        <f t="shared" si="0"/>
        <v>0</v>
      </c>
      <c r="L24" s="202">
        <v>0</v>
      </c>
      <c r="M24" s="37">
        <f t="shared" si="1"/>
        <v>0</v>
      </c>
      <c r="N24" s="203"/>
    </row>
    <row r="25" spans="1:14">
      <c r="A25" s="26">
        <v>22</v>
      </c>
      <c r="B25" s="27">
        <v>46044</v>
      </c>
      <c r="C25" s="110"/>
      <c r="D25" s="35"/>
      <c r="E25" s="37"/>
      <c r="F25" s="37"/>
      <c r="G25" s="37">
        <f t="shared" si="2"/>
        <v>0</v>
      </c>
      <c r="H25" s="350">
        <v>0</v>
      </c>
      <c r="I25" s="350">
        <v>0</v>
      </c>
      <c r="J25" s="37">
        <f t="shared" si="4"/>
        <v>0</v>
      </c>
      <c r="K25" s="37">
        <f t="shared" si="0"/>
        <v>0</v>
      </c>
      <c r="L25" s="202">
        <v>0</v>
      </c>
      <c r="M25" s="37">
        <f t="shared" si="1"/>
        <v>0</v>
      </c>
      <c r="N25" s="203"/>
    </row>
    <row r="26" spans="1:14">
      <c r="A26" s="26">
        <v>23</v>
      </c>
      <c r="B26" s="27">
        <v>46045</v>
      </c>
      <c r="C26" s="110"/>
      <c r="D26" s="35"/>
      <c r="E26" s="37">
        <v>0</v>
      </c>
      <c r="F26" s="37">
        <v>0</v>
      </c>
      <c r="G26" s="37">
        <f t="shared" si="2"/>
        <v>0</v>
      </c>
      <c r="H26" s="350">
        <v>0</v>
      </c>
      <c r="I26" s="350">
        <v>0</v>
      </c>
      <c r="J26" s="37">
        <f t="shared" si="4"/>
        <v>0</v>
      </c>
      <c r="K26" s="37">
        <f t="shared" si="0"/>
        <v>0</v>
      </c>
      <c r="L26" s="202">
        <v>0</v>
      </c>
      <c r="M26" s="37">
        <f t="shared" si="1"/>
        <v>0</v>
      </c>
      <c r="N26" s="203"/>
    </row>
    <row r="27" spans="1:14">
      <c r="A27" s="26">
        <v>24</v>
      </c>
      <c r="B27" s="27">
        <v>46046</v>
      </c>
      <c r="C27" s="110"/>
      <c r="D27" s="35"/>
      <c r="E27" s="37"/>
      <c r="F27" s="37"/>
      <c r="G27" s="37">
        <f t="shared" si="2"/>
        <v>0</v>
      </c>
      <c r="H27" s="350">
        <v>0</v>
      </c>
      <c r="I27" s="350">
        <v>0</v>
      </c>
      <c r="J27" s="37">
        <f t="shared" si="4"/>
        <v>0</v>
      </c>
      <c r="K27" s="37">
        <f t="shared" si="0"/>
        <v>0</v>
      </c>
      <c r="L27" s="202">
        <v>0</v>
      </c>
      <c r="M27" s="37">
        <f t="shared" si="1"/>
        <v>0</v>
      </c>
      <c r="N27" s="203"/>
    </row>
    <row r="28" spans="1:14">
      <c r="A28" s="26">
        <v>25</v>
      </c>
      <c r="B28" s="27">
        <v>46047</v>
      </c>
      <c r="C28" s="110"/>
      <c r="D28" s="35"/>
      <c r="E28" s="37"/>
      <c r="F28" s="37"/>
      <c r="G28" s="37">
        <f t="shared" si="2"/>
        <v>0</v>
      </c>
      <c r="H28" s="350">
        <v>0</v>
      </c>
      <c r="I28" s="350">
        <v>0</v>
      </c>
      <c r="J28" s="37">
        <f t="shared" si="4"/>
        <v>0</v>
      </c>
      <c r="K28" s="37">
        <f t="shared" si="0"/>
        <v>0</v>
      </c>
      <c r="L28" s="202">
        <v>0</v>
      </c>
      <c r="M28" s="37">
        <f t="shared" si="1"/>
        <v>0</v>
      </c>
      <c r="N28" s="203"/>
    </row>
    <row r="29" spans="1:14">
      <c r="A29" s="26">
        <v>26</v>
      </c>
      <c r="B29" s="27">
        <v>46048</v>
      </c>
      <c r="C29" s="110"/>
      <c r="D29" s="35"/>
      <c r="E29" s="37"/>
      <c r="F29" s="37"/>
      <c r="G29" s="37">
        <f t="shared" si="2"/>
        <v>0</v>
      </c>
      <c r="H29" s="350">
        <v>0</v>
      </c>
      <c r="I29" s="350">
        <v>0</v>
      </c>
      <c r="J29" s="37">
        <f t="shared" si="4"/>
        <v>0</v>
      </c>
      <c r="K29" s="37">
        <f t="shared" si="0"/>
        <v>0</v>
      </c>
      <c r="L29" s="202">
        <v>0</v>
      </c>
      <c r="M29" s="37">
        <f t="shared" si="1"/>
        <v>0</v>
      </c>
      <c r="N29" s="203"/>
    </row>
    <row r="30" spans="1:14">
      <c r="A30" s="26">
        <v>27</v>
      </c>
      <c r="B30" s="27">
        <v>46049</v>
      </c>
      <c r="C30" s="110"/>
      <c r="D30" s="35"/>
      <c r="E30" s="37"/>
      <c r="F30" s="37"/>
      <c r="G30" s="37">
        <f t="shared" si="2"/>
        <v>0</v>
      </c>
      <c r="H30" s="350">
        <v>0</v>
      </c>
      <c r="I30" s="350">
        <v>0</v>
      </c>
      <c r="J30" s="37">
        <f t="shared" si="4"/>
        <v>0</v>
      </c>
      <c r="K30" s="37">
        <f t="shared" si="0"/>
        <v>0</v>
      </c>
      <c r="L30" s="202">
        <v>0</v>
      </c>
      <c r="M30" s="37">
        <f>M29+K30-L30</f>
        <v>0</v>
      </c>
      <c r="N30" s="203"/>
    </row>
    <row r="31" spans="1:14">
      <c r="A31" s="26">
        <v>28</v>
      </c>
      <c r="B31" s="27">
        <v>46050</v>
      </c>
      <c r="C31" s="110"/>
      <c r="D31" s="35"/>
      <c r="E31" s="37"/>
      <c r="F31" s="37"/>
      <c r="G31" s="37">
        <f t="shared" si="2"/>
        <v>0</v>
      </c>
      <c r="H31" s="17">
        <v>50</v>
      </c>
      <c r="I31" s="17">
        <v>108.1</v>
      </c>
      <c r="J31" s="37">
        <f t="shared" si="4"/>
        <v>5405</v>
      </c>
      <c r="K31" s="37">
        <f t="shared" si="0"/>
        <v>5405</v>
      </c>
      <c r="L31" s="202"/>
      <c r="M31" s="37">
        <f t="shared" si="1"/>
        <v>5405</v>
      </c>
      <c r="N31" s="203"/>
    </row>
    <row r="32" spans="1:14">
      <c r="A32" s="26">
        <v>28</v>
      </c>
      <c r="B32" s="27">
        <v>46051</v>
      </c>
      <c r="C32" s="110"/>
      <c r="D32" s="35"/>
      <c r="E32" s="37"/>
      <c r="F32" s="37"/>
      <c r="G32" s="37">
        <f t="shared" ref="G32:G34" si="5">E32*F32</f>
        <v>0</v>
      </c>
      <c r="H32" s="350"/>
      <c r="I32" s="350"/>
      <c r="J32" s="37">
        <f t="shared" si="4"/>
        <v>0</v>
      </c>
      <c r="K32" s="37">
        <f t="shared" ref="K32:K34" si="6">G32+J32</f>
        <v>0</v>
      </c>
      <c r="L32" s="202"/>
      <c r="M32" s="37">
        <f t="shared" ref="M32:M34" si="7">M31+K32-L32</f>
        <v>5405</v>
      </c>
      <c r="N32" s="203"/>
    </row>
    <row r="33" spans="1:14">
      <c r="A33" s="26">
        <v>28</v>
      </c>
      <c r="B33" s="27">
        <v>46052</v>
      </c>
      <c r="C33" s="110"/>
      <c r="D33" s="35"/>
      <c r="E33" s="37"/>
      <c r="F33" s="37"/>
      <c r="G33" s="37">
        <f t="shared" si="5"/>
        <v>0</v>
      </c>
      <c r="H33" s="350"/>
      <c r="I33" s="350"/>
      <c r="J33" s="37">
        <f t="shared" si="4"/>
        <v>0</v>
      </c>
      <c r="K33" s="37">
        <f t="shared" si="6"/>
        <v>0</v>
      </c>
      <c r="L33" s="202"/>
      <c r="M33" s="37">
        <f t="shared" si="7"/>
        <v>5405</v>
      </c>
      <c r="N33" s="203"/>
    </row>
    <row r="34" spans="1:14">
      <c r="A34" s="26">
        <v>28</v>
      </c>
      <c r="B34" s="27">
        <v>46053</v>
      </c>
      <c r="C34" s="110"/>
      <c r="D34" s="35"/>
      <c r="E34" s="37"/>
      <c r="F34" s="37"/>
      <c r="G34" s="37">
        <f t="shared" si="5"/>
        <v>0</v>
      </c>
      <c r="H34" s="350"/>
      <c r="I34" s="350"/>
      <c r="J34" s="37">
        <f t="shared" ref="J32:J34" si="8">H34*I34</f>
        <v>0</v>
      </c>
      <c r="K34" s="37">
        <f t="shared" si="6"/>
        <v>0</v>
      </c>
      <c r="L34" s="202"/>
      <c r="M34" s="37">
        <f t="shared" si="7"/>
        <v>5405</v>
      </c>
      <c r="N34" s="203"/>
    </row>
    <row r="35" spans="1:14">
      <c r="A35" s="65"/>
      <c r="B35" s="65"/>
      <c r="C35" s="65"/>
      <c r="D35" s="65"/>
      <c r="E35" s="263">
        <f>SUM(E4:E34)</f>
        <v>0</v>
      </c>
      <c r="F35" s="263"/>
      <c r="G35" s="66">
        <f>SUM(G4:G34)</f>
        <v>0</v>
      </c>
      <c r="H35" s="66">
        <f>SUM(H4:H34)</f>
        <v>150</v>
      </c>
      <c r="I35" s="66"/>
      <c r="J35" s="66">
        <f>SUM(J4:J34)</f>
        <v>16215</v>
      </c>
      <c r="K35" s="66">
        <f>SUM(K4:K34)</f>
        <v>16215</v>
      </c>
      <c r="L35" s="66">
        <f>SUM(L4:L34)</f>
        <v>16215</v>
      </c>
      <c r="M35" s="66"/>
      <c r="N35" s="66"/>
    </row>
  </sheetData>
  <mergeCells count="2">
    <mergeCell ref="A1:N1"/>
    <mergeCell ref="A3:J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07CF9-90F8-4EA7-A54C-C64C8019A5D6}">
  <dimension ref="A1:R44"/>
  <sheetViews>
    <sheetView topLeftCell="A20" workbookViewId="0">
      <selection activeCell="P35" sqref="P35"/>
    </sheetView>
  </sheetViews>
  <sheetFormatPr defaultRowHeight="15"/>
  <cols>
    <col min="5" max="5" width="10.85546875" bestFit="1" customWidth="1"/>
    <col min="7" max="7" width="13.7109375" bestFit="1" customWidth="1"/>
    <col min="9" max="9" width="7.140625" bestFit="1" customWidth="1"/>
    <col min="11" max="12" width="13.5703125" bestFit="1" customWidth="1"/>
    <col min="13" max="13" width="11.5703125" bestFit="1" customWidth="1"/>
    <col min="14" max="14" width="10.7109375" bestFit="1" customWidth="1"/>
  </cols>
  <sheetData>
    <row r="1" spans="1:18" ht="15.75">
      <c r="A1" s="461" t="s">
        <v>23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5"/>
    </row>
    <row r="2" spans="1:18" ht="45">
      <c r="A2" s="101" t="s">
        <v>129</v>
      </c>
      <c r="B2" s="102" t="s">
        <v>130</v>
      </c>
      <c r="C2" s="102" t="s">
        <v>131</v>
      </c>
      <c r="D2" s="102" t="s">
        <v>198</v>
      </c>
      <c r="E2" s="261" t="s">
        <v>133</v>
      </c>
      <c r="F2" s="261" t="s">
        <v>134</v>
      </c>
      <c r="G2" s="102" t="s">
        <v>135</v>
      </c>
      <c r="H2" s="102" t="s">
        <v>136</v>
      </c>
      <c r="I2" s="102" t="s">
        <v>134</v>
      </c>
      <c r="J2" s="141" t="s">
        <v>135</v>
      </c>
      <c r="K2" s="103" t="s">
        <v>137</v>
      </c>
      <c r="L2" s="142" t="s">
        <v>138</v>
      </c>
      <c r="M2" s="146" t="s">
        <v>199</v>
      </c>
      <c r="N2" s="104" t="s">
        <v>140</v>
      </c>
      <c r="O2" s="62"/>
    </row>
    <row r="3" spans="1:18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62">
        <v>5026.3109999998924</v>
      </c>
      <c r="N3" s="160"/>
      <c r="O3" s="62">
        <v>121213.36599999985</v>
      </c>
    </row>
    <row r="4" spans="1:18">
      <c r="A4" s="201">
        <v>1</v>
      </c>
      <c r="B4" s="224">
        <v>46023</v>
      </c>
      <c r="C4" s="70"/>
      <c r="D4" s="349"/>
      <c r="E4" s="273">
        <v>35</v>
      </c>
      <c r="F4" s="340">
        <v>97.1</v>
      </c>
      <c r="G4" s="8">
        <f t="shared" ref="G4" si="0">E4*F4</f>
        <v>3398.5</v>
      </c>
      <c r="H4" s="68"/>
      <c r="I4" s="308"/>
      <c r="J4" s="8">
        <f>H4*I4</f>
        <v>0</v>
      </c>
      <c r="K4" s="8">
        <f>G4+J4</f>
        <v>3398.5</v>
      </c>
      <c r="L4" s="71"/>
      <c r="M4" s="71">
        <f>+M3+K4-L4</f>
        <v>8424.8109999998924</v>
      </c>
      <c r="N4" s="8"/>
    </row>
    <row r="5" spans="1:18">
      <c r="A5" s="47">
        <v>2</v>
      </c>
      <c r="B5" s="224">
        <v>46024</v>
      </c>
      <c r="C5" s="70"/>
      <c r="D5" s="349"/>
      <c r="E5" s="273">
        <v>0</v>
      </c>
      <c r="F5" s="340">
        <v>0</v>
      </c>
      <c r="G5" s="8">
        <f t="shared" ref="G5:G33" si="1">E5*F5</f>
        <v>0</v>
      </c>
      <c r="H5" s="68">
        <v>5</v>
      </c>
      <c r="I5" s="308">
        <v>108.83</v>
      </c>
      <c r="J5" s="8">
        <f t="shared" ref="J5:J34" si="2">H5*I5</f>
        <v>544.15</v>
      </c>
      <c r="K5" s="8">
        <f t="shared" ref="K5:K34" si="3">G5+J5</f>
        <v>544.15</v>
      </c>
      <c r="L5" s="71"/>
      <c r="M5" s="71">
        <f t="shared" ref="M5:M18" si="4">+M4+K5-L5</f>
        <v>8968.960999999892</v>
      </c>
      <c r="N5" s="8"/>
    </row>
    <row r="6" spans="1:18">
      <c r="A6" s="47">
        <v>3</v>
      </c>
      <c r="B6" s="224">
        <v>46025</v>
      </c>
      <c r="C6" s="70"/>
      <c r="D6" s="349"/>
      <c r="E6" s="273">
        <v>0</v>
      </c>
      <c r="F6" s="340">
        <v>0</v>
      </c>
      <c r="G6" s="8">
        <f t="shared" si="1"/>
        <v>0</v>
      </c>
      <c r="H6" s="68"/>
      <c r="I6" s="308"/>
      <c r="J6" s="8">
        <f t="shared" si="2"/>
        <v>0</v>
      </c>
      <c r="K6" s="8">
        <f t="shared" si="3"/>
        <v>0</v>
      </c>
      <c r="L6" s="71"/>
      <c r="M6" s="71">
        <f t="shared" si="4"/>
        <v>8968.960999999892</v>
      </c>
      <c r="N6" s="8"/>
    </row>
    <row r="7" spans="1:18">
      <c r="A7" s="47">
        <v>4</v>
      </c>
      <c r="B7" s="224">
        <v>46026</v>
      </c>
      <c r="C7" s="70"/>
      <c r="D7" s="349"/>
      <c r="E7" s="273">
        <v>0</v>
      </c>
      <c r="F7" s="340">
        <v>0</v>
      </c>
      <c r="G7" s="8">
        <f t="shared" si="1"/>
        <v>0</v>
      </c>
      <c r="H7" s="68">
        <v>5</v>
      </c>
      <c r="I7" s="308">
        <v>108.83</v>
      </c>
      <c r="J7" s="8">
        <f t="shared" si="2"/>
        <v>544.15</v>
      </c>
      <c r="K7" s="8">
        <f t="shared" si="3"/>
        <v>544.15</v>
      </c>
      <c r="L7" s="71"/>
      <c r="M7" s="71">
        <f t="shared" si="4"/>
        <v>9513.1109999998916</v>
      </c>
      <c r="N7" s="8"/>
    </row>
    <row r="8" spans="1:18">
      <c r="A8" s="47">
        <v>5</v>
      </c>
      <c r="B8" s="224">
        <v>46027</v>
      </c>
      <c r="C8" s="70"/>
      <c r="D8" s="349"/>
      <c r="E8" s="273">
        <v>0</v>
      </c>
      <c r="F8" s="340">
        <v>0</v>
      </c>
      <c r="G8" s="8">
        <f t="shared" si="1"/>
        <v>0</v>
      </c>
      <c r="H8" s="68"/>
      <c r="I8" s="308"/>
      <c r="J8" s="8">
        <f t="shared" si="2"/>
        <v>0</v>
      </c>
      <c r="K8" s="8">
        <f t="shared" si="3"/>
        <v>0</v>
      </c>
      <c r="L8" s="71"/>
      <c r="M8" s="71">
        <f t="shared" si="4"/>
        <v>9513.1109999998916</v>
      </c>
      <c r="N8" s="8"/>
      <c r="O8" s="72"/>
      <c r="R8" s="230"/>
    </row>
    <row r="9" spans="1:18">
      <c r="A9" s="47">
        <v>6</v>
      </c>
      <c r="B9" s="224">
        <v>46028</v>
      </c>
      <c r="C9" s="70"/>
      <c r="D9" s="349"/>
      <c r="E9" s="273">
        <v>0</v>
      </c>
      <c r="F9" s="340">
        <v>0</v>
      </c>
      <c r="G9" s="8">
        <f t="shared" si="1"/>
        <v>0</v>
      </c>
      <c r="H9" s="68"/>
      <c r="I9" s="308"/>
      <c r="J9" s="8">
        <f t="shared" si="2"/>
        <v>0</v>
      </c>
      <c r="K9" s="8">
        <f t="shared" si="3"/>
        <v>0</v>
      </c>
      <c r="L9" s="71"/>
      <c r="M9" s="71">
        <f t="shared" si="4"/>
        <v>9513.1109999998916</v>
      </c>
      <c r="N9" s="8"/>
      <c r="O9" s="72"/>
    </row>
    <row r="10" spans="1:18">
      <c r="A10" s="47">
        <v>7</v>
      </c>
      <c r="B10" s="224">
        <v>46029</v>
      </c>
      <c r="C10" s="70"/>
      <c r="D10" s="349"/>
      <c r="E10" s="273">
        <v>0</v>
      </c>
      <c r="F10" s="340">
        <v>0</v>
      </c>
      <c r="G10" s="8">
        <f t="shared" si="1"/>
        <v>0</v>
      </c>
      <c r="H10" s="68"/>
      <c r="I10" s="308"/>
      <c r="J10" s="8">
        <f t="shared" si="2"/>
        <v>0</v>
      </c>
      <c r="K10" s="8">
        <f t="shared" si="3"/>
        <v>0</v>
      </c>
      <c r="L10" s="71"/>
      <c r="M10" s="71">
        <f t="shared" si="4"/>
        <v>9513.1109999998916</v>
      </c>
      <c r="N10" s="8"/>
      <c r="O10" s="72"/>
    </row>
    <row r="11" spans="1:18">
      <c r="A11" s="47">
        <v>8</v>
      </c>
      <c r="B11" s="224">
        <v>46030</v>
      </c>
      <c r="C11" s="70"/>
      <c r="D11" s="349"/>
      <c r="E11" s="273">
        <v>20</v>
      </c>
      <c r="F11" s="340">
        <v>97.1</v>
      </c>
      <c r="G11" s="8">
        <f t="shared" si="1"/>
        <v>1942</v>
      </c>
      <c r="H11" s="68"/>
      <c r="I11" s="308"/>
      <c r="J11" s="8">
        <f t="shared" si="2"/>
        <v>0</v>
      </c>
      <c r="K11" s="8">
        <f t="shared" si="3"/>
        <v>1942</v>
      </c>
      <c r="L11" s="71"/>
      <c r="M11" s="71">
        <f t="shared" si="4"/>
        <v>11455.110999999892</v>
      </c>
      <c r="N11" s="8"/>
      <c r="O11" s="72"/>
    </row>
    <row r="12" spans="1:18">
      <c r="A12" s="47">
        <v>9</v>
      </c>
      <c r="B12" s="224">
        <v>46031</v>
      </c>
      <c r="C12" s="70"/>
      <c r="D12" s="349"/>
      <c r="E12" s="273">
        <v>0</v>
      </c>
      <c r="F12" s="340">
        <v>0</v>
      </c>
      <c r="G12" s="8">
        <f t="shared" si="1"/>
        <v>0</v>
      </c>
      <c r="H12" s="68">
        <v>5</v>
      </c>
      <c r="I12" s="308">
        <v>108.83</v>
      </c>
      <c r="J12" s="8">
        <f t="shared" si="2"/>
        <v>544.15</v>
      </c>
      <c r="K12" s="8">
        <f t="shared" si="3"/>
        <v>544.15</v>
      </c>
      <c r="L12" s="71"/>
      <c r="M12" s="71">
        <f t="shared" si="4"/>
        <v>11999.260999999891</v>
      </c>
      <c r="N12" s="8"/>
      <c r="O12" s="72"/>
    </row>
    <row r="13" spans="1:18">
      <c r="A13" s="47">
        <v>10</v>
      </c>
      <c r="B13" s="224">
        <v>46032</v>
      </c>
      <c r="C13" s="70"/>
      <c r="D13" s="349"/>
      <c r="E13" s="273">
        <v>0</v>
      </c>
      <c r="F13" s="340">
        <v>0</v>
      </c>
      <c r="G13" s="8">
        <f t="shared" si="1"/>
        <v>0</v>
      </c>
      <c r="H13" s="68"/>
      <c r="I13" s="308"/>
      <c r="J13" s="8">
        <f t="shared" si="2"/>
        <v>0</v>
      </c>
      <c r="K13" s="8">
        <f t="shared" si="3"/>
        <v>0</v>
      </c>
      <c r="L13" s="71"/>
      <c r="M13" s="71">
        <f t="shared" si="4"/>
        <v>11999.260999999891</v>
      </c>
      <c r="N13" s="8"/>
      <c r="O13" s="72"/>
    </row>
    <row r="14" spans="1:18">
      <c r="A14" s="47">
        <v>11</v>
      </c>
      <c r="B14" s="224">
        <v>46033</v>
      </c>
      <c r="C14" s="70"/>
      <c r="D14" s="349"/>
      <c r="E14" s="273">
        <v>0</v>
      </c>
      <c r="F14" s="340">
        <v>0</v>
      </c>
      <c r="G14" s="8">
        <f t="shared" si="1"/>
        <v>0</v>
      </c>
      <c r="H14" s="68"/>
      <c r="I14" s="308"/>
      <c r="J14" s="8">
        <f t="shared" si="2"/>
        <v>0</v>
      </c>
      <c r="K14" s="8">
        <f t="shared" si="3"/>
        <v>0</v>
      </c>
      <c r="L14" s="71"/>
      <c r="M14" s="71">
        <f t="shared" si="4"/>
        <v>11999.260999999891</v>
      </c>
      <c r="N14" s="8"/>
      <c r="O14" s="72"/>
    </row>
    <row r="15" spans="1:18">
      <c r="A15" s="47">
        <v>12</v>
      </c>
      <c r="B15" s="224">
        <v>46034</v>
      </c>
      <c r="C15" s="70"/>
      <c r="D15" s="349"/>
      <c r="E15" s="273">
        <v>0</v>
      </c>
      <c r="F15" s="340">
        <v>0</v>
      </c>
      <c r="G15" s="8">
        <f t="shared" si="1"/>
        <v>0</v>
      </c>
      <c r="H15" s="68"/>
      <c r="I15" s="308"/>
      <c r="J15" s="8">
        <f t="shared" si="2"/>
        <v>0</v>
      </c>
      <c r="K15" s="8">
        <f t="shared" si="3"/>
        <v>0</v>
      </c>
      <c r="L15" s="71"/>
      <c r="M15" s="71">
        <f t="shared" si="4"/>
        <v>11999.260999999891</v>
      </c>
      <c r="N15" s="8"/>
      <c r="O15" s="72"/>
    </row>
    <row r="16" spans="1:18">
      <c r="A16" s="47">
        <v>13</v>
      </c>
      <c r="B16" s="224">
        <v>46035</v>
      </c>
      <c r="C16" s="70"/>
      <c r="D16" s="349"/>
      <c r="E16" s="273">
        <v>0</v>
      </c>
      <c r="F16" s="340">
        <v>0</v>
      </c>
      <c r="G16" s="8">
        <f t="shared" si="1"/>
        <v>0</v>
      </c>
      <c r="H16" s="68"/>
      <c r="I16" s="308"/>
      <c r="J16" s="8">
        <f t="shared" si="2"/>
        <v>0</v>
      </c>
      <c r="K16" s="8">
        <f t="shared" si="3"/>
        <v>0</v>
      </c>
      <c r="L16" s="71"/>
      <c r="M16" s="71">
        <f t="shared" si="4"/>
        <v>11999.260999999891</v>
      </c>
      <c r="N16" s="8"/>
      <c r="O16" s="72"/>
    </row>
    <row r="17" spans="1:17">
      <c r="A17" s="47">
        <v>14</v>
      </c>
      <c r="B17" s="224">
        <v>46036</v>
      </c>
      <c r="C17" s="70"/>
      <c r="D17" s="349"/>
      <c r="E17" s="273">
        <v>0</v>
      </c>
      <c r="F17" s="340">
        <v>0</v>
      </c>
      <c r="G17" s="8">
        <f t="shared" si="1"/>
        <v>0</v>
      </c>
      <c r="H17" s="68"/>
      <c r="I17" s="308"/>
      <c r="J17" s="8">
        <f t="shared" si="2"/>
        <v>0</v>
      </c>
      <c r="K17" s="8">
        <f t="shared" si="3"/>
        <v>0</v>
      </c>
      <c r="L17" s="71"/>
      <c r="M17" s="71">
        <f t="shared" si="4"/>
        <v>11999.260999999891</v>
      </c>
      <c r="N17" s="8"/>
      <c r="O17" s="72"/>
    </row>
    <row r="18" spans="1:17">
      <c r="A18" s="47">
        <v>15</v>
      </c>
      <c r="B18" s="224">
        <v>46037</v>
      </c>
      <c r="C18" s="70"/>
      <c r="D18" s="349"/>
      <c r="E18" s="273">
        <v>0</v>
      </c>
      <c r="F18" s="340">
        <v>0</v>
      </c>
      <c r="G18" s="8">
        <f t="shared" si="1"/>
        <v>0</v>
      </c>
      <c r="H18" s="68">
        <v>5</v>
      </c>
      <c r="I18" s="308">
        <v>108.83</v>
      </c>
      <c r="J18" s="8">
        <f t="shared" si="2"/>
        <v>544.15</v>
      </c>
      <c r="K18" s="8">
        <f t="shared" si="3"/>
        <v>544.15</v>
      </c>
      <c r="L18" s="71"/>
      <c r="M18" s="71">
        <f t="shared" si="4"/>
        <v>12543.410999999891</v>
      </c>
      <c r="N18" s="187"/>
      <c r="O18" s="72"/>
    </row>
    <row r="19" spans="1:17">
      <c r="A19" s="47">
        <v>16</v>
      </c>
      <c r="B19" s="224">
        <v>46038</v>
      </c>
      <c r="C19" s="70"/>
      <c r="D19" s="349"/>
      <c r="E19" s="273">
        <v>0</v>
      </c>
      <c r="F19" s="340">
        <v>0</v>
      </c>
      <c r="G19" s="8">
        <f t="shared" si="1"/>
        <v>0</v>
      </c>
      <c r="H19" s="68"/>
      <c r="I19" s="308"/>
      <c r="J19" s="8">
        <f t="shared" si="2"/>
        <v>0</v>
      </c>
      <c r="K19" s="8">
        <f t="shared" si="3"/>
        <v>0</v>
      </c>
      <c r="L19" s="71"/>
      <c r="M19" s="288">
        <f t="shared" ref="M19:M34" si="5">+M18+K19-L19</f>
        <v>12543.410999999891</v>
      </c>
      <c r="N19" s="287" t="s">
        <v>201</v>
      </c>
      <c r="O19" s="72"/>
    </row>
    <row r="20" spans="1:17">
      <c r="A20" s="47">
        <v>17</v>
      </c>
      <c r="B20" s="224">
        <v>46039</v>
      </c>
      <c r="C20" s="70"/>
      <c r="D20" s="349"/>
      <c r="E20" s="273">
        <v>35</v>
      </c>
      <c r="F20" s="340">
        <v>97.1</v>
      </c>
      <c r="G20" s="8">
        <f t="shared" si="1"/>
        <v>3398.5</v>
      </c>
      <c r="H20" s="68"/>
      <c r="I20" s="308"/>
      <c r="J20" s="8">
        <f t="shared" si="2"/>
        <v>0</v>
      </c>
      <c r="K20" s="8">
        <f t="shared" si="3"/>
        <v>3398.5</v>
      </c>
      <c r="L20" s="71">
        <v>12543</v>
      </c>
      <c r="M20" s="71">
        <f t="shared" si="5"/>
        <v>3398.9109999998909</v>
      </c>
      <c r="N20" s="19"/>
      <c r="O20" s="72"/>
    </row>
    <row r="21" spans="1:17">
      <c r="A21" s="47">
        <v>18</v>
      </c>
      <c r="B21" s="224">
        <v>46040</v>
      </c>
      <c r="C21" s="70"/>
      <c r="D21" s="349"/>
      <c r="E21" s="273">
        <v>0</v>
      </c>
      <c r="F21" s="340">
        <v>0</v>
      </c>
      <c r="G21" s="8">
        <f t="shared" si="1"/>
        <v>0</v>
      </c>
      <c r="H21" s="68"/>
      <c r="I21" s="308"/>
      <c r="J21" s="8">
        <f t="shared" si="2"/>
        <v>0</v>
      </c>
      <c r="K21" s="8">
        <f t="shared" si="3"/>
        <v>0</v>
      </c>
      <c r="L21" s="71"/>
      <c r="M21" s="71">
        <f t="shared" si="5"/>
        <v>3398.9109999998909</v>
      </c>
      <c r="N21" s="8"/>
      <c r="O21" s="72"/>
    </row>
    <row r="22" spans="1:17">
      <c r="A22" s="47">
        <v>19</v>
      </c>
      <c r="B22" s="224">
        <v>46041</v>
      </c>
      <c r="C22" s="70"/>
      <c r="D22" s="349"/>
      <c r="E22" s="273">
        <v>0</v>
      </c>
      <c r="F22" s="340">
        <v>0</v>
      </c>
      <c r="G22" s="8">
        <f t="shared" si="1"/>
        <v>0</v>
      </c>
      <c r="H22" s="68"/>
      <c r="I22" s="308"/>
      <c r="J22" s="8">
        <f t="shared" si="2"/>
        <v>0</v>
      </c>
      <c r="K22" s="8">
        <f t="shared" si="3"/>
        <v>0</v>
      </c>
      <c r="L22" s="71"/>
      <c r="M22" s="71">
        <f t="shared" si="5"/>
        <v>3398.9109999998909</v>
      </c>
      <c r="N22" s="8"/>
      <c r="O22" s="72"/>
      <c r="Q22" s="22"/>
    </row>
    <row r="23" spans="1:17">
      <c r="A23" s="47">
        <v>20</v>
      </c>
      <c r="B23" s="224">
        <v>46042</v>
      </c>
      <c r="C23" s="70"/>
      <c r="D23" s="349"/>
      <c r="E23" s="273">
        <v>0</v>
      </c>
      <c r="F23" s="340">
        <v>0</v>
      </c>
      <c r="G23" s="8">
        <f t="shared" si="1"/>
        <v>0</v>
      </c>
      <c r="H23" s="68"/>
      <c r="I23" s="308"/>
      <c r="J23" s="8">
        <f t="shared" si="2"/>
        <v>0</v>
      </c>
      <c r="K23" s="8">
        <f t="shared" si="3"/>
        <v>0</v>
      </c>
      <c r="L23" s="71"/>
      <c r="M23" s="71">
        <f t="shared" si="5"/>
        <v>3398.9109999998909</v>
      </c>
      <c r="N23" s="8"/>
      <c r="O23" s="72"/>
    </row>
    <row r="24" spans="1:17">
      <c r="A24" s="47">
        <v>21</v>
      </c>
      <c r="B24" s="224">
        <v>46043</v>
      </c>
      <c r="C24" s="70"/>
      <c r="D24" s="349"/>
      <c r="E24" s="273">
        <v>0</v>
      </c>
      <c r="F24" s="340">
        <v>0</v>
      </c>
      <c r="G24" s="8">
        <f t="shared" si="1"/>
        <v>0</v>
      </c>
      <c r="H24" s="68"/>
      <c r="I24" s="308"/>
      <c r="J24" s="8">
        <f t="shared" si="2"/>
        <v>0</v>
      </c>
      <c r="K24" s="8">
        <f t="shared" si="3"/>
        <v>0</v>
      </c>
      <c r="L24" s="71"/>
      <c r="M24" s="71">
        <f t="shared" si="5"/>
        <v>3398.9109999998909</v>
      </c>
      <c r="N24" s="8"/>
      <c r="O24" s="72"/>
    </row>
    <row r="25" spans="1:17">
      <c r="A25" s="47">
        <v>22</v>
      </c>
      <c r="B25" s="224">
        <v>46044</v>
      </c>
      <c r="C25" s="70"/>
      <c r="D25" s="349"/>
      <c r="E25" s="273">
        <v>0</v>
      </c>
      <c r="F25" s="340">
        <v>0</v>
      </c>
      <c r="G25" s="8">
        <f t="shared" si="1"/>
        <v>0</v>
      </c>
      <c r="H25" s="68"/>
      <c r="I25" s="308"/>
      <c r="J25" s="8">
        <f t="shared" si="2"/>
        <v>0</v>
      </c>
      <c r="K25" s="8">
        <f t="shared" si="3"/>
        <v>0</v>
      </c>
      <c r="L25" s="71"/>
      <c r="M25" s="71">
        <f t="shared" si="5"/>
        <v>3398.9109999998909</v>
      </c>
      <c r="N25" s="8"/>
      <c r="O25" s="72"/>
    </row>
    <row r="26" spans="1:17">
      <c r="A26" s="47">
        <v>23</v>
      </c>
      <c r="B26" s="224">
        <v>46045</v>
      </c>
      <c r="C26" s="70"/>
      <c r="D26" s="349"/>
      <c r="E26" s="273">
        <v>0</v>
      </c>
      <c r="F26" s="340">
        <v>0</v>
      </c>
      <c r="G26" s="8">
        <f t="shared" si="1"/>
        <v>0</v>
      </c>
      <c r="H26" s="68">
        <v>5</v>
      </c>
      <c r="I26" s="308">
        <v>108.83</v>
      </c>
      <c r="J26" s="8">
        <f t="shared" si="2"/>
        <v>544.15</v>
      </c>
      <c r="K26" s="8">
        <f t="shared" si="3"/>
        <v>544.15</v>
      </c>
      <c r="L26" s="71"/>
      <c r="M26" s="71">
        <f t="shared" si="5"/>
        <v>3943.060999999891</v>
      </c>
      <c r="N26" s="8"/>
      <c r="O26" s="72"/>
    </row>
    <row r="27" spans="1:17">
      <c r="A27" s="47">
        <v>24</v>
      </c>
      <c r="B27" s="224">
        <v>46046</v>
      </c>
      <c r="C27" s="70"/>
      <c r="D27" s="349"/>
      <c r="E27" s="273">
        <v>0</v>
      </c>
      <c r="F27" s="340">
        <v>0</v>
      </c>
      <c r="G27" s="8">
        <f t="shared" si="1"/>
        <v>0</v>
      </c>
      <c r="H27" s="68"/>
      <c r="I27" s="308"/>
      <c r="J27" s="8">
        <f t="shared" si="2"/>
        <v>0</v>
      </c>
      <c r="K27" s="8">
        <f t="shared" si="3"/>
        <v>0</v>
      </c>
      <c r="L27" s="71"/>
      <c r="M27" s="71">
        <f t="shared" si="5"/>
        <v>3943.060999999891</v>
      </c>
      <c r="N27" s="8"/>
      <c r="O27" s="72"/>
    </row>
    <row r="28" spans="1:17">
      <c r="A28" s="226">
        <v>25</v>
      </c>
      <c r="B28" s="224">
        <v>46047</v>
      </c>
      <c r="C28" s="70"/>
      <c r="D28" s="349"/>
      <c r="E28" s="273">
        <v>0</v>
      </c>
      <c r="F28" s="340">
        <v>0</v>
      </c>
      <c r="G28" s="8">
        <f t="shared" si="1"/>
        <v>0</v>
      </c>
      <c r="H28" s="68"/>
      <c r="I28" s="308"/>
      <c r="J28" s="8">
        <f t="shared" si="2"/>
        <v>0</v>
      </c>
      <c r="K28" s="8">
        <f t="shared" si="3"/>
        <v>0</v>
      </c>
      <c r="L28" s="71"/>
      <c r="M28" s="71">
        <f t="shared" si="5"/>
        <v>3943.060999999891</v>
      </c>
      <c r="N28" s="8"/>
      <c r="O28" s="72"/>
    </row>
    <row r="29" spans="1:17">
      <c r="A29" s="226">
        <v>26</v>
      </c>
      <c r="B29" s="224">
        <v>46048</v>
      </c>
      <c r="C29" s="70"/>
      <c r="D29" s="349"/>
      <c r="E29" s="273">
        <v>0</v>
      </c>
      <c r="F29" s="340">
        <v>0</v>
      </c>
      <c r="G29" s="8">
        <f t="shared" si="1"/>
        <v>0</v>
      </c>
      <c r="H29" s="68"/>
      <c r="I29" s="308"/>
      <c r="J29" s="8">
        <f t="shared" si="2"/>
        <v>0</v>
      </c>
      <c r="K29" s="8">
        <f t="shared" si="3"/>
        <v>0</v>
      </c>
      <c r="L29" s="71"/>
      <c r="M29" s="71">
        <f t="shared" si="5"/>
        <v>3943.060999999891</v>
      </c>
      <c r="N29" s="8"/>
      <c r="O29" s="72"/>
    </row>
    <row r="30" spans="1:17">
      <c r="A30" s="226">
        <v>27</v>
      </c>
      <c r="B30" s="224">
        <v>46049</v>
      </c>
      <c r="C30" s="70"/>
      <c r="D30" s="349"/>
      <c r="E30" s="273">
        <v>0</v>
      </c>
      <c r="F30" s="340">
        <v>0</v>
      </c>
      <c r="G30" s="8">
        <f t="shared" si="1"/>
        <v>0</v>
      </c>
      <c r="H30" s="68"/>
      <c r="I30" s="308"/>
      <c r="J30" s="8">
        <f t="shared" si="2"/>
        <v>0</v>
      </c>
      <c r="K30" s="8">
        <f t="shared" si="3"/>
        <v>0</v>
      </c>
      <c r="L30" s="71"/>
      <c r="M30" s="71">
        <f t="shared" si="5"/>
        <v>3943.060999999891</v>
      </c>
      <c r="N30" s="8"/>
      <c r="O30" s="72"/>
    </row>
    <row r="31" spans="1:17">
      <c r="A31" s="226">
        <v>28</v>
      </c>
      <c r="B31" s="224">
        <v>46050</v>
      </c>
      <c r="C31" s="70"/>
      <c r="D31" s="349"/>
      <c r="E31" s="273">
        <v>0</v>
      </c>
      <c r="F31" s="340">
        <v>0</v>
      </c>
      <c r="G31" s="8">
        <f t="shared" si="1"/>
        <v>0</v>
      </c>
      <c r="H31" s="68"/>
      <c r="I31" s="308"/>
      <c r="J31" s="8">
        <f t="shared" si="2"/>
        <v>0</v>
      </c>
      <c r="K31" s="8">
        <f t="shared" si="3"/>
        <v>0</v>
      </c>
      <c r="L31" s="71"/>
      <c r="M31" s="71">
        <f t="shared" si="5"/>
        <v>3943.060999999891</v>
      </c>
      <c r="N31" s="8"/>
      <c r="O31" s="72"/>
    </row>
    <row r="32" spans="1:17">
      <c r="A32" s="227">
        <v>29</v>
      </c>
      <c r="B32" s="224">
        <v>46051</v>
      </c>
      <c r="C32" s="70"/>
      <c r="D32" s="349"/>
      <c r="E32" s="273">
        <v>0</v>
      </c>
      <c r="F32" s="340">
        <v>0</v>
      </c>
      <c r="G32" s="8">
        <f t="shared" si="1"/>
        <v>0</v>
      </c>
      <c r="H32" s="273">
        <v>10</v>
      </c>
      <c r="I32" s="308">
        <v>108.83</v>
      </c>
      <c r="J32" s="8">
        <f t="shared" si="2"/>
        <v>1088.3</v>
      </c>
      <c r="K32" s="8">
        <f t="shared" si="3"/>
        <v>1088.3</v>
      </c>
      <c r="L32" s="71"/>
      <c r="M32" s="71">
        <f t="shared" si="5"/>
        <v>5031.3609999998907</v>
      </c>
      <c r="N32" s="8"/>
      <c r="O32" s="72"/>
    </row>
    <row r="33" spans="1:16">
      <c r="A33" s="227">
        <v>30</v>
      </c>
      <c r="B33" s="224">
        <v>46052</v>
      </c>
      <c r="C33" s="70"/>
      <c r="D33" s="349"/>
      <c r="E33" s="273">
        <v>0</v>
      </c>
      <c r="F33" s="340">
        <v>0</v>
      </c>
      <c r="G33" s="8">
        <f t="shared" si="1"/>
        <v>0</v>
      </c>
      <c r="H33" s="273">
        <v>5</v>
      </c>
      <c r="I33" s="308">
        <v>108.83</v>
      </c>
      <c r="J33" s="8">
        <f t="shared" si="2"/>
        <v>544.15</v>
      </c>
      <c r="K33" s="8">
        <f t="shared" si="3"/>
        <v>544.15</v>
      </c>
      <c r="L33" s="71"/>
      <c r="M33" s="71">
        <f t="shared" si="5"/>
        <v>5575.5109999998904</v>
      </c>
      <c r="N33" s="8"/>
      <c r="O33" s="72"/>
    </row>
    <row r="34" spans="1:16">
      <c r="A34" s="227">
        <v>31</v>
      </c>
      <c r="B34" s="224">
        <v>46053</v>
      </c>
      <c r="C34" s="70"/>
      <c r="D34" s="349"/>
      <c r="E34" s="262"/>
      <c r="F34" s="262"/>
      <c r="G34" s="8">
        <f t="shared" ref="G5:G34" si="6">E34*F34</f>
        <v>0</v>
      </c>
      <c r="H34" s="273">
        <v>2.58</v>
      </c>
      <c r="I34" s="308">
        <v>108.83</v>
      </c>
      <c r="J34" s="8">
        <f t="shared" si="2"/>
        <v>280.78140000000002</v>
      </c>
      <c r="K34" s="8">
        <f t="shared" si="3"/>
        <v>280.78140000000002</v>
      </c>
      <c r="L34" s="71"/>
      <c r="M34" s="71">
        <f t="shared" si="5"/>
        <v>5856.2923999998902</v>
      </c>
      <c r="N34" s="8"/>
      <c r="O34" s="72">
        <v>5921.25</v>
      </c>
      <c r="P34" s="179">
        <f>O34-M34</f>
        <v>64.957600000109778</v>
      </c>
    </row>
    <row r="35" spans="1:16">
      <c r="A35" s="65"/>
      <c r="B35" s="65"/>
      <c r="C35" s="65"/>
      <c r="D35" s="65"/>
      <c r="E35" s="263">
        <f>SUM(E4:E34)</f>
        <v>90</v>
      </c>
      <c r="F35" s="263"/>
      <c r="G35" s="66">
        <f>SUM(G4:G34)</f>
        <v>8739</v>
      </c>
      <c r="H35" s="66">
        <f>SUM(H4:H34)</f>
        <v>42.58</v>
      </c>
      <c r="I35" s="66"/>
      <c r="J35" s="66">
        <f>SUM(J4:J34)</f>
        <v>4633.9813999999997</v>
      </c>
      <c r="K35" s="66">
        <f>SUM(K4:K34)</f>
        <v>13372.981399999997</v>
      </c>
      <c r="L35" s="66">
        <f>SUM(L4:L34)</f>
        <v>12543</v>
      </c>
      <c r="M35" s="66"/>
      <c r="N35" s="66"/>
      <c r="O35" s="62"/>
    </row>
    <row r="36" spans="1:16">
      <c r="A36" s="75"/>
      <c r="B36" s="76"/>
      <c r="C36" s="75"/>
      <c r="D36" s="75"/>
      <c r="E36" s="77"/>
      <c r="F36" s="77"/>
      <c r="G36" s="77"/>
      <c r="H36" s="77"/>
      <c r="I36" s="77"/>
      <c r="J36" s="78"/>
      <c r="K36" s="78"/>
      <c r="L36" s="78"/>
      <c r="M36" s="78"/>
      <c r="N36" s="77"/>
      <c r="O36" s="72"/>
    </row>
    <row r="37" spans="1:16">
      <c r="O37" s="72"/>
    </row>
    <row r="38" spans="1:16">
      <c r="O38" s="72"/>
    </row>
    <row r="39" spans="1:16">
      <c r="O39" s="72"/>
    </row>
    <row r="40" spans="1:16">
      <c r="O40" s="72"/>
    </row>
    <row r="41" spans="1:16">
      <c r="O41" s="72"/>
    </row>
    <row r="42" spans="1:16">
      <c r="A42" s="72"/>
      <c r="B42" s="62"/>
      <c r="C42" s="72"/>
      <c r="D42" s="72"/>
      <c r="E42" s="72"/>
      <c r="F42" s="72"/>
      <c r="G42" s="79"/>
      <c r="H42" s="72"/>
      <c r="I42" s="72"/>
      <c r="J42" s="62"/>
      <c r="K42" s="62"/>
      <c r="L42" s="62"/>
      <c r="M42" s="62"/>
      <c r="N42" s="72"/>
      <c r="O42" s="77"/>
    </row>
    <row r="43" spans="1:16">
      <c r="A43" s="72"/>
      <c r="B43" s="472"/>
      <c r="C43" s="472"/>
      <c r="D43" s="472"/>
      <c r="E43" s="472"/>
      <c r="F43" s="72"/>
      <c r="G43" s="72"/>
      <c r="H43" s="72"/>
      <c r="I43" s="472"/>
      <c r="J43" s="472"/>
      <c r="K43" s="472"/>
      <c r="L43" s="472"/>
      <c r="M43" s="472"/>
      <c r="N43" s="472"/>
      <c r="O43" s="77"/>
    </row>
    <row r="44" spans="1:16">
      <c r="A44" s="72"/>
      <c r="B44" s="62"/>
      <c r="C44" s="72"/>
      <c r="D44" s="72"/>
      <c r="E44" s="72"/>
      <c r="F44" s="72"/>
      <c r="G44" s="72"/>
      <c r="H44" s="72"/>
      <c r="I44" s="72"/>
      <c r="J44" s="62"/>
      <c r="K44" s="62"/>
      <c r="L44" s="62"/>
      <c r="M44" s="62"/>
      <c r="N44" s="72"/>
      <c r="O44" s="77"/>
    </row>
  </sheetData>
  <mergeCells count="4">
    <mergeCell ref="A1:N1"/>
    <mergeCell ref="A3:L3"/>
    <mergeCell ref="B43:E43"/>
    <mergeCell ref="I43:N43"/>
  </mergeCells>
  <hyperlinks>
    <hyperlink ref="N19" r:id="rId1" xr:uid="{D157A590-9512-4734-821E-E8C1B924315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0E53-C6E4-49B5-8886-5922140E07C1}">
  <dimension ref="A1:R44"/>
  <sheetViews>
    <sheetView workbookViewId="0">
      <selection activeCell="B4" sqref="B4"/>
    </sheetView>
  </sheetViews>
  <sheetFormatPr defaultRowHeight="15"/>
  <cols>
    <col min="2" max="2" width="10.140625" bestFit="1" customWidth="1"/>
    <col min="7" max="7" width="11.85546875" bestFit="1" customWidth="1"/>
    <col min="11" max="11" width="13.5703125" bestFit="1" customWidth="1"/>
    <col min="12" max="12" width="13.140625" bestFit="1" customWidth="1"/>
    <col min="13" max="13" width="11.85546875" bestFit="1" customWidth="1"/>
  </cols>
  <sheetData>
    <row r="1" spans="1:18" ht="15.75">
      <c r="A1" s="461" t="s">
        <v>16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5"/>
    </row>
    <row r="2" spans="1:18" ht="30.75">
      <c r="A2" s="101" t="s">
        <v>129</v>
      </c>
      <c r="B2" s="102" t="s">
        <v>130</v>
      </c>
      <c r="C2" s="102" t="s">
        <v>131</v>
      </c>
      <c r="D2" s="102" t="s">
        <v>198</v>
      </c>
      <c r="E2" s="261" t="s">
        <v>133</v>
      </c>
      <c r="F2" s="261" t="s">
        <v>134</v>
      </c>
      <c r="G2" s="102" t="s">
        <v>135</v>
      </c>
      <c r="H2" s="102" t="s">
        <v>136</v>
      </c>
      <c r="I2" s="102" t="s">
        <v>134</v>
      </c>
      <c r="J2" s="141" t="s">
        <v>135</v>
      </c>
      <c r="K2" s="103" t="s">
        <v>137</v>
      </c>
      <c r="L2" s="142" t="s">
        <v>138</v>
      </c>
      <c r="M2" s="146" t="s">
        <v>199</v>
      </c>
      <c r="N2" s="104" t="s">
        <v>140</v>
      </c>
      <c r="O2" s="62"/>
    </row>
    <row r="3" spans="1:18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151">
        <v>0</v>
      </c>
      <c r="N3" s="160"/>
      <c r="O3" s="62"/>
    </row>
    <row r="4" spans="1:18">
      <c r="A4" s="201">
        <v>1</v>
      </c>
      <c r="B4" s="224">
        <v>46023</v>
      </c>
      <c r="C4" s="70"/>
      <c r="D4" s="163"/>
      <c r="E4" s="262"/>
      <c r="F4" s="262"/>
      <c r="G4" s="8">
        <f t="shared" ref="G4:G34" si="0">E4*F4</f>
        <v>0</v>
      </c>
      <c r="H4" s="68">
        <v>0</v>
      </c>
      <c r="I4" s="69">
        <v>0</v>
      </c>
      <c r="J4" s="8">
        <f>H4*I4</f>
        <v>0</v>
      </c>
      <c r="K4" s="8">
        <f>G4+J4</f>
        <v>0</v>
      </c>
      <c r="L4" s="71">
        <v>0</v>
      </c>
      <c r="M4" s="71">
        <f>+M3+K4-L4</f>
        <v>0</v>
      </c>
      <c r="N4" s="8"/>
    </row>
    <row r="5" spans="1:18">
      <c r="A5" s="47">
        <v>2</v>
      </c>
      <c r="B5" s="224">
        <v>46024</v>
      </c>
      <c r="C5" s="70"/>
      <c r="D5" s="163"/>
      <c r="E5" s="262"/>
      <c r="F5" s="262"/>
      <c r="G5" s="8">
        <f t="shared" si="0"/>
        <v>0</v>
      </c>
      <c r="H5" s="68">
        <v>0</v>
      </c>
      <c r="I5" s="69">
        <v>0</v>
      </c>
      <c r="J5" s="8">
        <f t="shared" ref="J5:J34" si="1">H5*I5</f>
        <v>0</v>
      </c>
      <c r="K5" s="8">
        <f t="shared" ref="K5:K34" si="2">G5+J5</f>
        <v>0</v>
      </c>
      <c r="L5" s="71">
        <v>0</v>
      </c>
      <c r="M5" s="71">
        <f t="shared" ref="M5:M8" si="3">+M4+K5-L5</f>
        <v>0</v>
      </c>
      <c r="N5" s="8"/>
    </row>
    <row r="6" spans="1:18">
      <c r="A6" s="47">
        <v>3</v>
      </c>
      <c r="B6" s="224">
        <v>46025</v>
      </c>
      <c r="C6" s="70"/>
      <c r="D6" s="163"/>
      <c r="E6" s="262"/>
      <c r="F6" s="262"/>
      <c r="G6" s="8">
        <f t="shared" si="0"/>
        <v>0</v>
      </c>
      <c r="H6" s="68">
        <v>0</v>
      </c>
      <c r="I6" s="69">
        <v>0</v>
      </c>
      <c r="J6" s="8">
        <f t="shared" si="1"/>
        <v>0</v>
      </c>
      <c r="K6" s="8">
        <f t="shared" si="2"/>
        <v>0</v>
      </c>
      <c r="L6" s="71">
        <v>0</v>
      </c>
      <c r="M6" s="71">
        <f t="shared" si="3"/>
        <v>0</v>
      </c>
      <c r="N6" s="8"/>
    </row>
    <row r="7" spans="1:18">
      <c r="A7" s="47">
        <v>4</v>
      </c>
      <c r="B7" s="224">
        <v>46026</v>
      </c>
      <c r="C7" s="70"/>
      <c r="D7" s="163"/>
      <c r="E7" s="262"/>
      <c r="F7" s="262"/>
      <c r="G7" s="8">
        <f t="shared" si="0"/>
        <v>0</v>
      </c>
      <c r="H7" s="68">
        <v>0</v>
      </c>
      <c r="I7" s="69">
        <v>0</v>
      </c>
      <c r="J7" s="8">
        <f t="shared" si="1"/>
        <v>0</v>
      </c>
      <c r="K7" s="8">
        <f t="shared" si="2"/>
        <v>0</v>
      </c>
      <c r="L7" s="71">
        <v>0</v>
      </c>
      <c r="M7" s="71">
        <f t="shared" si="3"/>
        <v>0</v>
      </c>
      <c r="N7" s="8"/>
    </row>
    <row r="8" spans="1:18">
      <c r="A8" s="47">
        <v>5</v>
      </c>
      <c r="B8" s="224">
        <v>46027</v>
      </c>
      <c r="C8" s="70"/>
      <c r="D8" s="163"/>
      <c r="E8" s="262"/>
      <c r="F8" s="262"/>
      <c r="G8" s="8">
        <f t="shared" si="0"/>
        <v>0</v>
      </c>
      <c r="H8" s="68">
        <v>0</v>
      </c>
      <c r="I8" s="69">
        <v>0</v>
      </c>
      <c r="J8" s="8">
        <f t="shared" si="1"/>
        <v>0</v>
      </c>
      <c r="K8" s="8">
        <f t="shared" si="2"/>
        <v>0</v>
      </c>
      <c r="L8" s="71">
        <v>0</v>
      </c>
      <c r="M8" s="71">
        <f t="shared" si="3"/>
        <v>0</v>
      </c>
      <c r="N8" s="8"/>
      <c r="O8" s="72"/>
      <c r="R8" s="230"/>
    </row>
    <row r="9" spans="1:18">
      <c r="A9" s="47">
        <v>6</v>
      </c>
      <c r="B9" s="224">
        <v>46028</v>
      </c>
      <c r="C9" s="70"/>
      <c r="D9" s="163"/>
      <c r="E9" s="262"/>
      <c r="F9" s="68"/>
      <c r="G9" s="8">
        <f t="shared" si="0"/>
        <v>0</v>
      </c>
      <c r="H9" s="68">
        <v>0</v>
      </c>
      <c r="I9" s="69">
        <v>0</v>
      </c>
      <c r="J9" s="8">
        <f t="shared" si="1"/>
        <v>0</v>
      </c>
      <c r="K9" s="8">
        <f t="shared" si="2"/>
        <v>0</v>
      </c>
      <c r="L9" s="71">
        <v>0</v>
      </c>
      <c r="M9" s="71">
        <f>+M8+K9-L9</f>
        <v>0</v>
      </c>
      <c r="N9" s="8"/>
      <c r="O9" s="72"/>
    </row>
    <row r="10" spans="1:18">
      <c r="A10" s="47">
        <v>7</v>
      </c>
      <c r="B10" s="224">
        <v>46029</v>
      </c>
      <c r="C10" s="70"/>
      <c r="D10" s="163"/>
      <c r="E10" s="262"/>
      <c r="F10" s="262"/>
      <c r="G10" s="8">
        <f t="shared" si="0"/>
        <v>0</v>
      </c>
      <c r="H10" s="68">
        <v>0</v>
      </c>
      <c r="I10" s="69">
        <v>0</v>
      </c>
      <c r="J10" s="8">
        <f t="shared" si="1"/>
        <v>0</v>
      </c>
      <c r="K10" s="8">
        <f t="shared" si="2"/>
        <v>0</v>
      </c>
      <c r="L10" s="71">
        <v>0</v>
      </c>
      <c r="M10" s="71">
        <f>+M9+K10-L10</f>
        <v>0</v>
      </c>
      <c r="N10" s="8"/>
      <c r="O10" s="72"/>
    </row>
    <row r="11" spans="1:18">
      <c r="A11" s="47">
        <v>8</v>
      </c>
      <c r="B11" s="224">
        <v>46030</v>
      </c>
      <c r="C11" s="70"/>
      <c r="D11" s="163"/>
      <c r="E11" s="262"/>
      <c r="F11" s="262"/>
      <c r="G11" s="8">
        <f t="shared" si="0"/>
        <v>0</v>
      </c>
      <c r="H11" s="68">
        <v>0</v>
      </c>
      <c r="I11" s="69">
        <v>0</v>
      </c>
      <c r="J11" s="8">
        <f t="shared" si="1"/>
        <v>0</v>
      </c>
      <c r="K11" s="8">
        <f t="shared" si="2"/>
        <v>0</v>
      </c>
      <c r="L11" s="71">
        <v>0</v>
      </c>
      <c r="M11" s="71">
        <f>+M10+K11-L11</f>
        <v>0</v>
      </c>
      <c r="N11" s="8"/>
      <c r="O11" s="72"/>
    </row>
    <row r="12" spans="1:18">
      <c r="A12" s="47">
        <v>9</v>
      </c>
      <c r="B12" s="224">
        <v>46031</v>
      </c>
      <c r="C12" s="70"/>
      <c r="D12" s="163"/>
      <c r="E12" s="262"/>
      <c r="F12" s="262"/>
      <c r="G12" s="8">
        <f t="shared" si="0"/>
        <v>0</v>
      </c>
      <c r="H12" s="68">
        <v>0</v>
      </c>
      <c r="I12" s="69">
        <v>0</v>
      </c>
      <c r="J12" s="8">
        <f t="shared" si="1"/>
        <v>0</v>
      </c>
      <c r="K12" s="8">
        <f t="shared" si="2"/>
        <v>0</v>
      </c>
      <c r="L12" s="71">
        <v>0</v>
      </c>
      <c r="M12" s="71">
        <f t="shared" ref="M12:M34" si="4">+M11+K12-L12</f>
        <v>0</v>
      </c>
      <c r="N12" s="8"/>
      <c r="O12" s="72"/>
    </row>
    <row r="13" spans="1:18">
      <c r="A13" s="47">
        <v>10</v>
      </c>
      <c r="B13" s="224">
        <v>46032</v>
      </c>
      <c r="C13" s="70"/>
      <c r="D13" s="163"/>
      <c r="E13" s="262"/>
      <c r="F13" s="262"/>
      <c r="G13" s="8">
        <f t="shared" si="0"/>
        <v>0</v>
      </c>
      <c r="H13" s="68">
        <v>0</v>
      </c>
      <c r="I13" s="69">
        <v>0</v>
      </c>
      <c r="J13" s="8">
        <f t="shared" si="1"/>
        <v>0</v>
      </c>
      <c r="K13" s="8">
        <f t="shared" si="2"/>
        <v>0</v>
      </c>
      <c r="L13" s="71">
        <v>0</v>
      </c>
      <c r="M13" s="71">
        <f t="shared" si="4"/>
        <v>0</v>
      </c>
      <c r="N13" s="8"/>
      <c r="O13" s="72"/>
    </row>
    <row r="14" spans="1:18">
      <c r="A14" s="47">
        <v>11</v>
      </c>
      <c r="B14" s="224">
        <v>46033</v>
      </c>
      <c r="C14" s="70"/>
      <c r="D14" s="163"/>
      <c r="E14" s="262"/>
      <c r="F14" s="262"/>
      <c r="G14" s="8">
        <f t="shared" si="0"/>
        <v>0</v>
      </c>
      <c r="H14" s="68">
        <v>0</v>
      </c>
      <c r="I14" s="69">
        <v>0</v>
      </c>
      <c r="J14" s="8">
        <f t="shared" si="1"/>
        <v>0</v>
      </c>
      <c r="K14" s="8">
        <f t="shared" si="2"/>
        <v>0</v>
      </c>
      <c r="L14" s="71">
        <v>0</v>
      </c>
      <c r="M14" s="71">
        <f t="shared" si="4"/>
        <v>0</v>
      </c>
      <c r="N14" s="8"/>
      <c r="O14" s="72"/>
    </row>
    <row r="15" spans="1:18">
      <c r="A15" s="47">
        <v>12</v>
      </c>
      <c r="B15" s="224">
        <v>46034</v>
      </c>
      <c r="C15" s="70"/>
      <c r="D15" s="163"/>
      <c r="E15" s="262"/>
      <c r="F15" s="262"/>
      <c r="G15" s="8">
        <f t="shared" si="0"/>
        <v>0</v>
      </c>
      <c r="H15" s="68">
        <v>0</v>
      </c>
      <c r="I15" s="69">
        <v>0</v>
      </c>
      <c r="J15" s="8">
        <f t="shared" si="1"/>
        <v>0</v>
      </c>
      <c r="K15" s="8">
        <f t="shared" si="2"/>
        <v>0</v>
      </c>
      <c r="L15" s="71">
        <v>0</v>
      </c>
      <c r="M15" s="71">
        <f t="shared" si="4"/>
        <v>0</v>
      </c>
      <c r="N15" s="8"/>
      <c r="O15" s="72"/>
    </row>
    <row r="16" spans="1:18">
      <c r="A16" s="47">
        <v>13</v>
      </c>
      <c r="B16" s="224">
        <v>46035</v>
      </c>
      <c r="C16" s="70"/>
      <c r="D16" s="163"/>
      <c r="E16" s="262"/>
      <c r="F16" s="262"/>
      <c r="G16" s="8">
        <f t="shared" si="0"/>
        <v>0</v>
      </c>
      <c r="H16" s="68">
        <v>0</v>
      </c>
      <c r="I16" s="69">
        <v>0</v>
      </c>
      <c r="J16" s="8">
        <f t="shared" si="1"/>
        <v>0</v>
      </c>
      <c r="K16" s="8">
        <f t="shared" si="2"/>
        <v>0</v>
      </c>
      <c r="L16" s="71">
        <v>0</v>
      </c>
      <c r="M16" s="71">
        <f t="shared" si="4"/>
        <v>0</v>
      </c>
      <c r="N16" s="8"/>
      <c r="O16" s="72"/>
    </row>
    <row r="17" spans="1:17">
      <c r="A17" s="47">
        <v>14</v>
      </c>
      <c r="B17" s="224">
        <v>46036</v>
      </c>
      <c r="C17" s="70"/>
      <c r="D17" s="163"/>
      <c r="E17" s="273"/>
      <c r="F17" s="340"/>
      <c r="G17" s="8"/>
      <c r="H17" s="68">
        <v>0</v>
      </c>
      <c r="I17" s="69">
        <v>0</v>
      </c>
      <c r="J17" s="8">
        <f t="shared" si="1"/>
        <v>0</v>
      </c>
      <c r="K17" s="8">
        <f t="shared" si="2"/>
        <v>0</v>
      </c>
      <c r="L17" s="71">
        <v>0</v>
      </c>
      <c r="M17" s="71">
        <f t="shared" si="4"/>
        <v>0</v>
      </c>
      <c r="N17" s="8"/>
      <c r="O17" s="72"/>
    </row>
    <row r="18" spans="1:17">
      <c r="A18" s="47">
        <v>15</v>
      </c>
      <c r="B18" s="224">
        <v>46037</v>
      </c>
      <c r="C18" s="70"/>
      <c r="D18" s="163"/>
      <c r="E18" s="262"/>
      <c r="F18" s="262"/>
      <c r="G18" s="8"/>
      <c r="H18" s="68">
        <v>0</v>
      </c>
      <c r="I18" s="69">
        <v>0</v>
      </c>
      <c r="J18" s="8">
        <f t="shared" si="1"/>
        <v>0</v>
      </c>
      <c r="K18" s="8">
        <f t="shared" si="2"/>
        <v>0</v>
      </c>
      <c r="L18" s="71">
        <v>0</v>
      </c>
      <c r="M18" s="71">
        <f t="shared" si="4"/>
        <v>0</v>
      </c>
      <c r="N18" s="187"/>
      <c r="O18" s="72"/>
    </row>
    <row r="19" spans="1:17">
      <c r="A19" s="47">
        <v>16</v>
      </c>
      <c r="B19" s="224">
        <v>46038</v>
      </c>
      <c r="C19" s="70"/>
      <c r="D19" s="163"/>
      <c r="E19" s="262"/>
      <c r="F19" s="262"/>
      <c r="G19" s="8"/>
      <c r="H19" s="68">
        <v>0</v>
      </c>
      <c r="I19" s="69">
        <v>0</v>
      </c>
      <c r="J19" s="8">
        <f t="shared" si="1"/>
        <v>0</v>
      </c>
      <c r="K19" s="8">
        <f t="shared" si="2"/>
        <v>0</v>
      </c>
      <c r="L19" s="71">
        <v>0</v>
      </c>
      <c r="M19" s="71">
        <f t="shared" si="4"/>
        <v>0</v>
      </c>
      <c r="N19" s="287"/>
      <c r="O19" s="72"/>
    </row>
    <row r="20" spans="1:17">
      <c r="A20" s="47">
        <v>17</v>
      </c>
      <c r="B20" s="224">
        <v>46039</v>
      </c>
      <c r="C20" s="70"/>
      <c r="D20" s="163"/>
      <c r="E20" s="262"/>
      <c r="F20" s="262"/>
      <c r="G20" s="8">
        <f t="shared" si="0"/>
        <v>0</v>
      </c>
      <c r="H20" s="68">
        <v>0</v>
      </c>
      <c r="I20" s="69">
        <v>0</v>
      </c>
      <c r="J20" s="8">
        <f t="shared" si="1"/>
        <v>0</v>
      </c>
      <c r="K20" s="8">
        <f t="shared" si="2"/>
        <v>0</v>
      </c>
      <c r="L20" s="71">
        <v>0</v>
      </c>
      <c r="M20" s="71">
        <f t="shared" si="4"/>
        <v>0</v>
      </c>
      <c r="N20" s="19"/>
      <c r="O20" s="72"/>
    </row>
    <row r="21" spans="1:17">
      <c r="A21" s="47">
        <v>18</v>
      </c>
      <c r="B21" s="224">
        <v>46040</v>
      </c>
      <c r="C21" s="70"/>
      <c r="D21" s="163"/>
      <c r="E21" s="262"/>
      <c r="F21" s="262"/>
      <c r="G21" s="8">
        <f t="shared" si="0"/>
        <v>0</v>
      </c>
      <c r="H21" s="68">
        <v>0</v>
      </c>
      <c r="I21" s="69">
        <v>0</v>
      </c>
      <c r="J21" s="8">
        <f t="shared" si="1"/>
        <v>0</v>
      </c>
      <c r="K21" s="8">
        <f t="shared" si="2"/>
        <v>0</v>
      </c>
      <c r="L21" s="71">
        <v>0</v>
      </c>
      <c r="M21" s="71">
        <f t="shared" si="4"/>
        <v>0</v>
      </c>
      <c r="N21" s="8"/>
      <c r="O21" s="72"/>
    </row>
    <row r="22" spans="1:17">
      <c r="A22" s="47">
        <v>19</v>
      </c>
      <c r="B22" s="224">
        <v>46041</v>
      </c>
      <c r="C22" s="70"/>
      <c r="D22" s="163"/>
      <c r="E22" s="262"/>
      <c r="F22" s="262"/>
      <c r="G22" s="8">
        <f t="shared" si="0"/>
        <v>0</v>
      </c>
      <c r="H22" s="68">
        <v>0</v>
      </c>
      <c r="I22" s="69">
        <v>0</v>
      </c>
      <c r="J22" s="8">
        <f t="shared" si="1"/>
        <v>0</v>
      </c>
      <c r="K22" s="8">
        <f t="shared" si="2"/>
        <v>0</v>
      </c>
      <c r="L22" s="71">
        <v>0</v>
      </c>
      <c r="M22" s="71">
        <f t="shared" si="4"/>
        <v>0</v>
      </c>
      <c r="N22" s="8"/>
      <c r="O22" s="72"/>
      <c r="Q22" s="22"/>
    </row>
    <row r="23" spans="1:17">
      <c r="A23" s="47">
        <v>20</v>
      </c>
      <c r="B23" s="224">
        <v>46042</v>
      </c>
      <c r="C23" s="70"/>
      <c r="D23" s="163"/>
      <c r="E23" s="262"/>
      <c r="F23" s="262"/>
      <c r="G23" s="8">
        <f t="shared" si="0"/>
        <v>0</v>
      </c>
      <c r="H23" s="68">
        <v>0</v>
      </c>
      <c r="I23" s="69">
        <v>0</v>
      </c>
      <c r="J23" s="8">
        <f t="shared" si="1"/>
        <v>0</v>
      </c>
      <c r="K23" s="8">
        <f t="shared" si="2"/>
        <v>0</v>
      </c>
      <c r="L23" s="71">
        <v>0</v>
      </c>
      <c r="M23" s="71">
        <f t="shared" si="4"/>
        <v>0</v>
      </c>
      <c r="N23" s="8"/>
      <c r="O23" s="72"/>
    </row>
    <row r="24" spans="1:17">
      <c r="A24" s="47">
        <v>21</v>
      </c>
      <c r="B24" s="224">
        <v>46043</v>
      </c>
      <c r="C24" s="70"/>
      <c r="D24" s="163"/>
      <c r="E24" s="262"/>
      <c r="F24" s="262"/>
      <c r="G24" s="8">
        <f t="shared" si="0"/>
        <v>0</v>
      </c>
      <c r="H24" s="68">
        <v>0</v>
      </c>
      <c r="I24" s="69">
        <v>0</v>
      </c>
      <c r="J24" s="8">
        <f t="shared" si="1"/>
        <v>0</v>
      </c>
      <c r="K24" s="8">
        <f t="shared" si="2"/>
        <v>0</v>
      </c>
      <c r="L24" s="71">
        <v>0</v>
      </c>
      <c r="M24" s="71">
        <f t="shared" si="4"/>
        <v>0</v>
      </c>
      <c r="N24" s="8"/>
      <c r="O24" s="72"/>
    </row>
    <row r="25" spans="1:17">
      <c r="A25" s="47">
        <v>22</v>
      </c>
      <c r="B25" s="224">
        <v>46044</v>
      </c>
      <c r="C25" s="70"/>
      <c r="D25" s="163"/>
      <c r="E25" s="262"/>
      <c r="F25" s="262"/>
      <c r="G25" s="8">
        <f t="shared" si="0"/>
        <v>0</v>
      </c>
      <c r="H25" s="68">
        <v>0</v>
      </c>
      <c r="I25" s="69">
        <v>0</v>
      </c>
      <c r="J25" s="8">
        <f t="shared" si="1"/>
        <v>0</v>
      </c>
      <c r="K25" s="8">
        <f t="shared" si="2"/>
        <v>0</v>
      </c>
      <c r="L25" s="71">
        <v>0</v>
      </c>
      <c r="M25" s="71">
        <f t="shared" si="4"/>
        <v>0</v>
      </c>
      <c r="N25" s="8"/>
      <c r="O25" s="72"/>
    </row>
    <row r="26" spans="1:17">
      <c r="A26" s="47">
        <v>23</v>
      </c>
      <c r="B26" s="224">
        <v>46045</v>
      </c>
      <c r="C26" s="70"/>
      <c r="D26" s="163"/>
      <c r="E26" s="262"/>
      <c r="F26" s="262"/>
      <c r="G26" s="8">
        <f t="shared" si="0"/>
        <v>0</v>
      </c>
      <c r="H26" s="68">
        <v>0</v>
      </c>
      <c r="I26" s="69">
        <v>0</v>
      </c>
      <c r="J26" s="8">
        <f t="shared" si="1"/>
        <v>0</v>
      </c>
      <c r="K26" s="8">
        <f t="shared" si="2"/>
        <v>0</v>
      </c>
      <c r="L26" s="71">
        <v>0</v>
      </c>
      <c r="M26" s="71">
        <f t="shared" si="4"/>
        <v>0</v>
      </c>
      <c r="N26" s="8"/>
      <c r="O26" s="72"/>
    </row>
    <row r="27" spans="1:17">
      <c r="A27" s="47">
        <v>24</v>
      </c>
      <c r="B27" s="224">
        <v>46046</v>
      </c>
      <c r="C27" s="70"/>
      <c r="D27" s="163"/>
      <c r="E27" s="262"/>
      <c r="F27" s="262"/>
      <c r="G27" s="8">
        <f t="shared" si="0"/>
        <v>0</v>
      </c>
      <c r="H27" s="68">
        <v>0</v>
      </c>
      <c r="I27" s="69">
        <v>0</v>
      </c>
      <c r="J27" s="8">
        <f t="shared" si="1"/>
        <v>0</v>
      </c>
      <c r="K27" s="8">
        <f t="shared" si="2"/>
        <v>0</v>
      </c>
      <c r="L27" s="71">
        <v>0</v>
      </c>
      <c r="M27" s="71">
        <f t="shared" si="4"/>
        <v>0</v>
      </c>
      <c r="N27" s="8"/>
      <c r="O27" s="72"/>
    </row>
    <row r="28" spans="1:17">
      <c r="A28" s="226">
        <v>25</v>
      </c>
      <c r="B28" s="224">
        <v>46047</v>
      </c>
      <c r="C28" s="70"/>
      <c r="D28" s="163"/>
      <c r="E28" s="262"/>
      <c r="F28" s="262"/>
      <c r="G28" s="8">
        <f t="shared" si="0"/>
        <v>0</v>
      </c>
      <c r="H28" s="68">
        <v>0</v>
      </c>
      <c r="I28" s="69">
        <v>0</v>
      </c>
      <c r="J28" s="8">
        <f t="shared" si="1"/>
        <v>0</v>
      </c>
      <c r="K28" s="8">
        <f t="shared" si="2"/>
        <v>0</v>
      </c>
      <c r="L28" s="71">
        <v>0</v>
      </c>
      <c r="M28" s="71">
        <f t="shared" si="4"/>
        <v>0</v>
      </c>
      <c r="N28" s="8"/>
      <c r="O28" s="72"/>
    </row>
    <row r="29" spans="1:17">
      <c r="A29" s="226">
        <v>26</v>
      </c>
      <c r="B29" s="224">
        <v>46048</v>
      </c>
      <c r="C29" s="70"/>
      <c r="D29" s="163"/>
      <c r="E29" s="262"/>
      <c r="F29" s="262"/>
      <c r="G29" s="8">
        <f t="shared" si="0"/>
        <v>0</v>
      </c>
      <c r="H29" s="68">
        <v>0</v>
      </c>
      <c r="I29" s="69">
        <v>0</v>
      </c>
      <c r="J29" s="8">
        <f t="shared" si="1"/>
        <v>0</v>
      </c>
      <c r="K29" s="8">
        <f t="shared" si="2"/>
        <v>0</v>
      </c>
      <c r="L29" s="71">
        <v>0</v>
      </c>
      <c r="M29" s="71">
        <f t="shared" si="4"/>
        <v>0</v>
      </c>
      <c r="N29" s="8"/>
      <c r="O29" s="72"/>
    </row>
    <row r="30" spans="1:17">
      <c r="A30" s="226">
        <v>27</v>
      </c>
      <c r="B30" s="224">
        <v>46049</v>
      </c>
      <c r="C30" s="70"/>
      <c r="D30" s="163"/>
      <c r="E30" s="262"/>
      <c r="F30" s="262"/>
      <c r="G30" s="8">
        <f t="shared" si="0"/>
        <v>0</v>
      </c>
      <c r="H30" s="68">
        <v>0</v>
      </c>
      <c r="I30" s="69">
        <v>0</v>
      </c>
      <c r="J30" s="8">
        <f t="shared" si="1"/>
        <v>0</v>
      </c>
      <c r="K30" s="8">
        <f t="shared" si="2"/>
        <v>0</v>
      </c>
      <c r="L30" s="71">
        <v>0</v>
      </c>
      <c r="M30" s="71">
        <f t="shared" si="4"/>
        <v>0</v>
      </c>
      <c r="N30" s="8"/>
      <c r="O30" s="72"/>
    </row>
    <row r="31" spans="1:17">
      <c r="A31" s="226">
        <v>28</v>
      </c>
      <c r="B31" s="224">
        <v>46050</v>
      </c>
      <c r="C31" s="70"/>
      <c r="D31" s="163"/>
      <c r="E31" s="262"/>
      <c r="F31" s="262"/>
      <c r="G31" s="8">
        <f t="shared" si="0"/>
        <v>0</v>
      </c>
      <c r="H31" s="68">
        <v>0</v>
      </c>
      <c r="I31" s="69">
        <v>0</v>
      </c>
      <c r="J31" s="8">
        <f t="shared" si="1"/>
        <v>0</v>
      </c>
      <c r="K31" s="8">
        <f t="shared" si="2"/>
        <v>0</v>
      </c>
      <c r="L31" s="71">
        <v>0</v>
      </c>
      <c r="M31" s="71">
        <f t="shared" si="4"/>
        <v>0</v>
      </c>
      <c r="N31" s="8"/>
      <c r="O31" s="72"/>
    </row>
    <row r="32" spans="1:17">
      <c r="A32" s="227">
        <v>29</v>
      </c>
      <c r="B32" s="224">
        <v>46051</v>
      </c>
      <c r="C32" s="70"/>
      <c r="D32" s="163"/>
      <c r="E32" s="262"/>
      <c r="F32" s="262"/>
      <c r="G32" s="8">
        <f t="shared" si="0"/>
        <v>0</v>
      </c>
      <c r="H32" s="68">
        <v>0</v>
      </c>
      <c r="I32" s="69">
        <v>0</v>
      </c>
      <c r="J32" s="8">
        <f t="shared" si="1"/>
        <v>0</v>
      </c>
      <c r="K32" s="8">
        <f t="shared" si="2"/>
        <v>0</v>
      </c>
      <c r="L32" s="71">
        <v>0</v>
      </c>
      <c r="M32" s="71">
        <f t="shared" si="4"/>
        <v>0</v>
      </c>
      <c r="N32" s="8"/>
      <c r="O32" s="72"/>
    </row>
    <row r="33" spans="1:15">
      <c r="A33" s="227">
        <v>30</v>
      </c>
      <c r="B33" s="224">
        <v>46052</v>
      </c>
      <c r="C33" s="70"/>
      <c r="D33" s="163"/>
      <c r="E33" s="262"/>
      <c r="F33" s="262"/>
      <c r="G33" s="8">
        <f t="shared" si="0"/>
        <v>0</v>
      </c>
      <c r="H33" s="68">
        <v>0</v>
      </c>
      <c r="I33" s="69">
        <v>0</v>
      </c>
      <c r="J33" s="8">
        <f t="shared" si="1"/>
        <v>0</v>
      </c>
      <c r="K33" s="8">
        <f t="shared" si="2"/>
        <v>0</v>
      </c>
      <c r="L33" s="71">
        <v>0</v>
      </c>
      <c r="M33" s="71">
        <f t="shared" si="4"/>
        <v>0</v>
      </c>
      <c r="N33" s="8"/>
      <c r="O33" s="72"/>
    </row>
    <row r="34" spans="1:15">
      <c r="A34" s="227">
        <v>31</v>
      </c>
      <c r="B34" s="224">
        <v>46053</v>
      </c>
      <c r="C34" s="70"/>
      <c r="D34" s="163"/>
      <c r="E34" s="262"/>
      <c r="F34" s="262"/>
      <c r="G34" s="8">
        <f t="shared" si="0"/>
        <v>0</v>
      </c>
      <c r="H34" s="68">
        <v>0</v>
      </c>
      <c r="I34" s="69">
        <v>0</v>
      </c>
      <c r="J34" s="8">
        <f t="shared" si="1"/>
        <v>0</v>
      </c>
      <c r="K34" s="8">
        <f t="shared" si="2"/>
        <v>0</v>
      </c>
      <c r="L34" s="71">
        <v>0</v>
      </c>
      <c r="M34" s="71">
        <f t="shared" si="4"/>
        <v>0</v>
      </c>
      <c r="N34" s="8"/>
      <c r="O34" s="72"/>
    </row>
    <row r="35" spans="1:15">
      <c r="A35" s="65"/>
      <c r="B35" s="65"/>
      <c r="C35" s="65"/>
      <c r="D35" s="65"/>
      <c r="E35" s="263">
        <f>SUM(E4:E34)</f>
        <v>0</v>
      </c>
      <c r="F35" s="263"/>
      <c r="G35" s="66">
        <f>SUM(G4:G34)</f>
        <v>0</v>
      </c>
      <c r="H35" s="66">
        <f>SUM(H4:H34)</f>
        <v>0</v>
      </c>
      <c r="I35" s="66"/>
      <c r="J35" s="66">
        <f>SUM(J4:J34)</f>
        <v>0</v>
      </c>
      <c r="K35" s="66">
        <f>SUM(K4:K34)</f>
        <v>0</v>
      </c>
      <c r="L35" s="66">
        <f>SUM(L4:L34)</f>
        <v>0</v>
      </c>
      <c r="M35" s="66"/>
      <c r="N35" s="66"/>
      <c r="O35" s="62"/>
    </row>
    <row r="36" spans="1:15">
      <c r="A36" s="75"/>
      <c r="B36" s="76"/>
      <c r="C36" s="75"/>
      <c r="D36" s="75"/>
      <c r="E36" s="77"/>
      <c r="F36" s="77"/>
      <c r="G36" s="77"/>
      <c r="H36" s="77"/>
      <c r="I36" s="77"/>
      <c r="J36" s="78"/>
      <c r="K36" s="78"/>
      <c r="L36" s="78"/>
      <c r="M36" s="78"/>
      <c r="N36" s="77"/>
      <c r="O36" s="72"/>
    </row>
    <row r="37" spans="1:15">
      <c r="O37" s="72"/>
    </row>
    <row r="38" spans="1:15">
      <c r="F38" t="s">
        <v>200</v>
      </c>
      <c r="O38" s="72"/>
    </row>
    <row r="39" spans="1:15">
      <c r="O39" s="72"/>
    </row>
    <row r="40" spans="1:15">
      <c r="O40" s="72"/>
    </row>
    <row r="41" spans="1:15">
      <c r="O41" s="72"/>
    </row>
    <row r="42" spans="1:15">
      <c r="A42" s="72"/>
      <c r="B42" s="62"/>
      <c r="C42" s="72"/>
      <c r="D42" s="72"/>
      <c r="E42" s="72"/>
      <c r="F42" s="72"/>
      <c r="G42" s="79"/>
      <c r="H42" s="72"/>
      <c r="I42" s="72"/>
      <c r="J42" s="62"/>
      <c r="K42" s="62"/>
      <c r="L42" s="62"/>
      <c r="M42" s="62"/>
      <c r="N42" s="72"/>
      <c r="O42" s="77"/>
    </row>
    <row r="43" spans="1:15">
      <c r="A43" s="72"/>
      <c r="B43" s="472"/>
      <c r="C43" s="472"/>
      <c r="D43" s="472"/>
      <c r="E43" s="472"/>
      <c r="F43" s="72"/>
      <c r="G43" s="72"/>
      <c r="H43" s="72"/>
      <c r="I43" s="472"/>
      <c r="J43" s="472"/>
      <c r="K43" s="472"/>
      <c r="L43" s="472"/>
      <c r="M43" s="472"/>
      <c r="N43" s="472"/>
      <c r="O43" s="77"/>
    </row>
    <row r="44" spans="1:15">
      <c r="A44" s="72"/>
      <c r="B44" s="62"/>
      <c r="C44" s="72"/>
      <c r="D44" s="72"/>
      <c r="E44" s="72"/>
      <c r="F44" s="72"/>
      <c r="G44" s="72"/>
      <c r="H44" s="72"/>
      <c r="I44" s="72"/>
      <c r="J44" s="62"/>
      <c r="K44" s="62"/>
      <c r="L44" s="62"/>
      <c r="M44" s="62"/>
      <c r="N44" s="72"/>
      <c r="O44" s="77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713C3-8F2A-43C8-ABCD-FE8AB65C47D7}">
  <dimension ref="A1:R44"/>
  <sheetViews>
    <sheetView topLeftCell="A16" workbookViewId="0">
      <selection activeCell="S29" sqref="S29"/>
    </sheetView>
  </sheetViews>
  <sheetFormatPr defaultRowHeight="15"/>
  <cols>
    <col min="1" max="1" width="5.140625" bestFit="1" customWidth="1"/>
    <col min="2" max="2" width="10.5703125" bestFit="1" customWidth="1"/>
    <col min="3" max="3" width="8" bestFit="1" customWidth="1"/>
    <col min="4" max="4" width="17.85546875" customWidth="1"/>
    <col min="5" max="5" width="15" customWidth="1"/>
    <col min="6" max="6" width="7.5703125" customWidth="1"/>
    <col min="7" max="7" width="10.7109375" customWidth="1"/>
    <col min="8" max="8" width="11.140625" customWidth="1"/>
    <col min="9" max="9" width="8.42578125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61" t="s">
        <v>21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5"/>
    </row>
    <row r="2" spans="1:18">
      <c r="A2" s="101" t="s">
        <v>129</v>
      </c>
      <c r="B2" s="102" t="s">
        <v>130</v>
      </c>
      <c r="C2" s="102" t="s">
        <v>131</v>
      </c>
      <c r="D2" s="102" t="s">
        <v>198</v>
      </c>
      <c r="E2" s="261" t="s">
        <v>133</v>
      </c>
      <c r="F2" s="261" t="s">
        <v>134</v>
      </c>
      <c r="G2" s="102" t="s">
        <v>135</v>
      </c>
      <c r="H2" s="102" t="s">
        <v>136</v>
      </c>
      <c r="I2" s="102" t="s">
        <v>134</v>
      </c>
      <c r="J2" s="141" t="s">
        <v>135</v>
      </c>
      <c r="K2" s="103" t="s">
        <v>137</v>
      </c>
      <c r="L2" s="142" t="s">
        <v>138</v>
      </c>
      <c r="M2" s="146" t="s">
        <v>199</v>
      </c>
      <c r="N2" s="104" t="s">
        <v>140</v>
      </c>
      <c r="O2" s="62"/>
    </row>
    <row r="3" spans="1:18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151">
        <v>0</v>
      </c>
      <c r="N3" s="160"/>
      <c r="O3" s="62"/>
    </row>
    <row r="4" spans="1:18">
      <c r="A4" s="201">
        <v>1</v>
      </c>
      <c r="B4" s="224">
        <v>45658</v>
      </c>
      <c r="C4" s="70"/>
      <c r="D4" s="163"/>
      <c r="E4" s="262"/>
      <c r="F4" s="262"/>
      <c r="G4" s="8">
        <f t="shared" ref="G4" si="0">E4*F4</f>
        <v>0</v>
      </c>
      <c r="H4" s="68">
        <v>0</v>
      </c>
      <c r="I4" s="69">
        <v>0</v>
      </c>
      <c r="J4" s="8">
        <f>H4*I4</f>
        <v>0</v>
      </c>
      <c r="K4" s="8">
        <f>G4+J4</f>
        <v>0</v>
      </c>
      <c r="L4" s="71">
        <f>+K4</f>
        <v>0</v>
      </c>
      <c r="M4" s="71">
        <v>0</v>
      </c>
      <c r="N4" s="8"/>
    </row>
    <row r="5" spans="1:18">
      <c r="A5" s="47">
        <v>2</v>
      </c>
      <c r="B5" s="224">
        <v>45659</v>
      </c>
      <c r="C5" s="70"/>
      <c r="D5" s="163"/>
      <c r="E5" s="262"/>
      <c r="F5" s="262"/>
      <c r="G5" s="8">
        <f t="shared" ref="G5:G33" si="1">E5*F5</f>
        <v>0</v>
      </c>
      <c r="H5" s="68">
        <v>0</v>
      </c>
      <c r="I5" s="69">
        <v>0</v>
      </c>
      <c r="J5" s="8">
        <f t="shared" ref="J5:J33" si="2">H5*I5</f>
        <v>0</v>
      </c>
      <c r="K5" s="8">
        <f t="shared" ref="K5:K33" si="3">G5+J5</f>
        <v>0</v>
      </c>
      <c r="L5" s="71">
        <f t="shared" ref="L5:L33" si="4">+K5</f>
        <v>0</v>
      </c>
      <c r="M5" s="71">
        <v>0</v>
      </c>
      <c r="N5" s="8"/>
    </row>
    <row r="6" spans="1:18">
      <c r="A6" s="47">
        <v>3</v>
      </c>
      <c r="B6" s="224">
        <v>45660</v>
      </c>
      <c r="C6" s="70"/>
      <c r="D6" s="163"/>
      <c r="E6" s="262"/>
      <c r="F6" s="262"/>
      <c r="G6" s="8">
        <f t="shared" si="1"/>
        <v>0</v>
      </c>
      <c r="H6" s="68">
        <v>0</v>
      </c>
      <c r="I6" s="69">
        <v>0</v>
      </c>
      <c r="J6" s="8">
        <f t="shared" si="2"/>
        <v>0</v>
      </c>
      <c r="K6" s="8">
        <f t="shared" si="3"/>
        <v>0</v>
      </c>
      <c r="L6" s="71">
        <f t="shared" si="4"/>
        <v>0</v>
      </c>
      <c r="M6" s="71">
        <v>0</v>
      </c>
      <c r="N6" s="8"/>
    </row>
    <row r="7" spans="1:18">
      <c r="A7" s="47">
        <v>4</v>
      </c>
      <c r="B7" s="224">
        <v>45661</v>
      </c>
      <c r="C7" s="70"/>
      <c r="D7" s="163"/>
      <c r="E7" s="262"/>
      <c r="F7" s="262"/>
      <c r="G7" s="8">
        <f t="shared" si="1"/>
        <v>0</v>
      </c>
      <c r="H7" s="68">
        <v>0</v>
      </c>
      <c r="I7" s="69">
        <v>0</v>
      </c>
      <c r="J7" s="8">
        <f t="shared" si="2"/>
        <v>0</v>
      </c>
      <c r="K7" s="8">
        <f t="shared" si="3"/>
        <v>0</v>
      </c>
      <c r="L7" s="71">
        <f t="shared" si="4"/>
        <v>0</v>
      </c>
      <c r="M7" s="71">
        <v>0</v>
      </c>
      <c r="N7" s="8"/>
    </row>
    <row r="8" spans="1:18">
      <c r="A8" s="47">
        <v>5</v>
      </c>
      <c r="B8" s="224">
        <v>45662</v>
      </c>
      <c r="C8" s="70"/>
      <c r="D8" s="163"/>
      <c r="E8" s="262"/>
      <c r="F8" s="262"/>
      <c r="G8" s="8">
        <f t="shared" si="1"/>
        <v>0</v>
      </c>
      <c r="H8" s="68">
        <v>0</v>
      </c>
      <c r="I8" s="69">
        <v>0</v>
      </c>
      <c r="J8" s="8">
        <f t="shared" si="2"/>
        <v>0</v>
      </c>
      <c r="K8" s="8">
        <f t="shared" si="3"/>
        <v>0</v>
      </c>
      <c r="L8" s="71">
        <f t="shared" si="4"/>
        <v>0</v>
      </c>
      <c r="M8" s="71">
        <v>0</v>
      </c>
      <c r="N8" s="8"/>
      <c r="O8" s="72"/>
      <c r="R8" s="230"/>
    </row>
    <row r="9" spans="1:18">
      <c r="A9" s="47">
        <v>6</v>
      </c>
      <c r="B9" s="224">
        <v>45663</v>
      </c>
      <c r="C9" s="70"/>
      <c r="D9" s="163"/>
      <c r="E9" s="262"/>
      <c r="F9" s="262"/>
      <c r="G9" s="8">
        <f t="shared" si="1"/>
        <v>0</v>
      </c>
      <c r="H9" s="68">
        <v>0</v>
      </c>
      <c r="I9" s="69">
        <v>0</v>
      </c>
      <c r="J9" s="8">
        <f t="shared" si="2"/>
        <v>0</v>
      </c>
      <c r="K9" s="8">
        <f t="shared" si="3"/>
        <v>0</v>
      </c>
      <c r="L9" s="71">
        <f t="shared" si="4"/>
        <v>0</v>
      </c>
      <c r="M9" s="71">
        <v>0</v>
      </c>
      <c r="N9" s="8"/>
      <c r="O9" s="72"/>
    </row>
    <row r="10" spans="1:18">
      <c r="A10" s="47">
        <v>7</v>
      </c>
      <c r="B10" s="224">
        <v>45664</v>
      </c>
      <c r="C10" s="70"/>
      <c r="D10" s="163"/>
      <c r="E10" s="262"/>
      <c r="F10" s="262"/>
      <c r="G10" s="8">
        <f t="shared" si="1"/>
        <v>0</v>
      </c>
      <c r="H10" s="68">
        <v>0</v>
      </c>
      <c r="I10" s="69">
        <v>0</v>
      </c>
      <c r="J10" s="8">
        <f t="shared" si="2"/>
        <v>0</v>
      </c>
      <c r="K10" s="8">
        <f t="shared" si="3"/>
        <v>0</v>
      </c>
      <c r="L10" s="71">
        <f t="shared" si="4"/>
        <v>0</v>
      </c>
      <c r="M10" s="71">
        <v>0</v>
      </c>
      <c r="N10" s="8"/>
      <c r="O10" s="72"/>
    </row>
    <row r="11" spans="1:18">
      <c r="A11" s="47">
        <v>8</v>
      </c>
      <c r="B11" s="224">
        <v>45665</v>
      </c>
      <c r="C11" s="70"/>
      <c r="D11" s="163"/>
      <c r="E11" s="262"/>
      <c r="F11" s="262"/>
      <c r="G11" s="8">
        <f t="shared" si="1"/>
        <v>0</v>
      </c>
      <c r="H11" s="68">
        <v>0</v>
      </c>
      <c r="I11" s="69">
        <v>0</v>
      </c>
      <c r="J11" s="8">
        <f t="shared" si="2"/>
        <v>0</v>
      </c>
      <c r="K11" s="8">
        <f t="shared" si="3"/>
        <v>0</v>
      </c>
      <c r="L11" s="71">
        <f t="shared" si="4"/>
        <v>0</v>
      </c>
      <c r="M11" s="71">
        <v>0</v>
      </c>
      <c r="N11" s="8"/>
      <c r="O11" s="72"/>
    </row>
    <row r="12" spans="1:18">
      <c r="A12" s="47">
        <v>9</v>
      </c>
      <c r="B12" s="224">
        <v>45666</v>
      </c>
      <c r="C12" s="70"/>
      <c r="D12" s="163"/>
      <c r="E12" s="262"/>
      <c r="F12" s="262"/>
      <c r="G12" s="8">
        <f t="shared" si="1"/>
        <v>0</v>
      </c>
      <c r="H12" s="68">
        <v>0</v>
      </c>
      <c r="I12" s="69">
        <v>0</v>
      </c>
      <c r="J12" s="8">
        <f t="shared" si="2"/>
        <v>0</v>
      </c>
      <c r="K12" s="8">
        <f t="shared" ref="K12:K18" si="5">G12+J12</f>
        <v>0</v>
      </c>
      <c r="L12" s="71">
        <f t="shared" ref="L12:L18" si="6">+K12</f>
        <v>0</v>
      </c>
      <c r="M12" s="71">
        <v>0</v>
      </c>
      <c r="N12" s="8"/>
      <c r="O12" s="72"/>
    </row>
    <row r="13" spans="1:18">
      <c r="A13" s="47">
        <v>10</v>
      </c>
      <c r="B13" s="224">
        <v>45667</v>
      </c>
      <c r="C13" s="70"/>
      <c r="D13" s="163"/>
      <c r="E13" s="262"/>
      <c r="F13" s="262"/>
      <c r="G13" s="8">
        <f t="shared" si="1"/>
        <v>0</v>
      </c>
      <c r="H13" s="68">
        <v>0</v>
      </c>
      <c r="I13" s="69">
        <v>0</v>
      </c>
      <c r="J13" s="8">
        <f t="shared" si="2"/>
        <v>0</v>
      </c>
      <c r="K13" s="8">
        <f t="shared" si="5"/>
        <v>0</v>
      </c>
      <c r="L13" s="71">
        <f t="shared" si="6"/>
        <v>0</v>
      </c>
      <c r="M13" s="71">
        <v>0</v>
      </c>
      <c r="N13" s="8"/>
      <c r="O13" s="72"/>
    </row>
    <row r="14" spans="1:18">
      <c r="A14" s="47">
        <v>11</v>
      </c>
      <c r="B14" s="224">
        <v>45668</v>
      </c>
      <c r="C14" s="70"/>
      <c r="D14" s="163"/>
      <c r="E14" s="262"/>
      <c r="F14" s="262"/>
      <c r="G14" s="8">
        <f t="shared" si="1"/>
        <v>0</v>
      </c>
      <c r="H14" s="68">
        <v>0</v>
      </c>
      <c r="I14" s="69">
        <v>0</v>
      </c>
      <c r="J14" s="8">
        <f t="shared" si="2"/>
        <v>0</v>
      </c>
      <c r="K14" s="8">
        <f t="shared" si="5"/>
        <v>0</v>
      </c>
      <c r="L14" s="71">
        <f t="shared" si="6"/>
        <v>0</v>
      </c>
      <c r="M14" s="71">
        <v>0</v>
      </c>
      <c r="N14" s="8"/>
      <c r="O14" s="72"/>
    </row>
    <row r="15" spans="1:18">
      <c r="A15" s="47">
        <v>12</v>
      </c>
      <c r="B15" s="224">
        <v>45669</v>
      </c>
      <c r="C15" s="70"/>
      <c r="D15" s="163"/>
      <c r="E15" s="262"/>
      <c r="F15" s="262"/>
      <c r="G15" s="8">
        <f t="shared" si="1"/>
        <v>0</v>
      </c>
      <c r="H15" s="68">
        <v>0</v>
      </c>
      <c r="I15" s="69">
        <v>0</v>
      </c>
      <c r="J15" s="8">
        <f t="shared" si="2"/>
        <v>0</v>
      </c>
      <c r="K15" s="8">
        <f t="shared" si="5"/>
        <v>0</v>
      </c>
      <c r="L15" s="71">
        <f t="shared" si="6"/>
        <v>0</v>
      </c>
      <c r="M15" s="71">
        <v>0</v>
      </c>
      <c r="N15" s="8"/>
      <c r="O15" s="72"/>
    </row>
    <row r="16" spans="1:18">
      <c r="A16" s="47">
        <v>13</v>
      </c>
      <c r="B16" s="224">
        <v>45670</v>
      </c>
      <c r="C16" s="70"/>
      <c r="D16" s="163"/>
      <c r="E16" s="262"/>
      <c r="F16" s="262"/>
      <c r="G16" s="8">
        <f t="shared" si="1"/>
        <v>0</v>
      </c>
      <c r="H16" s="68">
        <v>0</v>
      </c>
      <c r="I16" s="69">
        <v>0</v>
      </c>
      <c r="J16" s="8">
        <f t="shared" si="2"/>
        <v>0</v>
      </c>
      <c r="K16" s="8">
        <f t="shared" si="5"/>
        <v>0</v>
      </c>
      <c r="L16" s="71">
        <f t="shared" si="6"/>
        <v>0</v>
      </c>
      <c r="M16" s="71">
        <v>0</v>
      </c>
      <c r="N16" s="8"/>
      <c r="O16" s="72"/>
    </row>
    <row r="17" spans="1:15">
      <c r="A17" s="47">
        <v>14</v>
      </c>
      <c r="B17" s="224">
        <v>45671</v>
      </c>
      <c r="C17" s="70"/>
      <c r="D17" s="163"/>
      <c r="E17" s="262"/>
      <c r="F17" s="262"/>
      <c r="G17" s="8">
        <f t="shared" si="1"/>
        <v>0</v>
      </c>
      <c r="H17" s="68">
        <v>0</v>
      </c>
      <c r="I17" s="69">
        <v>0</v>
      </c>
      <c r="J17" s="8">
        <f t="shared" si="2"/>
        <v>0</v>
      </c>
      <c r="K17" s="8">
        <f t="shared" si="5"/>
        <v>0</v>
      </c>
      <c r="L17" s="71">
        <f t="shared" si="6"/>
        <v>0</v>
      </c>
      <c r="M17" s="71">
        <v>0</v>
      </c>
      <c r="N17" s="8"/>
      <c r="O17" s="72"/>
    </row>
    <row r="18" spans="1:15">
      <c r="A18" s="47">
        <v>15</v>
      </c>
      <c r="B18" s="224">
        <v>45672</v>
      </c>
      <c r="C18" s="70"/>
      <c r="D18" s="163"/>
      <c r="E18" s="262"/>
      <c r="F18" s="262"/>
      <c r="G18" s="8">
        <f t="shared" si="1"/>
        <v>0</v>
      </c>
      <c r="H18" s="68">
        <v>0</v>
      </c>
      <c r="I18" s="69">
        <v>0</v>
      </c>
      <c r="J18" s="8">
        <f t="shared" si="2"/>
        <v>0</v>
      </c>
      <c r="K18" s="8">
        <f t="shared" si="5"/>
        <v>0</v>
      </c>
      <c r="L18" s="71">
        <f t="shared" si="6"/>
        <v>0</v>
      </c>
      <c r="M18" s="71">
        <v>0</v>
      </c>
      <c r="N18" s="8"/>
      <c r="O18" s="72"/>
    </row>
    <row r="19" spans="1:15">
      <c r="A19" s="47">
        <v>16</v>
      </c>
      <c r="B19" s="224">
        <v>45673</v>
      </c>
      <c r="C19" s="70"/>
      <c r="D19" s="163"/>
      <c r="E19" s="262"/>
      <c r="F19" s="262"/>
      <c r="G19" s="8">
        <f t="shared" si="1"/>
        <v>0</v>
      </c>
      <c r="H19" s="68">
        <v>0</v>
      </c>
      <c r="I19" s="69">
        <v>0</v>
      </c>
      <c r="J19" s="8">
        <f t="shared" si="2"/>
        <v>0</v>
      </c>
      <c r="K19" s="8">
        <f t="shared" si="3"/>
        <v>0</v>
      </c>
      <c r="L19" s="71">
        <f t="shared" si="4"/>
        <v>0</v>
      </c>
      <c r="M19" s="71">
        <v>0</v>
      </c>
      <c r="N19" s="8"/>
      <c r="O19" s="72"/>
    </row>
    <row r="20" spans="1:15">
      <c r="A20" s="47">
        <v>17</v>
      </c>
      <c r="B20" s="224">
        <v>45674</v>
      </c>
      <c r="C20" s="70"/>
      <c r="D20" s="163"/>
      <c r="E20" s="262"/>
      <c r="F20" s="262"/>
      <c r="G20" s="8">
        <f t="shared" si="1"/>
        <v>0</v>
      </c>
      <c r="H20" s="68">
        <v>0</v>
      </c>
      <c r="I20" s="69">
        <v>0</v>
      </c>
      <c r="J20" s="8">
        <f t="shared" si="2"/>
        <v>0</v>
      </c>
      <c r="K20" s="8">
        <f t="shared" si="3"/>
        <v>0</v>
      </c>
      <c r="L20" s="71">
        <f t="shared" si="4"/>
        <v>0</v>
      </c>
      <c r="M20" s="71">
        <v>0</v>
      </c>
      <c r="N20" s="8"/>
      <c r="O20" s="72"/>
    </row>
    <row r="21" spans="1:15">
      <c r="A21" s="47">
        <v>18</v>
      </c>
      <c r="B21" s="224">
        <v>45675</v>
      </c>
      <c r="C21" s="70"/>
      <c r="D21" s="163"/>
      <c r="E21" s="262"/>
      <c r="F21" s="262"/>
      <c r="G21" s="8">
        <f t="shared" si="1"/>
        <v>0</v>
      </c>
      <c r="H21" s="68">
        <v>0</v>
      </c>
      <c r="I21" s="69">
        <v>0</v>
      </c>
      <c r="J21" s="8">
        <f t="shared" si="2"/>
        <v>0</v>
      </c>
      <c r="K21" s="8">
        <f t="shared" si="3"/>
        <v>0</v>
      </c>
      <c r="L21" s="71">
        <f t="shared" si="4"/>
        <v>0</v>
      </c>
      <c r="M21" s="71">
        <v>0</v>
      </c>
      <c r="N21" s="8"/>
      <c r="O21" s="72"/>
    </row>
    <row r="22" spans="1:15">
      <c r="A22" s="47">
        <v>19</v>
      </c>
      <c r="B22" s="224">
        <v>45676</v>
      </c>
      <c r="C22" s="70"/>
      <c r="D22" s="163"/>
      <c r="E22" s="262"/>
      <c r="F22" s="262"/>
      <c r="G22" s="8">
        <f t="shared" si="1"/>
        <v>0</v>
      </c>
      <c r="H22" s="68">
        <v>0</v>
      </c>
      <c r="I22" s="69">
        <v>0</v>
      </c>
      <c r="J22" s="8">
        <f t="shared" si="2"/>
        <v>0</v>
      </c>
      <c r="K22" s="8">
        <f t="shared" si="3"/>
        <v>0</v>
      </c>
      <c r="L22" s="71">
        <f t="shared" si="4"/>
        <v>0</v>
      </c>
      <c r="M22" s="71">
        <v>0</v>
      </c>
      <c r="N22" s="8"/>
      <c r="O22" s="72"/>
    </row>
    <row r="23" spans="1:15">
      <c r="A23" s="47">
        <v>20</v>
      </c>
      <c r="B23" s="224">
        <v>45677</v>
      </c>
      <c r="C23" s="70"/>
      <c r="D23" s="163"/>
      <c r="E23" s="262"/>
      <c r="F23" s="262"/>
      <c r="G23" s="8">
        <f t="shared" si="1"/>
        <v>0</v>
      </c>
      <c r="H23" s="68">
        <v>0</v>
      </c>
      <c r="I23" s="69">
        <v>0</v>
      </c>
      <c r="J23" s="8">
        <f t="shared" si="2"/>
        <v>0</v>
      </c>
      <c r="K23" s="8">
        <f t="shared" si="3"/>
        <v>0</v>
      </c>
      <c r="L23" s="71">
        <f t="shared" si="4"/>
        <v>0</v>
      </c>
      <c r="M23" s="71">
        <v>0</v>
      </c>
      <c r="N23" s="8"/>
      <c r="O23" s="72"/>
    </row>
    <row r="24" spans="1:15">
      <c r="A24" s="47">
        <v>21</v>
      </c>
      <c r="B24" s="224">
        <v>45678</v>
      </c>
      <c r="C24" s="70"/>
      <c r="D24" s="163"/>
      <c r="E24" s="262"/>
      <c r="F24" s="262"/>
      <c r="G24" s="8">
        <f t="shared" si="1"/>
        <v>0</v>
      </c>
      <c r="H24" s="68">
        <v>0</v>
      </c>
      <c r="I24" s="69">
        <v>0</v>
      </c>
      <c r="J24" s="8">
        <f t="shared" si="2"/>
        <v>0</v>
      </c>
      <c r="K24" s="8">
        <f t="shared" si="3"/>
        <v>0</v>
      </c>
      <c r="L24" s="71">
        <f t="shared" si="4"/>
        <v>0</v>
      </c>
      <c r="M24" s="71">
        <v>0</v>
      </c>
      <c r="N24" s="8"/>
      <c r="O24" s="72"/>
    </row>
    <row r="25" spans="1:15">
      <c r="A25" s="47">
        <v>22</v>
      </c>
      <c r="B25" s="224">
        <v>45679</v>
      </c>
      <c r="C25" s="70"/>
      <c r="D25" s="163"/>
      <c r="E25" s="262"/>
      <c r="F25" s="262"/>
      <c r="G25" s="8">
        <f t="shared" si="1"/>
        <v>0</v>
      </c>
      <c r="H25" s="68">
        <v>0</v>
      </c>
      <c r="I25" s="69">
        <v>0</v>
      </c>
      <c r="J25" s="8">
        <f t="shared" si="2"/>
        <v>0</v>
      </c>
      <c r="K25" s="8">
        <f t="shared" si="3"/>
        <v>0</v>
      </c>
      <c r="L25" s="71">
        <f t="shared" si="4"/>
        <v>0</v>
      </c>
      <c r="M25" s="71">
        <v>0</v>
      </c>
      <c r="N25" s="8"/>
      <c r="O25" s="72"/>
    </row>
    <row r="26" spans="1:15">
      <c r="A26" s="47">
        <v>23</v>
      </c>
      <c r="B26" s="224">
        <v>45680</v>
      </c>
      <c r="C26" s="70"/>
      <c r="D26" s="163"/>
      <c r="E26" s="262"/>
      <c r="F26" s="8"/>
      <c r="G26" s="8">
        <f t="shared" si="1"/>
        <v>0</v>
      </c>
      <c r="H26" s="68">
        <v>0</v>
      </c>
      <c r="I26" s="69">
        <v>0</v>
      </c>
      <c r="J26" s="8">
        <f t="shared" si="2"/>
        <v>0</v>
      </c>
      <c r="K26" s="8">
        <f t="shared" si="3"/>
        <v>0</v>
      </c>
      <c r="L26" s="71">
        <f t="shared" si="4"/>
        <v>0</v>
      </c>
      <c r="M26" s="71">
        <v>0</v>
      </c>
      <c r="N26" s="8"/>
      <c r="O26" s="72"/>
    </row>
    <row r="27" spans="1:15">
      <c r="A27" s="47">
        <v>24</v>
      </c>
      <c r="B27" s="224">
        <v>45681</v>
      </c>
      <c r="C27" s="70"/>
      <c r="D27" s="163"/>
      <c r="E27" s="262"/>
      <c r="F27" s="262"/>
      <c r="G27" s="8">
        <f t="shared" si="1"/>
        <v>0</v>
      </c>
      <c r="H27" s="68">
        <v>0</v>
      </c>
      <c r="I27" s="69">
        <v>0</v>
      </c>
      <c r="J27" s="8">
        <f t="shared" si="2"/>
        <v>0</v>
      </c>
      <c r="K27" s="8">
        <f t="shared" si="3"/>
        <v>0</v>
      </c>
      <c r="L27" s="71">
        <f t="shared" si="4"/>
        <v>0</v>
      </c>
      <c r="M27" s="71">
        <v>0</v>
      </c>
      <c r="N27" s="8"/>
      <c r="O27" s="72"/>
    </row>
    <row r="28" spans="1:15">
      <c r="A28" s="226">
        <v>25</v>
      </c>
      <c r="B28" s="224">
        <v>45682</v>
      </c>
      <c r="C28" s="70"/>
      <c r="D28" s="163"/>
      <c r="E28" s="262"/>
      <c r="F28" s="262"/>
      <c r="G28" s="8"/>
      <c r="H28" s="68">
        <v>0</v>
      </c>
      <c r="I28" s="69">
        <v>0</v>
      </c>
      <c r="J28" s="8">
        <f t="shared" si="2"/>
        <v>0</v>
      </c>
      <c r="K28" s="8">
        <f t="shared" si="3"/>
        <v>0</v>
      </c>
      <c r="L28" s="71">
        <f t="shared" si="4"/>
        <v>0</v>
      </c>
      <c r="M28" s="71">
        <v>0</v>
      </c>
      <c r="N28" s="8"/>
      <c r="O28" s="72"/>
    </row>
    <row r="29" spans="1:15">
      <c r="A29" s="226">
        <v>26</v>
      </c>
      <c r="B29" s="224">
        <v>45683</v>
      </c>
      <c r="C29" s="70"/>
      <c r="D29" s="163"/>
      <c r="E29" s="262"/>
      <c r="F29" s="262"/>
      <c r="G29" s="8">
        <f t="shared" si="1"/>
        <v>0</v>
      </c>
      <c r="H29" s="68">
        <v>0</v>
      </c>
      <c r="I29" s="69">
        <v>0</v>
      </c>
      <c r="J29" s="8">
        <f t="shared" si="2"/>
        <v>0</v>
      </c>
      <c r="K29" s="8">
        <f t="shared" si="3"/>
        <v>0</v>
      </c>
      <c r="L29" s="71">
        <f t="shared" si="4"/>
        <v>0</v>
      </c>
      <c r="M29" s="71">
        <v>0</v>
      </c>
      <c r="N29" s="8"/>
      <c r="O29" s="72"/>
    </row>
    <row r="30" spans="1:15">
      <c r="A30" s="226">
        <v>27</v>
      </c>
      <c r="B30" s="224">
        <v>45684</v>
      </c>
      <c r="C30" s="70"/>
      <c r="D30" s="163"/>
      <c r="E30" s="262"/>
      <c r="F30" s="262"/>
      <c r="G30" s="8">
        <f t="shared" si="1"/>
        <v>0</v>
      </c>
      <c r="H30" s="68">
        <v>0</v>
      </c>
      <c r="I30" s="69">
        <v>0</v>
      </c>
      <c r="J30" s="8">
        <f t="shared" si="2"/>
        <v>0</v>
      </c>
      <c r="K30" s="8">
        <f t="shared" si="3"/>
        <v>0</v>
      </c>
      <c r="L30" s="71">
        <f t="shared" si="4"/>
        <v>0</v>
      </c>
      <c r="M30" s="71">
        <v>0</v>
      </c>
      <c r="N30" s="8"/>
      <c r="O30" s="72"/>
    </row>
    <row r="31" spans="1:15">
      <c r="A31" s="226">
        <v>28</v>
      </c>
      <c r="B31" s="224">
        <v>45685</v>
      </c>
      <c r="C31" s="70"/>
      <c r="D31" s="163"/>
      <c r="E31" s="262"/>
      <c r="F31" s="262"/>
      <c r="G31" s="8">
        <f t="shared" si="1"/>
        <v>0</v>
      </c>
      <c r="H31" s="68">
        <v>0</v>
      </c>
      <c r="I31" s="69">
        <v>0</v>
      </c>
      <c r="J31" s="8">
        <f t="shared" si="2"/>
        <v>0</v>
      </c>
      <c r="K31" s="8">
        <f t="shared" si="3"/>
        <v>0</v>
      </c>
      <c r="L31" s="71">
        <f t="shared" si="4"/>
        <v>0</v>
      </c>
      <c r="M31" s="71">
        <v>0</v>
      </c>
      <c r="N31" s="8"/>
      <c r="O31" s="72"/>
    </row>
    <row r="32" spans="1:15">
      <c r="A32" s="227">
        <v>29</v>
      </c>
      <c r="B32" s="224">
        <v>45686</v>
      </c>
      <c r="C32" s="70"/>
      <c r="D32" s="163"/>
      <c r="E32" s="262"/>
      <c r="F32" s="262"/>
      <c r="G32" s="8">
        <f t="shared" si="1"/>
        <v>0</v>
      </c>
      <c r="H32" s="68">
        <v>0</v>
      </c>
      <c r="I32" s="69">
        <v>0</v>
      </c>
      <c r="J32" s="8">
        <f t="shared" si="2"/>
        <v>0</v>
      </c>
      <c r="K32" s="8">
        <f t="shared" si="3"/>
        <v>0</v>
      </c>
      <c r="L32" s="71">
        <f t="shared" si="4"/>
        <v>0</v>
      </c>
      <c r="M32" s="71">
        <v>0</v>
      </c>
      <c r="N32" s="8"/>
      <c r="O32" s="72"/>
    </row>
    <row r="33" spans="1:15">
      <c r="A33" s="227">
        <v>30</v>
      </c>
      <c r="B33" s="224">
        <v>45687</v>
      </c>
      <c r="C33" s="70"/>
      <c r="D33" s="163"/>
      <c r="E33" s="262">
        <v>36.130000000000003</v>
      </c>
      <c r="F33" s="262">
        <v>96.83</v>
      </c>
      <c r="G33" s="8">
        <f t="shared" si="1"/>
        <v>3498.4679000000001</v>
      </c>
      <c r="H33" s="68">
        <v>0</v>
      </c>
      <c r="I33" s="69">
        <v>0</v>
      </c>
      <c r="J33" s="8">
        <f t="shared" si="2"/>
        <v>0</v>
      </c>
      <c r="K33" s="8">
        <f t="shared" si="3"/>
        <v>3498.4679000000001</v>
      </c>
      <c r="L33" s="71">
        <f t="shared" si="4"/>
        <v>3498.4679000000001</v>
      </c>
      <c r="M33" s="71">
        <v>0</v>
      </c>
      <c r="N33" s="8"/>
      <c r="O33" s="72"/>
    </row>
    <row r="34" spans="1:15">
      <c r="A34" s="227">
        <v>31</v>
      </c>
      <c r="B34" s="224">
        <v>45688</v>
      </c>
      <c r="C34" s="70"/>
      <c r="D34" s="163"/>
      <c r="E34" s="262"/>
      <c r="F34" s="262"/>
      <c r="G34" s="8">
        <f t="shared" ref="G34" si="7">E34*F34</f>
        <v>0</v>
      </c>
      <c r="H34" s="68">
        <v>0</v>
      </c>
      <c r="I34" s="69">
        <v>0</v>
      </c>
      <c r="J34" s="8">
        <f t="shared" ref="J34" si="8">H34*I34</f>
        <v>0</v>
      </c>
      <c r="K34" s="8">
        <f t="shared" ref="K34" si="9">G34+J34</f>
        <v>0</v>
      </c>
      <c r="L34" s="71">
        <f t="shared" ref="L34" si="10">+K34</f>
        <v>0</v>
      </c>
      <c r="M34" s="71">
        <v>0</v>
      </c>
      <c r="N34" s="8"/>
      <c r="O34" s="72"/>
    </row>
    <row r="35" spans="1:15">
      <c r="A35" s="65"/>
      <c r="B35" s="65"/>
      <c r="C35" s="65"/>
      <c r="D35" s="65"/>
      <c r="E35" s="263">
        <f>SUM(E4:E34)</f>
        <v>36.130000000000003</v>
      </c>
      <c r="F35" s="263"/>
      <c r="G35" s="66">
        <f>SUM(G4:G34)</f>
        <v>3498.4679000000001</v>
      </c>
      <c r="H35" s="66">
        <f>SUM(H4:H34)</f>
        <v>0</v>
      </c>
      <c r="I35" s="66"/>
      <c r="J35" s="66">
        <f>SUM(J4:J34)</f>
        <v>0</v>
      </c>
      <c r="K35" s="66">
        <f>SUM(K4:K34)</f>
        <v>3498.4679000000001</v>
      </c>
      <c r="L35" s="66">
        <f>SUM(L4:L34)</f>
        <v>3498.4679000000001</v>
      </c>
      <c r="M35" s="66"/>
      <c r="N35" s="66"/>
      <c r="O35" s="62"/>
    </row>
    <row r="36" spans="1:15">
      <c r="A36" s="75"/>
      <c r="B36" s="76"/>
      <c r="C36" s="75"/>
      <c r="D36" s="75"/>
      <c r="E36" s="77"/>
      <c r="F36" s="77"/>
      <c r="G36" s="77"/>
      <c r="H36" s="77"/>
      <c r="I36" s="77"/>
      <c r="J36" s="78"/>
      <c r="K36" s="78"/>
      <c r="L36" s="78"/>
      <c r="M36" s="78"/>
      <c r="N36" s="77"/>
      <c r="O36" s="72"/>
    </row>
    <row r="37" spans="1:15">
      <c r="O37" s="72"/>
    </row>
    <row r="38" spans="1:15">
      <c r="O38" s="72"/>
    </row>
    <row r="39" spans="1:15">
      <c r="O39" s="72"/>
    </row>
    <row r="40" spans="1:15">
      <c r="O40" s="72"/>
    </row>
    <row r="41" spans="1:15">
      <c r="O41" s="72"/>
    </row>
    <row r="42" spans="1:15">
      <c r="A42" s="72"/>
      <c r="B42" s="62"/>
      <c r="C42" s="72"/>
      <c r="D42" s="72"/>
      <c r="E42" s="72"/>
      <c r="F42" s="72"/>
      <c r="G42" s="79"/>
      <c r="H42" s="72"/>
      <c r="I42" s="72"/>
      <c r="J42" s="62"/>
      <c r="K42" s="62"/>
      <c r="L42" s="62"/>
      <c r="M42" s="62"/>
      <c r="N42" s="72"/>
      <c r="O42" s="77"/>
    </row>
    <row r="43" spans="1:15">
      <c r="A43" s="72"/>
      <c r="B43" s="472"/>
      <c r="C43" s="472"/>
      <c r="D43" s="472"/>
      <c r="E43" s="472"/>
      <c r="F43" s="72"/>
      <c r="G43" s="72"/>
      <c r="H43" s="72"/>
      <c r="I43" s="472"/>
      <c r="J43" s="472"/>
      <c r="K43" s="472"/>
      <c r="L43" s="472"/>
      <c r="M43" s="472"/>
      <c r="N43" s="472"/>
      <c r="O43" s="77"/>
    </row>
    <row r="44" spans="1:15">
      <c r="A44" s="72"/>
      <c r="B44" s="62"/>
      <c r="C44" s="72"/>
      <c r="D44" s="72"/>
      <c r="E44" s="72"/>
      <c r="F44" s="72"/>
      <c r="G44" s="72"/>
      <c r="H44" s="72"/>
      <c r="I44" s="72"/>
      <c r="J44" s="62"/>
      <c r="K44" s="62"/>
      <c r="L44" s="62"/>
      <c r="M44" s="62"/>
      <c r="N44" s="72"/>
      <c r="O44" s="77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4FFC41-4E21-4FD6-9FE8-E1AAC5267FD0}">
  <dimension ref="A1:R47"/>
  <sheetViews>
    <sheetView topLeftCell="A22" workbookViewId="0">
      <selection activeCell="L35" sqref="L35"/>
    </sheetView>
  </sheetViews>
  <sheetFormatPr defaultColWidth="18.28515625" defaultRowHeight="15"/>
  <cols>
    <col min="1" max="1" width="13.42578125" customWidth="1"/>
    <col min="3" max="3" width="43" bestFit="1" customWidth="1"/>
    <col min="4" max="4" width="25" bestFit="1" customWidth="1"/>
    <col min="5" max="5" width="11.5703125" customWidth="1"/>
    <col min="6" max="6" width="11.140625" customWidth="1"/>
    <col min="7" max="7" width="11.28515625" customWidth="1"/>
    <col min="8" max="8" width="9.85546875" customWidth="1"/>
    <col min="10" max="10" width="16.5703125" customWidth="1"/>
  </cols>
  <sheetData>
    <row r="1" spans="1:18" ht="15.75">
      <c r="A1" s="323" t="s">
        <v>202</v>
      </c>
      <c r="B1" s="323" t="s">
        <v>203</v>
      </c>
      <c r="C1" s="323">
        <v>42.18</v>
      </c>
      <c r="D1" s="323">
        <v>86.75</v>
      </c>
      <c r="E1" s="323">
        <v>3659.12</v>
      </c>
      <c r="F1" s="323">
        <v>5</v>
      </c>
      <c r="G1" s="323">
        <v>96.91</v>
      </c>
      <c r="H1" s="323">
        <v>484.55</v>
      </c>
      <c r="I1" s="396">
        <v>4143.67</v>
      </c>
      <c r="J1" s="395"/>
      <c r="K1" s="395"/>
      <c r="L1" s="395"/>
      <c r="M1" s="395"/>
      <c r="N1" s="395"/>
      <c r="O1" s="85"/>
    </row>
    <row r="2" spans="1:18" ht="30.75">
      <c r="A2" s="101" t="s">
        <v>129</v>
      </c>
      <c r="B2" s="102" t="s">
        <v>130</v>
      </c>
      <c r="C2" s="102" t="s">
        <v>131</v>
      </c>
      <c r="D2" s="102" t="s">
        <v>198</v>
      </c>
      <c r="E2" s="261" t="s">
        <v>133</v>
      </c>
      <c r="F2" s="261" t="s">
        <v>134</v>
      </c>
      <c r="G2" s="102" t="s">
        <v>135</v>
      </c>
      <c r="H2" s="102" t="s">
        <v>136</v>
      </c>
      <c r="I2" s="102" t="s">
        <v>134</v>
      </c>
      <c r="J2" s="141" t="s">
        <v>135</v>
      </c>
      <c r="K2" s="103" t="s">
        <v>137</v>
      </c>
      <c r="L2" s="142" t="s">
        <v>138</v>
      </c>
      <c r="M2" s="146" t="s">
        <v>199</v>
      </c>
      <c r="N2" s="104" t="s">
        <v>140</v>
      </c>
      <c r="O2" s="62"/>
    </row>
    <row r="3" spans="1:18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151">
        <v>0</v>
      </c>
      <c r="N3" s="160"/>
      <c r="O3" s="62"/>
    </row>
    <row r="4" spans="1:18">
      <c r="A4" s="201">
        <v>1</v>
      </c>
      <c r="B4" s="224"/>
      <c r="C4" s="323" t="s">
        <v>202</v>
      </c>
      <c r="D4" s="323" t="s">
        <v>203</v>
      </c>
      <c r="E4" s="323">
        <v>67.3</v>
      </c>
      <c r="F4" s="323">
        <v>86.75</v>
      </c>
      <c r="G4" s="323">
        <f>E4*F4</f>
        <v>5838.2749999999996</v>
      </c>
      <c r="H4" s="323">
        <v>5</v>
      </c>
      <c r="I4" s="323">
        <v>96.91</v>
      </c>
      <c r="J4" s="8">
        <f>H4*I4</f>
        <v>484.54999999999995</v>
      </c>
      <c r="K4" s="8">
        <f>G4+J4</f>
        <v>6322.8249999999998</v>
      </c>
      <c r="L4" s="71">
        <v>6322.83</v>
      </c>
      <c r="M4" s="71">
        <f>+M3+K4-L4</f>
        <v>-5.0000000001091394E-3</v>
      </c>
      <c r="N4" s="8"/>
    </row>
    <row r="5" spans="1:18">
      <c r="A5" s="47">
        <v>2</v>
      </c>
      <c r="B5" s="224"/>
      <c r="C5" s="70"/>
      <c r="D5" s="163"/>
      <c r="E5" s="107"/>
      <c r="F5" s="262"/>
      <c r="G5" s="8">
        <f t="shared" ref="G5:G37" si="0">E5*F5</f>
        <v>0</v>
      </c>
      <c r="H5" s="107">
        <v>0</v>
      </c>
      <c r="I5" s="262">
        <v>0</v>
      </c>
      <c r="J5" s="8">
        <f t="shared" ref="J5:J37" si="1">H5*I5</f>
        <v>0</v>
      </c>
      <c r="K5" s="8">
        <f t="shared" ref="K5:K37" si="2">G5+J5</f>
        <v>0</v>
      </c>
      <c r="L5" s="71"/>
      <c r="M5" s="71">
        <f t="shared" ref="M5:M37" si="3">+M4+K5-L5</f>
        <v>-5.0000000001091394E-3</v>
      </c>
      <c r="N5" s="8"/>
    </row>
    <row r="6" spans="1:18">
      <c r="A6" s="47">
        <v>3</v>
      </c>
      <c r="B6" s="224"/>
      <c r="C6" s="70"/>
      <c r="D6" s="163"/>
      <c r="E6" s="107"/>
      <c r="F6" s="262"/>
      <c r="G6" s="8">
        <f t="shared" si="0"/>
        <v>0</v>
      </c>
      <c r="H6" s="107">
        <v>0</v>
      </c>
      <c r="I6" s="262">
        <v>0</v>
      </c>
      <c r="J6" s="8">
        <f t="shared" si="1"/>
        <v>0</v>
      </c>
      <c r="K6" s="8">
        <f t="shared" si="2"/>
        <v>0</v>
      </c>
      <c r="L6" s="71"/>
      <c r="M6" s="71">
        <f t="shared" si="3"/>
        <v>-5.0000000001091394E-3</v>
      </c>
      <c r="N6" s="8"/>
    </row>
    <row r="7" spans="1:18">
      <c r="A7" s="201">
        <v>4</v>
      </c>
      <c r="B7" s="224"/>
      <c r="C7" s="70"/>
      <c r="D7" s="163"/>
      <c r="E7" s="107"/>
      <c r="F7" s="262"/>
      <c r="G7" s="8">
        <f t="shared" si="0"/>
        <v>0</v>
      </c>
      <c r="H7" s="107">
        <v>0</v>
      </c>
      <c r="I7" s="262">
        <v>0</v>
      </c>
      <c r="J7" s="8">
        <f t="shared" si="1"/>
        <v>0</v>
      </c>
      <c r="K7" s="8">
        <f t="shared" si="2"/>
        <v>0</v>
      </c>
      <c r="L7" s="71"/>
      <c r="M7" s="71">
        <f t="shared" si="3"/>
        <v>-5.0000000001091394E-3</v>
      </c>
      <c r="N7" s="8"/>
    </row>
    <row r="8" spans="1:18">
      <c r="A8" s="47">
        <v>5</v>
      </c>
      <c r="B8" s="224"/>
      <c r="C8" s="70"/>
      <c r="D8" s="163"/>
      <c r="E8" s="107"/>
      <c r="F8" s="262"/>
      <c r="G8" s="8">
        <f t="shared" si="0"/>
        <v>0</v>
      </c>
      <c r="H8" s="107">
        <v>0</v>
      </c>
      <c r="I8" s="262">
        <v>0</v>
      </c>
      <c r="J8" s="8">
        <f t="shared" si="1"/>
        <v>0</v>
      </c>
      <c r="K8" s="8">
        <f t="shared" si="2"/>
        <v>0</v>
      </c>
      <c r="L8" s="71"/>
      <c r="M8" s="71">
        <f t="shared" si="3"/>
        <v>-5.0000000001091394E-3</v>
      </c>
      <c r="N8" s="8"/>
      <c r="O8" s="72"/>
      <c r="R8" s="230"/>
    </row>
    <row r="9" spans="1:18">
      <c r="A9" s="47">
        <v>6</v>
      </c>
      <c r="B9" s="224"/>
      <c r="C9" s="323" t="s">
        <v>202</v>
      </c>
      <c r="D9" s="323" t="s">
        <v>203</v>
      </c>
      <c r="E9" s="323">
        <v>42.18</v>
      </c>
      <c r="F9" s="323">
        <v>86.75</v>
      </c>
      <c r="G9" s="323">
        <v>3659.12</v>
      </c>
      <c r="H9" s="323">
        <v>5</v>
      </c>
      <c r="I9" s="323">
        <v>96.91</v>
      </c>
      <c r="J9" s="323">
        <v>484.55</v>
      </c>
      <c r="K9" s="396">
        <v>4143.67</v>
      </c>
      <c r="L9" s="8">
        <v>4143.67</v>
      </c>
      <c r="M9" s="71">
        <f t="shared" si="3"/>
        <v>-5.0000000001091394E-3</v>
      </c>
      <c r="N9" s="8"/>
      <c r="O9" s="72"/>
    </row>
    <row r="10" spans="1:18">
      <c r="A10" s="201">
        <v>7</v>
      </c>
      <c r="B10" s="224"/>
      <c r="C10" s="70"/>
      <c r="D10" s="163"/>
      <c r="E10" s="107"/>
      <c r="F10" s="262"/>
      <c r="G10" s="8">
        <f t="shared" si="0"/>
        <v>0</v>
      </c>
      <c r="H10" s="107">
        <v>0</v>
      </c>
      <c r="I10" s="262">
        <v>0</v>
      </c>
      <c r="J10" s="8">
        <f t="shared" si="1"/>
        <v>0</v>
      </c>
      <c r="K10" s="8">
        <f t="shared" si="2"/>
        <v>0</v>
      </c>
      <c r="L10" s="8"/>
      <c r="M10" s="71">
        <f t="shared" si="3"/>
        <v>-5.0000000001091394E-3</v>
      </c>
      <c r="N10" s="8"/>
      <c r="O10" s="72"/>
    </row>
    <row r="11" spans="1:18">
      <c r="A11" s="47">
        <v>8</v>
      </c>
      <c r="B11" s="224"/>
      <c r="C11" s="70" t="s">
        <v>204</v>
      </c>
      <c r="D11" s="163" t="s">
        <v>205</v>
      </c>
      <c r="E11" s="107">
        <v>0</v>
      </c>
      <c r="F11" s="262"/>
      <c r="G11" s="8"/>
      <c r="H11" s="107">
        <v>5</v>
      </c>
      <c r="I11" s="262">
        <v>109.94</v>
      </c>
      <c r="J11" s="8">
        <v>550</v>
      </c>
      <c r="K11" s="8">
        <v>550</v>
      </c>
      <c r="L11" s="71">
        <v>550</v>
      </c>
      <c r="M11" s="71">
        <f t="shared" si="3"/>
        <v>-5.0000000001091394E-3</v>
      </c>
      <c r="N11" s="8"/>
      <c r="O11" s="72"/>
    </row>
    <row r="12" spans="1:18">
      <c r="A12" s="47">
        <v>9</v>
      </c>
      <c r="B12" s="224"/>
      <c r="C12" s="70"/>
      <c r="D12" s="163"/>
      <c r="E12" s="107"/>
      <c r="F12" s="262"/>
      <c r="G12" s="8">
        <f t="shared" si="0"/>
        <v>0</v>
      </c>
      <c r="H12" s="107">
        <v>0</v>
      </c>
      <c r="I12" s="262">
        <v>0</v>
      </c>
      <c r="J12" s="8">
        <f t="shared" si="1"/>
        <v>0</v>
      </c>
      <c r="K12" s="8">
        <f t="shared" si="2"/>
        <v>0</v>
      </c>
      <c r="L12" s="71"/>
      <c r="M12" s="71">
        <f t="shared" si="3"/>
        <v>-5.0000000001091394E-3</v>
      </c>
      <c r="N12" s="8"/>
      <c r="O12" s="72"/>
    </row>
    <row r="13" spans="1:18">
      <c r="A13" s="201">
        <v>10</v>
      </c>
      <c r="B13" s="224"/>
      <c r="C13" s="70"/>
      <c r="D13" s="163"/>
      <c r="E13" s="107"/>
      <c r="F13" s="262"/>
      <c r="G13" s="8">
        <f t="shared" si="0"/>
        <v>0</v>
      </c>
      <c r="H13" s="107">
        <v>0</v>
      </c>
      <c r="I13" s="262">
        <v>0</v>
      </c>
      <c r="J13" s="8">
        <f t="shared" si="1"/>
        <v>0</v>
      </c>
      <c r="K13" s="8">
        <f t="shared" si="2"/>
        <v>0</v>
      </c>
      <c r="L13" s="71"/>
      <c r="M13" s="71">
        <f t="shared" si="3"/>
        <v>-5.0000000001091394E-3</v>
      </c>
      <c r="N13" s="8"/>
      <c r="O13" s="72"/>
    </row>
    <row r="14" spans="1:18">
      <c r="A14" s="47">
        <v>11</v>
      </c>
      <c r="B14" s="224"/>
      <c r="C14" s="70"/>
      <c r="D14" s="163"/>
      <c r="E14" s="107"/>
      <c r="F14" s="262"/>
      <c r="G14" s="8">
        <f t="shared" si="0"/>
        <v>0</v>
      </c>
      <c r="H14" s="107">
        <v>0</v>
      </c>
      <c r="I14" s="262">
        <v>0</v>
      </c>
      <c r="J14" s="8">
        <f t="shared" si="1"/>
        <v>0</v>
      </c>
      <c r="K14" s="8">
        <f t="shared" si="2"/>
        <v>0</v>
      </c>
      <c r="L14" s="71"/>
      <c r="M14" s="71">
        <f t="shared" si="3"/>
        <v>-5.0000000001091394E-3</v>
      </c>
      <c r="N14" s="8"/>
      <c r="O14" s="72"/>
    </row>
    <row r="15" spans="1:18">
      <c r="A15" s="47">
        <v>12</v>
      </c>
      <c r="B15" s="224"/>
      <c r="C15" s="70"/>
      <c r="D15" s="163"/>
      <c r="E15" s="107"/>
      <c r="F15" s="262"/>
      <c r="G15" s="8">
        <f t="shared" si="0"/>
        <v>0</v>
      </c>
      <c r="H15" s="107">
        <v>0</v>
      </c>
      <c r="I15" s="262">
        <v>0</v>
      </c>
      <c r="J15" s="8">
        <f t="shared" si="1"/>
        <v>0</v>
      </c>
      <c r="K15" s="8">
        <f t="shared" si="2"/>
        <v>0</v>
      </c>
      <c r="L15" s="71"/>
      <c r="M15" s="71">
        <f t="shared" si="3"/>
        <v>-5.0000000001091394E-3</v>
      </c>
      <c r="N15" s="8"/>
      <c r="O15" s="72"/>
    </row>
    <row r="16" spans="1:18">
      <c r="A16" s="201">
        <v>13</v>
      </c>
      <c r="B16" s="224"/>
      <c r="C16" s="70"/>
      <c r="D16" s="163"/>
      <c r="E16" s="107"/>
      <c r="F16" s="262"/>
      <c r="G16" s="8">
        <f t="shared" si="0"/>
        <v>0</v>
      </c>
      <c r="H16" s="107">
        <v>0</v>
      </c>
      <c r="I16" s="262">
        <v>0</v>
      </c>
      <c r="J16" s="8">
        <f t="shared" si="1"/>
        <v>0</v>
      </c>
      <c r="K16" s="8">
        <f t="shared" si="2"/>
        <v>0</v>
      </c>
      <c r="L16" s="8"/>
      <c r="M16" s="71">
        <f t="shared" si="3"/>
        <v>-5.0000000001091394E-3</v>
      </c>
      <c r="N16" s="8"/>
      <c r="O16" s="72"/>
    </row>
    <row r="17" spans="1:17">
      <c r="A17" s="47">
        <v>14</v>
      </c>
      <c r="B17" s="224"/>
      <c r="C17" s="70"/>
      <c r="D17" s="163"/>
      <c r="E17" s="107"/>
      <c r="F17" s="262"/>
      <c r="G17" s="8">
        <f t="shared" si="0"/>
        <v>0</v>
      </c>
      <c r="H17" s="107">
        <v>0</v>
      </c>
      <c r="I17" s="262">
        <v>0</v>
      </c>
      <c r="J17" s="8">
        <f t="shared" si="1"/>
        <v>0</v>
      </c>
      <c r="K17" s="8">
        <f t="shared" si="2"/>
        <v>0</v>
      </c>
      <c r="L17" s="8"/>
      <c r="M17" s="71">
        <f t="shared" si="3"/>
        <v>-5.0000000001091394E-3</v>
      </c>
      <c r="N17" s="8"/>
      <c r="O17" s="72"/>
    </row>
    <row r="18" spans="1:17">
      <c r="A18" s="47">
        <v>15</v>
      </c>
      <c r="B18" s="224"/>
      <c r="C18" s="70"/>
      <c r="D18" s="163"/>
      <c r="E18" s="107"/>
      <c r="F18" s="262"/>
      <c r="G18" s="8">
        <f t="shared" si="0"/>
        <v>0</v>
      </c>
      <c r="H18" s="107">
        <v>0</v>
      </c>
      <c r="I18" s="262">
        <v>0</v>
      </c>
      <c r="J18" s="8">
        <f t="shared" si="1"/>
        <v>0</v>
      </c>
      <c r="K18" s="8">
        <f t="shared" si="2"/>
        <v>0</v>
      </c>
      <c r="L18" s="71"/>
      <c r="M18" s="71">
        <f>+M16+K18-L18</f>
        <v>-5.0000000001091394E-3</v>
      </c>
      <c r="N18" s="8"/>
      <c r="O18" s="72"/>
    </row>
    <row r="19" spans="1:17">
      <c r="A19" s="201">
        <v>16</v>
      </c>
      <c r="B19" s="224"/>
      <c r="C19" s="70"/>
      <c r="D19" s="163"/>
      <c r="E19" s="107"/>
      <c r="F19" s="262"/>
      <c r="G19" s="8">
        <f t="shared" si="0"/>
        <v>0</v>
      </c>
      <c r="H19" s="107">
        <v>0</v>
      </c>
      <c r="I19" s="262">
        <v>0</v>
      </c>
      <c r="J19" s="8">
        <f t="shared" si="1"/>
        <v>0</v>
      </c>
      <c r="K19" s="8">
        <f t="shared" si="2"/>
        <v>0</v>
      </c>
      <c r="L19" s="71"/>
      <c r="M19" s="71">
        <f t="shared" si="3"/>
        <v>-5.0000000001091394E-3</v>
      </c>
      <c r="N19" s="187"/>
      <c r="O19" s="72"/>
    </row>
    <row r="20" spans="1:17">
      <c r="A20" s="47">
        <v>17</v>
      </c>
      <c r="B20" s="224"/>
      <c r="C20" s="70"/>
      <c r="D20" s="163"/>
      <c r="E20" s="107"/>
      <c r="F20" s="262"/>
      <c r="G20" s="8">
        <f t="shared" si="0"/>
        <v>0</v>
      </c>
      <c r="H20" s="107">
        <v>0</v>
      </c>
      <c r="I20" s="262">
        <v>0</v>
      </c>
      <c r="J20" s="8">
        <f t="shared" si="1"/>
        <v>0</v>
      </c>
      <c r="K20" s="8">
        <f t="shared" si="2"/>
        <v>0</v>
      </c>
      <c r="L20" s="71"/>
      <c r="M20" s="71">
        <f t="shared" si="3"/>
        <v>-5.0000000001091394E-3</v>
      </c>
      <c r="N20" s="287"/>
      <c r="O20" s="72"/>
    </row>
    <row r="21" spans="1:17">
      <c r="A21" s="47">
        <v>18</v>
      </c>
      <c r="B21" s="224"/>
      <c r="C21" s="70"/>
      <c r="D21" s="163"/>
      <c r="E21" s="107"/>
      <c r="F21" s="262"/>
      <c r="G21" s="8">
        <f t="shared" si="0"/>
        <v>0</v>
      </c>
      <c r="H21" s="107">
        <v>0</v>
      </c>
      <c r="I21" s="262">
        <v>0</v>
      </c>
      <c r="J21" s="8">
        <f t="shared" si="1"/>
        <v>0</v>
      </c>
      <c r="K21" s="8">
        <f t="shared" si="2"/>
        <v>0</v>
      </c>
      <c r="L21" s="71"/>
      <c r="M21" s="71">
        <f t="shared" si="3"/>
        <v>-5.0000000001091394E-3</v>
      </c>
      <c r="N21" s="19"/>
      <c r="O21" s="72"/>
    </row>
    <row r="22" spans="1:17">
      <c r="A22" s="201">
        <v>19</v>
      </c>
      <c r="B22" s="224"/>
      <c r="C22" s="70" t="s">
        <v>206</v>
      </c>
      <c r="D22" s="163" t="s">
        <v>207</v>
      </c>
      <c r="E22" s="107">
        <v>42.38</v>
      </c>
      <c r="F22" s="262">
        <v>96.74</v>
      </c>
      <c r="G22" s="8">
        <f t="shared" si="0"/>
        <v>4099.8411999999998</v>
      </c>
      <c r="H22" s="107">
        <v>5</v>
      </c>
      <c r="I22" s="262">
        <v>108.86</v>
      </c>
      <c r="J22" s="8">
        <f t="shared" si="1"/>
        <v>544.29999999999995</v>
      </c>
      <c r="K22" s="8">
        <f t="shared" si="2"/>
        <v>4644.1412</v>
      </c>
      <c r="L22" s="71">
        <v>4644.1400000000003</v>
      </c>
      <c r="M22" s="71">
        <f t="shared" si="3"/>
        <v>-3.800000000410364E-3</v>
      </c>
      <c r="N22" s="8"/>
      <c r="O22" s="72"/>
    </row>
    <row r="23" spans="1:17">
      <c r="A23" s="47">
        <v>20</v>
      </c>
      <c r="B23" s="224"/>
      <c r="C23" s="70" t="s">
        <v>208</v>
      </c>
      <c r="D23" s="163" t="s">
        <v>207</v>
      </c>
      <c r="E23" s="107"/>
      <c r="F23" s="262"/>
      <c r="G23" s="8">
        <f t="shared" si="0"/>
        <v>0</v>
      </c>
      <c r="H23" s="107">
        <v>0</v>
      </c>
      <c r="I23" s="262">
        <v>0</v>
      </c>
      <c r="J23" s="8">
        <f t="shared" si="1"/>
        <v>0</v>
      </c>
      <c r="K23" s="8">
        <f t="shared" si="2"/>
        <v>0</v>
      </c>
      <c r="L23" s="71"/>
      <c r="M23" s="71">
        <f t="shared" si="3"/>
        <v>-3.800000000410364E-3</v>
      </c>
      <c r="N23" s="8"/>
      <c r="O23" s="72"/>
      <c r="Q23" s="22"/>
    </row>
    <row r="24" spans="1:17">
      <c r="A24" s="47">
        <v>21</v>
      </c>
      <c r="B24" s="224"/>
      <c r="C24" s="70"/>
      <c r="D24" s="163"/>
      <c r="E24" s="107"/>
      <c r="F24" s="262"/>
      <c r="G24" s="8">
        <f t="shared" si="0"/>
        <v>0</v>
      </c>
      <c r="H24" s="107">
        <v>0</v>
      </c>
      <c r="I24" s="262">
        <v>0</v>
      </c>
      <c r="J24" s="8">
        <f t="shared" si="1"/>
        <v>0</v>
      </c>
      <c r="K24" s="8">
        <f t="shared" si="2"/>
        <v>0</v>
      </c>
      <c r="L24" s="71"/>
      <c r="M24" s="71">
        <f t="shared" si="3"/>
        <v>-3.800000000410364E-3</v>
      </c>
      <c r="N24" s="8"/>
      <c r="O24" s="72"/>
    </row>
    <row r="25" spans="1:17">
      <c r="A25" s="201">
        <v>22</v>
      </c>
      <c r="B25" s="224"/>
      <c r="C25" s="70" t="s">
        <v>208</v>
      </c>
      <c r="D25" s="163" t="s">
        <v>207</v>
      </c>
      <c r="E25" s="107">
        <v>45.62</v>
      </c>
      <c r="F25" s="262">
        <v>96.74</v>
      </c>
      <c r="G25" s="8">
        <f>E25*F25</f>
        <v>4413.2787999999991</v>
      </c>
      <c r="H25" s="107">
        <v>0</v>
      </c>
      <c r="I25" s="262">
        <v>0</v>
      </c>
      <c r="J25" s="8">
        <f t="shared" si="1"/>
        <v>0</v>
      </c>
      <c r="K25" s="8">
        <f t="shared" si="2"/>
        <v>4413.2787999999991</v>
      </c>
      <c r="L25" s="71">
        <v>4413.28</v>
      </c>
      <c r="M25" s="71">
        <f t="shared" si="3"/>
        <v>-5.0000000010186341E-3</v>
      </c>
      <c r="N25" s="8"/>
      <c r="O25" s="72"/>
    </row>
    <row r="26" spans="1:17">
      <c r="A26" s="47">
        <v>23</v>
      </c>
      <c r="B26" s="224"/>
      <c r="C26" s="323" t="s">
        <v>208</v>
      </c>
      <c r="D26" s="323" t="s">
        <v>207</v>
      </c>
      <c r="H26" s="107">
        <v>5</v>
      </c>
      <c r="I26" s="262">
        <v>108.86</v>
      </c>
      <c r="J26" s="8">
        <f t="shared" si="1"/>
        <v>544.29999999999995</v>
      </c>
      <c r="K26" s="8">
        <f t="shared" si="2"/>
        <v>544.29999999999995</v>
      </c>
      <c r="L26" s="71">
        <v>544.29999999999995</v>
      </c>
      <c r="M26" s="71">
        <f t="shared" si="3"/>
        <v>-5.0000000010186341E-3</v>
      </c>
      <c r="N26" s="8"/>
      <c r="O26" s="72"/>
    </row>
    <row r="27" spans="1:17">
      <c r="A27" s="47">
        <v>24</v>
      </c>
      <c r="B27" s="224"/>
      <c r="C27" s="323" t="s">
        <v>202</v>
      </c>
      <c r="D27" s="433" t="s">
        <v>203</v>
      </c>
      <c r="E27" s="107">
        <v>36.869999999999997</v>
      </c>
      <c r="F27" s="323">
        <v>86.75</v>
      </c>
      <c r="G27" s="323">
        <v>3198.47</v>
      </c>
      <c r="H27" s="323">
        <v>21</v>
      </c>
      <c r="I27" s="323">
        <v>96.91</v>
      </c>
      <c r="J27" s="323">
        <v>2035.11</v>
      </c>
      <c r="K27" s="396">
        <v>5233.58</v>
      </c>
      <c r="L27" s="71">
        <v>5233.58</v>
      </c>
      <c r="M27" s="71">
        <f t="shared" si="3"/>
        <v>-5.0000000010186341E-3</v>
      </c>
      <c r="N27" s="8"/>
      <c r="O27" s="72"/>
    </row>
    <row r="28" spans="1:17">
      <c r="A28" s="201">
        <v>25</v>
      </c>
      <c r="B28" s="224"/>
      <c r="C28" s="70"/>
      <c r="D28" s="163"/>
      <c r="E28" s="107"/>
      <c r="F28" s="262"/>
      <c r="G28" s="8">
        <f t="shared" si="0"/>
        <v>0</v>
      </c>
      <c r="H28" s="107">
        <v>0</v>
      </c>
      <c r="I28" s="262">
        <v>0</v>
      </c>
      <c r="J28" s="8">
        <f t="shared" si="1"/>
        <v>0</v>
      </c>
      <c r="K28" s="8">
        <f t="shared" si="2"/>
        <v>0</v>
      </c>
      <c r="L28" s="71"/>
      <c r="M28" s="71">
        <f t="shared" si="3"/>
        <v>-5.0000000010186341E-3</v>
      </c>
      <c r="N28" s="8"/>
      <c r="O28" s="72"/>
    </row>
    <row r="29" spans="1:17">
      <c r="A29" s="47">
        <v>26</v>
      </c>
      <c r="B29" s="224"/>
      <c r="C29" s="70"/>
      <c r="D29" s="163"/>
      <c r="E29" s="107"/>
      <c r="F29" s="262"/>
      <c r="G29" s="8">
        <f t="shared" si="0"/>
        <v>0</v>
      </c>
      <c r="H29" s="107">
        <v>0</v>
      </c>
      <c r="I29" s="262">
        <v>0</v>
      </c>
      <c r="J29" s="8">
        <f t="shared" si="1"/>
        <v>0</v>
      </c>
      <c r="K29" s="8">
        <f t="shared" si="2"/>
        <v>0</v>
      </c>
      <c r="L29" s="71"/>
      <c r="M29" s="71">
        <f t="shared" si="3"/>
        <v>-5.0000000010186341E-3</v>
      </c>
      <c r="N29" s="8"/>
      <c r="O29" s="72"/>
    </row>
    <row r="30" spans="1:17">
      <c r="A30" s="47">
        <v>27</v>
      </c>
      <c r="B30" s="224"/>
      <c r="C30" s="70" t="s">
        <v>209</v>
      </c>
      <c r="D30" s="163" t="s">
        <v>203</v>
      </c>
      <c r="E30" s="107">
        <v>0</v>
      </c>
      <c r="F30" s="262"/>
      <c r="G30" s="8"/>
      <c r="H30" s="107">
        <v>5.76</v>
      </c>
      <c r="I30" s="262">
        <v>86.75</v>
      </c>
      <c r="J30" s="8">
        <v>499.68</v>
      </c>
      <c r="K30" s="8">
        <v>500</v>
      </c>
      <c r="L30" s="71">
        <v>500</v>
      </c>
      <c r="M30" s="71">
        <f t="shared" si="3"/>
        <v>-5.0000000010186341E-3</v>
      </c>
      <c r="N30" s="8"/>
      <c r="O30" s="72"/>
    </row>
    <row r="31" spans="1:17">
      <c r="A31" s="201">
        <v>28</v>
      </c>
      <c r="B31" s="224"/>
      <c r="C31" s="70" t="s">
        <v>210</v>
      </c>
      <c r="D31" s="163" t="s">
        <v>211</v>
      </c>
      <c r="E31" s="107">
        <v>0</v>
      </c>
      <c r="F31" s="262"/>
      <c r="G31" s="8"/>
      <c r="H31" s="107">
        <v>5</v>
      </c>
      <c r="I31" s="262">
        <v>108.79</v>
      </c>
      <c r="J31" s="8">
        <v>543.95000000000005</v>
      </c>
      <c r="K31" s="8">
        <v>543.95000000000005</v>
      </c>
      <c r="L31" s="71">
        <v>543.95000000000005</v>
      </c>
      <c r="M31" s="71">
        <f t="shared" si="3"/>
        <v>-5.0000000010186341E-3</v>
      </c>
      <c r="N31" s="8"/>
      <c r="O31" s="72"/>
    </row>
    <row r="32" spans="1:17">
      <c r="A32" s="47">
        <v>29</v>
      </c>
      <c r="B32" s="224"/>
      <c r="C32" s="70"/>
      <c r="D32" s="163"/>
      <c r="E32" s="107"/>
      <c r="F32" s="262"/>
      <c r="G32" s="8">
        <f t="shared" si="0"/>
        <v>0</v>
      </c>
      <c r="H32" s="107">
        <v>0</v>
      </c>
      <c r="I32" s="262">
        <v>0</v>
      </c>
      <c r="J32" s="8">
        <f t="shared" si="1"/>
        <v>0</v>
      </c>
      <c r="K32" s="8">
        <f t="shared" si="2"/>
        <v>0</v>
      </c>
      <c r="L32" s="71"/>
      <c r="M32" s="71">
        <f t="shared" si="3"/>
        <v>-5.0000000010186341E-3</v>
      </c>
      <c r="N32" s="8"/>
      <c r="O32" s="72"/>
    </row>
    <row r="33" spans="1:15">
      <c r="A33" s="47">
        <v>30</v>
      </c>
      <c r="B33" s="224"/>
      <c r="C33" s="323" t="s">
        <v>212</v>
      </c>
      <c r="D33" s="323" t="s">
        <v>213</v>
      </c>
      <c r="E33" s="323">
        <v>50.02</v>
      </c>
      <c r="F33" s="323">
        <v>96.87</v>
      </c>
      <c r="G33" s="323">
        <v>4845.4399999999996</v>
      </c>
      <c r="H33" s="323" t="s">
        <v>214</v>
      </c>
      <c r="I33" s="323" t="s">
        <v>214</v>
      </c>
      <c r="J33" s="323" t="s">
        <v>214</v>
      </c>
      <c r="K33" s="396">
        <v>4845.4399999999996</v>
      </c>
      <c r="L33" s="8">
        <v>4845.4399999999996</v>
      </c>
      <c r="M33" s="71">
        <f t="shared" si="3"/>
        <v>-5.0000000010186341E-3</v>
      </c>
      <c r="N33" s="8"/>
      <c r="O33" s="72"/>
    </row>
    <row r="34" spans="1:15">
      <c r="A34" s="47">
        <v>30</v>
      </c>
      <c r="B34" s="224"/>
      <c r="C34" s="343" t="s">
        <v>215</v>
      </c>
      <c r="D34" s="343" t="s">
        <v>203</v>
      </c>
      <c r="E34" s="343">
        <v>0</v>
      </c>
      <c r="F34" s="343" t="s">
        <v>214</v>
      </c>
      <c r="G34" s="343" t="s">
        <v>214</v>
      </c>
      <c r="H34" s="343">
        <v>5.76</v>
      </c>
      <c r="I34" s="343">
        <v>86.75</v>
      </c>
      <c r="J34" s="343">
        <v>500</v>
      </c>
      <c r="K34" s="343">
        <v>500</v>
      </c>
      <c r="L34" s="8">
        <v>500</v>
      </c>
      <c r="M34" s="71">
        <f t="shared" si="3"/>
        <v>-5.0000000010186341E-3</v>
      </c>
      <c r="N34" s="8"/>
      <c r="O34" s="72"/>
    </row>
    <row r="35" spans="1:15">
      <c r="A35" s="201">
        <v>31</v>
      </c>
      <c r="B35" s="224"/>
      <c r="C35" s="70"/>
      <c r="D35" s="163"/>
      <c r="E35" s="107"/>
      <c r="F35" s="262"/>
      <c r="G35" s="8">
        <f t="shared" si="0"/>
        <v>0</v>
      </c>
      <c r="H35" s="107">
        <v>5</v>
      </c>
      <c r="I35" s="262">
        <v>110.05</v>
      </c>
      <c r="J35" s="8">
        <f t="shared" si="1"/>
        <v>550.25</v>
      </c>
      <c r="K35" s="8">
        <f>G35+J35</f>
        <v>550.25</v>
      </c>
      <c r="L35" s="8">
        <v>550.25</v>
      </c>
      <c r="M35" s="71">
        <f t="shared" si="3"/>
        <v>-5.0000000010186341E-3</v>
      </c>
      <c r="N35" s="8"/>
      <c r="O35" s="72"/>
    </row>
    <row r="36" spans="1:15">
      <c r="A36" s="47">
        <v>32</v>
      </c>
      <c r="B36" s="224"/>
      <c r="C36" s="70"/>
      <c r="D36" s="163"/>
      <c r="E36" s="107"/>
      <c r="F36" s="262"/>
      <c r="G36" s="8">
        <f t="shared" si="0"/>
        <v>0</v>
      </c>
      <c r="H36" s="107">
        <v>0</v>
      </c>
      <c r="I36" s="262">
        <v>0</v>
      </c>
      <c r="J36" s="8">
        <f t="shared" si="1"/>
        <v>0</v>
      </c>
      <c r="K36" s="8">
        <f t="shared" si="2"/>
        <v>0</v>
      </c>
      <c r="L36" s="71"/>
      <c r="M36" s="71">
        <f t="shared" si="3"/>
        <v>-5.0000000010186341E-3</v>
      </c>
      <c r="N36" s="8"/>
      <c r="O36" s="72"/>
    </row>
    <row r="37" spans="1:15">
      <c r="A37" s="47">
        <v>33</v>
      </c>
      <c r="B37" s="224"/>
      <c r="C37" s="70"/>
      <c r="D37" s="163"/>
      <c r="E37" s="107"/>
      <c r="F37" s="262"/>
      <c r="G37" s="8">
        <f t="shared" si="0"/>
        <v>0</v>
      </c>
      <c r="H37" s="107">
        <v>0</v>
      </c>
      <c r="I37" s="262">
        <v>0</v>
      </c>
      <c r="J37" s="8">
        <f t="shared" si="1"/>
        <v>0</v>
      </c>
      <c r="K37" s="8">
        <f t="shared" si="2"/>
        <v>0</v>
      </c>
      <c r="L37" s="71"/>
      <c r="M37" s="71">
        <f t="shared" si="3"/>
        <v>-5.0000000010186341E-3</v>
      </c>
      <c r="N37" s="8"/>
      <c r="O37" s="72"/>
    </row>
    <row r="38" spans="1:15">
      <c r="A38" s="65"/>
      <c r="B38" s="65"/>
      <c r="C38" s="65"/>
      <c r="D38" s="65"/>
      <c r="E38" s="263">
        <f>SUM(E4:E37)</f>
        <v>284.37</v>
      </c>
      <c r="F38" s="263"/>
      <c r="G38" s="66">
        <f>SUM(G4:G37)</f>
        <v>26054.424999999999</v>
      </c>
      <c r="H38" s="66">
        <f>SUM(H4:H37)</f>
        <v>67.52</v>
      </c>
      <c r="I38" s="66"/>
      <c r="J38" s="66">
        <f>SUM(J4:J37)</f>
        <v>6736.69</v>
      </c>
      <c r="K38" s="66">
        <f>SUM(K4:K37)</f>
        <v>32791.434999999998</v>
      </c>
      <c r="L38" s="66">
        <f>SUM(L4:L37)</f>
        <v>32791.439999999995</v>
      </c>
      <c r="M38" s="66"/>
      <c r="N38" s="66"/>
      <c r="O38" s="62"/>
    </row>
    <row r="39" spans="1:15">
      <c r="A39" s="75"/>
      <c r="B39" s="76"/>
      <c r="C39" s="75"/>
      <c r="D39" s="75"/>
      <c r="E39" s="77"/>
      <c r="F39" s="77"/>
      <c r="G39" s="77"/>
      <c r="H39" s="77"/>
      <c r="I39" s="77"/>
      <c r="J39" s="78"/>
      <c r="K39" s="78"/>
      <c r="L39" s="78"/>
      <c r="M39" s="78"/>
      <c r="N39" s="77"/>
      <c r="O39" s="72"/>
    </row>
    <row r="40" spans="1:15">
      <c r="O40" s="72"/>
    </row>
    <row r="41" spans="1:15">
      <c r="O41" s="72"/>
    </row>
    <row r="42" spans="1:15">
      <c r="O42" s="72"/>
    </row>
    <row r="43" spans="1:15">
      <c r="O43" s="72"/>
    </row>
    <row r="44" spans="1:15">
      <c r="O44" s="72"/>
    </row>
    <row r="45" spans="1:15">
      <c r="A45" s="72"/>
      <c r="B45" s="62"/>
      <c r="C45" s="72"/>
      <c r="D45" s="72"/>
      <c r="E45" s="72"/>
      <c r="F45" s="72"/>
      <c r="G45" s="79"/>
      <c r="H45" s="72"/>
      <c r="I45" s="72"/>
      <c r="J45" s="62"/>
      <c r="K45" s="62"/>
      <c r="L45" s="62"/>
      <c r="M45" s="62"/>
      <c r="N45" s="72"/>
      <c r="O45" s="77"/>
    </row>
    <row r="46" spans="1:15">
      <c r="A46" s="72"/>
      <c r="B46" s="472"/>
      <c r="C46" s="472"/>
      <c r="D46" s="472"/>
      <c r="E46" s="472"/>
      <c r="F46" s="72"/>
      <c r="G46" s="72"/>
      <c r="H46" s="72"/>
      <c r="I46" s="472"/>
      <c r="J46" s="472"/>
      <c r="K46" s="472"/>
      <c r="L46" s="472"/>
      <c r="M46" s="472"/>
      <c r="N46" s="472"/>
      <c r="O46" s="77"/>
    </row>
    <row r="47" spans="1:15">
      <c r="A47" s="72"/>
      <c r="B47" s="62"/>
      <c r="C47" s="72"/>
      <c r="D47" s="72"/>
      <c r="E47" s="72"/>
      <c r="F47" s="72"/>
      <c r="G47" s="72"/>
      <c r="H47" s="72"/>
      <c r="I47" s="72"/>
      <c r="J47" s="62"/>
      <c r="K47" s="62"/>
      <c r="L47" s="62"/>
      <c r="M47" s="62"/>
      <c r="N47" s="72"/>
      <c r="O47" s="77"/>
    </row>
  </sheetData>
  <mergeCells count="3">
    <mergeCell ref="A3:L3"/>
    <mergeCell ref="B46:E46"/>
    <mergeCell ref="I46:N4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FE42E-2155-45C4-A3B6-7C5C764249F4}">
  <dimension ref="A1:R44"/>
  <sheetViews>
    <sheetView topLeftCell="A16" workbookViewId="0">
      <selection activeCell="L28" sqref="L28"/>
    </sheetView>
  </sheetViews>
  <sheetFormatPr defaultColWidth="22.5703125" defaultRowHeight="15"/>
  <cols>
    <col min="1" max="1" width="10.5703125" customWidth="1"/>
    <col min="2" max="2" width="16.5703125" customWidth="1"/>
    <col min="3" max="3" width="11.85546875" customWidth="1"/>
    <col min="4" max="4" width="15.28515625" customWidth="1"/>
    <col min="5" max="5" width="12.7109375" customWidth="1"/>
    <col min="6" max="6" width="14.42578125" customWidth="1"/>
    <col min="7" max="7" width="10.85546875" bestFit="1" customWidth="1"/>
    <col min="8" max="8" width="16.140625" customWidth="1"/>
    <col min="9" max="9" width="15.140625" customWidth="1"/>
    <col min="10" max="10" width="9.7109375" bestFit="1" customWidth="1"/>
    <col min="11" max="12" width="13.5703125" bestFit="1" customWidth="1"/>
    <col min="13" max="13" width="11.5703125" bestFit="1" customWidth="1"/>
    <col min="14" max="14" width="8.7109375" bestFit="1" customWidth="1"/>
  </cols>
  <sheetData>
    <row r="1" spans="1:18" ht="15.75">
      <c r="A1" s="461" t="s">
        <v>216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5"/>
    </row>
    <row r="2" spans="1:18" ht="30.75">
      <c r="A2" s="101" t="s">
        <v>129</v>
      </c>
      <c r="B2" s="102" t="s">
        <v>130</v>
      </c>
      <c r="C2" s="102" t="s">
        <v>131</v>
      </c>
      <c r="D2" s="102" t="s">
        <v>198</v>
      </c>
      <c r="E2" s="261" t="s">
        <v>133</v>
      </c>
      <c r="F2" s="261" t="s">
        <v>134</v>
      </c>
      <c r="G2" s="102" t="s">
        <v>135</v>
      </c>
      <c r="H2" s="102" t="s">
        <v>136</v>
      </c>
      <c r="I2" s="102" t="s">
        <v>134</v>
      </c>
      <c r="J2" s="141" t="s">
        <v>135</v>
      </c>
      <c r="K2" s="103" t="s">
        <v>137</v>
      </c>
      <c r="L2" s="142" t="s">
        <v>138</v>
      </c>
      <c r="M2" s="146" t="s">
        <v>199</v>
      </c>
      <c r="N2" s="104" t="s">
        <v>140</v>
      </c>
      <c r="O2" s="62"/>
    </row>
    <row r="3" spans="1:18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151">
        <v>0</v>
      </c>
      <c r="N3" s="160"/>
      <c r="O3" s="62"/>
    </row>
    <row r="4" spans="1:18">
      <c r="A4" s="201">
        <v>1</v>
      </c>
      <c r="B4" s="224">
        <v>46023</v>
      </c>
      <c r="C4" s="70"/>
      <c r="D4" s="163"/>
      <c r="E4" s="262"/>
      <c r="F4" s="262"/>
      <c r="G4" s="8">
        <f t="shared" ref="G4:G34" si="0">E4*F4</f>
        <v>0</v>
      </c>
      <c r="H4" s="68">
        <v>0</v>
      </c>
      <c r="I4" s="69">
        <v>0</v>
      </c>
      <c r="J4" s="8">
        <f>H4*I4</f>
        <v>0</v>
      </c>
      <c r="K4" s="8">
        <f>G4+J4</f>
        <v>0</v>
      </c>
      <c r="L4" s="71">
        <f>+K4</f>
        <v>0</v>
      </c>
      <c r="M4" s="71">
        <v>0</v>
      </c>
      <c r="N4" s="8"/>
    </row>
    <row r="5" spans="1:18">
      <c r="A5" s="47">
        <v>2</v>
      </c>
      <c r="B5" s="224">
        <v>46024</v>
      </c>
      <c r="C5" s="70"/>
      <c r="D5" s="163"/>
      <c r="E5" s="262"/>
      <c r="F5" s="262"/>
      <c r="G5" s="8">
        <f t="shared" si="0"/>
        <v>0</v>
      </c>
      <c r="H5" s="68">
        <v>2.74</v>
      </c>
      <c r="I5" s="69">
        <v>109.61</v>
      </c>
      <c r="J5" s="8">
        <f t="shared" ref="J5:J34" si="1">H5*I5</f>
        <v>300.33140000000003</v>
      </c>
      <c r="K5" s="8">
        <f t="shared" ref="K5:K34" si="2">G5+J5</f>
        <v>300.33140000000003</v>
      </c>
      <c r="L5" s="71">
        <f t="shared" ref="L5:L34" si="3">+K5</f>
        <v>300.33140000000003</v>
      </c>
      <c r="M5" s="71">
        <v>0</v>
      </c>
      <c r="N5" s="8"/>
    </row>
    <row r="6" spans="1:18">
      <c r="A6" s="47">
        <v>3</v>
      </c>
      <c r="B6" s="224">
        <v>46025</v>
      </c>
      <c r="C6" s="70"/>
      <c r="D6" s="163"/>
      <c r="E6" s="262"/>
      <c r="F6" s="262"/>
      <c r="G6" s="8">
        <f t="shared" si="0"/>
        <v>0</v>
      </c>
      <c r="H6" s="68">
        <v>0</v>
      </c>
      <c r="I6" s="69">
        <v>0</v>
      </c>
      <c r="J6" s="8">
        <f t="shared" si="1"/>
        <v>0</v>
      </c>
      <c r="K6" s="8">
        <f t="shared" si="2"/>
        <v>0</v>
      </c>
      <c r="L6" s="71">
        <f t="shared" si="3"/>
        <v>0</v>
      </c>
      <c r="M6" s="71">
        <v>0</v>
      </c>
      <c r="N6" s="8"/>
    </row>
    <row r="7" spans="1:18">
      <c r="A7" s="47">
        <v>4</v>
      </c>
      <c r="B7" s="224">
        <v>46026</v>
      </c>
      <c r="C7" s="70"/>
      <c r="D7" s="163"/>
      <c r="E7" s="262"/>
      <c r="F7" s="262"/>
      <c r="G7" s="8">
        <f t="shared" si="0"/>
        <v>0</v>
      </c>
      <c r="H7" s="68">
        <v>0</v>
      </c>
      <c r="I7" s="69">
        <v>0</v>
      </c>
      <c r="J7" s="8">
        <f t="shared" si="1"/>
        <v>0</v>
      </c>
      <c r="K7" s="8">
        <f t="shared" si="2"/>
        <v>0</v>
      </c>
      <c r="L7" s="71">
        <f t="shared" si="3"/>
        <v>0</v>
      </c>
      <c r="M7" s="71">
        <v>0</v>
      </c>
      <c r="N7" s="8"/>
    </row>
    <row r="8" spans="1:18">
      <c r="A8" s="47">
        <v>5</v>
      </c>
      <c r="B8" s="224">
        <v>46027</v>
      </c>
      <c r="C8" s="70"/>
      <c r="D8" s="163"/>
      <c r="E8" s="262"/>
      <c r="F8" s="262"/>
      <c r="G8" s="8">
        <f t="shared" si="0"/>
        <v>0</v>
      </c>
      <c r="H8" s="68">
        <v>0</v>
      </c>
      <c r="I8" s="69">
        <v>0</v>
      </c>
      <c r="J8" s="8">
        <f t="shared" si="1"/>
        <v>0</v>
      </c>
      <c r="K8" s="8">
        <f t="shared" si="2"/>
        <v>0</v>
      </c>
      <c r="L8" s="71">
        <f t="shared" si="3"/>
        <v>0</v>
      </c>
      <c r="M8" s="71">
        <v>0</v>
      </c>
      <c r="N8" s="8"/>
      <c r="O8" s="72"/>
      <c r="R8" s="230"/>
    </row>
    <row r="9" spans="1:18">
      <c r="A9" s="47">
        <v>6</v>
      </c>
      <c r="B9" s="224">
        <v>46028</v>
      </c>
      <c r="C9" s="70"/>
      <c r="D9" s="163"/>
      <c r="E9" s="262"/>
      <c r="F9" s="262"/>
      <c r="G9" s="8">
        <f t="shared" si="0"/>
        <v>0</v>
      </c>
      <c r="H9" s="68">
        <v>0</v>
      </c>
      <c r="I9" s="69">
        <v>0</v>
      </c>
      <c r="J9" s="8">
        <f t="shared" si="1"/>
        <v>0</v>
      </c>
      <c r="K9" s="8">
        <f t="shared" si="2"/>
        <v>0</v>
      </c>
      <c r="L9" s="71">
        <f t="shared" si="3"/>
        <v>0</v>
      </c>
      <c r="M9" s="71">
        <v>0</v>
      </c>
      <c r="N9" s="8"/>
      <c r="O9" s="72"/>
    </row>
    <row r="10" spans="1:18">
      <c r="A10" s="47">
        <v>7</v>
      </c>
      <c r="B10" s="224">
        <v>46029</v>
      </c>
      <c r="C10" s="70"/>
      <c r="D10" s="163"/>
      <c r="E10" s="262"/>
      <c r="F10" s="262"/>
      <c r="G10" s="8">
        <f t="shared" si="0"/>
        <v>0</v>
      </c>
      <c r="H10" s="68">
        <v>2.73</v>
      </c>
      <c r="I10" s="69">
        <v>109.61</v>
      </c>
      <c r="J10" s="8">
        <f t="shared" si="1"/>
        <v>299.2353</v>
      </c>
      <c r="K10" s="8">
        <f t="shared" si="2"/>
        <v>299.2353</v>
      </c>
      <c r="L10" s="71">
        <f t="shared" si="3"/>
        <v>299.2353</v>
      </c>
      <c r="M10" s="71">
        <v>0</v>
      </c>
      <c r="N10" s="8"/>
      <c r="O10" s="72">
        <v>169.99</v>
      </c>
    </row>
    <row r="11" spans="1:18">
      <c r="A11" s="47">
        <v>8</v>
      </c>
      <c r="B11" s="224">
        <v>46030</v>
      </c>
      <c r="C11" s="70"/>
      <c r="D11" s="163"/>
      <c r="E11" s="262"/>
      <c r="F11" s="262"/>
      <c r="G11" s="8">
        <f t="shared" si="0"/>
        <v>0</v>
      </c>
      <c r="H11" s="68">
        <v>0</v>
      </c>
      <c r="I11" s="69">
        <v>0</v>
      </c>
      <c r="J11" s="8">
        <f t="shared" si="1"/>
        <v>0</v>
      </c>
      <c r="K11" s="8">
        <f t="shared" si="2"/>
        <v>0</v>
      </c>
      <c r="L11" s="71">
        <f t="shared" si="3"/>
        <v>0</v>
      </c>
      <c r="M11" s="71">
        <v>0</v>
      </c>
      <c r="N11" s="8"/>
      <c r="O11" s="72">
        <v>80</v>
      </c>
    </row>
    <row r="12" spans="1:18">
      <c r="A12" s="47">
        <v>9</v>
      </c>
      <c r="B12" s="224">
        <v>46031</v>
      </c>
      <c r="C12" s="70"/>
      <c r="D12" s="163"/>
      <c r="E12" s="262"/>
      <c r="F12" s="262"/>
      <c r="G12" s="8">
        <f t="shared" si="0"/>
        <v>0</v>
      </c>
      <c r="H12" s="68">
        <v>0</v>
      </c>
      <c r="I12" s="69">
        <v>0</v>
      </c>
      <c r="J12" s="8">
        <f t="shared" si="1"/>
        <v>0</v>
      </c>
      <c r="K12" s="8">
        <f t="shared" si="2"/>
        <v>0</v>
      </c>
      <c r="L12" s="71">
        <f t="shared" si="3"/>
        <v>0</v>
      </c>
      <c r="M12" s="71">
        <v>0</v>
      </c>
      <c r="N12" s="8"/>
      <c r="O12" s="72">
        <f>SUM(O10:O11)</f>
        <v>249.99</v>
      </c>
      <c r="P12">
        <v>97.76</v>
      </c>
      <c r="Q12">
        <f>O12*P12</f>
        <v>24439.022400000002</v>
      </c>
    </row>
    <row r="13" spans="1:18">
      <c r="A13" s="47">
        <v>10</v>
      </c>
      <c r="B13" s="224">
        <v>46032</v>
      </c>
      <c r="C13" s="70"/>
      <c r="D13" s="163"/>
      <c r="E13" s="262"/>
      <c r="F13" s="262"/>
      <c r="G13" s="8">
        <f t="shared" si="0"/>
        <v>0</v>
      </c>
      <c r="H13" s="68">
        <v>0</v>
      </c>
      <c r="I13" s="69">
        <v>0</v>
      </c>
      <c r="J13" s="8">
        <f t="shared" si="1"/>
        <v>0</v>
      </c>
      <c r="K13" s="8">
        <f t="shared" si="2"/>
        <v>0</v>
      </c>
      <c r="L13" s="71">
        <f t="shared" si="3"/>
        <v>0</v>
      </c>
      <c r="M13" s="71">
        <v>0</v>
      </c>
      <c r="N13" s="8"/>
      <c r="O13" s="72"/>
    </row>
    <row r="14" spans="1:18">
      <c r="A14" s="47">
        <v>11</v>
      </c>
      <c r="B14" s="224">
        <v>46033</v>
      </c>
      <c r="C14" s="70"/>
      <c r="D14" s="163"/>
      <c r="E14" s="262"/>
      <c r="F14" s="262"/>
      <c r="G14" s="8">
        <f t="shared" si="0"/>
        <v>0</v>
      </c>
      <c r="H14" s="68">
        <v>0</v>
      </c>
      <c r="I14" s="69">
        <v>0</v>
      </c>
      <c r="J14" s="8">
        <f t="shared" si="1"/>
        <v>0</v>
      </c>
      <c r="K14" s="8">
        <f>G14+J14</f>
        <v>0</v>
      </c>
      <c r="L14" s="71">
        <f>+K14</f>
        <v>0</v>
      </c>
      <c r="M14" s="71">
        <v>0</v>
      </c>
      <c r="N14" s="8"/>
      <c r="O14" s="72"/>
    </row>
    <row r="15" spans="1:18">
      <c r="A15" s="47">
        <v>12</v>
      </c>
      <c r="B15" s="224">
        <v>46034</v>
      </c>
      <c r="C15" s="70"/>
      <c r="D15" s="163"/>
      <c r="E15" s="262"/>
      <c r="F15" s="262"/>
      <c r="G15" s="8">
        <f t="shared" si="0"/>
        <v>0</v>
      </c>
      <c r="H15" s="68">
        <v>0</v>
      </c>
      <c r="I15" s="69">
        <v>0</v>
      </c>
      <c r="J15" s="8">
        <f t="shared" si="1"/>
        <v>0</v>
      </c>
      <c r="K15" s="8">
        <f t="shared" si="2"/>
        <v>0</v>
      </c>
      <c r="L15" s="71">
        <f t="shared" si="3"/>
        <v>0</v>
      </c>
      <c r="M15" s="71">
        <v>0</v>
      </c>
      <c r="N15" s="8"/>
      <c r="O15" s="72"/>
      <c r="P15">
        <v>7820.8</v>
      </c>
    </row>
    <row r="16" spans="1:18">
      <c r="A16" s="47">
        <v>13</v>
      </c>
      <c r="B16" s="224">
        <v>46035</v>
      </c>
      <c r="C16" s="70"/>
      <c r="D16" s="163"/>
      <c r="E16" s="262"/>
      <c r="F16" s="262"/>
      <c r="G16" s="8">
        <f t="shared" si="0"/>
        <v>0</v>
      </c>
      <c r="H16" s="68">
        <v>0</v>
      </c>
      <c r="I16" s="69">
        <v>109.61</v>
      </c>
      <c r="J16" s="8">
        <f t="shared" si="1"/>
        <v>0</v>
      </c>
      <c r="K16" s="8">
        <f t="shared" si="2"/>
        <v>0</v>
      </c>
      <c r="L16" s="71">
        <f t="shared" si="3"/>
        <v>0</v>
      </c>
      <c r="M16" s="71">
        <v>0</v>
      </c>
      <c r="N16" s="8"/>
      <c r="O16" s="72"/>
      <c r="P16">
        <v>16619.2</v>
      </c>
    </row>
    <row r="17" spans="1:16">
      <c r="A17" s="47">
        <v>14</v>
      </c>
      <c r="B17" s="224">
        <v>46036</v>
      </c>
      <c r="C17" s="70"/>
      <c r="D17" s="163"/>
      <c r="E17" s="262"/>
      <c r="F17" s="262"/>
      <c r="G17" s="8">
        <f t="shared" si="0"/>
        <v>0</v>
      </c>
      <c r="H17" s="68">
        <v>0</v>
      </c>
      <c r="I17" s="69">
        <v>0</v>
      </c>
      <c r="J17" s="8">
        <f t="shared" si="1"/>
        <v>0</v>
      </c>
      <c r="K17" s="8">
        <f t="shared" si="2"/>
        <v>0</v>
      </c>
      <c r="L17" s="71">
        <f t="shared" si="3"/>
        <v>0</v>
      </c>
      <c r="M17" s="71">
        <v>0</v>
      </c>
      <c r="N17" s="8"/>
      <c r="O17" s="72"/>
      <c r="P17">
        <f>SUM(P15:P16)</f>
        <v>24440</v>
      </c>
    </row>
    <row r="18" spans="1:16">
      <c r="A18" s="47">
        <v>15</v>
      </c>
      <c r="B18" s="224">
        <v>46037</v>
      </c>
      <c r="C18" s="70"/>
      <c r="D18" s="163"/>
      <c r="E18" s="346"/>
      <c r="F18" s="346"/>
      <c r="G18" s="187">
        <f t="shared" si="0"/>
        <v>0</v>
      </c>
      <c r="H18" s="68">
        <v>0</v>
      </c>
      <c r="I18" s="69">
        <v>0</v>
      </c>
      <c r="J18" s="187">
        <f t="shared" si="1"/>
        <v>0</v>
      </c>
      <c r="K18" s="187">
        <f t="shared" si="2"/>
        <v>0</v>
      </c>
      <c r="L18" s="348">
        <f t="shared" si="3"/>
        <v>0</v>
      </c>
      <c r="M18" s="348">
        <v>0</v>
      </c>
      <c r="N18" s="8"/>
      <c r="O18" s="72"/>
    </row>
    <row r="19" spans="1:16">
      <c r="A19" s="47">
        <v>16</v>
      </c>
      <c r="B19" s="224">
        <v>46038</v>
      </c>
      <c r="C19" s="70"/>
      <c r="D19" s="345"/>
      <c r="E19" s="262"/>
      <c r="F19" s="262"/>
      <c r="G19" s="8">
        <f t="shared" si="0"/>
        <v>0</v>
      </c>
      <c r="H19" s="68">
        <v>0</v>
      </c>
      <c r="I19" s="69">
        <v>0</v>
      </c>
      <c r="J19" s="8">
        <f t="shared" si="1"/>
        <v>0</v>
      </c>
      <c r="K19" s="8">
        <f t="shared" si="2"/>
        <v>0</v>
      </c>
      <c r="L19" s="71">
        <f t="shared" si="3"/>
        <v>0</v>
      </c>
      <c r="M19" s="71">
        <v>0</v>
      </c>
      <c r="N19" s="198"/>
      <c r="O19" s="72"/>
    </row>
    <row r="20" spans="1:16">
      <c r="A20" s="47">
        <v>17</v>
      </c>
      <c r="B20" s="224">
        <v>46039</v>
      </c>
      <c r="C20" s="70"/>
      <c r="D20" s="345"/>
      <c r="E20" s="262"/>
      <c r="F20" s="262"/>
      <c r="G20" s="8">
        <f t="shared" si="0"/>
        <v>0</v>
      </c>
      <c r="H20" s="68">
        <v>0</v>
      </c>
      <c r="I20" s="69">
        <v>0</v>
      </c>
      <c r="J20" s="8">
        <f t="shared" si="1"/>
        <v>0</v>
      </c>
      <c r="K20" s="8">
        <f t="shared" si="2"/>
        <v>0</v>
      </c>
      <c r="L20" s="71">
        <f t="shared" si="3"/>
        <v>0</v>
      </c>
      <c r="M20" s="71">
        <v>0</v>
      </c>
      <c r="N20" s="198"/>
      <c r="O20" s="72"/>
    </row>
    <row r="21" spans="1:16">
      <c r="A21" s="47">
        <v>18</v>
      </c>
      <c r="B21" s="224">
        <v>46040</v>
      </c>
      <c r="C21" s="70"/>
      <c r="D21" s="345"/>
      <c r="E21" s="17"/>
      <c r="F21" s="17"/>
      <c r="G21" s="8">
        <f t="shared" si="0"/>
        <v>0</v>
      </c>
      <c r="H21" s="68">
        <v>0</v>
      </c>
      <c r="I21" s="69">
        <v>0</v>
      </c>
      <c r="J21" s="8">
        <f t="shared" si="1"/>
        <v>0</v>
      </c>
      <c r="K21" s="8">
        <f t="shared" si="2"/>
        <v>0</v>
      </c>
      <c r="L21" s="71">
        <f t="shared" si="3"/>
        <v>0</v>
      </c>
      <c r="M21" s="71">
        <v>0</v>
      </c>
      <c r="N21" s="198"/>
      <c r="O21" s="72"/>
    </row>
    <row r="22" spans="1:16">
      <c r="A22" s="47">
        <v>19</v>
      </c>
      <c r="B22" s="224">
        <v>46041</v>
      </c>
      <c r="C22" s="70"/>
      <c r="D22" s="345"/>
      <c r="E22" s="17"/>
      <c r="F22" s="17"/>
      <c r="G22" s="8">
        <f t="shared" si="0"/>
        <v>0</v>
      </c>
      <c r="H22" s="68">
        <v>0</v>
      </c>
      <c r="I22" s="69">
        <v>0</v>
      </c>
      <c r="J22" s="8">
        <f t="shared" si="1"/>
        <v>0</v>
      </c>
      <c r="K22" s="8">
        <f t="shared" si="2"/>
        <v>0</v>
      </c>
      <c r="L22" s="71">
        <f t="shared" si="3"/>
        <v>0</v>
      </c>
      <c r="M22" s="71">
        <v>0</v>
      </c>
      <c r="N22" s="198"/>
      <c r="O22" s="72"/>
    </row>
    <row r="23" spans="1:16">
      <c r="A23" s="47">
        <v>20</v>
      </c>
      <c r="B23" s="224">
        <v>46042</v>
      </c>
      <c r="C23" s="70"/>
      <c r="D23" s="345"/>
      <c r="E23" s="17"/>
      <c r="F23" s="17"/>
      <c r="G23" s="8">
        <f t="shared" si="0"/>
        <v>0</v>
      </c>
      <c r="H23" s="68">
        <v>5.79</v>
      </c>
      <c r="I23" s="69">
        <v>109.61</v>
      </c>
      <c r="J23" s="8">
        <f t="shared" si="1"/>
        <v>634.64189999999996</v>
      </c>
      <c r="K23" s="8">
        <f t="shared" si="2"/>
        <v>634.64189999999996</v>
      </c>
      <c r="L23" s="71">
        <f t="shared" si="3"/>
        <v>634.64189999999996</v>
      </c>
      <c r="M23" s="71">
        <v>0</v>
      </c>
      <c r="N23" s="198"/>
      <c r="O23" s="72"/>
    </row>
    <row r="24" spans="1:16">
      <c r="A24" s="47">
        <v>21</v>
      </c>
      <c r="B24" s="224">
        <v>46043</v>
      </c>
      <c r="C24" s="70"/>
      <c r="D24" s="345"/>
      <c r="E24" s="17"/>
      <c r="F24" s="17"/>
      <c r="G24" s="8">
        <f t="shared" si="0"/>
        <v>0</v>
      </c>
      <c r="H24" s="68">
        <v>0</v>
      </c>
      <c r="I24" s="69">
        <v>0</v>
      </c>
      <c r="J24" s="8">
        <f t="shared" si="1"/>
        <v>0</v>
      </c>
      <c r="K24" s="8">
        <f t="shared" si="2"/>
        <v>0</v>
      </c>
      <c r="L24" s="71">
        <f t="shared" si="3"/>
        <v>0</v>
      </c>
      <c r="M24" s="71">
        <v>0</v>
      </c>
      <c r="N24" s="198"/>
      <c r="O24" s="72"/>
    </row>
    <row r="25" spans="1:16">
      <c r="A25" s="47">
        <v>22</v>
      </c>
      <c r="B25" s="224">
        <v>46044</v>
      </c>
      <c r="C25" s="70"/>
      <c r="D25" s="345"/>
      <c r="E25" s="17"/>
      <c r="F25" s="17"/>
      <c r="G25" s="8">
        <f t="shared" si="0"/>
        <v>0</v>
      </c>
      <c r="H25" s="68">
        <v>0</v>
      </c>
      <c r="I25" s="69">
        <v>0</v>
      </c>
      <c r="J25" s="8">
        <f t="shared" si="1"/>
        <v>0</v>
      </c>
      <c r="K25" s="8">
        <f t="shared" si="2"/>
        <v>0</v>
      </c>
      <c r="L25" s="71">
        <f t="shared" si="3"/>
        <v>0</v>
      </c>
      <c r="M25" s="71">
        <v>0</v>
      </c>
      <c r="N25" s="198"/>
      <c r="O25" s="72"/>
    </row>
    <row r="26" spans="1:16">
      <c r="A26" s="47">
        <v>23</v>
      </c>
      <c r="B26" s="224">
        <v>46045</v>
      </c>
      <c r="C26" s="70"/>
      <c r="D26" s="345"/>
      <c r="E26" s="17"/>
      <c r="F26" s="17"/>
      <c r="G26" s="8">
        <f t="shared" si="0"/>
        <v>0</v>
      </c>
      <c r="H26" s="68">
        <v>0</v>
      </c>
      <c r="I26" s="69">
        <v>0</v>
      </c>
      <c r="J26" s="8">
        <f t="shared" si="1"/>
        <v>0</v>
      </c>
      <c r="K26" s="8">
        <f t="shared" si="2"/>
        <v>0</v>
      </c>
      <c r="L26" s="71">
        <f t="shared" si="3"/>
        <v>0</v>
      </c>
      <c r="M26" s="71">
        <v>0</v>
      </c>
      <c r="N26" s="198"/>
      <c r="O26" s="72"/>
    </row>
    <row r="27" spans="1:16">
      <c r="A27" s="47">
        <v>24</v>
      </c>
      <c r="B27" s="224">
        <v>46046</v>
      </c>
      <c r="C27" s="70"/>
      <c r="D27" s="345"/>
      <c r="E27" s="17"/>
      <c r="F27" s="17"/>
      <c r="G27" s="8">
        <f t="shared" si="0"/>
        <v>0</v>
      </c>
      <c r="H27" s="68">
        <v>0</v>
      </c>
      <c r="I27" s="69">
        <v>0</v>
      </c>
      <c r="J27" s="8">
        <f t="shared" si="1"/>
        <v>0</v>
      </c>
      <c r="K27" s="8">
        <f t="shared" si="2"/>
        <v>0</v>
      </c>
      <c r="L27" s="71">
        <f t="shared" si="3"/>
        <v>0</v>
      </c>
      <c r="M27" s="71">
        <v>0</v>
      </c>
      <c r="N27" s="198"/>
      <c r="O27" s="72"/>
    </row>
    <row r="28" spans="1:16">
      <c r="A28" s="226">
        <v>25</v>
      </c>
      <c r="B28" s="224">
        <v>46047</v>
      </c>
      <c r="C28" s="70"/>
      <c r="D28" s="345"/>
      <c r="E28" s="262">
        <v>20.52</v>
      </c>
      <c r="F28" s="262">
        <v>97.43</v>
      </c>
      <c r="G28" s="8">
        <f t="shared" si="0"/>
        <v>1999.2636</v>
      </c>
      <c r="H28" s="68">
        <v>5.66</v>
      </c>
      <c r="I28" s="69">
        <v>109.61</v>
      </c>
      <c r="J28" s="8">
        <f t="shared" si="1"/>
        <v>620.39260000000002</v>
      </c>
      <c r="K28" s="8">
        <f t="shared" si="2"/>
        <v>2619.6561999999999</v>
      </c>
      <c r="L28" s="71">
        <f t="shared" si="3"/>
        <v>2619.6561999999999</v>
      </c>
      <c r="M28" s="71">
        <v>0</v>
      </c>
      <c r="N28" s="198"/>
      <c r="O28" s="72"/>
    </row>
    <row r="29" spans="1:16">
      <c r="A29" s="226">
        <v>26</v>
      </c>
      <c r="B29" s="224">
        <v>46048</v>
      </c>
      <c r="C29" s="70"/>
      <c r="D29" s="163"/>
      <c r="E29" s="347"/>
      <c r="F29" s="347"/>
      <c r="G29" s="19">
        <f t="shared" si="0"/>
        <v>0</v>
      </c>
      <c r="H29" s="68">
        <v>0</v>
      </c>
      <c r="I29" s="69">
        <v>0</v>
      </c>
      <c r="J29" s="19">
        <f t="shared" si="1"/>
        <v>0</v>
      </c>
      <c r="K29" s="19">
        <f t="shared" si="2"/>
        <v>0</v>
      </c>
      <c r="L29" s="133">
        <f t="shared" si="3"/>
        <v>0</v>
      </c>
      <c r="M29" s="133">
        <v>0</v>
      </c>
      <c r="N29" s="8"/>
      <c r="O29" s="72"/>
    </row>
    <row r="30" spans="1:16">
      <c r="A30" s="226">
        <v>27</v>
      </c>
      <c r="B30" s="224">
        <v>46049</v>
      </c>
      <c r="C30" s="70"/>
      <c r="D30" s="163"/>
      <c r="E30" s="262"/>
      <c r="F30" s="262"/>
      <c r="G30" s="8">
        <f t="shared" si="0"/>
        <v>0</v>
      </c>
      <c r="H30" s="68">
        <v>0</v>
      </c>
      <c r="I30" s="69">
        <v>0</v>
      </c>
      <c r="J30" s="8">
        <f t="shared" si="1"/>
        <v>0</v>
      </c>
      <c r="K30" s="8">
        <f t="shared" si="2"/>
        <v>0</v>
      </c>
      <c r="L30" s="71">
        <f t="shared" si="3"/>
        <v>0</v>
      </c>
      <c r="M30" s="71">
        <v>0</v>
      </c>
      <c r="N30" s="8"/>
      <c r="O30" s="72"/>
    </row>
    <row r="31" spans="1:16">
      <c r="A31" s="226">
        <v>28</v>
      </c>
      <c r="B31" s="224">
        <v>46050</v>
      </c>
      <c r="C31" s="70"/>
      <c r="D31" s="163"/>
      <c r="E31" s="262"/>
      <c r="F31" s="262"/>
      <c r="G31" s="8">
        <f t="shared" si="0"/>
        <v>0</v>
      </c>
      <c r="H31" s="68">
        <v>0</v>
      </c>
      <c r="I31" s="69">
        <v>0</v>
      </c>
      <c r="J31" s="8">
        <f t="shared" si="1"/>
        <v>0</v>
      </c>
      <c r="K31" s="8">
        <f t="shared" si="2"/>
        <v>0</v>
      </c>
      <c r="L31" s="71">
        <f t="shared" si="3"/>
        <v>0</v>
      </c>
      <c r="M31" s="71">
        <v>0</v>
      </c>
      <c r="N31" s="8"/>
      <c r="O31" s="72"/>
    </row>
    <row r="32" spans="1:16">
      <c r="A32" s="227">
        <v>29</v>
      </c>
      <c r="B32" s="224">
        <v>46051</v>
      </c>
      <c r="C32" s="70"/>
      <c r="D32" s="163"/>
      <c r="E32" s="262"/>
      <c r="F32" s="262"/>
      <c r="G32" s="8">
        <f t="shared" si="0"/>
        <v>0</v>
      </c>
      <c r="H32" s="68">
        <v>0</v>
      </c>
      <c r="I32" s="69">
        <v>0</v>
      </c>
      <c r="J32" s="8">
        <f t="shared" si="1"/>
        <v>0</v>
      </c>
      <c r="K32" s="8">
        <f t="shared" si="2"/>
        <v>0</v>
      </c>
      <c r="L32" s="71">
        <f t="shared" si="3"/>
        <v>0</v>
      </c>
      <c r="M32" s="71">
        <v>0</v>
      </c>
      <c r="N32" s="8"/>
      <c r="O32" s="72"/>
    </row>
    <row r="33" spans="1:15">
      <c r="A33" s="227">
        <v>30</v>
      </c>
      <c r="B33" s="224">
        <v>46052</v>
      </c>
      <c r="C33" s="70"/>
      <c r="D33" s="163"/>
      <c r="E33" s="262"/>
      <c r="F33" s="262"/>
      <c r="G33" s="8">
        <f t="shared" si="0"/>
        <v>0</v>
      </c>
      <c r="H33" s="68">
        <v>0</v>
      </c>
      <c r="I33" s="69">
        <v>0</v>
      </c>
      <c r="J33" s="8">
        <f t="shared" si="1"/>
        <v>0</v>
      </c>
      <c r="K33" s="8">
        <f t="shared" si="2"/>
        <v>0</v>
      </c>
      <c r="L33" s="71">
        <f t="shared" si="3"/>
        <v>0</v>
      </c>
      <c r="M33" s="71">
        <v>0</v>
      </c>
      <c r="N33" s="8"/>
      <c r="O33" s="72"/>
    </row>
    <row r="34" spans="1:15">
      <c r="A34" s="227">
        <v>31</v>
      </c>
      <c r="B34" s="224">
        <v>46053</v>
      </c>
      <c r="C34" s="70"/>
      <c r="D34" s="163"/>
      <c r="E34" s="262"/>
      <c r="F34" s="262"/>
      <c r="G34" s="8">
        <f t="shared" si="0"/>
        <v>0</v>
      </c>
      <c r="H34" s="68">
        <v>0</v>
      </c>
      <c r="I34" s="69">
        <v>0</v>
      </c>
      <c r="J34" s="8">
        <f t="shared" si="1"/>
        <v>0</v>
      </c>
      <c r="K34" s="8">
        <f t="shared" si="2"/>
        <v>0</v>
      </c>
      <c r="L34" s="71">
        <f t="shared" si="3"/>
        <v>0</v>
      </c>
      <c r="M34" s="71">
        <v>0</v>
      </c>
      <c r="N34" s="8"/>
      <c r="O34" s="72"/>
    </row>
    <row r="35" spans="1:15">
      <c r="A35" s="65"/>
      <c r="B35" s="65"/>
      <c r="C35" s="65"/>
      <c r="D35" s="65"/>
      <c r="E35" s="263">
        <f>SUM(E4:E34)</f>
        <v>20.52</v>
      </c>
      <c r="F35" s="263"/>
      <c r="G35" s="66">
        <f>SUM(G4:G34)</f>
        <v>1999.2636</v>
      </c>
      <c r="H35" s="66">
        <f>SUM(H4:H34)</f>
        <v>16.920000000000002</v>
      </c>
      <c r="I35" s="66"/>
      <c r="J35" s="66">
        <f>SUM(J4:J34)</f>
        <v>1854.6012000000001</v>
      </c>
      <c r="K35" s="66">
        <f>SUM(K4:K34)</f>
        <v>3853.8647999999998</v>
      </c>
      <c r="L35" s="66">
        <f>SUM(L4:L34)</f>
        <v>3853.8647999999998</v>
      </c>
      <c r="M35" s="66"/>
      <c r="N35" s="66"/>
      <c r="O35" s="62"/>
    </row>
    <row r="36" spans="1:15">
      <c r="A36" s="75"/>
      <c r="B36" s="76"/>
      <c r="C36" s="75"/>
      <c r="D36" s="75"/>
      <c r="E36" s="77"/>
      <c r="F36" s="77"/>
      <c r="G36" s="77"/>
      <c r="H36" s="77"/>
      <c r="I36" s="77"/>
      <c r="J36" s="78"/>
      <c r="K36" s="78"/>
      <c r="L36" s="78"/>
      <c r="M36" s="78"/>
      <c r="N36" s="77"/>
      <c r="O36" s="72"/>
    </row>
    <row r="37" spans="1:15">
      <c r="O37" s="72"/>
    </row>
    <row r="38" spans="1:15">
      <c r="O38" s="72"/>
    </row>
    <row r="39" spans="1:15">
      <c r="O39" s="72"/>
    </row>
    <row r="40" spans="1:15">
      <c r="O40" s="72"/>
    </row>
    <row r="41" spans="1:15">
      <c r="O41" s="72"/>
    </row>
    <row r="42" spans="1:15">
      <c r="A42" s="72"/>
      <c r="B42" s="62"/>
      <c r="C42" s="72"/>
      <c r="D42" s="72"/>
      <c r="E42" s="72"/>
      <c r="F42" s="72"/>
      <c r="G42" s="79"/>
      <c r="H42" s="72"/>
      <c r="I42" s="72"/>
      <c r="J42" s="62"/>
      <c r="K42" s="62"/>
      <c r="L42" s="62"/>
      <c r="M42" s="62"/>
      <c r="N42" s="72"/>
      <c r="O42" s="77"/>
    </row>
    <row r="43" spans="1:15">
      <c r="A43" s="72"/>
      <c r="B43" s="472"/>
      <c r="C43" s="472"/>
      <c r="D43" s="472"/>
      <c r="E43" s="472"/>
      <c r="F43" s="72"/>
      <c r="G43" s="72"/>
      <c r="H43" s="72"/>
      <c r="I43" s="472"/>
      <c r="J43" s="472"/>
      <c r="K43" s="472"/>
      <c r="L43" s="472"/>
      <c r="M43" s="472"/>
      <c r="N43" s="472"/>
      <c r="O43" s="77"/>
    </row>
    <row r="44" spans="1:15">
      <c r="A44" s="72"/>
      <c r="B44" s="62"/>
      <c r="C44" s="72"/>
      <c r="D44" s="72"/>
      <c r="E44" s="72"/>
      <c r="F44" s="72"/>
      <c r="G44" s="72"/>
      <c r="H44" s="72"/>
      <c r="I44" s="72"/>
      <c r="J44" s="62"/>
      <c r="K44" s="62"/>
      <c r="L44" s="62"/>
      <c r="M44" s="62"/>
      <c r="N44" s="72"/>
      <c r="O44" s="77"/>
    </row>
  </sheetData>
  <mergeCells count="4">
    <mergeCell ref="A1:N1"/>
    <mergeCell ref="A3:L3"/>
    <mergeCell ref="B43:E43"/>
    <mergeCell ref="I43:N4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A176-B02F-4D5D-BFBA-88F02F90B0CD}">
  <dimension ref="A1:O39"/>
  <sheetViews>
    <sheetView workbookViewId="0">
      <pane ySplit="2" topLeftCell="C21" activePane="bottomLeft" state="frozen"/>
      <selection pane="bottomLeft" activeCell="O21" sqref="O21"/>
    </sheetView>
  </sheetViews>
  <sheetFormatPr defaultColWidth="12.28515625" defaultRowHeight="12.75"/>
  <cols>
    <col min="1" max="1" width="8.42578125" style="64" customWidth="1"/>
    <col min="2" max="3" width="12.28515625" style="64"/>
    <col min="4" max="4" width="13.5703125" style="64" customWidth="1"/>
    <col min="5" max="5" width="12.28515625" style="64"/>
    <col min="6" max="6" width="13.7109375" style="64" bestFit="1" customWidth="1"/>
    <col min="7" max="16384" width="12.28515625" style="64"/>
  </cols>
  <sheetData>
    <row r="1" spans="1:15" ht="15.75" customHeight="1">
      <c r="A1" s="455" t="s">
        <v>39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63"/>
    </row>
    <row r="2" spans="1:15" ht="15.75" customHeight="1">
      <c r="A2" s="90" t="s">
        <v>129</v>
      </c>
      <c r="B2" s="91" t="s">
        <v>130</v>
      </c>
      <c r="C2" s="91" t="s">
        <v>131</v>
      </c>
      <c r="D2" s="91" t="s">
        <v>132</v>
      </c>
      <c r="E2" s="91" t="s">
        <v>133</v>
      </c>
      <c r="F2" s="91" t="s">
        <v>134</v>
      </c>
      <c r="G2" s="91" t="s">
        <v>135</v>
      </c>
      <c r="H2" s="91" t="s">
        <v>136</v>
      </c>
      <c r="I2" s="91" t="s">
        <v>134</v>
      </c>
      <c r="J2" s="115" t="s">
        <v>135</v>
      </c>
      <c r="K2" s="117" t="s">
        <v>137</v>
      </c>
      <c r="L2" s="118" t="s">
        <v>138</v>
      </c>
      <c r="M2" s="119" t="s">
        <v>199</v>
      </c>
      <c r="N2" s="92" t="s">
        <v>140</v>
      </c>
      <c r="O2" s="33"/>
    </row>
    <row r="3" spans="1:15" ht="15.75" customHeight="1">
      <c r="A3" s="462" t="s">
        <v>141</v>
      </c>
      <c r="B3" s="463"/>
      <c r="C3" s="471"/>
      <c r="D3" s="471"/>
      <c r="E3" s="471"/>
      <c r="F3" s="471"/>
      <c r="G3" s="471"/>
      <c r="H3" s="471"/>
      <c r="I3" s="471"/>
      <c r="J3" s="475"/>
      <c r="K3" s="205">
        <v>210029.23099999977</v>
      </c>
      <c r="L3" s="208"/>
      <c r="M3" s="205">
        <v>210029.23099999977</v>
      </c>
      <c r="N3" s="208"/>
      <c r="O3" s="33">
        <v>207239.43099999998</v>
      </c>
    </row>
    <row r="4" spans="1:15" ht="15">
      <c r="A4" s="26">
        <v>1</v>
      </c>
      <c r="B4" s="27">
        <v>45992</v>
      </c>
      <c r="C4" s="110"/>
      <c r="D4" s="110"/>
      <c r="E4" s="37"/>
      <c r="F4" s="37">
        <v>0</v>
      </c>
      <c r="G4" s="37">
        <f>E4*F4</f>
        <v>0</v>
      </c>
      <c r="H4" s="204">
        <v>0</v>
      </c>
      <c r="I4" s="204">
        <v>0</v>
      </c>
      <c r="J4" s="37">
        <f>H4*I4</f>
        <v>0</v>
      </c>
      <c r="K4" s="37">
        <f>G4+J4</f>
        <v>0</v>
      </c>
      <c r="L4" s="208"/>
      <c r="M4" s="205">
        <f>M3+K4-L4</f>
        <v>210029.23099999977</v>
      </c>
      <c r="N4" s="37"/>
      <c r="O4" s="28"/>
    </row>
    <row r="5" spans="1:15" ht="15">
      <c r="A5" s="26">
        <v>2</v>
      </c>
      <c r="B5" s="27">
        <v>45993</v>
      </c>
      <c r="C5" s="110"/>
      <c r="D5" s="110"/>
      <c r="E5" s="37"/>
      <c r="F5" s="37">
        <v>0</v>
      </c>
      <c r="G5" s="37">
        <f t="shared" ref="G5:G33" si="0">E5*F5</f>
        <v>0</v>
      </c>
      <c r="H5" s="204">
        <v>0</v>
      </c>
      <c r="I5" s="204">
        <v>0</v>
      </c>
      <c r="J5" s="37">
        <f t="shared" ref="J5:J33" si="1">H5*I5</f>
        <v>0</v>
      </c>
      <c r="K5" s="37">
        <f t="shared" ref="K5:K33" si="2">G5+J5</f>
        <v>0</v>
      </c>
      <c r="L5" s="208"/>
      <c r="M5" s="205">
        <f>M4+K5-L5</f>
        <v>210029.23099999977</v>
      </c>
      <c r="N5" s="37"/>
      <c r="O5" s="28"/>
    </row>
    <row r="6" spans="1:15" ht="15">
      <c r="A6" s="26">
        <v>3</v>
      </c>
      <c r="B6" s="27">
        <v>45994</v>
      </c>
      <c r="C6" s="110"/>
      <c r="D6" s="110"/>
      <c r="E6" s="37"/>
      <c r="F6" s="37">
        <v>0</v>
      </c>
      <c r="G6" s="37">
        <f t="shared" si="0"/>
        <v>0</v>
      </c>
      <c r="H6" s="204">
        <v>0</v>
      </c>
      <c r="I6" s="204">
        <v>0</v>
      </c>
      <c r="J6" s="37">
        <f t="shared" si="1"/>
        <v>0</v>
      </c>
      <c r="K6" s="37">
        <f t="shared" si="2"/>
        <v>0</v>
      </c>
      <c r="L6" s="208"/>
      <c r="M6" s="205">
        <f>M5+K6-L6</f>
        <v>210029.23099999977</v>
      </c>
      <c r="N6" s="37"/>
      <c r="O6" s="28"/>
    </row>
    <row r="7" spans="1:15" ht="15">
      <c r="A7" s="26">
        <v>4</v>
      </c>
      <c r="B7" s="27">
        <v>45995</v>
      </c>
      <c r="C7" s="110"/>
      <c r="D7" s="110"/>
      <c r="E7" s="37"/>
      <c r="F7" s="37">
        <v>0</v>
      </c>
      <c r="G7" s="37">
        <f t="shared" si="0"/>
        <v>0</v>
      </c>
      <c r="H7" s="204">
        <v>0</v>
      </c>
      <c r="I7" s="204">
        <v>0</v>
      </c>
      <c r="J7" s="37">
        <f t="shared" si="1"/>
        <v>0</v>
      </c>
      <c r="K7" s="37">
        <f t="shared" si="2"/>
        <v>0</v>
      </c>
      <c r="L7" s="208"/>
      <c r="M7" s="205">
        <f>M6+K7-L7</f>
        <v>210029.23099999977</v>
      </c>
      <c r="N7" s="37"/>
      <c r="O7" s="28"/>
    </row>
    <row r="8" spans="1:15" ht="15">
      <c r="A8" s="26">
        <v>5</v>
      </c>
      <c r="B8" s="27">
        <v>45996</v>
      </c>
      <c r="C8" s="110"/>
      <c r="D8" s="110"/>
      <c r="E8" s="37"/>
      <c r="F8" s="37">
        <v>0</v>
      </c>
      <c r="G8" s="37">
        <f t="shared" si="0"/>
        <v>0</v>
      </c>
      <c r="H8" s="204">
        <v>0</v>
      </c>
      <c r="I8" s="204">
        <v>0</v>
      </c>
      <c r="J8" s="37">
        <f t="shared" si="1"/>
        <v>0</v>
      </c>
      <c r="K8" s="37">
        <f t="shared" si="2"/>
        <v>0</v>
      </c>
      <c r="L8" s="208"/>
      <c r="M8" s="205">
        <f>M7+K8-L8</f>
        <v>210029.23099999977</v>
      </c>
      <c r="N8" s="37"/>
      <c r="O8" s="28"/>
    </row>
    <row r="9" spans="1:15" ht="15">
      <c r="A9" s="26">
        <v>6</v>
      </c>
      <c r="B9" s="27">
        <v>45997</v>
      </c>
      <c r="C9" s="110"/>
      <c r="D9" s="110"/>
      <c r="E9" s="37"/>
      <c r="F9" s="37">
        <v>0</v>
      </c>
      <c r="G9" s="37">
        <f t="shared" si="0"/>
        <v>0</v>
      </c>
      <c r="H9" s="204">
        <v>0</v>
      </c>
      <c r="I9" s="204">
        <v>0</v>
      </c>
      <c r="J9" s="37">
        <f t="shared" si="1"/>
        <v>0</v>
      </c>
      <c r="K9" s="37">
        <f t="shared" si="2"/>
        <v>0</v>
      </c>
      <c r="L9" s="208"/>
      <c r="M9" s="205">
        <f t="shared" ref="M9:M33" si="3">M8+K9-L9</f>
        <v>210029.23099999977</v>
      </c>
      <c r="N9" s="37"/>
      <c r="O9" s="28"/>
    </row>
    <row r="10" spans="1:15" ht="15">
      <c r="A10" s="26">
        <v>7</v>
      </c>
      <c r="B10" s="27">
        <v>45998</v>
      </c>
      <c r="C10" s="110"/>
      <c r="D10" s="110"/>
      <c r="E10" s="37"/>
      <c r="F10" s="37">
        <v>0</v>
      </c>
      <c r="G10" s="37">
        <f t="shared" ref="G10:G17" si="4">E10*F10</f>
        <v>0</v>
      </c>
      <c r="H10" s="204">
        <v>0</v>
      </c>
      <c r="I10" s="204">
        <v>0</v>
      </c>
      <c r="J10" s="37">
        <f t="shared" ref="J10:J17" si="5">H10*I10</f>
        <v>0</v>
      </c>
      <c r="K10" s="37">
        <f t="shared" ref="K10:K17" si="6">G10+J10</f>
        <v>0</v>
      </c>
      <c r="L10" s="208"/>
      <c r="M10" s="205">
        <f t="shared" si="3"/>
        <v>210029.23099999977</v>
      </c>
      <c r="N10" s="37"/>
      <c r="O10" s="28"/>
    </row>
    <row r="11" spans="1:15" ht="15">
      <c r="A11" s="26">
        <v>8</v>
      </c>
      <c r="B11" s="27">
        <v>45999</v>
      </c>
      <c r="C11" s="110"/>
      <c r="D11" s="110"/>
      <c r="E11" s="37"/>
      <c r="F11" s="37">
        <v>0</v>
      </c>
      <c r="G11" s="37">
        <f t="shared" si="4"/>
        <v>0</v>
      </c>
      <c r="H11" s="204">
        <v>0</v>
      </c>
      <c r="I11" s="204">
        <v>0</v>
      </c>
      <c r="J11" s="37">
        <f t="shared" si="5"/>
        <v>0</v>
      </c>
      <c r="K11" s="37">
        <f t="shared" si="6"/>
        <v>0</v>
      </c>
      <c r="L11" s="208"/>
      <c r="M11" s="205">
        <f t="shared" si="3"/>
        <v>210029.23099999977</v>
      </c>
      <c r="N11" s="37"/>
      <c r="O11" s="28"/>
    </row>
    <row r="12" spans="1:15" ht="15">
      <c r="A12" s="26">
        <v>9</v>
      </c>
      <c r="B12" s="27">
        <v>46000</v>
      </c>
      <c r="C12" s="110"/>
      <c r="D12" s="110"/>
      <c r="E12" s="37"/>
      <c r="F12" s="37">
        <v>0</v>
      </c>
      <c r="G12" s="37">
        <f t="shared" si="4"/>
        <v>0</v>
      </c>
      <c r="H12" s="204">
        <v>0</v>
      </c>
      <c r="I12" s="204">
        <v>0</v>
      </c>
      <c r="J12" s="37">
        <f t="shared" si="5"/>
        <v>0</v>
      </c>
      <c r="K12" s="37">
        <f t="shared" si="6"/>
        <v>0</v>
      </c>
      <c r="L12" s="208"/>
      <c r="M12" s="205">
        <f t="shared" si="3"/>
        <v>210029.23099999977</v>
      </c>
      <c r="N12" s="37"/>
      <c r="O12" s="28"/>
    </row>
    <row r="13" spans="1:15" ht="15">
      <c r="A13" s="26">
        <v>10</v>
      </c>
      <c r="B13" s="27">
        <v>46001</v>
      </c>
      <c r="C13" s="110"/>
      <c r="D13" s="110"/>
      <c r="E13" s="37"/>
      <c r="F13" s="37">
        <v>0</v>
      </c>
      <c r="G13" s="37">
        <f t="shared" si="4"/>
        <v>0</v>
      </c>
      <c r="H13" s="204">
        <v>0</v>
      </c>
      <c r="I13" s="204">
        <v>0</v>
      </c>
      <c r="J13" s="37">
        <f t="shared" si="5"/>
        <v>0</v>
      </c>
      <c r="K13" s="37">
        <f t="shared" si="6"/>
        <v>0</v>
      </c>
      <c r="L13" s="208"/>
      <c r="M13" s="205">
        <f t="shared" si="3"/>
        <v>210029.23099999977</v>
      </c>
      <c r="N13" s="37"/>
      <c r="O13" s="28"/>
    </row>
    <row r="14" spans="1:15" ht="15">
      <c r="A14" s="26">
        <v>11</v>
      </c>
      <c r="B14" s="27">
        <v>46002</v>
      </c>
      <c r="C14" s="110"/>
      <c r="D14" s="110"/>
      <c r="E14" s="37"/>
      <c r="F14" s="37">
        <v>0</v>
      </c>
      <c r="G14" s="37">
        <f t="shared" si="4"/>
        <v>0</v>
      </c>
      <c r="H14" s="204">
        <v>0</v>
      </c>
      <c r="I14" s="204">
        <v>0</v>
      </c>
      <c r="J14" s="37">
        <f t="shared" si="5"/>
        <v>0</v>
      </c>
      <c r="K14" s="37">
        <f t="shared" si="6"/>
        <v>0</v>
      </c>
      <c r="L14" s="208"/>
      <c r="M14" s="205">
        <f t="shared" si="3"/>
        <v>210029.23099999977</v>
      </c>
      <c r="N14" s="37"/>
      <c r="O14" s="28"/>
    </row>
    <row r="15" spans="1:15" ht="15">
      <c r="A15" s="26">
        <v>12</v>
      </c>
      <c r="B15" s="27">
        <v>46003</v>
      </c>
      <c r="C15" s="110"/>
      <c r="D15" s="110"/>
      <c r="E15" s="37"/>
      <c r="F15" s="37">
        <v>0</v>
      </c>
      <c r="G15" s="37">
        <f t="shared" si="4"/>
        <v>0</v>
      </c>
      <c r="H15" s="204">
        <v>0</v>
      </c>
      <c r="I15" s="204">
        <v>0</v>
      </c>
      <c r="J15" s="37">
        <f t="shared" si="5"/>
        <v>0</v>
      </c>
      <c r="K15" s="37">
        <f t="shared" si="6"/>
        <v>0</v>
      </c>
      <c r="L15" s="208"/>
      <c r="M15" s="205">
        <f t="shared" si="3"/>
        <v>210029.23099999977</v>
      </c>
      <c r="N15" s="37"/>
      <c r="O15" s="28"/>
    </row>
    <row r="16" spans="1:15" ht="15">
      <c r="A16" s="26">
        <v>13</v>
      </c>
      <c r="B16" s="27">
        <v>46004</v>
      </c>
      <c r="C16" s="110"/>
      <c r="D16" s="110"/>
      <c r="E16" s="37"/>
      <c r="F16" s="37">
        <v>0</v>
      </c>
      <c r="G16" s="37">
        <f t="shared" si="4"/>
        <v>0</v>
      </c>
      <c r="H16" s="204">
        <v>0</v>
      </c>
      <c r="I16" s="204">
        <v>0</v>
      </c>
      <c r="J16" s="37">
        <f t="shared" si="5"/>
        <v>0</v>
      </c>
      <c r="K16" s="37">
        <f t="shared" si="6"/>
        <v>0</v>
      </c>
      <c r="L16" s="208"/>
      <c r="M16" s="205">
        <f t="shared" si="3"/>
        <v>210029.23099999977</v>
      </c>
      <c r="N16" s="37"/>
      <c r="O16" s="28"/>
    </row>
    <row r="17" spans="1:15" ht="15">
      <c r="A17" s="26">
        <v>14</v>
      </c>
      <c r="B17" s="27">
        <v>46005</v>
      </c>
      <c r="C17" s="110"/>
      <c r="D17" s="110"/>
      <c r="E17" s="37"/>
      <c r="F17" s="37">
        <v>0</v>
      </c>
      <c r="G17" s="37">
        <f t="shared" si="4"/>
        <v>0</v>
      </c>
      <c r="H17" s="204">
        <v>0</v>
      </c>
      <c r="I17" s="204">
        <v>0</v>
      </c>
      <c r="J17" s="37">
        <f t="shared" si="5"/>
        <v>0</v>
      </c>
      <c r="K17" s="37">
        <f t="shared" si="6"/>
        <v>0</v>
      </c>
      <c r="L17" s="208"/>
      <c r="M17" s="205">
        <f t="shared" si="3"/>
        <v>210029.23099999977</v>
      </c>
      <c r="N17" s="37"/>
      <c r="O17" s="28"/>
    </row>
    <row r="18" spans="1:15" ht="15">
      <c r="A18" s="26">
        <v>15</v>
      </c>
      <c r="B18" s="27">
        <v>46006</v>
      </c>
      <c r="C18" s="110"/>
      <c r="D18" s="110"/>
      <c r="E18" s="37"/>
      <c r="F18" s="37">
        <v>0</v>
      </c>
      <c r="G18" s="37">
        <f t="shared" si="0"/>
        <v>0</v>
      </c>
      <c r="H18" s="204">
        <v>0</v>
      </c>
      <c r="I18" s="204">
        <v>0</v>
      </c>
      <c r="J18" s="37">
        <f t="shared" si="1"/>
        <v>0</v>
      </c>
      <c r="K18" s="37">
        <f t="shared" si="2"/>
        <v>0</v>
      </c>
      <c r="L18" s="208"/>
      <c r="M18" s="205">
        <f t="shared" si="3"/>
        <v>210029.23099999977</v>
      </c>
      <c r="N18" s="37"/>
      <c r="O18" s="28"/>
    </row>
    <row r="19" spans="1:15" ht="15">
      <c r="A19" s="26">
        <v>16</v>
      </c>
      <c r="B19" s="27">
        <v>46007</v>
      </c>
      <c r="C19" s="110"/>
      <c r="D19" s="110"/>
      <c r="E19" s="37"/>
      <c r="F19" s="37">
        <v>0</v>
      </c>
      <c r="G19" s="37">
        <f t="shared" si="0"/>
        <v>0</v>
      </c>
      <c r="H19" s="204">
        <v>0</v>
      </c>
      <c r="I19" s="204">
        <v>0</v>
      </c>
      <c r="J19" s="37">
        <f t="shared" si="1"/>
        <v>0</v>
      </c>
      <c r="K19" s="37">
        <f t="shared" si="2"/>
        <v>0</v>
      </c>
      <c r="L19" s="208"/>
      <c r="M19" s="205">
        <f t="shared" si="3"/>
        <v>210029.23099999977</v>
      </c>
      <c r="N19" s="37"/>
      <c r="O19" s="28"/>
    </row>
    <row r="20" spans="1:15" ht="15">
      <c r="A20" s="26">
        <v>17</v>
      </c>
      <c r="B20" s="27">
        <v>46008</v>
      </c>
      <c r="C20" s="110"/>
      <c r="D20" s="110"/>
      <c r="E20" s="37"/>
      <c r="F20" s="37">
        <v>0</v>
      </c>
      <c r="G20" s="37">
        <f t="shared" si="0"/>
        <v>0</v>
      </c>
      <c r="H20" s="204">
        <v>140</v>
      </c>
      <c r="I20" s="204">
        <v>104.27</v>
      </c>
      <c r="J20" s="37">
        <f t="shared" si="1"/>
        <v>14597.8</v>
      </c>
      <c r="K20" s="37">
        <f t="shared" si="2"/>
        <v>14597.8</v>
      </c>
      <c r="L20" s="208">
        <v>210000</v>
      </c>
      <c r="M20" s="205">
        <f t="shared" si="3"/>
        <v>14627.030999999755</v>
      </c>
      <c r="N20" s="37">
        <v>14492</v>
      </c>
      <c r="O20" s="451">
        <f>M20-N20</f>
        <v>135.03099999975529</v>
      </c>
    </row>
    <row r="21" spans="1:15" ht="15">
      <c r="A21" s="26">
        <v>18</v>
      </c>
      <c r="B21" s="27">
        <v>46009</v>
      </c>
      <c r="C21" s="110"/>
      <c r="D21" s="110"/>
      <c r="E21" s="37"/>
      <c r="F21" s="37">
        <v>0</v>
      </c>
      <c r="G21" s="37">
        <f t="shared" si="0"/>
        <v>0</v>
      </c>
      <c r="H21" s="204">
        <v>0</v>
      </c>
      <c r="I21" s="204">
        <v>0</v>
      </c>
      <c r="J21" s="37">
        <f t="shared" si="1"/>
        <v>0</v>
      </c>
      <c r="K21" s="37">
        <f t="shared" si="2"/>
        <v>0</v>
      </c>
      <c r="L21" s="208"/>
      <c r="M21" s="205">
        <f t="shared" si="3"/>
        <v>14627.030999999755</v>
      </c>
      <c r="N21" s="37"/>
      <c r="O21" s="28"/>
    </row>
    <row r="22" spans="1:15" ht="15">
      <c r="A22" s="26">
        <v>19</v>
      </c>
      <c r="B22" s="27">
        <v>46010</v>
      </c>
      <c r="C22" s="110"/>
      <c r="D22" s="110"/>
      <c r="E22" s="37"/>
      <c r="F22" s="37">
        <v>0</v>
      </c>
      <c r="G22" s="37"/>
      <c r="H22" s="204">
        <v>0</v>
      </c>
      <c r="I22" s="204">
        <v>0</v>
      </c>
      <c r="J22" s="37">
        <f t="shared" si="1"/>
        <v>0</v>
      </c>
      <c r="K22" s="37">
        <f t="shared" si="2"/>
        <v>0</v>
      </c>
      <c r="L22" s="208"/>
      <c r="M22" s="205">
        <f t="shared" si="3"/>
        <v>14627.030999999755</v>
      </c>
      <c r="N22" s="37"/>
      <c r="O22" s="28"/>
    </row>
    <row r="23" spans="1:15" ht="15">
      <c r="A23" s="26">
        <v>20</v>
      </c>
      <c r="B23" s="27">
        <v>46011</v>
      </c>
      <c r="C23" s="110"/>
      <c r="D23" s="110"/>
      <c r="E23" s="37"/>
      <c r="F23" s="37">
        <v>0</v>
      </c>
      <c r="G23" s="37"/>
      <c r="H23" s="204"/>
      <c r="I23" s="204"/>
      <c r="J23" s="37">
        <f t="shared" ref="J23:J32" si="7">H23*I23</f>
        <v>0</v>
      </c>
      <c r="K23" s="37">
        <f t="shared" ref="K23:K32" si="8">G23+J23</f>
        <v>0</v>
      </c>
      <c r="L23" s="208"/>
      <c r="M23" s="205">
        <f t="shared" si="3"/>
        <v>14627.030999999755</v>
      </c>
      <c r="N23" s="37"/>
      <c r="O23" s="28"/>
    </row>
    <row r="24" spans="1:15" ht="15">
      <c r="A24" s="26">
        <v>21</v>
      </c>
      <c r="B24" s="27">
        <v>46012</v>
      </c>
      <c r="C24" s="110"/>
      <c r="D24" s="110"/>
      <c r="E24" s="37"/>
      <c r="F24" s="37">
        <v>0</v>
      </c>
      <c r="G24" s="37"/>
      <c r="H24" s="204"/>
      <c r="I24" s="204"/>
      <c r="J24" s="37">
        <f t="shared" si="7"/>
        <v>0</v>
      </c>
      <c r="K24" s="37">
        <f t="shared" si="8"/>
        <v>0</v>
      </c>
      <c r="L24" s="208"/>
      <c r="M24" s="205">
        <f t="shared" si="3"/>
        <v>14627.030999999755</v>
      </c>
      <c r="N24" s="37"/>
      <c r="O24" s="28"/>
    </row>
    <row r="25" spans="1:15" ht="15">
      <c r="A25" s="26">
        <v>22</v>
      </c>
      <c r="B25" s="27">
        <v>46013</v>
      </c>
      <c r="C25" s="110"/>
      <c r="D25" s="110"/>
      <c r="E25" s="37"/>
      <c r="F25" s="37">
        <v>0</v>
      </c>
      <c r="G25" s="37"/>
      <c r="H25" s="204"/>
      <c r="I25" s="204"/>
      <c r="J25" s="37">
        <f t="shared" si="7"/>
        <v>0</v>
      </c>
      <c r="K25" s="37">
        <f t="shared" si="8"/>
        <v>0</v>
      </c>
      <c r="L25" s="208"/>
      <c r="M25" s="205">
        <f t="shared" si="3"/>
        <v>14627.030999999755</v>
      </c>
      <c r="N25" s="37"/>
      <c r="O25" s="28"/>
    </row>
    <row r="26" spans="1:15" ht="15">
      <c r="A26" s="26">
        <v>23</v>
      </c>
      <c r="B26" s="27">
        <v>46014</v>
      </c>
      <c r="C26" s="110"/>
      <c r="D26" s="110"/>
      <c r="E26" s="37"/>
      <c r="F26" s="37">
        <v>0</v>
      </c>
      <c r="G26" s="37"/>
      <c r="H26" s="204"/>
      <c r="I26" s="204"/>
      <c r="J26" s="37">
        <f t="shared" si="7"/>
        <v>0</v>
      </c>
      <c r="K26" s="37">
        <f t="shared" si="8"/>
        <v>0</v>
      </c>
      <c r="L26" s="208"/>
      <c r="M26" s="205">
        <f t="shared" si="3"/>
        <v>14627.030999999755</v>
      </c>
      <c r="N26" s="37"/>
      <c r="O26" s="28"/>
    </row>
    <row r="27" spans="1:15" ht="15">
      <c r="A27" s="26">
        <v>24</v>
      </c>
      <c r="B27" s="27">
        <v>46015</v>
      </c>
      <c r="C27" s="110"/>
      <c r="D27" s="110"/>
      <c r="E27" s="37"/>
      <c r="F27" s="37">
        <v>0</v>
      </c>
      <c r="G27" s="37"/>
      <c r="H27" s="204"/>
      <c r="I27" s="204"/>
      <c r="J27" s="37">
        <f t="shared" si="7"/>
        <v>0</v>
      </c>
      <c r="K27" s="37">
        <f t="shared" si="8"/>
        <v>0</v>
      </c>
      <c r="L27" s="208"/>
      <c r="M27" s="205">
        <f t="shared" si="3"/>
        <v>14627.030999999755</v>
      </c>
      <c r="N27" s="37"/>
      <c r="O27" s="28"/>
    </row>
    <row r="28" spans="1:15" ht="15">
      <c r="A28" s="26">
        <v>25</v>
      </c>
      <c r="B28" s="27">
        <v>46016</v>
      </c>
      <c r="C28" s="110"/>
      <c r="D28" s="110"/>
      <c r="E28" s="37"/>
      <c r="F28" s="37">
        <v>0</v>
      </c>
      <c r="G28" s="37"/>
      <c r="H28" s="204"/>
      <c r="I28" s="204"/>
      <c r="J28" s="37">
        <f t="shared" si="7"/>
        <v>0</v>
      </c>
      <c r="K28" s="37">
        <f t="shared" si="8"/>
        <v>0</v>
      </c>
      <c r="L28" s="208"/>
      <c r="M28" s="205">
        <f>M27+K28-L28</f>
        <v>14627.030999999755</v>
      </c>
      <c r="N28" s="37"/>
      <c r="O28" s="28"/>
    </row>
    <row r="29" spans="1:15" ht="15">
      <c r="A29" s="26">
        <v>26</v>
      </c>
      <c r="B29" s="27">
        <v>46017</v>
      </c>
      <c r="C29" s="110"/>
      <c r="D29" s="110"/>
      <c r="E29" s="37"/>
      <c r="F29" s="37">
        <v>0</v>
      </c>
      <c r="G29" s="37"/>
      <c r="H29" s="204"/>
      <c r="I29" s="204"/>
      <c r="J29" s="37">
        <f t="shared" si="7"/>
        <v>0</v>
      </c>
      <c r="K29" s="37">
        <f t="shared" si="8"/>
        <v>0</v>
      </c>
      <c r="L29" s="208"/>
      <c r="M29" s="205">
        <f t="shared" si="3"/>
        <v>14627.030999999755</v>
      </c>
      <c r="N29" s="37"/>
      <c r="O29" s="28"/>
    </row>
    <row r="30" spans="1:15" ht="15">
      <c r="A30" s="26">
        <v>27</v>
      </c>
      <c r="B30" s="27">
        <v>46018</v>
      </c>
      <c r="C30" s="110"/>
      <c r="D30" s="110"/>
      <c r="E30" s="37"/>
      <c r="F30" s="37">
        <v>0</v>
      </c>
      <c r="G30" s="37"/>
      <c r="H30" s="204"/>
      <c r="I30" s="204"/>
      <c r="J30" s="37">
        <f t="shared" si="7"/>
        <v>0</v>
      </c>
      <c r="K30" s="37">
        <f t="shared" si="8"/>
        <v>0</v>
      </c>
      <c r="L30" s="208"/>
      <c r="M30" s="205">
        <f t="shared" si="3"/>
        <v>14627.030999999755</v>
      </c>
      <c r="N30" s="37"/>
      <c r="O30" s="28"/>
    </row>
    <row r="31" spans="1:15" ht="15">
      <c r="A31" s="26">
        <v>28</v>
      </c>
      <c r="B31" s="27">
        <v>46019</v>
      </c>
      <c r="C31" s="110"/>
      <c r="D31" s="110"/>
      <c r="E31" s="37"/>
      <c r="F31" s="37">
        <v>0</v>
      </c>
      <c r="G31" s="37"/>
      <c r="H31" s="204"/>
      <c r="I31" s="204"/>
      <c r="J31" s="37">
        <f t="shared" si="7"/>
        <v>0</v>
      </c>
      <c r="K31" s="37">
        <f t="shared" si="8"/>
        <v>0</v>
      </c>
      <c r="L31" s="208"/>
      <c r="M31" s="205">
        <f t="shared" si="3"/>
        <v>14627.030999999755</v>
      </c>
      <c r="N31" s="37"/>
      <c r="O31" s="28"/>
    </row>
    <row r="32" spans="1:15" ht="15">
      <c r="A32" s="26">
        <v>29</v>
      </c>
      <c r="B32" s="27">
        <v>46020</v>
      </c>
      <c r="C32" s="110"/>
      <c r="D32" s="110"/>
      <c r="E32" s="37"/>
      <c r="F32" s="37">
        <v>0</v>
      </c>
      <c r="G32" s="37">
        <f t="shared" ref="G32" si="9">E32*F32</f>
        <v>0</v>
      </c>
      <c r="H32" s="204">
        <v>0</v>
      </c>
      <c r="I32" s="204">
        <v>0</v>
      </c>
      <c r="J32" s="37">
        <f t="shared" si="7"/>
        <v>0</v>
      </c>
      <c r="K32" s="37">
        <f t="shared" si="8"/>
        <v>0</v>
      </c>
      <c r="L32" s="208"/>
      <c r="M32" s="205">
        <f t="shared" si="3"/>
        <v>14627.030999999755</v>
      </c>
      <c r="N32" s="221"/>
      <c r="O32" s="28"/>
    </row>
    <row r="33" spans="1:15" ht="15">
      <c r="A33" s="26">
        <v>30</v>
      </c>
      <c r="B33" s="27">
        <v>46021</v>
      </c>
      <c r="C33" s="110"/>
      <c r="D33" s="110"/>
      <c r="E33" s="37"/>
      <c r="F33" s="37">
        <v>0</v>
      </c>
      <c r="G33" s="37">
        <f t="shared" si="0"/>
        <v>0</v>
      </c>
      <c r="H33" s="204">
        <v>0</v>
      </c>
      <c r="I33" s="204">
        <v>0</v>
      </c>
      <c r="J33" s="37">
        <f t="shared" si="1"/>
        <v>0</v>
      </c>
      <c r="K33" s="37">
        <f t="shared" si="2"/>
        <v>0</v>
      </c>
      <c r="L33" s="208"/>
      <c r="M33" s="205">
        <f t="shared" si="3"/>
        <v>14627.030999999755</v>
      </c>
      <c r="N33" s="221"/>
      <c r="O33" s="28"/>
    </row>
    <row r="34" spans="1:15" ht="15">
      <c r="A34" s="26">
        <v>31</v>
      </c>
      <c r="B34" s="27"/>
      <c r="C34" s="110"/>
      <c r="D34" s="110"/>
      <c r="E34" s="37"/>
      <c r="F34" s="37">
        <v>0</v>
      </c>
      <c r="G34" s="37">
        <f t="shared" ref="G34" si="10">E34*F34</f>
        <v>0</v>
      </c>
      <c r="H34" s="204"/>
      <c r="I34" s="204"/>
      <c r="J34" s="37">
        <f t="shared" ref="J34" si="11">H34*I34</f>
        <v>0</v>
      </c>
      <c r="K34" s="37">
        <f t="shared" ref="K34" si="12">G34+J34</f>
        <v>0</v>
      </c>
      <c r="L34" s="208"/>
      <c r="M34" s="221"/>
      <c r="N34" s="221"/>
      <c r="O34" s="28"/>
    </row>
    <row r="35" spans="1:15">
      <c r="A35" s="43"/>
      <c r="B35" s="43"/>
      <c r="C35" s="209"/>
      <c r="D35" s="209"/>
      <c r="E35" s="210">
        <f>SUM(E4:E34)</f>
        <v>0</v>
      </c>
      <c r="F35" s="210"/>
      <c r="G35" s="210">
        <f>SUM(G4:G34)</f>
        <v>0</v>
      </c>
      <c r="H35" s="210">
        <f>SUM(H4:H34)</f>
        <v>140</v>
      </c>
      <c r="I35" s="210"/>
      <c r="J35" s="210">
        <f>SUM(J4:J34)</f>
        <v>14597.8</v>
      </c>
      <c r="K35" s="210">
        <f>SUM(K4:K34)</f>
        <v>14597.8</v>
      </c>
      <c r="L35" s="210">
        <f>SUM(L4:L31)</f>
        <v>210000</v>
      </c>
      <c r="M35" s="210"/>
      <c r="N35" s="210"/>
      <c r="O35" s="33"/>
    </row>
    <row r="36" spans="1:15">
      <c r="A36" s="30"/>
      <c r="B36" s="30"/>
      <c r="C36" s="30"/>
      <c r="D36" s="30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28"/>
    </row>
    <row r="37" spans="1:15">
      <c r="A37" s="28"/>
      <c r="B37" s="28"/>
      <c r="C37" s="28"/>
      <c r="D37" s="28"/>
      <c r="E37" s="28"/>
      <c r="F37" s="28"/>
      <c r="G37" s="31"/>
      <c r="H37" s="28"/>
      <c r="I37" s="28"/>
      <c r="J37" s="28"/>
      <c r="K37" s="28"/>
      <c r="L37" s="28"/>
      <c r="M37" s="28"/>
      <c r="N37" s="28"/>
      <c r="O37" s="32"/>
    </row>
    <row r="38" spans="1:15">
      <c r="A38" s="28"/>
      <c r="B38" s="474"/>
      <c r="C38" s="474"/>
      <c r="D38" s="474"/>
      <c r="E38" s="474"/>
      <c r="F38" s="28"/>
      <c r="G38" s="28"/>
      <c r="H38" s="28"/>
      <c r="I38" s="474"/>
      <c r="J38" s="474"/>
      <c r="K38" s="474"/>
      <c r="L38" s="474"/>
      <c r="M38" s="474"/>
      <c r="N38" s="474"/>
      <c r="O38" s="32"/>
    </row>
    <row r="39" spans="1:1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32"/>
    </row>
  </sheetData>
  <mergeCells count="4">
    <mergeCell ref="A1:N1"/>
    <mergeCell ref="B38:E38"/>
    <mergeCell ref="I38:N38"/>
    <mergeCell ref="A3:J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79681-750A-402D-B1B7-693CAD315F78}">
  <dimension ref="A1:AH38"/>
  <sheetViews>
    <sheetView workbookViewId="0">
      <pane ySplit="2" topLeftCell="A3" activePane="bottomLeft" state="frozen"/>
      <selection pane="bottomLeft" activeCell="N6" sqref="N6"/>
    </sheetView>
  </sheetViews>
  <sheetFormatPr defaultRowHeight="15"/>
  <cols>
    <col min="1" max="1" width="4.7109375" style="46" bestFit="1" customWidth="1"/>
    <col min="2" max="2" width="10.42578125" style="46" bestFit="1" customWidth="1"/>
    <col min="3" max="3" width="7.140625" style="46" bestFit="1" customWidth="1"/>
    <col min="4" max="4" width="16" style="46" bestFit="1" customWidth="1"/>
    <col min="5" max="5" width="9.7109375" style="46" bestFit="1" customWidth="1"/>
    <col min="6" max="6" width="11.5703125" style="46" bestFit="1" customWidth="1"/>
    <col min="7" max="7" width="11.85546875" style="46" bestFit="1" customWidth="1"/>
    <col min="8" max="8" width="10.42578125" style="46" bestFit="1" customWidth="1"/>
    <col min="9" max="9" width="7.140625" style="46" bestFit="1" customWidth="1"/>
    <col min="10" max="10" width="10.85546875" style="52" bestFit="1" customWidth="1"/>
    <col min="11" max="11" width="11.85546875" style="46" bestFit="1" customWidth="1"/>
    <col min="12" max="12" width="12.42578125" style="52" bestFit="1" customWidth="1"/>
    <col min="13" max="13" width="12.42578125" style="52" customWidth="1"/>
    <col min="14" max="14" width="17.7109375" style="46" bestFit="1" customWidth="1"/>
    <col min="15" max="15" width="9.140625" style="46"/>
    <col min="16" max="16" width="11.85546875" style="46" bestFit="1" customWidth="1"/>
    <col min="17" max="16384" width="9.140625" style="46"/>
  </cols>
  <sheetData>
    <row r="1" spans="1:16">
      <c r="A1" s="476" t="s">
        <v>29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</row>
    <row r="2" spans="1:16">
      <c r="A2" s="90" t="s">
        <v>129</v>
      </c>
      <c r="B2" s="91" t="s">
        <v>130</v>
      </c>
      <c r="C2" s="91" t="s">
        <v>131</v>
      </c>
      <c r="D2" s="91" t="s">
        <v>132</v>
      </c>
      <c r="E2" s="91" t="s">
        <v>133</v>
      </c>
      <c r="F2" s="91" t="s">
        <v>134</v>
      </c>
      <c r="G2" s="91" t="s">
        <v>135</v>
      </c>
      <c r="H2" s="91" t="s">
        <v>136</v>
      </c>
      <c r="I2" s="91" t="s">
        <v>134</v>
      </c>
      <c r="J2" s="115" t="s">
        <v>135</v>
      </c>
      <c r="K2" s="91" t="s">
        <v>137</v>
      </c>
      <c r="L2" s="115" t="s">
        <v>138</v>
      </c>
      <c r="M2" s="114" t="s">
        <v>199</v>
      </c>
      <c r="N2" s="92" t="s">
        <v>140</v>
      </c>
      <c r="O2" s="33"/>
    </row>
    <row r="3" spans="1:16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77"/>
      <c r="K3" s="116">
        <v>21.541513800228131</v>
      </c>
      <c r="L3" s="47"/>
      <c r="M3" s="116">
        <v>21.541513800228131</v>
      </c>
      <c r="N3" s="47"/>
      <c r="O3" s="33"/>
      <c r="P3" s="50"/>
    </row>
    <row r="4" spans="1:16">
      <c r="A4" s="26">
        <v>1</v>
      </c>
      <c r="B4" s="27">
        <v>46023</v>
      </c>
      <c r="C4" s="48" t="s">
        <v>214</v>
      </c>
      <c r="D4" s="49" t="s">
        <v>214</v>
      </c>
      <c r="E4" s="48"/>
      <c r="F4" s="48"/>
      <c r="G4" s="47">
        <f t="shared" ref="G4" si="0">E4*F4</f>
        <v>0</v>
      </c>
      <c r="H4" s="48"/>
      <c r="I4" s="48"/>
      <c r="J4" s="50">
        <f t="shared" ref="J4" si="1">H4*I4</f>
        <v>0</v>
      </c>
      <c r="K4" s="47">
        <f t="shared" ref="K4" si="2">G4+J4</f>
        <v>0</v>
      </c>
      <c r="L4" s="111"/>
      <c r="M4" s="50">
        <f>M3+K4-L4</f>
        <v>21.541513800228131</v>
      </c>
      <c r="N4" s="107"/>
    </row>
    <row r="5" spans="1:16">
      <c r="A5" s="26">
        <v>2</v>
      </c>
      <c r="B5" s="27">
        <v>46024</v>
      </c>
      <c r="C5" s="48" t="s">
        <v>214</v>
      </c>
      <c r="D5" s="366" t="s">
        <v>214</v>
      </c>
      <c r="E5" s="172"/>
      <c r="F5" s="172"/>
      <c r="G5" s="223">
        <f t="shared" ref="G5:G35" si="3">E5*F5</f>
        <v>0</v>
      </c>
      <c r="H5" s="48"/>
      <c r="I5" s="48"/>
      <c r="J5" s="50">
        <f t="shared" ref="J5:J35" si="4">H5*I5</f>
        <v>0</v>
      </c>
      <c r="K5" s="47">
        <f t="shared" ref="K5:K35" si="5">G5+J5</f>
        <v>0</v>
      </c>
      <c r="L5" s="111">
        <v>21.54</v>
      </c>
      <c r="M5" s="50">
        <f t="shared" ref="M5:M35" si="6">M4+K5-L5</f>
        <v>1.5138002281318563E-3</v>
      </c>
      <c r="N5" s="107" t="s">
        <v>217</v>
      </c>
    </row>
    <row r="6" spans="1:16">
      <c r="A6" s="26">
        <v>3</v>
      </c>
      <c r="B6" s="27">
        <v>46025</v>
      </c>
      <c r="C6" s="364" t="s">
        <v>214</v>
      </c>
      <c r="D6" s="49" t="s">
        <v>214</v>
      </c>
      <c r="E6" s="48"/>
      <c r="F6" s="48"/>
      <c r="G6" s="47">
        <f t="shared" si="3"/>
        <v>0</v>
      </c>
      <c r="H6" s="365"/>
      <c r="I6" s="48"/>
      <c r="J6" s="50">
        <f t="shared" si="4"/>
        <v>0</v>
      </c>
      <c r="K6" s="47">
        <f t="shared" si="5"/>
        <v>0</v>
      </c>
      <c r="L6" s="111"/>
      <c r="M6" s="50">
        <f t="shared" si="6"/>
        <v>1.5138002281318563E-3</v>
      </c>
      <c r="N6" s="113"/>
    </row>
    <row r="7" spans="1:16">
      <c r="A7" s="26">
        <v>4</v>
      </c>
      <c r="B7" s="27">
        <v>46026</v>
      </c>
      <c r="C7" s="364" t="s">
        <v>214</v>
      </c>
      <c r="D7" s="49" t="s">
        <v>214</v>
      </c>
      <c r="E7" s="48"/>
      <c r="F7" s="48"/>
      <c r="G7" s="47">
        <f t="shared" si="3"/>
        <v>0</v>
      </c>
      <c r="H7" s="365"/>
      <c r="I7" s="48"/>
      <c r="J7" s="50">
        <f t="shared" si="4"/>
        <v>0</v>
      </c>
      <c r="K7" s="47">
        <f t="shared" si="5"/>
        <v>0</v>
      </c>
      <c r="L7" s="111"/>
      <c r="M7" s="50">
        <f t="shared" si="6"/>
        <v>1.5138002281318563E-3</v>
      </c>
      <c r="N7" s="113"/>
    </row>
    <row r="8" spans="1:16">
      <c r="A8" s="26">
        <v>5</v>
      </c>
      <c r="B8" s="27">
        <v>46027</v>
      </c>
      <c r="C8" s="364" t="s">
        <v>214</v>
      </c>
      <c r="D8" s="49" t="s">
        <v>214</v>
      </c>
      <c r="E8" s="48"/>
      <c r="F8" s="48"/>
      <c r="G8" s="47">
        <f t="shared" si="3"/>
        <v>0</v>
      </c>
      <c r="H8" s="365"/>
      <c r="I8" s="48"/>
      <c r="J8" s="50">
        <f t="shared" si="4"/>
        <v>0</v>
      </c>
      <c r="K8" s="47">
        <f t="shared" si="5"/>
        <v>0</v>
      </c>
      <c r="L8" s="111"/>
      <c r="M8" s="50">
        <f t="shared" si="6"/>
        <v>1.5138002281318563E-3</v>
      </c>
      <c r="N8" s="107"/>
    </row>
    <row r="9" spans="1:16">
      <c r="A9" s="26">
        <v>6</v>
      </c>
      <c r="B9" s="27">
        <v>46028</v>
      </c>
      <c r="C9" s="364" t="s">
        <v>214</v>
      </c>
      <c r="D9" s="49" t="s">
        <v>214</v>
      </c>
      <c r="E9" s="48"/>
      <c r="F9" s="48"/>
      <c r="G9" s="47">
        <f t="shared" si="3"/>
        <v>0</v>
      </c>
      <c r="H9" s="365"/>
      <c r="I9" s="48"/>
      <c r="J9" s="50">
        <f t="shared" si="4"/>
        <v>0</v>
      </c>
      <c r="K9" s="47">
        <f t="shared" si="5"/>
        <v>0</v>
      </c>
      <c r="L9" s="111"/>
      <c r="M9" s="50">
        <f t="shared" si="6"/>
        <v>1.5138002281318563E-3</v>
      </c>
      <c r="N9" s="113"/>
    </row>
    <row r="10" spans="1:16">
      <c r="A10" s="26">
        <v>7</v>
      </c>
      <c r="B10" s="27">
        <v>46029</v>
      </c>
      <c r="C10" s="364" t="s">
        <v>214</v>
      </c>
      <c r="D10" s="49" t="s">
        <v>214</v>
      </c>
      <c r="E10" s="48"/>
      <c r="F10" s="48"/>
      <c r="G10" s="47">
        <f t="shared" si="3"/>
        <v>0</v>
      </c>
      <c r="H10" s="365"/>
      <c r="I10" s="48"/>
      <c r="J10" s="50">
        <f t="shared" si="4"/>
        <v>0</v>
      </c>
      <c r="K10" s="47">
        <f t="shared" si="5"/>
        <v>0</v>
      </c>
      <c r="L10" s="111"/>
      <c r="M10" s="50">
        <f t="shared" si="6"/>
        <v>1.5138002281318563E-3</v>
      </c>
      <c r="N10" s="107"/>
    </row>
    <row r="11" spans="1:16">
      <c r="A11" s="26">
        <v>8</v>
      </c>
      <c r="B11" s="27">
        <v>46030</v>
      </c>
      <c r="C11" s="364" t="s">
        <v>214</v>
      </c>
      <c r="D11" s="49" t="s">
        <v>214</v>
      </c>
      <c r="E11" s="48"/>
      <c r="F11" s="48"/>
      <c r="G11" s="47">
        <f t="shared" si="3"/>
        <v>0</v>
      </c>
      <c r="H11" s="365"/>
      <c r="I11" s="48"/>
      <c r="J11" s="50">
        <f t="shared" si="4"/>
        <v>0</v>
      </c>
      <c r="K11" s="47">
        <f t="shared" si="5"/>
        <v>0</v>
      </c>
      <c r="L11" s="111"/>
      <c r="M11" s="50">
        <f t="shared" si="6"/>
        <v>1.5138002281318563E-3</v>
      </c>
      <c r="N11" s="112"/>
    </row>
    <row r="12" spans="1:16">
      <c r="A12" s="26">
        <v>9</v>
      </c>
      <c r="B12" s="27">
        <v>46031</v>
      </c>
      <c r="C12" s="364" t="s">
        <v>214</v>
      </c>
      <c r="D12" s="49" t="s">
        <v>214</v>
      </c>
      <c r="E12" s="48"/>
      <c r="F12" s="48"/>
      <c r="G12" s="47">
        <f t="shared" si="3"/>
        <v>0</v>
      </c>
      <c r="H12" s="365"/>
      <c r="I12" s="48"/>
      <c r="J12" s="50">
        <f t="shared" si="4"/>
        <v>0</v>
      </c>
      <c r="K12" s="47">
        <f t="shared" si="5"/>
        <v>0</v>
      </c>
      <c r="L12" s="111"/>
      <c r="M12" s="50">
        <f t="shared" si="6"/>
        <v>1.5138002281318563E-3</v>
      </c>
      <c r="N12" s="107"/>
    </row>
    <row r="13" spans="1:16">
      <c r="A13" s="26">
        <v>10</v>
      </c>
      <c r="B13" s="27">
        <v>46032</v>
      </c>
      <c r="C13" s="364" t="s">
        <v>214</v>
      </c>
      <c r="D13" s="49" t="s">
        <v>214</v>
      </c>
      <c r="E13" s="48"/>
      <c r="F13" s="48"/>
      <c r="G13" s="47">
        <f t="shared" si="3"/>
        <v>0</v>
      </c>
      <c r="H13" s="365"/>
      <c r="I13" s="48"/>
      <c r="J13" s="50">
        <f t="shared" si="4"/>
        <v>0</v>
      </c>
      <c r="K13" s="47">
        <f t="shared" si="5"/>
        <v>0</v>
      </c>
      <c r="L13" s="111"/>
      <c r="M13" s="50">
        <f t="shared" si="6"/>
        <v>1.5138002281318563E-3</v>
      </c>
      <c r="N13" s="107"/>
    </row>
    <row r="14" spans="1:16">
      <c r="A14" s="26">
        <v>11</v>
      </c>
      <c r="B14" s="27">
        <v>46033</v>
      </c>
      <c r="C14" s="364" t="s">
        <v>214</v>
      </c>
      <c r="D14" s="49" t="s">
        <v>214</v>
      </c>
      <c r="E14" s="48"/>
      <c r="F14" s="48"/>
      <c r="G14" s="47">
        <f t="shared" si="3"/>
        <v>0</v>
      </c>
      <c r="H14" s="365"/>
      <c r="I14" s="48"/>
      <c r="J14" s="50">
        <f t="shared" si="4"/>
        <v>0</v>
      </c>
      <c r="K14" s="47">
        <f t="shared" si="5"/>
        <v>0</v>
      </c>
      <c r="L14" s="111"/>
      <c r="M14" s="50">
        <f t="shared" si="6"/>
        <v>1.5138002281318563E-3</v>
      </c>
      <c r="N14" s="107"/>
    </row>
    <row r="15" spans="1:16">
      <c r="A15" s="26">
        <v>12</v>
      </c>
      <c r="B15" s="27">
        <v>46034</v>
      </c>
      <c r="C15" s="364" t="s">
        <v>214</v>
      </c>
      <c r="D15" s="49" t="s">
        <v>214</v>
      </c>
      <c r="E15" s="48"/>
      <c r="F15" s="48"/>
      <c r="G15" s="47">
        <f t="shared" si="3"/>
        <v>0</v>
      </c>
      <c r="H15" s="365"/>
      <c r="I15" s="48"/>
      <c r="J15" s="50">
        <f t="shared" si="4"/>
        <v>0</v>
      </c>
      <c r="K15" s="47">
        <f t="shared" si="5"/>
        <v>0</v>
      </c>
      <c r="L15" s="111"/>
      <c r="M15" s="50">
        <f t="shared" si="6"/>
        <v>1.5138002281318563E-3</v>
      </c>
      <c r="N15" s="107"/>
    </row>
    <row r="16" spans="1:16">
      <c r="A16" s="26">
        <v>13</v>
      </c>
      <c r="B16" s="27">
        <v>46035</v>
      </c>
      <c r="C16" s="364" t="s">
        <v>214</v>
      </c>
      <c r="D16" s="49" t="s">
        <v>214</v>
      </c>
      <c r="E16" s="48"/>
      <c r="F16" s="48"/>
      <c r="G16" s="47">
        <f t="shared" si="3"/>
        <v>0</v>
      </c>
      <c r="H16" s="365"/>
      <c r="I16" s="48"/>
      <c r="J16" s="50">
        <f t="shared" si="4"/>
        <v>0</v>
      </c>
      <c r="K16" s="47">
        <f t="shared" si="5"/>
        <v>0</v>
      </c>
      <c r="L16" s="111"/>
      <c r="M16" s="50">
        <f t="shared" si="6"/>
        <v>1.5138002281318563E-3</v>
      </c>
      <c r="N16" s="107"/>
    </row>
    <row r="17" spans="1:14">
      <c r="A17" s="26">
        <v>14</v>
      </c>
      <c r="B17" s="27">
        <v>46036</v>
      </c>
      <c r="C17" s="364" t="s">
        <v>214</v>
      </c>
      <c r="D17" s="49" t="s">
        <v>214</v>
      </c>
      <c r="E17" s="48"/>
      <c r="F17" s="48"/>
      <c r="G17" s="47">
        <f t="shared" si="3"/>
        <v>0</v>
      </c>
      <c r="H17" s="365"/>
      <c r="I17" s="48"/>
      <c r="J17" s="50">
        <f t="shared" si="4"/>
        <v>0</v>
      </c>
      <c r="K17" s="47">
        <f t="shared" si="5"/>
        <v>0</v>
      </c>
      <c r="L17" s="111"/>
      <c r="M17" s="50">
        <f t="shared" si="6"/>
        <v>1.5138002281318563E-3</v>
      </c>
      <c r="N17" s="107"/>
    </row>
    <row r="18" spans="1:14">
      <c r="A18" s="26">
        <v>15</v>
      </c>
      <c r="B18" s="27">
        <v>46037</v>
      </c>
      <c r="C18" s="364" t="s">
        <v>214</v>
      </c>
      <c r="D18" s="49" t="s">
        <v>214</v>
      </c>
      <c r="E18" s="48"/>
      <c r="F18" s="48"/>
      <c r="G18" s="47">
        <f t="shared" si="3"/>
        <v>0</v>
      </c>
      <c r="H18" s="365"/>
      <c r="I18" s="48"/>
      <c r="J18" s="50">
        <f t="shared" si="4"/>
        <v>0</v>
      </c>
      <c r="K18" s="47">
        <f t="shared" si="5"/>
        <v>0</v>
      </c>
      <c r="L18" s="111"/>
      <c r="M18" s="50">
        <f t="shared" si="6"/>
        <v>1.5138002281318563E-3</v>
      </c>
      <c r="N18" s="107"/>
    </row>
    <row r="19" spans="1:14">
      <c r="A19" s="26">
        <v>16</v>
      </c>
      <c r="B19" s="27">
        <v>46038</v>
      </c>
      <c r="C19" s="364" t="s">
        <v>214</v>
      </c>
      <c r="D19" s="49" t="s">
        <v>214</v>
      </c>
      <c r="E19" s="48"/>
      <c r="F19" s="48"/>
      <c r="G19" s="47">
        <f t="shared" si="3"/>
        <v>0</v>
      </c>
      <c r="H19" s="365"/>
      <c r="I19" s="48"/>
      <c r="J19" s="50">
        <f t="shared" si="4"/>
        <v>0</v>
      </c>
      <c r="K19" s="47">
        <f t="shared" si="5"/>
        <v>0</v>
      </c>
      <c r="L19" s="111"/>
      <c r="M19" s="50">
        <f t="shared" si="6"/>
        <v>1.5138002281318563E-3</v>
      </c>
      <c r="N19" s="107"/>
    </row>
    <row r="20" spans="1:14">
      <c r="A20" s="26">
        <v>17</v>
      </c>
      <c r="B20" s="27">
        <v>46039</v>
      </c>
      <c r="C20" s="364" t="s">
        <v>214</v>
      </c>
      <c r="D20" s="49" t="s">
        <v>214</v>
      </c>
      <c r="E20" s="48"/>
      <c r="F20" s="48"/>
      <c r="G20" s="47">
        <f t="shared" si="3"/>
        <v>0</v>
      </c>
      <c r="H20" s="365"/>
      <c r="I20" s="48"/>
      <c r="J20" s="50">
        <f t="shared" si="4"/>
        <v>0</v>
      </c>
      <c r="K20" s="47">
        <f t="shared" si="5"/>
        <v>0</v>
      </c>
      <c r="L20" s="111"/>
      <c r="M20" s="50">
        <f t="shared" si="6"/>
        <v>1.5138002281318563E-3</v>
      </c>
      <c r="N20" s="107"/>
    </row>
    <row r="21" spans="1:14">
      <c r="A21" s="26">
        <v>18</v>
      </c>
      <c r="B21" s="27">
        <v>46040</v>
      </c>
      <c r="C21" s="364" t="s">
        <v>214</v>
      </c>
      <c r="D21" s="49" t="s">
        <v>214</v>
      </c>
      <c r="E21" s="48"/>
      <c r="F21" s="48"/>
      <c r="G21" s="47">
        <f t="shared" si="3"/>
        <v>0</v>
      </c>
      <c r="H21" s="365"/>
      <c r="I21" s="48"/>
      <c r="J21" s="50">
        <f t="shared" si="4"/>
        <v>0</v>
      </c>
      <c r="K21" s="47">
        <f t="shared" si="5"/>
        <v>0</v>
      </c>
      <c r="L21" s="111"/>
      <c r="M21" s="50">
        <f t="shared" si="6"/>
        <v>1.5138002281318563E-3</v>
      </c>
      <c r="N21" s="107"/>
    </row>
    <row r="22" spans="1:14">
      <c r="A22" s="26">
        <v>19</v>
      </c>
      <c r="B22" s="27">
        <v>46041</v>
      </c>
      <c r="C22" s="364" t="s">
        <v>214</v>
      </c>
      <c r="D22" s="49" t="s">
        <v>214</v>
      </c>
      <c r="E22" s="48"/>
      <c r="F22" s="48"/>
      <c r="G22" s="47">
        <f t="shared" si="3"/>
        <v>0</v>
      </c>
      <c r="H22" s="365"/>
      <c r="I22" s="48"/>
      <c r="J22" s="50">
        <f t="shared" si="4"/>
        <v>0</v>
      </c>
      <c r="K22" s="47">
        <f t="shared" si="5"/>
        <v>0</v>
      </c>
      <c r="L22" s="111"/>
      <c r="M22" s="50">
        <f t="shared" si="6"/>
        <v>1.5138002281318563E-3</v>
      </c>
      <c r="N22" s="107"/>
    </row>
    <row r="23" spans="1:14">
      <c r="A23" s="26">
        <v>20</v>
      </c>
      <c r="B23" s="27">
        <v>46042</v>
      </c>
      <c r="C23" s="48" t="s">
        <v>214</v>
      </c>
      <c r="D23" s="367" t="s">
        <v>214</v>
      </c>
      <c r="E23" s="82"/>
      <c r="F23" s="82"/>
      <c r="G23" s="201">
        <f t="shared" si="3"/>
        <v>0</v>
      </c>
      <c r="H23" s="48"/>
      <c r="I23" s="48"/>
      <c r="J23" s="50">
        <f t="shared" si="4"/>
        <v>0</v>
      </c>
      <c r="K23" s="47">
        <f t="shared" si="5"/>
        <v>0</v>
      </c>
      <c r="L23" s="111"/>
      <c r="M23" s="50">
        <f t="shared" si="6"/>
        <v>1.5138002281318563E-3</v>
      </c>
      <c r="N23" s="107"/>
    </row>
    <row r="24" spans="1:14">
      <c r="A24" s="26">
        <v>21</v>
      </c>
      <c r="B24" s="27">
        <v>46043</v>
      </c>
      <c r="C24" s="48" t="s">
        <v>214</v>
      </c>
      <c r="D24" s="49" t="s">
        <v>214</v>
      </c>
      <c r="E24" s="48"/>
      <c r="F24" s="48"/>
      <c r="G24" s="47">
        <f t="shared" si="3"/>
        <v>0</v>
      </c>
      <c r="H24" s="48"/>
      <c r="I24" s="48"/>
      <c r="J24" s="50">
        <f t="shared" si="4"/>
        <v>0</v>
      </c>
      <c r="K24" s="47">
        <f t="shared" si="5"/>
        <v>0</v>
      </c>
      <c r="L24" s="111"/>
      <c r="M24" s="50">
        <f t="shared" si="6"/>
        <v>1.5138002281318563E-3</v>
      </c>
      <c r="N24" s="107"/>
    </row>
    <row r="25" spans="1:14">
      <c r="A25" s="26">
        <v>22</v>
      </c>
      <c r="B25" s="27">
        <v>46044</v>
      </c>
      <c r="C25" s="48" t="s">
        <v>214</v>
      </c>
      <c r="D25" s="49" t="s">
        <v>214</v>
      </c>
      <c r="E25" s="48"/>
      <c r="F25" s="48"/>
      <c r="G25" s="47">
        <f t="shared" si="3"/>
        <v>0</v>
      </c>
      <c r="H25" s="48"/>
      <c r="I25" s="48"/>
      <c r="J25" s="50">
        <f t="shared" si="4"/>
        <v>0</v>
      </c>
      <c r="K25" s="47">
        <f t="shared" si="5"/>
        <v>0</v>
      </c>
      <c r="L25" s="111"/>
      <c r="M25" s="50">
        <f t="shared" si="6"/>
        <v>1.5138002281318563E-3</v>
      </c>
      <c r="N25" s="107"/>
    </row>
    <row r="26" spans="1:14">
      <c r="A26" s="26">
        <v>23</v>
      </c>
      <c r="B26" s="27">
        <v>46045</v>
      </c>
      <c r="C26" s="48" t="s">
        <v>214</v>
      </c>
      <c r="D26" s="49" t="s">
        <v>214</v>
      </c>
      <c r="E26" s="48"/>
      <c r="F26" s="48"/>
      <c r="G26" s="47">
        <f t="shared" si="3"/>
        <v>0</v>
      </c>
      <c r="H26" s="48"/>
      <c r="I26" s="48"/>
      <c r="J26" s="50">
        <f t="shared" si="4"/>
        <v>0</v>
      </c>
      <c r="K26" s="47">
        <f t="shared" si="5"/>
        <v>0</v>
      </c>
      <c r="L26" s="111"/>
      <c r="M26" s="50">
        <f t="shared" si="6"/>
        <v>1.5138002281318563E-3</v>
      </c>
      <c r="N26" s="107"/>
    </row>
    <row r="27" spans="1:14">
      <c r="A27" s="26">
        <v>24</v>
      </c>
      <c r="B27" s="27">
        <v>46046</v>
      </c>
      <c r="C27" s="48" t="s">
        <v>214</v>
      </c>
      <c r="D27" s="49" t="s">
        <v>214</v>
      </c>
      <c r="E27" s="48"/>
      <c r="F27" s="48"/>
      <c r="G27" s="47">
        <f t="shared" si="3"/>
        <v>0</v>
      </c>
      <c r="H27" s="48"/>
      <c r="I27" s="48"/>
      <c r="J27" s="50">
        <f t="shared" si="4"/>
        <v>0</v>
      </c>
      <c r="K27" s="47">
        <f t="shared" si="5"/>
        <v>0</v>
      </c>
      <c r="L27" s="111"/>
      <c r="M27" s="50">
        <f t="shared" si="6"/>
        <v>1.5138002281318563E-3</v>
      </c>
      <c r="N27" s="107"/>
    </row>
    <row r="28" spans="1:14">
      <c r="A28" s="26">
        <v>25</v>
      </c>
      <c r="B28" s="27">
        <v>46047</v>
      </c>
      <c r="C28" s="48"/>
      <c r="D28" s="49"/>
      <c r="E28" s="48"/>
      <c r="F28" s="48"/>
      <c r="G28" s="47">
        <f t="shared" si="3"/>
        <v>0</v>
      </c>
      <c r="H28" s="48"/>
      <c r="I28" s="48"/>
      <c r="J28" s="50">
        <f t="shared" si="4"/>
        <v>0</v>
      </c>
      <c r="K28" s="47">
        <f t="shared" si="5"/>
        <v>0</v>
      </c>
      <c r="L28" s="111"/>
      <c r="M28" s="50">
        <f t="shared" si="6"/>
        <v>1.5138002281318563E-3</v>
      </c>
      <c r="N28" s="107"/>
    </row>
    <row r="29" spans="1:14">
      <c r="A29" s="26">
        <v>26</v>
      </c>
      <c r="B29" s="27">
        <v>46048</v>
      </c>
      <c r="C29" s="48" t="s">
        <v>214</v>
      </c>
      <c r="D29" s="49" t="s">
        <v>214</v>
      </c>
      <c r="E29" s="48"/>
      <c r="F29" s="48"/>
      <c r="G29" s="47">
        <f t="shared" si="3"/>
        <v>0</v>
      </c>
      <c r="H29" s="48"/>
      <c r="I29" s="48"/>
      <c r="J29" s="50">
        <f t="shared" si="4"/>
        <v>0</v>
      </c>
      <c r="K29" s="47">
        <f t="shared" si="5"/>
        <v>0</v>
      </c>
      <c r="L29" s="111"/>
      <c r="M29" s="50">
        <f t="shared" si="6"/>
        <v>1.5138002281318563E-3</v>
      </c>
      <c r="N29" s="107"/>
    </row>
    <row r="30" spans="1:14">
      <c r="A30" s="26">
        <v>27</v>
      </c>
      <c r="B30" s="27">
        <v>46049</v>
      </c>
      <c r="C30" s="48" t="s">
        <v>214</v>
      </c>
      <c r="D30" s="49" t="s">
        <v>214</v>
      </c>
      <c r="E30" s="48"/>
      <c r="F30" s="48"/>
      <c r="G30" s="47">
        <f t="shared" si="3"/>
        <v>0</v>
      </c>
      <c r="H30" s="48"/>
      <c r="I30" s="48"/>
      <c r="J30" s="50">
        <f t="shared" si="4"/>
        <v>0</v>
      </c>
      <c r="K30" s="47">
        <f t="shared" si="5"/>
        <v>0</v>
      </c>
      <c r="L30" s="111"/>
      <c r="M30" s="50">
        <f t="shared" si="6"/>
        <v>1.5138002281318563E-3</v>
      </c>
      <c r="N30" s="107"/>
    </row>
    <row r="31" spans="1:14">
      <c r="A31" s="26">
        <v>28</v>
      </c>
      <c r="B31" s="27">
        <v>46050</v>
      </c>
      <c r="C31" s="48" t="s">
        <v>214</v>
      </c>
      <c r="D31" s="49" t="s">
        <v>214</v>
      </c>
      <c r="E31" s="48"/>
      <c r="F31" s="48"/>
      <c r="G31" s="47">
        <f t="shared" si="3"/>
        <v>0</v>
      </c>
      <c r="H31" s="48"/>
      <c r="I31" s="48"/>
      <c r="J31" s="50">
        <f t="shared" si="4"/>
        <v>0</v>
      </c>
      <c r="K31" s="47">
        <f t="shared" si="5"/>
        <v>0</v>
      </c>
      <c r="L31" s="111"/>
      <c r="M31" s="50">
        <f t="shared" si="6"/>
        <v>1.5138002281318563E-3</v>
      </c>
      <c r="N31" s="107"/>
    </row>
    <row r="32" spans="1:14">
      <c r="A32" s="26">
        <v>29</v>
      </c>
      <c r="B32" s="27">
        <v>46051</v>
      </c>
      <c r="C32" s="47"/>
      <c r="D32" s="49" t="s">
        <v>214</v>
      </c>
      <c r="E32" s="48"/>
      <c r="F32" s="48"/>
      <c r="G32" s="47">
        <f t="shared" si="3"/>
        <v>0</v>
      </c>
      <c r="H32" s="48"/>
      <c r="I32" s="48"/>
      <c r="J32" s="50">
        <f t="shared" si="4"/>
        <v>0</v>
      </c>
      <c r="K32" s="47">
        <f t="shared" si="5"/>
        <v>0</v>
      </c>
      <c r="L32" s="111"/>
      <c r="M32" s="50">
        <f t="shared" si="6"/>
        <v>1.5138002281318563E-3</v>
      </c>
      <c r="N32" s="107"/>
    </row>
    <row r="33" spans="1:34">
      <c r="A33" s="26">
        <v>30</v>
      </c>
      <c r="B33" s="27">
        <v>46052</v>
      </c>
      <c r="C33" s="47"/>
      <c r="D33" s="49" t="s">
        <v>214</v>
      </c>
      <c r="E33" s="48"/>
      <c r="F33" s="48"/>
      <c r="G33" s="47">
        <f t="shared" si="3"/>
        <v>0</v>
      </c>
      <c r="H33" s="48"/>
      <c r="I33" s="48"/>
      <c r="J33" s="50">
        <f t="shared" si="4"/>
        <v>0</v>
      </c>
      <c r="K33" s="47">
        <f t="shared" si="5"/>
        <v>0</v>
      </c>
      <c r="L33" s="111"/>
      <c r="M33" s="50">
        <f t="shared" si="6"/>
        <v>1.5138002281318563E-3</v>
      </c>
      <c r="N33" s="107"/>
    </row>
    <row r="34" spans="1:34">
      <c r="A34" s="26">
        <v>31</v>
      </c>
      <c r="B34" s="27">
        <v>46053</v>
      </c>
      <c r="C34" s="47"/>
      <c r="D34" s="49" t="s">
        <v>214</v>
      </c>
      <c r="E34" s="48"/>
      <c r="F34" s="48"/>
      <c r="G34" s="47">
        <f t="shared" si="3"/>
        <v>0</v>
      </c>
      <c r="H34" s="48"/>
      <c r="I34" s="48"/>
      <c r="J34" s="50">
        <f t="shared" si="4"/>
        <v>0</v>
      </c>
      <c r="K34" s="47">
        <f t="shared" si="5"/>
        <v>0</v>
      </c>
      <c r="L34" s="111"/>
      <c r="M34" s="50">
        <f t="shared" si="6"/>
        <v>1.5138002281318563E-3</v>
      </c>
      <c r="N34" s="107"/>
    </row>
    <row r="35" spans="1:34">
      <c r="A35" s="26">
        <v>32</v>
      </c>
      <c r="B35" s="27"/>
      <c r="C35" s="47"/>
      <c r="D35" s="49" t="s">
        <v>214</v>
      </c>
      <c r="E35" s="48">
        <v>0</v>
      </c>
      <c r="F35" s="48">
        <v>0</v>
      </c>
      <c r="G35" s="47">
        <f t="shared" si="3"/>
        <v>0</v>
      </c>
      <c r="H35" s="48"/>
      <c r="I35" s="48"/>
      <c r="J35" s="50">
        <f t="shared" si="4"/>
        <v>0</v>
      </c>
      <c r="K35" s="47">
        <f t="shared" si="5"/>
        <v>0</v>
      </c>
      <c r="L35" s="111"/>
      <c r="M35" s="50">
        <f t="shared" si="6"/>
        <v>1.5138002281318563E-3</v>
      </c>
      <c r="N35" s="107"/>
    </row>
    <row r="36" spans="1:34">
      <c r="A36" s="43"/>
      <c r="B36" s="43"/>
      <c r="C36" s="43"/>
      <c r="D36" s="43"/>
      <c r="E36" s="44">
        <f>SUM(E4:E35)</f>
        <v>0</v>
      </c>
      <c r="F36" s="44"/>
      <c r="G36" s="44">
        <f>SUM(G4:G35)</f>
        <v>0</v>
      </c>
      <c r="H36" s="44">
        <f>SUM(H4:H35)</f>
        <v>0</v>
      </c>
      <c r="I36" s="44"/>
      <c r="J36" s="44">
        <f>SUM(J4:J35)</f>
        <v>0</v>
      </c>
      <c r="K36" s="44">
        <f>SUM(K4:K35)</f>
        <v>0</v>
      </c>
      <c r="L36" s="44">
        <f>SUM(L4:L35)</f>
        <v>21.54</v>
      </c>
      <c r="M36" s="44"/>
      <c r="N36" s="44"/>
      <c r="O36" s="33"/>
    </row>
    <row r="37" spans="1:34" s="51" customFormat="1" ht="20.25" customHeight="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>
      <c r="J38" s="46"/>
      <c r="L38" s="46"/>
      <c r="M38" s="46"/>
    </row>
  </sheetData>
  <mergeCells count="2">
    <mergeCell ref="A1:N1"/>
    <mergeCell ref="A3:J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7DD82-0665-4E64-9AE5-BFA2942961A0}">
  <dimension ref="A1:AH38"/>
  <sheetViews>
    <sheetView tabSelected="1" topLeftCell="A12" workbookViewId="0">
      <selection activeCell="H11" sqref="H11"/>
    </sheetView>
  </sheetViews>
  <sheetFormatPr defaultRowHeight="15"/>
  <cols>
    <col min="5" max="5" width="12.5703125" bestFit="1" customWidth="1"/>
    <col min="7" max="7" width="12" customWidth="1"/>
    <col min="10" max="10" width="10.85546875" bestFit="1" customWidth="1"/>
    <col min="11" max="11" width="10.42578125" bestFit="1" customWidth="1"/>
    <col min="12" max="13" width="11.85546875" bestFit="1" customWidth="1"/>
  </cols>
  <sheetData>
    <row r="1" spans="1:34">
      <c r="A1" s="476" t="s">
        <v>31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  <c r="N1" s="47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</row>
    <row r="2" spans="1:34" ht="25.5">
      <c r="A2" s="90" t="s">
        <v>129</v>
      </c>
      <c r="B2" s="91" t="s">
        <v>130</v>
      </c>
      <c r="C2" s="91" t="s">
        <v>131</v>
      </c>
      <c r="D2" s="91" t="s">
        <v>132</v>
      </c>
      <c r="E2" s="91" t="s">
        <v>133</v>
      </c>
      <c r="F2" s="91" t="s">
        <v>134</v>
      </c>
      <c r="G2" s="91" t="s">
        <v>135</v>
      </c>
      <c r="H2" s="91" t="s">
        <v>136</v>
      </c>
      <c r="I2" s="91" t="s">
        <v>134</v>
      </c>
      <c r="J2" s="115" t="s">
        <v>135</v>
      </c>
      <c r="K2" s="91" t="s">
        <v>137</v>
      </c>
      <c r="L2" s="115" t="s">
        <v>138</v>
      </c>
      <c r="M2" s="114" t="s">
        <v>199</v>
      </c>
      <c r="N2" s="92" t="s">
        <v>140</v>
      </c>
      <c r="O2" s="33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</row>
    <row r="3" spans="1:34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77"/>
      <c r="K3" s="29">
        <v>713890.20290300006</v>
      </c>
      <c r="L3" s="47"/>
      <c r="M3" s="116">
        <f>+K3</f>
        <v>713890.20290300006</v>
      </c>
      <c r="N3" s="47"/>
      <c r="O3" s="33">
        <v>99992.614513800188</v>
      </c>
      <c r="P3" s="50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C3" s="46"/>
      <c r="AD3" s="46"/>
      <c r="AE3" s="46"/>
      <c r="AF3" s="46"/>
      <c r="AG3" s="46"/>
      <c r="AH3" s="46"/>
    </row>
    <row r="4" spans="1:34">
      <c r="A4" s="26">
        <v>1</v>
      </c>
      <c r="B4" s="27">
        <v>46023</v>
      </c>
      <c r="C4" s="48" t="s">
        <v>214</v>
      </c>
      <c r="D4" s="49" t="s">
        <v>214</v>
      </c>
      <c r="E4" s="48"/>
      <c r="F4" s="48"/>
      <c r="G4" s="47">
        <f t="shared" ref="G4" si="0">E4*F4</f>
        <v>0</v>
      </c>
      <c r="H4" s="48"/>
      <c r="I4" s="48"/>
      <c r="J4" s="50">
        <f t="shared" ref="J4" si="1">H4*I4</f>
        <v>0</v>
      </c>
      <c r="K4" s="47">
        <f t="shared" ref="K4" si="2">G4+J4</f>
        <v>0</v>
      </c>
      <c r="L4" s="111"/>
      <c r="M4" s="50">
        <f>M3+K4-L4</f>
        <v>713890.20290300006</v>
      </c>
      <c r="N4" s="107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</row>
    <row r="5" spans="1:34">
      <c r="A5" s="26">
        <v>2</v>
      </c>
      <c r="B5" s="27">
        <v>46024</v>
      </c>
      <c r="C5" s="48" t="s">
        <v>214</v>
      </c>
      <c r="D5" s="49" t="s">
        <v>214</v>
      </c>
      <c r="E5" s="48"/>
      <c r="F5" s="48"/>
      <c r="G5" s="47">
        <f t="shared" ref="G5:G35" si="3">E5*F5</f>
        <v>0</v>
      </c>
      <c r="H5" s="48"/>
      <c r="I5" s="48"/>
      <c r="J5" s="50">
        <f t="shared" ref="J5:J34" si="4">H5*I5</f>
        <v>0</v>
      </c>
      <c r="K5" s="47">
        <f t="shared" ref="K5:K35" si="5">G5+J5</f>
        <v>0</v>
      </c>
      <c r="L5" s="111"/>
      <c r="M5" s="50">
        <f t="shared" ref="M5:M35" si="6">M4+K5-L5</f>
        <v>713890.20290300006</v>
      </c>
      <c r="N5" s="107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</row>
    <row r="6" spans="1:34">
      <c r="A6" s="26">
        <v>3</v>
      </c>
      <c r="B6" s="27">
        <v>46025</v>
      </c>
      <c r="C6" s="48" t="s">
        <v>214</v>
      </c>
      <c r="D6" s="49" t="s">
        <v>214</v>
      </c>
      <c r="E6" s="48"/>
      <c r="F6" s="48"/>
      <c r="G6" s="47">
        <f t="shared" si="3"/>
        <v>0</v>
      </c>
      <c r="H6" s="48"/>
      <c r="I6" s="48"/>
      <c r="J6" s="50">
        <f t="shared" si="4"/>
        <v>0</v>
      </c>
      <c r="K6" s="47">
        <f t="shared" si="5"/>
        <v>0</v>
      </c>
      <c r="L6" s="111"/>
      <c r="M6" s="50">
        <f t="shared" si="6"/>
        <v>713890.20290300006</v>
      </c>
      <c r="N6" s="113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</row>
    <row r="7" spans="1:34">
      <c r="A7" s="26">
        <v>4</v>
      </c>
      <c r="B7" s="27">
        <v>46026</v>
      </c>
      <c r="C7" s="48" t="s">
        <v>214</v>
      </c>
      <c r="D7" s="49" t="s">
        <v>214</v>
      </c>
      <c r="E7" s="48"/>
      <c r="F7" s="48"/>
      <c r="G7" s="47">
        <f t="shared" si="3"/>
        <v>0</v>
      </c>
      <c r="H7" s="48"/>
      <c r="I7" s="48"/>
      <c r="J7" s="50">
        <f t="shared" si="4"/>
        <v>0</v>
      </c>
      <c r="K7" s="47">
        <f t="shared" si="5"/>
        <v>0</v>
      </c>
      <c r="L7" s="111"/>
      <c r="M7" s="50">
        <f t="shared" si="6"/>
        <v>713890.20290300006</v>
      </c>
      <c r="N7" s="113"/>
      <c r="O7" s="46">
        <v>1</v>
      </c>
      <c r="P7" s="46" t="s">
        <v>218</v>
      </c>
      <c r="Q7" s="46"/>
      <c r="R7" s="46"/>
      <c r="S7" s="46"/>
      <c r="T7" s="46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</row>
    <row r="8" spans="1:34">
      <c r="A8" s="26">
        <v>5</v>
      </c>
      <c r="B8" s="27">
        <v>46027</v>
      </c>
      <c r="C8" s="48" t="s">
        <v>214</v>
      </c>
      <c r="D8" s="49" t="s">
        <v>214</v>
      </c>
      <c r="E8" s="48"/>
      <c r="F8" s="48"/>
      <c r="G8" s="47">
        <f t="shared" si="3"/>
        <v>0</v>
      </c>
      <c r="H8" s="48"/>
      <c r="I8" s="48"/>
      <c r="J8" s="50">
        <f t="shared" si="4"/>
        <v>0</v>
      </c>
      <c r="K8" s="47">
        <f t="shared" si="5"/>
        <v>0</v>
      </c>
      <c r="L8" s="111"/>
      <c r="M8" s="50">
        <f t="shared" si="6"/>
        <v>713890.20290300006</v>
      </c>
      <c r="N8" s="107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</row>
    <row r="9" spans="1:34">
      <c r="A9" s="26">
        <v>6</v>
      </c>
      <c r="B9" s="27">
        <v>46028</v>
      </c>
      <c r="C9" s="48" t="s">
        <v>214</v>
      </c>
      <c r="D9" s="49" t="s">
        <v>214</v>
      </c>
      <c r="E9" s="48">
        <v>600</v>
      </c>
      <c r="F9" s="48">
        <v>91.33</v>
      </c>
      <c r="G9" s="47">
        <f t="shared" si="3"/>
        <v>54798</v>
      </c>
      <c r="H9" s="48">
        <v>50</v>
      </c>
      <c r="I9" s="48">
        <v>103.27</v>
      </c>
      <c r="J9" s="50">
        <f t="shared" si="4"/>
        <v>5163.5</v>
      </c>
      <c r="K9" s="47">
        <f t="shared" si="5"/>
        <v>59961.5</v>
      </c>
      <c r="L9" s="111">
        <v>59961.5</v>
      </c>
      <c r="M9" s="50">
        <f t="shared" si="6"/>
        <v>713890.20290300006</v>
      </c>
      <c r="N9" s="113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</row>
    <row r="10" spans="1:34">
      <c r="A10" s="26">
        <v>7</v>
      </c>
      <c r="B10" s="27">
        <v>46029</v>
      </c>
      <c r="C10" s="48" t="s">
        <v>214</v>
      </c>
      <c r="D10" s="49" t="s">
        <v>214</v>
      </c>
      <c r="E10" s="48"/>
      <c r="F10" s="48"/>
      <c r="G10" s="47">
        <f t="shared" si="3"/>
        <v>0</v>
      </c>
      <c r="H10" s="48"/>
      <c r="I10" s="48"/>
      <c r="J10" s="50">
        <f t="shared" si="4"/>
        <v>0</v>
      </c>
      <c r="K10" s="47">
        <f t="shared" si="5"/>
        <v>0</v>
      </c>
      <c r="L10" s="111"/>
      <c r="M10" s="50">
        <f t="shared" si="6"/>
        <v>713890.20290300006</v>
      </c>
      <c r="N10" s="107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</row>
    <row r="11" spans="1:34">
      <c r="A11" s="26">
        <v>8</v>
      </c>
      <c r="B11" s="27">
        <v>46030</v>
      </c>
      <c r="C11" s="48" t="s">
        <v>214</v>
      </c>
      <c r="D11" s="49" t="s">
        <v>214</v>
      </c>
      <c r="E11" s="48"/>
      <c r="F11" s="48"/>
      <c r="G11" s="47">
        <f t="shared" si="3"/>
        <v>0</v>
      </c>
      <c r="H11" s="48"/>
      <c r="I11" s="48"/>
      <c r="J11" s="50">
        <f t="shared" si="4"/>
        <v>0</v>
      </c>
      <c r="K11" s="47">
        <f t="shared" si="5"/>
        <v>0</v>
      </c>
      <c r="L11" s="111">
        <v>400000</v>
      </c>
      <c r="M11" s="50">
        <f t="shared" si="6"/>
        <v>313890.20290300006</v>
      </c>
      <c r="N11" s="112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</row>
    <row r="12" spans="1:34">
      <c r="A12" s="26">
        <v>9</v>
      </c>
      <c r="B12" s="27">
        <v>46031</v>
      </c>
      <c r="C12" s="48" t="s">
        <v>214</v>
      </c>
      <c r="D12" s="49" t="s">
        <v>214</v>
      </c>
      <c r="E12" s="48">
        <v>1000</v>
      </c>
      <c r="F12" s="48">
        <v>91.33</v>
      </c>
      <c r="G12" s="47">
        <f t="shared" si="3"/>
        <v>91330</v>
      </c>
      <c r="H12" s="48">
        <v>35</v>
      </c>
      <c r="I12" s="48">
        <v>103.27</v>
      </c>
      <c r="J12" s="50">
        <f t="shared" si="4"/>
        <v>3614.45</v>
      </c>
      <c r="K12" s="47">
        <f t="shared" si="5"/>
        <v>94944.45</v>
      </c>
      <c r="L12" s="111"/>
      <c r="M12" s="50">
        <f t="shared" si="6"/>
        <v>408834.65290300007</v>
      </c>
      <c r="N12" s="107"/>
      <c r="O12" s="46">
        <v>2</v>
      </c>
      <c r="P12" s="46" t="s">
        <v>218</v>
      </c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</row>
    <row r="13" spans="1:34">
      <c r="A13" s="26">
        <v>10</v>
      </c>
      <c r="B13" s="27">
        <v>46032</v>
      </c>
      <c r="C13" s="48" t="s">
        <v>214</v>
      </c>
      <c r="D13" s="49" t="s">
        <v>214</v>
      </c>
      <c r="E13" s="48"/>
      <c r="F13" s="48"/>
      <c r="G13" s="47">
        <f t="shared" si="3"/>
        <v>0</v>
      </c>
      <c r="H13" s="48"/>
      <c r="I13" s="48"/>
      <c r="J13" s="50">
        <f t="shared" si="4"/>
        <v>0</v>
      </c>
      <c r="K13" s="47">
        <f t="shared" si="5"/>
        <v>0</v>
      </c>
      <c r="L13" s="111"/>
      <c r="M13" s="50">
        <f t="shared" si="6"/>
        <v>408834.65290300007</v>
      </c>
      <c r="N13" s="107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</row>
    <row r="14" spans="1:34">
      <c r="A14" s="26">
        <v>11</v>
      </c>
      <c r="B14" s="27">
        <v>46033</v>
      </c>
      <c r="C14" s="48" t="s">
        <v>214</v>
      </c>
      <c r="D14" s="49" t="s">
        <v>214</v>
      </c>
      <c r="E14" s="48"/>
      <c r="F14" s="48"/>
      <c r="G14" s="47">
        <f t="shared" si="3"/>
        <v>0</v>
      </c>
      <c r="H14" s="48"/>
      <c r="I14" s="48"/>
      <c r="J14" s="50">
        <f t="shared" si="4"/>
        <v>0</v>
      </c>
      <c r="K14" s="47">
        <f t="shared" si="5"/>
        <v>0</v>
      </c>
      <c r="L14" s="111"/>
      <c r="M14" s="50">
        <f t="shared" si="6"/>
        <v>408834.65290300007</v>
      </c>
      <c r="N14" s="107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</row>
    <row r="15" spans="1:34">
      <c r="A15" s="26">
        <v>12</v>
      </c>
      <c r="B15" s="27">
        <v>46034</v>
      </c>
      <c r="C15" s="48" t="s">
        <v>214</v>
      </c>
      <c r="D15" s="49" t="s">
        <v>214</v>
      </c>
      <c r="E15" s="48">
        <v>1020</v>
      </c>
      <c r="F15" s="48">
        <v>91.33</v>
      </c>
      <c r="G15" s="47">
        <f t="shared" si="3"/>
        <v>93156.599999999991</v>
      </c>
      <c r="H15" s="48"/>
      <c r="I15" s="48"/>
      <c r="J15" s="50">
        <f t="shared" si="4"/>
        <v>0</v>
      </c>
      <c r="K15" s="47">
        <f t="shared" si="5"/>
        <v>93156.599999999991</v>
      </c>
      <c r="L15" s="111"/>
      <c r="M15" s="50">
        <f t="shared" si="6"/>
        <v>501991.25290300004</v>
      </c>
      <c r="N15" s="107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</row>
    <row r="16" spans="1:34">
      <c r="A16" s="26">
        <v>13</v>
      </c>
      <c r="B16" s="27">
        <v>46035</v>
      </c>
      <c r="C16" s="48" t="s">
        <v>214</v>
      </c>
      <c r="D16" s="49" t="s">
        <v>214</v>
      </c>
      <c r="E16" s="48"/>
      <c r="F16" s="48"/>
      <c r="G16" s="47">
        <f t="shared" si="3"/>
        <v>0</v>
      </c>
      <c r="H16" s="48"/>
      <c r="I16" s="48"/>
      <c r="J16" s="50">
        <f t="shared" si="4"/>
        <v>0</v>
      </c>
      <c r="K16" s="47">
        <f t="shared" si="5"/>
        <v>0</v>
      </c>
      <c r="L16" s="111">
        <v>300000</v>
      </c>
      <c r="M16" s="50">
        <f t="shared" si="6"/>
        <v>201991.25290300004</v>
      </c>
      <c r="N16" s="107"/>
      <c r="O16" s="46">
        <v>3</v>
      </c>
      <c r="P16" s="46" t="s">
        <v>218</v>
      </c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</row>
    <row r="17" spans="1:34">
      <c r="A17" s="26">
        <v>14</v>
      </c>
      <c r="B17" s="27">
        <v>46036</v>
      </c>
      <c r="C17" s="48" t="s">
        <v>214</v>
      </c>
      <c r="D17" s="49" t="s">
        <v>214</v>
      </c>
      <c r="E17" s="48"/>
      <c r="F17" s="48"/>
      <c r="G17" s="47">
        <f t="shared" si="3"/>
        <v>0</v>
      </c>
      <c r="H17" s="48"/>
      <c r="I17" s="48"/>
      <c r="J17" s="50">
        <f t="shared" si="4"/>
        <v>0</v>
      </c>
      <c r="K17" s="47">
        <f t="shared" si="5"/>
        <v>0</v>
      </c>
      <c r="L17" s="111"/>
      <c r="M17" s="50">
        <f t="shared" si="6"/>
        <v>201991.25290300004</v>
      </c>
      <c r="N17" s="107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</row>
    <row r="18" spans="1:34">
      <c r="A18" s="26">
        <v>15</v>
      </c>
      <c r="B18" s="27">
        <v>46037</v>
      </c>
      <c r="C18" s="48" t="s">
        <v>214</v>
      </c>
      <c r="D18" s="49" t="s">
        <v>214</v>
      </c>
      <c r="E18" s="48"/>
      <c r="F18" s="48"/>
      <c r="G18" s="47">
        <f t="shared" si="3"/>
        <v>0</v>
      </c>
      <c r="H18" s="48"/>
      <c r="I18" s="48"/>
      <c r="J18" s="50">
        <f t="shared" si="4"/>
        <v>0</v>
      </c>
      <c r="K18" s="47">
        <f t="shared" si="5"/>
        <v>0</v>
      </c>
      <c r="L18" s="111"/>
      <c r="M18" s="50">
        <f t="shared" si="6"/>
        <v>201991.25290300004</v>
      </c>
      <c r="N18" s="107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</row>
    <row r="19" spans="1:34">
      <c r="A19" s="26">
        <v>16</v>
      </c>
      <c r="B19" s="27">
        <v>46038</v>
      </c>
      <c r="C19" s="48" t="s">
        <v>214</v>
      </c>
      <c r="D19" s="49" t="s">
        <v>214</v>
      </c>
      <c r="E19" s="48">
        <v>2000</v>
      </c>
      <c r="F19" s="48">
        <v>91.33</v>
      </c>
      <c r="G19" s="47">
        <f t="shared" si="3"/>
        <v>182660</v>
      </c>
      <c r="H19" s="48">
        <v>70</v>
      </c>
      <c r="I19" s="48">
        <v>103.27</v>
      </c>
      <c r="J19" s="50">
        <f t="shared" si="4"/>
        <v>7228.9</v>
      </c>
      <c r="K19" s="47">
        <f t="shared" si="5"/>
        <v>189888.9</v>
      </c>
      <c r="L19" s="111"/>
      <c r="M19" s="50">
        <f t="shared" si="6"/>
        <v>391880.15290300001</v>
      </c>
      <c r="N19" s="107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</row>
    <row r="20" spans="1:34">
      <c r="A20" s="26">
        <v>17</v>
      </c>
      <c r="B20" s="27">
        <v>46039</v>
      </c>
      <c r="C20" s="48" t="s">
        <v>214</v>
      </c>
      <c r="D20" s="49" t="s">
        <v>214</v>
      </c>
      <c r="E20" s="48"/>
      <c r="F20" s="48"/>
      <c r="G20" s="47">
        <f t="shared" si="3"/>
        <v>0</v>
      </c>
      <c r="H20" s="48"/>
      <c r="I20" s="48"/>
      <c r="J20" s="50">
        <f t="shared" si="4"/>
        <v>0</v>
      </c>
      <c r="K20" s="47">
        <f t="shared" si="5"/>
        <v>0</v>
      </c>
      <c r="L20" s="111">
        <v>391880</v>
      </c>
      <c r="M20" s="50">
        <f t="shared" si="6"/>
        <v>0.15290300000924617</v>
      </c>
      <c r="N20" s="107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</row>
    <row r="21" spans="1:34">
      <c r="A21" s="26">
        <v>18</v>
      </c>
      <c r="B21" s="27">
        <v>46040</v>
      </c>
      <c r="C21" s="48" t="s">
        <v>214</v>
      </c>
      <c r="D21" s="49" t="s">
        <v>214</v>
      </c>
      <c r="E21" s="48"/>
      <c r="F21" s="48"/>
      <c r="G21" s="47">
        <f t="shared" si="3"/>
        <v>0</v>
      </c>
      <c r="H21" s="48"/>
      <c r="I21" s="48"/>
      <c r="J21" s="50">
        <f t="shared" si="4"/>
        <v>0</v>
      </c>
      <c r="K21" s="47">
        <f t="shared" si="5"/>
        <v>0</v>
      </c>
      <c r="L21" s="111"/>
      <c r="M21" s="50">
        <f t="shared" si="6"/>
        <v>0.15290300000924617</v>
      </c>
      <c r="N21" s="107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</row>
    <row r="22" spans="1:34">
      <c r="A22" s="26">
        <v>19</v>
      </c>
      <c r="B22" s="27">
        <v>46041</v>
      </c>
      <c r="C22" s="48" t="s">
        <v>214</v>
      </c>
      <c r="D22" s="49" t="s">
        <v>214</v>
      </c>
      <c r="E22" s="48"/>
      <c r="F22" s="48"/>
      <c r="G22" s="47">
        <f t="shared" si="3"/>
        <v>0</v>
      </c>
      <c r="H22" s="48"/>
      <c r="I22" s="48"/>
      <c r="J22" s="50">
        <f t="shared" si="4"/>
        <v>0</v>
      </c>
      <c r="K22" s="47">
        <f t="shared" si="5"/>
        <v>0</v>
      </c>
      <c r="L22" s="111"/>
      <c r="M22" s="50">
        <f t="shared" si="6"/>
        <v>0.15290300000924617</v>
      </c>
      <c r="N22" s="107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</row>
    <row r="23" spans="1:34">
      <c r="A23" s="26">
        <v>20</v>
      </c>
      <c r="B23" s="27">
        <v>46042</v>
      </c>
      <c r="C23" s="48" t="s">
        <v>214</v>
      </c>
      <c r="D23" s="49" t="s">
        <v>214</v>
      </c>
      <c r="E23" s="48"/>
      <c r="F23" s="48"/>
      <c r="G23" s="47">
        <f t="shared" si="3"/>
        <v>0</v>
      </c>
      <c r="H23" s="48"/>
      <c r="I23" s="48"/>
      <c r="J23" s="50">
        <f t="shared" si="4"/>
        <v>0</v>
      </c>
      <c r="K23" s="47">
        <f t="shared" si="5"/>
        <v>0</v>
      </c>
      <c r="L23" s="111"/>
      <c r="M23" s="50">
        <f t="shared" si="6"/>
        <v>0.15290300000924617</v>
      </c>
      <c r="N23" s="107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</row>
    <row r="24" spans="1:34">
      <c r="A24" s="26">
        <v>21</v>
      </c>
      <c r="B24" s="27">
        <v>46043</v>
      </c>
      <c r="C24" s="48" t="s">
        <v>214</v>
      </c>
      <c r="D24" s="49" t="s">
        <v>214</v>
      </c>
      <c r="E24" s="48">
        <v>2000</v>
      </c>
      <c r="F24" s="48">
        <v>91.33</v>
      </c>
      <c r="G24" s="47">
        <f t="shared" si="3"/>
        <v>182660</v>
      </c>
      <c r="H24" s="48">
        <v>70</v>
      </c>
      <c r="I24" s="48">
        <v>103.27</v>
      </c>
      <c r="J24" s="50">
        <f t="shared" si="4"/>
        <v>7228.9</v>
      </c>
      <c r="K24" s="47">
        <f t="shared" si="5"/>
        <v>189888.9</v>
      </c>
      <c r="L24" s="111"/>
      <c r="M24" s="50">
        <f t="shared" si="6"/>
        <v>189889.052903</v>
      </c>
      <c r="N24" s="107"/>
      <c r="O24" s="46">
        <v>4</v>
      </c>
      <c r="P24" s="46" t="s">
        <v>218</v>
      </c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</row>
    <row r="25" spans="1:34">
      <c r="A25" s="26">
        <v>22</v>
      </c>
      <c r="B25" s="27">
        <v>46044</v>
      </c>
      <c r="C25" s="48" t="s">
        <v>214</v>
      </c>
      <c r="D25" s="49" t="s">
        <v>214</v>
      </c>
      <c r="E25" s="48"/>
      <c r="F25" s="48"/>
      <c r="G25" s="47">
        <f t="shared" si="3"/>
        <v>0</v>
      </c>
      <c r="H25" s="48"/>
      <c r="I25" s="48"/>
      <c r="J25" s="50">
        <f t="shared" si="4"/>
        <v>0</v>
      </c>
      <c r="K25" s="47">
        <f t="shared" si="5"/>
        <v>0</v>
      </c>
      <c r="L25" s="111"/>
      <c r="M25" s="50">
        <f t="shared" si="6"/>
        <v>189889.052903</v>
      </c>
      <c r="N25" s="107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</row>
    <row r="26" spans="1:34">
      <c r="A26" s="26">
        <v>23</v>
      </c>
      <c r="B26" s="27">
        <v>46045</v>
      </c>
      <c r="C26" s="48" t="s">
        <v>214</v>
      </c>
      <c r="D26" s="49" t="s">
        <v>214</v>
      </c>
      <c r="E26" s="48"/>
      <c r="F26" s="48"/>
      <c r="G26" s="47">
        <f t="shared" si="3"/>
        <v>0</v>
      </c>
      <c r="H26" s="48"/>
      <c r="I26" s="48"/>
      <c r="J26" s="50">
        <f t="shared" si="4"/>
        <v>0</v>
      </c>
      <c r="K26" s="47">
        <f t="shared" si="5"/>
        <v>0</v>
      </c>
      <c r="L26" s="111"/>
      <c r="M26" s="50">
        <f t="shared" si="6"/>
        <v>189889.052903</v>
      </c>
      <c r="N26" s="107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</row>
    <row r="27" spans="1:34">
      <c r="A27" s="26">
        <v>24</v>
      </c>
      <c r="B27" s="27">
        <v>46046</v>
      </c>
      <c r="C27" s="48" t="s">
        <v>214</v>
      </c>
      <c r="D27" s="49" t="s">
        <v>214</v>
      </c>
      <c r="E27" s="48"/>
      <c r="F27" s="48"/>
      <c r="G27" s="47">
        <f t="shared" si="3"/>
        <v>0</v>
      </c>
      <c r="H27" s="48"/>
      <c r="I27" s="48"/>
      <c r="J27" s="50">
        <f t="shared" si="4"/>
        <v>0</v>
      </c>
      <c r="K27" s="47">
        <f t="shared" si="5"/>
        <v>0</v>
      </c>
      <c r="L27" s="111"/>
      <c r="M27" s="50">
        <f t="shared" si="6"/>
        <v>189889.052903</v>
      </c>
      <c r="N27" s="107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  <c r="Z27" s="46"/>
      <c r="AA27" s="46"/>
      <c r="AB27" s="46"/>
      <c r="AC27" s="46"/>
      <c r="AD27" s="46"/>
      <c r="AE27" s="46"/>
      <c r="AF27" s="46"/>
      <c r="AG27" s="46"/>
      <c r="AH27" s="46"/>
    </row>
    <row r="28" spans="1:34">
      <c r="A28" s="26">
        <v>25</v>
      </c>
      <c r="B28" s="27">
        <v>46047</v>
      </c>
      <c r="C28" s="48"/>
      <c r="D28" s="49"/>
      <c r="E28" s="48"/>
      <c r="F28" s="48"/>
      <c r="G28" s="47">
        <f t="shared" si="3"/>
        <v>0</v>
      </c>
      <c r="H28" s="48"/>
      <c r="I28" s="48"/>
      <c r="J28" s="50">
        <f t="shared" si="4"/>
        <v>0</v>
      </c>
      <c r="K28" s="47">
        <f t="shared" si="5"/>
        <v>0</v>
      </c>
      <c r="L28" s="111"/>
      <c r="M28" s="50">
        <f t="shared" si="6"/>
        <v>189889.052903</v>
      </c>
      <c r="N28" s="107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</row>
    <row r="29" spans="1:34">
      <c r="A29" s="26">
        <v>26</v>
      </c>
      <c r="B29" s="27">
        <v>46048</v>
      </c>
      <c r="C29" s="48" t="s">
        <v>214</v>
      </c>
      <c r="D29" s="49" t="s">
        <v>214</v>
      </c>
      <c r="E29" s="48"/>
      <c r="F29" s="48"/>
      <c r="G29" s="47">
        <f t="shared" si="3"/>
        <v>0</v>
      </c>
      <c r="H29" s="48"/>
      <c r="I29" s="48"/>
      <c r="J29" s="50">
        <f t="shared" si="4"/>
        <v>0</v>
      </c>
      <c r="K29" s="47">
        <f t="shared" si="5"/>
        <v>0</v>
      </c>
      <c r="L29" s="111"/>
      <c r="M29" s="50">
        <f t="shared" si="6"/>
        <v>189889.052903</v>
      </c>
      <c r="N29" s="107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6"/>
      <c r="AB29" s="46"/>
      <c r="AC29" s="46"/>
      <c r="AD29" s="46"/>
      <c r="AE29" s="46"/>
      <c r="AF29" s="46"/>
      <c r="AG29" s="46"/>
      <c r="AH29" s="46"/>
    </row>
    <row r="30" spans="1:34">
      <c r="A30" s="26">
        <v>27</v>
      </c>
      <c r="B30" s="27">
        <v>46049</v>
      </c>
      <c r="C30" s="48" t="s">
        <v>214</v>
      </c>
      <c r="D30" s="49" t="s">
        <v>214</v>
      </c>
      <c r="E30" s="48"/>
      <c r="F30" s="48"/>
      <c r="G30" s="47">
        <f t="shared" si="3"/>
        <v>0</v>
      </c>
      <c r="H30" s="48"/>
      <c r="I30" s="48"/>
      <c r="J30" s="50">
        <f t="shared" si="4"/>
        <v>0</v>
      </c>
      <c r="K30" s="47">
        <f t="shared" si="5"/>
        <v>0</v>
      </c>
      <c r="L30" s="111"/>
      <c r="M30" s="50">
        <f t="shared" si="6"/>
        <v>189889.052903</v>
      </c>
      <c r="N30" s="107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</row>
    <row r="31" spans="1:34">
      <c r="A31" s="26">
        <v>28</v>
      </c>
      <c r="B31" s="27">
        <v>46050</v>
      </c>
      <c r="C31" s="48" t="s">
        <v>214</v>
      </c>
      <c r="D31" s="49" t="s">
        <v>214</v>
      </c>
      <c r="E31" s="48">
        <v>1000</v>
      </c>
      <c r="F31" s="48">
        <v>91.33</v>
      </c>
      <c r="G31" s="47">
        <f t="shared" si="3"/>
        <v>91330</v>
      </c>
      <c r="H31" s="48">
        <v>70</v>
      </c>
      <c r="I31" s="48">
        <v>103.27</v>
      </c>
      <c r="J31" s="50">
        <f t="shared" si="4"/>
        <v>7228.9</v>
      </c>
      <c r="K31" s="47">
        <f t="shared" si="5"/>
        <v>98558.9</v>
      </c>
      <c r="L31" s="111"/>
      <c r="M31" s="50">
        <f t="shared" si="6"/>
        <v>288447.952903</v>
      </c>
      <c r="N31" s="107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  <c r="AA31" s="46"/>
      <c r="AB31" s="46"/>
      <c r="AC31" s="46"/>
      <c r="AD31" s="46"/>
      <c r="AE31" s="46"/>
      <c r="AF31" s="46"/>
      <c r="AG31" s="46"/>
      <c r="AH31" s="46"/>
    </row>
    <row r="32" spans="1:34">
      <c r="A32" s="26">
        <v>29</v>
      </c>
      <c r="B32" s="27">
        <v>46051</v>
      </c>
      <c r="C32" s="47"/>
      <c r="D32" s="49" t="s">
        <v>214</v>
      </c>
      <c r="E32" s="48"/>
      <c r="F32" s="48"/>
      <c r="G32" s="47">
        <f t="shared" si="3"/>
        <v>0</v>
      </c>
      <c r="H32" s="48"/>
      <c r="I32" s="48"/>
      <c r="J32" s="50">
        <f t="shared" si="4"/>
        <v>0</v>
      </c>
      <c r="K32" s="47">
        <f t="shared" si="5"/>
        <v>0</v>
      </c>
      <c r="L32" s="111"/>
      <c r="M32" s="50">
        <f t="shared" si="6"/>
        <v>288447.952903</v>
      </c>
      <c r="N32" s="107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</row>
    <row r="33" spans="1:34">
      <c r="A33" s="26">
        <v>30</v>
      </c>
      <c r="B33" s="27">
        <v>46052</v>
      </c>
      <c r="C33" s="47"/>
      <c r="D33" s="49" t="s">
        <v>214</v>
      </c>
      <c r="E33" s="48">
        <v>2000</v>
      </c>
      <c r="F33" s="48">
        <v>91.33</v>
      </c>
      <c r="G33" s="47">
        <f t="shared" si="3"/>
        <v>182660</v>
      </c>
      <c r="H33" s="48">
        <v>70</v>
      </c>
      <c r="I33" s="48">
        <v>103.27</v>
      </c>
      <c r="J33" s="50">
        <f t="shared" si="4"/>
        <v>7228.9</v>
      </c>
      <c r="K33" s="47">
        <f t="shared" si="5"/>
        <v>189888.9</v>
      </c>
      <c r="L33" s="111"/>
      <c r="M33" s="50">
        <f t="shared" si="6"/>
        <v>478336.85290299996</v>
      </c>
      <c r="N33" s="107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46"/>
    </row>
    <row r="34" spans="1:34">
      <c r="A34" s="26">
        <v>31</v>
      </c>
      <c r="B34" s="27">
        <v>46053</v>
      </c>
      <c r="C34" s="47"/>
      <c r="D34" s="49" t="s">
        <v>214</v>
      </c>
      <c r="E34" s="48"/>
      <c r="F34" s="48"/>
      <c r="G34" s="47">
        <f t="shared" si="3"/>
        <v>0</v>
      </c>
      <c r="H34" s="48"/>
      <c r="I34" s="48"/>
      <c r="J34" s="50">
        <f t="shared" si="4"/>
        <v>0</v>
      </c>
      <c r="K34" s="47">
        <f t="shared" si="5"/>
        <v>0</v>
      </c>
      <c r="L34" s="111"/>
      <c r="M34" s="50">
        <f t="shared" si="6"/>
        <v>478336.85290299996</v>
      </c>
      <c r="N34" s="107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</row>
    <row r="35" spans="1:34">
      <c r="A35" s="26">
        <v>32</v>
      </c>
      <c r="B35" s="27"/>
      <c r="C35" s="47"/>
      <c r="D35" s="49" t="s">
        <v>214</v>
      </c>
      <c r="E35" s="48"/>
      <c r="F35" s="48"/>
      <c r="G35" s="47">
        <f t="shared" si="3"/>
        <v>0</v>
      </c>
      <c r="H35" s="48">
        <v>0</v>
      </c>
      <c r="I35" s="48">
        <v>0</v>
      </c>
      <c r="J35" s="50">
        <f t="shared" ref="J5:J35" si="7">H35*I35</f>
        <v>0</v>
      </c>
      <c r="K35" s="47">
        <f t="shared" si="5"/>
        <v>0</v>
      </c>
      <c r="L35" s="111"/>
      <c r="M35" s="50">
        <f t="shared" si="6"/>
        <v>478336.85290299996</v>
      </c>
      <c r="N35" s="107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</row>
    <row r="36" spans="1:34">
      <c r="A36" s="43"/>
      <c r="B36" s="43"/>
      <c r="C36" s="43"/>
      <c r="D36" s="43"/>
      <c r="E36" s="44">
        <f>SUM(E4:E35)</f>
        <v>9620</v>
      </c>
      <c r="F36" s="44"/>
      <c r="G36" s="44">
        <f>SUM(G4:G35)</f>
        <v>878594.6</v>
      </c>
      <c r="H36" s="44">
        <f>SUM(H4:H35)</f>
        <v>365</v>
      </c>
      <c r="I36" s="44"/>
      <c r="J36" s="44">
        <f>SUM(J4:J35)</f>
        <v>37693.550000000003</v>
      </c>
      <c r="K36" s="44">
        <f>SUM(K4:K35)</f>
        <v>916288.15</v>
      </c>
      <c r="L36" s="44">
        <f>SUM(L4:L35)</f>
        <v>1151841.5</v>
      </c>
      <c r="M36" s="44"/>
      <c r="N36" s="44"/>
      <c r="O36" s="33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</row>
    <row r="37" spans="1:34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</row>
    <row r="38" spans="1:34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</row>
  </sheetData>
  <mergeCells count="2">
    <mergeCell ref="A1:N1"/>
    <mergeCell ref="A3:J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8"/>
  <sheetViews>
    <sheetView view="pageBreakPreview" zoomScale="60" zoomScaleNormal="90" workbookViewId="0">
      <pane ySplit="2" topLeftCell="E16" activePane="bottomLeft" state="frozen"/>
      <selection pane="bottomLeft" activeCell="E16" sqref="E16"/>
    </sheetView>
  </sheetViews>
  <sheetFormatPr defaultColWidth="9.140625" defaultRowHeight="12.75"/>
  <cols>
    <col min="1" max="1" width="5.28515625" style="33" bestFit="1" customWidth="1"/>
    <col min="2" max="2" width="11.85546875" style="33" bestFit="1" customWidth="1"/>
    <col min="3" max="3" width="10.7109375" style="33" bestFit="1" customWidth="1"/>
    <col min="4" max="4" width="21.5703125" style="33" customWidth="1"/>
    <col min="5" max="5" width="10.85546875" style="33" bestFit="1" customWidth="1"/>
    <col min="6" max="6" width="13.7109375" style="33" bestFit="1" customWidth="1"/>
    <col min="7" max="7" width="15.28515625" style="33" customWidth="1"/>
    <col min="8" max="8" width="10.85546875" style="33" bestFit="1" customWidth="1"/>
    <col min="9" max="9" width="8.140625" style="33" bestFit="1" customWidth="1"/>
    <col min="10" max="10" width="10.85546875" style="33" bestFit="1" customWidth="1"/>
    <col min="11" max="11" width="13.85546875" style="33" bestFit="1" customWidth="1"/>
    <col min="12" max="12" width="12.7109375" style="33" bestFit="1" customWidth="1"/>
    <col min="13" max="13" width="12.7109375" style="33" customWidth="1"/>
    <col min="14" max="14" width="17.7109375" style="33" bestFit="1" customWidth="1"/>
    <col min="15" max="15" width="13.7109375" style="33" customWidth="1"/>
    <col min="16" max="16384" width="9.140625" style="33"/>
  </cols>
  <sheetData>
    <row r="1" spans="1:24" ht="12.75" customHeight="1">
      <c r="A1" s="478" t="s">
        <v>33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</row>
    <row r="2" spans="1:24">
      <c r="A2" s="106" t="s">
        <v>129</v>
      </c>
      <c r="B2" s="109" t="s">
        <v>130</v>
      </c>
      <c r="C2" s="109" t="s">
        <v>131</v>
      </c>
      <c r="D2" s="109" t="s">
        <v>132</v>
      </c>
      <c r="E2" s="109" t="s">
        <v>133</v>
      </c>
      <c r="F2" s="109" t="s">
        <v>134</v>
      </c>
      <c r="G2" s="109" t="s">
        <v>135</v>
      </c>
      <c r="H2" s="109" t="s">
        <v>136</v>
      </c>
      <c r="I2" s="109" t="s">
        <v>134</v>
      </c>
      <c r="J2" s="109" t="s">
        <v>135</v>
      </c>
      <c r="K2" s="109" t="s">
        <v>137</v>
      </c>
      <c r="L2" s="109" t="s">
        <v>138</v>
      </c>
      <c r="M2" s="109" t="s">
        <v>199</v>
      </c>
      <c r="N2" s="109" t="s">
        <v>140</v>
      </c>
    </row>
    <row r="3" spans="1:24" ht="15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4"/>
      <c r="K3" s="154">
        <v>2258.5999999999767</v>
      </c>
      <c r="L3" s="153"/>
      <c r="M3" s="153">
        <f>+K3</f>
        <v>2258.5999999999767</v>
      </c>
      <c r="N3" s="110"/>
    </row>
    <row r="4" spans="1:24" ht="15">
      <c r="A4" s="26">
        <v>1</v>
      </c>
      <c r="B4" s="27">
        <v>46023</v>
      </c>
      <c r="C4" s="266"/>
      <c r="D4" s="267"/>
      <c r="E4" s="36"/>
      <c r="F4" s="36"/>
      <c r="G4" s="36">
        <f>E4*F4</f>
        <v>0</v>
      </c>
      <c r="H4" s="125">
        <v>0</v>
      </c>
      <c r="I4" s="125"/>
      <c r="J4" s="36">
        <f>H4*I4</f>
        <v>0</v>
      </c>
      <c r="K4" s="37">
        <f>G4+J4</f>
        <v>0</v>
      </c>
      <c r="L4" s="37">
        <v>0</v>
      </c>
      <c r="M4" s="37">
        <f>M3+K4-L4</f>
        <v>2258.5999999999767</v>
      </c>
      <c r="N4" s="45"/>
    </row>
    <row r="5" spans="1:24" ht="15">
      <c r="A5" s="26">
        <v>2</v>
      </c>
      <c r="B5" s="27">
        <v>46024</v>
      </c>
      <c r="C5" s="266"/>
      <c r="D5" s="267"/>
      <c r="E5" s="36"/>
      <c r="F5" s="36"/>
      <c r="G5" s="36">
        <f t="shared" ref="G5:G7" si="0">E5*F5</f>
        <v>0</v>
      </c>
      <c r="H5" s="125">
        <v>0</v>
      </c>
      <c r="I5" s="125">
        <v>0</v>
      </c>
      <c r="J5" s="36">
        <f t="shared" ref="J5:J7" si="1">H5*I5</f>
        <v>0</v>
      </c>
      <c r="K5" s="37">
        <f t="shared" ref="K5:K7" si="2">G5+J5</f>
        <v>0</v>
      </c>
      <c r="L5" s="37">
        <v>0</v>
      </c>
      <c r="M5" s="37">
        <f t="shared" ref="M5:M34" si="3">M4+K5-L5</f>
        <v>2258.5999999999767</v>
      </c>
      <c r="N5" s="45"/>
    </row>
    <row r="6" spans="1:24" ht="15">
      <c r="A6" s="26">
        <v>3</v>
      </c>
      <c r="B6" s="27">
        <v>46025</v>
      </c>
      <c r="C6" s="266"/>
      <c r="D6" s="267"/>
      <c r="E6" s="36"/>
      <c r="F6" s="36"/>
      <c r="G6" s="36">
        <f t="shared" si="0"/>
        <v>0</v>
      </c>
      <c r="H6" s="125">
        <v>0</v>
      </c>
      <c r="I6" s="125">
        <v>0</v>
      </c>
      <c r="J6" s="36">
        <f t="shared" si="1"/>
        <v>0</v>
      </c>
      <c r="K6" s="37">
        <f t="shared" si="2"/>
        <v>0</v>
      </c>
      <c r="L6" s="37">
        <v>0</v>
      </c>
      <c r="M6" s="37">
        <f t="shared" si="3"/>
        <v>2258.5999999999767</v>
      </c>
      <c r="N6" s="45"/>
    </row>
    <row r="7" spans="1:24" ht="15">
      <c r="A7" s="26">
        <v>4</v>
      </c>
      <c r="B7" s="27">
        <v>46026</v>
      </c>
      <c r="C7" s="266"/>
      <c r="D7" s="267"/>
      <c r="E7" s="36"/>
      <c r="F7" s="36"/>
      <c r="G7" s="36">
        <f t="shared" si="0"/>
        <v>0</v>
      </c>
      <c r="H7" s="125">
        <v>0</v>
      </c>
      <c r="I7" s="125">
        <v>0</v>
      </c>
      <c r="J7" s="36">
        <f t="shared" si="1"/>
        <v>0</v>
      </c>
      <c r="K7" s="37">
        <f t="shared" si="2"/>
        <v>0</v>
      </c>
      <c r="L7" s="37">
        <v>0</v>
      </c>
      <c r="M7" s="37">
        <f t="shared" si="3"/>
        <v>2258.5999999999767</v>
      </c>
      <c r="N7" s="45"/>
    </row>
    <row r="8" spans="1:24" ht="15">
      <c r="A8" s="26">
        <v>5</v>
      </c>
      <c r="B8" s="27">
        <v>46027</v>
      </c>
      <c r="C8" s="266"/>
      <c r="D8" s="267"/>
      <c r="E8" s="36"/>
      <c r="F8" s="36"/>
      <c r="G8" s="36">
        <f t="shared" ref="G8:G34" si="4">E8*F8</f>
        <v>0</v>
      </c>
      <c r="H8" s="125">
        <v>0</v>
      </c>
      <c r="I8" s="125">
        <v>0</v>
      </c>
      <c r="J8" s="36">
        <f t="shared" ref="J8:J34" si="5">H8*I8</f>
        <v>0</v>
      </c>
      <c r="K8" s="37">
        <f t="shared" ref="K8:K34" si="6">G8+J8</f>
        <v>0</v>
      </c>
      <c r="L8" s="37">
        <v>0</v>
      </c>
      <c r="M8" s="37">
        <f t="shared" si="3"/>
        <v>2258.5999999999767</v>
      </c>
      <c r="N8" s="45"/>
    </row>
    <row r="9" spans="1:24" ht="15">
      <c r="A9" s="26">
        <v>6</v>
      </c>
      <c r="B9" s="27">
        <v>46028</v>
      </c>
      <c r="C9" s="266"/>
      <c r="D9" s="267"/>
      <c r="E9" s="36"/>
      <c r="F9" s="36"/>
      <c r="G9" s="36">
        <f t="shared" si="4"/>
        <v>0</v>
      </c>
      <c r="H9" s="125">
        <v>0</v>
      </c>
      <c r="I9" s="125">
        <v>0</v>
      </c>
      <c r="J9" s="36">
        <f t="shared" si="5"/>
        <v>0</v>
      </c>
      <c r="K9" s="37">
        <f t="shared" si="6"/>
        <v>0</v>
      </c>
      <c r="L9" s="37">
        <v>0</v>
      </c>
      <c r="M9" s="37">
        <f t="shared" si="3"/>
        <v>2258.5999999999767</v>
      </c>
      <c r="N9" s="45"/>
    </row>
    <row r="10" spans="1:24" ht="15">
      <c r="A10" s="26">
        <v>7</v>
      </c>
      <c r="B10" s="27">
        <v>46029</v>
      </c>
      <c r="C10" s="266"/>
      <c r="D10" s="267"/>
      <c r="E10" s="36"/>
      <c r="F10" s="36"/>
      <c r="G10" s="36">
        <f t="shared" si="4"/>
        <v>0</v>
      </c>
      <c r="H10" s="125"/>
      <c r="I10" s="125"/>
      <c r="J10" s="36">
        <f t="shared" si="5"/>
        <v>0</v>
      </c>
      <c r="K10" s="37">
        <f t="shared" si="6"/>
        <v>0</v>
      </c>
      <c r="L10" s="37">
        <v>0</v>
      </c>
      <c r="M10" s="37">
        <f t="shared" si="3"/>
        <v>2258.5999999999767</v>
      </c>
      <c r="N10" s="45"/>
    </row>
    <row r="11" spans="1:24" ht="15">
      <c r="A11" s="26">
        <v>8</v>
      </c>
      <c r="B11" s="27">
        <v>46030</v>
      </c>
      <c r="C11" s="266"/>
      <c r="D11" s="267"/>
      <c r="E11" s="36"/>
      <c r="F11" s="36"/>
      <c r="G11" s="36">
        <f t="shared" si="4"/>
        <v>0</v>
      </c>
      <c r="H11" s="125">
        <v>0</v>
      </c>
      <c r="I11" s="125">
        <v>0</v>
      </c>
      <c r="J11" s="36">
        <f t="shared" si="5"/>
        <v>0</v>
      </c>
      <c r="K11" s="37">
        <f t="shared" si="6"/>
        <v>0</v>
      </c>
      <c r="L11" s="37">
        <v>0</v>
      </c>
      <c r="M11" s="37">
        <f t="shared" si="3"/>
        <v>2258.5999999999767</v>
      </c>
      <c r="N11" s="45"/>
    </row>
    <row r="12" spans="1:24" ht="15">
      <c r="A12" s="26">
        <v>9</v>
      </c>
      <c r="B12" s="27">
        <v>46031</v>
      </c>
      <c r="C12" s="266"/>
      <c r="D12" s="267"/>
      <c r="E12" s="36"/>
      <c r="F12" s="36"/>
      <c r="G12" s="36">
        <f t="shared" si="4"/>
        <v>0</v>
      </c>
      <c r="H12" s="125">
        <v>0</v>
      </c>
      <c r="I12" s="125">
        <v>0</v>
      </c>
      <c r="J12" s="36">
        <f t="shared" si="5"/>
        <v>0</v>
      </c>
      <c r="K12" s="37">
        <f t="shared" si="6"/>
        <v>0</v>
      </c>
      <c r="L12" s="37">
        <v>0</v>
      </c>
      <c r="M12" s="37">
        <f t="shared" si="3"/>
        <v>2258.5999999999767</v>
      </c>
      <c r="N12" s="45"/>
    </row>
    <row r="13" spans="1:24" ht="15">
      <c r="A13" s="26">
        <v>10</v>
      </c>
      <c r="B13" s="27">
        <v>46032</v>
      </c>
      <c r="C13" s="266"/>
      <c r="D13" s="267"/>
      <c r="E13" s="36"/>
      <c r="F13" s="36"/>
      <c r="G13" s="36">
        <f t="shared" si="4"/>
        <v>0</v>
      </c>
      <c r="H13" s="125">
        <v>0</v>
      </c>
      <c r="I13" s="125">
        <v>0</v>
      </c>
      <c r="J13" s="36">
        <f t="shared" si="5"/>
        <v>0</v>
      </c>
      <c r="K13" s="37">
        <f t="shared" si="6"/>
        <v>0</v>
      </c>
      <c r="L13" s="37">
        <v>0</v>
      </c>
      <c r="M13" s="37">
        <f t="shared" si="3"/>
        <v>2258.5999999999767</v>
      </c>
      <c r="N13" s="45"/>
    </row>
    <row r="14" spans="1:24" ht="15">
      <c r="A14" s="26">
        <v>11</v>
      </c>
      <c r="B14" s="27">
        <v>46033</v>
      </c>
      <c r="C14" s="266"/>
      <c r="D14" s="267"/>
      <c r="E14" s="36"/>
      <c r="F14" s="36"/>
      <c r="G14" s="36">
        <f t="shared" si="4"/>
        <v>0</v>
      </c>
      <c r="H14" s="125">
        <v>0</v>
      </c>
      <c r="I14" s="125">
        <v>0</v>
      </c>
      <c r="J14" s="36">
        <f t="shared" si="5"/>
        <v>0</v>
      </c>
      <c r="K14" s="37">
        <f t="shared" si="6"/>
        <v>0</v>
      </c>
      <c r="L14" s="37">
        <v>0</v>
      </c>
      <c r="M14" s="37">
        <f t="shared" si="3"/>
        <v>2258.5999999999767</v>
      </c>
      <c r="N14" s="45"/>
    </row>
    <row r="15" spans="1:24" ht="15">
      <c r="A15" s="26">
        <v>12</v>
      </c>
      <c r="B15" s="27">
        <v>46034</v>
      </c>
      <c r="C15" s="266"/>
      <c r="D15" s="267"/>
      <c r="E15" s="36"/>
      <c r="F15" s="36"/>
      <c r="G15" s="36">
        <f t="shared" si="4"/>
        <v>0</v>
      </c>
      <c r="H15" s="125">
        <v>0</v>
      </c>
      <c r="I15" s="125">
        <v>0</v>
      </c>
      <c r="J15" s="36">
        <f t="shared" si="5"/>
        <v>0</v>
      </c>
      <c r="K15" s="37">
        <f t="shared" si="6"/>
        <v>0</v>
      </c>
      <c r="L15" s="37">
        <v>0</v>
      </c>
      <c r="M15" s="37">
        <f t="shared" si="3"/>
        <v>2258.5999999999767</v>
      </c>
      <c r="N15" s="45"/>
    </row>
    <row r="16" spans="1:24" ht="15">
      <c r="A16" s="26">
        <v>13</v>
      </c>
      <c r="B16" s="27">
        <v>46035</v>
      </c>
      <c r="C16" s="266"/>
      <c r="D16" s="267"/>
      <c r="E16" s="36"/>
      <c r="F16" s="36"/>
      <c r="G16" s="36">
        <f t="shared" si="4"/>
        <v>0</v>
      </c>
      <c r="H16" s="125">
        <v>0</v>
      </c>
      <c r="I16" s="125">
        <v>0</v>
      </c>
      <c r="J16" s="36">
        <f t="shared" si="5"/>
        <v>0</v>
      </c>
      <c r="K16" s="37">
        <f t="shared" si="6"/>
        <v>0</v>
      </c>
      <c r="L16" s="37">
        <v>0</v>
      </c>
      <c r="M16" s="37">
        <f t="shared" si="3"/>
        <v>2258.5999999999767</v>
      </c>
      <c r="N16" s="45"/>
      <c r="X16" s="33">
        <f>100*104</f>
        <v>10400</v>
      </c>
    </row>
    <row r="17" spans="1:14" ht="15">
      <c r="A17" s="26">
        <v>14</v>
      </c>
      <c r="B17" s="27">
        <v>46036</v>
      </c>
      <c r="C17" s="266"/>
      <c r="D17" s="267"/>
      <c r="E17" s="36"/>
      <c r="F17" s="36"/>
      <c r="G17" s="36">
        <f t="shared" si="4"/>
        <v>0</v>
      </c>
      <c r="H17" s="125">
        <v>0</v>
      </c>
      <c r="I17" s="125">
        <v>0</v>
      </c>
      <c r="J17" s="36">
        <f t="shared" si="5"/>
        <v>0</v>
      </c>
      <c r="K17" s="37">
        <f t="shared" si="6"/>
        <v>0</v>
      </c>
      <c r="L17" s="37">
        <v>0</v>
      </c>
      <c r="M17" s="37">
        <f t="shared" si="3"/>
        <v>2258.5999999999767</v>
      </c>
      <c r="N17" s="45"/>
    </row>
    <row r="18" spans="1:14" ht="15">
      <c r="A18" s="26">
        <v>15</v>
      </c>
      <c r="B18" s="27">
        <v>46037</v>
      </c>
      <c r="C18" s="266"/>
      <c r="D18" s="267"/>
      <c r="E18" s="36"/>
      <c r="F18" s="36"/>
      <c r="G18" s="36">
        <f t="shared" si="4"/>
        <v>0</v>
      </c>
      <c r="H18" s="125">
        <v>0</v>
      </c>
      <c r="I18" s="125">
        <v>0</v>
      </c>
      <c r="J18" s="36">
        <f t="shared" si="5"/>
        <v>0</v>
      </c>
      <c r="K18" s="37">
        <f t="shared" si="6"/>
        <v>0</v>
      </c>
      <c r="L18" s="37"/>
      <c r="M18" s="37">
        <f t="shared" si="3"/>
        <v>2258.5999999999767</v>
      </c>
      <c r="N18" s="45"/>
    </row>
    <row r="19" spans="1:14" ht="15">
      <c r="A19" s="26">
        <v>16</v>
      </c>
      <c r="B19" s="27">
        <v>46038</v>
      </c>
      <c r="C19" s="266"/>
      <c r="D19" s="267"/>
      <c r="E19" s="36"/>
      <c r="F19" s="36"/>
      <c r="G19" s="36">
        <f t="shared" si="4"/>
        <v>0</v>
      </c>
      <c r="H19" s="125">
        <v>0</v>
      </c>
      <c r="I19" s="125">
        <v>0</v>
      </c>
      <c r="J19" s="36">
        <f t="shared" si="5"/>
        <v>0</v>
      </c>
      <c r="K19" s="37">
        <f t="shared" si="6"/>
        <v>0</v>
      </c>
      <c r="L19" s="37"/>
      <c r="M19" s="37">
        <f t="shared" si="3"/>
        <v>2258.5999999999767</v>
      </c>
      <c r="N19" s="45"/>
    </row>
    <row r="20" spans="1:14" ht="15">
      <c r="A20" s="26">
        <v>17</v>
      </c>
      <c r="B20" s="27">
        <v>46039</v>
      </c>
      <c r="C20" s="266"/>
      <c r="D20" s="267"/>
      <c r="E20" s="36"/>
      <c r="F20" s="36"/>
      <c r="G20" s="36">
        <f t="shared" si="4"/>
        <v>0</v>
      </c>
      <c r="H20" s="125">
        <v>0</v>
      </c>
      <c r="I20" s="125">
        <v>0</v>
      </c>
      <c r="J20" s="36">
        <f t="shared" si="5"/>
        <v>0</v>
      </c>
      <c r="K20" s="37">
        <f t="shared" si="6"/>
        <v>0</v>
      </c>
      <c r="L20" s="37"/>
      <c r="M20" s="37">
        <f t="shared" si="3"/>
        <v>2258.5999999999767</v>
      </c>
      <c r="N20" s="45"/>
    </row>
    <row r="21" spans="1:14" ht="15">
      <c r="A21" s="26">
        <v>18</v>
      </c>
      <c r="B21" s="27">
        <v>46040</v>
      </c>
      <c r="C21" s="266"/>
      <c r="D21" s="267"/>
      <c r="E21" s="36"/>
      <c r="F21" s="36"/>
      <c r="G21" s="36">
        <f t="shared" si="4"/>
        <v>0</v>
      </c>
      <c r="H21" s="125">
        <v>0</v>
      </c>
      <c r="I21" s="125">
        <v>0</v>
      </c>
      <c r="J21" s="36">
        <f t="shared" si="5"/>
        <v>0</v>
      </c>
      <c r="K21" s="37">
        <f t="shared" si="6"/>
        <v>0</v>
      </c>
      <c r="L21" s="37"/>
      <c r="M21" s="37">
        <f t="shared" si="3"/>
        <v>2258.5999999999767</v>
      </c>
      <c r="N21" s="45"/>
    </row>
    <row r="22" spans="1:14" ht="15">
      <c r="A22" s="26">
        <v>19</v>
      </c>
      <c r="B22" s="27">
        <v>46041</v>
      </c>
      <c r="C22" s="266"/>
      <c r="D22" s="267"/>
      <c r="E22" s="36"/>
      <c r="F22" s="36"/>
      <c r="G22" s="36">
        <f t="shared" si="4"/>
        <v>0</v>
      </c>
      <c r="H22" s="125">
        <v>0</v>
      </c>
      <c r="I22" s="125">
        <v>0</v>
      </c>
      <c r="J22" s="36">
        <f t="shared" si="5"/>
        <v>0</v>
      </c>
      <c r="K22" s="37">
        <f t="shared" si="6"/>
        <v>0</v>
      </c>
      <c r="L22" s="37"/>
      <c r="M22" s="37">
        <f t="shared" si="3"/>
        <v>2258.5999999999767</v>
      </c>
      <c r="N22" s="45"/>
    </row>
    <row r="23" spans="1:14" ht="15">
      <c r="A23" s="26">
        <v>20</v>
      </c>
      <c r="B23" s="27">
        <v>46042</v>
      </c>
      <c r="C23" s="266"/>
      <c r="D23" s="267"/>
      <c r="E23" s="36"/>
      <c r="F23" s="36"/>
      <c r="G23" s="36">
        <f t="shared" si="4"/>
        <v>0</v>
      </c>
      <c r="H23" s="125">
        <v>0</v>
      </c>
      <c r="I23" s="125">
        <v>0</v>
      </c>
      <c r="J23" s="36">
        <f t="shared" si="5"/>
        <v>0</v>
      </c>
      <c r="K23" s="37">
        <f t="shared" si="6"/>
        <v>0</v>
      </c>
      <c r="L23" s="37"/>
      <c r="M23" s="37">
        <f t="shared" si="3"/>
        <v>2258.5999999999767</v>
      </c>
      <c r="N23" s="45"/>
    </row>
    <row r="24" spans="1:14" ht="15">
      <c r="A24" s="26">
        <v>21</v>
      </c>
      <c r="B24" s="27">
        <v>46043</v>
      </c>
      <c r="C24" s="266"/>
      <c r="D24" s="267"/>
      <c r="E24" s="36"/>
      <c r="F24" s="36"/>
      <c r="G24" s="36">
        <f t="shared" si="4"/>
        <v>0</v>
      </c>
      <c r="H24" s="125">
        <v>0</v>
      </c>
      <c r="I24" s="125">
        <v>0</v>
      </c>
      <c r="J24" s="36">
        <f t="shared" si="5"/>
        <v>0</v>
      </c>
      <c r="K24" s="37">
        <f t="shared" si="6"/>
        <v>0</v>
      </c>
      <c r="L24" s="37"/>
      <c r="M24" s="37">
        <f t="shared" si="3"/>
        <v>2258.5999999999767</v>
      </c>
      <c r="N24" s="45"/>
    </row>
    <row r="25" spans="1:14" ht="15">
      <c r="A25" s="26">
        <v>22</v>
      </c>
      <c r="B25" s="27">
        <v>46044</v>
      </c>
      <c r="C25" s="266"/>
      <c r="D25" s="267"/>
      <c r="E25" s="36"/>
      <c r="F25" s="36"/>
      <c r="G25" s="36">
        <f t="shared" si="4"/>
        <v>0</v>
      </c>
      <c r="H25" s="125">
        <v>0</v>
      </c>
      <c r="I25" s="125">
        <v>0</v>
      </c>
      <c r="J25" s="36">
        <f t="shared" si="5"/>
        <v>0</v>
      </c>
      <c r="K25" s="37">
        <f t="shared" si="6"/>
        <v>0</v>
      </c>
      <c r="L25" s="37"/>
      <c r="M25" s="37">
        <f t="shared" si="3"/>
        <v>2258.5999999999767</v>
      </c>
      <c r="N25" s="45"/>
    </row>
    <row r="26" spans="1:14" ht="15">
      <c r="A26" s="26">
        <v>23</v>
      </c>
      <c r="B26" s="27">
        <v>46045</v>
      </c>
      <c r="C26" s="266"/>
      <c r="D26" s="267"/>
      <c r="E26" s="36"/>
      <c r="F26" s="36"/>
      <c r="G26" s="36">
        <f t="shared" si="4"/>
        <v>0</v>
      </c>
      <c r="H26" s="125">
        <v>0</v>
      </c>
      <c r="I26" s="125">
        <v>0</v>
      </c>
      <c r="J26" s="36">
        <f t="shared" ref="J26:J31" si="7">H26*I26</f>
        <v>0</v>
      </c>
      <c r="K26" s="37">
        <f t="shared" ref="K26:K31" si="8">G26+J26</f>
        <v>0</v>
      </c>
      <c r="L26" s="37"/>
      <c r="M26" s="37">
        <f t="shared" si="3"/>
        <v>2258.5999999999767</v>
      </c>
      <c r="N26" s="45"/>
    </row>
    <row r="27" spans="1:14" ht="15">
      <c r="A27" s="26">
        <v>24</v>
      </c>
      <c r="B27" s="27">
        <v>46046</v>
      </c>
      <c r="C27" s="266"/>
      <c r="D27" s="267"/>
      <c r="E27" s="36"/>
      <c r="F27" s="36"/>
      <c r="G27" s="36">
        <f t="shared" si="4"/>
        <v>0</v>
      </c>
      <c r="H27" s="125">
        <v>0</v>
      </c>
      <c r="I27" s="125">
        <v>0</v>
      </c>
      <c r="J27" s="36">
        <f t="shared" si="7"/>
        <v>0</v>
      </c>
      <c r="K27" s="37">
        <f t="shared" si="8"/>
        <v>0</v>
      </c>
      <c r="L27" s="37"/>
      <c r="M27" s="37">
        <f t="shared" si="3"/>
        <v>2258.5999999999767</v>
      </c>
      <c r="N27" s="45"/>
    </row>
    <row r="28" spans="1:14" ht="15">
      <c r="A28" s="26">
        <v>25</v>
      </c>
      <c r="B28" s="27">
        <v>46047</v>
      </c>
      <c r="C28" s="266"/>
      <c r="D28" s="267"/>
      <c r="E28" s="36"/>
      <c r="F28" s="36"/>
      <c r="G28" s="36">
        <f t="shared" si="4"/>
        <v>0</v>
      </c>
      <c r="H28" s="125">
        <v>0</v>
      </c>
      <c r="I28" s="125">
        <v>0</v>
      </c>
      <c r="J28" s="36">
        <f t="shared" si="7"/>
        <v>0</v>
      </c>
      <c r="K28" s="37">
        <f t="shared" si="8"/>
        <v>0</v>
      </c>
      <c r="L28" s="37"/>
      <c r="M28" s="37">
        <f t="shared" si="3"/>
        <v>2258.5999999999767</v>
      </c>
      <c r="N28" s="45"/>
    </row>
    <row r="29" spans="1:14" ht="15">
      <c r="A29" s="26">
        <v>26</v>
      </c>
      <c r="B29" s="27">
        <v>46048</v>
      </c>
      <c r="C29" s="266"/>
      <c r="D29" s="267"/>
      <c r="E29" s="36"/>
      <c r="F29" s="36"/>
      <c r="G29" s="36">
        <f t="shared" si="4"/>
        <v>0</v>
      </c>
      <c r="H29" s="125">
        <v>0</v>
      </c>
      <c r="I29" s="125">
        <v>0</v>
      </c>
      <c r="J29" s="36">
        <f t="shared" si="7"/>
        <v>0</v>
      </c>
      <c r="K29" s="37">
        <f t="shared" si="8"/>
        <v>0</v>
      </c>
      <c r="L29" s="37"/>
      <c r="M29" s="37">
        <f t="shared" si="3"/>
        <v>2258.5999999999767</v>
      </c>
      <c r="N29" s="45"/>
    </row>
    <row r="30" spans="1:14" ht="15">
      <c r="A30" s="26">
        <v>27</v>
      </c>
      <c r="B30" s="27">
        <v>46049</v>
      </c>
      <c r="C30" s="266"/>
      <c r="D30" s="267"/>
      <c r="E30" s="36"/>
      <c r="F30" s="36"/>
      <c r="G30" s="36">
        <f t="shared" si="4"/>
        <v>0</v>
      </c>
      <c r="H30" s="125">
        <v>0</v>
      </c>
      <c r="I30" s="125">
        <v>0</v>
      </c>
      <c r="J30" s="36">
        <f t="shared" si="7"/>
        <v>0</v>
      </c>
      <c r="K30" s="37">
        <f t="shared" si="8"/>
        <v>0</v>
      </c>
      <c r="L30" s="37"/>
      <c r="M30" s="37">
        <f t="shared" si="3"/>
        <v>2258.5999999999767</v>
      </c>
      <c r="N30" s="45"/>
    </row>
    <row r="31" spans="1:14" ht="15">
      <c r="A31" s="26">
        <v>28</v>
      </c>
      <c r="B31" s="27">
        <v>46050</v>
      </c>
      <c r="C31" s="266"/>
      <c r="D31" s="267"/>
      <c r="E31" s="36"/>
      <c r="F31" s="36"/>
      <c r="G31" s="36">
        <f t="shared" si="4"/>
        <v>0</v>
      </c>
      <c r="H31" s="125">
        <v>0</v>
      </c>
      <c r="I31" s="125">
        <v>0</v>
      </c>
      <c r="J31" s="36">
        <f t="shared" si="7"/>
        <v>0</v>
      </c>
      <c r="K31" s="37">
        <f t="shared" si="8"/>
        <v>0</v>
      </c>
      <c r="L31" s="37"/>
      <c r="M31" s="37">
        <f t="shared" si="3"/>
        <v>2258.5999999999767</v>
      </c>
      <c r="N31" s="45"/>
    </row>
    <row r="32" spans="1:14" ht="15">
      <c r="A32" s="26">
        <v>29</v>
      </c>
      <c r="B32" s="27">
        <v>46051</v>
      </c>
      <c r="C32" s="266"/>
      <c r="D32" s="267"/>
      <c r="E32" s="36"/>
      <c r="F32" s="36"/>
      <c r="G32" s="36">
        <f t="shared" si="4"/>
        <v>0</v>
      </c>
      <c r="H32" s="125">
        <v>0</v>
      </c>
      <c r="I32" s="125">
        <v>0</v>
      </c>
      <c r="J32" s="36">
        <f t="shared" si="5"/>
        <v>0</v>
      </c>
      <c r="K32" s="37">
        <f t="shared" si="6"/>
        <v>0</v>
      </c>
      <c r="L32" s="37"/>
      <c r="M32" s="37">
        <f t="shared" si="3"/>
        <v>2258.5999999999767</v>
      </c>
      <c r="N32" s="45"/>
    </row>
    <row r="33" spans="1:14" ht="15">
      <c r="A33" s="26">
        <v>30</v>
      </c>
      <c r="B33" s="27">
        <v>46052</v>
      </c>
      <c r="C33" s="266"/>
      <c r="D33" s="267"/>
      <c r="E33" s="36"/>
      <c r="F33" s="36"/>
      <c r="G33" s="36">
        <f t="shared" si="4"/>
        <v>0</v>
      </c>
      <c r="H33" s="125">
        <v>0</v>
      </c>
      <c r="I33" s="125">
        <v>0</v>
      </c>
      <c r="J33" s="36">
        <f t="shared" si="5"/>
        <v>0</v>
      </c>
      <c r="K33" s="37">
        <f t="shared" si="6"/>
        <v>0</v>
      </c>
      <c r="L33" s="37"/>
      <c r="M33" s="37">
        <f t="shared" si="3"/>
        <v>2258.5999999999767</v>
      </c>
      <c r="N33" s="45"/>
    </row>
    <row r="34" spans="1:14" ht="15">
      <c r="A34" s="26">
        <v>31</v>
      </c>
      <c r="B34" s="27"/>
      <c r="C34" s="110"/>
      <c r="D34" s="124"/>
      <c r="E34" s="36"/>
      <c r="F34" s="36"/>
      <c r="G34" s="36">
        <f t="shared" si="4"/>
        <v>0</v>
      </c>
      <c r="H34" s="125">
        <v>0</v>
      </c>
      <c r="I34" s="125">
        <v>0</v>
      </c>
      <c r="J34" s="36">
        <f t="shared" si="5"/>
        <v>0</v>
      </c>
      <c r="K34" s="37">
        <f t="shared" si="6"/>
        <v>0</v>
      </c>
      <c r="L34" s="37">
        <v>0</v>
      </c>
      <c r="M34" s="37">
        <f t="shared" si="3"/>
        <v>2258.5999999999767</v>
      </c>
      <c r="N34" s="45"/>
    </row>
    <row r="35" spans="1:14">
      <c r="A35" s="43"/>
      <c r="B35" s="43"/>
      <c r="C35" s="43"/>
      <c r="D35" s="43"/>
      <c r="E35" s="44">
        <f>SUM(E4:E34)</f>
        <v>0</v>
      </c>
      <c r="F35" s="44"/>
      <c r="G35" s="44">
        <f>SUM(G4:G34)</f>
        <v>0</v>
      </c>
      <c r="H35" s="44">
        <f>SUM(H4:H34)</f>
        <v>0</v>
      </c>
      <c r="I35" s="44"/>
      <c r="J35" s="44">
        <f>SUM(J4:J34)</f>
        <v>0</v>
      </c>
      <c r="K35" s="44">
        <f>SUM(K4:K34)</f>
        <v>0</v>
      </c>
      <c r="L35" s="44">
        <f>SUM(L4:L34)</f>
        <v>0</v>
      </c>
      <c r="M35" s="44"/>
      <c r="N35" s="44"/>
    </row>
    <row r="36" spans="1:14">
      <c r="A36" s="38"/>
      <c r="B36" s="38"/>
      <c r="C36" s="38"/>
      <c r="D36" s="38"/>
      <c r="E36" s="39"/>
      <c r="F36" s="39"/>
      <c r="G36" s="39"/>
      <c r="H36" s="39"/>
      <c r="I36" s="39"/>
      <c r="J36" s="39"/>
      <c r="K36" s="39"/>
      <c r="L36" s="39"/>
      <c r="M36" s="39"/>
      <c r="N36" s="39"/>
    </row>
    <row r="37" spans="1:14">
      <c r="G37" s="40"/>
    </row>
    <row r="38" spans="1:14">
      <c r="B38" s="479"/>
      <c r="C38" s="479"/>
      <c r="D38" s="479"/>
      <c r="E38" s="479"/>
      <c r="I38" s="479"/>
      <c r="J38" s="479"/>
      <c r="K38" s="479"/>
      <c r="L38" s="479"/>
      <c r="M38" s="479"/>
      <c r="N38" s="479"/>
    </row>
  </sheetData>
  <mergeCells count="4">
    <mergeCell ref="A1:N1"/>
    <mergeCell ref="I38:N38"/>
    <mergeCell ref="B38:E38"/>
    <mergeCell ref="A3:J3"/>
  </mergeCells>
  <printOptions horizontalCentered="1"/>
  <pageMargins left="3.937007874015748E-2" right="3.937007874015748E-2" top="3.937007874015748E-2" bottom="3.937007874015748E-2" header="0.31496062992125984" footer="0.31496062992125984"/>
  <pageSetup scale="39" fitToHeight="10" orientation="landscape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E987-7A95-4F93-8189-F0484DA603E1}">
  <dimension ref="A1:N35"/>
  <sheetViews>
    <sheetView topLeftCell="A15" workbookViewId="0">
      <selection activeCell="M28" sqref="M28"/>
    </sheetView>
  </sheetViews>
  <sheetFormatPr defaultRowHeight="15"/>
  <cols>
    <col min="2" max="2" width="10.140625" bestFit="1" customWidth="1"/>
    <col min="3" max="3" width="11.7109375" customWidth="1"/>
    <col min="7" max="7" width="10.140625" bestFit="1" customWidth="1"/>
    <col min="11" max="11" width="10.140625" bestFit="1" customWidth="1"/>
    <col min="12" max="12" width="14.42578125" customWidth="1"/>
    <col min="13" max="13" width="10.7109375" bestFit="1" customWidth="1"/>
    <col min="16" max="16" width="10" customWidth="1"/>
  </cols>
  <sheetData>
    <row r="1" spans="1:14" ht="15.75" customHeight="1">
      <c r="A1" s="478" t="s">
        <v>35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</row>
    <row r="2" spans="1:14" ht="25.5">
      <c r="A2" s="106" t="s">
        <v>129</v>
      </c>
      <c r="B2" s="109" t="s">
        <v>130</v>
      </c>
      <c r="C2" s="109" t="s">
        <v>131</v>
      </c>
      <c r="D2" s="109" t="s">
        <v>132</v>
      </c>
      <c r="E2" s="109" t="s">
        <v>133</v>
      </c>
      <c r="F2" s="109" t="s">
        <v>134</v>
      </c>
      <c r="G2" s="109" t="s">
        <v>135</v>
      </c>
      <c r="H2" s="109" t="s">
        <v>136</v>
      </c>
      <c r="I2" s="109" t="s">
        <v>134</v>
      </c>
      <c r="J2" s="109" t="s">
        <v>135</v>
      </c>
      <c r="K2" s="109" t="s">
        <v>137</v>
      </c>
      <c r="L2" s="109" t="s">
        <v>138</v>
      </c>
      <c r="M2" s="109" t="s">
        <v>199</v>
      </c>
      <c r="N2" s="109" t="s">
        <v>140</v>
      </c>
    </row>
    <row r="3" spans="1:14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4"/>
      <c r="K3">
        <v>197553.79690000025</v>
      </c>
      <c r="L3" s="153"/>
      <c r="M3" s="153">
        <f>+K3</f>
        <v>197553.79690000025</v>
      </c>
      <c r="N3" s="110"/>
    </row>
    <row r="4" spans="1:14">
      <c r="A4" s="26">
        <v>1</v>
      </c>
      <c r="B4" s="27">
        <v>46023</v>
      </c>
      <c r="C4" s="110">
        <v>0</v>
      </c>
      <c r="D4" s="124"/>
      <c r="E4" s="37"/>
      <c r="F4" s="37"/>
      <c r="G4" s="37">
        <f>E4*F4</f>
        <v>0</v>
      </c>
      <c r="H4" s="125"/>
      <c r="I4" s="125"/>
      <c r="J4" s="37">
        <f>H4*I4</f>
        <v>0</v>
      </c>
      <c r="K4" s="37">
        <f>G4+J4</f>
        <v>0</v>
      </c>
      <c r="L4" s="37"/>
      <c r="M4" s="37">
        <f t="shared" ref="M4:M33" si="0">M3+K4-L4</f>
        <v>197553.79690000025</v>
      </c>
      <c r="N4" s="45"/>
    </row>
    <row r="5" spans="1:14">
      <c r="A5" s="26">
        <v>2</v>
      </c>
      <c r="B5" s="27">
        <v>46024</v>
      </c>
      <c r="C5" s="110">
        <v>0</v>
      </c>
      <c r="D5" s="124"/>
      <c r="E5" s="37">
        <v>2000</v>
      </c>
      <c r="F5" s="37">
        <v>91.55</v>
      </c>
      <c r="G5" s="37">
        <f t="shared" ref="G5:G33" si="1">E5*F5</f>
        <v>183100</v>
      </c>
      <c r="H5" s="125">
        <v>70</v>
      </c>
      <c r="I5" s="125">
        <v>103.73</v>
      </c>
      <c r="J5" s="37">
        <f t="shared" ref="J5:J33" si="2">H5*I5</f>
        <v>7261.1</v>
      </c>
      <c r="K5" s="37">
        <f t="shared" ref="K5:K33" si="3">G5+J5</f>
        <v>190361.1</v>
      </c>
      <c r="L5" s="37"/>
      <c r="M5" s="37">
        <f t="shared" si="0"/>
        <v>387914.89690000028</v>
      </c>
      <c r="N5" s="45"/>
    </row>
    <row r="6" spans="1:14">
      <c r="A6" s="26">
        <v>3</v>
      </c>
      <c r="B6" s="27">
        <v>46025</v>
      </c>
      <c r="C6" s="110">
        <v>0</v>
      </c>
      <c r="D6" s="124"/>
      <c r="E6" s="37"/>
      <c r="F6" s="37"/>
      <c r="G6" s="37">
        <f t="shared" si="1"/>
        <v>0</v>
      </c>
      <c r="H6" s="125"/>
      <c r="I6" s="125"/>
      <c r="J6" s="37">
        <f t="shared" si="2"/>
        <v>0</v>
      </c>
      <c r="K6" s="37">
        <f t="shared" si="3"/>
        <v>0</v>
      </c>
      <c r="L6" s="37"/>
      <c r="M6" s="37">
        <f t="shared" si="0"/>
        <v>387914.89690000028</v>
      </c>
      <c r="N6" s="45"/>
    </row>
    <row r="7" spans="1:14">
      <c r="A7" s="26">
        <v>4</v>
      </c>
      <c r="B7" s="27">
        <v>46026</v>
      </c>
      <c r="C7" s="110">
        <v>0</v>
      </c>
      <c r="D7" s="124"/>
      <c r="E7" s="37"/>
      <c r="F7" s="37"/>
      <c r="G7" s="37">
        <f t="shared" si="1"/>
        <v>0</v>
      </c>
      <c r="H7" s="125"/>
      <c r="I7" s="125"/>
      <c r="J7" s="37">
        <f t="shared" si="2"/>
        <v>0</v>
      </c>
      <c r="K7" s="37">
        <f t="shared" si="3"/>
        <v>0</v>
      </c>
      <c r="L7" s="37"/>
      <c r="M7" s="37">
        <f t="shared" si="0"/>
        <v>387914.89690000028</v>
      </c>
      <c r="N7" s="45"/>
    </row>
    <row r="8" spans="1:14">
      <c r="A8" s="26">
        <v>5</v>
      </c>
      <c r="B8" s="27">
        <v>46027</v>
      </c>
      <c r="C8" s="110">
        <v>0</v>
      </c>
      <c r="D8" s="124"/>
      <c r="E8" s="37"/>
      <c r="F8" s="37"/>
      <c r="G8" s="37">
        <f t="shared" si="1"/>
        <v>0</v>
      </c>
      <c r="H8" s="125"/>
      <c r="I8" s="125"/>
      <c r="J8" s="37">
        <f t="shared" si="2"/>
        <v>0</v>
      </c>
      <c r="K8" s="37">
        <f t="shared" si="3"/>
        <v>0</v>
      </c>
      <c r="L8" s="37"/>
      <c r="M8" s="37">
        <f t="shared" si="0"/>
        <v>387914.89690000028</v>
      </c>
      <c r="N8" s="45"/>
    </row>
    <row r="9" spans="1:14">
      <c r="A9" s="26">
        <v>6</v>
      </c>
      <c r="B9" s="27">
        <v>46028</v>
      </c>
      <c r="C9" s="110">
        <v>0</v>
      </c>
      <c r="D9" s="124"/>
      <c r="E9" s="37"/>
      <c r="F9" s="37"/>
      <c r="G9" s="37">
        <f t="shared" si="1"/>
        <v>0</v>
      </c>
      <c r="H9" s="125"/>
      <c r="I9" s="125"/>
      <c r="J9" s="37">
        <f t="shared" si="2"/>
        <v>0</v>
      </c>
      <c r="K9" s="37">
        <f t="shared" si="3"/>
        <v>0</v>
      </c>
      <c r="L9" s="37"/>
      <c r="M9" s="37">
        <f t="shared" si="0"/>
        <v>387914.89690000028</v>
      </c>
      <c r="N9" s="45"/>
    </row>
    <row r="10" spans="1:14">
      <c r="A10" s="26">
        <v>7</v>
      </c>
      <c r="B10" s="27">
        <v>46029</v>
      </c>
      <c r="C10" s="110">
        <v>0</v>
      </c>
      <c r="D10" s="124"/>
      <c r="E10" s="37"/>
      <c r="F10" s="37"/>
      <c r="G10" s="37">
        <f t="shared" si="1"/>
        <v>0</v>
      </c>
      <c r="H10" s="125"/>
      <c r="I10" s="125"/>
      <c r="J10" s="37">
        <f t="shared" si="2"/>
        <v>0</v>
      </c>
      <c r="K10" s="37">
        <f t="shared" si="3"/>
        <v>0</v>
      </c>
      <c r="L10" s="37"/>
      <c r="M10" s="37">
        <f t="shared" si="0"/>
        <v>387914.89690000028</v>
      </c>
      <c r="N10" s="45"/>
    </row>
    <row r="11" spans="1:14">
      <c r="A11" s="26">
        <v>8</v>
      </c>
      <c r="B11" s="27">
        <v>46030</v>
      </c>
      <c r="C11" s="110">
        <v>0</v>
      </c>
      <c r="D11" s="124"/>
      <c r="E11" s="37"/>
      <c r="F11" s="37"/>
      <c r="G11" s="37">
        <f t="shared" si="1"/>
        <v>0</v>
      </c>
      <c r="H11" s="125"/>
      <c r="I11" s="125"/>
      <c r="J11" s="37">
        <f t="shared" si="2"/>
        <v>0</v>
      </c>
      <c r="K11" s="37">
        <f t="shared" si="3"/>
        <v>0</v>
      </c>
      <c r="L11" s="37"/>
      <c r="M11" s="37">
        <f t="shared" si="0"/>
        <v>387914.89690000028</v>
      </c>
      <c r="N11" s="45"/>
    </row>
    <row r="12" spans="1:14">
      <c r="A12" s="26">
        <v>9</v>
      </c>
      <c r="B12" s="27">
        <v>46031</v>
      </c>
      <c r="C12" s="110">
        <v>0</v>
      </c>
      <c r="D12" s="124"/>
      <c r="E12" s="37"/>
      <c r="F12" s="37"/>
      <c r="G12" s="37">
        <f t="shared" si="1"/>
        <v>0</v>
      </c>
      <c r="H12" s="125"/>
      <c r="I12" s="125"/>
      <c r="J12" s="37">
        <f t="shared" si="2"/>
        <v>0</v>
      </c>
      <c r="K12" s="37">
        <f t="shared" si="3"/>
        <v>0</v>
      </c>
      <c r="L12" s="37"/>
      <c r="M12" s="37">
        <f t="shared" si="0"/>
        <v>387914.89690000028</v>
      </c>
      <c r="N12" s="45"/>
    </row>
    <row r="13" spans="1:14">
      <c r="A13" s="26">
        <v>10</v>
      </c>
      <c r="B13" s="27">
        <v>46032</v>
      </c>
      <c r="C13" s="110">
        <v>0</v>
      </c>
      <c r="D13" s="124"/>
      <c r="E13" s="37"/>
      <c r="F13" s="37"/>
      <c r="G13" s="37">
        <f t="shared" si="1"/>
        <v>0</v>
      </c>
      <c r="H13" s="125"/>
      <c r="I13" s="125"/>
      <c r="J13" s="37">
        <f t="shared" si="2"/>
        <v>0</v>
      </c>
      <c r="K13" s="37">
        <f t="shared" si="3"/>
        <v>0</v>
      </c>
      <c r="L13" s="37"/>
      <c r="M13" s="37">
        <f t="shared" si="0"/>
        <v>387914.89690000028</v>
      </c>
      <c r="N13" s="45"/>
    </row>
    <row r="14" spans="1:14">
      <c r="A14" s="26">
        <v>11</v>
      </c>
      <c r="B14" s="27">
        <v>46033</v>
      </c>
      <c r="C14" s="110">
        <v>0</v>
      </c>
      <c r="D14" s="124"/>
      <c r="E14" s="37"/>
      <c r="F14" s="37"/>
      <c r="G14" s="37">
        <f t="shared" si="1"/>
        <v>0</v>
      </c>
      <c r="H14" s="125">
        <v>105</v>
      </c>
      <c r="I14" s="125">
        <v>103.73</v>
      </c>
      <c r="J14" s="37">
        <f t="shared" si="2"/>
        <v>10891.65</v>
      </c>
      <c r="K14" s="37">
        <f t="shared" si="3"/>
        <v>10891.65</v>
      </c>
      <c r="L14" s="37"/>
      <c r="M14" s="37">
        <f t="shared" si="0"/>
        <v>398806.54690000031</v>
      </c>
      <c r="N14" s="45"/>
    </row>
    <row r="15" spans="1:14">
      <c r="A15" s="26">
        <v>12</v>
      </c>
      <c r="B15" s="27">
        <v>46034</v>
      </c>
      <c r="C15" s="110">
        <v>0</v>
      </c>
      <c r="D15" s="124"/>
      <c r="E15" s="37"/>
      <c r="F15" s="37"/>
      <c r="G15" s="37">
        <f t="shared" si="1"/>
        <v>0</v>
      </c>
      <c r="H15" s="125"/>
      <c r="I15" s="125"/>
      <c r="J15" s="37">
        <f t="shared" si="2"/>
        <v>0</v>
      </c>
      <c r="K15" s="37">
        <f t="shared" si="3"/>
        <v>0</v>
      </c>
      <c r="L15" s="37"/>
      <c r="M15" s="37">
        <f t="shared" si="0"/>
        <v>398806.54690000031</v>
      </c>
      <c r="N15" s="45"/>
    </row>
    <row r="16" spans="1:14">
      <c r="A16" s="26">
        <v>13</v>
      </c>
      <c r="B16" s="27">
        <v>46035</v>
      </c>
      <c r="C16" s="110">
        <v>0</v>
      </c>
      <c r="D16" s="124"/>
      <c r="E16" s="37">
        <v>1000</v>
      </c>
      <c r="F16" s="37">
        <v>91.55</v>
      </c>
      <c r="G16" s="37">
        <f t="shared" si="1"/>
        <v>91550</v>
      </c>
      <c r="H16" s="125"/>
      <c r="I16" s="125"/>
      <c r="J16" s="37">
        <f t="shared" si="2"/>
        <v>0</v>
      </c>
      <c r="K16" s="37">
        <f t="shared" si="3"/>
        <v>91550</v>
      </c>
      <c r="L16" s="37">
        <v>250000</v>
      </c>
      <c r="M16" s="37">
        <f t="shared" si="0"/>
        <v>240356.54690000031</v>
      </c>
      <c r="N16" s="45"/>
    </row>
    <row r="17" spans="1:14">
      <c r="A17" s="26">
        <v>14</v>
      </c>
      <c r="B17" s="27">
        <v>46036</v>
      </c>
      <c r="C17" s="110">
        <v>0</v>
      </c>
      <c r="D17" s="124"/>
      <c r="E17" s="37"/>
      <c r="F17" s="37"/>
      <c r="G17" s="37">
        <f t="shared" si="1"/>
        <v>0</v>
      </c>
      <c r="H17" s="125"/>
      <c r="I17" s="125"/>
      <c r="J17" s="37">
        <f t="shared" si="2"/>
        <v>0</v>
      </c>
      <c r="K17" s="37">
        <f t="shared" si="3"/>
        <v>0</v>
      </c>
      <c r="L17" s="37"/>
      <c r="M17" s="37">
        <f t="shared" si="0"/>
        <v>240356.54690000031</v>
      </c>
      <c r="N17" s="45"/>
    </row>
    <row r="18" spans="1:14">
      <c r="A18" s="26">
        <v>15</v>
      </c>
      <c r="B18" s="27">
        <v>46037</v>
      </c>
      <c r="C18" s="110">
        <v>0</v>
      </c>
      <c r="D18" s="124"/>
      <c r="E18" s="37"/>
      <c r="F18" s="37"/>
      <c r="G18" s="37">
        <f t="shared" si="1"/>
        <v>0</v>
      </c>
      <c r="H18" s="125"/>
      <c r="I18" s="125"/>
      <c r="J18" s="37">
        <f t="shared" si="2"/>
        <v>0</v>
      </c>
      <c r="K18" s="37">
        <f t="shared" si="3"/>
        <v>0</v>
      </c>
      <c r="L18" s="37"/>
      <c r="M18" s="37">
        <f t="shared" si="0"/>
        <v>240356.54690000031</v>
      </c>
      <c r="N18" s="45"/>
    </row>
    <row r="19" spans="1:14">
      <c r="A19" s="26">
        <v>16</v>
      </c>
      <c r="B19" s="27">
        <v>46038</v>
      </c>
      <c r="C19" s="110">
        <v>0</v>
      </c>
      <c r="D19" s="124"/>
      <c r="E19" s="37"/>
      <c r="F19" s="37"/>
      <c r="G19" s="37">
        <f t="shared" si="1"/>
        <v>0</v>
      </c>
      <c r="H19" s="125"/>
      <c r="I19" s="125"/>
      <c r="J19" s="37">
        <f t="shared" si="2"/>
        <v>0</v>
      </c>
      <c r="K19" s="37">
        <f t="shared" si="3"/>
        <v>0</v>
      </c>
      <c r="L19" s="37"/>
      <c r="M19" s="37">
        <f t="shared" si="0"/>
        <v>240356.54690000031</v>
      </c>
      <c r="N19" s="45"/>
    </row>
    <row r="20" spans="1:14">
      <c r="A20" s="26">
        <v>17</v>
      </c>
      <c r="B20" s="27">
        <v>46039</v>
      </c>
      <c r="C20" s="110">
        <v>0</v>
      </c>
      <c r="D20" s="124"/>
      <c r="E20" s="37"/>
      <c r="F20" s="37"/>
      <c r="G20" s="37">
        <f t="shared" si="1"/>
        <v>0</v>
      </c>
      <c r="H20" s="125"/>
      <c r="I20" s="125"/>
      <c r="J20" s="37">
        <f t="shared" si="2"/>
        <v>0</v>
      </c>
      <c r="K20" s="37">
        <f t="shared" si="3"/>
        <v>0</v>
      </c>
      <c r="L20" s="37"/>
      <c r="M20" s="37">
        <f t="shared" si="0"/>
        <v>240356.54690000031</v>
      </c>
      <c r="N20" s="45"/>
    </row>
    <row r="21" spans="1:14">
      <c r="A21" s="26">
        <v>18</v>
      </c>
      <c r="B21" s="27">
        <v>46040</v>
      </c>
      <c r="C21" s="110">
        <v>0</v>
      </c>
      <c r="D21" s="124"/>
      <c r="E21" s="37"/>
      <c r="F21" s="37"/>
      <c r="G21" s="37">
        <f t="shared" si="1"/>
        <v>0</v>
      </c>
      <c r="H21" s="125"/>
      <c r="I21" s="125"/>
      <c r="J21" s="37">
        <f t="shared" si="2"/>
        <v>0</v>
      </c>
      <c r="K21" s="37">
        <f t="shared" si="3"/>
        <v>0</v>
      </c>
      <c r="L21" s="37"/>
      <c r="M21" s="37">
        <f t="shared" si="0"/>
        <v>240356.54690000031</v>
      </c>
      <c r="N21" s="45"/>
    </row>
    <row r="22" spans="1:14">
      <c r="A22" s="26">
        <v>19</v>
      </c>
      <c r="B22" s="27">
        <v>46041</v>
      </c>
      <c r="C22" s="110">
        <v>0</v>
      </c>
      <c r="D22" s="124"/>
      <c r="E22" s="37">
        <v>1000</v>
      </c>
      <c r="F22" s="37">
        <v>91.55</v>
      </c>
      <c r="G22" s="37">
        <f t="shared" si="1"/>
        <v>91550</v>
      </c>
      <c r="H22" s="125">
        <v>35</v>
      </c>
      <c r="I22" s="125">
        <v>103.73</v>
      </c>
      <c r="J22" s="37">
        <f t="shared" si="2"/>
        <v>3630.55</v>
      </c>
      <c r="K22" s="37">
        <f t="shared" si="3"/>
        <v>95180.55</v>
      </c>
      <c r="L22" s="37">
        <v>200000</v>
      </c>
      <c r="M22" s="37">
        <f t="shared" si="0"/>
        <v>135537.0969000003</v>
      </c>
      <c r="N22" s="45"/>
    </row>
    <row r="23" spans="1:14">
      <c r="A23" s="26">
        <v>20</v>
      </c>
      <c r="B23" s="27">
        <v>46042</v>
      </c>
      <c r="C23" s="110">
        <v>0</v>
      </c>
      <c r="D23" s="124"/>
      <c r="E23" s="37"/>
      <c r="F23" s="37"/>
      <c r="G23" s="37">
        <f t="shared" si="1"/>
        <v>0</v>
      </c>
      <c r="H23" s="125"/>
      <c r="I23" s="125"/>
      <c r="J23" s="37">
        <f t="shared" si="2"/>
        <v>0</v>
      </c>
      <c r="K23" s="37">
        <f t="shared" si="3"/>
        <v>0</v>
      </c>
      <c r="L23" s="37"/>
      <c r="M23" s="37">
        <f t="shared" si="0"/>
        <v>135537.0969000003</v>
      </c>
      <c r="N23" s="45"/>
    </row>
    <row r="24" spans="1:14">
      <c r="A24" s="26">
        <v>21</v>
      </c>
      <c r="B24" s="27">
        <v>46043</v>
      </c>
      <c r="C24" s="110">
        <v>0</v>
      </c>
      <c r="D24" s="124"/>
      <c r="E24" s="37"/>
      <c r="F24" s="37"/>
      <c r="G24" s="37">
        <f t="shared" si="1"/>
        <v>0</v>
      </c>
      <c r="H24" s="125"/>
      <c r="I24" s="125"/>
      <c r="J24" s="37">
        <f t="shared" si="2"/>
        <v>0</v>
      </c>
      <c r="K24" s="37">
        <f t="shared" si="3"/>
        <v>0</v>
      </c>
      <c r="L24" s="37"/>
      <c r="M24" s="37">
        <f t="shared" si="0"/>
        <v>135537.0969000003</v>
      </c>
      <c r="N24" s="45"/>
    </row>
    <row r="25" spans="1:14">
      <c r="A25" s="26">
        <v>22</v>
      </c>
      <c r="B25" s="27">
        <v>46044</v>
      </c>
      <c r="C25" s="110">
        <v>0</v>
      </c>
      <c r="D25" s="124"/>
      <c r="E25" s="37"/>
      <c r="F25" s="37"/>
      <c r="G25" s="37">
        <f t="shared" si="1"/>
        <v>0</v>
      </c>
      <c r="H25" s="125"/>
      <c r="I25" s="125"/>
      <c r="J25" s="37">
        <f t="shared" si="2"/>
        <v>0</v>
      </c>
      <c r="K25" s="37">
        <f t="shared" si="3"/>
        <v>0</v>
      </c>
      <c r="L25" s="37"/>
      <c r="M25" s="37">
        <f t="shared" si="0"/>
        <v>135537.0969000003</v>
      </c>
      <c r="N25" s="45"/>
    </row>
    <row r="26" spans="1:14">
      <c r="A26" s="26">
        <v>23</v>
      </c>
      <c r="B26" s="27">
        <v>46045</v>
      </c>
      <c r="C26" s="110">
        <v>0</v>
      </c>
      <c r="D26" s="124"/>
      <c r="E26" s="37"/>
      <c r="F26" s="37"/>
      <c r="G26" s="37">
        <f t="shared" si="1"/>
        <v>0</v>
      </c>
      <c r="H26" s="125"/>
      <c r="I26" s="125"/>
      <c r="J26" s="37">
        <f t="shared" si="2"/>
        <v>0</v>
      </c>
      <c r="K26" s="37">
        <f t="shared" si="3"/>
        <v>0</v>
      </c>
      <c r="L26" s="37"/>
      <c r="M26" s="37">
        <f t="shared" si="0"/>
        <v>135537.0969000003</v>
      </c>
      <c r="N26" s="45"/>
    </row>
    <row r="27" spans="1:14">
      <c r="A27" s="26">
        <v>24</v>
      </c>
      <c r="B27" s="27">
        <v>46046</v>
      </c>
      <c r="C27" s="110">
        <v>0</v>
      </c>
      <c r="D27" s="124"/>
      <c r="E27" s="37"/>
      <c r="F27" s="37"/>
      <c r="G27" s="37">
        <f t="shared" si="1"/>
        <v>0</v>
      </c>
      <c r="H27" s="125"/>
      <c r="I27" s="125"/>
      <c r="J27" s="37">
        <f t="shared" si="2"/>
        <v>0</v>
      </c>
      <c r="K27" s="37">
        <f t="shared" si="3"/>
        <v>0</v>
      </c>
      <c r="L27" s="37"/>
      <c r="M27" s="37">
        <f t="shared" si="0"/>
        <v>135537.0969000003</v>
      </c>
      <c r="N27" s="45"/>
    </row>
    <row r="28" spans="1:14">
      <c r="A28" s="26">
        <v>25</v>
      </c>
      <c r="B28" s="27">
        <v>46047</v>
      </c>
      <c r="C28" s="110">
        <v>0</v>
      </c>
      <c r="D28" s="124"/>
      <c r="E28" s="37">
        <v>2000</v>
      </c>
      <c r="F28" s="37">
        <v>91.55</v>
      </c>
      <c r="G28" s="37">
        <f t="shared" si="1"/>
        <v>183100</v>
      </c>
      <c r="H28" s="125">
        <v>70</v>
      </c>
      <c r="I28" s="125">
        <v>103.73</v>
      </c>
      <c r="J28" s="37">
        <f t="shared" si="2"/>
        <v>7261.1</v>
      </c>
      <c r="K28" s="37">
        <f t="shared" si="3"/>
        <v>190361.1</v>
      </c>
      <c r="L28" s="37"/>
      <c r="M28" s="37">
        <f t="shared" si="0"/>
        <v>325898.19690000033</v>
      </c>
      <c r="N28" s="45"/>
    </row>
    <row r="29" spans="1:14">
      <c r="A29" s="26">
        <v>26</v>
      </c>
      <c r="B29" s="27">
        <v>46048</v>
      </c>
      <c r="C29" s="110">
        <v>0</v>
      </c>
      <c r="D29" s="124"/>
      <c r="E29" s="37"/>
      <c r="F29" s="37"/>
      <c r="G29" s="37">
        <f t="shared" si="1"/>
        <v>0</v>
      </c>
      <c r="H29" s="125"/>
      <c r="I29" s="125"/>
      <c r="J29" s="37">
        <f t="shared" si="2"/>
        <v>0</v>
      </c>
      <c r="K29" s="37">
        <f t="shared" si="3"/>
        <v>0</v>
      </c>
      <c r="L29" s="37"/>
      <c r="M29" s="37">
        <f t="shared" si="0"/>
        <v>325898.19690000033</v>
      </c>
      <c r="N29" s="45"/>
    </row>
    <row r="30" spans="1:14">
      <c r="A30" s="26">
        <v>27</v>
      </c>
      <c r="B30" s="27">
        <v>46049</v>
      </c>
      <c r="C30" s="110">
        <v>0</v>
      </c>
      <c r="D30" s="124"/>
      <c r="E30" s="37"/>
      <c r="F30" s="37"/>
      <c r="G30" s="37">
        <f t="shared" si="1"/>
        <v>0</v>
      </c>
      <c r="H30" s="125"/>
      <c r="I30" s="125"/>
      <c r="J30" s="37">
        <f t="shared" si="2"/>
        <v>0</v>
      </c>
      <c r="K30" s="37">
        <f t="shared" si="3"/>
        <v>0</v>
      </c>
      <c r="L30" s="37"/>
      <c r="M30" s="37">
        <f t="shared" si="0"/>
        <v>325898.19690000033</v>
      </c>
      <c r="N30" s="45"/>
    </row>
    <row r="31" spans="1:14">
      <c r="A31" s="26">
        <v>28</v>
      </c>
      <c r="B31" s="27">
        <v>46050</v>
      </c>
      <c r="C31" s="110">
        <v>0</v>
      </c>
      <c r="D31" s="124"/>
      <c r="E31" s="37"/>
      <c r="F31" s="37"/>
      <c r="G31" s="37">
        <f t="shared" si="1"/>
        <v>0</v>
      </c>
      <c r="H31" s="125"/>
      <c r="I31" s="125"/>
      <c r="J31" s="37">
        <f t="shared" si="2"/>
        <v>0</v>
      </c>
      <c r="K31" s="37">
        <f t="shared" si="3"/>
        <v>0</v>
      </c>
      <c r="L31" s="37"/>
      <c r="M31" s="37">
        <f t="shared" si="0"/>
        <v>325898.19690000033</v>
      </c>
      <c r="N31" s="45"/>
    </row>
    <row r="32" spans="1:14">
      <c r="A32" s="26">
        <v>29</v>
      </c>
      <c r="B32" s="27">
        <v>46051</v>
      </c>
      <c r="C32" s="110">
        <v>0</v>
      </c>
      <c r="D32" s="124"/>
      <c r="E32" s="37"/>
      <c r="F32" s="37"/>
      <c r="G32" s="37">
        <f t="shared" si="1"/>
        <v>0</v>
      </c>
      <c r="H32" s="125"/>
      <c r="I32" s="125"/>
      <c r="J32" s="37">
        <f t="shared" si="2"/>
        <v>0</v>
      </c>
      <c r="K32" s="37">
        <f t="shared" si="3"/>
        <v>0</v>
      </c>
      <c r="L32" s="37"/>
      <c r="M32" s="37">
        <f t="shared" si="0"/>
        <v>325898.19690000033</v>
      </c>
      <c r="N32" s="45"/>
    </row>
    <row r="33" spans="1:14">
      <c r="A33" s="26">
        <v>30</v>
      </c>
      <c r="B33" s="27">
        <v>46052</v>
      </c>
      <c r="C33" s="110">
        <v>0</v>
      </c>
      <c r="D33" s="124"/>
      <c r="E33" s="37"/>
      <c r="F33" s="37"/>
      <c r="G33" s="37">
        <f t="shared" si="1"/>
        <v>0</v>
      </c>
      <c r="H33" s="125"/>
      <c r="I33" s="125"/>
      <c r="J33" s="37">
        <f t="shared" si="2"/>
        <v>0</v>
      </c>
      <c r="K33" s="37">
        <f t="shared" si="3"/>
        <v>0</v>
      </c>
      <c r="L33" s="37">
        <v>0</v>
      </c>
      <c r="M33" s="37">
        <f t="shared" si="0"/>
        <v>325898.19690000033</v>
      </c>
      <c r="N33" s="45"/>
    </row>
    <row r="34" spans="1:14">
      <c r="A34" s="26">
        <v>31</v>
      </c>
      <c r="B34" s="27">
        <v>46053</v>
      </c>
      <c r="C34" s="110"/>
      <c r="D34" s="124"/>
      <c r="E34" s="37"/>
      <c r="F34" s="37"/>
      <c r="G34" s="37"/>
      <c r="H34" s="125"/>
      <c r="I34" s="125"/>
      <c r="J34" s="37"/>
      <c r="K34" s="37"/>
      <c r="L34" s="37"/>
      <c r="M34" s="37"/>
      <c r="N34" s="45"/>
    </row>
    <row r="35" spans="1:14">
      <c r="A35" s="43"/>
      <c r="B35" s="43"/>
      <c r="C35" s="43"/>
      <c r="D35" s="43"/>
      <c r="E35" s="44">
        <f>SUM(E4:E34)</f>
        <v>6000</v>
      </c>
      <c r="F35" s="44"/>
      <c r="G35" s="44">
        <f>SUM(G4:G34)</f>
        <v>549300</v>
      </c>
      <c r="H35" s="44">
        <f>SUM(H4:H34)</f>
        <v>280</v>
      </c>
      <c r="I35" s="44"/>
      <c r="J35" s="44">
        <f>SUM(J4:J34)</f>
        <v>29044.400000000001</v>
      </c>
      <c r="K35" s="44">
        <f>SUM(K4:K34)</f>
        <v>578344.4</v>
      </c>
      <c r="L35" s="44">
        <f>SUM(L4:L34)</f>
        <v>450000</v>
      </c>
      <c r="M35" s="44"/>
      <c r="N35" s="44"/>
    </row>
  </sheetData>
  <mergeCells count="2">
    <mergeCell ref="A1:N1"/>
    <mergeCell ref="A3:J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3574-123A-4F92-95B2-0919D70B5B11}">
  <dimension ref="A1:O37"/>
  <sheetViews>
    <sheetView workbookViewId="0">
      <pane ySplit="2" topLeftCell="A16" activePane="bottomLeft" state="frozen"/>
      <selection pane="bottomLeft" activeCell="M26" sqref="M26"/>
    </sheetView>
  </sheetViews>
  <sheetFormatPr defaultColWidth="9.28515625" defaultRowHeight="15"/>
  <cols>
    <col min="1" max="1" width="5.42578125" style="54" bestFit="1" customWidth="1"/>
    <col min="2" max="2" width="11" style="54" bestFit="1" customWidth="1"/>
    <col min="3" max="3" width="7.140625" style="54" bestFit="1" customWidth="1"/>
    <col min="4" max="4" width="15.140625" style="54" bestFit="1" customWidth="1"/>
    <col min="5" max="5" width="9.28515625" style="54"/>
    <col min="6" max="6" width="9.85546875" style="54" bestFit="1" customWidth="1"/>
    <col min="7" max="7" width="10.42578125" style="54" bestFit="1" customWidth="1"/>
    <col min="8" max="8" width="9.28515625" style="54"/>
    <col min="9" max="9" width="7.140625" style="54" bestFit="1" customWidth="1"/>
    <col min="10" max="10" width="9.5703125" style="54" bestFit="1" customWidth="1"/>
    <col min="11" max="11" width="12.28515625" style="54" customWidth="1"/>
    <col min="12" max="12" width="11.7109375" style="54" bestFit="1" customWidth="1"/>
    <col min="13" max="13" width="11.7109375" style="54" customWidth="1"/>
    <col min="14" max="14" width="17.7109375" style="54" bestFit="1" customWidth="1"/>
    <col min="15" max="16384" width="9.28515625" style="54"/>
  </cols>
  <sheetData>
    <row r="1" spans="1:15" ht="15.75">
      <c r="A1" s="480" t="s">
        <v>41</v>
      </c>
      <c r="B1" s="480"/>
      <c r="C1" s="480"/>
      <c r="D1" s="480"/>
      <c r="E1" s="480"/>
      <c r="F1" s="480"/>
      <c r="G1" s="480"/>
      <c r="H1" s="480"/>
      <c r="I1" s="480"/>
      <c r="J1" s="480"/>
      <c r="K1" s="480"/>
      <c r="L1" s="480"/>
      <c r="M1" s="480"/>
      <c r="N1" s="480"/>
    </row>
    <row r="2" spans="1:15" ht="25.5">
      <c r="A2" s="90" t="s">
        <v>129</v>
      </c>
      <c r="B2" s="91" t="s">
        <v>130</v>
      </c>
      <c r="C2" s="91" t="s">
        <v>131</v>
      </c>
      <c r="D2" s="91" t="s">
        <v>132</v>
      </c>
      <c r="E2" s="91" t="s">
        <v>133</v>
      </c>
      <c r="F2" s="91" t="s">
        <v>134</v>
      </c>
      <c r="G2" s="91" t="s">
        <v>135</v>
      </c>
      <c r="H2" s="91" t="s">
        <v>136</v>
      </c>
      <c r="I2" s="91" t="s">
        <v>134</v>
      </c>
      <c r="J2" s="115" t="s">
        <v>135</v>
      </c>
      <c r="K2" s="117" t="s">
        <v>137</v>
      </c>
      <c r="L2" s="118" t="s">
        <v>138</v>
      </c>
      <c r="M2" s="119" t="s">
        <v>199</v>
      </c>
      <c r="N2" s="92" t="s">
        <v>140</v>
      </c>
      <c r="O2" s="33"/>
    </row>
    <row r="3" spans="1:15" ht="15.75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4"/>
      <c r="K3" s="55">
        <v>438828.80000000005</v>
      </c>
      <c r="L3" s="126"/>
      <c r="M3" s="123">
        <f>+K3</f>
        <v>438828.80000000005</v>
      </c>
      <c r="N3" s="53"/>
    </row>
    <row r="4" spans="1:15" ht="15.75">
      <c r="A4" s="26">
        <v>1</v>
      </c>
      <c r="B4" s="27">
        <v>46023</v>
      </c>
      <c r="C4" s="121"/>
      <c r="D4" s="122"/>
      <c r="E4" s="82"/>
      <c r="F4" s="120"/>
      <c r="G4" s="120">
        <f>E4*F4</f>
        <v>0</v>
      </c>
      <c r="H4" s="120"/>
      <c r="I4" s="120"/>
      <c r="J4" s="120">
        <f>H4*I4</f>
        <v>0</v>
      </c>
      <c r="K4" s="120">
        <f>G4+J4</f>
        <v>0</v>
      </c>
      <c r="L4" s="120"/>
      <c r="M4" s="126">
        <f>M3+K4-L4</f>
        <v>438828.80000000005</v>
      </c>
      <c r="N4" s="120"/>
    </row>
    <row r="5" spans="1:15" ht="15.75">
      <c r="A5" s="26">
        <v>2</v>
      </c>
      <c r="B5" s="27">
        <v>46024</v>
      </c>
      <c r="C5" s="23"/>
      <c r="D5" s="24"/>
      <c r="E5" s="82"/>
      <c r="F5" s="120"/>
      <c r="G5" s="120">
        <f t="shared" ref="G5:G33" si="0">E5*F5</f>
        <v>0</v>
      </c>
      <c r="H5" s="120"/>
      <c r="I5" s="120"/>
      <c r="J5" s="120">
        <f t="shared" ref="J5:J33" si="1">H5*I5</f>
        <v>0</v>
      </c>
      <c r="K5" s="120">
        <f t="shared" ref="K5:K33" si="2">G5+J5</f>
        <v>0</v>
      </c>
      <c r="L5" s="120"/>
      <c r="M5" s="126">
        <f>M4+K5-L5</f>
        <v>438828.80000000005</v>
      </c>
      <c r="N5" s="45"/>
    </row>
    <row r="6" spans="1:15" ht="18.75" customHeight="1">
      <c r="A6" s="26">
        <v>3</v>
      </c>
      <c r="B6" s="27">
        <v>46025</v>
      </c>
      <c r="C6" s="213"/>
      <c r="D6" s="194"/>
      <c r="E6" s="82"/>
      <c r="F6" s="120"/>
      <c r="G6" s="120">
        <f t="shared" si="0"/>
        <v>0</v>
      </c>
      <c r="H6" s="120"/>
      <c r="I6" s="120"/>
      <c r="J6" s="120">
        <f t="shared" si="1"/>
        <v>0</v>
      </c>
      <c r="K6" s="120">
        <f t="shared" si="2"/>
        <v>0</v>
      </c>
      <c r="L6" s="120"/>
      <c r="M6" s="126">
        <f>M5+K6-L6</f>
        <v>438828.80000000005</v>
      </c>
      <c r="N6" s="53"/>
    </row>
    <row r="7" spans="1:15" ht="15.75">
      <c r="A7" s="26">
        <v>4</v>
      </c>
      <c r="B7" s="27">
        <v>46026</v>
      </c>
      <c r="C7" s="211"/>
      <c r="D7" s="212"/>
      <c r="E7" s="82"/>
      <c r="F7" s="120"/>
      <c r="G7" s="120">
        <f t="shared" ref="G7" si="3">E7*F7</f>
        <v>0</v>
      </c>
      <c r="H7" s="120"/>
      <c r="I7" s="120"/>
      <c r="J7" s="120">
        <f t="shared" ref="J7" si="4">H7*I7</f>
        <v>0</v>
      </c>
      <c r="K7" s="120">
        <f t="shared" ref="K7" si="5">G7+J7</f>
        <v>0</v>
      </c>
      <c r="L7" s="120"/>
      <c r="M7" s="126">
        <f>M6+K7-L7</f>
        <v>438828.80000000005</v>
      </c>
      <c r="N7" s="45"/>
    </row>
    <row r="8" spans="1:15" ht="15.75" customHeight="1">
      <c r="A8" s="26">
        <v>5</v>
      </c>
      <c r="B8" s="27">
        <v>46027</v>
      </c>
      <c r="C8" s="120"/>
      <c r="D8" s="120"/>
      <c r="E8" s="82"/>
      <c r="F8" s="120"/>
      <c r="G8" s="120">
        <f t="shared" si="0"/>
        <v>0</v>
      </c>
      <c r="H8" s="120"/>
      <c r="I8" s="120"/>
      <c r="J8" s="120">
        <f t="shared" si="1"/>
        <v>0</v>
      </c>
      <c r="K8" s="120">
        <f t="shared" si="2"/>
        <v>0</v>
      </c>
      <c r="L8" s="120"/>
      <c r="M8" s="126">
        <f t="shared" ref="M8:M34" si="6">M7+K8-L8</f>
        <v>438828.80000000005</v>
      </c>
      <c r="N8" s="53"/>
    </row>
    <row r="9" spans="1:15" ht="15.75" customHeight="1">
      <c r="A9" s="26">
        <v>6</v>
      </c>
      <c r="B9" s="27">
        <v>46028</v>
      </c>
      <c r="C9" s="53"/>
      <c r="D9" s="120"/>
      <c r="E9" s="82"/>
      <c r="F9" s="120"/>
      <c r="G9" s="120">
        <f t="shared" si="0"/>
        <v>0</v>
      </c>
      <c r="H9" s="120">
        <v>70</v>
      </c>
      <c r="I9" s="120">
        <v>104.13</v>
      </c>
      <c r="J9" s="120">
        <f t="shared" si="1"/>
        <v>7289.0999999999995</v>
      </c>
      <c r="K9" s="120">
        <f t="shared" si="2"/>
        <v>7289.0999999999995</v>
      </c>
      <c r="L9" s="120"/>
      <c r="M9" s="126">
        <f t="shared" si="6"/>
        <v>446117.9</v>
      </c>
      <c r="N9" s="53"/>
    </row>
    <row r="10" spans="1:15" ht="15.75" customHeight="1">
      <c r="A10" s="26">
        <v>7</v>
      </c>
      <c r="B10" s="27">
        <v>46029</v>
      </c>
      <c r="C10" s="53"/>
      <c r="D10" s="120"/>
      <c r="E10" s="82"/>
      <c r="F10" s="120"/>
      <c r="G10" s="120">
        <f t="shared" si="0"/>
        <v>0</v>
      </c>
      <c r="H10" s="120"/>
      <c r="I10" s="120"/>
      <c r="J10" s="120">
        <f t="shared" si="1"/>
        <v>0</v>
      </c>
      <c r="K10" s="120">
        <f t="shared" si="2"/>
        <v>0</v>
      </c>
      <c r="L10" s="120"/>
      <c r="M10" s="126">
        <f t="shared" si="6"/>
        <v>446117.9</v>
      </c>
      <c r="N10" s="53"/>
    </row>
    <row r="11" spans="1:15" ht="15.75" customHeight="1">
      <c r="A11" s="26">
        <v>8</v>
      </c>
      <c r="B11" s="27">
        <v>46030</v>
      </c>
      <c r="C11" s="53"/>
      <c r="D11" s="120"/>
      <c r="E11" s="82"/>
      <c r="F11" s="120"/>
      <c r="G11" s="120">
        <f t="shared" si="0"/>
        <v>0</v>
      </c>
      <c r="H11" s="120"/>
      <c r="I11" s="120"/>
      <c r="J11" s="120">
        <f t="shared" si="1"/>
        <v>0</v>
      </c>
      <c r="K11" s="120">
        <f t="shared" si="2"/>
        <v>0</v>
      </c>
      <c r="L11" s="120">
        <v>200000</v>
      </c>
      <c r="M11" s="126">
        <f t="shared" si="6"/>
        <v>246117.90000000002</v>
      </c>
      <c r="N11" s="53"/>
    </row>
    <row r="12" spans="1:15" ht="15.75" customHeight="1">
      <c r="A12" s="26">
        <v>9</v>
      </c>
      <c r="B12" s="27">
        <v>46031</v>
      </c>
      <c r="C12" s="53"/>
      <c r="D12" s="120"/>
      <c r="E12" s="82"/>
      <c r="F12" s="120"/>
      <c r="G12" s="120">
        <f t="shared" si="0"/>
        <v>0</v>
      </c>
      <c r="H12" s="120"/>
      <c r="I12" s="120"/>
      <c r="J12" s="120">
        <f t="shared" si="1"/>
        <v>0</v>
      </c>
      <c r="K12" s="120">
        <f t="shared" si="2"/>
        <v>0</v>
      </c>
      <c r="L12" s="120"/>
      <c r="M12" s="126">
        <f t="shared" si="6"/>
        <v>246117.90000000002</v>
      </c>
      <c r="N12" s="53"/>
    </row>
    <row r="13" spans="1:15" ht="15.75" customHeight="1">
      <c r="A13" s="26">
        <v>10</v>
      </c>
      <c r="B13" s="27">
        <v>46032</v>
      </c>
      <c r="C13" s="53"/>
      <c r="D13" s="120"/>
      <c r="E13" s="82"/>
      <c r="F13" s="120"/>
      <c r="G13" s="120">
        <f t="shared" si="0"/>
        <v>0</v>
      </c>
      <c r="H13" s="120"/>
      <c r="I13" s="120"/>
      <c r="J13" s="120">
        <f t="shared" si="1"/>
        <v>0</v>
      </c>
      <c r="K13" s="120">
        <f t="shared" si="2"/>
        <v>0</v>
      </c>
      <c r="L13" s="120"/>
      <c r="M13" s="126">
        <f t="shared" si="6"/>
        <v>246117.90000000002</v>
      </c>
      <c r="N13" s="53"/>
    </row>
    <row r="14" spans="1:15" ht="15.75" customHeight="1">
      <c r="A14" s="26">
        <v>11</v>
      </c>
      <c r="B14" s="27">
        <v>46033</v>
      </c>
      <c r="C14" s="53"/>
      <c r="D14" s="120"/>
      <c r="E14" s="82"/>
      <c r="F14" s="120"/>
      <c r="G14" s="120">
        <f t="shared" si="0"/>
        <v>0</v>
      </c>
      <c r="H14" s="120"/>
      <c r="I14" s="120"/>
      <c r="J14" s="120">
        <f t="shared" si="1"/>
        <v>0</v>
      </c>
      <c r="K14" s="120">
        <f t="shared" si="2"/>
        <v>0</v>
      </c>
      <c r="L14" s="120"/>
      <c r="M14" s="126">
        <f t="shared" si="6"/>
        <v>246117.90000000002</v>
      </c>
      <c r="N14" s="53"/>
    </row>
    <row r="15" spans="1:15" ht="15.75" customHeight="1">
      <c r="A15" s="26">
        <v>12</v>
      </c>
      <c r="B15" s="27">
        <v>46034</v>
      </c>
      <c r="C15" s="53"/>
      <c r="D15" s="120"/>
      <c r="E15" s="82"/>
      <c r="F15" s="120"/>
      <c r="G15" s="120">
        <f t="shared" si="0"/>
        <v>0</v>
      </c>
      <c r="H15" s="120"/>
      <c r="I15" s="120"/>
      <c r="J15" s="120">
        <f t="shared" si="1"/>
        <v>0</v>
      </c>
      <c r="K15" s="120">
        <f t="shared" si="2"/>
        <v>0</v>
      </c>
      <c r="L15" s="120"/>
      <c r="M15" s="126">
        <f t="shared" si="6"/>
        <v>246117.90000000002</v>
      </c>
      <c r="N15" s="53"/>
    </row>
    <row r="16" spans="1:15" ht="15.75" customHeight="1">
      <c r="A16" s="26">
        <v>13</v>
      </c>
      <c r="B16" s="27">
        <v>46035</v>
      </c>
      <c r="C16" s="53"/>
      <c r="D16" s="120"/>
      <c r="E16" s="82"/>
      <c r="F16" s="120"/>
      <c r="G16" s="120">
        <f t="shared" si="0"/>
        <v>0</v>
      </c>
      <c r="H16" s="120"/>
      <c r="I16" s="120"/>
      <c r="J16" s="120">
        <f t="shared" si="1"/>
        <v>0</v>
      </c>
      <c r="K16" s="120">
        <f t="shared" si="2"/>
        <v>0</v>
      </c>
      <c r="L16" s="120">
        <v>200000</v>
      </c>
      <c r="M16" s="126">
        <f t="shared" si="6"/>
        <v>46117.900000000023</v>
      </c>
      <c r="N16" s="53"/>
    </row>
    <row r="17" spans="1:14" ht="15.75" customHeight="1">
      <c r="A17" s="26">
        <v>14</v>
      </c>
      <c r="B17" s="27">
        <v>46036</v>
      </c>
      <c r="C17" s="53"/>
      <c r="D17" s="120"/>
      <c r="E17" s="82"/>
      <c r="F17" s="120"/>
      <c r="G17" s="120">
        <f t="shared" si="0"/>
        <v>0</v>
      </c>
      <c r="H17" s="120">
        <v>70</v>
      </c>
      <c r="I17" s="120">
        <v>104.13</v>
      </c>
      <c r="J17" s="120">
        <f t="shared" si="1"/>
        <v>7289.0999999999995</v>
      </c>
      <c r="K17" s="120">
        <f t="shared" si="2"/>
        <v>7289.0999999999995</v>
      </c>
      <c r="L17" s="120"/>
      <c r="M17" s="126">
        <f t="shared" si="6"/>
        <v>53407.000000000022</v>
      </c>
      <c r="N17" s="53"/>
    </row>
    <row r="18" spans="1:14" ht="15.75" customHeight="1">
      <c r="A18" s="26">
        <v>15</v>
      </c>
      <c r="B18" s="27">
        <v>46037</v>
      </c>
      <c r="C18" s="53"/>
      <c r="D18" s="120"/>
      <c r="E18" s="82"/>
      <c r="F18" s="120"/>
      <c r="G18" s="120">
        <f t="shared" si="0"/>
        <v>0</v>
      </c>
      <c r="H18" s="120"/>
      <c r="I18" s="120"/>
      <c r="J18" s="120">
        <f t="shared" si="1"/>
        <v>0</v>
      </c>
      <c r="K18" s="120">
        <f t="shared" si="2"/>
        <v>0</v>
      </c>
      <c r="L18" s="120"/>
      <c r="M18" s="126">
        <f t="shared" si="6"/>
        <v>53407.000000000022</v>
      </c>
      <c r="N18" s="53"/>
    </row>
    <row r="19" spans="1:14" ht="15.75" customHeight="1">
      <c r="A19" s="26">
        <v>16</v>
      </c>
      <c r="B19" s="27">
        <v>46038</v>
      </c>
      <c r="C19" s="53"/>
      <c r="D19" s="120"/>
      <c r="E19" s="82"/>
      <c r="F19" s="120"/>
      <c r="G19" s="120">
        <f t="shared" si="0"/>
        <v>0</v>
      </c>
      <c r="H19" s="120"/>
      <c r="I19" s="120"/>
      <c r="J19" s="120">
        <f t="shared" si="1"/>
        <v>0</v>
      </c>
      <c r="K19" s="120">
        <f t="shared" si="2"/>
        <v>0</v>
      </c>
      <c r="L19" s="120"/>
      <c r="M19" s="126">
        <f t="shared" si="6"/>
        <v>53407.000000000022</v>
      </c>
      <c r="N19" s="53"/>
    </row>
    <row r="20" spans="1:14" ht="15.75" customHeight="1">
      <c r="A20" s="26">
        <v>17</v>
      </c>
      <c r="B20" s="27">
        <v>46039</v>
      </c>
      <c r="C20" s="53"/>
      <c r="D20" s="120"/>
      <c r="E20" s="82">
        <v>2300</v>
      </c>
      <c r="F20" s="120">
        <v>92.26</v>
      </c>
      <c r="G20" s="120">
        <f t="shared" si="0"/>
        <v>212198</v>
      </c>
      <c r="H20" s="120"/>
      <c r="I20" s="120"/>
      <c r="J20" s="120">
        <f t="shared" si="1"/>
        <v>0</v>
      </c>
      <c r="K20" s="120">
        <f t="shared" si="2"/>
        <v>212198</v>
      </c>
      <c r="L20" s="120">
        <v>53408</v>
      </c>
      <c r="M20" s="126">
        <f t="shared" si="6"/>
        <v>212197</v>
      </c>
      <c r="N20" s="53"/>
    </row>
    <row r="21" spans="1:14" ht="15.75" customHeight="1">
      <c r="A21" s="26">
        <v>18</v>
      </c>
      <c r="B21" s="27">
        <v>46040</v>
      </c>
      <c r="C21" s="53"/>
      <c r="D21" s="120"/>
      <c r="E21" s="82"/>
      <c r="F21" s="120"/>
      <c r="G21" s="120">
        <f t="shared" si="0"/>
        <v>0</v>
      </c>
      <c r="H21" s="120"/>
      <c r="I21" s="120"/>
      <c r="J21" s="120">
        <f t="shared" si="1"/>
        <v>0</v>
      </c>
      <c r="K21" s="120">
        <f t="shared" si="2"/>
        <v>0</v>
      </c>
      <c r="L21" s="120"/>
      <c r="M21" s="126">
        <f t="shared" si="6"/>
        <v>212197</v>
      </c>
      <c r="N21" s="53"/>
    </row>
    <row r="22" spans="1:14" ht="15.75" customHeight="1">
      <c r="A22" s="26">
        <v>19</v>
      </c>
      <c r="B22" s="27">
        <v>46041</v>
      </c>
      <c r="C22" s="53"/>
      <c r="D22" s="120"/>
      <c r="E22" s="82"/>
      <c r="F22" s="120"/>
      <c r="G22" s="120">
        <f t="shared" si="0"/>
        <v>0</v>
      </c>
      <c r="H22" s="120"/>
      <c r="I22" s="120"/>
      <c r="J22" s="120">
        <f t="shared" si="1"/>
        <v>0</v>
      </c>
      <c r="K22" s="120">
        <f t="shared" si="2"/>
        <v>0</v>
      </c>
      <c r="L22" s="120"/>
      <c r="M22" s="126">
        <f t="shared" si="6"/>
        <v>212197</v>
      </c>
      <c r="N22" s="53"/>
    </row>
    <row r="23" spans="1:14" ht="15.75" customHeight="1">
      <c r="A23" s="26">
        <v>20</v>
      </c>
      <c r="B23" s="27">
        <v>46042</v>
      </c>
      <c r="C23" s="53"/>
      <c r="D23" s="120"/>
      <c r="E23" s="82"/>
      <c r="F23" s="120"/>
      <c r="G23" s="120">
        <f t="shared" si="0"/>
        <v>0</v>
      </c>
      <c r="H23" s="120"/>
      <c r="I23" s="120"/>
      <c r="J23" s="120">
        <f t="shared" si="1"/>
        <v>0</v>
      </c>
      <c r="K23" s="120">
        <f t="shared" si="2"/>
        <v>0</v>
      </c>
      <c r="L23" s="120"/>
      <c r="M23" s="126">
        <f t="shared" si="6"/>
        <v>212197</v>
      </c>
      <c r="N23" s="53"/>
    </row>
    <row r="24" spans="1:14" ht="15.75" customHeight="1">
      <c r="A24" s="26">
        <v>21</v>
      </c>
      <c r="B24" s="27">
        <v>46043</v>
      </c>
      <c r="C24" s="53"/>
      <c r="D24" s="120"/>
      <c r="E24" s="82"/>
      <c r="F24" s="120"/>
      <c r="G24" s="120">
        <f t="shared" si="0"/>
        <v>0</v>
      </c>
      <c r="H24" s="120"/>
      <c r="I24" s="120"/>
      <c r="J24" s="120">
        <f t="shared" si="1"/>
        <v>0</v>
      </c>
      <c r="K24" s="120">
        <f t="shared" si="2"/>
        <v>0</v>
      </c>
      <c r="L24" s="120"/>
      <c r="M24" s="126">
        <f t="shared" si="6"/>
        <v>212197</v>
      </c>
      <c r="N24" s="53"/>
    </row>
    <row r="25" spans="1:14" ht="15.75" customHeight="1">
      <c r="A25" s="26">
        <v>22</v>
      </c>
      <c r="B25" s="27">
        <v>46044</v>
      </c>
      <c r="C25" s="53"/>
      <c r="D25" s="120"/>
      <c r="E25" s="82"/>
      <c r="F25" s="120"/>
      <c r="G25" s="120">
        <f t="shared" si="0"/>
        <v>0</v>
      </c>
      <c r="H25" s="120"/>
      <c r="I25" s="120"/>
      <c r="J25" s="120">
        <f t="shared" si="1"/>
        <v>0</v>
      </c>
      <c r="K25" s="120">
        <f t="shared" si="2"/>
        <v>0</v>
      </c>
      <c r="L25" s="120"/>
      <c r="M25" s="126">
        <f t="shared" si="6"/>
        <v>212197</v>
      </c>
      <c r="N25" s="53"/>
    </row>
    <row r="26" spans="1:14" ht="15.75" customHeight="1">
      <c r="A26" s="26">
        <v>23</v>
      </c>
      <c r="B26" s="27">
        <v>46045</v>
      </c>
      <c r="C26" s="53"/>
      <c r="D26" s="120"/>
      <c r="E26" s="82"/>
      <c r="F26" s="120"/>
      <c r="G26" s="120">
        <f t="shared" si="0"/>
        <v>0</v>
      </c>
      <c r="H26" s="120">
        <v>70</v>
      </c>
      <c r="I26" s="120">
        <v>104.13</v>
      </c>
      <c r="J26" s="120">
        <f t="shared" si="1"/>
        <v>7289.0999999999995</v>
      </c>
      <c r="K26" s="120">
        <f t="shared" si="2"/>
        <v>7289.0999999999995</v>
      </c>
      <c r="L26" s="120"/>
      <c r="M26" s="126">
        <f t="shared" si="6"/>
        <v>219486.1</v>
      </c>
      <c r="N26" s="53"/>
    </row>
    <row r="27" spans="1:14" ht="15.75" customHeight="1">
      <c r="A27" s="26">
        <v>24</v>
      </c>
      <c r="B27" s="27">
        <v>46046</v>
      </c>
      <c r="C27" s="53"/>
      <c r="D27" s="120"/>
      <c r="E27" s="82"/>
      <c r="F27" s="120"/>
      <c r="G27" s="120">
        <f t="shared" si="0"/>
        <v>0</v>
      </c>
      <c r="H27" s="120"/>
      <c r="I27" s="120"/>
      <c r="J27" s="120">
        <f t="shared" si="1"/>
        <v>0</v>
      </c>
      <c r="K27" s="120">
        <f t="shared" si="2"/>
        <v>0</v>
      </c>
      <c r="L27" s="120"/>
      <c r="M27" s="126">
        <f t="shared" si="6"/>
        <v>219486.1</v>
      </c>
      <c r="N27" s="53"/>
    </row>
    <row r="28" spans="1:14" ht="15.75" customHeight="1">
      <c r="A28" s="26">
        <v>25</v>
      </c>
      <c r="B28" s="27">
        <v>46047</v>
      </c>
      <c r="C28" s="53"/>
      <c r="D28" s="120"/>
      <c r="E28" s="82"/>
      <c r="F28" s="120"/>
      <c r="G28" s="120">
        <f t="shared" si="0"/>
        <v>0</v>
      </c>
      <c r="H28" s="120"/>
      <c r="I28" s="120"/>
      <c r="J28" s="120">
        <f t="shared" si="1"/>
        <v>0</v>
      </c>
      <c r="K28" s="120">
        <f t="shared" si="2"/>
        <v>0</v>
      </c>
      <c r="L28" s="120"/>
      <c r="M28" s="126">
        <f t="shared" si="6"/>
        <v>219486.1</v>
      </c>
      <c r="N28" s="53"/>
    </row>
    <row r="29" spans="1:14" ht="15.75" customHeight="1">
      <c r="A29" s="26">
        <v>26</v>
      </c>
      <c r="B29" s="27">
        <v>46048</v>
      </c>
      <c r="C29" s="53"/>
      <c r="D29" s="120"/>
      <c r="E29" s="82"/>
      <c r="F29" s="120"/>
      <c r="G29" s="120">
        <f t="shared" si="0"/>
        <v>0</v>
      </c>
      <c r="H29" s="120"/>
      <c r="I29" s="120"/>
      <c r="J29" s="120">
        <f t="shared" si="1"/>
        <v>0</v>
      </c>
      <c r="K29" s="120">
        <f t="shared" si="2"/>
        <v>0</v>
      </c>
      <c r="L29" s="120"/>
      <c r="M29" s="126">
        <f t="shared" si="6"/>
        <v>219486.1</v>
      </c>
      <c r="N29" s="53"/>
    </row>
    <row r="30" spans="1:14" ht="15.75" customHeight="1">
      <c r="A30" s="26">
        <v>27</v>
      </c>
      <c r="B30" s="27">
        <v>46049</v>
      </c>
      <c r="C30" s="53"/>
      <c r="D30" s="120"/>
      <c r="E30" s="82"/>
      <c r="F30" s="120"/>
      <c r="G30" s="120">
        <f t="shared" si="0"/>
        <v>0</v>
      </c>
      <c r="H30" s="120"/>
      <c r="I30" s="120"/>
      <c r="J30" s="120">
        <f t="shared" si="1"/>
        <v>0</v>
      </c>
      <c r="K30" s="120">
        <f t="shared" si="2"/>
        <v>0</v>
      </c>
      <c r="L30" s="120"/>
      <c r="M30" s="126">
        <f t="shared" si="6"/>
        <v>219486.1</v>
      </c>
      <c r="N30" s="53"/>
    </row>
    <row r="31" spans="1:14" ht="15.75" customHeight="1">
      <c r="A31" s="26">
        <v>28</v>
      </c>
      <c r="B31" s="27">
        <v>46050</v>
      </c>
      <c r="C31" s="53"/>
      <c r="D31" s="120"/>
      <c r="E31" s="82"/>
      <c r="F31" s="120"/>
      <c r="G31" s="120">
        <f t="shared" si="0"/>
        <v>0</v>
      </c>
      <c r="H31" s="120"/>
      <c r="I31" s="120"/>
      <c r="J31" s="120">
        <f t="shared" si="1"/>
        <v>0</v>
      </c>
      <c r="K31" s="120">
        <f t="shared" si="2"/>
        <v>0</v>
      </c>
      <c r="L31" s="120"/>
      <c r="M31" s="126">
        <f t="shared" si="6"/>
        <v>219486.1</v>
      </c>
      <c r="N31" s="53"/>
    </row>
    <row r="32" spans="1:14" ht="15.75" customHeight="1">
      <c r="A32" s="26">
        <v>29</v>
      </c>
      <c r="B32" s="27">
        <v>46051</v>
      </c>
      <c r="C32" s="53"/>
      <c r="D32" s="120"/>
      <c r="E32" s="82"/>
      <c r="F32" s="120"/>
      <c r="G32" s="120">
        <f t="shared" si="0"/>
        <v>0</v>
      </c>
      <c r="H32" s="120"/>
      <c r="I32" s="120"/>
      <c r="J32" s="120">
        <f t="shared" si="1"/>
        <v>0</v>
      </c>
      <c r="K32" s="120">
        <f t="shared" si="2"/>
        <v>0</v>
      </c>
      <c r="L32" s="120"/>
      <c r="M32" s="126">
        <f t="shared" si="6"/>
        <v>219486.1</v>
      </c>
      <c r="N32" s="53"/>
    </row>
    <row r="33" spans="1:15" ht="15.75" customHeight="1">
      <c r="A33" s="26">
        <v>30</v>
      </c>
      <c r="B33" s="27">
        <v>46052</v>
      </c>
      <c r="C33" s="53"/>
      <c r="D33" s="120"/>
      <c r="E33" s="82"/>
      <c r="F33" s="120"/>
      <c r="G33" s="120">
        <f t="shared" si="0"/>
        <v>0</v>
      </c>
      <c r="H33" s="120"/>
      <c r="I33" s="120"/>
      <c r="J33" s="120">
        <f t="shared" si="1"/>
        <v>0</v>
      </c>
      <c r="K33" s="120">
        <f t="shared" si="2"/>
        <v>0</v>
      </c>
      <c r="L33" s="120"/>
      <c r="M33" s="126">
        <f t="shared" si="6"/>
        <v>219486.1</v>
      </c>
      <c r="N33" s="53"/>
    </row>
    <row r="34" spans="1:15" ht="15.75" customHeight="1">
      <c r="A34" s="26">
        <v>31</v>
      </c>
      <c r="B34" s="27">
        <v>46053</v>
      </c>
      <c r="C34" s="53"/>
      <c r="D34" s="120"/>
      <c r="E34" s="82"/>
      <c r="F34" s="120"/>
      <c r="G34" s="120">
        <f t="shared" ref="G34" si="7">E34*F34</f>
        <v>0</v>
      </c>
      <c r="H34" s="120"/>
      <c r="I34" s="120"/>
      <c r="J34" s="120">
        <f t="shared" ref="J34" si="8">H34*I34</f>
        <v>0</v>
      </c>
      <c r="K34" s="120">
        <f t="shared" ref="K34" si="9">G34+J34</f>
        <v>0</v>
      </c>
      <c r="L34" s="120"/>
      <c r="M34" s="126">
        <f t="shared" si="6"/>
        <v>219486.1</v>
      </c>
      <c r="N34" s="53"/>
    </row>
    <row r="35" spans="1:15">
      <c r="A35" s="43"/>
      <c r="B35" s="43"/>
      <c r="C35" s="43"/>
      <c r="D35" s="43"/>
      <c r="E35" s="44">
        <f>SUM(E4:E34)</f>
        <v>2300</v>
      </c>
      <c r="F35" s="44"/>
      <c r="G35" s="44">
        <f>SUM(G4:G34)</f>
        <v>212198</v>
      </c>
      <c r="H35" s="44">
        <f>SUM(H4:H34)</f>
        <v>210</v>
      </c>
      <c r="I35" s="44"/>
      <c r="J35" s="44">
        <f>SUM(J4:J34)</f>
        <v>21867.3</v>
      </c>
      <c r="K35" s="44">
        <f>SUM(K4:K34)</f>
        <v>234065.30000000002</v>
      </c>
      <c r="L35" s="44">
        <f>SUM(L4:L34)</f>
        <v>453408</v>
      </c>
      <c r="M35" s="44"/>
      <c r="N35" s="44"/>
      <c r="O35" s="33"/>
    </row>
    <row r="37" spans="1:15">
      <c r="D37" s="46"/>
      <c r="E37" s="46"/>
    </row>
  </sheetData>
  <mergeCells count="2">
    <mergeCell ref="A1:N1"/>
    <mergeCell ref="A3:J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CD2F7-6414-430C-BFEC-3C7DCD1314CE}">
  <dimension ref="A1:V46"/>
  <sheetViews>
    <sheetView workbookViewId="0">
      <pane ySplit="2" topLeftCell="A28" activePane="bottomLeft" state="frozen"/>
      <selection pane="bottomLeft" activeCell="J46" sqref="J46"/>
    </sheetView>
  </sheetViews>
  <sheetFormatPr defaultRowHeight="15"/>
  <cols>
    <col min="1" max="1" width="5.28515625" bestFit="1" customWidth="1"/>
    <col min="2" max="2" width="11.5703125" bestFit="1" customWidth="1"/>
    <col min="3" max="3" width="8.140625" bestFit="1" customWidth="1"/>
    <col min="4" max="4" width="16" bestFit="1" customWidth="1"/>
    <col min="5" max="5" width="10.85546875" bestFit="1" customWidth="1"/>
    <col min="6" max="6" width="14.42578125" customWidth="1"/>
    <col min="7" max="7" width="11.85546875" bestFit="1" customWidth="1"/>
    <col min="8" max="8" width="10.85546875" bestFit="1" customWidth="1"/>
    <col min="9" max="9" width="7.140625" bestFit="1" customWidth="1"/>
    <col min="10" max="10" width="10.85546875" bestFit="1" customWidth="1"/>
    <col min="11" max="11" width="13.85546875" bestFit="1" customWidth="1"/>
    <col min="12" max="12" width="13.5703125" bestFit="1" customWidth="1"/>
    <col min="13" max="13" width="12.7109375" customWidth="1"/>
    <col min="14" max="14" width="19.28515625" bestFit="1" customWidth="1"/>
    <col min="16" max="16" width="12" bestFit="1" customWidth="1"/>
    <col min="19" max="19" width="12" bestFit="1" customWidth="1"/>
  </cols>
  <sheetData>
    <row r="1" spans="1:15">
      <c r="A1" s="481" t="s">
        <v>219</v>
      </c>
      <c r="B1" s="481"/>
      <c r="C1" s="481"/>
      <c r="D1" s="481"/>
      <c r="E1" s="481"/>
      <c r="F1" s="481"/>
      <c r="G1" s="481"/>
      <c r="H1" s="481"/>
      <c r="I1" s="481"/>
      <c r="J1" s="481"/>
      <c r="K1" s="481"/>
      <c r="L1" s="481"/>
      <c r="M1" s="481"/>
      <c r="N1" s="481"/>
      <c r="O1" s="85"/>
    </row>
    <row r="2" spans="1:15">
      <c r="A2" s="127" t="s">
        <v>129</v>
      </c>
      <c r="B2" s="128" t="s">
        <v>130</v>
      </c>
      <c r="C2" s="128" t="s">
        <v>131</v>
      </c>
      <c r="D2" s="128" t="s">
        <v>132</v>
      </c>
      <c r="E2" s="128" t="s">
        <v>133</v>
      </c>
      <c r="F2" s="128" t="s">
        <v>134</v>
      </c>
      <c r="G2" s="128" t="s">
        <v>135</v>
      </c>
      <c r="H2" s="128" t="s">
        <v>136</v>
      </c>
      <c r="I2" s="128" t="s">
        <v>134</v>
      </c>
      <c r="J2" s="129" t="s">
        <v>135</v>
      </c>
      <c r="K2" s="127" t="s">
        <v>137</v>
      </c>
      <c r="L2" s="130" t="s">
        <v>138</v>
      </c>
      <c r="M2" s="130" t="s">
        <v>199</v>
      </c>
      <c r="N2" s="128" t="s">
        <v>140</v>
      </c>
      <c r="O2" s="62"/>
    </row>
    <row r="3" spans="1:15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4"/>
      <c r="K3" s="99">
        <v>202357.35500000001</v>
      </c>
      <c r="L3" s="41"/>
      <c r="M3" s="41">
        <f>+K3</f>
        <v>202357.35500000001</v>
      </c>
      <c r="N3" s="17"/>
      <c r="O3" s="62">
        <v>46138.763999999966</v>
      </c>
    </row>
    <row r="4" spans="1:15">
      <c r="A4" s="26">
        <v>1</v>
      </c>
      <c r="B4" s="27">
        <v>45658</v>
      </c>
      <c r="C4" s="131"/>
      <c r="D4" s="132"/>
      <c r="E4" s="96">
        <v>600</v>
      </c>
      <c r="F4" s="96">
        <v>92.17</v>
      </c>
      <c r="G4" s="19">
        <f>E4*F4</f>
        <v>55302</v>
      </c>
      <c r="H4" s="96">
        <v>25</v>
      </c>
      <c r="I4" s="368">
        <v>104.03</v>
      </c>
      <c r="J4" s="19">
        <f>H4*I4</f>
        <v>2600.75</v>
      </c>
      <c r="K4" s="19">
        <f>G4+J4</f>
        <v>57902.75</v>
      </c>
      <c r="L4" s="133">
        <v>0</v>
      </c>
      <c r="M4" s="133">
        <f>M3+K4-L4</f>
        <v>260260.10500000001</v>
      </c>
      <c r="N4" s="45"/>
    </row>
    <row r="5" spans="1:15">
      <c r="A5" s="26">
        <v>2</v>
      </c>
      <c r="B5" s="27">
        <v>45659</v>
      </c>
      <c r="C5" s="131"/>
      <c r="D5" s="132"/>
      <c r="E5" s="96">
        <v>0</v>
      </c>
      <c r="F5" s="96">
        <v>0</v>
      </c>
      <c r="G5" s="19">
        <f t="shared" ref="G5:G34" si="0">E5*F5</f>
        <v>0</v>
      </c>
      <c r="H5" s="96">
        <v>0</v>
      </c>
      <c r="I5" s="368">
        <v>0</v>
      </c>
      <c r="J5" s="19">
        <f t="shared" ref="J5:J34" si="1">H5*I5</f>
        <v>0</v>
      </c>
      <c r="K5" s="19">
        <f t="shared" ref="K5:L35" si="2">G5+J5</f>
        <v>0</v>
      </c>
      <c r="L5" s="133">
        <v>0</v>
      </c>
      <c r="M5" s="133">
        <f>M4+K5-L5</f>
        <v>260260.10500000001</v>
      </c>
      <c r="N5" s="45"/>
    </row>
    <row r="6" spans="1:15">
      <c r="A6" s="26">
        <v>3</v>
      </c>
      <c r="B6" s="27">
        <v>45660</v>
      </c>
      <c r="C6" s="131"/>
      <c r="D6" s="132"/>
      <c r="E6" s="96">
        <v>0</v>
      </c>
      <c r="F6" s="96">
        <v>0</v>
      </c>
      <c r="G6" s="19">
        <f t="shared" si="0"/>
        <v>0</v>
      </c>
      <c r="H6" s="96">
        <v>0</v>
      </c>
      <c r="I6" s="368">
        <v>0</v>
      </c>
      <c r="J6" s="19">
        <f t="shared" si="1"/>
        <v>0</v>
      </c>
      <c r="K6" s="19">
        <f t="shared" si="2"/>
        <v>0</v>
      </c>
      <c r="L6" s="133"/>
      <c r="M6" s="133">
        <f>M5+K6-L6</f>
        <v>260260.10500000001</v>
      </c>
      <c r="N6" s="45"/>
    </row>
    <row r="7" spans="1:15">
      <c r="A7" s="26">
        <v>4</v>
      </c>
      <c r="B7" s="27">
        <v>45661</v>
      </c>
      <c r="C7" s="131"/>
      <c r="D7" s="132"/>
      <c r="E7" s="96">
        <v>0</v>
      </c>
      <c r="F7" s="96">
        <v>0</v>
      </c>
      <c r="G7" s="19">
        <f t="shared" si="0"/>
        <v>0</v>
      </c>
      <c r="H7" s="96">
        <v>0</v>
      </c>
      <c r="I7" s="368">
        <v>0</v>
      </c>
      <c r="J7" s="19">
        <f t="shared" si="1"/>
        <v>0</v>
      </c>
      <c r="K7" s="19">
        <f t="shared" si="2"/>
        <v>0</v>
      </c>
      <c r="L7" s="133"/>
      <c r="M7" s="133">
        <f>M6+K7-L7</f>
        <v>260260.10500000001</v>
      </c>
      <c r="N7" s="45"/>
    </row>
    <row r="8" spans="1:15">
      <c r="A8" s="26">
        <v>5</v>
      </c>
      <c r="B8" s="27">
        <v>45662</v>
      </c>
      <c r="C8" s="131"/>
      <c r="D8" s="132"/>
      <c r="E8" s="96">
        <v>600</v>
      </c>
      <c r="F8" s="96">
        <v>92.17</v>
      </c>
      <c r="G8" s="19">
        <f t="shared" si="0"/>
        <v>55302</v>
      </c>
      <c r="H8" s="96">
        <v>0</v>
      </c>
      <c r="I8" s="368">
        <v>0</v>
      </c>
      <c r="J8" s="19">
        <f t="shared" si="1"/>
        <v>0</v>
      </c>
      <c r="K8" s="19">
        <f t="shared" si="2"/>
        <v>55302</v>
      </c>
      <c r="L8" s="133"/>
      <c r="M8" s="133">
        <f t="shared" ref="M8:M36" si="3">M7+K8-L8</f>
        <v>315562.10499999998</v>
      </c>
      <c r="N8" s="45"/>
      <c r="O8" s="72"/>
    </row>
    <row r="9" spans="1:15">
      <c r="A9" s="26">
        <v>6</v>
      </c>
      <c r="B9" s="27">
        <v>45663</v>
      </c>
      <c r="C9" s="131"/>
      <c r="D9" s="132"/>
      <c r="E9" s="96">
        <v>0</v>
      </c>
      <c r="F9" s="96">
        <v>0</v>
      </c>
      <c r="G9" s="19">
        <f t="shared" si="0"/>
        <v>0</v>
      </c>
      <c r="H9" s="96">
        <v>0</v>
      </c>
      <c r="I9" s="368">
        <v>0</v>
      </c>
      <c r="J9" s="19">
        <f t="shared" si="1"/>
        <v>0</v>
      </c>
      <c r="K9" s="19">
        <f t="shared" si="2"/>
        <v>0</v>
      </c>
      <c r="L9" s="133"/>
      <c r="M9" s="133">
        <f t="shared" si="3"/>
        <v>315562.10499999998</v>
      </c>
      <c r="N9" s="45"/>
      <c r="O9" s="72"/>
    </row>
    <row r="10" spans="1:15">
      <c r="A10" s="26">
        <v>7</v>
      </c>
      <c r="B10" s="27">
        <v>45664</v>
      </c>
      <c r="C10" s="131"/>
      <c r="D10" s="132"/>
      <c r="E10" s="96">
        <v>0</v>
      </c>
      <c r="F10" s="96">
        <v>0</v>
      </c>
      <c r="G10" s="19">
        <f t="shared" si="0"/>
        <v>0</v>
      </c>
      <c r="H10" s="96">
        <v>0</v>
      </c>
      <c r="I10" s="368">
        <v>0</v>
      </c>
      <c r="J10" s="19">
        <f t="shared" si="1"/>
        <v>0</v>
      </c>
      <c r="K10" s="19">
        <f t="shared" si="2"/>
        <v>0</v>
      </c>
      <c r="L10" s="133"/>
      <c r="M10" s="133">
        <f t="shared" si="3"/>
        <v>315562.10499999998</v>
      </c>
      <c r="N10" s="45"/>
      <c r="O10" s="72"/>
    </row>
    <row r="11" spans="1:15">
      <c r="A11" s="26">
        <v>8</v>
      </c>
      <c r="B11" s="27">
        <v>45665</v>
      </c>
      <c r="C11" s="131"/>
      <c r="D11" s="132"/>
      <c r="E11" s="96">
        <v>750</v>
      </c>
      <c r="F11" s="96">
        <v>92.17</v>
      </c>
      <c r="G11" s="19">
        <f t="shared" si="0"/>
        <v>69127.5</v>
      </c>
      <c r="H11" s="96">
        <v>35</v>
      </c>
      <c r="I11" s="368">
        <v>104.03</v>
      </c>
      <c r="J11" s="19">
        <f t="shared" si="1"/>
        <v>3641.05</v>
      </c>
      <c r="K11" s="19">
        <f t="shared" si="2"/>
        <v>72768.55</v>
      </c>
      <c r="L11" s="133">
        <v>260250</v>
      </c>
      <c r="M11" s="133">
        <f t="shared" si="3"/>
        <v>128080.65499999997</v>
      </c>
      <c r="N11" s="45"/>
      <c r="O11" s="72"/>
    </row>
    <row r="12" spans="1:15">
      <c r="A12" s="26"/>
      <c r="B12" s="27">
        <v>45665</v>
      </c>
      <c r="C12" s="131"/>
      <c r="D12" s="132"/>
      <c r="E12" s="96">
        <v>200</v>
      </c>
      <c r="F12" s="96">
        <v>92.21</v>
      </c>
      <c r="G12" s="19">
        <f t="shared" si="0"/>
        <v>18442</v>
      </c>
      <c r="H12" s="96">
        <v>14</v>
      </c>
      <c r="I12" s="368">
        <v>104.08</v>
      </c>
      <c r="J12" s="19">
        <f t="shared" si="1"/>
        <v>1457.12</v>
      </c>
      <c r="K12" s="19">
        <f t="shared" si="2"/>
        <v>19899.12</v>
      </c>
      <c r="L12" s="19">
        <f>G12+J12</f>
        <v>19899.12</v>
      </c>
      <c r="M12" s="133">
        <f t="shared" si="3"/>
        <v>128080.65499999997</v>
      </c>
      <c r="N12" s="45" t="s">
        <v>220</v>
      </c>
      <c r="O12" s="72"/>
    </row>
    <row r="13" spans="1:15">
      <c r="A13" s="26">
        <v>9</v>
      </c>
      <c r="B13" s="27">
        <v>45666</v>
      </c>
      <c r="C13" s="131"/>
      <c r="D13" s="132"/>
      <c r="E13" s="96">
        <v>0</v>
      </c>
      <c r="F13" s="96">
        <v>0</v>
      </c>
      <c r="G13" s="19">
        <f t="shared" si="0"/>
        <v>0</v>
      </c>
      <c r="H13" s="96">
        <v>0</v>
      </c>
      <c r="I13" s="368">
        <v>0</v>
      </c>
      <c r="J13" s="19">
        <f t="shared" si="1"/>
        <v>0</v>
      </c>
      <c r="K13" s="19">
        <f t="shared" si="2"/>
        <v>0</v>
      </c>
      <c r="L13" s="133"/>
      <c r="M13" s="133">
        <f t="shared" si="3"/>
        <v>128080.65499999997</v>
      </c>
      <c r="N13" s="45"/>
      <c r="O13" s="72"/>
    </row>
    <row r="14" spans="1:15">
      <c r="A14" s="26">
        <v>10</v>
      </c>
      <c r="B14" s="27">
        <v>45667</v>
      </c>
      <c r="C14" s="131"/>
      <c r="D14" s="132"/>
      <c r="E14" s="96">
        <v>0</v>
      </c>
      <c r="F14" s="96">
        <v>0</v>
      </c>
      <c r="G14" s="19">
        <f t="shared" si="0"/>
        <v>0</v>
      </c>
      <c r="H14" s="96">
        <v>0</v>
      </c>
      <c r="I14" s="368">
        <v>0</v>
      </c>
      <c r="J14" s="19">
        <f t="shared" si="1"/>
        <v>0</v>
      </c>
      <c r="K14" s="19">
        <f t="shared" si="2"/>
        <v>0</v>
      </c>
      <c r="L14" s="133"/>
      <c r="M14" s="133">
        <f t="shared" si="3"/>
        <v>128080.65499999997</v>
      </c>
      <c r="N14" s="45"/>
      <c r="O14" s="72"/>
    </row>
    <row r="15" spans="1:15">
      <c r="A15" s="26">
        <v>11</v>
      </c>
      <c r="B15" s="27">
        <v>45668</v>
      </c>
      <c r="C15" s="131"/>
      <c r="D15" s="132"/>
      <c r="E15" s="96">
        <v>0</v>
      </c>
      <c r="F15" s="96">
        <v>0</v>
      </c>
      <c r="G15" s="19">
        <f t="shared" si="0"/>
        <v>0</v>
      </c>
      <c r="H15" s="96">
        <v>0</v>
      </c>
      <c r="I15" s="368">
        <v>0</v>
      </c>
      <c r="J15" s="19">
        <f t="shared" si="1"/>
        <v>0</v>
      </c>
      <c r="K15" s="19">
        <f t="shared" si="2"/>
        <v>0</v>
      </c>
      <c r="L15" s="133"/>
      <c r="M15" s="133">
        <f t="shared" si="3"/>
        <v>128080.65499999997</v>
      </c>
      <c r="N15" s="45"/>
      <c r="O15" s="72"/>
    </row>
    <row r="16" spans="1:15">
      <c r="A16" s="26">
        <v>12</v>
      </c>
      <c r="B16" s="27">
        <v>45669</v>
      </c>
      <c r="C16" s="131"/>
      <c r="D16" s="132"/>
      <c r="E16" s="96">
        <v>600</v>
      </c>
      <c r="F16" s="96">
        <v>92.17</v>
      </c>
      <c r="G16" s="19">
        <f t="shared" si="0"/>
        <v>55302</v>
      </c>
      <c r="H16" s="96">
        <v>0</v>
      </c>
      <c r="I16" s="368">
        <v>0</v>
      </c>
      <c r="J16" s="19">
        <f t="shared" si="1"/>
        <v>0</v>
      </c>
      <c r="K16" s="19">
        <f t="shared" si="2"/>
        <v>55302</v>
      </c>
      <c r="L16" s="133"/>
      <c r="M16" s="133">
        <f t="shared" si="3"/>
        <v>183382.65499999997</v>
      </c>
      <c r="N16" s="45"/>
      <c r="O16" s="72"/>
    </row>
    <row r="17" spans="1:22">
      <c r="A17" s="26">
        <v>13</v>
      </c>
      <c r="B17" s="27">
        <v>45670</v>
      </c>
      <c r="C17" s="131"/>
      <c r="D17" s="132"/>
      <c r="E17" s="96">
        <v>0</v>
      </c>
      <c r="F17" s="96">
        <v>0</v>
      </c>
      <c r="G17" s="19">
        <f t="shared" si="0"/>
        <v>0</v>
      </c>
      <c r="H17" s="96">
        <v>0</v>
      </c>
      <c r="I17" s="368">
        <v>0</v>
      </c>
      <c r="J17" s="19">
        <f t="shared" si="1"/>
        <v>0</v>
      </c>
      <c r="K17" s="19">
        <f t="shared" si="2"/>
        <v>0</v>
      </c>
      <c r="L17" s="133"/>
      <c r="M17" s="133">
        <f t="shared" si="3"/>
        <v>183382.65499999997</v>
      </c>
      <c r="N17" s="45"/>
      <c r="O17" s="72"/>
    </row>
    <row r="18" spans="1:22">
      <c r="A18" s="26">
        <v>14</v>
      </c>
      <c r="B18" s="27">
        <v>45671</v>
      </c>
      <c r="C18" s="131"/>
      <c r="D18" s="132"/>
      <c r="E18" s="96">
        <v>0</v>
      </c>
      <c r="F18" s="96">
        <v>0</v>
      </c>
      <c r="G18" s="19">
        <f t="shared" si="0"/>
        <v>0</v>
      </c>
      <c r="H18" s="96">
        <v>0</v>
      </c>
      <c r="I18" s="368">
        <v>0</v>
      </c>
      <c r="J18" s="19">
        <f t="shared" si="1"/>
        <v>0</v>
      </c>
      <c r="K18" s="19">
        <f t="shared" si="2"/>
        <v>0</v>
      </c>
      <c r="L18" s="133"/>
      <c r="M18" s="133">
        <f t="shared" si="3"/>
        <v>183382.65499999997</v>
      </c>
      <c r="N18" s="45"/>
      <c r="O18" s="72"/>
      <c r="Q18" s="246">
        <v>2767.8</v>
      </c>
      <c r="S18" s="179">
        <f>Q18-M19</f>
        <v>-180614.85499999998</v>
      </c>
    </row>
    <row r="19" spans="1:22">
      <c r="A19" s="26">
        <v>15</v>
      </c>
      <c r="B19" s="27">
        <v>45672</v>
      </c>
      <c r="C19" s="131"/>
      <c r="D19" s="132"/>
      <c r="E19" s="96">
        <v>0</v>
      </c>
      <c r="F19" s="96">
        <v>0</v>
      </c>
      <c r="G19" s="19">
        <f t="shared" si="0"/>
        <v>0</v>
      </c>
      <c r="H19" s="96">
        <v>0</v>
      </c>
      <c r="I19" s="368">
        <v>0</v>
      </c>
      <c r="J19" s="19">
        <f t="shared" si="1"/>
        <v>0</v>
      </c>
      <c r="K19" s="19">
        <f t="shared" si="2"/>
        <v>0</v>
      </c>
      <c r="L19" s="133"/>
      <c r="M19" s="133">
        <f t="shared" si="3"/>
        <v>183382.65499999997</v>
      </c>
      <c r="N19" s="45"/>
      <c r="O19" s="72"/>
    </row>
    <row r="20" spans="1:22">
      <c r="A20" s="26">
        <v>16</v>
      </c>
      <c r="B20" s="27">
        <v>45673</v>
      </c>
      <c r="C20" s="131"/>
      <c r="D20" s="132"/>
      <c r="E20" s="96">
        <v>600</v>
      </c>
      <c r="F20" s="96">
        <v>92.17</v>
      </c>
      <c r="G20" s="19">
        <f t="shared" si="0"/>
        <v>55302</v>
      </c>
      <c r="H20" s="96">
        <v>35</v>
      </c>
      <c r="I20" s="368">
        <v>104.03</v>
      </c>
      <c r="J20" s="19">
        <f t="shared" si="1"/>
        <v>3641.05</v>
      </c>
      <c r="K20" s="19">
        <f t="shared" si="2"/>
        <v>58943.05</v>
      </c>
      <c r="L20" s="133"/>
      <c r="M20" s="133">
        <f t="shared" si="3"/>
        <v>242325.70499999996</v>
      </c>
      <c r="N20" s="45"/>
      <c r="O20" s="72"/>
    </row>
    <row r="21" spans="1:22">
      <c r="A21" s="26">
        <v>17</v>
      </c>
      <c r="B21" s="27">
        <v>45674</v>
      </c>
      <c r="C21" s="131"/>
      <c r="D21" s="132"/>
      <c r="E21" s="96">
        <v>0</v>
      </c>
      <c r="F21" s="96">
        <v>0</v>
      </c>
      <c r="G21" s="19">
        <f t="shared" si="0"/>
        <v>0</v>
      </c>
      <c r="H21" s="96">
        <v>0</v>
      </c>
      <c r="I21" s="368">
        <v>0</v>
      </c>
      <c r="J21" s="19">
        <f t="shared" si="1"/>
        <v>0</v>
      </c>
      <c r="K21" s="19">
        <f t="shared" si="2"/>
        <v>0</v>
      </c>
      <c r="L21" s="133"/>
      <c r="M21" s="133">
        <f t="shared" si="3"/>
        <v>242325.70499999996</v>
      </c>
      <c r="N21" s="45"/>
      <c r="O21" s="72"/>
      <c r="V21">
        <f>400*90.23</f>
        <v>36092</v>
      </c>
    </row>
    <row r="22" spans="1:22">
      <c r="A22" s="26">
        <v>18</v>
      </c>
      <c r="B22" s="27">
        <v>45675</v>
      </c>
      <c r="C22" s="131"/>
      <c r="D22" s="132"/>
      <c r="E22" s="96">
        <v>0</v>
      </c>
      <c r="F22" s="96">
        <v>0</v>
      </c>
      <c r="G22" s="19">
        <f t="shared" si="0"/>
        <v>0</v>
      </c>
      <c r="H22" s="96">
        <v>0</v>
      </c>
      <c r="I22" s="368">
        <v>0</v>
      </c>
      <c r="J22" s="19">
        <f t="shared" si="1"/>
        <v>0</v>
      </c>
      <c r="K22" s="19">
        <f t="shared" si="2"/>
        <v>0</v>
      </c>
      <c r="L22" s="133"/>
      <c r="M22" s="133">
        <f t="shared" si="3"/>
        <v>242325.70499999996</v>
      </c>
      <c r="N22" s="45"/>
      <c r="O22" s="72"/>
      <c r="V22">
        <f>35*104.14</f>
        <v>3644.9</v>
      </c>
    </row>
    <row r="23" spans="1:22">
      <c r="A23" s="26">
        <v>19</v>
      </c>
      <c r="B23" s="27">
        <v>45676</v>
      </c>
      <c r="C23" s="131"/>
      <c r="D23" s="132"/>
      <c r="E23" s="96">
        <v>600</v>
      </c>
      <c r="F23" s="96">
        <v>92.17</v>
      </c>
      <c r="G23" s="19">
        <f t="shared" si="0"/>
        <v>55302</v>
      </c>
      <c r="H23" s="96">
        <v>20</v>
      </c>
      <c r="I23" s="368">
        <v>104.03</v>
      </c>
      <c r="J23" s="19">
        <f t="shared" si="1"/>
        <v>2080.6</v>
      </c>
      <c r="K23" s="19">
        <f t="shared" si="2"/>
        <v>57382.6</v>
      </c>
      <c r="L23" s="133">
        <v>242316</v>
      </c>
      <c r="M23" s="133">
        <f t="shared" si="3"/>
        <v>57392.304999999935</v>
      </c>
      <c r="N23" s="45"/>
      <c r="O23" s="72"/>
    </row>
    <row r="24" spans="1:22">
      <c r="A24" s="26">
        <v>20</v>
      </c>
      <c r="B24" s="27">
        <v>45677</v>
      </c>
      <c r="C24" s="131"/>
      <c r="D24" s="132"/>
      <c r="E24" s="96">
        <v>0</v>
      </c>
      <c r="F24" s="96">
        <v>0</v>
      </c>
      <c r="G24" s="19">
        <f t="shared" si="0"/>
        <v>0</v>
      </c>
      <c r="H24" s="96">
        <v>0</v>
      </c>
      <c r="I24" s="368">
        <v>0</v>
      </c>
      <c r="J24" s="19">
        <f t="shared" si="1"/>
        <v>0</v>
      </c>
      <c r="K24" s="19">
        <f t="shared" si="2"/>
        <v>0</v>
      </c>
      <c r="L24" s="133"/>
      <c r="M24" s="133">
        <f t="shared" si="3"/>
        <v>57392.304999999935</v>
      </c>
      <c r="N24" s="259"/>
      <c r="O24" s="245"/>
    </row>
    <row r="25" spans="1:22">
      <c r="A25" s="26">
        <v>21</v>
      </c>
      <c r="B25" s="27">
        <v>45678</v>
      </c>
      <c r="C25" s="131"/>
      <c r="D25" s="132"/>
      <c r="E25" s="96">
        <v>0</v>
      </c>
      <c r="F25" s="96">
        <v>0</v>
      </c>
      <c r="G25" s="19">
        <f t="shared" si="0"/>
        <v>0</v>
      </c>
      <c r="H25" s="96">
        <v>0</v>
      </c>
      <c r="I25" s="368">
        <v>0</v>
      </c>
      <c r="J25" s="19">
        <f t="shared" si="1"/>
        <v>0</v>
      </c>
      <c r="K25" s="19">
        <f t="shared" si="2"/>
        <v>0</v>
      </c>
      <c r="L25" s="133"/>
      <c r="M25" s="133">
        <f t="shared" si="3"/>
        <v>57392.304999999935</v>
      </c>
      <c r="N25" s="45"/>
      <c r="O25" s="72"/>
    </row>
    <row r="26" spans="1:22">
      <c r="A26" s="26">
        <v>22</v>
      </c>
      <c r="B26" s="27">
        <v>45679</v>
      </c>
      <c r="C26" s="131"/>
      <c r="D26" s="132"/>
      <c r="E26" s="96">
        <v>0</v>
      </c>
      <c r="F26" s="96">
        <v>0</v>
      </c>
      <c r="G26" s="19">
        <f t="shared" si="0"/>
        <v>0</v>
      </c>
      <c r="H26" s="96">
        <v>0</v>
      </c>
      <c r="I26" s="368">
        <v>0</v>
      </c>
      <c r="J26" s="19">
        <f t="shared" si="1"/>
        <v>0</v>
      </c>
      <c r="K26" s="19">
        <f t="shared" si="2"/>
        <v>0</v>
      </c>
      <c r="L26" s="133"/>
      <c r="M26" s="133">
        <f t="shared" si="3"/>
        <v>57392.304999999935</v>
      </c>
      <c r="N26" s="45"/>
      <c r="O26" s="72"/>
    </row>
    <row r="27" spans="1:22">
      <c r="A27" s="26">
        <v>23</v>
      </c>
      <c r="B27" s="27">
        <v>45680</v>
      </c>
      <c r="C27" s="131"/>
      <c r="D27" s="132"/>
      <c r="E27" s="96">
        <v>599.91</v>
      </c>
      <c r="F27" s="96">
        <v>92.17</v>
      </c>
      <c r="G27" s="19">
        <f t="shared" si="0"/>
        <v>55293.704699999995</v>
      </c>
      <c r="H27" s="96">
        <v>35</v>
      </c>
      <c r="I27" s="368">
        <v>104.03</v>
      </c>
      <c r="J27" s="19">
        <f t="shared" si="1"/>
        <v>3641.05</v>
      </c>
      <c r="K27" s="19">
        <f t="shared" si="2"/>
        <v>58934.754699999998</v>
      </c>
      <c r="L27" s="133"/>
      <c r="M27" s="133">
        <f t="shared" si="3"/>
        <v>116327.05969999993</v>
      </c>
      <c r="N27" s="45"/>
      <c r="O27" s="72"/>
    </row>
    <row r="28" spans="1:22">
      <c r="A28" s="26">
        <v>24</v>
      </c>
      <c r="B28" s="27">
        <v>45681</v>
      </c>
      <c r="C28" s="131"/>
      <c r="D28" s="132"/>
      <c r="E28" s="96">
        <v>0</v>
      </c>
      <c r="F28" s="96">
        <v>0</v>
      </c>
      <c r="G28" s="19">
        <f t="shared" si="0"/>
        <v>0</v>
      </c>
      <c r="H28" s="96">
        <v>0</v>
      </c>
      <c r="I28" s="368">
        <v>0</v>
      </c>
      <c r="J28" s="19">
        <f t="shared" si="1"/>
        <v>0</v>
      </c>
      <c r="K28" s="19">
        <f t="shared" si="2"/>
        <v>0</v>
      </c>
      <c r="L28" s="133"/>
      <c r="M28" s="133">
        <f t="shared" si="3"/>
        <v>116327.05969999993</v>
      </c>
      <c r="N28" s="45"/>
      <c r="O28" s="72"/>
    </row>
    <row r="29" spans="1:22">
      <c r="A29" s="26">
        <v>25</v>
      </c>
      <c r="B29" s="27">
        <v>45682</v>
      </c>
      <c r="C29" s="131"/>
      <c r="D29" s="132"/>
      <c r="E29" s="96">
        <v>0</v>
      </c>
      <c r="F29" s="96">
        <v>0</v>
      </c>
      <c r="G29" s="19">
        <f t="shared" si="0"/>
        <v>0</v>
      </c>
      <c r="H29" s="96">
        <v>0</v>
      </c>
      <c r="I29" s="368">
        <v>0</v>
      </c>
      <c r="J29" s="19">
        <f t="shared" si="1"/>
        <v>0</v>
      </c>
      <c r="K29" s="19">
        <f t="shared" si="2"/>
        <v>0</v>
      </c>
      <c r="L29" s="133"/>
      <c r="M29" s="133">
        <f t="shared" si="3"/>
        <v>116327.05969999993</v>
      </c>
      <c r="N29" s="45"/>
      <c r="O29" s="72"/>
    </row>
    <row r="30" spans="1:22">
      <c r="A30" s="26">
        <v>26</v>
      </c>
      <c r="B30" s="27">
        <v>45683</v>
      </c>
      <c r="C30" s="131"/>
      <c r="D30" s="132"/>
      <c r="E30" s="96">
        <v>0</v>
      </c>
      <c r="F30" s="96">
        <v>0</v>
      </c>
      <c r="G30" s="19">
        <f t="shared" si="0"/>
        <v>0</v>
      </c>
      <c r="H30" s="96">
        <v>0</v>
      </c>
      <c r="I30" s="368">
        <v>0</v>
      </c>
      <c r="J30" s="19">
        <f t="shared" si="1"/>
        <v>0</v>
      </c>
      <c r="K30" s="19">
        <f t="shared" si="2"/>
        <v>0</v>
      </c>
      <c r="L30" s="133"/>
      <c r="M30" s="133">
        <f t="shared" si="3"/>
        <v>116327.05969999993</v>
      </c>
      <c r="N30" s="45"/>
      <c r="O30" s="72"/>
    </row>
    <row r="31" spans="1:22">
      <c r="A31" s="26">
        <v>27</v>
      </c>
      <c r="B31" s="27">
        <v>45684</v>
      </c>
      <c r="C31" s="131"/>
      <c r="D31" s="132"/>
      <c r="E31" s="96">
        <v>600</v>
      </c>
      <c r="F31" s="96">
        <v>92.17</v>
      </c>
      <c r="G31" s="19">
        <f t="shared" si="0"/>
        <v>55302</v>
      </c>
      <c r="H31" s="96">
        <v>30</v>
      </c>
      <c r="I31" s="368">
        <v>104.03</v>
      </c>
      <c r="J31" s="19">
        <f t="shared" si="1"/>
        <v>3120.9</v>
      </c>
      <c r="K31" s="19">
        <f t="shared" si="2"/>
        <v>58422.9</v>
      </c>
      <c r="L31" s="133"/>
      <c r="M31" s="133">
        <f t="shared" si="3"/>
        <v>174749.95969999992</v>
      </c>
      <c r="N31" s="45"/>
      <c r="O31" s="72"/>
      <c r="P31" s="246">
        <v>29774.14</v>
      </c>
    </row>
    <row r="32" spans="1:22">
      <c r="A32" s="26">
        <v>28</v>
      </c>
      <c r="B32" s="27">
        <v>45685</v>
      </c>
      <c r="C32" s="131"/>
      <c r="D32" s="132"/>
      <c r="E32" s="96">
        <v>0</v>
      </c>
      <c r="F32" s="96">
        <v>0</v>
      </c>
      <c r="G32" s="19">
        <f t="shared" si="0"/>
        <v>0</v>
      </c>
      <c r="H32" s="96">
        <v>0</v>
      </c>
      <c r="I32" s="368">
        <v>0</v>
      </c>
      <c r="J32" s="19">
        <f t="shared" si="1"/>
        <v>0</v>
      </c>
      <c r="K32" s="19">
        <f t="shared" si="2"/>
        <v>0</v>
      </c>
      <c r="L32" s="133"/>
      <c r="M32" s="133">
        <f t="shared" si="3"/>
        <v>174749.95969999992</v>
      </c>
      <c r="N32" s="45"/>
      <c r="O32" s="72"/>
      <c r="P32">
        <v>50000</v>
      </c>
    </row>
    <row r="33" spans="1:19">
      <c r="A33" s="26">
        <v>29</v>
      </c>
      <c r="B33" s="27">
        <v>45686</v>
      </c>
      <c r="C33" s="131"/>
      <c r="D33" s="132"/>
      <c r="E33" s="96">
        <v>400</v>
      </c>
      <c r="F33" s="96">
        <v>92.17</v>
      </c>
      <c r="G33" s="19">
        <f t="shared" si="0"/>
        <v>36868</v>
      </c>
      <c r="H33" s="96">
        <v>20</v>
      </c>
      <c r="I33" s="368">
        <v>104.03</v>
      </c>
      <c r="J33" s="19">
        <f t="shared" si="1"/>
        <v>2080.6</v>
      </c>
      <c r="K33" s="19">
        <f t="shared" si="2"/>
        <v>38948.6</v>
      </c>
      <c r="L33" s="133"/>
      <c r="M33" s="133">
        <f t="shared" si="3"/>
        <v>213698.55969999993</v>
      </c>
      <c r="N33" s="45"/>
      <c r="O33" s="72"/>
      <c r="P33" s="246">
        <f>SUM(P31:P32)</f>
        <v>79774.14</v>
      </c>
    </row>
    <row r="34" spans="1:19">
      <c r="A34" s="26">
        <v>30</v>
      </c>
      <c r="B34" s="27">
        <v>45687</v>
      </c>
      <c r="C34" s="131"/>
      <c r="D34" s="132"/>
      <c r="E34" s="96">
        <v>0</v>
      </c>
      <c r="F34" s="96">
        <v>0</v>
      </c>
      <c r="G34" s="19">
        <f t="shared" si="0"/>
        <v>0</v>
      </c>
      <c r="H34" s="96">
        <v>0</v>
      </c>
      <c r="I34" s="368">
        <v>0</v>
      </c>
      <c r="J34" s="19">
        <f t="shared" si="1"/>
        <v>0</v>
      </c>
      <c r="K34" s="19">
        <f t="shared" si="2"/>
        <v>0</v>
      </c>
      <c r="L34" s="133"/>
      <c r="M34" s="133">
        <f t="shared" si="3"/>
        <v>213698.55969999993</v>
      </c>
      <c r="N34" s="45"/>
      <c r="O34" s="72"/>
    </row>
    <row r="35" spans="1:19">
      <c r="A35" s="26">
        <v>31</v>
      </c>
      <c r="B35" s="27"/>
      <c r="C35" s="131"/>
      <c r="D35" s="132"/>
      <c r="E35" s="96"/>
      <c r="F35" s="96"/>
      <c r="G35" s="19">
        <f t="shared" ref="G5:G35" si="4">E35*F35</f>
        <v>0</v>
      </c>
      <c r="H35" s="96"/>
      <c r="I35" s="96"/>
      <c r="J35" s="19">
        <f t="shared" ref="J5:J35" si="5">H35*I35</f>
        <v>0</v>
      </c>
      <c r="K35" s="19">
        <f t="shared" si="2"/>
        <v>0</v>
      </c>
      <c r="L35" s="133"/>
      <c r="M35" s="133">
        <f t="shared" si="3"/>
        <v>213698.55969999993</v>
      </c>
      <c r="N35" s="45"/>
      <c r="O35" s="72"/>
    </row>
    <row r="36" spans="1:19">
      <c r="A36" s="26"/>
      <c r="B36" s="27"/>
      <c r="C36" s="131"/>
      <c r="D36" s="132"/>
      <c r="E36" s="96">
        <v>0</v>
      </c>
      <c r="F36" s="96">
        <v>0</v>
      </c>
      <c r="G36" s="19">
        <f t="shared" ref="G36" si="6">E36*F36</f>
        <v>0</v>
      </c>
      <c r="H36" s="96">
        <v>0</v>
      </c>
      <c r="I36" s="96"/>
      <c r="J36" s="19">
        <f t="shared" ref="J36" si="7">H36*I36</f>
        <v>0</v>
      </c>
      <c r="K36" s="19">
        <f t="shared" ref="K36" si="8">G36+J36</f>
        <v>0</v>
      </c>
      <c r="L36" s="133">
        <v>0</v>
      </c>
      <c r="M36" s="133">
        <f t="shared" si="3"/>
        <v>213698.55969999993</v>
      </c>
      <c r="N36" s="45"/>
      <c r="O36" s="72"/>
    </row>
    <row r="37" spans="1:19">
      <c r="A37" s="43"/>
      <c r="B37" s="43"/>
      <c r="C37" s="43"/>
      <c r="D37" s="43"/>
      <c r="E37" s="44">
        <f>SUM(E4:E35)</f>
        <v>5549.91</v>
      </c>
      <c r="F37" s="44"/>
      <c r="G37" s="44">
        <f>SUM(G4:G35)</f>
        <v>511543.2047</v>
      </c>
      <c r="H37" s="44">
        <f>SUM(H4:H35)</f>
        <v>214</v>
      </c>
      <c r="I37" s="44"/>
      <c r="J37" s="44">
        <f>SUM(J4:J35)</f>
        <v>22263.120000000003</v>
      </c>
      <c r="K37" s="44">
        <f>SUM(K4:K35)</f>
        <v>533806.3247</v>
      </c>
      <c r="L37" s="44">
        <f>SUM(L4:L35)</f>
        <v>522465.12</v>
      </c>
      <c r="M37" s="44"/>
      <c r="N37" s="44"/>
      <c r="O37" s="33"/>
    </row>
    <row r="38" spans="1:19">
      <c r="A38" s="75"/>
      <c r="B38" s="76"/>
      <c r="C38" s="75"/>
      <c r="D38" s="75"/>
      <c r="E38" s="77">
        <v>0</v>
      </c>
      <c r="F38" s="77"/>
      <c r="G38" s="77">
        <v>0</v>
      </c>
      <c r="H38" s="77">
        <v>0</v>
      </c>
      <c r="I38" s="77"/>
      <c r="J38" s="78">
        <v>0</v>
      </c>
      <c r="K38" s="78">
        <f>G38+J38</f>
        <v>0</v>
      </c>
      <c r="L38" s="78">
        <v>0</v>
      </c>
      <c r="M38" s="78"/>
      <c r="N38" s="77"/>
      <c r="O38" s="72"/>
    </row>
    <row r="39" spans="1:19">
      <c r="E39" s="138"/>
      <c r="F39" s="138"/>
      <c r="G39" s="138"/>
      <c r="H39" s="138"/>
      <c r="I39" s="138"/>
      <c r="J39" s="138"/>
      <c r="K39" s="138"/>
      <c r="L39" s="138"/>
      <c r="M39" s="246"/>
      <c r="O39" s="72"/>
    </row>
    <row r="40" spans="1:19">
      <c r="O40" s="72"/>
    </row>
    <row r="41" spans="1:19">
      <c r="M41" s="179"/>
      <c r="O41" s="72"/>
    </row>
    <row r="42" spans="1:19">
      <c r="O42" s="72"/>
    </row>
    <row r="43" spans="1:19">
      <c r="O43" s="72"/>
      <c r="S43">
        <v>9052944708</v>
      </c>
    </row>
    <row r="44" spans="1:19">
      <c r="A44" s="72"/>
      <c r="B44" s="62"/>
      <c r="C44" s="72"/>
      <c r="D44" s="72"/>
      <c r="E44" s="72"/>
      <c r="F44" s="72"/>
      <c r="G44" s="79"/>
      <c r="H44" s="72"/>
      <c r="I44" s="72"/>
      <c r="J44" s="62"/>
      <c r="K44" s="62"/>
      <c r="L44" s="62"/>
      <c r="M44" s="62"/>
      <c r="N44" s="72"/>
      <c r="O44" s="77"/>
    </row>
    <row r="45" spans="1:19">
      <c r="A45" s="72"/>
      <c r="B45" s="472"/>
      <c r="C45" s="472"/>
      <c r="D45" s="472"/>
      <c r="E45" s="472"/>
      <c r="F45" s="72"/>
      <c r="G45" s="72"/>
      <c r="H45" s="72"/>
      <c r="I45" s="472"/>
      <c r="J45" s="472"/>
      <c r="K45" s="472"/>
      <c r="L45" s="472"/>
      <c r="M45" s="472"/>
      <c r="N45" s="472"/>
      <c r="O45" s="77"/>
    </row>
    <row r="46" spans="1:19">
      <c r="A46" s="72"/>
      <c r="B46" s="62"/>
      <c r="C46" s="72"/>
      <c r="D46" s="72"/>
      <c r="E46" s="72"/>
      <c r="F46" s="72"/>
      <c r="G46" s="72"/>
      <c r="H46" s="72"/>
      <c r="I46" s="72"/>
      <c r="J46" s="62"/>
      <c r="K46" s="62"/>
      <c r="L46" s="62"/>
      <c r="M46" s="62"/>
      <c r="N46" s="72"/>
      <c r="O46" s="77"/>
    </row>
  </sheetData>
  <mergeCells count="4">
    <mergeCell ref="A1:N1"/>
    <mergeCell ref="B45:E45"/>
    <mergeCell ref="I45:N45"/>
    <mergeCell ref="A3:J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777E2-69A2-4E6F-A5F1-5787B5613988}">
  <sheetPr>
    <tabColor rgb="FF00B050"/>
  </sheetPr>
  <dimension ref="A1:P35"/>
  <sheetViews>
    <sheetView topLeftCell="A18" workbookViewId="0">
      <selection activeCell="P13" sqref="P13"/>
    </sheetView>
  </sheetViews>
  <sheetFormatPr defaultRowHeight="15"/>
  <cols>
    <col min="2" max="2" width="10.140625" bestFit="1" customWidth="1"/>
    <col min="4" max="4" width="24.85546875" bestFit="1" customWidth="1"/>
    <col min="12" max="12" width="9.28515625" bestFit="1" customWidth="1"/>
  </cols>
  <sheetData>
    <row r="1" spans="1:16" ht="15.75">
      <c r="A1" s="478" t="s">
        <v>221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</row>
    <row r="2" spans="1:16" ht="25.5">
      <c r="A2" s="106" t="s">
        <v>129</v>
      </c>
      <c r="B2" s="109" t="s">
        <v>130</v>
      </c>
      <c r="C2" s="109" t="s">
        <v>131</v>
      </c>
      <c r="D2" s="109" t="s">
        <v>132</v>
      </c>
      <c r="E2" s="109" t="s">
        <v>133</v>
      </c>
      <c r="F2" s="109" t="s">
        <v>134</v>
      </c>
      <c r="G2" s="109" t="s">
        <v>135</v>
      </c>
      <c r="H2" s="109" t="s">
        <v>136</v>
      </c>
      <c r="I2" s="109" t="s">
        <v>134</v>
      </c>
      <c r="J2" s="109" t="s">
        <v>135</v>
      </c>
      <c r="K2" s="109" t="s">
        <v>137</v>
      </c>
      <c r="L2" s="109" t="s">
        <v>138</v>
      </c>
      <c r="M2" s="109" t="s">
        <v>199</v>
      </c>
      <c r="N2" s="109" t="s">
        <v>140</v>
      </c>
    </row>
    <row r="3" spans="1:16">
      <c r="A3" s="482" t="s">
        <v>141</v>
      </c>
      <c r="B3" s="482"/>
      <c r="C3" s="482"/>
      <c r="D3" s="482"/>
      <c r="E3" s="482"/>
      <c r="F3" s="482"/>
      <c r="G3" s="482"/>
      <c r="H3" s="482"/>
      <c r="I3" s="482"/>
      <c r="J3" s="482"/>
      <c r="K3" s="98">
        <v>53588.5</v>
      </c>
      <c r="L3" s="98">
        <v>53588.5</v>
      </c>
      <c r="M3" s="98">
        <v>53588.5</v>
      </c>
      <c r="N3" s="17"/>
    </row>
    <row r="4" spans="1:16">
      <c r="A4" s="26">
        <v>1</v>
      </c>
      <c r="B4" s="27">
        <v>46023</v>
      </c>
      <c r="C4" s="17"/>
      <c r="D4" s="17"/>
      <c r="E4" s="89"/>
      <c r="F4" s="89"/>
      <c r="G4" s="17">
        <f>E4*F4</f>
        <v>0</v>
      </c>
      <c r="H4" s="89"/>
      <c r="I4" s="89"/>
      <c r="J4" s="17">
        <f>H4*I4</f>
        <v>0</v>
      </c>
      <c r="K4" s="17">
        <f>G4+J4</f>
        <v>0</v>
      </c>
      <c r="L4" s="17">
        <f>K4</f>
        <v>0</v>
      </c>
      <c r="M4" s="17">
        <f>M3+K4-L4</f>
        <v>53588.5</v>
      </c>
      <c r="N4" s="45"/>
    </row>
    <row r="5" spans="1:16">
      <c r="A5" s="26">
        <v>2</v>
      </c>
      <c r="B5" s="27">
        <v>46024</v>
      </c>
      <c r="C5" s="17"/>
      <c r="D5" s="17"/>
      <c r="E5" s="89">
        <v>270</v>
      </c>
      <c r="F5" s="89">
        <v>92.22</v>
      </c>
      <c r="G5" s="17">
        <f t="shared" ref="G5" si="0">E5*F5</f>
        <v>24899.4</v>
      </c>
      <c r="H5" s="89">
        <v>10</v>
      </c>
      <c r="I5" s="89">
        <v>104.08</v>
      </c>
      <c r="J5" s="17">
        <f t="shared" ref="J5" si="1">H5*I5</f>
        <v>1040.8</v>
      </c>
      <c r="K5" s="17">
        <f>G5+J5</f>
        <v>25940.2</v>
      </c>
      <c r="L5" s="17">
        <v>53588.5</v>
      </c>
      <c r="M5" s="17">
        <f t="shared" ref="M5:M34" si="2">M4+K5-L5</f>
        <v>25940.199999999997</v>
      </c>
      <c r="N5" s="45"/>
    </row>
    <row r="6" spans="1:16">
      <c r="A6" s="26">
        <v>3</v>
      </c>
      <c r="B6" s="27">
        <v>46025</v>
      </c>
      <c r="C6" s="17"/>
      <c r="D6" s="17"/>
      <c r="E6" s="89"/>
      <c r="F6" s="89"/>
      <c r="G6" s="17">
        <f t="shared" ref="G6:G34" si="3">E6*F6</f>
        <v>0</v>
      </c>
      <c r="H6" s="89">
        <v>0</v>
      </c>
      <c r="I6" s="89">
        <v>0</v>
      </c>
      <c r="J6" s="17">
        <f t="shared" ref="J6:J33" si="4">H6*I6</f>
        <v>0</v>
      </c>
      <c r="K6" s="17">
        <v>0</v>
      </c>
      <c r="L6" s="17">
        <v>1040</v>
      </c>
      <c r="M6" s="17">
        <f t="shared" si="2"/>
        <v>24900.199999999997</v>
      </c>
      <c r="N6" s="45"/>
    </row>
    <row r="7" spans="1:16">
      <c r="A7" s="26">
        <v>4</v>
      </c>
      <c r="B7" s="27">
        <v>46026</v>
      </c>
      <c r="C7" s="17"/>
      <c r="D7" s="17"/>
      <c r="E7" s="89"/>
      <c r="F7" s="89"/>
      <c r="G7" s="17">
        <f t="shared" si="3"/>
        <v>0</v>
      </c>
      <c r="H7" s="89"/>
      <c r="I7" s="89"/>
      <c r="J7" s="17">
        <f t="shared" si="4"/>
        <v>0</v>
      </c>
      <c r="K7" s="17">
        <f t="shared" ref="K7:K33" si="5">G7+J7</f>
        <v>0</v>
      </c>
      <c r="L7" s="17">
        <f t="shared" ref="L5:L33" si="6">K7</f>
        <v>0</v>
      </c>
      <c r="M7" s="17">
        <f t="shared" si="2"/>
        <v>24900.199999999997</v>
      </c>
      <c r="N7" s="45"/>
    </row>
    <row r="8" spans="1:16">
      <c r="A8" s="26">
        <v>5</v>
      </c>
      <c r="B8" s="27">
        <v>46027</v>
      </c>
      <c r="C8" s="17"/>
      <c r="D8" s="17"/>
      <c r="E8" s="89"/>
      <c r="F8" s="89"/>
      <c r="G8" s="17">
        <f t="shared" si="3"/>
        <v>0</v>
      </c>
      <c r="H8" s="89"/>
      <c r="I8" s="89"/>
      <c r="J8" s="17">
        <f t="shared" si="4"/>
        <v>0</v>
      </c>
      <c r="K8" s="17">
        <f t="shared" si="5"/>
        <v>0</v>
      </c>
      <c r="L8" s="17">
        <f t="shared" si="6"/>
        <v>0</v>
      </c>
      <c r="M8" s="17">
        <f t="shared" si="2"/>
        <v>24900.199999999997</v>
      </c>
      <c r="N8" s="45"/>
    </row>
    <row r="9" spans="1:16">
      <c r="A9" s="26">
        <v>6</v>
      </c>
      <c r="B9" s="27">
        <v>46028</v>
      </c>
      <c r="C9" s="17"/>
      <c r="D9" s="17"/>
      <c r="E9" s="89"/>
      <c r="F9" s="89"/>
      <c r="G9" s="17">
        <f t="shared" si="3"/>
        <v>0</v>
      </c>
      <c r="H9" s="89"/>
      <c r="I9" s="89"/>
      <c r="J9" s="17">
        <f t="shared" si="4"/>
        <v>0</v>
      </c>
      <c r="K9" s="17">
        <f t="shared" si="5"/>
        <v>0</v>
      </c>
      <c r="L9" s="17">
        <f t="shared" si="6"/>
        <v>0</v>
      </c>
      <c r="M9" s="17">
        <f t="shared" si="2"/>
        <v>24900.199999999997</v>
      </c>
      <c r="N9" s="45"/>
    </row>
    <row r="10" spans="1:16">
      <c r="A10" s="26">
        <v>7</v>
      </c>
      <c r="B10" s="27">
        <v>46029</v>
      </c>
      <c r="C10" s="17"/>
      <c r="D10" s="17"/>
      <c r="E10" s="89"/>
      <c r="F10" s="89"/>
      <c r="G10" s="17">
        <f t="shared" si="3"/>
        <v>0</v>
      </c>
      <c r="H10" s="89"/>
      <c r="I10" s="89"/>
      <c r="J10" s="17">
        <f t="shared" si="4"/>
        <v>0</v>
      </c>
      <c r="K10" s="17">
        <f t="shared" si="5"/>
        <v>0</v>
      </c>
      <c r="L10" s="17">
        <f t="shared" si="6"/>
        <v>0</v>
      </c>
      <c r="M10" s="17">
        <f t="shared" si="2"/>
        <v>24900.199999999997</v>
      </c>
      <c r="N10" s="45"/>
    </row>
    <row r="11" spans="1:16">
      <c r="A11" s="26">
        <v>8</v>
      </c>
      <c r="B11" s="27">
        <v>46030</v>
      </c>
      <c r="C11" s="17"/>
      <c r="D11" s="17"/>
      <c r="E11" s="89">
        <v>235</v>
      </c>
      <c r="F11" s="89">
        <v>92.22</v>
      </c>
      <c r="G11" s="17">
        <f t="shared" si="3"/>
        <v>21671.7</v>
      </c>
      <c r="H11" s="89">
        <v>9.99</v>
      </c>
      <c r="I11" s="89">
        <v>104.08</v>
      </c>
      <c r="J11" s="17">
        <f t="shared" si="4"/>
        <v>1039.7592</v>
      </c>
      <c r="K11" s="17">
        <f t="shared" si="5"/>
        <v>22711.459200000001</v>
      </c>
      <c r="L11" s="17">
        <v>0</v>
      </c>
      <c r="M11" s="17">
        <f t="shared" si="2"/>
        <v>47611.659199999995</v>
      </c>
      <c r="N11" s="45"/>
    </row>
    <row r="12" spans="1:16">
      <c r="A12" s="26">
        <v>9</v>
      </c>
      <c r="B12" s="27">
        <v>46031</v>
      </c>
      <c r="C12" s="17"/>
      <c r="D12" s="17"/>
      <c r="E12" s="89"/>
      <c r="F12" s="89"/>
      <c r="G12" s="17">
        <f t="shared" si="3"/>
        <v>0</v>
      </c>
      <c r="H12" s="89"/>
      <c r="I12" s="89"/>
      <c r="J12" s="17">
        <f t="shared" si="4"/>
        <v>0</v>
      </c>
      <c r="K12" s="17">
        <f t="shared" si="5"/>
        <v>0</v>
      </c>
      <c r="L12" s="17">
        <f t="shared" si="6"/>
        <v>0</v>
      </c>
      <c r="M12" s="17">
        <f t="shared" si="2"/>
        <v>47611.659199999995</v>
      </c>
      <c r="N12" s="45"/>
    </row>
    <row r="13" spans="1:16">
      <c r="A13" s="26">
        <v>10</v>
      </c>
      <c r="B13" s="27">
        <v>46032</v>
      </c>
      <c r="C13" s="17"/>
      <c r="D13" s="17"/>
      <c r="E13" s="89"/>
      <c r="F13" s="89"/>
      <c r="G13" s="17">
        <f t="shared" si="3"/>
        <v>0</v>
      </c>
      <c r="H13" s="89"/>
      <c r="I13" s="89"/>
      <c r="J13" s="17">
        <f t="shared" si="4"/>
        <v>0</v>
      </c>
      <c r="K13" s="17">
        <f t="shared" si="5"/>
        <v>0</v>
      </c>
      <c r="L13" s="17">
        <f t="shared" si="6"/>
        <v>0</v>
      </c>
      <c r="M13" s="17">
        <f t="shared" si="2"/>
        <v>47611.659199999995</v>
      </c>
      <c r="N13" s="45"/>
      <c r="P13">
        <v>412365</v>
      </c>
    </row>
    <row r="14" spans="1:16">
      <c r="A14" s="26">
        <v>11</v>
      </c>
      <c r="B14" s="27">
        <v>46033</v>
      </c>
      <c r="C14" s="17"/>
      <c r="D14" s="17"/>
      <c r="E14" s="89"/>
      <c r="F14" s="89"/>
      <c r="G14" s="17">
        <f t="shared" si="3"/>
        <v>0</v>
      </c>
      <c r="H14" s="89"/>
      <c r="I14" s="89"/>
      <c r="J14" s="17">
        <f t="shared" si="4"/>
        <v>0</v>
      </c>
      <c r="K14" s="17">
        <f t="shared" si="5"/>
        <v>0</v>
      </c>
      <c r="L14" s="17">
        <f t="shared" si="6"/>
        <v>0</v>
      </c>
      <c r="M14" s="17">
        <f t="shared" si="2"/>
        <v>47611.659199999995</v>
      </c>
      <c r="N14" s="45"/>
    </row>
    <row r="15" spans="1:16">
      <c r="A15" s="26">
        <v>12</v>
      </c>
      <c r="B15" s="27">
        <v>46034</v>
      </c>
      <c r="C15" s="17"/>
      <c r="D15" s="17"/>
      <c r="E15" s="89"/>
      <c r="F15" s="89"/>
      <c r="G15" s="17">
        <f t="shared" si="3"/>
        <v>0</v>
      </c>
      <c r="H15" s="89"/>
      <c r="I15" s="89"/>
      <c r="J15" s="17">
        <f t="shared" si="4"/>
        <v>0</v>
      </c>
      <c r="K15" s="17">
        <f t="shared" si="5"/>
        <v>0</v>
      </c>
      <c r="L15" s="17">
        <f t="shared" si="6"/>
        <v>0</v>
      </c>
      <c r="M15" s="17">
        <f t="shared" si="2"/>
        <v>47611.659199999995</v>
      </c>
      <c r="N15" s="45"/>
    </row>
    <row r="16" spans="1:16">
      <c r="A16" s="26">
        <v>13</v>
      </c>
      <c r="B16" s="27">
        <v>46035</v>
      </c>
      <c r="C16" s="17"/>
      <c r="D16" s="17"/>
      <c r="E16" s="89">
        <v>270</v>
      </c>
      <c r="F16" s="89">
        <v>92.22</v>
      </c>
      <c r="G16" s="17">
        <f t="shared" si="3"/>
        <v>24899.4</v>
      </c>
      <c r="H16" s="89"/>
      <c r="I16" s="89"/>
      <c r="J16" s="17">
        <f t="shared" si="4"/>
        <v>0</v>
      </c>
      <c r="K16" s="17">
        <f t="shared" si="5"/>
        <v>24899.4</v>
      </c>
      <c r="L16" s="17">
        <v>47611.9</v>
      </c>
      <c r="M16" s="17">
        <f t="shared" si="2"/>
        <v>24899.159199999987</v>
      </c>
      <c r="N16" s="45"/>
    </row>
    <row r="17" spans="1:14">
      <c r="A17" s="26">
        <v>14</v>
      </c>
      <c r="B17" s="27">
        <v>46036</v>
      </c>
      <c r="C17" s="17"/>
      <c r="D17" s="17"/>
      <c r="E17" s="89"/>
      <c r="F17" s="89"/>
      <c r="G17" s="17">
        <f t="shared" si="3"/>
        <v>0</v>
      </c>
      <c r="H17" s="89"/>
      <c r="I17" s="89"/>
      <c r="J17" s="17">
        <f t="shared" si="4"/>
        <v>0</v>
      </c>
      <c r="K17" s="17">
        <f t="shared" si="5"/>
        <v>0</v>
      </c>
      <c r="L17" s="17">
        <f t="shared" si="6"/>
        <v>0</v>
      </c>
      <c r="M17" s="17">
        <f t="shared" si="2"/>
        <v>24899.159199999987</v>
      </c>
      <c r="N17" s="45"/>
    </row>
    <row r="18" spans="1:14">
      <c r="A18" s="26">
        <v>15</v>
      </c>
      <c r="B18" s="27">
        <v>46037</v>
      </c>
      <c r="C18" s="17"/>
      <c r="D18" s="17"/>
      <c r="E18" s="89"/>
      <c r="F18" s="89"/>
      <c r="G18" s="17">
        <f t="shared" si="3"/>
        <v>0</v>
      </c>
      <c r="H18" s="89"/>
      <c r="I18" s="89"/>
      <c r="J18" s="17">
        <f t="shared" si="4"/>
        <v>0</v>
      </c>
      <c r="K18" s="17">
        <f t="shared" si="5"/>
        <v>0</v>
      </c>
      <c r="L18" s="17">
        <f t="shared" si="6"/>
        <v>0</v>
      </c>
      <c r="M18" s="17">
        <f t="shared" si="2"/>
        <v>24899.159199999987</v>
      </c>
      <c r="N18" s="45"/>
    </row>
    <row r="19" spans="1:14">
      <c r="A19" s="26">
        <v>16</v>
      </c>
      <c r="B19" s="27">
        <v>46038</v>
      </c>
      <c r="C19" s="17"/>
      <c r="D19" s="17"/>
      <c r="E19" s="89"/>
      <c r="F19" s="89"/>
      <c r="G19" s="17">
        <f t="shared" si="3"/>
        <v>0</v>
      </c>
      <c r="H19" s="89"/>
      <c r="I19" s="89"/>
      <c r="J19" s="17">
        <f t="shared" si="4"/>
        <v>0</v>
      </c>
      <c r="K19" s="17">
        <f t="shared" si="5"/>
        <v>0</v>
      </c>
      <c r="L19" s="17">
        <f t="shared" si="6"/>
        <v>0</v>
      </c>
      <c r="M19" s="17">
        <f t="shared" si="2"/>
        <v>24899.159199999987</v>
      </c>
      <c r="N19" s="45"/>
    </row>
    <row r="20" spans="1:14">
      <c r="A20" s="26">
        <v>17</v>
      </c>
      <c r="B20" s="27">
        <v>46039</v>
      </c>
      <c r="C20" s="17"/>
      <c r="D20" s="17"/>
      <c r="E20" s="89"/>
      <c r="F20" s="89"/>
      <c r="G20" s="17">
        <f t="shared" si="3"/>
        <v>0</v>
      </c>
      <c r="H20" s="89"/>
      <c r="I20" s="89"/>
      <c r="J20" s="17">
        <f t="shared" si="4"/>
        <v>0</v>
      </c>
      <c r="K20" s="17">
        <f t="shared" si="5"/>
        <v>0</v>
      </c>
      <c r="L20" s="17">
        <v>24899.14</v>
      </c>
      <c r="M20" s="17">
        <f t="shared" si="2"/>
        <v>1.9199999987904448E-2</v>
      </c>
      <c r="N20" s="45"/>
    </row>
    <row r="21" spans="1:14">
      <c r="A21" s="26">
        <v>18</v>
      </c>
      <c r="B21" s="27">
        <v>46040</v>
      </c>
      <c r="C21" s="17"/>
      <c r="D21" s="17"/>
      <c r="E21" s="89"/>
      <c r="F21" s="89"/>
      <c r="G21" s="17">
        <f t="shared" si="3"/>
        <v>0</v>
      </c>
      <c r="H21" s="89"/>
      <c r="I21" s="89"/>
      <c r="J21" s="17">
        <f t="shared" si="4"/>
        <v>0</v>
      </c>
      <c r="K21" s="17">
        <f t="shared" si="5"/>
        <v>0</v>
      </c>
      <c r="L21" s="17">
        <f t="shared" si="6"/>
        <v>0</v>
      </c>
      <c r="M21" s="17">
        <f t="shared" si="2"/>
        <v>1.9199999987904448E-2</v>
      </c>
      <c r="N21" s="45"/>
    </row>
    <row r="22" spans="1:14">
      <c r="A22" s="26">
        <v>19</v>
      </c>
      <c r="B22" s="27">
        <v>46041</v>
      </c>
      <c r="C22" s="17"/>
      <c r="D22" s="17"/>
      <c r="E22" s="89"/>
      <c r="F22" s="89"/>
      <c r="G22" s="17">
        <f t="shared" si="3"/>
        <v>0</v>
      </c>
      <c r="H22" s="89"/>
      <c r="I22" s="89"/>
      <c r="J22" s="17">
        <f t="shared" si="4"/>
        <v>0</v>
      </c>
      <c r="K22" s="17">
        <f t="shared" si="5"/>
        <v>0</v>
      </c>
      <c r="L22" s="17">
        <f t="shared" si="6"/>
        <v>0</v>
      </c>
      <c r="M22" s="17">
        <f t="shared" si="2"/>
        <v>1.9199999987904448E-2</v>
      </c>
      <c r="N22" s="45"/>
    </row>
    <row r="23" spans="1:14">
      <c r="A23" s="26">
        <v>20</v>
      </c>
      <c r="B23" s="27">
        <v>46042</v>
      </c>
      <c r="C23" s="17"/>
      <c r="D23" s="17"/>
      <c r="E23" s="89"/>
      <c r="F23" s="89"/>
      <c r="G23" s="17">
        <f t="shared" si="3"/>
        <v>0</v>
      </c>
      <c r="H23" s="89"/>
      <c r="I23" s="89"/>
      <c r="J23" s="17">
        <f t="shared" si="4"/>
        <v>0</v>
      </c>
      <c r="K23" s="17">
        <f t="shared" si="5"/>
        <v>0</v>
      </c>
      <c r="L23" s="17">
        <f t="shared" si="6"/>
        <v>0</v>
      </c>
      <c r="M23" s="17">
        <f t="shared" si="2"/>
        <v>1.9199999987904448E-2</v>
      </c>
      <c r="N23" s="45"/>
    </row>
    <row r="24" spans="1:14">
      <c r="A24" s="26">
        <v>21</v>
      </c>
      <c r="B24" s="27">
        <v>46043</v>
      </c>
      <c r="C24" s="17"/>
      <c r="D24" s="17"/>
      <c r="E24" s="89">
        <v>270</v>
      </c>
      <c r="F24" s="89">
        <v>92.22</v>
      </c>
      <c r="G24" s="17">
        <f t="shared" si="3"/>
        <v>24899.4</v>
      </c>
      <c r="H24" s="89"/>
      <c r="I24" s="89"/>
      <c r="J24" s="17">
        <f t="shared" si="4"/>
        <v>0</v>
      </c>
      <c r="K24" s="17">
        <f t="shared" si="5"/>
        <v>24899.4</v>
      </c>
      <c r="L24" s="17">
        <v>0</v>
      </c>
      <c r="M24" s="17">
        <f t="shared" si="2"/>
        <v>24899.419199999989</v>
      </c>
      <c r="N24" s="45"/>
    </row>
    <row r="25" spans="1:14">
      <c r="A25" s="26">
        <v>22</v>
      </c>
      <c r="B25" s="27">
        <v>46044</v>
      </c>
      <c r="C25" s="17"/>
      <c r="D25" s="17"/>
      <c r="E25" s="89"/>
      <c r="F25" s="89"/>
      <c r="G25" s="17">
        <f t="shared" si="3"/>
        <v>0</v>
      </c>
      <c r="H25" s="89"/>
      <c r="I25" s="89"/>
      <c r="J25" s="17">
        <f t="shared" ref="J25:J32" si="7">H25*I25</f>
        <v>0</v>
      </c>
      <c r="K25" s="17">
        <f t="shared" ref="K25:K32" si="8">G25+J25</f>
        <v>0</v>
      </c>
      <c r="L25" s="17">
        <v>0</v>
      </c>
      <c r="M25" s="17">
        <f t="shared" si="2"/>
        <v>24899.419199999989</v>
      </c>
      <c r="N25" s="45"/>
    </row>
    <row r="26" spans="1:14">
      <c r="A26" s="26">
        <v>23</v>
      </c>
      <c r="B26" s="27">
        <v>46045</v>
      </c>
      <c r="C26" s="17"/>
      <c r="D26" s="17"/>
      <c r="E26" s="89"/>
      <c r="F26" s="89"/>
      <c r="G26" s="17">
        <f t="shared" si="3"/>
        <v>0</v>
      </c>
      <c r="H26" s="89"/>
      <c r="I26" s="89"/>
      <c r="J26" s="17">
        <f t="shared" si="7"/>
        <v>0</v>
      </c>
      <c r="K26" s="17">
        <f t="shared" si="8"/>
        <v>0</v>
      </c>
      <c r="L26" s="17">
        <v>0</v>
      </c>
      <c r="M26" s="17">
        <f t="shared" si="2"/>
        <v>24899.419199999989</v>
      </c>
      <c r="N26" s="45"/>
    </row>
    <row r="27" spans="1:14">
      <c r="A27" s="26">
        <v>24</v>
      </c>
      <c r="B27" s="27">
        <v>46046</v>
      </c>
      <c r="C27" s="17"/>
      <c r="D27" s="388" t="s">
        <v>222</v>
      </c>
      <c r="E27" s="89"/>
      <c r="F27" s="89"/>
      <c r="G27" s="17">
        <f t="shared" si="3"/>
        <v>0</v>
      </c>
      <c r="H27" s="89"/>
      <c r="I27" s="89"/>
      <c r="J27" s="17">
        <f t="shared" si="7"/>
        <v>0</v>
      </c>
      <c r="K27" s="17">
        <f t="shared" si="8"/>
        <v>0</v>
      </c>
      <c r="L27" s="17">
        <v>0</v>
      </c>
      <c r="M27" s="17">
        <f t="shared" si="2"/>
        <v>24899.419199999989</v>
      </c>
      <c r="N27" s="45"/>
    </row>
    <row r="28" spans="1:14">
      <c r="A28" s="26">
        <v>25</v>
      </c>
      <c r="B28" s="27">
        <v>46047</v>
      </c>
      <c r="C28" s="17"/>
      <c r="D28" s="17"/>
      <c r="E28" s="89"/>
      <c r="F28" s="89"/>
      <c r="G28" s="17">
        <f t="shared" si="3"/>
        <v>0</v>
      </c>
      <c r="H28" s="89"/>
      <c r="I28" s="89"/>
      <c r="J28" s="17">
        <f t="shared" si="7"/>
        <v>0</v>
      </c>
      <c r="K28" s="17">
        <f t="shared" si="8"/>
        <v>0</v>
      </c>
      <c r="L28" s="17">
        <v>0</v>
      </c>
      <c r="M28" s="17">
        <f t="shared" si="2"/>
        <v>24899.419199999989</v>
      </c>
      <c r="N28" s="45"/>
    </row>
    <row r="29" spans="1:14">
      <c r="A29" s="26">
        <v>26</v>
      </c>
      <c r="B29" s="27">
        <v>46048</v>
      </c>
      <c r="C29" s="17"/>
      <c r="D29" s="17"/>
      <c r="E29" s="89"/>
      <c r="F29" s="89"/>
      <c r="G29" s="17">
        <f t="shared" si="3"/>
        <v>0</v>
      </c>
      <c r="H29" s="89"/>
      <c r="I29" s="89"/>
      <c r="J29" s="17">
        <f t="shared" si="7"/>
        <v>0</v>
      </c>
      <c r="K29" s="17">
        <f t="shared" si="8"/>
        <v>0</v>
      </c>
      <c r="L29" s="17">
        <v>0</v>
      </c>
      <c r="M29" s="17">
        <f t="shared" si="2"/>
        <v>24899.419199999989</v>
      </c>
      <c r="N29" s="45"/>
    </row>
    <row r="30" spans="1:14">
      <c r="A30" s="26">
        <v>27</v>
      </c>
      <c r="B30" s="27">
        <v>46049</v>
      </c>
      <c r="C30" s="17"/>
      <c r="D30" s="17"/>
      <c r="E30" s="89"/>
      <c r="F30" s="89"/>
      <c r="G30" s="17">
        <f t="shared" si="3"/>
        <v>0</v>
      </c>
      <c r="H30" s="17">
        <v>10</v>
      </c>
      <c r="I30" s="89">
        <v>104.08</v>
      </c>
      <c r="J30" s="17">
        <f t="shared" si="7"/>
        <v>1040.8</v>
      </c>
      <c r="K30" s="17">
        <f t="shared" si="8"/>
        <v>1040.8</v>
      </c>
      <c r="L30" s="17">
        <v>0</v>
      </c>
      <c r="M30" s="17">
        <f t="shared" si="2"/>
        <v>25940.219199999989</v>
      </c>
      <c r="N30" s="45"/>
    </row>
    <row r="31" spans="1:14">
      <c r="A31" s="26">
        <v>28</v>
      </c>
      <c r="B31" s="27">
        <v>46050</v>
      </c>
      <c r="C31" s="17"/>
      <c r="D31" s="17"/>
      <c r="E31" s="89"/>
      <c r="F31" s="89"/>
      <c r="G31" s="17">
        <f t="shared" si="3"/>
        <v>0</v>
      </c>
      <c r="H31" s="17">
        <v>19.7</v>
      </c>
      <c r="I31" s="89">
        <v>104.08</v>
      </c>
      <c r="J31" s="17">
        <f t="shared" si="7"/>
        <v>2050.3759999999997</v>
      </c>
      <c r="K31" s="17">
        <f t="shared" si="8"/>
        <v>2050.3759999999997</v>
      </c>
      <c r="L31" s="17">
        <v>0</v>
      </c>
      <c r="M31" s="17">
        <f t="shared" si="2"/>
        <v>27990.595199999989</v>
      </c>
      <c r="N31" s="45"/>
    </row>
    <row r="32" spans="1:14">
      <c r="A32" s="26">
        <v>29</v>
      </c>
      <c r="B32" s="27">
        <v>46051</v>
      </c>
      <c r="C32" s="17"/>
      <c r="D32" s="17"/>
      <c r="E32" s="89"/>
      <c r="F32" s="89"/>
      <c r="G32" s="17">
        <f t="shared" si="3"/>
        <v>0</v>
      </c>
      <c r="H32" s="89"/>
      <c r="I32" s="89"/>
      <c r="J32" s="17">
        <f t="shared" si="7"/>
        <v>0</v>
      </c>
      <c r="K32" s="17">
        <f t="shared" si="8"/>
        <v>0</v>
      </c>
      <c r="L32" s="17">
        <v>0</v>
      </c>
      <c r="M32" s="17">
        <f t="shared" si="2"/>
        <v>27990.595199999989</v>
      </c>
      <c r="N32" s="45"/>
    </row>
    <row r="33" spans="1:14">
      <c r="A33" s="26">
        <v>30</v>
      </c>
      <c r="B33" s="27">
        <v>46052</v>
      </c>
      <c r="C33" s="17"/>
      <c r="D33" s="17"/>
      <c r="E33" s="89"/>
      <c r="F33" s="89"/>
      <c r="G33" s="17">
        <f t="shared" si="3"/>
        <v>0</v>
      </c>
      <c r="H33" s="89"/>
      <c r="I33" s="89"/>
      <c r="J33" s="17">
        <f t="shared" si="4"/>
        <v>0</v>
      </c>
      <c r="K33" s="17">
        <f t="shared" si="5"/>
        <v>0</v>
      </c>
      <c r="L33" s="17">
        <f t="shared" ref="L33:L34" si="9">K33</f>
        <v>0</v>
      </c>
      <c r="M33" s="17">
        <f t="shared" si="2"/>
        <v>27990.595199999989</v>
      </c>
      <c r="N33" s="45"/>
    </row>
    <row r="34" spans="1:14">
      <c r="A34" s="26">
        <v>31</v>
      </c>
      <c r="B34" s="27">
        <v>46053</v>
      </c>
      <c r="C34" s="17"/>
      <c r="D34" s="17"/>
      <c r="E34" s="89"/>
      <c r="F34" s="89"/>
      <c r="G34" s="17">
        <f t="shared" si="3"/>
        <v>0</v>
      </c>
      <c r="H34" s="89"/>
      <c r="I34" s="89"/>
      <c r="J34" s="17"/>
      <c r="K34" s="17">
        <f>G34+J34</f>
        <v>0</v>
      </c>
      <c r="L34" s="17">
        <v>0</v>
      </c>
      <c r="M34" s="17">
        <f t="shared" si="2"/>
        <v>27990.595199999989</v>
      </c>
      <c r="N34" s="45"/>
    </row>
    <row r="35" spans="1:14">
      <c r="A35" s="43"/>
      <c r="B35" s="43"/>
      <c r="C35" s="43"/>
      <c r="D35" s="43"/>
      <c r="E35" s="43">
        <f>SUM(E4:E34)</f>
        <v>1045</v>
      </c>
      <c r="F35" s="43"/>
      <c r="G35" s="43">
        <f>SUM(G4:G34)</f>
        <v>96369.9</v>
      </c>
      <c r="H35" s="43">
        <f>SUM(H4:H34)</f>
        <v>49.69</v>
      </c>
      <c r="I35" s="43"/>
      <c r="J35" s="43">
        <f>SUM(J4:J34)</f>
        <v>5171.7351999999992</v>
      </c>
      <c r="K35" s="43">
        <f>SUM(K4:K34)</f>
        <v>101541.63520000002</v>
      </c>
      <c r="L35" s="43">
        <f>SUM(L4:L34)</f>
        <v>127139.54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EDE9-F31F-4F91-B0A6-7048B469F70C}">
  <dimension ref="A1:N35"/>
  <sheetViews>
    <sheetView topLeftCell="A15" workbookViewId="0">
      <selection activeCell="M34" sqref="M34"/>
    </sheetView>
  </sheetViews>
  <sheetFormatPr defaultRowHeight="15"/>
  <cols>
    <col min="2" max="2" width="9.5703125" bestFit="1" customWidth="1"/>
    <col min="5" max="5" width="9.28515625" bestFit="1" customWidth="1"/>
    <col min="7" max="7" width="9.28515625" bestFit="1" customWidth="1"/>
    <col min="12" max="12" width="16.85546875" customWidth="1"/>
  </cols>
  <sheetData>
    <row r="1" spans="1:14" ht="15.75">
      <c r="A1" s="478" t="s">
        <v>223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</row>
    <row r="2" spans="1:14" ht="25.5">
      <c r="A2" s="106" t="s">
        <v>129</v>
      </c>
      <c r="B2" s="109" t="s">
        <v>130</v>
      </c>
      <c r="C2" s="109" t="s">
        <v>131</v>
      </c>
      <c r="D2" s="109" t="s">
        <v>132</v>
      </c>
      <c r="E2" s="109" t="s">
        <v>133</v>
      </c>
      <c r="F2" s="109" t="s">
        <v>134</v>
      </c>
      <c r="G2" s="109" t="s">
        <v>135</v>
      </c>
      <c r="H2" s="109" t="s">
        <v>136</v>
      </c>
      <c r="I2" s="109" t="s">
        <v>134</v>
      </c>
      <c r="J2" s="109" t="s">
        <v>135</v>
      </c>
      <c r="K2" s="109" t="s">
        <v>137</v>
      </c>
      <c r="L2" s="109" t="s">
        <v>138</v>
      </c>
      <c r="M2" s="109" t="s">
        <v>199</v>
      </c>
      <c r="N2" s="109" t="s">
        <v>140</v>
      </c>
    </row>
    <row r="3" spans="1:14">
      <c r="A3" s="482" t="s">
        <v>141</v>
      </c>
      <c r="B3" s="482"/>
      <c r="C3" s="482"/>
      <c r="D3" s="482"/>
      <c r="E3" s="482"/>
      <c r="F3" s="482"/>
      <c r="G3" s="482"/>
      <c r="H3" s="482"/>
      <c r="I3" s="482"/>
      <c r="J3" s="482"/>
      <c r="K3" s="98">
        <v>145403.1</v>
      </c>
      <c r="L3" s="98">
        <v>0</v>
      </c>
      <c r="M3" s="98">
        <f>+K3</f>
        <v>145403.1</v>
      </c>
      <c r="N3" s="17"/>
    </row>
    <row r="4" spans="1:14">
      <c r="A4" s="26">
        <v>1</v>
      </c>
      <c r="B4" s="27">
        <v>46023</v>
      </c>
      <c r="C4" s="17"/>
      <c r="D4" s="17"/>
      <c r="E4" s="89">
        <v>600</v>
      </c>
      <c r="F4" s="89">
        <v>92.23</v>
      </c>
      <c r="G4" s="17">
        <f>E4*F4</f>
        <v>55338</v>
      </c>
      <c r="H4" s="89">
        <v>35</v>
      </c>
      <c r="I4" s="89">
        <v>104.09</v>
      </c>
      <c r="J4" s="17">
        <f>H4*I4</f>
        <v>3643.15</v>
      </c>
      <c r="K4" s="17">
        <f>G4+J4</f>
        <v>58981.15</v>
      </c>
      <c r="L4" s="17"/>
      <c r="M4" s="17">
        <f>M3+K4-L4</f>
        <v>204384.25</v>
      </c>
      <c r="N4" s="45"/>
    </row>
    <row r="5" spans="1:14">
      <c r="A5" s="26">
        <v>2</v>
      </c>
      <c r="B5" s="27">
        <v>46024</v>
      </c>
      <c r="C5" s="17"/>
      <c r="D5" s="17"/>
      <c r="E5" s="89"/>
      <c r="F5" s="89"/>
      <c r="G5" s="17"/>
      <c r="H5" s="89"/>
      <c r="I5" s="89"/>
      <c r="J5" s="17"/>
      <c r="K5" s="17"/>
      <c r="L5" s="17"/>
      <c r="M5" s="17">
        <f t="shared" ref="M5:M34" si="0">M4+K5-L5</f>
        <v>204384.25</v>
      </c>
      <c r="N5" s="45"/>
    </row>
    <row r="6" spans="1:14">
      <c r="A6" s="26">
        <v>3</v>
      </c>
      <c r="B6" s="27">
        <v>46025</v>
      </c>
      <c r="C6" s="17"/>
      <c r="D6" s="17"/>
      <c r="E6" s="89"/>
      <c r="F6" s="89"/>
      <c r="G6" s="17">
        <f>E6*F6</f>
        <v>0</v>
      </c>
      <c r="H6" s="89"/>
      <c r="I6" s="89"/>
      <c r="J6" s="17">
        <f>H6*I6</f>
        <v>0</v>
      </c>
      <c r="K6" s="17">
        <f>G6+J6</f>
        <v>0</v>
      </c>
      <c r="L6" s="17">
        <v>145402</v>
      </c>
      <c r="M6" s="17">
        <f t="shared" si="0"/>
        <v>58982.25</v>
      </c>
      <c r="N6" s="45"/>
    </row>
    <row r="7" spans="1:14">
      <c r="A7" s="26">
        <v>4</v>
      </c>
      <c r="B7" s="27">
        <v>46026</v>
      </c>
      <c r="C7" s="17"/>
      <c r="D7" s="17"/>
      <c r="E7" s="89">
        <v>600</v>
      </c>
      <c r="F7" s="89">
        <v>92.23</v>
      </c>
      <c r="G7" s="17">
        <f t="shared" ref="G7:G34" si="1">E7*F7</f>
        <v>55338</v>
      </c>
      <c r="H7" s="89">
        <v>30</v>
      </c>
      <c r="I7" s="89">
        <v>104.09</v>
      </c>
      <c r="J7" s="17">
        <f t="shared" ref="J7:J34" si="2">H7*I7</f>
        <v>3122.7000000000003</v>
      </c>
      <c r="K7" s="17">
        <f t="shared" ref="K7:K33" si="3">G7+J7</f>
        <v>58460.7</v>
      </c>
      <c r="L7" s="17"/>
      <c r="M7" s="17">
        <f t="shared" si="0"/>
        <v>117442.95</v>
      </c>
      <c r="N7" s="45"/>
    </row>
    <row r="8" spans="1:14">
      <c r="A8" s="26">
        <v>5</v>
      </c>
      <c r="B8" s="27">
        <v>46027</v>
      </c>
      <c r="C8" s="17"/>
      <c r="D8" s="17"/>
      <c r="E8" s="89"/>
      <c r="F8" s="89"/>
      <c r="G8" s="17">
        <f t="shared" si="1"/>
        <v>0</v>
      </c>
      <c r="H8" s="89"/>
      <c r="I8" s="89"/>
      <c r="J8" s="17">
        <f t="shared" si="2"/>
        <v>0</v>
      </c>
      <c r="K8" s="17">
        <f t="shared" si="3"/>
        <v>0</v>
      </c>
      <c r="L8" s="17"/>
      <c r="M8" s="17">
        <f t="shared" si="0"/>
        <v>117442.95</v>
      </c>
      <c r="N8" s="45"/>
    </row>
    <row r="9" spans="1:14">
      <c r="A9" s="26">
        <v>6</v>
      </c>
      <c r="B9" s="27">
        <v>46028</v>
      </c>
      <c r="C9" s="17"/>
      <c r="D9" s="17"/>
      <c r="E9" s="89"/>
      <c r="F9" s="89"/>
      <c r="G9" s="17">
        <f t="shared" si="1"/>
        <v>0</v>
      </c>
      <c r="H9" s="89"/>
      <c r="I9" s="89"/>
      <c r="J9" s="17">
        <f t="shared" si="2"/>
        <v>0</v>
      </c>
      <c r="K9" s="17">
        <f t="shared" si="3"/>
        <v>0</v>
      </c>
      <c r="L9" s="17"/>
      <c r="M9" s="17">
        <f t="shared" si="0"/>
        <v>117442.95</v>
      </c>
      <c r="N9" s="45"/>
    </row>
    <row r="10" spans="1:14">
      <c r="A10" s="26">
        <v>7</v>
      </c>
      <c r="B10" s="27">
        <v>46029</v>
      </c>
      <c r="C10" s="17"/>
      <c r="D10" s="17"/>
      <c r="E10" s="89"/>
      <c r="F10" s="89"/>
      <c r="G10" s="17">
        <f t="shared" si="1"/>
        <v>0</v>
      </c>
      <c r="H10" s="89"/>
      <c r="I10" s="89"/>
      <c r="J10" s="17">
        <f t="shared" si="2"/>
        <v>0</v>
      </c>
      <c r="K10" s="17">
        <f t="shared" si="3"/>
        <v>0</v>
      </c>
      <c r="L10" s="17"/>
      <c r="M10" s="17">
        <f t="shared" si="0"/>
        <v>117442.95</v>
      </c>
      <c r="N10" s="45"/>
    </row>
    <row r="11" spans="1:14">
      <c r="A11" s="26">
        <v>8</v>
      </c>
      <c r="B11" s="27">
        <v>46030</v>
      </c>
      <c r="C11" s="17"/>
      <c r="D11" s="17"/>
      <c r="E11" s="89"/>
      <c r="F11" s="89"/>
      <c r="G11" s="17">
        <f>E11*F11</f>
        <v>0</v>
      </c>
      <c r="H11" s="89"/>
      <c r="I11" s="89"/>
      <c r="J11" s="17">
        <f t="shared" si="2"/>
        <v>0</v>
      </c>
      <c r="K11" s="17">
        <f>G11+J11</f>
        <v>0</v>
      </c>
      <c r="L11" s="17"/>
      <c r="M11" s="17">
        <f t="shared" si="0"/>
        <v>117442.95</v>
      </c>
      <c r="N11" s="45"/>
    </row>
    <row r="12" spans="1:14">
      <c r="A12" s="26">
        <v>9</v>
      </c>
      <c r="B12" s="27">
        <v>46031</v>
      </c>
      <c r="C12" s="17"/>
      <c r="D12" s="17"/>
      <c r="E12" s="89">
        <v>600</v>
      </c>
      <c r="F12" s="89">
        <v>92.23</v>
      </c>
      <c r="G12" s="17">
        <f t="shared" si="1"/>
        <v>55338</v>
      </c>
      <c r="H12" s="89">
        <v>35</v>
      </c>
      <c r="I12" s="89">
        <v>104.09</v>
      </c>
      <c r="J12" s="17">
        <f t="shared" si="2"/>
        <v>3643.15</v>
      </c>
      <c r="K12" s="17">
        <f t="shared" si="3"/>
        <v>58981.15</v>
      </c>
      <c r="L12" s="17"/>
      <c r="M12" s="17">
        <f t="shared" si="0"/>
        <v>176424.1</v>
      </c>
      <c r="N12" s="45"/>
    </row>
    <row r="13" spans="1:14">
      <c r="A13" s="26">
        <v>10</v>
      </c>
      <c r="B13" s="27">
        <v>46032</v>
      </c>
      <c r="C13" s="17"/>
      <c r="D13" s="17"/>
      <c r="E13" s="89"/>
      <c r="F13" s="89"/>
      <c r="G13" s="17">
        <f t="shared" si="1"/>
        <v>0</v>
      </c>
      <c r="H13" s="89"/>
      <c r="I13" s="89"/>
      <c r="J13" s="17">
        <f t="shared" si="2"/>
        <v>0</v>
      </c>
      <c r="K13" s="17">
        <f t="shared" si="3"/>
        <v>0</v>
      </c>
      <c r="L13" s="17"/>
      <c r="M13" s="17">
        <f t="shared" si="0"/>
        <v>176424.1</v>
      </c>
      <c r="N13" s="45"/>
    </row>
    <row r="14" spans="1:14">
      <c r="A14" s="26">
        <v>11</v>
      </c>
      <c r="B14" s="27">
        <v>46033</v>
      </c>
      <c r="C14" s="17"/>
      <c r="D14" s="17"/>
      <c r="E14" s="89"/>
      <c r="F14" s="89"/>
      <c r="G14" s="17">
        <f t="shared" si="1"/>
        <v>0</v>
      </c>
      <c r="H14" s="89"/>
      <c r="I14" s="89"/>
      <c r="J14" s="17">
        <f t="shared" si="2"/>
        <v>0</v>
      </c>
      <c r="K14" s="17">
        <f t="shared" si="3"/>
        <v>0</v>
      </c>
      <c r="L14" s="17"/>
      <c r="M14" s="17">
        <f t="shared" si="0"/>
        <v>176424.1</v>
      </c>
      <c r="N14" s="45"/>
    </row>
    <row r="15" spans="1:14">
      <c r="A15" s="26">
        <v>12</v>
      </c>
      <c r="B15" s="27">
        <v>46034</v>
      </c>
      <c r="C15" s="17"/>
      <c r="D15" s="17"/>
      <c r="E15" s="89"/>
      <c r="F15" s="89"/>
      <c r="G15" s="17">
        <f t="shared" ref="G15" si="4">E15*F15</f>
        <v>0</v>
      </c>
      <c r="H15" s="89"/>
      <c r="I15" s="89"/>
      <c r="J15" s="17">
        <f t="shared" si="2"/>
        <v>0</v>
      </c>
      <c r="K15" s="17">
        <f t="shared" si="3"/>
        <v>0</v>
      </c>
      <c r="L15" s="17"/>
      <c r="M15" s="17">
        <f t="shared" si="0"/>
        <v>176424.1</v>
      </c>
      <c r="N15" s="45"/>
    </row>
    <row r="16" spans="1:14">
      <c r="A16" s="26">
        <v>13</v>
      </c>
      <c r="B16" s="27">
        <v>46035</v>
      </c>
      <c r="C16" s="17"/>
      <c r="D16" s="17"/>
      <c r="E16" s="89"/>
      <c r="F16" s="89"/>
      <c r="G16" s="17">
        <f t="shared" si="1"/>
        <v>0</v>
      </c>
      <c r="H16" s="89"/>
      <c r="I16" s="89"/>
      <c r="J16" s="17">
        <f t="shared" si="2"/>
        <v>0</v>
      </c>
      <c r="K16" s="17">
        <f t="shared" si="3"/>
        <v>0</v>
      </c>
      <c r="L16" s="17"/>
      <c r="M16" s="17">
        <f t="shared" si="0"/>
        <v>176424.1</v>
      </c>
      <c r="N16" s="45"/>
    </row>
    <row r="17" spans="1:14">
      <c r="A17" s="26">
        <v>14</v>
      </c>
      <c r="B17" s="27">
        <v>46036</v>
      </c>
      <c r="C17" s="17"/>
      <c r="D17" s="17"/>
      <c r="E17" s="89">
        <v>400</v>
      </c>
      <c r="F17" s="89">
        <v>92.23</v>
      </c>
      <c r="G17" s="17">
        <f t="shared" si="1"/>
        <v>36892</v>
      </c>
      <c r="H17" s="89"/>
      <c r="I17" s="89"/>
      <c r="J17" s="17">
        <f t="shared" si="2"/>
        <v>0</v>
      </c>
      <c r="K17" s="17">
        <f t="shared" si="3"/>
        <v>36892</v>
      </c>
      <c r="L17" s="17"/>
      <c r="M17" s="17">
        <f t="shared" si="0"/>
        <v>213316.1</v>
      </c>
      <c r="N17" s="45"/>
    </row>
    <row r="18" spans="1:14">
      <c r="A18" s="26">
        <v>15</v>
      </c>
      <c r="B18" s="27">
        <v>46037</v>
      </c>
      <c r="C18" s="17"/>
      <c r="D18" s="17"/>
      <c r="E18" s="89"/>
      <c r="F18" s="89"/>
      <c r="G18" s="17">
        <f t="shared" si="1"/>
        <v>0</v>
      </c>
      <c r="H18" s="89"/>
      <c r="I18" s="89"/>
      <c r="J18" s="17">
        <f t="shared" si="2"/>
        <v>0</v>
      </c>
      <c r="K18" s="17">
        <f t="shared" si="3"/>
        <v>0</v>
      </c>
      <c r="L18" s="17"/>
      <c r="M18" s="17">
        <f t="shared" si="0"/>
        <v>213316.1</v>
      </c>
      <c r="N18" s="45"/>
    </row>
    <row r="19" spans="1:14">
      <c r="A19" s="26">
        <v>16</v>
      </c>
      <c r="B19" s="27">
        <v>46038</v>
      </c>
      <c r="C19" s="17"/>
      <c r="D19" s="17"/>
      <c r="E19" s="89"/>
      <c r="F19" s="89"/>
      <c r="G19" s="17">
        <f t="shared" si="1"/>
        <v>0</v>
      </c>
      <c r="H19" s="89"/>
      <c r="I19" s="89"/>
      <c r="J19" s="17">
        <f t="shared" si="2"/>
        <v>0</v>
      </c>
      <c r="K19" s="17">
        <f t="shared" si="3"/>
        <v>0</v>
      </c>
      <c r="L19" s="17"/>
      <c r="M19" s="17">
        <f t="shared" si="0"/>
        <v>213316.1</v>
      </c>
      <c r="N19" s="45"/>
    </row>
    <row r="20" spans="1:14">
      <c r="A20" s="26">
        <v>17</v>
      </c>
      <c r="B20" s="27">
        <v>46039</v>
      </c>
      <c r="C20" s="17"/>
      <c r="D20" s="17"/>
      <c r="E20" s="89"/>
      <c r="F20" s="89"/>
      <c r="G20" s="17">
        <f t="shared" si="1"/>
        <v>0</v>
      </c>
      <c r="H20" s="89"/>
      <c r="I20" s="89"/>
      <c r="J20" s="17">
        <f t="shared" si="2"/>
        <v>0</v>
      </c>
      <c r="K20" s="17">
        <f t="shared" si="3"/>
        <v>0</v>
      </c>
      <c r="L20" s="17">
        <v>213315</v>
      </c>
      <c r="M20" s="17">
        <f t="shared" si="0"/>
        <v>1.1000000000058208</v>
      </c>
      <c r="N20" s="45"/>
    </row>
    <row r="21" spans="1:14">
      <c r="A21" s="26">
        <v>18</v>
      </c>
      <c r="B21" s="27">
        <v>46040</v>
      </c>
      <c r="C21" s="17"/>
      <c r="D21" s="17"/>
      <c r="E21" s="89"/>
      <c r="F21" s="89"/>
      <c r="G21" s="17">
        <f t="shared" si="1"/>
        <v>0</v>
      </c>
      <c r="H21" s="89"/>
      <c r="I21" s="89"/>
      <c r="J21" s="17">
        <f t="shared" si="2"/>
        <v>0</v>
      </c>
      <c r="K21" s="17">
        <f t="shared" si="3"/>
        <v>0</v>
      </c>
      <c r="L21" s="17"/>
      <c r="M21" s="17">
        <f t="shared" si="0"/>
        <v>1.1000000000058208</v>
      </c>
      <c r="N21" s="45"/>
    </row>
    <row r="22" spans="1:14">
      <c r="A22" s="26">
        <v>19</v>
      </c>
      <c r="B22" s="27">
        <v>46041</v>
      </c>
      <c r="C22" s="17"/>
      <c r="D22" s="17"/>
      <c r="E22" s="89">
        <v>200</v>
      </c>
      <c r="F22" s="89">
        <v>92.23</v>
      </c>
      <c r="G22" s="17">
        <f t="shared" si="1"/>
        <v>18446</v>
      </c>
      <c r="H22" s="89">
        <v>35</v>
      </c>
      <c r="I22" s="89">
        <v>104.09</v>
      </c>
      <c r="J22" s="17">
        <f t="shared" si="2"/>
        <v>3643.15</v>
      </c>
      <c r="K22" s="17">
        <f t="shared" si="3"/>
        <v>22089.15</v>
      </c>
      <c r="L22" s="17"/>
      <c r="M22" s="17">
        <f t="shared" si="0"/>
        <v>22090.250000000007</v>
      </c>
      <c r="N22" s="45"/>
    </row>
    <row r="23" spans="1:14">
      <c r="A23" s="26">
        <v>20</v>
      </c>
      <c r="B23" s="27">
        <v>46042</v>
      </c>
      <c r="C23" s="17"/>
      <c r="D23" s="17"/>
      <c r="E23" s="89"/>
      <c r="F23" s="89"/>
      <c r="G23" s="17">
        <f t="shared" si="1"/>
        <v>0</v>
      </c>
      <c r="H23" s="89"/>
      <c r="I23" s="89"/>
      <c r="J23" s="17">
        <f t="shared" si="2"/>
        <v>0</v>
      </c>
      <c r="K23" s="17">
        <f t="shared" si="3"/>
        <v>0</v>
      </c>
      <c r="L23" s="17"/>
      <c r="M23" s="17">
        <f t="shared" si="0"/>
        <v>22090.250000000007</v>
      </c>
      <c r="N23" s="45"/>
    </row>
    <row r="24" spans="1:14">
      <c r="A24" s="26">
        <v>21</v>
      </c>
      <c r="B24" s="27">
        <v>46043</v>
      </c>
      <c r="C24" s="17"/>
      <c r="D24" s="17"/>
      <c r="E24" s="89">
        <v>400</v>
      </c>
      <c r="F24" s="89">
        <v>92.23</v>
      </c>
      <c r="G24" s="17">
        <f t="shared" si="1"/>
        <v>36892</v>
      </c>
      <c r="H24" s="89">
        <v>25.01</v>
      </c>
      <c r="I24" s="89">
        <v>104.09</v>
      </c>
      <c r="J24" s="17">
        <f t="shared" si="2"/>
        <v>2603.2909000000004</v>
      </c>
      <c r="K24" s="17">
        <f t="shared" si="3"/>
        <v>39495.2909</v>
      </c>
      <c r="L24" s="17"/>
      <c r="M24" s="17">
        <f t="shared" si="0"/>
        <v>61585.540900000007</v>
      </c>
      <c r="N24" s="45"/>
    </row>
    <row r="25" spans="1:14">
      <c r="A25" s="26">
        <v>22</v>
      </c>
      <c r="B25" s="27">
        <v>46044</v>
      </c>
      <c r="C25" s="17"/>
      <c r="D25" s="17"/>
      <c r="E25" s="89"/>
      <c r="F25" s="89"/>
      <c r="G25" s="17">
        <f t="shared" si="1"/>
        <v>0</v>
      </c>
      <c r="H25" s="89"/>
      <c r="I25" s="89"/>
      <c r="J25" s="17">
        <f t="shared" si="2"/>
        <v>0</v>
      </c>
      <c r="K25" s="17">
        <f t="shared" si="3"/>
        <v>0</v>
      </c>
      <c r="L25" s="17"/>
      <c r="M25" s="17">
        <f t="shared" si="0"/>
        <v>61585.540900000007</v>
      </c>
      <c r="N25" s="45"/>
    </row>
    <row r="26" spans="1:14">
      <c r="A26" s="26">
        <v>23</v>
      </c>
      <c r="B26" s="27">
        <v>46045</v>
      </c>
      <c r="C26" s="17"/>
      <c r="D26" s="17"/>
      <c r="E26" s="89"/>
      <c r="F26" s="89"/>
      <c r="G26" s="17">
        <f t="shared" si="1"/>
        <v>0</v>
      </c>
      <c r="H26" s="89"/>
      <c r="I26" s="89"/>
      <c r="J26" s="17">
        <f t="shared" si="2"/>
        <v>0</v>
      </c>
      <c r="K26" s="17">
        <f t="shared" si="3"/>
        <v>0</v>
      </c>
      <c r="L26" s="17"/>
      <c r="M26" s="17">
        <f t="shared" si="0"/>
        <v>61585.540900000007</v>
      </c>
      <c r="N26" s="45"/>
    </row>
    <row r="27" spans="1:14">
      <c r="A27" s="26">
        <v>24</v>
      </c>
      <c r="B27" s="27">
        <v>46046</v>
      </c>
      <c r="C27" s="17"/>
      <c r="D27" s="17"/>
      <c r="E27" s="89"/>
      <c r="F27" s="89"/>
      <c r="G27" s="17">
        <f t="shared" si="1"/>
        <v>0</v>
      </c>
      <c r="H27" s="89"/>
      <c r="I27" s="89"/>
      <c r="J27" s="17">
        <f t="shared" si="2"/>
        <v>0</v>
      </c>
      <c r="K27" s="17">
        <f t="shared" si="3"/>
        <v>0</v>
      </c>
      <c r="L27" s="17"/>
      <c r="M27" s="17">
        <f t="shared" si="0"/>
        <v>61585.540900000007</v>
      </c>
      <c r="N27" s="45"/>
    </row>
    <row r="28" spans="1:14">
      <c r="A28" s="26">
        <v>25</v>
      </c>
      <c r="B28" s="27">
        <v>46047</v>
      </c>
      <c r="C28" s="17"/>
      <c r="D28" s="17"/>
      <c r="E28" s="89"/>
      <c r="F28" s="89"/>
      <c r="G28" s="17">
        <f t="shared" si="1"/>
        <v>0</v>
      </c>
      <c r="H28" s="89"/>
      <c r="I28" s="89"/>
      <c r="J28" s="17">
        <f t="shared" si="2"/>
        <v>0</v>
      </c>
      <c r="K28" s="17">
        <f t="shared" si="3"/>
        <v>0</v>
      </c>
      <c r="L28" s="17"/>
      <c r="M28" s="17">
        <f t="shared" si="0"/>
        <v>61585.540900000007</v>
      </c>
      <c r="N28" s="45"/>
    </row>
    <row r="29" spans="1:14">
      <c r="A29" s="26">
        <v>26</v>
      </c>
      <c r="B29" s="27">
        <v>46048</v>
      </c>
      <c r="C29" s="17"/>
      <c r="D29" s="17"/>
      <c r="E29" s="89"/>
      <c r="F29" s="89"/>
      <c r="G29" s="17">
        <f t="shared" si="1"/>
        <v>0</v>
      </c>
      <c r="H29" s="89"/>
      <c r="I29" s="89"/>
      <c r="J29" s="17">
        <f t="shared" si="2"/>
        <v>0</v>
      </c>
      <c r="K29" s="17">
        <f t="shared" si="3"/>
        <v>0</v>
      </c>
      <c r="L29" s="17"/>
      <c r="M29" s="17">
        <f t="shared" si="0"/>
        <v>61585.540900000007</v>
      </c>
      <c r="N29" s="45"/>
    </row>
    <row r="30" spans="1:14">
      <c r="A30" s="26">
        <v>27</v>
      </c>
      <c r="B30" s="27">
        <v>46049</v>
      </c>
      <c r="C30" s="17"/>
      <c r="D30" s="17"/>
      <c r="E30" s="89"/>
      <c r="F30" s="89"/>
      <c r="G30" s="17">
        <f t="shared" si="1"/>
        <v>0</v>
      </c>
      <c r="H30" s="89"/>
      <c r="I30" s="89"/>
      <c r="J30" s="17">
        <f t="shared" si="2"/>
        <v>0</v>
      </c>
      <c r="K30" s="17">
        <f t="shared" si="3"/>
        <v>0</v>
      </c>
      <c r="L30" s="17"/>
      <c r="M30" s="17">
        <f t="shared" si="0"/>
        <v>61585.540900000007</v>
      </c>
      <c r="N30" s="45"/>
    </row>
    <row r="31" spans="1:14">
      <c r="A31" s="26">
        <v>28</v>
      </c>
      <c r="B31" s="27">
        <v>46050</v>
      </c>
      <c r="C31" s="17"/>
      <c r="D31" s="17"/>
      <c r="E31" s="89">
        <v>400</v>
      </c>
      <c r="F31" s="89">
        <v>92.23</v>
      </c>
      <c r="G31" s="17">
        <f t="shared" si="1"/>
        <v>36892</v>
      </c>
      <c r="H31" s="89">
        <v>35</v>
      </c>
      <c r="I31" s="89">
        <v>104.09</v>
      </c>
      <c r="J31" s="17">
        <f t="shared" si="2"/>
        <v>3643.15</v>
      </c>
      <c r="K31" s="17">
        <f t="shared" si="3"/>
        <v>40535.15</v>
      </c>
      <c r="L31" s="17"/>
      <c r="M31" s="17">
        <f t="shared" si="0"/>
        <v>102120.69090000002</v>
      </c>
      <c r="N31" s="45"/>
    </row>
    <row r="32" spans="1:14">
      <c r="A32" s="26">
        <v>29</v>
      </c>
      <c r="B32" s="27">
        <v>46051</v>
      </c>
      <c r="C32" s="17"/>
      <c r="D32" s="17"/>
      <c r="E32" s="89"/>
      <c r="F32" s="89"/>
      <c r="G32" s="17">
        <f t="shared" si="1"/>
        <v>0</v>
      </c>
      <c r="H32" s="89"/>
      <c r="I32" s="89"/>
      <c r="J32" s="17">
        <f t="shared" ref="J32:J34" si="5">H32*I32</f>
        <v>0</v>
      </c>
      <c r="K32" s="17">
        <f t="shared" ref="K32:K34" si="6">G32+J32</f>
        <v>0</v>
      </c>
      <c r="L32" s="17"/>
      <c r="M32" s="17">
        <f t="shared" si="0"/>
        <v>102120.69090000002</v>
      </c>
      <c r="N32" s="45"/>
    </row>
    <row r="33" spans="1:14">
      <c r="A33" s="26">
        <v>30</v>
      </c>
      <c r="B33" s="27">
        <v>46052</v>
      </c>
      <c r="C33" s="17"/>
      <c r="D33" s="17"/>
      <c r="E33" s="89"/>
      <c r="F33" s="89"/>
      <c r="G33" s="17">
        <f t="shared" si="1"/>
        <v>0</v>
      </c>
      <c r="H33" s="89"/>
      <c r="I33" s="89"/>
      <c r="J33" s="17">
        <f t="shared" si="5"/>
        <v>0</v>
      </c>
      <c r="K33" s="17">
        <f t="shared" si="6"/>
        <v>0</v>
      </c>
      <c r="L33" s="17"/>
      <c r="M33" s="17">
        <f t="shared" si="0"/>
        <v>102120.69090000002</v>
      </c>
      <c r="N33" s="45"/>
    </row>
    <row r="34" spans="1:14">
      <c r="A34" s="26">
        <v>31</v>
      </c>
      <c r="B34" s="27">
        <v>46053</v>
      </c>
      <c r="C34" s="17"/>
      <c r="D34" s="17"/>
      <c r="E34" s="89">
        <v>600</v>
      </c>
      <c r="F34" s="89">
        <v>92.23</v>
      </c>
      <c r="G34" s="17">
        <f t="shared" si="1"/>
        <v>55338</v>
      </c>
      <c r="H34" s="89">
        <v>35.03</v>
      </c>
      <c r="I34" s="89">
        <v>104.09</v>
      </c>
      <c r="J34" s="17">
        <f t="shared" si="5"/>
        <v>3646.2727000000004</v>
      </c>
      <c r="K34" s="17">
        <f t="shared" si="6"/>
        <v>58984.272700000001</v>
      </c>
      <c r="L34" s="17"/>
      <c r="M34" s="17">
        <f t="shared" si="0"/>
        <v>161104.96360000002</v>
      </c>
      <c r="N34" s="45"/>
    </row>
    <row r="35" spans="1:14">
      <c r="A35" s="43"/>
      <c r="B35" s="43"/>
      <c r="C35" s="43"/>
      <c r="D35" s="43"/>
      <c r="E35" s="43">
        <f>SUM(E4:E34)</f>
        <v>3800</v>
      </c>
      <c r="F35" s="43"/>
      <c r="G35" s="43">
        <f>SUM(G4:G34)</f>
        <v>350474</v>
      </c>
      <c r="H35" s="43">
        <f>SUM(H4:H34)</f>
        <v>230.04</v>
      </c>
      <c r="I35" s="43"/>
      <c r="J35" s="43">
        <f>SUM(J4:J34)</f>
        <v>23944.863600000004</v>
      </c>
      <c r="K35" s="43">
        <f>SUM(K4:K34)</f>
        <v>374418.86360000004</v>
      </c>
      <c r="L35" s="43">
        <f>SUM(L4:L34)</f>
        <v>358717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96C1B-2052-4EFC-AB89-74369C91C58E}">
  <dimension ref="A1:N35"/>
  <sheetViews>
    <sheetView topLeftCell="A17" workbookViewId="0">
      <selection activeCell="R26" sqref="R26"/>
    </sheetView>
  </sheetViews>
  <sheetFormatPr defaultRowHeight="15"/>
  <cols>
    <col min="2" max="2" width="10.140625" bestFit="1" customWidth="1"/>
    <col min="3" max="3" width="15.42578125" customWidth="1"/>
    <col min="4" max="4" width="19.140625" customWidth="1"/>
  </cols>
  <sheetData>
    <row r="1" spans="1:14" ht="15.75">
      <c r="A1" s="478" t="s">
        <v>224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</row>
    <row r="2" spans="1:14" ht="27">
      <c r="A2" s="106" t="s">
        <v>129</v>
      </c>
      <c r="B2" s="109" t="s">
        <v>130</v>
      </c>
      <c r="C2" s="109" t="s">
        <v>131</v>
      </c>
      <c r="D2" s="109" t="s">
        <v>132</v>
      </c>
      <c r="E2" s="109" t="s">
        <v>133</v>
      </c>
      <c r="F2" s="109" t="s">
        <v>134</v>
      </c>
      <c r="G2" s="109" t="s">
        <v>135</v>
      </c>
      <c r="H2" s="109" t="s">
        <v>136</v>
      </c>
      <c r="I2" s="109" t="s">
        <v>134</v>
      </c>
      <c r="J2" s="109" t="s">
        <v>135</v>
      </c>
      <c r="K2" s="109" t="s">
        <v>137</v>
      </c>
      <c r="L2" s="109" t="s">
        <v>138</v>
      </c>
      <c r="M2" s="109" t="s">
        <v>199</v>
      </c>
      <c r="N2" s="109" t="s">
        <v>140</v>
      </c>
    </row>
    <row r="3" spans="1:14">
      <c r="A3" s="482" t="s">
        <v>141</v>
      </c>
      <c r="B3" s="482"/>
      <c r="C3" s="482"/>
      <c r="D3" s="482"/>
      <c r="E3" s="482"/>
      <c r="F3" s="482"/>
      <c r="G3" s="482"/>
      <c r="H3" s="482"/>
      <c r="I3" s="482"/>
      <c r="J3" s="482"/>
      <c r="K3" s="98">
        <v>0</v>
      </c>
      <c r="L3" s="98">
        <v>0</v>
      </c>
      <c r="M3" s="98">
        <f>+K3</f>
        <v>0</v>
      </c>
      <c r="N3" s="17"/>
    </row>
    <row r="4" spans="1:14">
      <c r="A4" s="26">
        <v>1</v>
      </c>
      <c r="B4" s="27">
        <v>46023</v>
      </c>
      <c r="C4" s="17"/>
      <c r="D4" s="17"/>
      <c r="E4" s="89"/>
      <c r="F4" s="89"/>
      <c r="G4" s="17">
        <f>E4*F4</f>
        <v>0</v>
      </c>
      <c r="H4" s="89"/>
      <c r="I4" s="89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5"/>
    </row>
    <row r="5" spans="1:14">
      <c r="A5" s="26">
        <v>2</v>
      </c>
      <c r="B5" s="27">
        <v>46024</v>
      </c>
      <c r="C5" s="17"/>
      <c r="D5" s="17"/>
      <c r="E5" s="89"/>
      <c r="F5" s="89"/>
      <c r="G5" s="17">
        <f t="shared" ref="G5:G34" si="0">E5*F5</f>
        <v>0</v>
      </c>
      <c r="H5" s="89"/>
      <c r="I5" s="89"/>
      <c r="J5" s="17">
        <f t="shared" ref="J5:J34" si="1">H5*I5</f>
        <v>0</v>
      </c>
      <c r="K5" s="17">
        <f>G5+J5</f>
        <v>0</v>
      </c>
      <c r="L5" s="17">
        <f t="shared" ref="L5:L34" si="2">K5</f>
        <v>0</v>
      </c>
      <c r="M5" s="17">
        <f t="shared" ref="M5:M27" si="3">M4+K5-L5</f>
        <v>0</v>
      </c>
      <c r="N5" s="45"/>
    </row>
    <row r="6" spans="1:14">
      <c r="A6" s="26">
        <v>3</v>
      </c>
      <c r="B6" s="27">
        <v>46025</v>
      </c>
      <c r="C6" s="17"/>
      <c r="D6" s="17"/>
      <c r="E6" s="89"/>
      <c r="F6" s="89"/>
      <c r="G6" s="17">
        <f t="shared" si="0"/>
        <v>0</v>
      </c>
      <c r="H6" s="89"/>
      <c r="I6" s="89"/>
      <c r="J6" s="17">
        <f t="shared" si="1"/>
        <v>0</v>
      </c>
      <c r="K6" s="17">
        <f t="shared" ref="K6:K34" si="4">G6+J6</f>
        <v>0</v>
      </c>
      <c r="L6" s="17">
        <f t="shared" si="2"/>
        <v>0</v>
      </c>
      <c r="M6" s="17">
        <f t="shared" si="3"/>
        <v>0</v>
      </c>
      <c r="N6" s="45"/>
    </row>
    <row r="7" spans="1:14">
      <c r="A7" s="26">
        <v>4</v>
      </c>
      <c r="B7" s="27">
        <v>46026</v>
      </c>
      <c r="C7" s="17"/>
      <c r="D7" s="17"/>
      <c r="E7" s="89"/>
      <c r="F7" s="89"/>
      <c r="G7" s="17">
        <f t="shared" si="0"/>
        <v>0</v>
      </c>
      <c r="H7" s="89"/>
      <c r="I7" s="89"/>
      <c r="J7" s="17">
        <f t="shared" si="1"/>
        <v>0</v>
      </c>
      <c r="K7" s="17">
        <f t="shared" si="4"/>
        <v>0</v>
      </c>
      <c r="L7" s="17">
        <f t="shared" si="2"/>
        <v>0</v>
      </c>
      <c r="M7" s="17">
        <f t="shared" si="3"/>
        <v>0</v>
      </c>
      <c r="N7" s="45"/>
    </row>
    <row r="8" spans="1:14">
      <c r="A8" s="26">
        <v>5</v>
      </c>
      <c r="B8" s="27">
        <v>46027</v>
      </c>
      <c r="C8" s="17"/>
      <c r="D8" s="17"/>
      <c r="E8" s="89">
        <v>70</v>
      </c>
      <c r="F8" s="89">
        <v>92.23</v>
      </c>
      <c r="G8" s="17">
        <f t="shared" si="0"/>
        <v>6456.1</v>
      </c>
      <c r="H8" s="89">
        <v>5</v>
      </c>
      <c r="I8" s="89">
        <v>104.03</v>
      </c>
      <c r="J8" s="17">
        <f t="shared" si="1"/>
        <v>520.15</v>
      </c>
      <c r="K8" s="17">
        <f t="shared" si="4"/>
        <v>6976.25</v>
      </c>
      <c r="L8" s="17">
        <f t="shared" si="2"/>
        <v>6976.25</v>
      </c>
      <c r="M8" s="17">
        <f t="shared" si="3"/>
        <v>0</v>
      </c>
      <c r="N8" s="45"/>
    </row>
    <row r="9" spans="1:14">
      <c r="A9" s="26">
        <v>6</v>
      </c>
      <c r="B9" s="27">
        <v>46028</v>
      </c>
      <c r="C9" s="17"/>
      <c r="D9" s="17"/>
      <c r="E9" s="89"/>
      <c r="F9" s="89"/>
      <c r="G9" s="17">
        <f t="shared" si="0"/>
        <v>0</v>
      </c>
      <c r="H9" s="89"/>
      <c r="I9" s="89"/>
      <c r="J9" s="17">
        <f t="shared" si="1"/>
        <v>0</v>
      </c>
      <c r="K9" s="17">
        <f t="shared" si="4"/>
        <v>0</v>
      </c>
      <c r="L9" s="17">
        <f t="shared" si="2"/>
        <v>0</v>
      </c>
      <c r="M9" s="17">
        <f t="shared" si="3"/>
        <v>0</v>
      </c>
      <c r="N9" s="45"/>
    </row>
    <row r="10" spans="1:14">
      <c r="A10" s="26">
        <v>7</v>
      </c>
      <c r="B10" s="27">
        <v>46029</v>
      </c>
      <c r="C10" s="17"/>
      <c r="D10" s="17"/>
      <c r="E10" s="89"/>
      <c r="F10" s="89"/>
      <c r="G10" s="17">
        <f t="shared" si="0"/>
        <v>0</v>
      </c>
      <c r="H10" s="89"/>
      <c r="I10" s="89"/>
      <c r="J10" s="17">
        <f t="shared" si="1"/>
        <v>0</v>
      </c>
      <c r="K10" s="17">
        <f t="shared" si="4"/>
        <v>0</v>
      </c>
      <c r="L10" s="17">
        <f t="shared" si="2"/>
        <v>0</v>
      </c>
      <c r="M10" s="17">
        <f t="shared" si="3"/>
        <v>0</v>
      </c>
      <c r="N10" s="45"/>
    </row>
    <row r="11" spans="1:14">
      <c r="A11" s="26">
        <v>8</v>
      </c>
      <c r="B11" s="27">
        <v>46030</v>
      </c>
      <c r="C11" s="17"/>
      <c r="D11" s="17"/>
      <c r="E11" s="89"/>
      <c r="F11" s="89"/>
      <c r="G11" s="17">
        <f t="shared" si="0"/>
        <v>0</v>
      </c>
      <c r="H11" s="89"/>
      <c r="I11" s="89"/>
      <c r="J11" s="17">
        <f t="shared" si="1"/>
        <v>0</v>
      </c>
      <c r="K11" s="17">
        <f t="shared" si="4"/>
        <v>0</v>
      </c>
      <c r="L11" s="17">
        <f t="shared" si="2"/>
        <v>0</v>
      </c>
      <c r="M11" s="17">
        <f t="shared" si="3"/>
        <v>0</v>
      </c>
      <c r="N11" s="45"/>
    </row>
    <row r="12" spans="1:14">
      <c r="A12" s="26">
        <v>9</v>
      </c>
      <c r="B12" s="27">
        <v>46031</v>
      </c>
      <c r="C12" s="17"/>
      <c r="D12" s="17"/>
      <c r="E12" s="89">
        <v>80</v>
      </c>
      <c r="F12" s="89">
        <v>92.23</v>
      </c>
      <c r="G12" s="17">
        <f t="shared" si="0"/>
        <v>7378.4000000000005</v>
      </c>
      <c r="H12" s="89">
        <v>5.01</v>
      </c>
      <c r="I12" s="89">
        <v>104.09</v>
      </c>
      <c r="J12" s="17">
        <f t="shared" si="1"/>
        <v>521.49090000000001</v>
      </c>
      <c r="K12" s="17">
        <f t="shared" si="4"/>
        <v>7899.8909000000003</v>
      </c>
      <c r="L12" s="17">
        <f t="shared" si="2"/>
        <v>7899.8909000000003</v>
      </c>
      <c r="M12" s="17">
        <f t="shared" si="3"/>
        <v>0</v>
      </c>
      <c r="N12" s="45"/>
    </row>
    <row r="13" spans="1:14">
      <c r="A13" s="26">
        <v>10</v>
      </c>
      <c r="B13" s="27">
        <v>46032</v>
      </c>
      <c r="C13" s="17"/>
      <c r="D13" s="17"/>
      <c r="E13" s="89"/>
      <c r="F13" s="89"/>
      <c r="G13" s="17">
        <f t="shared" si="0"/>
        <v>0</v>
      </c>
      <c r="H13" s="89"/>
      <c r="I13" s="89"/>
      <c r="J13" s="17">
        <f t="shared" si="1"/>
        <v>0</v>
      </c>
      <c r="K13" s="17">
        <f t="shared" si="4"/>
        <v>0</v>
      </c>
      <c r="L13" s="17">
        <f t="shared" si="2"/>
        <v>0</v>
      </c>
      <c r="M13" s="17">
        <f t="shared" si="3"/>
        <v>0</v>
      </c>
      <c r="N13" s="45"/>
    </row>
    <row r="14" spans="1:14">
      <c r="A14" s="26">
        <v>11</v>
      </c>
      <c r="B14" s="27">
        <v>46033</v>
      </c>
      <c r="C14" s="17"/>
      <c r="D14" s="17"/>
      <c r="E14" s="89"/>
      <c r="F14" s="89"/>
      <c r="G14" s="17">
        <f t="shared" si="0"/>
        <v>0</v>
      </c>
      <c r="H14" s="89"/>
      <c r="I14" s="89"/>
      <c r="J14" s="17">
        <f t="shared" si="1"/>
        <v>0</v>
      </c>
      <c r="K14" s="17">
        <f t="shared" si="4"/>
        <v>0</v>
      </c>
      <c r="L14" s="17">
        <f t="shared" si="2"/>
        <v>0</v>
      </c>
      <c r="M14" s="17">
        <f t="shared" si="3"/>
        <v>0</v>
      </c>
      <c r="N14" s="45"/>
    </row>
    <row r="15" spans="1:14">
      <c r="A15" s="26">
        <v>12</v>
      </c>
      <c r="B15" s="27">
        <v>46034</v>
      </c>
      <c r="C15" s="17"/>
      <c r="D15" s="17"/>
      <c r="E15" s="89">
        <v>60</v>
      </c>
      <c r="F15" s="89">
        <v>92.23</v>
      </c>
      <c r="G15" s="17">
        <f t="shared" si="0"/>
        <v>5533.8</v>
      </c>
      <c r="H15" s="89">
        <v>5</v>
      </c>
      <c r="I15" s="89">
        <v>104.09</v>
      </c>
      <c r="J15" s="17">
        <f t="shared" si="1"/>
        <v>520.45000000000005</v>
      </c>
      <c r="K15" s="17">
        <f t="shared" si="4"/>
        <v>6054.25</v>
      </c>
      <c r="L15" s="17">
        <f t="shared" si="2"/>
        <v>6054.25</v>
      </c>
      <c r="M15" s="17">
        <f t="shared" si="3"/>
        <v>0</v>
      </c>
      <c r="N15" s="45"/>
    </row>
    <row r="16" spans="1:14">
      <c r="A16" s="26">
        <v>13</v>
      </c>
      <c r="B16" s="27">
        <v>46035</v>
      </c>
      <c r="C16" s="17"/>
      <c r="D16" s="17"/>
      <c r="E16" s="89"/>
      <c r="F16" s="89"/>
      <c r="G16" s="17">
        <f t="shared" si="0"/>
        <v>0</v>
      </c>
      <c r="H16" s="89"/>
      <c r="I16" s="89"/>
      <c r="J16" s="17">
        <f t="shared" si="1"/>
        <v>0</v>
      </c>
      <c r="K16" s="17">
        <f t="shared" si="4"/>
        <v>0</v>
      </c>
      <c r="L16" s="17">
        <f t="shared" si="2"/>
        <v>0</v>
      </c>
      <c r="M16" s="17">
        <f t="shared" si="3"/>
        <v>0</v>
      </c>
      <c r="N16" s="45"/>
    </row>
    <row r="17" spans="1:14">
      <c r="A17" s="26">
        <v>14</v>
      </c>
      <c r="B17" s="27">
        <v>46036</v>
      </c>
      <c r="C17" s="17"/>
      <c r="D17" s="17"/>
      <c r="E17" s="89"/>
      <c r="F17" s="89"/>
      <c r="G17" s="17">
        <f t="shared" si="0"/>
        <v>0</v>
      </c>
      <c r="H17" s="89"/>
      <c r="I17" s="89"/>
      <c r="J17" s="17">
        <f t="shared" si="1"/>
        <v>0</v>
      </c>
      <c r="K17" s="17">
        <f t="shared" si="4"/>
        <v>0</v>
      </c>
      <c r="L17" s="17">
        <f t="shared" si="2"/>
        <v>0</v>
      </c>
      <c r="M17" s="17">
        <f t="shared" si="3"/>
        <v>0</v>
      </c>
      <c r="N17" s="45"/>
    </row>
    <row r="18" spans="1:14">
      <c r="A18" s="26">
        <v>15</v>
      </c>
      <c r="B18" s="27">
        <v>46037</v>
      </c>
      <c r="C18" s="17"/>
      <c r="D18" s="17"/>
      <c r="E18" s="89"/>
      <c r="F18" s="89"/>
      <c r="G18" s="17">
        <f t="shared" si="0"/>
        <v>0</v>
      </c>
      <c r="H18" s="89"/>
      <c r="I18" s="89"/>
      <c r="J18" s="17">
        <f t="shared" si="1"/>
        <v>0</v>
      </c>
      <c r="K18" s="17">
        <f t="shared" si="4"/>
        <v>0</v>
      </c>
      <c r="L18" s="17">
        <f t="shared" si="2"/>
        <v>0</v>
      </c>
      <c r="M18" s="17">
        <f t="shared" si="3"/>
        <v>0</v>
      </c>
      <c r="N18" s="45"/>
    </row>
    <row r="19" spans="1:14">
      <c r="A19" s="26">
        <v>16</v>
      </c>
      <c r="B19" s="27">
        <v>46038</v>
      </c>
      <c r="C19" s="17"/>
      <c r="D19" s="17"/>
      <c r="E19" s="89">
        <v>59.99</v>
      </c>
      <c r="F19" s="89">
        <v>92.23</v>
      </c>
      <c r="G19" s="17">
        <f t="shared" si="0"/>
        <v>5532.8777</v>
      </c>
      <c r="H19" s="89">
        <v>5</v>
      </c>
      <c r="I19" s="89">
        <v>104.09</v>
      </c>
      <c r="J19" s="17">
        <f t="shared" si="1"/>
        <v>520.45000000000005</v>
      </c>
      <c r="K19" s="17">
        <f t="shared" si="4"/>
        <v>6053.3276999999998</v>
      </c>
      <c r="L19" s="17">
        <f t="shared" si="2"/>
        <v>6053.3276999999998</v>
      </c>
      <c r="M19" s="17">
        <f t="shared" si="3"/>
        <v>0</v>
      </c>
      <c r="N19" s="45"/>
    </row>
    <row r="20" spans="1:14">
      <c r="A20" s="26">
        <v>17</v>
      </c>
      <c r="B20" s="27">
        <v>46039</v>
      </c>
      <c r="C20" s="17"/>
      <c r="D20" s="17"/>
      <c r="E20" s="89"/>
      <c r="F20" s="89"/>
      <c r="G20" s="17">
        <f t="shared" si="0"/>
        <v>0</v>
      </c>
      <c r="H20" s="89"/>
      <c r="I20" s="89"/>
      <c r="J20" s="17">
        <f t="shared" si="1"/>
        <v>0</v>
      </c>
      <c r="K20" s="17">
        <f t="shared" si="4"/>
        <v>0</v>
      </c>
      <c r="L20" s="17">
        <f t="shared" si="2"/>
        <v>0</v>
      </c>
      <c r="M20" s="17">
        <f t="shared" si="3"/>
        <v>0</v>
      </c>
      <c r="N20" s="45"/>
    </row>
    <row r="21" spans="1:14">
      <c r="A21" s="26">
        <v>18</v>
      </c>
      <c r="B21" s="27">
        <v>46040</v>
      </c>
      <c r="C21" s="17"/>
      <c r="D21" s="17"/>
      <c r="E21" s="89"/>
      <c r="F21" s="89"/>
      <c r="G21" s="17">
        <f t="shared" si="0"/>
        <v>0</v>
      </c>
      <c r="H21" s="89"/>
      <c r="I21" s="89"/>
      <c r="J21" s="17">
        <f t="shared" si="1"/>
        <v>0</v>
      </c>
      <c r="K21" s="17">
        <f t="shared" si="4"/>
        <v>0</v>
      </c>
      <c r="L21" s="17">
        <f t="shared" si="2"/>
        <v>0</v>
      </c>
      <c r="M21" s="17">
        <f t="shared" si="3"/>
        <v>0</v>
      </c>
      <c r="N21" s="45"/>
    </row>
    <row r="22" spans="1:14">
      <c r="A22" s="26">
        <v>19</v>
      </c>
      <c r="B22" s="27">
        <v>46041</v>
      </c>
      <c r="C22" s="17"/>
      <c r="D22" s="17"/>
      <c r="E22" s="89">
        <v>60</v>
      </c>
      <c r="F22" s="89">
        <v>92.23</v>
      </c>
      <c r="G22" s="17">
        <f t="shared" si="0"/>
        <v>5533.8</v>
      </c>
      <c r="H22" s="89">
        <v>5</v>
      </c>
      <c r="I22" s="89">
        <v>104.09</v>
      </c>
      <c r="J22" s="17">
        <f t="shared" si="1"/>
        <v>520.45000000000005</v>
      </c>
      <c r="K22" s="17">
        <f t="shared" si="4"/>
        <v>6054.25</v>
      </c>
      <c r="L22" s="17">
        <f t="shared" si="2"/>
        <v>6054.25</v>
      </c>
      <c r="M22" s="17">
        <f t="shared" si="3"/>
        <v>0</v>
      </c>
      <c r="N22" s="45"/>
    </row>
    <row r="23" spans="1:14">
      <c r="A23" s="26">
        <v>20</v>
      </c>
      <c r="B23" s="27">
        <v>46042</v>
      </c>
      <c r="C23" s="17"/>
      <c r="D23" s="17"/>
      <c r="E23" s="89"/>
      <c r="F23" s="89"/>
      <c r="G23" s="17">
        <f t="shared" si="0"/>
        <v>0</v>
      </c>
      <c r="H23" s="89"/>
      <c r="I23" s="89"/>
      <c r="J23" s="17">
        <f t="shared" si="1"/>
        <v>0</v>
      </c>
      <c r="K23" s="17">
        <f t="shared" si="4"/>
        <v>0</v>
      </c>
      <c r="L23" s="17">
        <f t="shared" si="2"/>
        <v>0</v>
      </c>
      <c r="M23" s="17">
        <f t="shared" si="3"/>
        <v>0</v>
      </c>
      <c r="N23" s="45"/>
    </row>
    <row r="24" spans="1:14">
      <c r="A24" s="26">
        <v>21</v>
      </c>
      <c r="B24" s="27">
        <v>46043</v>
      </c>
      <c r="C24" s="17"/>
      <c r="D24" s="17"/>
      <c r="E24" s="89"/>
      <c r="F24" s="89"/>
      <c r="G24" s="17">
        <f t="shared" si="0"/>
        <v>0</v>
      </c>
      <c r="H24" s="89"/>
      <c r="I24" s="89"/>
      <c r="J24" s="17">
        <f t="shared" si="1"/>
        <v>0</v>
      </c>
      <c r="K24" s="17">
        <f t="shared" si="4"/>
        <v>0</v>
      </c>
      <c r="L24" s="17">
        <f t="shared" si="2"/>
        <v>0</v>
      </c>
      <c r="M24" s="17">
        <f t="shared" si="3"/>
        <v>0</v>
      </c>
      <c r="N24" s="45"/>
    </row>
    <row r="25" spans="1:14">
      <c r="A25" s="26">
        <v>22</v>
      </c>
      <c r="B25" s="27">
        <v>46044</v>
      </c>
      <c r="C25" s="17"/>
      <c r="D25" s="17"/>
      <c r="E25" s="89"/>
      <c r="F25" s="89"/>
      <c r="G25" s="17">
        <f t="shared" si="0"/>
        <v>0</v>
      </c>
      <c r="H25" s="89"/>
      <c r="I25" s="89"/>
      <c r="J25" s="17">
        <f t="shared" si="1"/>
        <v>0</v>
      </c>
      <c r="K25" s="17">
        <f t="shared" si="4"/>
        <v>0</v>
      </c>
      <c r="L25" s="17">
        <f t="shared" si="2"/>
        <v>0</v>
      </c>
      <c r="M25" s="17">
        <f t="shared" si="3"/>
        <v>0</v>
      </c>
      <c r="N25" s="45"/>
    </row>
    <row r="26" spans="1:14">
      <c r="A26" s="26">
        <v>23</v>
      </c>
      <c r="B26" s="27">
        <v>46045</v>
      </c>
      <c r="C26" s="17"/>
      <c r="D26" s="17"/>
      <c r="E26" s="89">
        <v>55</v>
      </c>
      <c r="F26" s="89">
        <v>92.23</v>
      </c>
      <c r="G26" s="17">
        <f t="shared" si="0"/>
        <v>5072.6500000000005</v>
      </c>
      <c r="H26" s="89"/>
      <c r="I26" s="89"/>
      <c r="J26" s="17">
        <f t="shared" si="1"/>
        <v>0</v>
      </c>
      <c r="K26" s="17">
        <f t="shared" si="4"/>
        <v>5072.6500000000005</v>
      </c>
      <c r="L26" s="17">
        <f t="shared" si="2"/>
        <v>5072.6500000000005</v>
      </c>
      <c r="M26" s="17">
        <f t="shared" si="3"/>
        <v>0</v>
      </c>
      <c r="N26" s="45"/>
    </row>
    <row r="27" spans="1:14">
      <c r="A27" s="26">
        <v>24</v>
      </c>
      <c r="B27" s="27">
        <v>46046</v>
      </c>
      <c r="C27" s="17"/>
      <c r="D27" s="17"/>
      <c r="E27" s="89"/>
      <c r="F27" s="89"/>
      <c r="G27" s="17">
        <f t="shared" si="0"/>
        <v>0</v>
      </c>
      <c r="H27" s="89"/>
      <c r="I27" s="89"/>
      <c r="J27" s="17">
        <f t="shared" si="1"/>
        <v>0</v>
      </c>
      <c r="K27" s="17">
        <f t="shared" si="4"/>
        <v>0</v>
      </c>
      <c r="L27" s="17">
        <f t="shared" si="2"/>
        <v>0</v>
      </c>
      <c r="M27" s="17">
        <f t="shared" si="3"/>
        <v>0</v>
      </c>
      <c r="N27" s="45"/>
    </row>
    <row r="28" spans="1:14">
      <c r="A28" s="26">
        <v>25</v>
      </c>
      <c r="B28" s="27">
        <v>46047</v>
      </c>
      <c r="C28" s="17"/>
      <c r="D28" s="17"/>
      <c r="E28" s="89"/>
      <c r="F28" s="89"/>
      <c r="G28" s="17">
        <f t="shared" si="0"/>
        <v>0</v>
      </c>
      <c r="H28" s="89"/>
      <c r="I28" s="89"/>
      <c r="J28" s="17">
        <f t="shared" si="1"/>
        <v>0</v>
      </c>
      <c r="K28" s="17">
        <f>G28+J28</f>
        <v>0</v>
      </c>
      <c r="L28" s="17">
        <f t="shared" si="2"/>
        <v>0</v>
      </c>
      <c r="M28" s="17">
        <v>0</v>
      </c>
      <c r="N28" s="45"/>
    </row>
    <row r="29" spans="1:14">
      <c r="A29" s="26">
        <v>26</v>
      </c>
      <c r="B29" s="27">
        <v>46048</v>
      </c>
      <c r="C29" s="17"/>
      <c r="D29" s="17"/>
      <c r="E29" s="89"/>
      <c r="F29" s="89"/>
      <c r="G29" s="17">
        <f t="shared" si="0"/>
        <v>0</v>
      </c>
      <c r="H29" s="89"/>
      <c r="I29" s="89"/>
      <c r="J29" s="17">
        <f t="shared" si="1"/>
        <v>0</v>
      </c>
      <c r="K29" s="17">
        <f t="shared" si="4"/>
        <v>0</v>
      </c>
      <c r="L29" s="17">
        <f t="shared" si="2"/>
        <v>0</v>
      </c>
      <c r="M29" s="17">
        <v>0</v>
      </c>
      <c r="N29" s="45"/>
    </row>
    <row r="30" spans="1:14">
      <c r="A30" s="26">
        <v>27</v>
      </c>
      <c r="B30" s="27">
        <v>46049</v>
      </c>
      <c r="C30" s="17"/>
      <c r="D30" s="17"/>
      <c r="E30" s="89">
        <v>60</v>
      </c>
      <c r="F30" s="89">
        <v>92.23</v>
      </c>
      <c r="G30" s="17">
        <f t="shared" si="0"/>
        <v>5533.8</v>
      </c>
      <c r="H30" s="89">
        <v>8.07</v>
      </c>
      <c r="I30" s="89">
        <v>104.09</v>
      </c>
      <c r="J30" s="17">
        <f t="shared" si="1"/>
        <v>840.00630000000001</v>
      </c>
      <c r="K30" s="17">
        <f t="shared" si="4"/>
        <v>6373.8063000000002</v>
      </c>
      <c r="L30" s="17">
        <f t="shared" si="2"/>
        <v>6373.8063000000002</v>
      </c>
      <c r="M30" s="17">
        <v>0</v>
      </c>
      <c r="N30" s="45"/>
    </row>
    <row r="31" spans="1:14">
      <c r="A31" s="26">
        <v>28</v>
      </c>
      <c r="B31" s="27">
        <v>46050</v>
      </c>
      <c r="C31" s="17"/>
      <c r="D31" s="17"/>
      <c r="E31" s="89"/>
      <c r="F31" s="89"/>
      <c r="G31" s="17">
        <f t="shared" si="0"/>
        <v>0</v>
      </c>
      <c r="H31" s="89"/>
      <c r="I31" s="89"/>
      <c r="J31" s="17">
        <f t="shared" si="1"/>
        <v>0</v>
      </c>
      <c r="K31" s="17">
        <f t="shared" si="4"/>
        <v>0</v>
      </c>
      <c r="L31" s="17">
        <f t="shared" si="2"/>
        <v>0</v>
      </c>
      <c r="M31" s="17">
        <v>0</v>
      </c>
      <c r="N31" s="45"/>
    </row>
    <row r="32" spans="1:14">
      <c r="A32" s="26">
        <v>29</v>
      </c>
      <c r="B32" s="27">
        <v>46051</v>
      </c>
      <c r="C32" s="17"/>
      <c r="D32" s="17"/>
      <c r="E32" s="89">
        <v>65</v>
      </c>
      <c r="F32" s="89">
        <v>92.23</v>
      </c>
      <c r="G32" s="17">
        <f t="shared" si="0"/>
        <v>5994.95</v>
      </c>
      <c r="H32" s="89"/>
      <c r="I32" s="89"/>
      <c r="J32" s="17">
        <f t="shared" si="1"/>
        <v>0</v>
      </c>
      <c r="K32" s="17">
        <f t="shared" si="4"/>
        <v>5994.95</v>
      </c>
      <c r="L32" s="17">
        <f t="shared" si="2"/>
        <v>5994.95</v>
      </c>
      <c r="M32" s="17"/>
      <c r="N32" s="45"/>
    </row>
    <row r="33" spans="1:14">
      <c r="A33" s="26">
        <v>30</v>
      </c>
      <c r="B33" s="27">
        <v>46052</v>
      </c>
      <c r="C33" s="17"/>
      <c r="D33" s="17"/>
      <c r="E33" s="89"/>
      <c r="F33" s="89"/>
      <c r="G33" s="17">
        <f t="shared" si="0"/>
        <v>0</v>
      </c>
      <c r="H33" s="89"/>
      <c r="I33" s="89"/>
      <c r="J33" s="17">
        <f t="shared" si="1"/>
        <v>0</v>
      </c>
      <c r="K33" s="17">
        <f t="shared" si="4"/>
        <v>0</v>
      </c>
      <c r="L33" s="17">
        <f t="shared" si="2"/>
        <v>0</v>
      </c>
      <c r="M33" s="17"/>
      <c r="N33" s="45"/>
    </row>
    <row r="34" spans="1:14">
      <c r="A34" s="26">
        <v>31</v>
      </c>
      <c r="B34" s="27">
        <v>46053</v>
      </c>
      <c r="C34" s="17"/>
      <c r="D34" s="17"/>
      <c r="E34" s="89"/>
      <c r="F34" s="89"/>
      <c r="G34" s="17">
        <f t="shared" si="0"/>
        <v>0</v>
      </c>
      <c r="H34" s="89"/>
      <c r="I34" s="89"/>
      <c r="J34" s="17">
        <f t="shared" si="1"/>
        <v>0</v>
      </c>
      <c r="K34" s="17">
        <f t="shared" si="4"/>
        <v>0</v>
      </c>
      <c r="L34" s="17">
        <f t="shared" si="2"/>
        <v>0</v>
      </c>
      <c r="M34" s="17"/>
      <c r="N34" s="45"/>
    </row>
    <row r="35" spans="1:14">
      <c r="A35" s="43"/>
      <c r="B35" s="43"/>
      <c r="C35" s="43"/>
      <c r="D35" s="43"/>
      <c r="E35" s="43">
        <f>SUM(E4:E34)</f>
        <v>509.99</v>
      </c>
      <c r="F35" s="43"/>
      <c r="G35" s="43">
        <f>SUM(G4:G34)</f>
        <v>47036.377699999997</v>
      </c>
      <c r="H35" s="43">
        <f>SUM(H4:H34)</f>
        <v>33.08</v>
      </c>
      <c r="I35" s="43"/>
      <c r="J35" s="43">
        <f>SUM(J4:J34)</f>
        <v>3442.9971999999998</v>
      </c>
      <c r="K35" s="43">
        <f>SUM(K4:K34)</f>
        <v>50479.374899999995</v>
      </c>
      <c r="L35" s="43">
        <f>SUM(L4:L34)</f>
        <v>50479.374899999995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8E46A-CC6F-4EF6-BB30-60E9EE9B0804}">
  <dimension ref="A1:N35"/>
  <sheetViews>
    <sheetView topLeftCell="A10" workbookViewId="0">
      <selection activeCell="L27" sqref="L27"/>
    </sheetView>
  </sheetViews>
  <sheetFormatPr defaultRowHeight="15"/>
  <cols>
    <col min="2" max="2" width="10.140625" bestFit="1" customWidth="1"/>
  </cols>
  <sheetData>
    <row r="1" spans="1:14" ht="15.75">
      <c r="A1" s="478" t="s">
        <v>47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</row>
    <row r="2" spans="1:14" ht="27">
      <c r="A2" s="106" t="s">
        <v>129</v>
      </c>
      <c r="B2" s="109" t="s">
        <v>130</v>
      </c>
      <c r="C2" s="109" t="s">
        <v>131</v>
      </c>
      <c r="D2" s="109" t="s">
        <v>132</v>
      </c>
      <c r="E2" s="109" t="s">
        <v>133</v>
      </c>
      <c r="F2" s="109" t="s">
        <v>134</v>
      </c>
      <c r="G2" s="109" t="s">
        <v>135</v>
      </c>
      <c r="H2" s="109" t="s">
        <v>136</v>
      </c>
      <c r="I2" s="109" t="s">
        <v>134</v>
      </c>
      <c r="J2" s="109" t="s">
        <v>135</v>
      </c>
      <c r="K2" s="109" t="s">
        <v>137</v>
      </c>
      <c r="L2" s="109" t="s">
        <v>138</v>
      </c>
      <c r="M2" s="109" t="s">
        <v>199</v>
      </c>
      <c r="N2" s="109" t="s">
        <v>140</v>
      </c>
    </row>
    <row r="3" spans="1:14">
      <c r="A3" s="482" t="s">
        <v>141</v>
      </c>
      <c r="B3" s="482"/>
      <c r="C3" s="482"/>
      <c r="D3" s="482"/>
      <c r="E3" s="482"/>
      <c r="F3" s="482"/>
      <c r="G3" s="482"/>
      <c r="H3" s="482"/>
      <c r="I3" s="482"/>
      <c r="J3" s="482"/>
      <c r="K3" s="98">
        <v>0</v>
      </c>
      <c r="L3" s="98">
        <v>0</v>
      </c>
      <c r="M3" s="98">
        <f>+K3</f>
        <v>0</v>
      </c>
      <c r="N3" s="17"/>
    </row>
    <row r="4" spans="1:14">
      <c r="A4" s="26">
        <v>1</v>
      </c>
      <c r="B4" s="27">
        <v>46023</v>
      </c>
      <c r="C4" s="17"/>
      <c r="D4" s="17"/>
      <c r="E4" s="89"/>
      <c r="F4" s="89"/>
      <c r="G4" s="17">
        <f>E4*F4</f>
        <v>0</v>
      </c>
      <c r="H4" s="89"/>
      <c r="I4" s="89"/>
      <c r="J4" s="17">
        <f>H4*I4</f>
        <v>0</v>
      </c>
      <c r="K4" s="17">
        <f>G4+J4</f>
        <v>0</v>
      </c>
      <c r="L4" s="17">
        <f>K4</f>
        <v>0</v>
      </c>
      <c r="M4" s="17">
        <f>M3+K4-L4</f>
        <v>0</v>
      </c>
      <c r="N4" s="45"/>
    </row>
    <row r="5" spans="1:14">
      <c r="A5" s="26">
        <v>2</v>
      </c>
      <c r="B5" s="27">
        <v>46024</v>
      </c>
      <c r="C5" s="17"/>
      <c r="D5" s="17"/>
      <c r="E5" s="89"/>
      <c r="F5" s="89"/>
      <c r="G5" s="17">
        <f t="shared" ref="G5:G34" si="0">E5*F5</f>
        <v>0</v>
      </c>
      <c r="H5" s="89"/>
      <c r="I5" s="89"/>
      <c r="J5" s="17">
        <f t="shared" ref="J5:J33" si="1">H5*I5</f>
        <v>0</v>
      </c>
      <c r="K5" s="17">
        <f>G5+J5</f>
        <v>0</v>
      </c>
      <c r="L5" s="17">
        <f t="shared" ref="L5:L34" si="2">K5</f>
        <v>0</v>
      </c>
      <c r="M5" s="17">
        <f t="shared" ref="M5:M27" si="3">M4+K5-L5</f>
        <v>0</v>
      </c>
      <c r="N5" s="45" t="s">
        <v>225</v>
      </c>
    </row>
    <row r="6" spans="1:14">
      <c r="A6" s="26">
        <v>3</v>
      </c>
      <c r="B6" s="27">
        <v>46025</v>
      </c>
      <c r="C6" s="17"/>
      <c r="D6" s="17"/>
      <c r="E6" s="89"/>
      <c r="F6" s="89"/>
      <c r="G6" s="17">
        <f t="shared" si="0"/>
        <v>0</v>
      </c>
      <c r="H6" s="89">
        <v>10</v>
      </c>
      <c r="I6" s="89">
        <v>104.08</v>
      </c>
      <c r="J6" s="17">
        <f t="shared" si="1"/>
        <v>1040.8</v>
      </c>
      <c r="K6" s="17">
        <f t="shared" ref="K6:K34" si="4">G6+J6</f>
        <v>1040.8</v>
      </c>
      <c r="L6" s="17">
        <f t="shared" si="2"/>
        <v>1040.8</v>
      </c>
      <c r="M6" s="17">
        <f t="shared" si="3"/>
        <v>0</v>
      </c>
      <c r="N6" s="45"/>
    </row>
    <row r="7" spans="1:14">
      <c r="A7" s="26">
        <v>4</v>
      </c>
      <c r="B7" s="27">
        <v>46026</v>
      </c>
      <c r="C7" s="17"/>
      <c r="D7" s="17"/>
      <c r="E7" s="89"/>
      <c r="F7" s="89"/>
      <c r="G7" s="17">
        <f t="shared" si="0"/>
        <v>0</v>
      </c>
      <c r="H7" s="89"/>
      <c r="I7" s="89"/>
      <c r="J7" s="17">
        <f t="shared" si="1"/>
        <v>0</v>
      </c>
      <c r="K7" s="17">
        <f t="shared" si="4"/>
        <v>0</v>
      </c>
      <c r="L7" s="17">
        <f t="shared" si="2"/>
        <v>0</v>
      </c>
      <c r="M7" s="17">
        <f t="shared" si="3"/>
        <v>0</v>
      </c>
      <c r="N7" s="45"/>
    </row>
    <row r="8" spans="1:14">
      <c r="A8" s="26">
        <v>5</v>
      </c>
      <c r="B8" s="27">
        <v>46027</v>
      </c>
      <c r="C8" s="17"/>
      <c r="D8" s="17"/>
      <c r="E8" s="89"/>
      <c r="F8" s="89"/>
      <c r="G8" s="17">
        <f t="shared" si="0"/>
        <v>0</v>
      </c>
      <c r="H8" s="89"/>
      <c r="I8" s="89"/>
      <c r="J8" s="17">
        <f t="shared" si="1"/>
        <v>0</v>
      </c>
      <c r="K8" s="17">
        <f t="shared" si="4"/>
        <v>0</v>
      </c>
      <c r="L8" s="17">
        <f t="shared" si="2"/>
        <v>0</v>
      </c>
      <c r="M8" s="17">
        <f t="shared" si="3"/>
        <v>0</v>
      </c>
      <c r="N8" s="45" t="s">
        <v>225</v>
      </c>
    </row>
    <row r="9" spans="1:14">
      <c r="A9" s="26">
        <v>6</v>
      </c>
      <c r="B9" s="27">
        <v>46028</v>
      </c>
      <c r="C9" s="17"/>
      <c r="D9" s="17"/>
      <c r="E9" s="89"/>
      <c r="F9" s="89"/>
      <c r="G9" s="17">
        <f t="shared" si="0"/>
        <v>0</v>
      </c>
      <c r="H9" s="89"/>
      <c r="I9" s="89"/>
      <c r="J9" s="17">
        <f t="shared" si="1"/>
        <v>0</v>
      </c>
      <c r="K9" s="17">
        <f t="shared" si="4"/>
        <v>0</v>
      </c>
      <c r="L9" s="17">
        <f t="shared" si="2"/>
        <v>0</v>
      </c>
      <c r="M9" s="17">
        <f t="shared" si="3"/>
        <v>0</v>
      </c>
      <c r="N9" s="45"/>
    </row>
    <row r="10" spans="1:14">
      <c r="A10" s="26">
        <v>7</v>
      </c>
      <c r="B10" s="27">
        <v>46029</v>
      </c>
      <c r="C10" s="17"/>
      <c r="D10" s="17"/>
      <c r="E10" s="89"/>
      <c r="F10" s="89"/>
      <c r="G10" s="17">
        <f t="shared" si="0"/>
        <v>0</v>
      </c>
      <c r="H10" s="89"/>
      <c r="I10" s="89"/>
      <c r="J10" s="17">
        <f t="shared" si="1"/>
        <v>0</v>
      </c>
      <c r="K10" s="17">
        <f t="shared" si="4"/>
        <v>0</v>
      </c>
      <c r="L10" s="17">
        <f t="shared" si="2"/>
        <v>0</v>
      </c>
      <c r="M10" s="17">
        <f t="shared" si="3"/>
        <v>0</v>
      </c>
      <c r="N10" s="45"/>
    </row>
    <row r="11" spans="1:14">
      <c r="A11" s="26">
        <v>8</v>
      </c>
      <c r="B11" s="27">
        <v>46030</v>
      </c>
      <c r="C11" s="17"/>
      <c r="D11" s="17"/>
      <c r="E11" s="89">
        <v>100</v>
      </c>
      <c r="F11" s="89">
        <v>92.05</v>
      </c>
      <c r="G11" s="17">
        <f t="shared" si="0"/>
        <v>9205</v>
      </c>
      <c r="H11" s="89"/>
      <c r="I11" s="89"/>
      <c r="J11" s="17">
        <f t="shared" si="1"/>
        <v>0</v>
      </c>
      <c r="K11" s="17">
        <f t="shared" si="4"/>
        <v>9205</v>
      </c>
      <c r="L11" s="17">
        <f t="shared" si="2"/>
        <v>9205</v>
      </c>
      <c r="M11" s="17">
        <f t="shared" si="3"/>
        <v>0</v>
      </c>
      <c r="N11" s="45"/>
    </row>
    <row r="12" spans="1:14">
      <c r="A12" s="26">
        <v>9</v>
      </c>
      <c r="B12" s="27">
        <v>46031</v>
      </c>
      <c r="C12" s="17"/>
      <c r="D12" s="17"/>
      <c r="E12" s="89"/>
      <c r="F12" s="89"/>
      <c r="G12" s="17">
        <f t="shared" si="0"/>
        <v>0</v>
      </c>
      <c r="H12" s="89"/>
      <c r="I12" s="89"/>
      <c r="J12" s="17">
        <f t="shared" si="1"/>
        <v>0</v>
      </c>
      <c r="K12" s="17">
        <f t="shared" si="4"/>
        <v>0</v>
      </c>
      <c r="L12" s="17">
        <f t="shared" si="2"/>
        <v>0</v>
      </c>
      <c r="M12" s="17">
        <f t="shared" si="3"/>
        <v>0</v>
      </c>
      <c r="N12" s="45"/>
    </row>
    <row r="13" spans="1:14">
      <c r="A13" s="26">
        <v>10</v>
      </c>
      <c r="B13" s="27">
        <v>46032</v>
      </c>
      <c r="C13" s="17"/>
      <c r="D13" s="17"/>
      <c r="E13" s="89"/>
      <c r="F13" s="89"/>
      <c r="G13" s="17">
        <f t="shared" si="0"/>
        <v>0</v>
      </c>
      <c r="H13" s="89"/>
      <c r="I13" s="89"/>
      <c r="J13" s="17">
        <f t="shared" si="1"/>
        <v>0</v>
      </c>
      <c r="K13" s="17">
        <f t="shared" si="4"/>
        <v>0</v>
      </c>
      <c r="L13" s="17">
        <f t="shared" si="2"/>
        <v>0</v>
      </c>
      <c r="M13" s="17">
        <f t="shared" si="3"/>
        <v>0</v>
      </c>
      <c r="N13" s="45"/>
    </row>
    <row r="14" spans="1:14">
      <c r="A14" s="26">
        <v>11</v>
      </c>
      <c r="B14" s="27">
        <v>46033</v>
      </c>
      <c r="C14" s="17"/>
      <c r="D14" s="17"/>
      <c r="E14" s="89"/>
      <c r="F14" s="89"/>
      <c r="G14" s="17">
        <f t="shared" si="0"/>
        <v>0</v>
      </c>
      <c r="H14" s="89">
        <v>21</v>
      </c>
      <c r="I14" s="89">
        <v>104.08</v>
      </c>
      <c r="J14" s="17">
        <f t="shared" si="1"/>
        <v>2185.6799999999998</v>
      </c>
      <c r="K14" s="17">
        <f t="shared" si="4"/>
        <v>2185.6799999999998</v>
      </c>
      <c r="L14" s="17">
        <f t="shared" si="2"/>
        <v>2185.6799999999998</v>
      </c>
      <c r="M14" s="17">
        <f t="shared" si="3"/>
        <v>0</v>
      </c>
      <c r="N14" s="45"/>
    </row>
    <row r="15" spans="1:14">
      <c r="A15" s="26">
        <v>12</v>
      </c>
      <c r="B15" s="27">
        <v>46034</v>
      </c>
      <c r="C15" s="17"/>
      <c r="D15" s="17"/>
      <c r="E15" s="89">
        <v>108.65</v>
      </c>
      <c r="F15" s="89">
        <v>92.07</v>
      </c>
      <c r="G15" s="17">
        <f t="shared" si="0"/>
        <v>10003.405499999999</v>
      </c>
      <c r="H15" s="89"/>
      <c r="I15" s="89"/>
      <c r="J15" s="17">
        <f t="shared" si="1"/>
        <v>0</v>
      </c>
      <c r="K15" s="17">
        <f t="shared" si="4"/>
        <v>10003.405499999999</v>
      </c>
      <c r="L15" s="17">
        <f t="shared" si="2"/>
        <v>10003.405499999999</v>
      </c>
      <c r="M15" s="17">
        <f t="shared" si="3"/>
        <v>0</v>
      </c>
      <c r="N15" s="45"/>
    </row>
    <row r="16" spans="1:14">
      <c r="A16" s="26">
        <v>13</v>
      </c>
      <c r="B16" s="27">
        <v>46035</v>
      </c>
      <c r="C16" s="17"/>
      <c r="D16" s="17"/>
      <c r="E16" s="89"/>
      <c r="F16" s="89"/>
      <c r="G16" s="17">
        <f t="shared" si="0"/>
        <v>0</v>
      </c>
      <c r="H16" s="89"/>
      <c r="I16" s="342"/>
      <c r="J16" s="17">
        <f t="shared" si="1"/>
        <v>0</v>
      </c>
      <c r="K16" s="17">
        <f t="shared" si="4"/>
        <v>0</v>
      </c>
      <c r="L16" s="17">
        <f t="shared" si="2"/>
        <v>0</v>
      </c>
      <c r="M16" s="17">
        <f t="shared" si="3"/>
        <v>0</v>
      </c>
      <c r="N16" s="45"/>
    </row>
    <row r="17" spans="1:14">
      <c r="A17" s="26">
        <v>14</v>
      </c>
      <c r="B17" s="27">
        <v>46036</v>
      </c>
      <c r="C17" s="17"/>
      <c r="D17" s="17"/>
      <c r="E17" s="89">
        <v>200</v>
      </c>
      <c r="F17" s="89">
        <v>92.04</v>
      </c>
      <c r="G17" s="17">
        <f t="shared" si="0"/>
        <v>18408</v>
      </c>
      <c r="H17" s="89"/>
      <c r="I17" s="342"/>
      <c r="J17" s="17">
        <f t="shared" si="1"/>
        <v>0</v>
      </c>
      <c r="K17" s="17">
        <f t="shared" si="4"/>
        <v>18408</v>
      </c>
      <c r="L17" s="17">
        <f t="shared" si="2"/>
        <v>18408</v>
      </c>
      <c r="M17" s="17">
        <f t="shared" si="3"/>
        <v>0</v>
      </c>
      <c r="N17" s="45"/>
    </row>
    <row r="18" spans="1:14">
      <c r="A18" s="26">
        <v>15</v>
      </c>
      <c r="B18" s="27">
        <v>46037</v>
      </c>
      <c r="C18" s="17"/>
      <c r="D18" s="17"/>
      <c r="E18" s="89"/>
      <c r="F18" s="89"/>
      <c r="G18" s="17">
        <f t="shared" si="0"/>
        <v>0</v>
      </c>
      <c r="H18" s="89"/>
      <c r="I18" s="342"/>
      <c r="J18" s="17">
        <f t="shared" si="1"/>
        <v>0</v>
      </c>
      <c r="K18" s="17">
        <f t="shared" si="4"/>
        <v>0</v>
      </c>
      <c r="L18" s="17">
        <f t="shared" si="2"/>
        <v>0</v>
      </c>
      <c r="M18" s="17">
        <f t="shared" si="3"/>
        <v>0</v>
      </c>
      <c r="N18" s="45"/>
    </row>
    <row r="19" spans="1:14">
      <c r="A19" s="26">
        <v>16</v>
      </c>
      <c r="B19" s="27">
        <v>46038</v>
      </c>
      <c r="C19" s="17"/>
      <c r="D19" s="17"/>
      <c r="E19" s="89"/>
      <c r="F19" s="89"/>
      <c r="G19" s="17">
        <f t="shared" si="0"/>
        <v>0</v>
      </c>
      <c r="H19" s="89"/>
      <c r="I19" s="342"/>
      <c r="J19" s="17">
        <f t="shared" si="1"/>
        <v>0</v>
      </c>
      <c r="K19" s="17">
        <f t="shared" si="4"/>
        <v>0</v>
      </c>
      <c r="L19" s="17">
        <f t="shared" si="2"/>
        <v>0</v>
      </c>
      <c r="M19" s="17">
        <f t="shared" si="3"/>
        <v>0</v>
      </c>
      <c r="N19" s="45"/>
    </row>
    <row r="20" spans="1:14">
      <c r="A20" s="26">
        <v>17</v>
      </c>
      <c r="B20" s="27">
        <v>46039</v>
      </c>
      <c r="C20" s="17"/>
      <c r="D20" s="17"/>
      <c r="E20" s="89"/>
      <c r="F20" s="89"/>
      <c r="G20" s="17">
        <f t="shared" si="0"/>
        <v>0</v>
      </c>
      <c r="H20" s="89"/>
      <c r="I20" s="342"/>
      <c r="J20" s="17">
        <f t="shared" si="1"/>
        <v>0</v>
      </c>
      <c r="K20" s="17">
        <f t="shared" si="4"/>
        <v>0</v>
      </c>
      <c r="L20" s="17">
        <f t="shared" si="2"/>
        <v>0</v>
      </c>
      <c r="M20" s="17">
        <f t="shared" si="3"/>
        <v>0</v>
      </c>
      <c r="N20" s="45"/>
    </row>
    <row r="21" spans="1:14">
      <c r="A21" s="26">
        <v>18</v>
      </c>
      <c r="B21" s="27">
        <v>46040</v>
      </c>
      <c r="C21" s="17"/>
      <c r="D21" s="17"/>
      <c r="E21" s="89"/>
      <c r="F21" s="89"/>
      <c r="G21" s="17">
        <f t="shared" si="0"/>
        <v>0</v>
      </c>
      <c r="H21" s="89"/>
      <c r="I21" s="342"/>
      <c r="J21" s="17">
        <f t="shared" si="1"/>
        <v>0</v>
      </c>
      <c r="K21" s="17">
        <f t="shared" si="4"/>
        <v>0</v>
      </c>
      <c r="L21" s="17">
        <f t="shared" si="2"/>
        <v>0</v>
      </c>
      <c r="M21" s="17">
        <f t="shared" si="3"/>
        <v>0</v>
      </c>
      <c r="N21" s="45"/>
    </row>
    <row r="22" spans="1:14">
      <c r="A22" s="26">
        <v>19</v>
      </c>
      <c r="B22" s="27">
        <v>46041</v>
      </c>
      <c r="C22" s="17"/>
      <c r="D22" s="17"/>
      <c r="E22" s="89"/>
      <c r="F22" s="89"/>
      <c r="G22" s="17">
        <f t="shared" si="0"/>
        <v>0</v>
      </c>
      <c r="H22" s="89"/>
      <c r="I22" s="342"/>
      <c r="J22" s="17">
        <f t="shared" si="1"/>
        <v>0</v>
      </c>
      <c r="K22" s="17">
        <f t="shared" si="4"/>
        <v>0</v>
      </c>
      <c r="L22" s="17">
        <f t="shared" si="2"/>
        <v>0</v>
      </c>
      <c r="M22" s="17">
        <f t="shared" si="3"/>
        <v>0</v>
      </c>
      <c r="N22" s="45"/>
    </row>
    <row r="23" spans="1:14">
      <c r="A23" s="26">
        <v>20</v>
      </c>
      <c r="B23" s="27">
        <v>46042</v>
      </c>
      <c r="C23" s="17"/>
      <c r="D23" s="17"/>
      <c r="E23" s="89"/>
      <c r="F23" s="89"/>
      <c r="G23" s="17">
        <f t="shared" si="0"/>
        <v>0</v>
      </c>
      <c r="H23" s="89"/>
      <c r="I23" s="342"/>
      <c r="J23" s="17">
        <f t="shared" si="1"/>
        <v>0</v>
      </c>
      <c r="K23" s="17">
        <f t="shared" si="4"/>
        <v>0</v>
      </c>
      <c r="L23" s="17">
        <f t="shared" si="2"/>
        <v>0</v>
      </c>
      <c r="M23" s="17">
        <f t="shared" si="3"/>
        <v>0</v>
      </c>
      <c r="N23" s="45"/>
    </row>
    <row r="24" spans="1:14">
      <c r="A24" s="26">
        <v>21</v>
      </c>
      <c r="B24" s="27">
        <v>46043</v>
      </c>
      <c r="C24" s="17"/>
      <c r="D24" s="17"/>
      <c r="E24" s="89"/>
      <c r="F24" s="89"/>
      <c r="G24" s="17">
        <f t="shared" si="0"/>
        <v>0</v>
      </c>
      <c r="H24" s="89"/>
      <c r="I24" s="342"/>
      <c r="J24" s="17">
        <f t="shared" si="1"/>
        <v>0</v>
      </c>
      <c r="K24" s="17">
        <f t="shared" si="4"/>
        <v>0</v>
      </c>
      <c r="L24" s="17">
        <f t="shared" si="2"/>
        <v>0</v>
      </c>
      <c r="M24" s="17">
        <f t="shared" si="3"/>
        <v>0</v>
      </c>
      <c r="N24" s="45"/>
    </row>
    <row r="25" spans="1:14">
      <c r="A25" s="26">
        <v>22</v>
      </c>
      <c r="B25" s="27">
        <v>46044</v>
      </c>
      <c r="C25" s="17"/>
      <c r="D25" s="17"/>
      <c r="E25" s="89"/>
      <c r="F25" s="89"/>
      <c r="G25" s="17">
        <f t="shared" si="0"/>
        <v>0</v>
      </c>
      <c r="H25" s="89"/>
      <c r="I25" s="342"/>
      <c r="J25" s="17">
        <f t="shared" si="1"/>
        <v>0</v>
      </c>
      <c r="K25" s="17">
        <f t="shared" si="4"/>
        <v>0</v>
      </c>
      <c r="L25" s="17">
        <f t="shared" si="2"/>
        <v>0</v>
      </c>
      <c r="M25" s="17">
        <f t="shared" si="3"/>
        <v>0</v>
      </c>
      <c r="N25" s="45"/>
    </row>
    <row r="26" spans="1:14">
      <c r="A26" s="26">
        <v>23</v>
      </c>
      <c r="B26" s="27">
        <v>46045</v>
      </c>
      <c r="C26" s="17"/>
      <c r="D26" s="17"/>
      <c r="E26" s="89"/>
      <c r="F26" s="89"/>
      <c r="G26" s="17">
        <f t="shared" si="0"/>
        <v>0</v>
      </c>
      <c r="H26" s="89"/>
      <c r="I26" s="342"/>
      <c r="J26" s="17">
        <f t="shared" si="1"/>
        <v>0</v>
      </c>
      <c r="K26" s="17">
        <f t="shared" si="4"/>
        <v>0</v>
      </c>
      <c r="L26" s="17">
        <f t="shared" si="2"/>
        <v>0</v>
      </c>
      <c r="M26" s="17">
        <f t="shared" si="3"/>
        <v>0</v>
      </c>
      <c r="N26" s="45"/>
    </row>
    <row r="27" spans="1:14">
      <c r="A27" s="26">
        <v>24</v>
      </c>
      <c r="B27" s="27">
        <v>46046</v>
      </c>
      <c r="C27" s="17"/>
      <c r="D27" s="17"/>
      <c r="E27" s="89">
        <v>217.27</v>
      </c>
      <c r="F27" s="89">
        <v>92.05</v>
      </c>
      <c r="G27" s="17">
        <f t="shared" si="0"/>
        <v>19999.7035</v>
      </c>
      <c r="H27" s="89"/>
      <c r="I27" s="342"/>
      <c r="J27" s="17">
        <f t="shared" si="1"/>
        <v>0</v>
      </c>
      <c r="K27" s="17">
        <f t="shared" si="4"/>
        <v>19999.7035</v>
      </c>
      <c r="L27" s="17">
        <f t="shared" si="2"/>
        <v>19999.7035</v>
      </c>
      <c r="M27" s="17">
        <f t="shared" si="3"/>
        <v>0</v>
      </c>
      <c r="N27" s="45"/>
    </row>
    <row r="28" spans="1:14">
      <c r="A28" s="26">
        <v>25</v>
      </c>
      <c r="B28" s="27">
        <v>46047</v>
      </c>
      <c r="C28" s="17"/>
      <c r="D28" s="17"/>
      <c r="E28" s="89"/>
      <c r="F28" s="89"/>
      <c r="G28" s="17">
        <f t="shared" si="0"/>
        <v>0</v>
      </c>
      <c r="H28" s="89"/>
      <c r="I28" s="342"/>
      <c r="J28" s="17">
        <f t="shared" si="1"/>
        <v>0</v>
      </c>
      <c r="K28" s="17">
        <f>G28+J28</f>
        <v>0</v>
      </c>
      <c r="L28" s="17">
        <f t="shared" si="2"/>
        <v>0</v>
      </c>
      <c r="M28" s="17">
        <v>0</v>
      </c>
      <c r="N28" s="45"/>
    </row>
    <row r="29" spans="1:14">
      <c r="A29" s="26">
        <v>26</v>
      </c>
      <c r="B29" s="27">
        <v>46048</v>
      </c>
      <c r="C29" s="17"/>
      <c r="D29" s="17"/>
      <c r="E29" s="89"/>
      <c r="F29" s="89"/>
      <c r="G29" s="17">
        <f t="shared" si="0"/>
        <v>0</v>
      </c>
      <c r="H29" s="89"/>
      <c r="I29" s="342"/>
      <c r="J29" s="17">
        <f t="shared" si="1"/>
        <v>0</v>
      </c>
      <c r="K29" s="17">
        <f t="shared" si="4"/>
        <v>0</v>
      </c>
      <c r="L29" s="17">
        <f t="shared" si="2"/>
        <v>0</v>
      </c>
      <c r="M29" s="17">
        <v>0</v>
      </c>
      <c r="N29" s="45"/>
    </row>
    <row r="30" spans="1:14">
      <c r="A30" s="26">
        <v>27</v>
      </c>
      <c r="B30" s="27">
        <v>46049</v>
      </c>
      <c r="C30" s="17"/>
      <c r="D30" s="17"/>
      <c r="E30" s="89"/>
      <c r="F30" s="89"/>
      <c r="G30" s="17">
        <f t="shared" si="0"/>
        <v>0</v>
      </c>
      <c r="H30" s="89"/>
      <c r="I30" s="342"/>
      <c r="J30" s="17">
        <f t="shared" si="1"/>
        <v>0</v>
      </c>
      <c r="K30" s="17">
        <f t="shared" si="4"/>
        <v>0</v>
      </c>
      <c r="L30" s="17">
        <f t="shared" si="2"/>
        <v>0</v>
      </c>
      <c r="M30" s="17">
        <v>0</v>
      </c>
      <c r="N30" s="45"/>
    </row>
    <row r="31" spans="1:14">
      <c r="A31" s="26">
        <v>28</v>
      </c>
      <c r="B31" s="27">
        <v>46050</v>
      </c>
      <c r="C31" s="17"/>
      <c r="D31" s="17"/>
      <c r="E31" s="89"/>
      <c r="F31" s="89"/>
      <c r="G31" s="17">
        <f t="shared" si="0"/>
        <v>0</v>
      </c>
      <c r="H31" s="89"/>
      <c r="I31" s="342"/>
      <c r="J31" s="17">
        <f t="shared" si="1"/>
        <v>0</v>
      </c>
      <c r="K31" s="17">
        <f t="shared" si="4"/>
        <v>0</v>
      </c>
      <c r="L31" s="17">
        <f t="shared" si="2"/>
        <v>0</v>
      </c>
      <c r="M31" s="17">
        <v>0</v>
      </c>
      <c r="N31" s="45"/>
    </row>
    <row r="32" spans="1:14">
      <c r="A32" s="26">
        <v>29</v>
      </c>
      <c r="B32" s="27">
        <v>46051</v>
      </c>
      <c r="C32" s="17"/>
      <c r="D32" s="17"/>
      <c r="E32" s="89"/>
      <c r="F32" s="89"/>
      <c r="G32" s="17">
        <f t="shared" si="0"/>
        <v>0</v>
      </c>
      <c r="H32" s="89"/>
      <c r="I32" s="342"/>
      <c r="J32" s="17">
        <f t="shared" si="1"/>
        <v>0</v>
      </c>
      <c r="K32" s="17">
        <f t="shared" si="4"/>
        <v>0</v>
      </c>
      <c r="L32" s="17">
        <f t="shared" si="2"/>
        <v>0</v>
      </c>
      <c r="M32" s="17"/>
      <c r="N32" s="45"/>
    </row>
    <row r="33" spans="1:14">
      <c r="A33" s="26">
        <v>30</v>
      </c>
      <c r="B33" s="27">
        <v>46052</v>
      </c>
      <c r="C33" s="17"/>
      <c r="D33" s="17"/>
      <c r="E33" s="89"/>
      <c r="F33" s="89"/>
      <c r="G33" s="17">
        <f t="shared" si="0"/>
        <v>0</v>
      </c>
      <c r="H33" s="89"/>
      <c r="I33" s="89"/>
      <c r="J33" s="17">
        <f t="shared" si="1"/>
        <v>0</v>
      </c>
      <c r="K33" s="17">
        <f t="shared" si="4"/>
        <v>0</v>
      </c>
      <c r="L33" s="17">
        <f t="shared" si="2"/>
        <v>0</v>
      </c>
      <c r="M33" s="17"/>
      <c r="N33" s="45"/>
    </row>
    <row r="34" spans="1:14">
      <c r="A34" s="26">
        <v>31</v>
      </c>
      <c r="B34" s="27">
        <v>46053</v>
      </c>
      <c r="C34" s="17"/>
      <c r="D34" s="17"/>
      <c r="E34" s="89"/>
      <c r="F34" s="89"/>
      <c r="G34" s="17">
        <f t="shared" si="0"/>
        <v>0</v>
      </c>
      <c r="H34" s="89"/>
      <c r="I34" s="89"/>
      <c r="J34" s="17"/>
      <c r="K34" s="17">
        <f t="shared" si="4"/>
        <v>0</v>
      </c>
      <c r="L34" s="17">
        <f t="shared" si="2"/>
        <v>0</v>
      </c>
      <c r="M34" s="17"/>
      <c r="N34" s="45"/>
    </row>
    <row r="35" spans="1:14">
      <c r="A35" s="43"/>
      <c r="B35" s="43"/>
      <c r="C35" s="43"/>
      <c r="D35" s="43"/>
      <c r="E35" s="43">
        <f>SUM(E4:E34)</f>
        <v>625.91999999999996</v>
      </c>
      <c r="F35" s="43"/>
      <c r="G35" s="43">
        <f>SUM(G4:G34)</f>
        <v>57616.108999999997</v>
      </c>
      <c r="H35" s="43">
        <f>SUM(H4:H34)</f>
        <v>31</v>
      </c>
      <c r="I35" s="43"/>
      <c r="J35" s="43">
        <f>SUM(J4:J34)</f>
        <v>3226.4799999999996</v>
      </c>
      <c r="K35" s="43">
        <f>SUM(K4:K34)</f>
        <v>60842.588999999993</v>
      </c>
      <c r="L35" s="43">
        <f>SUM(L4:L34)</f>
        <v>60842.588999999993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9221C-1691-4B0D-B03E-610E76253615}">
  <sheetPr>
    <tabColor theme="0"/>
  </sheetPr>
  <dimension ref="A1:T38"/>
  <sheetViews>
    <sheetView topLeftCell="A22" workbookViewId="0">
      <selection activeCell="M34" sqref="M34"/>
    </sheetView>
  </sheetViews>
  <sheetFormatPr defaultRowHeight="15"/>
  <cols>
    <col min="1" max="1" width="5.140625" bestFit="1" customWidth="1"/>
    <col min="2" max="2" width="11.5703125" bestFit="1" customWidth="1"/>
    <col min="3" max="3" width="8" bestFit="1" customWidth="1"/>
    <col min="4" max="4" width="16" bestFit="1" customWidth="1"/>
    <col min="5" max="5" width="10.7109375" bestFit="1" customWidth="1"/>
    <col min="6" max="6" width="13.42578125" customWidth="1"/>
    <col min="7" max="7" width="9.28515625" bestFit="1" customWidth="1"/>
    <col min="8" max="8" width="10.7109375" bestFit="1" customWidth="1"/>
    <col min="9" max="9" width="7.140625" bestFit="1" customWidth="1"/>
    <col min="10" max="10" width="8.7109375" bestFit="1" customWidth="1"/>
    <col min="11" max="11" width="13.5703125" bestFit="1" customWidth="1"/>
    <col min="12" max="12" width="15.85546875" bestFit="1" customWidth="1"/>
    <col min="13" max="13" width="13.5703125" bestFit="1" customWidth="1"/>
    <col min="14" max="14" width="8.7109375" bestFit="1" customWidth="1"/>
    <col min="16" max="16" width="12.28515625" customWidth="1"/>
  </cols>
  <sheetData>
    <row r="1" spans="1:20" ht="15.75" customHeight="1">
      <c r="A1" s="483" t="s">
        <v>49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</row>
    <row r="2" spans="1:20">
      <c r="A2" s="127" t="s">
        <v>129</v>
      </c>
      <c r="B2" s="127" t="s">
        <v>130</v>
      </c>
      <c r="C2" s="127" t="s">
        <v>131</v>
      </c>
      <c r="D2" s="127" t="s">
        <v>132</v>
      </c>
      <c r="E2" s="180" t="s">
        <v>133</v>
      </c>
      <c r="F2" s="180" t="s">
        <v>134</v>
      </c>
      <c r="G2" s="180" t="s">
        <v>135</v>
      </c>
      <c r="H2" s="180" t="s">
        <v>136</v>
      </c>
      <c r="I2" s="180" t="s">
        <v>134</v>
      </c>
      <c r="J2" s="180" t="s">
        <v>135</v>
      </c>
      <c r="K2" s="180" t="s">
        <v>137</v>
      </c>
      <c r="L2" s="127" t="s">
        <v>226</v>
      </c>
      <c r="M2" s="130" t="s">
        <v>138</v>
      </c>
      <c r="N2" s="127" t="s">
        <v>140</v>
      </c>
    </row>
    <row r="3" spans="1:20">
      <c r="A3" s="17"/>
      <c r="B3" s="17"/>
      <c r="C3" s="17"/>
      <c r="D3" s="17" t="s">
        <v>141</v>
      </c>
      <c r="E3" s="17"/>
      <c r="F3" s="17"/>
      <c r="G3" s="17"/>
      <c r="H3" s="17"/>
      <c r="I3" s="17"/>
      <c r="J3" s="17"/>
      <c r="K3" s="184">
        <v>98982.50039999999</v>
      </c>
      <c r="L3" s="17"/>
      <c r="M3" s="184">
        <v>98982.50039999999</v>
      </c>
      <c r="N3" s="17"/>
    </row>
    <row r="4" spans="1:20">
      <c r="A4" s="26">
        <v>1</v>
      </c>
      <c r="B4" s="27">
        <v>46023</v>
      </c>
      <c r="C4" s="140"/>
      <c r="D4" s="140"/>
      <c r="E4" s="96">
        <v>60</v>
      </c>
      <c r="F4" s="96">
        <v>90.88</v>
      </c>
      <c r="G4" s="184">
        <f>F4*E4</f>
        <v>5452.7999999999993</v>
      </c>
      <c r="H4" s="96">
        <v>5</v>
      </c>
      <c r="I4" s="96">
        <v>102.77</v>
      </c>
      <c r="J4" s="184">
        <f t="shared" ref="J4" si="0">H4*I4</f>
        <v>513.85</v>
      </c>
      <c r="K4" s="184">
        <f>G4+J4</f>
        <v>5966.65</v>
      </c>
      <c r="L4" s="184"/>
      <c r="M4" s="184">
        <f>M3+K4-L4</f>
        <v>104949.15039999998</v>
      </c>
      <c r="N4" s="140"/>
    </row>
    <row r="5" spans="1:20">
      <c r="A5" s="26">
        <v>2</v>
      </c>
      <c r="B5" s="27">
        <v>46024</v>
      </c>
      <c r="C5" s="17"/>
      <c r="D5" s="140"/>
      <c r="E5" s="96">
        <v>0</v>
      </c>
      <c r="F5" s="96">
        <v>0</v>
      </c>
      <c r="G5" s="184">
        <f t="shared" ref="G5:G34" si="1">F5*E5</f>
        <v>0</v>
      </c>
      <c r="H5" s="96">
        <v>0</v>
      </c>
      <c r="I5" s="96">
        <v>0</v>
      </c>
      <c r="J5" s="184">
        <f t="shared" ref="J5:J34" si="2">H5*I5</f>
        <v>0</v>
      </c>
      <c r="K5" s="184">
        <f t="shared" ref="K5:K34" si="3">G5+J5</f>
        <v>0</v>
      </c>
      <c r="L5" s="184"/>
      <c r="M5" s="184">
        <f t="shared" ref="M5:M34" si="4">M4+K5-L5</f>
        <v>104949.15039999998</v>
      </c>
      <c r="N5" s="17"/>
      <c r="S5">
        <v>90.88</v>
      </c>
      <c r="T5">
        <v>102.77</v>
      </c>
    </row>
    <row r="6" spans="1:20">
      <c r="A6" s="26">
        <v>3</v>
      </c>
      <c r="B6" s="27">
        <v>46025</v>
      </c>
      <c r="C6" s="17"/>
      <c r="D6" s="140"/>
      <c r="E6" s="96">
        <v>65</v>
      </c>
      <c r="F6" s="96">
        <v>90.88</v>
      </c>
      <c r="G6" s="184">
        <f t="shared" si="1"/>
        <v>5907.2</v>
      </c>
      <c r="H6" s="96">
        <v>4</v>
      </c>
      <c r="I6" s="96">
        <v>102.77</v>
      </c>
      <c r="J6" s="184">
        <f t="shared" si="2"/>
        <v>411.08</v>
      </c>
      <c r="K6" s="184">
        <f t="shared" si="3"/>
        <v>6318.28</v>
      </c>
      <c r="L6" s="184">
        <v>98000</v>
      </c>
      <c r="M6" s="184">
        <f t="shared" si="4"/>
        <v>13267.430399999983</v>
      </c>
      <c r="N6" s="17"/>
    </row>
    <row r="7" spans="1:20">
      <c r="A7" s="26">
        <v>4</v>
      </c>
      <c r="B7" s="27">
        <v>46026</v>
      </c>
      <c r="C7" s="17"/>
      <c r="D7" s="140"/>
      <c r="E7" s="96">
        <v>60</v>
      </c>
      <c r="F7" s="96">
        <v>90.88</v>
      </c>
      <c r="G7" s="184">
        <f t="shared" si="1"/>
        <v>5452.7999999999993</v>
      </c>
      <c r="H7" s="96">
        <v>0</v>
      </c>
      <c r="I7" s="96">
        <v>0</v>
      </c>
      <c r="J7" s="184">
        <f t="shared" si="2"/>
        <v>0</v>
      </c>
      <c r="K7" s="184">
        <f t="shared" si="3"/>
        <v>5452.7999999999993</v>
      </c>
      <c r="L7" s="184"/>
      <c r="M7" s="184">
        <f t="shared" si="4"/>
        <v>18720.230399999982</v>
      </c>
      <c r="N7" s="17"/>
    </row>
    <row r="8" spans="1:20">
      <c r="A8" s="26">
        <v>5</v>
      </c>
      <c r="B8" s="27">
        <v>46027</v>
      </c>
      <c r="C8" s="17"/>
      <c r="D8" s="140"/>
      <c r="E8" s="96">
        <v>110</v>
      </c>
      <c r="F8" s="96">
        <v>90.88</v>
      </c>
      <c r="G8" s="184">
        <f t="shared" si="1"/>
        <v>9996.7999999999993</v>
      </c>
      <c r="H8" s="96">
        <v>0</v>
      </c>
      <c r="I8" s="96">
        <v>0</v>
      </c>
      <c r="J8" s="184">
        <f t="shared" si="2"/>
        <v>0</v>
      </c>
      <c r="K8" s="184">
        <f t="shared" si="3"/>
        <v>9996.7999999999993</v>
      </c>
      <c r="L8" s="184"/>
      <c r="M8" s="184">
        <f t="shared" si="4"/>
        <v>28717.030399999981</v>
      </c>
      <c r="N8" s="17"/>
    </row>
    <row r="9" spans="1:20">
      <c r="A9" s="26">
        <v>6</v>
      </c>
      <c r="B9" s="27">
        <v>46028</v>
      </c>
      <c r="C9" s="17"/>
      <c r="D9" s="140"/>
      <c r="E9" s="96">
        <v>77</v>
      </c>
      <c r="F9" s="96">
        <v>90.88</v>
      </c>
      <c r="G9" s="184">
        <f t="shared" si="1"/>
        <v>6997.7599999999993</v>
      </c>
      <c r="H9" s="96">
        <v>5</v>
      </c>
      <c r="I9" s="96">
        <v>102.77</v>
      </c>
      <c r="J9" s="184">
        <f t="shared" si="2"/>
        <v>513.85</v>
      </c>
      <c r="K9" s="184">
        <f t="shared" si="3"/>
        <v>7511.61</v>
      </c>
      <c r="L9" s="184"/>
      <c r="M9" s="184">
        <f t="shared" si="4"/>
        <v>36228.640399999982</v>
      </c>
      <c r="N9" s="17"/>
    </row>
    <row r="10" spans="1:20">
      <c r="A10" s="26">
        <v>7</v>
      </c>
      <c r="B10" s="27">
        <v>46029</v>
      </c>
      <c r="C10" s="17"/>
      <c r="D10" s="140"/>
      <c r="E10" s="96">
        <v>40</v>
      </c>
      <c r="F10" s="96">
        <v>90.88</v>
      </c>
      <c r="G10" s="184">
        <f t="shared" si="1"/>
        <v>3635.2</v>
      </c>
      <c r="H10" s="96">
        <v>5</v>
      </c>
      <c r="I10" s="96">
        <v>102.77</v>
      </c>
      <c r="J10" s="184">
        <f t="shared" si="2"/>
        <v>513.85</v>
      </c>
      <c r="K10" s="184">
        <f t="shared" si="3"/>
        <v>4149.05</v>
      </c>
      <c r="L10" s="184"/>
      <c r="M10" s="184">
        <f t="shared" si="4"/>
        <v>40377.690399999985</v>
      </c>
      <c r="N10" s="17"/>
    </row>
    <row r="11" spans="1:20">
      <c r="A11" s="26">
        <v>8</v>
      </c>
      <c r="B11" s="27">
        <v>46030</v>
      </c>
      <c r="C11" s="17"/>
      <c r="D11" s="140"/>
      <c r="E11" s="96">
        <v>35</v>
      </c>
      <c r="F11" s="96">
        <v>90.88</v>
      </c>
      <c r="G11" s="184">
        <f t="shared" si="1"/>
        <v>3180.7999999999997</v>
      </c>
      <c r="H11" s="96">
        <v>0</v>
      </c>
      <c r="I11" s="96">
        <v>0</v>
      </c>
      <c r="J11" s="184">
        <f t="shared" si="2"/>
        <v>0</v>
      </c>
      <c r="K11" s="184">
        <f t="shared" si="3"/>
        <v>3180.7999999999997</v>
      </c>
      <c r="L11" s="184"/>
      <c r="M11" s="184">
        <f t="shared" si="4"/>
        <v>43558.490399999988</v>
      </c>
      <c r="N11" s="17"/>
    </row>
    <row r="12" spans="1:20">
      <c r="A12" s="26">
        <v>9</v>
      </c>
      <c r="B12" s="27">
        <v>46031</v>
      </c>
      <c r="C12" s="17"/>
      <c r="D12" s="140"/>
      <c r="E12" s="96">
        <v>50</v>
      </c>
      <c r="F12" s="96">
        <v>90.88</v>
      </c>
      <c r="G12" s="184">
        <f t="shared" si="1"/>
        <v>4544</v>
      </c>
      <c r="H12" s="96">
        <v>0</v>
      </c>
      <c r="I12" s="96">
        <v>0</v>
      </c>
      <c r="J12" s="184">
        <f t="shared" si="2"/>
        <v>0</v>
      </c>
      <c r="K12" s="184">
        <f t="shared" si="3"/>
        <v>4544</v>
      </c>
      <c r="L12" s="184"/>
      <c r="M12" s="184">
        <f t="shared" si="4"/>
        <v>48102.490399999988</v>
      </c>
      <c r="N12" s="17"/>
    </row>
    <row r="13" spans="1:20">
      <c r="A13" s="26">
        <v>10</v>
      </c>
      <c r="B13" s="27">
        <v>46032</v>
      </c>
      <c r="C13" s="17"/>
      <c r="D13" s="140"/>
      <c r="E13" s="96">
        <v>120</v>
      </c>
      <c r="F13" s="96">
        <v>90.88</v>
      </c>
      <c r="G13" s="184">
        <f t="shared" si="1"/>
        <v>10905.599999999999</v>
      </c>
      <c r="H13" s="96">
        <v>0</v>
      </c>
      <c r="I13" s="96">
        <v>0</v>
      </c>
      <c r="J13" s="184">
        <f t="shared" si="2"/>
        <v>0</v>
      </c>
      <c r="K13" s="184">
        <f t="shared" si="3"/>
        <v>10905.599999999999</v>
      </c>
      <c r="L13" s="184"/>
      <c r="M13" s="184">
        <f>M12+K13-L13</f>
        <v>59008.090399999986</v>
      </c>
      <c r="N13" s="17"/>
    </row>
    <row r="14" spans="1:20">
      <c r="A14" s="26">
        <v>11</v>
      </c>
      <c r="B14" s="27">
        <v>46033</v>
      </c>
      <c r="C14" s="17"/>
      <c r="D14" s="140"/>
      <c r="E14" s="96">
        <v>10</v>
      </c>
      <c r="F14" s="96">
        <v>90.88</v>
      </c>
      <c r="G14" s="184">
        <f t="shared" si="1"/>
        <v>908.8</v>
      </c>
      <c r="H14" s="96">
        <v>0</v>
      </c>
      <c r="I14" s="96">
        <v>0</v>
      </c>
      <c r="J14" s="184">
        <f t="shared" si="2"/>
        <v>0</v>
      </c>
      <c r="K14" s="184">
        <f t="shared" si="3"/>
        <v>908.8</v>
      </c>
      <c r="L14" s="184"/>
      <c r="M14" s="184">
        <f t="shared" si="4"/>
        <v>59916.890399999989</v>
      </c>
      <c r="N14" s="17"/>
    </row>
    <row r="15" spans="1:20">
      <c r="A15" s="26">
        <v>12</v>
      </c>
      <c r="B15" s="27">
        <v>46034</v>
      </c>
      <c r="C15" s="17"/>
      <c r="D15" s="140"/>
      <c r="E15" s="96">
        <v>145.24</v>
      </c>
      <c r="F15" s="96">
        <v>90.88</v>
      </c>
      <c r="G15" s="184">
        <f t="shared" si="1"/>
        <v>13199.4112</v>
      </c>
      <c r="H15" s="96">
        <v>10</v>
      </c>
      <c r="I15" s="96">
        <v>102.77</v>
      </c>
      <c r="J15" s="184">
        <f t="shared" si="2"/>
        <v>1027.7</v>
      </c>
      <c r="K15" s="184">
        <f t="shared" si="3"/>
        <v>14227.111200000001</v>
      </c>
      <c r="L15" s="184"/>
      <c r="M15" s="184">
        <f t="shared" si="4"/>
        <v>74144.001599999989</v>
      </c>
      <c r="N15" s="17"/>
    </row>
    <row r="16" spans="1:20">
      <c r="A16" s="26">
        <v>13</v>
      </c>
      <c r="B16" s="27">
        <v>46035</v>
      </c>
      <c r="C16" s="17"/>
      <c r="D16" s="140"/>
      <c r="E16" s="96">
        <v>0</v>
      </c>
      <c r="F16" s="96">
        <v>0</v>
      </c>
      <c r="G16" s="184">
        <f t="shared" si="1"/>
        <v>0</v>
      </c>
      <c r="H16" s="96">
        <v>5</v>
      </c>
      <c r="I16" s="96">
        <v>102.77</v>
      </c>
      <c r="J16" s="184">
        <f t="shared" si="2"/>
        <v>513.85</v>
      </c>
      <c r="K16" s="184">
        <f t="shared" si="3"/>
        <v>513.85</v>
      </c>
      <c r="L16" s="184"/>
      <c r="M16" s="184">
        <f t="shared" si="4"/>
        <v>74657.851599999995</v>
      </c>
      <c r="N16" s="17"/>
    </row>
    <row r="17" spans="1:15">
      <c r="A17" s="26">
        <v>14</v>
      </c>
      <c r="B17" s="27">
        <v>46036</v>
      </c>
      <c r="C17" s="17"/>
      <c r="D17" s="140"/>
      <c r="E17" s="96">
        <v>35</v>
      </c>
      <c r="F17" s="96">
        <v>90.88</v>
      </c>
      <c r="G17" s="184">
        <f t="shared" si="1"/>
        <v>3180.7999999999997</v>
      </c>
      <c r="H17" s="96">
        <v>0</v>
      </c>
      <c r="I17" s="96">
        <v>0</v>
      </c>
      <c r="J17" s="184">
        <f t="shared" si="2"/>
        <v>0</v>
      </c>
      <c r="K17" s="184">
        <f t="shared" si="3"/>
        <v>3180.7999999999997</v>
      </c>
      <c r="L17" s="184"/>
      <c r="M17" s="184">
        <f t="shared" si="4"/>
        <v>77838.651599999997</v>
      </c>
      <c r="N17" s="17"/>
    </row>
    <row r="18" spans="1:15">
      <c r="A18" s="26">
        <v>15</v>
      </c>
      <c r="B18" s="27">
        <v>46037</v>
      </c>
      <c r="C18" s="17"/>
      <c r="D18" s="140"/>
      <c r="E18" s="96">
        <v>0</v>
      </c>
      <c r="F18" s="96">
        <v>90.88</v>
      </c>
      <c r="G18" s="184">
        <f t="shared" si="1"/>
        <v>0</v>
      </c>
      <c r="H18" s="96">
        <v>0</v>
      </c>
      <c r="I18" s="96">
        <v>0</v>
      </c>
      <c r="J18" s="184">
        <f t="shared" si="2"/>
        <v>0</v>
      </c>
      <c r="K18" s="184">
        <f t="shared" si="3"/>
        <v>0</v>
      </c>
      <c r="L18" s="184"/>
      <c r="M18" s="184">
        <f>M17+K18-L18</f>
        <v>77838.651599999997</v>
      </c>
      <c r="N18" s="17"/>
    </row>
    <row r="19" spans="1:15">
      <c r="A19" s="26">
        <v>16</v>
      </c>
      <c r="B19" s="27">
        <v>46038</v>
      </c>
      <c r="C19" s="17"/>
      <c r="D19" s="140"/>
      <c r="E19" s="96">
        <v>100</v>
      </c>
      <c r="F19" s="96">
        <v>90.88</v>
      </c>
      <c r="G19" s="184">
        <f t="shared" si="1"/>
        <v>9088</v>
      </c>
      <c r="H19" s="96">
        <v>0</v>
      </c>
      <c r="I19" s="96">
        <v>0</v>
      </c>
      <c r="J19" s="184">
        <f t="shared" si="2"/>
        <v>0</v>
      </c>
      <c r="K19" s="184">
        <f t="shared" si="3"/>
        <v>9088</v>
      </c>
      <c r="L19" s="184"/>
      <c r="M19" s="184">
        <f t="shared" si="4"/>
        <v>86926.651599999997</v>
      </c>
      <c r="N19" s="17"/>
    </row>
    <row r="20" spans="1:15">
      <c r="A20" s="26">
        <v>17</v>
      </c>
      <c r="B20" s="27">
        <v>46039</v>
      </c>
      <c r="C20" s="17"/>
      <c r="D20" s="140"/>
      <c r="E20" s="96">
        <v>80</v>
      </c>
      <c r="F20" s="96">
        <v>90.88</v>
      </c>
      <c r="G20" s="184">
        <f t="shared" si="1"/>
        <v>7270.4</v>
      </c>
      <c r="H20" s="96">
        <v>0</v>
      </c>
      <c r="I20" s="96">
        <v>0</v>
      </c>
      <c r="J20" s="184">
        <f t="shared" si="2"/>
        <v>0</v>
      </c>
      <c r="K20" s="184">
        <f t="shared" si="3"/>
        <v>7270.4</v>
      </c>
      <c r="L20" s="184"/>
      <c r="M20" s="184">
        <f t="shared" si="4"/>
        <v>94197.051599999992</v>
      </c>
      <c r="N20" s="17"/>
      <c r="O20">
        <v>16.68</v>
      </c>
    </row>
    <row r="21" spans="1:15">
      <c r="A21" s="26">
        <v>18</v>
      </c>
      <c r="B21" s="27">
        <v>46040</v>
      </c>
      <c r="C21" s="17"/>
      <c r="D21" s="140"/>
      <c r="E21" s="96">
        <v>55</v>
      </c>
      <c r="F21" s="96">
        <v>90.88</v>
      </c>
      <c r="G21" s="184">
        <f t="shared" si="1"/>
        <v>4998.3999999999996</v>
      </c>
      <c r="H21" s="96">
        <v>5</v>
      </c>
      <c r="I21" s="96">
        <v>102.77</v>
      </c>
      <c r="J21" s="184">
        <f t="shared" si="2"/>
        <v>513.85</v>
      </c>
      <c r="K21" s="184">
        <f t="shared" si="3"/>
        <v>5512.25</v>
      </c>
      <c r="L21" s="184"/>
      <c r="M21" s="184">
        <f>M20+K21-L21</f>
        <v>99709.301599999992</v>
      </c>
      <c r="N21" s="17"/>
    </row>
    <row r="22" spans="1:15">
      <c r="A22" s="26">
        <v>19</v>
      </c>
      <c r="B22" s="27">
        <v>46041</v>
      </c>
      <c r="C22" s="17"/>
      <c r="D22" s="140"/>
      <c r="E22" s="96">
        <v>110</v>
      </c>
      <c r="F22" s="96">
        <v>90.88</v>
      </c>
      <c r="G22" s="184">
        <f t="shared" si="1"/>
        <v>9996.7999999999993</v>
      </c>
      <c r="H22" s="96">
        <v>10</v>
      </c>
      <c r="I22" s="96">
        <v>102.77</v>
      </c>
      <c r="J22" s="184">
        <f t="shared" si="2"/>
        <v>1027.7</v>
      </c>
      <c r="K22" s="184">
        <f t="shared" si="3"/>
        <v>11024.5</v>
      </c>
      <c r="L22" s="184">
        <v>86520</v>
      </c>
      <c r="M22" s="184">
        <f t="shared" si="4"/>
        <v>24213.801599999992</v>
      </c>
      <c r="N22" s="17"/>
    </row>
    <row r="23" spans="1:15">
      <c r="A23" s="26">
        <v>20</v>
      </c>
      <c r="B23" s="27">
        <v>46042</v>
      </c>
      <c r="C23" s="17"/>
      <c r="D23" s="140"/>
      <c r="E23" s="96">
        <v>50</v>
      </c>
      <c r="F23" s="96">
        <v>90.88</v>
      </c>
      <c r="G23" s="184">
        <f t="shared" si="1"/>
        <v>4544</v>
      </c>
      <c r="H23" s="96">
        <v>5</v>
      </c>
      <c r="I23" s="96">
        <v>102.77</v>
      </c>
      <c r="J23" s="184">
        <f t="shared" si="2"/>
        <v>513.85</v>
      </c>
      <c r="K23" s="184">
        <f t="shared" si="3"/>
        <v>5057.8500000000004</v>
      </c>
      <c r="L23" s="184"/>
      <c r="M23" s="184">
        <f t="shared" si="4"/>
        <v>29271.65159999999</v>
      </c>
      <c r="N23" s="17">
        <v>0</v>
      </c>
    </row>
    <row r="24" spans="1:15">
      <c r="A24" s="26">
        <v>21</v>
      </c>
      <c r="B24" s="27">
        <v>46043</v>
      </c>
      <c r="C24" s="17"/>
      <c r="D24" s="140"/>
      <c r="E24" s="96">
        <v>0</v>
      </c>
      <c r="F24" s="96">
        <v>0</v>
      </c>
      <c r="G24" s="184">
        <f t="shared" si="1"/>
        <v>0</v>
      </c>
      <c r="H24" s="96">
        <v>0</v>
      </c>
      <c r="I24" s="96">
        <v>0</v>
      </c>
      <c r="J24" s="184">
        <f t="shared" si="2"/>
        <v>0</v>
      </c>
      <c r="K24" s="184">
        <f t="shared" si="3"/>
        <v>0</v>
      </c>
      <c r="L24" s="184"/>
      <c r="M24" s="184">
        <f t="shared" si="4"/>
        <v>29271.65159999999</v>
      </c>
      <c r="N24" s="17"/>
    </row>
    <row r="25" spans="1:15">
      <c r="A25" s="26">
        <v>22</v>
      </c>
      <c r="B25" s="27">
        <v>46044</v>
      </c>
      <c r="C25" s="17"/>
      <c r="D25" s="140"/>
      <c r="E25" s="96">
        <v>121</v>
      </c>
      <c r="F25" s="96">
        <v>90.88</v>
      </c>
      <c r="G25" s="184">
        <f t="shared" si="1"/>
        <v>10996.48</v>
      </c>
      <c r="H25" s="96">
        <v>0</v>
      </c>
      <c r="I25" s="96">
        <v>0</v>
      </c>
      <c r="J25" s="184">
        <f t="shared" si="2"/>
        <v>0</v>
      </c>
      <c r="K25" s="184">
        <f t="shared" si="3"/>
        <v>10996.48</v>
      </c>
      <c r="L25" s="184"/>
      <c r="M25" s="184">
        <f t="shared" si="4"/>
        <v>40268.131599999993</v>
      </c>
      <c r="N25" s="17"/>
    </row>
    <row r="26" spans="1:15">
      <c r="A26" s="26">
        <v>23</v>
      </c>
      <c r="B26" s="27">
        <v>46045</v>
      </c>
      <c r="C26" s="17"/>
      <c r="D26" s="140"/>
      <c r="E26" s="96">
        <v>0</v>
      </c>
      <c r="F26" s="96">
        <v>0</v>
      </c>
      <c r="G26" s="184">
        <f t="shared" si="1"/>
        <v>0</v>
      </c>
      <c r="H26" s="96">
        <v>0</v>
      </c>
      <c r="I26" s="96">
        <v>0</v>
      </c>
      <c r="J26" s="184">
        <f t="shared" si="2"/>
        <v>0</v>
      </c>
      <c r="K26" s="184">
        <f t="shared" si="3"/>
        <v>0</v>
      </c>
      <c r="L26" s="184"/>
      <c r="M26" s="184">
        <f t="shared" si="4"/>
        <v>40268.131599999993</v>
      </c>
      <c r="N26" s="17"/>
    </row>
    <row r="27" spans="1:15">
      <c r="A27" s="26">
        <v>24</v>
      </c>
      <c r="B27" s="27">
        <v>46046</v>
      </c>
      <c r="C27" s="17"/>
      <c r="D27" s="140"/>
      <c r="E27" s="96">
        <v>128</v>
      </c>
      <c r="F27" s="96">
        <v>90.88</v>
      </c>
      <c r="G27" s="184">
        <f t="shared" si="1"/>
        <v>11632.64</v>
      </c>
      <c r="H27" s="96">
        <v>0</v>
      </c>
      <c r="I27" s="96">
        <v>0</v>
      </c>
      <c r="J27" s="184">
        <f t="shared" si="2"/>
        <v>0</v>
      </c>
      <c r="K27" s="184">
        <f t="shared" si="3"/>
        <v>11632.64</v>
      </c>
      <c r="L27" s="184"/>
      <c r="M27" s="184">
        <f t="shared" si="4"/>
        <v>51900.771599999993</v>
      </c>
      <c r="N27" s="17"/>
    </row>
    <row r="28" spans="1:15">
      <c r="A28" s="26">
        <v>25</v>
      </c>
      <c r="B28" s="27">
        <v>46047</v>
      </c>
      <c r="C28" s="17"/>
      <c r="D28" s="140"/>
      <c r="E28" s="96">
        <v>30</v>
      </c>
      <c r="F28" s="96">
        <v>90.88</v>
      </c>
      <c r="G28" s="184">
        <f t="shared" si="1"/>
        <v>2726.3999999999996</v>
      </c>
      <c r="H28" s="96">
        <v>5</v>
      </c>
      <c r="I28" s="96">
        <v>102.77</v>
      </c>
      <c r="J28" s="184">
        <f t="shared" si="2"/>
        <v>513.85</v>
      </c>
      <c r="K28" s="184">
        <f t="shared" si="3"/>
        <v>3240.2499999999995</v>
      </c>
      <c r="L28" s="184"/>
      <c r="M28" s="184">
        <f t="shared" si="4"/>
        <v>55141.021599999993</v>
      </c>
      <c r="N28" s="17"/>
    </row>
    <row r="29" spans="1:15">
      <c r="A29" s="26">
        <v>26</v>
      </c>
      <c r="B29" s="27">
        <v>46048</v>
      </c>
      <c r="C29" s="17"/>
      <c r="D29" s="140"/>
      <c r="E29" s="96">
        <v>155</v>
      </c>
      <c r="F29" s="96">
        <v>90.88</v>
      </c>
      <c r="G29" s="184">
        <f t="shared" si="1"/>
        <v>14086.4</v>
      </c>
      <c r="H29" s="96">
        <v>0</v>
      </c>
      <c r="I29" s="96">
        <v>0</v>
      </c>
      <c r="J29" s="184">
        <f t="shared" si="2"/>
        <v>0</v>
      </c>
      <c r="K29" s="184">
        <f t="shared" si="3"/>
        <v>14086.4</v>
      </c>
      <c r="L29" s="184"/>
      <c r="M29" s="184">
        <f t="shared" si="4"/>
        <v>69227.421599999987</v>
      </c>
      <c r="N29" s="17"/>
    </row>
    <row r="30" spans="1:15">
      <c r="A30" s="26">
        <v>27</v>
      </c>
      <c r="B30" s="27">
        <v>46049</v>
      </c>
      <c r="C30" s="17"/>
      <c r="D30" s="140"/>
      <c r="E30" s="96">
        <v>0</v>
      </c>
      <c r="F30" s="96">
        <v>0</v>
      </c>
      <c r="G30" s="184">
        <f t="shared" si="1"/>
        <v>0</v>
      </c>
      <c r="H30" s="96">
        <v>0</v>
      </c>
      <c r="I30" s="96">
        <v>0</v>
      </c>
      <c r="J30" s="184">
        <f t="shared" si="2"/>
        <v>0</v>
      </c>
      <c r="K30" s="184">
        <f t="shared" si="3"/>
        <v>0</v>
      </c>
      <c r="L30" s="184"/>
      <c r="M30" s="184">
        <f t="shared" si="4"/>
        <v>69227.421599999987</v>
      </c>
      <c r="N30" s="17"/>
    </row>
    <row r="31" spans="1:15">
      <c r="A31" s="26">
        <v>28</v>
      </c>
      <c r="B31" s="27">
        <v>46050</v>
      </c>
      <c r="C31" s="17"/>
      <c r="D31" s="140"/>
      <c r="E31" s="96">
        <v>35</v>
      </c>
      <c r="F31" s="96">
        <v>90.88</v>
      </c>
      <c r="G31" s="184">
        <f t="shared" si="1"/>
        <v>3180.7999999999997</v>
      </c>
      <c r="H31" s="96">
        <v>5</v>
      </c>
      <c r="I31" s="96">
        <v>102.77</v>
      </c>
      <c r="J31" s="184">
        <f t="shared" si="2"/>
        <v>513.85</v>
      </c>
      <c r="K31" s="184">
        <f t="shared" si="3"/>
        <v>3694.6499999999996</v>
      </c>
      <c r="L31" s="184"/>
      <c r="M31" s="184">
        <f t="shared" si="4"/>
        <v>72922.071599999981</v>
      </c>
      <c r="N31" s="17"/>
    </row>
    <row r="32" spans="1:15">
      <c r="A32" s="26">
        <v>29</v>
      </c>
      <c r="B32" s="27">
        <v>46051</v>
      </c>
      <c r="C32" s="17"/>
      <c r="D32" s="140"/>
      <c r="E32" s="96">
        <v>80</v>
      </c>
      <c r="F32" s="96">
        <v>90.88</v>
      </c>
      <c r="G32" s="184">
        <f t="shared" si="1"/>
        <v>7270.4</v>
      </c>
      <c r="H32" s="96">
        <v>10</v>
      </c>
      <c r="I32" s="96">
        <v>102.77</v>
      </c>
      <c r="J32" s="184">
        <f t="shared" si="2"/>
        <v>1027.7</v>
      </c>
      <c r="K32" s="184">
        <f t="shared" si="3"/>
        <v>8298.1</v>
      </c>
      <c r="L32" s="184"/>
      <c r="M32" s="184">
        <f t="shared" si="4"/>
        <v>81220.171599999987</v>
      </c>
      <c r="N32" s="17"/>
    </row>
    <row r="33" spans="1:14">
      <c r="A33" s="26">
        <v>30</v>
      </c>
      <c r="B33" s="27">
        <v>46052</v>
      </c>
      <c r="C33" s="17"/>
      <c r="D33" s="140"/>
      <c r="E33" s="96">
        <v>210</v>
      </c>
      <c r="F33" s="96">
        <v>90.88</v>
      </c>
      <c r="G33" s="184">
        <f t="shared" si="1"/>
        <v>19084.8</v>
      </c>
      <c r="H33" s="96">
        <v>10</v>
      </c>
      <c r="I33" s="96">
        <v>102.77</v>
      </c>
      <c r="J33" s="184">
        <f t="shared" si="2"/>
        <v>1027.7</v>
      </c>
      <c r="K33" s="184">
        <f t="shared" si="3"/>
        <v>20112.5</v>
      </c>
      <c r="L33" s="184"/>
      <c r="M33" s="184">
        <f t="shared" si="4"/>
        <v>101332.67159999999</v>
      </c>
      <c r="N33" s="17"/>
    </row>
    <row r="34" spans="1:14">
      <c r="A34" s="26">
        <v>31</v>
      </c>
      <c r="B34" s="27">
        <v>46053</v>
      </c>
      <c r="C34" s="17"/>
      <c r="D34" s="17"/>
      <c r="E34" s="96">
        <v>28.72</v>
      </c>
      <c r="F34" s="96">
        <v>90.88</v>
      </c>
      <c r="G34" s="184">
        <f t="shared" si="1"/>
        <v>2610.0735999999997</v>
      </c>
      <c r="H34" s="96">
        <v>0</v>
      </c>
      <c r="I34" s="96">
        <v>0</v>
      </c>
      <c r="J34" s="184">
        <f t="shared" si="2"/>
        <v>0</v>
      </c>
      <c r="K34" s="184">
        <f t="shared" si="3"/>
        <v>2610.0735999999997</v>
      </c>
      <c r="L34" s="140"/>
      <c r="M34" s="184">
        <f t="shared" si="4"/>
        <v>103942.74519999999</v>
      </c>
      <c r="N34" s="17"/>
    </row>
    <row r="35" spans="1:14">
      <c r="A35" s="43"/>
      <c r="B35" s="43"/>
      <c r="C35" s="43"/>
      <c r="D35" s="43"/>
      <c r="E35" s="43">
        <f>SUM(E4:E34)</f>
        <v>1989.96</v>
      </c>
      <c r="F35" s="43"/>
      <c r="G35" s="43">
        <f>SUM(G4:G34)</f>
        <v>180847.56479999996</v>
      </c>
      <c r="H35" s="43">
        <f>SUM(H4:H34)</f>
        <v>84</v>
      </c>
      <c r="I35" s="43"/>
      <c r="J35" s="43">
        <f>SUM(J4:J34)</f>
        <v>8632.68</v>
      </c>
      <c r="K35" s="43">
        <f>SUM(K4:K34)</f>
        <v>189480.24480000001</v>
      </c>
      <c r="L35" s="43">
        <f>SUM(L4:L34)</f>
        <v>184520</v>
      </c>
      <c r="M35" s="43">
        <f>SUM(M4:M34)</f>
        <v>1911315.1099999996</v>
      </c>
      <c r="N35" s="43"/>
    </row>
    <row r="36" spans="1:14">
      <c r="E36">
        <v>1541.87</v>
      </c>
    </row>
    <row r="37" spans="1:14">
      <c r="E37">
        <v>1661</v>
      </c>
      <c r="H37">
        <v>43.92</v>
      </c>
      <c r="K37" s="22"/>
    </row>
    <row r="38" spans="1:14">
      <c r="E38">
        <f>E37-E36</f>
        <v>119.13000000000011</v>
      </c>
    </row>
  </sheetData>
  <mergeCells count="1">
    <mergeCell ref="A1:N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4D717-3CA9-494A-8EBD-D74F2C499AC3}">
  <dimension ref="A1:Q37"/>
  <sheetViews>
    <sheetView workbookViewId="0">
      <selection activeCell="L14" sqref="L14"/>
    </sheetView>
  </sheetViews>
  <sheetFormatPr defaultRowHeight="15"/>
  <cols>
    <col min="1" max="1" width="5.140625" bestFit="1" customWidth="1"/>
    <col min="3" max="3" width="8" bestFit="1" customWidth="1"/>
    <col min="4" max="4" width="16" bestFit="1" customWidth="1"/>
    <col min="5" max="5" width="10.7109375" bestFit="1" customWidth="1"/>
    <col min="6" max="6" width="6.140625" bestFit="1" customWidth="1"/>
    <col min="7" max="7" width="10.42578125" bestFit="1" customWidth="1"/>
    <col min="8" max="8" width="10.7109375" bestFit="1" customWidth="1"/>
    <col min="9" max="9" width="9.28515625" customWidth="1"/>
    <col min="10" max="10" width="8.7109375" bestFit="1" customWidth="1"/>
    <col min="11" max="12" width="13.5703125" bestFit="1" customWidth="1"/>
    <col min="13" max="13" width="11.28515625" bestFit="1" customWidth="1"/>
    <col min="14" max="14" width="8.7109375" bestFit="1" customWidth="1"/>
  </cols>
  <sheetData>
    <row r="1" spans="1:17" ht="15.75">
      <c r="A1" s="483" t="s">
        <v>51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95"/>
      <c r="P1" s="95"/>
      <c r="Q1" s="95"/>
    </row>
    <row r="2" spans="1:17">
      <c r="A2" s="67" t="s">
        <v>129</v>
      </c>
      <c r="B2" s="67" t="s">
        <v>130</v>
      </c>
      <c r="C2" s="67" t="s">
        <v>131</v>
      </c>
      <c r="D2" s="67" t="s">
        <v>132</v>
      </c>
      <c r="E2" s="94" t="s">
        <v>133</v>
      </c>
      <c r="F2" s="94" t="s">
        <v>134</v>
      </c>
      <c r="G2" s="94" t="s">
        <v>135</v>
      </c>
      <c r="H2" s="94" t="s">
        <v>136</v>
      </c>
      <c r="I2" s="94" t="s">
        <v>134</v>
      </c>
      <c r="J2" s="94" t="s">
        <v>135</v>
      </c>
      <c r="K2" s="94" t="s">
        <v>137</v>
      </c>
      <c r="L2" s="88" t="s">
        <v>138</v>
      </c>
      <c r="M2" s="88" t="s">
        <v>139</v>
      </c>
      <c r="N2" s="67" t="s">
        <v>140</v>
      </c>
    </row>
    <row r="3" spans="1:17">
      <c r="A3" s="17"/>
      <c r="B3" s="17"/>
      <c r="C3" s="17"/>
      <c r="D3" s="17" t="s">
        <v>141</v>
      </c>
      <c r="E3" s="17"/>
      <c r="F3" s="17"/>
      <c r="G3" s="17"/>
      <c r="H3" s="17"/>
      <c r="I3" s="17"/>
      <c r="J3" s="17"/>
      <c r="K3" s="41">
        <v>660530.80199999979</v>
      </c>
      <c r="L3" s="17"/>
      <c r="M3" s="41">
        <v>660530.80199999979</v>
      </c>
      <c r="N3" s="17"/>
      <c r="O3" s="41">
        <v>26506.399999999994</v>
      </c>
    </row>
    <row r="4" spans="1:17">
      <c r="A4" s="26">
        <v>1</v>
      </c>
      <c r="B4" s="27">
        <v>46023</v>
      </c>
      <c r="C4" s="17"/>
      <c r="D4" s="17"/>
      <c r="E4" s="96">
        <v>40</v>
      </c>
      <c r="F4" s="96">
        <v>91.32</v>
      </c>
      <c r="G4" s="41">
        <f>E4*F4</f>
        <v>3652.7999999999997</v>
      </c>
      <c r="H4" s="45"/>
      <c r="I4" s="45"/>
      <c r="J4" s="41">
        <f>H4*I4</f>
        <v>0</v>
      </c>
      <c r="K4" s="41">
        <f>G4+J4</f>
        <v>3652.7999999999997</v>
      </c>
      <c r="L4" s="41"/>
      <c r="M4" s="41">
        <f>M3+K4-L4</f>
        <v>664183.60199999984</v>
      </c>
      <c r="N4" s="17"/>
    </row>
    <row r="5" spans="1:17">
      <c r="A5" s="26">
        <v>2</v>
      </c>
      <c r="B5" s="27">
        <v>46024</v>
      </c>
      <c r="C5" s="17"/>
      <c r="D5" s="17"/>
      <c r="E5" s="392">
        <v>35</v>
      </c>
      <c r="F5" s="392">
        <v>91.32</v>
      </c>
      <c r="G5" s="41">
        <f t="shared" ref="G5:G35" si="0">E5*F5</f>
        <v>3196.2</v>
      </c>
      <c r="H5" s="393">
        <v>10</v>
      </c>
      <c r="I5" s="393">
        <v>103.24</v>
      </c>
      <c r="J5" s="41">
        <f t="shared" ref="J5:J36" si="1">H5*I5</f>
        <v>1032.3999999999999</v>
      </c>
      <c r="K5" s="41">
        <f t="shared" ref="K5:K36" si="2">G5+J5</f>
        <v>4228.5999999999995</v>
      </c>
      <c r="L5" s="41"/>
      <c r="M5" s="41">
        <f>M4+K5-L5</f>
        <v>668412.20199999982</v>
      </c>
      <c r="N5" s="17"/>
    </row>
    <row r="6" spans="1:17">
      <c r="A6" s="26">
        <v>3</v>
      </c>
      <c r="B6" s="27">
        <v>46025</v>
      </c>
      <c r="C6" s="17"/>
      <c r="D6" s="17"/>
      <c r="E6" s="392">
        <v>0</v>
      </c>
      <c r="F6" s="392">
        <v>91.32</v>
      </c>
      <c r="G6" s="41">
        <f t="shared" si="0"/>
        <v>0</v>
      </c>
      <c r="H6" s="393">
        <v>3</v>
      </c>
      <c r="I6" s="393">
        <v>103.24</v>
      </c>
      <c r="J6" s="41">
        <f t="shared" si="1"/>
        <v>309.71999999999997</v>
      </c>
      <c r="K6" s="41">
        <f t="shared" si="2"/>
        <v>309.71999999999997</v>
      </c>
      <c r="L6" s="41"/>
      <c r="M6" s="41">
        <f>M5+K6-L6</f>
        <v>668721.92199999979</v>
      </c>
      <c r="N6" s="17"/>
    </row>
    <row r="7" spans="1:17">
      <c r="A7" s="26">
        <v>4</v>
      </c>
      <c r="B7" s="27">
        <v>46026</v>
      </c>
      <c r="C7" s="17"/>
      <c r="D7" s="17"/>
      <c r="E7" s="392">
        <v>30</v>
      </c>
      <c r="F7" s="392">
        <v>91.32</v>
      </c>
      <c r="G7" s="41">
        <f t="shared" si="0"/>
        <v>2739.6</v>
      </c>
      <c r="H7" s="393">
        <v>18</v>
      </c>
      <c r="I7" s="393">
        <v>103.24</v>
      </c>
      <c r="J7" s="41">
        <f t="shared" si="1"/>
        <v>1858.32</v>
      </c>
      <c r="K7" s="41">
        <f t="shared" si="2"/>
        <v>4597.92</v>
      </c>
      <c r="L7" s="41"/>
      <c r="M7" s="41">
        <f>M6+K7-L7</f>
        <v>673319.84199999983</v>
      </c>
      <c r="N7" s="17"/>
    </row>
    <row r="8" spans="1:17">
      <c r="A8" s="26">
        <v>5</v>
      </c>
      <c r="B8" s="27">
        <v>46027</v>
      </c>
      <c r="C8" s="17"/>
      <c r="D8" s="17"/>
      <c r="E8" s="392">
        <v>30</v>
      </c>
      <c r="F8" s="392">
        <v>91.32</v>
      </c>
      <c r="G8" s="41">
        <f t="shared" si="0"/>
        <v>2739.6</v>
      </c>
      <c r="H8" s="45">
        <v>6</v>
      </c>
      <c r="I8" s="393">
        <v>103.24</v>
      </c>
      <c r="J8" s="41">
        <f t="shared" si="1"/>
        <v>619.43999999999994</v>
      </c>
      <c r="K8" s="41">
        <f t="shared" si="2"/>
        <v>3359.04</v>
      </c>
      <c r="L8" s="41"/>
      <c r="M8" s="41">
        <f>M7+K8-L8</f>
        <v>676678.88199999987</v>
      </c>
      <c r="N8" s="17"/>
    </row>
    <row r="9" spans="1:17">
      <c r="A9" s="26">
        <v>6</v>
      </c>
      <c r="B9" s="27">
        <v>46028</v>
      </c>
      <c r="C9" s="17"/>
      <c r="D9" s="17"/>
      <c r="E9" s="96"/>
      <c r="F9" s="96"/>
      <c r="G9" s="41">
        <f t="shared" si="0"/>
        <v>0</v>
      </c>
      <c r="H9" s="45"/>
      <c r="I9" s="45"/>
      <c r="J9" s="41">
        <f t="shared" si="1"/>
        <v>0</v>
      </c>
      <c r="K9" s="41">
        <f t="shared" si="2"/>
        <v>0</v>
      </c>
      <c r="L9" s="41"/>
      <c r="M9" s="41">
        <f t="shared" ref="M9:M36" si="3">M8+K9-L9</f>
        <v>676678.88199999987</v>
      </c>
      <c r="N9" s="17"/>
    </row>
    <row r="10" spans="1:17">
      <c r="A10" s="26">
        <v>7</v>
      </c>
      <c r="B10" s="27">
        <v>46029</v>
      </c>
      <c r="C10" s="17"/>
      <c r="D10" s="17"/>
      <c r="E10" s="96"/>
      <c r="F10" s="96"/>
      <c r="G10" s="41">
        <f t="shared" si="0"/>
        <v>0</v>
      </c>
      <c r="H10" s="45"/>
      <c r="I10" s="45"/>
      <c r="J10" s="41">
        <f t="shared" si="1"/>
        <v>0</v>
      </c>
      <c r="K10" s="41">
        <f t="shared" si="2"/>
        <v>0</v>
      </c>
      <c r="L10" s="41"/>
      <c r="M10" s="41">
        <f t="shared" si="3"/>
        <v>676678.88199999987</v>
      </c>
      <c r="N10" s="17"/>
    </row>
    <row r="11" spans="1:17">
      <c r="A11" s="26">
        <v>8</v>
      </c>
      <c r="B11" s="27">
        <v>46030</v>
      </c>
      <c r="C11" s="17"/>
      <c r="D11" s="17"/>
      <c r="E11" s="96"/>
      <c r="F11" s="96"/>
      <c r="G11" s="41">
        <f t="shared" si="0"/>
        <v>0</v>
      </c>
      <c r="H11" s="45"/>
      <c r="I11" s="45"/>
      <c r="J11" s="41">
        <f t="shared" si="1"/>
        <v>0</v>
      </c>
      <c r="K11" s="41">
        <f t="shared" si="2"/>
        <v>0</v>
      </c>
      <c r="L11" s="41">
        <v>400000</v>
      </c>
      <c r="M11" s="41">
        <f t="shared" si="3"/>
        <v>276678.88199999987</v>
      </c>
      <c r="N11" s="17"/>
    </row>
    <row r="12" spans="1:17">
      <c r="A12" s="26">
        <v>9</v>
      </c>
      <c r="B12" s="27">
        <v>46031</v>
      </c>
      <c r="C12" s="17"/>
      <c r="D12" s="17"/>
      <c r="E12" s="96"/>
      <c r="F12" s="96"/>
      <c r="G12" s="41">
        <f t="shared" si="0"/>
        <v>0</v>
      </c>
      <c r="H12" s="45"/>
      <c r="I12" s="45"/>
      <c r="J12" s="41">
        <f t="shared" si="1"/>
        <v>0</v>
      </c>
      <c r="K12" s="41">
        <f t="shared" si="2"/>
        <v>0</v>
      </c>
      <c r="L12" s="41">
        <v>271620</v>
      </c>
      <c r="M12" s="41">
        <f>M11+K12-L12</f>
        <v>5058.8819999998668</v>
      </c>
      <c r="N12" s="17"/>
    </row>
    <row r="13" spans="1:17">
      <c r="A13" s="26">
        <v>10</v>
      </c>
      <c r="B13" s="27">
        <v>46032</v>
      </c>
      <c r="C13" s="17"/>
      <c r="D13" s="17"/>
      <c r="E13" s="96"/>
      <c r="F13" s="96"/>
      <c r="G13" s="41">
        <f t="shared" si="0"/>
        <v>0</v>
      </c>
      <c r="H13" s="45"/>
      <c r="I13" s="45"/>
      <c r="J13" s="41">
        <f t="shared" si="1"/>
        <v>0</v>
      </c>
      <c r="K13" s="41">
        <f t="shared" si="2"/>
        <v>0</v>
      </c>
      <c r="L13" s="41">
        <v>5058.88</v>
      </c>
      <c r="M13" s="41">
        <f t="shared" si="3"/>
        <v>1.9999998667117325E-3</v>
      </c>
      <c r="N13" s="17"/>
      <c r="O13">
        <v>4782</v>
      </c>
    </row>
    <row r="14" spans="1:17">
      <c r="A14" s="26">
        <v>11</v>
      </c>
      <c r="B14" s="27">
        <v>46033</v>
      </c>
      <c r="C14" s="17"/>
      <c r="D14" s="17"/>
      <c r="E14" s="96"/>
      <c r="F14" s="96"/>
      <c r="G14" s="41">
        <f t="shared" si="0"/>
        <v>0</v>
      </c>
      <c r="H14" s="45"/>
      <c r="I14" s="45"/>
      <c r="J14" s="41">
        <f t="shared" si="1"/>
        <v>0</v>
      </c>
      <c r="K14" s="41">
        <f t="shared" si="2"/>
        <v>0</v>
      </c>
      <c r="L14" s="41"/>
      <c r="M14" s="41">
        <f>M13+K14-L14</f>
        <v>1.9999998667117325E-3</v>
      </c>
      <c r="N14" s="17"/>
    </row>
    <row r="15" spans="1:17">
      <c r="A15" s="26">
        <v>12</v>
      </c>
      <c r="B15" s="27">
        <v>46034</v>
      </c>
      <c r="C15" s="17"/>
      <c r="D15" s="96"/>
      <c r="E15" s="96"/>
      <c r="F15" s="96"/>
      <c r="G15" s="41">
        <f t="shared" si="0"/>
        <v>0</v>
      </c>
      <c r="H15" s="45"/>
      <c r="I15" s="45"/>
      <c r="J15" s="41">
        <f t="shared" si="1"/>
        <v>0</v>
      </c>
      <c r="K15" s="41">
        <f t="shared" si="2"/>
        <v>0</v>
      </c>
      <c r="L15" s="41"/>
      <c r="M15" s="41">
        <f t="shared" si="3"/>
        <v>1.9999998667117325E-3</v>
      </c>
      <c r="N15" s="17"/>
    </row>
    <row r="16" spans="1:17">
      <c r="A16" s="26">
        <v>13</v>
      </c>
      <c r="B16" s="27">
        <v>46035</v>
      </c>
      <c r="C16" s="17"/>
      <c r="D16" s="17">
        <v>0</v>
      </c>
      <c r="E16" s="96"/>
      <c r="F16" s="96"/>
      <c r="G16" s="41">
        <f t="shared" si="0"/>
        <v>0</v>
      </c>
      <c r="H16" s="45"/>
      <c r="I16" s="45"/>
      <c r="J16" s="41">
        <f t="shared" si="1"/>
        <v>0</v>
      </c>
      <c r="K16" s="41">
        <f t="shared" si="2"/>
        <v>0</v>
      </c>
      <c r="L16" s="41"/>
      <c r="M16" s="41">
        <f t="shared" si="3"/>
        <v>1.9999998667117325E-3</v>
      </c>
      <c r="N16" s="17"/>
      <c r="Q16" s="355"/>
    </row>
    <row r="17" spans="1:16">
      <c r="A17" s="26">
        <v>14</v>
      </c>
      <c r="B17" s="27">
        <v>46036</v>
      </c>
      <c r="C17" s="17"/>
      <c r="D17" s="17"/>
      <c r="E17" s="96"/>
      <c r="F17" s="96"/>
      <c r="G17" s="41">
        <f t="shared" si="0"/>
        <v>0</v>
      </c>
      <c r="H17" s="45"/>
      <c r="I17" s="45"/>
      <c r="J17" s="41">
        <f t="shared" si="1"/>
        <v>0</v>
      </c>
      <c r="K17" s="41">
        <f t="shared" si="2"/>
        <v>0</v>
      </c>
      <c r="L17" s="41"/>
      <c r="M17" s="41">
        <f t="shared" si="3"/>
        <v>1.9999998667117325E-3</v>
      </c>
      <c r="N17" s="17"/>
    </row>
    <row r="18" spans="1:16">
      <c r="A18" s="26">
        <v>15</v>
      </c>
      <c r="B18" s="27">
        <v>46037</v>
      </c>
      <c r="C18" s="17"/>
      <c r="D18" s="17"/>
      <c r="E18" s="96"/>
      <c r="F18" s="96"/>
      <c r="G18" s="41">
        <f t="shared" si="0"/>
        <v>0</v>
      </c>
      <c r="H18" s="45"/>
      <c r="I18" s="45"/>
      <c r="J18" s="41">
        <f t="shared" si="1"/>
        <v>0</v>
      </c>
      <c r="K18" s="41">
        <f t="shared" si="2"/>
        <v>0</v>
      </c>
      <c r="L18" s="41"/>
      <c r="M18" s="41">
        <f t="shared" si="3"/>
        <v>1.9999998667117325E-3</v>
      </c>
      <c r="N18" s="17"/>
    </row>
    <row r="19" spans="1:16">
      <c r="A19" s="26">
        <v>16</v>
      </c>
      <c r="B19" s="27">
        <v>46038</v>
      </c>
      <c r="C19" s="17"/>
      <c r="D19" s="17"/>
      <c r="E19" s="96"/>
      <c r="F19" s="96"/>
      <c r="G19" s="41">
        <f t="shared" si="0"/>
        <v>0</v>
      </c>
      <c r="H19" s="45"/>
      <c r="I19" s="45"/>
      <c r="J19" s="41">
        <f t="shared" si="1"/>
        <v>0</v>
      </c>
      <c r="K19" s="41">
        <f t="shared" si="2"/>
        <v>0</v>
      </c>
      <c r="L19" s="41"/>
      <c r="M19" s="41">
        <f t="shared" si="3"/>
        <v>1.9999998667117325E-3</v>
      </c>
      <c r="N19" s="17"/>
    </row>
    <row r="20" spans="1:16">
      <c r="A20" s="26">
        <v>17</v>
      </c>
      <c r="B20" s="27">
        <v>46039</v>
      </c>
      <c r="C20" s="17"/>
      <c r="D20" s="17"/>
      <c r="E20" s="96"/>
      <c r="F20" s="96"/>
      <c r="G20" s="41">
        <f t="shared" si="0"/>
        <v>0</v>
      </c>
      <c r="H20" s="45"/>
      <c r="I20" s="45"/>
      <c r="J20" s="41">
        <f t="shared" si="1"/>
        <v>0</v>
      </c>
      <c r="K20" s="41">
        <f t="shared" si="2"/>
        <v>0</v>
      </c>
      <c r="L20" s="41"/>
      <c r="M20" s="41">
        <f t="shared" si="3"/>
        <v>1.9999998667117325E-3</v>
      </c>
      <c r="N20" s="17"/>
    </row>
    <row r="21" spans="1:16">
      <c r="A21" s="26">
        <v>18</v>
      </c>
      <c r="B21" s="27">
        <v>46040</v>
      </c>
      <c r="C21" s="17"/>
      <c r="D21" s="17"/>
      <c r="E21" s="96"/>
      <c r="F21" s="96"/>
      <c r="G21" s="41">
        <f t="shared" si="0"/>
        <v>0</v>
      </c>
      <c r="H21" s="45"/>
      <c r="I21" s="45"/>
      <c r="J21" s="41">
        <f t="shared" si="1"/>
        <v>0</v>
      </c>
      <c r="K21" s="41">
        <f t="shared" si="2"/>
        <v>0</v>
      </c>
      <c r="L21" s="41"/>
      <c r="M21" s="41">
        <f t="shared" si="3"/>
        <v>1.9999998667117325E-3</v>
      </c>
      <c r="N21" s="17"/>
    </row>
    <row r="22" spans="1:16">
      <c r="A22" s="26">
        <v>19</v>
      </c>
      <c r="B22" s="27">
        <v>46041</v>
      </c>
      <c r="C22" s="17"/>
      <c r="D22" s="17"/>
      <c r="E22" s="96"/>
      <c r="F22" s="96"/>
      <c r="G22" s="41">
        <f t="shared" si="0"/>
        <v>0</v>
      </c>
      <c r="H22" s="45"/>
      <c r="I22" s="45"/>
      <c r="J22" s="41">
        <f t="shared" si="1"/>
        <v>0</v>
      </c>
      <c r="K22" s="41">
        <f t="shared" si="2"/>
        <v>0</v>
      </c>
      <c r="L22" s="41"/>
      <c r="M22" s="41">
        <f t="shared" si="3"/>
        <v>1.9999998667117325E-3</v>
      </c>
      <c r="N22" s="17"/>
    </row>
    <row r="23" spans="1:16">
      <c r="A23" s="26">
        <v>20</v>
      </c>
      <c r="B23" s="27">
        <v>46042</v>
      </c>
      <c r="C23" s="17"/>
      <c r="D23" s="17"/>
      <c r="E23" s="96"/>
      <c r="F23" s="96"/>
      <c r="G23" s="41">
        <f t="shared" si="0"/>
        <v>0</v>
      </c>
      <c r="H23" s="45"/>
      <c r="I23" s="45"/>
      <c r="J23" s="41">
        <f t="shared" si="1"/>
        <v>0</v>
      </c>
      <c r="K23" s="41">
        <f t="shared" si="2"/>
        <v>0</v>
      </c>
      <c r="L23" s="41"/>
      <c r="M23" s="41">
        <f t="shared" si="3"/>
        <v>1.9999998667117325E-3</v>
      </c>
      <c r="N23" s="17"/>
    </row>
    <row r="24" spans="1:16">
      <c r="A24" s="26">
        <v>21</v>
      </c>
      <c r="B24" s="27">
        <v>46043</v>
      </c>
      <c r="C24" s="17"/>
      <c r="D24" s="17"/>
      <c r="E24" s="96"/>
      <c r="F24" s="96"/>
      <c r="G24" s="41">
        <f t="shared" si="0"/>
        <v>0</v>
      </c>
      <c r="H24" s="45"/>
      <c r="I24" s="45"/>
      <c r="J24" s="41">
        <f t="shared" si="1"/>
        <v>0</v>
      </c>
      <c r="K24" s="41">
        <f t="shared" si="2"/>
        <v>0</v>
      </c>
      <c r="L24" s="41"/>
      <c r="M24" s="41">
        <f t="shared" si="3"/>
        <v>1.9999998667117325E-3</v>
      </c>
      <c r="N24" s="17"/>
    </row>
    <row r="25" spans="1:16">
      <c r="A25" s="26">
        <v>22</v>
      </c>
      <c r="B25" s="27">
        <v>46044</v>
      </c>
      <c r="C25" s="17"/>
      <c r="D25" s="17"/>
      <c r="E25" s="96"/>
      <c r="F25" s="96"/>
      <c r="G25" s="41">
        <f t="shared" si="0"/>
        <v>0</v>
      </c>
      <c r="H25" s="45"/>
      <c r="I25" s="45"/>
      <c r="J25" s="41">
        <f t="shared" si="1"/>
        <v>0</v>
      </c>
      <c r="K25" s="41">
        <f t="shared" si="2"/>
        <v>0</v>
      </c>
      <c r="L25" s="41"/>
      <c r="M25" s="41">
        <f t="shared" si="3"/>
        <v>1.9999998667117325E-3</v>
      </c>
      <c r="N25" s="17"/>
    </row>
    <row r="26" spans="1:16">
      <c r="A26" s="26">
        <v>23</v>
      </c>
      <c r="B26" s="27">
        <v>46045</v>
      </c>
      <c r="C26" s="17"/>
      <c r="D26" s="17"/>
      <c r="E26" s="96"/>
      <c r="F26" s="96"/>
      <c r="G26" s="41">
        <f t="shared" si="0"/>
        <v>0</v>
      </c>
      <c r="H26" s="45"/>
      <c r="I26" s="45"/>
      <c r="J26" s="41">
        <f t="shared" si="1"/>
        <v>0</v>
      </c>
      <c r="K26" s="41">
        <f t="shared" si="2"/>
        <v>0</v>
      </c>
      <c r="L26" s="41"/>
      <c r="M26" s="41">
        <f t="shared" si="3"/>
        <v>1.9999998667117325E-3</v>
      </c>
      <c r="N26" s="17"/>
    </row>
    <row r="27" spans="1:16">
      <c r="A27" s="26">
        <v>24</v>
      </c>
      <c r="B27" s="27">
        <v>46046</v>
      </c>
      <c r="C27" s="17"/>
      <c r="D27" s="17"/>
      <c r="E27" s="96"/>
      <c r="F27" s="96"/>
      <c r="G27" s="41">
        <f t="shared" si="0"/>
        <v>0</v>
      </c>
      <c r="H27" s="45"/>
      <c r="I27" s="45"/>
      <c r="J27" s="41">
        <f t="shared" si="1"/>
        <v>0</v>
      </c>
      <c r="K27" s="41">
        <f t="shared" si="2"/>
        <v>0</v>
      </c>
      <c r="L27" s="41"/>
      <c r="M27" s="41">
        <f t="shared" si="3"/>
        <v>1.9999998667117325E-3</v>
      </c>
      <c r="N27" s="17"/>
      <c r="P27" s="22"/>
    </row>
    <row r="28" spans="1:16">
      <c r="A28" s="26">
        <v>25</v>
      </c>
      <c r="B28" s="27">
        <v>46047</v>
      </c>
      <c r="C28" s="17"/>
      <c r="D28" s="17"/>
      <c r="E28" s="96"/>
      <c r="F28" s="96"/>
      <c r="G28" s="41">
        <f t="shared" si="0"/>
        <v>0</v>
      </c>
      <c r="H28" s="45"/>
      <c r="I28" s="45"/>
      <c r="J28" s="41">
        <f t="shared" si="1"/>
        <v>0</v>
      </c>
      <c r="K28" s="41">
        <f t="shared" si="2"/>
        <v>0</v>
      </c>
      <c r="L28" s="41"/>
      <c r="M28" s="41">
        <f t="shared" si="3"/>
        <v>1.9999998667117325E-3</v>
      </c>
      <c r="N28" s="17"/>
    </row>
    <row r="29" spans="1:16">
      <c r="A29" s="26">
        <v>26</v>
      </c>
      <c r="B29" s="27">
        <v>46048</v>
      </c>
      <c r="C29" s="17"/>
      <c r="D29" s="235"/>
      <c r="E29" s="96"/>
      <c r="F29" s="96"/>
      <c r="G29" s="41">
        <f t="shared" si="0"/>
        <v>0</v>
      </c>
      <c r="H29" s="45"/>
      <c r="I29" s="45"/>
      <c r="J29" s="41">
        <f t="shared" si="1"/>
        <v>0</v>
      </c>
      <c r="K29" s="41">
        <f t="shared" si="2"/>
        <v>0</v>
      </c>
      <c r="L29" s="41"/>
      <c r="M29" s="41">
        <f t="shared" si="3"/>
        <v>1.9999998667117325E-3</v>
      </c>
      <c r="N29" s="17"/>
    </row>
    <row r="30" spans="1:16">
      <c r="A30" s="26">
        <v>27</v>
      </c>
      <c r="B30" s="27">
        <v>46049</v>
      </c>
      <c r="C30" s="17"/>
      <c r="D30" s="17"/>
      <c r="E30" s="96"/>
      <c r="F30" s="96"/>
      <c r="G30" s="41">
        <f t="shared" si="0"/>
        <v>0</v>
      </c>
      <c r="H30" s="45"/>
      <c r="I30" s="45"/>
      <c r="J30" s="41">
        <f t="shared" si="1"/>
        <v>0</v>
      </c>
      <c r="K30" s="41">
        <f t="shared" si="2"/>
        <v>0</v>
      </c>
      <c r="L30" s="41"/>
      <c r="M30" s="41">
        <f t="shared" si="3"/>
        <v>1.9999998667117325E-3</v>
      </c>
      <c r="N30" s="17"/>
    </row>
    <row r="31" spans="1:16">
      <c r="A31" s="26">
        <v>28</v>
      </c>
      <c r="B31" s="27">
        <v>46050</v>
      </c>
      <c r="C31" s="17"/>
      <c r="D31" s="17"/>
      <c r="E31" s="96"/>
      <c r="F31" s="96"/>
      <c r="G31" s="41">
        <f t="shared" si="0"/>
        <v>0</v>
      </c>
      <c r="H31" s="45"/>
      <c r="I31" s="45"/>
      <c r="J31" s="41">
        <f t="shared" si="1"/>
        <v>0</v>
      </c>
      <c r="K31" s="41">
        <f t="shared" si="2"/>
        <v>0</v>
      </c>
      <c r="L31" s="41"/>
      <c r="M31" s="41">
        <f t="shared" si="3"/>
        <v>1.9999998667117325E-3</v>
      </c>
      <c r="N31" s="17"/>
    </row>
    <row r="32" spans="1:16">
      <c r="A32" s="26">
        <v>29</v>
      </c>
      <c r="B32" s="27">
        <v>46051</v>
      </c>
      <c r="C32" s="17"/>
      <c r="D32" s="17"/>
      <c r="E32" s="96"/>
      <c r="F32" s="96"/>
      <c r="G32" s="41">
        <f t="shared" si="0"/>
        <v>0</v>
      </c>
      <c r="H32" s="45"/>
      <c r="I32" s="45"/>
      <c r="J32" s="41">
        <f t="shared" si="1"/>
        <v>0</v>
      </c>
      <c r="K32" s="41">
        <f t="shared" si="2"/>
        <v>0</v>
      </c>
      <c r="L32" s="41"/>
      <c r="M32" s="41">
        <f t="shared" si="3"/>
        <v>1.9999998667117325E-3</v>
      </c>
      <c r="N32" s="17"/>
    </row>
    <row r="33" spans="1:17">
      <c r="A33" s="26">
        <v>30</v>
      </c>
      <c r="B33" s="27">
        <v>46052</v>
      </c>
      <c r="C33" s="17"/>
      <c r="D33" s="17"/>
      <c r="E33" s="96"/>
      <c r="F33" s="96"/>
      <c r="G33" s="41">
        <f t="shared" si="0"/>
        <v>0</v>
      </c>
      <c r="H33" s="45"/>
      <c r="I33" s="45"/>
      <c r="J33" s="41">
        <f t="shared" si="1"/>
        <v>0</v>
      </c>
      <c r="K33" s="41">
        <f t="shared" si="2"/>
        <v>0</v>
      </c>
      <c r="L33" s="41">
        <v>0</v>
      </c>
      <c r="M33" s="41">
        <f t="shared" si="3"/>
        <v>1.9999998667117325E-3</v>
      </c>
      <c r="N33" s="17"/>
    </row>
    <row r="34" spans="1:17">
      <c r="A34" s="26">
        <v>31</v>
      </c>
      <c r="B34" s="27"/>
      <c r="C34" s="17"/>
      <c r="D34" s="17"/>
      <c r="E34" s="96"/>
      <c r="F34" s="96"/>
      <c r="G34" s="41">
        <f t="shared" si="0"/>
        <v>0</v>
      </c>
      <c r="H34" s="45"/>
      <c r="I34" s="45"/>
      <c r="J34" s="41">
        <f t="shared" si="1"/>
        <v>0</v>
      </c>
      <c r="K34" s="41">
        <f t="shared" si="2"/>
        <v>0</v>
      </c>
      <c r="L34" s="41">
        <v>0</v>
      </c>
      <c r="M34" s="41">
        <f>M33+K34-L34</f>
        <v>1.9999998667117325E-3</v>
      </c>
      <c r="N34" s="17"/>
      <c r="Q34" s="246"/>
    </row>
    <row r="35" spans="1:17">
      <c r="A35" s="26">
        <v>32</v>
      </c>
      <c r="B35" s="27"/>
      <c r="C35" s="17"/>
      <c r="D35" s="17"/>
      <c r="E35" s="96"/>
      <c r="F35" s="96"/>
      <c r="G35" s="41">
        <f t="shared" si="0"/>
        <v>0</v>
      </c>
      <c r="H35" s="45"/>
      <c r="I35" s="45"/>
      <c r="J35" s="41">
        <f t="shared" si="1"/>
        <v>0</v>
      </c>
      <c r="K35" s="41">
        <f t="shared" si="2"/>
        <v>0</v>
      </c>
      <c r="L35" s="41">
        <v>0</v>
      </c>
      <c r="M35" s="41">
        <f t="shared" si="3"/>
        <v>1.9999998667117325E-3</v>
      </c>
      <c r="N35" s="17"/>
      <c r="Q35" s="246"/>
    </row>
    <row r="36" spans="1:17">
      <c r="A36" s="26">
        <v>33</v>
      </c>
      <c r="B36" s="27"/>
      <c r="C36" s="17"/>
      <c r="D36" s="17"/>
      <c r="E36" s="96"/>
      <c r="F36" s="96"/>
      <c r="G36" s="41">
        <f t="shared" ref="G5:G36" si="4">E36*F36</f>
        <v>0</v>
      </c>
      <c r="H36" s="45"/>
      <c r="I36" s="45"/>
      <c r="J36" s="41">
        <f t="shared" si="1"/>
        <v>0</v>
      </c>
      <c r="K36" s="41">
        <f t="shared" si="2"/>
        <v>0</v>
      </c>
      <c r="L36" s="41">
        <v>0</v>
      </c>
      <c r="M36" s="41">
        <f t="shared" si="3"/>
        <v>1.9999998667117325E-3</v>
      </c>
      <c r="N36" s="17"/>
      <c r="Q36" s="246"/>
    </row>
    <row r="37" spans="1:17">
      <c r="A37" s="43"/>
      <c r="B37" s="43"/>
      <c r="C37" s="43"/>
      <c r="D37" s="43"/>
      <c r="E37" s="43">
        <f>SUM(E4:E36)</f>
        <v>135</v>
      </c>
      <c r="F37" s="43"/>
      <c r="G37" s="43">
        <f>SUM(G4:G36)</f>
        <v>12328.2</v>
      </c>
      <c r="H37" s="43">
        <f>SUM(H4:H36)</f>
        <v>37</v>
      </c>
      <c r="I37" s="43"/>
      <c r="J37" s="43">
        <f>SUM(J4:J36)</f>
        <v>3819.8799999999997</v>
      </c>
      <c r="K37" s="43">
        <f>SUM(K4:K36)</f>
        <v>16148.080000000002</v>
      </c>
      <c r="L37" s="43">
        <f>SUM(L4:L36)</f>
        <v>676678.88</v>
      </c>
      <c r="M37" s="43"/>
      <c r="N37" s="43"/>
    </row>
  </sheetData>
  <mergeCells count="1">
    <mergeCell ref="A1:N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425B-F20E-4178-950E-FB51E0DEDA4F}">
  <dimension ref="A1:Q37"/>
  <sheetViews>
    <sheetView workbookViewId="0">
      <selection activeCell="M36" sqref="M36"/>
    </sheetView>
  </sheetViews>
  <sheetFormatPr defaultRowHeight="15"/>
  <cols>
    <col min="2" max="2" width="9.5703125" bestFit="1" customWidth="1"/>
    <col min="12" max="12" width="13.5703125" bestFit="1" customWidth="1"/>
    <col min="13" max="13" width="11.28515625" bestFit="1" customWidth="1"/>
  </cols>
  <sheetData>
    <row r="1" spans="1:17" ht="15.75">
      <c r="A1" s="483" t="s">
        <v>227</v>
      </c>
      <c r="B1" s="483"/>
      <c r="C1" s="483"/>
      <c r="D1" s="483"/>
      <c r="E1" s="483"/>
      <c r="F1" s="483"/>
      <c r="G1" s="483"/>
      <c r="H1" s="483"/>
      <c r="I1" s="483"/>
      <c r="J1" s="483"/>
      <c r="K1" s="483"/>
      <c r="L1" s="483"/>
      <c r="M1" s="483"/>
      <c r="N1" s="483"/>
      <c r="O1" s="95"/>
      <c r="P1" s="95"/>
      <c r="Q1" s="95"/>
    </row>
    <row r="2" spans="1:17">
      <c r="A2" s="67" t="s">
        <v>129</v>
      </c>
      <c r="B2" s="67" t="s">
        <v>130</v>
      </c>
      <c r="C2" s="67" t="s">
        <v>131</v>
      </c>
      <c r="D2" s="67" t="s">
        <v>132</v>
      </c>
      <c r="E2" s="94" t="s">
        <v>133</v>
      </c>
      <c r="F2" s="94" t="s">
        <v>134</v>
      </c>
      <c r="G2" s="94" t="s">
        <v>135</v>
      </c>
      <c r="H2" s="94" t="s">
        <v>136</v>
      </c>
      <c r="I2" s="94" t="s">
        <v>134</v>
      </c>
      <c r="J2" s="94" t="s">
        <v>135</v>
      </c>
      <c r="K2" s="94" t="s">
        <v>137</v>
      </c>
      <c r="L2" s="88" t="s">
        <v>138</v>
      </c>
      <c r="M2" s="88" t="s">
        <v>139</v>
      </c>
      <c r="N2" s="67" t="s">
        <v>140</v>
      </c>
    </row>
    <row r="3" spans="1:17">
      <c r="A3" s="17"/>
      <c r="B3" s="17"/>
      <c r="C3" s="17"/>
      <c r="D3" s="17" t="s">
        <v>141</v>
      </c>
      <c r="E3" s="17"/>
      <c r="F3" s="17"/>
      <c r="G3" s="17"/>
      <c r="H3" s="17"/>
      <c r="I3" s="17"/>
      <c r="J3" s="17"/>
      <c r="K3" s="41">
        <v>0</v>
      </c>
      <c r="L3" s="17"/>
      <c r="M3" s="41">
        <v>0</v>
      </c>
      <c r="N3" s="17"/>
      <c r="O3" s="41">
        <v>26506.399999999994</v>
      </c>
    </row>
    <row r="4" spans="1:17">
      <c r="A4" s="26">
        <v>1</v>
      </c>
      <c r="B4" s="27">
        <v>46023</v>
      </c>
      <c r="C4" s="17"/>
      <c r="D4" s="17"/>
      <c r="E4" s="96"/>
      <c r="F4" s="96"/>
      <c r="G4" s="41"/>
      <c r="H4" s="45"/>
      <c r="I4" s="45"/>
      <c r="J4" s="41">
        <f>H4*I4</f>
        <v>0</v>
      </c>
      <c r="K4" s="41">
        <f>G4+J4</f>
        <v>0</v>
      </c>
      <c r="L4" s="41"/>
      <c r="M4" s="41">
        <f>M3+K4-L4</f>
        <v>0</v>
      </c>
      <c r="N4" s="17"/>
    </row>
    <row r="5" spans="1:17">
      <c r="A5" s="26">
        <v>2</v>
      </c>
      <c r="B5" s="27">
        <v>46024</v>
      </c>
      <c r="C5" s="394" t="s">
        <v>228</v>
      </c>
      <c r="D5" s="17"/>
      <c r="E5" s="96">
        <v>500</v>
      </c>
      <c r="F5" s="96">
        <v>91.54</v>
      </c>
      <c r="G5" s="41">
        <f t="shared" ref="G5:G36" si="0">E5*F5</f>
        <v>45770</v>
      </c>
      <c r="H5" s="393"/>
      <c r="I5" s="393">
        <v>103.48</v>
      </c>
      <c r="J5" s="41">
        <f t="shared" ref="J5:J36" si="1">H5*I5</f>
        <v>0</v>
      </c>
      <c r="K5" s="41">
        <f t="shared" ref="K5:K36" si="2">G5+J5</f>
        <v>45770</v>
      </c>
      <c r="L5" s="41"/>
      <c r="M5" s="41">
        <f>M4+K5-L5</f>
        <v>45770</v>
      </c>
      <c r="N5" s="17"/>
    </row>
    <row r="6" spans="1:17">
      <c r="A6" s="26">
        <v>3</v>
      </c>
      <c r="B6" s="27">
        <v>46025</v>
      </c>
      <c r="C6" s="17"/>
      <c r="D6" s="17"/>
      <c r="E6" s="392"/>
      <c r="F6" s="392"/>
      <c r="G6" s="41">
        <f t="shared" si="0"/>
        <v>0</v>
      </c>
      <c r="H6" s="393"/>
      <c r="I6" s="393"/>
      <c r="J6" s="41">
        <f t="shared" si="1"/>
        <v>0</v>
      </c>
      <c r="K6" s="41">
        <f t="shared" si="2"/>
        <v>0</v>
      </c>
      <c r="L6" s="41"/>
      <c r="M6" s="41">
        <f>M5+K6-L6</f>
        <v>45770</v>
      </c>
      <c r="N6" s="17"/>
    </row>
    <row r="7" spans="1:17">
      <c r="A7" s="26">
        <v>4</v>
      </c>
      <c r="B7" s="27">
        <v>46026</v>
      </c>
      <c r="C7" s="17"/>
      <c r="D7" s="17"/>
      <c r="E7" s="392"/>
      <c r="F7" s="392"/>
      <c r="G7" s="41">
        <f t="shared" si="0"/>
        <v>0</v>
      </c>
      <c r="H7" s="393"/>
      <c r="I7" s="393"/>
      <c r="J7" s="41">
        <f t="shared" si="1"/>
        <v>0</v>
      </c>
      <c r="K7" s="41">
        <f t="shared" si="2"/>
        <v>0</v>
      </c>
      <c r="L7" s="41"/>
      <c r="M7" s="41">
        <f>M6+K7-L7</f>
        <v>45770</v>
      </c>
      <c r="N7" s="17"/>
    </row>
    <row r="8" spans="1:17">
      <c r="A8" s="26">
        <v>5</v>
      </c>
      <c r="B8" s="27">
        <v>46027</v>
      </c>
      <c r="C8" s="17"/>
      <c r="D8" s="17"/>
      <c r="E8" s="96">
        <v>400</v>
      </c>
      <c r="F8" s="96">
        <v>91.54</v>
      </c>
      <c r="G8" s="41">
        <f t="shared" si="0"/>
        <v>36616</v>
      </c>
      <c r="H8" s="45"/>
      <c r="I8" s="45"/>
      <c r="J8" s="41">
        <f t="shared" si="1"/>
        <v>0</v>
      </c>
      <c r="K8" s="41">
        <f t="shared" si="2"/>
        <v>36616</v>
      </c>
      <c r="L8" s="41"/>
      <c r="M8" s="41">
        <f>M7+K8-L8</f>
        <v>82386</v>
      </c>
      <c r="N8" s="17"/>
    </row>
    <row r="9" spans="1:17">
      <c r="A9" s="26">
        <v>6</v>
      </c>
      <c r="B9" s="27">
        <v>46028</v>
      </c>
      <c r="C9" s="17"/>
      <c r="D9" s="17"/>
      <c r="E9" s="96"/>
      <c r="F9" s="96"/>
      <c r="G9" s="41">
        <f t="shared" si="0"/>
        <v>0</v>
      </c>
      <c r="H9" s="45"/>
      <c r="I9" s="45"/>
      <c r="J9" s="41">
        <f t="shared" si="1"/>
        <v>0</v>
      </c>
      <c r="K9" s="41">
        <f t="shared" si="2"/>
        <v>0</v>
      </c>
      <c r="L9" s="41"/>
      <c r="M9" s="41">
        <f t="shared" ref="M9:M36" si="3">M8+K9-L9</f>
        <v>82386</v>
      </c>
      <c r="N9" s="17"/>
    </row>
    <row r="10" spans="1:17">
      <c r="A10" s="26">
        <v>7</v>
      </c>
      <c r="B10" s="27">
        <v>46029</v>
      </c>
      <c r="C10" s="17"/>
      <c r="D10" s="17"/>
      <c r="E10" s="96">
        <v>400</v>
      </c>
      <c r="F10" s="96">
        <v>91.54</v>
      </c>
      <c r="G10" s="41">
        <f t="shared" si="0"/>
        <v>36616</v>
      </c>
      <c r="H10" s="45">
        <v>20</v>
      </c>
      <c r="I10" s="393">
        <v>103.48</v>
      </c>
      <c r="J10" s="41">
        <f t="shared" si="1"/>
        <v>2069.6</v>
      </c>
      <c r="K10" s="41">
        <f t="shared" si="2"/>
        <v>38685.599999999999</v>
      </c>
      <c r="L10" s="41"/>
      <c r="M10" s="41">
        <f t="shared" si="3"/>
        <v>121071.6</v>
      </c>
      <c r="N10" s="17"/>
    </row>
    <row r="11" spans="1:17">
      <c r="A11" s="26">
        <v>8</v>
      </c>
      <c r="B11" s="27">
        <v>46030</v>
      </c>
      <c r="C11" s="17"/>
      <c r="D11" s="17"/>
      <c r="E11" s="96"/>
      <c r="F11" s="96"/>
      <c r="G11" s="41">
        <f t="shared" si="0"/>
        <v>0</v>
      </c>
      <c r="H11" s="45"/>
      <c r="I11" s="45"/>
      <c r="J11" s="41">
        <f t="shared" si="1"/>
        <v>0</v>
      </c>
      <c r="K11" s="41">
        <f t="shared" si="2"/>
        <v>0</v>
      </c>
      <c r="L11" s="41"/>
      <c r="M11" s="41">
        <f t="shared" si="3"/>
        <v>121071.6</v>
      </c>
      <c r="N11" s="17"/>
    </row>
    <row r="12" spans="1:17">
      <c r="A12" s="26">
        <v>9</v>
      </c>
      <c r="B12" s="27">
        <v>46031</v>
      </c>
      <c r="C12" s="17"/>
      <c r="D12" s="17"/>
      <c r="E12" s="96"/>
      <c r="F12" s="96"/>
      <c r="G12" s="41">
        <f t="shared" si="0"/>
        <v>0</v>
      </c>
      <c r="H12" s="45"/>
      <c r="I12" s="45"/>
      <c r="J12" s="41">
        <f t="shared" si="1"/>
        <v>0</v>
      </c>
      <c r="K12" s="41">
        <f t="shared" si="2"/>
        <v>0</v>
      </c>
      <c r="L12" s="41"/>
      <c r="M12" s="41">
        <f>M11+K12-L12</f>
        <v>121071.6</v>
      </c>
      <c r="N12" s="17"/>
    </row>
    <row r="13" spans="1:17">
      <c r="A13" s="26">
        <v>10</v>
      </c>
      <c r="B13" s="27">
        <v>46032</v>
      </c>
      <c r="C13" s="17"/>
      <c r="D13" s="17"/>
      <c r="E13" s="96">
        <v>400</v>
      </c>
      <c r="F13" s="96">
        <v>91.54</v>
      </c>
      <c r="G13" s="41">
        <f t="shared" si="0"/>
        <v>36616</v>
      </c>
      <c r="H13" s="45">
        <v>20</v>
      </c>
      <c r="I13" s="393">
        <v>103.48</v>
      </c>
      <c r="J13" s="41">
        <f t="shared" si="1"/>
        <v>2069.6</v>
      </c>
      <c r="K13" s="41">
        <f t="shared" si="2"/>
        <v>38685.599999999999</v>
      </c>
      <c r="L13" s="41"/>
      <c r="M13" s="41">
        <f t="shared" si="3"/>
        <v>159757.20000000001</v>
      </c>
      <c r="N13" s="17"/>
    </row>
    <row r="14" spans="1:17">
      <c r="A14" s="26">
        <v>11</v>
      </c>
      <c r="B14" s="27">
        <v>46033</v>
      </c>
      <c r="C14" s="17"/>
      <c r="D14" s="17"/>
      <c r="E14" s="96"/>
      <c r="F14" s="96"/>
      <c r="G14" s="41">
        <f t="shared" si="0"/>
        <v>0</v>
      </c>
      <c r="H14" s="45"/>
      <c r="I14" s="45"/>
      <c r="J14" s="41">
        <f t="shared" si="1"/>
        <v>0</v>
      </c>
      <c r="K14" s="41">
        <f t="shared" si="2"/>
        <v>0</v>
      </c>
      <c r="L14" s="41"/>
      <c r="M14" s="41">
        <f>M13+K14-L14</f>
        <v>159757.20000000001</v>
      </c>
      <c r="N14" s="17"/>
    </row>
    <row r="15" spans="1:17">
      <c r="A15" s="26">
        <v>12</v>
      </c>
      <c r="B15" s="27">
        <v>46034</v>
      </c>
      <c r="C15" s="17"/>
      <c r="D15" s="96"/>
      <c r="E15" s="96">
        <v>500</v>
      </c>
      <c r="F15" s="96">
        <v>91.54</v>
      </c>
      <c r="G15" s="41">
        <f t="shared" si="0"/>
        <v>45770</v>
      </c>
      <c r="H15" s="45">
        <v>20</v>
      </c>
      <c r="I15" s="45">
        <v>103.48</v>
      </c>
      <c r="J15" s="41">
        <f t="shared" si="1"/>
        <v>2069.6</v>
      </c>
      <c r="K15" s="41">
        <f t="shared" si="2"/>
        <v>47839.6</v>
      </c>
      <c r="L15" s="41"/>
      <c r="M15" s="41">
        <f t="shared" si="3"/>
        <v>207596.80000000002</v>
      </c>
      <c r="N15" s="17"/>
    </row>
    <row r="16" spans="1:17">
      <c r="A16" s="26">
        <v>13</v>
      </c>
      <c r="B16" s="27">
        <v>46035</v>
      </c>
      <c r="C16" s="17"/>
      <c r="D16" s="17">
        <v>0</v>
      </c>
      <c r="E16" s="96"/>
      <c r="F16" s="96"/>
      <c r="G16" s="41">
        <f t="shared" si="0"/>
        <v>0</v>
      </c>
      <c r="H16" s="45"/>
      <c r="I16" s="45"/>
      <c r="J16" s="41">
        <f t="shared" si="1"/>
        <v>0</v>
      </c>
      <c r="K16" s="41">
        <f t="shared" si="2"/>
        <v>0</v>
      </c>
      <c r="L16" s="41"/>
      <c r="M16" s="41">
        <f t="shared" si="3"/>
        <v>207596.80000000002</v>
      </c>
      <c r="N16" s="17"/>
      <c r="Q16" s="355"/>
    </row>
    <row r="17" spans="1:16">
      <c r="A17" s="26">
        <v>14</v>
      </c>
      <c r="B17" s="27">
        <v>46036</v>
      </c>
      <c r="C17" s="17"/>
      <c r="D17" s="17"/>
      <c r="E17" s="96">
        <v>400</v>
      </c>
      <c r="F17" s="96">
        <v>91.54</v>
      </c>
      <c r="G17" s="41">
        <f t="shared" si="0"/>
        <v>36616</v>
      </c>
      <c r="H17" s="45"/>
      <c r="I17" s="45"/>
      <c r="J17" s="41">
        <f t="shared" si="1"/>
        <v>0</v>
      </c>
      <c r="K17" s="41">
        <f t="shared" si="2"/>
        <v>36616</v>
      </c>
      <c r="L17" s="41"/>
      <c r="M17" s="41">
        <f t="shared" si="3"/>
        <v>244212.80000000002</v>
      </c>
      <c r="N17" s="17"/>
    </row>
    <row r="18" spans="1:16">
      <c r="A18" s="26">
        <v>15</v>
      </c>
      <c r="B18" s="27">
        <v>46037</v>
      </c>
      <c r="C18" s="17"/>
      <c r="D18" s="17"/>
      <c r="E18" s="96"/>
      <c r="F18" s="96"/>
      <c r="G18" s="41">
        <f t="shared" si="0"/>
        <v>0</v>
      </c>
      <c r="H18" s="45"/>
      <c r="I18" s="45"/>
      <c r="J18" s="41">
        <f t="shared" si="1"/>
        <v>0</v>
      </c>
      <c r="K18" s="41">
        <f t="shared" si="2"/>
        <v>0</v>
      </c>
      <c r="L18" s="41"/>
      <c r="M18" s="41">
        <f t="shared" si="3"/>
        <v>244212.80000000002</v>
      </c>
      <c r="N18" s="17"/>
    </row>
    <row r="19" spans="1:16">
      <c r="A19" s="26">
        <v>16</v>
      </c>
      <c r="B19" s="27">
        <v>46038</v>
      </c>
      <c r="C19" s="17"/>
      <c r="D19" s="17"/>
      <c r="E19" s="96">
        <v>530</v>
      </c>
      <c r="F19" s="96">
        <v>91.54</v>
      </c>
      <c r="G19" s="41">
        <f t="shared" si="0"/>
        <v>48516.200000000004</v>
      </c>
      <c r="H19" s="45">
        <v>5</v>
      </c>
      <c r="I19" s="45">
        <v>103.48</v>
      </c>
      <c r="J19" s="41">
        <f t="shared" si="1"/>
        <v>517.4</v>
      </c>
      <c r="K19" s="41">
        <f t="shared" si="2"/>
        <v>49033.600000000006</v>
      </c>
      <c r="L19" s="41"/>
      <c r="M19" s="41">
        <f t="shared" si="3"/>
        <v>293246.40000000002</v>
      </c>
      <c r="N19" s="17"/>
    </row>
    <row r="20" spans="1:16">
      <c r="A20" s="26">
        <v>17</v>
      </c>
      <c r="B20" s="27">
        <v>46039</v>
      </c>
      <c r="C20" s="17"/>
      <c r="D20" s="17"/>
      <c r="E20" s="96"/>
      <c r="F20" s="96"/>
      <c r="G20" s="41">
        <f t="shared" si="0"/>
        <v>0</v>
      </c>
      <c r="H20" s="45"/>
      <c r="I20" s="45"/>
      <c r="J20" s="41">
        <f t="shared" si="1"/>
        <v>0</v>
      </c>
      <c r="K20" s="41">
        <f t="shared" si="2"/>
        <v>0</v>
      </c>
      <c r="L20" s="41"/>
      <c r="M20" s="41">
        <f t="shared" si="3"/>
        <v>293246.40000000002</v>
      </c>
      <c r="N20" s="17"/>
    </row>
    <row r="21" spans="1:16">
      <c r="A21" s="26">
        <v>18</v>
      </c>
      <c r="B21" s="27">
        <v>46040</v>
      </c>
      <c r="C21" s="17"/>
      <c r="D21" s="17"/>
      <c r="E21" s="96">
        <v>400</v>
      </c>
      <c r="F21" s="96">
        <v>91.54</v>
      </c>
      <c r="G21" s="41">
        <f t="shared" si="0"/>
        <v>36616</v>
      </c>
      <c r="H21" s="45">
        <v>30</v>
      </c>
      <c r="I21" s="45">
        <v>103.48</v>
      </c>
      <c r="J21" s="41">
        <f t="shared" si="1"/>
        <v>3104.4</v>
      </c>
      <c r="K21" s="41">
        <f t="shared" si="2"/>
        <v>39720.400000000001</v>
      </c>
      <c r="L21" s="41"/>
      <c r="M21" s="41">
        <f t="shared" si="3"/>
        <v>332966.80000000005</v>
      </c>
      <c r="N21" s="17"/>
    </row>
    <row r="22" spans="1:16">
      <c r="A22" s="26">
        <v>19</v>
      </c>
      <c r="B22" s="27">
        <v>46041</v>
      </c>
      <c r="C22" s="17"/>
      <c r="D22" s="17"/>
      <c r="E22" s="96"/>
      <c r="F22" s="96"/>
      <c r="G22" s="41">
        <f t="shared" si="0"/>
        <v>0</v>
      </c>
      <c r="H22" s="45">
        <v>20</v>
      </c>
      <c r="I22" s="45">
        <v>103.48</v>
      </c>
      <c r="J22" s="41">
        <f t="shared" si="1"/>
        <v>2069.6</v>
      </c>
      <c r="K22" s="41">
        <f t="shared" si="2"/>
        <v>2069.6</v>
      </c>
      <c r="L22" s="41">
        <v>293246</v>
      </c>
      <c r="M22" s="41">
        <f t="shared" si="3"/>
        <v>41790.400000000023</v>
      </c>
      <c r="N22" s="17"/>
    </row>
    <row r="23" spans="1:16">
      <c r="A23" s="26">
        <v>20</v>
      </c>
      <c r="B23" s="27">
        <v>46042</v>
      </c>
      <c r="C23" s="17"/>
      <c r="D23" s="17"/>
      <c r="E23" s="96"/>
      <c r="F23" s="96"/>
      <c r="G23" s="41">
        <f t="shared" si="0"/>
        <v>0</v>
      </c>
      <c r="H23" s="45"/>
      <c r="I23" s="45"/>
      <c r="J23" s="41">
        <f t="shared" si="1"/>
        <v>0</v>
      </c>
      <c r="K23" s="41">
        <f t="shared" si="2"/>
        <v>0</v>
      </c>
      <c r="L23" s="41"/>
      <c r="M23" s="41">
        <f t="shared" si="3"/>
        <v>41790.400000000023</v>
      </c>
      <c r="N23" s="17"/>
    </row>
    <row r="24" spans="1:16">
      <c r="A24" s="26">
        <v>21</v>
      </c>
      <c r="B24" s="27">
        <v>46043</v>
      </c>
      <c r="C24" s="17"/>
      <c r="D24" s="17"/>
      <c r="E24" s="96"/>
      <c r="F24" s="96"/>
      <c r="G24" s="41">
        <f t="shared" si="0"/>
        <v>0</v>
      </c>
      <c r="H24" s="45"/>
      <c r="I24" s="45"/>
      <c r="J24" s="41">
        <f t="shared" si="1"/>
        <v>0</v>
      </c>
      <c r="K24" s="41">
        <f t="shared" si="2"/>
        <v>0</v>
      </c>
      <c r="L24" s="41"/>
      <c r="M24" s="41">
        <f t="shared" si="3"/>
        <v>41790.400000000023</v>
      </c>
      <c r="N24" s="17"/>
    </row>
    <row r="25" spans="1:16">
      <c r="A25" s="26">
        <v>22</v>
      </c>
      <c r="B25" s="27">
        <v>46044</v>
      </c>
      <c r="C25" s="17"/>
      <c r="D25" s="17"/>
      <c r="E25" s="96">
        <v>500</v>
      </c>
      <c r="F25" s="96">
        <v>91.54</v>
      </c>
      <c r="G25" s="41">
        <f t="shared" si="0"/>
        <v>45770</v>
      </c>
      <c r="H25" s="45"/>
      <c r="I25" s="45"/>
      <c r="J25" s="41">
        <f t="shared" si="1"/>
        <v>0</v>
      </c>
      <c r="K25" s="41">
        <f t="shared" si="2"/>
        <v>45770</v>
      </c>
      <c r="L25" s="41"/>
      <c r="M25" s="41">
        <f t="shared" si="3"/>
        <v>87560.400000000023</v>
      </c>
      <c r="N25" s="17"/>
    </row>
    <row r="26" spans="1:16">
      <c r="A26" s="26">
        <v>23</v>
      </c>
      <c r="B26" s="27">
        <v>46045</v>
      </c>
      <c r="C26" s="17"/>
      <c r="D26" s="17"/>
      <c r="E26" s="96">
        <v>500</v>
      </c>
      <c r="F26" s="96">
        <v>91.54</v>
      </c>
      <c r="G26" s="41">
        <f t="shared" si="0"/>
        <v>45770</v>
      </c>
      <c r="H26" s="45">
        <v>20</v>
      </c>
      <c r="I26" s="45">
        <v>103.48</v>
      </c>
      <c r="J26" s="41">
        <f t="shared" si="1"/>
        <v>2069.6</v>
      </c>
      <c r="K26" s="41">
        <f t="shared" si="2"/>
        <v>47839.6</v>
      </c>
      <c r="L26" s="41"/>
      <c r="M26" s="41">
        <f t="shared" si="3"/>
        <v>135400.00000000003</v>
      </c>
      <c r="N26" s="17"/>
    </row>
    <row r="27" spans="1:16">
      <c r="A27" s="26">
        <v>24</v>
      </c>
      <c r="B27" s="27">
        <v>46046</v>
      </c>
      <c r="C27" s="17"/>
      <c r="D27" s="17"/>
      <c r="E27" s="96"/>
      <c r="F27" s="96"/>
      <c r="G27" s="41">
        <f t="shared" si="0"/>
        <v>0</v>
      </c>
      <c r="H27" s="45"/>
      <c r="I27" s="45"/>
      <c r="J27" s="41">
        <f t="shared" si="1"/>
        <v>0</v>
      </c>
      <c r="K27" s="41">
        <f t="shared" si="2"/>
        <v>0</v>
      </c>
      <c r="L27" s="41"/>
      <c r="M27" s="41">
        <f t="shared" si="3"/>
        <v>135400.00000000003</v>
      </c>
      <c r="N27" s="17"/>
      <c r="P27" s="22"/>
    </row>
    <row r="28" spans="1:16">
      <c r="A28" s="26">
        <v>25</v>
      </c>
      <c r="B28" s="27">
        <v>46047</v>
      </c>
      <c r="C28" s="17"/>
      <c r="D28" s="17"/>
      <c r="E28" s="96">
        <v>600</v>
      </c>
      <c r="F28" s="96">
        <v>91.54</v>
      </c>
      <c r="G28" s="41">
        <f t="shared" si="0"/>
        <v>54924.000000000007</v>
      </c>
      <c r="H28" s="45"/>
      <c r="I28" s="45"/>
      <c r="J28" s="41">
        <f t="shared" si="1"/>
        <v>0</v>
      </c>
      <c r="K28" s="41">
        <f t="shared" si="2"/>
        <v>54924.000000000007</v>
      </c>
      <c r="L28" s="41"/>
      <c r="M28" s="41">
        <f t="shared" si="3"/>
        <v>190324.00000000003</v>
      </c>
      <c r="N28" s="17"/>
    </row>
    <row r="29" spans="1:16">
      <c r="A29" s="26">
        <v>26</v>
      </c>
      <c r="B29" s="27">
        <v>46048</v>
      </c>
      <c r="C29" s="17"/>
      <c r="D29" s="235"/>
      <c r="E29" s="96"/>
      <c r="F29" s="96"/>
      <c r="G29" s="41">
        <f t="shared" si="0"/>
        <v>0</v>
      </c>
      <c r="H29" s="45"/>
      <c r="I29" s="45"/>
      <c r="J29" s="41">
        <f t="shared" si="1"/>
        <v>0</v>
      </c>
      <c r="K29" s="41">
        <f t="shared" si="2"/>
        <v>0</v>
      </c>
      <c r="L29" s="41"/>
      <c r="M29" s="41">
        <f t="shared" si="3"/>
        <v>190324.00000000003</v>
      </c>
      <c r="N29" s="17"/>
    </row>
    <row r="30" spans="1:16">
      <c r="A30" s="26">
        <v>27</v>
      </c>
      <c r="B30" s="27">
        <v>46049</v>
      </c>
      <c r="C30" s="17"/>
      <c r="D30" s="17"/>
      <c r="E30" s="96"/>
      <c r="F30" s="96"/>
      <c r="G30" s="41">
        <f t="shared" si="0"/>
        <v>0</v>
      </c>
      <c r="H30" s="45">
        <v>15</v>
      </c>
      <c r="I30" s="45">
        <v>103.48</v>
      </c>
      <c r="J30" s="41">
        <f t="shared" si="1"/>
        <v>1552.2</v>
      </c>
      <c r="K30" s="41">
        <f t="shared" si="2"/>
        <v>1552.2</v>
      </c>
      <c r="L30" s="41"/>
      <c r="M30" s="41">
        <f t="shared" si="3"/>
        <v>191876.20000000004</v>
      </c>
      <c r="N30" s="17"/>
    </row>
    <row r="31" spans="1:16">
      <c r="A31" s="26">
        <v>28</v>
      </c>
      <c r="B31" s="27">
        <v>46050</v>
      </c>
      <c r="C31" s="17"/>
      <c r="D31" s="17"/>
      <c r="E31" s="96">
        <v>600</v>
      </c>
      <c r="F31" s="96">
        <v>91.54</v>
      </c>
      <c r="G31" s="41">
        <f t="shared" si="0"/>
        <v>54924.000000000007</v>
      </c>
      <c r="H31" s="45">
        <v>26</v>
      </c>
      <c r="I31" s="45">
        <v>103.48</v>
      </c>
      <c r="J31" s="41">
        <f t="shared" si="1"/>
        <v>2690.48</v>
      </c>
      <c r="K31" s="41">
        <f t="shared" si="2"/>
        <v>57614.48000000001</v>
      </c>
      <c r="L31" s="41"/>
      <c r="M31" s="41">
        <f t="shared" si="3"/>
        <v>249490.68000000005</v>
      </c>
      <c r="N31" s="17"/>
    </row>
    <row r="32" spans="1:16">
      <c r="A32" s="26">
        <v>29</v>
      </c>
      <c r="B32" s="27">
        <v>46051</v>
      </c>
      <c r="C32" s="17"/>
      <c r="D32" s="17"/>
      <c r="E32" s="96">
        <v>600</v>
      </c>
      <c r="F32" s="96">
        <v>91.54</v>
      </c>
      <c r="G32" s="41">
        <f t="shared" si="0"/>
        <v>54924.000000000007</v>
      </c>
      <c r="H32" s="45">
        <v>20</v>
      </c>
      <c r="I32" s="45">
        <v>103.48</v>
      </c>
      <c r="J32" s="41">
        <f t="shared" si="1"/>
        <v>2069.6</v>
      </c>
      <c r="K32" s="41">
        <f t="shared" si="2"/>
        <v>56993.600000000006</v>
      </c>
      <c r="L32" s="41"/>
      <c r="M32" s="41">
        <f t="shared" si="3"/>
        <v>306484.28000000003</v>
      </c>
      <c r="N32" s="17"/>
    </row>
    <row r="33" spans="1:17">
      <c r="A33" s="26">
        <v>30</v>
      </c>
      <c r="B33" s="27">
        <v>46052</v>
      </c>
      <c r="C33" s="17"/>
      <c r="D33" s="17"/>
      <c r="E33" s="96">
        <v>400</v>
      </c>
      <c r="F33" s="96">
        <v>91.54</v>
      </c>
      <c r="G33" s="41">
        <f t="shared" si="0"/>
        <v>36616</v>
      </c>
      <c r="H33" s="45"/>
      <c r="I33" s="45"/>
      <c r="J33" s="41">
        <f t="shared" si="1"/>
        <v>0</v>
      </c>
      <c r="K33" s="41">
        <f t="shared" si="2"/>
        <v>36616</v>
      </c>
      <c r="L33" s="41">
        <v>0</v>
      </c>
      <c r="M33" s="41">
        <f t="shared" si="3"/>
        <v>343100.28</v>
      </c>
      <c r="N33" s="17"/>
    </row>
    <row r="34" spans="1:17">
      <c r="A34" s="26">
        <v>31</v>
      </c>
      <c r="B34" s="27">
        <v>46053</v>
      </c>
      <c r="C34" s="17"/>
      <c r="D34" s="17"/>
      <c r="E34" s="96"/>
      <c r="F34" s="96"/>
      <c r="G34" s="41">
        <f t="shared" si="0"/>
        <v>0</v>
      </c>
      <c r="H34" s="45">
        <v>5</v>
      </c>
      <c r="I34" s="45">
        <v>103.48</v>
      </c>
      <c r="J34" s="41">
        <f t="shared" si="1"/>
        <v>517.4</v>
      </c>
      <c r="K34" s="41">
        <f t="shared" si="2"/>
        <v>517.4</v>
      </c>
      <c r="L34" s="41">
        <v>0</v>
      </c>
      <c r="M34" s="41">
        <f>M33+K34-L34</f>
        <v>343617.68000000005</v>
      </c>
      <c r="N34" s="17"/>
      <c r="Q34" s="246"/>
    </row>
    <row r="35" spans="1:17">
      <c r="A35" s="26">
        <v>32</v>
      </c>
      <c r="B35" s="27"/>
      <c r="C35" s="17"/>
      <c r="D35" s="17"/>
      <c r="E35" s="96"/>
      <c r="F35" s="96"/>
      <c r="G35" s="41">
        <f t="shared" si="0"/>
        <v>0</v>
      </c>
      <c r="H35" s="45"/>
      <c r="I35" s="45"/>
      <c r="J35" s="41">
        <f t="shared" si="1"/>
        <v>0</v>
      </c>
      <c r="K35" s="41">
        <f t="shared" si="2"/>
        <v>0</v>
      </c>
      <c r="L35" s="41">
        <v>0</v>
      </c>
      <c r="M35" s="41">
        <f t="shared" si="3"/>
        <v>343617.68000000005</v>
      </c>
      <c r="N35" s="17"/>
      <c r="Q35" s="246"/>
    </row>
    <row r="36" spans="1:17">
      <c r="A36" s="26">
        <v>33</v>
      </c>
      <c r="B36" s="27"/>
      <c r="C36" s="17"/>
      <c r="D36" s="17"/>
      <c r="E36" s="96"/>
      <c r="F36" s="96"/>
      <c r="G36" s="41">
        <f t="shared" si="0"/>
        <v>0</v>
      </c>
      <c r="H36" s="45"/>
      <c r="I36" s="45"/>
      <c r="J36" s="41">
        <f t="shared" si="1"/>
        <v>0</v>
      </c>
      <c r="K36" s="41">
        <f t="shared" si="2"/>
        <v>0</v>
      </c>
      <c r="L36" s="41">
        <v>0</v>
      </c>
      <c r="M36" s="41">
        <f t="shared" si="3"/>
        <v>343617.68000000005</v>
      </c>
      <c r="N36" s="17"/>
      <c r="Q36" s="246"/>
    </row>
    <row r="37" spans="1:17">
      <c r="A37" s="43"/>
      <c r="B37" s="43"/>
      <c r="C37" s="43"/>
      <c r="D37" s="43"/>
      <c r="E37" s="43">
        <f>SUM(E4:E36)</f>
        <v>6730</v>
      </c>
      <c r="F37" s="43"/>
      <c r="G37" s="43">
        <f>SUM(G4:G36)</f>
        <v>616064.20000000007</v>
      </c>
      <c r="H37" s="43">
        <f>SUM(H4:H36)</f>
        <v>201</v>
      </c>
      <c r="I37" s="43"/>
      <c r="J37" s="43">
        <f>SUM(J4:J36)</f>
        <v>20799.48</v>
      </c>
      <c r="K37" s="43">
        <f>SUM(K4:K36)</f>
        <v>636863.68000000005</v>
      </c>
      <c r="L37" s="43">
        <f>SUM(L4:L36)</f>
        <v>293246</v>
      </c>
      <c r="M37" s="43"/>
      <c r="N37" s="43"/>
    </row>
  </sheetData>
  <mergeCells count="1">
    <mergeCell ref="A1:N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188-699F-49A6-A921-AB82083F0E2A}">
  <dimension ref="A1:R44"/>
  <sheetViews>
    <sheetView workbookViewId="0">
      <pane ySplit="2" topLeftCell="A25" activePane="bottomLeft" state="frozen"/>
      <selection pane="bottomLeft" activeCell="M34" sqref="M34"/>
    </sheetView>
  </sheetViews>
  <sheetFormatPr defaultRowHeight="15"/>
  <cols>
    <col min="1" max="1" width="5.140625" style="80" bestFit="1" customWidth="1"/>
    <col min="2" max="2" width="10.85546875" style="80" bestFit="1" customWidth="1"/>
    <col min="3" max="3" width="16" style="80" bestFit="1" customWidth="1"/>
    <col min="4" max="4" width="13.28515625" style="80" bestFit="1" customWidth="1"/>
    <col min="5" max="6" width="10.7109375" style="80" bestFit="1" customWidth="1"/>
    <col min="7" max="7" width="11.5703125" style="80" bestFit="1" customWidth="1"/>
    <col min="8" max="8" width="10.7109375" style="80" bestFit="1" customWidth="1"/>
    <col min="9" max="9" width="7.140625" style="80" bestFit="1" customWidth="1"/>
    <col min="10" max="10" width="9.7109375" style="80" bestFit="1" customWidth="1"/>
    <col min="11" max="11" width="13.5703125" style="80" bestFit="1" customWidth="1"/>
    <col min="12" max="12" width="13.5703125" style="257" bestFit="1" customWidth="1"/>
    <col min="13" max="13" width="15" style="80" customWidth="1"/>
    <col min="14" max="14" width="14.28515625" style="80" bestFit="1" customWidth="1"/>
    <col min="15" max="16384" width="9.140625" style="80"/>
  </cols>
  <sheetData>
    <row r="1" spans="1:15" ht="15.75">
      <c r="A1" s="455" t="s">
        <v>54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56"/>
    </row>
    <row r="2" spans="1:15" ht="30">
      <c r="A2" s="101" t="s">
        <v>129</v>
      </c>
      <c r="B2" s="102" t="s">
        <v>130</v>
      </c>
      <c r="C2" s="102" t="s">
        <v>131</v>
      </c>
      <c r="D2" s="102" t="s">
        <v>198</v>
      </c>
      <c r="E2" s="102" t="s">
        <v>133</v>
      </c>
      <c r="F2" s="102" t="s">
        <v>134</v>
      </c>
      <c r="G2" s="102" t="s">
        <v>135</v>
      </c>
      <c r="H2" s="102" t="s">
        <v>136</v>
      </c>
      <c r="I2" s="102" t="s">
        <v>134</v>
      </c>
      <c r="J2" s="141" t="s">
        <v>135</v>
      </c>
      <c r="K2" s="103" t="s">
        <v>137</v>
      </c>
      <c r="L2" s="232" t="s">
        <v>138</v>
      </c>
      <c r="M2" s="146" t="s">
        <v>199</v>
      </c>
      <c r="N2" s="104" t="s">
        <v>140</v>
      </c>
      <c r="O2" s="62"/>
    </row>
    <row r="3" spans="1:15">
      <c r="A3" s="460" t="s">
        <v>141</v>
      </c>
      <c r="B3" s="485"/>
      <c r="C3" s="485"/>
      <c r="D3" s="485"/>
      <c r="E3" s="485"/>
      <c r="F3" s="485"/>
      <c r="G3" s="485"/>
      <c r="H3" s="485"/>
      <c r="I3" s="485"/>
      <c r="J3" s="486"/>
      <c r="K3" s="214">
        <v>120395.81309999998</v>
      </c>
      <c r="L3" s="214"/>
      <c r="M3" s="214">
        <v>120395.81309999998</v>
      </c>
      <c r="N3" s="160"/>
      <c r="O3" s="8"/>
    </row>
    <row r="4" spans="1:15">
      <c r="A4" s="26">
        <v>1</v>
      </c>
      <c r="B4" s="27">
        <v>46023</v>
      </c>
      <c r="C4" s="25"/>
      <c r="D4" s="18"/>
      <c r="E4" s="48">
        <v>70</v>
      </c>
      <c r="F4" s="48">
        <v>91.77</v>
      </c>
      <c r="G4" s="8">
        <f>E4*F4</f>
        <v>6423.9</v>
      </c>
      <c r="H4" s="48"/>
      <c r="I4" s="48"/>
      <c r="J4" s="8">
        <f>H4*I4</f>
        <v>0</v>
      </c>
      <c r="K4" s="8">
        <f>G4+J4</f>
        <v>6423.9</v>
      </c>
      <c r="L4" s="255"/>
      <c r="M4" s="8">
        <f>M3+K4-L4</f>
        <v>126819.71309999998</v>
      </c>
      <c r="N4" s="8"/>
      <c r="O4" s="62"/>
    </row>
    <row r="5" spans="1:15">
      <c r="A5" s="26">
        <v>2</v>
      </c>
      <c r="B5" s="27">
        <v>46024</v>
      </c>
      <c r="C5" s="25"/>
      <c r="D5" s="18"/>
      <c r="E5" s="48">
        <v>1010</v>
      </c>
      <c r="F5" s="48">
        <v>91.77</v>
      </c>
      <c r="G5" s="8">
        <f t="shared" ref="G5:G34" si="0">E5*F5</f>
        <v>92687.7</v>
      </c>
      <c r="H5" s="48">
        <v>10</v>
      </c>
      <c r="I5" s="48">
        <v>103.73</v>
      </c>
      <c r="J5" s="8">
        <f t="shared" ref="J5:J34" si="1">H5*I5</f>
        <v>1037.3</v>
      </c>
      <c r="K5" s="8">
        <f t="shared" ref="K5:K34" si="2">G5+J5</f>
        <v>93725</v>
      </c>
      <c r="L5" s="255"/>
      <c r="M5" s="8">
        <f t="shared" ref="M5:M15" si="3">M4+K5-L5</f>
        <v>220544.71309999999</v>
      </c>
      <c r="N5" s="8"/>
      <c r="O5" s="62"/>
    </row>
    <row r="6" spans="1:15">
      <c r="A6" s="26">
        <v>3</v>
      </c>
      <c r="B6" s="27">
        <v>46025</v>
      </c>
      <c r="C6" s="25"/>
      <c r="D6" s="18"/>
      <c r="E6" s="48">
        <v>0</v>
      </c>
      <c r="F6" s="48">
        <v>0</v>
      </c>
      <c r="G6" s="8">
        <f t="shared" si="0"/>
        <v>0</v>
      </c>
      <c r="H6" s="48"/>
      <c r="I6" s="48"/>
      <c r="J6" s="8">
        <f t="shared" si="1"/>
        <v>0</v>
      </c>
      <c r="K6" s="8">
        <f t="shared" ref="K6:K33" si="4">G6+J6</f>
        <v>0</v>
      </c>
      <c r="L6" s="255"/>
      <c r="M6" s="8">
        <f t="shared" si="3"/>
        <v>220544.71309999999</v>
      </c>
      <c r="N6" s="8"/>
      <c r="O6" s="62"/>
    </row>
    <row r="7" spans="1:15">
      <c r="A7" s="26">
        <v>4</v>
      </c>
      <c r="B7" s="27">
        <v>46026</v>
      </c>
      <c r="C7" s="25"/>
      <c r="D7" s="18"/>
      <c r="E7" s="48">
        <v>0</v>
      </c>
      <c r="F7" s="48">
        <v>0</v>
      </c>
      <c r="G7" s="8">
        <f t="shared" si="0"/>
        <v>0</v>
      </c>
      <c r="H7" s="48"/>
      <c r="I7" s="48"/>
      <c r="J7" s="8">
        <f t="shared" si="1"/>
        <v>0</v>
      </c>
      <c r="K7" s="8">
        <f t="shared" si="4"/>
        <v>0</v>
      </c>
      <c r="L7" s="255"/>
      <c r="M7" s="8">
        <f t="shared" si="3"/>
        <v>220544.71309999999</v>
      </c>
      <c r="N7" s="8"/>
      <c r="O7" s="62"/>
    </row>
    <row r="8" spans="1:15">
      <c r="A8" s="26">
        <v>5</v>
      </c>
      <c r="B8" s="27">
        <v>46027</v>
      </c>
      <c r="C8" s="25"/>
      <c r="D8" s="18"/>
      <c r="E8" s="48">
        <v>800</v>
      </c>
      <c r="F8" s="48">
        <v>91.77</v>
      </c>
      <c r="G8" s="8">
        <f t="shared" si="0"/>
        <v>73416</v>
      </c>
      <c r="H8" s="48"/>
      <c r="I8" s="48"/>
      <c r="J8" s="8">
        <f t="shared" si="1"/>
        <v>0</v>
      </c>
      <c r="K8" s="8">
        <f t="shared" si="4"/>
        <v>73416</v>
      </c>
      <c r="L8" s="255"/>
      <c r="M8" s="8">
        <f t="shared" si="3"/>
        <v>293960.71309999999</v>
      </c>
      <c r="N8" s="8"/>
      <c r="O8" s="62"/>
    </row>
    <row r="9" spans="1:15">
      <c r="A9" s="26">
        <v>6</v>
      </c>
      <c r="B9" s="27">
        <v>46028</v>
      </c>
      <c r="C9" s="25"/>
      <c r="D9" s="18"/>
      <c r="E9" s="48">
        <v>0</v>
      </c>
      <c r="F9" s="48">
        <v>0</v>
      </c>
      <c r="G9" s="8">
        <f t="shared" si="0"/>
        <v>0</v>
      </c>
      <c r="H9" s="48">
        <v>5</v>
      </c>
      <c r="I9" s="48">
        <v>103.73</v>
      </c>
      <c r="J9" s="8">
        <f t="shared" si="1"/>
        <v>518.65</v>
      </c>
      <c r="K9" s="8">
        <f t="shared" si="4"/>
        <v>518.65</v>
      </c>
      <c r="L9" s="255"/>
      <c r="M9" s="8">
        <f t="shared" si="3"/>
        <v>294479.36310000002</v>
      </c>
      <c r="N9" s="8"/>
      <c r="O9" s="62"/>
    </row>
    <row r="10" spans="1:15">
      <c r="A10" s="26">
        <v>7</v>
      </c>
      <c r="B10" s="27">
        <v>46029</v>
      </c>
      <c r="C10" s="25"/>
      <c r="D10" s="18"/>
      <c r="E10" s="48">
        <v>820</v>
      </c>
      <c r="F10" s="48">
        <v>91.77</v>
      </c>
      <c r="G10" s="8">
        <f t="shared" si="0"/>
        <v>75251.399999999994</v>
      </c>
      <c r="H10" s="48"/>
      <c r="I10" s="48"/>
      <c r="J10" s="8">
        <f t="shared" si="1"/>
        <v>0</v>
      </c>
      <c r="K10" s="8">
        <f t="shared" si="4"/>
        <v>75251.399999999994</v>
      </c>
      <c r="L10" s="255"/>
      <c r="M10" s="8">
        <f t="shared" si="3"/>
        <v>369730.76309999998</v>
      </c>
      <c r="N10" s="8"/>
      <c r="O10" s="62"/>
    </row>
    <row r="11" spans="1:15">
      <c r="A11" s="26">
        <v>8</v>
      </c>
      <c r="B11" s="27">
        <v>46030</v>
      </c>
      <c r="C11" s="25"/>
      <c r="D11" s="18"/>
      <c r="E11" s="48">
        <v>420</v>
      </c>
      <c r="F11" s="48">
        <v>91.77</v>
      </c>
      <c r="G11" s="8">
        <f t="shared" si="0"/>
        <v>38543.4</v>
      </c>
      <c r="H11" s="48">
        <v>11</v>
      </c>
      <c r="I11" s="48">
        <v>103.73</v>
      </c>
      <c r="J11" s="8">
        <f t="shared" si="1"/>
        <v>1141.03</v>
      </c>
      <c r="K11" s="8">
        <f t="shared" si="4"/>
        <v>39684.43</v>
      </c>
      <c r="L11" s="255">
        <v>100000</v>
      </c>
      <c r="M11" s="8">
        <f t="shared" si="3"/>
        <v>309415.19309999997</v>
      </c>
      <c r="N11" s="8"/>
      <c r="O11" s="62"/>
    </row>
    <row r="12" spans="1:15">
      <c r="A12" s="26">
        <v>9</v>
      </c>
      <c r="B12" s="27">
        <v>46031</v>
      </c>
      <c r="C12" s="25"/>
      <c r="D12" s="18"/>
      <c r="E12" s="48">
        <v>0</v>
      </c>
      <c r="F12" s="48">
        <v>0</v>
      </c>
      <c r="G12" s="8">
        <f t="shared" si="0"/>
        <v>0</v>
      </c>
      <c r="H12" s="48">
        <v>5</v>
      </c>
      <c r="I12" s="48">
        <v>103.73</v>
      </c>
      <c r="J12" s="8">
        <f t="shared" si="1"/>
        <v>518.65</v>
      </c>
      <c r="K12" s="8">
        <f t="shared" si="4"/>
        <v>518.65</v>
      </c>
      <c r="L12" s="255"/>
      <c r="M12" s="8">
        <f t="shared" si="3"/>
        <v>309933.8431</v>
      </c>
      <c r="N12" s="8"/>
      <c r="O12" s="62"/>
    </row>
    <row r="13" spans="1:15">
      <c r="A13" s="26">
        <v>10</v>
      </c>
      <c r="B13" s="27">
        <v>46032</v>
      </c>
      <c r="C13" s="25"/>
      <c r="D13" s="18"/>
      <c r="E13" s="48">
        <v>30</v>
      </c>
      <c r="F13" s="48">
        <v>91.77</v>
      </c>
      <c r="G13" s="8">
        <f t="shared" si="0"/>
        <v>2753.1</v>
      </c>
      <c r="H13" s="48">
        <v>15</v>
      </c>
      <c r="I13" s="48">
        <v>103.73</v>
      </c>
      <c r="J13" s="8">
        <f t="shared" si="1"/>
        <v>1555.95</v>
      </c>
      <c r="K13" s="8">
        <f t="shared" si="4"/>
        <v>4309.05</v>
      </c>
      <c r="L13" s="255"/>
      <c r="M13" s="8">
        <f>M12+K13-L13</f>
        <v>314242.89309999999</v>
      </c>
      <c r="N13" s="19"/>
      <c r="O13" s="62"/>
    </row>
    <row r="14" spans="1:15">
      <c r="A14" s="26">
        <v>11</v>
      </c>
      <c r="B14" s="27">
        <v>46033</v>
      </c>
      <c r="C14" s="25"/>
      <c r="D14" s="18"/>
      <c r="E14" s="48">
        <v>0</v>
      </c>
      <c r="F14" s="48">
        <v>0</v>
      </c>
      <c r="G14" s="8">
        <f t="shared" si="0"/>
        <v>0</v>
      </c>
      <c r="H14" s="48"/>
      <c r="I14" s="48"/>
      <c r="J14" s="8">
        <f t="shared" si="1"/>
        <v>0</v>
      </c>
      <c r="K14" s="8">
        <f t="shared" si="4"/>
        <v>0</v>
      </c>
      <c r="L14" s="255"/>
      <c r="M14" s="8">
        <f>M13+K14-L14</f>
        <v>314242.89309999999</v>
      </c>
      <c r="N14" s="19"/>
      <c r="O14" s="62"/>
    </row>
    <row r="15" spans="1:15">
      <c r="A15" s="26">
        <v>12</v>
      </c>
      <c r="B15" s="27">
        <v>46034</v>
      </c>
      <c r="C15" s="25"/>
      <c r="D15" s="18"/>
      <c r="E15" s="48">
        <v>20</v>
      </c>
      <c r="F15" s="48">
        <v>91.77</v>
      </c>
      <c r="G15" s="8">
        <f t="shared" si="0"/>
        <v>1835.3999999999999</v>
      </c>
      <c r="H15" s="48">
        <v>10</v>
      </c>
      <c r="I15" s="48">
        <v>103.73</v>
      </c>
      <c r="J15" s="8">
        <f t="shared" si="1"/>
        <v>1037.3</v>
      </c>
      <c r="K15" s="8">
        <f t="shared" si="4"/>
        <v>2872.7</v>
      </c>
      <c r="L15" s="255"/>
      <c r="M15" s="8">
        <f t="shared" si="3"/>
        <v>317115.5931</v>
      </c>
      <c r="N15" s="19"/>
      <c r="O15" s="62"/>
    </row>
    <row r="16" spans="1:15">
      <c r="A16" s="26">
        <v>13</v>
      </c>
      <c r="B16" s="27">
        <v>46035</v>
      </c>
      <c r="C16" s="25"/>
      <c r="D16" s="18"/>
      <c r="E16" s="48">
        <v>0</v>
      </c>
      <c r="F16" s="48">
        <v>91.77</v>
      </c>
      <c r="G16" s="8">
        <f t="shared" si="0"/>
        <v>0</v>
      </c>
      <c r="H16" s="48"/>
      <c r="I16" s="48"/>
      <c r="J16" s="8">
        <f t="shared" si="1"/>
        <v>0</v>
      </c>
      <c r="K16" s="8">
        <f t="shared" si="4"/>
        <v>0</v>
      </c>
      <c r="L16" s="255">
        <v>200000</v>
      </c>
      <c r="M16" s="8">
        <f t="shared" ref="M16:M24" si="5">M15+K16-L16</f>
        <v>117115.5931</v>
      </c>
      <c r="N16" s="19"/>
      <c r="O16" s="62"/>
    </row>
    <row r="17" spans="1:18">
      <c r="A17" s="26">
        <v>14</v>
      </c>
      <c r="B17" s="27">
        <v>46036</v>
      </c>
      <c r="C17" s="25"/>
      <c r="D17" s="18"/>
      <c r="E17" s="48">
        <v>25</v>
      </c>
      <c r="F17" s="48">
        <v>91.77</v>
      </c>
      <c r="G17" s="8">
        <f t="shared" si="0"/>
        <v>2294.25</v>
      </c>
      <c r="H17" s="48">
        <v>5</v>
      </c>
      <c r="I17" s="48">
        <v>103.73</v>
      </c>
      <c r="J17" s="8">
        <f t="shared" si="1"/>
        <v>518.65</v>
      </c>
      <c r="K17" s="8">
        <f t="shared" si="4"/>
        <v>2812.9</v>
      </c>
      <c r="L17" s="255"/>
      <c r="M17" s="8">
        <f t="shared" si="5"/>
        <v>119928.49309999999</v>
      </c>
      <c r="N17" s="19"/>
      <c r="O17" s="62"/>
    </row>
    <row r="18" spans="1:18">
      <c r="A18" s="26">
        <v>15</v>
      </c>
      <c r="B18" s="27">
        <v>46037</v>
      </c>
      <c r="C18" s="25"/>
      <c r="D18" s="18"/>
      <c r="E18" s="48">
        <v>0</v>
      </c>
      <c r="F18" s="48">
        <v>0</v>
      </c>
      <c r="G18" s="8">
        <f t="shared" si="0"/>
        <v>0</v>
      </c>
      <c r="H18" s="48"/>
      <c r="I18" s="48">
        <v>103.73</v>
      </c>
      <c r="J18" s="8">
        <f t="shared" si="1"/>
        <v>0</v>
      </c>
      <c r="K18" s="8">
        <f t="shared" si="4"/>
        <v>0</v>
      </c>
      <c r="L18" s="255"/>
      <c r="M18" s="8">
        <f t="shared" si="5"/>
        <v>119928.49309999999</v>
      </c>
      <c r="N18" s="19"/>
      <c r="O18" s="62"/>
    </row>
    <row r="19" spans="1:18">
      <c r="A19" s="26">
        <v>16</v>
      </c>
      <c r="B19" s="27">
        <v>46038</v>
      </c>
      <c r="C19" s="25"/>
      <c r="D19" s="18"/>
      <c r="E19" s="48">
        <v>0</v>
      </c>
      <c r="F19" s="48">
        <v>0</v>
      </c>
      <c r="G19" s="8">
        <f t="shared" si="0"/>
        <v>0</v>
      </c>
      <c r="H19" s="48"/>
      <c r="I19" s="48">
        <v>103.73</v>
      </c>
      <c r="J19" s="8">
        <f t="shared" si="1"/>
        <v>0</v>
      </c>
      <c r="K19" s="8">
        <f t="shared" si="4"/>
        <v>0</v>
      </c>
      <c r="L19" s="255"/>
      <c r="M19" s="8">
        <f t="shared" si="5"/>
        <v>119928.49309999999</v>
      </c>
      <c r="N19" s="19"/>
      <c r="O19" s="62"/>
    </row>
    <row r="20" spans="1:18">
      <c r="A20" s="26">
        <v>17</v>
      </c>
      <c r="B20" s="27">
        <v>46039</v>
      </c>
      <c r="C20" s="25"/>
      <c r="D20" s="18"/>
      <c r="E20" s="48">
        <v>0</v>
      </c>
      <c r="F20" s="48">
        <v>0</v>
      </c>
      <c r="G20" s="8">
        <f t="shared" si="0"/>
        <v>0</v>
      </c>
      <c r="H20" s="48">
        <v>5</v>
      </c>
      <c r="I20" s="48">
        <v>103.73</v>
      </c>
      <c r="J20" s="8">
        <f t="shared" si="1"/>
        <v>518.65</v>
      </c>
      <c r="K20" s="8">
        <f t="shared" si="4"/>
        <v>518.65</v>
      </c>
      <c r="L20" s="255"/>
      <c r="M20" s="8">
        <f t="shared" si="5"/>
        <v>120447.14309999999</v>
      </c>
      <c r="N20" s="19"/>
      <c r="O20" s="62"/>
    </row>
    <row r="21" spans="1:18">
      <c r="A21" s="26">
        <v>18</v>
      </c>
      <c r="B21" s="27">
        <v>46040</v>
      </c>
      <c r="C21" s="25"/>
      <c r="D21" s="18"/>
      <c r="E21" s="48">
        <v>0</v>
      </c>
      <c r="F21" s="48">
        <v>0</v>
      </c>
      <c r="G21" s="8">
        <f t="shared" si="0"/>
        <v>0</v>
      </c>
      <c r="H21" s="48">
        <v>6</v>
      </c>
      <c r="I21" s="48">
        <v>103.73</v>
      </c>
      <c r="J21" s="8">
        <f t="shared" si="1"/>
        <v>622.38</v>
      </c>
      <c r="K21" s="8">
        <f t="shared" si="4"/>
        <v>622.38</v>
      </c>
      <c r="L21" s="255"/>
      <c r="M21" s="8">
        <f t="shared" si="5"/>
        <v>121069.52309999999</v>
      </c>
      <c r="N21" s="19"/>
      <c r="O21" s="62"/>
    </row>
    <row r="22" spans="1:18">
      <c r="A22" s="26">
        <v>19</v>
      </c>
      <c r="B22" s="27">
        <v>46041</v>
      </c>
      <c r="C22" s="25"/>
      <c r="D22" s="18"/>
      <c r="E22" s="48">
        <v>0</v>
      </c>
      <c r="F22" s="48">
        <v>0</v>
      </c>
      <c r="G22" s="8">
        <f t="shared" si="0"/>
        <v>0</v>
      </c>
      <c r="H22" s="48"/>
      <c r="I22" s="48"/>
      <c r="J22" s="8">
        <f t="shared" si="1"/>
        <v>0</v>
      </c>
      <c r="K22" s="8">
        <f t="shared" si="4"/>
        <v>0</v>
      </c>
      <c r="L22" s="255">
        <v>120000</v>
      </c>
      <c r="M22" s="8">
        <f t="shared" si="5"/>
        <v>1069.5230999999912</v>
      </c>
      <c r="N22" s="19"/>
      <c r="O22" s="62"/>
    </row>
    <row r="23" spans="1:18">
      <c r="A23" s="26">
        <v>20</v>
      </c>
      <c r="B23" s="27">
        <v>46042</v>
      </c>
      <c r="C23" s="25"/>
      <c r="D23" s="18"/>
      <c r="E23" s="48">
        <v>0</v>
      </c>
      <c r="F23" s="48">
        <v>0</v>
      </c>
      <c r="G23" s="8">
        <f t="shared" si="0"/>
        <v>0</v>
      </c>
      <c r="H23" s="48"/>
      <c r="I23" s="48"/>
      <c r="J23" s="8">
        <f t="shared" si="1"/>
        <v>0</v>
      </c>
      <c r="K23" s="8">
        <f t="shared" si="4"/>
        <v>0</v>
      </c>
      <c r="L23" s="255"/>
      <c r="M23" s="8">
        <f t="shared" si="5"/>
        <v>1069.5230999999912</v>
      </c>
      <c r="N23" s="19"/>
      <c r="O23" s="62"/>
    </row>
    <row r="24" spans="1:18">
      <c r="A24" s="26">
        <v>21</v>
      </c>
      <c r="B24" s="27">
        <v>46043</v>
      </c>
      <c r="C24" s="25"/>
      <c r="D24" s="18"/>
      <c r="E24" s="48">
        <v>0</v>
      </c>
      <c r="F24" s="48">
        <v>0</v>
      </c>
      <c r="G24" s="8">
        <f t="shared" si="0"/>
        <v>0</v>
      </c>
      <c r="H24" s="48">
        <v>6</v>
      </c>
      <c r="I24" s="48">
        <v>103.73</v>
      </c>
      <c r="J24" s="8">
        <f t="shared" si="1"/>
        <v>622.38</v>
      </c>
      <c r="K24" s="8">
        <f t="shared" si="4"/>
        <v>622.38</v>
      </c>
      <c r="L24" s="255"/>
      <c r="M24" s="8">
        <f t="shared" si="5"/>
        <v>1691.9030999999914</v>
      </c>
      <c r="N24" s="19"/>
      <c r="O24" s="62"/>
    </row>
    <row r="25" spans="1:18">
      <c r="A25" s="26">
        <v>22</v>
      </c>
      <c r="B25" s="27">
        <v>46044</v>
      </c>
      <c r="C25" s="25"/>
      <c r="D25" s="18"/>
      <c r="E25" s="48">
        <v>70</v>
      </c>
      <c r="F25" s="48">
        <v>91.77</v>
      </c>
      <c r="G25" s="8">
        <f t="shared" si="0"/>
        <v>6423.9</v>
      </c>
      <c r="H25" s="48"/>
      <c r="I25" s="48"/>
      <c r="J25" s="8">
        <f t="shared" si="1"/>
        <v>0</v>
      </c>
      <c r="K25" s="8">
        <f t="shared" si="4"/>
        <v>6423.9</v>
      </c>
      <c r="L25" s="255"/>
      <c r="M25" s="8">
        <f t="shared" ref="M25:M34" si="6">M24+K25-L25</f>
        <v>8115.803099999991</v>
      </c>
      <c r="N25" s="19"/>
      <c r="O25" s="62"/>
    </row>
    <row r="26" spans="1:18">
      <c r="A26" s="26">
        <v>23</v>
      </c>
      <c r="B26" s="27">
        <v>46045</v>
      </c>
      <c r="C26" s="25"/>
      <c r="D26" s="18"/>
      <c r="E26" s="48">
        <v>70</v>
      </c>
      <c r="F26" s="48">
        <v>91.77</v>
      </c>
      <c r="G26" s="8">
        <f t="shared" si="0"/>
        <v>6423.9</v>
      </c>
      <c r="H26" s="48"/>
      <c r="I26" s="48"/>
      <c r="J26" s="8">
        <f t="shared" si="1"/>
        <v>0</v>
      </c>
      <c r="K26" s="8">
        <f t="shared" si="4"/>
        <v>6423.9</v>
      </c>
      <c r="L26" s="255"/>
      <c r="M26" s="8">
        <f t="shared" si="6"/>
        <v>14539.703099999992</v>
      </c>
      <c r="N26" s="19"/>
      <c r="O26" s="62"/>
      <c r="Q26" s="80" t="s">
        <v>229</v>
      </c>
    </row>
    <row r="27" spans="1:18">
      <c r="A27" s="26">
        <v>24</v>
      </c>
      <c r="B27" s="27">
        <v>46046</v>
      </c>
      <c r="C27" s="25"/>
      <c r="D27" s="18"/>
      <c r="E27" s="48">
        <v>120</v>
      </c>
      <c r="F27" s="48">
        <v>91.77</v>
      </c>
      <c r="G27" s="8">
        <f t="shared" si="0"/>
        <v>11012.4</v>
      </c>
      <c r="H27" s="48">
        <v>5</v>
      </c>
      <c r="I27" s="48">
        <v>103.73</v>
      </c>
      <c r="J27" s="8">
        <f t="shared" si="1"/>
        <v>518.65</v>
      </c>
      <c r="K27" s="8">
        <f t="shared" si="4"/>
        <v>11531.05</v>
      </c>
      <c r="L27" s="255"/>
      <c r="M27" s="8">
        <f t="shared" si="6"/>
        <v>26070.753099999991</v>
      </c>
      <c r="N27" s="19"/>
      <c r="O27" s="62"/>
      <c r="Q27" s="80">
        <v>30</v>
      </c>
      <c r="R27" s="80">
        <v>50</v>
      </c>
    </row>
    <row r="28" spans="1:18">
      <c r="A28" s="26">
        <v>25</v>
      </c>
      <c r="B28" s="27">
        <v>46047</v>
      </c>
      <c r="C28" s="25"/>
      <c r="D28" s="18"/>
      <c r="E28" s="48">
        <v>0</v>
      </c>
      <c r="F28" s="48">
        <v>0</v>
      </c>
      <c r="G28" s="8">
        <f t="shared" si="0"/>
        <v>0</v>
      </c>
      <c r="H28" s="48">
        <v>5</v>
      </c>
      <c r="I28" s="48">
        <v>103.73</v>
      </c>
      <c r="J28" s="8">
        <f t="shared" si="1"/>
        <v>518.65</v>
      </c>
      <c r="K28" s="8">
        <f t="shared" si="4"/>
        <v>518.65</v>
      </c>
      <c r="L28" s="255"/>
      <c r="M28" s="8">
        <f t="shared" si="6"/>
        <v>26589.403099999992</v>
      </c>
      <c r="N28" s="19"/>
      <c r="O28" s="62"/>
      <c r="Q28" s="80">
        <v>50</v>
      </c>
      <c r="R28" s="80">
        <v>4.51</v>
      </c>
    </row>
    <row r="29" spans="1:18">
      <c r="A29" s="26">
        <v>26</v>
      </c>
      <c r="B29" s="27">
        <v>46048</v>
      </c>
      <c r="C29" s="25"/>
      <c r="D29" s="18"/>
      <c r="E29" s="48">
        <v>0</v>
      </c>
      <c r="F29" s="48">
        <v>0</v>
      </c>
      <c r="G29" s="8">
        <f t="shared" si="0"/>
        <v>0</v>
      </c>
      <c r="H29" s="48"/>
      <c r="I29" s="48"/>
      <c r="J29" s="8">
        <f t="shared" si="1"/>
        <v>0</v>
      </c>
      <c r="K29" s="8">
        <f t="shared" si="4"/>
        <v>0</v>
      </c>
      <c r="L29" s="255"/>
      <c r="M29" s="8">
        <f t="shared" si="6"/>
        <v>26589.403099999992</v>
      </c>
      <c r="N29" s="19"/>
      <c r="O29" s="62"/>
    </row>
    <row r="30" spans="1:18">
      <c r="A30" s="26">
        <v>27</v>
      </c>
      <c r="B30" s="27">
        <v>46049</v>
      </c>
      <c r="C30" s="25"/>
      <c r="D30" s="18"/>
      <c r="E30" s="48">
        <v>800</v>
      </c>
      <c r="F30" s="48">
        <v>91.77</v>
      </c>
      <c r="G30" s="8">
        <f t="shared" si="0"/>
        <v>73416</v>
      </c>
      <c r="H30" s="48"/>
      <c r="I30" s="48"/>
      <c r="J30" s="8">
        <f t="shared" si="1"/>
        <v>0</v>
      </c>
      <c r="K30" s="8">
        <f t="shared" si="4"/>
        <v>73416</v>
      </c>
      <c r="L30" s="255"/>
      <c r="M30" s="8">
        <f t="shared" si="6"/>
        <v>100005.4031</v>
      </c>
      <c r="N30" s="19"/>
      <c r="O30" s="62"/>
    </row>
    <row r="31" spans="1:18">
      <c r="A31" s="222">
        <v>28</v>
      </c>
      <c r="B31" s="27">
        <v>46050</v>
      </c>
      <c r="C31" s="25"/>
      <c r="D31" s="18"/>
      <c r="E31" s="48">
        <v>0</v>
      </c>
      <c r="F31" s="48">
        <v>0</v>
      </c>
      <c r="G31" s="8">
        <f t="shared" si="0"/>
        <v>0</v>
      </c>
      <c r="H31" s="48">
        <v>6</v>
      </c>
      <c r="I31" s="48">
        <v>103.73</v>
      </c>
      <c r="J31" s="8">
        <f t="shared" si="1"/>
        <v>622.38</v>
      </c>
      <c r="K31" s="8">
        <f t="shared" si="4"/>
        <v>622.38</v>
      </c>
      <c r="L31" s="255"/>
      <c r="M31" s="8">
        <f t="shared" si="6"/>
        <v>100627.7831</v>
      </c>
      <c r="N31" s="19"/>
      <c r="O31" s="62"/>
    </row>
    <row r="32" spans="1:18">
      <c r="A32" s="26">
        <v>29</v>
      </c>
      <c r="B32" s="27">
        <v>46051</v>
      </c>
      <c r="C32" s="25"/>
      <c r="D32" s="18"/>
      <c r="E32" s="48">
        <v>0</v>
      </c>
      <c r="F32" s="48">
        <v>0</v>
      </c>
      <c r="G32" s="8">
        <f t="shared" si="0"/>
        <v>0</v>
      </c>
      <c r="H32" s="48"/>
      <c r="I32" s="48"/>
      <c r="J32" s="8">
        <f t="shared" si="1"/>
        <v>0</v>
      </c>
      <c r="K32" s="8">
        <f t="shared" si="4"/>
        <v>0</v>
      </c>
      <c r="L32" s="255"/>
      <c r="M32" s="8">
        <f t="shared" si="6"/>
        <v>100627.7831</v>
      </c>
      <c r="N32" s="19"/>
      <c r="O32" s="62"/>
    </row>
    <row r="33" spans="1:15">
      <c r="A33" s="26">
        <v>30</v>
      </c>
      <c r="B33" s="27">
        <v>46052</v>
      </c>
      <c r="C33" s="25"/>
      <c r="D33" s="18"/>
      <c r="E33" s="48">
        <v>125</v>
      </c>
      <c r="F33" s="48">
        <v>91.77</v>
      </c>
      <c r="G33" s="8">
        <f t="shared" si="0"/>
        <v>11471.25</v>
      </c>
      <c r="H33" s="48"/>
      <c r="I33" s="48"/>
      <c r="J33" s="8">
        <f t="shared" si="1"/>
        <v>0</v>
      </c>
      <c r="K33" s="8">
        <f t="shared" si="4"/>
        <v>11471.25</v>
      </c>
      <c r="L33" s="255"/>
      <c r="M33" s="8">
        <f t="shared" si="6"/>
        <v>112099.0331</v>
      </c>
      <c r="N33" s="19"/>
      <c r="O33" s="62"/>
    </row>
    <row r="34" spans="1:15">
      <c r="A34" s="26">
        <v>31</v>
      </c>
      <c r="B34" s="27">
        <v>46053</v>
      </c>
      <c r="C34" s="25"/>
      <c r="D34" s="18"/>
      <c r="E34" s="48">
        <v>35</v>
      </c>
      <c r="F34" s="48">
        <v>91.77</v>
      </c>
      <c r="G34" s="8">
        <f t="shared" si="0"/>
        <v>3211.95</v>
      </c>
      <c r="H34" s="48"/>
      <c r="I34" s="48"/>
      <c r="J34" s="8">
        <f t="shared" si="1"/>
        <v>0</v>
      </c>
      <c r="K34" s="8">
        <f t="shared" si="2"/>
        <v>3211.95</v>
      </c>
      <c r="L34" s="255"/>
      <c r="M34" s="8">
        <f>M33+K34-L34</f>
        <v>115310.9831</v>
      </c>
      <c r="N34" s="19"/>
      <c r="O34" s="62"/>
    </row>
    <row r="35" spans="1:15">
      <c r="A35" s="164"/>
      <c r="B35" s="164"/>
      <c r="C35" s="164"/>
      <c r="D35" s="164"/>
      <c r="E35" s="165">
        <f>SUM(E4:E34)</f>
        <v>4415</v>
      </c>
      <c r="F35" s="165"/>
      <c r="G35" s="165">
        <f>SUM(G4:G34)</f>
        <v>405164.55000000005</v>
      </c>
      <c r="H35" s="165">
        <f>SUM(H4:H34)</f>
        <v>94</v>
      </c>
      <c r="I35" s="165"/>
      <c r="J35" s="165">
        <f>SUM(J4:J34)</f>
        <v>9750.619999999999</v>
      </c>
      <c r="K35" s="165">
        <f>SUM(K4:K34)</f>
        <v>414915.17000000016</v>
      </c>
      <c r="L35" s="165">
        <f>SUM(L4:L34)</f>
        <v>420000</v>
      </c>
      <c r="M35" s="165"/>
      <c r="N35" s="165"/>
      <c r="O35" s="62"/>
    </row>
    <row r="36" spans="1:15">
      <c r="A36" s="76"/>
      <c r="B36" s="76"/>
      <c r="C36" s="76"/>
      <c r="D36" s="76"/>
      <c r="E36" s="78"/>
      <c r="F36" s="78"/>
      <c r="G36" s="78"/>
      <c r="H36" s="78"/>
      <c r="I36" s="78"/>
      <c r="J36" s="78"/>
      <c r="K36" s="78"/>
      <c r="L36" s="256"/>
      <c r="M36" s="78"/>
      <c r="N36" s="78"/>
      <c r="O36" s="62"/>
    </row>
    <row r="37" spans="1:15">
      <c r="E37" s="260"/>
      <c r="F37" s="260"/>
      <c r="G37" s="260"/>
      <c r="H37" s="260"/>
      <c r="I37" s="260"/>
      <c r="J37" s="260"/>
      <c r="K37" s="260"/>
      <c r="L37" s="260"/>
      <c r="O37" s="62"/>
    </row>
    <row r="38" spans="1:15">
      <c r="O38" s="62"/>
    </row>
    <row r="39" spans="1:15">
      <c r="O39" s="62"/>
    </row>
    <row r="40" spans="1:15">
      <c r="O40" s="62"/>
    </row>
    <row r="41" spans="1:15">
      <c r="O41" s="62"/>
    </row>
    <row r="42" spans="1:15">
      <c r="A42" s="62"/>
      <c r="B42" s="62"/>
      <c r="C42" s="62"/>
      <c r="D42" s="62"/>
      <c r="E42" s="62"/>
      <c r="F42" s="62"/>
      <c r="G42" s="84"/>
      <c r="H42" s="62"/>
      <c r="I42" s="62"/>
      <c r="J42" s="62"/>
      <c r="K42" s="62"/>
      <c r="L42" s="76"/>
      <c r="M42" s="62"/>
      <c r="N42" s="62"/>
      <c r="O42" s="78"/>
    </row>
    <row r="43" spans="1:15">
      <c r="A43" s="62"/>
      <c r="B43" s="484"/>
      <c r="C43" s="484"/>
      <c r="D43" s="484"/>
      <c r="E43" s="484"/>
      <c r="F43" s="62"/>
      <c r="G43" s="62"/>
      <c r="H43" s="62"/>
      <c r="I43" s="484"/>
      <c r="J43" s="484"/>
      <c r="K43" s="484"/>
      <c r="L43" s="484"/>
      <c r="M43" s="484"/>
      <c r="N43" s="484"/>
      <c r="O43" s="78"/>
    </row>
    <row r="44" spans="1:15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76"/>
      <c r="M44" s="62"/>
      <c r="N44" s="62"/>
      <c r="O44" s="78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71A1-D77D-459B-9B4B-82B2DEA70DBC}">
  <dimension ref="A1:Q44"/>
  <sheetViews>
    <sheetView workbookViewId="0">
      <pane ySplit="2" topLeftCell="A25" activePane="bottomLeft" state="frozen"/>
      <selection pane="bottomLeft" activeCell="M32" sqref="M32"/>
    </sheetView>
  </sheetViews>
  <sheetFormatPr defaultRowHeight="15"/>
  <cols>
    <col min="1" max="1" width="5.140625" style="72" bestFit="1" customWidth="1"/>
    <col min="2" max="2" width="10.85546875" style="72" bestFit="1" customWidth="1"/>
    <col min="3" max="3" width="8" style="72" bestFit="1" customWidth="1"/>
    <col min="4" max="4" width="16" style="72" bestFit="1" customWidth="1"/>
    <col min="5" max="5" width="10.7109375" style="72" bestFit="1" customWidth="1"/>
    <col min="6" max="6" width="14.5703125" style="72" bestFit="1" customWidth="1"/>
    <col min="7" max="7" width="11.85546875" style="72" bestFit="1" customWidth="1"/>
    <col min="8" max="8" width="10.7109375" style="72" bestFit="1" customWidth="1"/>
    <col min="9" max="9" width="7.28515625" style="72" bestFit="1" customWidth="1"/>
    <col min="10" max="10" width="10.85546875" style="72" bestFit="1" customWidth="1"/>
    <col min="11" max="11" width="14.5703125" style="72" bestFit="1" customWidth="1"/>
    <col min="12" max="12" width="13.5703125" style="72" bestFit="1" customWidth="1"/>
    <col min="13" max="13" width="13.5703125" style="72" customWidth="1"/>
    <col min="14" max="14" width="14.140625" style="72" bestFit="1" customWidth="1"/>
    <col min="15" max="15" width="11.28515625" style="72" customWidth="1"/>
    <col min="16" max="16" width="11.5703125" style="72" bestFit="1" customWidth="1"/>
    <col min="17" max="16384" width="9.140625" style="72"/>
  </cols>
  <sheetData>
    <row r="1" spans="1:17" ht="15.75">
      <c r="A1" s="478" t="s">
        <v>56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85"/>
    </row>
    <row r="2" spans="1:17" ht="30">
      <c r="A2" s="67" t="s">
        <v>129</v>
      </c>
      <c r="B2" s="86" t="s">
        <v>130</v>
      </c>
      <c r="C2" s="86" t="s">
        <v>131</v>
      </c>
      <c r="D2" s="86" t="s">
        <v>132</v>
      </c>
      <c r="E2" s="86" t="s">
        <v>133</v>
      </c>
      <c r="F2" s="86" t="s">
        <v>134</v>
      </c>
      <c r="G2" s="86" t="s">
        <v>135</v>
      </c>
      <c r="H2" s="86" t="s">
        <v>136</v>
      </c>
      <c r="I2" s="86" t="s">
        <v>134</v>
      </c>
      <c r="J2" s="87" t="s">
        <v>135</v>
      </c>
      <c r="K2" s="67" t="s">
        <v>137</v>
      </c>
      <c r="L2" s="88" t="s">
        <v>138</v>
      </c>
      <c r="M2" s="88" t="s">
        <v>199</v>
      </c>
      <c r="N2" s="86" t="s">
        <v>140</v>
      </c>
      <c r="O2" s="62"/>
    </row>
    <row r="3" spans="1:17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4"/>
      <c r="K3" s="167">
        <v>292365.86150000012</v>
      </c>
      <c r="L3" s="70"/>
      <c r="M3" s="167">
        <v>292365.86150000012</v>
      </c>
      <c r="N3" s="70"/>
      <c r="O3" s="62">
        <v>235015.76</v>
      </c>
      <c r="P3" s="245">
        <f>O3-M3</f>
        <v>-57350.101500000106</v>
      </c>
    </row>
    <row r="4" spans="1:17">
      <c r="A4" s="26">
        <v>1</v>
      </c>
      <c r="B4" s="27">
        <v>46023</v>
      </c>
      <c r="C4" s="70"/>
      <c r="D4" s="163"/>
      <c r="E4" s="168">
        <v>0</v>
      </c>
      <c r="F4" s="168">
        <v>0</v>
      </c>
      <c r="G4" s="8">
        <f>E4*F4</f>
        <v>0</v>
      </c>
      <c r="H4" s="168">
        <v>0</v>
      </c>
      <c r="I4" s="168">
        <v>0</v>
      </c>
      <c r="J4" s="8">
        <f>H4*I4</f>
        <v>0</v>
      </c>
      <c r="K4" s="8">
        <f>G4+J4</f>
        <v>0</v>
      </c>
      <c r="L4" s="169">
        <v>0</v>
      </c>
      <c r="M4" s="169">
        <f t="shared" ref="M4:M20" si="0">M3+K4-L4</f>
        <v>292365.86150000012</v>
      </c>
      <c r="N4" s="42"/>
      <c r="Q4" s="72">
        <v>235410</v>
      </c>
    </row>
    <row r="5" spans="1:17">
      <c r="A5" s="26">
        <v>2</v>
      </c>
      <c r="B5" s="27">
        <v>46024</v>
      </c>
      <c r="C5" s="70"/>
      <c r="D5" s="163"/>
      <c r="E5" s="168">
        <v>335</v>
      </c>
      <c r="F5" s="168">
        <v>91.93</v>
      </c>
      <c r="G5" s="8">
        <f t="shared" ref="G5:G34" si="1">E5*F5</f>
        <v>30796.550000000003</v>
      </c>
      <c r="H5" s="168">
        <v>40</v>
      </c>
      <c r="I5" s="168">
        <v>103.89</v>
      </c>
      <c r="J5" s="8">
        <f t="shared" ref="J5:J34" si="2">H5*I5</f>
        <v>4155.6000000000004</v>
      </c>
      <c r="K5" s="8">
        <f t="shared" ref="K5:K34" si="3">G5+J5</f>
        <v>34952.15</v>
      </c>
      <c r="L5" s="169">
        <v>0</v>
      </c>
      <c r="M5" s="169">
        <f t="shared" si="0"/>
        <v>327318.01150000014</v>
      </c>
      <c r="N5" s="42"/>
    </row>
    <row r="6" spans="1:17">
      <c r="A6" s="26">
        <v>3</v>
      </c>
      <c r="B6" s="27">
        <v>46025</v>
      </c>
      <c r="C6" s="70"/>
      <c r="D6" s="163"/>
      <c r="E6" s="168">
        <v>265</v>
      </c>
      <c r="F6" s="168">
        <v>91.93</v>
      </c>
      <c r="G6" s="8">
        <f t="shared" si="1"/>
        <v>24361.45</v>
      </c>
      <c r="H6" s="168">
        <v>0</v>
      </c>
      <c r="I6" s="168">
        <v>0</v>
      </c>
      <c r="J6" s="8">
        <f t="shared" si="2"/>
        <v>0</v>
      </c>
      <c r="K6" s="8">
        <f t="shared" si="3"/>
        <v>24361.45</v>
      </c>
      <c r="L6" s="169">
        <v>0</v>
      </c>
      <c r="M6" s="169">
        <f t="shared" si="0"/>
        <v>351679.46150000015</v>
      </c>
      <c r="N6" s="42"/>
    </row>
    <row r="7" spans="1:17">
      <c r="A7" s="26">
        <v>4</v>
      </c>
      <c r="B7" s="27">
        <v>46026</v>
      </c>
      <c r="C7" s="70"/>
      <c r="D7" s="163"/>
      <c r="E7" s="168">
        <v>35</v>
      </c>
      <c r="F7" s="168">
        <v>91.93</v>
      </c>
      <c r="G7" s="8">
        <f t="shared" si="1"/>
        <v>3217.55</v>
      </c>
      <c r="H7" s="168">
        <v>0</v>
      </c>
      <c r="I7" s="168">
        <v>0</v>
      </c>
      <c r="J7" s="8">
        <f t="shared" si="2"/>
        <v>0</v>
      </c>
      <c r="K7" s="8">
        <f t="shared" si="3"/>
        <v>3217.55</v>
      </c>
      <c r="L7" s="169">
        <v>0</v>
      </c>
      <c r="M7" s="169">
        <f t="shared" si="0"/>
        <v>354897.01150000014</v>
      </c>
      <c r="N7" s="42"/>
    </row>
    <row r="8" spans="1:17">
      <c r="A8" s="26">
        <v>5</v>
      </c>
      <c r="B8" s="27">
        <v>46027</v>
      </c>
      <c r="C8" s="70"/>
      <c r="D8" s="163"/>
      <c r="E8" s="168">
        <v>90</v>
      </c>
      <c r="F8" s="168">
        <v>91.93</v>
      </c>
      <c r="G8" s="8">
        <f t="shared" si="1"/>
        <v>8273.7000000000007</v>
      </c>
      <c r="H8" s="168">
        <v>40</v>
      </c>
      <c r="I8" s="168">
        <v>103.89</v>
      </c>
      <c r="J8" s="8">
        <f t="shared" si="2"/>
        <v>4155.6000000000004</v>
      </c>
      <c r="K8" s="8">
        <f t="shared" si="3"/>
        <v>12429.300000000001</v>
      </c>
      <c r="L8" s="169">
        <v>0</v>
      </c>
      <c r="M8" s="169">
        <f t="shared" si="0"/>
        <v>367326.31150000013</v>
      </c>
      <c r="N8" s="42"/>
    </row>
    <row r="9" spans="1:17">
      <c r="A9" s="26">
        <v>6</v>
      </c>
      <c r="B9" s="27">
        <v>46028</v>
      </c>
      <c r="C9" s="70"/>
      <c r="D9" s="163"/>
      <c r="E9" s="168">
        <v>200</v>
      </c>
      <c r="F9" s="168">
        <v>91.93</v>
      </c>
      <c r="G9" s="8">
        <f t="shared" si="1"/>
        <v>18386</v>
      </c>
      <c r="H9" s="168">
        <v>0</v>
      </c>
      <c r="I9" s="168">
        <v>0</v>
      </c>
      <c r="J9" s="8">
        <f t="shared" si="2"/>
        <v>0</v>
      </c>
      <c r="K9" s="8">
        <f t="shared" si="3"/>
        <v>18386</v>
      </c>
      <c r="L9" s="169">
        <v>0</v>
      </c>
      <c r="M9" s="169">
        <f t="shared" si="0"/>
        <v>385712.31150000013</v>
      </c>
      <c r="N9" s="42"/>
    </row>
    <row r="10" spans="1:17">
      <c r="A10" s="26">
        <v>7</v>
      </c>
      <c r="B10" s="27">
        <v>46029</v>
      </c>
      <c r="C10" s="70"/>
      <c r="D10" s="163"/>
      <c r="E10" s="168">
        <v>0</v>
      </c>
      <c r="F10" s="168">
        <v>0</v>
      </c>
      <c r="G10" s="8">
        <f t="shared" si="1"/>
        <v>0</v>
      </c>
      <c r="H10" s="168">
        <v>0</v>
      </c>
      <c r="I10" s="168">
        <v>0</v>
      </c>
      <c r="J10" s="8">
        <f t="shared" si="2"/>
        <v>0</v>
      </c>
      <c r="K10" s="8">
        <f t="shared" si="3"/>
        <v>0</v>
      </c>
      <c r="L10" s="169">
        <v>0</v>
      </c>
      <c r="M10" s="169">
        <f t="shared" si="0"/>
        <v>385712.31150000013</v>
      </c>
      <c r="N10" s="42"/>
    </row>
    <row r="11" spans="1:17">
      <c r="A11" s="26">
        <v>8</v>
      </c>
      <c r="B11" s="27">
        <v>46030</v>
      </c>
      <c r="C11" s="70"/>
      <c r="D11" s="163"/>
      <c r="E11" s="168">
        <v>470</v>
      </c>
      <c r="F11" s="168">
        <v>91.93</v>
      </c>
      <c r="G11" s="8">
        <f t="shared" si="1"/>
        <v>43207.100000000006</v>
      </c>
      <c r="H11" s="168">
        <v>30</v>
      </c>
      <c r="I11" s="168">
        <v>103.89</v>
      </c>
      <c r="J11" s="8">
        <f t="shared" si="2"/>
        <v>3116.7</v>
      </c>
      <c r="K11" s="8">
        <f t="shared" si="3"/>
        <v>46323.8</v>
      </c>
      <c r="L11" s="169">
        <v>0</v>
      </c>
      <c r="M11" s="169">
        <f t="shared" si="0"/>
        <v>432036.11150000012</v>
      </c>
      <c r="N11" s="42" t="s">
        <v>216</v>
      </c>
      <c r="P11" s="244"/>
      <c r="Q11" s="245"/>
    </row>
    <row r="12" spans="1:17">
      <c r="A12" s="26">
        <v>9</v>
      </c>
      <c r="B12" s="27">
        <v>46031</v>
      </c>
      <c r="C12" s="70"/>
      <c r="D12" s="163"/>
      <c r="E12" s="168">
        <v>274.91000000000003</v>
      </c>
      <c r="F12" s="168">
        <v>91.93</v>
      </c>
      <c r="G12" s="8">
        <f t="shared" si="1"/>
        <v>25272.476300000006</v>
      </c>
      <c r="H12" s="168">
        <v>0</v>
      </c>
      <c r="I12" s="168">
        <v>0</v>
      </c>
      <c r="J12" s="8">
        <f t="shared" si="2"/>
        <v>0</v>
      </c>
      <c r="K12" s="8">
        <f t="shared" si="3"/>
        <v>25272.476300000006</v>
      </c>
      <c r="L12" s="169">
        <v>0</v>
      </c>
      <c r="M12" s="169">
        <f t="shared" si="0"/>
        <v>457308.5878000001</v>
      </c>
      <c r="N12" s="42"/>
    </row>
    <row r="13" spans="1:17">
      <c r="A13" s="26">
        <v>10</v>
      </c>
      <c r="B13" s="27">
        <v>46032</v>
      </c>
      <c r="C13" s="70"/>
      <c r="D13" s="163"/>
      <c r="E13" s="168">
        <v>0</v>
      </c>
      <c r="F13" s="168">
        <v>0</v>
      </c>
      <c r="G13" s="8">
        <f t="shared" si="1"/>
        <v>0</v>
      </c>
      <c r="H13" s="168">
        <v>0</v>
      </c>
      <c r="I13" s="168">
        <v>0</v>
      </c>
      <c r="J13" s="8">
        <f t="shared" si="2"/>
        <v>0</v>
      </c>
      <c r="K13" s="8">
        <f t="shared" si="3"/>
        <v>0</v>
      </c>
      <c r="L13" s="169">
        <v>0</v>
      </c>
      <c r="M13" s="169">
        <f t="shared" si="0"/>
        <v>457308.5878000001</v>
      </c>
      <c r="N13" s="42"/>
    </row>
    <row r="14" spans="1:17">
      <c r="A14" s="26">
        <v>11</v>
      </c>
      <c r="B14" s="27">
        <v>46033</v>
      </c>
      <c r="C14" s="70"/>
      <c r="D14" s="163"/>
      <c r="E14" s="168">
        <v>0</v>
      </c>
      <c r="F14" s="168">
        <v>0</v>
      </c>
      <c r="G14" s="8">
        <f t="shared" si="1"/>
        <v>0</v>
      </c>
      <c r="H14" s="168">
        <v>0</v>
      </c>
      <c r="I14" s="168">
        <v>0</v>
      </c>
      <c r="J14" s="8">
        <f t="shared" si="2"/>
        <v>0</v>
      </c>
      <c r="K14" s="8">
        <f t="shared" si="3"/>
        <v>0</v>
      </c>
      <c r="L14" s="169">
        <v>0</v>
      </c>
      <c r="M14" s="169">
        <f t="shared" si="0"/>
        <v>457308.5878000001</v>
      </c>
      <c r="N14" s="42"/>
    </row>
    <row r="15" spans="1:17">
      <c r="A15" s="26">
        <v>12</v>
      </c>
      <c r="B15" s="27">
        <v>46034</v>
      </c>
      <c r="C15" s="70"/>
      <c r="D15" s="163"/>
      <c r="E15" s="168">
        <v>0</v>
      </c>
      <c r="F15" s="168">
        <v>0</v>
      </c>
      <c r="G15" s="8">
        <f t="shared" si="1"/>
        <v>0</v>
      </c>
      <c r="H15" s="168">
        <v>0</v>
      </c>
      <c r="I15" s="168">
        <v>0</v>
      </c>
      <c r="J15" s="8">
        <f t="shared" si="2"/>
        <v>0</v>
      </c>
      <c r="K15" s="8">
        <f t="shared" si="3"/>
        <v>0</v>
      </c>
      <c r="L15" s="169">
        <v>0</v>
      </c>
      <c r="M15" s="169">
        <f t="shared" si="0"/>
        <v>457308.5878000001</v>
      </c>
      <c r="N15" s="42"/>
    </row>
    <row r="16" spans="1:17">
      <c r="A16" s="26">
        <v>13</v>
      </c>
      <c r="B16" s="27">
        <v>46035</v>
      </c>
      <c r="C16" s="70"/>
      <c r="D16" s="163"/>
      <c r="E16" s="168">
        <v>255</v>
      </c>
      <c r="F16" s="168">
        <v>91.93</v>
      </c>
      <c r="G16" s="8">
        <f t="shared" si="1"/>
        <v>23442.15</v>
      </c>
      <c r="H16" s="168">
        <v>30</v>
      </c>
      <c r="I16" s="168">
        <v>103.89</v>
      </c>
      <c r="J16" s="8">
        <f t="shared" si="2"/>
        <v>3116.7</v>
      </c>
      <c r="K16" s="8">
        <f t="shared" si="3"/>
        <v>26558.850000000002</v>
      </c>
      <c r="L16" s="169">
        <v>300000</v>
      </c>
      <c r="M16" s="169">
        <f t="shared" si="0"/>
        <v>183867.43780000007</v>
      </c>
      <c r="N16" s="42"/>
    </row>
    <row r="17" spans="1:14">
      <c r="A17" s="26">
        <v>14</v>
      </c>
      <c r="B17" s="27">
        <v>46036</v>
      </c>
      <c r="C17" s="70"/>
      <c r="D17" s="163"/>
      <c r="E17" s="168">
        <v>130</v>
      </c>
      <c r="F17" s="168">
        <v>91.93</v>
      </c>
      <c r="G17" s="8">
        <f t="shared" si="1"/>
        <v>11950.900000000001</v>
      </c>
      <c r="H17" s="168">
        <v>0</v>
      </c>
      <c r="I17" s="168">
        <v>0</v>
      </c>
      <c r="J17" s="8">
        <f t="shared" si="2"/>
        <v>0</v>
      </c>
      <c r="K17" s="8">
        <f t="shared" si="3"/>
        <v>11950.900000000001</v>
      </c>
      <c r="L17" s="169">
        <v>0</v>
      </c>
      <c r="M17" s="169">
        <f t="shared" si="0"/>
        <v>195818.33780000007</v>
      </c>
      <c r="N17" s="42"/>
    </row>
    <row r="18" spans="1:14">
      <c r="A18" s="26">
        <v>15</v>
      </c>
      <c r="B18" s="27">
        <v>46037</v>
      </c>
      <c r="C18" s="70"/>
      <c r="D18" s="163"/>
      <c r="E18" s="168">
        <v>0</v>
      </c>
      <c r="F18" s="168">
        <v>0</v>
      </c>
      <c r="G18" s="8">
        <f t="shared" si="1"/>
        <v>0</v>
      </c>
      <c r="H18" s="168">
        <v>0</v>
      </c>
      <c r="I18" s="168">
        <v>0</v>
      </c>
      <c r="J18" s="8">
        <f t="shared" si="2"/>
        <v>0</v>
      </c>
      <c r="K18" s="8">
        <f t="shared" si="3"/>
        <v>0</v>
      </c>
      <c r="L18" s="169">
        <v>0</v>
      </c>
      <c r="M18" s="169">
        <f t="shared" si="0"/>
        <v>195818.33780000007</v>
      </c>
      <c r="N18" s="42"/>
    </row>
    <row r="19" spans="1:14">
      <c r="A19" s="26">
        <v>16</v>
      </c>
      <c r="B19" s="27">
        <v>46038</v>
      </c>
      <c r="C19" s="70"/>
      <c r="D19" s="163"/>
      <c r="E19" s="168">
        <v>0</v>
      </c>
      <c r="F19" s="168">
        <v>0</v>
      </c>
      <c r="G19" s="8">
        <f t="shared" si="1"/>
        <v>0</v>
      </c>
      <c r="H19" s="168">
        <v>0</v>
      </c>
      <c r="I19" s="168">
        <v>0</v>
      </c>
      <c r="J19" s="8">
        <f t="shared" si="2"/>
        <v>0</v>
      </c>
      <c r="K19" s="8">
        <f t="shared" si="3"/>
        <v>0</v>
      </c>
      <c r="L19" s="169">
        <v>0</v>
      </c>
      <c r="M19" s="169">
        <f t="shared" si="0"/>
        <v>195818.33780000007</v>
      </c>
      <c r="N19" s="42"/>
    </row>
    <row r="20" spans="1:14">
      <c r="A20" s="26">
        <v>17</v>
      </c>
      <c r="B20" s="27">
        <v>46039</v>
      </c>
      <c r="C20" s="70"/>
      <c r="D20" s="163"/>
      <c r="E20" s="168">
        <v>70</v>
      </c>
      <c r="F20" s="168">
        <v>91.93</v>
      </c>
      <c r="G20" s="8">
        <f t="shared" si="1"/>
        <v>6435.1</v>
      </c>
      <c r="H20" s="168">
        <v>0</v>
      </c>
      <c r="I20" s="168">
        <v>0</v>
      </c>
      <c r="J20" s="8">
        <f t="shared" si="2"/>
        <v>0</v>
      </c>
      <c r="K20" s="8">
        <f t="shared" si="3"/>
        <v>6435.1</v>
      </c>
      <c r="L20" s="169">
        <v>0</v>
      </c>
      <c r="M20" s="169">
        <f t="shared" si="0"/>
        <v>202253.43780000007</v>
      </c>
      <c r="N20" s="42"/>
    </row>
    <row r="21" spans="1:14">
      <c r="A21" s="26">
        <v>18</v>
      </c>
      <c r="B21" s="27">
        <v>46040</v>
      </c>
      <c r="C21" s="70"/>
      <c r="D21" s="163"/>
      <c r="E21" s="168">
        <v>400</v>
      </c>
      <c r="F21" s="168">
        <v>91.93</v>
      </c>
      <c r="G21" s="8">
        <f t="shared" si="1"/>
        <v>36772</v>
      </c>
      <c r="H21" s="168">
        <v>35</v>
      </c>
      <c r="I21" s="168">
        <v>103.89</v>
      </c>
      <c r="J21" s="8">
        <f t="shared" si="2"/>
        <v>3636.15</v>
      </c>
      <c r="K21" s="8">
        <f t="shared" si="3"/>
        <v>40408.15</v>
      </c>
      <c r="L21" s="169">
        <v>0</v>
      </c>
      <c r="M21" s="169">
        <f t="shared" ref="M21:M34" si="4">M20+K21-L21</f>
        <v>242661.58780000007</v>
      </c>
      <c r="N21" s="42"/>
    </row>
    <row r="22" spans="1:14">
      <c r="A22" s="26">
        <v>19</v>
      </c>
      <c r="B22" s="27">
        <v>46041</v>
      </c>
      <c r="C22" s="70"/>
      <c r="D22" s="163"/>
      <c r="E22" s="168">
        <v>0</v>
      </c>
      <c r="F22" s="168">
        <v>0</v>
      </c>
      <c r="G22" s="8">
        <f t="shared" si="1"/>
        <v>0</v>
      </c>
      <c r="H22" s="168">
        <v>0</v>
      </c>
      <c r="I22" s="168">
        <v>0</v>
      </c>
      <c r="J22" s="8">
        <f t="shared" si="2"/>
        <v>0</v>
      </c>
      <c r="K22" s="8">
        <f t="shared" si="3"/>
        <v>0</v>
      </c>
      <c r="L22" s="169">
        <v>196000</v>
      </c>
      <c r="M22" s="169">
        <f t="shared" si="4"/>
        <v>46661.587800000067</v>
      </c>
      <c r="N22" s="42"/>
    </row>
    <row r="23" spans="1:14">
      <c r="A23" s="26">
        <v>20</v>
      </c>
      <c r="B23" s="27">
        <v>46042</v>
      </c>
      <c r="C23" s="70"/>
      <c r="D23" s="163"/>
      <c r="E23" s="168">
        <v>145</v>
      </c>
      <c r="F23" s="168">
        <v>91.93</v>
      </c>
      <c r="G23" s="8">
        <f t="shared" si="1"/>
        <v>13329.85</v>
      </c>
      <c r="H23" s="168">
        <v>0</v>
      </c>
      <c r="I23" s="168">
        <v>0</v>
      </c>
      <c r="J23" s="8">
        <f t="shared" si="2"/>
        <v>0</v>
      </c>
      <c r="K23" s="8">
        <f t="shared" si="3"/>
        <v>13329.85</v>
      </c>
      <c r="L23" s="169"/>
      <c r="M23" s="169">
        <f t="shared" si="4"/>
        <v>59991.437800000065</v>
      </c>
      <c r="N23" s="42"/>
    </row>
    <row r="24" spans="1:14">
      <c r="A24" s="26">
        <v>21</v>
      </c>
      <c r="B24" s="27">
        <v>46043</v>
      </c>
      <c r="C24" s="70"/>
      <c r="D24" s="163"/>
      <c r="E24" s="168">
        <v>100</v>
      </c>
      <c r="F24" s="168">
        <v>91.93</v>
      </c>
      <c r="G24" s="8">
        <f t="shared" si="1"/>
        <v>9193</v>
      </c>
      <c r="H24" s="168">
        <v>0</v>
      </c>
      <c r="I24" s="168">
        <v>0</v>
      </c>
      <c r="J24" s="8">
        <f t="shared" si="2"/>
        <v>0</v>
      </c>
      <c r="K24" s="8">
        <f t="shared" si="3"/>
        <v>9193</v>
      </c>
      <c r="L24" s="169">
        <v>0</v>
      </c>
      <c r="M24" s="169">
        <f t="shared" si="4"/>
        <v>69184.437800000072</v>
      </c>
      <c r="N24" s="42"/>
    </row>
    <row r="25" spans="1:14">
      <c r="A25" s="26">
        <v>22</v>
      </c>
      <c r="B25" s="27">
        <v>46044</v>
      </c>
      <c r="C25" s="70"/>
      <c r="D25" s="163"/>
      <c r="E25" s="168">
        <v>265</v>
      </c>
      <c r="F25" s="168">
        <v>91.93</v>
      </c>
      <c r="G25" s="8">
        <f t="shared" si="1"/>
        <v>24361.45</v>
      </c>
      <c r="H25" s="168">
        <v>50</v>
      </c>
      <c r="I25" s="168">
        <v>103.89</v>
      </c>
      <c r="J25" s="8">
        <f t="shared" si="2"/>
        <v>5194.5</v>
      </c>
      <c r="K25" s="8">
        <f t="shared" si="3"/>
        <v>29555.95</v>
      </c>
      <c r="L25" s="169">
        <v>0</v>
      </c>
      <c r="M25" s="169">
        <f t="shared" si="4"/>
        <v>98740.38780000007</v>
      </c>
      <c r="N25" s="42"/>
    </row>
    <row r="26" spans="1:14">
      <c r="A26" s="26">
        <v>23</v>
      </c>
      <c r="B26" s="27">
        <v>46045</v>
      </c>
      <c r="C26" s="70"/>
      <c r="D26" s="163"/>
      <c r="E26" s="168">
        <v>95</v>
      </c>
      <c r="F26" s="168">
        <v>91.93</v>
      </c>
      <c r="G26" s="8">
        <f t="shared" si="1"/>
        <v>8733.35</v>
      </c>
      <c r="H26" s="168">
        <v>0</v>
      </c>
      <c r="I26" s="168">
        <v>0</v>
      </c>
      <c r="J26" s="8">
        <f t="shared" si="2"/>
        <v>0</v>
      </c>
      <c r="K26" s="8">
        <f t="shared" si="3"/>
        <v>8733.35</v>
      </c>
      <c r="L26" s="169">
        <v>0</v>
      </c>
      <c r="M26" s="169">
        <f t="shared" si="4"/>
        <v>107473.73780000008</v>
      </c>
      <c r="N26" s="42"/>
    </row>
    <row r="27" spans="1:14">
      <c r="A27" s="26">
        <v>24</v>
      </c>
      <c r="B27" s="27">
        <v>46046</v>
      </c>
      <c r="C27" s="70"/>
      <c r="D27" s="163"/>
      <c r="E27" s="168">
        <v>105</v>
      </c>
      <c r="F27" s="168">
        <v>91.93</v>
      </c>
      <c r="G27" s="8">
        <f t="shared" si="1"/>
        <v>9652.6500000000015</v>
      </c>
      <c r="H27" s="168">
        <v>0</v>
      </c>
      <c r="I27" s="168">
        <v>0</v>
      </c>
      <c r="J27" s="8">
        <f t="shared" si="2"/>
        <v>0</v>
      </c>
      <c r="K27" s="8">
        <f t="shared" si="3"/>
        <v>9652.6500000000015</v>
      </c>
      <c r="L27" s="169">
        <v>0</v>
      </c>
      <c r="M27" s="169">
        <f t="shared" si="4"/>
        <v>117126.38780000008</v>
      </c>
      <c r="N27" s="42"/>
    </row>
    <row r="28" spans="1:14">
      <c r="A28" s="26">
        <v>25</v>
      </c>
      <c r="B28" s="27">
        <v>46047</v>
      </c>
      <c r="C28" s="70"/>
      <c r="D28" s="163"/>
      <c r="E28" s="168">
        <v>0</v>
      </c>
      <c r="F28" s="168">
        <v>0</v>
      </c>
      <c r="G28" s="8">
        <f t="shared" si="1"/>
        <v>0</v>
      </c>
      <c r="H28" s="168">
        <v>0</v>
      </c>
      <c r="I28" s="168">
        <v>0</v>
      </c>
      <c r="J28" s="8">
        <f t="shared" si="2"/>
        <v>0</v>
      </c>
      <c r="K28" s="8">
        <f t="shared" si="3"/>
        <v>0</v>
      </c>
      <c r="L28" s="169">
        <v>0</v>
      </c>
      <c r="M28" s="169">
        <f t="shared" si="4"/>
        <v>117126.38780000008</v>
      </c>
      <c r="N28" s="42"/>
    </row>
    <row r="29" spans="1:14">
      <c r="A29" s="26">
        <v>26</v>
      </c>
      <c r="B29" s="27">
        <v>46048</v>
      </c>
      <c r="C29" s="200"/>
      <c r="D29" s="163"/>
      <c r="E29" s="168">
        <v>0</v>
      </c>
      <c r="F29" s="168">
        <v>0</v>
      </c>
      <c r="G29" s="8">
        <f t="shared" si="1"/>
        <v>0</v>
      </c>
      <c r="H29" s="168">
        <v>0</v>
      </c>
      <c r="I29" s="168">
        <v>0</v>
      </c>
      <c r="J29" s="8">
        <f t="shared" si="2"/>
        <v>0</v>
      </c>
      <c r="K29" s="8">
        <f t="shared" si="3"/>
        <v>0</v>
      </c>
      <c r="L29" s="169">
        <v>0</v>
      </c>
      <c r="M29" s="169">
        <f t="shared" si="4"/>
        <v>117126.38780000008</v>
      </c>
      <c r="N29" s="42"/>
    </row>
    <row r="30" spans="1:14">
      <c r="A30" s="26">
        <v>27</v>
      </c>
      <c r="B30" s="27">
        <v>46049</v>
      </c>
      <c r="C30" s="70"/>
      <c r="D30" s="163"/>
      <c r="E30" s="168">
        <v>56.87</v>
      </c>
      <c r="F30" s="168">
        <v>91.93</v>
      </c>
      <c r="G30" s="8">
        <f t="shared" si="1"/>
        <v>5228.0591000000004</v>
      </c>
      <c r="H30" s="168">
        <v>55</v>
      </c>
      <c r="I30" s="168">
        <v>103.89</v>
      </c>
      <c r="J30" s="8">
        <f t="shared" si="2"/>
        <v>5713.95</v>
      </c>
      <c r="K30" s="8">
        <f t="shared" si="3"/>
        <v>10942.009099999999</v>
      </c>
      <c r="L30" s="169">
        <v>0</v>
      </c>
      <c r="M30" s="169">
        <f t="shared" si="4"/>
        <v>128068.39690000008</v>
      </c>
      <c r="N30" s="42"/>
    </row>
    <row r="31" spans="1:14">
      <c r="A31" s="26">
        <v>28</v>
      </c>
      <c r="B31" s="27">
        <v>46050</v>
      </c>
      <c r="C31" s="70"/>
      <c r="D31" s="163"/>
      <c r="E31" s="168">
        <v>200</v>
      </c>
      <c r="F31" s="168">
        <v>91.93</v>
      </c>
      <c r="G31" s="8">
        <f t="shared" si="1"/>
        <v>18386</v>
      </c>
      <c r="H31" s="168">
        <v>0</v>
      </c>
      <c r="I31" s="168">
        <v>0</v>
      </c>
      <c r="J31" s="8">
        <f t="shared" si="2"/>
        <v>0</v>
      </c>
      <c r="K31" s="8">
        <f t="shared" si="3"/>
        <v>18386</v>
      </c>
      <c r="L31" s="169">
        <v>0</v>
      </c>
      <c r="M31" s="169">
        <f t="shared" si="4"/>
        <v>146454.39690000008</v>
      </c>
      <c r="N31" s="42"/>
    </row>
    <row r="32" spans="1:14">
      <c r="A32" s="26">
        <v>29</v>
      </c>
      <c r="B32" s="27">
        <v>46051</v>
      </c>
      <c r="C32" s="70"/>
      <c r="D32" s="163"/>
      <c r="E32" s="168">
        <v>55</v>
      </c>
      <c r="F32" s="168">
        <v>91.93</v>
      </c>
      <c r="G32" s="8">
        <f t="shared" si="1"/>
        <v>5056.1500000000005</v>
      </c>
      <c r="H32" s="168">
        <v>0</v>
      </c>
      <c r="I32" s="168">
        <v>0</v>
      </c>
      <c r="J32" s="8">
        <f t="shared" si="2"/>
        <v>0</v>
      </c>
      <c r="K32" s="8">
        <f t="shared" si="3"/>
        <v>5056.1500000000005</v>
      </c>
      <c r="L32" s="169">
        <v>0</v>
      </c>
      <c r="M32" s="169">
        <f t="shared" si="4"/>
        <v>151510.54690000007</v>
      </c>
      <c r="N32" s="42"/>
    </row>
    <row r="33" spans="1:15">
      <c r="A33" s="26">
        <v>30</v>
      </c>
      <c r="B33" s="27">
        <v>46052</v>
      </c>
      <c r="C33" s="70"/>
      <c r="D33" s="163"/>
      <c r="E33" s="168">
        <v>0</v>
      </c>
      <c r="F33" s="168">
        <v>0</v>
      </c>
      <c r="G33" s="8">
        <f t="shared" si="1"/>
        <v>0</v>
      </c>
      <c r="H33" s="168">
        <v>0</v>
      </c>
      <c r="I33" s="168">
        <v>0</v>
      </c>
      <c r="J33" s="8">
        <f t="shared" si="2"/>
        <v>0</v>
      </c>
      <c r="K33" s="8">
        <f t="shared" si="3"/>
        <v>0</v>
      </c>
      <c r="L33" s="169">
        <v>0</v>
      </c>
      <c r="M33" s="169">
        <f t="shared" si="4"/>
        <v>151510.54690000007</v>
      </c>
      <c r="N33" s="42"/>
    </row>
    <row r="34" spans="1:15">
      <c r="A34" s="26">
        <v>31</v>
      </c>
      <c r="B34" s="27">
        <v>46053</v>
      </c>
      <c r="C34" s="70"/>
      <c r="D34" s="163"/>
      <c r="E34" s="168">
        <v>0</v>
      </c>
      <c r="F34" s="168">
        <v>0</v>
      </c>
      <c r="G34" s="8">
        <f t="shared" si="1"/>
        <v>0</v>
      </c>
      <c r="H34" s="168">
        <v>0</v>
      </c>
      <c r="I34" s="168">
        <v>0</v>
      </c>
      <c r="J34" s="8">
        <f t="shared" si="2"/>
        <v>0</v>
      </c>
      <c r="K34" s="8">
        <f t="shared" si="3"/>
        <v>0</v>
      </c>
      <c r="L34" s="169">
        <v>0</v>
      </c>
      <c r="M34" s="169">
        <f t="shared" si="4"/>
        <v>151510.54690000007</v>
      </c>
      <c r="N34" s="42"/>
    </row>
    <row r="35" spans="1:15">
      <c r="A35" s="164"/>
      <c r="B35" s="164"/>
      <c r="C35" s="164"/>
      <c r="D35" s="164"/>
      <c r="E35" s="165">
        <f>SUM(E4:E34)</f>
        <v>3546.7799999999997</v>
      </c>
      <c r="F35" s="165"/>
      <c r="G35" s="165">
        <f>SUM(G4:G34)</f>
        <v>326055.48540000006</v>
      </c>
      <c r="H35" s="165">
        <f>SUM(H4:H34)</f>
        <v>280</v>
      </c>
      <c r="I35" s="66"/>
      <c r="J35" s="165">
        <f>SUM(J4:J34)</f>
        <v>29089.200000000004</v>
      </c>
      <c r="K35" s="165">
        <f>SUM(K4:K34)</f>
        <v>355144.68540000007</v>
      </c>
      <c r="L35" s="165">
        <f>SUM(L4:L34)</f>
        <v>496000</v>
      </c>
      <c r="M35" s="66"/>
      <c r="N35" s="66"/>
      <c r="O35" s="62"/>
    </row>
    <row r="36" spans="1:15">
      <c r="A36" s="75"/>
      <c r="B36" s="76"/>
      <c r="C36" s="75"/>
      <c r="D36" s="75"/>
      <c r="E36" s="77"/>
      <c r="F36" s="77"/>
      <c r="G36" s="77"/>
      <c r="H36" s="77"/>
      <c r="I36" s="77"/>
      <c r="J36" s="78"/>
      <c r="K36" s="78"/>
      <c r="L36" s="78"/>
      <c r="M36" s="78"/>
      <c r="N36" s="77"/>
    </row>
    <row r="42" spans="1:15">
      <c r="B42" s="62"/>
      <c r="G42" s="79"/>
      <c r="J42" s="62"/>
      <c r="K42" s="62"/>
      <c r="L42" s="62"/>
      <c r="M42" s="62"/>
      <c r="O42" s="77"/>
    </row>
    <row r="43" spans="1:15">
      <c r="B43" s="472"/>
      <c r="C43" s="472"/>
      <c r="D43" s="472"/>
      <c r="E43" s="472"/>
      <c r="I43" s="472"/>
      <c r="J43" s="472"/>
      <c r="K43" s="472"/>
      <c r="L43" s="472"/>
      <c r="M43" s="472"/>
      <c r="N43" s="472"/>
      <c r="O43" s="77"/>
    </row>
    <row r="44" spans="1:15">
      <c r="B44" s="62"/>
      <c r="J44" s="62"/>
      <c r="K44" s="62"/>
      <c r="L44" s="62"/>
      <c r="M44" s="62"/>
      <c r="O44" s="77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A35F0-7189-4495-B3AE-C2E9CF5D0A6B}">
  <dimension ref="A1:O35"/>
  <sheetViews>
    <sheetView workbookViewId="0">
      <selection activeCell="J26" sqref="J26"/>
    </sheetView>
  </sheetViews>
  <sheetFormatPr defaultRowHeight="15"/>
  <cols>
    <col min="2" max="2" width="14.42578125" customWidth="1"/>
    <col min="4" max="4" width="19.140625" customWidth="1"/>
    <col min="5" max="5" width="17.7109375" customWidth="1"/>
    <col min="6" max="6" width="12.28515625" customWidth="1"/>
    <col min="7" max="7" width="12.85546875" style="22" customWidth="1"/>
    <col min="8" max="8" width="12" style="22" customWidth="1"/>
    <col min="9" max="9" width="9.140625" style="22"/>
    <col min="10" max="10" width="11.140625" style="22" customWidth="1"/>
    <col min="11" max="11" width="12" style="22" customWidth="1"/>
    <col min="12" max="12" width="11.85546875" style="22" customWidth="1"/>
    <col min="13" max="13" width="13.85546875" customWidth="1"/>
  </cols>
  <sheetData>
    <row r="1" spans="1:14" ht="15.75">
      <c r="A1" s="455" t="s">
        <v>58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</row>
    <row r="2" spans="1:14">
      <c r="A2" s="101" t="s">
        <v>129</v>
      </c>
      <c r="B2" s="102" t="s">
        <v>130</v>
      </c>
      <c r="C2" s="102" t="s">
        <v>131</v>
      </c>
      <c r="D2" s="102" t="s">
        <v>198</v>
      </c>
      <c r="E2" s="102" t="s">
        <v>133</v>
      </c>
      <c r="F2" s="102" t="s">
        <v>134</v>
      </c>
      <c r="G2" s="231" t="s">
        <v>135</v>
      </c>
      <c r="H2" s="231" t="s">
        <v>136</v>
      </c>
      <c r="I2" s="231" t="s">
        <v>134</v>
      </c>
      <c r="J2" s="231" t="s">
        <v>135</v>
      </c>
      <c r="K2" s="232" t="s">
        <v>137</v>
      </c>
      <c r="L2" s="232" t="s">
        <v>138</v>
      </c>
      <c r="M2" s="146" t="s">
        <v>199</v>
      </c>
      <c r="N2" s="104" t="s">
        <v>140</v>
      </c>
    </row>
    <row r="3" spans="1:14">
      <c r="A3" s="487" t="s">
        <v>141</v>
      </c>
      <c r="B3" s="488"/>
      <c r="C3" s="488"/>
      <c r="D3" s="488"/>
      <c r="E3" s="488"/>
      <c r="F3" s="488"/>
      <c r="G3" s="488"/>
      <c r="H3" s="488"/>
      <c r="I3" s="488"/>
      <c r="J3" s="489"/>
      <c r="K3" s="219">
        <v>0</v>
      </c>
      <c r="L3" s="219"/>
      <c r="M3" s="178">
        <f>+K3</f>
        <v>0</v>
      </c>
      <c r="N3" s="220"/>
    </row>
    <row r="4" spans="1:14">
      <c r="A4" s="26">
        <v>1</v>
      </c>
      <c r="B4" s="27">
        <v>46023</v>
      </c>
      <c r="C4" s="17"/>
      <c r="D4" s="17"/>
      <c r="E4" s="199"/>
      <c r="F4" s="199"/>
      <c r="G4" s="214">
        <f>E4*F4</f>
        <v>0</v>
      </c>
      <c r="H4" s="273"/>
      <c r="I4" s="214"/>
      <c r="J4" s="214">
        <f>H4*I4</f>
        <v>0</v>
      </c>
      <c r="K4" s="214">
        <f>G4+J4</f>
        <v>0</v>
      </c>
      <c r="L4" s="214">
        <f>+K4</f>
        <v>0</v>
      </c>
      <c r="M4" s="199"/>
      <c r="N4" s="17"/>
    </row>
    <row r="5" spans="1:14">
      <c r="A5" s="26">
        <v>2</v>
      </c>
      <c r="B5" s="27">
        <v>46024</v>
      </c>
      <c r="C5" s="17"/>
      <c r="D5" s="17"/>
      <c r="E5" s="199"/>
      <c r="F5" s="199"/>
      <c r="G5" s="214">
        <f t="shared" ref="G5:G32" si="0">E5*F5</f>
        <v>0</v>
      </c>
      <c r="H5" s="273">
        <v>13.8</v>
      </c>
      <c r="I5" s="214">
        <v>103.53</v>
      </c>
      <c r="J5" s="214">
        <f>H5*I5</f>
        <v>1428.7140000000002</v>
      </c>
      <c r="K5" s="214">
        <f t="shared" ref="K5:K34" si="1">G5+J5</f>
        <v>1428.7140000000002</v>
      </c>
      <c r="L5" s="214">
        <f t="shared" ref="L5:L33" si="2">+K5</f>
        <v>1428.7140000000002</v>
      </c>
      <c r="M5" s="199"/>
      <c r="N5" s="17"/>
    </row>
    <row r="6" spans="1:14">
      <c r="A6" s="26">
        <v>3</v>
      </c>
      <c r="B6" s="27">
        <v>46025</v>
      </c>
      <c r="C6" s="17"/>
      <c r="D6" s="17"/>
      <c r="E6" s="199"/>
      <c r="F6" s="199"/>
      <c r="G6" s="214">
        <f t="shared" si="0"/>
        <v>0</v>
      </c>
      <c r="H6" s="273"/>
      <c r="I6" s="214"/>
      <c r="J6" s="214">
        <f t="shared" ref="J6:J34" si="3">H6*I6</f>
        <v>0</v>
      </c>
      <c r="K6" s="214">
        <f t="shared" si="1"/>
        <v>0</v>
      </c>
      <c r="L6" s="214">
        <f t="shared" si="2"/>
        <v>0</v>
      </c>
      <c r="M6" s="199"/>
      <c r="N6" s="17"/>
    </row>
    <row r="7" spans="1:14">
      <c r="A7" s="26">
        <v>4</v>
      </c>
      <c r="B7" s="27">
        <v>46026</v>
      </c>
      <c r="C7" s="17"/>
      <c r="D7" s="17"/>
      <c r="E7" s="199"/>
      <c r="F7" s="199"/>
      <c r="G7" s="214">
        <f t="shared" si="0"/>
        <v>0</v>
      </c>
      <c r="H7" s="273"/>
      <c r="I7" s="214"/>
      <c r="J7" s="214">
        <f t="shared" si="3"/>
        <v>0</v>
      </c>
      <c r="K7" s="214">
        <f t="shared" si="1"/>
        <v>0</v>
      </c>
      <c r="L7" s="214">
        <f t="shared" si="2"/>
        <v>0</v>
      </c>
      <c r="M7" s="199"/>
      <c r="N7" s="17"/>
    </row>
    <row r="8" spans="1:14">
      <c r="A8" s="26">
        <v>5</v>
      </c>
      <c r="B8" s="27">
        <v>46027</v>
      </c>
      <c r="C8" s="17"/>
      <c r="D8" s="17"/>
      <c r="E8" s="199">
        <v>25</v>
      </c>
      <c r="F8" s="199">
        <v>91.59</v>
      </c>
      <c r="G8" s="214">
        <f t="shared" si="0"/>
        <v>2289.75</v>
      </c>
      <c r="H8" s="273">
        <v>5</v>
      </c>
      <c r="I8" s="214">
        <v>103.53</v>
      </c>
      <c r="J8" s="214">
        <f t="shared" si="3"/>
        <v>517.65</v>
      </c>
      <c r="K8" s="214">
        <f t="shared" si="1"/>
        <v>2807.4</v>
      </c>
      <c r="L8" s="214">
        <f t="shared" si="2"/>
        <v>2807.4</v>
      </c>
      <c r="M8" s="199"/>
      <c r="N8" s="17"/>
    </row>
    <row r="9" spans="1:14">
      <c r="A9" s="26">
        <v>6</v>
      </c>
      <c r="B9" s="27">
        <v>46028</v>
      </c>
      <c r="C9" s="17"/>
      <c r="D9" s="17"/>
      <c r="E9" s="199"/>
      <c r="F9" s="199"/>
      <c r="G9" s="214">
        <f t="shared" si="0"/>
        <v>0</v>
      </c>
      <c r="H9" s="273">
        <v>5</v>
      </c>
      <c r="I9" s="214">
        <v>103.53</v>
      </c>
      <c r="J9" s="214">
        <f t="shared" si="3"/>
        <v>517.65</v>
      </c>
      <c r="K9" s="214">
        <f t="shared" si="1"/>
        <v>517.65</v>
      </c>
      <c r="L9" s="214">
        <f t="shared" si="2"/>
        <v>517.65</v>
      </c>
      <c r="M9" s="199"/>
      <c r="N9" s="17"/>
    </row>
    <row r="10" spans="1:14">
      <c r="A10" s="26">
        <v>7</v>
      </c>
      <c r="B10" s="27">
        <v>46029</v>
      </c>
      <c r="C10" s="17"/>
      <c r="D10" s="17"/>
      <c r="E10" s="199"/>
      <c r="F10" s="199"/>
      <c r="G10" s="214">
        <f t="shared" si="0"/>
        <v>0</v>
      </c>
      <c r="H10" s="273">
        <v>7</v>
      </c>
      <c r="I10" s="214">
        <v>103.53</v>
      </c>
      <c r="J10" s="214">
        <f t="shared" si="3"/>
        <v>724.71</v>
      </c>
      <c r="K10" s="214">
        <f t="shared" si="1"/>
        <v>724.71</v>
      </c>
      <c r="L10" s="214">
        <f t="shared" si="2"/>
        <v>724.71</v>
      </c>
      <c r="M10" s="199"/>
      <c r="N10" s="17"/>
    </row>
    <row r="11" spans="1:14">
      <c r="A11" s="26">
        <v>8</v>
      </c>
      <c r="B11" s="27">
        <v>46030</v>
      </c>
      <c r="C11" s="17"/>
      <c r="D11" s="17"/>
      <c r="E11" s="199">
        <v>25</v>
      </c>
      <c r="F11" s="199">
        <v>91.59</v>
      </c>
      <c r="G11" s="214">
        <f t="shared" si="0"/>
        <v>2289.75</v>
      </c>
      <c r="H11" s="273"/>
      <c r="I11" s="214"/>
      <c r="J11" s="214">
        <f t="shared" si="3"/>
        <v>0</v>
      </c>
      <c r="K11" s="214">
        <f t="shared" si="1"/>
        <v>2289.75</v>
      </c>
      <c r="L11" s="214">
        <f t="shared" si="2"/>
        <v>2289.75</v>
      </c>
      <c r="M11" s="199"/>
      <c r="N11" s="17"/>
    </row>
    <row r="12" spans="1:14">
      <c r="A12" s="26">
        <v>9</v>
      </c>
      <c r="B12" s="27">
        <v>46031</v>
      </c>
      <c r="C12" s="17"/>
      <c r="D12" s="17"/>
      <c r="E12" s="199">
        <v>40</v>
      </c>
      <c r="F12" s="199">
        <v>91.59</v>
      </c>
      <c r="G12" s="214">
        <f t="shared" si="0"/>
        <v>3663.6000000000004</v>
      </c>
      <c r="H12" s="273"/>
      <c r="I12" s="214"/>
      <c r="J12" s="214">
        <f t="shared" si="3"/>
        <v>0</v>
      </c>
      <c r="K12" s="214">
        <f t="shared" si="1"/>
        <v>3663.6000000000004</v>
      </c>
      <c r="L12" s="214">
        <f t="shared" si="2"/>
        <v>3663.6000000000004</v>
      </c>
      <c r="M12" s="199"/>
      <c r="N12" s="17"/>
    </row>
    <row r="13" spans="1:14">
      <c r="A13" s="26">
        <v>10</v>
      </c>
      <c r="B13" s="27">
        <v>46032</v>
      </c>
      <c r="C13" s="17"/>
      <c r="D13" s="17"/>
      <c r="E13" s="199"/>
      <c r="F13" s="199"/>
      <c r="G13" s="214">
        <f t="shared" si="0"/>
        <v>0</v>
      </c>
      <c r="H13" s="273"/>
      <c r="I13" s="214"/>
      <c r="J13" s="214">
        <f t="shared" si="3"/>
        <v>0</v>
      </c>
      <c r="K13" s="214">
        <f t="shared" si="1"/>
        <v>0</v>
      </c>
      <c r="L13" s="214">
        <f t="shared" si="2"/>
        <v>0</v>
      </c>
      <c r="M13" s="199"/>
      <c r="N13" s="17"/>
    </row>
    <row r="14" spans="1:14">
      <c r="A14" s="26">
        <v>11</v>
      </c>
      <c r="B14" s="27">
        <v>46033</v>
      </c>
      <c r="C14" s="17"/>
      <c r="D14" s="17"/>
      <c r="E14" s="199"/>
      <c r="F14" s="199"/>
      <c r="G14" s="214">
        <f t="shared" si="0"/>
        <v>0</v>
      </c>
      <c r="H14" s="273"/>
      <c r="I14" s="214"/>
      <c r="J14" s="214">
        <f t="shared" si="3"/>
        <v>0</v>
      </c>
      <c r="K14" s="214">
        <f t="shared" si="1"/>
        <v>0</v>
      </c>
      <c r="L14" s="214">
        <f t="shared" si="2"/>
        <v>0</v>
      </c>
      <c r="M14" s="199"/>
      <c r="N14" s="17"/>
    </row>
    <row r="15" spans="1:14">
      <c r="A15" s="26">
        <v>12</v>
      </c>
      <c r="B15" s="27">
        <v>46034</v>
      </c>
      <c r="C15" s="17"/>
      <c r="D15" s="17"/>
      <c r="E15" s="199"/>
      <c r="F15" s="199"/>
      <c r="G15" s="214">
        <f t="shared" si="0"/>
        <v>0</v>
      </c>
      <c r="H15" s="273"/>
      <c r="I15" s="214"/>
      <c r="J15" s="214">
        <f t="shared" si="3"/>
        <v>0</v>
      </c>
      <c r="K15" s="214">
        <f t="shared" si="1"/>
        <v>0</v>
      </c>
      <c r="L15" s="214">
        <f t="shared" si="2"/>
        <v>0</v>
      </c>
      <c r="M15" s="199"/>
      <c r="N15" s="17"/>
    </row>
    <row r="16" spans="1:14">
      <c r="A16" s="26">
        <v>13</v>
      </c>
      <c r="B16" s="27">
        <v>46035</v>
      </c>
      <c r="C16" s="17"/>
      <c r="D16" s="17"/>
      <c r="E16" s="199"/>
      <c r="F16" s="199"/>
      <c r="G16" s="214">
        <f t="shared" si="0"/>
        <v>0</v>
      </c>
      <c r="H16" s="273"/>
      <c r="I16" s="214"/>
      <c r="J16" s="214">
        <f t="shared" si="3"/>
        <v>0</v>
      </c>
      <c r="K16" s="214">
        <f t="shared" si="1"/>
        <v>0</v>
      </c>
      <c r="L16" s="214">
        <f t="shared" si="2"/>
        <v>0</v>
      </c>
      <c r="M16" s="199"/>
      <c r="N16" s="17"/>
    </row>
    <row r="17" spans="1:15">
      <c r="A17" s="26">
        <v>14</v>
      </c>
      <c r="B17" s="27">
        <v>46036</v>
      </c>
      <c r="C17" s="17"/>
      <c r="D17" s="17"/>
      <c r="E17" s="199"/>
      <c r="F17" s="199"/>
      <c r="G17" s="214">
        <f t="shared" si="0"/>
        <v>0</v>
      </c>
      <c r="H17" s="273"/>
      <c r="I17" s="214"/>
      <c r="J17" s="214">
        <f t="shared" si="3"/>
        <v>0</v>
      </c>
      <c r="K17" s="214">
        <f t="shared" si="1"/>
        <v>0</v>
      </c>
      <c r="L17" s="214">
        <f t="shared" si="2"/>
        <v>0</v>
      </c>
      <c r="M17" s="199"/>
      <c r="N17" s="17"/>
    </row>
    <row r="18" spans="1:15">
      <c r="A18" s="26">
        <v>15</v>
      </c>
      <c r="B18" s="27">
        <v>46037</v>
      </c>
      <c r="C18" s="17"/>
      <c r="D18" s="17"/>
      <c r="E18" s="199"/>
      <c r="F18" s="199"/>
      <c r="G18" s="214">
        <f t="shared" si="0"/>
        <v>0</v>
      </c>
      <c r="H18" s="273"/>
      <c r="I18" s="214"/>
      <c r="J18" s="214">
        <f t="shared" si="3"/>
        <v>0</v>
      </c>
      <c r="K18" s="214">
        <f t="shared" si="1"/>
        <v>0</v>
      </c>
      <c r="L18" s="214">
        <f t="shared" si="2"/>
        <v>0</v>
      </c>
      <c r="M18" s="199"/>
      <c r="N18" s="17"/>
    </row>
    <row r="19" spans="1:15">
      <c r="A19" s="26">
        <v>16</v>
      </c>
      <c r="B19" s="27">
        <v>46038</v>
      </c>
      <c r="C19" s="17"/>
      <c r="D19" s="17"/>
      <c r="E19" s="199"/>
      <c r="F19" s="199"/>
      <c r="G19" s="214">
        <f t="shared" si="0"/>
        <v>0</v>
      </c>
      <c r="H19" s="273"/>
      <c r="I19" s="214"/>
      <c r="J19" s="214">
        <f t="shared" si="3"/>
        <v>0</v>
      </c>
      <c r="K19" s="214">
        <f t="shared" si="1"/>
        <v>0</v>
      </c>
      <c r="L19" s="214">
        <f t="shared" si="2"/>
        <v>0</v>
      </c>
      <c r="M19" s="199"/>
      <c r="N19" s="17"/>
    </row>
    <row r="20" spans="1:15">
      <c r="A20" s="26">
        <v>17</v>
      </c>
      <c r="B20" s="27">
        <v>46039</v>
      </c>
      <c r="C20" s="17"/>
      <c r="D20" s="17"/>
      <c r="E20" s="199"/>
      <c r="F20" s="199"/>
      <c r="G20" s="214">
        <f t="shared" si="0"/>
        <v>0</v>
      </c>
      <c r="H20" s="273"/>
      <c r="I20" s="214"/>
      <c r="J20" s="214">
        <f t="shared" si="3"/>
        <v>0</v>
      </c>
      <c r="K20" s="214">
        <f t="shared" si="1"/>
        <v>0</v>
      </c>
      <c r="L20" s="214">
        <f t="shared" si="2"/>
        <v>0</v>
      </c>
      <c r="M20" s="199"/>
      <c r="N20" s="17"/>
    </row>
    <row r="21" spans="1:15">
      <c r="A21" s="26">
        <v>18</v>
      </c>
      <c r="B21" s="27">
        <v>46040</v>
      </c>
      <c r="C21" s="17"/>
      <c r="D21" s="17"/>
      <c r="E21" s="199"/>
      <c r="F21" s="199"/>
      <c r="G21" s="214">
        <f t="shared" si="0"/>
        <v>0</v>
      </c>
      <c r="H21" s="273"/>
      <c r="I21" s="214"/>
      <c r="J21" s="214">
        <f t="shared" si="3"/>
        <v>0</v>
      </c>
      <c r="K21" s="214">
        <f t="shared" si="1"/>
        <v>0</v>
      </c>
      <c r="L21" s="214">
        <f t="shared" si="2"/>
        <v>0</v>
      </c>
      <c r="M21" s="199"/>
    </row>
    <row r="22" spans="1:15">
      <c r="A22" s="26">
        <v>19</v>
      </c>
      <c r="B22" s="27">
        <v>46041</v>
      </c>
      <c r="C22" s="17"/>
      <c r="D22" s="17"/>
      <c r="E22" s="199"/>
      <c r="F22" s="199"/>
      <c r="G22" s="214">
        <f t="shared" si="0"/>
        <v>0</v>
      </c>
      <c r="H22" s="273"/>
      <c r="I22" s="214"/>
      <c r="J22" s="214">
        <f t="shared" si="3"/>
        <v>0</v>
      </c>
      <c r="K22" s="214">
        <f t="shared" si="1"/>
        <v>0</v>
      </c>
      <c r="L22" s="214">
        <f t="shared" si="2"/>
        <v>0</v>
      </c>
      <c r="M22" s="199"/>
      <c r="N22" s="17"/>
    </row>
    <row r="23" spans="1:15">
      <c r="A23" s="26">
        <v>20</v>
      </c>
      <c r="B23" s="27">
        <v>46042</v>
      </c>
      <c r="C23" s="17"/>
      <c r="D23" s="17"/>
      <c r="E23" s="199">
        <v>13</v>
      </c>
      <c r="F23" s="199">
        <v>91.59</v>
      </c>
      <c r="G23" s="214">
        <f t="shared" si="0"/>
        <v>1190.67</v>
      </c>
      <c r="H23" s="273"/>
      <c r="I23" s="214"/>
      <c r="J23" s="214">
        <f t="shared" si="3"/>
        <v>0</v>
      </c>
      <c r="K23" s="214">
        <f t="shared" si="1"/>
        <v>1190.67</v>
      </c>
      <c r="L23" s="214">
        <f t="shared" si="2"/>
        <v>1190.67</v>
      </c>
      <c r="M23" s="199"/>
      <c r="N23" s="17"/>
    </row>
    <row r="24" spans="1:15">
      <c r="A24" s="26">
        <v>21</v>
      </c>
      <c r="B24" s="27">
        <v>46043</v>
      </c>
      <c r="C24" s="17"/>
      <c r="D24" s="17"/>
      <c r="E24" s="199"/>
      <c r="F24" s="199"/>
      <c r="G24" s="214">
        <f t="shared" si="0"/>
        <v>0</v>
      </c>
      <c r="H24" s="273"/>
      <c r="I24" s="214"/>
      <c r="J24" s="214">
        <f t="shared" si="3"/>
        <v>0</v>
      </c>
      <c r="K24" s="214">
        <f t="shared" si="1"/>
        <v>0</v>
      </c>
      <c r="L24" s="214">
        <f t="shared" si="2"/>
        <v>0</v>
      </c>
      <c r="M24" s="199"/>
      <c r="N24" s="17"/>
    </row>
    <row r="25" spans="1:15">
      <c r="A25" s="26">
        <v>22</v>
      </c>
      <c r="B25" s="27">
        <v>46044</v>
      </c>
      <c r="C25" s="17"/>
      <c r="D25" s="17"/>
      <c r="E25" s="199"/>
      <c r="F25" s="199"/>
      <c r="G25" s="214">
        <f t="shared" si="0"/>
        <v>0</v>
      </c>
      <c r="H25" s="273"/>
      <c r="I25" s="214"/>
      <c r="J25" s="214">
        <f t="shared" si="3"/>
        <v>0</v>
      </c>
      <c r="K25" s="214">
        <f t="shared" si="1"/>
        <v>0</v>
      </c>
      <c r="L25" s="214">
        <f t="shared" si="2"/>
        <v>0</v>
      </c>
      <c r="M25" s="199"/>
      <c r="N25" s="17"/>
    </row>
    <row r="26" spans="1:15">
      <c r="A26" s="26">
        <v>23</v>
      </c>
      <c r="B26" s="27">
        <v>46045</v>
      </c>
      <c r="C26" s="17"/>
      <c r="D26" s="17"/>
      <c r="E26" s="199"/>
      <c r="F26" s="199"/>
      <c r="G26" s="214">
        <f t="shared" si="0"/>
        <v>0</v>
      </c>
      <c r="H26" s="273">
        <v>2</v>
      </c>
      <c r="I26" s="214">
        <v>103.53</v>
      </c>
      <c r="J26" s="214">
        <f t="shared" si="3"/>
        <v>207.06</v>
      </c>
      <c r="K26" s="214">
        <f t="shared" si="1"/>
        <v>207.06</v>
      </c>
      <c r="L26" s="214">
        <f t="shared" si="2"/>
        <v>207.06</v>
      </c>
      <c r="M26" s="199"/>
      <c r="N26" s="17"/>
    </row>
    <row r="27" spans="1:15">
      <c r="A27" s="26">
        <v>24</v>
      </c>
      <c r="B27" s="27">
        <v>46046</v>
      </c>
      <c r="C27" s="17"/>
      <c r="D27" s="17"/>
      <c r="E27" s="199"/>
      <c r="F27" s="199"/>
      <c r="G27" s="214">
        <f t="shared" si="0"/>
        <v>0</v>
      </c>
      <c r="H27" s="273"/>
      <c r="I27" s="214"/>
      <c r="J27" s="214">
        <f t="shared" si="3"/>
        <v>0</v>
      </c>
      <c r="K27" s="214">
        <f t="shared" ref="K27:K33" si="4">G27+J27</f>
        <v>0</v>
      </c>
      <c r="L27" s="214">
        <f t="shared" si="2"/>
        <v>0</v>
      </c>
      <c r="M27" s="199"/>
      <c r="N27" s="17"/>
      <c r="O27">
        <v>0</v>
      </c>
    </row>
    <row r="28" spans="1:15">
      <c r="A28" s="26">
        <v>25</v>
      </c>
      <c r="B28" s="27">
        <v>46047</v>
      </c>
      <c r="C28" s="17"/>
      <c r="D28" s="17"/>
      <c r="E28" s="199"/>
      <c r="F28" s="199"/>
      <c r="G28" s="214">
        <f t="shared" si="0"/>
        <v>0</v>
      </c>
      <c r="H28" s="273"/>
      <c r="I28" s="214"/>
      <c r="J28" s="214">
        <f t="shared" si="3"/>
        <v>0</v>
      </c>
      <c r="K28" s="214">
        <f t="shared" si="4"/>
        <v>0</v>
      </c>
      <c r="L28" s="214">
        <f t="shared" si="2"/>
        <v>0</v>
      </c>
      <c r="M28" s="199"/>
      <c r="N28" s="17"/>
    </row>
    <row r="29" spans="1:15">
      <c r="A29" s="26">
        <v>26</v>
      </c>
      <c r="B29" s="27">
        <v>46048</v>
      </c>
      <c r="C29" s="17"/>
      <c r="D29" s="17"/>
      <c r="E29" s="199"/>
      <c r="F29" s="199"/>
      <c r="G29" s="214">
        <f t="shared" si="0"/>
        <v>0</v>
      </c>
      <c r="H29" s="273"/>
      <c r="I29" s="214"/>
      <c r="J29" s="214">
        <f t="shared" si="3"/>
        <v>0</v>
      </c>
      <c r="K29" s="214">
        <f t="shared" si="4"/>
        <v>0</v>
      </c>
      <c r="L29" s="214">
        <f t="shared" si="2"/>
        <v>0</v>
      </c>
      <c r="M29" s="199"/>
      <c r="N29" s="17"/>
    </row>
    <row r="30" spans="1:15">
      <c r="A30" s="26">
        <v>27</v>
      </c>
      <c r="B30" s="27">
        <v>46049</v>
      </c>
      <c r="C30" s="17"/>
      <c r="D30" s="17"/>
      <c r="E30" s="199"/>
      <c r="F30" s="199"/>
      <c r="G30" s="214">
        <f t="shared" si="0"/>
        <v>0</v>
      </c>
      <c r="H30" s="273"/>
      <c r="I30" s="214"/>
      <c r="J30" s="214">
        <f t="shared" si="3"/>
        <v>0</v>
      </c>
      <c r="K30" s="214">
        <f t="shared" si="4"/>
        <v>0</v>
      </c>
      <c r="L30" s="214">
        <f t="shared" si="2"/>
        <v>0</v>
      </c>
      <c r="M30" s="199"/>
      <c r="N30" s="17"/>
    </row>
    <row r="31" spans="1:15">
      <c r="A31" s="222">
        <v>28</v>
      </c>
      <c r="B31" s="27">
        <v>46050</v>
      </c>
      <c r="C31" s="17"/>
      <c r="D31" s="17"/>
      <c r="E31" s="199"/>
      <c r="F31" s="199"/>
      <c r="G31" s="214">
        <f t="shared" si="0"/>
        <v>0</v>
      </c>
      <c r="H31" s="273"/>
      <c r="I31" s="214"/>
      <c r="J31" s="214">
        <f t="shared" si="3"/>
        <v>0</v>
      </c>
      <c r="K31" s="214">
        <f t="shared" si="4"/>
        <v>0</v>
      </c>
      <c r="L31" s="214">
        <f t="shared" si="2"/>
        <v>0</v>
      </c>
      <c r="M31" s="199"/>
      <c r="N31" s="97"/>
    </row>
    <row r="32" spans="1:15">
      <c r="A32" s="26">
        <v>29</v>
      </c>
      <c r="B32" s="27">
        <v>46051</v>
      </c>
      <c r="C32" s="17"/>
      <c r="D32" s="17"/>
      <c r="E32" s="199"/>
      <c r="F32" s="199"/>
      <c r="G32" s="214">
        <f t="shared" si="0"/>
        <v>0</v>
      </c>
      <c r="H32" s="273"/>
      <c r="I32" s="214"/>
      <c r="J32" s="214">
        <f t="shared" si="3"/>
        <v>0</v>
      </c>
      <c r="K32" s="214">
        <f t="shared" si="4"/>
        <v>0</v>
      </c>
      <c r="L32" s="214">
        <f t="shared" si="2"/>
        <v>0</v>
      </c>
      <c r="M32" s="199"/>
      <c r="N32" s="17"/>
    </row>
    <row r="33" spans="1:14">
      <c r="A33" s="26">
        <v>30</v>
      </c>
      <c r="B33" s="27">
        <v>46052</v>
      </c>
      <c r="C33" s="17"/>
      <c r="D33" s="17"/>
      <c r="E33" s="199"/>
      <c r="F33" s="199"/>
      <c r="G33" s="214">
        <f t="shared" ref="G33:G34" si="5">E33*F33</f>
        <v>0</v>
      </c>
      <c r="H33" s="214"/>
      <c r="I33" s="214"/>
      <c r="J33" s="214">
        <f t="shared" si="3"/>
        <v>0</v>
      </c>
      <c r="K33" s="214">
        <f t="shared" si="4"/>
        <v>0</v>
      </c>
      <c r="L33" s="214">
        <f t="shared" si="2"/>
        <v>0</v>
      </c>
      <c r="M33" s="199"/>
      <c r="N33" s="17"/>
    </row>
    <row r="34" spans="1:14">
      <c r="A34" s="26">
        <v>31</v>
      </c>
      <c r="B34" s="27"/>
      <c r="C34" s="17"/>
      <c r="D34" s="17"/>
      <c r="E34" s="199"/>
      <c r="F34" s="199"/>
      <c r="G34" s="214">
        <f t="shared" si="5"/>
        <v>0</v>
      </c>
      <c r="H34" s="214"/>
      <c r="I34" s="214"/>
      <c r="J34" s="214">
        <f t="shared" si="3"/>
        <v>0</v>
      </c>
      <c r="K34" s="214">
        <f t="shared" si="1"/>
        <v>0</v>
      </c>
      <c r="L34" s="214"/>
      <c r="M34" s="199"/>
      <c r="N34" s="17"/>
    </row>
    <row r="35" spans="1:14">
      <c r="A35" s="186"/>
      <c r="B35" s="186"/>
      <c r="C35" s="186"/>
      <c r="D35" s="186"/>
      <c r="E35" s="186">
        <f>SUM(E4:E34)</f>
        <v>103</v>
      </c>
      <c r="F35" s="186"/>
      <c r="G35" s="186">
        <f>SUM(G4:G34)</f>
        <v>9433.77</v>
      </c>
      <c r="H35" s="186">
        <f>SUM(H4:H34)</f>
        <v>32.799999999999997</v>
      </c>
      <c r="I35" s="186"/>
      <c r="J35" s="186">
        <f>SUM(J4:J34)</f>
        <v>3395.7840000000001</v>
      </c>
      <c r="K35" s="186">
        <f>SUM(K4:K34)</f>
        <v>12829.554</v>
      </c>
      <c r="L35" s="186">
        <f>SUM(L4:L34)</f>
        <v>12829.554</v>
      </c>
      <c r="M35" s="186"/>
      <c r="N35" s="186"/>
    </row>
  </sheetData>
  <mergeCells count="2">
    <mergeCell ref="A1:N1"/>
    <mergeCell ref="A3:J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CEE4-190C-4D69-94E4-049C8E7DD053}">
  <dimension ref="A1:R35"/>
  <sheetViews>
    <sheetView workbookViewId="0">
      <pane ySplit="2" topLeftCell="A3" activePane="bottomLeft" state="frozen"/>
      <selection pane="bottomLeft" activeCell="B4" sqref="B4"/>
    </sheetView>
  </sheetViews>
  <sheetFormatPr defaultRowHeight="15"/>
  <cols>
    <col min="1" max="1" width="5.140625" style="5" bestFit="1" customWidth="1"/>
    <col min="2" max="2" width="11.5703125" style="5" bestFit="1" customWidth="1"/>
    <col min="3" max="3" width="8" style="5" bestFit="1" customWidth="1"/>
    <col min="4" max="4" width="15.140625" style="5" customWidth="1"/>
    <col min="5" max="5" width="10.7109375" style="5" bestFit="1" customWidth="1"/>
    <col min="6" max="6" width="10.42578125" style="5" bestFit="1" customWidth="1"/>
    <col min="7" max="7" width="9.28515625" style="5" bestFit="1" customWidth="1"/>
    <col min="8" max="8" width="10.7109375" style="5" bestFit="1" customWidth="1"/>
    <col min="9" max="9" width="8" style="5" bestFit="1" customWidth="1"/>
    <col min="10" max="10" width="9.28515625" style="5" bestFit="1" customWidth="1"/>
    <col min="11" max="12" width="13.5703125" style="5" bestFit="1" customWidth="1"/>
    <col min="13" max="13" width="13.5703125" style="5" customWidth="1"/>
    <col min="14" max="14" width="19.7109375" style="5" customWidth="1"/>
    <col min="15" max="16384" width="9.140625" style="5"/>
  </cols>
  <sheetData>
    <row r="1" spans="1:18" ht="15.75" customHeight="1">
      <c r="A1" s="490" t="s">
        <v>60</v>
      </c>
      <c r="B1" s="490"/>
      <c r="C1" s="490"/>
      <c r="D1" s="490"/>
      <c r="E1" s="490"/>
      <c r="F1" s="490"/>
      <c r="G1" s="490"/>
      <c r="H1" s="490"/>
      <c r="I1" s="490"/>
      <c r="J1" s="490"/>
      <c r="K1" s="490"/>
      <c r="L1" s="490"/>
      <c r="M1" s="490"/>
      <c r="N1" s="490"/>
    </row>
    <row r="2" spans="1:18">
      <c r="A2" s="67" t="s">
        <v>129</v>
      </c>
      <c r="B2" s="67" t="s">
        <v>130</v>
      </c>
      <c r="C2" s="67" t="s">
        <v>131</v>
      </c>
      <c r="D2" s="67" t="s">
        <v>132</v>
      </c>
      <c r="E2" s="94" t="s">
        <v>133</v>
      </c>
      <c r="F2" s="94" t="s">
        <v>134</v>
      </c>
      <c r="G2" s="94" t="s">
        <v>135</v>
      </c>
      <c r="H2" s="94" t="s">
        <v>136</v>
      </c>
      <c r="I2" s="94" t="s">
        <v>134</v>
      </c>
      <c r="J2" s="94" t="s">
        <v>135</v>
      </c>
      <c r="K2" s="94" t="s">
        <v>137</v>
      </c>
      <c r="L2" s="88" t="s">
        <v>138</v>
      </c>
      <c r="M2" s="88" t="s">
        <v>199</v>
      </c>
      <c r="N2" s="67" t="s">
        <v>140</v>
      </c>
    </row>
    <row r="3" spans="1:18">
      <c r="A3" s="491" t="s">
        <v>141</v>
      </c>
      <c r="B3" s="491"/>
      <c r="C3" s="491"/>
      <c r="D3" s="491"/>
      <c r="E3" s="491"/>
      <c r="F3" s="491"/>
      <c r="G3" s="491"/>
      <c r="H3" s="491"/>
      <c r="I3" s="491"/>
      <c r="J3" s="491"/>
      <c r="K3" s="183">
        <v>0</v>
      </c>
      <c r="L3" s="105"/>
      <c r="M3" s="105">
        <f>+K3</f>
        <v>0</v>
      </c>
    </row>
    <row r="4" spans="1:18">
      <c r="A4" s="26">
        <v>1</v>
      </c>
      <c r="B4" s="27">
        <v>46023</v>
      </c>
      <c r="C4" s="6"/>
      <c r="D4" s="6"/>
      <c r="E4" s="272">
        <v>0</v>
      </c>
      <c r="F4" s="45">
        <v>91.92</v>
      </c>
      <c r="G4" s="69">
        <f>E4*F4</f>
        <v>0</v>
      </c>
      <c r="H4" s="45">
        <v>0</v>
      </c>
      <c r="I4" s="45">
        <v>103.96</v>
      </c>
      <c r="J4" s="69">
        <f>H4*I4</f>
        <v>0</v>
      </c>
      <c r="K4" s="69">
        <f>G4+J4</f>
        <v>0</v>
      </c>
      <c r="L4" s="69">
        <f>+K4</f>
        <v>0</v>
      </c>
      <c r="M4" s="69">
        <f>M3+K4-L4</f>
        <v>0</v>
      </c>
      <c r="N4" s="6" t="s">
        <v>230</v>
      </c>
    </row>
    <row r="5" spans="1:18">
      <c r="A5" s="26">
        <v>2</v>
      </c>
      <c r="B5" s="27">
        <v>46024</v>
      </c>
      <c r="C5" s="6"/>
      <c r="D5" s="6"/>
      <c r="E5" s="272">
        <v>80</v>
      </c>
      <c r="F5" s="45">
        <v>91.92</v>
      </c>
      <c r="G5" s="69">
        <f t="shared" ref="G5:G33" si="0">E5*F5</f>
        <v>7353.6</v>
      </c>
      <c r="H5" s="45"/>
      <c r="I5" s="45"/>
      <c r="J5" s="69">
        <f t="shared" ref="J5:J33" si="1">H5*I5</f>
        <v>0</v>
      </c>
      <c r="K5" s="69">
        <f t="shared" ref="K5:K33" si="2">G5+J5</f>
        <v>7353.6</v>
      </c>
      <c r="L5" s="69">
        <f t="shared" ref="L5:L33" si="3">+K5</f>
        <v>7353.6</v>
      </c>
      <c r="M5" s="69">
        <f t="shared" ref="M5:M30" si="4">M4+K5-L5</f>
        <v>0</v>
      </c>
      <c r="N5" s="6"/>
    </row>
    <row r="6" spans="1:18">
      <c r="A6" s="26">
        <v>3</v>
      </c>
      <c r="B6" s="27">
        <v>46025</v>
      </c>
      <c r="C6" s="6"/>
      <c r="D6" s="6"/>
      <c r="E6" s="272">
        <v>0</v>
      </c>
      <c r="F6" s="45"/>
      <c r="G6" s="69">
        <f t="shared" ref="G6:G34" si="5">E6*F6</f>
        <v>0</v>
      </c>
      <c r="H6" s="45">
        <v>5</v>
      </c>
      <c r="I6" s="45">
        <v>103.96</v>
      </c>
      <c r="J6" s="69">
        <f t="shared" ref="J6:J34" si="6">H6*I6</f>
        <v>519.79999999999995</v>
      </c>
      <c r="K6" s="69">
        <f t="shared" si="2"/>
        <v>519.79999999999995</v>
      </c>
      <c r="L6" s="69">
        <f t="shared" si="3"/>
        <v>519.79999999999995</v>
      </c>
      <c r="M6" s="69">
        <f t="shared" si="4"/>
        <v>0</v>
      </c>
      <c r="N6" s="6"/>
    </row>
    <row r="7" spans="1:18">
      <c r="A7" s="26">
        <v>4</v>
      </c>
      <c r="B7" s="27">
        <v>46026</v>
      </c>
      <c r="C7" s="6"/>
      <c r="D7" s="6"/>
      <c r="E7" s="272">
        <v>98</v>
      </c>
      <c r="F7" s="45">
        <v>91.92</v>
      </c>
      <c r="G7" s="69">
        <f t="shared" si="5"/>
        <v>9008.16</v>
      </c>
      <c r="H7" s="45">
        <v>5</v>
      </c>
      <c r="I7" s="45">
        <v>103.96</v>
      </c>
      <c r="J7" s="69">
        <f t="shared" si="6"/>
        <v>519.79999999999995</v>
      </c>
      <c r="K7" s="69">
        <f t="shared" si="2"/>
        <v>9527.9599999999991</v>
      </c>
      <c r="L7" s="69">
        <f t="shared" si="3"/>
        <v>9527.9599999999991</v>
      </c>
      <c r="M7" s="69">
        <f t="shared" si="4"/>
        <v>0</v>
      </c>
      <c r="N7" s="6"/>
    </row>
    <row r="8" spans="1:18">
      <c r="A8" s="26">
        <v>5</v>
      </c>
      <c r="B8" s="27">
        <v>46027</v>
      </c>
      <c r="C8" s="6"/>
      <c r="D8" s="6"/>
      <c r="E8" s="272">
        <v>27.99</v>
      </c>
      <c r="F8" s="45">
        <v>91.92</v>
      </c>
      <c r="G8" s="69">
        <f t="shared" si="5"/>
        <v>2572.8407999999999</v>
      </c>
      <c r="H8" s="45"/>
      <c r="I8" s="45"/>
      <c r="J8" s="69">
        <f t="shared" si="6"/>
        <v>0</v>
      </c>
      <c r="K8" s="69">
        <f t="shared" si="2"/>
        <v>2572.8407999999999</v>
      </c>
      <c r="L8" s="69">
        <f t="shared" si="3"/>
        <v>2572.8407999999999</v>
      </c>
      <c r="M8" s="69">
        <f t="shared" si="4"/>
        <v>0</v>
      </c>
      <c r="N8" s="6"/>
    </row>
    <row r="9" spans="1:18">
      <c r="A9" s="26">
        <v>6</v>
      </c>
      <c r="B9" s="27">
        <v>46028</v>
      </c>
      <c r="C9" s="6"/>
      <c r="D9" s="6"/>
      <c r="E9" s="272">
        <v>50</v>
      </c>
      <c r="F9" s="45">
        <v>91.92</v>
      </c>
      <c r="G9" s="69">
        <f t="shared" si="5"/>
        <v>4596</v>
      </c>
      <c r="H9" s="45"/>
      <c r="I9" s="45"/>
      <c r="J9" s="69">
        <f t="shared" si="6"/>
        <v>0</v>
      </c>
      <c r="K9" s="69">
        <f t="shared" si="2"/>
        <v>4596</v>
      </c>
      <c r="L9" s="69">
        <f t="shared" si="3"/>
        <v>4596</v>
      </c>
      <c r="M9" s="69">
        <f t="shared" si="4"/>
        <v>0</v>
      </c>
      <c r="N9" s="6"/>
      <c r="R9" s="45">
        <v>91.92</v>
      </c>
    </row>
    <row r="10" spans="1:18">
      <c r="A10" s="26">
        <v>7</v>
      </c>
      <c r="B10" s="27">
        <v>46029</v>
      </c>
      <c r="C10" s="6"/>
      <c r="D10" s="6"/>
      <c r="E10" s="272">
        <v>80</v>
      </c>
      <c r="F10" s="45">
        <v>91.92</v>
      </c>
      <c r="G10" s="69">
        <f t="shared" si="5"/>
        <v>7353.6</v>
      </c>
      <c r="H10" s="45">
        <v>5</v>
      </c>
      <c r="I10" s="45">
        <v>103.96</v>
      </c>
      <c r="J10" s="69">
        <f t="shared" si="6"/>
        <v>519.79999999999995</v>
      </c>
      <c r="K10" s="69">
        <f t="shared" si="2"/>
        <v>7873.4000000000005</v>
      </c>
      <c r="L10" s="69">
        <f t="shared" si="3"/>
        <v>7873.4000000000005</v>
      </c>
      <c r="M10" s="69">
        <f t="shared" si="4"/>
        <v>0</v>
      </c>
      <c r="N10" s="6"/>
    </row>
    <row r="11" spans="1:18">
      <c r="A11" s="26">
        <v>8</v>
      </c>
      <c r="B11" s="27">
        <v>46030</v>
      </c>
      <c r="C11" s="6"/>
      <c r="D11" s="6"/>
      <c r="E11" s="272">
        <v>90</v>
      </c>
      <c r="F11" s="45">
        <v>91.92</v>
      </c>
      <c r="G11" s="69">
        <f t="shared" si="5"/>
        <v>8272.7999999999993</v>
      </c>
      <c r="H11" s="45"/>
      <c r="I11" s="45"/>
      <c r="J11" s="69">
        <f t="shared" si="6"/>
        <v>0</v>
      </c>
      <c r="K11" s="69">
        <f t="shared" si="2"/>
        <v>8272.7999999999993</v>
      </c>
      <c r="L11" s="69">
        <f t="shared" si="3"/>
        <v>8272.7999999999993</v>
      </c>
      <c r="M11" s="69">
        <f t="shared" si="4"/>
        <v>0</v>
      </c>
      <c r="N11" s="6"/>
      <c r="R11" s="5">
        <f>6.5/675.74</f>
        <v>9.6190842631781459E-3</v>
      </c>
    </row>
    <row r="12" spans="1:18">
      <c r="A12" s="26">
        <v>9</v>
      </c>
      <c r="B12" s="27">
        <v>46031</v>
      </c>
      <c r="C12" s="6"/>
      <c r="D12" s="6"/>
      <c r="E12" s="272">
        <v>65</v>
      </c>
      <c r="F12" s="45">
        <v>91.92</v>
      </c>
      <c r="G12" s="69">
        <f t="shared" si="5"/>
        <v>5974.8</v>
      </c>
      <c r="H12" s="45"/>
      <c r="I12" s="45"/>
      <c r="J12" s="69">
        <f t="shared" si="6"/>
        <v>0</v>
      </c>
      <c r="K12" s="69">
        <f t="shared" si="2"/>
        <v>5974.8</v>
      </c>
      <c r="L12" s="69">
        <f t="shared" si="3"/>
        <v>5974.8</v>
      </c>
      <c r="M12" s="69">
        <f t="shared" si="4"/>
        <v>0</v>
      </c>
      <c r="N12" s="6"/>
    </row>
    <row r="13" spans="1:18">
      <c r="A13" s="26">
        <v>10</v>
      </c>
      <c r="B13" s="27">
        <v>46032</v>
      </c>
      <c r="C13" s="6"/>
      <c r="D13" s="6"/>
      <c r="E13" s="272">
        <v>26</v>
      </c>
      <c r="F13" s="45">
        <v>91.92</v>
      </c>
      <c r="G13" s="69">
        <f t="shared" si="5"/>
        <v>2389.92</v>
      </c>
      <c r="H13" s="45">
        <v>5</v>
      </c>
      <c r="I13" s="45">
        <v>103.96</v>
      </c>
      <c r="J13" s="69">
        <f t="shared" si="6"/>
        <v>519.79999999999995</v>
      </c>
      <c r="K13" s="69">
        <f t="shared" si="2"/>
        <v>2909.7200000000003</v>
      </c>
      <c r="L13" s="69">
        <f t="shared" si="3"/>
        <v>2909.7200000000003</v>
      </c>
      <c r="M13" s="69">
        <f t="shared" si="4"/>
        <v>0</v>
      </c>
      <c r="N13" s="6"/>
      <c r="R13" s="5">
        <f>675.74/6.5</f>
        <v>103.96000000000001</v>
      </c>
    </row>
    <row r="14" spans="1:18">
      <c r="A14" s="26">
        <v>11</v>
      </c>
      <c r="B14" s="27">
        <v>46033</v>
      </c>
      <c r="C14" s="6"/>
      <c r="D14" s="6"/>
      <c r="E14" s="272">
        <v>0</v>
      </c>
      <c r="F14" s="45"/>
      <c r="G14" s="69">
        <f t="shared" si="5"/>
        <v>0</v>
      </c>
      <c r="H14" s="45"/>
      <c r="I14" s="45"/>
      <c r="J14" s="69">
        <f t="shared" si="6"/>
        <v>0</v>
      </c>
      <c r="K14" s="69">
        <f t="shared" si="2"/>
        <v>0</v>
      </c>
      <c r="L14" s="69">
        <f t="shared" si="3"/>
        <v>0</v>
      </c>
      <c r="M14" s="69">
        <f t="shared" si="4"/>
        <v>0</v>
      </c>
      <c r="N14" s="6"/>
    </row>
    <row r="15" spans="1:18">
      <c r="A15" s="26">
        <v>12</v>
      </c>
      <c r="B15" s="27">
        <v>46034</v>
      </c>
      <c r="C15" s="6"/>
      <c r="D15" s="6"/>
      <c r="E15" s="272">
        <v>0</v>
      </c>
      <c r="F15" s="45"/>
      <c r="G15" s="69">
        <f t="shared" si="5"/>
        <v>0</v>
      </c>
      <c r="H15" s="45"/>
      <c r="I15" s="45"/>
      <c r="J15" s="69">
        <f t="shared" si="6"/>
        <v>0</v>
      </c>
      <c r="K15" s="69">
        <f t="shared" si="2"/>
        <v>0</v>
      </c>
      <c r="L15" s="69">
        <f t="shared" si="3"/>
        <v>0</v>
      </c>
      <c r="M15" s="69">
        <f t="shared" si="4"/>
        <v>0</v>
      </c>
      <c r="N15" s="6"/>
    </row>
    <row r="16" spans="1:18">
      <c r="A16" s="26">
        <v>13</v>
      </c>
      <c r="B16" s="27">
        <v>46035</v>
      </c>
      <c r="C16" s="6"/>
      <c r="D16" s="6"/>
      <c r="E16" s="272">
        <v>110</v>
      </c>
      <c r="F16" s="45">
        <v>91.92</v>
      </c>
      <c r="G16" s="69">
        <f t="shared" si="5"/>
        <v>10111.200000000001</v>
      </c>
      <c r="H16" s="45">
        <v>15</v>
      </c>
      <c r="I16" s="45">
        <v>103.96</v>
      </c>
      <c r="J16" s="69">
        <f t="shared" si="6"/>
        <v>1559.3999999999999</v>
      </c>
      <c r="K16" s="69">
        <f t="shared" si="2"/>
        <v>11670.6</v>
      </c>
      <c r="L16" s="69">
        <f t="shared" si="3"/>
        <v>11670.6</v>
      </c>
      <c r="M16" s="69">
        <f t="shared" si="4"/>
        <v>0</v>
      </c>
      <c r="N16" s="6"/>
    </row>
    <row r="17" spans="1:14">
      <c r="A17" s="26">
        <v>14</v>
      </c>
      <c r="B17" s="27">
        <v>46036</v>
      </c>
      <c r="C17" s="182"/>
      <c r="D17" s="6"/>
      <c r="E17" s="272">
        <v>100</v>
      </c>
      <c r="F17" s="45">
        <v>91.92</v>
      </c>
      <c r="G17" s="69">
        <f t="shared" si="5"/>
        <v>9192</v>
      </c>
      <c r="H17" s="45">
        <v>5</v>
      </c>
      <c r="I17" s="45">
        <v>103.96</v>
      </c>
      <c r="J17" s="69">
        <f t="shared" si="6"/>
        <v>519.79999999999995</v>
      </c>
      <c r="K17" s="69">
        <f t="shared" si="2"/>
        <v>9711.7999999999993</v>
      </c>
      <c r="L17" s="69">
        <f t="shared" si="3"/>
        <v>9711.7999999999993</v>
      </c>
      <c r="M17" s="69">
        <f t="shared" si="4"/>
        <v>0</v>
      </c>
      <c r="N17" s="6"/>
    </row>
    <row r="18" spans="1:14">
      <c r="A18" s="26">
        <v>15</v>
      </c>
      <c r="B18" s="27">
        <v>46037</v>
      </c>
      <c r="C18" s="182"/>
      <c r="D18" s="6"/>
      <c r="E18" s="272">
        <v>120</v>
      </c>
      <c r="F18" s="45">
        <v>91.92</v>
      </c>
      <c r="G18" s="69">
        <f t="shared" si="5"/>
        <v>11030.4</v>
      </c>
      <c r="H18" s="45"/>
      <c r="I18" s="45"/>
      <c r="J18" s="69">
        <f t="shared" si="6"/>
        <v>0</v>
      </c>
      <c r="K18" s="69">
        <f t="shared" si="2"/>
        <v>11030.4</v>
      </c>
      <c r="L18" s="69">
        <f t="shared" si="3"/>
        <v>11030.4</v>
      </c>
      <c r="M18" s="69">
        <f t="shared" si="4"/>
        <v>0</v>
      </c>
      <c r="N18" s="6"/>
    </row>
    <row r="19" spans="1:14">
      <c r="A19" s="26">
        <v>16</v>
      </c>
      <c r="B19" s="27">
        <v>46038</v>
      </c>
      <c r="C19" s="182"/>
      <c r="D19" s="6"/>
      <c r="E19" s="272">
        <v>0</v>
      </c>
      <c r="F19" s="45"/>
      <c r="G19" s="69">
        <f t="shared" si="5"/>
        <v>0</v>
      </c>
      <c r="H19" s="45"/>
      <c r="I19" s="45"/>
      <c r="J19" s="69">
        <f t="shared" si="6"/>
        <v>0</v>
      </c>
      <c r="K19" s="69">
        <f t="shared" si="2"/>
        <v>0</v>
      </c>
      <c r="L19" s="69">
        <f t="shared" si="3"/>
        <v>0</v>
      </c>
      <c r="M19" s="69">
        <f t="shared" si="4"/>
        <v>0</v>
      </c>
      <c r="N19" s="6"/>
    </row>
    <row r="20" spans="1:14">
      <c r="A20" s="26">
        <v>17</v>
      </c>
      <c r="B20" s="27">
        <v>46039</v>
      </c>
      <c r="C20" s="182"/>
      <c r="D20" s="6"/>
      <c r="E20" s="272">
        <v>0</v>
      </c>
      <c r="F20" s="45"/>
      <c r="G20" s="69">
        <f t="shared" si="5"/>
        <v>0</v>
      </c>
      <c r="H20" s="45"/>
      <c r="I20" s="45"/>
      <c r="J20" s="69">
        <f t="shared" si="6"/>
        <v>0</v>
      </c>
      <c r="K20" s="69">
        <f t="shared" si="2"/>
        <v>0</v>
      </c>
      <c r="L20" s="69">
        <f t="shared" si="3"/>
        <v>0</v>
      </c>
      <c r="M20" s="69">
        <f t="shared" si="4"/>
        <v>0</v>
      </c>
      <c r="N20" s="6"/>
    </row>
    <row r="21" spans="1:14">
      <c r="A21" s="26">
        <v>18</v>
      </c>
      <c r="B21" s="27">
        <v>46040</v>
      </c>
      <c r="C21" s="182"/>
      <c r="D21" s="6"/>
      <c r="E21" s="272">
        <v>0</v>
      </c>
      <c r="F21" s="45"/>
      <c r="G21" s="69">
        <f t="shared" si="5"/>
        <v>0</v>
      </c>
      <c r="H21" s="45"/>
      <c r="I21" s="45"/>
      <c r="J21" s="69">
        <f t="shared" si="6"/>
        <v>0</v>
      </c>
      <c r="K21" s="69">
        <f t="shared" si="2"/>
        <v>0</v>
      </c>
      <c r="L21" s="69">
        <f t="shared" si="3"/>
        <v>0</v>
      </c>
      <c r="M21" s="69">
        <f t="shared" si="4"/>
        <v>0</v>
      </c>
      <c r="N21" s="6"/>
    </row>
    <row r="22" spans="1:14">
      <c r="A22" s="26">
        <v>19</v>
      </c>
      <c r="B22" s="27">
        <v>46041</v>
      </c>
      <c r="C22" s="182"/>
      <c r="D22" s="6"/>
      <c r="E22" s="272">
        <v>70</v>
      </c>
      <c r="F22" s="45">
        <v>91.92</v>
      </c>
      <c r="G22" s="69">
        <f t="shared" si="5"/>
        <v>6434.4000000000005</v>
      </c>
      <c r="H22" s="45">
        <v>6.84</v>
      </c>
      <c r="I22" s="45">
        <v>103.96</v>
      </c>
      <c r="J22" s="69">
        <f t="shared" si="6"/>
        <v>711.08639999999991</v>
      </c>
      <c r="K22" s="69">
        <f t="shared" si="2"/>
        <v>7145.4864000000007</v>
      </c>
      <c r="L22" s="69">
        <f t="shared" si="3"/>
        <v>7145.4864000000007</v>
      </c>
      <c r="M22" s="69">
        <f t="shared" si="4"/>
        <v>0</v>
      </c>
      <c r="N22" s="6"/>
    </row>
    <row r="23" spans="1:14">
      <c r="A23" s="26">
        <v>20</v>
      </c>
      <c r="B23" s="27">
        <v>46042</v>
      </c>
      <c r="C23" s="182"/>
      <c r="D23" s="6"/>
      <c r="E23" s="272">
        <v>0</v>
      </c>
      <c r="F23" s="45"/>
      <c r="G23" s="69">
        <f t="shared" si="5"/>
        <v>0</v>
      </c>
      <c r="H23" s="45">
        <v>5</v>
      </c>
      <c r="I23" s="45">
        <v>103.96</v>
      </c>
      <c r="J23" s="69">
        <f t="shared" si="6"/>
        <v>519.79999999999995</v>
      </c>
      <c r="K23" s="69">
        <f t="shared" si="2"/>
        <v>519.79999999999995</v>
      </c>
      <c r="L23" s="69">
        <f t="shared" si="3"/>
        <v>519.79999999999995</v>
      </c>
      <c r="M23" s="69">
        <f t="shared" si="4"/>
        <v>0</v>
      </c>
      <c r="N23" s="6"/>
    </row>
    <row r="24" spans="1:14">
      <c r="A24" s="26">
        <v>21</v>
      </c>
      <c r="B24" s="27">
        <v>46043</v>
      </c>
      <c r="C24" s="182"/>
      <c r="D24" s="6"/>
      <c r="E24" s="272">
        <v>100</v>
      </c>
      <c r="F24" s="45">
        <v>91.92</v>
      </c>
      <c r="G24" s="69">
        <f t="shared" si="5"/>
        <v>9192</v>
      </c>
      <c r="H24" s="45"/>
      <c r="I24" s="45"/>
      <c r="J24" s="69">
        <f t="shared" si="6"/>
        <v>0</v>
      </c>
      <c r="K24" s="69">
        <f t="shared" si="2"/>
        <v>9192</v>
      </c>
      <c r="L24" s="69">
        <f t="shared" si="3"/>
        <v>9192</v>
      </c>
      <c r="M24" s="69">
        <f t="shared" si="4"/>
        <v>0</v>
      </c>
      <c r="N24" s="6"/>
    </row>
    <row r="25" spans="1:14">
      <c r="A25" s="26">
        <v>22</v>
      </c>
      <c r="B25" s="27">
        <v>46044</v>
      </c>
      <c r="C25" s="182"/>
      <c r="D25" s="6"/>
      <c r="E25" s="272">
        <v>0</v>
      </c>
      <c r="F25" s="45"/>
      <c r="G25" s="69">
        <f t="shared" si="5"/>
        <v>0</v>
      </c>
      <c r="H25" s="45"/>
      <c r="I25" s="45"/>
      <c r="J25" s="69">
        <f t="shared" si="6"/>
        <v>0</v>
      </c>
      <c r="K25" s="69">
        <f t="shared" si="2"/>
        <v>0</v>
      </c>
      <c r="L25" s="69">
        <f t="shared" si="3"/>
        <v>0</v>
      </c>
      <c r="M25" s="69">
        <f t="shared" si="4"/>
        <v>0</v>
      </c>
      <c r="N25" s="6"/>
    </row>
    <row r="26" spans="1:14">
      <c r="A26" s="26">
        <v>23</v>
      </c>
      <c r="B26" s="27">
        <v>46045</v>
      </c>
      <c r="C26" s="182"/>
      <c r="D26" s="6"/>
      <c r="E26" s="272">
        <v>49.6</v>
      </c>
      <c r="F26" s="45">
        <v>91.92</v>
      </c>
      <c r="G26" s="69">
        <f t="shared" si="5"/>
        <v>4559.232</v>
      </c>
      <c r="H26" s="45"/>
      <c r="I26" s="45"/>
      <c r="J26" s="69">
        <f t="shared" si="6"/>
        <v>0</v>
      </c>
      <c r="K26" s="69">
        <f t="shared" si="2"/>
        <v>4559.232</v>
      </c>
      <c r="L26" s="69">
        <f t="shared" si="3"/>
        <v>4559.232</v>
      </c>
      <c r="M26" s="69">
        <f t="shared" si="4"/>
        <v>0</v>
      </c>
      <c r="N26" s="6"/>
    </row>
    <row r="27" spans="1:14">
      <c r="A27" s="26">
        <v>24</v>
      </c>
      <c r="B27" s="27">
        <v>46046</v>
      </c>
      <c r="C27" s="182"/>
      <c r="D27" s="6"/>
      <c r="E27" s="272">
        <v>0</v>
      </c>
      <c r="F27" s="45"/>
      <c r="G27" s="69">
        <f t="shared" si="5"/>
        <v>0</v>
      </c>
      <c r="H27" s="45"/>
      <c r="I27" s="45"/>
      <c r="J27" s="69">
        <f t="shared" si="6"/>
        <v>0</v>
      </c>
      <c r="K27" s="69">
        <f t="shared" si="2"/>
        <v>0</v>
      </c>
      <c r="L27" s="69">
        <f t="shared" si="3"/>
        <v>0</v>
      </c>
      <c r="M27" s="69">
        <f t="shared" si="4"/>
        <v>0</v>
      </c>
      <c r="N27" s="6"/>
    </row>
    <row r="28" spans="1:14">
      <c r="A28" s="26">
        <v>25</v>
      </c>
      <c r="B28" s="27">
        <v>46047</v>
      </c>
      <c r="C28" s="182"/>
      <c r="D28" s="6"/>
      <c r="E28" s="272">
        <v>0</v>
      </c>
      <c r="F28" s="45"/>
      <c r="G28" s="69">
        <f t="shared" si="5"/>
        <v>0</v>
      </c>
      <c r="H28" s="45"/>
      <c r="I28" s="45"/>
      <c r="J28" s="69">
        <f t="shared" si="6"/>
        <v>0</v>
      </c>
      <c r="K28" s="69">
        <f t="shared" si="2"/>
        <v>0</v>
      </c>
      <c r="L28" s="69">
        <f t="shared" si="3"/>
        <v>0</v>
      </c>
      <c r="M28" s="69">
        <f t="shared" si="4"/>
        <v>0</v>
      </c>
      <c r="N28" s="6"/>
    </row>
    <row r="29" spans="1:14">
      <c r="A29" s="26">
        <v>26</v>
      </c>
      <c r="B29" s="27">
        <v>46048</v>
      </c>
      <c r="C29" s="182"/>
      <c r="D29" s="6"/>
      <c r="E29" s="272">
        <v>0</v>
      </c>
      <c r="F29" s="45"/>
      <c r="G29" s="69">
        <f t="shared" si="5"/>
        <v>0</v>
      </c>
      <c r="H29" s="45"/>
      <c r="I29" s="45"/>
      <c r="J29" s="69">
        <f t="shared" si="6"/>
        <v>0</v>
      </c>
      <c r="K29" s="69">
        <f t="shared" si="2"/>
        <v>0</v>
      </c>
      <c r="L29" s="69">
        <f t="shared" si="3"/>
        <v>0</v>
      </c>
      <c r="M29" s="69">
        <f t="shared" si="4"/>
        <v>0</v>
      </c>
      <c r="N29" s="6"/>
    </row>
    <row r="30" spans="1:14">
      <c r="A30" s="26">
        <v>27</v>
      </c>
      <c r="B30" s="27">
        <v>46049</v>
      </c>
      <c r="C30" s="182"/>
      <c r="D30" s="6"/>
      <c r="E30" s="272">
        <v>50</v>
      </c>
      <c r="F30" s="45">
        <v>91.92</v>
      </c>
      <c r="G30" s="69">
        <f t="shared" si="5"/>
        <v>4596</v>
      </c>
      <c r="H30" s="45">
        <v>19.57</v>
      </c>
      <c r="I30" s="45">
        <v>103.96</v>
      </c>
      <c r="J30" s="69">
        <f t="shared" si="6"/>
        <v>2034.4972</v>
      </c>
      <c r="K30" s="69">
        <f t="shared" si="2"/>
        <v>6630.4971999999998</v>
      </c>
      <c r="L30" s="69">
        <f t="shared" si="3"/>
        <v>6630.4971999999998</v>
      </c>
      <c r="M30" s="69">
        <f t="shared" si="4"/>
        <v>0</v>
      </c>
      <c r="N30" s="6"/>
    </row>
    <row r="31" spans="1:14">
      <c r="A31" s="222">
        <v>28</v>
      </c>
      <c r="B31" s="27">
        <v>46050</v>
      </c>
      <c r="C31" s="182"/>
      <c r="D31" s="6" t="s">
        <v>231</v>
      </c>
      <c r="E31" s="272">
        <v>100</v>
      </c>
      <c r="F31" s="45">
        <v>91.97</v>
      </c>
      <c r="G31" s="69">
        <f t="shared" si="5"/>
        <v>9197</v>
      </c>
      <c r="H31" s="45">
        <v>6</v>
      </c>
      <c r="I31" s="45">
        <v>103.96</v>
      </c>
      <c r="J31" s="69">
        <f t="shared" si="6"/>
        <v>623.76</v>
      </c>
      <c r="K31" s="69">
        <f t="shared" si="2"/>
        <v>9820.76</v>
      </c>
      <c r="L31" s="69">
        <f t="shared" si="3"/>
        <v>9820.76</v>
      </c>
      <c r="M31" s="69">
        <f t="shared" ref="M31:M32" si="7">M30+K31-L31</f>
        <v>0</v>
      </c>
      <c r="N31" s="6"/>
    </row>
    <row r="32" spans="1:14">
      <c r="A32" s="26">
        <v>29</v>
      </c>
      <c r="B32" s="27">
        <v>46051</v>
      </c>
      <c r="C32" s="182"/>
      <c r="D32" s="6" t="s">
        <v>231</v>
      </c>
      <c r="E32" s="272">
        <v>0</v>
      </c>
      <c r="F32" s="45"/>
      <c r="G32" s="69">
        <f t="shared" si="5"/>
        <v>0</v>
      </c>
      <c r="H32" s="45"/>
      <c r="I32" s="45"/>
      <c r="J32" s="69">
        <f t="shared" si="6"/>
        <v>0</v>
      </c>
      <c r="K32" s="69">
        <f t="shared" si="2"/>
        <v>0</v>
      </c>
      <c r="L32" s="69">
        <f t="shared" si="3"/>
        <v>0</v>
      </c>
      <c r="M32" s="69">
        <f t="shared" si="7"/>
        <v>0</v>
      </c>
      <c r="N32" s="6"/>
    </row>
    <row r="33" spans="1:14">
      <c r="A33" s="26">
        <v>30</v>
      </c>
      <c r="B33" s="27">
        <v>46052</v>
      </c>
      <c r="C33" s="182"/>
      <c r="D33" s="6" t="s">
        <v>231</v>
      </c>
      <c r="E33" s="272">
        <v>30</v>
      </c>
      <c r="F33" s="45">
        <v>91.97</v>
      </c>
      <c r="G33" s="69">
        <f t="shared" si="5"/>
        <v>2759.1</v>
      </c>
      <c r="H33" s="45">
        <v>10</v>
      </c>
      <c r="I33" s="45">
        <v>103.96</v>
      </c>
      <c r="J33" s="69">
        <f t="shared" si="6"/>
        <v>1039.5999999999999</v>
      </c>
      <c r="K33" s="69">
        <f t="shared" si="2"/>
        <v>3798.7</v>
      </c>
      <c r="L33" s="69">
        <f t="shared" si="3"/>
        <v>3798.7</v>
      </c>
      <c r="M33" s="69">
        <f t="shared" ref="M33:M34" si="8">M32+K33-L33</f>
        <v>0</v>
      </c>
      <c r="N33" s="6"/>
    </row>
    <row r="34" spans="1:14">
      <c r="A34" s="26">
        <v>31</v>
      </c>
      <c r="B34" s="27">
        <v>46053</v>
      </c>
      <c r="C34" s="182"/>
      <c r="D34" s="6" t="s">
        <v>231</v>
      </c>
      <c r="E34" s="272">
        <v>100</v>
      </c>
      <c r="F34" s="45">
        <v>91.97</v>
      </c>
      <c r="G34" s="69">
        <f t="shared" si="5"/>
        <v>9197</v>
      </c>
      <c r="H34" s="45"/>
      <c r="I34" s="45"/>
      <c r="J34" s="69">
        <f t="shared" si="6"/>
        <v>0</v>
      </c>
      <c r="K34" s="69">
        <f t="shared" ref="K34" si="9">G34+J34</f>
        <v>9197</v>
      </c>
      <c r="L34" s="69">
        <f t="shared" ref="L34" si="10">+K34</f>
        <v>9197</v>
      </c>
      <c r="M34" s="69">
        <f t="shared" si="8"/>
        <v>0</v>
      </c>
      <c r="N34" s="6"/>
    </row>
    <row r="35" spans="1:14">
      <c r="A35" s="43"/>
      <c r="B35" s="43"/>
      <c r="C35" s="43"/>
      <c r="D35" s="43"/>
      <c r="E35" s="43">
        <f>SUM(E4:E34)</f>
        <v>1346.59</v>
      </c>
      <c r="F35" s="43"/>
      <c r="G35" s="43">
        <f>SUM(G4:G34)</f>
        <v>123790.05279999999</v>
      </c>
      <c r="H35" s="43">
        <f>SUM(H4:H34)</f>
        <v>87.41</v>
      </c>
      <c r="I35" s="43"/>
      <c r="J35" s="43">
        <f>SUM(J4:J34)</f>
        <v>9087.1435999999994</v>
      </c>
      <c r="K35" s="43">
        <f>SUM(K4:K34)</f>
        <v>132877.19639999999</v>
      </c>
      <c r="L35" s="43">
        <f>SUM(L4:L34)</f>
        <v>132877.19639999999</v>
      </c>
      <c r="M35" s="43"/>
      <c r="N35" s="43"/>
    </row>
  </sheetData>
  <mergeCells count="2">
    <mergeCell ref="A1:N1"/>
    <mergeCell ref="A3:J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8B3BE-D862-4195-B5AF-A057F3C991D4}">
  <dimension ref="A1:Q54"/>
  <sheetViews>
    <sheetView workbookViewId="0">
      <pane ySplit="2" topLeftCell="A19" activePane="bottomLeft" state="frozen"/>
      <selection pane="bottomLeft" activeCell="P31" sqref="P31"/>
    </sheetView>
  </sheetViews>
  <sheetFormatPr defaultColWidth="14.2851562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9.28515625" customWidth="1"/>
    <col min="5" max="5" width="10.7109375" style="22" bestFit="1" customWidth="1"/>
    <col min="6" max="6" width="9.5703125" style="22" bestFit="1" customWidth="1"/>
    <col min="7" max="7" width="10.42578125" style="22" bestFit="1" customWidth="1"/>
    <col min="8" max="8" width="10.7109375" style="22" bestFit="1" customWidth="1"/>
    <col min="9" max="9" width="7.140625" style="22" bestFit="1" customWidth="1"/>
    <col min="10" max="10" width="8.7109375" style="22" bestFit="1" customWidth="1"/>
    <col min="11" max="11" width="13.5703125" style="22" bestFit="1" customWidth="1"/>
    <col min="12" max="12" width="13.5703125" bestFit="1" customWidth="1"/>
    <col min="13" max="13" width="13.5703125" customWidth="1"/>
    <col min="14" max="14" width="17.7109375" bestFit="1" customWidth="1"/>
  </cols>
  <sheetData>
    <row r="1" spans="1:14" ht="15.75">
      <c r="A1" s="492" t="s">
        <v>62</v>
      </c>
      <c r="B1" s="492"/>
      <c r="C1" s="492"/>
      <c r="D1" s="492"/>
      <c r="E1" s="492"/>
      <c r="F1" s="492"/>
      <c r="G1" s="492"/>
      <c r="H1" s="492"/>
      <c r="I1" s="492"/>
      <c r="J1" s="492"/>
      <c r="K1" s="492"/>
      <c r="L1" s="492"/>
      <c r="M1" s="492"/>
      <c r="N1" s="492"/>
    </row>
    <row r="2" spans="1:14" ht="30">
      <c r="A2" s="67" t="s">
        <v>129</v>
      </c>
      <c r="B2" s="86" t="s">
        <v>130</v>
      </c>
      <c r="C2" s="86" t="s">
        <v>131</v>
      </c>
      <c r="D2" s="86" t="s">
        <v>132</v>
      </c>
      <c r="E2" s="93" t="s">
        <v>133</v>
      </c>
      <c r="F2" s="93" t="s">
        <v>134</v>
      </c>
      <c r="G2" s="93" t="s">
        <v>135</v>
      </c>
      <c r="H2" s="93" t="s">
        <v>136</v>
      </c>
      <c r="I2" s="93" t="s">
        <v>134</v>
      </c>
      <c r="J2" s="93" t="s">
        <v>135</v>
      </c>
      <c r="K2" s="94" t="s">
        <v>137</v>
      </c>
      <c r="L2" s="88" t="s">
        <v>138</v>
      </c>
      <c r="M2" s="88" t="s">
        <v>199</v>
      </c>
      <c r="N2" s="128" t="s">
        <v>140</v>
      </c>
    </row>
    <row r="3" spans="1:14">
      <c r="A3" s="471" t="s">
        <v>141</v>
      </c>
      <c r="B3" s="471"/>
      <c r="C3" s="471"/>
      <c r="D3" s="471"/>
      <c r="E3" s="471"/>
      <c r="F3" s="471"/>
      <c r="G3" s="471"/>
      <c r="H3" s="471"/>
      <c r="I3" s="471"/>
      <c r="J3" s="475"/>
      <c r="K3" s="207">
        <v>730303.7849000002</v>
      </c>
      <c r="M3" s="138">
        <f>+K3</f>
        <v>730303.7849000002</v>
      </c>
      <c r="N3" s="97"/>
    </row>
    <row r="4" spans="1:14">
      <c r="A4" s="26">
        <v>1</v>
      </c>
      <c r="B4" s="27" t="s">
        <v>232</v>
      </c>
      <c r="C4" s="17"/>
      <c r="D4" s="17"/>
      <c r="E4" s="41">
        <v>400</v>
      </c>
      <c r="F4" s="41">
        <v>91.71</v>
      </c>
      <c r="G4" s="41">
        <f>E4*F4</f>
        <v>36684</v>
      </c>
      <c r="H4" s="41"/>
      <c r="I4" s="41"/>
      <c r="J4" s="41">
        <f>H4*I4</f>
        <v>0</v>
      </c>
      <c r="K4" s="41">
        <f>G4+J4</f>
        <v>36684</v>
      </c>
      <c r="L4" s="41"/>
      <c r="M4" s="139">
        <f>M3+K4-L4</f>
        <v>766987.7849000002</v>
      </c>
      <c r="N4" s="17"/>
    </row>
    <row r="5" spans="1:14">
      <c r="A5" s="26">
        <v>2</v>
      </c>
      <c r="B5" s="27" t="s">
        <v>233</v>
      </c>
      <c r="C5" s="17"/>
      <c r="D5" s="17"/>
      <c r="E5" s="41">
        <v>0</v>
      </c>
      <c r="F5" s="41">
        <v>0</v>
      </c>
      <c r="G5" s="41">
        <f t="shared" ref="G5:G38" si="0">E5*F5</f>
        <v>0</v>
      </c>
      <c r="H5" s="41"/>
      <c r="I5" s="41"/>
      <c r="J5" s="41">
        <f t="shared" ref="J5:J38" si="1">H5*I5</f>
        <v>0</v>
      </c>
      <c r="K5" s="41">
        <f t="shared" ref="K5:K38" si="2">G5+J5</f>
        <v>0</v>
      </c>
      <c r="L5" s="41"/>
      <c r="M5" s="139">
        <f t="shared" ref="M5:M53" si="3">M4+K5-L5</f>
        <v>766987.7849000002</v>
      </c>
      <c r="N5" s="17"/>
    </row>
    <row r="6" spans="1:14">
      <c r="A6" s="26">
        <v>3</v>
      </c>
      <c r="B6" s="27" t="s">
        <v>234</v>
      </c>
      <c r="C6" s="17"/>
      <c r="D6" s="17"/>
      <c r="E6" s="41">
        <v>0</v>
      </c>
      <c r="F6" s="41">
        <v>0</v>
      </c>
      <c r="G6" s="41">
        <f t="shared" si="0"/>
        <v>0</v>
      </c>
      <c r="H6" s="41">
        <v>30</v>
      </c>
      <c r="I6" s="41">
        <v>105.19</v>
      </c>
      <c r="J6" s="41">
        <f t="shared" si="1"/>
        <v>3155.7</v>
      </c>
      <c r="K6" s="41">
        <f t="shared" si="2"/>
        <v>3155.7</v>
      </c>
      <c r="L6" s="41"/>
      <c r="M6" s="139">
        <f t="shared" si="3"/>
        <v>770143.48490000016</v>
      </c>
      <c r="N6" s="17"/>
    </row>
    <row r="7" spans="1:14">
      <c r="A7" s="26">
        <v>4</v>
      </c>
      <c r="B7" s="27" t="s">
        <v>235</v>
      </c>
      <c r="C7" s="17"/>
      <c r="D7" s="17"/>
      <c r="E7" s="41">
        <v>400</v>
      </c>
      <c r="F7" s="41">
        <v>91.71</v>
      </c>
      <c r="G7" s="41">
        <f t="shared" si="0"/>
        <v>36684</v>
      </c>
      <c r="H7" s="41"/>
      <c r="I7" s="41"/>
      <c r="J7" s="41">
        <f t="shared" si="1"/>
        <v>0</v>
      </c>
      <c r="K7" s="41">
        <f t="shared" si="2"/>
        <v>36684</v>
      </c>
      <c r="L7" s="41"/>
      <c r="M7" s="139">
        <f t="shared" si="3"/>
        <v>806827.48490000016</v>
      </c>
      <c r="N7" s="17"/>
    </row>
    <row r="8" spans="1:14">
      <c r="A8" s="26">
        <v>5</v>
      </c>
      <c r="B8" s="27" t="s">
        <v>236</v>
      </c>
      <c r="C8" s="17"/>
      <c r="D8" s="17"/>
      <c r="E8" s="41">
        <v>0</v>
      </c>
      <c r="F8" s="41">
        <v>0</v>
      </c>
      <c r="G8" s="41">
        <f t="shared" si="0"/>
        <v>0</v>
      </c>
      <c r="H8" s="41"/>
      <c r="I8" s="41"/>
      <c r="J8" s="41">
        <f t="shared" si="1"/>
        <v>0</v>
      </c>
      <c r="K8" s="41">
        <f t="shared" si="2"/>
        <v>0</v>
      </c>
      <c r="L8" s="41"/>
      <c r="M8" s="139">
        <f t="shared" si="3"/>
        <v>806827.48490000016</v>
      </c>
      <c r="N8" s="17"/>
    </row>
    <row r="9" spans="1:14">
      <c r="A9" s="26">
        <v>6</v>
      </c>
      <c r="B9" s="27" t="s">
        <v>237</v>
      </c>
      <c r="C9" s="17"/>
      <c r="D9" s="17"/>
      <c r="E9" s="41">
        <v>2500</v>
      </c>
      <c r="F9" s="41">
        <v>91.71</v>
      </c>
      <c r="G9" s="41">
        <f t="shared" si="0"/>
        <v>229274.99999999997</v>
      </c>
      <c r="H9" s="41">
        <v>25</v>
      </c>
      <c r="I9" s="41">
        <v>105.19</v>
      </c>
      <c r="J9" s="41">
        <f t="shared" si="1"/>
        <v>2629.75</v>
      </c>
      <c r="K9" s="41">
        <f t="shared" si="2"/>
        <v>231904.74999999997</v>
      </c>
      <c r="L9" s="41"/>
      <c r="M9" s="139">
        <f t="shared" si="3"/>
        <v>1038732.2349000002</v>
      </c>
      <c r="N9" s="17"/>
    </row>
    <row r="10" spans="1:14">
      <c r="A10" s="26">
        <v>7</v>
      </c>
      <c r="B10" s="27" t="s">
        <v>238</v>
      </c>
      <c r="C10" s="17"/>
      <c r="D10" s="17"/>
      <c r="E10" s="41">
        <v>600</v>
      </c>
      <c r="F10" s="41">
        <v>91.71</v>
      </c>
      <c r="G10" s="41">
        <f t="shared" si="0"/>
        <v>55025.999999999993</v>
      </c>
      <c r="H10" s="41"/>
      <c r="I10" s="41"/>
      <c r="J10" s="41">
        <f t="shared" si="1"/>
        <v>0</v>
      </c>
      <c r="K10" s="41">
        <f t="shared" si="2"/>
        <v>55025.999999999993</v>
      </c>
      <c r="L10" s="41"/>
      <c r="M10" s="139">
        <f t="shared" si="3"/>
        <v>1093758.2349</v>
      </c>
      <c r="N10" s="17"/>
    </row>
    <row r="11" spans="1:14">
      <c r="A11" s="26">
        <v>8</v>
      </c>
      <c r="B11" s="27" t="s">
        <v>239</v>
      </c>
      <c r="C11" s="17"/>
      <c r="D11" s="17"/>
      <c r="E11" s="41">
        <v>400</v>
      </c>
      <c r="F11" s="41">
        <v>91.71</v>
      </c>
      <c r="G11" s="41">
        <f t="shared" si="0"/>
        <v>36684</v>
      </c>
      <c r="H11" s="41"/>
      <c r="I11" s="41"/>
      <c r="J11" s="41">
        <f t="shared" si="1"/>
        <v>0</v>
      </c>
      <c r="K11" s="41">
        <f t="shared" si="2"/>
        <v>36684</v>
      </c>
      <c r="L11" s="41"/>
      <c r="M11" s="139">
        <f t="shared" si="3"/>
        <v>1130442.2349</v>
      </c>
      <c r="N11" s="17"/>
    </row>
    <row r="12" spans="1:14">
      <c r="A12" s="26">
        <v>9</v>
      </c>
      <c r="B12" s="27" t="s">
        <v>240</v>
      </c>
      <c r="C12" s="17"/>
      <c r="D12" s="17"/>
      <c r="E12" s="41">
        <v>500</v>
      </c>
      <c r="F12" s="41">
        <v>91.71</v>
      </c>
      <c r="G12" s="41">
        <f t="shared" si="0"/>
        <v>45855</v>
      </c>
      <c r="H12" s="41"/>
      <c r="I12" s="41"/>
      <c r="J12" s="41">
        <f t="shared" si="1"/>
        <v>0</v>
      </c>
      <c r="K12" s="41">
        <f t="shared" si="2"/>
        <v>45855</v>
      </c>
      <c r="L12" s="41"/>
      <c r="M12" s="139">
        <f t="shared" si="3"/>
        <v>1176297.2349</v>
      </c>
      <c r="N12" s="17"/>
    </row>
    <row r="13" spans="1:14">
      <c r="A13" s="26">
        <v>10</v>
      </c>
      <c r="B13" s="27" t="s">
        <v>241</v>
      </c>
      <c r="C13" s="17"/>
      <c r="D13" s="17"/>
      <c r="E13" s="41">
        <v>3500</v>
      </c>
      <c r="F13" s="41">
        <v>91.71</v>
      </c>
      <c r="G13" s="41">
        <f t="shared" si="0"/>
        <v>320985</v>
      </c>
      <c r="H13" s="41">
        <v>30</v>
      </c>
      <c r="I13" s="41">
        <v>105.19</v>
      </c>
      <c r="J13" s="41">
        <f t="shared" si="1"/>
        <v>3155.7</v>
      </c>
      <c r="K13" s="41">
        <f t="shared" si="2"/>
        <v>324140.7</v>
      </c>
      <c r="L13" s="41"/>
      <c r="M13" s="139">
        <f t="shared" si="3"/>
        <v>1500437.9349</v>
      </c>
      <c r="N13" s="45"/>
    </row>
    <row r="14" spans="1:14">
      <c r="A14" s="26">
        <v>11</v>
      </c>
      <c r="B14" s="27" t="s">
        <v>242</v>
      </c>
      <c r="C14" s="17"/>
      <c r="D14" s="17"/>
      <c r="E14" s="41">
        <v>500</v>
      </c>
      <c r="F14" s="41">
        <v>91.71</v>
      </c>
      <c r="G14" s="41">
        <f t="shared" si="0"/>
        <v>45855</v>
      </c>
      <c r="H14" s="41"/>
      <c r="I14" s="41"/>
      <c r="J14" s="41">
        <f t="shared" si="1"/>
        <v>0</v>
      </c>
      <c r="K14" s="41">
        <f t="shared" si="2"/>
        <v>45855</v>
      </c>
      <c r="L14" s="41"/>
      <c r="M14" s="139">
        <f t="shared" si="3"/>
        <v>1546292.9349</v>
      </c>
      <c r="N14" s="45"/>
    </row>
    <row r="15" spans="1:14">
      <c r="A15" s="26">
        <v>12</v>
      </c>
      <c r="B15" s="27" t="s">
        <v>243</v>
      </c>
      <c r="C15" s="17"/>
      <c r="D15" s="17"/>
      <c r="E15" s="41">
        <v>500</v>
      </c>
      <c r="F15" s="41">
        <v>91.71</v>
      </c>
      <c r="G15" s="41">
        <f t="shared" si="0"/>
        <v>45855</v>
      </c>
      <c r="H15" s="41"/>
      <c r="I15" s="41"/>
      <c r="J15" s="41">
        <f t="shared" si="1"/>
        <v>0</v>
      </c>
      <c r="K15" s="41">
        <f t="shared" si="2"/>
        <v>45855</v>
      </c>
      <c r="L15" s="41"/>
      <c r="M15" s="139">
        <f t="shared" si="3"/>
        <v>1592147.9349</v>
      </c>
      <c r="N15" s="45"/>
    </row>
    <row r="16" spans="1:14">
      <c r="A16" s="26">
        <v>13</v>
      </c>
      <c r="B16" s="27" t="s">
        <v>244</v>
      </c>
      <c r="C16" s="17"/>
      <c r="D16" s="17"/>
      <c r="E16" s="41">
        <v>700</v>
      </c>
      <c r="F16" s="41">
        <v>91.71</v>
      </c>
      <c r="G16" s="41">
        <f t="shared" si="0"/>
        <v>64196.999999999993</v>
      </c>
      <c r="H16" s="41"/>
      <c r="I16" s="41"/>
      <c r="J16" s="41">
        <f t="shared" si="1"/>
        <v>0</v>
      </c>
      <c r="K16" s="41">
        <f t="shared" si="2"/>
        <v>64196.999999999993</v>
      </c>
      <c r="L16" s="41"/>
      <c r="M16" s="139">
        <f t="shared" si="3"/>
        <v>1656344.9349</v>
      </c>
      <c r="N16" s="45"/>
    </row>
    <row r="17" spans="1:16">
      <c r="A17" s="26">
        <v>14</v>
      </c>
      <c r="B17" s="27" t="s">
        <v>245</v>
      </c>
      <c r="C17" s="17"/>
      <c r="D17" s="17"/>
      <c r="E17" s="41">
        <v>0</v>
      </c>
      <c r="F17" s="41">
        <v>0</v>
      </c>
      <c r="G17" s="41">
        <f t="shared" si="0"/>
        <v>0</v>
      </c>
      <c r="H17" s="41"/>
      <c r="I17" s="41"/>
      <c r="J17" s="41">
        <f t="shared" si="1"/>
        <v>0</v>
      </c>
      <c r="K17" s="41">
        <f t="shared" si="2"/>
        <v>0</v>
      </c>
      <c r="L17" s="41"/>
      <c r="M17" s="139">
        <f t="shared" si="3"/>
        <v>1656344.9349</v>
      </c>
      <c r="N17" s="45"/>
    </row>
    <row r="18" spans="1:16">
      <c r="A18" s="26">
        <v>15</v>
      </c>
      <c r="B18" s="27" t="s">
        <v>246</v>
      </c>
      <c r="C18" s="17"/>
      <c r="D18" s="17"/>
      <c r="E18" s="41">
        <v>500</v>
      </c>
      <c r="F18" s="41">
        <v>91.71</v>
      </c>
      <c r="G18" s="41">
        <f t="shared" si="0"/>
        <v>45855</v>
      </c>
      <c r="H18" s="41">
        <v>35</v>
      </c>
      <c r="I18" s="41">
        <v>105.19</v>
      </c>
      <c r="J18" s="41">
        <f t="shared" si="1"/>
        <v>3681.65</v>
      </c>
      <c r="K18" s="41">
        <f t="shared" si="2"/>
        <v>49536.65</v>
      </c>
      <c r="L18" s="41"/>
      <c r="M18" s="139">
        <f t="shared" si="3"/>
        <v>1705881.5848999999</v>
      </c>
      <c r="N18" s="45"/>
    </row>
    <row r="19" spans="1:16">
      <c r="A19" s="26">
        <v>16</v>
      </c>
      <c r="B19" s="27" t="s">
        <v>247</v>
      </c>
      <c r="C19" s="17"/>
      <c r="D19" s="17"/>
      <c r="E19" s="41">
        <v>500</v>
      </c>
      <c r="F19" s="41">
        <v>91.71</v>
      </c>
      <c r="G19" s="41">
        <f t="shared" si="0"/>
        <v>45855</v>
      </c>
      <c r="H19" s="41"/>
      <c r="I19" s="41"/>
      <c r="J19" s="41">
        <f t="shared" si="1"/>
        <v>0</v>
      </c>
      <c r="K19" s="41">
        <f t="shared" si="2"/>
        <v>45855</v>
      </c>
      <c r="L19" s="41">
        <v>1600000</v>
      </c>
      <c r="M19" s="139">
        <f t="shared" si="3"/>
        <v>151736.5848999999</v>
      </c>
      <c r="N19" s="45"/>
      <c r="P19" s="22"/>
    </row>
    <row r="20" spans="1:16">
      <c r="A20" s="26">
        <v>17</v>
      </c>
      <c r="B20" s="27" t="s">
        <v>248</v>
      </c>
      <c r="C20" s="17"/>
      <c r="D20" s="17"/>
      <c r="E20" s="41">
        <v>0</v>
      </c>
      <c r="F20" s="41">
        <v>0</v>
      </c>
      <c r="G20" s="41">
        <f t="shared" si="0"/>
        <v>0</v>
      </c>
      <c r="H20" s="41"/>
      <c r="I20" s="41"/>
      <c r="J20" s="41">
        <f t="shared" si="1"/>
        <v>0</v>
      </c>
      <c r="K20" s="41">
        <f t="shared" si="2"/>
        <v>0</v>
      </c>
      <c r="L20" s="41"/>
      <c r="M20" s="139">
        <f t="shared" si="3"/>
        <v>151736.5848999999</v>
      </c>
      <c r="N20" s="45"/>
      <c r="P20" s="22"/>
    </row>
    <row r="21" spans="1:16">
      <c r="A21" s="26">
        <v>18</v>
      </c>
      <c r="B21" s="27" t="s">
        <v>249</v>
      </c>
      <c r="C21" s="17"/>
      <c r="D21" s="17"/>
      <c r="E21" s="41">
        <v>500</v>
      </c>
      <c r="F21" s="41">
        <v>91.71</v>
      </c>
      <c r="G21" s="41">
        <f t="shared" si="0"/>
        <v>45855</v>
      </c>
      <c r="H21" s="41"/>
      <c r="I21" s="41"/>
      <c r="J21" s="41">
        <f t="shared" si="1"/>
        <v>0</v>
      </c>
      <c r="K21" s="41">
        <f t="shared" si="2"/>
        <v>45855</v>
      </c>
      <c r="L21" s="41"/>
      <c r="M21" s="139">
        <f t="shared" si="3"/>
        <v>197591.5848999999</v>
      </c>
      <c r="N21" s="45"/>
      <c r="P21" s="22"/>
    </row>
    <row r="22" spans="1:16">
      <c r="A22" s="26">
        <v>19</v>
      </c>
      <c r="B22" s="27" t="s">
        <v>250</v>
      </c>
      <c r="C22" s="17"/>
      <c r="D22" s="17"/>
      <c r="E22" s="41">
        <v>4000</v>
      </c>
      <c r="F22" s="41">
        <v>91.71</v>
      </c>
      <c r="G22" s="41">
        <f t="shared" si="0"/>
        <v>366840</v>
      </c>
      <c r="H22" s="41">
        <v>42</v>
      </c>
      <c r="I22" s="41">
        <v>105.19</v>
      </c>
      <c r="J22" s="41">
        <f t="shared" si="1"/>
        <v>4417.9799999999996</v>
      </c>
      <c r="K22" s="41">
        <f t="shared" si="2"/>
        <v>371257.98</v>
      </c>
      <c r="L22" s="41"/>
      <c r="M22" s="139">
        <f t="shared" si="3"/>
        <v>568849.56489999988</v>
      </c>
      <c r="N22" s="45"/>
      <c r="P22" s="22"/>
    </row>
    <row r="23" spans="1:16">
      <c r="A23" s="26">
        <v>20</v>
      </c>
      <c r="B23" s="27" t="s">
        <v>251</v>
      </c>
      <c r="C23" s="17"/>
      <c r="D23" s="17"/>
      <c r="E23" s="41">
        <v>500</v>
      </c>
      <c r="F23" s="41">
        <v>91.71</v>
      </c>
      <c r="G23" s="41">
        <f t="shared" si="0"/>
        <v>45855</v>
      </c>
      <c r="H23" s="41"/>
      <c r="I23" s="41"/>
      <c r="J23" s="41">
        <f t="shared" si="1"/>
        <v>0</v>
      </c>
      <c r="K23" s="41">
        <f t="shared" si="2"/>
        <v>45855</v>
      </c>
      <c r="L23" s="41"/>
      <c r="M23" s="139">
        <f t="shared" si="3"/>
        <v>614704.56489999988</v>
      </c>
      <c r="N23" s="45"/>
      <c r="P23" s="22"/>
    </row>
    <row r="24" spans="1:16">
      <c r="A24" s="26">
        <v>21</v>
      </c>
      <c r="B24" s="27" t="s">
        <v>252</v>
      </c>
      <c r="C24" s="17"/>
      <c r="D24" s="17"/>
      <c r="E24" s="41">
        <v>500</v>
      </c>
      <c r="F24" s="41">
        <v>91.71</v>
      </c>
      <c r="G24" s="41">
        <f t="shared" si="0"/>
        <v>45855</v>
      </c>
      <c r="H24" s="41"/>
      <c r="I24" s="41"/>
      <c r="J24" s="41">
        <f t="shared" si="1"/>
        <v>0</v>
      </c>
      <c r="K24" s="41">
        <f t="shared" si="2"/>
        <v>45855</v>
      </c>
      <c r="L24" s="41"/>
      <c r="M24" s="139">
        <f t="shared" si="3"/>
        <v>660559.56489999988</v>
      </c>
      <c r="N24" s="45"/>
      <c r="P24" s="22"/>
    </row>
    <row r="25" spans="1:16">
      <c r="A25" s="26">
        <v>22</v>
      </c>
      <c r="B25" s="27" t="s">
        <v>253</v>
      </c>
      <c r="C25" s="17"/>
      <c r="D25" s="17"/>
      <c r="E25" s="41">
        <v>400</v>
      </c>
      <c r="F25" s="41">
        <v>91.71</v>
      </c>
      <c r="G25" s="41">
        <f t="shared" si="0"/>
        <v>36684</v>
      </c>
      <c r="H25" s="41"/>
      <c r="I25" s="41"/>
      <c r="J25" s="41">
        <f t="shared" si="1"/>
        <v>0</v>
      </c>
      <c r="K25" s="41">
        <f t="shared" si="2"/>
        <v>36684</v>
      </c>
      <c r="L25" s="41"/>
      <c r="M25" s="139">
        <f t="shared" si="3"/>
        <v>697243.56489999988</v>
      </c>
      <c r="N25" s="45"/>
      <c r="P25" s="22"/>
    </row>
    <row r="26" spans="1:16">
      <c r="A26" s="26">
        <v>23</v>
      </c>
      <c r="B26" s="27" t="s">
        <v>254</v>
      </c>
      <c r="C26" s="17"/>
      <c r="D26" s="17"/>
      <c r="E26" s="41">
        <v>0</v>
      </c>
      <c r="F26" s="41">
        <v>0</v>
      </c>
      <c r="G26" s="41">
        <f t="shared" si="0"/>
        <v>0</v>
      </c>
      <c r="H26" s="41">
        <v>40</v>
      </c>
      <c r="I26" s="41">
        <v>105.19</v>
      </c>
      <c r="J26" s="41">
        <f t="shared" si="1"/>
        <v>4207.6000000000004</v>
      </c>
      <c r="K26" s="41">
        <f t="shared" si="2"/>
        <v>4207.6000000000004</v>
      </c>
      <c r="L26" s="41"/>
      <c r="M26" s="139">
        <f t="shared" si="3"/>
        <v>701451.16489999986</v>
      </c>
      <c r="N26" s="45"/>
      <c r="P26" s="22"/>
    </row>
    <row r="27" spans="1:16">
      <c r="A27" s="26">
        <v>24</v>
      </c>
      <c r="B27" s="27" t="s">
        <v>255</v>
      </c>
      <c r="C27" s="17"/>
      <c r="D27" s="17"/>
      <c r="E27" s="41">
        <v>500</v>
      </c>
      <c r="F27" s="41">
        <v>91.71</v>
      </c>
      <c r="G27" s="41">
        <f t="shared" si="0"/>
        <v>45855</v>
      </c>
      <c r="H27" s="41"/>
      <c r="I27" s="41"/>
      <c r="J27" s="41">
        <f t="shared" si="1"/>
        <v>0</v>
      </c>
      <c r="K27" s="41">
        <f t="shared" si="2"/>
        <v>45855</v>
      </c>
      <c r="L27" s="41"/>
      <c r="M27" s="139">
        <f t="shared" si="3"/>
        <v>747306.16489999986</v>
      </c>
      <c r="N27" s="45"/>
      <c r="P27" s="22"/>
    </row>
    <row r="28" spans="1:16">
      <c r="A28" s="26">
        <v>25</v>
      </c>
      <c r="B28" s="27" t="s">
        <v>256</v>
      </c>
      <c r="C28" s="17"/>
      <c r="D28" s="17"/>
      <c r="E28" s="41">
        <v>2900</v>
      </c>
      <c r="F28" s="41">
        <v>91.61</v>
      </c>
      <c r="G28" s="41">
        <f t="shared" si="0"/>
        <v>265669</v>
      </c>
      <c r="H28" s="41"/>
      <c r="I28" s="41"/>
      <c r="J28" s="41">
        <f t="shared" si="1"/>
        <v>0</v>
      </c>
      <c r="K28" s="41">
        <f t="shared" si="2"/>
        <v>265669</v>
      </c>
      <c r="L28" s="41"/>
      <c r="M28" s="139">
        <f t="shared" si="3"/>
        <v>1012975.1648999999</v>
      </c>
      <c r="N28" s="45"/>
    </row>
    <row r="29" spans="1:16">
      <c r="A29" s="26">
        <v>26</v>
      </c>
      <c r="B29" s="27" t="s">
        <v>257</v>
      </c>
      <c r="C29" s="17"/>
      <c r="D29" s="17"/>
      <c r="E29" s="41">
        <v>0</v>
      </c>
      <c r="F29" s="41">
        <v>91.71</v>
      </c>
      <c r="G29" s="41">
        <f t="shared" si="0"/>
        <v>0</v>
      </c>
      <c r="H29" s="41">
        <v>30</v>
      </c>
      <c r="I29" s="41">
        <v>105.19</v>
      </c>
      <c r="J29" s="41">
        <f t="shared" si="1"/>
        <v>3155.7</v>
      </c>
      <c r="K29" s="41">
        <f t="shared" si="2"/>
        <v>3155.7</v>
      </c>
      <c r="L29" s="41"/>
      <c r="M29" s="139">
        <f t="shared" si="3"/>
        <v>1016130.8648999998</v>
      </c>
      <c r="N29" s="45"/>
    </row>
    <row r="30" spans="1:16">
      <c r="A30" s="26">
        <v>27</v>
      </c>
      <c r="B30" s="27" t="s">
        <v>258</v>
      </c>
      <c r="C30" s="17"/>
      <c r="D30" s="17"/>
      <c r="E30" s="41">
        <v>2500</v>
      </c>
      <c r="F30" s="41">
        <v>91.61</v>
      </c>
      <c r="G30" s="41">
        <f t="shared" si="0"/>
        <v>229025</v>
      </c>
      <c r="H30" s="41"/>
      <c r="I30" s="41"/>
      <c r="J30" s="41">
        <f t="shared" si="1"/>
        <v>0</v>
      </c>
      <c r="K30" s="41">
        <f t="shared" si="2"/>
        <v>229025</v>
      </c>
      <c r="L30" s="41"/>
      <c r="M30" s="139">
        <f t="shared" si="3"/>
        <v>1245155.8648999999</v>
      </c>
      <c r="N30" s="45"/>
    </row>
    <row r="31" spans="1:16">
      <c r="A31" s="26">
        <v>28</v>
      </c>
      <c r="B31" s="27" t="s">
        <v>259</v>
      </c>
      <c r="C31" s="17"/>
      <c r="D31" s="17"/>
      <c r="E31" s="41">
        <v>400</v>
      </c>
      <c r="F31" s="41">
        <v>91.71</v>
      </c>
      <c r="G31" s="41">
        <f t="shared" si="0"/>
        <v>36684</v>
      </c>
      <c r="H31" s="41"/>
      <c r="I31" s="41"/>
      <c r="J31" s="41">
        <f t="shared" si="1"/>
        <v>0</v>
      </c>
      <c r="K31" s="41">
        <f t="shared" si="2"/>
        <v>36684</v>
      </c>
      <c r="L31" s="41"/>
      <c r="M31" s="139">
        <f t="shared" si="3"/>
        <v>1281839.8648999999</v>
      </c>
      <c r="N31" s="45"/>
    </row>
    <row r="32" spans="1:16">
      <c r="A32" s="26">
        <v>29</v>
      </c>
      <c r="B32" s="27" t="s">
        <v>260</v>
      </c>
      <c r="C32" s="17"/>
      <c r="D32" s="17"/>
      <c r="E32" s="41">
        <v>0</v>
      </c>
      <c r="F32" s="41">
        <v>91.71</v>
      </c>
      <c r="G32" s="41">
        <f t="shared" si="0"/>
        <v>0</v>
      </c>
      <c r="H32" s="41">
        <v>40</v>
      </c>
      <c r="I32" s="41">
        <v>105.19</v>
      </c>
      <c r="J32" s="41">
        <f t="shared" si="1"/>
        <v>4207.6000000000004</v>
      </c>
      <c r="K32" s="41">
        <f t="shared" si="2"/>
        <v>4207.6000000000004</v>
      </c>
      <c r="L32" s="41"/>
      <c r="M32" s="139">
        <f t="shared" si="3"/>
        <v>1286047.4649</v>
      </c>
      <c r="N32" s="45"/>
    </row>
    <row r="33" spans="1:17">
      <c r="A33" s="26">
        <v>30</v>
      </c>
      <c r="B33" s="27" t="s">
        <v>261</v>
      </c>
      <c r="C33" s="17"/>
      <c r="D33" s="17"/>
      <c r="E33" s="41">
        <v>900</v>
      </c>
      <c r="F33" s="41">
        <v>91.71</v>
      </c>
      <c r="G33" s="41">
        <f t="shared" si="0"/>
        <v>82539</v>
      </c>
      <c r="H33" s="41"/>
      <c r="I33" s="41"/>
      <c r="J33" s="41">
        <f t="shared" si="1"/>
        <v>0</v>
      </c>
      <c r="K33" s="41">
        <f t="shared" si="2"/>
        <v>82539</v>
      </c>
      <c r="L33" s="41"/>
      <c r="M33" s="139">
        <f t="shared" si="3"/>
        <v>1368586.4649</v>
      </c>
      <c r="N33" s="45"/>
    </row>
    <row r="34" spans="1:17">
      <c r="A34" s="26">
        <v>31</v>
      </c>
      <c r="B34" s="27"/>
      <c r="C34" s="17"/>
      <c r="D34" s="17"/>
      <c r="E34" s="41">
        <v>0</v>
      </c>
      <c r="F34" s="41">
        <v>0</v>
      </c>
      <c r="G34" s="41">
        <f t="shared" si="0"/>
        <v>0</v>
      </c>
      <c r="H34" s="41"/>
      <c r="I34" s="41"/>
      <c r="J34" s="41">
        <f t="shared" si="1"/>
        <v>0</v>
      </c>
      <c r="K34" s="41">
        <f t="shared" si="2"/>
        <v>0</v>
      </c>
      <c r="L34" s="41"/>
      <c r="M34" s="139">
        <f t="shared" si="3"/>
        <v>1368586.4649</v>
      </c>
      <c r="N34" s="45"/>
    </row>
    <row r="35" spans="1:17">
      <c r="A35" s="26">
        <v>32</v>
      </c>
      <c r="B35" s="27"/>
      <c r="C35" s="17"/>
      <c r="D35" s="17"/>
      <c r="E35" s="41">
        <v>0</v>
      </c>
      <c r="F35" s="41">
        <v>0</v>
      </c>
      <c r="G35" s="41">
        <f t="shared" si="0"/>
        <v>0</v>
      </c>
      <c r="H35" s="41"/>
      <c r="I35" s="41"/>
      <c r="J35" s="41">
        <f t="shared" si="1"/>
        <v>0</v>
      </c>
      <c r="K35" s="41">
        <f t="shared" si="2"/>
        <v>0</v>
      </c>
      <c r="L35" s="41"/>
      <c r="M35" s="139">
        <f t="shared" si="3"/>
        <v>1368586.4649</v>
      </c>
      <c r="N35" s="45"/>
    </row>
    <row r="36" spans="1:17">
      <c r="A36" s="26">
        <v>33</v>
      </c>
      <c r="B36" s="27"/>
      <c r="C36" s="17"/>
      <c r="D36" s="17"/>
      <c r="E36" s="41">
        <v>0</v>
      </c>
      <c r="F36" s="41">
        <v>0</v>
      </c>
      <c r="G36" s="41">
        <f t="shared" si="0"/>
        <v>0</v>
      </c>
      <c r="H36" s="41"/>
      <c r="I36" s="41"/>
      <c r="J36" s="41">
        <f t="shared" si="1"/>
        <v>0</v>
      </c>
      <c r="K36" s="41">
        <f t="shared" si="2"/>
        <v>0</v>
      </c>
      <c r="L36" s="41"/>
      <c r="M36" s="139">
        <f t="shared" si="3"/>
        <v>1368586.4649</v>
      </c>
      <c r="N36" s="45"/>
    </row>
    <row r="37" spans="1:17">
      <c r="A37" s="26">
        <v>34</v>
      </c>
      <c r="B37" s="27"/>
      <c r="C37" s="17"/>
      <c r="D37" s="17"/>
      <c r="E37" s="41">
        <v>0</v>
      </c>
      <c r="F37" s="41">
        <v>0</v>
      </c>
      <c r="G37" s="41">
        <f t="shared" si="0"/>
        <v>0</v>
      </c>
      <c r="H37" s="41"/>
      <c r="I37" s="41"/>
      <c r="J37" s="41">
        <f t="shared" si="1"/>
        <v>0</v>
      </c>
      <c r="K37" s="41">
        <f t="shared" si="2"/>
        <v>0</v>
      </c>
      <c r="L37" s="41"/>
      <c r="M37" s="139">
        <f t="shared" si="3"/>
        <v>1368586.4649</v>
      </c>
      <c r="N37" s="45"/>
      <c r="P37">
        <v>41</v>
      </c>
    </row>
    <row r="38" spans="1:17">
      <c r="A38" s="26">
        <v>35</v>
      </c>
      <c r="B38" s="27"/>
      <c r="C38" s="17"/>
      <c r="D38" s="17"/>
      <c r="E38" s="41">
        <v>0</v>
      </c>
      <c r="F38" s="41">
        <v>0</v>
      </c>
      <c r="G38" s="41">
        <f t="shared" si="0"/>
        <v>0</v>
      </c>
      <c r="H38" s="41"/>
      <c r="I38" s="41"/>
      <c r="J38" s="41">
        <f t="shared" si="1"/>
        <v>0</v>
      </c>
      <c r="K38" s="41">
        <f t="shared" si="2"/>
        <v>0</v>
      </c>
      <c r="L38" s="41"/>
      <c r="M38" s="139">
        <f t="shared" si="3"/>
        <v>1368586.4649</v>
      </c>
      <c r="N38" s="45"/>
      <c r="P38">
        <v>40</v>
      </c>
      <c r="Q38">
        <v>5</v>
      </c>
    </row>
    <row r="39" spans="1:17">
      <c r="A39" s="26">
        <v>36</v>
      </c>
      <c r="B39" s="27"/>
      <c r="C39" s="17"/>
      <c r="D39" s="17"/>
      <c r="E39" s="41"/>
      <c r="F39" s="41"/>
      <c r="G39" s="41">
        <f t="shared" ref="G5:G52" si="4">E39*F39</f>
        <v>0</v>
      </c>
      <c r="H39" s="41"/>
      <c r="I39" s="41"/>
      <c r="J39" s="41">
        <f t="shared" ref="J5:J52" si="5">H39*I39</f>
        <v>0</v>
      </c>
      <c r="K39" s="41">
        <f t="shared" ref="K5:K52" si="6">G39+J39</f>
        <v>0</v>
      </c>
      <c r="L39" s="41"/>
      <c r="M39" s="139">
        <f t="shared" si="3"/>
        <v>1368586.4649</v>
      </c>
      <c r="N39" s="45"/>
    </row>
    <row r="40" spans="1:17">
      <c r="A40" s="26">
        <v>37</v>
      </c>
      <c r="B40" s="27"/>
      <c r="C40" s="17"/>
      <c r="D40" s="17"/>
      <c r="E40" s="41"/>
      <c r="F40" s="41"/>
      <c r="G40" s="41">
        <f t="shared" si="4"/>
        <v>0</v>
      </c>
      <c r="H40" s="41"/>
      <c r="I40" s="41"/>
      <c r="J40" s="41">
        <f t="shared" si="5"/>
        <v>0</v>
      </c>
      <c r="K40" s="41">
        <f t="shared" si="6"/>
        <v>0</v>
      </c>
      <c r="L40" s="41"/>
      <c r="M40" s="139">
        <f t="shared" si="3"/>
        <v>1368586.4649</v>
      </c>
      <c r="N40" s="45"/>
    </row>
    <row r="41" spans="1:17">
      <c r="A41" s="26">
        <v>38</v>
      </c>
      <c r="B41" s="27"/>
      <c r="C41" s="17"/>
      <c r="D41" s="17"/>
      <c r="E41" s="41"/>
      <c r="F41" s="41"/>
      <c r="G41" s="41">
        <f t="shared" si="4"/>
        <v>0</v>
      </c>
      <c r="H41" s="41"/>
      <c r="I41" s="41"/>
      <c r="J41" s="41">
        <f t="shared" si="5"/>
        <v>0</v>
      </c>
      <c r="K41" s="41">
        <f t="shared" si="6"/>
        <v>0</v>
      </c>
      <c r="L41" s="41"/>
      <c r="M41" s="139">
        <f t="shared" si="3"/>
        <v>1368586.4649</v>
      </c>
      <c r="N41" s="45"/>
    </row>
    <row r="42" spans="1:17">
      <c r="A42" s="26">
        <v>39</v>
      </c>
      <c r="B42" s="27"/>
      <c r="C42" s="17"/>
      <c r="D42" s="17"/>
      <c r="E42" s="41"/>
      <c r="F42" s="41"/>
      <c r="G42" s="41">
        <f t="shared" si="4"/>
        <v>0</v>
      </c>
      <c r="H42" s="41"/>
      <c r="I42" s="41"/>
      <c r="J42" s="41">
        <f t="shared" si="5"/>
        <v>0</v>
      </c>
      <c r="K42" s="41">
        <f t="shared" si="6"/>
        <v>0</v>
      </c>
      <c r="L42" s="41"/>
      <c r="M42" s="139">
        <f t="shared" si="3"/>
        <v>1368586.4649</v>
      </c>
      <c r="N42" s="45"/>
    </row>
    <row r="43" spans="1:17">
      <c r="A43" s="26">
        <v>40</v>
      </c>
      <c r="B43" s="27"/>
      <c r="C43" s="17"/>
      <c r="D43" s="17"/>
      <c r="E43" s="41"/>
      <c r="F43" s="41"/>
      <c r="G43" s="41">
        <f t="shared" si="4"/>
        <v>0</v>
      </c>
      <c r="H43" s="41"/>
      <c r="I43" s="41"/>
      <c r="J43" s="41">
        <f t="shared" si="5"/>
        <v>0</v>
      </c>
      <c r="K43" s="41">
        <f t="shared" si="6"/>
        <v>0</v>
      </c>
      <c r="L43" s="41"/>
      <c r="M43" s="139">
        <f t="shared" si="3"/>
        <v>1368586.4649</v>
      </c>
      <c r="N43" s="45"/>
    </row>
    <row r="44" spans="1:17">
      <c r="A44" s="26">
        <v>41</v>
      </c>
      <c r="B44" s="27"/>
      <c r="C44" s="17"/>
      <c r="D44" s="17"/>
      <c r="E44" s="41"/>
      <c r="F44" s="41"/>
      <c r="G44" s="41">
        <f t="shared" si="4"/>
        <v>0</v>
      </c>
      <c r="H44" s="41"/>
      <c r="I44" s="41"/>
      <c r="J44" s="41">
        <f t="shared" si="5"/>
        <v>0</v>
      </c>
      <c r="K44" s="41">
        <f t="shared" si="6"/>
        <v>0</v>
      </c>
      <c r="L44" s="41"/>
      <c r="M44" s="139">
        <f t="shared" si="3"/>
        <v>1368586.4649</v>
      </c>
      <c r="N44" s="45"/>
    </row>
    <row r="45" spans="1:17">
      <c r="A45" s="26">
        <v>42</v>
      </c>
      <c r="B45" s="27"/>
      <c r="C45" s="17"/>
      <c r="D45" s="17"/>
      <c r="E45" s="41"/>
      <c r="F45" s="41"/>
      <c r="G45" s="41">
        <f t="shared" si="4"/>
        <v>0</v>
      </c>
      <c r="H45" s="41"/>
      <c r="I45" s="41"/>
      <c r="J45" s="41">
        <f t="shared" si="5"/>
        <v>0</v>
      </c>
      <c r="K45" s="41">
        <f t="shared" si="6"/>
        <v>0</v>
      </c>
      <c r="L45" s="41"/>
      <c r="M45" s="139">
        <f t="shared" si="3"/>
        <v>1368586.4649</v>
      </c>
      <c r="N45" s="45"/>
    </row>
    <row r="46" spans="1:17">
      <c r="A46" s="26">
        <v>43</v>
      </c>
      <c r="B46" s="27"/>
      <c r="C46" s="17"/>
      <c r="D46" s="17"/>
      <c r="E46" s="41"/>
      <c r="F46" s="41"/>
      <c r="G46" s="41">
        <f t="shared" si="4"/>
        <v>0</v>
      </c>
      <c r="H46" s="41"/>
      <c r="I46" s="41"/>
      <c r="J46" s="41">
        <f t="shared" si="5"/>
        <v>0</v>
      </c>
      <c r="K46" s="41">
        <f t="shared" si="6"/>
        <v>0</v>
      </c>
      <c r="L46" s="41"/>
      <c r="M46" s="139">
        <f t="shared" si="3"/>
        <v>1368586.4649</v>
      </c>
      <c r="N46" s="45"/>
    </row>
    <row r="47" spans="1:17">
      <c r="A47" s="26">
        <v>44</v>
      </c>
      <c r="B47" s="27"/>
      <c r="C47" s="17"/>
      <c r="D47" s="17"/>
      <c r="E47" s="41"/>
      <c r="F47" s="41"/>
      <c r="G47" s="41">
        <f t="shared" si="4"/>
        <v>0</v>
      </c>
      <c r="H47" s="41"/>
      <c r="I47" s="41"/>
      <c r="J47" s="41">
        <f t="shared" si="5"/>
        <v>0</v>
      </c>
      <c r="K47" s="41">
        <f t="shared" si="6"/>
        <v>0</v>
      </c>
      <c r="L47" s="41"/>
      <c r="M47" s="139">
        <f t="shared" si="3"/>
        <v>1368586.4649</v>
      </c>
      <c r="N47" s="45"/>
    </row>
    <row r="48" spans="1:17">
      <c r="A48" s="26">
        <v>45</v>
      </c>
      <c r="B48" s="27"/>
      <c r="C48" s="17"/>
      <c r="D48" s="17"/>
      <c r="E48" s="41"/>
      <c r="F48" s="41"/>
      <c r="G48" s="41">
        <f t="shared" si="4"/>
        <v>0</v>
      </c>
      <c r="H48" s="41"/>
      <c r="I48" s="41"/>
      <c r="J48" s="41">
        <f t="shared" si="5"/>
        <v>0</v>
      </c>
      <c r="K48" s="41">
        <f t="shared" si="6"/>
        <v>0</v>
      </c>
      <c r="L48" s="41"/>
      <c r="M48" s="139">
        <f t="shared" si="3"/>
        <v>1368586.4649</v>
      </c>
      <c r="N48" s="45"/>
    </row>
    <row r="49" spans="1:16">
      <c r="A49" s="26">
        <v>46</v>
      </c>
      <c r="B49" s="27"/>
      <c r="C49" s="17"/>
      <c r="D49" s="17"/>
      <c r="E49" s="41"/>
      <c r="F49" s="41"/>
      <c r="G49" s="41">
        <f t="shared" si="4"/>
        <v>0</v>
      </c>
      <c r="H49" s="41"/>
      <c r="I49" s="41"/>
      <c r="J49" s="41">
        <f t="shared" si="5"/>
        <v>0</v>
      </c>
      <c r="K49" s="41">
        <f t="shared" si="6"/>
        <v>0</v>
      </c>
      <c r="L49" s="41"/>
      <c r="M49" s="139">
        <f t="shared" si="3"/>
        <v>1368586.4649</v>
      </c>
      <c r="N49" s="45"/>
    </row>
    <row r="50" spans="1:16">
      <c r="A50" s="26">
        <v>47</v>
      </c>
      <c r="B50" s="27"/>
      <c r="C50" s="17"/>
      <c r="D50" s="17"/>
      <c r="E50" s="41"/>
      <c r="F50" s="41"/>
      <c r="G50" s="41">
        <f t="shared" si="4"/>
        <v>0</v>
      </c>
      <c r="H50" s="41"/>
      <c r="I50" s="41"/>
      <c r="J50" s="41">
        <f t="shared" si="5"/>
        <v>0</v>
      </c>
      <c r="K50" s="41">
        <f t="shared" si="6"/>
        <v>0</v>
      </c>
      <c r="L50" s="41">
        <v>0</v>
      </c>
      <c r="M50" s="139">
        <f t="shared" si="3"/>
        <v>1368586.4649</v>
      </c>
      <c r="N50" s="45"/>
    </row>
    <row r="51" spans="1:16">
      <c r="A51" s="26">
        <v>48</v>
      </c>
      <c r="B51" s="27"/>
      <c r="C51" s="97"/>
      <c r="D51" s="97"/>
      <c r="E51" s="41"/>
      <c r="F51" s="41"/>
      <c r="G51" s="41">
        <f t="shared" si="4"/>
        <v>0</v>
      </c>
      <c r="H51" s="41"/>
      <c r="I51" s="41"/>
      <c r="J51" s="41">
        <f t="shared" si="5"/>
        <v>0</v>
      </c>
      <c r="K51" s="41">
        <f t="shared" si="6"/>
        <v>0</v>
      </c>
      <c r="L51" s="41">
        <v>0</v>
      </c>
      <c r="M51" s="139">
        <f t="shared" si="3"/>
        <v>1368586.4649</v>
      </c>
      <c r="N51" s="229"/>
    </row>
    <row r="52" spans="1:16">
      <c r="A52" s="26">
        <v>49</v>
      </c>
      <c r="B52" s="27"/>
      <c r="C52" s="17"/>
      <c r="D52" s="17"/>
      <c r="E52" s="41"/>
      <c r="F52" s="41"/>
      <c r="G52" s="41">
        <f t="shared" si="4"/>
        <v>0</v>
      </c>
      <c r="H52" s="41"/>
      <c r="I52" s="41"/>
      <c r="J52" s="41">
        <f t="shared" si="5"/>
        <v>0</v>
      </c>
      <c r="K52" s="41">
        <f t="shared" si="6"/>
        <v>0</v>
      </c>
      <c r="L52" s="41">
        <v>0</v>
      </c>
      <c r="M52" s="139">
        <f t="shared" si="3"/>
        <v>1368586.4649</v>
      </c>
      <c r="N52" s="45"/>
    </row>
    <row r="53" spans="1:16">
      <c r="A53" s="26">
        <v>50</v>
      </c>
      <c r="B53" s="27"/>
      <c r="C53" s="17"/>
      <c r="D53" s="17"/>
      <c r="E53" s="41"/>
      <c r="F53" s="41"/>
      <c r="G53" s="41">
        <f t="shared" ref="G53" si="7">E53*F53</f>
        <v>0</v>
      </c>
      <c r="H53" s="41"/>
      <c r="I53" s="41"/>
      <c r="J53" s="41">
        <f t="shared" ref="J53" si="8">H53*I53</f>
        <v>0</v>
      </c>
      <c r="K53" s="41">
        <f t="shared" ref="K53" si="9">G53+J53</f>
        <v>0</v>
      </c>
      <c r="L53" s="41">
        <v>0</v>
      </c>
      <c r="M53" s="139">
        <f t="shared" si="3"/>
        <v>1368586.4649</v>
      </c>
      <c r="N53" s="45"/>
      <c r="O53">
        <v>1109792.2825999993</v>
      </c>
      <c r="P53" s="179">
        <f>M53-O53</f>
        <v>258794.18230000068</v>
      </c>
    </row>
    <row r="54" spans="1:16">
      <c r="A54" s="186"/>
      <c r="B54" s="186"/>
      <c r="C54" s="186"/>
      <c r="D54" s="186"/>
      <c r="E54" s="186">
        <f>SUM(E4:E53)</f>
        <v>24100</v>
      </c>
      <c r="F54" s="186"/>
      <c r="G54" s="186">
        <f>SUM(G4:G53)</f>
        <v>2209671</v>
      </c>
      <c r="H54" s="186">
        <f>SUM(H4:H53)</f>
        <v>272</v>
      </c>
      <c r="I54" s="186"/>
      <c r="J54" s="186">
        <f>SUM(J4:J53)</f>
        <v>28611.68</v>
      </c>
      <c r="K54" s="186">
        <f>SUM(K4:K53)</f>
        <v>2238282.6800000002</v>
      </c>
      <c r="L54" s="186">
        <f>SUM(L4:L53)</f>
        <v>1600000</v>
      </c>
      <c r="M54" s="186"/>
      <c r="N54" s="186"/>
    </row>
  </sheetData>
  <mergeCells count="2">
    <mergeCell ref="A1:N1"/>
    <mergeCell ref="A3:J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4B6D9-2F42-4A4A-838E-9C7E2E8F4772}">
  <dimension ref="A1:Q41"/>
  <sheetViews>
    <sheetView workbookViewId="0">
      <pane ySplit="2" topLeftCell="A15" activePane="bottomLeft" state="frozen"/>
      <selection pane="bottomLeft" activeCell="M37" sqref="M37"/>
    </sheetView>
  </sheetViews>
  <sheetFormatPr defaultColWidth="12.85546875" defaultRowHeight="15"/>
  <cols>
    <col min="1" max="1" width="5.140625" bestFit="1" customWidth="1"/>
    <col min="2" max="2" width="10.42578125" bestFit="1" customWidth="1"/>
    <col min="3" max="3" width="8" bestFit="1" customWidth="1"/>
    <col min="4" max="4" width="13.5703125" bestFit="1" customWidth="1"/>
    <col min="5" max="5" width="10.7109375" bestFit="1" customWidth="1"/>
    <col min="6" max="6" width="11.85546875" bestFit="1" customWidth="1"/>
    <col min="7" max="7" width="13.7109375" bestFit="1" customWidth="1"/>
    <col min="8" max="8" width="10.7109375" bestFit="1" customWidth="1"/>
    <col min="9" max="9" width="8.140625" bestFit="1" customWidth="1"/>
    <col min="10" max="10" width="11.5703125" customWidth="1"/>
    <col min="11" max="12" width="13.5703125" bestFit="1" customWidth="1"/>
    <col min="13" max="13" width="13.5703125" customWidth="1"/>
    <col min="14" max="14" width="8.7109375" bestFit="1" customWidth="1"/>
    <col min="15" max="15" width="19.7109375" bestFit="1" customWidth="1"/>
  </cols>
  <sheetData>
    <row r="1" spans="1:15" ht="15.75" customHeight="1">
      <c r="A1" s="455" t="s">
        <v>64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56"/>
    </row>
    <row r="2" spans="1:15" ht="30">
      <c r="A2" s="57" t="s">
        <v>129</v>
      </c>
      <c r="B2" s="58" t="s">
        <v>130</v>
      </c>
      <c r="C2" s="58" t="s">
        <v>131</v>
      </c>
      <c r="D2" s="58" t="s">
        <v>132</v>
      </c>
      <c r="E2" s="58" t="s">
        <v>133</v>
      </c>
      <c r="F2" s="58" t="s">
        <v>134</v>
      </c>
      <c r="G2" s="58" t="s">
        <v>135</v>
      </c>
      <c r="H2" s="58" t="s">
        <v>136</v>
      </c>
      <c r="I2" s="58" t="s">
        <v>134</v>
      </c>
      <c r="J2" s="59" t="s">
        <v>135</v>
      </c>
      <c r="K2" s="60" t="s">
        <v>137</v>
      </c>
      <c r="L2" s="61" t="s">
        <v>138</v>
      </c>
      <c r="M2" s="119" t="s">
        <v>199</v>
      </c>
      <c r="N2" s="104" t="s">
        <v>140</v>
      </c>
      <c r="O2" s="62"/>
    </row>
    <row r="3" spans="1:15">
      <c r="A3" s="135" t="s">
        <v>141</v>
      </c>
      <c r="B3" s="136"/>
      <c r="C3" s="136"/>
      <c r="D3" s="136"/>
      <c r="E3" s="136"/>
      <c r="F3" s="136"/>
      <c r="G3" s="136"/>
      <c r="H3" s="136"/>
      <c r="I3" s="136"/>
      <c r="J3" s="136"/>
      <c r="K3" s="268">
        <v>362563.77999999991</v>
      </c>
      <c r="L3" s="137"/>
      <c r="M3" s="269">
        <f>+K3</f>
        <v>362563.77999999991</v>
      </c>
      <c r="N3" s="17"/>
      <c r="O3" s="62">
        <v>1194596.9738</v>
      </c>
    </row>
    <row r="4" spans="1:15">
      <c r="A4" s="47">
        <v>1</v>
      </c>
      <c r="B4" s="206">
        <v>46023</v>
      </c>
      <c r="C4" s="10">
        <v>0</v>
      </c>
      <c r="D4" s="18"/>
      <c r="E4" s="8"/>
      <c r="F4" s="8"/>
      <c r="G4" s="16">
        <f>E4*F4</f>
        <v>0</v>
      </c>
      <c r="H4" s="7"/>
      <c r="I4" s="7"/>
      <c r="J4" s="21">
        <f>H4*I4</f>
        <v>0</v>
      </c>
      <c r="K4" s="8">
        <f>G4+J4</f>
        <v>0</v>
      </c>
      <c r="L4" s="8"/>
      <c r="M4" s="8">
        <f t="shared" ref="M4:M16" si="0">M3+K4-L4</f>
        <v>362563.77999999991</v>
      </c>
      <c r="N4" s="19"/>
      <c r="O4" s="1"/>
    </row>
    <row r="5" spans="1:15">
      <c r="A5" s="47">
        <v>2</v>
      </c>
      <c r="B5" s="206">
        <v>46024</v>
      </c>
      <c r="C5" s="10">
        <v>0</v>
      </c>
      <c r="D5" s="18"/>
      <c r="E5" s="8"/>
      <c r="F5" s="8"/>
      <c r="G5" s="16">
        <f>E5*F5</f>
        <v>0</v>
      </c>
      <c r="H5" s="7"/>
      <c r="I5" s="7"/>
      <c r="J5" s="21">
        <f t="shared" ref="J5" si="1">H5*I5</f>
        <v>0</v>
      </c>
      <c r="K5" s="8">
        <f t="shared" ref="K5:K6" si="2">G5+J5</f>
        <v>0</v>
      </c>
      <c r="L5" s="8"/>
      <c r="M5" s="8">
        <f t="shared" si="0"/>
        <v>362563.77999999991</v>
      </c>
      <c r="N5" s="8"/>
      <c r="O5" s="1"/>
    </row>
    <row r="6" spans="1:15">
      <c r="A6" s="47">
        <v>3</v>
      </c>
      <c r="B6" s="206">
        <v>46025</v>
      </c>
      <c r="C6" s="10">
        <v>0</v>
      </c>
      <c r="D6" s="18"/>
      <c r="E6" s="8">
        <v>600</v>
      </c>
      <c r="F6" s="8">
        <v>91.14</v>
      </c>
      <c r="G6" s="16">
        <f t="shared" ref="G6:G7" si="3">E6*F6</f>
        <v>54684</v>
      </c>
      <c r="H6" s="7"/>
      <c r="I6" s="7"/>
      <c r="J6" s="21">
        <f>H6*I6</f>
        <v>0</v>
      </c>
      <c r="K6" s="8">
        <f t="shared" si="2"/>
        <v>54684</v>
      </c>
      <c r="L6" s="8"/>
      <c r="M6" s="8">
        <f t="shared" si="0"/>
        <v>417247.77999999991</v>
      </c>
      <c r="N6" s="8"/>
      <c r="O6" s="1"/>
    </row>
    <row r="7" spans="1:15">
      <c r="A7" s="47">
        <v>4</v>
      </c>
      <c r="B7" s="206">
        <v>46026</v>
      </c>
      <c r="C7" s="10">
        <v>0</v>
      </c>
      <c r="D7" s="18"/>
      <c r="E7" s="8"/>
      <c r="F7" s="8"/>
      <c r="G7" s="16">
        <v>0</v>
      </c>
      <c r="H7" s="7"/>
      <c r="I7" s="354"/>
      <c r="J7" s="21">
        <v>0</v>
      </c>
      <c r="K7" s="8">
        <v>0</v>
      </c>
      <c r="L7" s="8"/>
      <c r="M7" s="8">
        <f t="shared" si="0"/>
        <v>417247.77999999991</v>
      </c>
      <c r="N7" s="8"/>
      <c r="O7" s="1"/>
    </row>
    <row r="8" spans="1:15">
      <c r="A8" s="47">
        <v>5</v>
      </c>
      <c r="B8" s="206">
        <v>46027</v>
      </c>
      <c r="C8" s="10">
        <v>0</v>
      </c>
      <c r="D8" s="18"/>
      <c r="E8" s="8"/>
      <c r="F8" s="8"/>
      <c r="G8" s="16">
        <f t="shared" ref="G8:G37" si="4">E8*F8</f>
        <v>0</v>
      </c>
      <c r="H8" s="7"/>
      <c r="I8" s="7"/>
      <c r="J8" s="21">
        <f t="shared" ref="J8:J37" si="5">H8*I8</f>
        <v>0</v>
      </c>
      <c r="K8" s="8">
        <f t="shared" ref="K8:K37" si="6">G8+J8</f>
        <v>0</v>
      </c>
      <c r="L8" s="8"/>
      <c r="M8" s="8">
        <f t="shared" si="0"/>
        <v>417247.77999999991</v>
      </c>
      <c r="N8" s="8"/>
      <c r="O8" s="1"/>
    </row>
    <row r="9" spans="1:15">
      <c r="A9" s="47">
        <v>6</v>
      </c>
      <c r="B9" s="206">
        <v>46028</v>
      </c>
      <c r="C9" s="10">
        <v>0</v>
      </c>
      <c r="D9" s="18"/>
      <c r="E9" s="8">
        <v>800</v>
      </c>
      <c r="F9" s="8">
        <v>91.14</v>
      </c>
      <c r="G9" s="16">
        <f t="shared" ref="G9:G36" si="7">E9*F9</f>
        <v>72912</v>
      </c>
      <c r="H9" s="7">
        <v>10</v>
      </c>
      <c r="I9" s="7">
        <v>104.6</v>
      </c>
      <c r="J9" s="21">
        <f t="shared" ref="J9:J36" si="8">H9*I9</f>
        <v>1046</v>
      </c>
      <c r="K9" s="8">
        <f t="shared" ref="K9:K36" si="9">G9+J9</f>
        <v>73958</v>
      </c>
      <c r="L9" s="8"/>
      <c r="M9" s="8">
        <f t="shared" si="0"/>
        <v>491205.77999999991</v>
      </c>
      <c r="N9" s="8"/>
      <c r="O9" s="1"/>
    </row>
    <row r="10" spans="1:15">
      <c r="A10" s="47">
        <v>7</v>
      </c>
      <c r="B10" s="206">
        <v>46029</v>
      </c>
      <c r="C10" s="10">
        <v>0</v>
      </c>
      <c r="D10" s="18"/>
      <c r="E10" s="8"/>
      <c r="F10" s="8"/>
      <c r="G10" s="16">
        <f t="shared" si="7"/>
        <v>0</v>
      </c>
      <c r="H10" s="7"/>
      <c r="I10" s="7"/>
      <c r="J10" s="21">
        <f t="shared" si="8"/>
        <v>0</v>
      </c>
      <c r="K10" s="8">
        <f t="shared" si="9"/>
        <v>0</v>
      </c>
      <c r="L10" s="8"/>
      <c r="M10" s="8">
        <f t="shared" si="0"/>
        <v>491205.77999999991</v>
      </c>
      <c r="N10" s="8"/>
      <c r="O10" s="1"/>
    </row>
    <row r="11" spans="1:15">
      <c r="A11" s="47">
        <v>8</v>
      </c>
      <c r="B11" s="206">
        <v>46030</v>
      </c>
      <c r="C11" s="10">
        <v>0</v>
      </c>
      <c r="D11" s="18"/>
      <c r="E11" s="8"/>
      <c r="F11" s="8"/>
      <c r="G11" s="16">
        <f t="shared" si="7"/>
        <v>0</v>
      </c>
      <c r="H11" s="7"/>
      <c r="I11" s="7"/>
      <c r="J11" s="21">
        <f t="shared" si="8"/>
        <v>0</v>
      </c>
      <c r="K11" s="8">
        <f t="shared" si="9"/>
        <v>0</v>
      </c>
      <c r="L11" s="8"/>
      <c r="M11" s="8">
        <f t="shared" si="0"/>
        <v>491205.77999999991</v>
      </c>
      <c r="N11" s="8"/>
      <c r="O11" s="1"/>
    </row>
    <row r="12" spans="1:15">
      <c r="A12" s="47">
        <v>9</v>
      </c>
      <c r="B12" s="206">
        <v>46031</v>
      </c>
      <c r="C12" s="10">
        <v>0</v>
      </c>
      <c r="D12" s="18"/>
      <c r="E12" s="8"/>
      <c r="F12" s="8"/>
      <c r="G12" s="16">
        <f t="shared" si="7"/>
        <v>0</v>
      </c>
      <c r="H12" s="7"/>
      <c r="I12" s="7"/>
      <c r="J12" s="21">
        <f t="shared" si="8"/>
        <v>0</v>
      </c>
      <c r="K12" s="8">
        <f t="shared" si="9"/>
        <v>0</v>
      </c>
      <c r="L12" s="8"/>
      <c r="M12" s="8">
        <f t="shared" si="0"/>
        <v>491205.77999999991</v>
      </c>
      <c r="N12" s="8"/>
      <c r="O12" s="1"/>
    </row>
    <row r="13" spans="1:15">
      <c r="A13" s="47">
        <v>10</v>
      </c>
      <c r="B13" s="206">
        <v>46032</v>
      </c>
      <c r="C13" s="10">
        <v>0</v>
      </c>
      <c r="D13" s="18"/>
      <c r="E13" s="8"/>
      <c r="F13" s="8"/>
      <c r="G13" s="16">
        <f t="shared" si="7"/>
        <v>0</v>
      </c>
      <c r="H13" s="7"/>
      <c r="I13" s="7"/>
      <c r="J13" s="21">
        <f t="shared" si="8"/>
        <v>0</v>
      </c>
      <c r="K13" s="8">
        <f t="shared" si="9"/>
        <v>0</v>
      </c>
      <c r="L13" s="8"/>
      <c r="M13" s="187">
        <f t="shared" si="0"/>
        <v>491205.77999999991</v>
      </c>
      <c r="N13" s="8"/>
      <c r="O13" s="1"/>
    </row>
    <row r="14" spans="1:15">
      <c r="A14" s="47">
        <v>11</v>
      </c>
      <c r="B14" s="206">
        <v>46033</v>
      </c>
      <c r="C14" s="10">
        <v>0</v>
      </c>
      <c r="D14" s="18"/>
      <c r="E14" s="8"/>
      <c r="F14" s="8"/>
      <c r="G14" s="16">
        <f t="shared" si="7"/>
        <v>0</v>
      </c>
      <c r="H14" s="7"/>
      <c r="I14" s="7"/>
      <c r="J14" s="21">
        <f t="shared" si="8"/>
        <v>0</v>
      </c>
      <c r="K14" s="8">
        <f t="shared" si="9"/>
        <v>0</v>
      </c>
      <c r="L14" s="8"/>
      <c r="M14" s="8">
        <f t="shared" si="0"/>
        <v>491205.77999999991</v>
      </c>
      <c r="N14" s="198"/>
      <c r="O14" s="1"/>
    </row>
    <row r="15" spans="1:15">
      <c r="A15" s="47">
        <v>12</v>
      </c>
      <c r="B15" s="206">
        <v>46034</v>
      </c>
      <c r="C15" s="10">
        <v>0</v>
      </c>
      <c r="D15" s="18"/>
      <c r="E15" s="8">
        <v>800</v>
      </c>
      <c r="F15" s="8">
        <v>91.14</v>
      </c>
      <c r="G15" s="16">
        <f t="shared" si="7"/>
        <v>72912</v>
      </c>
      <c r="H15" s="7">
        <v>10</v>
      </c>
      <c r="I15" s="7">
        <v>104.6</v>
      </c>
      <c r="J15" s="21">
        <f t="shared" si="8"/>
        <v>1046</v>
      </c>
      <c r="K15" s="8">
        <f t="shared" si="9"/>
        <v>73958</v>
      </c>
      <c r="L15" s="8"/>
      <c r="M15" s="8">
        <f t="shared" si="0"/>
        <v>565163.77999999991</v>
      </c>
      <c r="N15" s="198"/>
      <c r="O15" s="1"/>
    </row>
    <row r="16" spans="1:15">
      <c r="A16" s="47">
        <v>13</v>
      </c>
      <c r="B16" s="206">
        <v>46035</v>
      </c>
      <c r="C16" s="10">
        <v>0</v>
      </c>
      <c r="D16" s="18"/>
      <c r="E16" s="8"/>
      <c r="F16" s="8"/>
      <c r="G16" s="16">
        <f t="shared" si="7"/>
        <v>0</v>
      </c>
      <c r="H16" s="7"/>
      <c r="I16" s="7"/>
      <c r="J16" s="21">
        <f t="shared" si="8"/>
        <v>0</v>
      </c>
      <c r="K16" s="8">
        <f t="shared" si="9"/>
        <v>0</v>
      </c>
      <c r="L16" s="8"/>
      <c r="M16" s="8">
        <f t="shared" si="0"/>
        <v>565163.77999999991</v>
      </c>
      <c r="N16" s="198"/>
      <c r="O16" s="1"/>
    </row>
    <row r="17" spans="1:17">
      <c r="A17" s="47">
        <v>14</v>
      </c>
      <c r="B17" s="206">
        <v>46036</v>
      </c>
      <c r="C17" s="10">
        <v>0</v>
      </c>
      <c r="D17" s="18"/>
      <c r="E17" s="8"/>
      <c r="F17" s="8"/>
      <c r="G17" s="16">
        <f t="shared" si="7"/>
        <v>0</v>
      </c>
      <c r="H17" s="7"/>
      <c r="I17" s="7"/>
      <c r="J17" s="21">
        <f t="shared" si="8"/>
        <v>0</v>
      </c>
      <c r="K17" s="8">
        <f t="shared" si="9"/>
        <v>0</v>
      </c>
      <c r="L17" s="8"/>
      <c r="M17" s="8">
        <f t="shared" ref="M17:M37" si="10">M16+K17-L17</f>
        <v>565163.77999999991</v>
      </c>
      <c r="N17" s="198"/>
      <c r="O17" s="1"/>
    </row>
    <row r="18" spans="1:17">
      <c r="A18" s="47">
        <v>15</v>
      </c>
      <c r="B18" s="206">
        <v>46037</v>
      </c>
      <c r="C18" s="10">
        <v>0</v>
      </c>
      <c r="D18" s="18"/>
      <c r="E18" s="8">
        <v>600</v>
      </c>
      <c r="F18" s="8">
        <v>91.14</v>
      </c>
      <c r="G18" s="16">
        <f t="shared" si="7"/>
        <v>54684</v>
      </c>
      <c r="H18" s="7"/>
      <c r="I18" s="7"/>
      <c r="J18" s="21">
        <f t="shared" si="8"/>
        <v>0</v>
      </c>
      <c r="K18" s="8">
        <f t="shared" si="9"/>
        <v>54684</v>
      </c>
      <c r="L18" s="8"/>
      <c r="M18" s="8">
        <f t="shared" si="10"/>
        <v>619847.77999999991</v>
      </c>
      <c r="N18" s="198"/>
      <c r="O18" s="1"/>
    </row>
    <row r="19" spans="1:17">
      <c r="A19" s="47">
        <v>16</v>
      </c>
      <c r="B19" s="206">
        <v>46038</v>
      </c>
      <c r="C19" s="10">
        <v>0</v>
      </c>
      <c r="D19" s="18"/>
      <c r="E19" s="8"/>
      <c r="F19" s="8"/>
      <c r="G19" s="16">
        <f t="shared" si="7"/>
        <v>0</v>
      </c>
      <c r="H19" s="7"/>
      <c r="I19" s="7"/>
      <c r="J19" s="21">
        <f t="shared" si="8"/>
        <v>0</v>
      </c>
      <c r="K19" s="8">
        <f t="shared" si="9"/>
        <v>0</v>
      </c>
      <c r="L19" s="8"/>
      <c r="M19" s="8">
        <f t="shared" si="10"/>
        <v>619847.77999999991</v>
      </c>
      <c r="N19" s="198"/>
      <c r="O19" s="1"/>
    </row>
    <row r="20" spans="1:17">
      <c r="A20" s="47">
        <v>17</v>
      </c>
      <c r="B20" s="206">
        <v>46039</v>
      </c>
      <c r="C20" s="10">
        <v>0</v>
      </c>
      <c r="D20" s="18"/>
      <c r="E20" s="8">
        <v>800</v>
      </c>
      <c r="F20" s="8">
        <v>91.14</v>
      </c>
      <c r="G20" s="16">
        <f t="shared" si="7"/>
        <v>72912</v>
      </c>
      <c r="H20" s="7">
        <v>20</v>
      </c>
      <c r="I20" s="7">
        <v>104.6</v>
      </c>
      <c r="J20" s="21">
        <f t="shared" si="8"/>
        <v>2092</v>
      </c>
      <c r="K20" s="8">
        <f t="shared" si="9"/>
        <v>75004</v>
      </c>
      <c r="L20" s="8"/>
      <c r="M20" s="8">
        <f t="shared" si="10"/>
        <v>694851.77999999991</v>
      </c>
      <c r="N20" s="198"/>
      <c r="O20" s="1"/>
    </row>
    <row r="21" spans="1:17">
      <c r="A21" s="47">
        <v>18</v>
      </c>
      <c r="B21" s="206">
        <v>46040</v>
      </c>
      <c r="C21" s="10">
        <v>0</v>
      </c>
      <c r="D21" s="18"/>
      <c r="E21" s="8"/>
      <c r="F21" s="8"/>
      <c r="G21" s="16">
        <f t="shared" si="7"/>
        <v>0</v>
      </c>
      <c r="H21" s="7"/>
      <c r="I21" s="7"/>
      <c r="J21" s="21">
        <f t="shared" si="8"/>
        <v>0</v>
      </c>
      <c r="K21" s="8">
        <f t="shared" si="9"/>
        <v>0</v>
      </c>
      <c r="L21" s="8"/>
      <c r="M21" s="8">
        <f t="shared" si="10"/>
        <v>694851.77999999991</v>
      </c>
      <c r="N21" s="198"/>
      <c r="O21" s="1"/>
    </row>
    <row r="22" spans="1:17">
      <c r="A22" s="47">
        <v>19</v>
      </c>
      <c r="B22" s="206">
        <v>46041</v>
      </c>
      <c r="C22" s="10">
        <v>0</v>
      </c>
      <c r="D22" s="18"/>
      <c r="E22" s="8"/>
      <c r="F22" s="8"/>
      <c r="G22" s="16">
        <f t="shared" si="7"/>
        <v>0</v>
      </c>
      <c r="H22" s="7"/>
      <c r="I22" s="7"/>
      <c r="J22" s="21">
        <f t="shared" si="8"/>
        <v>0</v>
      </c>
      <c r="K22" s="8">
        <f t="shared" si="9"/>
        <v>0</v>
      </c>
      <c r="L22" s="8">
        <v>523255</v>
      </c>
      <c r="M22" s="8">
        <f t="shared" si="10"/>
        <v>171596.77999999991</v>
      </c>
      <c r="N22" s="198"/>
      <c r="O22" s="1"/>
      <c r="Q22" s="387">
        <f>3800/26</f>
        <v>146.15384615384616</v>
      </c>
    </row>
    <row r="23" spans="1:17">
      <c r="A23" s="47">
        <v>20</v>
      </c>
      <c r="B23" s="206">
        <v>46042</v>
      </c>
      <c r="C23" s="10"/>
      <c r="D23" s="18"/>
      <c r="E23" s="8"/>
      <c r="F23" s="8"/>
      <c r="G23" s="16"/>
      <c r="H23" s="7">
        <v>53</v>
      </c>
      <c r="I23" s="7">
        <v>209.79</v>
      </c>
      <c r="J23" s="21">
        <f>H23*I23</f>
        <v>11118.869999999999</v>
      </c>
      <c r="K23" s="8">
        <f t="shared" si="9"/>
        <v>11118.869999999999</v>
      </c>
      <c r="L23" s="8"/>
      <c r="M23" s="8">
        <f t="shared" si="10"/>
        <v>182715.64999999991</v>
      </c>
      <c r="N23" s="198"/>
      <c r="O23" s="1" t="s">
        <v>262</v>
      </c>
    </row>
    <row r="24" spans="1:17">
      <c r="A24" s="47">
        <v>21</v>
      </c>
      <c r="B24" s="206">
        <v>46043</v>
      </c>
      <c r="C24" s="10">
        <v>0</v>
      </c>
      <c r="D24" s="18"/>
      <c r="E24" s="8"/>
      <c r="F24" s="8"/>
      <c r="G24" s="16">
        <f t="shared" si="7"/>
        <v>0</v>
      </c>
      <c r="H24" s="7"/>
      <c r="I24" s="7"/>
      <c r="J24" s="21">
        <f t="shared" si="8"/>
        <v>0</v>
      </c>
      <c r="K24" s="8">
        <f t="shared" si="9"/>
        <v>0</v>
      </c>
      <c r="L24" s="8"/>
      <c r="M24" s="8">
        <f t="shared" si="10"/>
        <v>182715.64999999991</v>
      </c>
      <c r="N24" s="198"/>
      <c r="O24" s="1"/>
    </row>
    <row r="25" spans="1:17">
      <c r="A25" s="47">
        <v>22</v>
      </c>
      <c r="B25" s="206">
        <v>46044</v>
      </c>
      <c r="C25" s="10">
        <v>0</v>
      </c>
      <c r="D25" s="18"/>
      <c r="E25" s="8"/>
      <c r="F25" s="8"/>
      <c r="G25" s="16">
        <f t="shared" si="7"/>
        <v>0</v>
      </c>
      <c r="H25" s="7"/>
      <c r="I25" s="7"/>
      <c r="J25" s="21">
        <f t="shared" si="8"/>
        <v>0</v>
      </c>
      <c r="K25" s="8">
        <f t="shared" si="9"/>
        <v>0</v>
      </c>
      <c r="L25" s="8"/>
      <c r="M25" s="8">
        <f t="shared" si="10"/>
        <v>182715.64999999991</v>
      </c>
      <c r="N25" s="198"/>
      <c r="O25" s="1"/>
    </row>
    <row r="26" spans="1:17">
      <c r="A26" s="47">
        <v>23</v>
      </c>
      <c r="B26" s="206">
        <v>46045</v>
      </c>
      <c r="C26" s="10">
        <v>0</v>
      </c>
      <c r="D26" s="18"/>
      <c r="E26" s="8"/>
      <c r="F26" s="8"/>
      <c r="G26" s="16">
        <f t="shared" si="7"/>
        <v>0</v>
      </c>
      <c r="H26" s="7"/>
      <c r="I26" s="7"/>
      <c r="J26" s="21">
        <f t="shared" si="8"/>
        <v>0</v>
      </c>
      <c r="K26" s="8">
        <f t="shared" si="9"/>
        <v>0</v>
      </c>
      <c r="L26" s="8"/>
      <c r="M26" s="8">
        <f t="shared" si="10"/>
        <v>182715.64999999991</v>
      </c>
      <c r="N26" s="198"/>
      <c r="O26" s="1"/>
    </row>
    <row r="27" spans="1:17">
      <c r="A27" s="47">
        <v>24</v>
      </c>
      <c r="B27" s="206">
        <v>46046</v>
      </c>
      <c r="C27" s="10">
        <v>0</v>
      </c>
      <c r="D27" s="18"/>
      <c r="E27" s="8"/>
      <c r="F27" s="8"/>
      <c r="G27" s="16">
        <f t="shared" si="7"/>
        <v>0</v>
      </c>
      <c r="H27" s="7"/>
      <c r="I27" s="7"/>
      <c r="J27" s="21">
        <f t="shared" si="8"/>
        <v>0</v>
      </c>
      <c r="K27" s="8">
        <f t="shared" si="9"/>
        <v>0</v>
      </c>
      <c r="L27" s="8"/>
      <c r="M27" s="8">
        <f t="shared" si="10"/>
        <v>182715.64999999991</v>
      </c>
      <c r="N27" s="198"/>
      <c r="O27" s="1"/>
    </row>
    <row r="28" spans="1:17">
      <c r="A28" s="47">
        <v>25</v>
      </c>
      <c r="B28" s="206">
        <v>46047</v>
      </c>
      <c r="C28" s="10">
        <v>0</v>
      </c>
      <c r="D28" s="18"/>
      <c r="E28" s="8"/>
      <c r="F28" s="8"/>
      <c r="G28" s="16">
        <f t="shared" si="7"/>
        <v>0</v>
      </c>
      <c r="H28" s="7"/>
      <c r="I28" s="7"/>
      <c r="J28" s="21">
        <f t="shared" si="8"/>
        <v>0</v>
      </c>
      <c r="K28" s="8">
        <f t="shared" si="9"/>
        <v>0</v>
      </c>
      <c r="L28" s="8"/>
      <c r="M28" s="8">
        <f t="shared" si="10"/>
        <v>182715.64999999991</v>
      </c>
      <c r="N28" s="198"/>
      <c r="O28" s="1"/>
    </row>
    <row r="29" spans="1:17">
      <c r="A29" s="47">
        <v>26</v>
      </c>
      <c r="B29" s="206">
        <v>46048</v>
      </c>
      <c r="C29" s="10"/>
      <c r="D29" s="18"/>
      <c r="E29" s="8"/>
      <c r="F29" s="8"/>
      <c r="G29" s="16"/>
      <c r="H29" s="7"/>
      <c r="I29" s="7"/>
      <c r="J29" s="21">
        <f t="shared" si="8"/>
        <v>0</v>
      </c>
      <c r="K29" s="8">
        <f t="shared" si="9"/>
        <v>0</v>
      </c>
      <c r="L29" s="8"/>
      <c r="M29" s="8">
        <f t="shared" si="10"/>
        <v>182715.64999999991</v>
      </c>
      <c r="N29" s="198"/>
      <c r="O29" s="1"/>
    </row>
    <row r="30" spans="1:17">
      <c r="A30" s="47">
        <v>27</v>
      </c>
      <c r="B30" s="206">
        <v>46049</v>
      </c>
      <c r="C30" s="10">
        <v>0</v>
      </c>
      <c r="D30" s="18"/>
      <c r="E30" s="8">
        <v>1000</v>
      </c>
      <c r="F30" s="8">
        <v>91.14</v>
      </c>
      <c r="G30" s="16">
        <f t="shared" si="7"/>
        <v>91140</v>
      </c>
      <c r="H30" s="7"/>
      <c r="I30" s="7"/>
      <c r="J30" s="21">
        <f t="shared" si="8"/>
        <v>0</v>
      </c>
      <c r="K30" s="8">
        <f t="shared" si="9"/>
        <v>91140</v>
      </c>
      <c r="L30" s="8"/>
      <c r="M30" s="8">
        <f t="shared" si="10"/>
        <v>273855.64999999991</v>
      </c>
      <c r="N30" s="198"/>
      <c r="O30" s="1"/>
    </row>
    <row r="31" spans="1:17">
      <c r="A31" s="47">
        <v>28</v>
      </c>
      <c r="B31" s="206">
        <v>46050</v>
      </c>
      <c r="C31" s="10">
        <v>0</v>
      </c>
      <c r="D31" s="18"/>
      <c r="E31" s="8"/>
      <c r="F31" s="8"/>
      <c r="G31" s="16">
        <f t="shared" si="7"/>
        <v>0</v>
      </c>
      <c r="H31" s="7"/>
      <c r="I31" s="7"/>
      <c r="J31" s="21">
        <f t="shared" si="8"/>
        <v>0</v>
      </c>
      <c r="K31" s="8">
        <f t="shared" si="9"/>
        <v>0</v>
      </c>
      <c r="L31" s="8"/>
      <c r="M31" s="8">
        <f t="shared" si="10"/>
        <v>273855.64999999991</v>
      </c>
      <c r="N31" s="198"/>
      <c r="O31" s="1"/>
    </row>
    <row r="32" spans="1:17">
      <c r="A32" s="47">
        <v>29</v>
      </c>
      <c r="B32" s="206">
        <v>46051</v>
      </c>
      <c r="C32" s="10">
        <v>0</v>
      </c>
      <c r="D32" s="18"/>
      <c r="E32" s="8"/>
      <c r="F32" s="8"/>
      <c r="G32" s="16">
        <f t="shared" si="7"/>
        <v>0</v>
      </c>
      <c r="H32" s="7"/>
      <c r="I32" s="7"/>
      <c r="J32" s="21">
        <f t="shared" si="8"/>
        <v>0</v>
      </c>
      <c r="K32" s="8">
        <f t="shared" si="9"/>
        <v>0</v>
      </c>
      <c r="L32" s="8"/>
      <c r="M32" s="8">
        <f t="shared" si="10"/>
        <v>273855.64999999991</v>
      </c>
      <c r="N32" s="198"/>
      <c r="O32" s="1"/>
    </row>
    <row r="33" spans="1:17">
      <c r="A33" s="47">
        <v>30</v>
      </c>
      <c r="B33" s="206">
        <v>46052</v>
      </c>
      <c r="C33" s="10">
        <v>0</v>
      </c>
      <c r="D33" s="18"/>
      <c r="E33" s="8"/>
      <c r="F33" s="8"/>
      <c r="G33" s="16">
        <f t="shared" si="7"/>
        <v>0</v>
      </c>
      <c r="H33" s="7"/>
      <c r="I33" s="7"/>
      <c r="J33" s="21">
        <f t="shared" si="8"/>
        <v>0</v>
      </c>
      <c r="K33" s="8">
        <f t="shared" si="9"/>
        <v>0</v>
      </c>
      <c r="L33" s="8"/>
      <c r="M33" s="8">
        <f t="shared" si="10"/>
        <v>273855.64999999991</v>
      </c>
      <c r="N33" s="198"/>
      <c r="O33" s="1"/>
    </row>
    <row r="34" spans="1:17">
      <c r="A34" s="47">
        <v>31</v>
      </c>
      <c r="B34" s="206">
        <v>46053</v>
      </c>
      <c r="C34" s="10">
        <v>0</v>
      </c>
      <c r="D34" s="18"/>
      <c r="E34" s="8">
        <v>1000</v>
      </c>
      <c r="F34" s="8">
        <v>91.14</v>
      </c>
      <c r="G34" s="16">
        <f t="shared" si="7"/>
        <v>91140</v>
      </c>
      <c r="H34" s="7">
        <v>10</v>
      </c>
      <c r="I34" s="7">
        <v>104.6</v>
      </c>
      <c r="J34" s="21">
        <f t="shared" si="8"/>
        <v>1046</v>
      </c>
      <c r="K34" s="8">
        <f t="shared" si="9"/>
        <v>92186</v>
      </c>
      <c r="L34" s="8"/>
      <c r="M34" s="8">
        <f t="shared" si="10"/>
        <v>366041.64999999991</v>
      </c>
      <c r="N34" s="198"/>
      <c r="O34" s="1"/>
    </row>
    <row r="35" spans="1:17">
      <c r="A35" s="47">
        <v>32</v>
      </c>
      <c r="B35" s="206"/>
      <c r="C35" s="10">
        <v>0</v>
      </c>
      <c r="D35" s="18"/>
      <c r="E35" s="8"/>
      <c r="F35" s="8"/>
      <c r="G35" s="16">
        <f t="shared" si="7"/>
        <v>0</v>
      </c>
      <c r="H35" s="7"/>
      <c r="I35" s="7"/>
      <c r="J35" s="21">
        <f t="shared" si="8"/>
        <v>0</v>
      </c>
      <c r="K35" s="8">
        <f t="shared" si="9"/>
        <v>0</v>
      </c>
      <c r="L35" s="8"/>
      <c r="M35" s="8">
        <f t="shared" si="10"/>
        <v>366041.64999999991</v>
      </c>
      <c r="N35" s="198"/>
      <c r="O35" s="1"/>
    </row>
    <row r="36" spans="1:17">
      <c r="A36" s="47">
        <v>31</v>
      </c>
      <c r="B36" s="206"/>
      <c r="C36" s="253">
        <v>0</v>
      </c>
      <c r="D36" s="254"/>
      <c r="E36" s="8"/>
      <c r="F36" s="8"/>
      <c r="G36" s="16">
        <f t="shared" si="7"/>
        <v>0</v>
      </c>
      <c r="H36" s="7"/>
      <c r="I36" s="7"/>
      <c r="J36" s="21">
        <f t="shared" si="8"/>
        <v>0</v>
      </c>
      <c r="K36" s="8">
        <f t="shared" si="9"/>
        <v>0</v>
      </c>
      <c r="L36" s="8"/>
      <c r="M36" s="8">
        <f t="shared" si="10"/>
        <v>366041.64999999991</v>
      </c>
      <c r="N36" s="198"/>
      <c r="O36" s="1"/>
    </row>
    <row r="37" spans="1:17">
      <c r="A37" s="47">
        <v>32</v>
      </c>
      <c r="B37" s="206"/>
      <c r="C37" s="25"/>
      <c r="D37" s="18"/>
      <c r="E37" s="8">
        <v>0</v>
      </c>
      <c r="F37" s="8">
        <v>0</v>
      </c>
      <c r="G37" s="16">
        <f t="shared" si="4"/>
        <v>0</v>
      </c>
      <c r="H37" s="7"/>
      <c r="I37" s="7"/>
      <c r="J37" s="21">
        <f t="shared" si="5"/>
        <v>0</v>
      </c>
      <c r="K37" s="8">
        <f t="shared" si="6"/>
        <v>0</v>
      </c>
      <c r="L37" s="8"/>
      <c r="M37" s="8">
        <f t="shared" si="10"/>
        <v>366041.64999999991</v>
      </c>
      <c r="N37" s="198"/>
      <c r="O37" s="1"/>
      <c r="P37">
        <v>1194597.71</v>
      </c>
      <c r="Q37" s="312">
        <f>P37-M37</f>
        <v>828556.06</v>
      </c>
    </row>
    <row r="38" spans="1:17">
      <c r="A38" s="164"/>
      <c r="B38" s="164"/>
      <c r="C38" s="164"/>
      <c r="D38" s="164"/>
      <c r="E38" s="165">
        <f>SUM(E4:E37)</f>
        <v>5600</v>
      </c>
      <c r="F38" s="165"/>
      <c r="G38" s="165">
        <f>SUM(G4:G37)</f>
        <v>510384</v>
      </c>
      <c r="H38" s="165">
        <f>SUM(H4:H37)</f>
        <v>103</v>
      </c>
      <c r="I38" s="165"/>
      <c r="J38" s="165">
        <f>SUM(J4:J37)</f>
        <v>16348.869999999999</v>
      </c>
      <c r="K38" s="165">
        <f>SUM(K4:K37)</f>
        <v>526732.87</v>
      </c>
      <c r="L38" s="165">
        <f>SUM(L4:L37)</f>
        <v>523255</v>
      </c>
      <c r="M38" s="165"/>
      <c r="N38" s="66"/>
      <c r="O38" s="62"/>
    </row>
    <row r="39" spans="1:17">
      <c r="A39" s="2"/>
      <c r="B39" s="2"/>
      <c r="C39" s="2"/>
      <c r="D39" s="2"/>
      <c r="E39" s="4"/>
      <c r="F39" s="4"/>
      <c r="G39" s="4"/>
      <c r="H39" s="4"/>
      <c r="I39" s="4"/>
      <c r="J39" s="4"/>
      <c r="K39" s="4"/>
      <c r="L39" s="4"/>
      <c r="M39" s="4"/>
      <c r="N39" s="4"/>
      <c r="O39" s="1"/>
    </row>
    <row r="40" spans="1:17">
      <c r="A40" s="1"/>
      <c r="B40" s="454"/>
      <c r="C40" s="454"/>
      <c r="D40" s="454"/>
      <c r="E40" s="454"/>
      <c r="F40" s="1"/>
      <c r="G40" s="1"/>
      <c r="H40" s="1"/>
      <c r="I40" s="454"/>
      <c r="J40" s="454"/>
      <c r="K40" s="454"/>
      <c r="L40" s="454"/>
      <c r="M40" s="454"/>
      <c r="N40" s="454"/>
      <c r="O40" s="4"/>
    </row>
    <row r="41" spans="1:17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</sheetData>
  <mergeCells count="3">
    <mergeCell ref="B40:E40"/>
    <mergeCell ref="I40:N40"/>
    <mergeCell ref="A1:N1"/>
  </mergeCells>
  <pageMargins left="0.7" right="0.7" top="0.75" bottom="0.75" header="0.3" footer="0.3"/>
  <legacy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D1FCD-21AA-40DD-BCCB-514D4CD38E73}">
  <sheetPr>
    <tabColor rgb="FF7030A0"/>
  </sheetPr>
  <dimension ref="A1:R51"/>
  <sheetViews>
    <sheetView workbookViewId="0">
      <pane ySplit="2" topLeftCell="A3" activePane="bottomLeft" state="frozen"/>
      <selection pane="bottomLeft" activeCell="L11" sqref="L11"/>
    </sheetView>
  </sheetViews>
  <sheetFormatPr defaultColWidth="9.140625" defaultRowHeight="15"/>
  <cols>
    <col min="1" max="1" width="6.140625" bestFit="1" customWidth="1"/>
    <col min="2" max="2" width="11.5703125" customWidth="1"/>
    <col min="3" max="3" width="8" bestFit="1" customWidth="1"/>
    <col min="4" max="4" width="15.5703125" customWidth="1"/>
    <col min="5" max="5" width="10.85546875" bestFit="1" customWidth="1"/>
    <col min="6" max="7" width="11.85546875" bestFit="1" customWidth="1"/>
    <col min="8" max="8" width="10.7109375" bestFit="1" customWidth="1"/>
    <col min="9" max="9" width="8.140625" bestFit="1" customWidth="1"/>
    <col min="10" max="10" width="10.85546875" bestFit="1" customWidth="1"/>
    <col min="11" max="12" width="13.5703125" bestFit="1" customWidth="1"/>
    <col min="13" max="13" width="13.5703125" customWidth="1"/>
    <col min="14" max="14" width="17.7109375" bestFit="1" customWidth="1"/>
    <col min="15" max="15" width="7.140625" customWidth="1"/>
    <col min="16" max="16" width="9.7109375" customWidth="1"/>
    <col min="17" max="17" width="11.28515625" bestFit="1" customWidth="1"/>
  </cols>
  <sheetData>
    <row r="1" spans="1:15" ht="15.75">
      <c r="A1" s="468" t="s">
        <v>66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56"/>
    </row>
    <row r="2" spans="1:15" ht="18" customHeight="1">
      <c r="A2" s="67" t="s">
        <v>129</v>
      </c>
      <c r="B2" s="86" t="s">
        <v>130</v>
      </c>
      <c r="C2" s="86" t="s">
        <v>131</v>
      </c>
      <c r="D2" s="86" t="s">
        <v>132</v>
      </c>
      <c r="E2" s="86" t="s">
        <v>133</v>
      </c>
      <c r="F2" s="86" t="s">
        <v>134</v>
      </c>
      <c r="G2" s="86" t="s">
        <v>135</v>
      </c>
      <c r="H2" s="86" t="s">
        <v>136</v>
      </c>
      <c r="I2" s="86" t="s">
        <v>134</v>
      </c>
      <c r="J2" s="87" t="s">
        <v>135</v>
      </c>
      <c r="K2" s="67" t="s">
        <v>137</v>
      </c>
      <c r="L2" s="88" t="s">
        <v>138</v>
      </c>
      <c r="M2" s="170" t="s">
        <v>199</v>
      </c>
      <c r="N2" s="86" t="s">
        <v>140</v>
      </c>
      <c r="O2" s="62"/>
    </row>
    <row r="3" spans="1:15" ht="18" customHeight="1">
      <c r="A3" s="148"/>
      <c r="B3" s="149"/>
      <c r="C3" s="149"/>
      <c r="D3" s="135" t="s">
        <v>141</v>
      </c>
      <c r="E3" s="149"/>
      <c r="F3" s="149"/>
      <c r="G3" s="149"/>
      <c r="H3" s="149"/>
      <c r="I3" s="149"/>
      <c r="J3" s="150"/>
      <c r="K3" s="270"/>
      <c r="L3" s="236">
        <v>9461.0768999998982</v>
      </c>
      <c r="M3" s="236">
        <v>9461.0768999998982</v>
      </c>
      <c r="N3" s="149"/>
      <c r="O3" s="62"/>
    </row>
    <row r="4" spans="1:15">
      <c r="A4" s="47">
        <v>1</v>
      </c>
      <c r="B4" s="206">
        <v>45658</v>
      </c>
      <c r="C4" s="25"/>
      <c r="D4" s="25"/>
      <c r="E4" s="8">
        <v>0</v>
      </c>
      <c r="F4" s="8">
        <v>0</v>
      </c>
      <c r="G4" s="8"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51">
        <v>0</v>
      </c>
      <c r="M4" s="8">
        <f>M3+K4-L4</f>
        <v>9461.0768999998982</v>
      </c>
      <c r="N4" s="45"/>
      <c r="O4" s="1"/>
    </row>
    <row r="5" spans="1:15">
      <c r="A5" s="47">
        <v>2</v>
      </c>
      <c r="B5" s="206">
        <v>45659</v>
      </c>
      <c r="C5" s="25"/>
      <c r="D5" s="25"/>
      <c r="E5" s="8">
        <v>0</v>
      </c>
      <c r="F5" s="8">
        <v>0</v>
      </c>
      <c r="G5" s="8">
        <f t="shared" ref="G5:G34" si="0">E5*F5</f>
        <v>0</v>
      </c>
      <c r="H5" s="9">
        <v>0</v>
      </c>
      <c r="I5" s="9">
        <v>0</v>
      </c>
      <c r="J5" s="8">
        <f t="shared" ref="J5:J34" si="1">H5*I5</f>
        <v>0</v>
      </c>
      <c r="K5" s="8">
        <f t="shared" ref="K5:K34" si="2">G5+J5</f>
        <v>0</v>
      </c>
      <c r="L5" s="151">
        <v>0</v>
      </c>
      <c r="M5" s="8">
        <f t="shared" ref="M5:M35" si="3">M4+K5-L5</f>
        <v>9461.0768999998982</v>
      </c>
      <c r="N5" s="45"/>
      <c r="O5" s="1"/>
    </row>
    <row r="6" spans="1:15">
      <c r="A6" s="47">
        <v>3</v>
      </c>
      <c r="B6" s="206">
        <v>45660</v>
      </c>
      <c r="C6" s="25"/>
      <c r="D6" s="25"/>
      <c r="E6" s="8">
        <v>0</v>
      </c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51">
        <v>0</v>
      </c>
      <c r="M6" s="8">
        <f t="shared" si="3"/>
        <v>9461.0768999998982</v>
      </c>
      <c r="N6" s="45"/>
      <c r="O6" s="1"/>
    </row>
    <row r="7" spans="1:15">
      <c r="A7" s="47">
        <v>4</v>
      </c>
      <c r="B7" s="206">
        <v>45661</v>
      </c>
      <c r="C7" s="25"/>
      <c r="D7" s="25"/>
      <c r="E7" s="8">
        <v>0</v>
      </c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51">
        <v>0</v>
      </c>
      <c r="M7" s="8">
        <f t="shared" si="3"/>
        <v>9461.0768999998982</v>
      </c>
      <c r="N7" s="45"/>
      <c r="O7" s="1"/>
    </row>
    <row r="8" spans="1:15">
      <c r="A8" s="47">
        <v>5</v>
      </c>
      <c r="B8" s="206">
        <v>45662</v>
      </c>
      <c r="C8" s="25"/>
      <c r="D8" s="25"/>
      <c r="E8" s="8">
        <v>0</v>
      </c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51">
        <v>0</v>
      </c>
      <c r="M8" s="8">
        <f t="shared" si="3"/>
        <v>9461.0768999998982</v>
      </c>
      <c r="N8" s="45"/>
      <c r="O8" s="1"/>
    </row>
    <row r="9" spans="1:15">
      <c r="A9" s="47">
        <v>6</v>
      </c>
      <c r="B9" s="206">
        <v>45663</v>
      </c>
      <c r="C9" s="25"/>
      <c r="D9" s="25"/>
      <c r="E9" s="8">
        <v>0</v>
      </c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51">
        <v>9147</v>
      </c>
      <c r="M9" s="8">
        <f t="shared" si="3"/>
        <v>314.07689999989816</v>
      </c>
      <c r="N9" s="45"/>
      <c r="O9" s="1"/>
    </row>
    <row r="10" spans="1:15">
      <c r="A10" s="47">
        <v>7</v>
      </c>
      <c r="B10" s="206">
        <v>45664</v>
      </c>
      <c r="C10" s="25"/>
      <c r="D10" s="25"/>
      <c r="E10" s="8">
        <v>0</v>
      </c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51">
        <v>314.08</v>
      </c>
      <c r="M10" s="8">
        <f t="shared" si="3"/>
        <v>-3.1000001018242074E-3</v>
      </c>
      <c r="N10" s="45" t="s">
        <v>263</v>
      </c>
      <c r="O10" s="1"/>
    </row>
    <row r="11" spans="1:15">
      <c r="A11" s="47">
        <v>8</v>
      </c>
      <c r="B11" s="206">
        <v>45665</v>
      </c>
      <c r="C11" s="25"/>
      <c r="D11" s="25"/>
      <c r="E11" s="8">
        <v>0</v>
      </c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51">
        <v>0</v>
      </c>
      <c r="M11" s="8">
        <f t="shared" si="3"/>
        <v>-3.1000001018242074E-3</v>
      </c>
      <c r="N11" s="45"/>
      <c r="O11" s="1"/>
    </row>
    <row r="12" spans="1:15">
      <c r="A12" s="47">
        <v>9</v>
      </c>
      <c r="B12" s="206">
        <v>45666</v>
      </c>
      <c r="C12" s="25"/>
      <c r="D12" s="25"/>
      <c r="E12" s="8">
        <v>0</v>
      </c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51">
        <v>0</v>
      </c>
      <c r="M12" s="8">
        <f t="shared" si="3"/>
        <v>-3.1000001018242074E-3</v>
      </c>
      <c r="N12" s="45"/>
      <c r="O12" s="1" t="s">
        <v>264</v>
      </c>
    </row>
    <row r="13" spans="1:15">
      <c r="A13" s="47">
        <v>10</v>
      </c>
      <c r="B13" s="206">
        <v>45667</v>
      </c>
      <c r="C13" s="25"/>
      <c r="D13" s="25"/>
      <c r="E13" s="8">
        <v>0</v>
      </c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151">
        <v>0</v>
      </c>
      <c r="M13" s="8">
        <f t="shared" si="3"/>
        <v>-3.1000001018242074E-3</v>
      </c>
      <c r="N13" s="45"/>
      <c r="O13" s="1"/>
    </row>
    <row r="14" spans="1:15">
      <c r="A14" s="47">
        <v>11</v>
      </c>
      <c r="B14" s="206">
        <v>45668</v>
      </c>
      <c r="C14" s="25"/>
      <c r="D14" s="25"/>
      <c r="E14" s="8">
        <v>0</v>
      </c>
      <c r="F14" s="8">
        <v>0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151">
        <v>0</v>
      </c>
      <c r="M14" s="8">
        <f t="shared" si="3"/>
        <v>-3.1000001018242074E-3</v>
      </c>
      <c r="N14" s="45"/>
      <c r="O14" s="1"/>
    </row>
    <row r="15" spans="1:15">
      <c r="A15" s="47">
        <v>12</v>
      </c>
      <c r="B15" s="206">
        <v>45669</v>
      </c>
      <c r="C15" s="25"/>
      <c r="D15" s="25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51">
        <v>0</v>
      </c>
      <c r="M15" s="8">
        <f t="shared" si="3"/>
        <v>-3.1000001018242074E-3</v>
      </c>
      <c r="N15" s="45"/>
      <c r="O15" s="1"/>
    </row>
    <row r="16" spans="1:15">
      <c r="A16" s="47">
        <v>13</v>
      </c>
      <c r="B16" s="206">
        <v>45670</v>
      </c>
      <c r="C16" s="25"/>
      <c r="D16" s="25"/>
      <c r="E16" s="8">
        <v>0</v>
      </c>
      <c r="F16" s="8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151">
        <v>0</v>
      </c>
      <c r="M16" s="8">
        <f>M15+K16-L16</f>
        <v>-3.1000001018242074E-3</v>
      </c>
      <c r="N16" s="45"/>
      <c r="O16" s="1"/>
    </row>
    <row r="17" spans="1:18">
      <c r="A17" s="47">
        <v>14</v>
      </c>
      <c r="B17" s="206">
        <v>45671</v>
      </c>
      <c r="C17" s="25"/>
      <c r="D17" s="25"/>
      <c r="E17" s="8">
        <v>0</v>
      </c>
      <c r="F17" s="8">
        <v>0</v>
      </c>
      <c r="G17" s="8">
        <f t="shared" si="0"/>
        <v>0</v>
      </c>
      <c r="H17" s="9">
        <v>0</v>
      </c>
      <c r="I17" s="9">
        <v>0</v>
      </c>
      <c r="J17" s="8"/>
      <c r="K17" s="8">
        <f t="shared" si="2"/>
        <v>0</v>
      </c>
      <c r="L17" s="151">
        <v>0</v>
      </c>
      <c r="M17" s="8">
        <f>M16+K17-L17</f>
        <v>-3.1000001018242074E-3</v>
      </c>
      <c r="N17" s="45"/>
      <c r="O17" s="1"/>
    </row>
    <row r="18" spans="1:18">
      <c r="A18" s="47">
        <v>15</v>
      </c>
      <c r="B18" s="206">
        <v>45672</v>
      </c>
      <c r="C18" s="25"/>
      <c r="D18" s="25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51">
        <v>0</v>
      </c>
      <c r="M18" s="8">
        <f t="shared" ref="M18:M36" si="4">M17+K18-L18</f>
        <v>-3.1000001018242074E-3</v>
      </c>
      <c r="N18" s="45"/>
      <c r="O18" s="1"/>
    </row>
    <row r="19" spans="1:18">
      <c r="A19" s="47">
        <v>16</v>
      </c>
      <c r="B19" s="206">
        <v>45673</v>
      </c>
      <c r="C19" s="25"/>
      <c r="D19" s="25"/>
      <c r="E19" s="8">
        <v>0</v>
      </c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151">
        <v>0</v>
      </c>
      <c r="M19" s="8">
        <f t="shared" si="4"/>
        <v>-3.1000001018242074E-3</v>
      </c>
      <c r="N19" s="45"/>
      <c r="O19" s="1"/>
    </row>
    <row r="20" spans="1:18">
      <c r="A20" s="47">
        <v>17</v>
      </c>
      <c r="B20" s="206">
        <v>45674</v>
      </c>
      <c r="C20" s="25"/>
      <c r="D20" s="25"/>
      <c r="E20" s="8">
        <v>0</v>
      </c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51">
        <v>0</v>
      </c>
      <c r="M20" s="8">
        <f t="shared" si="4"/>
        <v>-3.1000001018242074E-3</v>
      </c>
      <c r="N20" s="45"/>
      <c r="O20" s="1"/>
    </row>
    <row r="21" spans="1:18">
      <c r="A21" s="47">
        <v>18</v>
      </c>
      <c r="B21" s="206">
        <v>45675</v>
      </c>
      <c r="C21" s="25"/>
      <c r="D21" s="25"/>
      <c r="E21" s="8">
        <v>0</v>
      </c>
      <c r="F21" s="8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151">
        <v>0</v>
      </c>
      <c r="M21" s="8">
        <f t="shared" si="4"/>
        <v>-3.1000001018242074E-3</v>
      </c>
      <c r="N21" s="45"/>
      <c r="O21" s="1"/>
    </row>
    <row r="22" spans="1:18">
      <c r="A22" s="47">
        <v>19</v>
      </c>
      <c r="B22" s="206">
        <v>45676</v>
      </c>
      <c r="C22" s="25"/>
      <c r="D22" s="25"/>
      <c r="E22" s="8">
        <v>0</v>
      </c>
      <c r="F22" s="8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51">
        <v>0</v>
      </c>
      <c r="M22" s="8">
        <f t="shared" si="4"/>
        <v>-3.1000001018242074E-3</v>
      </c>
      <c r="N22" s="45"/>
      <c r="O22" s="1"/>
    </row>
    <row r="23" spans="1:18">
      <c r="A23" s="47">
        <v>20</v>
      </c>
      <c r="B23" s="206">
        <v>45677</v>
      </c>
      <c r="C23" s="25"/>
      <c r="D23" s="25"/>
      <c r="E23" s="8">
        <v>0</v>
      </c>
      <c r="F23" s="8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51">
        <v>0</v>
      </c>
      <c r="M23" s="8">
        <f t="shared" si="4"/>
        <v>-3.1000001018242074E-3</v>
      </c>
      <c r="N23" s="45"/>
      <c r="O23" s="1"/>
    </row>
    <row r="24" spans="1:18">
      <c r="A24" s="47">
        <v>21</v>
      </c>
      <c r="B24" s="206">
        <v>45678</v>
      </c>
      <c r="C24" s="25"/>
      <c r="D24" s="25"/>
      <c r="E24" s="8">
        <v>0</v>
      </c>
      <c r="F24" s="8">
        <v>0</v>
      </c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151">
        <v>0</v>
      </c>
      <c r="M24" s="8">
        <f t="shared" si="4"/>
        <v>-3.1000001018242074E-3</v>
      </c>
      <c r="N24" s="45"/>
      <c r="O24" s="1"/>
    </row>
    <row r="25" spans="1:18">
      <c r="A25" s="47">
        <v>22</v>
      </c>
      <c r="B25" s="206">
        <v>45679</v>
      </c>
      <c r="C25" s="25"/>
      <c r="D25" s="25"/>
      <c r="E25" s="8">
        <v>0</v>
      </c>
      <c r="F25" s="8">
        <v>0</v>
      </c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51">
        <v>0</v>
      </c>
      <c r="M25" s="8">
        <f t="shared" si="4"/>
        <v>-3.1000001018242074E-3</v>
      </c>
      <c r="N25" s="45"/>
      <c r="O25" s="1"/>
    </row>
    <row r="26" spans="1:18">
      <c r="A26" s="47">
        <v>23</v>
      </c>
      <c r="B26" s="206">
        <v>45680</v>
      </c>
      <c r="C26" s="25"/>
      <c r="D26" s="25"/>
      <c r="E26" s="8">
        <v>0</v>
      </c>
      <c r="F26" s="8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51">
        <v>0</v>
      </c>
      <c r="M26" s="8">
        <f t="shared" si="4"/>
        <v>-3.1000001018242074E-3</v>
      </c>
      <c r="N26" s="45"/>
      <c r="O26" s="1"/>
    </row>
    <row r="27" spans="1:18">
      <c r="A27" s="47">
        <v>24</v>
      </c>
      <c r="B27" s="206">
        <v>45681</v>
      </c>
      <c r="C27" s="25"/>
      <c r="D27" s="25"/>
      <c r="E27" s="8">
        <v>0</v>
      </c>
      <c r="F27" s="8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51">
        <v>0</v>
      </c>
      <c r="M27" s="8">
        <f t="shared" si="4"/>
        <v>-3.1000001018242074E-3</v>
      </c>
      <c r="N27" s="45"/>
      <c r="O27" s="1"/>
    </row>
    <row r="28" spans="1:18">
      <c r="A28" s="47">
        <v>25</v>
      </c>
      <c r="B28" s="206">
        <v>45682</v>
      </c>
      <c r="C28" s="25"/>
      <c r="D28" s="25"/>
      <c r="E28" s="8">
        <v>0</v>
      </c>
      <c r="F28" s="8">
        <v>0</v>
      </c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151">
        <v>0</v>
      </c>
      <c r="M28" s="8">
        <f t="shared" si="4"/>
        <v>-3.1000001018242074E-3</v>
      </c>
      <c r="N28" s="45"/>
      <c r="O28" s="1"/>
    </row>
    <row r="29" spans="1:18">
      <c r="A29" s="47">
        <v>26</v>
      </c>
      <c r="B29" s="206">
        <v>45683</v>
      </c>
      <c r="C29" s="25"/>
      <c r="D29" s="25"/>
      <c r="E29" s="8">
        <v>0</v>
      </c>
      <c r="F29" s="8">
        <v>0</v>
      </c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51">
        <v>0</v>
      </c>
      <c r="M29" s="8">
        <f t="shared" si="4"/>
        <v>-3.1000001018242074E-3</v>
      </c>
      <c r="N29" s="45"/>
      <c r="O29" s="1"/>
    </row>
    <row r="30" spans="1:18">
      <c r="A30" s="47">
        <v>27</v>
      </c>
      <c r="B30" s="206">
        <v>45684</v>
      </c>
      <c r="C30" s="25"/>
      <c r="D30" s="25"/>
      <c r="E30" s="8">
        <v>0</v>
      </c>
      <c r="F30" s="8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51">
        <v>0</v>
      </c>
      <c r="M30" s="8">
        <f t="shared" si="4"/>
        <v>-3.1000001018242074E-3</v>
      </c>
      <c r="N30" s="45"/>
      <c r="O30" s="1"/>
    </row>
    <row r="31" spans="1:18">
      <c r="A31" s="47">
        <v>28</v>
      </c>
      <c r="B31" s="206">
        <v>45685</v>
      </c>
      <c r="C31" s="25"/>
      <c r="D31" s="25"/>
      <c r="E31" s="8">
        <v>0</v>
      </c>
      <c r="F31" s="8">
        <v>0</v>
      </c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51">
        <v>0</v>
      </c>
      <c r="M31" s="8">
        <f t="shared" si="4"/>
        <v>-3.1000001018242074E-3</v>
      </c>
      <c r="N31" s="45"/>
      <c r="O31" s="1"/>
      <c r="R31">
        <v>46.61</v>
      </c>
    </row>
    <row r="32" spans="1:18">
      <c r="A32" s="47">
        <v>29</v>
      </c>
      <c r="B32" s="206">
        <v>45686</v>
      </c>
      <c r="C32" s="25"/>
      <c r="D32" s="25"/>
      <c r="E32" s="8">
        <v>0</v>
      </c>
      <c r="F32" s="8">
        <v>0</v>
      </c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>
        <f t="shared" si="2"/>
        <v>0</v>
      </c>
      <c r="L32" s="151">
        <v>0</v>
      </c>
      <c r="M32" s="8">
        <f t="shared" si="4"/>
        <v>-3.1000001018242074E-3</v>
      </c>
      <c r="N32" s="45"/>
      <c r="O32" s="1"/>
      <c r="R32">
        <v>100</v>
      </c>
    </row>
    <row r="33" spans="1:18">
      <c r="A33" s="47">
        <v>30</v>
      </c>
      <c r="B33" s="206">
        <v>45687</v>
      </c>
      <c r="C33" s="25"/>
      <c r="D33" s="25"/>
      <c r="E33" s="8">
        <v>0</v>
      </c>
      <c r="F33" s="8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51">
        <v>0</v>
      </c>
      <c r="M33" s="8">
        <f t="shared" si="4"/>
        <v>-3.1000001018242074E-3</v>
      </c>
      <c r="N33" s="45"/>
      <c r="O33" s="1"/>
      <c r="R33">
        <v>35</v>
      </c>
    </row>
    <row r="34" spans="1:18">
      <c r="A34" s="47">
        <v>31</v>
      </c>
      <c r="B34" s="206">
        <v>45688</v>
      </c>
      <c r="C34" s="25"/>
      <c r="D34" s="25"/>
      <c r="E34" s="8">
        <v>0</v>
      </c>
      <c r="F34" s="8">
        <v>0</v>
      </c>
      <c r="G34" s="8">
        <f t="shared" si="0"/>
        <v>0</v>
      </c>
      <c r="H34" s="9">
        <v>0</v>
      </c>
      <c r="I34" s="9">
        <v>0</v>
      </c>
      <c r="J34" s="8">
        <f t="shared" si="1"/>
        <v>0</v>
      </c>
      <c r="K34" s="8">
        <f t="shared" si="2"/>
        <v>0</v>
      </c>
      <c r="L34" s="151">
        <v>0</v>
      </c>
      <c r="M34" s="8">
        <f t="shared" si="4"/>
        <v>-3.1000001018242074E-3</v>
      </c>
      <c r="N34" s="45" t="s">
        <v>265</v>
      </c>
      <c r="O34" s="1"/>
    </row>
    <row r="35" spans="1:18">
      <c r="A35" s="47">
        <v>32</v>
      </c>
      <c r="B35" s="206">
        <v>45689</v>
      </c>
      <c r="C35" s="25"/>
      <c r="D35" s="25"/>
      <c r="E35" s="8">
        <v>0</v>
      </c>
      <c r="F35" s="8">
        <v>0</v>
      </c>
      <c r="G35" s="8">
        <f t="shared" ref="G35" si="5">E35*F35</f>
        <v>0</v>
      </c>
      <c r="H35" s="9">
        <v>0</v>
      </c>
      <c r="I35" s="9">
        <v>0</v>
      </c>
      <c r="J35" s="8">
        <f t="shared" ref="J35" si="6">H35*I35</f>
        <v>0</v>
      </c>
      <c r="K35" s="8">
        <f t="shared" ref="K35" si="7">G35+J35</f>
        <v>0</v>
      </c>
      <c r="L35" s="151">
        <v>0</v>
      </c>
      <c r="M35" s="8">
        <f t="shared" si="4"/>
        <v>-3.1000001018242074E-3</v>
      </c>
      <c r="N35" s="45"/>
      <c r="O35" s="1"/>
    </row>
    <row r="36" spans="1:18">
      <c r="A36" s="201"/>
      <c r="B36" s="206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51"/>
      <c r="M36" s="8">
        <f t="shared" si="4"/>
        <v>-3.1000001018242074E-3</v>
      </c>
      <c r="N36" s="45"/>
      <c r="O36" s="1"/>
    </row>
    <row r="37" spans="1:18">
      <c r="A37" s="65"/>
      <c r="B37" s="65"/>
      <c r="C37" s="65"/>
      <c r="D37" s="65"/>
      <c r="E37" s="66">
        <f>SUM(E4:E35)</f>
        <v>0</v>
      </c>
      <c r="F37" s="66"/>
      <c r="G37" s="66">
        <f>SUM(G4:G35)</f>
        <v>0</v>
      </c>
      <c r="H37" s="66">
        <f>SUM(H4:H35)</f>
        <v>0</v>
      </c>
      <c r="I37" s="66"/>
      <c r="J37" s="66">
        <f>SUM(J4:J35)</f>
        <v>0</v>
      </c>
      <c r="K37" s="66">
        <f>SUM(K4:K35)</f>
        <v>0</v>
      </c>
      <c r="L37" s="66">
        <f>SUM(L4:L35)</f>
        <v>9461.08</v>
      </c>
      <c r="M37" s="66"/>
      <c r="N37" s="66"/>
      <c r="O37" s="62"/>
    </row>
    <row r="38" spans="1:18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8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8">
      <c r="A40" s="1"/>
      <c r="B40" s="454"/>
      <c r="C40" s="454"/>
      <c r="D40" s="454"/>
      <c r="E40" s="454"/>
      <c r="F40" s="1"/>
      <c r="G40" s="1"/>
      <c r="H40" s="1"/>
      <c r="I40" s="493">
        <f>K25+L25</f>
        <v>0</v>
      </c>
      <c r="J40" s="454"/>
      <c r="K40" s="454"/>
      <c r="L40" s="454"/>
      <c r="M40" s="454"/>
      <c r="N40" s="454"/>
      <c r="O40" s="4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B40:E40"/>
    <mergeCell ref="I40:N40"/>
    <mergeCell ref="A1:N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3A481-4949-437A-B00D-681FFAC09D30}">
  <sheetPr>
    <tabColor rgb="FF7030A0"/>
  </sheetPr>
  <dimension ref="A1:R51"/>
  <sheetViews>
    <sheetView topLeftCell="A20" workbookViewId="0">
      <selection activeCell="L35" sqref="L35:M35"/>
    </sheetView>
  </sheetViews>
  <sheetFormatPr defaultRowHeight="15"/>
  <cols>
    <col min="7" max="7" width="10.85546875" bestFit="1" customWidth="1"/>
    <col min="11" max="12" width="13.5703125" bestFit="1" customWidth="1"/>
    <col min="13" max="13" width="11.85546875" bestFit="1" customWidth="1"/>
  </cols>
  <sheetData>
    <row r="1" spans="1:15" ht="15.75">
      <c r="A1" s="468" t="s">
        <v>266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56"/>
    </row>
    <row r="2" spans="1:15" ht="30.75">
      <c r="A2" s="67" t="s">
        <v>129</v>
      </c>
      <c r="B2" s="86" t="s">
        <v>130</v>
      </c>
      <c r="C2" s="86" t="s">
        <v>131</v>
      </c>
      <c r="D2" s="86" t="s">
        <v>132</v>
      </c>
      <c r="E2" s="86" t="s">
        <v>133</v>
      </c>
      <c r="F2" s="86" t="s">
        <v>134</v>
      </c>
      <c r="G2" s="86" t="s">
        <v>135</v>
      </c>
      <c r="H2" s="86" t="s">
        <v>136</v>
      </c>
      <c r="I2" s="86" t="s">
        <v>134</v>
      </c>
      <c r="J2" s="87" t="s">
        <v>135</v>
      </c>
      <c r="K2" s="67" t="s">
        <v>137</v>
      </c>
      <c r="L2" s="88" t="s">
        <v>138</v>
      </c>
      <c r="M2" s="170" t="s">
        <v>199</v>
      </c>
      <c r="N2" s="86" t="s">
        <v>140</v>
      </c>
      <c r="O2" s="62"/>
    </row>
    <row r="3" spans="1:15">
      <c r="A3" s="148"/>
      <c r="B3" s="149"/>
      <c r="C3" s="149"/>
      <c r="D3" s="135" t="s">
        <v>141</v>
      </c>
      <c r="E3" s="149"/>
      <c r="F3" s="149"/>
      <c r="G3" s="149"/>
      <c r="H3" s="149"/>
      <c r="I3" s="149"/>
      <c r="J3" s="150"/>
      <c r="K3" s="270"/>
      <c r="L3" s="236">
        <v>164443.72110000002</v>
      </c>
      <c r="M3" s="236">
        <v>164443.72110000002</v>
      </c>
      <c r="N3" s="149"/>
      <c r="O3" s="62"/>
    </row>
    <row r="4" spans="1:15">
      <c r="A4" s="47">
        <v>1</v>
      </c>
      <c r="B4" s="206">
        <v>46023</v>
      </c>
      <c r="C4" s="25"/>
      <c r="D4" s="25"/>
      <c r="E4" s="8">
        <v>300</v>
      </c>
      <c r="F4" s="8">
        <v>91.49</v>
      </c>
      <c r="G4" s="8">
        <f>E4*F4</f>
        <v>27447</v>
      </c>
      <c r="H4" s="9">
        <v>10</v>
      </c>
      <c r="I4" s="9">
        <v>103.43</v>
      </c>
      <c r="J4" s="8">
        <f>H4*I4</f>
        <v>1034.3000000000002</v>
      </c>
      <c r="K4" s="8">
        <f>G4+J4</f>
        <v>28481.3</v>
      </c>
      <c r="L4" s="151">
        <v>0</v>
      </c>
      <c r="M4" s="8">
        <f>M3+K4-L4</f>
        <v>192925.02110000001</v>
      </c>
      <c r="N4" s="45"/>
      <c r="O4" s="1"/>
    </row>
    <row r="5" spans="1:15">
      <c r="A5" s="47">
        <v>2</v>
      </c>
      <c r="B5" s="206">
        <v>46024</v>
      </c>
      <c r="C5" s="25"/>
      <c r="D5" s="25"/>
      <c r="E5" s="8">
        <v>92.08</v>
      </c>
      <c r="F5" s="8">
        <v>91.49</v>
      </c>
      <c r="G5" s="8">
        <f t="shared" ref="G5:G35" si="0">E5*F5</f>
        <v>8424.3991999999998</v>
      </c>
      <c r="H5" s="9">
        <v>0</v>
      </c>
      <c r="I5" s="9">
        <v>0</v>
      </c>
      <c r="J5" s="8">
        <f t="shared" ref="J5:J35" si="1">H5*I5</f>
        <v>0</v>
      </c>
      <c r="K5" s="8">
        <f t="shared" ref="K5:K35" si="2">G5+J5</f>
        <v>8424.3991999999998</v>
      </c>
      <c r="L5" s="151">
        <v>0</v>
      </c>
      <c r="M5" s="8">
        <f t="shared" ref="M5:M15" si="3">M4+K5-L5</f>
        <v>201349.4203</v>
      </c>
      <c r="N5" s="45"/>
      <c r="O5" s="1"/>
    </row>
    <row r="6" spans="1:15">
      <c r="A6" s="47">
        <v>3</v>
      </c>
      <c r="B6" s="206">
        <v>46025</v>
      </c>
      <c r="C6" s="25"/>
      <c r="D6" s="25"/>
      <c r="E6" s="8">
        <v>125</v>
      </c>
      <c r="F6" s="8">
        <v>91.49</v>
      </c>
      <c r="G6" s="8">
        <f t="shared" si="0"/>
        <v>11436.25</v>
      </c>
      <c r="H6" s="9">
        <v>0</v>
      </c>
      <c r="I6" s="9">
        <v>0</v>
      </c>
      <c r="J6" s="8">
        <f t="shared" si="1"/>
        <v>0</v>
      </c>
      <c r="K6" s="8">
        <f t="shared" si="2"/>
        <v>11436.25</v>
      </c>
      <c r="L6" s="151">
        <v>165000</v>
      </c>
      <c r="M6" s="8">
        <f t="shared" si="3"/>
        <v>47785.670299999998</v>
      </c>
      <c r="N6" s="45"/>
      <c r="O6" s="1"/>
    </row>
    <row r="7" spans="1:15">
      <c r="A7" s="47">
        <v>4</v>
      </c>
      <c r="B7" s="206">
        <v>46026</v>
      </c>
      <c r="C7" s="25"/>
      <c r="D7" s="25"/>
      <c r="E7" s="8">
        <v>71</v>
      </c>
      <c r="F7" s="8">
        <v>91.49</v>
      </c>
      <c r="G7" s="8">
        <f t="shared" si="0"/>
        <v>6495.79</v>
      </c>
      <c r="H7" s="9">
        <v>6</v>
      </c>
      <c r="I7" s="9">
        <v>103.43</v>
      </c>
      <c r="J7" s="8">
        <f t="shared" si="1"/>
        <v>620.58000000000004</v>
      </c>
      <c r="K7" s="8">
        <f t="shared" si="2"/>
        <v>7116.37</v>
      </c>
      <c r="L7" s="151">
        <v>0</v>
      </c>
      <c r="M7" s="8">
        <f t="shared" si="3"/>
        <v>54902.040300000001</v>
      </c>
      <c r="N7" s="45"/>
      <c r="O7" s="1"/>
    </row>
    <row r="8" spans="1:15">
      <c r="A8" s="47">
        <v>5</v>
      </c>
      <c r="B8" s="206">
        <v>46027</v>
      </c>
      <c r="C8" s="25"/>
      <c r="D8" s="25"/>
      <c r="E8" s="8">
        <v>350</v>
      </c>
      <c r="F8" s="8">
        <v>91.49</v>
      </c>
      <c r="G8" s="8">
        <f t="shared" si="0"/>
        <v>32021.5</v>
      </c>
      <c r="H8" s="9">
        <v>0</v>
      </c>
      <c r="I8" s="9">
        <v>0</v>
      </c>
      <c r="J8" s="8">
        <f t="shared" si="1"/>
        <v>0</v>
      </c>
      <c r="K8" s="8">
        <f t="shared" si="2"/>
        <v>32021.5</v>
      </c>
      <c r="L8" s="151">
        <v>0</v>
      </c>
      <c r="M8" s="8">
        <f t="shared" si="3"/>
        <v>86923.540299999993</v>
      </c>
      <c r="N8" s="45"/>
      <c r="O8" s="1"/>
    </row>
    <row r="9" spans="1:15">
      <c r="A9" s="47">
        <v>6</v>
      </c>
      <c r="B9" s="206">
        <v>46028</v>
      </c>
      <c r="C9" s="25"/>
      <c r="D9" s="25"/>
      <c r="E9" s="8">
        <v>155.5</v>
      </c>
      <c r="F9" s="8">
        <v>91.49</v>
      </c>
      <c r="G9" s="8">
        <f t="shared" si="0"/>
        <v>14226.695</v>
      </c>
      <c r="H9" s="9">
        <v>0</v>
      </c>
      <c r="I9" s="9">
        <v>0</v>
      </c>
      <c r="J9" s="8">
        <f t="shared" si="1"/>
        <v>0</v>
      </c>
      <c r="K9" s="8">
        <f t="shared" si="2"/>
        <v>14226.695</v>
      </c>
      <c r="L9" s="151">
        <v>0</v>
      </c>
      <c r="M9" s="8">
        <f t="shared" si="3"/>
        <v>101150.2353</v>
      </c>
      <c r="N9" s="45"/>
      <c r="O9" s="1"/>
    </row>
    <row r="10" spans="1:15">
      <c r="A10" s="47">
        <v>7</v>
      </c>
      <c r="B10" s="206">
        <v>46029</v>
      </c>
      <c r="C10" s="25"/>
      <c r="D10" s="25"/>
      <c r="E10" s="8">
        <v>305</v>
      </c>
      <c r="F10" s="8">
        <v>91.49</v>
      </c>
      <c r="G10" s="8">
        <f t="shared" si="0"/>
        <v>27904.449999999997</v>
      </c>
      <c r="H10" s="9">
        <v>0</v>
      </c>
      <c r="I10" s="9">
        <v>0</v>
      </c>
      <c r="J10" s="8">
        <f t="shared" si="1"/>
        <v>0</v>
      </c>
      <c r="K10" s="8">
        <f t="shared" si="2"/>
        <v>27904.449999999997</v>
      </c>
      <c r="L10" s="151">
        <v>0</v>
      </c>
      <c r="M10" s="8">
        <f t="shared" si="3"/>
        <v>129054.6853</v>
      </c>
      <c r="N10" s="45"/>
      <c r="O10" s="1"/>
    </row>
    <row r="11" spans="1:15">
      <c r="A11" s="47">
        <v>8</v>
      </c>
      <c r="B11" s="206">
        <v>46030</v>
      </c>
      <c r="C11" s="25"/>
      <c r="D11" s="25"/>
      <c r="E11" s="8">
        <v>120</v>
      </c>
      <c r="F11" s="8">
        <v>91.49</v>
      </c>
      <c r="G11" s="8">
        <f t="shared" si="0"/>
        <v>10978.8</v>
      </c>
      <c r="H11" s="9">
        <v>6</v>
      </c>
      <c r="I11" s="9">
        <v>103.43</v>
      </c>
      <c r="J11" s="8">
        <f t="shared" si="1"/>
        <v>620.58000000000004</v>
      </c>
      <c r="K11" s="8">
        <f t="shared" si="2"/>
        <v>11599.38</v>
      </c>
      <c r="L11" s="151">
        <v>0</v>
      </c>
      <c r="M11" s="8">
        <f t="shared" si="3"/>
        <v>140654.06529999999</v>
      </c>
      <c r="N11" s="45"/>
      <c r="O11" s="1"/>
    </row>
    <row r="12" spans="1:15">
      <c r="A12" s="47">
        <v>9</v>
      </c>
      <c r="B12" s="206">
        <v>46031</v>
      </c>
      <c r="C12" s="25"/>
      <c r="D12" s="25"/>
      <c r="E12" s="8">
        <v>409</v>
      </c>
      <c r="F12" s="8">
        <v>91.49</v>
      </c>
      <c r="G12" s="8">
        <f t="shared" si="0"/>
        <v>37419.409999999996</v>
      </c>
      <c r="H12" s="9">
        <v>5</v>
      </c>
      <c r="I12" s="9">
        <v>103.43</v>
      </c>
      <c r="J12" s="8">
        <f t="shared" si="1"/>
        <v>517.15000000000009</v>
      </c>
      <c r="K12" s="8">
        <f t="shared" si="2"/>
        <v>37936.559999999998</v>
      </c>
      <c r="L12" s="151">
        <v>0</v>
      </c>
      <c r="M12" s="8">
        <f t="shared" si="3"/>
        <v>178590.62529999999</v>
      </c>
      <c r="N12" s="45"/>
      <c r="O12" s="1" t="s">
        <v>264</v>
      </c>
    </row>
    <row r="13" spans="1:15">
      <c r="A13" s="47">
        <v>10</v>
      </c>
      <c r="B13" s="206">
        <v>46032</v>
      </c>
      <c r="C13" s="25"/>
      <c r="D13" s="25"/>
      <c r="E13" s="8">
        <v>515.08000000000004</v>
      </c>
      <c r="F13" s="8">
        <v>91.49</v>
      </c>
      <c r="G13" s="8">
        <f t="shared" si="0"/>
        <v>47124.669200000004</v>
      </c>
      <c r="H13" s="9">
        <v>14.6</v>
      </c>
      <c r="I13" s="9">
        <v>103.43</v>
      </c>
      <c r="J13" s="8">
        <f t="shared" si="1"/>
        <v>1510.078</v>
      </c>
      <c r="K13" s="8">
        <f t="shared" si="2"/>
        <v>48634.747200000005</v>
      </c>
      <c r="L13" s="151">
        <v>0</v>
      </c>
      <c r="M13" s="8">
        <f t="shared" si="3"/>
        <v>227225.3725</v>
      </c>
      <c r="N13" s="45"/>
      <c r="O13" s="1"/>
    </row>
    <row r="14" spans="1:15">
      <c r="A14" s="47">
        <v>11</v>
      </c>
      <c r="B14" s="206">
        <v>46033</v>
      </c>
      <c r="C14" s="25"/>
      <c r="D14" s="25"/>
      <c r="E14" s="8">
        <v>100</v>
      </c>
      <c r="F14" s="8">
        <v>91.49</v>
      </c>
      <c r="G14" s="8">
        <f t="shared" si="0"/>
        <v>9149</v>
      </c>
      <c r="H14" s="9">
        <v>0</v>
      </c>
      <c r="I14" s="9">
        <v>0</v>
      </c>
      <c r="J14" s="8">
        <f t="shared" si="1"/>
        <v>0</v>
      </c>
      <c r="K14" s="8">
        <f t="shared" si="2"/>
        <v>9149</v>
      </c>
      <c r="L14" s="151">
        <v>0</v>
      </c>
      <c r="M14" s="8">
        <f t="shared" si="3"/>
        <v>236374.3725</v>
      </c>
      <c r="N14" s="45"/>
      <c r="O14" s="1"/>
    </row>
    <row r="15" spans="1:15">
      <c r="A15" s="47">
        <v>12</v>
      </c>
      <c r="B15" s="206">
        <v>46034</v>
      </c>
      <c r="C15" s="25"/>
      <c r="D15" s="25"/>
      <c r="E15" s="8">
        <v>0</v>
      </c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51">
        <v>0</v>
      </c>
      <c r="M15" s="8">
        <f t="shared" si="3"/>
        <v>236374.3725</v>
      </c>
      <c r="N15" s="45"/>
      <c r="O15" s="1"/>
    </row>
    <row r="16" spans="1:15">
      <c r="A16" s="47">
        <v>13</v>
      </c>
      <c r="B16" s="206">
        <v>46035</v>
      </c>
      <c r="C16" s="25"/>
      <c r="D16" s="25"/>
      <c r="E16" s="8">
        <v>358</v>
      </c>
      <c r="F16" s="8">
        <v>91.49</v>
      </c>
      <c r="G16" s="8">
        <f t="shared" si="0"/>
        <v>32753.42</v>
      </c>
      <c r="H16" s="9">
        <v>5</v>
      </c>
      <c r="I16" s="9">
        <v>103.43</v>
      </c>
      <c r="J16" s="8">
        <f t="shared" si="1"/>
        <v>517.15000000000009</v>
      </c>
      <c r="K16" s="8">
        <f t="shared" si="2"/>
        <v>33270.57</v>
      </c>
      <c r="L16" s="151">
        <v>0</v>
      </c>
      <c r="M16" s="8">
        <f>M15+K16-L16</f>
        <v>269644.9425</v>
      </c>
      <c r="N16" s="45"/>
      <c r="O16" s="1"/>
    </row>
    <row r="17" spans="1:18">
      <c r="A17" s="47">
        <v>14</v>
      </c>
      <c r="B17" s="206">
        <v>46036</v>
      </c>
      <c r="C17" s="25"/>
      <c r="D17" s="25"/>
      <c r="E17" s="8">
        <v>43.72</v>
      </c>
      <c r="F17" s="8">
        <v>91.49</v>
      </c>
      <c r="G17" s="8">
        <f t="shared" si="0"/>
        <v>3999.9427999999998</v>
      </c>
      <c r="H17" s="9">
        <v>5</v>
      </c>
      <c r="I17" s="9">
        <v>103.43</v>
      </c>
      <c r="J17" s="8">
        <f t="shared" si="1"/>
        <v>517.15000000000009</v>
      </c>
      <c r="K17" s="8">
        <f t="shared" si="2"/>
        <v>4517.0928000000004</v>
      </c>
      <c r="L17" s="151">
        <v>0</v>
      </c>
      <c r="M17" s="8">
        <f>M16+K17-L17</f>
        <v>274162.03529999999</v>
      </c>
      <c r="N17" s="45"/>
      <c r="O17" s="1"/>
    </row>
    <row r="18" spans="1:18">
      <c r="A18" s="47">
        <v>15</v>
      </c>
      <c r="B18" s="206">
        <v>46037</v>
      </c>
      <c r="C18" s="25"/>
      <c r="D18" s="25"/>
      <c r="E18" s="8">
        <v>0</v>
      </c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51">
        <v>0</v>
      </c>
      <c r="M18" s="8">
        <f t="shared" ref="M18:M36" si="4">M17+K18-L18</f>
        <v>274162.03529999999</v>
      </c>
      <c r="N18" s="45"/>
      <c r="O18" s="1"/>
    </row>
    <row r="19" spans="1:18">
      <c r="A19" s="47">
        <v>16</v>
      </c>
      <c r="B19" s="206">
        <v>46038</v>
      </c>
      <c r="C19" s="25"/>
      <c r="D19" s="25"/>
      <c r="E19" s="8">
        <v>0</v>
      </c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151">
        <v>0</v>
      </c>
      <c r="M19" s="8">
        <f t="shared" si="4"/>
        <v>274162.03529999999</v>
      </c>
      <c r="N19" s="45"/>
      <c r="O19" s="1"/>
    </row>
    <row r="20" spans="1:18">
      <c r="A20" s="47">
        <v>17</v>
      </c>
      <c r="B20" s="206">
        <v>46039</v>
      </c>
      <c r="C20" s="25"/>
      <c r="D20" s="25"/>
      <c r="E20" s="8">
        <v>95</v>
      </c>
      <c r="F20" s="8">
        <v>91.49</v>
      </c>
      <c r="G20" s="8">
        <f t="shared" si="0"/>
        <v>8691.5499999999993</v>
      </c>
      <c r="H20" s="9">
        <v>0</v>
      </c>
      <c r="I20" s="9">
        <v>0</v>
      </c>
      <c r="J20" s="8">
        <f t="shared" si="1"/>
        <v>0</v>
      </c>
      <c r="K20" s="8">
        <f t="shared" si="2"/>
        <v>8691.5499999999993</v>
      </c>
      <c r="L20" s="151">
        <v>0</v>
      </c>
      <c r="M20" s="8">
        <f t="shared" si="4"/>
        <v>282853.58529999998</v>
      </c>
      <c r="N20" s="45"/>
      <c r="O20" s="1"/>
      <c r="R20">
        <v>141649</v>
      </c>
    </row>
    <row r="21" spans="1:18">
      <c r="A21" s="47">
        <v>18</v>
      </c>
      <c r="B21" s="206">
        <v>46040</v>
      </c>
      <c r="C21" s="25"/>
      <c r="D21" s="25"/>
      <c r="E21" s="8">
        <v>220</v>
      </c>
      <c r="F21" s="8">
        <v>91.49</v>
      </c>
      <c r="G21" s="8">
        <f t="shared" si="0"/>
        <v>20127.8</v>
      </c>
      <c r="H21" s="9">
        <v>0</v>
      </c>
      <c r="I21" s="9">
        <v>0</v>
      </c>
      <c r="J21" s="8">
        <f t="shared" si="1"/>
        <v>0</v>
      </c>
      <c r="K21" s="8">
        <f t="shared" si="2"/>
        <v>20127.8</v>
      </c>
      <c r="L21" s="151">
        <v>0</v>
      </c>
      <c r="M21" s="8">
        <f t="shared" si="4"/>
        <v>302981.38529999997</v>
      </c>
      <c r="N21" s="45"/>
      <c r="O21" s="1"/>
    </row>
    <row r="22" spans="1:18">
      <c r="A22" s="47">
        <v>19</v>
      </c>
      <c r="B22" s="206">
        <v>46041</v>
      </c>
      <c r="C22" s="25"/>
      <c r="D22" s="25"/>
      <c r="E22" s="8">
        <v>32</v>
      </c>
      <c r="F22" s="8">
        <v>91.49</v>
      </c>
      <c r="G22" s="8">
        <f t="shared" si="0"/>
        <v>2927.68</v>
      </c>
      <c r="H22" s="9">
        <v>0</v>
      </c>
      <c r="I22" s="9">
        <v>0</v>
      </c>
      <c r="J22" s="8">
        <f t="shared" si="1"/>
        <v>0</v>
      </c>
      <c r="K22" s="8">
        <f t="shared" si="2"/>
        <v>2927.68</v>
      </c>
      <c r="L22" s="151">
        <v>274000</v>
      </c>
      <c r="M22" s="8">
        <f t="shared" si="4"/>
        <v>31909.065299999958</v>
      </c>
      <c r="N22" s="45"/>
      <c r="O22" s="1"/>
    </row>
    <row r="23" spans="1:18">
      <c r="A23" s="47">
        <v>20</v>
      </c>
      <c r="B23" s="206">
        <v>46042</v>
      </c>
      <c r="C23" s="25"/>
      <c r="D23" s="25"/>
      <c r="E23" s="8">
        <v>200</v>
      </c>
      <c r="F23" s="8">
        <v>91.49</v>
      </c>
      <c r="G23" s="8">
        <f t="shared" si="0"/>
        <v>18298</v>
      </c>
      <c r="H23" s="9">
        <v>12.83</v>
      </c>
      <c r="I23" s="9">
        <v>103.43</v>
      </c>
      <c r="J23" s="8">
        <f t="shared" si="1"/>
        <v>1327.0069000000001</v>
      </c>
      <c r="K23" s="8">
        <f t="shared" si="2"/>
        <v>19625.0069</v>
      </c>
      <c r="L23" s="151">
        <v>0</v>
      </c>
      <c r="M23" s="8">
        <f t="shared" si="4"/>
        <v>51534.072199999959</v>
      </c>
      <c r="N23" s="45"/>
      <c r="O23" s="1"/>
    </row>
    <row r="24" spans="1:18">
      <c r="A24" s="47">
        <v>21</v>
      </c>
      <c r="B24" s="206">
        <v>46043</v>
      </c>
      <c r="C24" s="25"/>
      <c r="D24" s="25"/>
      <c r="E24" s="8">
        <v>30</v>
      </c>
      <c r="F24" s="8">
        <v>91.49</v>
      </c>
      <c r="G24" s="8">
        <f t="shared" si="0"/>
        <v>2744.7</v>
      </c>
      <c r="H24" s="9">
        <v>5</v>
      </c>
      <c r="I24" s="9">
        <v>103.43</v>
      </c>
      <c r="J24" s="8">
        <f t="shared" si="1"/>
        <v>517.15000000000009</v>
      </c>
      <c r="K24" s="8">
        <f t="shared" si="2"/>
        <v>3261.85</v>
      </c>
      <c r="L24" s="151">
        <v>0</v>
      </c>
      <c r="M24" s="8">
        <f t="shared" si="4"/>
        <v>54795.922199999957</v>
      </c>
      <c r="N24" s="45"/>
      <c r="O24" s="1"/>
    </row>
    <row r="25" spans="1:18">
      <c r="A25" s="47">
        <v>22</v>
      </c>
      <c r="B25" s="206">
        <v>46044</v>
      </c>
      <c r="C25" s="25"/>
      <c r="D25" s="25"/>
      <c r="E25" s="8">
        <v>245.03</v>
      </c>
      <c r="F25" s="8">
        <v>91.49</v>
      </c>
      <c r="G25" s="8">
        <f t="shared" si="0"/>
        <v>22417.794699999999</v>
      </c>
      <c r="H25" s="9">
        <v>5</v>
      </c>
      <c r="I25" s="9">
        <v>103.43</v>
      </c>
      <c r="J25" s="8">
        <f t="shared" si="1"/>
        <v>517.15000000000009</v>
      </c>
      <c r="K25" s="8">
        <f t="shared" si="2"/>
        <v>22934.9447</v>
      </c>
      <c r="L25" s="151">
        <v>0</v>
      </c>
      <c r="M25" s="8">
        <f t="shared" si="4"/>
        <v>77730.866899999965</v>
      </c>
      <c r="N25" s="45"/>
      <c r="O25" s="1"/>
    </row>
    <row r="26" spans="1:18">
      <c r="A26" s="47">
        <v>23</v>
      </c>
      <c r="B26" s="206">
        <v>46045</v>
      </c>
      <c r="C26" s="25"/>
      <c r="D26" s="25"/>
      <c r="E26" s="8">
        <v>160.41999999999999</v>
      </c>
      <c r="F26" s="8">
        <v>91.49</v>
      </c>
      <c r="G26" s="8">
        <f t="shared" si="0"/>
        <v>14676.825799999999</v>
      </c>
      <c r="H26" s="9">
        <v>0</v>
      </c>
      <c r="I26" s="9">
        <v>0</v>
      </c>
      <c r="J26" s="8">
        <f t="shared" si="1"/>
        <v>0</v>
      </c>
      <c r="K26" s="8">
        <f t="shared" si="2"/>
        <v>14676.825799999999</v>
      </c>
      <c r="L26" s="151">
        <v>0</v>
      </c>
      <c r="M26" s="8">
        <f t="shared" si="4"/>
        <v>92407.692699999956</v>
      </c>
      <c r="N26" s="45"/>
      <c r="O26" s="1"/>
    </row>
    <row r="27" spans="1:18">
      <c r="A27" s="47">
        <v>24</v>
      </c>
      <c r="B27" s="206">
        <v>46046</v>
      </c>
      <c r="C27" s="25"/>
      <c r="D27" s="25"/>
      <c r="E27" s="8">
        <v>0</v>
      </c>
      <c r="F27" s="8">
        <v>0</v>
      </c>
      <c r="G27" s="8">
        <f t="shared" si="0"/>
        <v>0</v>
      </c>
      <c r="H27" s="9">
        <v>5</v>
      </c>
      <c r="I27" s="9">
        <v>103.43</v>
      </c>
      <c r="J27" s="8">
        <f t="shared" si="1"/>
        <v>517.15000000000009</v>
      </c>
      <c r="K27" s="8">
        <f t="shared" si="2"/>
        <v>517.15000000000009</v>
      </c>
      <c r="L27" s="151">
        <v>0</v>
      </c>
      <c r="M27" s="8">
        <f t="shared" si="4"/>
        <v>92924.84269999995</v>
      </c>
      <c r="N27" s="45"/>
      <c r="O27" s="1"/>
    </row>
    <row r="28" spans="1:18">
      <c r="A28" s="47">
        <v>25</v>
      </c>
      <c r="B28" s="206">
        <v>46047</v>
      </c>
      <c r="C28" s="25"/>
      <c r="D28" s="25"/>
      <c r="E28" s="8">
        <v>182</v>
      </c>
      <c r="F28" s="8">
        <v>91.49</v>
      </c>
      <c r="G28" s="8">
        <f t="shared" si="0"/>
        <v>16651.18</v>
      </c>
      <c r="H28" s="9">
        <v>7.5</v>
      </c>
      <c r="I28" s="9">
        <v>103.43</v>
      </c>
      <c r="J28" s="8">
        <f t="shared" si="1"/>
        <v>775.72500000000002</v>
      </c>
      <c r="K28" s="8">
        <f t="shared" si="2"/>
        <v>17426.904999999999</v>
      </c>
      <c r="L28" s="151">
        <v>0</v>
      </c>
      <c r="M28" s="8">
        <f t="shared" si="4"/>
        <v>110351.74769999995</v>
      </c>
      <c r="N28" s="45"/>
      <c r="O28" s="1"/>
    </row>
    <row r="29" spans="1:18">
      <c r="A29" s="47">
        <v>26</v>
      </c>
      <c r="B29" s="206">
        <v>46048</v>
      </c>
      <c r="C29" s="25"/>
      <c r="D29" s="25"/>
      <c r="E29" s="8">
        <v>0</v>
      </c>
      <c r="F29" s="8">
        <v>0</v>
      </c>
      <c r="G29" s="8">
        <f t="shared" si="0"/>
        <v>0</v>
      </c>
      <c r="H29" s="9">
        <v>6</v>
      </c>
      <c r="I29" s="9">
        <v>103.43</v>
      </c>
      <c r="J29" s="8">
        <f t="shared" si="1"/>
        <v>620.58000000000004</v>
      </c>
      <c r="K29" s="8">
        <f t="shared" si="2"/>
        <v>620.58000000000004</v>
      </c>
      <c r="L29" s="151">
        <v>0</v>
      </c>
      <c r="M29" s="8">
        <f t="shared" si="4"/>
        <v>110972.32769999995</v>
      </c>
      <c r="N29" s="45"/>
      <c r="O29" s="1"/>
    </row>
    <row r="30" spans="1:18">
      <c r="A30" s="47">
        <v>27</v>
      </c>
      <c r="B30" s="206">
        <v>46049</v>
      </c>
      <c r="C30" s="25"/>
      <c r="D30" s="25"/>
      <c r="E30" s="273">
        <v>63.43</v>
      </c>
      <c r="F30" s="434">
        <v>91.49</v>
      </c>
      <c r="G30" s="8">
        <f t="shared" si="0"/>
        <v>5803.2106999999996</v>
      </c>
      <c r="H30" s="9">
        <v>0</v>
      </c>
      <c r="I30" s="9">
        <v>0</v>
      </c>
      <c r="J30" s="8">
        <f t="shared" si="1"/>
        <v>0</v>
      </c>
      <c r="K30" s="8">
        <f t="shared" si="2"/>
        <v>5803.2106999999996</v>
      </c>
      <c r="L30" s="151">
        <v>0</v>
      </c>
      <c r="M30" s="8">
        <f t="shared" si="4"/>
        <v>116775.53839999995</v>
      </c>
      <c r="N30" s="45"/>
      <c r="O30" s="1"/>
    </row>
    <row r="31" spans="1:18">
      <c r="A31" s="47">
        <v>28</v>
      </c>
      <c r="B31" s="206">
        <v>46050</v>
      </c>
      <c r="C31" s="25"/>
      <c r="D31" s="25"/>
      <c r="E31" s="8">
        <v>145</v>
      </c>
      <c r="F31" s="434">
        <v>91.49</v>
      </c>
      <c r="G31" s="8">
        <f t="shared" si="0"/>
        <v>13266.05</v>
      </c>
      <c r="H31" s="9">
        <v>12</v>
      </c>
      <c r="I31" s="9">
        <v>103.43</v>
      </c>
      <c r="J31" s="8">
        <f t="shared" si="1"/>
        <v>1241.1600000000001</v>
      </c>
      <c r="K31" s="8">
        <f t="shared" si="2"/>
        <v>14507.21</v>
      </c>
      <c r="L31" s="151">
        <v>0</v>
      </c>
      <c r="M31" s="8">
        <f t="shared" si="4"/>
        <v>131282.74839999995</v>
      </c>
      <c r="N31" s="45"/>
      <c r="O31" s="1"/>
      <c r="R31">
        <v>46.61</v>
      </c>
    </row>
    <row r="32" spans="1:18">
      <c r="A32" s="47">
        <v>29</v>
      </c>
      <c r="B32" s="206">
        <v>46051</v>
      </c>
      <c r="C32" s="25"/>
      <c r="D32" s="25"/>
      <c r="E32" s="8">
        <v>96</v>
      </c>
      <c r="F32" s="8">
        <v>91.49</v>
      </c>
      <c r="G32" s="8">
        <f t="shared" si="0"/>
        <v>8783.0399999999991</v>
      </c>
      <c r="H32" s="9">
        <v>5</v>
      </c>
      <c r="I32" s="9">
        <v>103.43</v>
      </c>
      <c r="J32" s="8">
        <f t="shared" si="1"/>
        <v>517.15000000000009</v>
      </c>
      <c r="K32" s="8">
        <f t="shared" si="2"/>
        <v>9300.1899999999987</v>
      </c>
      <c r="L32" s="151">
        <v>0</v>
      </c>
      <c r="M32" s="8">
        <f t="shared" si="4"/>
        <v>140582.93839999996</v>
      </c>
      <c r="N32" s="45"/>
      <c r="O32" s="1"/>
      <c r="R32">
        <v>100</v>
      </c>
    </row>
    <row r="33" spans="1:18">
      <c r="A33" s="47">
        <v>30</v>
      </c>
      <c r="B33" s="206">
        <v>46052</v>
      </c>
      <c r="C33" s="25"/>
      <c r="D33" s="25"/>
      <c r="E33" s="8">
        <v>25</v>
      </c>
      <c r="F33" s="8">
        <v>91.49</v>
      </c>
      <c r="G33" s="8">
        <f t="shared" si="0"/>
        <v>2287.25</v>
      </c>
      <c r="H33" s="9">
        <v>0</v>
      </c>
      <c r="I33" s="9">
        <v>0</v>
      </c>
      <c r="J33" s="8">
        <f t="shared" si="1"/>
        <v>0</v>
      </c>
      <c r="K33" s="8">
        <f t="shared" si="2"/>
        <v>2287.25</v>
      </c>
      <c r="L33" s="151">
        <v>0</v>
      </c>
      <c r="M33" s="8">
        <f t="shared" si="4"/>
        <v>142870.18839999996</v>
      </c>
      <c r="N33" s="45"/>
      <c r="O33" s="1"/>
      <c r="R33">
        <v>35</v>
      </c>
    </row>
    <row r="34" spans="1:18">
      <c r="A34" s="47">
        <v>31</v>
      </c>
      <c r="B34" s="206">
        <v>46053</v>
      </c>
      <c r="C34" s="25"/>
      <c r="D34" s="25"/>
      <c r="E34" s="8">
        <v>87.01</v>
      </c>
      <c r="F34" s="8">
        <v>91.49</v>
      </c>
      <c r="G34" s="8">
        <f t="shared" si="0"/>
        <v>7960.5448999999999</v>
      </c>
      <c r="H34" s="9">
        <v>0</v>
      </c>
      <c r="I34" s="9">
        <v>0</v>
      </c>
      <c r="J34" s="8">
        <f t="shared" si="1"/>
        <v>0</v>
      </c>
      <c r="K34" s="8">
        <f t="shared" si="2"/>
        <v>7960.5448999999999</v>
      </c>
      <c r="L34" s="151">
        <v>0</v>
      </c>
      <c r="M34" s="8">
        <f t="shared" si="4"/>
        <v>150830.73329999996</v>
      </c>
      <c r="N34" s="45" t="s">
        <v>265</v>
      </c>
      <c r="O34" s="1"/>
    </row>
    <row r="35" spans="1:18">
      <c r="A35" s="47">
        <v>32</v>
      </c>
      <c r="B35" s="206">
        <v>46053</v>
      </c>
      <c r="C35" s="25"/>
      <c r="D35" s="25"/>
      <c r="E35" s="8">
        <v>30</v>
      </c>
      <c r="F35" s="8">
        <v>91.13</v>
      </c>
      <c r="G35" s="8">
        <f t="shared" si="0"/>
        <v>2733.8999999999996</v>
      </c>
      <c r="H35" s="9">
        <v>0</v>
      </c>
      <c r="I35" s="9">
        <v>0</v>
      </c>
      <c r="J35" s="8">
        <f t="shared" si="1"/>
        <v>0</v>
      </c>
      <c r="K35" s="8">
        <f t="shared" si="2"/>
        <v>2733.8999999999996</v>
      </c>
      <c r="L35" s="151">
        <v>2733.9</v>
      </c>
      <c r="M35" s="8">
        <f t="shared" si="4"/>
        <v>150830.73329999996</v>
      </c>
      <c r="N35" s="45"/>
      <c r="O35" s="1"/>
    </row>
    <row r="36" spans="1:18">
      <c r="A36" s="201"/>
      <c r="B36" s="206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51"/>
      <c r="M36" s="8">
        <f t="shared" si="4"/>
        <v>150830.73329999996</v>
      </c>
      <c r="N36" s="45"/>
      <c r="O36" s="1"/>
    </row>
    <row r="37" spans="1:18">
      <c r="A37" s="65"/>
      <c r="B37" s="65"/>
      <c r="C37" s="65"/>
      <c r="D37" s="65"/>
      <c r="E37" s="66">
        <f>SUM(E4:E35)</f>
        <v>4555.2700000000004</v>
      </c>
      <c r="F37" s="66"/>
      <c r="G37" s="66">
        <f>SUM(G4:G35)</f>
        <v>416750.85229999991</v>
      </c>
      <c r="H37" s="66">
        <f>SUM(H4:H35)</f>
        <v>109.93</v>
      </c>
      <c r="I37" s="66"/>
      <c r="J37" s="66">
        <f>SUM(J4:J35)</f>
        <v>11370.059899999998</v>
      </c>
      <c r="K37" s="66">
        <f>SUM(K4:K35)</f>
        <v>428120.9121999999</v>
      </c>
      <c r="L37" s="66">
        <f>SUM(L4:L35)</f>
        <v>441733.9</v>
      </c>
      <c r="M37" s="66"/>
      <c r="N37" s="66"/>
      <c r="O37" s="62"/>
    </row>
    <row r="38" spans="1:18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8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8">
      <c r="A40" s="1"/>
      <c r="B40" s="454"/>
      <c r="C40" s="454"/>
      <c r="D40" s="454"/>
      <c r="E40" s="454"/>
      <c r="F40" s="1"/>
      <c r="G40" s="1"/>
      <c r="H40" s="1"/>
      <c r="I40" s="493">
        <f>K25+L25</f>
        <v>22934.9447</v>
      </c>
      <c r="J40" s="454"/>
      <c r="K40" s="454"/>
      <c r="L40" s="454"/>
      <c r="M40" s="454"/>
      <c r="N40" s="454"/>
      <c r="O40" s="4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B0BCA-CEB5-4CC4-B7FA-CDD92ABE66F3}">
  <sheetPr>
    <tabColor rgb="FF7030A0"/>
  </sheetPr>
  <dimension ref="A1:Q49"/>
  <sheetViews>
    <sheetView topLeftCell="A7" workbookViewId="0">
      <selection activeCell="L20" sqref="L20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5.28515625" customWidth="1"/>
    <col min="5" max="5" width="9.7109375" bestFit="1" customWidth="1"/>
    <col min="6" max="6" width="7" bestFit="1" customWidth="1"/>
    <col min="7" max="7" width="11.5703125" bestFit="1" customWidth="1"/>
    <col min="9" max="10" width="10.85546875" bestFit="1" customWidth="1"/>
    <col min="11" max="12" width="13.5703125" bestFit="1" customWidth="1"/>
    <col min="13" max="13" width="11.85546875" bestFit="1" customWidth="1"/>
    <col min="14" max="14" width="10.42578125" bestFit="1" customWidth="1"/>
    <col min="15" max="15" width="9.42578125" customWidth="1"/>
  </cols>
  <sheetData>
    <row r="1" spans="1:15" ht="15.75">
      <c r="A1" s="468" t="s">
        <v>69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56"/>
    </row>
    <row r="2" spans="1:15" ht="30">
      <c r="A2" s="67" t="s">
        <v>129</v>
      </c>
      <c r="B2" s="86" t="s">
        <v>130</v>
      </c>
      <c r="C2" s="86" t="s">
        <v>131</v>
      </c>
      <c r="D2" s="86" t="s">
        <v>132</v>
      </c>
      <c r="E2" s="86" t="s">
        <v>133</v>
      </c>
      <c r="F2" s="86" t="s">
        <v>134</v>
      </c>
      <c r="G2" s="86" t="s">
        <v>135</v>
      </c>
      <c r="H2" s="86" t="s">
        <v>136</v>
      </c>
      <c r="I2" s="86" t="s">
        <v>134</v>
      </c>
      <c r="J2" s="87" t="s">
        <v>135</v>
      </c>
      <c r="K2" s="67" t="s">
        <v>137</v>
      </c>
      <c r="L2" s="88" t="s">
        <v>138</v>
      </c>
      <c r="M2" s="170" t="s">
        <v>199</v>
      </c>
      <c r="N2" s="86" t="s">
        <v>140</v>
      </c>
      <c r="O2" s="62"/>
    </row>
    <row r="3" spans="1:15">
      <c r="A3" s="148"/>
      <c r="B3" s="149"/>
      <c r="C3" s="149"/>
      <c r="D3" s="135" t="s">
        <v>141</v>
      </c>
      <c r="E3" s="149"/>
      <c r="F3" s="149"/>
      <c r="G3" s="149"/>
      <c r="H3" s="149"/>
      <c r="I3" s="149"/>
      <c r="J3" s="150"/>
      <c r="K3" s="148">
        <v>336687.37039999996</v>
      </c>
      <c r="L3" s="151">
        <v>0</v>
      </c>
      <c r="M3" s="151">
        <f>+K3</f>
        <v>336687.37039999996</v>
      </c>
      <c r="N3" s="149"/>
      <c r="O3" s="62"/>
    </row>
    <row r="4" spans="1:15">
      <c r="A4" s="47">
        <v>1</v>
      </c>
      <c r="B4" s="206">
        <v>45658</v>
      </c>
      <c r="C4" s="25"/>
      <c r="D4" s="25"/>
      <c r="E4" s="273">
        <v>0</v>
      </c>
      <c r="F4" s="273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51">
        <v>0</v>
      </c>
      <c r="M4" s="8">
        <f>M3+K4-L4</f>
        <v>336687.37039999996</v>
      </c>
      <c r="N4" s="45"/>
      <c r="O4" s="1"/>
    </row>
    <row r="5" spans="1:15">
      <c r="A5" s="47">
        <v>2</v>
      </c>
      <c r="B5" s="206">
        <v>45659</v>
      </c>
      <c r="C5" s="25"/>
      <c r="D5" s="25"/>
      <c r="E5" s="273">
        <v>0</v>
      </c>
      <c r="F5" s="273">
        <v>0</v>
      </c>
      <c r="G5" s="8">
        <f t="shared" ref="G5:G34" si="0">E5*F5</f>
        <v>0</v>
      </c>
      <c r="H5" s="9">
        <v>0</v>
      </c>
      <c r="I5" s="9">
        <v>0</v>
      </c>
      <c r="J5" s="8">
        <f t="shared" ref="J5:J34" si="1">H5*I5</f>
        <v>0</v>
      </c>
      <c r="K5" s="8">
        <f t="shared" ref="K5:L33" si="2">G5+J5</f>
        <v>0</v>
      </c>
      <c r="L5" s="151"/>
      <c r="M5" s="8">
        <f t="shared" ref="M5:M8" si="3">M4+K5-L5</f>
        <v>336687.37039999996</v>
      </c>
      <c r="N5" s="45"/>
      <c r="O5" s="1"/>
    </row>
    <row r="6" spans="1:15">
      <c r="A6" s="47">
        <v>3</v>
      </c>
      <c r="B6" s="206">
        <v>45660</v>
      </c>
      <c r="C6" s="25"/>
      <c r="D6" s="25"/>
      <c r="E6" s="273">
        <v>0</v>
      </c>
      <c r="F6" s="273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51"/>
      <c r="M6" s="8">
        <f t="shared" si="3"/>
        <v>336687.37039999996</v>
      </c>
      <c r="N6" s="45"/>
      <c r="O6" s="1"/>
    </row>
    <row r="7" spans="1:15">
      <c r="A7" s="47">
        <v>4</v>
      </c>
      <c r="B7" s="206">
        <v>45661</v>
      </c>
      <c r="C7" s="25"/>
      <c r="D7" s="25"/>
      <c r="E7" s="273">
        <v>0</v>
      </c>
      <c r="F7" s="273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8"/>
      <c r="M7" s="8">
        <f t="shared" si="3"/>
        <v>336687.37039999996</v>
      </c>
      <c r="N7" s="45"/>
      <c r="O7" s="1"/>
    </row>
    <row r="8" spans="1:15">
      <c r="A8" s="47">
        <v>5</v>
      </c>
      <c r="B8" s="206">
        <v>45662</v>
      </c>
      <c r="C8" s="25"/>
      <c r="D8" s="25"/>
      <c r="E8" s="273">
        <v>0</v>
      </c>
      <c r="F8" s="273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51"/>
      <c r="M8" s="8">
        <f t="shared" si="3"/>
        <v>336687.37039999996</v>
      </c>
      <c r="N8" s="45"/>
      <c r="O8" s="1"/>
    </row>
    <row r="9" spans="1:15">
      <c r="A9" s="47">
        <v>6</v>
      </c>
      <c r="B9" s="206">
        <v>45663</v>
      </c>
      <c r="C9" s="25"/>
      <c r="D9" s="25"/>
      <c r="E9" s="273">
        <v>0</v>
      </c>
      <c r="F9" s="273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51"/>
      <c r="M9" s="8">
        <f t="shared" ref="M9:M34" si="4">M8+K9-L9</f>
        <v>336687.37039999996</v>
      </c>
      <c r="N9" s="45"/>
      <c r="O9" s="1"/>
    </row>
    <row r="10" spans="1:15">
      <c r="A10" s="47">
        <v>7</v>
      </c>
      <c r="B10" s="206">
        <v>45664</v>
      </c>
      <c r="C10" s="25"/>
      <c r="D10" s="25"/>
      <c r="E10" s="273">
        <v>0</v>
      </c>
      <c r="F10" s="273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51"/>
      <c r="M10" s="8">
        <f t="shared" si="4"/>
        <v>336687.37039999996</v>
      </c>
      <c r="N10" s="45"/>
      <c r="O10" s="1"/>
    </row>
    <row r="11" spans="1:15">
      <c r="A11" s="47">
        <v>8</v>
      </c>
      <c r="B11" s="206">
        <v>45665</v>
      </c>
      <c r="C11" s="25"/>
      <c r="D11" s="25"/>
      <c r="E11" s="273">
        <v>0</v>
      </c>
      <c r="F11" s="273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51">
        <v>200000</v>
      </c>
      <c r="M11" s="8">
        <f t="shared" si="4"/>
        <v>136687.37039999996</v>
      </c>
      <c r="N11" s="45"/>
      <c r="O11" s="1"/>
    </row>
    <row r="12" spans="1:15">
      <c r="A12" s="47">
        <v>9</v>
      </c>
      <c r="B12" s="206">
        <v>45666</v>
      </c>
      <c r="C12" s="25"/>
      <c r="D12" s="25"/>
      <c r="E12" s="273">
        <v>0</v>
      </c>
      <c r="F12" s="273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51"/>
      <c r="M12" s="8">
        <f t="shared" si="4"/>
        <v>136687.37039999996</v>
      </c>
      <c r="N12" s="45"/>
      <c r="O12" s="1" t="s">
        <v>264</v>
      </c>
    </row>
    <row r="13" spans="1:15">
      <c r="A13" s="47">
        <v>10</v>
      </c>
      <c r="B13" s="206">
        <v>45667</v>
      </c>
      <c r="C13" s="25"/>
      <c r="D13" s="25"/>
      <c r="E13" s="273">
        <v>0</v>
      </c>
      <c r="F13" s="273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151"/>
      <c r="M13" s="8">
        <f t="shared" si="4"/>
        <v>136687.37039999996</v>
      </c>
      <c r="N13" s="45"/>
      <c r="O13" s="1"/>
    </row>
    <row r="14" spans="1:15">
      <c r="A14" s="47">
        <v>11</v>
      </c>
      <c r="B14" s="206">
        <v>45668</v>
      </c>
      <c r="C14" s="25"/>
      <c r="D14" s="25"/>
      <c r="E14" s="273">
        <v>0</v>
      </c>
      <c r="F14" s="273">
        <v>0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151"/>
      <c r="M14" s="8">
        <f t="shared" si="4"/>
        <v>136687.37039999996</v>
      </c>
      <c r="N14" s="45"/>
      <c r="O14" s="1"/>
    </row>
    <row r="15" spans="1:15">
      <c r="A15" s="47">
        <v>12</v>
      </c>
      <c r="B15" s="206">
        <v>45669</v>
      </c>
      <c r="C15" s="25"/>
      <c r="D15" s="25"/>
      <c r="E15" s="273">
        <v>0</v>
      </c>
      <c r="F15" s="273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51"/>
      <c r="M15" s="8">
        <f t="shared" si="4"/>
        <v>136687.37039999996</v>
      </c>
      <c r="N15" s="45"/>
      <c r="O15" s="1"/>
    </row>
    <row r="16" spans="1:15">
      <c r="A16" s="47">
        <v>13</v>
      </c>
      <c r="B16" s="206">
        <v>45670</v>
      </c>
      <c r="C16" s="25"/>
      <c r="D16" s="25"/>
      <c r="E16" s="273">
        <v>0</v>
      </c>
      <c r="F16" s="273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151"/>
      <c r="M16" s="8">
        <f t="shared" si="4"/>
        <v>136687.37039999996</v>
      </c>
      <c r="N16" s="45"/>
      <c r="O16" s="1"/>
    </row>
    <row r="17" spans="1:17">
      <c r="A17" s="47">
        <v>14</v>
      </c>
      <c r="B17" s="206">
        <v>45671</v>
      </c>
      <c r="C17" s="25"/>
      <c r="D17" s="25"/>
      <c r="E17" s="273">
        <v>0</v>
      </c>
      <c r="F17" s="273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151"/>
      <c r="M17" s="8">
        <f t="shared" si="4"/>
        <v>136687.37039999996</v>
      </c>
      <c r="N17" s="45"/>
      <c r="O17" s="1"/>
    </row>
    <row r="18" spans="1:17">
      <c r="A18" s="47">
        <v>15</v>
      </c>
      <c r="B18" s="206">
        <v>45672</v>
      </c>
      <c r="C18" s="25"/>
      <c r="D18" s="25"/>
      <c r="E18" s="273">
        <v>0</v>
      </c>
      <c r="F18" s="273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51"/>
      <c r="M18" s="8">
        <f t="shared" si="4"/>
        <v>136687.37039999996</v>
      </c>
      <c r="N18" s="45"/>
      <c r="O18" s="1"/>
    </row>
    <row r="19" spans="1:17">
      <c r="A19" s="47">
        <v>16</v>
      </c>
      <c r="B19" s="206">
        <v>45673</v>
      </c>
      <c r="C19" s="25"/>
      <c r="D19" s="25"/>
      <c r="E19" s="273">
        <v>0</v>
      </c>
      <c r="F19" s="273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151"/>
      <c r="M19" s="8">
        <f t="shared" si="4"/>
        <v>136687.37039999996</v>
      </c>
      <c r="N19" s="45"/>
      <c r="O19" s="1"/>
    </row>
    <row r="20" spans="1:17">
      <c r="A20" s="47">
        <v>17</v>
      </c>
      <c r="B20" s="206">
        <v>45674</v>
      </c>
      <c r="C20" s="25"/>
      <c r="D20" s="25"/>
      <c r="E20" s="273">
        <v>0</v>
      </c>
      <c r="F20" s="273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51">
        <v>136687.37</v>
      </c>
      <c r="M20" s="8">
        <f t="shared" si="4"/>
        <v>3.9999996079131961E-4</v>
      </c>
      <c r="N20" s="45"/>
      <c r="O20" s="1"/>
    </row>
    <row r="21" spans="1:17">
      <c r="A21" s="47">
        <v>18</v>
      </c>
      <c r="B21" s="206">
        <v>45675</v>
      </c>
      <c r="C21" s="25"/>
      <c r="D21" s="25"/>
      <c r="E21" s="273">
        <v>0</v>
      </c>
      <c r="F21" s="273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151"/>
      <c r="M21" s="8">
        <f t="shared" si="4"/>
        <v>3.9999996079131961E-4</v>
      </c>
      <c r="N21" s="45"/>
      <c r="O21" s="1"/>
    </row>
    <row r="22" spans="1:17">
      <c r="A22" s="47">
        <v>19</v>
      </c>
      <c r="B22" s="206">
        <v>45676</v>
      </c>
      <c r="C22" s="25"/>
      <c r="D22" s="25"/>
      <c r="E22" s="273">
        <v>0</v>
      </c>
      <c r="F22" s="273">
        <v>0</v>
      </c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51"/>
      <c r="M22" s="8">
        <f t="shared" si="4"/>
        <v>3.9999996079131961E-4</v>
      </c>
      <c r="N22" s="45"/>
      <c r="O22" s="1"/>
    </row>
    <row r="23" spans="1:17">
      <c r="A23" s="47">
        <v>20</v>
      </c>
      <c r="B23" s="206">
        <v>45677</v>
      </c>
      <c r="C23" s="25"/>
      <c r="D23" s="25"/>
      <c r="E23" s="273">
        <v>0</v>
      </c>
      <c r="F23" s="273">
        <v>0</v>
      </c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51"/>
      <c r="M23" s="8">
        <f t="shared" si="4"/>
        <v>3.9999996079131961E-4</v>
      </c>
      <c r="N23" s="45"/>
      <c r="O23" s="1"/>
    </row>
    <row r="24" spans="1:17">
      <c r="A24" s="47">
        <v>21</v>
      </c>
      <c r="B24" s="206">
        <v>45678</v>
      </c>
      <c r="C24" s="25"/>
      <c r="D24" s="25"/>
      <c r="E24" s="273">
        <v>0</v>
      </c>
      <c r="F24" s="273">
        <v>0</v>
      </c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151"/>
      <c r="M24" s="8">
        <f t="shared" si="4"/>
        <v>3.9999996079131961E-4</v>
      </c>
      <c r="N24" s="45"/>
      <c r="O24" s="1"/>
    </row>
    <row r="25" spans="1:17">
      <c r="A25" s="47">
        <v>22</v>
      </c>
      <c r="B25" s="206">
        <v>45679</v>
      </c>
      <c r="C25" s="25"/>
      <c r="D25" s="25"/>
      <c r="E25" s="273">
        <v>0</v>
      </c>
      <c r="F25" s="273">
        <v>0</v>
      </c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51"/>
      <c r="M25" s="8">
        <f t="shared" si="4"/>
        <v>3.9999996079131961E-4</v>
      </c>
      <c r="N25" s="45"/>
      <c r="O25" s="1"/>
    </row>
    <row r="26" spans="1:17">
      <c r="A26" s="47">
        <v>23</v>
      </c>
      <c r="B26" s="206">
        <v>45680</v>
      </c>
      <c r="C26" s="25"/>
      <c r="D26" s="25"/>
      <c r="E26" s="273">
        <v>0</v>
      </c>
      <c r="F26" s="273">
        <v>0</v>
      </c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51"/>
      <c r="M26" s="8">
        <f t="shared" si="4"/>
        <v>3.9999996079131961E-4</v>
      </c>
      <c r="N26" s="45"/>
      <c r="O26" s="1"/>
    </row>
    <row r="27" spans="1:17">
      <c r="A27" s="47">
        <v>24</v>
      </c>
      <c r="B27" s="206">
        <v>45681</v>
      </c>
      <c r="C27" s="25"/>
      <c r="D27" s="25"/>
      <c r="E27" s="273">
        <v>0</v>
      </c>
      <c r="F27" s="273">
        <v>0</v>
      </c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51"/>
      <c r="M27" s="8">
        <f t="shared" si="4"/>
        <v>3.9999996079131961E-4</v>
      </c>
      <c r="N27" s="45"/>
      <c r="O27" s="1"/>
    </row>
    <row r="28" spans="1:17">
      <c r="A28" s="47">
        <v>25</v>
      </c>
      <c r="B28" s="206">
        <v>45682</v>
      </c>
      <c r="C28" s="25"/>
      <c r="D28" s="25"/>
      <c r="E28" s="273">
        <v>0</v>
      </c>
      <c r="F28" s="273">
        <v>0</v>
      </c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151"/>
      <c r="M28" s="8">
        <f t="shared" si="4"/>
        <v>3.9999996079131961E-4</v>
      </c>
      <c r="N28" s="45"/>
      <c r="O28" s="1"/>
    </row>
    <row r="29" spans="1:17">
      <c r="A29" s="47">
        <v>26</v>
      </c>
      <c r="B29" s="206">
        <v>45683</v>
      </c>
      <c r="C29" s="25"/>
      <c r="D29" s="25"/>
      <c r="E29" s="273">
        <v>0</v>
      </c>
      <c r="F29" s="273">
        <v>0</v>
      </c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51"/>
      <c r="M29" s="8">
        <f t="shared" si="4"/>
        <v>3.9999996079131961E-4</v>
      </c>
      <c r="N29" s="45"/>
      <c r="O29" s="1"/>
      <c r="Q29">
        <v>30</v>
      </c>
    </row>
    <row r="30" spans="1:17">
      <c r="A30" s="47">
        <v>27</v>
      </c>
      <c r="B30" s="206">
        <v>45684</v>
      </c>
      <c r="C30" s="25"/>
      <c r="D30" s="25"/>
      <c r="E30" s="273">
        <v>0</v>
      </c>
      <c r="F30" s="273">
        <v>0</v>
      </c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51"/>
      <c r="M30" s="8">
        <f t="shared" si="4"/>
        <v>3.9999996079131961E-4</v>
      </c>
      <c r="N30" s="45"/>
      <c r="O30" s="1"/>
      <c r="Q30">
        <v>20.02</v>
      </c>
    </row>
    <row r="31" spans="1:17">
      <c r="A31" s="47">
        <v>28</v>
      </c>
      <c r="B31" s="206">
        <v>45685</v>
      </c>
      <c r="C31" s="25"/>
      <c r="D31" s="25"/>
      <c r="E31" s="273">
        <v>0</v>
      </c>
      <c r="F31" s="273">
        <v>0</v>
      </c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51"/>
      <c r="M31" s="8">
        <f t="shared" si="4"/>
        <v>3.9999996079131961E-4</v>
      </c>
      <c r="N31" s="45"/>
      <c r="O31" s="1"/>
    </row>
    <row r="32" spans="1:17">
      <c r="A32" s="201">
        <v>29</v>
      </c>
      <c r="B32" s="206">
        <v>45686</v>
      </c>
      <c r="C32" s="25"/>
      <c r="D32" s="25"/>
      <c r="E32" s="273">
        <v>0</v>
      </c>
      <c r="F32" s="273">
        <v>0</v>
      </c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>
        <f t="shared" si="2"/>
        <v>0</v>
      </c>
      <c r="L32" s="151"/>
      <c r="M32" s="8">
        <f t="shared" si="4"/>
        <v>3.9999996079131961E-4</v>
      </c>
      <c r="N32" s="45"/>
      <c r="O32" s="1"/>
    </row>
    <row r="33" spans="1:15">
      <c r="A33" s="201">
        <v>30</v>
      </c>
      <c r="B33" s="206">
        <v>45687</v>
      </c>
      <c r="C33" s="25"/>
      <c r="D33" s="25"/>
      <c r="E33" s="273">
        <v>0</v>
      </c>
      <c r="F33" s="273">
        <v>0</v>
      </c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51"/>
      <c r="M33" s="8">
        <f t="shared" si="4"/>
        <v>3.9999996079131961E-4</v>
      </c>
      <c r="N33" s="45"/>
      <c r="O33" s="1"/>
    </row>
    <row r="34" spans="1:15">
      <c r="A34" s="201">
        <v>31</v>
      </c>
      <c r="B34" s="206">
        <v>45688</v>
      </c>
      <c r="C34" s="25"/>
      <c r="D34" s="25"/>
      <c r="E34" s="273">
        <v>0</v>
      </c>
      <c r="F34" s="273">
        <v>0</v>
      </c>
      <c r="G34" s="8">
        <f t="shared" si="0"/>
        <v>0</v>
      </c>
      <c r="H34" s="9">
        <v>0</v>
      </c>
      <c r="I34" s="9">
        <v>0</v>
      </c>
      <c r="J34" s="8">
        <f t="shared" si="1"/>
        <v>0</v>
      </c>
      <c r="K34" s="8">
        <f t="shared" ref="K34" si="5">G34+J34</f>
        <v>0</v>
      </c>
      <c r="L34" s="151">
        <v>0</v>
      </c>
      <c r="M34" s="8">
        <f t="shared" si="4"/>
        <v>3.9999996079131961E-4</v>
      </c>
      <c r="N34" s="45"/>
      <c r="O34" s="1"/>
    </row>
    <row r="35" spans="1:15">
      <c r="A35" s="65"/>
      <c r="B35" s="65"/>
      <c r="C35" s="65"/>
      <c r="D35" s="65"/>
      <c r="E35" s="66">
        <f>SUM(E4:E34)</f>
        <v>0</v>
      </c>
      <c r="F35" s="66"/>
      <c r="G35" s="66">
        <f>SUM(G4:G34)</f>
        <v>0</v>
      </c>
      <c r="H35" s="66">
        <f>SUM(H4:H34)</f>
        <v>0</v>
      </c>
      <c r="I35" s="66"/>
      <c r="J35" s="66">
        <f>SUM(J4:J34)</f>
        <v>0</v>
      </c>
      <c r="K35" s="66">
        <f>SUM(K4:K34)</f>
        <v>0</v>
      </c>
      <c r="L35" s="66">
        <f>SUM(L4:L34)</f>
        <v>336687.37</v>
      </c>
      <c r="M35" s="66"/>
      <c r="N35" s="66"/>
      <c r="O35" s="62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54"/>
      <c r="C38" s="454"/>
      <c r="D38" s="454"/>
      <c r="E38" s="454"/>
      <c r="F38" s="1"/>
      <c r="G38" s="1"/>
      <c r="H38" s="1"/>
      <c r="I38" s="493">
        <f>K24+L24</f>
        <v>0</v>
      </c>
      <c r="J38" s="454"/>
      <c r="K38" s="454"/>
      <c r="L38" s="454"/>
      <c r="M38" s="454"/>
      <c r="N38" s="454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2B35C-CCFB-4420-8E82-7D2A8627C32F}">
  <sheetPr>
    <tabColor rgb="FF7030A0"/>
  </sheetPr>
  <dimension ref="A1:Q49"/>
  <sheetViews>
    <sheetView topLeftCell="A20" workbookViewId="0">
      <selection activeCell="M34" sqref="M34"/>
    </sheetView>
  </sheetViews>
  <sheetFormatPr defaultRowHeight="15"/>
  <cols>
    <col min="7" max="7" width="10.85546875" bestFit="1" customWidth="1"/>
    <col min="11" max="11" width="13.5703125" bestFit="1" customWidth="1"/>
    <col min="12" max="13" width="11.85546875" bestFit="1" customWidth="1"/>
  </cols>
  <sheetData>
    <row r="1" spans="1:15" ht="15.75">
      <c r="A1" s="468" t="s">
        <v>71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56"/>
    </row>
    <row r="2" spans="1:15" ht="30.75">
      <c r="A2" s="67" t="s">
        <v>129</v>
      </c>
      <c r="B2" s="86" t="s">
        <v>130</v>
      </c>
      <c r="C2" s="86" t="s">
        <v>131</v>
      </c>
      <c r="D2" s="86" t="s">
        <v>132</v>
      </c>
      <c r="E2" s="86" t="s">
        <v>133</v>
      </c>
      <c r="F2" s="86" t="s">
        <v>134</v>
      </c>
      <c r="G2" s="86" t="s">
        <v>135</v>
      </c>
      <c r="H2" s="86" t="s">
        <v>136</v>
      </c>
      <c r="I2" s="86" t="s">
        <v>134</v>
      </c>
      <c r="J2" s="87" t="s">
        <v>135</v>
      </c>
      <c r="K2" s="67" t="s">
        <v>137</v>
      </c>
      <c r="L2" s="88" t="s">
        <v>138</v>
      </c>
      <c r="M2" s="170" t="s">
        <v>199</v>
      </c>
      <c r="N2" s="86" t="s">
        <v>140</v>
      </c>
      <c r="O2" s="62"/>
    </row>
    <row r="3" spans="1:15">
      <c r="A3" s="148"/>
      <c r="B3" s="149"/>
      <c r="C3" s="149"/>
      <c r="D3" s="135" t="s">
        <v>141</v>
      </c>
      <c r="E3" s="149"/>
      <c r="F3" s="149"/>
      <c r="G3" s="149"/>
      <c r="H3" s="149"/>
      <c r="I3" s="149"/>
      <c r="J3" s="150"/>
      <c r="K3" s="148">
        <v>0</v>
      </c>
      <c r="L3" s="151">
        <v>0</v>
      </c>
      <c r="M3" s="151">
        <f>+K3</f>
        <v>0</v>
      </c>
      <c r="N3" s="149"/>
      <c r="O3" s="62"/>
    </row>
    <row r="4" spans="1:15">
      <c r="A4" s="47">
        <v>1</v>
      </c>
      <c r="B4" s="206">
        <v>45658</v>
      </c>
      <c r="C4" s="25"/>
      <c r="D4" s="25"/>
      <c r="E4" s="273">
        <v>0</v>
      </c>
      <c r="F4" s="273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51">
        <v>0</v>
      </c>
      <c r="M4" s="8">
        <f>M3+K4-L4</f>
        <v>0</v>
      </c>
      <c r="N4" s="45"/>
      <c r="O4" s="1"/>
    </row>
    <row r="5" spans="1:15">
      <c r="A5" s="47">
        <v>2</v>
      </c>
      <c r="B5" s="206">
        <v>45659</v>
      </c>
      <c r="C5" s="25"/>
      <c r="D5" s="25"/>
      <c r="E5" s="273">
        <v>419</v>
      </c>
      <c r="F5" s="273">
        <v>91.78</v>
      </c>
      <c r="G5" s="8">
        <f t="shared" ref="G5:G34" si="0">E5*F5</f>
        <v>38455.82</v>
      </c>
      <c r="H5" s="9">
        <v>5</v>
      </c>
      <c r="I5" s="391">
        <v>103.74</v>
      </c>
      <c r="J5" s="8">
        <f t="shared" ref="J5:J34" si="1">H5*I5</f>
        <v>518.69999999999993</v>
      </c>
      <c r="K5" s="8">
        <f t="shared" ref="K5:K34" si="2">G5+J5</f>
        <v>38974.519999999997</v>
      </c>
      <c r="L5" s="151"/>
      <c r="M5" s="8">
        <f t="shared" ref="M5:M34" si="3">M4+K5-L5</f>
        <v>38974.519999999997</v>
      </c>
      <c r="N5" s="45"/>
      <c r="O5" s="1"/>
    </row>
    <row r="6" spans="1:15">
      <c r="A6" s="47">
        <v>3</v>
      </c>
      <c r="B6" s="206">
        <v>45660</v>
      </c>
      <c r="C6" s="25"/>
      <c r="D6" s="25"/>
      <c r="E6" s="273">
        <v>210</v>
      </c>
      <c r="F6" s="273">
        <v>91.78</v>
      </c>
      <c r="G6" s="8">
        <f t="shared" si="0"/>
        <v>19273.8</v>
      </c>
      <c r="H6" s="9">
        <v>0</v>
      </c>
      <c r="I6" s="391">
        <v>103.74</v>
      </c>
      <c r="J6" s="8">
        <f t="shared" si="1"/>
        <v>0</v>
      </c>
      <c r="K6" s="8">
        <f t="shared" si="2"/>
        <v>19273.8</v>
      </c>
      <c r="L6" s="151"/>
      <c r="M6" s="8">
        <f t="shared" si="3"/>
        <v>58248.319999999992</v>
      </c>
      <c r="N6" s="45"/>
      <c r="O6" s="1"/>
    </row>
    <row r="7" spans="1:15">
      <c r="A7" s="47">
        <v>4</v>
      </c>
      <c r="B7" s="206">
        <v>45661</v>
      </c>
      <c r="C7" s="25"/>
      <c r="D7" s="25"/>
      <c r="E7" s="273">
        <v>330</v>
      </c>
      <c r="F7" s="273">
        <v>91.78</v>
      </c>
      <c r="G7" s="8">
        <f t="shared" si="0"/>
        <v>30287.4</v>
      </c>
      <c r="H7" s="9">
        <v>5</v>
      </c>
      <c r="I7" s="391">
        <v>103.74</v>
      </c>
      <c r="J7" s="8">
        <f t="shared" si="1"/>
        <v>518.69999999999993</v>
      </c>
      <c r="K7" s="8">
        <f t="shared" si="2"/>
        <v>30806.100000000002</v>
      </c>
      <c r="L7" s="8"/>
      <c r="M7" s="8">
        <f t="shared" si="3"/>
        <v>89054.42</v>
      </c>
      <c r="N7" s="45"/>
      <c r="O7" s="1"/>
    </row>
    <row r="8" spans="1:15">
      <c r="A8" s="47">
        <v>5</v>
      </c>
      <c r="B8" s="206">
        <v>45662</v>
      </c>
      <c r="C8" s="25"/>
      <c r="D8" s="25"/>
      <c r="E8" s="273">
        <v>230</v>
      </c>
      <c r="F8" s="273">
        <v>91.78</v>
      </c>
      <c r="G8" s="8">
        <f t="shared" si="0"/>
        <v>21109.4</v>
      </c>
      <c r="H8" s="9">
        <v>5</v>
      </c>
      <c r="I8" s="391">
        <v>103.74</v>
      </c>
      <c r="J8" s="8">
        <f t="shared" si="1"/>
        <v>518.69999999999993</v>
      </c>
      <c r="K8" s="8">
        <f t="shared" si="2"/>
        <v>21628.100000000002</v>
      </c>
      <c r="L8" s="151"/>
      <c r="M8" s="8">
        <f t="shared" si="3"/>
        <v>110682.52</v>
      </c>
      <c r="N8" s="45"/>
      <c r="O8" s="1"/>
    </row>
    <row r="9" spans="1:15">
      <c r="A9" s="47">
        <v>6</v>
      </c>
      <c r="B9" s="206">
        <v>45663</v>
      </c>
      <c r="C9" s="25"/>
      <c r="D9" s="25"/>
      <c r="E9" s="273">
        <v>145</v>
      </c>
      <c r="F9" s="273">
        <v>91.78</v>
      </c>
      <c r="G9" s="8">
        <f t="shared" si="0"/>
        <v>13308.1</v>
      </c>
      <c r="H9" s="9">
        <v>5</v>
      </c>
      <c r="I9" s="391">
        <v>103.74</v>
      </c>
      <c r="J9" s="8">
        <f t="shared" si="1"/>
        <v>518.69999999999993</v>
      </c>
      <c r="K9" s="8">
        <f t="shared" si="2"/>
        <v>13826.800000000001</v>
      </c>
      <c r="L9" s="151"/>
      <c r="M9" s="8">
        <f t="shared" si="3"/>
        <v>124509.32</v>
      </c>
      <c r="N9" s="45"/>
      <c r="O9" s="1"/>
    </row>
    <row r="10" spans="1:15">
      <c r="A10" s="47">
        <v>7</v>
      </c>
      <c r="B10" s="206">
        <v>45664</v>
      </c>
      <c r="C10" s="25"/>
      <c r="D10" s="25"/>
      <c r="E10" s="273">
        <v>230</v>
      </c>
      <c r="F10" s="273">
        <v>91.78</v>
      </c>
      <c r="G10" s="8">
        <f t="shared" si="0"/>
        <v>21109.4</v>
      </c>
      <c r="H10" s="9">
        <v>0</v>
      </c>
      <c r="I10" s="9">
        <v>0</v>
      </c>
      <c r="J10" s="8">
        <f t="shared" si="1"/>
        <v>0</v>
      </c>
      <c r="K10" s="8">
        <f t="shared" si="2"/>
        <v>21109.4</v>
      </c>
      <c r="L10" s="151"/>
      <c r="M10" s="8">
        <f t="shared" si="3"/>
        <v>145618.72</v>
      </c>
      <c r="N10" s="45"/>
      <c r="O10" s="1"/>
    </row>
    <row r="11" spans="1:15">
      <c r="A11" s="47">
        <v>8</v>
      </c>
      <c r="B11" s="206">
        <v>45665</v>
      </c>
      <c r="C11" s="25"/>
      <c r="D11" s="25"/>
      <c r="E11" s="273">
        <v>250</v>
      </c>
      <c r="F11" s="273">
        <v>91.78</v>
      </c>
      <c r="G11" s="8">
        <f t="shared" si="0"/>
        <v>22945</v>
      </c>
      <c r="H11" s="9">
        <v>0</v>
      </c>
      <c r="I11" s="9">
        <v>0</v>
      </c>
      <c r="J11" s="8">
        <f t="shared" si="1"/>
        <v>0</v>
      </c>
      <c r="K11" s="8">
        <f t="shared" si="2"/>
        <v>22945</v>
      </c>
      <c r="L11" s="151"/>
      <c r="M11" s="8">
        <f t="shared" si="3"/>
        <v>168563.72</v>
      </c>
      <c r="N11" s="45"/>
      <c r="O11" s="1"/>
    </row>
    <row r="12" spans="1:15">
      <c r="A12" s="47">
        <v>9</v>
      </c>
      <c r="B12" s="206">
        <v>45666</v>
      </c>
      <c r="C12" s="25"/>
      <c r="D12" s="25"/>
      <c r="E12" s="273">
        <v>0</v>
      </c>
      <c r="F12" s="273">
        <v>0</v>
      </c>
      <c r="G12" s="8">
        <f t="shared" si="0"/>
        <v>0</v>
      </c>
      <c r="H12" s="9">
        <v>10</v>
      </c>
      <c r="I12" s="9">
        <v>103.74</v>
      </c>
      <c r="J12" s="8">
        <f t="shared" si="1"/>
        <v>1037.3999999999999</v>
      </c>
      <c r="K12" s="8">
        <f t="shared" si="2"/>
        <v>1037.3999999999999</v>
      </c>
      <c r="L12" s="151"/>
      <c r="M12" s="8">
        <f t="shared" si="3"/>
        <v>169601.12</v>
      </c>
      <c r="N12" s="45"/>
      <c r="O12" s="1" t="s">
        <v>264</v>
      </c>
    </row>
    <row r="13" spans="1:15">
      <c r="A13" s="47">
        <v>10</v>
      </c>
      <c r="B13" s="206">
        <v>45667</v>
      </c>
      <c r="C13" s="25"/>
      <c r="D13" s="25"/>
      <c r="E13" s="273">
        <v>170</v>
      </c>
      <c r="F13" s="273">
        <v>91.78</v>
      </c>
      <c r="G13" s="8">
        <f t="shared" si="0"/>
        <v>15602.6</v>
      </c>
      <c r="H13" s="9">
        <v>0</v>
      </c>
      <c r="I13" s="9">
        <v>0</v>
      </c>
      <c r="J13" s="8">
        <f t="shared" si="1"/>
        <v>0</v>
      </c>
      <c r="K13" s="8">
        <f t="shared" si="2"/>
        <v>15602.6</v>
      </c>
      <c r="L13" s="151"/>
      <c r="M13" s="8">
        <f t="shared" si="3"/>
        <v>185203.72</v>
      </c>
      <c r="N13" s="45"/>
      <c r="O13" s="1"/>
    </row>
    <row r="14" spans="1:15">
      <c r="A14" s="47">
        <v>11</v>
      </c>
      <c r="B14" s="206">
        <v>45668</v>
      </c>
      <c r="C14" s="25"/>
      <c r="D14" s="25"/>
      <c r="E14" s="273">
        <v>486</v>
      </c>
      <c r="F14" s="273">
        <v>91.78</v>
      </c>
      <c r="G14" s="8">
        <f t="shared" si="0"/>
        <v>44605.08</v>
      </c>
      <c r="H14" s="9">
        <v>0</v>
      </c>
      <c r="I14" s="9">
        <v>0</v>
      </c>
      <c r="J14" s="8">
        <f t="shared" si="1"/>
        <v>0</v>
      </c>
      <c r="K14" s="8">
        <f t="shared" si="2"/>
        <v>44605.08</v>
      </c>
      <c r="L14" s="151"/>
      <c r="M14" s="8">
        <f t="shared" si="3"/>
        <v>229808.8</v>
      </c>
      <c r="N14" s="45"/>
      <c r="O14" s="1"/>
    </row>
    <row r="15" spans="1:15">
      <c r="A15" s="47">
        <v>12</v>
      </c>
      <c r="B15" s="206">
        <v>45669</v>
      </c>
      <c r="C15" s="25"/>
      <c r="D15" s="25"/>
      <c r="E15" s="273">
        <v>355</v>
      </c>
      <c r="F15" s="273">
        <v>91.78</v>
      </c>
      <c r="G15" s="8">
        <f t="shared" si="0"/>
        <v>32581.9</v>
      </c>
      <c r="H15" s="9">
        <v>0</v>
      </c>
      <c r="I15" s="9">
        <v>0</v>
      </c>
      <c r="J15" s="8">
        <f t="shared" si="1"/>
        <v>0</v>
      </c>
      <c r="K15" s="8">
        <f t="shared" si="2"/>
        <v>32581.9</v>
      </c>
      <c r="L15" s="151"/>
      <c r="M15" s="8">
        <f t="shared" si="3"/>
        <v>262390.7</v>
      </c>
      <c r="N15" s="45"/>
      <c r="O15" s="1"/>
    </row>
    <row r="16" spans="1:15">
      <c r="A16" s="47">
        <v>13</v>
      </c>
      <c r="B16" s="206">
        <v>45670</v>
      </c>
      <c r="C16" s="25"/>
      <c r="D16" s="25"/>
      <c r="E16" s="273">
        <v>180</v>
      </c>
      <c r="F16" s="273">
        <v>91.78</v>
      </c>
      <c r="G16" s="8">
        <f t="shared" si="0"/>
        <v>16520.400000000001</v>
      </c>
      <c r="H16" s="9">
        <v>5</v>
      </c>
      <c r="I16" s="9">
        <v>103.74</v>
      </c>
      <c r="J16" s="8">
        <f t="shared" si="1"/>
        <v>518.69999999999993</v>
      </c>
      <c r="K16" s="8">
        <f t="shared" si="2"/>
        <v>17039.100000000002</v>
      </c>
      <c r="L16" s="151"/>
      <c r="M16" s="8">
        <f t="shared" si="3"/>
        <v>279429.8</v>
      </c>
      <c r="N16" s="45"/>
      <c r="O16" s="1"/>
    </row>
    <row r="17" spans="1:17">
      <c r="A17" s="47">
        <v>14</v>
      </c>
      <c r="B17" s="206">
        <v>45671</v>
      </c>
      <c r="C17" s="25"/>
      <c r="D17" s="25"/>
      <c r="E17" s="273">
        <v>455</v>
      </c>
      <c r="F17" s="273">
        <v>91.78</v>
      </c>
      <c r="G17" s="8">
        <f t="shared" si="0"/>
        <v>41759.9</v>
      </c>
      <c r="H17" s="9">
        <v>0</v>
      </c>
      <c r="I17" s="9">
        <v>0</v>
      </c>
      <c r="J17" s="8">
        <f t="shared" si="1"/>
        <v>0</v>
      </c>
      <c r="K17" s="8">
        <f t="shared" si="2"/>
        <v>41759.9</v>
      </c>
      <c r="L17" s="151">
        <v>150000</v>
      </c>
      <c r="M17" s="8">
        <f t="shared" si="3"/>
        <v>171189.7</v>
      </c>
      <c r="N17" s="45"/>
      <c r="O17" s="1"/>
    </row>
    <row r="18" spans="1:17">
      <c r="A18" s="47">
        <v>15</v>
      </c>
      <c r="B18" s="206">
        <v>45672</v>
      </c>
      <c r="C18" s="25"/>
      <c r="D18" s="25"/>
      <c r="E18" s="273">
        <v>0</v>
      </c>
      <c r="F18" s="273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51"/>
      <c r="M18" s="8">
        <f t="shared" si="3"/>
        <v>171189.7</v>
      </c>
      <c r="N18" s="45"/>
      <c r="O18" s="1"/>
    </row>
    <row r="19" spans="1:17">
      <c r="A19" s="47">
        <v>16</v>
      </c>
      <c r="B19" s="206">
        <v>45673</v>
      </c>
      <c r="C19" s="25"/>
      <c r="D19" s="25"/>
      <c r="E19" s="273">
        <v>386</v>
      </c>
      <c r="F19" s="273">
        <v>91.78</v>
      </c>
      <c r="G19" s="8">
        <f t="shared" si="0"/>
        <v>35427.08</v>
      </c>
      <c r="H19" s="9">
        <v>10</v>
      </c>
      <c r="I19" s="9">
        <v>103.74</v>
      </c>
      <c r="J19" s="8">
        <f t="shared" si="1"/>
        <v>1037.3999999999999</v>
      </c>
      <c r="K19" s="8">
        <f t="shared" si="2"/>
        <v>36464.480000000003</v>
      </c>
      <c r="L19" s="151"/>
      <c r="M19" s="8">
        <f t="shared" si="3"/>
        <v>207654.18000000002</v>
      </c>
      <c r="N19" s="45"/>
      <c r="O19" s="1"/>
    </row>
    <row r="20" spans="1:17">
      <c r="A20" s="47">
        <v>17</v>
      </c>
      <c r="B20" s="206">
        <v>45674</v>
      </c>
      <c r="C20" s="25"/>
      <c r="D20" s="25"/>
      <c r="E20" s="273">
        <v>584.01</v>
      </c>
      <c r="F20" s="273">
        <v>91.78</v>
      </c>
      <c r="G20" s="8">
        <f t="shared" si="0"/>
        <v>53600.4378</v>
      </c>
      <c r="H20" s="9">
        <v>0</v>
      </c>
      <c r="I20" s="9">
        <v>0</v>
      </c>
      <c r="J20" s="8">
        <f t="shared" si="1"/>
        <v>0</v>
      </c>
      <c r="K20" s="8">
        <f t="shared" si="2"/>
        <v>53600.4378</v>
      </c>
      <c r="L20" s="151"/>
      <c r="M20" s="8">
        <f t="shared" si="3"/>
        <v>261254.61780000001</v>
      </c>
      <c r="N20" s="45"/>
      <c r="O20" s="1"/>
    </row>
    <row r="21" spans="1:17">
      <c r="A21" s="47">
        <v>18</v>
      </c>
      <c r="B21" s="206">
        <v>45675</v>
      </c>
      <c r="C21" s="25"/>
      <c r="D21" s="25"/>
      <c r="E21" s="273">
        <v>0</v>
      </c>
      <c r="F21" s="273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151"/>
      <c r="M21" s="8">
        <f t="shared" si="3"/>
        <v>261254.61780000001</v>
      </c>
      <c r="N21" s="45"/>
      <c r="O21" s="1"/>
    </row>
    <row r="22" spans="1:17">
      <c r="A22" s="47">
        <v>19</v>
      </c>
      <c r="B22" s="206">
        <v>45676</v>
      </c>
      <c r="C22" s="25"/>
      <c r="D22" s="25"/>
      <c r="E22" s="273">
        <v>515</v>
      </c>
      <c r="F22" s="273">
        <v>91.78</v>
      </c>
      <c r="G22" s="8">
        <f t="shared" si="0"/>
        <v>47266.7</v>
      </c>
      <c r="H22" s="9">
        <v>5</v>
      </c>
      <c r="I22" s="9">
        <v>103.74</v>
      </c>
      <c r="J22" s="8">
        <f t="shared" si="1"/>
        <v>518.69999999999993</v>
      </c>
      <c r="K22" s="8">
        <f t="shared" si="2"/>
        <v>47785.399999999994</v>
      </c>
      <c r="L22" s="151">
        <v>180000</v>
      </c>
      <c r="M22" s="8">
        <f t="shared" si="3"/>
        <v>129040.01780000003</v>
      </c>
      <c r="N22" s="45"/>
      <c r="O22" s="1"/>
    </row>
    <row r="23" spans="1:17">
      <c r="A23" s="47">
        <v>20</v>
      </c>
      <c r="B23" s="206">
        <v>45677</v>
      </c>
      <c r="C23" s="25"/>
      <c r="D23" s="25"/>
      <c r="E23" s="273">
        <v>430</v>
      </c>
      <c r="F23" s="273">
        <v>91.78</v>
      </c>
      <c r="G23" s="8">
        <f t="shared" si="0"/>
        <v>39465.4</v>
      </c>
      <c r="H23" s="9">
        <v>0</v>
      </c>
      <c r="I23" s="9">
        <v>0</v>
      </c>
      <c r="J23" s="8">
        <f t="shared" si="1"/>
        <v>0</v>
      </c>
      <c r="K23" s="8">
        <f t="shared" si="2"/>
        <v>39465.4</v>
      </c>
      <c r="L23" s="151"/>
      <c r="M23" s="8">
        <f t="shared" si="3"/>
        <v>168505.41780000002</v>
      </c>
      <c r="N23" s="45"/>
      <c r="O23" s="1"/>
    </row>
    <row r="24" spans="1:17">
      <c r="A24" s="47">
        <v>21</v>
      </c>
      <c r="B24" s="206">
        <v>45678</v>
      </c>
      <c r="C24" s="25"/>
      <c r="D24" s="25"/>
      <c r="E24" s="273">
        <v>460</v>
      </c>
      <c r="F24" s="273">
        <v>91.78</v>
      </c>
      <c r="G24" s="8">
        <f t="shared" si="0"/>
        <v>42218.8</v>
      </c>
      <c r="H24" s="9">
        <v>5</v>
      </c>
      <c r="I24" s="9">
        <v>103.74</v>
      </c>
      <c r="J24" s="8">
        <f t="shared" si="1"/>
        <v>518.69999999999993</v>
      </c>
      <c r="K24" s="8">
        <f t="shared" si="2"/>
        <v>42737.5</v>
      </c>
      <c r="L24" s="151"/>
      <c r="M24" s="8">
        <f t="shared" si="3"/>
        <v>211242.91780000002</v>
      </c>
      <c r="N24" s="45"/>
      <c r="O24" s="1"/>
    </row>
    <row r="25" spans="1:17">
      <c r="A25" s="47">
        <v>22</v>
      </c>
      <c r="B25" s="206">
        <v>45679</v>
      </c>
      <c r="C25" s="25"/>
      <c r="D25" s="25"/>
      <c r="E25" s="273">
        <v>360</v>
      </c>
      <c r="F25" s="273">
        <v>91.78</v>
      </c>
      <c r="G25" s="8">
        <f t="shared" si="0"/>
        <v>33040.800000000003</v>
      </c>
      <c r="H25" s="9">
        <v>10</v>
      </c>
      <c r="I25" s="9">
        <v>103.74</v>
      </c>
      <c r="J25" s="8">
        <f t="shared" si="1"/>
        <v>1037.3999999999999</v>
      </c>
      <c r="K25" s="8">
        <f t="shared" si="2"/>
        <v>34078.200000000004</v>
      </c>
      <c r="L25" s="151"/>
      <c r="M25" s="8">
        <f t="shared" si="3"/>
        <v>245321.11780000004</v>
      </c>
      <c r="N25" s="45"/>
      <c r="O25" s="1"/>
    </row>
    <row r="26" spans="1:17">
      <c r="A26" s="47">
        <v>23</v>
      </c>
      <c r="B26" s="206">
        <v>45680</v>
      </c>
      <c r="C26" s="25"/>
      <c r="D26" s="25"/>
      <c r="E26" s="273">
        <v>470</v>
      </c>
      <c r="F26" s="273">
        <v>91.78</v>
      </c>
      <c r="G26" s="8">
        <f t="shared" si="0"/>
        <v>43136.6</v>
      </c>
      <c r="H26" s="9">
        <v>5</v>
      </c>
      <c r="I26" s="9">
        <v>103.74</v>
      </c>
      <c r="J26" s="8">
        <f t="shared" si="1"/>
        <v>518.69999999999993</v>
      </c>
      <c r="K26" s="8">
        <f t="shared" si="2"/>
        <v>43655.299999999996</v>
      </c>
      <c r="L26" s="151"/>
      <c r="M26" s="8">
        <f t="shared" si="3"/>
        <v>288976.41780000005</v>
      </c>
      <c r="N26" s="45"/>
      <c r="O26" s="1"/>
    </row>
    <row r="27" spans="1:17">
      <c r="A27" s="47">
        <v>24</v>
      </c>
      <c r="B27" s="206">
        <v>45681</v>
      </c>
      <c r="C27" s="25"/>
      <c r="D27" s="25"/>
      <c r="E27" s="273">
        <v>455</v>
      </c>
      <c r="F27" s="273">
        <v>91.78</v>
      </c>
      <c r="G27" s="8">
        <f t="shared" si="0"/>
        <v>41759.9</v>
      </c>
      <c r="H27" s="9">
        <v>0</v>
      </c>
      <c r="I27" s="9">
        <v>0</v>
      </c>
      <c r="J27" s="8">
        <f t="shared" si="1"/>
        <v>0</v>
      </c>
      <c r="K27" s="8">
        <f t="shared" si="2"/>
        <v>41759.9</v>
      </c>
      <c r="L27" s="151"/>
      <c r="M27" s="8">
        <f t="shared" si="3"/>
        <v>330736.31780000008</v>
      </c>
      <c r="N27" s="45"/>
      <c r="O27" s="1"/>
    </row>
    <row r="28" spans="1:17">
      <c r="A28" s="47">
        <v>25</v>
      </c>
      <c r="B28" s="206">
        <v>45682</v>
      </c>
      <c r="C28" s="25"/>
      <c r="D28" s="25"/>
      <c r="E28" s="273">
        <v>280</v>
      </c>
      <c r="F28" s="273">
        <v>91.78</v>
      </c>
      <c r="G28" s="8">
        <f t="shared" si="0"/>
        <v>25698.400000000001</v>
      </c>
      <c r="H28" s="9">
        <v>0</v>
      </c>
      <c r="I28" s="9">
        <v>0</v>
      </c>
      <c r="J28" s="8">
        <f t="shared" si="1"/>
        <v>0</v>
      </c>
      <c r="K28" s="8">
        <f t="shared" si="2"/>
        <v>25698.400000000001</v>
      </c>
      <c r="L28" s="151"/>
      <c r="M28" s="8">
        <f t="shared" si="3"/>
        <v>356434.7178000001</v>
      </c>
      <c r="N28" s="45"/>
      <c r="O28" s="1"/>
    </row>
    <row r="29" spans="1:17">
      <c r="A29" s="47">
        <v>26</v>
      </c>
      <c r="B29" s="206">
        <v>45683</v>
      </c>
      <c r="C29" s="25"/>
      <c r="D29" s="25"/>
      <c r="E29" s="273">
        <v>0</v>
      </c>
      <c r="F29" s="273">
        <v>0</v>
      </c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51"/>
      <c r="M29" s="8">
        <f t="shared" si="3"/>
        <v>356434.7178000001</v>
      </c>
      <c r="N29" s="45"/>
      <c r="O29" s="1"/>
      <c r="Q29">
        <v>30</v>
      </c>
    </row>
    <row r="30" spans="1:17">
      <c r="A30" s="47">
        <v>27</v>
      </c>
      <c r="B30" s="206">
        <v>45684</v>
      </c>
      <c r="C30" s="25"/>
      <c r="D30" s="25"/>
      <c r="E30" s="273">
        <v>495</v>
      </c>
      <c r="F30" s="273">
        <v>91.78</v>
      </c>
      <c r="G30" s="8">
        <f t="shared" si="0"/>
        <v>45431.1</v>
      </c>
      <c r="H30" s="9">
        <v>10</v>
      </c>
      <c r="I30" s="9">
        <v>103.74</v>
      </c>
      <c r="J30" s="8">
        <f t="shared" si="1"/>
        <v>1037.3999999999999</v>
      </c>
      <c r="K30" s="8">
        <f t="shared" si="2"/>
        <v>46468.5</v>
      </c>
      <c r="L30" s="151"/>
      <c r="M30" s="8">
        <f t="shared" si="3"/>
        <v>402903.2178000001</v>
      </c>
      <c r="N30" s="45"/>
      <c r="O30" s="1"/>
      <c r="Q30">
        <v>20.02</v>
      </c>
    </row>
    <row r="31" spans="1:17">
      <c r="A31" s="47">
        <v>28</v>
      </c>
      <c r="B31" s="206">
        <v>45685</v>
      </c>
      <c r="C31" s="25"/>
      <c r="D31" s="25"/>
      <c r="E31" s="273">
        <v>40</v>
      </c>
      <c r="F31" s="273">
        <v>91.78</v>
      </c>
      <c r="G31" s="8">
        <f t="shared" si="0"/>
        <v>3671.2</v>
      </c>
      <c r="H31" s="9">
        <v>5</v>
      </c>
      <c r="I31" s="9">
        <v>103.74</v>
      </c>
      <c r="J31" s="8">
        <f t="shared" si="1"/>
        <v>518.69999999999993</v>
      </c>
      <c r="K31" s="8">
        <f t="shared" si="2"/>
        <v>4189.8999999999996</v>
      </c>
      <c r="L31" s="151"/>
      <c r="M31" s="8">
        <f t="shared" si="3"/>
        <v>407093.11780000012</v>
      </c>
      <c r="N31" s="45"/>
      <c r="O31" s="1"/>
    </row>
    <row r="32" spans="1:17">
      <c r="A32" s="201">
        <v>29</v>
      </c>
      <c r="B32" s="206">
        <v>45686</v>
      </c>
      <c r="C32" s="25"/>
      <c r="D32" s="25"/>
      <c r="E32" s="273">
        <v>340</v>
      </c>
      <c r="F32" s="273">
        <v>91.78</v>
      </c>
      <c r="G32" s="8">
        <f t="shared" si="0"/>
        <v>31205.200000000001</v>
      </c>
      <c r="H32" s="9">
        <v>5</v>
      </c>
      <c r="I32" s="9">
        <v>103.74</v>
      </c>
      <c r="J32" s="8">
        <f t="shared" si="1"/>
        <v>518.69999999999993</v>
      </c>
      <c r="K32" s="8">
        <f t="shared" si="2"/>
        <v>31723.9</v>
      </c>
      <c r="L32" s="151"/>
      <c r="M32" s="8">
        <f t="shared" si="3"/>
        <v>438817.01780000015</v>
      </c>
      <c r="N32" s="45"/>
      <c r="O32" s="1"/>
    </row>
    <row r="33" spans="1:15">
      <c r="A33" s="201">
        <v>30</v>
      </c>
      <c r="B33" s="206">
        <v>45687</v>
      </c>
      <c r="C33" s="25"/>
      <c r="D33" s="25"/>
      <c r="E33" s="273">
        <v>472</v>
      </c>
      <c r="F33" s="273">
        <v>91.78</v>
      </c>
      <c r="G33" s="8">
        <f t="shared" si="0"/>
        <v>43320.160000000003</v>
      </c>
      <c r="H33" s="9">
        <v>5</v>
      </c>
      <c r="I33" s="9">
        <v>103.74</v>
      </c>
      <c r="J33" s="8">
        <f t="shared" si="1"/>
        <v>518.69999999999993</v>
      </c>
      <c r="K33" s="8">
        <f t="shared" si="2"/>
        <v>43838.86</v>
      </c>
      <c r="L33" s="151"/>
      <c r="M33" s="8">
        <f t="shared" si="3"/>
        <v>482655.87780000013</v>
      </c>
      <c r="N33" s="45"/>
      <c r="O33" s="1"/>
    </row>
    <row r="34" spans="1:15">
      <c r="A34" s="201">
        <v>31</v>
      </c>
      <c r="B34" s="206">
        <v>45688</v>
      </c>
      <c r="C34" s="25"/>
      <c r="D34" s="25"/>
      <c r="E34" s="273">
        <v>535</v>
      </c>
      <c r="F34" s="273">
        <v>91.78</v>
      </c>
      <c r="G34" s="8">
        <f t="shared" si="0"/>
        <v>49102.3</v>
      </c>
      <c r="H34" s="9">
        <v>5</v>
      </c>
      <c r="I34" s="9">
        <v>103.74</v>
      </c>
      <c r="J34" s="8">
        <f t="shared" si="1"/>
        <v>518.69999999999993</v>
      </c>
      <c r="K34" s="8">
        <f t="shared" si="2"/>
        <v>49621</v>
      </c>
      <c r="L34" s="151">
        <v>0</v>
      </c>
      <c r="M34" s="8">
        <f t="shared" si="3"/>
        <v>532276.87780000013</v>
      </c>
      <c r="N34" s="45"/>
      <c r="O34" s="1"/>
    </row>
    <row r="35" spans="1:15">
      <c r="A35" s="65"/>
      <c r="B35" s="65"/>
      <c r="C35" s="65"/>
      <c r="D35" s="65"/>
      <c r="E35" s="66">
        <f>SUM(E4:E34)</f>
        <v>9282.01</v>
      </c>
      <c r="F35" s="66"/>
      <c r="G35" s="66">
        <f>SUM(G4:G34)</f>
        <v>851902.87780000013</v>
      </c>
      <c r="H35" s="66">
        <f>SUM(H4:H34)</f>
        <v>100</v>
      </c>
      <c r="I35" s="66"/>
      <c r="J35" s="66">
        <f>SUM(J4:J34)</f>
        <v>10374.000000000002</v>
      </c>
      <c r="K35" s="66">
        <f>SUM(K4:K34)</f>
        <v>862276.87780000013</v>
      </c>
      <c r="L35" s="66">
        <f>SUM(L4:L34)</f>
        <v>330000</v>
      </c>
      <c r="M35" s="66"/>
      <c r="N35" s="66"/>
      <c r="O35" s="62"/>
    </row>
    <row r="36" spans="1:15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5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5">
      <c r="A38" s="1"/>
      <c r="B38" s="454"/>
      <c r="C38" s="454"/>
      <c r="D38" s="454"/>
      <c r="E38" s="454"/>
      <c r="F38" s="1"/>
      <c r="G38" s="1"/>
      <c r="H38" s="1"/>
      <c r="I38" s="493">
        <f>K24+L24</f>
        <v>42737.5</v>
      </c>
      <c r="J38" s="454"/>
      <c r="K38" s="454"/>
      <c r="L38" s="454"/>
      <c r="M38" s="454"/>
      <c r="N38" s="454"/>
      <c r="O38" s="4"/>
    </row>
    <row r="39" spans="1: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99A38-9EED-4627-A7B0-503372172E75}">
  <sheetPr>
    <tabColor rgb="FF7030A0"/>
  </sheetPr>
  <dimension ref="A1:Q49"/>
  <sheetViews>
    <sheetView topLeftCell="A3" workbookViewId="0">
      <selection activeCell="L8" sqref="L8"/>
    </sheetView>
  </sheetViews>
  <sheetFormatPr defaultRowHeight="15"/>
  <cols>
    <col min="2" max="2" width="10.42578125" bestFit="1" customWidth="1"/>
    <col min="7" max="7" width="11.85546875" bestFit="1" customWidth="1"/>
    <col min="9" max="9" width="9.7109375" bestFit="1" customWidth="1"/>
    <col min="10" max="10" width="10.85546875" bestFit="1" customWidth="1"/>
    <col min="11" max="12" width="13.5703125" bestFit="1" customWidth="1"/>
    <col min="13" max="13" width="10.85546875" bestFit="1" customWidth="1"/>
    <col min="14" max="14" width="10.42578125" bestFit="1" customWidth="1"/>
    <col min="17" max="17" width="12.140625" customWidth="1"/>
  </cols>
  <sheetData>
    <row r="1" spans="1:17" ht="15.75">
      <c r="A1" s="468" t="s">
        <v>267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56"/>
    </row>
    <row r="2" spans="1:17" ht="45">
      <c r="A2" s="67" t="s">
        <v>129</v>
      </c>
      <c r="B2" s="86" t="s">
        <v>130</v>
      </c>
      <c r="C2" s="86" t="s">
        <v>131</v>
      </c>
      <c r="D2" s="86" t="s">
        <v>132</v>
      </c>
      <c r="E2" s="86" t="s">
        <v>133</v>
      </c>
      <c r="F2" s="86" t="s">
        <v>134</v>
      </c>
      <c r="G2" s="86" t="s">
        <v>135</v>
      </c>
      <c r="H2" s="86" t="s">
        <v>136</v>
      </c>
      <c r="I2" s="86" t="s">
        <v>134</v>
      </c>
      <c r="J2" s="87" t="s">
        <v>135</v>
      </c>
      <c r="K2" s="67" t="s">
        <v>137</v>
      </c>
      <c r="L2" s="88" t="s">
        <v>138</v>
      </c>
      <c r="M2" s="170" t="s">
        <v>199</v>
      </c>
      <c r="N2" s="86" t="s">
        <v>140</v>
      </c>
      <c r="O2" s="62"/>
    </row>
    <row r="3" spans="1:17">
      <c r="A3" s="148"/>
      <c r="B3" s="149"/>
      <c r="C3" s="149"/>
      <c r="D3" s="135" t="s">
        <v>141</v>
      </c>
      <c r="E3" s="149"/>
      <c r="F3" s="149"/>
      <c r="G3" s="149"/>
      <c r="H3" s="149"/>
      <c r="I3" s="149"/>
      <c r="J3" s="150"/>
      <c r="K3" s="148">
        <v>6442.7239999999874</v>
      </c>
      <c r="L3" s="151"/>
      <c r="M3" s="151">
        <v>6442.7239999999874</v>
      </c>
      <c r="N3" s="149"/>
      <c r="O3" s="62"/>
    </row>
    <row r="4" spans="1:17">
      <c r="A4" s="47">
        <v>1</v>
      </c>
      <c r="B4" s="206">
        <v>45658</v>
      </c>
      <c r="C4" s="25"/>
      <c r="D4" s="25"/>
      <c r="E4" s="8"/>
      <c r="F4" s="8">
        <v>0</v>
      </c>
      <c r="G4" s="8">
        <f>E4*F4</f>
        <v>0</v>
      </c>
      <c r="H4" s="9">
        <v>0</v>
      </c>
      <c r="I4" s="9">
        <v>0</v>
      </c>
      <c r="J4" s="8">
        <f>H4*I4</f>
        <v>0</v>
      </c>
      <c r="K4" s="8">
        <f>G4+J4</f>
        <v>0</v>
      </c>
      <c r="L4" s="151">
        <v>0</v>
      </c>
      <c r="M4" s="8">
        <f>M3+K4-L4</f>
        <v>6442.7239999999874</v>
      </c>
      <c r="N4" s="45"/>
      <c r="O4" s="1"/>
    </row>
    <row r="5" spans="1:17">
      <c r="A5" s="47">
        <v>2</v>
      </c>
      <c r="B5" s="206">
        <v>45659</v>
      </c>
      <c r="C5" s="25"/>
      <c r="D5" s="25"/>
      <c r="E5" s="8"/>
      <c r="F5" s="8">
        <v>0</v>
      </c>
      <c r="G5" s="8">
        <f t="shared" ref="G5:G33" si="0">E5*F5</f>
        <v>0</v>
      </c>
      <c r="H5" s="9">
        <v>0</v>
      </c>
      <c r="I5" s="9">
        <v>0</v>
      </c>
      <c r="J5" s="8">
        <f t="shared" ref="J5:J33" si="1">H5*I5</f>
        <v>0</v>
      </c>
      <c r="K5" s="8">
        <f t="shared" ref="K5:K33" si="2">G5+J5</f>
        <v>0</v>
      </c>
      <c r="L5" s="151">
        <v>0</v>
      </c>
      <c r="M5" s="8">
        <f t="shared" ref="M5:M23" si="3">M4+K5-L5</f>
        <v>6442.7239999999874</v>
      </c>
      <c r="N5" s="45"/>
      <c r="O5" s="1"/>
    </row>
    <row r="6" spans="1:17">
      <c r="A6" s="47">
        <v>3</v>
      </c>
      <c r="B6" s="206">
        <v>45660</v>
      </c>
      <c r="C6" s="25"/>
      <c r="D6" s="25"/>
      <c r="E6" s="8"/>
      <c r="F6" s="8">
        <v>0</v>
      </c>
      <c r="G6" s="8">
        <f t="shared" si="0"/>
        <v>0</v>
      </c>
      <c r="H6" s="9">
        <v>0</v>
      </c>
      <c r="I6" s="9">
        <v>0</v>
      </c>
      <c r="J6" s="8">
        <f t="shared" si="1"/>
        <v>0</v>
      </c>
      <c r="K6" s="8">
        <f t="shared" si="2"/>
        <v>0</v>
      </c>
      <c r="L6" s="151">
        <v>0</v>
      </c>
      <c r="M6" s="8">
        <f t="shared" si="3"/>
        <v>6442.7239999999874</v>
      </c>
      <c r="N6" s="45"/>
      <c r="O6" s="1"/>
    </row>
    <row r="7" spans="1:17">
      <c r="A7" s="47">
        <v>4</v>
      </c>
      <c r="B7" s="206">
        <v>45661</v>
      </c>
      <c r="C7" s="25"/>
      <c r="D7" s="25"/>
      <c r="E7" s="8"/>
      <c r="F7" s="8">
        <v>0</v>
      </c>
      <c r="G7" s="8">
        <f t="shared" si="0"/>
        <v>0</v>
      </c>
      <c r="H7" s="9">
        <v>0</v>
      </c>
      <c r="I7" s="9">
        <v>0</v>
      </c>
      <c r="J7" s="8">
        <f t="shared" si="1"/>
        <v>0</v>
      </c>
      <c r="K7" s="8">
        <f t="shared" si="2"/>
        <v>0</v>
      </c>
      <c r="L7" s="151">
        <v>0</v>
      </c>
      <c r="M7" s="8">
        <f t="shared" si="3"/>
        <v>6442.7239999999874</v>
      </c>
      <c r="N7" s="45"/>
      <c r="O7" s="1"/>
    </row>
    <row r="8" spans="1:17">
      <c r="A8" s="47">
        <v>5</v>
      </c>
      <c r="B8" s="206">
        <v>45662</v>
      </c>
      <c r="C8" s="25"/>
      <c r="D8" s="25"/>
      <c r="E8" s="8"/>
      <c r="F8" s="8">
        <v>0</v>
      </c>
      <c r="G8" s="8">
        <f t="shared" si="0"/>
        <v>0</v>
      </c>
      <c r="H8" s="9">
        <v>0</v>
      </c>
      <c r="I8" s="9">
        <v>0</v>
      </c>
      <c r="J8" s="8">
        <f t="shared" si="1"/>
        <v>0</v>
      </c>
      <c r="K8" s="8">
        <f t="shared" si="2"/>
        <v>0</v>
      </c>
      <c r="L8" s="151">
        <v>0</v>
      </c>
      <c r="M8" s="8">
        <f t="shared" si="3"/>
        <v>6442.7239999999874</v>
      </c>
      <c r="N8" s="45"/>
      <c r="O8" s="1"/>
    </row>
    <row r="9" spans="1:17">
      <c r="A9" s="47">
        <v>6</v>
      </c>
      <c r="B9" s="206">
        <v>45663</v>
      </c>
      <c r="C9" s="25"/>
      <c r="D9" s="25"/>
      <c r="E9" s="8"/>
      <c r="F9" s="8">
        <v>0</v>
      </c>
      <c r="G9" s="8">
        <f t="shared" si="0"/>
        <v>0</v>
      </c>
      <c r="H9" s="9">
        <v>0</v>
      </c>
      <c r="I9" s="9">
        <v>0</v>
      </c>
      <c r="J9" s="8">
        <f t="shared" si="1"/>
        <v>0</v>
      </c>
      <c r="K9" s="8">
        <f t="shared" si="2"/>
        <v>0</v>
      </c>
      <c r="L9" s="151">
        <v>0</v>
      </c>
      <c r="M9" s="8">
        <f t="shared" si="3"/>
        <v>6442.7239999999874</v>
      </c>
      <c r="N9" s="45"/>
      <c r="O9" s="1"/>
    </row>
    <row r="10" spans="1:17">
      <c r="A10" s="47">
        <v>7</v>
      </c>
      <c r="B10" s="206">
        <v>45664</v>
      </c>
      <c r="C10" s="25"/>
      <c r="D10" s="25"/>
      <c r="E10" s="8"/>
      <c r="F10" s="8">
        <v>0</v>
      </c>
      <c r="G10" s="8">
        <f t="shared" si="0"/>
        <v>0</v>
      </c>
      <c r="H10" s="9">
        <v>0</v>
      </c>
      <c r="I10" s="9">
        <v>0</v>
      </c>
      <c r="J10" s="8">
        <f t="shared" si="1"/>
        <v>0</v>
      </c>
      <c r="K10" s="8">
        <f t="shared" si="2"/>
        <v>0</v>
      </c>
      <c r="L10" s="151">
        <v>0</v>
      </c>
      <c r="M10" s="8">
        <f t="shared" si="3"/>
        <v>6442.7239999999874</v>
      </c>
      <c r="N10" s="45"/>
      <c r="O10" s="1"/>
    </row>
    <row r="11" spans="1:17">
      <c r="A11" s="47">
        <v>8</v>
      </c>
      <c r="B11" s="206">
        <v>45665</v>
      </c>
      <c r="C11" s="25"/>
      <c r="D11" s="25"/>
      <c r="E11" s="8"/>
      <c r="F11" s="8">
        <v>0</v>
      </c>
      <c r="G11" s="8">
        <f t="shared" si="0"/>
        <v>0</v>
      </c>
      <c r="H11" s="9">
        <v>0</v>
      </c>
      <c r="I11" s="9">
        <v>0</v>
      </c>
      <c r="J11" s="8">
        <f t="shared" si="1"/>
        <v>0</v>
      </c>
      <c r="K11" s="8">
        <f t="shared" si="2"/>
        <v>0</v>
      </c>
      <c r="L11" s="151">
        <v>0</v>
      </c>
      <c r="M11" s="8">
        <f t="shared" si="3"/>
        <v>6442.7239999999874</v>
      </c>
      <c r="N11" s="45"/>
      <c r="O11" s="1"/>
    </row>
    <row r="12" spans="1:17">
      <c r="A12" s="47">
        <v>9</v>
      </c>
      <c r="B12" s="206">
        <v>45666</v>
      </c>
      <c r="C12" s="25"/>
      <c r="D12" s="25"/>
      <c r="E12" s="8"/>
      <c r="F12" s="8">
        <v>0</v>
      </c>
      <c r="G12" s="8">
        <f t="shared" si="0"/>
        <v>0</v>
      </c>
      <c r="H12" s="9">
        <v>0</v>
      </c>
      <c r="I12" s="9">
        <v>0</v>
      </c>
      <c r="J12" s="8">
        <f t="shared" si="1"/>
        <v>0</v>
      </c>
      <c r="K12" s="8">
        <f t="shared" si="2"/>
        <v>0</v>
      </c>
      <c r="L12" s="151">
        <v>0</v>
      </c>
      <c r="M12" s="8">
        <f t="shared" si="3"/>
        <v>6442.7239999999874</v>
      </c>
      <c r="N12" s="45"/>
      <c r="O12" s="1" t="s">
        <v>264</v>
      </c>
    </row>
    <row r="13" spans="1:17">
      <c r="A13" s="47">
        <v>10</v>
      </c>
      <c r="B13" s="206">
        <v>45667</v>
      </c>
      <c r="C13" s="25"/>
      <c r="D13" s="25"/>
      <c r="E13" s="8"/>
      <c r="F13" s="8">
        <v>0</v>
      </c>
      <c r="G13" s="8">
        <f t="shared" si="0"/>
        <v>0</v>
      </c>
      <c r="H13" s="9">
        <v>0</v>
      </c>
      <c r="I13" s="9">
        <v>0</v>
      </c>
      <c r="J13" s="8">
        <f t="shared" si="1"/>
        <v>0</v>
      </c>
      <c r="K13" s="8">
        <f t="shared" si="2"/>
        <v>0</v>
      </c>
      <c r="L13" s="151">
        <v>0</v>
      </c>
      <c r="M13" s="8">
        <f t="shared" si="3"/>
        <v>6442.7239999999874</v>
      </c>
      <c r="N13" s="45"/>
      <c r="O13" s="1"/>
      <c r="Q13" s="151"/>
    </row>
    <row r="14" spans="1:17">
      <c r="A14" s="47">
        <v>11</v>
      </c>
      <c r="B14" s="206">
        <v>45668</v>
      </c>
      <c r="C14" s="25"/>
      <c r="D14" s="25"/>
      <c r="E14" s="8"/>
      <c r="F14" s="8">
        <v>0</v>
      </c>
      <c r="G14" s="8">
        <f t="shared" si="0"/>
        <v>0</v>
      </c>
      <c r="H14" s="9">
        <v>0</v>
      </c>
      <c r="I14" s="9">
        <v>0</v>
      </c>
      <c r="J14" s="8">
        <f t="shared" si="1"/>
        <v>0</v>
      </c>
      <c r="K14" s="8">
        <f t="shared" si="2"/>
        <v>0</v>
      </c>
      <c r="L14" s="151">
        <v>0</v>
      </c>
      <c r="M14" s="8">
        <f t="shared" si="3"/>
        <v>6442.7239999999874</v>
      </c>
      <c r="N14" s="45"/>
      <c r="O14" s="1"/>
    </row>
    <row r="15" spans="1:17">
      <c r="A15" s="47">
        <v>12</v>
      </c>
      <c r="B15" s="206">
        <v>45669</v>
      </c>
      <c r="C15" s="25"/>
      <c r="D15" s="25"/>
      <c r="E15" s="8"/>
      <c r="F15" s="8">
        <v>0</v>
      </c>
      <c r="G15" s="8">
        <f t="shared" si="0"/>
        <v>0</v>
      </c>
      <c r="H15" s="9">
        <v>0</v>
      </c>
      <c r="I15" s="9">
        <v>0</v>
      </c>
      <c r="J15" s="8">
        <f t="shared" si="1"/>
        <v>0</v>
      </c>
      <c r="K15" s="8">
        <f t="shared" si="2"/>
        <v>0</v>
      </c>
      <c r="L15" s="151">
        <v>0</v>
      </c>
      <c r="M15" s="8">
        <f t="shared" si="3"/>
        <v>6442.7239999999874</v>
      </c>
      <c r="N15" s="45"/>
      <c r="O15" s="1"/>
    </row>
    <row r="16" spans="1:17">
      <c r="A16" s="47">
        <v>13</v>
      </c>
      <c r="B16" s="206">
        <v>45670</v>
      </c>
      <c r="C16" s="25"/>
      <c r="D16" s="25"/>
      <c r="E16" s="8"/>
      <c r="F16" s="8">
        <v>0</v>
      </c>
      <c r="G16" s="8">
        <f t="shared" si="0"/>
        <v>0</v>
      </c>
      <c r="H16" s="9">
        <v>0</v>
      </c>
      <c r="I16" s="9">
        <v>0</v>
      </c>
      <c r="J16" s="8">
        <f t="shared" si="1"/>
        <v>0</v>
      </c>
      <c r="K16" s="8">
        <f t="shared" si="2"/>
        <v>0</v>
      </c>
      <c r="L16" s="151">
        <v>0</v>
      </c>
      <c r="M16" s="8">
        <f t="shared" si="3"/>
        <v>6442.7239999999874</v>
      </c>
      <c r="N16" s="45"/>
      <c r="O16" s="1"/>
    </row>
    <row r="17" spans="1:15">
      <c r="A17" s="47">
        <v>14</v>
      </c>
      <c r="B17" s="206">
        <v>45671</v>
      </c>
      <c r="C17" s="25"/>
      <c r="D17" s="25"/>
      <c r="E17" s="8"/>
      <c r="F17" s="8">
        <v>0</v>
      </c>
      <c r="G17" s="8">
        <f t="shared" si="0"/>
        <v>0</v>
      </c>
      <c r="H17" s="9">
        <v>0</v>
      </c>
      <c r="I17" s="9">
        <v>0</v>
      </c>
      <c r="J17" s="8">
        <f t="shared" si="1"/>
        <v>0</v>
      </c>
      <c r="K17" s="8">
        <f t="shared" si="2"/>
        <v>0</v>
      </c>
      <c r="L17" s="151">
        <v>0</v>
      </c>
      <c r="M17" s="8">
        <f t="shared" si="3"/>
        <v>6442.7239999999874</v>
      </c>
      <c r="N17" s="45"/>
      <c r="O17" s="1"/>
    </row>
    <row r="18" spans="1:15">
      <c r="A18" s="47">
        <v>15</v>
      </c>
      <c r="B18" s="206">
        <v>45672</v>
      </c>
      <c r="C18" s="25"/>
      <c r="D18" s="25"/>
      <c r="E18" s="8"/>
      <c r="F18" s="8">
        <v>0</v>
      </c>
      <c r="G18" s="8">
        <f t="shared" si="0"/>
        <v>0</v>
      </c>
      <c r="H18" s="9">
        <v>0</v>
      </c>
      <c r="I18" s="9">
        <v>0</v>
      </c>
      <c r="J18" s="8">
        <f t="shared" si="1"/>
        <v>0</v>
      </c>
      <c r="K18" s="8">
        <f t="shared" si="2"/>
        <v>0</v>
      </c>
      <c r="L18" s="151">
        <v>0</v>
      </c>
      <c r="M18" s="8">
        <f t="shared" si="3"/>
        <v>6442.7239999999874</v>
      </c>
      <c r="N18" s="45"/>
      <c r="O18" s="1"/>
    </row>
    <row r="19" spans="1:15">
      <c r="A19" s="47">
        <v>16</v>
      </c>
      <c r="B19" s="206">
        <v>45673</v>
      </c>
      <c r="C19" s="25"/>
      <c r="D19" s="25"/>
      <c r="E19" s="8"/>
      <c r="F19" s="8">
        <v>0</v>
      </c>
      <c r="G19" s="8">
        <f t="shared" si="0"/>
        <v>0</v>
      </c>
      <c r="H19" s="9">
        <v>0</v>
      </c>
      <c r="I19" s="9">
        <v>0</v>
      </c>
      <c r="J19" s="8">
        <f t="shared" si="1"/>
        <v>0</v>
      </c>
      <c r="K19" s="8">
        <f t="shared" si="2"/>
        <v>0</v>
      </c>
      <c r="L19" s="151">
        <v>0</v>
      </c>
      <c r="M19" s="8">
        <f t="shared" si="3"/>
        <v>6442.7239999999874</v>
      </c>
      <c r="N19" s="45"/>
      <c r="O19" s="1"/>
    </row>
    <row r="20" spans="1:15">
      <c r="A20" s="47">
        <v>17</v>
      </c>
      <c r="B20" s="206">
        <v>45674</v>
      </c>
      <c r="C20" s="25"/>
      <c r="D20" s="25"/>
      <c r="E20" s="8"/>
      <c r="F20" s="8">
        <v>0</v>
      </c>
      <c r="G20" s="8">
        <f t="shared" si="0"/>
        <v>0</v>
      </c>
      <c r="H20" s="9">
        <v>0</v>
      </c>
      <c r="I20" s="9">
        <v>0</v>
      </c>
      <c r="J20" s="8">
        <f t="shared" si="1"/>
        <v>0</v>
      </c>
      <c r="K20" s="8">
        <f t="shared" si="2"/>
        <v>0</v>
      </c>
      <c r="L20" s="151">
        <v>0</v>
      </c>
      <c r="M20" s="8">
        <f t="shared" si="3"/>
        <v>6442.7239999999874</v>
      </c>
      <c r="N20" s="45"/>
      <c r="O20" s="1"/>
    </row>
    <row r="21" spans="1:15">
      <c r="A21" s="47">
        <v>18</v>
      </c>
      <c r="B21" s="206">
        <v>45675</v>
      </c>
      <c r="C21" s="25"/>
      <c r="D21" s="25"/>
      <c r="E21" s="8"/>
      <c r="F21" s="8">
        <v>0</v>
      </c>
      <c r="G21" s="8">
        <f t="shared" si="0"/>
        <v>0</v>
      </c>
      <c r="H21" s="9">
        <v>0</v>
      </c>
      <c r="I21" s="9">
        <v>0</v>
      </c>
      <c r="J21" s="8">
        <f t="shared" si="1"/>
        <v>0</v>
      </c>
      <c r="K21" s="8">
        <f t="shared" si="2"/>
        <v>0</v>
      </c>
      <c r="L21" s="151">
        <v>0</v>
      </c>
      <c r="M21" s="8">
        <f t="shared" si="3"/>
        <v>6442.7239999999874</v>
      </c>
      <c r="N21" s="45"/>
      <c r="O21" s="1"/>
    </row>
    <row r="22" spans="1:15">
      <c r="A22" s="47">
        <v>19</v>
      </c>
      <c r="B22" s="206">
        <v>45676</v>
      </c>
      <c r="C22" s="25"/>
      <c r="D22" s="25"/>
      <c r="E22" s="8"/>
      <c r="F22" s="8"/>
      <c r="G22" s="8">
        <f t="shared" si="0"/>
        <v>0</v>
      </c>
      <c r="H22" s="9">
        <v>0</v>
      </c>
      <c r="I22" s="9">
        <v>0</v>
      </c>
      <c r="J22" s="8">
        <f t="shared" si="1"/>
        <v>0</v>
      </c>
      <c r="K22" s="8">
        <f t="shared" si="2"/>
        <v>0</v>
      </c>
      <c r="L22" s="151">
        <v>0</v>
      </c>
      <c r="M22" s="8">
        <f t="shared" si="3"/>
        <v>6442.7239999999874</v>
      </c>
      <c r="N22" s="45"/>
      <c r="O22" s="1"/>
    </row>
    <row r="23" spans="1:15">
      <c r="A23" s="47">
        <v>20</v>
      </c>
      <c r="B23" s="206">
        <v>45677</v>
      </c>
      <c r="C23" s="25"/>
      <c r="D23" s="25"/>
      <c r="E23" s="8"/>
      <c r="F23" s="8"/>
      <c r="G23" s="8">
        <f t="shared" si="0"/>
        <v>0</v>
      </c>
      <c r="H23" s="9">
        <v>0</v>
      </c>
      <c r="I23" s="9">
        <v>0</v>
      </c>
      <c r="J23" s="8">
        <f t="shared" si="1"/>
        <v>0</v>
      </c>
      <c r="K23" s="8">
        <f t="shared" si="2"/>
        <v>0</v>
      </c>
      <c r="L23" s="151">
        <v>0</v>
      </c>
      <c r="M23" s="8">
        <f t="shared" si="3"/>
        <v>6442.7239999999874</v>
      </c>
      <c r="N23" s="45"/>
      <c r="O23" s="1"/>
    </row>
    <row r="24" spans="1:15">
      <c r="A24" s="47">
        <v>21</v>
      </c>
      <c r="B24" s="206">
        <v>45678</v>
      </c>
      <c r="C24" s="25"/>
      <c r="D24" s="25"/>
      <c r="E24" s="8"/>
      <c r="F24" s="8"/>
      <c r="G24" s="8">
        <f t="shared" si="0"/>
        <v>0</v>
      </c>
      <c r="H24" s="9">
        <v>0</v>
      </c>
      <c r="I24" s="9">
        <v>0</v>
      </c>
      <c r="J24" s="8">
        <f t="shared" si="1"/>
        <v>0</v>
      </c>
      <c r="K24" s="8">
        <f t="shared" si="2"/>
        <v>0</v>
      </c>
      <c r="L24" s="151">
        <v>0</v>
      </c>
      <c r="M24" s="8">
        <f t="shared" ref="M24:M34" si="4">M23+K24-L24</f>
        <v>6442.7239999999874</v>
      </c>
      <c r="N24" s="45"/>
      <c r="O24" s="1"/>
    </row>
    <row r="25" spans="1:15">
      <c r="A25" s="47">
        <v>22</v>
      </c>
      <c r="B25" s="206">
        <v>45679</v>
      </c>
      <c r="C25" s="25"/>
      <c r="D25" s="25"/>
      <c r="E25" s="8"/>
      <c r="F25" s="8"/>
      <c r="G25" s="8">
        <f t="shared" si="0"/>
        <v>0</v>
      </c>
      <c r="H25" s="9">
        <v>0</v>
      </c>
      <c r="I25" s="9">
        <v>0</v>
      </c>
      <c r="J25" s="8">
        <f t="shared" si="1"/>
        <v>0</v>
      </c>
      <c r="K25" s="8">
        <f t="shared" si="2"/>
        <v>0</v>
      </c>
      <c r="L25" s="151">
        <v>0</v>
      </c>
      <c r="M25" s="8">
        <f t="shared" si="4"/>
        <v>6442.7239999999874</v>
      </c>
      <c r="N25" s="45"/>
      <c r="O25" s="1"/>
    </row>
    <row r="26" spans="1:15">
      <c r="A26" s="47">
        <v>23</v>
      </c>
      <c r="B26" s="206">
        <v>45680</v>
      </c>
      <c r="C26" s="25"/>
      <c r="D26" s="25"/>
      <c r="E26" s="8"/>
      <c r="F26" s="8"/>
      <c r="G26" s="8">
        <f t="shared" si="0"/>
        <v>0</v>
      </c>
      <c r="H26" s="9">
        <v>0</v>
      </c>
      <c r="I26" s="9">
        <v>0</v>
      </c>
      <c r="J26" s="8">
        <f t="shared" si="1"/>
        <v>0</v>
      </c>
      <c r="K26" s="8">
        <f t="shared" si="2"/>
        <v>0</v>
      </c>
      <c r="L26" s="151">
        <v>0</v>
      </c>
      <c r="M26" s="8">
        <f t="shared" si="4"/>
        <v>6442.7239999999874</v>
      </c>
      <c r="N26" s="45"/>
      <c r="O26" s="1"/>
    </row>
    <row r="27" spans="1:15">
      <c r="A27" s="47">
        <v>24</v>
      </c>
      <c r="B27" s="206">
        <v>45681</v>
      </c>
      <c r="C27" s="25"/>
      <c r="D27" s="25"/>
      <c r="E27" s="8"/>
      <c r="F27" s="8"/>
      <c r="G27" s="8">
        <f t="shared" si="0"/>
        <v>0</v>
      </c>
      <c r="H27" s="9">
        <v>0</v>
      </c>
      <c r="I27" s="9">
        <v>0</v>
      </c>
      <c r="J27" s="8">
        <f t="shared" si="1"/>
        <v>0</v>
      </c>
      <c r="K27" s="8">
        <f t="shared" si="2"/>
        <v>0</v>
      </c>
      <c r="L27" s="151">
        <v>0</v>
      </c>
      <c r="M27" s="8">
        <f t="shared" si="4"/>
        <v>6442.7239999999874</v>
      </c>
      <c r="N27" s="45"/>
      <c r="O27" s="1"/>
    </row>
    <row r="28" spans="1:15">
      <c r="A28" s="47">
        <v>25</v>
      </c>
      <c r="B28" s="206">
        <v>45682</v>
      </c>
      <c r="C28" s="25"/>
      <c r="D28" s="25"/>
      <c r="E28" s="8"/>
      <c r="F28" s="8"/>
      <c r="G28" s="8">
        <f t="shared" si="0"/>
        <v>0</v>
      </c>
      <c r="H28" s="9">
        <v>0</v>
      </c>
      <c r="I28" s="9">
        <v>0</v>
      </c>
      <c r="J28" s="8">
        <f t="shared" si="1"/>
        <v>0</v>
      </c>
      <c r="K28" s="8">
        <f t="shared" si="2"/>
        <v>0</v>
      </c>
      <c r="L28" s="151">
        <v>0</v>
      </c>
      <c r="M28" s="8">
        <f t="shared" si="4"/>
        <v>6442.7239999999874</v>
      </c>
      <c r="N28" s="45"/>
      <c r="O28" s="1"/>
    </row>
    <row r="29" spans="1:15">
      <c r="A29" s="47">
        <v>26</v>
      </c>
      <c r="B29" s="206">
        <v>45683</v>
      </c>
      <c r="C29" s="25"/>
      <c r="D29" s="25"/>
      <c r="E29" s="8"/>
      <c r="F29" s="8"/>
      <c r="G29" s="8">
        <f t="shared" si="0"/>
        <v>0</v>
      </c>
      <c r="H29" s="9">
        <v>0</v>
      </c>
      <c r="I29" s="9">
        <v>0</v>
      </c>
      <c r="J29" s="8">
        <f t="shared" si="1"/>
        <v>0</v>
      </c>
      <c r="K29" s="8">
        <f t="shared" si="2"/>
        <v>0</v>
      </c>
      <c r="L29" s="151">
        <v>0</v>
      </c>
      <c r="M29" s="8">
        <f t="shared" si="4"/>
        <v>6442.7239999999874</v>
      </c>
      <c r="N29" s="45"/>
      <c r="O29" s="1"/>
    </row>
    <row r="30" spans="1:15">
      <c r="A30" s="47">
        <v>27</v>
      </c>
      <c r="B30" s="206">
        <v>45684</v>
      </c>
      <c r="C30" s="25"/>
      <c r="D30" s="25"/>
      <c r="E30" s="8"/>
      <c r="F30" s="8"/>
      <c r="G30" s="8">
        <f t="shared" si="0"/>
        <v>0</v>
      </c>
      <c r="H30" s="9">
        <v>0</v>
      </c>
      <c r="I30" s="9">
        <v>0</v>
      </c>
      <c r="J30" s="8">
        <f t="shared" si="1"/>
        <v>0</v>
      </c>
      <c r="K30" s="8">
        <f t="shared" si="2"/>
        <v>0</v>
      </c>
      <c r="L30" s="151">
        <v>0</v>
      </c>
      <c r="M30" s="8">
        <f t="shared" si="4"/>
        <v>6442.7239999999874</v>
      </c>
      <c r="N30" s="45"/>
      <c r="O30" s="1"/>
    </row>
    <row r="31" spans="1:15">
      <c r="A31" s="47">
        <v>28</v>
      </c>
      <c r="B31" s="206">
        <v>45685</v>
      </c>
      <c r="C31" s="25"/>
      <c r="D31" s="25"/>
      <c r="E31" s="8"/>
      <c r="F31" s="8"/>
      <c r="G31" s="8">
        <f t="shared" si="0"/>
        <v>0</v>
      </c>
      <c r="H31" s="9">
        <v>0</v>
      </c>
      <c r="I31" s="9">
        <v>0</v>
      </c>
      <c r="J31" s="8">
        <f t="shared" si="1"/>
        <v>0</v>
      </c>
      <c r="K31" s="8">
        <f t="shared" si="2"/>
        <v>0</v>
      </c>
      <c r="L31" s="151">
        <v>0</v>
      </c>
      <c r="M31" s="8">
        <f t="shared" si="4"/>
        <v>6442.7239999999874</v>
      </c>
      <c r="N31" s="45"/>
      <c r="O31" s="1"/>
    </row>
    <row r="32" spans="1:15">
      <c r="A32" s="201">
        <v>29</v>
      </c>
      <c r="B32" s="206">
        <v>45686</v>
      </c>
      <c r="C32" s="25"/>
      <c r="D32" s="25"/>
      <c r="E32" s="8"/>
      <c r="F32" s="8"/>
      <c r="G32" s="8">
        <f t="shared" si="0"/>
        <v>0</v>
      </c>
      <c r="H32" s="9">
        <v>0</v>
      </c>
      <c r="I32" s="9">
        <v>0</v>
      </c>
      <c r="J32" s="8">
        <f t="shared" si="1"/>
        <v>0</v>
      </c>
      <c r="K32" s="8">
        <f t="shared" si="2"/>
        <v>0</v>
      </c>
      <c r="L32" s="151">
        <v>0</v>
      </c>
      <c r="M32" s="8">
        <f t="shared" si="4"/>
        <v>6442.7239999999874</v>
      </c>
      <c r="N32" s="45"/>
      <c r="O32" s="1"/>
    </row>
    <row r="33" spans="1:17">
      <c r="A33" s="201">
        <v>30</v>
      </c>
      <c r="B33" s="206">
        <v>45687</v>
      </c>
      <c r="C33" s="25"/>
      <c r="D33" s="25"/>
      <c r="E33" s="8"/>
      <c r="F33" s="8"/>
      <c r="G33" s="8">
        <f t="shared" si="0"/>
        <v>0</v>
      </c>
      <c r="H33" s="9">
        <v>0</v>
      </c>
      <c r="I33" s="9">
        <v>0</v>
      </c>
      <c r="J33" s="8">
        <f t="shared" si="1"/>
        <v>0</v>
      </c>
      <c r="K33" s="8">
        <f t="shared" si="2"/>
        <v>0</v>
      </c>
      <c r="L33" s="151">
        <v>0</v>
      </c>
      <c r="M33" s="8">
        <f t="shared" si="4"/>
        <v>6442.7239999999874</v>
      </c>
      <c r="N33" s="45"/>
      <c r="O33" s="1"/>
      <c r="Q33">
        <v>30</v>
      </c>
    </row>
    <row r="34" spans="1:17">
      <c r="A34" s="201">
        <v>31</v>
      </c>
      <c r="B34" s="206"/>
      <c r="C34" s="25"/>
      <c r="D34" s="25"/>
      <c r="E34" s="8">
        <v>0</v>
      </c>
      <c r="F34" s="8">
        <v>0</v>
      </c>
      <c r="G34" s="8">
        <f t="shared" ref="G34" si="5">E34*F34</f>
        <v>0</v>
      </c>
      <c r="H34" s="9">
        <v>0</v>
      </c>
      <c r="I34" s="9">
        <v>0</v>
      </c>
      <c r="J34" s="8">
        <f t="shared" ref="J34" si="6">H34*I34</f>
        <v>0</v>
      </c>
      <c r="K34" s="8">
        <f t="shared" ref="K34" si="7">G34+J34</f>
        <v>0</v>
      </c>
      <c r="L34" s="151">
        <f t="shared" ref="L34" si="8">+K34</f>
        <v>0</v>
      </c>
      <c r="M34" s="8">
        <f t="shared" si="4"/>
        <v>6442.7239999999874</v>
      </c>
      <c r="N34" s="45"/>
      <c r="O34" s="1"/>
    </row>
    <row r="35" spans="1:17">
      <c r="A35" s="65"/>
      <c r="B35" s="65"/>
      <c r="C35" s="65"/>
      <c r="D35" s="65"/>
      <c r="E35" s="66">
        <f>SUM(E4:E34)</f>
        <v>0</v>
      </c>
      <c r="F35" s="66"/>
      <c r="G35" s="66">
        <f>SUM(G4:G34)</f>
        <v>0</v>
      </c>
      <c r="H35" s="66">
        <f>SUM(H4:H34)</f>
        <v>0</v>
      </c>
      <c r="I35" s="66"/>
      <c r="J35" s="66">
        <f>SUM(J4:J34)</f>
        <v>0</v>
      </c>
      <c r="K35" s="66">
        <f>SUM(K4:K34)</f>
        <v>0</v>
      </c>
      <c r="L35" s="66">
        <f>SUM(L4:L34)</f>
        <v>0</v>
      </c>
      <c r="M35" s="66"/>
      <c r="N35" s="66"/>
      <c r="O35" s="62"/>
    </row>
    <row r="36" spans="1:17">
      <c r="A36" s="2"/>
      <c r="B36" s="2"/>
      <c r="C36" s="2"/>
      <c r="D36" s="2"/>
      <c r="E36" s="4"/>
      <c r="F36" s="4"/>
      <c r="G36" s="4"/>
      <c r="H36" s="4"/>
      <c r="I36" s="4"/>
      <c r="J36" s="4"/>
      <c r="K36" s="4"/>
      <c r="L36" s="4"/>
      <c r="M36" s="4"/>
      <c r="N36" s="4"/>
      <c r="O36" s="1"/>
    </row>
    <row r="37" spans="1:17">
      <c r="A37" s="1"/>
      <c r="B37" s="1"/>
      <c r="C37" s="1"/>
      <c r="D37" s="1"/>
      <c r="E37" s="1"/>
      <c r="F37" s="1"/>
      <c r="G37" s="3"/>
      <c r="H37" s="1"/>
      <c r="I37" s="1"/>
      <c r="J37" s="1"/>
      <c r="K37" s="1"/>
      <c r="L37" s="8"/>
      <c r="M37" s="1"/>
      <c r="N37" s="1"/>
      <c r="O37" s="4"/>
    </row>
    <row r="38" spans="1:17">
      <c r="A38" s="1"/>
      <c r="B38" s="454"/>
      <c r="C38" s="454"/>
      <c r="D38" s="454"/>
      <c r="E38" s="454"/>
      <c r="F38" s="1"/>
      <c r="G38" s="1"/>
      <c r="H38" s="1"/>
      <c r="I38" s="493">
        <f>K24+L24</f>
        <v>0</v>
      </c>
      <c r="J38" s="454"/>
      <c r="K38" s="454"/>
      <c r="L38" s="454"/>
      <c r="M38" s="454"/>
      <c r="N38" s="454"/>
      <c r="O38" s="4"/>
    </row>
    <row r="39" spans="1:17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4"/>
    </row>
    <row r="40" spans="1:17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spans="1:17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spans="1:17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7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7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7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7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7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</sheetData>
  <mergeCells count="3">
    <mergeCell ref="A1:N1"/>
    <mergeCell ref="B38:E38"/>
    <mergeCell ref="I38:N38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3BD1B-A817-4C7F-A5CC-FB5F768C0F89}">
  <sheetPr>
    <tabColor rgb="FF7030A0"/>
  </sheetPr>
  <dimension ref="A1:R51"/>
  <sheetViews>
    <sheetView topLeftCell="A17" workbookViewId="0">
      <selection activeCell="M34" sqref="M34"/>
    </sheetView>
  </sheetViews>
  <sheetFormatPr defaultRowHeight="15"/>
  <cols>
    <col min="7" max="7" width="11.85546875" bestFit="1" customWidth="1"/>
    <col min="10" max="10" width="10.85546875" bestFit="1" customWidth="1"/>
    <col min="11" max="12" width="13.5703125" bestFit="1" customWidth="1"/>
    <col min="13" max="13" width="11.85546875" bestFit="1" customWidth="1"/>
  </cols>
  <sheetData>
    <row r="1" spans="1:15" ht="15.75">
      <c r="A1" s="468" t="s">
        <v>75</v>
      </c>
      <c r="B1" s="468"/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  <c r="N1" s="468"/>
      <c r="O1" s="56"/>
    </row>
    <row r="2" spans="1:15" ht="30.75">
      <c r="A2" s="67" t="s">
        <v>129</v>
      </c>
      <c r="B2" s="86" t="s">
        <v>130</v>
      </c>
      <c r="C2" s="86" t="s">
        <v>131</v>
      </c>
      <c r="D2" s="86" t="s">
        <v>132</v>
      </c>
      <c r="E2" s="86" t="s">
        <v>133</v>
      </c>
      <c r="F2" s="86" t="s">
        <v>134</v>
      </c>
      <c r="G2" s="86" t="s">
        <v>135</v>
      </c>
      <c r="H2" s="86" t="s">
        <v>136</v>
      </c>
      <c r="I2" s="86" t="s">
        <v>134</v>
      </c>
      <c r="J2" s="87" t="s">
        <v>135</v>
      </c>
      <c r="K2" s="67" t="s">
        <v>137</v>
      </c>
      <c r="L2" s="88" t="s">
        <v>138</v>
      </c>
      <c r="M2" s="170" t="s">
        <v>199</v>
      </c>
      <c r="N2" s="86" t="s">
        <v>140</v>
      </c>
      <c r="O2" s="62"/>
    </row>
    <row r="3" spans="1:15">
      <c r="A3" s="148"/>
      <c r="B3" s="149"/>
      <c r="C3" s="149"/>
      <c r="D3" s="135" t="s">
        <v>141</v>
      </c>
      <c r="E3" s="149"/>
      <c r="F3" s="149"/>
      <c r="G3" s="149"/>
      <c r="H3" s="149"/>
      <c r="I3" s="149"/>
      <c r="J3" s="150"/>
      <c r="K3" s="270"/>
      <c r="L3" s="236">
        <v>310880.30250000005</v>
      </c>
      <c r="M3" s="236">
        <v>310880.30250000005</v>
      </c>
      <c r="N3" s="149"/>
      <c r="O3" s="62"/>
    </row>
    <row r="4" spans="1:15">
      <c r="A4" s="47">
        <v>1</v>
      </c>
      <c r="B4" s="206">
        <v>46023</v>
      </c>
      <c r="C4" s="25"/>
      <c r="D4" s="25"/>
      <c r="E4" s="8">
        <v>270</v>
      </c>
      <c r="F4" s="8">
        <v>91.89</v>
      </c>
      <c r="G4" s="8">
        <f>E4*F4</f>
        <v>24810.3</v>
      </c>
      <c r="H4" s="9">
        <v>0</v>
      </c>
      <c r="I4" s="9">
        <v>0</v>
      </c>
      <c r="J4" s="8">
        <f>H4*I4</f>
        <v>0</v>
      </c>
      <c r="K4" s="8">
        <f>G4+J4</f>
        <v>24810.3</v>
      </c>
      <c r="L4" s="151">
        <v>0</v>
      </c>
      <c r="M4" s="8">
        <f>M3+K4-L4</f>
        <v>335690.60250000004</v>
      </c>
      <c r="N4" s="45"/>
      <c r="O4" s="1"/>
    </row>
    <row r="5" spans="1:15">
      <c r="A5" s="47">
        <v>2</v>
      </c>
      <c r="B5" s="206">
        <v>46024</v>
      </c>
      <c r="C5" s="25"/>
      <c r="D5" s="25"/>
      <c r="E5" s="8">
        <v>96.57</v>
      </c>
      <c r="F5" s="8">
        <v>91.89</v>
      </c>
      <c r="G5" s="8">
        <f t="shared" ref="G5:G35" si="0">E5*F5</f>
        <v>8873.8172999999988</v>
      </c>
      <c r="H5" s="9">
        <v>0</v>
      </c>
      <c r="I5" s="9">
        <v>0</v>
      </c>
      <c r="J5" s="8">
        <f t="shared" ref="J5:J35" si="1">H5*I5</f>
        <v>0</v>
      </c>
      <c r="K5" s="8">
        <f t="shared" ref="K5:K35" si="2">G5+J5</f>
        <v>8873.8172999999988</v>
      </c>
      <c r="L5" s="151">
        <v>0</v>
      </c>
      <c r="M5" s="8">
        <f t="shared" ref="M5:M15" si="3">M4+K5-L5</f>
        <v>344564.41980000003</v>
      </c>
      <c r="N5" s="45"/>
      <c r="O5" s="1"/>
    </row>
    <row r="6" spans="1:15">
      <c r="A6" s="47">
        <v>3</v>
      </c>
      <c r="B6" s="206">
        <v>46025</v>
      </c>
      <c r="C6" s="25"/>
      <c r="D6" s="25"/>
      <c r="E6" s="8">
        <v>200</v>
      </c>
      <c r="F6" s="8">
        <v>91.89</v>
      </c>
      <c r="G6" s="8">
        <f t="shared" si="0"/>
        <v>18378</v>
      </c>
      <c r="H6" s="273">
        <v>16</v>
      </c>
      <c r="I6" s="9">
        <v>111.62</v>
      </c>
      <c r="J6" s="8">
        <f t="shared" si="1"/>
        <v>1785.92</v>
      </c>
      <c r="K6" s="8">
        <f t="shared" si="2"/>
        <v>20163.919999999998</v>
      </c>
      <c r="L6" s="151">
        <v>0</v>
      </c>
      <c r="M6" s="8">
        <f t="shared" si="3"/>
        <v>364728.33980000002</v>
      </c>
      <c r="N6" s="45"/>
      <c r="O6" s="1"/>
    </row>
    <row r="7" spans="1:15">
      <c r="A7" s="47">
        <v>4</v>
      </c>
      <c r="B7" s="206">
        <v>46026</v>
      </c>
      <c r="C7" s="25"/>
      <c r="D7" s="25"/>
      <c r="E7" s="8">
        <v>220</v>
      </c>
      <c r="F7" s="8">
        <v>91.89</v>
      </c>
      <c r="G7" s="8">
        <f t="shared" si="0"/>
        <v>20215.8</v>
      </c>
      <c r="H7" s="273">
        <v>7</v>
      </c>
      <c r="I7" s="391">
        <v>103.85</v>
      </c>
      <c r="J7" s="8">
        <f t="shared" si="1"/>
        <v>726.94999999999993</v>
      </c>
      <c r="K7" s="8">
        <f t="shared" si="2"/>
        <v>20942.75</v>
      </c>
      <c r="L7" s="151">
        <v>0</v>
      </c>
      <c r="M7" s="8">
        <f t="shared" si="3"/>
        <v>385671.08980000002</v>
      </c>
      <c r="N7" s="45"/>
      <c r="O7" s="1"/>
    </row>
    <row r="8" spans="1:15">
      <c r="A8" s="47">
        <v>5</v>
      </c>
      <c r="B8" s="206">
        <v>46027</v>
      </c>
      <c r="C8" s="25"/>
      <c r="D8" s="25"/>
      <c r="E8" s="8">
        <v>165</v>
      </c>
      <c r="F8" s="8">
        <v>91.89</v>
      </c>
      <c r="G8" s="8">
        <f t="shared" si="0"/>
        <v>15161.85</v>
      </c>
      <c r="H8" s="273">
        <v>22</v>
      </c>
      <c r="I8" s="391">
        <v>103.85</v>
      </c>
      <c r="J8" s="8">
        <f t="shared" si="1"/>
        <v>2284.6999999999998</v>
      </c>
      <c r="K8" s="8">
        <f t="shared" si="2"/>
        <v>17446.55</v>
      </c>
      <c r="L8" s="151">
        <v>0</v>
      </c>
      <c r="M8" s="8">
        <f t="shared" si="3"/>
        <v>403117.6398</v>
      </c>
      <c r="N8" s="45"/>
      <c r="O8" s="1"/>
    </row>
    <row r="9" spans="1:15">
      <c r="A9" s="47">
        <v>6</v>
      </c>
      <c r="B9" s="206">
        <v>46028</v>
      </c>
      <c r="C9" s="25"/>
      <c r="D9" s="25"/>
      <c r="E9" s="8">
        <v>85</v>
      </c>
      <c r="F9" s="8">
        <v>91.89</v>
      </c>
      <c r="G9" s="8">
        <f t="shared" si="0"/>
        <v>7810.65</v>
      </c>
      <c r="H9" s="9">
        <v>0</v>
      </c>
      <c r="I9" s="391">
        <v>103.85</v>
      </c>
      <c r="J9" s="8">
        <f t="shared" si="1"/>
        <v>0</v>
      </c>
      <c r="K9" s="8">
        <f t="shared" si="2"/>
        <v>7810.65</v>
      </c>
      <c r="L9" s="151">
        <v>0</v>
      </c>
      <c r="M9" s="8">
        <f t="shared" si="3"/>
        <v>410928.28980000003</v>
      </c>
      <c r="N9" s="45"/>
      <c r="O9" s="1"/>
    </row>
    <row r="10" spans="1:15">
      <c r="A10" s="47">
        <v>7</v>
      </c>
      <c r="B10" s="206">
        <v>46029</v>
      </c>
      <c r="C10" s="25"/>
      <c r="D10" s="25"/>
      <c r="E10" s="8">
        <v>155</v>
      </c>
      <c r="F10" s="8">
        <v>91.89</v>
      </c>
      <c r="G10" s="8">
        <f t="shared" si="0"/>
        <v>14242.95</v>
      </c>
      <c r="H10" s="9">
        <v>0</v>
      </c>
      <c r="I10" s="391">
        <v>103.85</v>
      </c>
      <c r="J10" s="8">
        <f t="shared" si="1"/>
        <v>0</v>
      </c>
      <c r="K10" s="8">
        <f t="shared" si="2"/>
        <v>14242.95</v>
      </c>
      <c r="L10" s="151">
        <v>0</v>
      </c>
      <c r="M10" s="8">
        <f t="shared" si="3"/>
        <v>425171.23980000004</v>
      </c>
      <c r="N10" s="45"/>
      <c r="O10" s="1"/>
    </row>
    <row r="11" spans="1:15">
      <c r="A11" s="47">
        <v>8</v>
      </c>
      <c r="B11" s="206">
        <v>46030</v>
      </c>
      <c r="C11" s="25"/>
      <c r="D11" s="25"/>
      <c r="E11" s="8">
        <v>490</v>
      </c>
      <c r="F11" s="8">
        <v>91.89</v>
      </c>
      <c r="G11" s="8">
        <f t="shared" si="0"/>
        <v>45026.1</v>
      </c>
      <c r="H11" s="9">
        <v>10</v>
      </c>
      <c r="I11" s="391">
        <v>103.85</v>
      </c>
      <c r="J11" s="8">
        <f t="shared" si="1"/>
        <v>1038.5</v>
      </c>
      <c r="K11" s="8">
        <f t="shared" si="2"/>
        <v>46064.6</v>
      </c>
      <c r="L11" s="151">
        <v>200000</v>
      </c>
      <c r="M11" s="8">
        <f t="shared" si="3"/>
        <v>271235.83980000002</v>
      </c>
      <c r="N11" s="45"/>
      <c r="O11" s="1"/>
    </row>
    <row r="12" spans="1:15">
      <c r="A12" s="47">
        <v>9</v>
      </c>
      <c r="B12" s="206">
        <v>46031</v>
      </c>
      <c r="C12" s="25"/>
      <c r="D12" s="25"/>
      <c r="E12" s="8">
        <v>20</v>
      </c>
      <c r="F12" s="8">
        <v>91.89</v>
      </c>
      <c r="G12" s="8">
        <f t="shared" si="0"/>
        <v>1837.8</v>
      </c>
      <c r="H12" s="9">
        <v>12</v>
      </c>
      <c r="I12" s="391">
        <v>103.85</v>
      </c>
      <c r="J12" s="8">
        <f t="shared" si="1"/>
        <v>1246.1999999999998</v>
      </c>
      <c r="K12" s="8">
        <f t="shared" si="2"/>
        <v>3084</v>
      </c>
      <c r="L12" s="151">
        <v>0</v>
      </c>
      <c r="M12" s="8">
        <f t="shared" si="3"/>
        <v>274319.83980000002</v>
      </c>
      <c r="N12" s="45"/>
      <c r="O12" s="1" t="s">
        <v>264</v>
      </c>
    </row>
    <row r="13" spans="1:15">
      <c r="A13" s="47">
        <v>10</v>
      </c>
      <c r="B13" s="206">
        <v>46032</v>
      </c>
      <c r="C13" s="25"/>
      <c r="D13" s="25"/>
      <c r="E13" s="8">
        <v>354</v>
      </c>
      <c r="F13" s="8">
        <v>91.89</v>
      </c>
      <c r="G13" s="8">
        <f t="shared" si="0"/>
        <v>32529.06</v>
      </c>
      <c r="H13" s="9">
        <v>10</v>
      </c>
      <c r="I13" s="391">
        <v>103.85</v>
      </c>
      <c r="J13" s="8">
        <f t="shared" si="1"/>
        <v>1038.5</v>
      </c>
      <c r="K13" s="8">
        <f t="shared" si="2"/>
        <v>33567.56</v>
      </c>
      <c r="L13" s="151">
        <v>0</v>
      </c>
      <c r="M13" s="8">
        <f t="shared" si="3"/>
        <v>307887.39980000001</v>
      </c>
      <c r="N13" s="45"/>
      <c r="O13" s="1"/>
    </row>
    <row r="14" spans="1:15">
      <c r="A14" s="47">
        <v>11</v>
      </c>
      <c r="B14" s="206">
        <v>46033</v>
      </c>
      <c r="C14" s="25"/>
      <c r="D14" s="25"/>
      <c r="E14" s="8">
        <v>0</v>
      </c>
      <c r="F14" s="8">
        <v>0</v>
      </c>
      <c r="G14" s="8">
        <f t="shared" si="0"/>
        <v>0</v>
      </c>
      <c r="H14" s="9">
        <v>0</v>
      </c>
      <c r="I14" s="391">
        <v>103.85</v>
      </c>
      <c r="J14" s="8">
        <f t="shared" si="1"/>
        <v>0</v>
      </c>
      <c r="K14" s="8">
        <f t="shared" si="2"/>
        <v>0</v>
      </c>
      <c r="L14" s="151">
        <v>0</v>
      </c>
      <c r="M14" s="8">
        <f t="shared" si="3"/>
        <v>307887.39980000001</v>
      </c>
      <c r="N14" s="45"/>
      <c r="O14" s="1"/>
    </row>
    <row r="15" spans="1:15">
      <c r="A15" s="47">
        <v>12</v>
      </c>
      <c r="B15" s="206">
        <v>46034</v>
      </c>
      <c r="C15" s="25"/>
      <c r="D15" s="25"/>
      <c r="E15" s="8">
        <v>30</v>
      </c>
      <c r="F15" s="8">
        <v>91.89</v>
      </c>
      <c r="G15" s="8">
        <f t="shared" si="0"/>
        <v>2756.7</v>
      </c>
      <c r="H15" s="9">
        <v>0</v>
      </c>
      <c r="I15" s="391">
        <v>103.85</v>
      </c>
      <c r="J15" s="8">
        <f t="shared" si="1"/>
        <v>0</v>
      </c>
      <c r="K15" s="8">
        <f t="shared" si="2"/>
        <v>2756.7</v>
      </c>
      <c r="L15" s="151">
        <v>0</v>
      </c>
      <c r="M15" s="8">
        <f t="shared" si="3"/>
        <v>310644.09980000003</v>
      </c>
      <c r="N15" s="45"/>
      <c r="O15" s="1"/>
    </row>
    <row r="16" spans="1:15">
      <c r="A16" s="47">
        <v>13</v>
      </c>
      <c r="B16" s="206">
        <v>46035</v>
      </c>
      <c r="C16" s="25"/>
      <c r="D16" s="25"/>
      <c r="E16" s="8">
        <v>150</v>
      </c>
      <c r="F16" s="8">
        <v>91.89</v>
      </c>
      <c r="G16" s="8">
        <f t="shared" si="0"/>
        <v>13783.5</v>
      </c>
      <c r="H16" s="9">
        <v>4</v>
      </c>
      <c r="I16" s="391">
        <v>103.85</v>
      </c>
      <c r="J16" s="8">
        <f t="shared" si="1"/>
        <v>415.4</v>
      </c>
      <c r="K16" s="8">
        <f t="shared" si="2"/>
        <v>14198.9</v>
      </c>
      <c r="L16" s="151">
        <v>200000</v>
      </c>
      <c r="M16" s="8">
        <f>M15+K16-L16</f>
        <v>124842.99980000005</v>
      </c>
      <c r="N16" s="45"/>
      <c r="O16" s="1"/>
    </row>
    <row r="17" spans="1:18">
      <c r="A17" s="47">
        <v>14</v>
      </c>
      <c r="B17" s="206">
        <v>46036</v>
      </c>
      <c r="C17" s="25"/>
      <c r="D17" s="25"/>
      <c r="E17" s="8">
        <v>0</v>
      </c>
      <c r="F17" s="8">
        <v>91.89</v>
      </c>
      <c r="G17" s="8">
        <f t="shared" si="0"/>
        <v>0</v>
      </c>
      <c r="H17" s="9">
        <v>0</v>
      </c>
      <c r="I17" s="391">
        <v>103.85</v>
      </c>
      <c r="J17" s="8"/>
      <c r="K17" s="8">
        <f t="shared" si="2"/>
        <v>0</v>
      </c>
      <c r="L17" s="151">
        <v>0</v>
      </c>
      <c r="M17" s="8">
        <f>M16+K17-L17</f>
        <v>124842.99980000005</v>
      </c>
      <c r="N17" s="45"/>
      <c r="O17" s="1"/>
    </row>
    <row r="18" spans="1:18">
      <c r="A18" s="47">
        <v>15</v>
      </c>
      <c r="B18" s="206">
        <v>46037</v>
      </c>
      <c r="C18" s="25"/>
      <c r="D18" s="25"/>
      <c r="E18" s="8">
        <v>0</v>
      </c>
      <c r="F18" s="8">
        <v>91.89</v>
      </c>
      <c r="G18" s="8">
        <f t="shared" si="0"/>
        <v>0</v>
      </c>
      <c r="H18" s="9">
        <v>0</v>
      </c>
      <c r="I18" s="391">
        <v>103.85</v>
      </c>
      <c r="J18" s="8">
        <f t="shared" si="1"/>
        <v>0</v>
      </c>
      <c r="K18" s="8">
        <f t="shared" si="2"/>
        <v>0</v>
      </c>
      <c r="L18" s="151">
        <v>0</v>
      </c>
      <c r="M18" s="8">
        <f t="shared" ref="M18:M36" si="4">M17+K18-L18</f>
        <v>124842.99980000005</v>
      </c>
      <c r="N18" s="45"/>
      <c r="O18" s="1"/>
    </row>
    <row r="19" spans="1:18">
      <c r="A19" s="47">
        <v>16</v>
      </c>
      <c r="B19" s="206">
        <v>46038</v>
      </c>
      <c r="C19" s="25"/>
      <c r="D19" s="25"/>
      <c r="E19" s="273">
        <v>0</v>
      </c>
      <c r="F19" s="8">
        <v>91.89</v>
      </c>
      <c r="G19" s="8">
        <f t="shared" si="0"/>
        <v>0</v>
      </c>
      <c r="H19" s="9">
        <v>0</v>
      </c>
      <c r="I19" s="391">
        <v>103.85</v>
      </c>
      <c r="J19" s="8">
        <f t="shared" si="1"/>
        <v>0</v>
      </c>
      <c r="K19" s="8">
        <f t="shared" si="2"/>
        <v>0</v>
      </c>
      <c r="L19" s="151">
        <v>0</v>
      </c>
      <c r="M19" s="8">
        <f t="shared" si="4"/>
        <v>124842.99980000005</v>
      </c>
      <c r="N19" s="45"/>
      <c r="O19" s="1"/>
    </row>
    <row r="20" spans="1:18">
      <c r="A20" s="47">
        <v>17</v>
      </c>
      <c r="B20" s="206">
        <v>46039</v>
      </c>
      <c r="C20" s="25"/>
      <c r="D20" s="25"/>
      <c r="E20" s="273">
        <v>135</v>
      </c>
      <c r="F20" s="8">
        <v>91.89</v>
      </c>
      <c r="G20" s="8">
        <f t="shared" ref="G20:G34" si="5">E20*F20</f>
        <v>12405.15</v>
      </c>
      <c r="H20" s="9">
        <v>25</v>
      </c>
      <c r="I20" s="391">
        <v>103.85</v>
      </c>
      <c r="J20" s="8">
        <f t="shared" ref="J20:J34" si="6">H20*I20</f>
        <v>2596.25</v>
      </c>
      <c r="K20" s="8">
        <f t="shared" si="2"/>
        <v>15001.4</v>
      </c>
      <c r="L20" s="151">
        <v>0</v>
      </c>
      <c r="M20" s="8">
        <f t="shared" si="4"/>
        <v>139844.39980000004</v>
      </c>
      <c r="N20" s="45"/>
      <c r="O20" s="1"/>
    </row>
    <row r="21" spans="1:18">
      <c r="A21" s="47">
        <v>18</v>
      </c>
      <c r="B21" s="206">
        <v>46040</v>
      </c>
      <c r="C21" s="25"/>
      <c r="D21" s="25"/>
      <c r="E21" s="273">
        <v>71</v>
      </c>
      <c r="F21" s="8">
        <v>91.89</v>
      </c>
      <c r="G21" s="8">
        <f t="shared" si="5"/>
        <v>6524.19</v>
      </c>
      <c r="H21" s="9">
        <v>5</v>
      </c>
      <c r="I21" s="391">
        <v>103.85</v>
      </c>
      <c r="J21" s="8">
        <f t="shared" si="6"/>
        <v>519.25</v>
      </c>
      <c r="K21" s="8">
        <f t="shared" si="2"/>
        <v>7043.44</v>
      </c>
      <c r="L21" s="151">
        <v>0</v>
      </c>
      <c r="M21" s="8">
        <f t="shared" si="4"/>
        <v>146887.83980000005</v>
      </c>
      <c r="N21" s="45"/>
      <c r="O21" s="1"/>
    </row>
    <row r="22" spans="1:18">
      <c r="A22" s="47">
        <v>19</v>
      </c>
      <c r="B22" s="206">
        <v>46041</v>
      </c>
      <c r="C22" s="25"/>
      <c r="D22" s="25"/>
      <c r="E22" s="273">
        <v>0</v>
      </c>
      <c r="F22" s="8">
        <v>91.89</v>
      </c>
      <c r="G22" s="8">
        <f t="shared" si="5"/>
        <v>0</v>
      </c>
      <c r="H22" s="9">
        <v>10</v>
      </c>
      <c r="I22" s="391">
        <v>103.85</v>
      </c>
      <c r="J22" s="8">
        <f t="shared" si="6"/>
        <v>1038.5</v>
      </c>
      <c r="K22" s="8">
        <f t="shared" si="2"/>
        <v>1038.5</v>
      </c>
      <c r="L22" s="151">
        <v>125000</v>
      </c>
      <c r="M22" s="8">
        <f t="shared" si="4"/>
        <v>22926.339800000045</v>
      </c>
      <c r="N22" s="45"/>
      <c r="O22" s="1"/>
    </row>
    <row r="23" spans="1:18">
      <c r="A23" s="47">
        <v>20</v>
      </c>
      <c r="B23" s="206">
        <v>46042</v>
      </c>
      <c r="C23" s="25"/>
      <c r="D23" s="25"/>
      <c r="E23" s="273">
        <v>190.02</v>
      </c>
      <c r="F23" s="8">
        <v>91.89</v>
      </c>
      <c r="G23" s="8">
        <f t="shared" si="5"/>
        <v>17460.9378</v>
      </c>
      <c r="H23" s="9">
        <v>20</v>
      </c>
      <c r="I23" s="391">
        <v>103.85</v>
      </c>
      <c r="J23" s="8">
        <f t="shared" si="6"/>
        <v>2077</v>
      </c>
      <c r="K23" s="8">
        <f t="shared" si="2"/>
        <v>19537.9378</v>
      </c>
      <c r="L23" s="151">
        <v>0</v>
      </c>
      <c r="M23" s="8">
        <f t="shared" si="4"/>
        <v>42464.277600000045</v>
      </c>
      <c r="N23" s="45"/>
      <c r="O23" s="1"/>
    </row>
    <row r="24" spans="1:18">
      <c r="A24" s="47">
        <v>21</v>
      </c>
      <c r="B24" s="206">
        <v>46043</v>
      </c>
      <c r="C24" s="25"/>
      <c r="D24" s="25"/>
      <c r="E24" s="273">
        <v>70</v>
      </c>
      <c r="F24" s="8">
        <v>91.89</v>
      </c>
      <c r="G24" s="8">
        <f t="shared" si="5"/>
        <v>6432.3</v>
      </c>
      <c r="H24" s="9">
        <v>5</v>
      </c>
      <c r="I24" s="391">
        <v>103.85</v>
      </c>
      <c r="J24" s="8">
        <f t="shared" si="6"/>
        <v>519.25</v>
      </c>
      <c r="K24" s="8">
        <f t="shared" si="2"/>
        <v>6951.55</v>
      </c>
      <c r="L24" s="151">
        <v>0</v>
      </c>
      <c r="M24" s="8">
        <f t="shared" si="4"/>
        <v>49415.827600000048</v>
      </c>
      <c r="N24" s="45"/>
      <c r="O24" s="1"/>
    </row>
    <row r="25" spans="1:18">
      <c r="A25" s="47">
        <v>22</v>
      </c>
      <c r="B25" s="206">
        <v>46044</v>
      </c>
      <c r="C25" s="25"/>
      <c r="D25" s="25"/>
      <c r="E25" s="273">
        <v>0</v>
      </c>
      <c r="F25" s="273">
        <v>0</v>
      </c>
      <c r="G25" s="8">
        <f t="shared" si="5"/>
        <v>0</v>
      </c>
      <c r="H25" s="9">
        <v>0</v>
      </c>
      <c r="I25" s="391">
        <v>103.85</v>
      </c>
      <c r="J25" s="8">
        <f t="shared" si="6"/>
        <v>0</v>
      </c>
      <c r="K25" s="8">
        <f t="shared" si="2"/>
        <v>0</v>
      </c>
      <c r="L25" s="151">
        <v>0</v>
      </c>
      <c r="M25" s="8">
        <f t="shared" si="4"/>
        <v>49415.827600000048</v>
      </c>
      <c r="N25" s="45"/>
      <c r="O25" s="1"/>
    </row>
    <row r="26" spans="1:18">
      <c r="A26" s="47">
        <v>23</v>
      </c>
      <c r="B26" s="206">
        <v>46045</v>
      </c>
      <c r="C26" s="25"/>
      <c r="D26" s="25"/>
      <c r="E26" s="273">
        <v>35</v>
      </c>
      <c r="F26" s="273">
        <v>91.89</v>
      </c>
      <c r="G26" s="8">
        <f t="shared" si="5"/>
        <v>3216.15</v>
      </c>
      <c r="H26" s="9">
        <v>0</v>
      </c>
      <c r="I26" s="391">
        <v>103.85</v>
      </c>
      <c r="J26" s="8">
        <f t="shared" si="6"/>
        <v>0</v>
      </c>
      <c r="K26" s="8">
        <f t="shared" si="2"/>
        <v>3216.15</v>
      </c>
      <c r="L26" s="151">
        <v>0</v>
      </c>
      <c r="M26" s="8">
        <f t="shared" si="4"/>
        <v>52631.977600000049</v>
      </c>
      <c r="N26" s="45"/>
      <c r="O26" s="1"/>
    </row>
    <row r="27" spans="1:18">
      <c r="A27" s="47">
        <v>24</v>
      </c>
      <c r="B27" s="206">
        <v>46046</v>
      </c>
      <c r="C27" s="25"/>
      <c r="D27" s="25"/>
      <c r="E27" s="273">
        <v>247.01</v>
      </c>
      <c r="F27" s="273">
        <v>91.89</v>
      </c>
      <c r="G27" s="8">
        <f t="shared" si="5"/>
        <v>22697.748899999999</v>
      </c>
      <c r="H27" s="9">
        <v>6</v>
      </c>
      <c r="I27" s="391">
        <v>103.85</v>
      </c>
      <c r="J27" s="8">
        <f t="shared" si="6"/>
        <v>623.09999999999991</v>
      </c>
      <c r="K27" s="8">
        <f t="shared" si="2"/>
        <v>23320.848899999997</v>
      </c>
      <c r="L27" s="151">
        <v>0</v>
      </c>
      <c r="M27" s="8">
        <f t="shared" si="4"/>
        <v>75952.826500000054</v>
      </c>
      <c r="N27" s="45"/>
      <c r="O27" s="1"/>
    </row>
    <row r="28" spans="1:18">
      <c r="A28" s="47">
        <v>25</v>
      </c>
      <c r="B28" s="206">
        <v>46047</v>
      </c>
      <c r="C28" s="25"/>
      <c r="D28" s="25"/>
      <c r="E28" s="273">
        <v>100</v>
      </c>
      <c r="F28" s="273">
        <v>91.89</v>
      </c>
      <c r="G28" s="8">
        <f t="shared" si="5"/>
        <v>9189</v>
      </c>
      <c r="H28" s="9">
        <v>11</v>
      </c>
      <c r="I28" s="391">
        <v>103.85</v>
      </c>
      <c r="J28" s="8">
        <f t="shared" si="6"/>
        <v>1142.3499999999999</v>
      </c>
      <c r="K28" s="8">
        <f t="shared" si="2"/>
        <v>10331.35</v>
      </c>
      <c r="L28" s="151">
        <v>0</v>
      </c>
      <c r="M28" s="8">
        <f t="shared" si="4"/>
        <v>86284.17650000006</v>
      </c>
      <c r="N28" s="45"/>
      <c r="O28" s="1"/>
    </row>
    <row r="29" spans="1:18">
      <c r="A29" s="47">
        <v>26</v>
      </c>
      <c r="B29" s="206">
        <v>46048</v>
      </c>
      <c r="C29" s="25"/>
      <c r="D29" s="25"/>
      <c r="E29" s="273">
        <v>0</v>
      </c>
      <c r="F29" s="273">
        <v>0</v>
      </c>
      <c r="G29" s="8">
        <f t="shared" si="5"/>
        <v>0</v>
      </c>
      <c r="H29" s="9">
        <v>0</v>
      </c>
      <c r="I29" s="391">
        <v>103.85</v>
      </c>
      <c r="J29" s="8">
        <f t="shared" si="6"/>
        <v>0</v>
      </c>
      <c r="K29" s="8">
        <f t="shared" si="2"/>
        <v>0</v>
      </c>
      <c r="L29" s="151">
        <v>0</v>
      </c>
      <c r="M29" s="8">
        <f t="shared" si="4"/>
        <v>86284.17650000006</v>
      </c>
      <c r="N29" s="45"/>
      <c r="O29" s="1"/>
    </row>
    <row r="30" spans="1:18">
      <c r="A30" s="47">
        <v>27</v>
      </c>
      <c r="B30" s="206">
        <v>46049</v>
      </c>
      <c r="C30" s="25"/>
      <c r="D30" s="25"/>
      <c r="E30" s="273">
        <v>65</v>
      </c>
      <c r="F30" s="273">
        <v>91.89</v>
      </c>
      <c r="G30" s="8">
        <f t="shared" si="5"/>
        <v>5972.85</v>
      </c>
      <c r="H30" s="9">
        <v>6</v>
      </c>
      <c r="I30" s="391">
        <v>103.85</v>
      </c>
      <c r="J30" s="8">
        <f t="shared" si="6"/>
        <v>623.09999999999991</v>
      </c>
      <c r="K30" s="8">
        <f t="shared" si="2"/>
        <v>6595.9500000000007</v>
      </c>
      <c r="L30" s="151">
        <v>0</v>
      </c>
      <c r="M30" s="8">
        <f t="shared" si="4"/>
        <v>92880.126500000057</v>
      </c>
      <c r="N30" s="45"/>
      <c r="O30" s="1"/>
    </row>
    <row r="31" spans="1:18">
      <c r="A31" s="47">
        <v>28</v>
      </c>
      <c r="B31" s="206">
        <v>46050</v>
      </c>
      <c r="C31" s="25"/>
      <c r="D31" s="25"/>
      <c r="E31" s="273">
        <v>313</v>
      </c>
      <c r="F31" s="273">
        <v>91.89</v>
      </c>
      <c r="G31" s="8">
        <f t="shared" si="5"/>
        <v>28761.57</v>
      </c>
      <c r="H31" s="9">
        <v>0</v>
      </c>
      <c r="I31" s="391">
        <v>103.85</v>
      </c>
      <c r="J31" s="8">
        <f t="shared" si="6"/>
        <v>0</v>
      </c>
      <c r="K31" s="8">
        <f t="shared" si="2"/>
        <v>28761.57</v>
      </c>
      <c r="L31" s="151">
        <v>0</v>
      </c>
      <c r="M31" s="8">
        <f t="shared" si="4"/>
        <v>121641.69650000005</v>
      </c>
      <c r="N31" s="45"/>
      <c r="O31" s="1"/>
      <c r="R31">
        <v>46.61</v>
      </c>
    </row>
    <row r="32" spans="1:18">
      <c r="A32" s="47">
        <v>29</v>
      </c>
      <c r="B32" s="206">
        <v>46051</v>
      </c>
      <c r="C32" s="25"/>
      <c r="D32" s="25"/>
      <c r="E32" s="273">
        <v>215</v>
      </c>
      <c r="F32" s="273">
        <v>91.89</v>
      </c>
      <c r="G32" s="8">
        <f t="shared" si="5"/>
        <v>19756.349999999999</v>
      </c>
      <c r="H32" s="9">
        <v>15</v>
      </c>
      <c r="I32" s="391">
        <v>103.85</v>
      </c>
      <c r="J32" s="8">
        <f t="shared" si="6"/>
        <v>1557.75</v>
      </c>
      <c r="K32" s="8">
        <f t="shared" si="2"/>
        <v>21314.1</v>
      </c>
      <c r="L32" s="151">
        <v>0</v>
      </c>
      <c r="M32" s="8">
        <f t="shared" si="4"/>
        <v>142955.79650000005</v>
      </c>
      <c r="N32" s="45"/>
      <c r="O32" s="1"/>
      <c r="R32">
        <v>100</v>
      </c>
    </row>
    <row r="33" spans="1:18">
      <c r="A33" s="47">
        <v>30</v>
      </c>
      <c r="B33" s="206">
        <v>46052</v>
      </c>
      <c r="C33" s="25"/>
      <c r="D33" s="25"/>
      <c r="E33" s="273">
        <v>70</v>
      </c>
      <c r="F33" s="273">
        <v>91.89</v>
      </c>
      <c r="G33" s="8">
        <f t="shared" si="5"/>
        <v>6432.3</v>
      </c>
      <c r="H33" s="9">
        <v>21</v>
      </c>
      <c r="I33" s="391">
        <v>103.85</v>
      </c>
      <c r="J33" s="8">
        <f t="shared" si="6"/>
        <v>2180.85</v>
      </c>
      <c r="K33" s="8">
        <f t="shared" si="2"/>
        <v>8613.15</v>
      </c>
      <c r="L33" s="151">
        <v>0</v>
      </c>
      <c r="M33" s="8">
        <f t="shared" si="4"/>
        <v>151568.94650000005</v>
      </c>
      <c r="N33" s="45"/>
      <c r="O33" s="1"/>
      <c r="R33">
        <v>35</v>
      </c>
    </row>
    <row r="34" spans="1:18">
      <c r="A34" s="47">
        <v>31</v>
      </c>
      <c r="B34" s="206">
        <v>46053</v>
      </c>
      <c r="C34" s="25"/>
      <c r="D34" s="25"/>
      <c r="E34" s="273">
        <v>112</v>
      </c>
      <c r="F34" s="273">
        <v>91.89</v>
      </c>
      <c r="G34" s="8">
        <f t="shared" si="5"/>
        <v>10291.68</v>
      </c>
      <c r="H34" s="9">
        <v>5</v>
      </c>
      <c r="I34" s="391">
        <v>103.85</v>
      </c>
      <c r="J34" s="8">
        <f t="shared" si="6"/>
        <v>519.25</v>
      </c>
      <c r="K34" s="8">
        <f t="shared" si="2"/>
        <v>10810.93</v>
      </c>
      <c r="L34" s="151">
        <v>0</v>
      </c>
      <c r="M34" s="8">
        <f t="shared" si="4"/>
        <v>162379.87650000004</v>
      </c>
      <c r="N34" s="45"/>
      <c r="O34" s="1"/>
    </row>
    <row r="35" spans="1:18">
      <c r="A35" s="47">
        <v>32</v>
      </c>
      <c r="B35" s="206">
        <v>46054</v>
      </c>
      <c r="C35" s="25"/>
      <c r="D35" s="25"/>
      <c r="E35" s="8">
        <v>0</v>
      </c>
      <c r="F35" s="8">
        <v>0</v>
      </c>
      <c r="G35" s="8">
        <f t="shared" si="0"/>
        <v>0</v>
      </c>
      <c r="H35" s="9">
        <v>0</v>
      </c>
      <c r="I35" s="9">
        <v>0</v>
      </c>
      <c r="J35" s="8">
        <f t="shared" si="1"/>
        <v>0</v>
      </c>
      <c r="K35" s="8">
        <f t="shared" si="2"/>
        <v>0</v>
      </c>
      <c r="L35" s="151">
        <v>0</v>
      </c>
      <c r="M35" s="8">
        <f t="shared" si="4"/>
        <v>162379.87650000004</v>
      </c>
      <c r="N35" s="45"/>
      <c r="O35" s="1"/>
    </row>
    <row r="36" spans="1:18">
      <c r="A36" s="201"/>
      <c r="B36" s="206"/>
      <c r="C36" s="25"/>
      <c r="D36" s="25"/>
      <c r="E36" s="8"/>
      <c r="F36" s="8"/>
      <c r="G36" s="8"/>
      <c r="H36" s="9">
        <v>0</v>
      </c>
      <c r="I36" s="9">
        <v>0</v>
      </c>
      <c r="J36" s="8"/>
      <c r="K36" s="8"/>
      <c r="L36" s="151"/>
      <c r="M36" s="8">
        <f t="shared" si="4"/>
        <v>162379.87650000004</v>
      </c>
      <c r="N36" s="45"/>
      <c r="O36" s="1"/>
    </row>
    <row r="37" spans="1:18">
      <c r="A37" s="65"/>
      <c r="B37" s="65"/>
      <c r="C37" s="65"/>
      <c r="D37" s="65"/>
      <c r="E37" s="66">
        <f>SUM(E4:E35)</f>
        <v>3858.5999999999995</v>
      </c>
      <c r="F37" s="66"/>
      <c r="G37" s="66">
        <f>SUM(G4:G35)</f>
        <v>354566.7539999999</v>
      </c>
      <c r="H37" s="66">
        <f>SUM(H4:H35)</f>
        <v>210</v>
      </c>
      <c r="I37" s="66"/>
      <c r="J37" s="66">
        <f>SUM(J4:J35)</f>
        <v>21932.819999999996</v>
      </c>
      <c r="K37" s="66">
        <f>SUM(K4:K35)</f>
        <v>376499.57399999996</v>
      </c>
      <c r="L37" s="66">
        <f>SUM(L4:L35)</f>
        <v>525000</v>
      </c>
      <c r="M37" s="66"/>
      <c r="N37" s="66"/>
      <c r="O37" s="62"/>
    </row>
    <row r="38" spans="1:18">
      <c r="A38" s="2"/>
      <c r="B38" s="2"/>
      <c r="C38" s="2"/>
      <c r="D38" s="2"/>
      <c r="E38" s="4"/>
      <c r="F38" s="4"/>
      <c r="G38" s="4"/>
      <c r="H38" s="4"/>
      <c r="I38" s="4"/>
      <c r="J38" s="4"/>
      <c r="K38" s="4"/>
      <c r="L38" s="4"/>
      <c r="M38" s="4"/>
      <c r="N38" s="4"/>
      <c r="O38" s="1"/>
    </row>
    <row r="39" spans="1:18">
      <c r="A39" s="1"/>
      <c r="B39" s="1"/>
      <c r="C39" s="1"/>
      <c r="D39" s="1"/>
      <c r="E39" s="1"/>
      <c r="F39" s="1"/>
      <c r="G39" s="3"/>
      <c r="H39" s="1"/>
      <c r="I39" s="1"/>
      <c r="J39" s="1"/>
      <c r="K39" s="1"/>
      <c r="L39" s="8"/>
      <c r="M39" s="1"/>
      <c r="N39" s="1"/>
      <c r="O39" s="4"/>
    </row>
    <row r="40" spans="1:18">
      <c r="A40" s="1"/>
      <c r="B40" s="454"/>
      <c r="C40" s="454"/>
      <c r="D40" s="454"/>
      <c r="E40" s="454"/>
      <c r="F40" s="1"/>
      <c r="G40" s="1"/>
      <c r="H40" s="1"/>
      <c r="I40" s="493">
        <f>K25+L25</f>
        <v>0</v>
      </c>
      <c r="J40" s="454"/>
      <c r="K40" s="454"/>
      <c r="L40" s="454"/>
      <c r="M40" s="454"/>
      <c r="N40" s="454"/>
      <c r="O40" s="4"/>
    </row>
    <row r="41" spans="1:18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4"/>
    </row>
    <row r="42" spans="1:18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</row>
    <row r="43" spans="1:18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</row>
    <row r="44" spans="1:18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</row>
    <row r="45" spans="1:18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</row>
    <row r="46" spans="1:18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</row>
    <row r="47" spans="1:18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</row>
    <row r="48" spans="1:1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</row>
    <row r="49" spans="1:1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</row>
    <row r="50" spans="1: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</row>
    <row r="51" spans="1: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</row>
  </sheetData>
  <mergeCells count="3">
    <mergeCell ref="A1:N1"/>
    <mergeCell ref="B40:E40"/>
    <mergeCell ref="I40:N40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BAC07-664F-47CB-AB94-1FA0A3439A5B}">
  <sheetPr>
    <tabColor rgb="FF7030A0"/>
  </sheetPr>
  <dimension ref="A1:R44"/>
  <sheetViews>
    <sheetView workbookViewId="0">
      <pane ySplit="2" topLeftCell="A24" activePane="bottomLeft" state="frozen"/>
      <selection pane="bottomLeft" activeCell="S25" sqref="S25"/>
    </sheetView>
  </sheetViews>
  <sheetFormatPr defaultRowHeight="15"/>
  <cols>
    <col min="2" max="2" width="11.5703125" bestFit="1" customWidth="1"/>
    <col min="4" max="4" width="16" bestFit="1" customWidth="1"/>
    <col min="5" max="5" width="11.85546875" customWidth="1"/>
    <col min="6" max="6" width="13.7109375" customWidth="1"/>
    <col min="7" max="7" width="10.85546875" bestFit="1" customWidth="1"/>
    <col min="8" max="8" width="11.7109375" customWidth="1"/>
    <col min="10" max="10" width="12" customWidth="1"/>
    <col min="11" max="11" width="11.85546875" customWidth="1"/>
    <col min="12" max="13" width="14" customWidth="1"/>
    <col min="14" max="14" width="14.85546875" customWidth="1"/>
    <col min="15" max="15" width="18.5703125" customWidth="1"/>
    <col min="16" max="16" width="13" customWidth="1"/>
  </cols>
  <sheetData>
    <row r="1" spans="1:16" ht="15.75">
      <c r="A1" s="461" t="s">
        <v>77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5"/>
    </row>
    <row r="2" spans="1:16">
      <c r="A2" s="101" t="s">
        <v>129</v>
      </c>
      <c r="B2" s="102" t="s">
        <v>130</v>
      </c>
      <c r="C2" s="102" t="s">
        <v>131</v>
      </c>
      <c r="D2" s="102" t="s">
        <v>198</v>
      </c>
      <c r="E2" s="102" t="s">
        <v>133</v>
      </c>
      <c r="F2" s="102" t="s">
        <v>134</v>
      </c>
      <c r="G2" s="102" t="s">
        <v>135</v>
      </c>
      <c r="H2" s="102" t="s">
        <v>136</v>
      </c>
      <c r="I2" s="102" t="s">
        <v>134</v>
      </c>
      <c r="J2" s="141" t="s">
        <v>135</v>
      </c>
      <c r="K2" s="103" t="s">
        <v>137</v>
      </c>
      <c r="L2" s="142" t="s">
        <v>138</v>
      </c>
      <c r="M2" s="146" t="s">
        <v>199</v>
      </c>
      <c r="N2" s="104" t="s">
        <v>140</v>
      </c>
      <c r="O2" s="62"/>
    </row>
    <row r="3" spans="1:16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4"/>
      <c r="K3" s="167">
        <v>4500.2015000000083</v>
      </c>
      <c r="L3" s="17"/>
      <c r="M3" s="108">
        <v>4500.2015000000083</v>
      </c>
      <c r="N3" s="17"/>
      <c r="O3" s="62"/>
    </row>
    <row r="4" spans="1:16">
      <c r="A4" s="47">
        <v>1</v>
      </c>
      <c r="B4" s="206"/>
      <c r="C4" s="155"/>
      <c r="D4" s="156"/>
      <c r="E4" s="157">
        <v>0</v>
      </c>
      <c r="F4" s="157">
        <v>0</v>
      </c>
      <c r="G4" s="143">
        <f>E4*F4</f>
        <v>0</v>
      </c>
      <c r="H4" s="157">
        <v>0</v>
      </c>
      <c r="I4" s="158">
        <v>103.8</v>
      </c>
      <c r="J4" s="20">
        <f>H4*I4</f>
        <v>0</v>
      </c>
      <c r="K4" s="20">
        <f>G4+J4</f>
        <v>0</v>
      </c>
      <c r="L4" s="144"/>
      <c r="M4" s="144">
        <f t="shared" ref="M4:M21" si="0">M3+K4-L4</f>
        <v>4500.2015000000083</v>
      </c>
      <c r="N4" s="145"/>
    </row>
    <row r="5" spans="1:16">
      <c r="A5" s="47">
        <v>2</v>
      </c>
      <c r="B5" s="206"/>
      <c r="C5" s="11"/>
      <c r="D5" s="11"/>
      <c r="E5" s="157">
        <v>0</v>
      </c>
      <c r="F5" s="157">
        <v>0</v>
      </c>
      <c r="G5" s="143">
        <f t="shared" ref="G5:G34" si="1">E5*F5</f>
        <v>0</v>
      </c>
      <c r="H5" s="157">
        <v>0</v>
      </c>
      <c r="I5" s="158">
        <v>0</v>
      </c>
      <c r="J5" s="20">
        <f t="shared" ref="J5:J34" si="2">H5*I5</f>
        <v>0</v>
      </c>
      <c r="K5" s="20">
        <f t="shared" ref="K5:K34" si="3">G5+J5</f>
        <v>0</v>
      </c>
      <c r="L5" s="144"/>
      <c r="M5" s="14">
        <f t="shared" si="0"/>
        <v>4500.2015000000083</v>
      </c>
      <c r="N5" s="12"/>
    </row>
    <row r="6" spans="1:16">
      <c r="A6" s="47">
        <v>3</v>
      </c>
      <c r="B6" s="206"/>
      <c r="C6" s="11"/>
      <c r="D6" s="11"/>
      <c r="E6" s="157">
        <v>0</v>
      </c>
      <c r="F6" s="157">
        <v>0</v>
      </c>
      <c r="G6" s="143">
        <f t="shared" si="1"/>
        <v>0</v>
      </c>
      <c r="H6" s="157">
        <v>0</v>
      </c>
      <c r="I6" s="158">
        <v>0</v>
      </c>
      <c r="J6" s="20">
        <f t="shared" si="2"/>
        <v>0</v>
      </c>
      <c r="K6" s="20">
        <f t="shared" si="3"/>
        <v>0</v>
      </c>
      <c r="L6" s="144"/>
      <c r="M6" s="14">
        <f t="shared" si="0"/>
        <v>4500.2015000000083</v>
      </c>
      <c r="N6" s="13"/>
    </row>
    <row r="7" spans="1:16">
      <c r="A7" s="47">
        <v>4</v>
      </c>
      <c r="B7" s="206"/>
      <c r="C7" s="73"/>
      <c r="D7" s="74"/>
      <c r="E7" s="157">
        <v>0</v>
      </c>
      <c r="F7" s="157">
        <v>0</v>
      </c>
      <c r="G7" s="143">
        <f t="shared" si="1"/>
        <v>0</v>
      </c>
      <c r="H7" s="157">
        <v>0</v>
      </c>
      <c r="I7" s="158">
        <v>0</v>
      </c>
      <c r="J7" s="20">
        <f t="shared" si="2"/>
        <v>0</v>
      </c>
      <c r="K7" s="20">
        <f t="shared" si="3"/>
        <v>0</v>
      </c>
      <c r="L7" s="144"/>
      <c r="M7" s="14">
        <f t="shared" si="0"/>
        <v>4500.2015000000083</v>
      </c>
      <c r="N7" s="42"/>
    </row>
    <row r="8" spans="1:16">
      <c r="A8" s="47">
        <v>5</v>
      </c>
      <c r="B8" s="206"/>
      <c r="C8" s="73"/>
      <c r="D8" s="74"/>
      <c r="E8" s="157">
        <v>0</v>
      </c>
      <c r="F8" s="157">
        <v>0</v>
      </c>
      <c r="G8" s="143">
        <f t="shared" si="1"/>
        <v>0</v>
      </c>
      <c r="H8" s="157">
        <v>0</v>
      </c>
      <c r="I8" s="158">
        <v>0</v>
      </c>
      <c r="J8" s="20">
        <f t="shared" si="2"/>
        <v>0</v>
      </c>
      <c r="K8" s="20">
        <f t="shared" si="3"/>
        <v>0</v>
      </c>
      <c r="L8" s="144"/>
      <c r="M8" s="14">
        <f t="shared" si="0"/>
        <v>4500.2015000000083</v>
      </c>
      <c r="N8" s="42"/>
      <c r="O8" s="248">
        <v>8497892194</v>
      </c>
      <c r="P8" s="249" t="s">
        <v>268</v>
      </c>
    </row>
    <row r="9" spans="1:16">
      <c r="A9" s="47">
        <v>6</v>
      </c>
      <c r="B9" s="206"/>
      <c r="C9" s="73"/>
      <c r="D9" s="74"/>
      <c r="E9" s="157">
        <v>0</v>
      </c>
      <c r="F9" s="157">
        <v>0</v>
      </c>
      <c r="G9" s="143">
        <f t="shared" si="1"/>
        <v>0</v>
      </c>
      <c r="H9" s="157">
        <v>5</v>
      </c>
      <c r="I9" s="158">
        <v>103.8</v>
      </c>
      <c r="J9" s="20">
        <f t="shared" si="2"/>
        <v>519</v>
      </c>
      <c r="K9" s="20">
        <f t="shared" si="3"/>
        <v>519</v>
      </c>
      <c r="L9" s="144"/>
      <c r="M9" s="14">
        <f t="shared" si="0"/>
        <v>5019.2015000000083</v>
      </c>
      <c r="N9" s="42"/>
      <c r="O9" s="72"/>
    </row>
    <row r="10" spans="1:16">
      <c r="A10" s="47">
        <v>7</v>
      </c>
      <c r="B10" s="206"/>
      <c r="C10" s="73"/>
      <c r="D10" s="74"/>
      <c r="E10" s="157">
        <v>0</v>
      </c>
      <c r="F10" s="157">
        <v>0</v>
      </c>
      <c r="G10" s="143">
        <f t="shared" si="1"/>
        <v>0</v>
      </c>
      <c r="H10" s="157">
        <v>0</v>
      </c>
      <c r="I10" s="158">
        <v>0</v>
      </c>
      <c r="J10" s="20">
        <f t="shared" si="2"/>
        <v>0</v>
      </c>
      <c r="K10" s="20">
        <f t="shared" si="3"/>
        <v>0</v>
      </c>
      <c r="L10" s="144"/>
      <c r="M10" s="14">
        <f t="shared" si="0"/>
        <v>5019.2015000000083</v>
      </c>
      <c r="N10" s="42"/>
      <c r="O10" s="72"/>
    </row>
    <row r="11" spans="1:16">
      <c r="A11" s="47">
        <v>8</v>
      </c>
      <c r="B11" s="206"/>
      <c r="C11" s="73"/>
      <c r="D11" s="74"/>
      <c r="E11" s="157">
        <v>0</v>
      </c>
      <c r="F11" s="157">
        <v>0</v>
      </c>
      <c r="G11" s="143">
        <f t="shared" si="1"/>
        <v>0</v>
      </c>
      <c r="H11" s="157">
        <v>0</v>
      </c>
      <c r="I11" s="158">
        <v>0</v>
      </c>
      <c r="J11" s="20">
        <f t="shared" si="2"/>
        <v>0</v>
      </c>
      <c r="K11" s="20">
        <f t="shared" si="3"/>
        <v>0</v>
      </c>
      <c r="L11" s="144"/>
      <c r="M11" s="14">
        <f t="shared" si="0"/>
        <v>5019.2015000000083</v>
      </c>
      <c r="N11" s="42"/>
      <c r="O11" s="72"/>
    </row>
    <row r="12" spans="1:16">
      <c r="A12" s="47">
        <v>9</v>
      </c>
      <c r="B12" s="206"/>
      <c r="C12" s="73"/>
      <c r="D12" s="74"/>
      <c r="E12" s="157">
        <v>0</v>
      </c>
      <c r="F12" s="157">
        <v>0</v>
      </c>
      <c r="G12" s="143">
        <f t="shared" si="1"/>
        <v>0</v>
      </c>
      <c r="H12" s="157">
        <v>0</v>
      </c>
      <c r="I12" s="158">
        <v>0</v>
      </c>
      <c r="J12" s="20">
        <f t="shared" si="2"/>
        <v>0</v>
      </c>
      <c r="K12" s="20">
        <f t="shared" si="3"/>
        <v>0</v>
      </c>
      <c r="L12" s="144"/>
      <c r="M12" s="14">
        <f t="shared" si="0"/>
        <v>5019.2015000000083</v>
      </c>
      <c r="N12" s="42"/>
      <c r="O12" s="72"/>
    </row>
    <row r="13" spans="1:16">
      <c r="A13" s="47">
        <v>10</v>
      </c>
      <c r="B13" s="206"/>
      <c r="C13" s="73"/>
      <c r="D13" s="74"/>
      <c r="E13" s="157">
        <v>0</v>
      </c>
      <c r="F13" s="157">
        <v>0</v>
      </c>
      <c r="G13" s="143">
        <f t="shared" ref="G13:G34" si="4">E13*F13</f>
        <v>0</v>
      </c>
      <c r="H13" s="157">
        <v>0</v>
      </c>
      <c r="I13" s="158">
        <v>0</v>
      </c>
      <c r="J13" s="20">
        <f t="shared" si="2"/>
        <v>0</v>
      </c>
      <c r="K13" s="20">
        <f t="shared" si="3"/>
        <v>0</v>
      </c>
      <c r="L13" s="144"/>
      <c r="M13" s="14">
        <f t="shared" si="0"/>
        <v>5019.2015000000083</v>
      </c>
      <c r="N13" s="42"/>
      <c r="O13" s="72"/>
    </row>
    <row r="14" spans="1:16">
      <c r="A14" s="47">
        <v>11</v>
      </c>
      <c r="B14" s="206"/>
      <c r="C14" s="73"/>
      <c r="D14" s="74"/>
      <c r="E14" s="157">
        <v>0</v>
      </c>
      <c r="F14" s="157">
        <v>0</v>
      </c>
      <c r="G14" s="143">
        <f t="shared" si="4"/>
        <v>0</v>
      </c>
      <c r="H14" s="157">
        <v>0</v>
      </c>
      <c r="I14" s="158">
        <v>0</v>
      </c>
      <c r="J14" s="20">
        <f t="shared" si="2"/>
        <v>0</v>
      </c>
      <c r="K14" s="20">
        <f t="shared" si="3"/>
        <v>0</v>
      </c>
      <c r="L14" s="144"/>
      <c r="M14" s="14">
        <f t="shared" si="0"/>
        <v>5019.2015000000083</v>
      </c>
      <c r="N14" s="42"/>
      <c r="O14" s="72"/>
    </row>
    <row r="15" spans="1:16">
      <c r="A15" s="47">
        <v>12</v>
      </c>
      <c r="B15" s="206"/>
      <c r="C15" s="73"/>
      <c r="D15" s="74"/>
      <c r="E15" s="157">
        <v>0</v>
      </c>
      <c r="F15" s="157">
        <v>0</v>
      </c>
      <c r="G15" s="143">
        <f t="shared" si="4"/>
        <v>0</v>
      </c>
      <c r="H15" s="157">
        <v>5</v>
      </c>
      <c r="I15" s="158">
        <v>103.8</v>
      </c>
      <c r="J15" s="20">
        <f t="shared" si="2"/>
        <v>519</v>
      </c>
      <c r="K15" s="20">
        <f t="shared" si="3"/>
        <v>519</v>
      </c>
      <c r="L15" s="144"/>
      <c r="M15" s="14">
        <f t="shared" si="0"/>
        <v>5538.2015000000083</v>
      </c>
      <c r="N15" s="42"/>
      <c r="O15" s="72"/>
    </row>
    <row r="16" spans="1:16">
      <c r="A16" s="47">
        <v>13</v>
      </c>
      <c r="B16" s="206"/>
      <c r="C16" s="73"/>
      <c r="D16" s="74"/>
      <c r="E16" s="157">
        <v>0</v>
      </c>
      <c r="F16" s="157">
        <v>0</v>
      </c>
      <c r="G16" s="143">
        <f t="shared" si="4"/>
        <v>0</v>
      </c>
      <c r="H16" s="157">
        <v>0</v>
      </c>
      <c r="I16" s="158">
        <v>0</v>
      </c>
      <c r="J16" s="20">
        <f t="shared" si="2"/>
        <v>0</v>
      </c>
      <c r="K16" s="20">
        <f t="shared" si="3"/>
        <v>0</v>
      </c>
      <c r="L16" s="144"/>
      <c r="M16" s="247">
        <f t="shared" si="0"/>
        <v>5538.2015000000083</v>
      </c>
      <c r="N16" s="42"/>
      <c r="O16" s="72"/>
    </row>
    <row r="17" spans="1:18">
      <c r="A17" s="47">
        <v>14</v>
      </c>
      <c r="B17" s="206"/>
      <c r="C17" s="73"/>
      <c r="D17" s="74"/>
      <c r="E17" s="157">
        <v>0</v>
      </c>
      <c r="F17" s="157">
        <v>0</v>
      </c>
      <c r="G17" s="143">
        <f t="shared" si="4"/>
        <v>0</v>
      </c>
      <c r="H17" s="157">
        <v>0</v>
      </c>
      <c r="I17" s="158">
        <v>0</v>
      </c>
      <c r="J17" s="20">
        <f t="shared" si="2"/>
        <v>0</v>
      </c>
      <c r="K17" s="20">
        <f t="shared" si="3"/>
        <v>0</v>
      </c>
      <c r="L17" s="144"/>
      <c r="M17" s="14">
        <f t="shared" si="0"/>
        <v>5538.2015000000083</v>
      </c>
      <c r="N17" s="42"/>
      <c r="O17" s="72"/>
    </row>
    <row r="18" spans="1:18">
      <c r="A18" s="47">
        <v>15</v>
      </c>
      <c r="B18" s="206"/>
      <c r="C18" s="73"/>
      <c r="D18" s="74"/>
      <c r="E18" s="157">
        <v>0</v>
      </c>
      <c r="F18" s="157">
        <v>0</v>
      </c>
      <c r="G18" s="143">
        <f t="shared" si="4"/>
        <v>0</v>
      </c>
      <c r="H18" s="157">
        <v>0</v>
      </c>
      <c r="I18" s="158">
        <v>0</v>
      </c>
      <c r="J18" s="20">
        <f t="shared" si="2"/>
        <v>0</v>
      </c>
      <c r="K18" s="20">
        <f t="shared" si="3"/>
        <v>0</v>
      </c>
      <c r="L18" s="144"/>
      <c r="M18" s="14">
        <f t="shared" si="0"/>
        <v>5538.2015000000083</v>
      </c>
      <c r="N18" s="42"/>
      <c r="O18" s="72"/>
    </row>
    <row r="19" spans="1:18">
      <c r="A19" s="47">
        <v>16</v>
      </c>
      <c r="B19" s="206"/>
      <c r="C19" s="195"/>
      <c r="D19" s="196"/>
      <c r="E19" s="157">
        <v>0</v>
      </c>
      <c r="F19" s="157">
        <v>0</v>
      </c>
      <c r="G19" s="143">
        <f t="shared" si="4"/>
        <v>0</v>
      </c>
      <c r="H19" s="157">
        <v>0</v>
      </c>
      <c r="I19" s="158">
        <v>0</v>
      </c>
      <c r="J19" s="20">
        <f t="shared" si="2"/>
        <v>0</v>
      </c>
      <c r="K19" s="20">
        <f t="shared" si="3"/>
        <v>0</v>
      </c>
      <c r="L19" s="144"/>
      <c r="M19" s="15">
        <f t="shared" si="0"/>
        <v>5538.2015000000083</v>
      </c>
      <c r="N19" s="197"/>
      <c r="O19" s="72"/>
    </row>
    <row r="20" spans="1:18">
      <c r="A20" s="47">
        <v>17</v>
      </c>
      <c r="B20" s="206"/>
      <c r="C20" s="70"/>
      <c r="D20" s="74"/>
      <c r="E20" s="157">
        <v>0</v>
      </c>
      <c r="F20" s="157">
        <v>0</v>
      </c>
      <c r="G20" s="143">
        <f t="shared" si="4"/>
        <v>0</v>
      </c>
      <c r="H20" s="157">
        <v>0</v>
      </c>
      <c r="I20" s="158">
        <v>0</v>
      </c>
      <c r="J20" s="20">
        <f t="shared" si="2"/>
        <v>0</v>
      </c>
      <c r="K20" s="20">
        <f t="shared" si="3"/>
        <v>0</v>
      </c>
      <c r="L20" s="144"/>
      <c r="M20" s="15">
        <f t="shared" si="0"/>
        <v>5538.2015000000083</v>
      </c>
      <c r="N20" s="42"/>
      <c r="O20" s="72"/>
    </row>
    <row r="21" spans="1:18">
      <c r="A21" s="47">
        <v>18</v>
      </c>
      <c r="B21" s="206"/>
      <c r="C21" s="70"/>
      <c r="D21" s="74"/>
      <c r="E21" s="157">
        <v>0</v>
      </c>
      <c r="F21" s="157">
        <v>0</v>
      </c>
      <c r="G21" s="143">
        <f t="shared" si="4"/>
        <v>0</v>
      </c>
      <c r="H21" s="157">
        <v>0</v>
      </c>
      <c r="I21" s="158">
        <v>0</v>
      </c>
      <c r="J21" s="20">
        <f t="shared" si="2"/>
        <v>0</v>
      </c>
      <c r="K21" s="20">
        <f t="shared" si="3"/>
        <v>0</v>
      </c>
      <c r="L21" s="144"/>
      <c r="M21" s="15">
        <f t="shared" si="0"/>
        <v>5538.2015000000083</v>
      </c>
      <c r="N21" s="42"/>
      <c r="O21" s="72"/>
    </row>
    <row r="22" spans="1:18">
      <c r="A22" s="47">
        <v>19</v>
      </c>
      <c r="B22" s="206"/>
      <c r="C22" s="70"/>
      <c r="D22" s="74"/>
      <c r="E22" s="157">
        <v>0</v>
      </c>
      <c r="F22" s="157">
        <v>0</v>
      </c>
      <c r="G22" s="143">
        <f t="shared" si="4"/>
        <v>0</v>
      </c>
      <c r="H22" s="157">
        <v>0</v>
      </c>
      <c r="I22" s="158">
        <v>0</v>
      </c>
      <c r="J22" s="20">
        <f t="shared" si="2"/>
        <v>0</v>
      </c>
      <c r="K22" s="20">
        <f t="shared" si="3"/>
        <v>0</v>
      </c>
      <c r="L22" s="144"/>
      <c r="M22" s="15">
        <f t="shared" ref="M22:M30" si="5">M21+K22-L22</f>
        <v>5538.2015000000083</v>
      </c>
      <c r="N22" s="42"/>
      <c r="O22" s="72"/>
    </row>
    <row r="23" spans="1:18">
      <c r="A23" s="47">
        <v>20</v>
      </c>
      <c r="B23" s="206"/>
      <c r="C23" s="70"/>
      <c r="D23" s="74"/>
      <c r="E23" s="157">
        <v>40</v>
      </c>
      <c r="F23" s="157">
        <v>91.83</v>
      </c>
      <c r="G23" s="143">
        <f t="shared" si="4"/>
        <v>3673.2</v>
      </c>
      <c r="H23" s="157">
        <v>0</v>
      </c>
      <c r="I23" s="158">
        <v>0</v>
      </c>
      <c r="J23" s="20">
        <f t="shared" si="2"/>
        <v>0</v>
      </c>
      <c r="K23" s="20">
        <f t="shared" si="3"/>
        <v>3673.2</v>
      </c>
      <c r="L23" s="144"/>
      <c r="M23" s="15">
        <f t="shared" si="5"/>
        <v>9211.4015000000072</v>
      </c>
      <c r="N23" s="42"/>
      <c r="O23" s="72"/>
    </row>
    <row r="24" spans="1:18">
      <c r="A24" s="47">
        <v>21</v>
      </c>
      <c r="B24" s="206"/>
      <c r="C24" s="70"/>
      <c r="D24" s="74"/>
      <c r="E24" s="157">
        <v>0</v>
      </c>
      <c r="F24" s="157">
        <v>0</v>
      </c>
      <c r="G24" s="143">
        <f t="shared" si="4"/>
        <v>0</v>
      </c>
      <c r="H24" s="157">
        <v>5</v>
      </c>
      <c r="I24" s="158">
        <v>103.8</v>
      </c>
      <c r="J24" s="20">
        <f t="shared" si="2"/>
        <v>519</v>
      </c>
      <c r="K24" s="20">
        <f t="shared" si="3"/>
        <v>519</v>
      </c>
      <c r="L24" s="144"/>
      <c r="M24" s="15">
        <f t="shared" si="5"/>
        <v>9730.4015000000072</v>
      </c>
      <c r="N24" s="42"/>
      <c r="O24" s="72"/>
    </row>
    <row r="25" spans="1:18">
      <c r="A25" s="47">
        <v>22</v>
      </c>
      <c r="B25" s="206"/>
      <c r="C25" s="70"/>
      <c r="D25" s="74"/>
      <c r="E25" s="157">
        <v>0</v>
      </c>
      <c r="F25" s="157">
        <v>0</v>
      </c>
      <c r="G25" s="143">
        <f t="shared" si="4"/>
        <v>0</v>
      </c>
      <c r="H25" s="157">
        <v>0</v>
      </c>
      <c r="I25" s="158">
        <v>0</v>
      </c>
      <c r="J25" s="20">
        <f t="shared" si="2"/>
        <v>0</v>
      </c>
      <c r="K25" s="20">
        <f t="shared" si="3"/>
        <v>0</v>
      </c>
      <c r="L25" s="144"/>
      <c r="M25" s="15">
        <f t="shared" si="5"/>
        <v>9730.4015000000072</v>
      </c>
      <c r="N25" s="42"/>
      <c r="O25" s="72"/>
    </row>
    <row r="26" spans="1:18">
      <c r="A26" s="47">
        <v>23</v>
      </c>
      <c r="B26" s="206"/>
      <c r="C26" s="70"/>
      <c r="D26" s="74"/>
      <c r="E26" s="157">
        <v>0</v>
      </c>
      <c r="F26" s="157">
        <v>0</v>
      </c>
      <c r="G26" s="143">
        <f t="shared" si="4"/>
        <v>0</v>
      </c>
      <c r="H26" s="157">
        <v>0</v>
      </c>
      <c r="I26" s="158">
        <v>0</v>
      </c>
      <c r="J26" s="20">
        <f t="shared" si="2"/>
        <v>0</v>
      </c>
      <c r="K26" s="20">
        <f t="shared" si="3"/>
        <v>0</v>
      </c>
      <c r="L26" s="144"/>
      <c r="M26" s="15">
        <f t="shared" si="5"/>
        <v>9730.4015000000072</v>
      </c>
      <c r="N26" s="42"/>
      <c r="O26" s="72"/>
    </row>
    <row r="27" spans="1:18">
      <c r="A27" s="47">
        <v>24</v>
      </c>
      <c r="B27" s="206"/>
      <c r="C27" s="70"/>
      <c r="D27" s="74"/>
      <c r="E27" s="157">
        <v>0</v>
      </c>
      <c r="F27" s="157">
        <v>0</v>
      </c>
      <c r="G27" s="143">
        <f t="shared" si="4"/>
        <v>0</v>
      </c>
      <c r="H27" s="157">
        <v>0</v>
      </c>
      <c r="I27" s="158">
        <v>0</v>
      </c>
      <c r="J27" s="20">
        <f t="shared" si="2"/>
        <v>0</v>
      </c>
      <c r="K27" s="20">
        <f t="shared" si="3"/>
        <v>0</v>
      </c>
      <c r="L27" s="144"/>
      <c r="M27" s="15">
        <f t="shared" si="5"/>
        <v>9730.4015000000072</v>
      </c>
      <c r="N27" s="42"/>
      <c r="O27" s="72"/>
      <c r="R27">
        <v>66742</v>
      </c>
    </row>
    <row r="28" spans="1:18">
      <c r="A28" s="223">
        <v>25</v>
      </c>
      <c r="B28" s="206"/>
      <c r="C28" s="200"/>
      <c r="D28" s="196"/>
      <c r="E28" s="157">
        <v>0</v>
      </c>
      <c r="F28" s="157">
        <v>0</v>
      </c>
      <c r="G28" s="143">
        <f t="shared" si="4"/>
        <v>0</v>
      </c>
      <c r="H28" s="157">
        <v>0</v>
      </c>
      <c r="I28" s="158">
        <v>0</v>
      </c>
      <c r="J28" s="20">
        <f t="shared" si="2"/>
        <v>0</v>
      </c>
      <c r="K28" s="20">
        <f t="shared" si="3"/>
        <v>0</v>
      </c>
      <c r="L28" s="144"/>
      <c r="M28" s="15">
        <f t="shared" si="5"/>
        <v>9730.4015000000072</v>
      </c>
      <c r="N28" s="197"/>
      <c r="O28" s="72"/>
    </row>
    <row r="29" spans="1:18">
      <c r="A29" s="47">
        <v>26</v>
      </c>
      <c r="B29" s="206"/>
      <c r="C29" s="70"/>
      <c r="D29" s="74"/>
      <c r="E29" s="157">
        <v>0</v>
      </c>
      <c r="F29" s="157">
        <v>0</v>
      </c>
      <c r="G29" s="143">
        <f t="shared" si="4"/>
        <v>0</v>
      </c>
      <c r="H29" s="157">
        <v>0</v>
      </c>
      <c r="I29" s="158">
        <v>0</v>
      </c>
      <c r="J29" s="20">
        <f t="shared" si="2"/>
        <v>0</v>
      </c>
      <c r="K29" s="20">
        <f t="shared" si="3"/>
        <v>0</v>
      </c>
      <c r="L29" s="144"/>
      <c r="M29" s="15">
        <f t="shared" si="5"/>
        <v>9730.4015000000072</v>
      </c>
      <c r="N29" s="42"/>
      <c r="O29" s="72"/>
    </row>
    <row r="30" spans="1:18">
      <c r="A30" s="47">
        <v>27</v>
      </c>
      <c r="B30" s="206"/>
      <c r="C30" s="70"/>
      <c r="D30" s="74"/>
      <c r="E30" s="157">
        <v>0</v>
      </c>
      <c r="F30" s="157">
        <v>0</v>
      </c>
      <c r="G30" s="143">
        <f t="shared" si="4"/>
        <v>0</v>
      </c>
      <c r="H30" s="157">
        <v>0</v>
      </c>
      <c r="I30" s="158">
        <v>0</v>
      </c>
      <c r="J30" s="20">
        <f t="shared" si="2"/>
        <v>0</v>
      </c>
      <c r="K30" s="20">
        <f t="shared" si="3"/>
        <v>0</v>
      </c>
      <c r="L30" s="144"/>
      <c r="M30" s="15">
        <f t="shared" si="5"/>
        <v>9730.4015000000072</v>
      </c>
      <c r="N30" s="42"/>
      <c r="O30" s="72"/>
    </row>
    <row r="31" spans="1:18">
      <c r="A31" s="47">
        <v>28</v>
      </c>
      <c r="B31" s="206"/>
      <c r="C31" s="70"/>
      <c r="D31" s="74"/>
      <c r="E31" s="157">
        <v>0</v>
      </c>
      <c r="F31" s="157">
        <v>0</v>
      </c>
      <c r="G31" s="143">
        <f t="shared" si="4"/>
        <v>0</v>
      </c>
      <c r="H31" s="157">
        <v>0</v>
      </c>
      <c r="I31" s="158">
        <v>0</v>
      </c>
      <c r="J31" s="20">
        <f t="shared" si="2"/>
        <v>0</v>
      </c>
      <c r="K31" s="20">
        <f t="shared" si="3"/>
        <v>0</v>
      </c>
      <c r="L31" s="144"/>
      <c r="M31" s="15">
        <f>M30+K31-L31</f>
        <v>9730.4015000000072</v>
      </c>
      <c r="N31" s="42"/>
      <c r="O31" s="72"/>
    </row>
    <row r="32" spans="1:18">
      <c r="A32" s="47">
        <v>29</v>
      </c>
      <c r="B32" s="206"/>
      <c r="C32" s="70"/>
      <c r="D32" s="74"/>
      <c r="E32" s="157">
        <v>0</v>
      </c>
      <c r="F32" s="157">
        <v>0</v>
      </c>
      <c r="G32" s="143">
        <f t="shared" si="4"/>
        <v>0</v>
      </c>
      <c r="H32" s="157">
        <v>0</v>
      </c>
      <c r="I32" s="158">
        <v>0</v>
      </c>
      <c r="J32" s="20">
        <f t="shared" si="2"/>
        <v>0</v>
      </c>
      <c r="K32" s="20">
        <f t="shared" si="3"/>
        <v>0</v>
      </c>
      <c r="L32" s="144"/>
      <c r="M32" s="15">
        <f>M31+K32-L32</f>
        <v>9730.4015000000072</v>
      </c>
      <c r="N32" s="42"/>
      <c r="O32" s="72"/>
    </row>
    <row r="33" spans="1:15">
      <c r="A33" s="47">
        <v>30</v>
      </c>
      <c r="B33" s="206"/>
      <c r="C33" s="70"/>
      <c r="D33" s="74"/>
      <c r="E33" s="157">
        <v>0</v>
      </c>
      <c r="F33" s="157">
        <v>0</v>
      </c>
      <c r="G33" s="143">
        <f t="shared" si="4"/>
        <v>0</v>
      </c>
      <c r="H33" s="157">
        <v>0</v>
      </c>
      <c r="I33" s="158">
        <v>0</v>
      </c>
      <c r="J33" s="20">
        <f t="shared" si="2"/>
        <v>0</v>
      </c>
      <c r="K33" s="20">
        <f t="shared" si="3"/>
        <v>0</v>
      </c>
      <c r="L33" s="144"/>
      <c r="M33" s="15">
        <f>M32+K33-L33</f>
        <v>9730.4015000000072</v>
      </c>
      <c r="N33" s="42"/>
      <c r="O33" s="72"/>
    </row>
    <row r="34" spans="1:15">
      <c r="A34" s="47">
        <v>31</v>
      </c>
      <c r="B34" s="206"/>
      <c r="C34" s="70"/>
      <c r="D34" s="74"/>
      <c r="E34" s="157">
        <v>0</v>
      </c>
      <c r="F34" s="157">
        <v>0</v>
      </c>
      <c r="G34" s="143">
        <f t="shared" si="4"/>
        <v>0</v>
      </c>
      <c r="H34" s="157">
        <v>5</v>
      </c>
      <c r="I34" s="158">
        <v>103.8</v>
      </c>
      <c r="J34" s="20">
        <f t="shared" si="2"/>
        <v>519</v>
      </c>
      <c r="K34" s="20">
        <f t="shared" si="3"/>
        <v>519</v>
      </c>
      <c r="L34" s="144"/>
      <c r="M34" s="15">
        <f>M33+K34-L34</f>
        <v>10249.401500000007</v>
      </c>
      <c r="N34" s="42"/>
      <c r="O34" s="72"/>
    </row>
    <row r="35" spans="1:15">
      <c r="A35" s="164"/>
      <c r="B35" s="164"/>
      <c r="C35" s="164"/>
      <c r="D35" s="164"/>
      <c r="E35" s="165">
        <f>SUM(E4:E34)</f>
        <v>40</v>
      </c>
      <c r="F35" s="165"/>
      <c r="G35" s="165">
        <f>SUM(G4:G34)</f>
        <v>3673.2</v>
      </c>
      <c r="H35" s="165">
        <f>SUM(H4:H34)</f>
        <v>20</v>
      </c>
      <c r="I35" s="165"/>
      <c r="J35" s="165">
        <f>SUM(J4:J34)</f>
        <v>2076</v>
      </c>
      <c r="K35" s="165">
        <f>SUM(K4:K34)</f>
        <v>5749.2</v>
      </c>
      <c r="L35" s="165">
        <f>SUM(L4:L34)</f>
        <v>0</v>
      </c>
      <c r="M35" s="165"/>
      <c r="N35" s="165"/>
      <c r="O35" s="62"/>
    </row>
    <row r="36" spans="1:15">
      <c r="A36" s="75"/>
      <c r="B36" s="76"/>
      <c r="C36" s="75"/>
      <c r="D36" s="75"/>
      <c r="E36" s="77"/>
      <c r="F36" s="77"/>
      <c r="G36" s="77"/>
      <c r="H36" s="77"/>
      <c r="I36" s="77"/>
      <c r="J36" s="78"/>
      <c r="K36" s="78"/>
      <c r="L36" s="78"/>
      <c r="M36" s="78"/>
      <c r="N36" s="77"/>
      <c r="O36" s="72"/>
    </row>
    <row r="37" spans="1:15">
      <c r="O37" s="72"/>
    </row>
    <row r="38" spans="1:15">
      <c r="O38" s="72"/>
    </row>
    <row r="39" spans="1:15">
      <c r="O39" s="72"/>
    </row>
    <row r="40" spans="1:15">
      <c r="O40" s="72"/>
    </row>
    <row r="41" spans="1:15">
      <c r="O41" s="72"/>
    </row>
    <row r="42" spans="1:15">
      <c r="A42" s="72"/>
      <c r="B42" s="62"/>
      <c r="C42" s="72"/>
      <c r="D42" s="72"/>
      <c r="E42" s="72"/>
      <c r="F42" s="72"/>
      <c r="G42" s="79"/>
      <c r="H42" s="72"/>
      <c r="I42" s="72"/>
      <c r="J42" s="62"/>
      <c r="K42" s="62"/>
      <c r="L42" s="62"/>
      <c r="M42" s="62"/>
      <c r="N42" s="72"/>
      <c r="O42" s="77"/>
    </row>
    <row r="43" spans="1:15">
      <c r="A43" s="72"/>
      <c r="B43" s="472"/>
      <c r="C43" s="472"/>
      <c r="D43" s="472"/>
      <c r="E43" s="472"/>
      <c r="F43" s="72"/>
      <c r="G43" s="72"/>
      <c r="H43" s="72"/>
      <c r="I43" s="472"/>
      <c r="J43" s="472"/>
      <c r="K43" s="472"/>
      <c r="L43" s="472"/>
      <c r="M43" s="472"/>
      <c r="N43" s="472"/>
      <c r="O43" s="77"/>
    </row>
    <row r="44" spans="1:15">
      <c r="A44" s="72"/>
      <c r="B44" s="62"/>
      <c r="C44" s="72"/>
      <c r="D44" s="72"/>
      <c r="E44" s="72"/>
      <c r="F44" s="72"/>
      <c r="G44" s="72"/>
      <c r="H44" s="72"/>
      <c r="I44" s="72"/>
      <c r="J44" s="62"/>
      <c r="K44" s="62"/>
      <c r="L44" s="62"/>
      <c r="M44" s="62"/>
      <c r="N44" s="72"/>
      <c r="O44" s="77"/>
    </row>
  </sheetData>
  <mergeCells count="4">
    <mergeCell ref="A1:N1"/>
    <mergeCell ref="B43:E43"/>
    <mergeCell ref="I43:N43"/>
    <mergeCell ref="A3:J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756B5-DC1D-4D6F-BCA7-5B2D12E624BC}">
  <sheetPr>
    <tabColor rgb="FF002060"/>
  </sheetPr>
  <dimension ref="A1:P41"/>
  <sheetViews>
    <sheetView topLeftCell="A31" workbookViewId="0">
      <selection activeCell="M39" sqref="M39"/>
    </sheetView>
  </sheetViews>
  <sheetFormatPr defaultColWidth="12.140625" defaultRowHeight="15"/>
  <cols>
    <col min="1" max="1" width="10.42578125" customWidth="1"/>
    <col min="11" max="11" width="13.5703125" bestFit="1" customWidth="1"/>
    <col min="13" max="13" width="13.5703125" style="22" bestFit="1" customWidth="1"/>
  </cols>
  <sheetData>
    <row r="1" spans="1:16" ht="15.75">
      <c r="A1" s="455" t="s">
        <v>79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</row>
    <row r="2" spans="1:16" ht="30">
      <c r="A2" s="101" t="s">
        <v>129</v>
      </c>
      <c r="B2" s="102" t="s">
        <v>130</v>
      </c>
      <c r="C2" s="102" t="s">
        <v>131</v>
      </c>
      <c r="D2" s="102" t="s">
        <v>132</v>
      </c>
      <c r="E2" s="102" t="s">
        <v>133</v>
      </c>
      <c r="F2" s="102" t="s">
        <v>134</v>
      </c>
      <c r="G2" s="188" t="s">
        <v>135</v>
      </c>
      <c r="H2" s="102" t="s">
        <v>136</v>
      </c>
      <c r="I2" s="102" t="s">
        <v>134</v>
      </c>
      <c r="J2" s="191" t="s">
        <v>135</v>
      </c>
      <c r="K2" s="103" t="s">
        <v>137</v>
      </c>
      <c r="L2" s="142" t="s">
        <v>138</v>
      </c>
      <c r="M2" s="313" t="s">
        <v>199</v>
      </c>
      <c r="N2" s="104" t="s">
        <v>140</v>
      </c>
    </row>
    <row r="3" spans="1:16">
      <c r="A3" s="159"/>
      <c r="B3" s="17"/>
      <c r="C3" s="17"/>
      <c r="D3" s="225" t="s">
        <v>141</v>
      </c>
      <c r="E3" s="17"/>
      <c r="F3" s="17"/>
      <c r="G3" s="189"/>
      <c r="H3" s="17"/>
      <c r="I3" s="17"/>
      <c r="J3" s="189"/>
      <c r="K3" s="327">
        <v>547359.48420000065</v>
      </c>
      <c r="L3" s="17"/>
      <c r="M3" s="41">
        <v>547359.48420000065</v>
      </c>
      <c r="N3" s="17">
        <v>0</v>
      </c>
      <c r="O3">
        <v>0</v>
      </c>
      <c r="P3" s="22">
        <v>0</v>
      </c>
    </row>
    <row r="4" spans="1:16">
      <c r="A4" s="201">
        <v>1</v>
      </c>
      <c r="B4" s="224">
        <v>46023</v>
      </c>
      <c r="C4" s="140"/>
      <c r="D4" s="140"/>
      <c r="E4" s="250">
        <v>50</v>
      </c>
      <c r="F4" s="308">
        <v>91.48</v>
      </c>
      <c r="G4" s="258">
        <f t="shared" ref="G4:G36" si="0">E4*F4</f>
        <v>4574</v>
      </c>
      <c r="H4" s="250">
        <v>5</v>
      </c>
      <c r="I4" s="258">
        <v>103.41</v>
      </c>
      <c r="J4" s="250">
        <f>H4*I4</f>
        <v>517.04999999999995</v>
      </c>
      <c r="K4" s="258">
        <f>G4+J4</f>
        <v>5091.05</v>
      </c>
      <c r="L4" s="140"/>
      <c r="M4" s="314">
        <f>M3+K4-L4</f>
        <v>552450.53420000069</v>
      </c>
      <c r="N4" s="140"/>
      <c r="O4" s="22"/>
    </row>
    <row r="5" spans="1:16">
      <c r="A5" s="47">
        <v>2</v>
      </c>
      <c r="B5" s="224">
        <v>46024</v>
      </c>
      <c r="C5" s="17"/>
      <c r="D5" s="17"/>
      <c r="E5" s="250">
        <v>870.02</v>
      </c>
      <c r="F5" s="308">
        <v>91.48</v>
      </c>
      <c r="G5" s="258">
        <f>E5*F5</f>
        <v>79589.429600000003</v>
      </c>
      <c r="H5" s="250">
        <v>16</v>
      </c>
      <c r="I5" s="258">
        <v>103.41</v>
      </c>
      <c r="J5" s="250">
        <f t="shared" ref="J5:J36" si="1">H5*I5</f>
        <v>1654.56</v>
      </c>
      <c r="K5" s="258">
        <f t="shared" ref="K5:K39" si="2">G5+J5</f>
        <v>81243.989600000001</v>
      </c>
      <c r="L5" s="140"/>
      <c r="M5" s="314">
        <f t="shared" ref="M5:M39" si="3">M4+K5-L5</f>
        <v>633694.52380000066</v>
      </c>
      <c r="N5" s="17"/>
    </row>
    <row r="6" spans="1:16">
      <c r="A6" s="47">
        <v>3</v>
      </c>
      <c r="B6" s="224">
        <v>46025</v>
      </c>
      <c r="C6" s="17"/>
      <c r="D6" s="17"/>
      <c r="E6" s="250">
        <v>82.83</v>
      </c>
      <c r="F6" s="308">
        <v>91.48</v>
      </c>
      <c r="G6" s="258">
        <f t="shared" si="0"/>
        <v>7577.2884000000004</v>
      </c>
      <c r="H6" s="250">
        <v>18</v>
      </c>
      <c r="I6" s="258">
        <v>103.41</v>
      </c>
      <c r="J6" s="250">
        <f t="shared" si="1"/>
        <v>1861.3799999999999</v>
      </c>
      <c r="K6" s="258">
        <f t="shared" si="2"/>
        <v>9438.6684000000005</v>
      </c>
      <c r="L6" s="140"/>
      <c r="M6" s="314">
        <f t="shared" si="3"/>
        <v>643133.19220000063</v>
      </c>
      <c r="N6" s="17"/>
    </row>
    <row r="7" spans="1:16">
      <c r="A7" s="201">
        <v>4</v>
      </c>
      <c r="B7" s="224">
        <v>46026</v>
      </c>
      <c r="C7" s="17"/>
      <c r="D7" s="17"/>
      <c r="E7" s="250">
        <v>0</v>
      </c>
      <c r="F7" s="308">
        <v>0</v>
      </c>
      <c r="G7" s="258">
        <f t="shared" si="0"/>
        <v>0</v>
      </c>
      <c r="H7" s="250">
        <v>5</v>
      </c>
      <c r="I7" s="258">
        <v>103.41</v>
      </c>
      <c r="J7" s="250">
        <f t="shared" si="1"/>
        <v>517.04999999999995</v>
      </c>
      <c r="K7" s="258">
        <f t="shared" si="2"/>
        <v>517.04999999999995</v>
      </c>
      <c r="L7" s="140"/>
      <c r="M7" s="314">
        <f t="shared" si="3"/>
        <v>643650.24220000068</v>
      </c>
      <c r="N7" s="17"/>
    </row>
    <row r="8" spans="1:16">
      <c r="A8" s="47">
        <v>5</v>
      </c>
      <c r="B8" s="224">
        <v>46027</v>
      </c>
      <c r="C8" s="17"/>
      <c r="D8" s="17"/>
      <c r="E8" s="250">
        <v>503.02</v>
      </c>
      <c r="F8" s="308">
        <v>91.48</v>
      </c>
      <c r="G8" s="258">
        <f t="shared" si="0"/>
        <v>46016.2696</v>
      </c>
      <c r="H8" s="250">
        <v>23</v>
      </c>
      <c r="I8" s="258">
        <v>103.41</v>
      </c>
      <c r="J8" s="250">
        <f t="shared" si="1"/>
        <v>2378.4299999999998</v>
      </c>
      <c r="K8" s="258">
        <f t="shared" si="2"/>
        <v>48394.6996</v>
      </c>
      <c r="L8" s="140"/>
      <c r="M8" s="314">
        <f t="shared" si="3"/>
        <v>692044.94180000073</v>
      </c>
      <c r="N8" s="17"/>
    </row>
    <row r="9" spans="1:16">
      <c r="A9" s="47">
        <v>6</v>
      </c>
      <c r="B9" s="224">
        <v>46028</v>
      </c>
      <c r="C9" s="17"/>
      <c r="D9" s="17"/>
      <c r="E9" s="250">
        <v>241.32</v>
      </c>
      <c r="F9" s="308">
        <v>91.48</v>
      </c>
      <c r="G9" s="258">
        <f t="shared" si="0"/>
        <v>22075.953600000001</v>
      </c>
      <c r="H9" s="250">
        <v>0</v>
      </c>
      <c r="I9" s="250">
        <v>0</v>
      </c>
      <c r="J9" s="250">
        <f t="shared" si="1"/>
        <v>0</v>
      </c>
      <c r="K9" s="258">
        <f t="shared" si="2"/>
        <v>22075.953600000001</v>
      </c>
      <c r="L9" s="140"/>
      <c r="M9" s="314">
        <f t="shared" si="3"/>
        <v>714120.89540000074</v>
      </c>
      <c r="N9" s="17"/>
    </row>
    <row r="10" spans="1:16">
      <c r="A10" s="201">
        <v>7</v>
      </c>
      <c r="B10" s="224">
        <v>46029</v>
      </c>
      <c r="C10" s="17"/>
      <c r="D10" s="17"/>
      <c r="E10" s="250">
        <v>172.16</v>
      </c>
      <c r="F10" s="308">
        <v>91.48</v>
      </c>
      <c r="G10" s="258">
        <f t="shared" si="0"/>
        <v>15749.1968</v>
      </c>
      <c r="H10" s="250">
        <v>6</v>
      </c>
      <c r="I10" s="250">
        <v>103.41</v>
      </c>
      <c r="J10" s="250">
        <f t="shared" si="1"/>
        <v>620.46</v>
      </c>
      <c r="K10" s="258">
        <f t="shared" si="2"/>
        <v>16369.656800000001</v>
      </c>
      <c r="L10" s="140"/>
      <c r="M10" s="314">
        <f t="shared" si="3"/>
        <v>730490.55220000073</v>
      </c>
      <c r="N10" s="17"/>
    </row>
    <row r="11" spans="1:16">
      <c r="A11" s="47">
        <v>8</v>
      </c>
      <c r="B11" s="224">
        <v>46030</v>
      </c>
      <c r="C11" s="17"/>
      <c r="D11" s="17"/>
      <c r="E11" s="250">
        <v>801.12</v>
      </c>
      <c r="F11" s="308">
        <v>91.48</v>
      </c>
      <c r="G11" s="258">
        <f t="shared" si="0"/>
        <v>73286.457600000009</v>
      </c>
      <c r="H11" s="250">
        <v>11</v>
      </c>
      <c r="I11" s="250">
        <v>103.41</v>
      </c>
      <c r="J11" s="250">
        <f t="shared" si="1"/>
        <v>1137.51</v>
      </c>
      <c r="K11" s="258">
        <f t="shared" si="2"/>
        <v>74423.967600000004</v>
      </c>
      <c r="L11" s="140"/>
      <c r="M11" s="314">
        <f t="shared" si="3"/>
        <v>804914.51980000071</v>
      </c>
      <c r="N11" s="17"/>
    </row>
    <row r="12" spans="1:16">
      <c r="A12" s="47">
        <v>9</v>
      </c>
      <c r="B12" s="224">
        <v>46031</v>
      </c>
      <c r="C12" s="17"/>
      <c r="D12" s="17"/>
      <c r="E12" s="250">
        <v>1088.8499999999999</v>
      </c>
      <c r="F12" s="308">
        <v>91.48</v>
      </c>
      <c r="G12" s="258">
        <f t="shared" si="0"/>
        <v>99607.997999999992</v>
      </c>
      <c r="H12" s="250">
        <v>11</v>
      </c>
      <c r="I12" s="250">
        <v>103.41</v>
      </c>
      <c r="J12" s="250">
        <f t="shared" si="1"/>
        <v>1137.51</v>
      </c>
      <c r="K12" s="258">
        <f t="shared" si="2"/>
        <v>100745.50799999999</v>
      </c>
      <c r="L12" s="140"/>
      <c r="M12" s="314">
        <f t="shared" si="3"/>
        <v>905660.02780000074</v>
      </c>
      <c r="N12" s="17"/>
      <c r="O12">
        <v>1032881</v>
      </c>
      <c r="P12" s="22">
        <f>M12-O12</f>
        <v>-127220.97219999926</v>
      </c>
    </row>
    <row r="13" spans="1:16">
      <c r="A13" s="201">
        <v>10</v>
      </c>
      <c r="B13" s="224">
        <v>46032</v>
      </c>
      <c r="C13" s="17"/>
      <c r="D13" s="17"/>
      <c r="E13" s="250">
        <v>1383.31</v>
      </c>
      <c r="F13" s="308">
        <v>91.48</v>
      </c>
      <c r="G13" s="258">
        <f t="shared" si="0"/>
        <v>126545.1988</v>
      </c>
      <c r="H13" s="250">
        <v>6</v>
      </c>
      <c r="I13" s="250">
        <v>103.41</v>
      </c>
      <c r="J13" s="250">
        <f t="shared" si="1"/>
        <v>620.46</v>
      </c>
      <c r="K13" s="258">
        <f t="shared" si="2"/>
        <v>127165.6588</v>
      </c>
      <c r="L13" s="140"/>
      <c r="M13" s="314">
        <f t="shared" si="3"/>
        <v>1032825.6866000007</v>
      </c>
      <c r="N13" s="17"/>
    </row>
    <row r="14" spans="1:16">
      <c r="A14" s="47">
        <v>11</v>
      </c>
      <c r="B14" s="224">
        <v>46033</v>
      </c>
      <c r="C14" s="17"/>
      <c r="D14" s="17"/>
      <c r="E14" s="250">
        <v>740.07</v>
      </c>
      <c r="F14" s="308">
        <v>91.48</v>
      </c>
      <c r="G14" s="258">
        <f t="shared" si="0"/>
        <v>67701.603600000002</v>
      </c>
      <c r="H14" s="250">
        <v>5</v>
      </c>
      <c r="I14" s="250">
        <v>103.41</v>
      </c>
      <c r="J14" s="250">
        <f t="shared" si="1"/>
        <v>517.04999999999995</v>
      </c>
      <c r="K14" s="258">
        <f t="shared" si="2"/>
        <v>68218.653600000005</v>
      </c>
      <c r="L14" s="140"/>
      <c r="M14" s="314">
        <f t="shared" si="3"/>
        <v>1101044.3402000007</v>
      </c>
      <c r="N14" s="17"/>
    </row>
    <row r="15" spans="1:16">
      <c r="A15" s="47">
        <v>12</v>
      </c>
      <c r="B15" s="224">
        <v>46034</v>
      </c>
      <c r="C15" s="17"/>
      <c r="D15" s="17"/>
      <c r="E15" s="250">
        <v>76.040000000000006</v>
      </c>
      <c r="F15" s="308">
        <v>91.48</v>
      </c>
      <c r="G15" s="258">
        <f t="shared" si="0"/>
        <v>6956.1392000000005</v>
      </c>
      <c r="H15" s="250">
        <v>22</v>
      </c>
      <c r="I15" s="250">
        <v>103.41</v>
      </c>
      <c r="J15" s="250">
        <f t="shared" si="1"/>
        <v>2275.02</v>
      </c>
      <c r="K15" s="258">
        <f t="shared" si="2"/>
        <v>9231.1592000000001</v>
      </c>
      <c r="L15" s="140"/>
      <c r="M15" s="314">
        <f t="shared" si="3"/>
        <v>1110275.4994000008</v>
      </c>
      <c r="N15" s="17"/>
    </row>
    <row r="16" spans="1:16">
      <c r="A16" s="201">
        <v>13</v>
      </c>
      <c r="B16" s="224">
        <v>46035</v>
      </c>
      <c r="C16" s="17"/>
      <c r="D16" s="17"/>
      <c r="E16" s="250">
        <v>598.04999999999995</v>
      </c>
      <c r="F16" s="308">
        <v>91.48</v>
      </c>
      <c r="G16" s="258">
        <f t="shared" si="0"/>
        <v>54709.614000000001</v>
      </c>
      <c r="H16" s="250">
        <v>0</v>
      </c>
      <c r="I16" s="250">
        <v>0</v>
      </c>
      <c r="J16" s="250">
        <f t="shared" si="1"/>
        <v>0</v>
      </c>
      <c r="K16" s="258">
        <f t="shared" si="2"/>
        <v>54709.614000000001</v>
      </c>
      <c r="L16" s="140">
        <v>600000</v>
      </c>
      <c r="M16" s="314">
        <f t="shared" si="3"/>
        <v>564985.11340000085</v>
      </c>
      <c r="N16" s="17"/>
    </row>
    <row r="17" spans="1:16">
      <c r="A17" s="47">
        <v>14</v>
      </c>
      <c r="B17" s="224">
        <v>46036</v>
      </c>
      <c r="C17" s="17"/>
      <c r="D17" s="17"/>
      <c r="E17" s="250">
        <v>361.7</v>
      </c>
      <c r="F17" s="308">
        <v>91.48</v>
      </c>
      <c r="G17" s="258">
        <f t="shared" si="0"/>
        <v>33088.315999999999</v>
      </c>
      <c r="H17" s="250">
        <v>5</v>
      </c>
      <c r="I17" s="250">
        <v>103.41</v>
      </c>
      <c r="J17" s="250">
        <f t="shared" si="1"/>
        <v>517.04999999999995</v>
      </c>
      <c r="K17" s="258">
        <f t="shared" si="2"/>
        <v>33605.366000000002</v>
      </c>
      <c r="L17" s="140"/>
      <c r="M17" s="314">
        <f t="shared" si="3"/>
        <v>598590.47940000088</v>
      </c>
      <c r="N17" s="17"/>
      <c r="P17" s="271"/>
    </row>
    <row r="18" spans="1:16">
      <c r="A18" s="47">
        <v>15</v>
      </c>
      <c r="B18" s="224">
        <v>46037</v>
      </c>
      <c r="C18" s="17"/>
      <c r="D18" s="17"/>
      <c r="E18" s="250">
        <v>0</v>
      </c>
      <c r="F18" s="308">
        <v>91.48</v>
      </c>
      <c r="G18" s="258">
        <f t="shared" si="0"/>
        <v>0</v>
      </c>
      <c r="H18" s="250">
        <v>0</v>
      </c>
      <c r="I18" s="250">
        <v>103.41</v>
      </c>
      <c r="J18" s="250">
        <f t="shared" si="1"/>
        <v>0</v>
      </c>
      <c r="K18" s="258">
        <f t="shared" si="2"/>
        <v>0</v>
      </c>
      <c r="L18" s="140"/>
      <c r="M18" s="314">
        <f t="shared" si="3"/>
        <v>598590.47940000088</v>
      </c>
      <c r="N18" s="17"/>
    </row>
    <row r="19" spans="1:16">
      <c r="A19" s="201">
        <v>16</v>
      </c>
      <c r="B19" s="224">
        <v>46038</v>
      </c>
      <c r="C19" s="17"/>
      <c r="D19" s="17"/>
      <c r="E19" s="250">
        <v>323.48</v>
      </c>
      <c r="F19" s="308">
        <v>91.48</v>
      </c>
      <c r="G19" s="258">
        <f t="shared" si="0"/>
        <v>29591.950400000002</v>
      </c>
      <c r="H19" s="250">
        <v>34</v>
      </c>
      <c r="I19" s="250">
        <v>103.41</v>
      </c>
      <c r="J19" s="250">
        <f t="shared" si="1"/>
        <v>3515.94</v>
      </c>
      <c r="K19" s="258">
        <f t="shared" si="2"/>
        <v>33107.890400000004</v>
      </c>
      <c r="L19" s="140"/>
      <c r="M19" s="314">
        <f t="shared" si="3"/>
        <v>631698.36980000092</v>
      </c>
      <c r="N19" s="17"/>
      <c r="P19" s="22">
        <f>M19-O19</f>
        <v>631698.36980000092</v>
      </c>
    </row>
    <row r="20" spans="1:16">
      <c r="A20" s="47">
        <v>17</v>
      </c>
      <c r="B20" s="224">
        <v>46039</v>
      </c>
      <c r="C20" s="17"/>
      <c r="D20" s="17"/>
      <c r="E20" s="250">
        <v>82.02</v>
      </c>
      <c r="F20" s="308">
        <v>91.48</v>
      </c>
      <c r="G20" s="258">
        <f t="shared" si="0"/>
        <v>7503.1895999999997</v>
      </c>
      <c r="H20" s="250">
        <v>20</v>
      </c>
      <c r="I20" s="250">
        <v>103.41</v>
      </c>
      <c r="J20" s="250">
        <f t="shared" si="1"/>
        <v>2068.1999999999998</v>
      </c>
      <c r="K20" s="258">
        <f t="shared" si="2"/>
        <v>9571.3895999999986</v>
      </c>
      <c r="L20" s="140"/>
      <c r="M20" s="314">
        <f t="shared" si="3"/>
        <v>641269.75940000091</v>
      </c>
      <c r="N20" s="17"/>
    </row>
    <row r="21" spans="1:16">
      <c r="A21" s="47">
        <v>18</v>
      </c>
      <c r="B21" s="224">
        <v>46040</v>
      </c>
      <c r="C21" s="17"/>
      <c r="D21" s="17"/>
      <c r="E21" s="250">
        <v>267.33</v>
      </c>
      <c r="F21" s="308">
        <v>91.48</v>
      </c>
      <c r="G21" s="258">
        <f t="shared" si="0"/>
        <v>24455.348399999999</v>
      </c>
      <c r="H21" s="250">
        <v>0</v>
      </c>
      <c r="I21" s="250">
        <v>0</v>
      </c>
      <c r="J21" s="250">
        <f t="shared" si="1"/>
        <v>0</v>
      </c>
      <c r="K21" s="258">
        <f t="shared" si="2"/>
        <v>24455.348399999999</v>
      </c>
      <c r="L21" s="140"/>
      <c r="M21" s="314">
        <f t="shared" si="3"/>
        <v>665725.10780000093</v>
      </c>
      <c r="N21" s="17"/>
    </row>
    <row r="22" spans="1:16">
      <c r="A22" s="201">
        <v>19</v>
      </c>
      <c r="B22" s="224">
        <v>46041</v>
      </c>
      <c r="C22" s="17"/>
      <c r="D22" s="17"/>
      <c r="E22" s="250">
        <v>265.06</v>
      </c>
      <c r="F22" s="308">
        <v>91.48</v>
      </c>
      <c r="G22" s="258">
        <f t="shared" si="0"/>
        <v>24247.6888</v>
      </c>
      <c r="H22" s="250">
        <v>5</v>
      </c>
      <c r="I22" s="250">
        <v>103.41</v>
      </c>
      <c r="J22" s="250">
        <f t="shared" si="1"/>
        <v>517.04999999999995</v>
      </c>
      <c r="K22" s="258">
        <f t="shared" si="2"/>
        <v>24764.738799999999</v>
      </c>
      <c r="L22" s="140">
        <v>631700</v>
      </c>
      <c r="M22" s="314">
        <f t="shared" si="3"/>
        <v>58789.846600000979</v>
      </c>
      <c r="N22" s="17"/>
    </row>
    <row r="23" spans="1:16">
      <c r="A23" s="47">
        <v>20</v>
      </c>
      <c r="B23" s="224">
        <v>46042</v>
      </c>
      <c r="C23" s="17"/>
      <c r="D23" s="17"/>
      <c r="E23" s="250">
        <v>122.4</v>
      </c>
      <c r="F23" s="308">
        <v>91.48</v>
      </c>
      <c r="G23" s="258">
        <f t="shared" si="0"/>
        <v>11197.152000000002</v>
      </c>
      <c r="H23" s="250">
        <v>28</v>
      </c>
      <c r="I23" s="250">
        <v>103.41</v>
      </c>
      <c r="J23" s="250">
        <f t="shared" si="1"/>
        <v>2895.48</v>
      </c>
      <c r="K23" s="258">
        <f t="shared" si="2"/>
        <v>14092.632000000001</v>
      </c>
      <c r="L23" s="140"/>
      <c r="M23" s="314">
        <f t="shared" si="3"/>
        <v>72882.478600000977</v>
      </c>
      <c r="N23" s="17"/>
    </row>
    <row r="24" spans="1:16">
      <c r="A24" s="47">
        <v>21</v>
      </c>
      <c r="B24" s="224">
        <v>46043</v>
      </c>
      <c r="C24" s="17"/>
      <c r="D24" s="17"/>
      <c r="E24" s="250">
        <v>306.08</v>
      </c>
      <c r="F24" s="308">
        <v>91.48</v>
      </c>
      <c r="G24" s="258">
        <f>E24*F24</f>
        <v>28000.198400000001</v>
      </c>
      <c r="H24" s="250">
        <v>11</v>
      </c>
      <c r="I24" s="250">
        <v>103.41</v>
      </c>
      <c r="J24" s="250">
        <f t="shared" si="1"/>
        <v>1137.51</v>
      </c>
      <c r="K24" s="258">
        <f t="shared" si="2"/>
        <v>29137.7084</v>
      </c>
      <c r="L24" s="140"/>
      <c r="M24" s="314">
        <f t="shared" si="3"/>
        <v>102020.18700000098</v>
      </c>
      <c r="N24" s="17"/>
    </row>
    <row r="25" spans="1:16">
      <c r="A25" s="201">
        <v>22</v>
      </c>
      <c r="B25" s="224">
        <v>46044</v>
      </c>
      <c r="C25" s="17"/>
      <c r="D25" s="17"/>
      <c r="E25" s="250">
        <v>510.43</v>
      </c>
      <c r="F25" s="308">
        <v>91.48</v>
      </c>
      <c r="G25" s="258">
        <f t="shared" si="0"/>
        <v>46694.136400000003</v>
      </c>
      <c r="H25" s="250">
        <v>10</v>
      </c>
      <c r="I25" s="250">
        <v>103.41</v>
      </c>
      <c r="J25" s="250">
        <f t="shared" si="1"/>
        <v>1034.0999999999999</v>
      </c>
      <c r="K25" s="258">
        <f t="shared" si="2"/>
        <v>47728.236400000002</v>
      </c>
      <c r="L25" s="140"/>
      <c r="M25" s="314">
        <f t="shared" si="3"/>
        <v>149748.42340000099</v>
      </c>
      <c r="N25" s="17"/>
    </row>
    <row r="26" spans="1:16">
      <c r="A26" s="47">
        <v>23</v>
      </c>
      <c r="B26" s="224">
        <v>46045</v>
      </c>
      <c r="C26" s="17"/>
      <c r="D26" s="17"/>
      <c r="E26" s="250">
        <v>41.43</v>
      </c>
      <c r="F26" s="308">
        <v>91.48</v>
      </c>
      <c r="G26" s="258">
        <f t="shared" si="0"/>
        <v>3790.0164</v>
      </c>
      <c r="H26" s="250">
        <v>6</v>
      </c>
      <c r="I26" s="250">
        <v>103.41</v>
      </c>
      <c r="J26" s="250">
        <f t="shared" si="1"/>
        <v>620.46</v>
      </c>
      <c r="K26" s="258">
        <f t="shared" si="2"/>
        <v>4410.4763999999996</v>
      </c>
      <c r="L26" s="140"/>
      <c r="M26" s="314">
        <f t="shared" si="3"/>
        <v>154158.899800001</v>
      </c>
      <c r="N26" s="17"/>
    </row>
    <row r="27" spans="1:16">
      <c r="A27" s="47">
        <v>24</v>
      </c>
      <c r="B27" s="224">
        <v>46046</v>
      </c>
      <c r="C27" s="17"/>
      <c r="D27" s="17"/>
      <c r="E27" s="250">
        <v>548.84</v>
      </c>
      <c r="F27" s="308">
        <v>91.48</v>
      </c>
      <c r="G27" s="258">
        <f t="shared" si="0"/>
        <v>50207.883200000004</v>
      </c>
      <c r="H27" s="250">
        <v>25</v>
      </c>
      <c r="I27" s="250">
        <v>103.41</v>
      </c>
      <c r="J27" s="250">
        <f t="shared" si="1"/>
        <v>2585.25</v>
      </c>
      <c r="K27" s="258">
        <f t="shared" si="2"/>
        <v>52793.133200000004</v>
      </c>
      <c r="L27" s="140"/>
      <c r="M27" s="314">
        <f t="shared" si="3"/>
        <v>206952.03300000101</v>
      </c>
      <c r="N27" s="17"/>
    </row>
    <row r="28" spans="1:16">
      <c r="A28" s="201">
        <v>25</v>
      </c>
      <c r="B28" s="224">
        <v>46047</v>
      </c>
      <c r="C28" s="17"/>
      <c r="D28" s="17"/>
      <c r="E28" s="250">
        <v>200</v>
      </c>
      <c r="F28" s="308">
        <v>91.48</v>
      </c>
      <c r="G28" s="258">
        <f t="shared" si="0"/>
        <v>18296</v>
      </c>
      <c r="H28" s="250">
        <v>0</v>
      </c>
      <c r="I28" s="250">
        <v>0</v>
      </c>
      <c r="J28" s="250">
        <f t="shared" si="1"/>
        <v>0</v>
      </c>
      <c r="K28" s="258">
        <f t="shared" si="2"/>
        <v>18296</v>
      </c>
      <c r="L28" s="140"/>
      <c r="M28" s="314">
        <f t="shared" si="3"/>
        <v>225248.03300000101</v>
      </c>
      <c r="N28" s="17"/>
    </row>
    <row r="29" spans="1:16">
      <c r="A29" s="47">
        <v>26</v>
      </c>
      <c r="B29" s="224">
        <v>46048</v>
      </c>
      <c r="C29" s="17"/>
      <c r="D29" s="17"/>
      <c r="E29" s="250">
        <v>0</v>
      </c>
      <c r="F29" s="308">
        <v>0</v>
      </c>
      <c r="G29" s="258">
        <f t="shared" si="0"/>
        <v>0</v>
      </c>
      <c r="H29" s="250">
        <v>0</v>
      </c>
      <c r="I29" s="250">
        <v>0</v>
      </c>
      <c r="J29" s="250">
        <f t="shared" si="1"/>
        <v>0</v>
      </c>
      <c r="K29" s="258">
        <f t="shared" si="2"/>
        <v>0</v>
      </c>
      <c r="L29" s="140"/>
      <c r="M29" s="314">
        <f t="shared" si="3"/>
        <v>225248.03300000101</v>
      </c>
      <c r="N29" s="17"/>
    </row>
    <row r="30" spans="1:16">
      <c r="A30" s="47">
        <v>27</v>
      </c>
      <c r="B30" s="224">
        <v>46049</v>
      </c>
      <c r="C30" s="17"/>
      <c r="D30" s="17"/>
      <c r="E30" s="250">
        <v>139.68</v>
      </c>
      <c r="F30" s="308">
        <v>91.48</v>
      </c>
      <c r="G30" s="258">
        <f t="shared" si="0"/>
        <v>12777.9264</v>
      </c>
      <c r="H30" s="250">
        <v>18</v>
      </c>
      <c r="I30" s="250">
        <v>103.41</v>
      </c>
      <c r="J30" s="250">
        <f t="shared" si="1"/>
        <v>1861.3799999999999</v>
      </c>
      <c r="K30" s="258">
        <f t="shared" si="2"/>
        <v>14639.306399999999</v>
      </c>
      <c r="L30" s="140"/>
      <c r="M30" s="314">
        <f t="shared" si="3"/>
        <v>239887.33940000102</v>
      </c>
      <c r="N30" s="17"/>
    </row>
    <row r="31" spans="1:16">
      <c r="A31" s="201">
        <v>28</v>
      </c>
      <c r="B31" s="224">
        <v>46050</v>
      </c>
      <c r="C31" s="97"/>
      <c r="D31" s="97"/>
      <c r="E31" s="250">
        <v>0</v>
      </c>
      <c r="F31" s="308">
        <v>91.48</v>
      </c>
      <c r="G31" s="258">
        <f t="shared" si="0"/>
        <v>0</v>
      </c>
      <c r="H31" s="250">
        <v>23</v>
      </c>
      <c r="I31" s="250">
        <v>103.41</v>
      </c>
      <c r="J31" s="250">
        <f t="shared" si="1"/>
        <v>2378.4299999999998</v>
      </c>
      <c r="K31" s="258">
        <f t="shared" si="2"/>
        <v>2378.4299999999998</v>
      </c>
      <c r="L31" s="140"/>
      <c r="M31" s="314">
        <f t="shared" si="3"/>
        <v>242265.76940000101</v>
      </c>
      <c r="N31" s="97"/>
    </row>
    <row r="32" spans="1:16">
      <c r="A32" s="47">
        <v>29</v>
      </c>
      <c r="B32" s="224">
        <v>46051</v>
      </c>
      <c r="C32" s="17"/>
      <c r="D32" s="17"/>
      <c r="E32" s="250">
        <v>405.99</v>
      </c>
      <c r="F32" s="308">
        <v>91.48</v>
      </c>
      <c r="G32" s="258">
        <f t="shared" si="0"/>
        <v>37139.965200000006</v>
      </c>
      <c r="H32" s="250">
        <v>6</v>
      </c>
      <c r="I32" s="250">
        <v>103.41</v>
      </c>
      <c r="J32" s="250">
        <f t="shared" si="1"/>
        <v>620.46</v>
      </c>
      <c r="K32" s="258">
        <f t="shared" si="2"/>
        <v>37760.425200000005</v>
      </c>
      <c r="L32" s="140"/>
      <c r="M32" s="314">
        <f t="shared" si="3"/>
        <v>280026.19460000104</v>
      </c>
      <c r="N32" s="17"/>
    </row>
    <row r="33" spans="1:16">
      <c r="A33" s="47">
        <v>30</v>
      </c>
      <c r="B33" s="224">
        <v>46052</v>
      </c>
      <c r="C33" s="17"/>
      <c r="D33" s="17"/>
      <c r="E33" s="250">
        <v>928.53</v>
      </c>
      <c r="F33" s="308">
        <v>91.48</v>
      </c>
      <c r="G33" s="258">
        <f t="shared" si="0"/>
        <v>84941.924400000004</v>
      </c>
      <c r="H33" s="250">
        <v>10</v>
      </c>
      <c r="I33" s="250">
        <v>103.41</v>
      </c>
      <c r="J33" s="250">
        <f t="shared" si="1"/>
        <v>1034.0999999999999</v>
      </c>
      <c r="K33" s="258">
        <f t="shared" si="2"/>
        <v>85976.024400000009</v>
      </c>
      <c r="L33" s="140"/>
      <c r="M33" s="314">
        <f t="shared" si="3"/>
        <v>366002.21900000103</v>
      </c>
      <c r="N33" s="17"/>
    </row>
    <row r="34" spans="1:16">
      <c r="A34" s="201">
        <v>31</v>
      </c>
      <c r="B34" s="224">
        <v>46053</v>
      </c>
      <c r="C34" s="17"/>
      <c r="D34" s="17"/>
      <c r="E34" s="250">
        <v>775.59</v>
      </c>
      <c r="F34" s="308">
        <v>91.48</v>
      </c>
      <c r="G34" s="258">
        <f t="shared" si="0"/>
        <v>70950.973200000008</v>
      </c>
      <c r="H34" s="250">
        <v>10</v>
      </c>
      <c r="I34" s="250">
        <v>103.41</v>
      </c>
      <c r="J34" s="250">
        <f t="shared" si="1"/>
        <v>1034.0999999999999</v>
      </c>
      <c r="K34" s="258">
        <f t="shared" si="2"/>
        <v>71985.073200000013</v>
      </c>
      <c r="L34" s="140"/>
      <c r="M34" s="314">
        <f t="shared" si="3"/>
        <v>437987.29220000107</v>
      </c>
      <c r="N34" s="17"/>
    </row>
    <row r="35" spans="1:16">
      <c r="A35" s="47">
        <v>32</v>
      </c>
      <c r="B35" s="224"/>
      <c r="C35" s="17"/>
      <c r="D35" s="17"/>
      <c r="E35" s="250">
        <v>0</v>
      </c>
      <c r="F35" s="308">
        <v>0</v>
      </c>
      <c r="G35" s="258">
        <f t="shared" si="0"/>
        <v>0</v>
      </c>
      <c r="H35" s="250">
        <v>0</v>
      </c>
      <c r="I35" s="250">
        <v>0</v>
      </c>
      <c r="J35" s="250">
        <f t="shared" si="1"/>
        <v>0</v>
      </c>
      <c r="K35" s="258">
        <f t="shared" si="2"/>
        <v>0</v>
      </c>
      <c r="L35" s="140"/>
      <c r="M35" s="314">
        <f t="shared" si="3"/>
        <v>437987.29220000107</v>
      </c>
      <c r="N35" s="17"/>
    </row>
    <row r="36" spans="1:16">
      <c r="A36" s="47">
        <v>33</v>
      </c>
      <c r="B36" s="224"/>
      <c r="C36" s="17"/>
      <c r="D36" s="17"/>
      <c r="E36" s="250">
        <v>0</v>
      </c>
      <c r="F36" s="308">
        <v>0</v>
      </c>
      <c r="G36" s="258">
        <f t="shared" si="0"/>
        <v>0</v>
      </c>
      <c r="H36" s="250">
        <v>0</v>
      </c>
      <c r="I36" s="250">
        <v>0</v>
      </c>
      <c r="J36" s="250">
        <f t="shared" si="1"/>
        <v>0</v>
      </c>
      <c r="K36" s="258">
        <f t="shared" si="2"/>
        <v>0</v>
      </c>
      <c r="L36" s="140"/>
      <c r="M36" s="314">
        <f t="shared" si="3"/>
        <v>437987.29220000107</v>
      </c>
      <c r="N36" s="17"/>
    </row>
    <row r="37" spans="1:16">
      <c r="A37" s="201">
        <v>34</v>
      </c>
      <c r="B37" s="224"/>
      <c r="C37" s="17"/>
      <c r="D37" s="17"/>
      <c r="E37" s="250"/>
      <c r="F37" s="250"/>
      <c r="G37" s="258">
        <f t="shared" ref="G5:G39" si="4">E37*F37</f>
        <v>0</v>
      </c>
      <c r="H37" s="250"/>
      <c r="I37" s="250"/>
      <c r="J37" s="250">
        <f t="shared" ref="J5:J39" si="5">H37*I37</f>
        <v>0</v>
      </c>
      <c r="K37" s="258">
        <f t="shared" si="2"/>
        <v>0</v>
      </c>
      <c r="L37" s="140"/>
      <c r="M37" s="314">
        <f t="shared" si="3"/>
        <v>437987.29220000107</v>
      </c>
      <c r="N37" s="97"/>
    </row>
    <row r="38" spans="1:16">
      <c r="A38" s="47">
        <v>35</v>
      </c>
      <c r="B38" s="224"/>
      <c r="C38" s="17"/>
      <c r="D38" s="17"/>
      <c r="E38" s="250"/>
      <c r="F38" s="250"/>
      <c r="G38" s="258">
        <f t="shared" si="4"/>
        <v>0</v>
      </c>
      <c r="H38" s="250"/>
      <c r="I38" s="250"/>
      <c r="J38" s="250">
        <f t="shared" si="5"/>
        <v>0</v>
      </c>
      <c r="K38" s="258">
        <f t="shared" si="2"/>
        <v>0</v>
      </c>
      <c r="L38" s="140"/>
      <c r="M38" s="314">
        <f t="shared" si="3"/>
        <v>437987.29220000107</v>
      </c>
      <c r="N38" s="17"/>
      <c r="P38" s="22"/>
    </row>
    <row r="39" spans="1:16">
      <c r="A39" s="46"/>
      <c r="B39" s="224"/>
      <c r="C39" s="17"/>
      <c r="D39" s="17"/>
      <c r="E39" s="250">
        <v>0</v>
      </c>
      <c r="F39" s="250">
        <v>0</v>
      </c>
      <c r="G39" s="258">
        <f t="shared" si="4"/>
        <v>0</v>
      </c>
      <c r="H39" s="250"/>
      <c r="I39" s="250"/>
      <c r="J39" s="250">
        <f t="shared" si="5"/>
        <v>0</v>
      </c>
      <c r="K39" s="258">
        <f t="shared" si="2"/>
        <v>0</v>
      </c>
      <c r="L39" s="140"/>
      <c r="M39" s="314">
        <f t="shared" si="3"/>
        <v>437987.29220000107</v>
      </c>
      <c r="N39" s="17"/>
      <c r="P39" s="22"/>
    </row>
    <row r="40" spans="1:16">
      <c r="A40" s="186"/>
      <c r="B40" s="186"/>
      <c r="C40" s="186"/>
      <c r="D40" s="186"/>
      <c r="E40" s="186">
        <f>SUM(E4:E37)</f>
        <v>11885.350000000002</v>
      </c>
      <c r="F40" s="186"/>
      <c r="G40" s="186">
        <f>SUM(G4:G37)</f>
        <v>1087271.818</v>
      </c>
      <c r="H40" s="186">
        <f>SUM(H4:H37)</f>
        <v>339</v>
      </c>
      <c r="I40" s="186"/>
      <c r="J40" s="186">
        <f>SUM(J4:J37)</f>
        <v>35055.989999999991</v>
      </c>
      <c r="K40" s="186">
        <f>SUM(K4:K37)</f>
        <v>1122327.8080000002</v>
      </c>
      <c r="L40" s="186">
        <f>SUM(L4:L37)</f>
        <v>1231700</v>
      </c>
      <c r="M40" s="186"/>
      <c r="N40" s="186"/>
    </row>
    <row r="41" spans="1:16">
      <c r="P41" s="22"/>
    </row>
  </sheetData>
  <mergeCells count="1">
    <mergeCell ref="A1:N1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FDFF4-E8BF-4430-A1C0-B6BAE4AEDAC5}">
  <sheetPr>
    <tabColor rgb="FF002060"/>
  </sheetPr>
  <dimension ref="A1:P35"/>
  <sheetViews>
    <sheetView topLeftCell="A22" workbookViewId="0">
      <selection activeCell="M33" sqref="M33"/>
    </sheetView>
  </sheetViews>
  <sheetFormatPr defaultRowHeight="15"/>
  <cols>
    <col min="2" max="2" width="10.140625" bestFit="1" customWidth="1"/>
    <col min="5" max="5" width="9.7109375" bestFit="1" customWidth="1"/>
    <col min="11" max="11" width="13.5703125" bestFit="1" customWidth="1"/>
    <col min="12" max="12" width="12.42578125" bestFit="1" customWidth="1"/>
    <col min="13" max="13" width="10.5703125" bestFit="1" customWidth="1"/>
  </cols>
  <sheetData>
    <row r="1" spans="1:16" ht="15.75">
      <c r="A1" s="494" t="s">
        <v>269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6"/>
    </row>
    <row r="2" spans="1:16" ht="45" customHeight="1">
      <c r="A2" s="127" t="s">
        <v>129</v>
      </c>
      <c r="B2" s="218" t="s">
        <v>130</v>
      </c>
      <c r="C2" s="218" t="s">
        <v>131</v>
      </c>
      <c r="D2" s="218" t="s">
        <v>198</v>
      </c>
      <c r="E2" s="218" t="s">
        <v>133</v>
      </c>
      <c r="F2" s="218" t="s">
        <v>134</v>
      </c>
      <c r="G2" s="218" t="s">
        <v>135</v>
      </c>
      <c r="H2" s="218" t="s">
        <v>136</v>
      </c>
      <c r="I2" s="218" t="s">
        <v>134</v>
      </c>
      <c r="J2" s="218" t="s">
        <v>135</v>
      </c>
      <c r="K2" s="180" t="s">
        <v>137</v>
      </c>
      <c r="L2" s="180" t="s">
        <v>138</v>
      </c>
      <c r="M2" s="180" t="s">
        <v>199</v>
      </c>
      <c r="N2" s="218" t="s">
        <v>140</v>
      </c>
    </row>
    <row r="3" spans="1:16">
      <c r="A3" s="497" t="s">
        <v>141</v>
      </c>
      <c r="B3" s="498"/>
      <c r="C3" s="498"/>
      <c r="D3" s="498"/>
      <c r="E3" s="498"/>
      <c r="F3" s="498"/>
      <c r="G3" s="498"/>
      <c r="H3" s="498"/>
      <c r="I3" s="498"/>
      <c r="J3" s="498"/>
      <c r="K3" s="498"/>
      <c r="L3" s="499"/>
      <c r="M3" s="497">
        <v>180107.61949999994</v>
      </c>
      <c r="N3" s="499"/>
    </row>
    <row r="4" spans="1:16">
      <c r="A4" s="201">
        <v>1</v>
      </c>
      <c r="B4" s="224">
        <v>46023</v>
      </c>
      <c r="C4" s="41">
        <v>0</v>
      </c>
      <c r="D4" s="41"/>
      <c r="E4" s="273">
        <v>0</v>
      </c>
      <c r="F4" s="308">
        <v>0</v>
      </c>
      <c r="G4" s="41">
        <f>E4*F4</f>
        <v>0</v>
      </c>
      <c r="H4" s="41"/>
      <c r="I4" s="41"/>
      <c r="J4" s="41">
        <f>H4*I4</f>
        <v>0</v>
      </c>
      <c r="K4" s="41">
        <f>G4+J4</f>
        <v>0</v>
      </c>
      <c r="L4" s="41">
        <v>0</v>
      </c>
      <c r="M4" s="41">
        <f>M3+K4-L4</f>
        <v>180107.61949999994</v>
      </c>
      <c r="N4" s="41"/>
    </row>
    <row r="5" spans="1:16">
      <c r="A5" s="47">
        <v>2</v>
      </c>
      <c r="B5" s="224">
        <v>46024</v>
      </c>
      <c r="C5" s="41">
        <v>0</v>
      </c>
      <c r="D5" s="41"/>
      <c r="E5" s="273">
        <v>0</v>
      </c>
      <c r="F5" s="308">
        <v>0</v>
      </c>
      <c r="G5" s="41">
        <f t="shared" ref="G5:G34" si="0">E5*F5</f>
        <v>0</v>
      </c>
      <c r="H5" s="41">
        <v>12</v>
      </c>
      <c r="I5" s="41">
        <v>103.23</v>
      </c>
      <c r="J5" s="41">
        <f t="shared" ref="J5:J34" si="1">H5*I5</f>
        <v>1238.76</v>
      </c>
      <c r="K5" s="41">
        <f t="shared" ref="K5:K34" si="2">G5+J5</f>
        <v>1238.76</v>
      </c>
      <c r="L5" s="41">
        <v>0</v>
      </c>
      <c r="M5" s="41">
        <f t="shared" ref="M5:M34" si="3">M4+K5-L5</f>
        <v>181346.37949999995</v>
      </c>
      <c r="N5" s="41"/>
    </row>
    <row r="6" spans="1:16">
      <c r="A6" s="47">
        <v>3</v>
      </c>
      <c r="B6" s="224">
        <v>46025</v>
      </c>
      <c r="C6" s="41">
        <v>0</v>
      </c>
      <c r="D6" s="41"/>
      <c r="E6" s="308">
        <v>440</v>
      </c>
      <c r="F6" s="41">
        <v>91.31</v>
      </c>
      <c r="G6" s="41">
        <f t="shared" si="0"/>
        <v>40176.400000000001</v>
      </c>
      <c r="H6" s="41"/>
      <c r="I6" s="41"/>
      <c r="J6" s="41">
        <f t="shared" si="1"/>
        <v>0</v>
      </c>
      <c r="K6" s="41">
        <f t="shared" si="2"/>
        <v>40176.400000000001</v>
      </c>
      <c r="L6" s="41">
        <v>0</v>
      </c>
      <c r="M6" s="41">
        <f t="shared" si="3"/>
        <v>221522.77949999995</v>
      </c>
      <c r="N6" s="41"/>
    </row>
    <row r="7" spans="1:16">
      <c r="A7" s="47">
        <v>4</v>
      </c>
      <c r="B7" s="224">
        <v>46026</v>
      </c>
      <c r="C7" s="41">
        <v>0</v>
      </c>
      <c r="D7" s="41"/>
      <c r="E7" s="273">
        <v>0</v>
      </c>
      <c r="F7" s="308">
        <v>0</v>
      </c>
      <c r="G7" s="41">
        <f t="shared" si="0"/>
        <v>0</v>
      </c>
      <c r="H7" s="41"/>
      <c r="I7" s="41"/>
      <c r="J7" s="41">
        <f t="shared" si="1"/>
        <v>0</v>
      </c>
      <c r="K7" s="41">
        <f t="shared" si="2"/>
        <v>0</v>
      </c>
      <c r="L7" s="41">
        <v>0</v>
      </c>
      <c r="M7" s="41">
        <f t="shared" si="3"/>
        <v>221522.77949999995</v>
      </c>
      <c r="N7" s="41"/>
    </row>
    <row r="8" spans="1:16">
      <c r="A8" s="47">
        <v>5</v>
      </c>
      <c r="B8" s="224">
        <v>46027</v>
      </c>
      <c r="C8" s="41">
        <v>0</v>
      </c>
      <c r="D8" s="41"/>
      <c r="E8" s="273">
        <v>67.38</v>
      </c>
      <c r="F8" s="41">
        <v>91.31</v>
      </c>
      <c r="G8" s="41">
        <f t="shared" si="0"/>
        <v>6152.4677999999994</v>
      </c>
      <c r="H8" s="41">
        <v>6</v>
      </c>
      <c r="I8" s="41">
        <v>103.23</v>
      </c>
      <c r="J8" s="41">
        <f t="shared" si="1"/>
        <v>619.38</v>
      </c>
      <c r="K8" s="41">
        <f t="shared" si="2"/>
        <v>6771.8477999999996</v>
      </c>
      <c r="L8" s="41">
        <v>0</v>
      </c>
      <c r="M8" s="41">
        <f t="shared" si="3"/>
        <v>228294.62729999993</v>
      </c>
      <c r="N8" s="41"/>
    </row>
    <row r="9" spans="1:16">
      <c r="A9" s="47">
        <v>6</v>
      </c>
      <c r="B9" s="224">
        <v>46028</v>
      </c>
      <c r="C9" s="41">
        <v>0</v>
      </c>
      <c r="D9" s="41"/>
      <c r="E9" s="273">
        <v>0</v>
      </c>
      <c r="F9" s="308">
        <v>0</v>
      </c>
      <c r="G9" s="41">
        <f t="shared" si="0"/>
        <v>0</v>
      </c>
      <c r="H9" s="41"/>
      <c r="I9" s="41"/>
      <c r="J9" s="41">
        <f t="shared" si="1"/>
        <v>0</v>
      </c>
      <c r="K9" s="41">
        <f t="shared" si="2"/>
        <v>0</v>
      </c>
      <c r="L9" s="41">
        <v>0</v>
      </c>
      <c r="M9" s="41">
        <f t="shared" si="3"/>
        <v>228294.62729999993</v>
      </c>
      <c r="N9" s="41"/>
    </row>
    <row r="10" spans="1:16">
      <c r="A10" s="47">
        <v>7</v>
      </c>
      <c r="B10" s="224">
        <v>46029</v>
      </c>
      <c r="C10" s="41">
        <v>0</v>
      </c>
      <c r="D10" s="41"/>
      <c r="E10" s="273">
        <v>400</v>
      </c>
      <c r="F10" s="308">
        <v>91.31</v>
      </c>
      <c r="G10" s="41">
        <f t="shared" si="0"/>
        <v>36524</v>
      </c>
      <c r="H10" s="41"/>
      <c r="I10" s="41"/>
      <c r="J10" s="41">
        <f t="shared" si="1"/>
        <v>0</v>
      </c>
      <c r="K10" s="41">
        <f t="shared" si="2"/>
        <v>36524</v>
      </c>
      <c r="L10" s="41">
        <v>0</v>
      </c>
      <c r="M10" s="41">
        <f t="shared" si="3"/>
        <v>264818.62729999993</v>
      </c>
      <c r="N10" s="41"/>
    </row>
    <row r="11" spans="1:16">
      <c r="A11" s="47">
        <v>8</v>
      </c>
      <c r="B11" s="224">
        <v>46030</v>
      </c>
      <c r="C11" s="41">
        <v>0</v>
      </c>
      <c r="D11" s="41"/>
      <c r="E11" s="273">
        <v>0</v>
      </c>
      <c r="F11" s="308">
        <v>0</v>
      </c>
      <c r="G11" s="41">
        <f t="shared" si="0"/>
        <v>0</v>
      </c>
      <c r="H11" s="41"/>
      <c r="I11" s="41"/>
      <c r="J11" s="41">
        <f t="shared" si="1"/>
        <v>0</v>
      </c>
      <c r="K11" s="41">
        <f t="shared" si="2"/>
        <v>0</v>
      </c>
      <c r="L11" s="41">
        <v>0</v>
      </c>
      <c r="M11" s="41">
        <f t="shared" si="3"/>
        <v>264818.62729999993</v>
      </c>
      <c r="N11" s="41"/>
      <c r="P11" s="22"/>
    </row>
    <row r="12" spans="1:16">
      <c r="A12" s="47">
        <v>9</v>
      </c>
      <c r="B12" s="224">
        <v>46031</v>
      </c>
      <c r="C12" s="41">
        <v>0</v>
      </c>
      <c r="D12" s="41"/>
      <c r="E12" s="273">
        <v>40</v>
      </c>
      <c r="F12" s="308">
        <v>91.31</v>
      </c>
      <c r="G12" s="41">
        <f t="shared" si="0"/>
        <v>3652.4</v>
      </c>
      <c r="H12" s="41">
        <v>12</v>
      </c>
      <c r="I12" s="41">
        <v>103.23</v>
      </c>
      <c r="J12" s="41">
        <f t="shared" si="1"/>
        <v>1238.76</v>
      </c>
      <c r="K12" s="41">
        <f t="shared" si="2"/>
        <v>4891.16</v>
      </c>
      <c r="L12" s="41">
        <v>0</v>
      </c>
      <c r="M12" s="41">
        <f t="shared" si="3"/>
        <v>269709.78729999991</v>
      </c>
      <c r="N12" s="41"/>
    </row>
    <row r="13" spans="1:16">
      <c r="A13" s="47">
        <v>10</v>
      </c>
      <c r="B13" s="224">
        <v>46032</v>
      </c>
      <c r="C13" s="41">
        <v>0</v>
      </c>
      <c r="D13" s="41"/>
      <c r="E13" s="273">
        <v>0</v>
      </c>
      <c r="F13" s="308">
        <v>0</v>
      </c>
      <c r="G13" s="41">
        <f t="shared" si="0"/>
        <v>0</v>
      </c>
      <c r="H13" s="41"/>
      <c r="I13" s="41"/>
      <c r="J13" s="41">
        <f t="shared" si="1"/>
        <v>0</v>
      </c>
      <c r="K13" s="41">
        <f t="shared" si="2"/>
        <v>0</v>
      </c>
      <c r="L13" s="41">
        <v>0</v>
      </c>
      <c r="M13" s="41">
        <f t="shared" si="3"/>
        <v>269709.78729999991</v>
      </c>
      <c r="N13" s="41"/>
    </row>
    <row r="14" spans="1:16">
      <c r="A14" s="47">
        <v>11</v>
      </c>
      <c r="B14" s="224">
        <v>46033</v>
      </c>
      <c r="C14" s="41">
        <v>0</v>
      </c>
      <c r="D14" s="41"/>
      <c r="E14" s="273">
        <v>988.19</v>
      </c>
      <c r="F14" s="308">
        <v>91.31</v>
      </c>
      <c r="G14" s="41">
        <f t="shared" si="0"/>
        <v>90231.628900000011</v>
      </c>
      <c r="H14" s="41"/>
      <c r="I14" s="41"/>
      <c r="J14" s="41">
        <f t="shared" si="1"/>
        <v>0</v>
      </c>
      <c r="K14" s="41">
        <f t="shared" si="2"/>
        <v>90231.628900000011</v>
      </c>
      <c r="L14" s="41">
        <v>0</v>
      </c>
      <c r="M14" s="41">
        <f t="shared" si="3"/>
        <v>359941.41619999992</v>
      </c>
      <c r="N14" s="41"/>
    </row>
    <row r="15" spans="1:16">
      <c r="A15" s="47">
        <v>12</v>
      </c>
      <c r="B15" s="224">
        <v>46034</v>
      </c>
      <c r="C15" s="41">
        <v>0</v>
      </c>
      <c r="D15" s="41"/>
      <c r="E15" s="273">
        <v>0</v>
      </c>
      <c r="F15" s="308">
        <v>0</v>
      </c>
      <c r="G15" s="41">
        <f t="shared" si="0"/>
        <v>0</v>
      </c>
      <c r="H15" s="41"/>
      <c r="I15" s="41"/>
      <c r="J15" s="41">
        <f t="shared" si="1"/>
        <v>0</v>
      </c>
      <c r="K15" s="41">
        <f t="shared" si="2"/>
        <v>0</v>
      </c>
      <c r="L15" s="41">
        <v>0</v>
      </c>
      <c r="M15" s="41">
        <f t="shared" si="3"/>
        <v>359941.41619999992</v>
      </c>
      <c r="N15" s="41"/>
    </row>
    <row r="16" spans="1:16">
      <c r="A16" s="47">
        <v>13</v>
      </c>
      <c r="B16" s="224">
        <v>46035</v>
      </c>
      <c r="C16" s="41">
        <v>0</v>
      </c>
      <c r="D16" s="41"/>
      <c r="E16" s="273">
        <v>0</v>
      </c>
      <c r="F16" s="308">
        <v>0</v>
      </c>
      <c r="G16" s="41">
        <f t="shared" si="0"/>
        <v>0</v>
      </c>
      <c r="H16" s="41"/>
      <c r="I16" s="41"/>
      <c r="J16" s="41">
        <f t="shared" si="1"/>
        <v>0</v>
      </c>
      <c r="K16" s="41">
        <f t="shared" si="2"/>
        <v>0</v>
      </c>
      <c r="L16" s="41">
        <v>0</v>
      </c>
      <c r="M16" s="41">
        <f>M15+K16-L16</f>
        <v>359941.41619999992</v>
      </c>
      <c r="N16" s="41"/>
    </row>
    <row r="17" spans="1:14">
      <c r="A17" s="47">
        <v>14</v>
      </c>
      <c r="B17" s="224">
        <v>46036</v>
      </c>
      <c r="C17" s="41">
        <v>0</v>
      </c>
      <c r="D17" s="41"/>
      <c r="E17" s="273">
        <v>0</v>
      </c>
      <c r="F17" s="308">
        <v>0</v>
      </c>
      <c r="G17" s="41">
        <f t="shared" si="0"/>
        <v>0</v>
      </c>
      <c r="H17" s="41"/>
      <c r="I17" s="41"/>
      <c r="J17" s="41">
        <f t="shared" si="1"/>
        <v>0</v>
      </c>
      <c r="K17" s="41">
        <f t="shared" si="2"/>
        <v>0</v>
      </c>
      <c r="L17" s="41">
        <v>0</v>
      </c>
      <c r="M17" s="41">
        <f t="shared" si="3"/>
        <v>359941.41619999992</v>
      </c>
      <c r="N17" s="41"/>
    </row>
    <row r="18" spans="1:14">
      <c r="A18" s="47">
        <v>15</v>
      </c>
      <c r="B18" s="224">
        <v>46037</v>
      </c>
      <c r="C18" s="41">
        <v>0</v>
      </c>
      <c r="D18" s="41"/>
      <c r="E18" s="273">
        <v>0</v>
      </c>
      <c r="F18" s="308">
        <v>0</v>
      </c>
      <c r="G18" s="41">
        <f t="shared" si="0"/>
        <v>0</v>
      </c>
      <c r="H18" s="41"/>
      <c r="I18" s="41"/>
      <c r="J18" s="41">
        <f t="shared" si="1"/>
        <v>0</v>
      </c>
      <c r="K18" s="41">
        <f t="shared" si="2"/>
        <v>0</v>
      </c>
      <c r="L18" s="41">
        <v>0</v>
      </c>
      <c r="M18" s="41">
        <f t="shared" si="3"/>
        <v>359941.41619999992</v>
      </c>
      <c r="N18" s="41"/>
    </row>
    <row r="19" spans="1:14">
      <c r="A19" s="47">
        <v>16</v>
      </c>
      <c r="B19" s="224">
        <v>46038</v>
      </c>
      <c r="C19" s="41">
        <v>0</v>
      </c>
      <c r="D19" s="41"/>
      <c r="E19" s="273">
        <v>0</v>
      </c>
      <c r="F19" s="308">
        <v>0</v>
      </c>
      <c r="G19" s="41">
        <f t="shared" si="0"/>
        <v>0</v>
      </c>
      <c r="H19" s="41">
        <v>6</v>
      </c>
      <c r="I19" s="41">
        <v>103.23</v>
      </c>
      <c r="J19" s="41">
        <f t="shared" si="1"/>
        <v>619.38</v>
      </c>
      <c r="K19" s="41">
        <f t="shared" si="2"/>
        <v>619.38</v>
      </c>
      <c r="L19" s="41">
        <v>0</v>
      </c>
      <c r="M19" s="41">
        <f t="shared" si="3"/>
        <v>360560.79619999992</v>
      </c>
      <c r="N19" s="41"/>
    </row>
    <row r="20" spans="1:14">
      <c r="A20" s="47">
        <v>17</v>
      </c>
      <c r="B20" s="224">
        <v>46039</v>
      </c>
      <c r="C20" s="41">
        <v>0</v>
      </c>
      <c r="D20" s="41"/>
      <c r="E20" s="273">
        <v>0</v>
      </c>
      <c r="F20" s="308">
        <v>0</v>
      </c>
      <c r="G20" s="41">
        <f t="shared" si="0"/>
        <v>0</v>
      </c>
      <c r="H20" s="41"/>
      <c r="I20" s="41"/>
      <c r="J20" s="41">
        <f t="shared" si="1"/>
        <v>0</v>
      </c>
      <c r="K20" s="41">
        <f t="shared" si="2"/>
        <v>0</v>
      </c>
      <c r="L20" s="41">
        <v>360000</v>
      </c>
      <c r="M20" s="41">
        <f t="shared" si="3"/>
        <v>560.79619999992428</v>
      </c>
      <c r="N20" s="41"/>
    </row>
    <row r="21" spans="1:14">
      <c r="A21" s="47">
        <v>18</v>
      </c>
      <c r="B21" s="224">
        <v>46040</v>
      </c>
      <c r="C21" s="41">
        <v>0</v>
      </c>
      <c r="D21" s="41"/>
      <c r="E21" s="273">
        <v>40.729999999999997</v>
      </c>
      <c r="F21" s="308">
        <v>91.31</v>
      </c>
      <c r="G21" s="41">
        <f t="shared" si="0"/>
        <v>3719.0562999999997</v>
      </c>
      <c r="H21" s="41"/>
      <c r="I21" s="41"/>
      <c r="J21" s="41">
        <f t="shared" si="1"/>
        <v>0</v>
      </c>
      <c r="K21" s="41">
        <f t="shared" si="2"/>
        <v>3719.0562999999997</v>
      </c>
      <c r="L21" s="41">
        <v>0</v>
      </c>
      <c r="M21" s="41">
        <f>M20+K21-L21</f>
        <v>4279.8524999999245</v>
      </c>
      <c r="N21" s="41"/>
    </row>
    <row r="22" spans="1:14">
      <c r="A22" s="47">
        <v>19</v>
      </c>
      <c r="B22" s="224">
        <v>46041</v>
      </c>
      <c r="C22" s="41">
        <v>0</v>
      </c>
      <c r="D22" s="41"/>
      <c r="E22" s="273">
        <v>400</v>
      </c>
      <c r="F22" s="308">
        <v>91.31</v>
      </c>
      <c r="G22" s="41">
        <f t="shared" si="0"/>
        <v>36524</v>
      </c>
      <c r="H22" s="41"/>
      <c r="I22" s="41"/>
      <c r="J22" s="41">
        <f t="shared" si="1"/>
        <v>0</v>
      </c>
      <c r="K22" s="41">
        <f t="shared" si="2"/>
        <v>36524</v>
      </c>
      <c r="L22" s="41">
        <v>0</v>
      </c>
      <c r="M22" s="41">
        <f t="shared" si="3"/>
        <v>40803.852499999921</v>
      </c>
      <c r="N22" s="41"/>
    </row>
    <row r="23" spans="1:14">
      <c r="A23" s="47">
        <v>20</v>
      </c>
      <c r="B23" s="224">
        <v>46042</v>
      </c>
      <c r="C23" s="41">
        <v>0</v>
      </c>
      <c r="D23" s="41"/>
      <c r="E23" s="273">
        <v>459.6</v>
      </c>
      <c r="F23" s="308">
        <v>91.31</v>
      </c>
      <c r="G23" s="41">
        <f t="shared" si="0"/>
        <v>41966.076000000001</v>
      </c>
      <c r="H23" s="41">
        <v>6</v>
      </c>
      <c r="I23" s="41">
        <v>103.23</v>
      </c>
      <c r="J23" s="41">
        <f t="shared" si="1"/>
        <v>619.38</v>
      </c>
      <c r="K23" s="41">
        <f t="shared" si="2"/>
        <v>42585.455999999998</v>
      </c>
      <c r="L23" s="41">
        <v>0</v>
      </c>
      <c r="M23" s="41">
        <f t="shared" si="3"/>
        <v>83389.308499999926</v>
      </c>
      <c r="N23" s="41"/>
    </row>
    <row r="24" spans="1:14">
      <c r="A24" s="47">
        <v>21</v>
      </c>
      <c r="B24" s="224">
        <v>46043</v>
      </c>
      <c r="C24" s="41">
        <v>0</v>
      </c>
      <c r="D24" s="41"/>
      <c r="E24" s="273">
        <v>400</v>
      </c>
      <c r="F24" s="308">
        <v>91.31</v>
      </c>
      <c r="G24" s="41">
        <f t="shared" si="0"/>
        <v>36524</v>
      </c>
      <c r="H24" s="41"/>
      <c r="I24" s="41"/>
      <c r="J24" s="41">
        <f t="shared" si="1"/>
        <v>0</v>
      </c>
      <c r="K24" s="41">
        <f t="shared" si="2"/>
        <v>36524</v>
      </c>
      <c r="L24" s="41">
        <v>0</v>
      </c>
      <c r="M24" s="41">
        <f t="shared" si="3"/>
        <v>119913.30849999993</v>
      </c>
      <c r="N24" s="41"/>
    </row>
    <row r="25" spans="1:14">
      <c r="A25" s="47">
        <v>22</v>
      </c>
      <c r="B25" s="224">
        <v>46044</v>
      </c>
      <c r="C25" s="41">
        <v>0</v>
      </c>
      <c r="D25" s="41"/>
      <c r="E25" s="273">
        <v>504.39</v>
      </c>
      <c r="F25" s="308">
        <v>91.31</v>
      </c>
      <c r="G25" s="41">
        <f t="shared" si="0"/>
        <v>46055.850899999998</v>
      </c>
      <c r="H25" s="41">
        <v>12</v>
      </c>
      <c r="I25" s="41">
        <v>103.23</v>
      </c>
      <c r="J25" s="41">
        <f t="shared" si="1"/>
        <v>1238.76</v>
      </c>
      <c r="K25" s="41">
        <f t="shared" si="2"/>
        <v>47294.6109</v>
      </c>
      <c r="L25" s="41">
        <v>0</v>
      </c>
      <c r="M25" s="41">
        <f t="shared" si="3"/>
        <v>167207.91939999993</v>
      </c>
      <c r="N25" s="41"/>
    </row>
    <row r="26" spans="1:14">
      <c r="A26" s="47">
        <v>23</v>
      </c>
      <c r="B26" s="224">
        <v>46045</v>
      </c>
      <c r="C26" s="41">
        <v>0</v>
      </c>
      <c r="D26" s="41"/>
      <c r="E26" s="273">
        <v>0</v>
      </c>
      <c r="F26" s="308">
        <v>0</v>
      </c>
      <c r="G26" s="41">
        <f t="shared" si="0"/>
        <v>0</v>
      </c>
      <c r="H26" s="41"/>
      <c r="I26" s="41"/>
      <c r="J26" s="41">
        <f t="shared" si="1"/>
        <v>0</v>
      </c>
      <c r="K26" s="41">
        <f t="shared" si="2"/>
        <v>0</v>
      </c>
      <c r="L26" s="41">
        <v>0</v>
      </c>
      <c r="M26" s="41">
        <f t="shared" si="3"/>
        <v>167207.91939999993</v>
      </c>
      <c r="N26" s="41"/>
    </row>
    <row r="27" spans="1:14">
      <c r="A27" s="47">
        <v>24</v>
      </c>
      <c r="B27" s="224">
        <v>46046</v>
      </c>
      <c r="C27" s="41">
        <v>0</v>
      </c>
      <c r="D27" s="41"/>
      <c r="E27" s="273">
        <v>481.29</v>
      </c>
      <c r="F27" s="308">
        <v>91.31</v>
      </c>
      <c r="G27" s="41">
        <f t="shared" si="0"/>
        <v>43946.589900000006</v>
      </c>
      <c r="H27" s="41"/>
      <c r="I27" s="41"/>
      <c r="J27" s="41">
        <f t="shared" si="1"/>
        <v>0</v>
      </c>
      <c r="K27" s="41">
        <f t="shared" si="2"/>
        <v>43946.589900000006</v>
      </c>
      <c r="L27" s="41">
        <v>0</v>
      </c>
      <c r="M27" s="41">
        <f t="shared" si="3"/>
        <v>211154.50929999992</v>
      </c>
      <c r="N27" s="41"/>
    </row>
    <row r="28" spans="1:14">
      <c r="A28" s="226">
        <v>25</v>
      </c>
      <c r="B28" s="224">
        <v>46047</v>
      </c>
      <c r="C28" s="41">
        <v>0</v>
      </c>
      <c r="D28" s="41"/>
      <c r="E28" s="273">
        <v>47.32</v>
      </c>
      <c r="F28" s="308">
        <v>91.31</v>
      </c>
      <c r="G28" s="41">
        <f t="shared" si="0"/>
        <v>4320.7892000000002</v>
      </c>
      <c r="H28" s="41"/>
      <c r="I28" s="41"/>
      <c r="J28" s="41">
        <f t="shared" si="1"/>
        <v>0</v>
      </c>
      <c r="K28" s="41">
        <f t="shared" si="2"/>
        <v>4320.7892000000002</v>
      </c>
      <c r="L28" s="41">
        <v>0</v>
      </c>
      <c r="M28" s="41">
        <f t="shared" si="3"/>
        <v>215475.29849999992</v>
      </c>
      <c r="N28" s="41"/>
    </row>
    <row r="29" spans="1:14">
      <c r="A29" s="226">
        <v>26</v>
      </c>
      <c r="B29" s="224">
        <v>46048</v>
      </c>
      <c r="C29" s="41">
        <v>0</v>
      </c>
      <c r="D29" s="41"/>
      <c r="E29" s="273">
        <v>0</v>
      </c>
      <c r="F29" s="308">
        <v>0</v>
      </c>
      <c r="G29" s="41">
        <f t="shared" si="0"/>
        <v>0</v>
      </c>
      <c r="H29" s="41"/>
      <c r="I29" s="41"/>
      <c r="J29" s="41">
        <f t="shared" si="1"/>
        <v>0</v>
      </c>
      <c r="K29" s="41">
        <f t="shared" si="2"/>
        <v>0</v>
      </c>
      <c r="L29" s="41">
        <v>0</v>
      </c>
      <c r="M29" s="41">
        <f t="shared" si="3"/>
        <v>215475.29849999992</v>
      </c>
      <c r="N29" s="41"/>
    </row>
    <row r="30" spans="1:14">
      <c r="A30" s="226">
        <v>27</v>
      </c>
      <c r="B30" s="224">
        <v>46049</v>
      </c>
      <c r="C30" s="41">
        <v>0</v>
      </c>
      <c r="D30" s="41"/>
      <c r="E30" s="273">
        <v>0</v>
      </c>
      <c r="F30" s="308">
        <v>0</v>
      </c>
      <c r="G30" s="41">
        <f t="shared" si="0"/>
        <v>0</v>
      </c>
      <c r="H30" s="41">
        <v>10</v>
      </c>
      <c r="I30" s="41">
        <v>103.23</v>
      </c>
      <c r="J30" s="41">
        <f t="shared" si="1"/>
        <v>1032.3</v>
      </c>
      <c r="K30" s="41">
        <f t="shared" si="2"/>
        <v>1032.3</v>
      </c>
      <c r="L30" s="41">
        <v>0</v>
      </c>
      <c r="M30" s="41">
        <f t="shared" si="3"/>
        <v>216507.59849999991</v>
      </c>
      <c r="N30" s="41"/>
    </row>
    <row r="31" spans="1:14">
      <c r="A31" s="226">
        <v>28</v>
      </c>
      <c r="B31" s="224">
        <v>46050</v>
      </c>
      <c r="C31" s="41">
        <v>0</v>
      </c>
      <c r="D31" s="41"/>
      <c r="E31" s="273">
        <v>684</v>
      </c>
      <c r="F31" s="308">
        <v>91.31</v>
      </c>
      <c r="G31" s="41">
        <f t="shared" si="0"/>
        <v>62456.04</v>
      </c>
      <c r="H31" s="41">
        <v>18</v>
      </c>
      <c r="I31" s="41">
        <v>103.23</v>
      </c>
      <c r="J31" s="41">
        <f t="shared" si="1"/>
        <v>1858.14</v>
      </c>
      <c r="K31" s="41">
        <f t="shared" si="2"/>
        <v>64314.18</v>
      </c>
      <c r="L31" s="41">
        <v>0</v>
      </c>
      <c r="M31" s="41">
        <f t="shared" si="3"/>
        <v>280821.7784999999</v>
      </c>
      <c r="N31" s="41"/>
    </row>
    <row r="32" spans="1:14">
      <c r="A32" s="227">
        <v>29</v>
      </c>
      <c r="B32" s="224">
        <v>46051</v>
      </c>
      <c r="C32" s="41">
        <v>0</v>
      </c>
      <c r="D32" s="41"/>
      <c r="E32" s="273">
        <v>237</v>
      </c>
      <c r="F32" s="308">
        <v>91.31</v>
      </c>
      <c r="G32" s="41">
        <f t="shared" si="0"/>
        <v>21640.47</v>
      </c>
      <c r="H32" s="41"/>
      <c r="I32" s="41"/>
      <c r="J32" s="41">
        <f t="shared" si="1"/>
        <v>0</v>
      </c>
      <c r="K32" s="41">
        <f t="shared" si="2"/>
        <v>21640.47</v>
      </c>
      <c r="L32" s="41">
        <v>0</v>
      </c>
      <c r="M32" s="41">
        <f t="shared" si="3"/>
        <v>302462.24849999987</v>
      </c>
      <c r="N32" s="41"/>
    </row>
    <row r="33" spans="1:14">
      <c r="A33" s="227">
        <v>30</v>
      </c>
      <c r="B33" s="224">
        <v>46052</v>
      </c>
      <c r="C33" s="41">
        <v>0</v>
      </c>
      <c r="D33" s="41"/>
      <c r="E33" s="273">
        <v>46</v>
      </c>
      <c r="F33" s="308">
        <v>91.31</v>
      </c>
      <c r="G33" s="41">
        <f t="shared" si="0"/>
        <v>4200.26</v>
      </c>
      <c r="H33" s="41"/>
      <c r="I33" s="41"/>
      <c r="J33" s="41">
        <f t="shared" si="1"/>
        <v>0</v>
      </c>
      <c r="K33" s="41">
        <f t="shared" si="2"/>
        <v>4200.26</v>
      </c>
      <c r="L33" s="41">
        <v>0</v>
      </c>
      <c r="M33" s="41">
        <f t="shared" si="3"/>
        <v>306662.50849999988</v>
      </c>
      <c r="N33" s="41"/>
    </row>
    <row r="34" spans="1:14">
      <c r="A34" s="227">
        <v>31</v>
      </c>
      <c r="B34" s="224">
        <v>46053</v>
      </c>
      <c r="C34" s="41">
        <v>0</v>
      </c>
      <c r="D34" s="41"/>
      <c r="E34" s="273">
        <v>0</v>
      </c>
      <c r="F34" s="308">
        <v>0</v>
      </c>
      <c r="G34" s="41">
        <f t="shared" si="0"/>
        <v>0</v>
      </c>
      <c r="H34" s="41"/>
      <c r="I34" s="41"/>
      <c r="J34" s="41">
        <f t="shared" si="1"/>
        <v>0</v>
      </c>
      <c r="K34" s="41">
        <f t="shared" si="2"/>
        <v>0</v>
      </c>
      <c r="L34" s="41">
        <v>0</v>
      </c>
      <c r="M34" s="41">
        <f t="shared" si="3"/>
        <v>306662.50849999988</v>
      </c>
      <c r="N34" s="41"/>
    </row>
    <row r="35" spans="1:14">
      <c r="A35" s="186"/>
      <c r="B35" s="186"/>
      <c r="C35" s="186"/>
      <c r="D35" s="186"/>
      <c r="E35" s="186">
        <f>SUM(E4:E34)</f>
        <v>5235.8999999999996</v>
      </c>
      <c r="F35" s="186"/>
      <c r="G35" s="186">
        <f>SUM(G4:G34)</f>
        <v>478090.02899999998</v>
      </c>
      <c r="H35" s="186">
        <f>SUM(H4:H34)</f>
        <v>82</v>
      </c>
      <c r="I35" s="186"/>
      <c r="J35" s="186">
        <f>SUM(J4:J34)</f>
        <v>8464.86</v>
      </c>
      <c r="K35" s="186">
        <f>SUM(K4:K34)</f>
        <v>486554.88899999997</v>
      </c>
      <c r="L35" s="186">
        <f>SUM(L4:L34)</f>
        <v>360000</v>
      </c>
      <c r="M35" s="186"/>
      <c r="N35" s="186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C677C-45ED-46D2-B6DD-48C42A14EFA2}">
  <sheetPr>
    <tabColor rgb="FF002060"/>
  </sheetPr>
  <dimension ref="A1:P35"/>
  <sheetViews>
    <sheetView topLeftCell="A19" workbookViewId="0">
      <selection activeCell="M39" sqref="M39"/>
    </sheetView>
  </sheetViews>
  <sheetFormatPr defaultRowHeight="15"/>
  <cols>
    <col min="2" max="2" width="9.5703125" bestFit="1" customWidth="1"/>
    <col min="7" max="7" width="10.42578125" bestFit="1" customWidth="1"/>
    <col min="11" max="11" width="13.5703125" bestFit="1" customWidth="1"/>
    <col min="12" max="12" width="10.42578125" bestFit="1" customWidth="1"/>
    <col min="13" max="13" width="10.5703125" bestFit="1" customWidth="1"/>
  </cols>
  <sheetData>
    <row r="1" spans="1:16" ht="15.75">
      <c r="A1" s="494" t="s">
        <v>269</v>
      </c>
      <c r="B1" s="495"/>
      <c r="C1" s="495"/>
      <c r="D1" s="495"/>
      <c r="E1" s="495"/>
      <c r="F1" s="495"/>
      <c r="G1" s="495"/>
      <c r="H1" s="495"/>
      <c r="I1" s="495"/>
      <c r="J1" s="495"/>
      <c r="K1" s="495"/>
      <c r="L1" s="495"/>
      <c r="M1" s="495"/>
      <c r="N1" s="496"/>
    </row>
    <row r="2" spans="1:16" ht="30.75">
      <c r="A2" s="127" t="s">
        <v>129</v>
      </c>
      <c r="B2" s="218" t="s">
        <v>130</v>
      </c>
      <c r="C2" s="218" t="s">
        <v>131</v>
      </c>
      <c r="D2" s="218" t="s">
        <v>198</v>
      </c>
      <c r="E2" s="218" t="s">
        <v>133</v>
      </c>
      <c r="F2" s="218" t="s">
        <v>134</v>
      </c>
      <c r="G2" s="218" t="s">
        <v>135</v>
      </c>
      <c r="H2" s="218" t="s">
        <v>136</v>
      </c>
      <c r="I2" s="218" t="s">
        <v>134</v>
      </c>
      <c r="J2" s="218" t="s">
        <v>135</v>
      </c>
      <c r="K2" s="180" t="s">
        <v>137</v>
      </c>
      <c r="L2" s="180" t="s">
        <v>138</v>
      </c>
      <c r="M2" s="180" t="s">
        <v>199</v>
      </c>
      <c r="N2" s="218" t="s">
        <v>140</v>
      </c>
    </row>
    <row r="3" spans="1:16">
      <c r="A3" s="497" t="s">
        <v>141</v>
      </c>
      <c r="B3" s="498"/>
      <c r="C3" s="498"/>
      <c r="D3" s="498"/>
      <c r="E3" s="498"/>
      <c r="F3" s="498"/>
      <c r="G3" s="498"/>
      <c r="H3" s="498"/>
      <c r="I3" s="498"/>
      <c r="J3" s="498"/>
      <c r="K3" s="498"/>
      <c r="L3" s="499"/>
      <c r="M3" s="497">
        <v>0</v>
      </c>
      <c r="N3" s="499"/>
    </row>
    <row r="4" spans="1:16">
      <c r="A4" s="201">
        <v>1</v>
      </c>
      <c r="B4" s="224">
        <v>46023</v>
      </c>
      <c r="C4" s="41">
        <v>0</v>
      </c>
      <c r="D4" s="41"/>
      <c r="E4" s="273">
        <v>0</v>
      </c>
      <c r="F4" s="308">
        <v>0</v>
      </c>
      <c r="G4" s="41">
        <f>E4*F4</f>
        <v>0</v>
      </c>
      <c r="H4" s="41"/>
      <c r="I4" s="41"/>
      <c r="J4" s="41">
        <f>H4*I4</f>
        <v>0</v>
      </c>
      <c r="K4" s="41">
        <f>G4+J4</f>
        <v>0</v>
      </c>
      <c r="L4" s="41">
        <v>0</v>
      </c>
      <c r="M4" s="41">
        <f>M3+K4-L4</f>
        <v>0</v>
      </c>
      <c r="N4" s="41"/>
    </row>
    <row r="5" spans="1:16">
      <c r="A5" s="47">
        <v>2</v>
      </c>
      <c r="B5" s="224">
        <v>46024</v>
      </c>
      <c r="C5" s="41">
        <v>0</v>
      </c>
      <c r="D5" s="41"/>
      <c r="E5" s="273">
        <v>0</v>
      </c>
      <c r="F5" s="308">
        <v>0</v>
      </c>
      <c r="G5" s="41">
        <f t="shared" ref="G5:G34" si="0">E5*F5</f>
        <v>0</v>
      </c>
      <c r="H5" s="41"/>
      <c r="I5" s="41"/>
      <c r="J5" s="41">
        <f t="shared" ref="J5:J34" si="1">H5*I5</f>
        <v>0</v>
      </c>
      <c r="K5" s="41">
        <f t="shared" ref="K5:K34" si="2">G5+J5</f>
        <v>0</v>
      </c>
      <c r="L5" s="41">
        <v>0</v>
      </c>
      <c r="M5" s="41">
        <f t="shared" ref="M5:M34" si="3">M4+K5-L5</f>
        <v>0</v>
      </c>
      <c r="N5" s="41"/>
    </row>
    <row r="6" spans="1:16">
      <c r="A6" s="47">
        <v>3</v>
      </c>
      <c r="B6" s="224">
        <v>46025</v>
      </c>
      <c r="C6" s="41">
        <v>0</v>
      </c>
      <c r="D6" s="41"/>
      <c r="E6" s="273">
        <v>0</v>
      </c>
      <c r="F6" s="308">
        <v>0</v>
      </c>
      <c r="G6" s="41">
        <f t="shared" si="0"/>
        <v>0</v>
      </c>
      <c r="H6" s="41"/>
      <c r="I6" s="41"/>
      <c r="J6" s="41">
        <f t="shared" si="1"/>
        <v>0</v>
      </c>
      <c r="K6" s="41">
        <f t="shared" si="2"/>
        <v>0</v>
      </c>
      <c r="L6" s="41">
        <v>0</v>
      </c>
      <c r="M6" s="41">
        <f t="shared" si="3"/>
        <v>0</v>
      </c>
      <c r="N6" s="41"/>
    </row>
    <row r="7" spans="1:16">
      <c r="A7" s="47">
        <v>4</v>
      </c>
      <c r="B7" s="224">
        <v>46026</v>
      </c>
      <c r="C7" s="41">
        <v>0</v>
      </c>
      <c r="D7" s="41"/>
      <c r="E7" s="273">
        <v>0</v>
      </c>
      <c r="F7" s="308">
        <v>0</v>
      </c>
      <c r="G7" s="41">
        <f t="shared" si="0"/>
        <v>0</v>
      </c>
      <c r="H7" s="41"/>
      <c r="I7" s="41"/>
      <c r="J7" s="41">
        <f t="shared" si="1"/>
        <v>0</v>
      </c>
      <c r="K7" s="41">
        <f t="shared" si="2"/>
        <v>0</v>
      </c>
      <c r="L7" s="41">
        <v>0</v>
      </c>
      <c r="M7" s="41">
        <f t="shared" si="3"/>
        <v>0</v>
      </c>
      <c r="N7" s="41"/>
    </row>
    <row r="8" spans="1:16">
      <c r="A8" s="47">
        <v>5</v>
      </c>
      <c r="B8" s="224">
        <v>46027</v>
      </c>
      <c r="C8" s="41">
        <v>0</v>
      </c>
      <c r="D8" s="41"/>
      <c r="E8" s="273">
        <v>0</v>
      </c>
      <c r="F8" s="308">
        <v>0</v>
      </c>
      <c r="G8" s="41">
        <f t="shared" si="0"/>
        <v>0</v>
      </c>
      <c r="H8" s="41"/>
      <c r="I8" s="41"/>
      <c r="J8" s="41">
        <f t="shared" si="1"/>
        <v>0</v>
      </c>
      <c r="K8" s="41">
        <f t="shared" si="2"/>
        <v>0</v>
      </c>
      <c r="L8" s="41">
        <v>0</v>
      </c>
      <c r="M8" s="41">
        <f t="shared" si="3"/>
        <v>0</v>
      </c>
      <c r="N8" s="41"/>
    </row>
    <row r="9" spans="1:16">
      <c r="A9" s="47">
        <v>6</v>
      </c>
      <c r="B9" s="224">
        <v>46028</v>
      </c>
      <c r="C9" s="41">
        <v>0</v>
      </c>
      <c r="D9" s="41"/>
      <c r="E9" s="273">
        <v>0</v>
      </c>
      <c r="F9" s="308">
        <v>0</v>
      </c>
      <c r="G9" s="41">
        <f t="shared" si="0"/>
        <v>0</v>
      </c>
      <c r="H9" s="41"/>
      <c r="I9" s="41"/>
      <c r="J9" s="41">
        <f t="shared" si="1"/>
        <v>0</v>
      </c>
      <c r="K9" s="41">
        <f t="shared" si="2"/>
        <v>0</v>
      </c>
      <c r="L9" s="41">
        <v>0</v>
      </c>
      <c r="M9" s="41">
        <f t="shared" si="3"/>
        <v>0</v>
      </c>
      <c r="N9" s="41"/>
    </row>
    <row r="10" spans="1:16">
      <c r="A10" s="47">
        <v>7</v>
      </c>
      <c r="B10" s="224">
        <v>46029</v>
      </c>
      <c r="C10" s="41">
        <v>0</v>
      </c>
      <c r="D10" s="41"/>
      <c r="E10" s="273">
        <v>0</v>
      </c>
      <c r="F10" s="308">
        <v>0</v>
      </c>
      <c r="G10" s="41">
        <f t="shared" si="0"/>
        <v>0</v>
      </c>
      <c r="H10" s="41"/>
      <c r="I10" s="41"/>
      <c r="J10" s="41">
        <f t="shared" si="1"/>
        <v>0</v>
      </c>
      <c r="K10" s="41">
        <f t="shared" si="2"/>
        <v>0</v>
      </c>
      <c r="L10" s="41">
        <v>0</v>
      </c>
      <c r="M10" s="41">
        <f t="shared" si="3"/>
        <v>0</v>
      </c>
      <c r="N10" s="41"/>
    </row>
    <row r="11" spans="1:16">
      <c r="A11" s="47">
        <v>8</v>
      </c>
      <c r="B11" s="224">
        <v>46030</v>
      </c>
      <c r="C11" s="41">
        <v>0</v>
      </c>
      <c r="D11" s="41"/>
      <c r="E11" s="273">
        <v>0</v>
      </c>
      <c r="F11" s="308">
        <v>0</v>
      </c>
      <c r="G11" s="41">
        <f t="shared" si="0"/>
        <v>0</v>
      </c>
      <c r="H11" s="41"/>
      <c r="I11" s="41"/>
      <c r="J11" s="41">
        <f t="shared" si="1"/>
        <v>0</v>
      </c>
      <c r="K11" s="41">
        <f t="shared" si="2"/>
        <v>0</v>
      </c>
      <c r="L11" s="41">
        <v>0</v>
      </c>
      <c r="M11" s="41">
        <f t="shared" si="3"/>
        <v>0</v>
      </c>
      <c r="N11" s="41"/>
      <c r="P11" s="22"/>
    </row>
    <row r="12" spans="1:16">
      <c r="A12" s="47">
        <v>9</v>
      </c>
      <c r="B12" s="224">
        <v>46031</v>
      </c>
      <c r="C12" s="41">
        <v>0</v>
      </c>
      <c r="D12" s="41"/>
      <c r="E12" s="273">
        <v>0</v>
      </c>
      <c r="F12" s="308">
        <v>0</v>
      </c>
      <c r="G12" s="41">
        <f t="shared" si="0"/>
        <v>0</v>
      </c>
      <c r="H12" s="41"/>
      <c r="I12" s="41"/>
      <c r="J12" s="41">
        <f t="shared" si="1"/>
        <v>0</v>
      </c>
      <c r="K12" s="41">
        <f t="shared" si="2"/>
        <v>0</v>
      </c>
      <c r="L12" s="41">
        <v>0</v>
      </c>
      <c r="M12" s="41">
        <f t="shared" si="3"/>
        <v>0</v>
      </c>
      <c r="N12" s="41"/>
    </row>
    <row r="13" spans="1:16">
      <c r="A13" s="47">
        <v>10</v>
      </c>
      <c r="B13" s="224">
        <v>46032</v>
      </c>
      <c r="C13" s="41">
        <v>0</v>
      </c>
      <c r="D13" s="41"/>
      <c r="E13" s="273">
        <v>0</v>
      </c>
      <c r="F13" s="308">
        <v>0</v>
      </c>
      <c r="G13" s="41">
        <f t="shared" si="0"/>
        <v>0</v>
      </c>
      <c r="H13" s="41"/>
      <c r="I13" s="41"/>
      <c r="J13" s="41">
        <f t="shared" si="1"/>
        <v>0</v>
      </c>
      <c r="K13" s="41">
        <f t="shared" si="2"/>
        <v>0</v>
      </c>
      <c r="L13" s="41">
        <v>0</v>
      </c>
      <c r="M13" s="41">
        <f t="shared" si="3"/>
        <v>0</v>
      </c>
      <c r="N13" s="41"/>
    </row>
    <row r="14" spans="1:16">
      <c r="A14" s="47">
        <v>11</v>
      </c>
      <c r="B14" s="224">
        <v>46033</v>
      </c>
      <c r="C14" s="41">
        <v>0</v>
      </c>
      <c r="D14" s="41"/>
      <c r="E14" s="273">
        <v>0</v>
      </c>
      <c r="F14" s="308">
        <v>0</v>
      </c>
      <c r="G14" s="41">
        <f t="shared" si="0"/>
        <v>0</v>
      </c>
      <c r="H14" s="41"/>
      <c r="I14" s="41"/>
      <c r="J14" s="41">
        <f t="shared" si="1"/>
        <v>0</v>
      </c>
      <c r="K14" s="41">
        <f t="shared" si="2"/>
        <v>0</v>
      </c>
      <c r="L14" s="41">
        <v>0</v>
      </c>
      <c r="M14" s="41">
        <f t="shared" si="3"/>
        <v>0</v>
      </c>
      <c r="N14" s="41"/>
    </row>
    <row r="15" spans="1:16">
      <c r="A15" s="47">
        <v>12</v>
      </c>
      <c r="B15" s="224">
        <v>46034</v>
      </c>
      <c r="C15" s="41">
        <v>0</v>
      </c>
      <c r="D15" s="408" t="s">
        <v>228</v>
      </c>
      <c r="E15" s="273">
        <v>1230.08</v>
      </c>
      <c r="F15" s="308">
        <v>91.32</v>
      </c>
      <c r="G15" s="41">
        <f t="shared" si="0"/>
        <v>112330.90559999998</v>
      </c>
      <c r="H15" s="41">
        <v>20</v>
      </c>
      <c r="I15" s="41">
        <v>103.24</v>
      </c>
      <c r="J15" s="41">
        <f t="shared" si="1"/>
        <v>2064.7999999999997</v>
      </c>
      <c r="K15" s="41">
        <f t="shared" si="2"/>
        <v>114395.70559999999</v>
      </c>
      <c r="L15" s="41">
        <v>0</v>
      </c>
      <c r="M15" s="41">
        <f t="shared" si="3"/>
        <v>114395.70559999999</v>
      </c>
      <c r="N15" s="41"/>
    </row>
    <row r="16" spans="1:16">
      <c r="A16" s="47">
        <v>13</v>
      </c>
      <c r="B16" s="224">
        <v>46035</v>
      </c>
      <c r="C16" s="41">
        <v>0</v>
      </c>
      <c r="D16" s="41"/>
      <c r="E16" s="273">
        <v>942.25</v>
      </c>
      <c r="F16" s="308">
        <v>91.32</v>
      </c>
      <c r="G16" s="41">
        <f t="shared" si="0"/>
        <v>86046.26999999999</v>
      </c>
      <c r="H16" s="41"/>
      <c r="I16" s="41"/>
      <c r="J16" s="41">
        <f t="shared" si="1"/>
        <v>0</v>
      </c>
      <c r="K16" s="41">
        <f t="shared" si="2"/>
        <v>86046.26999999999</v>
      </c>
      <c r="L16" s="41">
        <v>0</v>
      </c>
      <c r="M16" s="41">
        <f>M15+K16-L16</f>
        <v>200441.97559999998</v>
      </c>
      <c r="N16" s="41"/>
    </row>
    <row r="17" spans="1:14">
      <c r="A17" s="47">
        <v>14</v>
      </c>
      <c r="B17" s="224">
        <v>46036</v>
      </c>
      <c r="C17" s="41">
        <v>0</v>
      </c>
      <c r="D17" s="41"/>
      <c r="E17" s="273">
        <v>672</v>
      </c>
      <c r="F17" s="308">
        <v>91.32</v>
      </c>
      <c r="G17" s="41">
        <f t="shared" si="0"/>
        <v>61367.039999999994</v>
      </c>
      <c r="H17" s="41"/>
      <c r="I17" s="41"/>
      <c r="J17" s="41">
        <f t="shared" si="1"/>
        <v>0</v>
      </c>
      <c r="K17" s="41">
        <f t="shared" si="2"/>
        <v>61367.039999999994</v>
      </c>
      <c r="L17" s="41">
        <v>0</v>
      </c>
      <c r="M17" s="41">
        <f t="shared" si="3"/>
        <v>261809.01559999998</v>
      </c>
      <c r="N17" s="41"/>
    </row>
    <row r="18" spans="1:14">
      <c r="A18" s="47">
        <v>15</v>
      </c>
      <c r="B18" s="224">
        <v>46037</v>
      </c>
      <c r="C18" s="41">
        <v>0</v>
      </c>
      <c r="D18" s="41"/>
      <c r="E18" s="273">
        <v>0</v>
      </c>
      <c r="F18" s="308">
        <v>0</v>
      </c>
      <c r="G18" s="41">
        <f t="shared" si="0"/>
        <v>0</v>
      </c>
      <c r="H18" s="41"/>
      <c r="I18" s="41"/>
      <c r="J18" s="41">
        <f t="shared" si="1"/>
        <v>0</v>
      </c>
      <c r="K18" s="41">
        <f t="shared" si="2"/>
        <v>0</v>
      </c>
      <c r="L18" s="41">
        <v>0</v>
      </c>
      <c r="M18" s="41">
        <f t="shared" si="3"/>
        <v>261809.01559999998</v>
      </c>
      <c r="N18" s="41"/>
    </row>
    <row r="19" spans="1:14">
      <c r="A19" s="47">
        <v>16</v>
      </c>
      <c r="B19" s="224">
        <v>46038</v>
      </c>
      <c r="C19" s="41">
        <v>0</v>
      </c>
      <c r="D19" s="41"/>
      <c r="E19" s="273">
        <v>445.65</v>
      </c>
      <c r="F19" s="308">
        <v>91.32</v>
      </c>
      <c r="G19" s="41">
        <f t="shared" si="0"/>
        <v>40696.757999999994</v>
      </c>
      <c r="H19" s="41"/>
      <c r="I19" s="41"/>
      <c r="J19" s="41">
        <f t="shared" si="1"/>
        <v>0</v>
      </c>
      <c r="K19" s="41">
        <f t="shared" si="2"/>
        <v>40696.757999999994</v>
      </c>
      <c r="L19" s="41">
        <v>0</v>
      </c>
      <c r="M19" s="41">
        <f t="shared" si="3"/>
        <v>302505.77359999996</v>
      </c>
      <c r="N19" s="41"/>
    </row>
    <row r="20" spans="1:14">
      <c r="A20" s="47">
        <v>17</v>
      </c>
      <c r="B20" s="224">
        <v>46039</v>
      </c>
      <c r="C20" s="41">
        <v>0</v>
      </c>
      <c r="D20" s="41"/>
      <c r="E20" s="273">
        <v>166</v>
      </c>
      <c r="F20" s="308">
        <v>91.32</v>
      </c>
      <c r="G20" s="41">
        <f t="shared" si="0"/>
        <v>15159.119999999999</v>
      </c>
      <c r="H20" s="41"/>
      <c r="I20" s="41"/>
      <c r="J20" s="41">
        <f t="shared" si="1"/>
        <v>0</v>
      </c>
      <c r="K20" s="41">
        <f t="shared" si="2"/>
        <v>15159.119999999999</v>
      </c>
      <c r="L20" s="41">
        <v>0</v>
      </c>
      <c r="M20" s="41">
        <f t="shared" si="3"/>
        <v>317664.89359999995</v>
      </c>
      <c r="N20" s="41"/>
    </row>
    <row r="21" spans="1:14">
      <c r="A21" s="47">
        <v>18</v>
      </c>
      <c r="B21" s="224">
        <v>46040</v>
      </c>
      <c r="C21" s="41">
        <v>0</v>
      </c>
      <c r="D21" s="41"/>
      <c r="E21" s="273">
        <v>828.19</v>
      </c>
      <c r="F21" s="308">
        <v>91.32</v>
      </c>
      <c r="G21" s="41">
        <f t="shared" si="0"/>
        <v>75630.310800000007</v>
      </c>
      <c r="H21" s="41"/>
      <c r="I21" s="41"/>
      <c r="J21" s="41">
        <f t="shared" si="1"/>
        <v>0</v>
      </c>
      <c r="K21" s="41">
        <f t="shared" si="2"/>
        <v>75630.310800000007</v>
      </c>
      <c r="L21" s="41">
        <v>0</v>
      </c>
      <c r="M21" s="41">
        <f>M20+K21-L21</f>
        <v>393295.20439999993</v>
      </c>
      <c r="N21" s="41"/>
    </row>
    <row r="22" spans="1:14">
      <c r="A22" s="47">
        <v>19</v>
      </c>
      <c r="B22" s="224">
        <v>46041</v>
      </c>
      <c r="C22" s="41">
        <v>0</v>
      </c>
      <c r="D22" s="41"/>
      <c r="E22" s="273">
        <v>607.88</v>
      </c>
      <c r="F22" s="308">
        <v>91.32</v>
      </c>
      <c r="G22" s="41">
        <f t="shared" si="0"/>
        <v>55511.601599999995</v>
      </c>
      <c r="H22" s="41"/>
      <c r="I22" s="41"/>
      <c r="J22" s="41">
        <f t="shared" si="1"/>
        <v>0</v>
      </c>
      <c r="K22" s="41">
        <f t="shared" si="2"/>
        <v>55511.601599999995</v>
      </c>
      <c r="L22" s="41">
        <v>300000</v>
      </c>
      <c r="M22" s="41">
        <f t="shared" si="3"/>
        <v>148806.80599999992</v>
      </c>
      <c r="N22" s="41"/>
    </row>
    <row r="23" spans="1:14">
      <c r="A23" s="47">
        <v>20</v>
      </c>
      <c r="B23" s="224">
        <v>46042</v>
      </c>
      <c r="C23" s="41">
        <v>0</v>
      </c>
      <c r="D23" s="41"/>
      <c r="E23" s="273">
        <v>1071.49</v>
      </c>
      <c r="F23" s="308">
        <v>91.32</v>
      </c>
      <c r="G23" s="41">
        <f t="shared" si="0"/>
        <v>97848.466799999995</v>
      </c>
      <c r="H23" s="41"/>
      <c r="I23" s="41"/>
      <c r="J23" s="41">
        <f t="shared" si="1"/>
        <v>0</v>
      </c>
      <c r="K23" s="41">
        <f t="shared" si="2"/>
        <v>97848.466799999995</v>
      </c>
      <c r="L23" s="41">
        <v>0</v>
      </c>
      <c r="M23" s="41">
        <f t="shared" si="3"/>
        <v>246655.27279999992</v>
      </c>
      <c r="N23" s="41"/>
    </row>
    <row r="24" spans="1:14">
      <c r="A24" s="47">
        <v>21</v>
      </c>
      <c r="B24" s="224">
        <v>46043</v>
      </c>
      <c r="C24" s="41">
        <v>0</v>
      </c>
      <c r="D24" s="41"/>
      <c r="E24" s="273">
        <v>345.98</v>
      </c>
      <c r="F24" s="308">
        <v>91.32</v>
      </c>
      <c r="G24" s="41">
        <f t="shared" si="0"/>
        <v>31594.893599999999</v>
      </c>
      <c r="H24" s="41"/>
      <c r="I24" s="41"/>
      <c r="J24" s="41">
        <f t="shared" si="1"/>
        <v>0</v>
      </c>
      <c r="K24" s="41">
        <f t="shared" si="2"/>
        <v>31594.893599999999</v>
      </c>
      <c r="L24" s="41">
        <v>0</v>
      </c>
      <c r="M24" s="41">
        <f t="shared" si="3"/>
        <v>278250.16639999993</v>
      </c>
      <c r="N24" s="41"/>
    </row>
    <row r="25" spans="1:14">
      <c r="A25" s="47">
        <v>22</v>
      </c>
      <c r="B25" s="224">
        <v>46044</v>
      </c>
      <c r="C25" s="41">
        <v>0</v>
      </c>
      <c r="D25" s="41"/>
      <c r="E25" s="273">
        <v>1008.69</v>
      </c>
      <c r="F25" s="308">
        <v>91.32</v>
      </c>
      <c r="G25" s="41">
        <f t="shared" si="0"/>
        <v>92113.570800000001</v>
      </c>
      <c r="H25" s="41"/>
      <c r="I25" s="41"/>
      <c r="J25" s="41">
        <f t="shared" si="1"/>
        <v>0</v>
      </c>
      <c r="K25" s="41">
        <f t="shared" si="2"/>
        <v>92113.570800000001</v>
      </c>
      <c r="L25" s="41">
        <v>0</v>
      </c>
      <c r="M25" s="41">
        <f t="shared" si="3"/>
        <v>370363.73719999992</v>
      </c>
      <c r="N25" s="41"/>
    </row>
    <row r="26" spans="1:14">
      <c r="A26" s="47">
        <v>23</v>
      </c>
      <c r="B26" s="224">
        <v>46045</v>
      </c>
      <c r="C26" s="41">
        <v>0</v>
      </c>
      <c r="D26" s="41"/>
      <c r="E26" s="273">
        <v>230</v>
      </c>
      <c r="F26" s="308">
        <v>91.32</v>
      </c>
      <c r="G26" s="41">
        <f t="shared" si="0"/>
        <v>21003.599999999999</v>
      </c>
      <c r="H26" s="41"/>
      <c r="I26" s="41"/>
      <c r="J26" s="41">
        <f t="shared" si="1"/>
        <v>0</v>
      </c>
      <c r="K26" s="41">
        <f t="shared" si="2"/>
        <v>21003.599999999999</v>
      </c>
      <c r="L26" s="41">
        <v>0</v>
      </c>
      <c r="M26" s="41">
        <f t="shared" si="3"/>
        <v>391367.33719999989</v>
      </c>
      <c r="N26" s="41"/>
    </row>
    <row r="27" spans="1:14">
      <c r="A27" s="47">
        <v>24</v>
      </c>
      <c r="B27" s="224">
        <v>46046</v>
      </c>
      <c r="C27" s="41">
        <v>0</v>
      </c>
      <c r="D27" s="41"/>
      <c r="E27" s="273">
        <v>448.02</v>
      </c>
      <c r="F27" s="308">
        <v>91.32</v>
      </c>
      <c r="G27" s="41">
        <f t="shared" si="0"/>
        <v>40913.186399999999</v>
      </c>
      <c r="H27" s="41"/>
      <c r="I27" s="41"/>
      <c r="J27" s="41">
        <f t="shared" si="1"/>
        <v>0</v>
      </c>
      <c r="K27" s="41">
        <f t="shared" si="2"/>
        <v>40913.186399999999</v>
      </c>
      <c r="L27" s="41">
        <v>0</v>
      </c>
      <c r="M27" s="41">
        <f t="shared" si="3"/>
        <v>432280.5235999999</v>
      </c>
      <c r="N27" s="41"/>
    </row>
    <row r="28" spans="1:14">
      <c r="A28" s="226">
        <v>25</v>
      </c>
      <c r="B28" s="224">
        <v>46047</v>
      </c>
      <c r="C28" s="41">
        <v>0</v>
      </c>
      <c r="D28" s="41"/>
      <c r="E28" s="273">
        <v>0</v>
      </c>
      <c r="F28" s="308">
        <v>0</v>
      </c>
      <c r="G28" s="41">
        <f t="shared" si="0"/>
        <v>0</v>
      </c>
      <c r="H28" s="41"/>
      <c r="I28" s="41"/>
      <c r="J28" s="41">
        <f t="shared" si="1"/>
        <v>0</v>
      </c>
      <c r="K28" s="41">
        <f t="shared" si="2"/>
        <v>0</v>
      </c>
      <c r="L28" s="41">
        <v>0</v>
      </c>
      <c r="M28" s="41">
        <f t="shared" si="3"/>
        <v>432280.5235999999</v>
      </c>
      <c r="N28" s="41"/>
    </row>
    <row r="29" spans="1:14">
      <c r="A29" s="226">
        <v>26</v>
      </c>
      <c r="B29" s="224">
        <v>46048</v>
      </c>
      <c r="C29" s="41">
        <v>0</v>
      </c>
      <c r="D29" s="41"/>
      <c r="E29" s="273">
        <v>0</v>
      </c>
      <c r="F29" s="308">
        <v>0</v>
      </c>
      <c r="G29" s="41">
        <f t="shared" si="0"/>
        <v>0</v>
      </c>
      <c r="H29" s="41"/>
      <c r="I29" s="41"/>
      <c r="J29" s="41">
        <f t="shared" si="1"/>
        <v>0</v>
      </c>
      <c r="K29" s="41">
        <f t="shared" si="2"/>
        <v>0</v>
      </c>
      <c r="L29" s="41">
        <v>0</v>
      </c>
      <c r="M29" s="41">
        <f t="shared" si="3"/>
        <v>432280.5235999999</v>
      </c>
      <c r="N29" s="41"/>
    </row>
    <row r="30" spans="1:14">
      <c r="A30" s="226">
        <v>27</v>
      </c>
      <c r="B30" s="224">
        <v>46049</v>
      </c>
      <c r="C30" s="41">
        <v>0</v>
      </c>
      <c r="D30" s="41"/>
      <c r="E30" s="273">
        <v>807.62</v>
      </c>
      <c r="F30" s="308">
        <v>91.32</v>
      </c>
      <c r="G30" s="41">
        <f t="shared" si="0"/>
        <v>73751.858399999997</v>
      </c>
      <c r="H30" s="41"/>
      <c r="I30" s="41"/>
      <c r="J30" s="41">
        <f t="shared" si="1"/>
        <v>0</v>
      </c>
      <c r="K30" s="41">
        <f t="shared" si="2"/>
        <v>73751.858399999997</v>
      </c>
      <c r="L30" s="41">
        <v>0</v>
      </c>
      <c r="M30" s="41">
        <f t="shared" si="3"/>
        <v>506032.38199999987</v>
      </c>
      <c r="N30" s="41"/>
    </row>
    <row r="31" spans="1:14">
      <c r="A31" s="226">
        <v>28</v>
      </c>
      <c r="B31" s="224">
        <v>46050</v>
      </c>
      <c r="C31" s="41">
        <v>0</v>
      </c>
      <c r="D31" s="41"/>
      <c r="E31" s="273">
        <v>761.84</v>
      </c>
      <c r="F31" s="308">
        <v>91.32</v>
      </c>
      <c r="G31" s="41">
        <f t="shared" si="0"/>
        <v>69571.228799999997</v>
      </c>
      <c r="H31" s="41"/>
      <c r="I31" s="41"/>
      <c r="J31" s="41">
        <f t="shared" si="1"/>
        <v>0</v>
      </c>
      <c r="K31" s="41">
        <f t="shared" si="2"/>
        <v>69571.228799999997</v>
      </c>
      <c r="L31" s="41">
        <v>0</v>
      </c>
      <c r="M31" s="41">
        <f t="shared" si="3"/>
        <v>575603.61079999991</v>
      </c>
      <c r="N31" s="41"/>
    </row>
    <row r="32" spans="1:14">
      <c r="A32" s="227">
        <v>29</v>
      </c>
      <c r="B32" s="224">
        <v>46051</v>
      </c>
      <c r="C32" s="41">
        <v>0</v>
      </c>
      <c r="D32" s="41"/>
      <c r="E32" s="273">
        <v>0</v>
      </c>
      <c r="F32" s="308">
        <v>0</v>
      </c>
      <c r="G32" s="41">
        <f t="shared" si="0"/>
        <v>0</v>
      </c>
      <c r="H32" s="41"/>
      <c r="I32" s="41"/>
      <c r="J32" s="41">
        <f t="shared" si="1"/>
        <v>0</v>
      </c>
      <c r="K32" s="41">
        <f t="shared" si="2"/>
        <v>0</v>
      </c>
      <c r="L32" s="41">
        <v>0</v>
      </c>
      <c r="M32" s="41">
        <f t="shared" si="3"/>
        <v>575603.61079999991</v>
      </c>
      <c r="N32" s="41"/>
    </row>
    <row r="33" spans="1:14">
      <c r="A33" s="227">
        <v>30</v>
      </c>
      <c r="B33" s="224">
        <v>46052</v>
      </c>
      <c r="C33" s="41">
        <v>0</v>
      </c>
      <c r="D33" s="41"/>
      <c r="E33" s="273">
        <v>0</v>
      </c>
      <c r="F33" s="308">
        <v>0</v>
      </c>
      <c r="G33" s="41">
        <f t="shared" si="0"/>
        <v>0</v>
      </c>
      <c r="H33" s="41"/>
      <c r="I33" s="41"/>
      <c r="J33" s="41">
        <f t="shared" si="1"/>
        <v>0</v>
      </c>
      <c r="K33" s="41">
        <f t="shared" si="2"/>
        <v>0</v>
      </c>
      <c r="L33" s="41">
        <v>0</v>
      </c>
      <c r="M33" s="41">
        <f t="shared" si="3"/>
        <v>575603.61079999991</v>
      </c>
      <c r="N33" s="41"/>
    </row>
    <row r="34" spans="1:14">
      <c r="A34" s="227">
        <v>31</v>
      </c>
      <c r="B34" s="224">
        <v>46053</v>
      </c>
      <c r="C34" s="41">
        <v>0</v>
      </c>
      <c r="D34" s="41"/>
      <c r="E34" s="273">
        <v>789.38</v>
      </c>
      <c r="F34" s="308">
        <v>91.32</v>
      </c>
      <c r="G34" s="41">
        <f t="shared" si="0"/>
        <v>72086.181599999996</v>
      </c>
      <c r="H34" s="41"/>
      <c r="I34" s="41"/>
      <c r="J34" s="41">
        <f t="shared" si="1"/>
        <v>0</v>
      </c>
      <c r="K34" s="41">
        <f t="shared" si="2"/>
        <v>72086.181599999996</v>
      </c>
      <c r="L34" s="41">
        <v>0</v>
      </c>
      <c r="M34" s="41">
        <f t="shared" si="3"/>
        <v>647689.79239999992</v>
      </c>
      <c r="N34" s="41"/>
    </row>
    <row r="35" spans="1:14">
      <c r="A35" s="186"/>
      <c r="B35" s="186"/>
      <c r="C35" s="186"/>
      <c r="D35" s="186"/>
      <c r="E35" s="186">
        <f>SUM(E4:E34)</f>
        <v>10355.070000000002</v>
      </c>
      <c r="F35" s="186"/>
      <c r="G35" s="186">
        <f>SUM(G4:G34)</f>
        <v>945624.99239999987</v>
      </c>
      <c r="H35" s="186">
        <f>SUM(H4:H34)</f>
        <v>20</v>
      </c>
      <c r="I35" s="186"/>
      <c r="J35" s="186">
        <f>SUM(J4:J34)</f>
        <v>2064.7999999999997</v>
      </c>
      <c r="K35" s="186">
        <f>SUM(K4:K34)</f>
        <v>947689.79239999992</v>
      </c>
      <c r="L35" s="186">
        <f>SUM(L4:L34)</f>
        <v>300000</v>
      </c>
      <c r="M35" s="186"/>
      <c r="N35" s="186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926CA-2A8F-4E1A-B43B-A684C6DFAF19}">
  <sheetPr>
    <tabColor theme="3" tint="-0.499984740745262"/>
  </sheetPr>
  <dimension ref="A1:N37"/>
  <sheetViews>
    <sheetView topLeftCell="A20" workbookViewId="0">
      <selection activeCell="L30" sqref="L30"/>
    </sheetView>
  </sheetViews>
  <sheetFormatPr defaultRowHeight="15"/>
  <cols>
    <col min="2" max="2" width="10.5703125" bestFit="1" customWidth="1"/>
    <col min="11" max="11" width="13.5703125" bestFit="1" customWidth="1"/>
    <col min="12" max="12" width="12.42578125" bestFit="1" customWidth="1"/>
  </cols>
  <sheetData>
    <row r="1" spans="1:14" ht="15.75">
      <c r="A1" s="500" t="s">
        <v>270</v>
      </c>
      <c r="B1" s="500"/>
      <c r="C1" s="500"/>
      <c r="D1" s="500"/>
      <c r="E1" s="500"/>
      <c r="F1" s="500"/>
      <c r="G1" s="500"/>
      <c r="H1" s="500"/>
      <c r="I1" s="500"/>
      <c r="J1" s="500"/>
      <c r="K1" s="500"/>
      <c r="L1" s="500"/>
      <c r="M1" s="500"/>
      <c r="N1" s="500"/>
    </row>
    <row r="2" spans="1:14" ht="45">
      <c r="A2" s="127" t="s">
        <v>129</v>
      </c>
      <c r="B2" s="218" t="s">
        <v>130</v>
      </c>
      <c r="C2" s="218" t="s">
        <v>131</v>
      </c>
      <c r="D2" s="218" t="s">
        <v>198</v>
      </c>
      <c r="E2" s="218" t="s">
        <v>133</v>
      </c>
      <c r="F2" s="218" t="s">
        <v>134</v>
      </c>
      <c r="G2" s="218" t="s">
        <v>135</v>
      </c>
      <c r="H2" s="218" t="s">
        <v>136</v>
      </c>
      <c r="I2" s="218" t="s">
        <v>134</v>
      </c>
      <c r="J2" s="218" t="s">
        <v>135</v>
      </c>
      <c r="K2" s="180" t="s">
        <v>137</v>
      </c>
      <c r="L2" s="180" t="s">
        <v>138</v>
      </c>
      <c r="M2" s="180" t="s">
        <v>199</v>
      </c>
      <c r="N2" s="218" t="s">
        <v>140</v>
      </c>
    </row>
    <row r="3" spans="1:14">
      <c r="A3" s="501" t="s">
        <v>141</v>
      </c>
      <c r="B3" s="501"/>
      <c r="C3" s="501"/>
      <c r="D3" s="501"/>
      <c r="E3" s="501"/>
      <c r="F3" s="501"/>
      <c r="G3" s="501"/>
      <c r="H3" s="501"/>
      <c r="I3" s="501"/>
      <c r="J3" s="501"/>
      <c r="K3" s="501"/>
      <c r="L3" s="501"/>
      <c r="M3" s="501">
        <v>0</v>
      </c>
      <c r="N3" s="501"/>
    </row>
    <row r="4" spans="1:14">
      <c r="A4" s="201">
        <v>1</v>
      </c>
      <c r="B4" s="224">
        <v>46023</v>
      </c>
      <c r="C4" s="41">
        <v>0</v>
      </c>
      <c r="D4" s="41"/>
      <c r="E4" s="41">
        <v>0</v>
      </c>
      <c r="F4" s="41">
        <v>0</v>
      </c>
      <c r="G4" s="41">
        <f>E4*F4</f>
        <v>0</v>
      </c>
      <c r="H4" s="41">
        <v>0</v>
      </c>
      <c r="I4" s="41">
        <v>0</v>
      </c>
      <c r="J4" s="41">
        <f>H4*I4</f>
        <v>0</v>
      </c>
      <c r="K4" s="41">
        <f>G4+J4</f>
        <v>0</v>
      </c>
      <c r="L4" s="41">
        <f>+K4</f>
        <v>0</v>
      </c>
      <c r="M4" s="41">
        <f>M3+K4-L4</f>
        <v>0</v>
      </c>
      <c r="N4" s="41"/>
    </row>
    <row r="5" spans="1:14">
      <c r="A5" s="47">
        <v>2</v>
      </c>
      <c r="B5" s="224">
        <v>46024</v>
      </c>
      <c r="C5" s="41">
        <v>0</v>
      </c>
      <c r="D5" s="41"/>
      <c r="E5" s="41">
        <v>30</v>
      </c>
      <c r="F5" s="41">
        <v>91.3</v>
      </c>
      <c r="G5" s="41">
        <f t="shared" ref="G5:G34" si="0">E5*F5</f>
        <v>2739</v>
      </c>
      <c r="H5" s="41">
        <v>16</v>
      </c>
      <c r="I5" s="41">
        <v>103.22</v>
      </c>
      <c r="J5" s="41">
        <f t="shared" ref="J5:J34" si="1">H5*I5</f>
        <v>1651.52</v>
      </c>
      <c r="K5" s="41">
        <f t="shared" ref="K5:K34" si="2">G5+J5</f>
        <v>4390.5200000000004</v>
      </c>
      <c r="L5" s="41">
        <f t="shared" ref="L5:L32" si="3">+K5</f>
        <v>4390.5200000000004</v>
      </c>
      <c r="M5" s="41">
        <f t="shared" ref="M5:M34" si="4">M4+K5-L5</f>
        <v>0</v>
      </c>
      <c r="N5" s="41"/>
    </row>
    <row r="6" spans="1:14">
      <c r="A6" s="47">
        <v>3</v>
      </c>
      <c r="B6" s="224">
        <v>46025</v>
      </c>
      <c r="C6" s="41">
        <v>0</v>
      </c>
      <c r="D6" s="41"/>
      <c r="E6" s="41">
        <v>50</v>
      </c>
      <c r="F6" s="41">
        <v>91.3</v>
      </c>
      <c r="G6" s="41">
        <f t="shared" si="0"/>
        <v>4565</v>
      </c>
      <c r="H6" s="41">
        <v>10</v>
      </c>
      <c r="I6" s="41">
        <v>103.22</v>
      </c>
      <c r="J6" s="41">
        <f t="shared" si="1"/>
        <v>1032.2</v>
      </c>
      <c r="K6" s="41">
        <f t="shared" si="2"/>
        <v>5597.2</v>
      </c>
      <c r="L6" s="41">
        <f t="shared" si="3"/>
        <v>5597.2</v>
      </c>
      <c r="M6" s="41">
        <f t="shared" si="4"/>
        <v>0</v>
      </c>
      <c r="N6" s="41"/>
    </row>
    <row r="7" spans="1:14">
      <c r="A7" s="47">
        <v>4</v>
      </c>
      <c r="B7" s="224">
        <v>46026</v>
      </c>
      <c r="C7" s="41">
        <v>0</v>
      </c>
      <c r="D7" s="41"/>
      <c r="E7" s="41">
        <v>0</v>
      </c>
      <c r="F7" s="41">
        <v>0</v>
      </c>
      <c r="G7" s="41">
        <f t="shared" si="0"/>
        <v>0</v>
      </c>
      <c r="H7" s="41">
        <v>0</v>
      </c>
      <c r="I7" s="41">
        <v>0</v>
      </c>
      <c r="J7" s="41">
        <f t="shared" si="1"/>
        <v>0</v>
      </c>
      <c r="K7" s="41">
        <f t="shared" si="2"/>
        <v>0</v>
      </c>
      <c r="L7" s="41">
        <f t="shared" si="3"/>
        <v>0</v>
      </c>
      <c r="M7" s="41">
        <f t="shared" si="4"/>
        <v>0</v>
      </c>
      <c r="N7" s="41"/>
    </row>
    <row r="8" spans="1:14">
      <c r="A8" s="47">
        <v>5</v>
      </c>
      <c r="B8" s="224">
        <v>46027</v>
      </c>
      <c r="C8" s="41">
        <v>0</v>
      </c>
      <c r="D8" s="41"/>
      <c r="E8" s="41">
        <v>30</v>
      </c>
      <c r="F8" s="41">
        <v>91.3</v>
      </c>
      <c r="G8" s="41">
        <f t="shared" si="0"/>
        <v>2739</v>
      </c>
      <c r="H8" s="41">
        <v>0</v>
      </c>
      <c r="I8" s="41">
        <v>0</v>
      </c>
      <c r="J8" s="41">
        <f t="shared" si="1"/>
        <v>0</v>
      </c>
      <c r="K8" s="41">
        <f t="shared" si="2"/>
        <v>2739</v>
      </c>
      <c r="L8" s="41">
        <f t="shared" si="3"/>
        <v>2739</v>
      </c>
      <c r="M8" s="41">
        <f t="shared" si="4"/>
        <v>0</v>
      </c>
      <c r="N8" s="41"/>
    </row>
    <row r="9" spans="1:14">
      <c r="A9" s="47">
        <v>6</v>
      </c>
      <c r="B9" s="224">
        <v>46028</v>
      </c>
      <c r="C9" s="41">
        <v>0</v>
      </c>
      <c r="D9" s="41"/>
      <c r="E9" s="41">
        <v>50</v>
      </c>
      <c r="F9" s="41">
        <v>91.3</v>
      </c>
      <c r="G9" s="41">
        <f t="shared" si="0"/>
        <v>4565</v>
      </c>
      <c r="H9" s="41">
        <v>0</v>
      </c>
      <c r="I9" s="41">
        <v>0</v>
      </c>
      <c r="J9" s="41">
        <f t="shared" si="1"/>
        <v>0</v>
      </c>
      <c r="K9" s="41">
        <f t="shared" si="2"/>
        <v>4565</v>
      </c>
      <c r="L9" s="41">
        <f t="shared" si="3"/>
        <v>4565</v>
      </c>
      <c r="M9" s="41">
        <f t="shared" si="4"/>
        <v>0</v>
      </c>
      <c r="N9" s="41"/>
    </row>
    <row r="10" spans="1:14">
      <c r="A10" s="47">
        <v>7</v>
      </c>
      <c r="B10" s="224">
        <v>46029</v>
      </c>
      <c r="C10" s="41">
        <v>0</v>
      </c>
      <c r="D10" s="41"/>
      <c r="E10" s="41">
        <v>0</v>
      </c>
      <c r="F10" s="41">
        <v>0</v>
      </c>
      <c r="G10" s="41">
        <f t="shared" si="0"/>
        <v>0</v>
      </c>
      <c r="H10" s="41">
        <v>10</v>
      </c>
      <c r="I10" s="41">
        <v>103.22</v>
      </c>
      <c r="J10" s="41">
        <f t="shared" si="1"/>
        <v>1032.2</v>
      </c>
      <c r="K10" s="41">
        <f t="shared" si="2"/>
        <v>1032.2</v>
      </c>
      <c r="L10" s="41">
        <f t="shared" si="3"/>
        <v>1032.2</v>
      </c>
      <c r="M10" s="41">
        <f t="shared" si="4"/>
        <v>0</v>
      </c>
      <c r="N10" s="41"/>
    </row>
    <row r="11" spans="1:14">
      <c r="A11" s="47">
        <v>8</v>
      </c>
      <c r="B11" s="224">
        <v>46030</v>
      </c>
      <c r="C11" s="41">
        <v>0</v>
      </c>
      <c r="D11" s="41"/>
      <c r="E11" s="41">
        <v>0</v>
      </c>
      <c r="F11" s="41">
        <v>0</v>
      </c>
      <c r="G11" s="41">
        <f t="shared" si="0"/>
        <v>0</v>
      </c>
      <c r="H11" s="41">
        <v>0</v>
      </c>
      <c r="I11" s="41">
        <v>0</v>
      </c>
      <c r="J11" s="41">
        <f t="shared" si="1"/>
        <v>0</v>
      </c>
      <c r="K11" s="41">
        <f t="shared" si="2"/>
        <v>0</v>
      </c>
      <c r="L11" s="41">
        <f t="shared" si="3"/>
        <v>0</v>
      </c>
      <c r="M11" s="41">
        <f t="shared" si="4"/>
        <v>0</v>
      </c>
      <c r="N11" s="41"/>
    </row>
    <row r="12" spans="1:14">
      <c r="A12" s="47">
        <v>9</v>
      </c>
      <c r="B12" s="224">
        <v>46031</v>
      </c>
      <c r="C12" s="41">
        <v>0</v>
      </c>
      <c r="D12" s="41"/>
      <c r="E12" s="41">
        <v>0</v>
      </c>
      <c r="F12" s="41">
        <v>0</v>
      </c>
      <c r="G12" s="41">
        <f t="shared" si="0"/>
        <v>0</v>
      </c>
      <c r="H12" s="41">
        <v>10</v>
      </c>
      <c r="I12" s="41">
        <v>103.22</v>
      </c>
      <c r="J12" s="41">
        <f t="shared" si="1"/>
        <v>1032.2</v>
      </c>
      <c r="K12" s="41">
        <f t="shared" si="2"/>
        <v>1032.2</v>
      </c>
      <c r="L12" s="41">
        <f t="shared" si="3"/>
        <v>1032.2</v>
      </c>
      <c r="M12" s="41">
        <f t="shared" si="4"/>
        <v>0</v>
      </c>
      <c r="N12" s="41"/>
    </row>
    <row r="13" spans="1:14">
      <c r="A13" s="47">
        <v>10</v>
      </c>
      <c r="B13" s="224">
        <v>46032</v>
      </c>
      <c r="C13" s="41">
        <v>0</v>
      </c>
      <c r="D13" s="41"/>
      <c r="E13" s="41">
        <v>80</v>
      </c>
      <c r="F13" s="41">
        <v>91.3</v>
      </c>
      <c r="G13" s="41">
        <f t="shared" si="0"/>
        <v>7304</v>
      </c>
      <c r="H13" s="41">
        <v>10</v>
      </c>
      <c r="I13" s="41">
        <v>103.22</v>
      </c>
      <c r="J13" s="41">
        <f t="shared" si="1"/>
        <v>1032.2</v>
      </c>
      <c r="K13" s="41">
        <f t="shared" si="2"/>
        <v>8336.2000000000007</v>
      </c>
      <c r="L13" s="41">
        <f t="shared" si="3"/>
        <v>8336.2000000000007</v>
      </c>
      <c r="M13" s="41">
        <f t="shared" si="4"/>
        <v>0</v>
      </c>
      <c r="N13" s="41"/>
    </row>
    <row r="14" spans="1:14">
      <c r="A14" s="47">
        <v>11</v>
      </c>
      <c r="B14" s="224">
        <v>46033</v>
      </c>
      <c r="C14" s="41">
        <v>0</v>
      </c>
      <c r="D14" s="41"/>
      <c r="E14" s="41">
        <v>0</v>
      </c>
      <c r="F14" s="41">
        <v>0</v>
      </c>
      <c r="G14" s="41">
        <f t="shared" si="0"/>
        <v>0</v>
      </c>
      <c r="H14" s="41">
        <v>10</v>
      </c>
      <c r="I14" s="41">
        <v>103.22</v>
      </c>
      <c r="J14" s="41">
        <f t="shared" si="1"/>
        <v>1032.2</v>
      </c>
      <c r="K14" s="41">
        <f t="shared" si="2"/>
        <v>1032.2</v>
      </c>
      <c r="L14" s="41">
        <f t="shared" si="3"/>
        <v>1032.2</v>
      </c>
      <c r="M14" s="41">
        <f t="shared" si="4"/>
        <v>0</v>
      </c>
      <c r="N14" s="41"/>
    </row>
    <row r="15" spans="1:14">
      <c r="A15" s="47">
        <v>12</v>
      </c>
      <c r="B15" s="224">
        <v>46034</v>
      </c>
      <c r="C15" s="41">
        <v>0</v>
      </c>
      <c r="D15" s="41"/>
      <c r="E15" s="41">
        <v>0</v>
      </c>
      <c r="F15" s="41">
        <v>0</v>
      </c>
      <c r="G15" s="41">
        <f t="shared" si="0"/>
        <v>0</v>
      </c>
      <c r="H15" s="41">
        <v>10</v>
      </c>
      <c r="I15" s="41">
        <v>103.22</v>
      </c>
      <c r="J15" s="41">
        <f t="shared" si="1"/>
        <v>1032.2</v>
      </c>
      <c r="K15" s="41">
        <f t="shared" si="2"/>
        <v>1032.2</v>
      </c>
      <c r="L15" s="41">
        <f t="shared" si="3"/>
        <v>1032.2</v>
      </c>
      <c r="M15" s="41">
        <f t="shared" si="4"/>
        <v>0</v>
      </c>
      <c r="N15" s="41"/>
    </row>
    <row r="16" spans="1:14">
      <c r="A16" s="47">
        <v>13</v>
      </c>
      <c r="B16" s="224">
        <v>46035</v>
      </c>
      <c r="C16" s="41">
        <v>0</v>
      </c>
      <c r="D16" s="41"/>
      <c r="E16" s="41">
        <v>0</v>
      </c>
      <c r="F16" s="41">
        <v>0</v>
      </c>
      <c r="G16" s="41">
        <f t="shared" si="0"/>
        <v>0</v>
      </c>
      <c r="H16" s="41">
        <v>10</v>
      </c>
      <c r="I16" s="41">
        <v>103.22</v>
      </c>
      <c r="J16" s="41">
        <f t="shared" si="1"/>
        <v>1032.2</v>
      </c>
      <c r="K16" s="41">
        <f t="shared" si="2"/>
        <v>1032.2</v>
      </c>
      <c r="L16" s="41">
        <f t="shared" si="3"/>
        <v>1032.2</v>
      </c>
      <c r="M16" s="41">
        <f t="shared" si="4"/>
        <v>0</v>
      </c>
      <c r="N16" s="41"/>
    </row>
    <row r="17" spans="1:14">
      <c r="A17" s="47">
        <v>14</v>
      </c>
      <c r="B17" s="224">
        <v>46036</v>
      </c>
      <c r="C17" s="41">
        <v>0</v>
      </c>
      <c r="D17" s="41"/>
      <c r="E17" s="41">
        <v>0</v>
      </c>
      <c r="F17" s="41">
        <v>0</v>
      </c>
      <c r="G17" s="41">
        <f t="shared" si="0"/>
        <v>0</v>
      </c>
      <c r="H17" s="41">
        <v>11.43</v>
      </c>
      <c r="I17" s="41">
        <v>103.22</v>
      </c>
      <c r="J17" s="41">
        <f t="shared" si="1"/>
        <v>1179.8045999999999</v>
      </c>
      <c r="K17" s="41">
        <f t="shared" si="2"/>
        <v>1179.8045999999999</v>
      </c>
      <c r="L17" s="41">
        <f t="shared" si="3"/>
        <v>1179.8045999999999</v>
      </c>
      <c r="M17" s="41">
        <f t="shared" si="4"/>
        <v>0</v>
      </c>
      <c r="N17" s="41"/>
    </row>
    <row r="18" spans="1:14">
      <c r="A18" s="47">
        <v>15</v>
      </c>
      <c r="B18" s="224">
        <v>46037</v>
      </c>
      <c r="C18" s="41">
        <v>0</v>
      </c>
      <c r="D18" s="41"/>
      <c r="E18" s="41">
        <v>0</v>
      </c>
      <c r="F18" s="41">
        <v>0</v>
      </c>
      <c r="G18" s="41">
        <f t="shared" si="0"/>
        <v>0</v>
      </c>
      <c r="H18" s="41">
        <v>5</v>
      </c>
      <c r="I18" s="41">
        <v>103.22</v>
      </c>
      <c r="J18" s="41">
        <f t="shared" si="1"/>
        <v>516.1</v>
      </c>
      <c r="K18" s="41">
        <f t="shared" si="2"/>
        <v>516.1</v>
      </c>
      <c r="L18" s="41">
        <f t="shared" si="3"/>
        <v>516.1</v>
      </c>
      <c r="M18" s="41">
        <f t="shared" si="4"/>
        <v>0</v>
      </c>
      <c r="N18" s="41"/>
    </row>
    <row r="19" spans="1:14">
      <c r="A19" s="47">
        <v>16</v>
      </c>
      <c r="B19" s="224">
        <v>46038</v>
      </c>
      <c r="C19" s="41">
        <v>0</v>
      </c>
      <c r="D19" s="41"/>
      <c r="E19" s="41">
        <v>0</v>
      </c>
      <c r="F19" s="41">
        <v>0</v>
      </c>
      <c r="G19" s="41">
        <f t="shared" si="0"/>
        <v>0</v>
      </c>
      <c r="H19" s="41">
        <v>0</v>
      </c>
      <c r="I19" s="41">
        <v>0</v>
      </c>
      <c r="J19" s="41">
        <f t="shared" si="1"/>
        <v>0</v>
      </c>
      <c r="K19" s="41">
        <f t="shared" si="2"/>
        <v>0</v>
      </c>
      <c r="L19" s="41">
        <f t="shared" si="3"/>
        <v>0</v>
      </c>
      <c r="M19" s="41">
        <f t="shared" si="4"/>
        <v>0</v>
      </c>
      <c r="N19" s="41"/>
    </row>
    <row r="20" spans="1:14">
      <c r="A20" s="47">
        <v>17</v>
      </c>
      <c r="B20" s="224">
        <v>46039</v>
      </c>
      <c r="C20" s="41">
        <v>0</v>
      </c>
      <c r="D20" s="41"/>
      <c r="E20" s="41">
        <v>30</v>
      </c>
      <c r="F20" s="41">
        <v>91.3</v>
      </c>
      <c r="G20" s="41">
        <f t="shared" si="0"/>
        <v>2739</v>
      </c>
      <c r="H20" s="41">
        <v>0</v>
      </c>
      <c r="I20" s="41">
        <v>0</v>
      </c>
      <c r="J20" s="41">
        <f t="shared" si="1"/>
        <v>0</v>
      </c>
      <c r="K20" s="41">
        <f t="shared" si="2"/>
        <v>2739</v>
      </c>
      <c r="L20" s="41">
        <f t="shared" si="3"/>
        <v>2739</v>
      </c>
      <c r="M20" s="41">
        <f t="shared" si="4"/>
        <v>0</v>
      </c>
      <c r="N20" s="41"/>
    </row>
    <row r="21" spans="1:14">
      <c r="A21" s="47">
        <v>18</v>
      </c>
      <c r="B21" s="224">
        <v>46040</v>
      </c>
      <c r="C21" s="41">
        <v>0</v>
      </c>
      <c r="D21" s="41"/>
      <c r="E21" s="41">
        <v>0</v>
      </c>
      <c r="F21" s="41">
        <v>0</v>
      </c>
      <c r="G21" s="41">
        <f t="shared" si="0"/>
        <v>0</v>
      </c>
      <c r="H21" s="41">
        <v>0</v>
      </c>
      <c r="I21" s="41">
        <v>0</v>
      </c>
      <c r="J21" s="41">
        <f t="shared" si="1"/>
        <v>0</v>
      </c>
      <c r="K21" s="41">
        <f t="shared" si="2"/>
        <v>0</v>
      </c>
      <c r="L21" s="41">
        <f t="shared" si="3"/>
        <v>0</v>
      </c>
      <c r="M21" s="41">
        <f t="shared" si="4"/>
        <v>0</v>
      </c>
      <c r="N21" s="41"/>
    </row>
    <row r="22" spans="1:14">
      <c r="A22" s="47">
        <v>19</v>
      </c>
      <c r="B22" s="224">
        <v>46041</v>
      </c>
      <c r="C22" s="41">
        <v>0</v>
      </c>
      <c r="D22" s="41"/>
      <c r="E22" s="41">
        <v>0</v>
      </c>
      <c r="F22" s="41">
        <v>0</v>
      </c>
      <c r="G22" s="41">
        <f t="shared" si="0"/>
        <v>0</v>
      </c>
      <c r="H22" s="41">
        <v>0</v>
      </c>
      <c r="I22" s="41">
        <v>0</v>
      </c>
      <c r="J22" s="41">
        <f t="shared" si="1"/>
        <v>0</v>
      </c>
      <c r="K22" s="41">
        <f t="shared" si="2"/>
        <v>0</v>
      </c>
      <c r="L22" s="41">
        <f t="shared" si="3"/>
        <v>0</v>
      </c>
      <c r="M22" s="41">
        <f t="shared" si="4"/>
        <v>0</v>
      </c>
      <c r="N22" s="41"/>
    </row>
    <row r="23" spans="1:14">
      <c r="A23" s="47">
        <v>20</v>
      </c>
      <c r="B23" s="224">
        <v>46042</v>
      </c>
      <c r="C23" s="41">
        <v>0</v>
      </c>
      <c r="D23" s="41"/>
      <c r="E23" s="41">
        <v>30</v>
      </c>
      <c r="F23" s="41">
        <v>91.3</v>
      </c>
      <c r="G23" s="41">
        <f t="shared" si="0"/>
        <v>2739</v>
      </c>
      <c r="H23" s="41">
        <v>10.65</v>
      </c>
      <c r="I23" s="41">
        <v>103.22</v>
      </c>
      <c r="J23" s="41">
        <f t="shared" si="1"/>
        <v>1099.2930000000001</v>
      </c>
      <c r="K23" s="41">
        <f t="shared" si="2"/>
        <v>3838.2930000000001</v>
      </c>
      <c r="L23" s="41">
        <f t="shared" si="3"/>
        <v>3838.2930000000001</v>
      </c>
      <c r="M23" s="41">
        <f t="shared" si="4"/>
        <v>0</v>
      </c>
      <c r="N23" s="41"/>
    </row>
    <row r="24" spans="1:14">
      <c r="A24" s="47">
        <v>21</v>
      </c>
      <c r="B24" s="224">
        <v>46043</v>
      </c>
      <c r="C24" s="41">
        <v>0</v>
      </c>
      <c r="D24" s="41"/>
      <c r="E24" s="41">
        <v>30</v>
      </c>
      <c r="F24" s="41">
        <v>91.3</v>
      </c>
      <c r="G24" s="41">
        <f t="shared" si="0"/>
        <v>2739</v>
      </c>
      <c r="H24" s="41">
        <v>16</v>
      </c>
      <c r="I24" s="41">
        <v>103.22</v>
      </c>
      <c r="J24" s="41">
        <f t="shared" si="1"/>
        <v>1651.52</v>
      </c>
      <c r="K24" s="41">
        <f t="shared" si="2"/>
        <v>4390.5200000000004</v>
      </c>
      <c r="L24" s="41">
        <f t="shared" si="3"/>
        <v>4390.5200000000004</v>
      </c>
      <c r="M24" s="41">
        <f t="shared" si="4"/>
        <v>0</v>
      </c>
      <c r="N24" s="41"/>
    </row>
    <row r="25" spans="1:14">
      <c r="A25" s="47">
        <v>22</v>
      </c>
      <c r="B25" s="224">
        <v>46044</v>
      </c>
      <c r="C25" s="41">
        <v>0</v>
      </c>
      <c r="D25" s="41"/>
      <c r="E25" s="41">
        <v>0</v>
      </c>
      <c r="F25" s="41">
        <v>0</v>
      </c>
      <c r="G25" s="41">
        <f t="shared" si="0"/>
        <v>0</v>
      </c>
      <c r="H25" s="41">
        <v>0</v>
      </c>
      <c r="I25" s="41">
        <v>0</v>
      </c>
      <c r="J25" s="41">
        <f t="shared" si="1"/>
        <v>0</v>
      </c>
      <c r="K25" s="41">
        <f t="shared" si="2"/>
        <v>0</v>
      </c>
      <c r="L25" s="41">
        <f t="shared" si="3"/>
        <v>0</v>
      </c>
      <c r="M25" s="41">
        <f t="shared" si="4"/>
        <v>0</v>
      </c>
      <c r="N25" s="41"/>
    </row>
    <row r="26" spans="1:14">
      <c r="A26" s="47">
        <v>23</v>
      </c>
      <c r="B26" s="224">
        <v>46045</v>
      </c>
      <c r="C26" s="41">
        <v>0</v>
      </c>
      <c r="D26" s="41"/>
      <c r="E26" s="41">
        <v>0</v>
      </c>
      <c r="F26" s="41">
        <v>0</v>
      </c>
      <c r="G26" s="41">
        <f t="shared" si="0"/>
        <v>0</v>
      </c>
      <c r="H26" s="41">
        <v>0</v>
      </c>
      <c r="I26" s="41">
        <v>0</v>
      </c>
      <c r="J26" s="41">
        <f t="shared" si="1"/>
        <v>0</v>
      </c>
      <c r="K26" s="41">
        <f t="shared" si="2"/>
        <v>0</v>
      </c>
      <c r="L26" s="41">
        <f t="shared" si="3"/>
        <v>0</v>
      </c>
      <c r="M26" s="41">
        <f t="shared" si="4"/>
        <v>0</v>
      </c>
      <c r="N26" s="41"/>
    </row>
    <row r="27" spans="1:14">
      <c r="A27" s="47">
        <v>24</v>
      </c>
      <c r="B27" s="224">
        <v>46046</v>
      </c>
      <c r="C27" s="41">
        <v>0</v>
      </c>
      <c r="D27" s="41"/>
      <c r="E27" s="41">
        <v>30</v>
      </c>
      <c r="F27" s="41">
        <v>91.3</v>
      </c>
      <c r="G27" s="41">
        <f t="shared" si="0"/>
        <v>2739</v>
      </c>
      <c r="H27" s="41">
        <v>15</v>
      </c>
      <c r="I27" s="41">
        <v>103.22</v>
      </c>
      <c r="J27" s="41">
        <f t="shared" si="1"/>
        <v>1548.3</v>
      </c>
      <c r="K27" s="41">
        <f t="shared" si="2"/>
        <v>4287.3</v>
      </c>
      <c r="L27" s="41">
        <f t="shared" si="3"/>
        <v>4287.3</v>
      </c>
      <c r="M27" s="41">
        <f t="shared" si="4"/>
        <v>0</v>
      </c>
      <c r="N27" s="41"/>
    </row>
    <row r="28" spans="1:14">
      <c r="A28" s="226">
        <v>25</v>
      </c>
      <c r="B28" s="224">
        <v>46047</v>
      </c>
      <c r="C28" s="41">
        <v>0</v>
      </c>
      <c r="D28" s="41"/>
      <c r="E28" s="41">
        <v>0</v>
      </c>
      <c r="F28" s="41">
        <v>0</v>
      </c>
      <c r="G28" s="41">
        <f t="shared" si="0"/>
        <v>0</v>
      </c>
      <c r="H28" s="41">
        <v>0</v>
      </c>
      <c r="I28" s="41">
        <v>0</v>
      </c>
      <c r="J28" s="41">
        <f t="shared" si="1"/>
        <v>0</v>
      </c>
      <c r="K28" s="41">
        <f t="shared" si="2"/>
        <v>0</v>
      </c>
      <c r="L28" s="41">
        <f t="shared" si="3"/>
        <v>0</v>
      </c>
      <c r="M28" s="41">
        <f t="shared" si="4"/>
        <v>0</v>
      </c>
      <c r="N28" s="41"/>
    </row>
    <row r="29" spans="1:14">
      <c r="A29" s="226">
        <v>26</v>
      </c>
      <c r="B29" s="224">
        <v>46048</v>
      </c>
      <c r="C29" s="41">
        <v>0</v>
      </c>
      <c r="D29" s="41"/>
      <c r="E29" s="41">
        <v>0</v>
      </c>
      <c r="F29" s="41">
        <v>0</v>
      </c>
      <c r="G29" s="41">
        <f t="shared" si="0"/>
        <v>0</v>
      </c>
      <c r="H29" s="41">
        <v>0</v>
      </c>
      <c r="I29" s="41">
        <v>0</v>
      </c>
      <c r="J29" s="41">
        <f t="shared" si="1"/>
        <v>0</v>
      </c>
      <c r="K29" s="41">
        <f t="shared" si="2"/>
        <v>0</v>
      </c>
      <c r="L29" s="41">
        <f t="shared" si="3"/>
        <v>0</v>
      </c>
      <c r="M29" s="41">
        <f t="shared" si="4"/>
        <v>0</v>
      </c>
      <c r="N29" s="41"/>
    </row>
    <row r="30" spans="1:14">
      <c r="A30" s="226">
        <v>27</v>
      </c>
      <c r="B30" s="224">
        <v>46049</v>
      </c>
      <c r="C30" s="41">
        <v>0</v>
      </c>
      <c r="D30" s="41"/>
      <c r="E30" s="41">
        <v>30</v>
      </c>
      <c r="F30" s="41">
        <v>91.3</v>
      </c>
      <c r="G30" s="41">
        <f t="shared" si="0"/>
        <v>2739</v>
      </c>
      <c r="H30" s="41">
        <v>15.17</v>
      </c>
      <c r="I30" s="41">
        <v>103.22</v>
      </c>
      <c r="J30" s="41">
        <f t="shared" si="1"/>
        <v>1565.8473999999999</v>
      </c>
      <c r="K30" s="41">
        <f t="shared" si="2"/>
        <v>4304.8473999999997</v>
      </c>
      <c r="L30" s="41">
        <f t="shared" si="3"/>
        <v>4304.8473999999997</v>
      </c>
      <c r="M30" s="41">
        <f t="shared" si="4"/>
        <v>0</v>
      </c>
      <c r="N30" s="41"/>
    </row>
    <row r="31" spans="1:14">
      <c r="A31" s="226">
        <v>28</v>
      </c>
      <c r="B31" s="224">
        <v>46050</v>
      </c>
      <c r="C31" s="41">
        <v>0</v>
      </c>
      <c r="D31" s="41"/>
      <c r="E31" s="41">
        <v>0</v>
      </c>
      <c r="F31" s="41">
        <v>0</v>
      </c>
      <c r="G31" s="41">
        <f t="shared" si="0"/>
        <v>0</v>
      </c>
      <c r="H31" s="41">
        <v>0</v>
      </c>
      <c r="I31" s="41">
        <v>0</v>
      </c>
      <c r="J31" s="41">
        <f t="shared" si="1"/>
        <v>0</v>
      </c>
      <c r="K31" s="41">
        <f t="shared" si="2"/>
        <v>0</v>
      </c>
      <c r="L31" s="41">
        <f t="shared" si="3"/>
        <v>0</v>
      </c>
      <c r="M31" s="41">
        <f t="shared" si="4"/>
        <v>0</v>
      </c>
      <c r="N31" s="41"/>
    </row>
    <row r="32" spans="1:14">
      <c r="A32" s="227">
        <v>29</v>
      </c>
      <c r="B32" s="224">
        <v>46051</v>
      </c>
      <c r="C32" s="41">
        <v>0</v>
      </c>
      <c r="D32" s="41"/>
      <c r="E32" s="41">
        <v>0</v>
      </c>
      <c r="F32" s="41">
        <v>0</v>
      </c>
      <c r="G32" s="41">
        <f t="shared" si="0"/>
        <v>0</v>
      </c>
      <c r="H32" s="41">
        <v>0</v>
      </c>
      <c r="I32" s="41">
        <v>0</v>
      </c>
      <c r="J32" s="41">
        <f t="shared" si="1"/>
        <v>0</v>
      </c>
      <c r="K32" s="41">
        <f t="shared" si="2"/>
        <v>0</v>
      </c>
      <c r="L32" s="41">
        <f t="shared" si="3"/>
        <v>0</v>
      </c>
      <c r="M32" s="41">
        <f t="shared" si="4"/>
        <v>0</v>
      </c>
      <c r="N32" s="41"/>
    </row>
    <row r="33" spans="1:14">
      <c r="A33" s="227">
        <v>30</v>
      </c>
      <c r="B33" s="224">
        <v>46052</v>
      </c>
      <c r="C33" s="41">
        <v>0</v>
      </c>
      <c r="D33" s="41"/>
      <c r="E33" s="41">
        <v>0</v>
      </c>
      <c r="F33" s="41">
        <v>0</v>
      </c>
      <c r="G33" s="41">
        <f t="shared" si="0"/>
        <v>0</v>
      </c>
      <c r="H33" s="41">
        <v>0</v>
      </c>
      <c r="I33" s="41">
        <v>0</v>
      </c>
      <c r="J33" s="41">
        <f t="shared" si="1"/>
        <v>0</v>
      </c>
      <c r="K33" s="41">
        <f t="shared" si="2"/>
        <v>0</v>
      </c>
      <c r="L33" s="41">
        <f t="shared" ref="L33:L34" si="5">+K33</f>
        <v>0</v>
      </c>
      <c r="M33" s="41">
        <f t="shared" si="4"/>
        <v>0</v>
      </c>
      <c r="N33" s="41"/>
    </row>
    <row r="34" spans="1:14">
      <c r="A34" s="227">
        <v>31</v>
      </c>
      <c r="B34" s="224">
        <v>46053</v>
      </c>
      <c r="C34" s="41">
        <v>0</v>
      </c>
      <c r="D34" s="41"/>
      <c r="E34" s="41">
        <v>0</v>
      </c>
      <c r="F34" s="41">
        <v>0</v>
      </c>
      <c r="G34" s="41">
        <f t="shared" si="0"/>
        <v>0</v>
      </c>
      <c r="H34" s="41">
        <v>0</v>
      </c>
      <c r="I34" s="41">
        <v>0</v>
      </c>
      <c r="J34" s="41">
        <f t="shared" si="1"/>
        <v>0</v>
      </c>
      <c r="K34" s="41">
        <f t="shared" si="2"/>
        <v>0</v>
      </c>
      <c r="L34" s="41">
        <f t="shared" si="5"/>
        <v>0</v>
      </c>
      <c r="M34" s="41">
        <f t="shared" si="4"/>
        <v>0</v>
      </c>
      <c r="N34" s="41"/>
    </row>
    <row r="35" spans="1:14">
      <c r="A35" s="186"/>
      <c r="B35" s="186"/>
      <c r="C35" s="186"/>
      <c r="D35" s="186"/>
      <c r="E35" s="186">
        <f>SUM(E4:E34)</f>
        <v>390</v>
      </c>
      <c r="F35" s="186"/>
      <c r="G35" s="186">
        <f>SUM(G4:G34)</f>
        <v>35607</v>
      </c>
      <c r="H35" s="186">
        <f>SUM(H4:H34)</f>
        <v>159.25</v>
      </c>
      <c r="I35" s="186"/>
      <c r="J35" s="186">
        <f>SUM(J4:J34)</f>
        <v>16437.785</v>
      </c>
      <c r="K35" s="186">
        <f>SUM(K4:K34)</f>
        <v>52044.785000000003</v>
      </c>
      <c r="L35" s="186">
        <f>SUM(L4:L34)</f>
        <v>52044.785000000003</v>
      </c>
      <c r="M35" s="186"/>
      <c r="N35" s="186"/>
    </row>
    <row r="37" spans="1:14">
      <c r="E37">
        <v>295</v>
      </c>
      <c r="H37">
        <v>41.17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A786B-C2B4-4667-9DF4-66A04CD3EC97}">
  <sheetPr>
    <tabColor rgb="FF92D050"/>
  </sheetPr>
  <dimension ref="A1:O46"/>
  <sheetViews>
    <sheetView workbookViewId="0">
      <pane ySplit="2" topLeftCell="B15" activePane="bottomLeft" state="frozen"/>
      <selection pane="bottomLeft" activeCell="M23" sqref="M23"/>
    </sheetView>
  </sheetViews>
  <sheetFormatPr defaultRowHeight="15"/>
  <cols>
    <col min="1" max="1" width="9.140625" style="5"/>
    <col min="2" max="2" width="11.7109375" style="5" bestFit="1" customWidth="1"/>
    <col min="3" max="3" width="9.140625" style="5"/>
    <col min="4" max="4" width="13.140625" style="5" customWidth="1"/>
    <col min="5" max="5" width="10.140625" style="5" customWidth="1"/>
    <col min="6" max="6" width="9.140625" style="5"/>
    <col min="7" max="7" width="10.85546875" style="105" bestFit="1" customWidth="1"/>
    <col min="8" max="8" width="11.140625" style="5" customWidth="1"/>
    <col min="9" max="9" width="9.140625" style="5"/>
    <col min="10" max="10" width="10.85546875" style="105" bestFit="1" customWidth="1"/>
    <col min="11" max="11" width="12.85546875" style="5" customWidth="1"/>
    <col min="12" max="12" width="13.5703125" style="105" bestFit="1" customWidth="1"/>
    <col min="13" max="13" width="13.5703125" style="105" customWidth="1"/>
    <col min="14" max="14" width="13.5703125" style="5" bestFit="1" customWidth="1"/>
    <col min="15" max="16" width="9.140625" style="5"/>
    <col min="17" max="17" width="12.5703125" style="5" customWidth="1"/>
    <col min="18" max="18" width="11.85546875" style="5" customWidth="1"/>
    <col min="19" max="16384" width="9.140625" style="5"/>
  </cols>
  <sheetData>
    <row r="1" spans="1:14" ht="15.75">
      <c r="A1" s="478" t="s">
        <v>271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</row>
    <row r="2" spans="1:14" ht="18" customHeight="1">
      <c r="A2" s="67" t="s">
        <v>129</v>
      </c>
      <c r="B2" s="86" t="s">
        <v>130</v>
      </c>
      <c r="C2" s="86" t="s">
        <v>131</v>
      </c>
      <c r="D2" s="86" t="s">
        <v>198</v>
      </c>
      <c r="E2" s="86" t="s">
        <v>133</v>
      </c>
      <c r="F2" s="86" t="s">
        <v>134</v>
      </c>
      <c r="G2" s="93" t="s">
        <v>135</v>
      </c>
      <c r="H2" s="86" t="s">
        <v>136</v>
      </c>
      <c r="I2" s="86" t="s">
        <v>134</v>
      </c>
      <c r="J2" s="93" t="s">
        <v>135</v>
      </c>
      <c r="K2" s="67" t="s">
        <v>137</v>
      </c>
      <c r="L2" s="94" t="s">
        <v>138</v>
      </c>
      <c r="M2" s="130" t="s">
        <v>199</v>
      </c>
      <c r="N2" s="86" t="s">
        <v>140</v>
      </c>
    </row>
    <row r="3" spans="1:14" ht="18" customHeight="1">
      <c r="A3" s="502" t="s">
        <v>141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3"/>
      <c r="M3" s="305"/>
      <c r="N3" s="304">
        <v>21107.79589999999</v>
      </c>
    </row>
    <row r="4" spans="1:14">
      <c r="A4" s="6">
        <v>1</v>
      </c>
      <c r="B4" s="81" t="s">
        <v>272</v>
      </c>
      <c r="C4" s="6"/>
      <c r="D4" s="6"/>
      <c r="E4" s="68"/>
      <c r="F4" s="6"/>
      <c r="G4" s="69">
        <f>E4*F4</f>
        <v>0</v>
      </c>
      <c r="H4" s="68">
        <v>10</v>
      </c>
      <c r="I4" s="341">
        <v>103.44</v>
      </c>
      <c r="J4" s="69">
        <f>H4*I4</f>
        <v>1034.4000000000001</v>
      </c>
      <c r="K4" s="69">
        <f>G4+J4</f>
        <v>1034.4000000000001</v>
      </c>
      <c r="L4" s="69"/>
      <c r="M4" s="306">
        <f>N3+K4-L4</f>
        <v>22142.195899999992</v>
      </c>
      <c r="N4" s="47" t="s">
        <v>230</v>
      </c>
    </row>
    <row r="5" spans="1:14">
      <c r="A5" s="6">
        <v>2</v>
      </c>
      <c r="B5" s="81" t="s">
        <v>273</v>
      </c>
      <c r="C5" s="6"/>
      <c r="D5" s="6"/>
      <c r="E5" s="68">
        <v>20</v>
      </c>
      <c r="F5" s="6">
        <v>91.5</v>
      </c>
      <c r="G5" s="69">
        <f t="shared" ref="G5:G44" si="0">E5*F5</f>
        <v>1830</v>
      </c>
      <c r="H5" s="68">
        <v>13</v>
      </c>
      <c r="I5" s="341">
        <v>103.44</v>
      </c>
      <c r="J5" s="69">
        <f t="shared" ref="J5:J44" si="1">H5*I5</f>
        <v>1344.72</v>
      </c>
      <c r="K5" s="69">
        <f t="shared" ref="K5:K44" si="2">G5+J5</f>
        <v>3174.7200000000003</v>
      </c>
      <c r="L5" s="69"/>
      <c r="M5" s="152">
        <f>M4+K5-L5</f>
        <v>25316.915899999993</v>
      </c>
      <c r="N5" s="47" t="s">
        <v>230</v>
      </c>
    </row>
    <row r="6" spans="1:14">
      <c r="A6" s="6">
        <v>3</v>
      </c>
      <c r="B6" s="81" t="s">
        <v>274</v>
      </c>
      <c r="C6" s="6"/>
      <c r="D6" s="6"/>
      <c r="E6" s="68">
        <v>5</v>
      </c>
      <c r="F6" s="6">
        <v>91.5</v>
      </c>
      <c r="G6" s="69">
        <f t="shared" si="0"/>
        <v>457.5</v>
      </c>
      <c r="H6" s="68">
        <v>4.83</v>
      </c>
      <c r="I6" s="341">
        <v>103.44</v>
      </c>
      <c r="J6" s="69">
        <f t="shared" si="1"/>
        <v>499.61520000000002</v>
      </c>
      <c r="K6" s="69">
        <f t="shared" si="2"/>
        <v>957.11519999999996</v>
      </c>
      <c r="L6" s="69"/>
      <c r="M6" s="152">
        <f t="shared" ref="M5:M45" si="3">M5+K6-L6</f>
        <v>26274.031099999993</v>
      </c>
      <c r="N6" s="47" t="s">
        <v>230</v>
      </c>
    </row>
    <row r="7" spans="1:14">
      <c r="A7" s="6">
        <v>4</v>
      </c>
      <c r="B7" s="81" t="s">
        <v>275</v>
      </c>
      <c r="C7" s="6"/>
      <c r="D7" s="6"/>
      <c r="E7" s="68">
        <v>46.23</v>
      </c>
      <c r="F7" s="6">
        <v>91.5</v>
      </c>
      <c r="G7" s="69">
        <f t="shared" si="0"/>
        <v>4230.0450000000001</v>
      </c>
      <c r="H7" s="68"/>
      <c r="I7" s="6"/>
      <c r="J7" s="69">
        <f t="shared" si="1"/>
        <v>0</v>
      </c>
      <c r="K7" s="69">
        <f t="shared" si="2"/>
        <v>4230.0450000000001</v>
      </c>
      <c r="L7" s="69"/>
      <c r="M7" s="152">
        <f t="shared" si="3"/>
        <v>30504.076099999991</v>
      </c>
      <c r="N7" s="47" t="s">
        <v>230</v>
      </c>
    </row>
    <row r="8" spans="1:14">
      <c r="A8" s="6">
        <v>5</v>
      </c>
      <c r="B8" s="81" t="s">
        <v>276</v>
      </c>
      <c r="C8" s="6"/>
      <c r="D8" s="6"/>
      <c r="E8" s="68"/>
      <c r="F8" s="6"/>
      <c r="G8" s="69">
        <f t="shared" si="0"/>
        <v>0</v>
      </c>
      <c r="H8" s="68">
        <v>6.76</v>
      </c>
      <c r="I8" s="341">
        <v>103.44</v>
      </c>
      <c r="J8" s="69">
        <f t="shared" si="1"/>
        <v>699.25439999999992</v>
      </c>
      <c r="K8" s="69">
        <f t="shared" si="2"/>
        <v>699.25439999999992</v>
      </c>
      <c r="L8" s="69"/>
      <c r="M8" s="152">
        <f>M7+K8-L8</f>
        <v>31203.330499999993</v>
      </c>
      <c r="N8" s="47" t="s">
        <v>230</v>
      </c>
    </row>
    <row r="9" spans="1:14">
      <c r="A9" s="6">
        <v>6</v>
      </c>
      <c r="B9" s="81" t="s">
        <v>277</v>
      </c>
      <c r="C9" s="6"/>
      <c r="D9" s="6"/>
      <c r="E9" s="68">
        <v>42.01</v>
      </c>
      <c r="F9" s="6">
        <v>91.5</v>
      </c>
      <c r="G9" s="69">
        <f t="shared" si="0"/>
        <v>3843.915</v>
      </c>
      <c r="H9" s="68"/>
      <c r="I9" s="6"/>
      <c r="J9" s="69">
        <f t="shared" si="1"/>
        <v>0</v>
      </c>
      <c r="K9" s="69">
        <f t="shared" si="2"/>
        <v>3843.915</v>
      </c>
      <c r="L9" s="69"/>
      <c r="M9" s="152">
        <f t="shared" ref="M9:M45" si="4">M8+K9-L9</f>
        <v>35047.24549999999</v>
      </c>
      <c r="N9" s="47" t="s">
        <v>230</v>
      </c>
    </row>
    <row r="10" spans="1:14">
      <c r="A10" s="6">
        <v>7</v>
      </c>
      <c r="B10" s="81" t="s">
        <v>278</v>
      </c>
      <c r="C10" s="6"/>
      <c r="D10" s="6"/>
      <c r="E10" s="68">
        <v>17.079999999999998</v>
      </c>
      <c r="F10" s="6">
        <v>91.5</v>
      </c>
      <c r="G10" s="69">
        <f t="shared" si="0"/>
        <v>1562.82</v>
      </c>
      <c r="H10" s="68">
        <v>5</v>
      </c>
      <c r="I10" s="6">
        <v>103.44</v>
      </c>
      <c r="J10" s="69">
        <f t="shared" si="1"/>
        <v>517.20000000000005</v>
      </c>
      <c r="K10" s="69">
        <f t="shared" si="2"/>
        <v>2080.02</v>
      </c>
      <c r="L10" s="69"/>
      <c r="M10" s="152">
        <f t="shared" si="4"/>
        <v>37127.265499999987</v>
      </c>
      <c r="N10" s="47" t="s">
        <v>230</v>
      </c>
    </row>
    <row r="11" spans="1:14">
      <c r="A11" s="6">
        <v>8</v>
      </c>
      <c r="B11" s="81" t="s">
        <v>279</v>
      </c>
      <c r="C11" s="6"/>
      <c r="D11" s="6"/>
      <c r="E11" s="68">
        <v>80.11</v>
      </c>
      <c r="F11" s="6">
        <v>91.5</v>
      </c>
      <c r="G11" s="69">
        <f t="shared" si="0"/>
        <v>7330.0649999999996</v>
      </c>
      <c r="H11" s="68"/>
      <c r="I11" s="6"/>
      <c r="J11" s="69">
        <f t="shared" si="1"/>
        <v>0</v>
      </c>
      <c r="K11" s="69">
        <f t="shared" si="2"/>
        <v>7330.0649999999996</v>
      </c>
      <c r="L11" s="69"/>
      <c r="M11" s="152">
        <f t="shared" si="4"/>
        <v>44457.330499999989</v>
      </c>
      <c r="N11" s="47" t="s">
        <v>230</v>
      </c>
    </row>
    <row r="12" spans="1:14">
      <c r="A12" s="6">
        <v>9</v>
      </c>
      <c r="B12" s="81" t="s">
        <v>280</v>
      </c>
      <c r="C12" s="6"/>
      <c r="D12" s="6"/>
      <c r="E12" s="68"/>
      <c r="F12" s="6"/>
      <c r="G12" s="69">
        <f t="shared" si="0"/>
        <v>0</v>
      </c>
      <c r="H12" s="68"/>
      <c r="I12" s="6"/>
      <c r="J12" s="69">
        <f t="shared" si="1"/>
        <v>0</v>
      </c>
      <c r="K12" s="69">
        <f t="shared" si="2"/>
        <v>0</v>
      </c>
      <c r="L12" s="69">
        <v>20000</v>
      </c>
      <c r="M12" s="152">
        <f t="shared" si="4"/>
        <v>24457.330499999989</v>
      </c>
      <c r="N12" s="47" t="s">
        <v>230</v>
      </c>
    </row>
    <row r="13" spans="1:14">
      <c r="A13" s="6">
        <v>10</v>
      </c>
      <c r="B13" s="81" t="s">
        <v>281</v>
      </c>
      <c r="C13" s="6"/>
      <c r="D13" s="6"/>
      <c r="E13" s="68">
        <v>16.23</v>
      </c>
      <c r="F13" s="6">
        <v>91.5</v>
      </c>
      <c r="G13" s="69">
        <f t="shared" si="0"/>
        <v>1485.0450000000001</v>
      </c>
      <c r="H13" s="68"/>
      <c r="I13" s="6"/>
      <c r="J13" s="69">
        <f t="shared" si="1"/>
        <v>0</v>
      </c>
      <c r="K13" s="69">
        <f t="shared" si="2"/>
        <v>1485.0450000000001</v>
      </c>
      <c r="L13" s="69"/>
      <c r="M13" s="152">
        <f t="shared" si="4"/>
        <v>25942.375499999987</v>
      </c>
      <c r="N13" s="47" t="s">
        <v>230</v>
      </c>
    </row>
    <row r="14" spans="1:14">
      <c r="A14" s="6">
        <v>11</v>
      </c>
      <c r="B14" s="81" t="s">
        <v>119</v>
      </c>
      <c r="C14" s="6"/>
      <c r="D14" s="6"/>
      <c r="E14" s="326"/>
      <c r="F14" s="341"/>
      <c r="G14" s="69">
        <f t="shared" si="0"/>
        <v>0</v>
      </c>
      <c r="H14" s="326">
        <v>8</v>
      </c>
      <c r="I14" s="341">
        <v>103.44</v>
      </c>
      <c r="J14" s="69">
        <f t="shared" si="1"/>
        <v>827.52</v>
      </c>
      <c r="K14" s="69">
        <f t="shared" si="2"/>
        <v>827.52</v>
      </c>
      <c r="L14" s="69"/>
      <c r="M14" s="152">
        <f t="shared" si="4"/>
        <v>26769.895499999988</v>
      </c>
      <c r="N14" s="47" t="s">
        <v>230</v>
      </c>
    </row>
    <row r="15" spans="1:14">
      <c r="A15" s="6">
        <v>12</v>
      </c>
      <c r="B15" s="81" t="s">
        <v>282</v>
      </c>
      <c r="C15" s="6"/>
      <c r="D15" s="6"/>
      <c r="E15" s="326"/>
      <c r="F15" s="341"/>
      <c r="G15" s="69">
        <f t="shared" si="0"/>
        <v>0</v>
      </c>
      <c r="H15" s="326">
        <v>4.83</v>
      </c>
      <c r="I15" s="341">
        <v>103.44</v>
      </c>
      <c r="J15" s="69">
        <f t="shared" si="1"/>
        <v>499.61520000000002</v>
      </c>
      <c r="K15" s="69">
        <f t="shared" si="2"/>
        <v>499.61520000000002</v>
      </c>
      <c r="L15" s="69"/>
      <c r="M15" s="152">
        <f t="shared" si="4"/>
        <v>27269.510699999988</v>
      </c>
      <c r="N15" s="47" t="s">
        <v>230</v>
      </c>
    </row>
    <row r="16" spans="1:14">
      <c r="A16" s="6">
        <v>13</v>
      </c>
      <c r="B16" s="81" t="s">
        <v>283</v>
      </c>
      <c r="C16" s="6"/>
      <c r="D16" s="6"/>
      <c r="E16" s="68"/>
      <c r="F16" s="341"/>
      <c r="G16" s="69">
        <f t="shared" si="0"/>
        <v>0</v>
      </c>
      <c r="H16" s="68">
        <v>5.99</v>
      </c>
      <c r="I16" s="341">
        <v>103.44</v>
      </c>
      <c r="J16" s="69">
        <f t="shared" si="1"/>
        <v>619.60559999999998</v>
      </c>
      <c r="K16" s="69">
        <f t="shared" si="2"/>
        <v>619.60559999999998</v>
      </c>
      <c r="L16" s="69">
        <v>27000</v>
      </c>
      <c r="M16" s="152">
        <f t="shared" si="4"/>
        <v>889.11629999998695</v>
      </c>
      <c r="N16" s="47" t="s">
        <v>230</v>
      </c>
    </row>
    <row r="17" spans="1:14">
      <c r="A17" s="6">
        <v>14</v>
      </c>
      <c r="B17" s="81" t="s">
        <v>284</v>
      </c>
      <c r="C17" s="6"/>
      <c r="D17" s="6"/>
      <c r="E17" s="68">
        <v>4</v>
      </c>
      <c r="F17" s="6">
        <v>91.5</v>
      </c>
      <c r="G17" s="69">
        <f t="shared" si="0"/>
        <v>366</v>
      </c>
      <c r="H17" s="326">
        <v>4.83</v>
      </c>
      <c r="I17" s="341">
        <v>103.44</v>
      </c>
      <c r="J17" s="69">
        <f t="shared" si="1"/>
        <v>499.61520000000002</v>
      </c>
      <c r="K17" s="69">
        <f t="shared" si="2"/>
        <v>865.61519999999996</v>
      </c>
      <c r="L17" s="69"/>
      <c r="M17" s="152">
        <f t="shared" si="4"/>
        <v>1754.7314999999869</v>
      </c>
      <c r="N17" s="47" t="s">
        <v>230</v>
      </c>
    </row>
    <row r="18" spans="1:14">
      <c r="A18" s="6">
        <v>15</v>
      </c>
      <c r="B18" s="81" t="s">
        <v>254</v>
      </c>
      <c r="C18" s="6"/>
      <c r="D18" s="6"/>
      <c r="E18" s="326">
        <f>5+34.14</f>
        <v>39.14</v>
      </c>
      <c r="F18" s="6">
        <v>91.5</v>
      </c>
      <c r="G18" s="69">
        <f t="shared" si="0"/>
        <v>3581.31</v>
      </c>
      <c r="H18" s="326"/>
      <c r="I18" s="6"/>
      <c r="J18" s="69">
        <f t="shared" si="1"/>
        <v>0</v>
      </c>
      <c r="K18" s="69">
        <f t="shared" si="2"/>
        <v>3581.31</v>
      </c>
      <c r="L18" s="69"/>
      <c r="M18" s="152">
        <f t="shared" si="4"/>
        <v>5336.0414999999866</v>
      </c>
      <c r="N18" s="47" t="s">
        <v>230</v>
      </c>
    </row>
    <row r="19" spans="1:14">
      <c r="A19" s="6">
        <v>16</v>
      </c>
      <c r="B19" s="81" t="s">
        <v>255</v>
      </c>
      <c r="C19" s="6"/>
      <c r="D19" s="6"/>
      <c r="E19" s="326">
        <v>30</v>
      </c>
      <c r="F19" s="6">
        <v>91.5</v>
      </c>
      <c r="G19" s="69">
        <f t="shared" si="0"/>
        <v>2745</v>
      </c>
      <c r="H19" s="68"/>
      <c r="I19" s="6"/>
      <c r="J19" s="69">
        <f t="shared" si="1"/>
        <v>0</v>
      </c>
      <c r="K19" s="69">
        <f t="shared" si="2"/>
        <v>2745</v>
      </c>
      <c r="L19" s="69"/>
      <c r="M19" s="152">
        <f t="shared" si="4"/>
        <v>8081.0414999999866</v>
      </c>
      <c r="N19" s="47" t="s">
        <v>230</v>
      </c>
    </row>
    <row r="20" spans="1:14">
      <c r="A20" s="6">
        <v>17</v>
      </c>
      <c r="B20" s="81" t="s">
        <v>257</v>
      </c>
      <c r="C20" s="6"/>
      <c r="D20" s="6"/>
      <c r="E20" s="326">
        <v>92</v>
      </c>
      <c r="F20" s="341">
        <v>91.5</v>
      </c>
      <c r="G20" s="69">
        <f t="shared" si="0"/>
        <v>8418</v>
      </c>
      <c r="H20" s="68"/>
      <c r="I20" s="6"/>
      <c r="J20" s="69">
        <f t="shared" si="1"/>
        <v>0</v>
      </c>
      <c r="K20" s="69">
        <f t="shared" si="2"/>
        <v>8418</v>
      </c>
      <c r="L20" s="69"/>
      <c r="M20" s="152">
        <f t="shared" si="4"/>
        <v>16499.041499999985</v>
      </c>
      <c r="N20" s="47" t="s">
        <v>230</v>
      </c>
    </row>
    <row r="21" spans="1:14">
      <c r="A21" s="6">
        <v>18</v>
      </c>
      <c r="B21" s="81" t="s">
        <v>259</v>
      </c>
      <c r="C21" s="6"/>
      <c r="D21" s="6"/>
      <c r="E21" s="68">
        <v>25</v>
      </c>
      <c r="F21" s="341">
        <v>91.5</v>
      </c>
      <c r="G21" s="69">
        <f t="shared" si="0"/>
        <v>2287.5</v>
      </c>
      <c r="H21" s="68">
        <v>6.76</v>
      </c>
      <c r="I21" s="6">
        <v>103.44</v>
      </c>
      <c r="J21" s="69">
        <f t="shared" si="1"/>
        <v>699.25439999999992</v>
      </c>
      <c r="K21" s="69">
        <f t="shared" si="2"/>
        <v>2986.7543999999998</v>
      </c>
      <c r="L21" s="69"/>
      <c r="M21" s="152">
        <f t="shared" si="4"/>
        <v>19485.795899999983</v>
      </c>
      <c r="N21" s="47" t="s">
        <v>230</v>
      </c>
    </row>
    <row r="22" spans="1:14">
      <c r="A22" s="6">
        <v>19</v>
      </c>
      <c r="B22" s="81" t="s">
        <v>260</v>
      </c>
      <c r="C22" s="6"/>
      <c r="D22" s="6"/>
      <c r="E22" s="68">
        <v>60.46</v>
      </c>
      <c r="F22" s="341">
        <v>91.5</v>
      </c>
      <c r="G22" s="69">
        <f t="shared" si="0"/>
        <v>5532.09</v>
      </c>
      <c r="H22" s="68">
        <v>12.27</v>
      </c>
      <c r="I22" s="6">
        <v>103.44</v>
      </c>
      <c r="J22" s="69">
        <f t="shared" si="1"/>
        <v>1269.2087999999999</v>
      </c>
      <c r="K22" s="69">
        <f t="shared" si="2"/>
        <v>6801.2988000000005</v>
      </c>
      <c r="L22" s="69"/>
      <c r="M22" s="152">
        <f t="shared" si="4"/>
        <v>26287.094699999983</v>
      </c>
      <c r="N22" s="47" t="s">
        <v>230</v>
      </c>
    </row>
    <row r="23" spans="1:14">
      <c r="A23" s="6">
        <v>20</v>
      </c>
      <c r="B23" s="81" t="s">
        <v>261</v>
      </c>
      <c r="C23" s="6"/>
      <c r="D23" s="6"/>
      <c r="E23" s="68">
        <v>15</v>
      </c>
      <c r="F23" s="341">
        <v>91.5</v>
      </c>
      <c r="G23" s="69">
        <f t="shared" si="0"/>
        <v>1372.5</v>
      </c>
      <c r="H23" s="68"/>
      <c r="I23" s="6"/>
      <c r="J23" s="69">
        <f t="shared" si="1"/>
        <v>0</v>
      </c>
      <c r="K23" s="69">
        <f t="shared" si="2"/>
        <v>1372.5</v>
      </c>
      <c r="L23" s="69"/>
      <c r="M23" s="152">
        <f t="shared" si="4"/>
        <v>27659.594699999983</v>
      </c>
      <c r="N23" s="47" t="s">
        <v>230</v>
      </c>
    </row>
    <row r="24" spans="1:14">
      <c r="A24" s="6">
        <v>21</v>
      </c>
      <c r="B24" s="81"/>
      <c r="C24" s="6"/>
      <c r="D24" s="6"/>
      <c r="E24" s="68"/>
      <c r="F24" s="6"/>
      <c r="G24" s="69">
        <f t="shared" si="0"/>
        <v>0</v>
      </c>
      <c r="H24" s="68"/>
      <c r="I24" s="6"/>
      <c r="J24" s="69">
        <f t="shared" si="1"/>
        <v>0</v>
      </c>
      <c r="K24" s="69">
        <f t="shared" si="2"/>
        <v>0</v>
      </c>
      <c r="L24" s="69"/>
      <c r="M24" s="152">
        <f t="shared" si="4"/>
        <v>27659.594699999983</v>
      </c>
      <c r="N24" s="47" t="s">
        <v>230</v>
      </c>
    </row>
    <row r="25" spans="1:14">
      <c r="A25" s="6">
        <v>22</v>
      </c>
      <c r="B25" s="81"/>
      <c r="C25" s="6"/>
      <c r="D25" s="6"/>
      <c r="E25" s="68"/>
      <c r="F25" s="6"/>
      <c r="G25" s="69">
        <f t="shared" si="0"/>
        <v>0</v>
      </c>
      <c r="H25" s="68"/>
      <c r="I25" s="6"/>
      <c r="J25" s="69">
        <f t="shared" si="1"/>
        <v>0</v>
      </c>
      <c r="K25" s="69">
        <f t="shared" si="2"/>
        <v>0</v>
      </c>
      <c r="L25" s="69"/>
      <c r="M25" s="152">
        <f t="shared" si="4"/>
        <v>27659.594699999983</v>
      </c>
      <c r="N25" s="47" t="s">
        <v>230</v>
      </c>
    </row>
    <row r="26" spans="1:14">
      <c r="A26" s="6">
        <v>23</v>
      </c>
      <c r="B26" s="81"/>
      <c r="C26" s="6"/>
      <c r="D26" s="6"/>
      <c r="E26" s="68"/>
      <c r="F26" s="6"/>
      <c r="G26" s="69">
        <f t="shared" si="0"/>
        <v>0</v>
      </c>
      <c r="H26" s="68"/>
      <c r="I26" s="6"/>
      <c r="J26" s="69">
        <f t="shared" si="1"/>
        <v>0</v>
      </c>
      <c r="K26" s="69">
        <f t="shared" si="2"/>
        <v>0</v>
      </c>
      <c r="L26" s="69"/>
      <c r="M26" s="152">
        <f t="shared" si="4"/>
        <v>27659.594699999983</v>
      </c>
      <c r="N26" s="47" t="s">
        <v>230</v>
      </c>
    </row>
    <row r="27" spans="1:14">
      <c r="A27" s="6">
        <v>24</v>
      </c>
      <c r="B27" s="81"/>
      <c r="C27" s="6"/>
      <c r="D27" s="6"/>
      <c r="E27" s="68"/>
      <c r="F27" s="6"/>
      <c r="G27" s="69">
        <f t="shared" si="0"/>
        <v>0</v>
      </c>
      <c r="H27" s="68"/>
      <c r="I27" s="6"/>
      <c r="J27" s="69">
        <f t="shared" si="1"/>
        <v>0</v>
      </c>
      <c r="K27" s="69">
        <f t="shared" si="2"/>
        <v>0</v>
      </c>
      <c r="L27" s="69"/>
      <c r="M27" s="152">
        <f t="shared" si="4"/>
        <v>27659.594699999983</v>
      </c>
      <c r="N27" s="47" t="s">
        <v>230</v>
      </c>
    </row>
    <row r="28" spans="1:14">
      <c r="A28" s="6">
        <v>25</v>
      </c>
      <c r="B28" s="81"/>
      <c r="C28" s="6"/>
      <c r="D28" s="6"/>
      <c r="E28" s="68"/>
      <c r="F28" s="6"/>
      <c r="G28" s="69">
        <f t="shared" si="0"/>
        <v>0</v>
      </c>
      <c r="H28" s="68"/>
      <c r="I28" s="6"/>
      <c r="J28" s="69">
        <f t="shared" si="1"/>
        <v>0</v>
      </c>
      <c r="K28" s="69">
        <f t="shared" si="2"/>
        <v>0</v>
      </c>
      <c r="L28" s="69"/>
      <c r="M28" s="152">
        <f t="shared" si="4"/>
        <v>27659.594699999983</v>
      </c>
      <c r="N28" s="47" t="s">
        <v>230</v>
      </c>
    </row>
    <row r="29" spans="1:14">
      <c r="A29" s="6">
        <v>26</v>
      </c>
      <c r="B29" s="81"/>
      <c r="C29" s="6"/>
      <c r="D29" s="6"/>
      <c r="E29" s="68"/>
      <c r="F29" s="6"/>
      <c r="G29" s="69">
        <f t="shared" si="0"/>
        <v>0</v>
      </c>
      <c r="H29" s="68"/>
      <c r="I29" s="6"/>
      <c r="J29" s="69">
        <f t="shared" si="1"/>
        <v>0</v>
      </c>
      <c r="K29" s="69">
        <f t="shared" si="2"/>
        <v>0</v>
      </c>
      <c r="L29" s="69"/>
      <c r="M29" s="152">
        <f t="shared" si="4"/>
        <v>27659.594699999983</v>
      </c>
      <c r="N29" s="47" t="s">
        <v>230</v>
      </c>
    </row>
    <row r="30" spans="1:14">
      <c r="A30" s="6">
        <v>27</v>
      </c>
      <c r="B30" s="81"/>
      <c r="C30" s="6"/>
      <c r="D30" s="6"/>
      <c r="E30" s="68"/>
      <c r="F30" s="6"/>
      <c r="G30" s="69">
        <f t="shared" si="0"/>
        <v>0</v>
      </c>
      <c r="H30" s="68"/>
      <c r="I30" s="6"/>
      <c r="J30" s="69">
        <f t="shared" si="1"/>
        <v>0</v>
      </c>
      <c r="K30" s="69">
        <f t="shared" si="2"/>
        <v>0</v>
      </c>
      <c r="L30" s="69"/>
      <c r="M30" s="152">
        <f t="shared" si="4"/>
        <v>27659.594699999983</v>
      </c>
      <c r="N30" s="47" t="s">
        <v>230</v>
      </c>
    </row>
    <row r="31" spans="1:14">
      <c r="A31" s="6">
        <v>28</v>
      </c>
      <c r="B31" s="81"/>
      <c r="C31" s="6"/>
      <c r="D31" s="6"/>
      <c r="E31" s="68"/>
      <c r="F31" s="6"/>
      <c r="G31" s="69">
        <f t="shared" si="0"/>
        <v>0</v>
      </c>
      <c r="H31" s="68"/>
      <c r="I31" s="6"/>
      <c r="J31" s="69">
        <f t="shared" si="1"/>
        <v>0</v>
      </c>
      <c r="K31" s="69">
        <f t="shared" si="2"/>
        <v>0</v>
      </c>
      <c r="L31" s="69"/>
      <c r="M31" s="152">
        <f t="shared" si="4"/>
        <v>27659.594699999983</v>
      </c>
      <c r="N31" s="47" t="s">
        <v>230</v>
      </c>
    </row>
    <row r="32" spans="1:14">
      <c r="A32" s="6">
        <v>29</v>
      </c>
      <c r="B32" s="81"/>
      <c r="C32" s="6"/>
      <c r="D32" s="6"/>
      <c r="E32" s="68"/>
      <c r="F32" s="6"/>
      <c r="G32" s="69">
        <f t="shared" si="0"/>
        <v>0</v>
      </c>
      <c r="H32" s="68"/>
      <c r="I32" s="6"/>
      <c r="J32" s="69">
        <f t="shared" si="1"/>
        <v>0</v>
      </c>
      <c r="K32" s="69">
        <f t="shared" si="2"/>
        <v>0</v>
      </c>
      <c r="L32" s="69"/>
      <c r="M32" s="152">
        <f t="shared" si="4"/>
        <v>27659.594699999983</v>
      </c>
      <c r="N32" s="47" t="s">
        <v>230</v>
      </c>
    </row>
    <row r="33" spans="1:15">
      <c r="A33" s="6">
        <v>30</v>
      </c>
      <c r="B33" s="81"/>
      <c r="C33" s="6"/>
      <c r="D33" s="6"/>
      <c r="E33" s="68"/>
      <c r="F33" s="6"/>
      <c r="G33" s="69">
        <f t="shared" si="0"/>
        <v>0</v>
      </c>
      <c r="H33" s="68"/>
      <c r="I33" s="6"/>
      <c r="J33" s="69">
        <f t="shared" si="1"/>
        <v>0</v>
      </c>
      <c r="K33" s="69">
        <f t="shared" si="2"/>
        <v>0</v>
      </c>
      <c r="L33" s="69"/>
      <c r="M33" s="152">
        <f t="shared" si="4"/>
        <v>27659.594699999983</v>
      </c>
      <c r="N33" s="47" t="s">
        <v>230</v>
      </c>
    </row>
    <row r="34" spans="1:15">
      <c r="A34" s="6">
        <v>31</v>
      </c>
      <c r="B34" s="81"/>
      <c r="C34" s="6"/>
      <c r="D34" s="6"/>
      <c r="E34" s="68"/>
      <c r="F34" s="6"/>
      <c r="G34" s="69">
        <f t="shared" si="0"/>
        <v>0</v>
      </c>
      <c r="H34" s="68"/>
      <c r="I34" s="6"/>
      <c r="J34" s="69">
        <f t="shared" si="1"/>
        <v>0</v>
      </c>
      <c r="K34" s="69">
        <f t="shared" si="2"/>
        <v>0</v>
      </c>
      <c r="L34" s="69"/>
      <c r="M34" s="152">
        <f t="shared" si="4"/>
        <v>27659.594699999983</v>
      </c>
      <c r="N34" s="47" t="s">
        <v>230</v>
      </c>
    </row>
    <row r="35" spans="1:15">
      <c r="A35" s="6">
        <v>32</v>
      </c>
      <c r="B35" s="81"/>
      <c r="C35" s="6"/>
      <c r="D35" s="6"/>
      <c r="E35" s="68"/>
      <c r="F35" s="6"/>
      <c r="G35" s="69">
        <f t="shared" si="0"/>
        <v>0</v>
      </c>
      <c r="H35" s="68"/>
      <c r="I35" s="6"/>
      <c r="J35" s="69">
        <f t="shared" si="1"/>
        <v>0</v>
      </c>
      <c r="K35" s="69">
        <f t="shared" si="2"/>
        <v>0</v>
      </c>
      <c r="L35" s="69"/>
      <c r="M35" s="152">
        <f t="shared" si="4"/>
        <v>27659.594699999983</v>
      </c>
      <c r="N35" s="47" t="s">
        <v>230</v>
      </c>
    </row>
    <row r="36" spans="1:15">
      <c r="A36" s="6">
        <v>33</v>
      </c>
      <c r="B36" s="81"/>
      <c r="C36" s="6"/>
      <c r="D36" s="6"/>
      <c r="E36" s="68"/>
      <c r="F36" s="6"/>
      <c r="G36" s="69">
        <f t="shared" si="0"/>
        <v>0</v>
      </c>
      <c r="H36" s="68"/>
      <c r="I36" s="6"/>
      <c r="J36" s="69">
        <f t="shared" si="1"/>
        <v>0</v>
      </c>
      <c r="K36" s="69">
        <f t="shared" si="2"/>
        <v>0</v>
      </c>
      <c r="L36" s="69"/>
      <c r="M36" s="152">
        <f t="shared" si="4"/>
        <v>27659.594699999983</v>
      </c>
      <c r="N36" s="47" t="s">
        <v>230</v>
      </c>
    </row>
    <row r="37" spans="1:15">
      <c r="A37" s="6">
        <v>34</v>
      </c>
      <c r="B37" s="81"/>
      <c r="C37" s="6"/>
      <c r="D37" s="6"/>
      <c r="E37" s="68"/>
      <c r="F37" s="6"/>
      <c r="G37" s="69">
        <f t="shared" si="0"/>
        <v>0</v>
      </c>
      <c r="H37" s="68"/>
      <c r="I37" s="6"/>
      <c r="J37" s="69">
        <f t="shared" si="1"/>
        <v>0</v>
      </c>
      <c r="K37" s="69">
        <f t="shared" si="2"/>
        <v>0</v>
      </c>
      <c r="L37" s="69"/>
      <c r="M37" s="152">
        <f t="shared" si="4"/>
        <v>27659.594699999983</v>
      </c>
      <c r="N37" s="47" t="s">
        <v>230</v>
      </c>
    </row>
    <row r="38" spans="1:15">
      <c r="A38" s="6">
        <v>35</v>
      </c>
      <c r="B38" s="81"/>
      <c r="C38" s="6"/>
      <c r="D38" s="6"/>
      <c r="E38" s="68"/>
      <c r="F38" s="6"/>
      <c r="G38" s="69">
        <f t="shared" si="0"/>
        <v>0</v>
      </c>
      <c r="H38" s="68"/>
      <c r="I38" s="6"/>
      <c r="J38" s="69">
        <f t="shared" si="1"/>
        <v>0</v>
      </c>
      <c r="K38" s="69">
        <f t="shared" si="2"/>
        <v>0</v>
      </c>
      <c r="L38" s="69"/>
      <c r="M38" s="152">
        <f t="shared" si="4"/>
        <v>27659.594699999983</v>
      </c>
      <c r="N38" s="47" t="s">
        <v>230</v>
      </c>
    </row>
    <row r="39" spans="1:15">
      <c r="A39" s="6">
        <v>36</v>
      </c>
      <c r="B39" s="81"/>
      <c r="C39" s="6"/>
      <c r="D39" s="6"/>
      <c r="E39" s="68"/>
      <c r="F39" s="6"/>
      <c r="G39" s="69">
        <f t="shared" si="0"/>
        <v>0</v>
      </c>
      <c r="H39" s="68"/>
      <c r="I39" s="6"/>
      <c r="J39" s="69">
        <f t="shared" si="1"/>
        <v>0</v>
      </c>
      <c r="K39" s="69">
        <f t="shared" si="2"/>
        <v>0</v>
      </c>
      <c r="L39" s="69"/>
      <c r="M39" s="152">
        <f t="shared" si="4"/>
        <v>27659.594699999983</v>
      </c>
      <c r="N39" s="47" t="s">
        <v>230</v>
      </c>
    </row>
    <row r="40" spans="1:15">
      <c r="A40" s="6">
        <v>37</v>
      </c>
      <c r="B40" s="81"/>
      <c r="C40" s="6"/>
      <c r="D40" s="6"/>
      <c r="E40" s="68"/>
      <c r="F40" s="6"/>
      <c r="G40" s="69">
        <f t="shared" si="0"/>
        <v>0</v>
      </c>
      <c r="H40" s="68"/>
      <c r="I40" s="6"/>
      <c r="J40" s="69">
        <f t="shared" si="1"/>
        <v>0</v>
      </c>
      <c r="K40" s="69">
        <f t="shared" si="2"/>
        <v>0</v>
      </c>
      <c r="L40" s="69"/>
      <c r="M40" s="152">
        <f t="shared" si="4"/>
        <v>27659.594699999983</v>
      </c>
      <c r="N40" s="47" t="s">
        <v>230</v>
      </c>
    </row>
    <row r="41" spans="1:15">
      <c r="A41" s="6">
        <v>38</v>
      </c>
      <c r="B41" s="81"/>
      <c r="C41" s="6"/>
      <c r="D41" s="6"/>
      <c r="E41" s="68"/>
      <c r="F41" s="6"/>
      <c r="G41" s="69">
        <f t="shared" si="0"/>
        <v>0</v>
      </c>
      <c r="H41" s="68"/>
      <c r="I41" s="6"/>
      <c r="J41" s="69">
        <f t="shared" si="1"/>
        <v>0</v>
      </c>
      <c r="K41" s="69">
        <f t="shared" si="2"/>
        <v>0</v>
      </c>
      <c r="L41" s="69"/>
      <c r="M41" s="152">
        <f t="shared" si="4"/>
        <v>27659.594699999983</v>
      </c>
      <c r="N41" s="47" t="s">
        <v>230</v>
      </c>
    </row>
    <row r="42" spans="1:15">
      <c r="A42" s="6">
        <v>39</v>
      </c>
      <c r="B42" s="175"/>
      <c r="C42" s="174"/>
      <c r="D42" s="6"/>
      <c r="E42" s="68"/>
      <c r="F42" s="6"/>
      <c r="G42" s="69">
        <f t="shared" si="0"/>
        <v>0</v>
      </c>
      <c r="H42" s="68"/>
      <c r="I42" s="6"/>
      <c r="J42" s="69">
        <f t="shared" si="1"/>
        <v>0</v>
      </c>
      <c r="K42" s="69">
        <f t="shared" si="2"/>
        <v>0</v>
      </c>
      <c r="L42" s="69"/>
      <c r="M42" s="152">
        <f t="shared" si="4"/>
        <v>27659.594699999983</v>
      </c>
      <c r="N42" s="47" t="s">
        <v>230</v>
      </c>
    </row>
    <row r="43" spans="1:15">
      <c r="A43" s="6">
        <v>40</v>
      </c>
      <c r="B43" s="6"/>
      <c r="C43" s="6"/>
      <c r="D43" s="6"/>
      <c r="E43" s="68"/>
      <c r="F43" s="6"/>
      <c r="G43" s="69">
        <f t="shared" si="0"/>
        <v>0</v>
      </c>
      <c r="H43" s="68"/>
      <c r="I43" s="6"/>
      <c r="J43" s="69">
        <f t="shared" si="1"/>
        <v>0</v>
      </c>
      <c r="K43" s="69">
        <f t="shared" si="2"/>
        <v>0</v>
      </c>
      <c r="L43" s="69"/>
      <c r="M43" s="152">
        <f t="shared" si="4"/>
        <v>27659.594699999983</v>
      </c>
      <c r="N43" s="47" t="s">
        <v>230</v>
      </c>
    </row>
    <row r="44" spans="1:15">
      <c r="A44" s="6">
        <v>41</v>
      </c>
      <c r="B44" s="174"/>
      <c r="C44" s="174"/>
      <c r="D44" s="6"/>
      <c r="E44" s="68"/>
      <c r="F44" s="6"/>
      <c r="G44" s="69">
        <f t="shared" si="0"/>
        <v>0</v>
      </c>
      <c r="H44" s="68"/>
      <c r="I44" s="6"/>
      <c r="J44" s="69">
        <f t="shared" si="1"/>
        <v>0</v>
      </c>
      <c r="K44" s="69">
        <f t="shared" si="2"/>
        <v>0</v>
      </c>
      <c r="L44" s="69"/>
      <c r="M44" s="152">
        <f t="shared" si="4"/>
        <v>27659.594699999983</v>
      </c>
      <c r="N44" s="47" t="s">
        <v>230</v>
      </c>
    </row>
    <row r="45" spans="1:15">
      <c r="A45" s="6">
        <v>42</v>
      </c>
      <c r="B45" s="174"/>
      <c r="C45" s="174"/>
      <c r="D45" s="6"/>
      <c r="E45" s="68"/>
      <c r="F45" s="6"/>
      <c r="G45" s="69">
        <f t="shared" ref="G45" si="5">E45*F45</f>
        <v>0</v>
      </c>
      <c r="H45" s="68"/>
      <c r="I45" s="6"/>
      <c r="J45" s="69">
        <f>H45*I45</f>
        <v>0</v>
      </c>
      <c r="K45" s="69">
        <f t="shared" ref="K45" si="6">G45+J45</f>
        <v>0</v>
      </c>
      <c r="L45" s="166"/>
      <c r="M45" s="152">
        <f t="shared" si="4"/>
        <v>27659.594699999983</v>
      </c>
      <c r="N45" s="47" t="s">
        <v>230</v>
      </c>
    </row>
    <row r="46" spans="1:15">
      <c r="A46" s="65"/>
      <c r="B46" s="65"/>
      <c r="C46" s="65"/>
      <c r="D46" s="65"/>
      <c r="E46" s="66">
        <f>SUM(E4:E45)</f>
        <v>492.26</v>
      </c>
      <c r="F46" s="66"/>
      <c r="G46" s="66">
        <f>SUM(G4:G45)</f>
        <v>45041.789999999994</v>
      </c>
      <c r="H46" s="66">
        <f>SUM(H4:H45)</f>
        <v>82.27</v>
      </c>
      <c r="I46" s="66"/>
      <c r="J46" s="66">
        <f>SUM(J4:J45)</f>
        <v>8510.0087999999996</v>
      </c>
      <c r="K46" s="66">
        <f>SUM(K4:K45)</f>
        <v>53551.79879999999</v>
      </c>
      <c r="L46" s="66">
        <f>SUM(L4:L45)</f>
        <v>47000</v>
      </c>
      <c r="M46" s="66"/>
      <c r="N46" s="66"/>
      <c r="O46" s="62"/>
    </row>
  </sheetData>
  <mergeCells count="2">
    <mergeCell ref="A1:N1"/>
    <mergeCell ref="A3:L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40F-B265-4AE1-820B-14F38CA64D84}">
  <sheetPr>
    <tabColor rgb="FF92D050"/>
  </sheetPr>
  <dimension ref="A1:O36"/>
  <sheetViews>
    <sheetView workbookViewId="0">
      <pane ySplit="2" topLeftCell="A28" activePane="bottomLeft" state="frozen"/>
      <selection pane="bottomLeft" activeCell="M34" sqref="M34"/>
    </sheetView>
  </sheetViews>
  <sheetFormatPr defaultRowHeight="15"/>
  <cols>
    <col min="1" max="1" width="5.28515625" style="5" bestFit="1" customWidth="1"/>
    <col min="2" max="2" width="16" style="5" bestFit="1" customWidth="1"/>
    <col min="3" max="3" width="8.140625" style="5" bestFit="1" customWidth="1"/>
    <col min="4" max="4" width="13.7109375" style="5" bestFit="1" customWidth="1"/>
    <col min="5" max="5" width="10.85546875" style="5" bestFit="1" customWidth="1"/>
    <col min="6" max="6" width="12.28515625" style="5" bestFit="1" customWidth="1"/>
    <col min="7" max="7" width="14.42578125" style="5" customWidth="1"/>
    <col min="8" max="8" width="10.85546875" style="5" bestFit="1" customWidth="1"/>
    <col min="9" max="9" width="8" style="5" bestFit="1" customWidth="1"/>
    <col min="10" max="10" width="10.85546875" style="5" bestFit="1" customWidth="1"/>
    <col min="11" max="11" width="13.5703125" style="5" bestFit="1" customWidth="1"/>
    <col min="12" max="12" width="12.7109375" style="5" bestFit="1" customWidth="1"/>
    <col min="13" max="13" width="14.42578125" style="5" customWidth="1"/>
    <col min="14" max="14" width="17.28515625" style="5" customWidth="1"/>
    <col min="15" max="16384" width="9.140625" style="5"/>
  </cols>
  <sheetData>
    <row r="1" spans="1:15" ht="15.75">
      <c r="A1" s="455" t="s">
        <v>89</v>
      </c>
      <c r="B1" s="455"/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  <c r="O1" s="56"/>
    </row>
    <row r="2" spans="1:15">
      <c r="A2" s="101" t="s">
        <v>129</v>
      </c>
      <c r="B2" s="102" t="s">
        <v>130</v>
      </c>
      <c r="C2" s="102" t="s">
        <v>131</v>
      </c>
      <c r="D2" s="102" t="s">
        <v>198</v>
      </c>
      <c r="E2" s="102" t="s">
        <v>133</v>
      </c>
      <c r="F2" s="102" t="s">
        <v>134</v>
      </c>
      <c r="G2" s="102" t="s">
        <v>135</v>
      </c>
      <c r="H2" s="102" t="s">
        <v>136</v>
      </c>
      <c r="I2" s="102" t="s">
        <v>134</v>
      </c>
      <c r="J2" s="141" t="s">
        <v>135</v>
      </c>
      <c r="K2" s="103" t="s">
        <v>137</v>
      </c>
      <c r="L2" s="142" t="s">
        <v>138</v>
      </c>
      <c r="M2" s="146" t="s">
        <v>199</v>
      </c>
      <c r="N2" s="104" t="s">
        <v>140</v>
      </c>
      <c r="O2" s="62"/>
    </row>
    <row r="3" spans="1:15">
      <c r="A3" s="159"/>
      <c r="B3" s="17" t="s">
        <v>141</v>
      </c>
      <c r="C3" s="160"/>
      <c r="D3" s="160"/>
      <c r="E3" s="160"/>
      <c r="F3" s="160"/>
      <c r="G3" s="160"/>
      <c r="H3" s="160"/>
      <c r="I3" s="160"/>
      <c r="J3" s="161"/>
      <c r="K3" s="71">
        <v>81512.172200000059</v>
      </c>
      <c r="L3" s="162"/>
      <c r="M3" s="83">
        <f>+K3</f>
        <v>81512.172200000059</v>
      </c>
      <c r="N3" s="160"/>
      <c r="O3" s="62">
        <v>86559.56660000002</v>
      </c>
    </row>
    <row r="4" spans="1:15">
      <c r="A4" s="201">
        <v>1</v>
      </c>
      <c r="B4" s="224">
        <v>46023</v>
      </c>
      <c r="C4" s="70"/>
      <c r="D4" s="163"/>
      <c r="E4" s="68">
        <v>50</v>
      </c>
      <c r="F4" s="6">
        <v>91.23</v>
      </c>
      <c r="G4" s="8">
        <f>E4*F4</f>
        <v>4561.5</v>
      </c>
      <c r="H4" s="68"/>
      <c r="I4" s="6"/>
      <c r="J4" s="8">
        <f>H4*I4</f>
        <v>0</v>
      </c>
      <c r="K4" s="8">
        <f>G4+J4</f>
        <v>4561.5</v>
      </c>
      <c r="L4" s="71"/>
      <c r="M4" s="71">
        <f>M3+K4-L4</f>
        <v>86073.672200000059</v>
      </c>
      <c r="N4" s="42"/>
      <c r="O4" s="72"/>
    </row>
    <row r="5" spans="1:15">
      <c r="A5" s="47">
        <v>2</v>
      </c>
      <c r="B5" s="224">
        <v>46024</v>
      </c>
      <c r="C5" s="70"/>
      <c r="D5" s="74"/>
      <c r="E5" s="68">
        <v>94.01</v>
      </c>
      <c r="F5" s="6">
        <v>91.23</v>
      </c>
      <c r="G5" s="8">
        <f t="shared" ref="G5:G34" si="0">E5*F5</f>
        <v>8576.5323000000008</v>
      </c>
      <c r="H5" s="68">
        <v>4.84</v>
      </c>
      <c r="I5" s="6">
        <v>103.26</v>
      </c>
      <c r="J5" s="8">
        <f t="shared" ref="J5:J34" si="1">H5*I5</f>
        <v>499.77840000000003</v>
      </c>
      <c r="K5" s="8">
        <f t="shared" ref="K5:K34" si="2">G5+J5</f>
        <v>9076.3107</v>
      </c>
      <c r="L5" s="71"/>
      <c r="M5" s="71">
        <f t="shared" ref="M5:M19" si="3">M4+K5-L5</f>
        <v>95149.982900000061</v>
      </c>
      <c r="N5" s="42"/>
      <c r="O5" s="72"/>
    </row>
    <row r="6" spans="1:15">
      <c r="A6" s="47">
        <v>3</v>
      </c>
      <c r="B6" s="224">
        <v>46025</v>
      </c>
      <c r="C6" s="70"/>
      <c r="D6" s="74"/>
      <c r="E6" s="68">
        <v>208.98</v>
      </c>
      <c r="F6" s="6">
        <v>91.23</v>
      </c>
      <c r="G6" s="8">
        <f t="shared" si="0"/>
        <v>19065.2454</v>
      </c>
      <c r="H6" s="68"/>
      <c r="I6" s="6"/>
      <c r="J6" s="8">
        <f t="shared" si="1"/>
        <v>0</v>
      </c>
      <c r="K6" s="8">
        <f t="shared" si="2"/>
        <v>19065.2454</v>
      </c>
      <c r="L6" s="71"/>
      <c r="M6" s="71">
        <f t="shared" si="3"/>
        <v>114215.22830000006</v>
      </c>
      <c r="N6" s="42"/>
      <c r="O6" s="72"/>
    </row>
    <row r="7" spans="1:15">
      <c r="A7" s="47">
        <v>4</v>
      </c>
      <c r="B7" s="224">
        <v>46026</v>
      </c>
      <c r="C7" s="70"/>
      <c r="D7" s="74"/>
      <c r="E7" s="68">
        <v>0</v>
      </c>
      <c r="F7" s="6">
        <v>0</v>
      </c>
      <c r="G7" s="8">
        <f t="shared" si="0"/>
        <v>0</v>
      </c>
      <c r="H7" s="68"/>
      <c r="I7" s="6"/>
      <c r="J7" s="8">
        <f t="shared" si="1"/>
        <v>0</v>
      </c>
      <c r="K7" s="8">
        <f t="shared" si="2"/>
        <v>0</v>
      </c>
      <c r="L7" s="71"/>
      <c r="M7" s="71">
        <f t="shared" si="3"/>
        <v>114215.22830000006</v>
      </c>
      <c r="N7" s="42"/>
      <c r="O7" s="72"/>
    </row>
    <row r="8" spans="1:15">
      <c r="A8" s="47">
        <v>5</v>
      </c>
      <c r="B8" s="224">
        <v>46027</v>
      </c>
      <c r="C8" s="70"/>
      <c r="D8" s="74"/>
      <c r="E8" s="68">
        <v>47.11</v>
      </c>
      <c r="F8" s="6">
        <v>91.23</v>
      </c>
      <c r="G8" s="8">
        <f t="shared" si="0"/>
        <v>4297.8453</v>
      </c>
      <c r="H8" s="68"/>
      <c r="I8" s="6"/>
      <c r="J8" s="8">
        <f t="shared" si="1"/>
        <v>0</v>
      </c>
      <c r="K8" s="8">
        <f t="shared" si="2"/>
        <v>4297.8453</v>
      </c>
      <c r="L8" s="71"/>
      <c r="M8" s="71">
        <f t="shared" si="3"/>
        <v>118513.07360000006</v>
      </c>
      <c r="N8" s="42"/>
      <c r="O8" s="72"/>
    </row>
    <row r="9" spans="1:15">
      <c r="A9" s="47">
        <v>6</v>
      </c>
      <c r="B9" s="224">
        <v>46028</v>
      </c>
      <c r="C9" s="70"/>
      <c r="D9" s="74"/>
      <c r="E9" s="68">
        <v>20</v>
      </c>
      <c r="F9" s="6">
        <v>91.23</v>
      </c>
      <c r="G9" s="8">
        <f t="shared" si="0"/>
        <v>1824.6000000000001</v>
      </c>
      <c r="H9" s="68">
        <v>5.94</v>
      </c>
      <c r="I9" s="6">
        <v>103.26</v>
      </c>
      <c r="J9" s="8">
        <f t="shared" si="1"/>
        <v>613.36440000000005</v>
      </c>
      <c r="K9" s="8">
        <f t="shared" si="2"/>
        <v>2437.9644000000003</v>
      </c>
      <c r="L9" s="71"/>
      <c r="M9" s="71">
        <f t="shared" si="3"/>
        <v>120951.03800000006</v>
      </c>
      <c r="N9" s="42"/>
      <c r="O9" s="72"/>
    </row>
    <row r="10" spans="1:15">
      <c r="A10" s="47">
        <v>7</v>
      </c>
      <c r="B10" s="224">
        <v>46029</v>
      </c>
      <c r="C10" s="70"/>
      <c r="D10" s="74"/>
      <c r="E10" s="68">
        <v>0</v>
      </c>
      <c r="F10" s="6">
        <v>0</v>
      </c>
      <c r="G10" s="8">
        <f t="shared" si="0"/>
        <v>0</v>
      </c>
      <c r="H10" s="68">
        <v>5</v>
      </c>
      <c r="I10" s="6">
        <v>103.26</v>
      </c>
      <c r="J10" s="8">
        <f t="shared" si="1"/>
        <v>516.30000000000007</v>
      </c>
      <c r="K10" s="8">
        <f t="shared" si="2"/>
        <v>516.30000000000007</v>
      </c>
      <c r="L10" s="71"/>
      <c r="M10" s="71">
        <f t="shared" si="3"/>
        <v>121467.33800000006</v>
      </c>
      <c r="N10" s="42"/>
      <c r="O10" s="72"/>
    </row>
    <row r="11" spans="1:15">
      <c r="A11" s="47">
        <v>8</v>
      </c>
      <c r="B11" s="224">
        <v>46030</v>
      </c>
      <c r="C11" s="70"/>
      <c r="D11" s="74"/>
      <c r="E11" s="68">
        <v>113</v>
      </c>
      <c r="F11" s="6">
        <v>91.23</v>
      </c>
      <c r="G11" s="8">
        <f t="shared" si="0"/>
        <v>10308.99</v>
      </c>
      <c r="H11" s="68"/>
      <c r="I11" s="6"/>
      <c r="J11" s="8">
        <f t="shared" si="1"/>
        <v>0</v>
      </c>
      <c r="K11" s="8">
        <f t="shared" si="2"/>
        <v>10308.99</v>
      </c>
      <c r="L11" s="71"/>
      <c r="M11" s="71">
        <f t="shared" si="3"/>
        <v>131776.32800000007</v>
      </c>
      <c r="N11" s="42"/>
      <c r="O11" s="72"/>
    </row>
    <row r="12" spans="1:15">
      <c r="A12" s="47">
        <v>9</v>
      </c>
      <c r="B12" s="224">
        <v>46031</v>
      </c>
      <c r="C12" s="70"/>
      <c r="D12" s="74"/>
      <c r="E12" s="68">
        <v>35.590000000000003</v>
      </c>
      <c r="F12" s="6">
        <v>91.23</v>
      </c>
      <c r="G12" s="8">
        <f t="shared" si="0"/>
        <v>3246.8757000000005</v>
      </c>
      <c r="H12" s="68">
        <v>7.09</v>
      </c>
      <c r="I12" s="6">
        <v>103.26</v>
      </c>
      <c r="J12" s="8">
        <f t="shared" si="1"/>
        <v>732.11340000000007</v>
      </c>
      <c r="K12" s="8">
        <f t="shared" si="2"/>
        <v>3978.9891000000007</v>
      </c>
      <c r="L12" s="71"/>
      <c r="M12" s="71">
        <f t="shared" si="3"/>
        <v>135755.31710000007</v>
      </c>
      <c r="N12" s="42"/>
      <c r="O12" s="72"/>
    </row>
    <row r="13" spans="1:15">
      <c r="A13" s="47">
        <v>10</v>
      </c>
      <c r="B13" s="224">
        <v>46032</v>
      </c>
      <c r="C13" s="192"/>
      <c r="D13" s="193"/>
      <c r="E13" s="68">
        <v>0</v>
      </c>
      <c r="F13" s="6">
        <v>0</v>
      </c>
      <c r="G13" s="8">
        <f t="shared" si="0"/>
        <v>0</v>
      </c>
      <c r="H13" s="68"/>
      <c r="I13" s="6"/>
      <c r="J13" s="8">
        <f t="shared" si="1"/>
        <v>0</v>
      </c>
      <c r="K13" s="8">
        <f t="shared" si="2"/>
        <v>0</v>
      </c>
      <c r="L13" s="71"/>
      <c r="M13" s="71">
        <f>M12+K13-L13</f>
        <v>135755.31710000007</v>
      </c>
      <c r="N13" s="42"/>
      <c r="O13" s="72"/>
    </row>
    <row r="14" spans="1:15">
      <c r="A14" s="47">
        <v>11</v>
      </c>
      <c r="B14" s="224">
        <v>46033</v>
      </c>
      <c r="C14" s="181"/>
      <c r="D14" s="181"/>
      <c r="E14" s="68">
        <v>0</v>
      </c>
      <c r="F14" s="6">
        <v>0</v>
      </c>
      <c r="G14" s="8">
        <f t="shared" si="0"/>
        <v>0</v>
      </c>
      <c r="H14" s="68"/>
      <c r="I14" s="6"/>
      <c r="J14" s="8">
        <f t="shared" si="1"/>
        <v>0</v>
      </c>
      <c r="K14" s="8">
        <f t="shared" si="2"/>
        <v>0</v>
      </c>
      <c r="L14" s="71"/>
      <c r="M14" s="71">
        <f t="shared" si="3"/>
        <v>135755.31710000007</v>
      </c>
      <c r="N14" s="42"/>
      <c r="O14" s="72"/>
    </row>
    <row r="15" spans="1:15">
      <c r="A15" s="47">
        <v>12</v>
      </c>
      <c r="B15" s="224">
        <v>46034</v>
      </c>
      <c r="C15" s="181"/>
      <c r="D15" s="181"/>
      <c r="E15" s="68">
        <v>44.64</v>
      </c>
      <c r="F15" s="6">
        <v>91.23</v>
      </c>
      <c r="G15" s="8">
        <f t="shared" si="0"/>
        <v>4072.5072</v>
      </c>
      <c r="H15" s="68">
        <v>7.9</v>
      </c>
      <c r="I15" s="6">
        <v>103.26</v>
      </c>
      <c r="J15" s="8">
        <f t="shared" si="1"/>
        <v>815.75400000000013</v>
      </c>
      <c r="K15" s="8">
        <f t="shared" si="2"/>
        <v>4888.2611999999999</v>
      </c>
      <c r="L15" s="71"/>
      <c r="M15" s="71">
        <f>M14+K15-L15</f>
        <v>140643.57830000008</v>
      </c>
      <c r="N15" s="42"/>
      <c r="O15" s="72"/>
    </row>
    <row r="16" spans="1:15">
      <c r="A16" s="47">
        <v>13</v>
      </c>
      <c r="B16" s="224">
        <v>46035</v>
      </c>
      <c r="C16" s="181"/>
      <c r="D16" s="181"/>
      <c r="E16" s="68">
        <v>170</v>
      </c>
      <c r="F16" s="6">
        <v>91.23</v>
      </c>
      <c r="G16" s="8">
        <f t="shared" si="0"/>
        <v>15509.1</v>
      </c>
      <c r="H16" s="68"/>
      <c r="I16" s="6"/>
      <c r="J16" s="8">
        <f t="shared" si="1"/>
        <v>0</v>
      </c>
      <c r="K16" s="8">
        <f t="shared" si="2"/>
        <v>15509.1</v>
      </c>
      <c r="L16" s="71"/>
      <c r="M16" s="71">
        <f t="shared" si="3"/>
        <v>156152.67830000009</v>
      </c>
      <c r="N16" s="42"/>
      <c r="O16" s="72"/>
    </row>
    <row r="17" spans="1:15">
      <c r="A17" s="47">
        <v>14</v>
      </c>
      <c r="B17" s="224">
        <v>46036</v>
      </c>
      <c r="C17" s="181"/>
      <c r="D17" s="181"/>
      <c r="E17" s="68">
        <v>200</v>
      </c>
      <c r="F17" s="6">
        <v>91.23</v>
      </c>
      <c r="G17" s="8">
        <f t="shared" si="0"/>
        <v>18246</v>
      </c>
      <c r="H17" s="68">
        <v>4.3</v>
      </c>
      <c r="I17" s="6">
        <v>101.16</v>
      </c>
      <c r="J17" s="8">
        <f t="shared" si="1"/>
        <v>434.98799999999994</v>
      </c>
      <c r="K17" s="8">
        <f t="shared" si="2"/>
        <v>18680.988000000001</v>
      </c>
      <c r="L17" s="71"/>
      <c r="M17" s="71">
        <f t="shared" si="3"/>
        <v>174833.6663000001</v>
      </c>
      <c r="N17" s="42"/>
      <c r="O17" s="72"/>
    </row>
    <row r="18" spans="1:15">
      <c r="A18" s="47">
        <v>15</v>
      </c>
      <c r="B18" s="224">
        <v>46037</v>
      </c>
      <c r="C18" s="181"/>
      <c r="D18" s="181"/>
      <c r="E18" s="68">
        <v>0</v>
      </c>
      <c r="F18" s="6">
        <v>0</v>
      </c>
      <c r="G18" s="8">
        <f t="shared" si="0"/>
        <v>0</v>
      </c>
      <c r="H18" s="68"/>
      <c r="I18" s="6"/>
      <c r="J18" s="8">
        <f t="shared" si="1"/>
        <v>0</v>
      </c>
      <c r="K18" s="8">
        <f t="shared" si="2"/>
        <v>0</v>
      </c>
      <c r="L18" s="71"/>
      <c r="M18" s="71">
        <f t="shared" si="3"/>
        <v>174833.6663000001</v>
      </c>
      <c r="N18" s="42"/>
      <c r="O18" s="72"/>
    </row>
    <row r="19" spans="1:15">
      <c r="A19" s="47">
        <v>16</v>
      </c>
      <c r="B19" s="224">
        <v>46038</v>
      </c>
      <c r="C19" s="181"/>
      <c r="D19" s="181"/>
      <c r="E19" s="68">
        <v>20</v>
      </c>
      <c r="F19" s="6">
        <v>91.23</v>
      </c>
      <c r="G19" s="8">
        <f t="shared" si="0"/>
        <v>1824.6000000000001</v>
      </c>
      <c r="H19" s="68"/>
      <c r="I19" s="6"/>
      <c r="J19" s="8">
        <f t="shared" si="1"/>
        <v>0</v>
      </c>
      <c r="K19" s="8">
        <f t="shared" si="2"/>
        <v>1824.6000000000001</v>
      </c>
      <c r="L19" s="71"/>
      <c r="M19" s="71">
        <f t="shared" si="3"/>
        <v>176658.2663000001</v>
      </c>
      <c r="N19" s="42"/>
      <c r="O19" s="72"/>
    </row>
    <row r="20" spans="1:15">
      <c r="A20" s="47">
        <v>17</v>
      </c>
      <c r="B20" s="224">
        <v>46039</v>
      </c>
      <c r="C20" s="181"/>
      <c r="D20" s="181"/>
      <c r="E20" s="68">
        <v>0</v>
      </c>
      <c r="F20" s="6">
        <v>0</v>
      </c>
      <c r="G20" s="8">
        <f t="shared" si="0"/>
        <v>0</v>
      </c>
      <c r="H20" s="68"/>
      <c r="I20" s="6"/>
      <c r="J20" s="8">
        <f t="shared" si="1"/>
        <v>0</v>
      </c>
      <c r="K20" s="8">
        <f t="shared" si="2"/>
        <v>0</v>
      </c>
      <c r="L20" s="71">
        <v>176000</v>
      </c>
      <c r="M20" s="71">
        <f t="shared" ref="M20:M34" si="4">M19+K20-L20</f>
        <v>658.26630000010482</v>
      </c>
      <c r="N20" s="42"/>
      <c r="O20" s="72"/>
    </row>
    <row r="21" spans="1:15">
      <c r="A21" s="47">
        <v>18</v>
      </c>
      <c r="B21" s="224">
        <v>46040</v>
      </c>
      <c r="C21" s="181"/>
      <c r="D21" s="181"/>
      <c r="E21" s="68">
        <v>150</v>
      </c>
      <c r="F21" s="6">
        <v>91.23</v>
      </c>
      <c r="G21" s="8">
        <f t="shared" si="0"/>
        <v>13684.5</v>
      </c>
      <c r="H21" s="68"/>
      <c r="I21" s="6"/>
      <c r="J21" s="8">
        <f t="shared" si="1"/>
        <v>0</v>
      </c>
      <c r="K21" s="8">
        <f t="shared" si="2"/>
        <v>13684.5</v>
      </c>
      <c r="L21" s="71"/>
      <c r="M21" s="71">
        <f t="shared" si="4"/>
        <v>14342.766300000105</v>
      </c>
      <c r="N21" s="42"/>
      <c r="O21" s="72"/>
    </row>
    <row r="22" spans="1:15">
      <c r="A22" s="47">
        <v>19</v>
      </c>
      <c r="B22" s="224">
        <v>46041</v>
      </c>
      <c r="C22" s="181"/>
      <c r="D22" s="181"/>
      <c r="E22" s="68">
        <v>185.6</v>
      </c>
      <c r="F22" s="6">
        <v>91.23</v>
      </c>
      <c r="G22" s="8">
        <f t="shared" si="0"/>
        <v>16932.288</v>
      </c>
      <c r="H22" s="68">
        <v>7.01</v>
      </c>
      <c r="I22" s="6">
        <v>101.16</v>
      </c>
      <c r="J22" s="8">
        <f t="shared" si="1"/>
        <v>709.13159999999993</v>
      </c>
      <c r="K22" s="8">
        <f t="shared" si="2"/>
        <v>17641.419600000001</v>
      </c>
      <c r="L22" s="71"/>
      <c r="M22" s="71">
        <f t="shared" si="4"/>
        <v>31984.185900000106</v>
      </c>
      <c r="N22" s="42"/>
      <c r="O22" s="72"/>
    </row>
    <row r="23" spans="1:15">
      <c r="A23" s="47">
        <v>20</v>
      </c>
      <c r="B23" s="224">
        <v>46042</v>
      </c>
      <c r="C23" s="181"/>
      <c r="D23" s="181"/>
      <c r="E23" s="68">
        <v>0</v>
      </c>
      <c r="F23" s="6">
        <v>0</v>
      </c>
      <c r="G23" s="8">
        <f t="shared" si="0"/>
        <v>0</v>
      </c>
      <c r="H23" s="68">
        <v>7</v>
      </c>
      <c r="I23" s="6">
        <v>103.16</v>
      </c>
      <c r="J23" s="8">
        <f t="shared" si="1"/>
        <v>722.12</v>
      </c>
      <c r="K23" s="8">
        <f t="shared" si="2"/>
        <v>722.12</v>
      </c>
      <c r="L23" s="71"/>
      <c r="M23" s="71">
        <f t="shared" si="4"/>
        <v>32706.305900000105</v>
      </c>
      <c r="N23" s="42"/>
      <c r="O23" s="72"/>
    </row>
    <row r="24" spans="1:15">
      <c r="A24" s="47">
        <v>21</v>
      </c>
      <c r="B24" s="224">
        <v>46043</v>
      </c>
      <c r="C24" s="181"/>
      <c r="D24" s="181"/>
      <c r="E24" s="68">
        <v>20</v>
      </c>
      <c r="F24" s="6">
        <v>91.23</v>
      </c>
      <c r="G24" s="8">
        <f t="shared" si="0"/>
        <v>1824.6000000000001</v>
      </c>
      <c r="H24" s="68">
        <v>6</v>
      </c>
      <c r="I24" s="6">
        <v>103.16</v>
      </c>
      <c r="J24" s="8">
        <f t="shared" si="1"/>
        <v>618.96</v>
      </c>
      <c r="K24" s="8">
        <f t="shared" si="2"/>
        <v>2443.5600000000004</v>
      </c>
      <c r="L24" s="71"/>
      <c r="M24" s="71">
        <f t="shared" si="4"/>
        <v>35149.865900000106</v>
      </c>
      <c r="N24" s="42"/>
      <c r="O24" s="72"/>
    </row>
    <row r="25" spans="1:15">
      <c r="A25" s="47">
        <v>22</v>
      </c>
      <c r="B25" s="224">
        <v>46044</v>
      </c>
      <c r="C25" s="181"/>
      <c r="D25" s="181"/>
      <c r="E25" s="68">
        <v>92.9</v>
      </c>
      <c r="F25" s="6">
        <v>91.23</v>
      </c>
      <c r="G25" s="8">
        <f t="shared" si="0"/>
        <v>8475.2670000000016</v>
      </c>
      <c r="H25" s="68">
        <v>1.93</v>
      </c>
      <c r="I25" s="6">
        <v>103.16</v>
      </c>
      <c r="J25" s="8">
        <f t="shared" si="1"/>
        <v>199.09879999999998</v>
      </c>
      <c r="K25" s="8">
        <f t="shared" si="2"/>
        <v>8674.3658000000014</v>
      </c>
      <c r="L25" s="71"/>
      <c r="M25" s="71">
        <f t="shared" si="4"/>
        <v>43824.231700000106</v>
      </c>
      <c r="N25" s="42"/>
      <c r="O25" s="72"/>
    </row>
    <row r="26" spans="1:15">
      <c r="A26" s="47">
        <v>23</v>
      </c>
      <c r="B26" s="224">
        <v>46045</v>
      </c>
      <c r="C26" s="215"/>
      <c r="D26" s="215"/>
      <c r="E26" s="68">
        <v>0</v>
      </c>
      <c r="F26" s="6">
        <v>0</v>
      </c>
      <c r="G26" s="8">
        <f t="shared" si="0"/>
        <v>0</v>
      </c>
      <c r="H26" s="68"/>
      <c r="I26" s="6"/>
      <c r="J26" s="8">
        <f t="shared" si="1"/>
        <v>0</v>
      </c>
      <c r="K26" s="8">
        <f t="shared" si="2"/>
        <v>0</v>
      </c>
      <c r="L26" s="71"/>
      <c r="M26" s="71">
        <f t="shared" si="4"/>
        <v>43824.231700000106</v>
      </c>
      <c r="N26" s="216"/>
      <c r="O26" s="72">
        <v>51702</v>
      </c>
    </row>
    <row r="27" spans="1:15">
      <c r="A27" s="47">
        <v>24</v>
      </c>
      <c r="B27" s="224">
        <v>46046</v>
      </c>
      <c r="C27" s="215"/>
      <c r="D27" s="215"/>
      <c r="E27" s="326">
        <v>40.76</v>
      </c>
      <c r="F27" s="6">
        <v>91.23</v>
      </c>
      <c r="G27" s="8">
        <f t="shared" si="0"/>
        <v>3718.5347999999999</v>
      </c>
      <c r="H27" s="68">
        <v>2</v>
      </c>
      <c r="I27" s="6">
        <v>103.16</v>
      </c>
      <c r="J27" s="8">
        <f t="shared" si="1"/>
        <v>206.32</v>
      </c>
      <c r="K27" s="8">
        <f t="shared" si="2"/>
        <v>3924.8548000000001</v>
      </c>
      <c r="L27" s="71"/>
      <c r="M27" s="71">
        <f t="shared" si="4"/>
        <v>47749.086500000107</v>
      </c>
      <c r="N27" s="216"/>
      <c r="O27" s="72"/>
    </row>
    <row r="28" spans="1:15">
      <c r="A28" s="226">
        <v>25</v>
      </c>
      <c r="B28" s="224">
        <v>46047</v>
      </c>
      <c r="C28" s="215"/>
      <c r="D28" s="215"/>
      <c r="E28" s="326">
        <f>20+20</f>
        <v>40</v>
      </c>
      <c r="F28" s="6">
        <v>91.23</v>
      </c>
      <c r="G28" s="8">
        <f t="shared" si="0"/>
        <v>3649.2000000000003</v>
      </c>
      <c r="H28" s="68"/>
      <c r="I28" s="6"/>
      <c r="J28" s="8">
        <f t="shared" si="1"/>
        <v>0</v>
      </c>
      <c r="K28" s="8">
        <f t="shared" si="2"/>
        <v>3649.2000000000003</v>
      </c>
      <c r="L28" s="71"/>
      <c r="M28" s="71">
        <f>M27+K28-L28</f>
        <v>51398.286500000104</v>
      </c>
      <c r="N28" s="216"/>
      <c r="O28" s="72"/>
    </row>
    <row r="29" spans="1:15">
      <c r="A29" s="226">
        <v>26</v>
      </c>
      <c r="B29" s="224">
        <v>46048</v>
      </c>
      <c r="C29" s="215"/>
      <c r="D29" s="215"/>
      <c r="E29" s="326">
        <f>50+10</f>
        <v>60</v>
      </c>
      <c r="F29" s="6">
        <v>91.23</v>
      </c>
      <c r="G29" s="8">
        <f t="shared" si="0"/>
        <v>5473.8</v>
      </c>
      <c r="H29" s="68">
        <v>12</v>
      </c>
      <c r="I29" s="6">
        <v>103.16</v>
      </c>
      <c r="J29" s="8">
        <f t="shared" si="1"/>
        <v>1237.92</v>
      </c>
      <c r="K29" s="8">
        <f t="shared" si="2"/>
        <v>6711.72</v>
      </c>
      <c r="L29" s="71"/>
      <c r="M29" s="71">
        <f t="shared" si="4"/>
        <v>58110.006500000105</v>
      </c>
      <c r="N29" s="216"/>
      <c r="O29" s="72"/>
    </row>
    <row r="30" spans="1:15">
      <c r="A30" s="226">
        <v>27</v>
      </c>
      <c r="B30" s="224">
        <v>46049</v>
      </c>
      <c r="C30" s="215"/>
      <c r="D30" s="215"/>
      <c r="E30" s="68">
        <v>131.91</v>
      </c>
      <c r="F30" s="6">
        <v>91.23</v>
      </c>
      <c r="G30" s="8">
        <f t="shared" si="0"/>
        <v>12034.149300000001</v>
      </c>
      <c r="H30" s="68"/>
      <c r="I30" s="6"/>
      <c r="J30" s="8">
        <f t="shared" si="1"/>
        <v>0</v>
      </c>
      <c r="K30" s="8">
        <f t="shared" si="2"/>
        <v>12034.149300000001</v>
      </c>
      <c r="L30" s="71"/>
      <c r="M30" s="71">
        <f t="shared" si="4"/>
        <v>70144.15580000011</v>
      </c>
      <c r="N30" s="216"/>
      <c r="O30" s="72"/>
    </row>
    <row r="31" spans="1:15">
      <c r="A31" s="226">
        <v>28</v>
      </c>
      <c r="B31" s="224">
        <v>46050</v>
      </c>
      <c r="C31" s="215"/>
      <c r="D31" s="215"/>
      <c r="E31" s="68">
        <v>20</v>
      </c>
      <c r="F31" s="6">
        <v>91.23</v>
      </c>
      <c r="G31" s="8">
        <f t="shared" si="0"/>
        <v>1824.6000000000001</v>
      </c>
      <c r="H31" s="68"/>
      <c r="I31" s="6"/>
      <c r="J31" s="8">
        <f t="shared" si="1"/>
        <v>0</v>
      </c>
      <c r="K31" s="8">
        <f t="shared" si="2"/>
        <v>1824.6000000000001</v>
      </c>
      <c r="L31" s="71"/>
      <c r="M31" s="71">
        <f t="shared" si="4"/>
        <v>71968.755800000115</v>
      </c>
      <c r="N31" s="216"/>
      <c r="O31" s="72"/>
    </row>
    <row r="32" spans="1:15">
      <c r="A32" s="227">
        <v>29</v>
      </c>
      <c r="B32" s="224">
        <v>46051</v>
      </c>
      <c r="C32" s="215"/>
      <c r="D32" s="215"/>
      <c r="E32" s="68">
        <v>0</v>
      </c>
      <c r="F32" s="6">
        <v>0</v>
      </c>
      <c r="G32" s="8">
        <f t="shared" si="0"/>
        <v>0</v>
      </c>
      <c r="H32" s="68">
        <v>3</v>
      </c>
      <c r="I32" s="6">
        <v>103.16</v>
      </c>
      <c r="J32" s="8">
        <f t="shared" si="1"/>
        <v>309.48</v>
      </c>
      <c r="K32" s="8">
        <f t="shared" si="2"/>
        <v>309.48</v>
      </c>
      <c r="L32" s="71"/>
      <c r="M32" s="71">
        <f t="shared" si="4"/>
        <v>72278.235800000111</v>
      </c>
      <c r="N32" s="216"/>
      <c r="O32" s="72"/>
    </row>
    <row r="33" spans="1:15">
      <c r="A33" s="227">
        <v>30</v>
      </c>
      <c r="B33" s="224">
        <v>46052</v>
      </c>
      <c r="C33" s="215"/>
      <c r="D33" s="215"/>
      <c r="E33" s="68">
        <v>30</v>
      </c>
      <c r="F33" s="6">
        <v>91.23</v>
      </c>
      <c r="G33" s="8">
        <f t="shared" si="0"/>
        <v>2736.9</v>
      </c>
      <c r="H33" s="68">
        <v>6.53</v>
      </c>
      <c r="I33" s="6">
        <v>103.16</v>
      </c>
      <c r="J33" s="8">
        <f t="shared" si="1"/>
        <v>673.63480000000004</v>
      </c>
      <c r="K33" s="8">
        <f t="shared" si="2"/>
        <v>3410.5348000000004</v>
      </c>
      <c r="L33" s="71"/>
      <c r="M33" s="71">
        <f t="shared" si="4"/>
        <v>75688.770600000105</v>
      </c>
      <c r="N33" s="216"/>
      <c r="O33" s="72"/>
    </row>
    <row r="34" spans="1:15">
      <c r="A34" s="227">
        <v>31</v>
      </c>
      <c r="B34" s="224">
        <v>46053</v>
      </c>
      <c r="C34" s="215"/>
      <c r="D34" s="215"/>
      <c r="E34" s="68">
        <v>123.44999999999999</v>
      </c>
      <c r="F34" s="6">
        <v>91.23</v>
      </c>
      <c r="G34" s="8">
        <f t="shared" si="0"/>
        <v>11262.343499999999</v>
      </c>
      <c r="H34" s="68"/>
      <c r="I34" s="6"/>
      <c r="J34" s="8">
        <f t="shared" si="1"/>
        <v>0</v>
      </c>
      <c r="K34" s="8">
        <f t="shared" si="2"/>
        <v>11262.343499999999</v>
      </c>
      <c r="L34" s="71"/>
      <c r="M34" s="71">
        <f t="shared" si="4"/>
        <v>86951.114100000108</v>
      </c>
      <c r="N34" s="216"/>
      <c r="O34" s="72"/>
    </row>
    <row r="35" spans="1:15">
      <c r="A35" s="164"/>
      <c r="B35" s="164"/>
      <c r="C35" s="164"/>
      <c r="D35" s="164"/>
      <c r="E35" s="165">
        <f>SUM(E4:E34)</f>
        <v>1897.95</v>
      </c>
      <c r="F35" s="165"/>
      <c r="G35" s="165">
        <f>SUM(G4:G34)</f>
        <v>173149.97849999997</v>
      </c>
      <c r="H35" s="165">
        <f>SUM(H4:H34)</f>
        <v>80.539999999999992</v>
      </c>
      <c r="I35" s="165"/>
      <c r="J35" s="165">
        <f>SUM(J4:J34)</f>
        <v>8288.9634000000005</v>
      </c>
      <c r="K35" s="165">
        <f>SUM(K4:K34)</f>
        <v>181438.94190000001</v>
      </c>
      <c r="L35" s="165">
        <f>SUM(L4:L34)</f>
        <v>176000</v>
      </c>
      <c r="M35" s="165"/>
      <c r="N35" s="165"/>
      <c r="O35" s="62"/>
    </row>
    <row r="36" spans="1:15">
      <c r="A36" s="75"/>
      <c r="B36" s="76"/>
      <c r="C36" s="75"/>
      <c r="D36" s="75"/>
      <c r="E36" s="77"/>
      <c r="F36" s="77"/>
      <c r="G36" s="77"/>
      <c r="H36" s="77"/>
      <c r="I36" s="77"/>
      <c r="J36" s="78"/>
      <c r="K36" s="78"/>
      <c r="L36" s="78"/>
      <c r="M36" s="78"/>
      <c r="N36" s="77"/>
      <c r="O36" s="72"/>
    </row>
  </sheetData>
  <mergeCells count="1">
    <mergeCell ref="A1:N1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5CC4A-1C0D-4BA5-8193-DD34ED85649F}">
  <sheetPr>
    <tabColor rgb="FF92D050"/>
  </sheetPr>
  <dimension ref="A1:P46"/>
  <sheetViews>
    <sheetView topLeftCell="A21" workbookViewId="0">
      <selection activeCell="O9" sqref="O9"/>
    </sheetView>
  </sheetViews>
  <sheetFormatPr defaultRowHeight="15"/>
  <cols>
    <col min="2" max="2" width="10.85546875" bestFit="1" customWidth="1"/>
    <col min="4" max="4" width="11.5703125" customWidth="1"/>
    <col min="7" max="7" width="13.5703125" customWidth="1"/>
    <col min="9" max="9" width="9.28515625" bestFit="1" customWidth="1"/>
    <col min="11" max="11" width="14.85546875" customWidth="1"/>
    <col min="12" max="12" width="15.5703125" customWidth="1"/>
    <col min="13" max="13" width="13.7109375" bestFit="1" customWidth="1"/>
    <col min="14" max="14" width="14.7109375" bestFit="1" customWidth="1"/>
  </cols>
  <sheetData>
    <row r="1" spans="1:16" ht="15.75">
      <c r="A1" s="478" t="s">
        <v>91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5"/>
    </row>
    <row r="2" spans="1:16" ht="30">
      <c r="A2" s="67" t="s">
        <v>129</v>
      </c>
      <c r="B2" s="86" t="s">
        <v>130</v>
      </c>
      <c r="C2" s="86" t="s">
        <v>131</v>
      </c>
      <c r="D2" s="86" t="s">
        <v>198</v>
      </c>
      <c r="E2" s="86" t="s">
        <v>133</v>
      </c>
      <c r="F2" s="86" t="s">
        <v>134</v>
      </c>
      <c r="G2" s="93" t="s">
        <v>135</v>
      </c>
      <c r="H2" s="86" t="s">
        <v>136</v>
      </c>
      <c r="I2" s="86" t="s">
        <v>134</v>
      </c>
      <c r="J2" s="93" t="s">
        <v>135</v>
      </c>
      <c r="K2" s="67" t="s">
        <v>137</v>
      </c>
      <c r="L2" s="94" t="s">
        <v>138</v>
      </c>
      <c r="M2" s="88" t="s">
        <v>199</v>
      </c>
      <c r="N2" s="86" t="s">
        <v>140</v>
      </c>
      <c r="O2" s="5"/>
    </row>
    <row r="3" spans="1:16">
      <c r="A3" s="502" t="s">
        <v>141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4"/>
      <c r="M3" s="505">
        <v>3671.4887000000012</v>
      </c>
      <c r="N3" s="506"/>
      <c r="O3" s="5"/>
    </row>
    <row r="4" spans="1:16">
      <c r="A4" s="201">
        <v>1</v>
      </c>
      <c r="B4" s="224"/>
      <c r="C4" s="6"/>
      <c r="D4" s="6"/>
      <c r="E4" s="68">
        <v>0</v>
      </c>
      <c r="F4" s="6">
        <v>0</v>
      </c>
      <c r="G4" s="69">
        <f>E4*F4</f>
        <v>0</v>
      </c>
      <c r="H4" s="68">
        <v>0</v>
      </c>
      <c r="I4" s="6">
        <v>0</v>
      </c>
      <c r="J4" s="69">
        <f>H4*I4</f>
        <v>0</v>
      </c>
      <c r="K4" s="69">
        <f>G4+J4</f>
        <v>0</v>
      </c>
      <c r="L4" s="166">
        <v>0</v>
      </c>
      <c r="M4" s="152">
        <f>M3+K4-L4</f>
        <v>3671.4887000000012</v>
      </c>
      <c r="N4" s="47"/>
      <c r="O4" s="5">
        <v>908.20409999999981</v>
      </c>
    </row>
    <row r="5" spans="1:16">
      <c r="A5" s="47">
        <v>2</v>
      </c>
      <c r="B5" s="224"/>
      <c r="C5" s="6"/>
      <c r="D5" s="6"/>
      <c r="E5" s="68">
        <v>0</v>
      </c>
      <c r="F5" s="6">
        <v>0</v>
      </c>
      <c r="G5" s="69">
        <f t="shared" ref="G5:G42" si="0">E5*F5</f>
        <v>0</v>
      </c>
      <c r="H5" s="68">
        <v>0</v>
      </c>
      <c r="I5" s="6">
        <v>0</v>
      </c>
      <c r="J5" s="69">
        <f t="shared" ref="J5:J42" si="1">H5*I5</f>
        <v>0</v>
      </c>
      <c r="K5" s="69">
        <f t="shared" ref="K5:K42" si="2">G5+J5</f>
        <v>0</v>
      </c>
      <c r="L5" s="166">
        <v>0</v>
      </c>
      <c r="M5" s="152">
        <f t="shared" ref="M5:M43" si="3">M4+K5-L5</f>
        <v>3671.4887000000012</v>
      </c>
      <c r="N5" s="47"/>
      <c r="O5" s="5"/>
    </row>
    <row r="6" spans="1:16">
      <c r="A6" s="47">
        <v>3</v>
      </c>
      <c r="B6" s="224"/>
      <c r="C6" s="6"/>
      <c r="D6" s="6"/>
      <c r="E6" s="68">
        <v>0</v>
      </c>
      <c r="F6" s="6">
        <v>0</v>
      </c>
      <c r="G6" s="69">
        <f t="shared" si="0"/>
        <v>0</v>
      </c>
      <c r="H6" s="68">
        <v>0</v>
      </c>
      <c r="I6" s="6">
        <v>0</v>
      </c>
      <c r="J6" s="69">
        <f t="shared" si="1"/>
        <v>0</v>
      </c>
      <c r="K6" s="69">
        <f t="shared" si="2"/>
        <v>0</v>
      </c>
      <c r="L6" s="166">
        <v>0</v>
      </c>
      <c r="M6" s="152">
        <f t="shared" si="3"/>
        <v>3671.4887000000012</v>
      </c>
      <c r="N6" s="47"/>
      <c r="O6" s="5"/>
    </row>
    <row r="7" spans="1:16">
      <c r="A7" s="47">
        <v>4</v>
      </c>
      <c r="B7" s="224"/>
      <c r="C7" s="6"/>
      <c r="D7" s="6"/>
      <c r="E7" s="68">
        <v>0</v>
      </c>
      <c r="F7" s="6">
        <v>0</v>
      </c>
      <c r="G7" s="69">
        <f t="shared" si="0"/>
        <v>0</v>
      </c>
      <c r="H7" s="68">
        <v>0</v>
      </c>
      <c r="I7" s="6">
        <v>0</v>
      </c>
      <c r="J7" s="69">
        <f t="shared" si="1"/>
        <v>0</v>
      </c>
      <c r="K7" s="69">
        <f t="shared" si="2"/>
        <v>0</v>
      </c>
      <c r="L7" s="166">
        <v>0</v>
      </c>
      <c r="M7" s="152">
        <f t="shared" si="3"/>
        <v>3671.4887000000012</v>
      </c>
      <c r="N7" s="47"/>
      <c r="O7" s="5"/>
    </row>
    <row r="8" spans="1:16">
      <c r="A8" s="47">
        <v>5</v>
      </c>
      <c r="B8" s="224" t="s">
        <v>116</v>
      </c>
      <c r="C8" s="6"/>
      <c r="D8" s="6"/>
      <c r="E8" s="68">
        <v>0</v>
      </c>
      <c r="F8" s="6">
        <v>0</v>
      </c>
      <c r="G8" s="69">
        <f t="shared" si="0"/>
        <v>0</v>
      </c>
      <c r="H8" s="68">
        <v>5</v>
      </c>
      <c r="I8" s="6">
        <v>103.15</v>
      </c>
      <c r="J8" s="69">
        <f t="shared" si="1"/>
        <v>515.75</v>
      </c>
      <c r="K8" s="69">
        <f t="shared" si="2"/>
        <v>515.75</v>
      </c>
      <c r="L8" s="166">
        <v>0</v>
      </c>
      <c r="M8" s="152">
        <f t="shared" si="3"/>
        <v>4187.2387000000017</v>
      </c>
      <c r="N8" s="47"/>
      <c r="O8" s="5"/>
    </row>
    <row r="9" spans="1:16">
      <c r="A9" s="47">
        <v>6</v>
      </c>
      <c r="B9" s="224"/>
      <c r="C9" s="6"/>
      <c r="D9" s="6"/>
      <c r="E9" s="68">
        <v>0</v>
      </c>
      <c r="F9" s="6">
        <v>0</v>
      </c>
      <c r="G9" s="69">
        <f t="shared" si="0"/>
        <v>0</v>
      </c>
      <c r="H9" s="68">
        <v>0</v>
      </c>
      <c r="I9" s="6">
        <v>0</v>
      </c>
      <c r="J9" s="69">
        <f t="shared" si="1"/>
        <v>0</v>
      </c>
      <c r="K9" s="69">
        <f t="shared" si="2"/>
        <v>0</v>
      </c>
      <c r="L9" s="166">
        <v>0</v>
      </c>
      <c r="M9" s="152">
        <f t="shared" si="3"/>
        <v>4187.2387000000017</v>
      </c>
      <c r="N9" s="47"/>
      <c r="O9" s="5"/>
    </row>
    <row r="10" spans="1:16">
      <c r="A10" s="47">
        <v>7</v>
      </c>
      <c r="B10" s="224"/>
      <c r="C10" s="6"/>
      <c r="D10" s="6"/>
      <c r="E10" s="68">
        <v>0</v>
      </c>
      <c r="F10" s="6">
        <v>0</v>
      </c>
      <c r="G10" s="69">
        <f t="shared" si="0"/>
        <v>0</v>
      </c>
      <c r="H10" s="68">
        <v>0</v>
      </c>
      <c r="I10" s="6">
        <v>0</v>
      </c>
      <c r="J10" s="69">
        <f t="shared" si="1"/>
        <v>0</v>
      </c>
      <c r="K10" s="69">
        <f t="shared" si="2"/>
        <v>0</v>
      </c>
      <c r="L10" s="166">
        <v>0</v>
      </c>
      <c r="M10" s="152">
        <f t="shared" si="3"/>
        <v>4187.2387000000017</v>
      </c>
      <c r="N10" s="47"/>
      <c r="O10" s="5"/>
    </row>
    <row r="11" spans="1:16">
      <c r="A11" s="47">
        <v>8</v>
      </c>
      <c r="B11" s="224"/>
      <c r="C11" s="6"/>
      <c r="D11" s="6"/>
      <c r="E11" s="68">
        <v>0</v>
      </c>
      <c r="F11" s="6">
        <v>0</v>
      </c>
      <c r="G11" s="69">
        <f t="shared" si="0"/>
        <v>0</v>
      </c>
      <c r="H11" s="68">
        <v>0</v>
      </c>
      <c r="I11" s="6">
        <v>0</v>
      </c>
      <c r="J11" s="69">
        <f t="shared" si="1"/>
        <v>0</v>
      </c>
      <c r="K11" s="69">
        <f t="shared" si="2"/>
        <v>0</v>
      </c>
      <c r="L11" s="166">
        <v>0</v>
      </c>
      <c r="M11" s="152">
        <f t="shared" si="3"/>
        <v>4187.2387000000017</v>
      </c>
      <c r="N11" s="47"/>
      <c r="O11" s="5"/>
      <c r="P11" s="71">
        <f>P10+N11-O11</f>
        <v>0</v>
      </c>
    </row>
    <row r="12" spans="1:16">
      <c r="A12" s="47">
        <v>9</v>
      </c>
      <c r="B12" s="224"/>
      <c r="C12" s="6"/>
      <c r="D12" s="6"/>
      <c r="E12" s="68">
        <v>0</v>
      </c>
      <c r="F12" s="6">
        <v>0</v>
      </c>
      <c r="G12" s="69">
        <f t="shared" si="0"/>
        <v>0</v>
      </c>
      <c r="H12" s="68">
        <v>0</v>
      </c>
      <c r="I12" s="6">
        <v>0</v>
      </c>
      <c r="J12" s="69">
        <f t="shared" si="1"/>
        <v>0</v>
      </c>
      <c r="K12" s="69">
        <f t="shared" si="2"/>
        <v>0</v>
      </c>
      <c r="L12" s="166">
        <v>0</v>
      </c>
      <c r="M12" s="152">
        <f t="shared" si="3"/>
        <v>4187.2387000000017</v>
      </c>
      <c r="N12" s="47"/>
      <c r="O12" s="5"/>
    </row>
    <row r="13" spans="1:16">
      <c r="A13" s="47">
        <v>10</v>
      </c>
      <c r="B13" s="224"/>
      <c r="C13" s="6"/>
      <c r="D13" s="6"/>
      <c r="E13" s="68">
        <v>0</v>
      </c>
      <c r="F13" s="6">
        <v>0</v>
      </c>
      <c r="G13" s="69">
        <f t="shared" si="0"/>
        <v>0</v>
      </c>
      <c r="H13" s="68">
        <v>0</v>
      </c>
      <c r="I13" s="6">
        <v>0</v>
      </c>
      <c r="J13" s="69">
        <f t="shared" si="1"/>
        <v>0</v>
      </c>
      <c r="K13" s="69">
        <f t="shared" si="2"/>
        <v>0</v>
      </c>
      <c r="L13" s="166">
        <v>0</v>
      </c>
      <c r="M13" s="152">
        <f t="shared" si="3"/>
        <v>4187.2387000000017</v>
      </c>
      <c r="N13" s="47"/>
      <c r="O13" s="5"/>
    </row>
    <row r="14" spans="1:16">
      <c r="A14" s="47">
        <v>11</v>
      </c>
      <c r="B14" s="224"/>
      <c r="C14" s="6"/>
      <c r="D14" s="6"/>
      <c r="E14" s="68">
        <v>0</v>
      </c>
      <c r="F14" s="6">
        <v>0</v>
      </c>
      <c r="G14" s="69">
        <f t="shared" si="0"/>
        <v>0</v>
      </c>
      <c r="H14" s="68">
        <v>0</v>
      </c>
      <c r="I14" s="6">
        <v>0</v>
      </c>
      <c r="J14" s="69">
        <f t="shared" si="1"/>
        <v>0</v>
      </c>
      <c r="K14" s="69">
        <f t="shared" si="2"/>
        <v>0</v>
      </c>
      <c r="L14" s="166">
        <v>0</v>
      </c>
      <c r="M14" s="152">
        <f t="shared" si="3"/>
        <v>4187.2387000000017</v>
      </c>
      <c r="N14" s="47"/>
      <c r="O14" s="5"/>
    </row>
    <row r="15" spans="1:16">
      <c r="A15" s="47">
        <v>12</v>
      </c>
      <c r="B15" s="224"/>
      <c r="C15" s="6"/>
      <c r="D15" s="6"/>
      <c r="E15" s="68">
        <v>0</v>
      </c>
      <c r="F15" s="6">
        <v>0</v>
      </c>
      <c r="G15" s="69">
        <f t="shared" si="0"/>
        <v>0</v>
      </c>
      <c r="H15" s="68">
        <v>0</v>
      </c>
      <c r="I15" s="6">
        <v>0</v>
      </c>
      <c r="J15" s="69">
        <f t="shared" si="1"/>
        <v>0</v>
      </c>
      <c r="K15" s="69">
        <f t="shared" si="2"/>
        <v>0</v>
      </c>
      <c r="L15" s="166">
        <v>0</v>
      </c>
      <c r="M15" s="152">
        <f t="shared" si="3"/>
        <v>4187.2387000000017</v>
      </c>
      <c r="N15" s="47"/>
      <c r="O15" s="5"/>
    </row>
    <row r="16" spans="1:16">
      <c r="A16" s="47">
        <v>13</v>
      </c>
      <c r="B16" s="224"/>
      <c r="C16" s="6"/>
      <c r="D16" s="6"/>
      <c r="E16" s="68">
        <v>0</v>
      </c>
      <c r="F16" s="6">
        <v>0</v>
      </c>
      <c r="G16" s="69">
        <f t="shared" si="0"/>
        <v>0</v>
      </c>
      <c r="H16" s="68">
        <v>0</v>
      </c>
      <c r="I16" s="6">
        <v>0</v>
      </c>
      <c r="J16" s="69">
        <f t="shared" si="1"/>
        <v>0</v>
      </c>
      <c r="K16" s="69">
        <f t="shared" si="2"/>
        <v>0</v>
      </c>
      <c r="L16" s="166">
        <v>0</v>
      </c>
      <c r="M16" s="152">
        <f t="shared" si="3"/>
        <v>4187.2387000000017</v>
      </c>
      <c r="N16" s="47"/>
      <c r="O16" s="5"/>
    </row>
    <row r="17" spans="1:15">
      <c r="A17" s="47">
        <v>14</v>
      </c>
      <c r="B17" s="224"/>
      <c r="C17" s="6"/>
      <c r="D17" s="6"/>
      <c r="E17" s="68">
        <v>0</v>
      </c>
      <c r="F17" s="6">
        <v>0</v>
      </c>
      <c r="G17" s="69">
        <f t="shared" si="0"/>
        <v>0</v>
      </c>
      <c r="H17" s="68">
        <v>0</v>
      </c>
      <c r="I17" s="6">
        <v>0</v>
      </c>
      <c r="J17" s="69">
        <f t="shared" si="1"/>
        <v>0</v>
      </c>
      <c r="K17" s="69">
        <f t="shared" si="2"/>
        <v>0</v>
      </c>
      <c r="L17" s="166">
        <v>0</v>
      </c>
      <c r="M17" s="152">
        <f t="shared" si="3"/>
        <v>4187.2387000000017</v>
      </c>
      <c r="N17" s="47"/>
      <c r="O17" s="5"/>
    </row>
    <row r="18" spans="1:15">
      <c r="A18" s="47">
        <v>15</v>
      </c>
      <c r="B18" s="224"/>
      <c r="C18" s="6"/>
      <c r="D18" s="6"/>
      <c r="E18" s="68">
        <v>0</v>
      </c>
      <c r="F18" s="6">
        <v>0</v>
      </c>
      <c r="G18" s="69">
        <f t="shared" si="0"/>
        <v>0</v>
      </c>
      <c r="H18" s="68">
        <v>0</v>
      </c>
      <c r="I18" s="6">
        <v>0</v>
      </c>
      <c r="J18" s="69">
        <f t="shared" si="1"/>
        <v>0</v>
      </c>
      <c r="K18" s="69">
        <f t="shared" si="2"/>
        <v>0</v>
      </c>
      <c r="L18" s="166">
        <v>0</v>
      </c>
      <c r="M18" s="152">
        <f>M17+K18-L18</f>
        <v>4187.2387000000017</v>
      </c>
      <c r="N18" s="47"/>
      <c r="O18" s="5"/>
    </row>
    <row r="19" spans="1:15">
      <c r="A19" s="47">
        <v>16</v>
      </c>
      <c r="B19" s="224"/>
      <c r="C19" s="6"/>
      <c r="D19" s="6"/>
      <c r="E19" s="68">
        <v>0</v>
      </c>
      <c r="F19" s="6">
        <v>0</v>
      </c>
      <c r="G19" s="69">
        <f t="shared" si="0"/>
        <v>0</v>
      </c>
      <c r="H19" s="68">
        <v>0</v>
      </c>
      <c r="I19" s="6">
        <v>0</v>
      </c>
      <c r="J19" s="69">
        <f t="shared" si="1"/>
        <v>0</v>
      </c>
      <c r="K19" s="69">
        <f t="shared" si="2"/>
        <v>0</v>
      </c>
      <c r="L19" s="166">
        <v>0</v>
      </c>
      <c r="M19" s="152">
        <f t="shared" si="3"/>
        <v>4187.2387000000017</v>
      </c>
      <c r="N19" s="47"/>
      <c r="O19" s="5"/>
    </row>
    <row r="20" spans="1:15">
      <c r="A20" s="47">
        <v>17</v>
      </c>
      <c r="B20" s="224"/>
      <c r="C20" s="6"/>
      <c r="D20" s="6"/>
      <c r="E20" s="68">
        <v>0</v>
      </c>
      <c r="F20" s="6">
        <v>0</v>
      </c>
      <c r="G20" s="69">
        <f>E20*F20</f>
        <v>0</v>
      </c>
      <c r="H20" s="68">
        <v>0</v>
      </c>
      <c r="I20" s="6">
        <v>0</v>
      </c>
      <c r="J20" s="69">
        <f t="shared" si="1"/>
        <v>0</v>
      </c>
      <c r="K20" s="69">
        <f t="shared" si="2"/>
        <v>0</v>
      </c>
      <c r="L20" s="166">
        <v>0</v>
      </c>
      <c r="M20" s="152">
        <f t="shared" si="3"/>
        <v>4187.2387000000017</v>
      </c>
      <c r="N20" s="47"/>
      <c r="O20" s="5"/>
    </row>
    <row r="21" spans="1:15">
      <c r="A21" s="47">
        <v>18</v>
      </c>
      <c r="B21" s="224"/>
      <c r="C21" s="6"/>
      <c r="D21" s="6"/>
      <c r="E21" s="68">
        <v>0</v>
      </c>
      <c r="F21" s="6">
        <v>0</v>
      </c>
      <c r="G21" s="69">
        <f t="shared" si="0"/>
        <v>0</v>
      </c>
      <c r="H21" s="68">
        <v>0</v>
      </c>
      <c r="I21" s="6">
        <v>0</v>
      </c>
      <c r="J21" s="69">
        <f t="shared" si="1"/>
        <v>0</v>
      </c>
      <c r="K21" s="69">
        <f t="shared" si="2"/>
        <v>0</v>
      </c>
      <c r="L21" s="166">
        <v>0</v>
      </c>
      <c r="M21" s="152">
        <f t="shared" si="3"/>
        <v>4187.2387000000017</v>
      </c>
      <c r="N21" s="47"/>
      <c r="O21" s="5"/>
    </row>
    <row r="22" spans="1:15">
      <c r="A22" s="47">
        <v>19</v>
      </c>
      <c r="B22" s="224"/>
      <c r="C22" s="6"/>
      <c r="D22" s="6"/>
      <c r="E22" s="68">
        <v>0</v>
      </c>
      <c r="F22" s="6">
        <v>0</v>
      </c>
      <c r="G22" s="69">
        <f t="shared" si="0"/>
        <v>0</v>
      </c>
      <c r="H22" s="68">
        <v>0</v>
      </c>
      <c r="I22" s="6">
        <v>0</v>
      </c>
      <c r="J22" s="69">
        <f t="shared" si="1"/>
        <v>0</v>
      </c>
      <c r="K22" s="69">
        <f t="shared" si="2"/>
        <v>0</v>
      </c>
      <c r="L22" s="166">
        <v>0</v>
      </c>
      <c r="M22" s="152">
        <f t="shared" si="3"/>
        <v>4187.2387000000017</v>
      </c>
      <c r="N22" s="47"/>
      <c r="O22" s="5"/>
    </row>
    <row r="23" spans="1:15">
      <c r="A23" s="47">
        <v>20</v>
      </c>
      <c r="B23" s="224"/>
      <c r="C23" s="6"/>
      <c r="D23" s="6"/>
      <c r="E23" s="68">
        <v>0</v>
      </c>
      <c r="F23" s="6">
        <v>0</v>
      </c>
      <c r="G23" s="69">
        <f t="shared" si="0"/>
        <v>0</v>
      </c>
      <c r="H23" s="68">
        <v>0</v>
      </c>
      <c r="I23" s="6">
        <v>0</v>
      </c>
      <c r="J23" s="69">
        <f t="shared" si="1"/>
        <v>0</v>
      </c>
      <c r="K23" s="69">
        <f t="shared" si="2"/>
        <v>0</v>
      </c>
      <c r="L23" s="166">
        <v>0</v>
      </c>
      <c r="M23" s="152">
        <f t="shared" si="3"/>
        <v>4187.2387000000017</v>
      </c>
      <c r="N23" s="47"/>
      <c r="O23" s="5"/>
    </row>
    <row r="24" spans="1:15">
      <c r="A24" s="47">
        <v>21</v>
      </c>
      <c r="B24" s="224"/>
      <c r="C24" s="6"/>
      <c r="D24" s="6"/>
      <c r="E24" s="68">
        <v>0</v>
      </c>
      <c r="F24" s="6">
        <v>0</v>
      </c>
      <c r="G24" s="69">
        <f t="shared" si="0"/>
        <v>0</v>
      </c>
      <c r="H24" s="68">
        <v>0</v>
      </c>
      <c r="I24" s="6">
        <v>0</v>
      </c>
      <c r="J24" s="69">
        <f t="shared" si="1"/>
        <v>0</v>
      </c>
      <c r="K24" s="69">
        <f t="shared" si="2"/>
        <v>0</v>
      </c>
      <c r="L24" s="166">
        <v>0</v>
      </c>
      <c r="M24" s="152">
        <f t="shared" si="3"/>
        <v>4187.2387000000017</v>
      </c>
      <c r="N24" s="47"/>
      <c r="O24" s="5"/>
    </row>
    <row r="25" spans="1:15">
      <c r="A25" s="47">
        <v>22</v>
      </c>
      <c r="B25" s="224"/>
      <c r="C25" s="6"/>
      <c r="D25" s="6"/>
      <c r="E25" s="68">
        <v>0</v>
      </c>
      <c r="F25" s="6">
        <v>0</v>
      </c>
      <c r="G25" s="69">
        <f t="shared" si="0"/>
        <v>0</v>
      </c>
      <c r="H25" s="68">
        <v>0</v>
      </c>
      <c r="I25" s="6">
        <v>0</v>
      </c>
      <c r="J25" s="69">
        <f t="shared" si="1"/>
        <v>0</v>
      </c>
      <c r="K25" s="69">
        <f t="shared" si="2"/>
        <v>0</v>
      </c>
      <c r="L25" s="166">
        <v>0</v>
      </c>
      <c r="M25" s="152">
        <f t="shared" si="3"/>
        <v>4187.2387000000017</v>
      </c>
      <c r="N25" s="47"/>
      <c r="O25" s="5"/>
    </row>
    <row r="26" spans="1:15">
      <c r="A26" s="47">
        <v>23</v>
      </c>
      <c r="B26" s="224"/>
      <c r="C26" s="6"/>
      <c r="D26" s="6"/>
      <c r="E26" s="68">
        <v>0</v>
      </c>
      <c r="F26" s="6">
        <v>0</v>
      </c>
      <c r="G26" s="69">
        <f t="shared" si="0"/>
        <v>0</v>
      </c>
      <c r="H26" s="68">
        <v>0</v>
      </c>
      <c r="I26" s="6">
        <v>0</v>
      </c>
      <c r="J26" s="69">
        <f t="shared" si="1"/>
        <v>0</v>
      </c>
      <c r="K26" s="69">
        <f t="shared" si="2"/>
        <v>0</v>
      </c>
      <c r="L26" s="166">
        <v>0</v>
      </c>
      <c r="M26" s="152">
        <f t="shared" si="3"/>
        <v>4187.2387000000017</v>
      </c>
      <c r="N26" s="47"/>
      <c r="O26" s="5"/>
    </row>
    <row r="27" spans="1:15">
      <c r="A27" s="47">
        <v>24</v>
      </c>
      <c r="B27" s="224"/>
      <c r="C27" s="6"/>
      <c r="D27" s="6"/>
      <c r="E27" s="68">
        <v>0</v>
      </c>
      <c r="F27" s="6">
        <v>0</v>
      </c>
      <c r="G27" s="69">
        <f t="shared" si="0"/>
        <v>0</v>
      </c>
      <c r="H27" s="68">
        <v>0</v>
      </c>
      <c r="I27" s="6">
        <v>0</v>
      </c>
      <c r="J27" s="69">
        <f t="shared" si="1"/>
        <v>0</v>
      </c>
      <c r="K27" s="69">
        <f t="shared" si="2"/>
        <v>0</v>
      </c>
      <c r="L27" s="166">
        <v>0</v>
      </c>
      <c r="M27" s="152">
        <f t="shared" si="3"/>
        <v>4187.2387000000017</v>
      </c>
      <c r="N27" s="6"/>
      <c r="O27" s="5"/>
    </row>
    <row r="28" spans="1:15">
      <c r="A28" s="226">
        <v>25</v>
      </c>
      <c r="B28" s="224"/>
      <c r="C28" s="6"/>
      <c r="D28" s="6"/>
      <c r="E28" s="68">
        <v>0</v>
      </c>
      <c r="F28" s="6">
        <v>0</v>
      </c>
      <c r="G28" s="69">
        <f t="shared" si="0"/>
        <v>0</v>
      </c>
      <c r="H28" s="68">
        <v>0</v>
      </c>
      <c r="I28" s="6">
        <v>0</v>
      </c>
      <c r="J28" s="69">
        <f t="shared" si="1"/>
        <v>0</v>
      </c>
      <c r="K28" s="69">
        <f t="shared" si="2"/>
        <v>0</v>
      </c>
      <c r="L28" s="166">
        <v>0</v>
      </c>
      <c r="M28" s="152">
        <f t="shared" si="3"/>
        <v>4187.2387000000017</v>
      </c>
      <c r="N28" s="6"/>
      <c r="O28" s="5"/>
    </row>
    <row r="29" spans="1:15">
      <c r="A29" s="226">
        <v>26</v>
      </c>
      <c r="B29" s="224"/>
      <c r="C29" s="6"/>
      <c r="D29" s="6"/>
      <c r="E29" s="68">
        <v>0</v>
      </c>
      <c r="F29" s="6">
        <v>0</v>
      </c>
      <c r="G29" s="69">
        <f t="shared" si="0"/>
        <v>0</v>
      </c>
      <c r="H29" s="68">
        <v>0</v>
      </c>
      <c r="I29" s="6">
        <v>0</v>
      </c>
      <c r="J29" s="69">
        <f t="shared" si="1"/>
        <v>0</v>
      </c>
      <c r="K29" s="69">
        <f t="shared" si="2"/>
        <v>0</v>
      </c>
      <c r="L29" s="166">
        <v>0</v>
      </c>
      <c r="M29" s="152">
        <f t="shared" si="3"/>
        <v>4187.2387000000017</v>
      </c>
      <c r="N29" s="6"/>
      <c r="O29" s="5"/>
    </row>
    <row r="30" spans="1:15">
      <c r="A30" s="226">
        <v>27</v>
      </c>
      <c r="B30" s="224"/>
      <c r="C30" s="6"/>
      <c r="D30" s="6"/>
      <c r="E30" s="68">
        <v>0</v>
      </c>
      <c r="F30" s="6">
        <v>0</v>
      </c>
      <c r="G30" s="69">
        <f t="shared" si="0"/>
        <v>0</v>
      </c>
      <c r="H30" s="68">
        <v>0</v>
      </c>
      <c r="I30" s="6">
        <v>0</v>
      </c>
      <c r="J30" s="69">
        <f t="shared" si="1"/>
        <v>0</v>
      </c>
      <c r="K30" s="69">
        <f t="shared" si="2"/>
        <v>0</v>
      </c>
      <c r="L30" s="166">
        <v>0</v>
      </c>
      <c r="M30" s="152">
        <f t="shared" si="3"/>
        <v>4187.2387000000017</v>
      </c>
      <c r="N30" s="6"/>
      <c r="O30" s="5"/>
    </row>
    <row r="31" spans="1:15">
      <c r="A31" s="226">
        <v>28</v>
      </c>
      <c r="B31" s="224"/>
      <c r="C31" s="6"/>
      <c r="D31" s="6"/>
      <c r="E31" s="68">
        <v>0</v>
      </c>
      <c r="F31" s="6">
        <v>0</v>
      </c>
      <c r="G31" s="69">
        <f t="shared" si="0"/>
        <v>0</v>
      </c>
      <c r="H31" s="68">
        <v>0</v>
      </c>
      <c r="I31" s="6">
        <v>0</v>
      </c>
      <c r="J31" s="69">
        <f t="shared" si="1"/>
        <v>0</v>
      </c>
      <c r="K31" s="69">
        <f t="shared" si="2"/>
        <v>0</v>
      </c>
      <c r="L31" s="166">
        <v>0</v>
      </c>
      <c r="M31" s="152">
        <f t="shared" si="3"/>
        <v>4187.2387000000017</v>
      </c>
      <c r="N31" s="6"/>
      <c r="O31" s="5"/>
    </row>
    <row r="32" spans="1:15">
      <c r="A32" s="227">
        <v>29</v>
      </c>
      <c r="B32" s="224"/>
      <c r="C32" s="6"/>
      <c r="D32" s="6"/>
      <c r="E32" s="68">
        <v>0</v>
      </c>
      <c r="F32" s="6">
        <v>0</v>
      </c>
      <c r="G32" s="69">
        <f t="shared" si="0"/>
        <v>0</v>
      </c>
      <c r="H32" s="68">
        <v>0</v>
      </c>
      <c r="I32" s="6">
        <v>0</v>
      </c>
      <c r="J32" s="69">
        <f t="shared" si="1"/>
        <v>0</v>
      </c>
      <c r="K32" s="69">
        <f t="shared" si="2"/>
        <v>0</v>
      </c>
      <c r="L32" s="166">
        <v>0</v>
      </c>
      <c r="M32" s="152">
        <f t="shared" si="3"/>
        <v>4187.2387000000017</v>
      </c>
      <c r="N32" s="6"/>
      <c r="O32" s="5"/>
    </row>
    <row r="33" spans="1:15">
      <c r="A33" s="227">
        <v>30</v>
      </c>
      <c r="B33" s="224"/>
      <c r="C33" s="6"/>
      <c r="D33" s="6"/>
      <c r="E33" s="68">
        <v>0</v>
      </c>
      <c r="F33" s="6">
        <v>0</v>
      </c>
      <c r="G33" s="69">
        <f t="shared" si="0"/>
        <v>0</v>
      </c>
      <c r="H33" s="68">
        <v>0</v>
      </c>
      <c r="I33" s="6">
        <v>0</v>
      </c>
      <c r="J33" s="69">
        <f t="shared" si="1"/>
        <v>0</v>
      </c>
      <c r="K33" s="69">
        <f t="shared" si="2"/>
        <v>0</v>
      </c>
      <c r="L33" s="166">
        <v>0</v>
      </c>
      <c r="M33" s="152">
        <f t="shared" si="3"/>
        <v>4187.2387000000017</v>
      </c>
      <c r="N33" s="6"/>
      <c r="O33" s="5"/>
    </row>
    <row r="34" spans="1:15">
      <c r="A34" s="227">
        <v>31</v>
      </c>
      <c r="B34" s="224"/>
      <c r="C34" s="6"/>
      <c r="D34" s="6"/>
      <c r="E34" s="68">
        <v>0</v>
      </c>
      <c r="F34" s="6">
        <v>0</v>
      </c>
      <c r="G34" s="69">
        <f t="shared" si="0"/>
        <v>0</v>
      </c>
      <c r="H34" s="68">
        <v>0</v>
      </c>
      <c r="I34" s="6">
        <v>0</v>
      </c>
      <c r="J34" s="69">
        <f t="shared" si="1"/>
        <v>0</v>
      </c>
      <c r="K34" s="69">
        <f t="shared" si="2"/>
        <v>0</v>
      </c>
      <c r="L34" s="166">
        <v>0</v>
      </c>
      <c r="M34" s="152">
        <f t="shared" si="3"/>
        <v>4187.2387000000017</v>
      </c>
      <c r="N34" s="6"/>
      <c r="O34" s="5"/>
    </row>
    <row r="35" spans="1:15">
      <c r="A35" s="6">
        <v>34</v>
      </c>
      <c r="B35" s="224"/>
      <c r="C35" s="6"/>
      <c r="D35" s="6"/>
      <c r="E35" s="68">
        <v>0</v>
      </c>
      <c r="F35" s="6">
        <v>0</v>
      </c>
      <c r="G35" s="69">
        <f t="shared" si="0"/>
        <v>0</v>
      </c>
      <c r="H35" s="68">
        <v>0</v>
      </c>
      <c r="I35" s="6">
        <v>0</v>
      </c>
      <c r="J35" s="69">
        <f t="shared" si="1"/>
        <v>0</v>
      </c>
      <c r="K35" s="69">
        <f t="shared" si="2"/>
        <v>0</v>
      </c>
      <c r="L35" s="166">
        <v>0</v>
      </c>
      <c r="M35" s="152">
        <f t="shared" si="3"/>
        <v>4187.2387000000017</v>
      </c>
      <c r="N35" s="6"/>
      <c r="O35" s="5"/>
    </row>
    <row r="36" spans="1:15">
      <c r="A36" s="6">
        <v>35</v>
      </c>
      <c r="B36" s="224"/>
      <c r="C36" s="6"/>
      <c r="D36" s="6"/>
      <c r="E36" s="68">
        <v>0</v>
      </c>
      <c r="F36" s="6">
        <v>0</v>
      </c>
      <c r="G36" s="69">
        <f t="shared" si="0"/>
        <v>0</v>
      </c>
      <c r="H36" s="68">
        <v>0</v>
      </c>
      <c r="I36" s="6">
        <v>0</v>
      </c>
      <c r="J36" s="69">
        <f t="shared" si="1"/>
        <v>0</v>
      </c>
      <c r="K36" s="69">
        <f t="shared" si="2"/>
        <v>0</v>
      </c>
      <c r="L36" s="166">
        <v>0</v>
      </c>
      <c r="M36" s="152">
        <f t="shared" si="3"/>
        <v>4187.2387000000017</v>
      </c>
      <c r="N36" s="6"/>
      <c r="O36" s="5"/>
    </row>
    <row r="37" spans="1:15">
      <c r="A37" s="6">
        <v>36</v>
      </c>
      <c r="B37" s="224"/>
      <c r="C37" s="6"/>
      <c r="D37" s="6"/>
      <c r="E37" s="68">
        <v>0</v>
      </c>
      <c r="F37" s="6">
        <v>0</v>
      </c>
      <c r="G37" s="69">
        <f t="shared" si="0"/>
        <v>0</v>
      </c>
      <c r="H37" s="68">
        <v>0</v>
      </c>
      <c r="I37" s="6">
        <v>0</v>
      </c>
      <c r="J37" s="69">
        <f t="shared" si="1"/>
        <v>0</v>
      </c>
      <c r="K37" s="69">
        <f t="shared" si="2"/>
        <v>0</v>
      </c>
      <c r="L37" s="166">
        <v>0</v>
      </c>
      <c r="M37" s="152">
        <f t="shared" si="3"/>
        <v>4187.2387000000017</v>
      </c>
      <c r="N37" s="6"/>
      <c r="O37" s="5"/>
    </row>
    <row r="38" spans="1:15">
      <c r="A38" s="6">
        <v>37</v>
      </c>
      <c r="B38" s="224"/>
      <c r="C38" s="6"/>
      <c r="D38" s="6"/>
      <c r="E38" s="68">
        <v>0</v>
      </c>
      <c r="F38" s="6">
        <v>0</v>
      </c>
      <c r="G38" s="69">
        <f t="shared" si="0"/>
        <v>0</v>
      </c>
      <c r="H38" s="68">
        <v>0</v>
      </c>
      <c r="I38" s="6">
        <v>0</v>
      </c>
      <c r="J38" s="69">
        <f t="shared" si="1"/>
        <v>0</v>
      </c>
      <c r="K38" s="69">
        <f t="shared" si="2"/>
        <v>0</v>
      </c>
      <c r="L38" s="166">
        <v>0</v>
      </c>
      <c r="M38" s="152">
        <f t="shared" si="3"/>
        <v>4187.2387000000017</v>
      </c>
      <c r="N38" s="6"/>
      <c r="O38" s="5"/>
    </row>
    <row r="39" spans="1:15">
      <c r="A39" s="6">
        <v>38</v>
      </c>
      <c r="B39" s="224"/>
      <c r="C39" s="6"/>
      <c r="D39" s="6"/>
      <c r="E39" s="68">
        <v>0</v>
      </c>
      <c r="F39" s="6">
        <v>0</v>
      </c>
      <c r="G39" s="69">
        <f t="shared" si="0"/>
        <v>0</v>
      </c>
      <c r="H39" s="68">
        <v>0</v>
      </c>
      <c r="I39" s="6">
        <v>0</v>
      </c>
      <c r="J39" s="69">
        <f t="shared" si="1"/>
        <v>0</v>
      </c>
      <c r="K39" s="69">
        <f t="shared" si="2"/>
        <v>0</v>
      </c>
      <c r="L39" s="166">
        <v>0</v>
      </c>
      <c r="M39" s="152">
        <f t="shared" si="3"/>
        <v>4187.2387000000017</v>
      </c>
      <c r="N39" s="6"/>
      <c r="O39" s="5"/>
    </row>
    <row r="40" spans="1:15">
      <c r="A40" s="174">
        <v>39</v>
      </c>
      <c r="B40" s="224"/>
      <c r="C40" s="6"/>
      <c r="D40" s="6"/>
      <c r="E40" s="68">
        <v>0</v>
      </c>
      <c r="F40" s="6">
        <v>0</v>
      </c>
      <c r="G40" s="69">
        <f t="shared" si="0"/>
        <v>0</v>
      </c>
      <c r="H40" s="68">
        <v>0</v>
      </c>
      <c r="I40" s="6">
        <v>0</v>
      </c>
      <c r="J40" s="69">
        <f t="shared" si="1"/>
        <v>0</v>
      </c>
      <c r="K40" s="69">
        <f t="shared" si="2"/>
        <v>0</v>
      </c>
      <c r="L40" s="166">
        <v>0</v>
      </c>
      <c r="M40" s="152">
        <f t="shared" si="3"/>
        <v>4187.2387000000017</v>
      </c>
      <c r="N40" s="174"/>
      <c r="O40" s="5"/>
    </row>
    <row r="41" spans="1:15">
      <c r="A41" s="6">
        <v>40</v>
      </c>
      <c r="B41" s="6"/>
      <c r="C41" s="6"/>
      <c r="D41" s="6"/>
      <c r="E41" s="68">
        <v>0</v>
      </c>
      <c r="F41" s="6">
        <v>0</v>
      </c>
      <c r="G41" s="69">
        <f t="shared" si="0"/>
        <v>0</v>
      </c>
      <c r="H41" s="68">
        <v>0</v>
      </c>
      <c r="I41" s="6">
        <v>0</v>
      </c>
      <c r="J41" s="69">
        <f t="shared" si="1"/>
        <v>0</v>
      </c>
      <c r="K41" s="69">
        <f t="shared" si="2"/>
        <v>0</v>
      </c>
      <c r="L41" s="166">
        <v>0</v>
      </c>
      <c r="M41" s="152">
        <f t="shared" si="3"/>
        <v>4187.2387000000017</v>
      </c>
      <c r="N41" s="6"/>
      <c r="O41" s="5"/>
    </row>
    <row r="42" spans="1:15">
      <c r="A42" s="174">
        <v>41</v>
      </c>
      <c r="B42" s="174"/>
      <c r="C42" s="174"/>
      <c r="D42" s="6"/>
      <c r="E42" s="68">
        <v>0</v>
      </c>
      <c r="F42" s="6">
        <v>0</v>
      </c>
      <c r="G42" s="69">
        <f t="shared" si="0"/>
        <v>0</v>
      </c>
      <c r="H42" s="68">
        <v>0</v>
      </c>
      <c r="I42" s="6">
        <v>0</v>
      </c>
      <c r="J42" s="69">
        <f t="shared" si="1"/>
        <v>0</v>
      </c>
      <c r="K42" s="69">
        <f t="shared" si="2"/>
        <v>0</v>
      </c>
      <c r="L42" s="166">
        <v>0</v>
      </c>
      <c r="M42" s="152">
        <f t="shared" si="3"/>
        <v>4187.2387000000017</v>
      </c>
      <c r="N42" s="174"/>
      <c r="O42" s="5"/>
    </row>
    <row r="43" spans="1:15">
      <c r="A43" s="174">
        <v>42</v>
      </c>
      <c r="B43" s="174"/>
      <c r="C43" s="174"/>
      <c r="D43" s="6"/>
      <c r="E43" s="68">
        <v>0</v>
      </c>
      <c r="F43" s="6">
        <v>0</v>
      </c>
      <c r="G43" s="69">
        <f t="shared" ref="G43" si="4">E43*F43</f>
        <v>0</v>
      </c>
      <c r="H43" s="68">
        <v>0</v>
      </c>
      <c r="I43" s="6">
        <v>0</v>
      </c>
      <c r="J43" s="69">
        <f t="shared" ref="J43" si="5">H43*I43</f>
        <v>0</v>
      </c>
      <c r="K43" s="69">
        <f t="shared" ref="K43" si="6">G43+J43</f>
        <v>0</v>
      </c>
      <c r="L43" s="166">
        <v>0</v>
      </c>
      <c r="M43" s="152">
        <f t="shared" si="3"/>
        <v>4187.2387000000017</v>
      </c>
      <c r="N43" s="174"/>
      <c r="O43" s="5"/>
    </row>
    <row r="44" spans="1:15">
      <c r="A44" s="65"/>
      <c r="B44" s="65"/>
      <c r="C44" s="65"/>
      <c r="D44" s="65"/>
      <c r="E44" s="66">
        <f>SUM(E4:E43)</f>
        <v>0</v>
      </c>
      <c r="F44" s="66"/>
      <c r="G44" s="66">
        <f>SUM(G4:G43)</f>
        <v>0</v>
      </c>
      <c r="H44" s="66">
        <f>SUM(H4:H43)</f>
        <v>5</v>
      </c>
      <c r="I44" s="66"/>
      <c r="J44" s="66">
        <f>SUM(J4:J43)</f>
        <v>515.75</v>
      </c>
      <c r="K44" s="66">
        <f>SUM(K4:K43)</f>
        <v>515.75</v>
      </c>
      <c r="L44" s="66">
        <f>SUM(L4:L43)</f>
        <v>0</v>
      </c>
      <c r="M44" s="66"/>
      <c r="N44" s="66"/>
      <c r="O44" s="62"/>
    </row>
    <row r="45" spans="1:15">
      <c r="A45" s="5"/>
      <c r="B45" s="5"/>
      <c r="C45" s="5"/>
      <c r="D45" s="5"/>
      <c r="E45" s="5"/>
      <c r="F45" s="5"/>
      <c r="G45" s="105"/>
      <c r="H45" s="5"/>
      <c r="I45" s="5"/>
      <c r="J45" s="105"/>
      <c r="K45" s="5"/>
      <c r="L45" s="105"/>
      <c r="M45" s="105"/>
      <c r="N45" s="5"/>
      <c r="O45" s="5"/>
    </row>
    <row r="46" spans="1:15">
      <c r="A46" s="5"/>
      <c r="B46" s="5"/>
      <c r="C46" s="5"/>
      <c r="D46" s="5"/>
      <c r="E46" s="5"/>
      <c r="F46" s="5"/>
      <c r="G46" s="105"/>
      <c r="H46" s="5"/>
      <c r="I46" s="5"/>
      <c r="J46" s="105"/>
      <c r="K46" s="5"/>
      <c r="L46" s="105"/>
      <c r="M46" s="105"/>
      <c r="N46" s="5"/>
      <c r="O46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20EFF-7FC6-455A-AFB9-5E2CE46C92B6}">
  <sheetPr>
    <tabColor rgb="FF92D050"/>
  </sheetPr>
  <dimension ref="A1:V49"/>
  <sheetViews>
    <sheetView workbookViewId="0">
      <selection activeCell="K10" sqref="K10"/>
    </sheetView>
  </sheetViews>
  <sheetFormatPr defaultRowHeight="15"/>
  <cols>
    <col min="2" max="2" width="10.85546875" bestFit="1" customWidth="1"/>
    <col min="4" max="4" width="16.140625" customWidth="1"/>
    <col min="7" max="7" width="11.85546875" bestFit="1" customWidth="1"/>
    <col min="11" max="12" width="16" customWidth="1"/>
    <col min="13" max="13" width="14.42578125" bestFit="1" customWidth="1"/>
    <col min="14" max="14" width="14.7109375" bestFit="1" customWidth="1"/>
  </cols>
  <sheetData>
    <row r="1" spans="1:15" ht="15.75">
      <c r="A1" s="478" t="s">
        <v>128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5"/>
    </row>
    <row r="2" spans="1:15" ht="30">
      <c r="A2" s="67" t="s">
        <v>129</v>
      </c>
      <c r="B2" s="86" t="s">
        <v>130</v>
      </c>
      <c r="C2" s="86" t="s">
        <v>131</v>
      </c>
      <c r="D2" s="86" t="s">
        <v>198</v>
      </c>
      <c r="E2" s="86" t="s">
        <v>133</v>
      </c>
      <c r="F2" s="86" t="s">
        <v>134</v>
      </c>
      <c r="G2" s="93" t="s">
        <v>135</v>
      </c>
      <c r="H2" s="86" t="s">
        <v>136</v>
      </c>
      <c r="I2" s="86" t="s">
        <v>134</v>
      </c>
      <c r="J2" s="93" t="s">
        <v>135</v>
      </c>
      <c r="K2" s="67" t="s">
        <v>137</v>
      </c>
      <c r="L2" s="94" t="s">
        <v>138</v>
      </c>
      <c r="M2" s="88" t="s">
        <v>199</v>
      </c>
      <c r="N2" s="86" t="s">
        <v>140</v>
      </c>
      <c r="O2" s="5"/>
    </row>
    <row r="3" spans="1:15">
      <c r="A3" s="502" t="s">
        <v>141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4"/>
      <c r="M3" s="505">
        <v>0</v>
      </c>
      <c r="N3" s="506"/>
      <c r="O3" s="5"/>
    </row>
    <row r="4" spans="1:15">
      <c r="A4" s="201">
        <v>1</v>
      </c>
      <c r="B4" s="224"/>
      <c r="C4" s="6"/>
      <c r="D4" s="6"/>
      <c r="E4" s="68"/>
      <c r="F4" s="6"/>
      <c r="G4" s="69">
        <f>E4*F4</f>
        <v>0</v>
      </c>
      <c r="H4" s="68"/>
      <c r="I4" s="6"/>
      <c r="J4" s="69"/>
      <c r="K4" s="69"/>
      <c r="L4" s="307">
        <v>0</v>
      </c>
      <c r="M4" s="152">
        <f>M3+K4-L4</f>
        <v>0</v>
      </c>
      <c r="N4" s="47" t="s">
        <v>230</v>
      </c>
      <c r="O4" s="5"/>
    </row>
    <row r="5" spans="1:15">
      <c r="A5" s="47">
        <v>2</v>
      </c>
      <c r="B5" s="224"/>
      <c r="C5" s="6"/>
      <c r="D5" s="6"/>
      <c r="E5" s="68"/>
      <c r="F5" s="6"/>
      <c r="G5" s="69">
        <f>E5*F5</f>
        <v>0</v>
      </c>
      <c r="H5" s="68"/>
      <c r="I5" s="6"/>
      <c r="J5" s="69"/>
      <c r="K5" s="69"/>
      <c r="L5" s="307">
        <v>0</v>
      </c>
      <c r="M5" s="152">
        <f t="shared" ref="M5:M46" si="0">M4+K5-L5</f>
        <v>0</v>
      </c>
      <c r="N5" s="47" t="s">
        <v>230</v>
      </c>
      <c r="O5" s="5"/>
    </row>
    <row r="6" spans="1:15">
      <c r="A6" s="47">
        <v>3</v>
      </c>
      <c r="B6" s="224"/>
      <c r="C6" s="6"/>
      <c r="D6" s="6"/>
      <c r="E6" s="68"/>
      <c r="F6" s="6"/>
      <c r="G6" s="69">
        <f t="shared" ref="G6:G44" si="1">E6*F6</f>
        <v>0</v>
      </c>
      <c r="H6" s="68"/>
      <c r="I6" s="6"/>
      <c r="J6" s="69"/>
      <c r="K6" s="69"/>
      <c r="L6" s="307">
        <v>0</v>
      </c>
      <c r="M6" s="152">
        <f t="shared" si="0"/>
        <v>0</v>
      </c>
      <c r="N6" s="47" t="s">
        <v>230</v>
      </c>
      <c r="O6" s="5"/>
    </row>
    <row r="7" spans="1:15">
      <c r="A7" s="201">
        <v>4</v>
      </c>
      <c r="B7" s="224"/>
      <c r="C7" s="6"/>
      <c r="D7" s="6"/>
      <c r="E7" s="68"/>
      <c r="F7" s="6"/>
      <c r="G7" s="69">
        <f t="shared" si="1"/>
        <v>0</v>
      </c>
      <c r="H7" s="68"/>
      <c r="I7" s="6"/>
      <c r="J7" s="69"/>
      <c r="K7" s="69"/>
      <c r="L7" s="307">
        <v>0</v>
      </c>
      <c r="M7" s="152">
        <f t="shared" si="0"/>
        <v>0</v>
      </c>
      <c r="N7" s="47" t="s">
        <v>230</v>
      </c>
      <c r="O7" s="5"/>
    </row>
    <row r="8" spans="1:15">
      <c r="A8" s="47">
        <v>5</v>
      </c>
      <c r="B8" s="224"/>
      <c r="C8" s="6"/>
      <c r="D8" s="6"/>
      <c r="E8" s="68"/>
      <c r="F8" s="6"/>
      <c r="G8" s="69">
        <f t="shared" si="1"/>
        <v>0</v>
      </c>
      <c r="H8" s="68"/>
      <c r="I8" s="6"/>
      <c r="J8" s="69"/>
      <c r="K8" s="69"/>
      <c r="L8" s="307">
        <v>0</v>
      </c>
      <c r="M8" s="152">
        <f t="shared" si="0"/>
        <v>0</v>
      </c>
      <c r="N8" s="47" t="s">
        <v>230</v>
      </c>
      <c r="O8" s="5"/>
    </row>
    <row r="9" spans="1:15">
      <c r="A9" s="47">
        <v>6</v>
      </c>
      <c r="B9" s="224"/>
      <c r="C9" s="6"/>
      <c r="D9" s="6"/>
      <c r="E9" s="68"/>
      <c r="F9" s="6"/>
      <c r="G9" s="69">
        <f t="shared" si="1"/>
        <v>0</v>
      </c>
      <c r="H9" s="68"/>
      <c r="I9" s="6"/>
      <c r="J9" s="69"/>
      <c r="K9" s="69"/>
      <c r="L9" s="307">
        <v>0</v>
      </c>
      <c r="M9" s="152">
        <f t="shared" si="0"/>
        <v>0</v>
      </c>
      <c r="N9" s="47" t="s">
        <v>230</v>
      </c>
      <c r="O9" s="5"/>
    </row>
    <row r="10" spans="1:15">
      <c r="A10" s="201">
        <v>7</v>
      </c>
      <c r="B10" s="224"/>
      <c r="C10" s="6"/>
      <c r="D10" s="6"/>
      <c r="E10" s="68"/>
      <c r="F10" s="6"/>
      <c r="G10" s="69">
        <f t="shared" si="1"/>
        <v>0</v>
      </c>
      <c r="H10" s="68"/>
      <c r="I10" s="6"/>
      <c r="J10" s="69"/>
      <c r="K10" s="69"/>
      <c r="L10" s="307">
        <v>0</v>
      </c>
      <c r="M10" s="152">
        <f t="shared" si="0"/>
        <v>0</v>
      </c>
      <c r="N10" s="47" t="s">
        <v>230</v>
      </c>
      <c r="O10" s="5"/>
    </row>
    <row r="11" spans="1:15">
      <c r="A11" s="47">
        <v>8</v>
      </c>
      <c r="B11" s="224"/>
      <c r="C11" s="6"/>
      <c r="D11" s="6"/>
      <c r="E11" s="326"/>
      <c r="F11" s="326"/>
      <c r="G11" s="69">
        <f t="shared" si="1"/>
        <v>0</v>
      </c>
      <c r="H11" s="68"/>
      <c r="I11" s="6"/>
      <c r="J11" s="69"/>
      <c r="K11" s="69"/>
      <c r="L11" s="307">
        <v>0</v>
      </c>
      <c r="M11" s="152">
        <f t="shared" si="0"/>
        <v>0</v>
      </c>
      <c r="N11" s="47" t="s">
        <v>230</v>
      </c>
      <c r="O11" s="5"/>
    </row>
    <row r="12" spans="1:15">
      <c r="A12" s="47">
        <v>9</v>
      </c>
      <c r="B12" s="224"/>
      <c r="C12" s="6"/>
      <c r="D12" s="6"/>
      <c r="E12" s="326"/>
      <c r="F12" s="326"/>
      <c r="G12" s="69">
        <f t="shared" si="1"/>
        <v>0</v>
      </c>
      <c r="H12" s="68"/>
      <c r="I12" s="6"/>
      <c r="J12" s="69"/>
      <c r="K12" s="69"/>
      <c r="L12" s="307">
        <v>0</v>
      </c>
      <c r="M12" s="152">
        <f t="shared" si="0"/>
        <v>0</v>
      </c>
      <c r="N12" s="47" t="s">
        <v>230</v>
      </c>
      <c r="O12" s="5"/>
    </row>
    <row r="13" spans="1:15">
      <c r="A13" s="201">
        <v>10</v>
      </c>
      <c r="B13" s="224"/>
      <c r="C13" s="6"/>
      <c r="D13" s="6"/>
      <c r="E13" s="68"/>
      <c r="F13" s="326"/>
      <c r="G13" s="69">
        <f t="shared" si="1"/>
        <v>0</v>
      </c>
      <c r="H13" s="68"/>
      <c r="I13" s="6"/>
      <c r="J13" s="69"/>
      <c r="K13" s="69"/>
      <c r="L13" s="307">
        <v>0</v>
      </c>
      <c r="M13" s="152">
        <f t="shared" si="0"/>
        <v>0</v>
      </c>
      <c r="N13" s="47" t="s">
        <v>230</v>
      </c>
      <c r="O13" s="5"/>
    </row>
    <row r="14" spans="1:15">
      <c r="A14" s="47">
        <v>11</v>
      </c>
      <c r="B14" s="224"/>
      <c r="C14" s="6"/>
      <c r="D14" s="6"/>
      <c r="E14" s="68"/>
      <c r="F14" s="326"/>
      <c r="G14" s="69">
        <f t="shared" si="1"/>
        <v>0</v>
      </c>
      <c r="H14" s="68"/>
      <c r="I14" s="6"/>
      <c r="J14" s="69"/>
      <c r="K14" s="69"/>
      <c r="L14" s="307">
        <v>0</v>
      </c>
      <c r="M14" s="152">
        <f t="shared" si="0"/>
        <v>0</v>
      </c>
      <c r="N14" s="47" t="s">
        <v>230</v>
      </c>
      <c r="O14" s="5"/>
    </row>
    <row r="15" spans="1:15">
      <c r="A15" s="47">
        <v>12</v>
      </c>
      <c r="B15" s="224"/>
      <c r="C15" s="6"/>
      <c r="D15" s="6"/>
      <c r="E15" s="68"/>
      <c r="F15" s="6"/>
      <c r="G15" s="69">
        <f t="shared" si="1"/>
        <v>0</v>
      </c>
      <c r="H15" s="68"/>
      <c r="I15" s="6"/>
      <c r="J15" s="69">
        <f>H15*I15</f>
        <v>0</v>
      </c>
      <c r="K15" s="69">
        <f>G15+J15</f>
        <v>0</v>
      </c>
      <c r="L15" s="307">
        <v>0</v>
      </c>
      <c r="M15" s="152">
        <f t="shared" si="0"/>
        <v>0</v>
      </c>
      <c r="N15" s="47" t="s">
        <v>230</v>
      </c>
      <c r="O15" s="5"/>
    </row>
    <row r="16" spans="1:15">
      <c r="A16" s="201">
        <v>13</v>
      </c>
      <c r="B16" s="224"/>
      <c r="C16" s="6"/>
      <c r="D16" s="6"/>
      <c r="E16" s="68"/>
      <c r="F16" s="6"/>
      <c r="G16" s="69">
        <f t="shared" si="1"/>
        <v>0</v>
      </c>
      <c r="H16" s="68"/>
      <c r="I16" s="6"/>
      <c r="J16" s="69"/>
      <c r="K16" s="69"/>
      <c r="L16" s="307">
        <v>0</v>
      </c>
      <c r="M16" s="152">
        <f t="shared" si="0"/>
        <v>0</v>
      </c>
      <c r="N16" s="47" t="s">
        <v>230</v>
      </c>
      <c r="O16" s="5"/>
    </row>
    <row r="17" spans="1:22">
      <c r="A17" s="47">
        <v>14</v>
      </c>
      <c r="B17" s="224"/>
      <c r="C17" s="6"/>
      <c r="D17" s="6"/>
      <c r="E17" s="68"/>
      <c r="F17" s="6"/>
      <c r="G17" s="69">
        <f t="shared" si="1"/>
        <v>0</v>
      </c>
      <c r="H17" s="68"/>
      <c r="I17" s="6"/>
      <c r="J17" s="69"/>
      <c r="K17" s="69"/>
      <c r="L17" s="307">
        <v>0</v>
      </c>
      <c r="M17" s="152">
        <f t="shared" si="0"/>
        <v>0</v>
      </c>
      <c r="N17" s="47" t="s">
        <v>230</v>
      </c>
      <c r="O17" s="5"/>
    </row>
    <row r="18" spans="1:22">
      <c r="A18" s="47">
        <v>15</v>
      </c>
      <c r="B18" s="224" t="s">
        <v>107</v>
      </c>
      <c r="C18" s="6"/>
      <c r="D18" s="6"/>
      <c r="E18" s="68"/>
      <c r="F18" s="6"/>
      <c r="G18" s="69">
        <f t="shared" si="1"/>
        <v>0</v>
      </c>
      <c r="H18" s="68"/>
      <c r="I18" s="6"/>
      <c r="J18" s="69"/>
      <c r="K18" s="69"/>
      <c r="L18" s="307">
        <v>0</v>
      </c>
      <c r="M18" s="152">
        <f t="shared" si="0"/>
        <v>0</v>
      </c>
      <c r="N18" s="47" t="s">
        <v>230</v>
      </c>
      <c r="O18" s="5"/>
    </row>
    <row r="19" spans="1:22">
      <c r="A19" s="201">
        <v>16</v>
      </c>
      <c r="B19" s="224"/>
      <c r="C19" s="6"/>
      <c r="D19" s="6"/>
      <c r="E19" s="68"/>
      <c r="F19" s="6"/>
      <c r="G19" s="69">
        <f t="shared" si="1"/>
        <v>0</v>
      </c>
      <c r="H19" s="68">
        <v>0</v>
      </c>
      <c r="I19" s="6"/>
      <c r="J19" s="69"/>
      <c r="K19" s="69"/>
      <c r="L19" s="307">
        <v>0</v>
      </c>
      <c r="M19" s="152">
        <f t="shared" si="0"/>
        <v>0</v>
      </c>
      <c r="N19" s="47" t="s">
        <v>230</v>
      </c>
      <c r="O19" s="5"/>
    </row>
    <row r="20" spans="1:22">
      <c r="A20" s="47">
        <v>17</v>
      </c>
      <c r="B20" s="224"/>
      <c r="C20" s="6"/>
      <c r="D20" s="6"/>
      <c r="E20" s="68"/>
      <c r="F20" s="6"/>
      <c r="G20" s="69">
        <f t="shared" si="1"/>
        <v>0</v>
      </c>
      <c r="H20" s="68">
        <v>0</v>
      </c>
      <c r="I20" s="6"/>
      <c r="J20" s="69"/>
      <c r="K20" s="69"/>
      <c r="L20" s="307">
        <v>0</v>
      </c>
      <c r="M20" s="152">
        <f t="shared" si="0"/>
        <v>0</v>
      </c>
      <c r="N20" s="47" t="s">
        <v>230</v>
      </c>
      <c r="O20" s="5"/>
    </row>
    <row r="21" spans="1:22">
      <c r="A21" s="47">
        <v>18</v>
      </c>
      <c r="B21" s="224"/>
      <c r="C21" s="6"/>
      <c r="D21" s="6"/>
      <c r="E21" s="68"/>
      <c r="F21" s="6"/>
      <c r="G21" s="69">
        <f t="shared" si="1"/>
        <v>0</v>
      </c>
      <c r="H21" s="68">
        <v>0</v>
      </c>
      <c r="I21" s="6"/>
      <c r="J21" s="69"/>
      <c r="K21" s="69"/>
      <c r="L21" s="307">
        <v>0</v>
      </c>
      <c r="M21" s="152">
        <f t="shared" si="0"/>
        <v>0</v>
      </c>
      <c r="N21" s="47" t="s">
        <v>230</v>
      </c>
      <c r="O21" s="5"/>
      <c r="Q21">
        <f>76.54*91.45</f>
        <v>6999.5830000000005</v>
      </c>
      <c r="T21">
        <f>25*600</f>
        <v>15000</v>
      </c>
      <c r="U21">
        <f>T21*2</f>
        <v>30000</v>
      </c>
      <c r="V21">
        <f>250*600</f>
        <v>150000</v>
      </c>
    </row>
    <row r="22" spans="1:22">
      <c r="A22" s="201">
        <v>19</v>
      </c>
      <c r="B22" s="224"/>
      <c r="C22" s="6"/>
      <c r="D22" s="6"/>
      <c r="E22" s="68"/>
      <c r="F22" s="6"/>
      <c r="G22" s="69">
        <f t="shared" si="1"/>
        <v>0</v>
      </c>
      <c r="H22" s="68">
        <v>0</v>
      </c>
      <c r="I22" s="6"/>
      <c r="J22" s="69"/>
      <c r="K22" s="69"/>
      <c r="L22" s="307">
        <v>0</v>
      </c>
      <c r="M22" s="152">
        <f t="shared" si="0"/>
        <v>0</v>
      </c>
      <c r="N22" s="47" t="s">
        <v>230</v>
      </c>
      <c r="O22" s="5"/>
      <c r="T22">
        <f>25*480</f>
        <v>12000</v>
      </c>
      <c r="U22">
        <f>T22*2</f>
        <v>24000</v>
      </c>
      <c r="V22">
        <f>250*480</f>
        <v>120000</v>
      </c>
    </row>
    <row r="23" spans="1:22">
      <c r="A23" s="47">
        <v>20</v>
      </c>
      <c r="B23" s="224"/>
      <c r="C23" s="6"/>
      <c r="D23" s="6"/>
      <c r="E23" s="68"/>
      <c r="F23" s="6"/>
      <c r="G23" s="69">
        <f t="shared" si="1"/>
        <v>0</v>
      </c>
      <c r="H23" s="68">
        <v>0</v>
      </c>
      <c r="I23" s="6"/>
      <c r="J23" s="69"/>
      <c r="K23" s="69"/>
      <c r="L23" s="307">
        <v>0</v>
      </c>
      <c r="M23" s="152">
        <f t="shared" si="0"/>
        <v>0</v>
      </c>
      <c r="N23" s="47" t="s">
        <v>230</v>
      </c>
      <c r="O23" s="5"/>
    </row>
    <row r="24" spans="1:22">
      <c r="A24" s="47">
        <v>21</v>
      </c>
      <c r="B24" s="224"/>
      <c r="C24" s="6"/>
      <c r="D24" s="6"/>
      <c r="E24" s="68"/>
      <c r="F24" s="6"/>
      <c r="G24" s="69">
        <f t="shared" si="1"/>
        <v>0</v>
      </c>
      <c r="H24" s="68">
        <v>0</v>
      </c>
      <c r="I24" s="6"/>
      <c r="J24" s="69"/>
      <c r="K24" s="69"/>
      <c r="L24" s="307">
        <v>0</v>
      </c>
      <c r="M24" s="152">
        <f t="shared" si="0"/>
        <v>0</v>
      </c>
      <c r="N24" s="47" t="s">
        <v>230</v>
      </c>
      <c r="O24" s="5"/>
    </row>
    <row r="25" spans="1:22">
      <c r="A25" s="201">
        <v>22</v>
      </c>
      <c r="B25" s="224"/>
      <c r="C25" s="6"/>
      <c r="D25" s="6"/>
      <c r="E25" s="68"/>
      <c r="F25" s="6"/>
      <c r="G25" s="69">
        <f t="shared" si="1"/>
        <v>0</v>
      </c>
      <c r="H25" s="68">
        <v>0</v>
      </c>
      <c r="I25" s="6"/>
      <c r="J25" s="69"/>
      <c r="K25" s="69"/>
      <c r="L25" s="307">
        <v>0</v>
      </c>
      <c r="M25" s="152">
        <f t="shared" si="0"/>
        <v>0</v>
      </c>
      <c r="N25" s="47" t="s">
        <v>230</v>
      </c>
      <c r="O25" s="5"/>
    </row>
    <row r="26" spans="1:22">
      <c r="A26" s="47">
        <v>23</v>
      </c>
      <c r="B26" s="224"/>
      <c r="C26" s="6"/>
      <c r="D26" s="6"/>
      <c r="E26" s="68"/>
      <c r="F26" s="6"/>
      <c r="G26" s="69">
        <f t="shared" si="1"/>
        <v>0</v>
      </c>
      <c r="H26" s="68">
        <v>0</v>
      </c>
      <c r="I26" s="6"/>
      <c r="J26" s="69"/>
      <c r="K26" s="69"/>
      <c r="L26" s="307">
        <v>0</v>
      </c>
      <c r="M26" s="152">
        <f t="shared" si="0"/>
        <v>0</v>
      </c>
      <c r="N26" s="47" t="s">
        <v>230</v>
      </c>
      <c r="O26" s="5">
        <v>14616</v>
      </c>
    </row>
    <row r="27" spans="1:22">
      <c r="A27" s="47">
        <v>24</v>
      </c>
      <c r="B27" s="224"/>
      <c r="C27" s="6"/>
      <c r="D27" s="6"/>
      <c r="E27" s="68"/>
      <c r="F27" s="6"/>
      <c r="G27" s="69">
        <f t="shared" si="1"/>
        <v>0</v>
      </c>
      <c r="H27" s="68">
        <v>0</v>
      </c>
      <c r="I27" s="6"/>
      <c r="J27" s="69"/>
      <c r="K27" s="69"/>
      <c r="L27" s="307">
        <v>0</v>
      </c>
      <c r="M27" s="152">
        <f t="shared" si="0"/>
        <v>0</v>
      </c>
      <c r="N27" s="47" t="s">
        <v>230</v>
      </c>
      <c r="O27" s="5"/>
    </row>
    <row r="28" spans="1:22">
      <c r="A28" s="201">
        <v>25</v>
      </c>
      <c r="B28" s="224"/>
      <c r="C28" s="6"/>
      <c r="D28" s="6"/>
      <c r="E28" s="68"/>
      <c r="F28" s="6"/>
      <c r="G28" s="69">
        <f t="shared" si="1"/>
        <v>0</v>
      </c>
      <c r="H28" s="68">
        <v>0</v>
      </c>
      <c r="I28" s="6"/>
      <c r="J28" s="69"/>
      <c r="K28" s="69"/>
      <c r="L28" s="307">
        <v>0</v>
      </c>
      <c r="M28" s="152">
        <f t="shared" si="0"/>
        <v>0</v>
      </c>
      <c r="N28" s="47" t="s">
        <v>230</v>
      </c>
      <c r="O28" s="5"/>
    </row>
    <row r="29" spans="1:22">
      <c r="A29" s="47">
        <v>26</v>
      </c>
      <c r="B29" s="224"/>
      <c r="C29" s="6"/>
      <c r="D29" s="6"/>
      <c r="E29" s="68"/>
      <c r="F29" s="6"/>
      <c r="G29" s="69">
        <f t="shared" si="1"/>
        <v>0</v>
      </c>
      <c r="H29" s="68">
        <v>0</v>
      </c>
      <c r="I29" s="6"/>
      <c r="J29" s="69"/>
      <c r="K29" s="69"/>
      <c r="L29" s="307">
        <v>0</v>
      </c>
      <c r="M29" s="152">
        <f t="shared" si="0"/>
        <v>0</v>
      </c>
      <c r="N29" s="47" t="s">
        <v>230</v>
      </c>
      <c r="O29" s="5"/>
    </row>
    <row r="30" spans="1:22">
      <c r="A30" s="47">
        <v>27</v>
      </c>
      <c r="B30" s="224"/>
      <c r="C30" s="6"/>
      <c r="D30" s="6"/>
      <c r="E30" s="68"/>
      <c r="F30" s="6"/>
      <c r="G30" s="69">
        <f t="shared" si="1"/>
        <v>0</v>
      </c>
      <c r="H30" s="68">
        <v>0</v>
      </c>
      <c r="I30" s="6"/>
      <c r="J30" s="69"/>
      <c r="K30" s="69"/>
      <c r="L30" s="307">
        <v>0</v>
      </c>
      <c r="M30" s="152">
        <f t="shared" si="0"/>
        <v>0</v>
      </c>
      <c r="N30" s="47" t="s">
        <v>230</v>
      </c>
      <c r="O30" s="5"/>
    </row>
    <row r="31" spans="1:22">
      <c r="A31" s="201">
        <v>28</v>
      </c>
      <c r="B31" s="224"/>
      <c r="C31" s="6"/>
      <c r="D31" s="6"/>
      <c r="E31" s="68"/>
      <c r="F31" s="6"/>
      <c r="G31" s="69">
        <f t="shared" si="1"/>
        <v>0</v>
      </c>
      <c r="H31" s="68">
        <v>0</v>
      </c>
      <c r="I31" s="6"/>
      <c r="J31" s="69"/>
      <c r="K31" s="69"/>
      <c r="L31" s="307">
        <v>0</v>
      </c>
      <c r="M31" s="152">
        <f t="shared" si="0"/>
        <v>0</v>
      </c>
      <c r="N31" s="47" t="s">
        <v>230</v>
      </c>
      <c r="O31" s="5"/>
    </row>
    <row r="32" spans="1:22">
      <c r="A32" s="47">
        <v>29</v>
      </c>
      <c r="B32" s="224"/>
      <c r="C32" s="6"/>
      <c r="D32" s="6"/>
      <c r="E32" s="68"/>
      <c r="F32" s="6"/>
      <c r="G32" s="69">
        <f t="shared" si="1"/>
        <v>0</v>
      </c>
      <c r="H32" s="68">
        <v>0</v>
      </c>
      <c r="I32" s="6"/>
      <c r="J32" s="69"/>
      <c r="K32" s="69"/>
      <c r="L32" s="307">
        <v>0</v>
      </c>
      <c r="M32" s="152">
        <f t="shared" si="0"/>
        <v>0</v>
      </c>
      <c r="N32" s="47" t="s">
        <v>230</v>
      </c>
      <c r="O32" s="5"/>
    </row>
    <row r="33" spans="1:15">
      <c r="A33" s="47">
        <v>30</v>
      </c>
      <c r="B33" s="224"/>
      <c r="C33" s="6"/>
      <c r="D33" s="6"/>
      <c r="E33" s="68"/>
      <c r="F33" s="6"/>
      <c r="G33" s="69">
        <f t="shared" si="1"/>
        <v>0</v>
      </c>
      <c r="H33" s="68">
        <v>0</v>
      </c>
      <c r="I33" s="6"/>
      <c r="J33" s="69"/>
      <c r="K33" s="69"/>
      <c r="L33" s="307">
        <v>0</v>
      </c>
      <c r="M33" s="152">
        <f t="shared" si="0"/>
        <v>0</v>
      </c>
      <c r="N33" s="47" t="s">
        <v>230</v>
      </c>
      <c r="O33" s="5"/>
    </row>
    <row r="34" spans="1:15">
      <c r="A34" s="201">
        <v>31</v>
      </c>
      <c r="B34" s="224"/>
      <c r="C34" s="6"/>
      <c r="D34" s="6"/>
      <c r="E34" s="68"/>
      <c r="F34" s="6"/>
      <c r="G34" s="69">
        <f t="shared" si="1"/>
        <v>0</v>
      </c>
      <c r="H34" s="68">
        <v>0</v>
      </c>
      <c r="I34" s="6"/>
      <c r="J34" s="69"/>
      <c r="K34" s="69"/>
      <c r="L34" s="307">
        <v>0</v>
      </c>
      <c r="M34" s="152">
        <f t="shared" si="0"/>
        <v>0</v>
      </c>
      <c r="N34" s="47" t="s">
        <v>230</v>
      </c>
      <c r="O34" s="5"/>
    </row>
    <row r="35" spans="1:15">
      <c r="A35" s="47">
        <v>32</v>
      </c>
      <c r="B35" s="224"/>
      <c r="C35" s="6"/>
      <c r="D35" s="6"/>
      <c r="E35" s="68"/>
      <c r="F35" s="6"/>
      <c r="G35" s="69">
        <f t="shared" si="1"/>
        <v>0</v>
      </c>
      <c r="H35" s="68">
        <v>0</v>
      </c>
      <c r="I35" s="6"/>
      <c r="J35" s="69"/>
      <c r="K35" s="69"/>
      <c r="L35" s="307">
        <v>0</v>
      </c>
      <c r="M35" s="152">
        <f t="shared" si="0"/>
        <v>0</v>
      </c>
      <c r="N35" s="47" t="s">
        <v>230</v>
      </c>
      <c r="O35" s="5"/>
    </row>
    <row r="36" spans="1:15">
      <c r="A36" s="47">
        <v>33</v>
      </c>
      <c r="B36" s="224"/>
      <c r="C36" s="6"/>
      <c r="D36" s="6"/>
      <c r="E36" s="68"/>
      <c r="F36" s="6"/>
      <c r="G36" s="69">
        <f t="shared" si="1"/>
        <v>0</v>
      </c>
      <c r="H36" s="68">
        <v>0</v>
      </c>
      <c r="I36" s="6"/>
      <c r="J36" s="69"/>
      <c r="K36" s="69"/>
      <c r="L36" s="307">
        <v>0</v>
      </c>
      <c r="M36" s="152">
        <f t="shared" si="0"/>
        <v>0</v>
      </c>
      <c r="N36" s="47" t="s">
        <v>230</v>
      </c>
      <c r="O36" s="5"/>
    </row>
    <row r="37" spans="1:15">
      <c r="A37" s="201">
        <v>34</v>
      </c>
      <c r="B37" s="224"/>
      <c r="C37" s="6"/>
      <c r="D37" s="6"/>
      <c r="E37" s="68"/>
      <c r="F37" s="6"/>
      <c r="G37" s="69">
        <f t="shared" si="1"/>
        <v>0</v>
      </c>
      <c r="H37" s="68">
        <v>0</v>
      </c>
      <c r="I37" s="6"/>
      <c r="J37" s="69"/>
      <c r="K37" s="69"/>
      <c r="L37" s="307">
        <v>0</v>
      </c>
      <c r="M37" s="152">
        <f t="shared" si="0"/>
        <v>0</v>
      </c>
      <c r="N37" s="47" t="s">
        <v>230</v>
      </c>
      <c r="O37" s="5"/>
    </row>
    <row r="38" spans="1:15">
      <c r="A38" s="47">
        <v>35</v>
      </c>
      <c r="B38" s="224"/>
      <c r="C38" s="6"/>
      <c r="D38" s="6"/>
      <c r="E38" s="68"/>
      <c r="F38" s="6"/>
      <c r="G38" s="69">
        <f t="shared" si="1"/>
        <v>0</v>
      </c>
      <c r="H38" s="68">
        <v>0</v>
      </c>
      <c r="I38" s="6"/>
      <c r="J38" s="69"/>
      <c r="K38" s="69"/>
      <c r="L38" s="307">
        <v>0</v>
      </c>
      <c r="M38" s="152">
        <f t="shared" si="0"/>
        <v>0</v>
      </c>
      <c r="N38" s="6"/>
      <c r="O38" s="5"/>
    </row>
    <row r="39" spans="1:15">
      <c r="A39" s="47">
        <v>36</v>
      </c>
      <c r="B39" s="224"/>
      <c r="C39" s="6"/>
      <c r="D39" s="6"/>
      <c r="E39" s="68"/>
      <c r="F39" s="6"/>
      <c r="G39" s="69">
        <f t="shared" si="1"/>
        <v>0</v>
      </c>
      <c r="H39" s="68">
        <v>0</v>
      </c>
      <c r="I39" s="6"/>
      <c r="J39" s="69"/>
      <c r="K39" s="69"/>
      <c r="L39" s="307">
        <v>0</v>
      </c>
      <c r="M39" s="152">
        <f t="shared" si="0"/>
        <v>0</v>
      </c>
      <c r="N39" s="6"/>
      <c r="O39" s="5"/>
    </row>
    <row r="40" spans="1:15">
      <c r="A40" s="201">
        <v>37</v>
      </c>
      <c r="B40" s="224"/>
      <c r="C40" s="6"/>
      <c r="D40" s="6"/>
      <c r="E40" s="68"/>
      <c r="F40" s="6"/>
      <c r="G40" s="69">
        <f t="shared" si="1"/>
        <v>0</v>
      </c>
      <c r="H40" s="68">
        <v>0</v>
      </c>
      <c r="I40" s="6"/>
      <c r="J40" s="69"/>
      <c r="K40" s="69"/>
      <c r="L40" s="307">
        <v>0</v>
      </c>
      <c r="M40" s="152">
        <f t="shared" si="0"/>
        <v>0</v>
      </c>
      <c r="N40" s="6"/>
      <c r="O40" s="5"/>
    </row>
    <row r="41" spans="1:15">
      <c r="A41" s="47">
        <v>38</v>
      </c>
      <c r="B41" s="224"/>
      <c r="C41" s="6"/>
      <c r="D41" s="6"/>
      <c r="E41" s="68"/>
      <c r="F41" s="6"/>
      <c r="G41" s="69">
        <f t="shared" si="1"/>
        <v>0</v>
      </c>
      <c r="H41" s="68">
        <v>0</v>
      </c>
      <c r="I41" s="6"/>
      <c r="J41" s="69"/>
      <c r="K41" s="69"/>
      <c r="L41" s="307">
        <v>0</v>
      </c>
      <c r="M41" s="152">
        <f t="shared" si="0"/>
        <v>0</v>
      </c>
      <c r="N41" s="6"/>
      <c r="O41" s="5"/>
    </row>
    <row r="42" spans="1:15">
      <c r="A42" s="47">
        <v>39</v>
      </c>
      <c r="B42" s="224"/>
      <c r="C42" s="6"/>
      <c r="D42" s="6"/>
      <c r="E42" s="68"/>
      <c r="F42" s="6"/>
      <c r="G42" s="69">
        <f t="shared" si="1"/>
        <v>0</v>
      </c>
      <c r="H42" s="68">
        <v>0</v>
      </c>
      <c r="I42" s="6"/>
      <c r="J42" s="69"/>
      <c r="K42" s="69"/>
      <c r="L42" s="307">
        <v>0</v>
      </c>
      <c r="M42" s="152">
        <f t="shared" si="0"/>
        <v>0</v>
      </c>
      <c r="N42" s="6"/>
      <c r="O42" s="5"/>
    </row>
    <row r="43" spans="1:15">
      <c r="A43" s="201">
        <v>40</v>
      </c>
      <c r="B43" s="175"/>
      <c r="C43" s="174"/>
      <c r="D43" s="6"/>
      <c r="E43" s="68"/>
      <c r="F43" s="6"/>
      <c r="G43" s="69">
        <f t="shared" si="1"/>
        <v>0</v>
      </c>
      <c r="H43" s="68">
        <v>0</v>
      </c>
      <c r="I43" s="6"/>
      <c r="J43" s="69"/>
      <c r="K43" s="69"/>
      <c r="L43" s="307">
        <v>0</v>
      </c>
      <c r="M43" s="152">
        <f t="shared" si="0"/>
        <v>0</v>
      </c>
      <c r="N43" s="174"/>
      <c r="O43" s="5"/>
    </row>
    <row r="44" spans="1:15">
      <c r="A44" s="47">
        <v>41</v>
      </c>
      <c r="B44" s="6"/>
      <c r="C44" s="6"/>
      <c r="D44" s="6"/>
      <c r="E44" s="68">
        <v>0</v>
      </c>
      <c r="F44" s="6">
        <v>0</v>
      </c>
      <c r="G44" s="69">
        <f t="shared" si="1"/>
        <v>0</v>
      </c>
      <c r="H44" s="68">
        <v>0</v>
      </c>
      <c r="I44" s="6"/>
      <c r="J44" s="69"/>
      <c r="K44" s="69"/>
      <c r="L44" s="307">
        <v>0</v>
      </c>
      <c r="M44" s="152">
        <f t="shared" si="0"/>
        <v>0</v>
      </c>
      <c r="N44" s="6"/>
      <c r="O44" s="5"/>
    </row>
    <row r="45" spans="1:15">
      <c r="A45" s="47">
        <v>42</v>
      </c>
      <c r="B45" s="174"/>
      <c r="C45" s="174"/>
      <c r="D45" s="6"/>
      <c r="E45" s="68">
        <v>0</v>
      </c>
      <c r="F45" s="6">
        <v>0</v>
      </c>
      <c r="G45" s="69">
        <f t="shared" ref="G45:G46" si="2">E45*F45</f>
        <v>0</v>
      </c>
      <c r="H45" s="68"/>
      <c r="I45" s="6"/>
      <c r="J45" s="69"/>
      <c r="K45" s="176"/>
      <c r="L45" s="166">
        <f t="shared" ref="L45:L46" si="3">+K45</f>
        <v>0</v>
      </c>
      <c r="M45" s="152">
        <f t="shared" si="0"/>
        <v>0</v>
      </c>
      <c r="N45" s="174"/>
      <c r="O45" s="5"/>
    </row>
    <row r="46" spans="1:15">
      <c r="A46" s="47"/>
      <c r="B46" s="174"/>
      <c r="C46" s="174"/>
      <c r="D46" s="6"/>
      <c r="E46" s="68">
        <v>0</v>
      </c>
      <c r="F46" s="6">
        <v>0</v>
      </c>
      <c r="G46" s="69">
        <f t="shared" si="2"/>
        <v>0</v>
      </c>
      <c r="H46" s="68"/>
      <c r="I46" s="6"/>
      <c r="J46" s="69"/>
      <c r="K46" s="176"/>
      <c r="L46" s="177">
        <f t="shared" si="3"/>
        <v>0</v>
      </c>
      <c r="M46" s="152">
        <f t="shared" si="0"/>
        <v>0</v>
      </c>
      <c r="N46" s="174"/>
      <c r="O46" s="5"/>
    </row>
    <row r="47" spans="1:15">
      <c r="A47" s="65"/>
      <c r="B47" s="65"/>
      <c r="C47" s="65"/>
      <c r="D47" s="65"/>
      <c r="E47" s="66">
        <f>SUM(E4:E46)</f>
        <v>0</v>
      </c>
      <c r="F47" s="66"/>
      <c r="G47" s="66">
        <f>SUM(G4:G46)</f>
        <v>0</v>
      </c>
      <c r="H47" s="66">
        <f>SUM(H4:H46)</f>
        <v>0</v>
      </c>
      <c r="I47" s="66"/>
      <c r="J47" s="66">
        <f>SUM(J4:J46)</f>
        <v>0</v>
      </c>
      <c r="K47" s="66">
        <f>SUM(K4:K46)</f>
        <v>0</v>
      </c>
      <c r="L47" s="66">
        <f>SUM(L4:L46)</f>
        <v>0</v>
      </c>
      <c r="M47" s="66"/>
      <c r="N47" s="66"/>
      <c r="O47" s="62"/>
    </row>
    <row r="48" spans="1:15">
      <c r="A48" s="5"/>
      <c r="B48" s="5"/>
      <c r="C48" s="5"/>
      <c r="D48" s="5"/>
      <c r="E48" s="5"/>
      <c r="F48" s="5"/>
      <c r="G48" s="105"/>
      <c r="H48" s="5"/>
      <c r="I48" s="5"/>
      <c r="J48" s="105"/>
      <c r="K48" s="5"/>
      <c r="L48" s="105"/>
      <c r="M48" s="105"/>
      <c r="N48" s="5"/>
      <c r="O48" s="5"/>
    </row>
    <row r="49" spans="1:15">
      <c r="A49" s="5"/>
      <c r="B49" s="5"/>
      <c r="C49" s="5"/>
      <c r="D49" s="5"/>
      <c r="E49" s="5"/>
      <c r="F49" s="5"/>
      <c r="G49" s="105"/>
      <c r="H49" s="5"/>
      <c r="I49" s="5"/>
      <c r="J49" s="105"/>
      <c r="K49" s="5"/>
      <c r="L49" s="105"/>
      <c r="M49" s="105"/>
      <c r="N49" s="5"/>
      <c r="O49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D2058-2F8F-4405-8583-71BCC6F7E6DD}">
  <sheetPr>
    <tabColor theme="9" tint="0.39997558519241921"/>
  </sheetPr>
  <dimension ref="A1:O50"/>
  <sheetViews>
    <sheetView topLeftCell="A32" workbookViewId="0">
      <selection activeCell="Q45" sqref="Q45"/>
    </sheetView>
  </sheetViews>
  <sheetFormatPr defaultRowHeight="15"/>
  <cols>
    <col min="2" max="2" width="10.85546875" bestFit="1" customWidth="1"/>
    <col min="7" max="7" width="11.85546875" bestFit="1" customWidth="1"/>
    <col min="11" max="11" width="13.5703125" bestFit="1" customWidth="1"/>
    <col min="12" max="12" width="12.42578125" bestFit="1" customWidth="1"/>
    <col min="13" max="13" width="11.5703125" bestFit="1" customWidth="1"/>
  </cols>
  <sheetData>
    <row r="1" spans="1:15" ht="15.75">
      <c r="A1" s="478" t="s">
        <v>93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5"/>
    </row>
    <row r="2" spans="1:15" ht="45">
      <c r="A2" s="67" t="s">
        <v>129</v>
      </c>
      <c r="B2" s="86" t="s">
        <v>130</v>
      </c>
      <c r="C2" s="86" t="s">
        <v>131</v>
      </c>
      <c r="D2" s="86" t="s">
        <v>198</v>
      </c>
      <c r="E2" s="86" t="s">
        <v>133</v>
      </c>
      <c r="F2" s="86" t="s">
        <v>134</v>
      </c>
      <c r="G2" s="93" t="s">
        <v>135</v>
      </c>
      <c r="H2" s="86" t="s">
        <v>136</v>
      </c>
      <c r="I2" s="86" t="s">
        <v>134</v>
      </c>
      <c r="J2" s="93" t="s">
        <v>135</v>
      </c>
      <c r="K2" s="67" t="s">
        <v>137</v>
      </c>
      <c r="L2" s="94" t="s">
        <v>138</v>
      </c>
      <c r="M2" s="88" t="s">
        <v>199</v>
      </c>
      <c r="N2" s="86" t="s">
        <v>140</v>
      </c>
      <c r="O2" s="5"/>
    </row>
    <row r="3" spans="1:15">
      <c r="A3" s="502" t="s">
        <v>141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4"/>
      <c r="M3" s="505">
        <v>106452.54359999996</v>
      </c>
      <c r="N3" s="506"/>
      <c r="O3" s="5"/>
    </row>
    <row r="4" spans="1:15">
      <c r="A4" s="201">
        <v>1</v>
      </c>
      <c r="B4" s="224"/>
      <c r="C4" s="6"/>
      <c r="D4" s="6"/>
      <c r="E4" s="68"/>
      <c r="F4" s="6"/>
      <c r="G4" s="69">
        <f>E4*F4</f>
        <v>0</v>
      </c>
      <c r="H4" s="68"/>
      <c r="I4" s="6"/>
      <c r="J4" s="69">
        <f>H4*I4</f>
        <v>0</v>
      </c>
      <c r="K4" s="69">
        <f>G4+J4</f>
        <v>0</v>
      </c>
      <c r="L4" s="307">
        <v>0</v>
      </c>
      <c r="M4" s="152">
        <f>M3+K4-L4</f>
        <v>106452.54359999996</v>
      </c>
      <c r="N4" s="47"/>
      <c r="O4" s="5"/>
    </row>
    <row r="5" spans="1:15">
      <c r="A5" s="47">
        <v>2</v>
      </c>
      <c r="B5" s="224"/>
      <c r="C5" s="6"/>
      <c r="D5" s="6"/>
      <c r="E5" s="68"/>
      <c r="F5" s="6"/>
      <c r="G5" s="69">
        <f t="shared" ref="G5:G39" si="0">E5*F5</f>
        <v>0</v>
      </c>
      <c r="H5" s="68"/>
      <c r="I5" s="6"/>
      <c r="J5" s="69">
        <f t="shared" ref="J5:J39" si="1">H5*I5</f>
        <v>0</v>
      </c>
      <c r="K5" s="69">
        <f t="shared" ref="K5:K39" si="2">G5+J5</f>
        <v>0</v>
      </c>
      <c r="L5" s="307">
        <v>0</v>
      </c>
      <c r="M5" s="152">
        <f t="shared" ref="M5:M47" si="3">M4+K5-L5</f>
        <v>106452.54359999996</v>
      </c>
      <c r="N5" s="47"/>
      <c r="O5" s="5"/>
    </row>
    <row r="6" spans="1:15">
      <c r="A6" s="47">
        <v>3</v>
      </c>
      <c r="B6" s="224" t="s">
        <v>285</v>
      </c>
      <c r="C6" s="6"/>
      <c r="D6" s="6"/>
      <c r="E6" s="68">
        <v>109.32</v>
      </c>
      <c r="F6" s="6">
        <v>91.42</v>
      </c>
      <c r="G6" s="69">
        <f t="shared" si="0"/>
        <v>9994.0344000000005</v>
      </c>
      <c r="H6" s="68"/>
      <c r="I6" s="6"/>
      <c r="J6" s="69">
        <f t="shared" si="1"/>
        <v>0</v>
      </c>
      <c r="K6" s="69">
        <f t="shared" si="2"/>
        <v>9994.0344000000005</v>
      </c>
      <c r="L6" s="307">
        <v>0</v>
      </c>
      <c r="M6" s="152">
        <f t="shared" si="3"/>
        <v>116446.57799999996</v>
      </c>
      <c r="N6" s="47"/>
      <c r="O6" s="5"/>
    </row>
    <row r="7" spans="1:15">
      <c r="A7" s="201">
        <v>4</v>
      </c>
      <c r="B7" s="224" t="s">
        <v>286</v>
      </c>
      <c r="C7" s="6"/>
      <c r="D7" s="6"/>
      <c r="E7" s="68">
        <v>45</v>
      </c>
      <c r="F7" s="6">
        <v>91.42</v>
      </c>
      <c r="G7" s="69">
        <f t="shared" si="0"/>
        <v>4113.8999999999996</v>
      </c>
      <c r="H7" s="68"/>
      <c r="I7" s="6"/>
      <c r="J7" s="69">
        <f t="shared" si="1"/>
        <v>0</v>
      </c>
      <c r="K7" s="69">
        <f t="shared" si="2"/>
        <v>4113.8999999999996</v>
      </c>
      <c r="L7" s="307"/>
      <c r="M7" s="152">
        <f t="shared" si="3"/>
        <v>120560.47799999996</v>
      </c>
      <c r="N7" s="47"/>
      <c r="O7" s="5"/>
    </row>
    <row r="8" spans="1:15">
      <c r="A8" s="47">
        <v>5</v>
      </c>
      <c r="B8" s="224" t="s">
        <v>116</v>
      </c>
      <c r="C8" s="6"/>
      <c r="D8" s="6"/>
      <c r="E8" s="68">
        <v>44</v>
      </c>
      <c r="F8" s="6">
        <v>91.42</v>
      </c>
      <c r="G8" s="69">
        <f t="shared" si="0"/>
        <v>4022.48</v>
      </c>
      <c r="H8" s="68">
        <v>5</v>
      </c>
      <c r="I8" s="6">
        <v>103.35</v>
      </c>
      <c r="J8" s="69">
        <f t="shared" si="1"/>
        <v>516.75</v>
      </c>
      <c r="K8" s="69">
        <f t="shared" si="2"/>
        <v>4539.2299999999996</v>
      </c>
      <c r="L8" s="307"/>
      <c r="M8" s="152">
        <f t="shared" si="3"/>
        <v>125099.70799999996</v>
      </c>
      <c r="N8" s="47"/>
      <c r="O8" s="5"/>
    </row>
    <row r="9" spans="1:15">
      <c r="A9" s="47">
        <v>6</v>
      </c>
      <c r="B9" s="224" t="s">
        <v>287</v>
      </c>
      <c r="C9" s="6"/>
      <c r="D9" s="6"/>
      <c r="E9" s="68">
        <v>209.73</v>
      </c>
      <c r="F9" s="6">
        <v>91.42</v>
      </c>
      <c r="G9" s="69">
        <f t="shared" si="0"/>
        <v>19173.516599999999</v>
      </c>
      <c r="H9" s="68">
        <v>5</v>
      </c>
      <c r="I9" s="6">
        <v>103.35</v>
      </c>
      <c r="J9" s="69">
        <f t="shared" si="1"/>
        <v>516.75</v>
      </c>
      <c r="K9" s="69">
        <f t="shared" si="2"/>
        <v>19690.266599999999</v>
      </c>
      <c r="L9" s="307"/>
      <c r="M9" s="152">
        <f t="shared" si="3"/>
        <v>144789.97459999996</v>
      </c>
      <c r="N9" s="47"/>
      <c r="O9" s="5"/>
    </row>
    <row r="10" spans="1:15">
      <c r="A10" s="201"/>
      <c r="B10" s="224" t="s">
        <v>288</v>
      </c>
      <c r="C10" s="6"/>
      <c r="D10" s="6"/>
      <c r="E10" s="68"/>
      <c r="F10" s="6">
        <v>91.42</v>
      </c>
      <c r="G10" s="69">
        <f t="shared" si="0"/>
        <v>0</v>
      </c>
      <c r="H10" s="68">
        <v>5</v>
      </c>
      <c r="I10" s="6">
        <v>103.35</v>
      </c>
      <c r="J10" s="69">
        <f t="shared" si="1"/>
        <v>516.75</v>
      </c>
      <c r="K10" s="69">
        <f t="shared" si="2"/>
        <v>516.75</v>
      </c>
      <c r="L10" s="307"/>
      <c r="M10" s="152">
        <f t="shared" si="3"/>
        <v>145306.72459999996</v>
      </c>
      <c r="N10" s="47"/>
      <c r="O10" s="5"/>
    </row>
    <row r="11" spans="1:15">
      <c r="A11" s="201">
        <v>7</v>
      </c>
      <c r="B11" s="224" t="s">
        <v>289</v>
      </c>
      <c r="C11" s="6"/>
      <c r="D11" s="6"/>
      <c r="E11" s="68"/>
      <c r="F11" s="6">
        <v>91.42</v>
      </c>
      <c r="G11" s="69">
        <f t="shared" si="0"/>
        <v>0</v>
      </c>
      <c r="H11" s="68"/>
      <c r="I11" s="6">
        <v>103.35</v>
      </c>
      <c r="J11" s="69">
        <f t="shared" si="1"/>
        <v>0</v>
      </c>
      <c r="K11" s="69">
        <f t="shared" si="2"/>
        <v>0</v>
      </c>
      <c r="L11" s="307"/>
      <c r="M11" s="152">
        <f t="shared" si="3"/>
        <v>145306.72459999996</v>
      </c>
      <c r="N11" s="47"/>
      <c r="O11" s="5"/>
    </row>
    <row r="12" spans="1:15">
      <c r="A12" s="47">
        <v>8</v>
      </c>
      <c r="B12" s="224" t="s">
        <v>290</v>
      </c>
      <c r="C12" s="6"/>
      <c r="D12" s="6"/>
      <c r="E12" s="68">
        <v>120.01</v>
      </c>
      <c r="F12" s="6">
        <v>91.42</v>
      </c>
      <c r="G12" s="69">
        <f t="shared" si="0"/>
        <v>10971.314200000001</v>
      </c>
      <c r="H12" s="68">
        <v>7.05</v>
      </c>
      <c r="I12" s="6">
        <v>110.61</v>
      </c>
      <c r="J12" s="69">
        <f t="shared" si="1"/>
        <v>779.80049999999994</v>
      </c>
      <c r="K12" s="69">
        <f t="shared" si="2"/>
        <v>11751.1147</v>
      </c>
      <c r="L12" s="307"/>
      <c r="M12" s="152">
        <f t="shared" si="3"/>
        <v>157057.83929999996</v>
      </c>
      <c r="N12" s="47"/>
      <c r="O12" s="5"/>
    </row>
    <row r="13" spans="1:15">
      <c r="A13" s="47">
        <v>9</v>
      </c>
      <c r="B13" s="224" t="s">
        <v>291</v>
      </c>
      <c r="C13" s="6"/>
      <c r="D13" s="6"/>
      <c r="E13" s="68">
        <v>155.63</v>
      </c>
      <c r="F13" s="6">
        <v>91.42</v>
      </c>
      <c r="G13" s="69">
        <f t="shared" si="0"/>
        <v>14227.694600000001</v>
      </c>
      <c r="H13" s="68"/>
      <c r="I13" s="6"/>
      <c r="J13" s="69">
        <f t="shared" si="1"/>
        <v>0</v>
      </c>
      <c r="K13" s="69">
        <f t="shared" si="2"/>
        <v>14227.694600000001</v>
      </c>
      <c r="L13" s="307"/>
      <c r="M13" s="152">
        <f t="shared" si="3"/>
        <v>171285.53389999995</v>
      </c>
      <c r="N13" s="47"/>
      <c r="O13" s="5"/>
    </row>
    <row r="14" spans="1:15">
      <c r="A14" s="201">
        <v>10</v>
      </c>
      <c r="B14" s="224" t="s">
        <v>280</v>
      </c>
      <c r="C14" s="6"/>
      <c r="D14" s="6"/>
      <c r="E14" s="68">
        <v>225</v>
      </c>
      <c r="F14" s="6">
        <v>91.42</v>
      </c>
      <c r="G14" s="69">
        <f t="shared" si="0"/>
        <v>20569.5</v>
      </c>
      <c r="H14" s="68">
        <v>10</v>
      </c>
      <c r="I14" s="6">
        <v>103.35</v>
      </c>
      <c r="J14" s="69">
        <f t="shared" si="1"/>
        <v>1033.5</v>
      </c>
      <c r="K14" s="69">
        <f t="shared" si="2"/>
        <v>21603</v>
      </c>
      <c r="L14" s="307"/>
      <c r="M14" s="152">
        <f t="shared" si="3"/>
        <v>192888.53389999995</v>
      </c>
      <c r="N14" s="47"/>
      <c r="O14" s="5"/>
    </row>
    <row r="15" spans="1:15">
      <c r="A15" s="47">
        <v>11</v>
      </c>
      <c r="B15" s="224" t="s">
        <v>281</v>
      </c>
      <c r="C15" s="6"/>
      <c r="D15" s="6"/>
      <c r="E15" s="68">
        <v>20</v>
      </c>
      <c r="F15" s="6">
        <v>91.42</v>
      </c>
      <c r="G15" s="69">
        <f t="shared" si="0"/>
        <v>1828.4</v>
      </c>
      <c r="H15" s="68"/>
      <c r="I15" s="6"/>
      <c r="J15" s="69">
        <f t="shared" si="1"/>
        <v>0</v>
      </c>
      <c r="K15" s="69">
        <f t="shared" si="2"/>
        <v>1828.4</v>
      </c>
      <c r="L15" s="307">
        <v>150000</v>
      </c>
      <c r="M15" s="152">
        <f t="shared" si="3"/>
        <v>44716.933899999945</v>
      </c>
      <c r="N15" s="47"/>
      <c r="O15" s="5"/>
    </row>
    <row r="16" spans="1:15">
      <c r="A16" s="47">
        <v>12</v>
      </c>
      <c r="B16" s="224" t="s">
        <v>292</v>
      </c>
      <c r="C16" s="6"/>
      <c r="D16" s="6"/>
      <c r="E16" s="68">
        <v>47.370000000000005</v>
      </c>
      <c r="F16" s="6">
        <v>91.42</v>
      </c>
      <c r="G16" s="69">
        <f t="shared" si="0"/>
        <v>4330.5654000000004</v>
      </c>
      <c r="H16" s="68"/>
      <c r="I16" s="6"/>
      <c r="J16" s="69">
        <f t="shared" si="1"/>
        <v>0</v>
      </c>
      <c r="K16" s="69">
        <f t="shared" si="2"/>
        <v>4330.5654000000004</v>
      </c>
      <c r="L16" s="307"/>
      <c r="M16" s="152">
        <f t="shared" si="3"/>
        <v>49047.499299999945</v>
      </c>
      <c r="N16" s="47"/>
      <c r="O16" s="5"/>
    </row>
    <row r="17" spans="1:15">
      <c r="A17" s="201">
        <v>13</v>
      </c>
      <c r="B17" s="224" t="s">
        <v>119</v>
      </c>
      <c r="C17" s="6"/>
      <c r="D17" s="6"/>
      <c r="E17" s="68">
        <v>82.12</v>
      </c>
      <c r="F17" s="6">
        <v>91.42</v>
      </c>
      <c r="G17" s="69">
        <f t="shared" si="0"/>
        <v>7507.4104000000007</v>
      </c>
      <c r="H17" s="68"/>
      <c r="I17" s="6"/>
      <c r="J17" s="69">
        <f t="shared" si="1"/>
        <v>0</v>
      </c>
      <c r="K17" s="69">
        <f t="shared" si="2"/>
        <v>7507.4104000000007</v>
      </c>
      <c r="L17" s="307"/>
      <c r="M17" s="152">
        <f t="shared" si="3"/>
        <v>56554.909699999946</v>
      </c>
      <c r="N17" s="47"/>
      <c r="O17" s="5"/>
    </row>
    <row r="18" spans="1:15">
      <c r="A18" s="47">
        <v>14</v>
      </c>
      <c r="B18" s="224" t="s">
        <v>282</v>
      </c>
      <c r="C18" s="6"/>
      <c r="D18" s="6"/>
      <c r="E18" s="68">
        <v>30.29</v>
      </c>
      <c r="F18" s="6">
        <v>91.42</v>
      </c>
      <c r="G18" s="69">
        <f t="shared" si="0"/>
        <v>2769.1118000000001</v>
      </c>
      <c r="H18" s="68"/>
      <c r="I18" s="6"/>
      <c r="J18" s="69">
        <f t="shared" si="1"/>
        <v>0</v>
      </c>
      <c r="K18" s="69">
        <f t="shared" si="2"/>
        <v>2769.1118000000001</v>
      </c>
      <c r="L18" s="307"/>
      <c r="M18" s="152">
        <f t="shared" si="3"/>
        <v>59324.021499999944</v>
      </c>
      <c r="N18" s="47"/>
      <c r="O18" s="5"/>
    </row>
    <row r="19" spans="1:15">
      <c r="A19" s="47">
        <v>15</v>
      </c>
      <c r="B19" s="224" t="s">
        <v>283</v>
      </c>
      <c r="C19" s="6"/>
      <c r="D19" s="6"/>
      <c r="E19" s="68">
        <v>110</v>
      </c>
      <c r="F19" s="6">
        <v>91.42</v>
      </c>
      <c r="G19" s="69">
        <f t="shared" si="0"/>
        <v>10056.200000000001</v>
      </c>
      <c r="H19" s="68"/>
      <c r="I19" s="6"/>
      <c r="J19" s="69">
        <f t="shared" si="1"/>
        <v>0</v>
      </c>
      <c r="K19" s="69">
        <f t="shared" si="2"/>
        <v>10056.200000000001</v>
      </c>
      <c r="L19" s="307"/>
      <c r="M19" s="152">
        <f t="shared" si="3"/>
        <v>69380.221499999941</v>
      </c>
      <c r="N19" s="47"/>
      <c r="O19" s="5"/>
    </row>
    <row r="20" spans="1:15">
      <c r="A20" s="201">
        <v>16</v>
      </c>
      <c r="B20" s="224" t="s">
        <v>293</v>
      </c>
      <c r="C20" s="6"/>
      <c r="D20" s="6"/>
      <c r="E20" s="68"/>
      <c r="F20" s="6"/>
      <c r="G20" s="69">
        <f t="shared" si="0"/>
        <v>0</v>
      </c>
      <c r="H20" s="68">
        <v>5</v>
      </c>
      <c r="I20" s="6">
        <v>103.35</v>
      </c>
      <c r="J20" s="69">
        <f t="shared" si="1"/>
        <v>516.75</v>
      </c>
      <c r="K20" s="69">
        <f t="shared" si="2"/>
        <v>516.75</v>
      </c>
      <c r="L20" s="307"/>
      <c r="M20" s="152">
        <f t="shared" si="3"/>
        <v>69896.971499999941</v>
      </c>
      <c r="N20" s="47"/>
      <c r="O20" s="5"/>
    </row>
    <row r="21" spans="1:15">
      <c r="A21" s="47">
        <v>17</v>
      </c>
      <c r="B21" s="224" t="s">
        <v>284</v>
      </c>
      <c r="C21" s="6"/>
      <c r="D21" s="6"/>
      <c r="E21" s="68">
        <v>19.829999999999998</v>
      </c>
      <c r="F21" s="6">
        <v>91.42</v>
      </c>
      <c r="G21" s="69">
        <f t="shared" si="0"/>
        <v>1812.8585999999998</v>
      </c>
      <c r="H21" s="68">
        <v>5</v>
      </c>
      <c r="I21" s="6">
        <v>103.35</v>
      </c>
      <c r="J21" s="69">
        <f t="shared" si="1"/>
        <v>516.75</v>
      </c>
      <c r="K21" s="69">
        <f t="shared" si="2"/>
        <v>2329.6085999999996</v>
      </c>
      <c r="L21" s="307">
        <v>59000</v>
      </c>
      <c r="M21" s="152">
        <f t="shared" si="3"/>
        <v>13226.580099999934</v>
      </c>
      <c r="N21" s="47"/>
      <c r="O21" s="5"/>
    </row>
    <row r="22" spans="1:15">
      <c r="A22" s="47">
        <v>18</v>
      </c>
      <c r="B22" s="224" t="s">
        <v>250</v>
      </c>
      <c r="C22" s="6"/>
      <c r="D22" s="6"/>
      <c r="E22" s="68">
        <v>80</v>
      </c>
      <c r="F22" s="6">
        <v>91.42</v>
      </c>
      <c r="G22" s="69">
        <f t="shared" si="0"/>
        <v>7313.6</v>
      </c>
      <c r="H22" s="68"/>
      <c r="I22" s="6"/>
      <c r="J22" s="69">
        <f t="shared" si="1"/>
        <v>0</v>
      </c>
      <c r="K22" s="69">
        <f t="shared" si="2"/>
        <v>7313.6</v>
      </c>
      <c r="L22" s="307"/>
      <c r="M22" s="152">
        <f t="shared" si="3"/>
        <v>20540.180099999932</v>
      </c>
      <c r="N22" s="47"/>
      <c r="O22" s="5"/>
    </row>
    <row r="23" spans="1:15">
      <c r="A23" s="201">
        <v>19</v>
      </c>
      <c r="B23" s="224" t="s">
        <v>252</v>
      </c>
      <c r="C23" s="6"/>
      <c r="D23" s="6"/>
      <c r="E23" s="68">
        <v>34</v>
      </c>
      <c r="F23" s="6">
        <v>91.42</v>
      </c>
      <c r="G23" s="69">
        <f t="shared" si="0"/>
        <v>3108.28</v>
      </c>
      <c r="H23" s="68">
        <v>10</v>
      </c>
      <c r="I23" s="6">
        <v>103.35</v>
      </c>
      <c r="J23" s="69">
        <f t="shared" si="1"/>
        <v>1033.5</v>
      </c>
      <c r="K23" s="69">
        <f t="shared" si="2"/>
        <v>4141.7800000000007</v>
      </c>
      <c r="L23" s="307"/>
      <c r="M23" s="152">
        <f t="shared" si="3"/>
        <v>24681.960099999931</v>
      </c>
      <c r="N23" s="47"/>
      <c r="O23" s="5"/>
    </row>
    <row r="24" spans="1:15">
      <c r="A24" s="47">
        <v>20</v>
      </c>
      <c r="B24" s="224" t="s">
        <v>253</v>
      </c>
      <c r="C24" s="6"/>
      <c r="D24" s="6"/>
      <c r="E24" s="68">
        <v>123.09</v>
      </c>
      <c r="F24" s="6">
        <v>91.42</v>
      </c>
      <c r="G24" s="69">
        <f t="shared" si="0"/>
        <v>11252.8878</v>
      </c>
      <c r="H24" s="68"/>
      <c r="I24" s="6"/>
      <c r="J24" s="69">
        <f t="shared" si="1"/>
        <v>0</v>
      </c>
      <c r="K24" s="69">
        <f t="shared" si="2"/>
        <v>11252.8878</v>
      </c>
      <c r="L24" s="307">
        <v>0</v>
      </c>
      <c r="M24" s="152">
        <f t="shared" si="3"/>
        <v>35934.847899999935</v>
      </c>
      <c r="N24" s="47"/>
      <c r="O24" s="5"/>
    </row>
    <row r="25" spans="1:15">
      <c r="A25" s="47">
        <v>21</v>
      </c>
      <c r="B25" s="224" t="s">
        <v>255</v>
      </c>
      <c r="C25" s="6"/>
      <c r="D25" s="6"/>
      <c r="E25" s="68">
        <v>117.55</v>
      </c>
      <c r="F25" s="6">
        <v>91.42</v>
      </c>
      <c r="G25" s="69">
        <f t="shared" si="0"/>
        <v>10746.421</v>
      </c>
      <c r="H25" s="68"/>
      <c r="I25" s="6"/>
      <c r="J25" s="69">
        <f t="shared" si="1"/>
        <v>0</v>
      </c>
      <c r="K25" s="69">
        <f t="shared" si="2"/>
        <v>10746.421</v>
      </c>
      <c r="L25" s="307">
        <v>0</v>
      </c>
      <c r="M25" s="152">
        <f t="shared" si="3"/>
        <v>46681.268899999937</v>
      </c>
      <c r="N25" s="47"/>
      <c r="O25" s="5"/>
    </row>
    <row r="26" spans="1:15">
      <c r="A26" s="201">
        <v>22</v>
      </c>
      <c r="B26" s="224" t="s">
        <v>256</v>
      </c>
      <c r="C26" s="6"/>
      <c r="D26" s="6"/>
      <c r="E26" s="68">
        <v>97.91</v>
      </c>
      <c r="F26" s="6">
        <v>91.42</v>
      </c>
      <c r="G26" s="69">
        <f t="shared" si="0"/>
        <v>8950.9321999999993</v>
      </c>
      <c r="H26" s="68"/>
      <c r="I26" s="6"/>
      <c r="J26" s="69">
        <f t="shared" si="1"/>
        <v>0</v>
      </c>
      <c r="K26" s="69">
        <f t="shared" si="2"/>
        <v>8950.9321999999993</v>
      </c>
      <c r="L26" s="307">
        <v>0</v>
      </c>
      <c r="M26" s="152">
        <f t="shared" si="3"/>
        <v>55632.201099999933</v>
      </c>
      <c r="N26" s="47"/>
      <c r="O26" s="5"/>
    </row>
    <row r="27" spans="1:15">
      <c r="A27" s="47">
        <v>23</v>
      </c>
      <c r="B27" s="224" t="s">
        <v>259</v>
      </c>
      <c r="C27" s="6"/>
      <c r="D27" s="6"/>
      <c r="E27" s="68">
        <v>52.22</v>
      </c>
      <c r="F27" s="6">
        <v>91.42</v>
      </c>
      <c r="G27" s="69">
        <f t="shared" si="0"/>
        <v>4773.9524000000001</v>
      </c>
      <c r="H27" s="68"/>
      <c r="I27" s="6"/>
      <c r="J27" s="69">
        <f t="shared" si="1"/>
        <v>0</v>
      </c>
      <c r="K27" s="69">
        <f t="shared" si="2"/>
        <v>4773.9524000000001</v>
      </c>
      <c r="L27" s="307">
        <v>0</v>
      </c>
      <c r="M27" s="152">
        <f t="shared" si="3"/>
        <v>60406.153499999935</v>
      </c>
      <c r="N27" s="47"/>
      <c r="O27" s="5"/>
    </row>
    <row r="28" spans="1:15">
      <c r="A28" s="47">
        <v>24</v>
      </c>
      <c r="B28" s="224" t="s">
        <v>260</v>
      </c>
      <c r="C28" s="6"/>
      <c r="D28" s="6"/>
      <c r="E28" s="68">
        <v>198.8</v>
      </c>
      <c r="F28" s="6">
        <v>91.42</v>
      </c>
      <c r="G28" s="69">
        <f t="shared" si="0"/>
        <v>18174.296000000002</v>
      </c>
      <c r="H28" s="68">
        <v>10</v>
      </c>
      <c r="I28" s="6">
        <v>103.35</v>
      </c>
      <c r="J28" s="69">
        <f t="shared" si="1"/>
        <v>1033.5</v>
      </c>
      <c r="K28" s="69">
        <f t="shared" si="2"/>
        <v>19207.796000000002</v>
      </c>
      <c r="L28" s="307">
        <v>0</v>
      </c>
      <c r="M28" s="152">
        <f t="shared" si="3"/>
        <v>79613.94949999993</v>
      </c>
      <c r="N28" s="47"/>
      <c r="O28" s="5"/>
    </row>
    <row r="29" spans="1:15">
      <c r="A29" s="201">
        <v>25</v>
      </c>
      <c r="B29" s="224" t="s">
        <v>261</v>
      </c>
      <c r="C29" s="6"/>
      <c r="D29" s="6"/>
      <c r="E29" s="68">
        <v>25</v>
      </c>
      <c r="F29" s="6">
        <v>91.42</v>
      </c>
      <c r="G29" s="69">
        <f t="shared" si="0"/>
        <v>2285.5</v>
      </c>
      <c r="H29" s="68"/>
      <c r="I29" s="6"/>
      <c r="J29" s="69">
        <f t="shared" si="1"/>
        <v>0</v>
      </c>
      <c r="K29" s="69">
        <f t="shared" si="2"/>
        <v>2285.5</v>
      </c>
      <c r="L29" s="307">
        <v>0</v>
      </c>
      <c r="M29" s="152">
        <f t="shared" si="3"/>
        <v>81899.44949999993</v>
      </c>
      <c r="N29" s="47"/>
      <c r="O29" s="5"/>
    </row>
    <row r="30" spans="1:15">
      <c r="A30" s="47">
        <v>26</v>
      </c>
      <c r="B30" s="224"/>
      <c r="C30" s="6"/>
      <c r="D30" s="6"/>
      <c r="E30" s="68"/>
      <c r="F30" s="6"/>
      <c r="G30" s="69">
        <f t="shared" si="0"/>
        <v>0</v>
      </c>
      <c r="H30" s="68"/>
      <c r="I30" s="6"/>
      <c r="J30" s="69">
        <f t="shared" si="1"/>
        <v>0</v>
      </c>
      <c r="K30" s="69">
        <f t="shared" si="2"/>
        <v>0</v>
      </c>
      <c r="L30" s="307">
        <v>0</v>
      </c>
      <c r="M30" s="152">
        <f t="shared" si="3"/>
        <v>81899.44949999993</v>
      </c>
      <c r="N30" s="47"/>
      <c r="O30" s="5"/>
    </row>
    <row r="31" spans="1:15">
      <c r="A31" s="47">
        <v>27</v>
      </c>
      <c r="B31" s="224"/>
      <c r="C31" s="6"/>
      <c r="D31" s="6"/>
      <c r="E31" s="68"/>
      <c r="F31" s="6"/>
      <c r="G31" s="69">
        <f t="shared" si="0"/>
        <v>0</v>
      </c>
      <c r="H31" s="68"/>
      <c r="I31" s="6"/>
      <c r="J31" s="69">
        <f t="shared" si="1"/>
        <v>0</v>
      </c>
      <c r="K31" s="69">
        <f t="shared" si="2"/>
        <v>0</v>
      </c>
      <c r="L31" s="307">
        <v>0</v>
      </c>
      <c r="M31" s="152">
        <f t="shared" si="3"/>
        <v>81899.44949999993</v>
      </c>
      <c r="N31" s="47"/>
      <c r="O31" s="5"/>
    </row>
    <row r="32" spans="1:15">
      <c r="A32" s="201">
        <v>28</v>
      </c>
      <c r="B32" s="224"/>
      <c r="C32" s="6"/>
      <c r="D32" s="6"/>
      <c r="E32" s="68"/>
      <c r="F32" s="6"/>
      <c r="G32" s="69">
        <f t="shared" si="0"/>
        <v>0</v>
      </c>
      <c r="H32" s="68"/>
      <c r="I32" s="6"/>
      <c r="J32" s="69">
        <f t="shared" si="1"/>
        <v>0</v>
      </c>
      <c r="K32" s="69">
        <f t="shared" si="2"/>
        <v>0</v>
      </c>
      <c r="L32" s="307">
        <v>0</v>
      </c>
      <c r="M32" s="152">
        <f t="shared" si="3"/>
        <v>81899.44949999993</v>
      </c>
      <c r="N32" s="47"/>
      <c r="O32" s="5"/>
    </row>
    <row r="33" spans="1:15">
      <c r="A33" s="47">
        <v>29</v>
      </c>
      <c r="B33" s="224"/>
      <c r="C33" s="6"/>
      <c r="D33" s="6"/>
      <c r="E33" s="68"/>
      <c r="F33" s="6"/>
      <c r="G33" s="69">
        <f t="shared" si="0"/>
        <v>0</v>
      </c>
      <c r="H33" s="68"/>
      <c r="I33" s="6"/>
      <c r="J33" s="69">
        <f t="shared" si="1"/>
        <v>0</v>
      </c>
      <c r="K33" s="69">
        <f t="shared" si="2"/>
        <v>0</v>
      </c>
      <c r="L33" s="307">
        <v>0</v>
      </c>
      <c r="M33" s="152">
        <f t="shared" si="3"/>
        <v>81899.44949999993</v>
      </c>
      <c r="N33" s="47"/>
      <c r="O33" s="5"/>
    </row>
    <row r="34" spans="1:15">
      <c r="A34" s="47">
        <v>30</v>
      </c>
      <c r="B34" s="224"/>
      <c r="C34" s="6"/>
      <c r="D34" s="6"/>
      <c r="E34" s="68"/>
      <c r="F34" s="6"/>
      <c r="G34" s="69">
        <f t="shared" si="0"/>
        <v>0</v>
      </c>
      <c r="H34" s="68"/>
      <c r="I34" s="6"/>
      <c r="J34" s="69">
        <f t="shared" si="1"/>
        <v>0</v>
      </c>
      <c r="K34" s="69">
        <f t="shared" si="2"/>
        <v>0</v>
      </c>
      <c r="L34" s="307">
        <v>0</v>
      </c>
      <c r="M34" s="152">
        <f t="shared" si="3"/>
        <v>81899.44949999993</v>
      </c>
      <c r="N34" s="47"/>
      <c r="O34" s="5"/>
    </row>
    <row r="35" spans="1:15">
      <c r="A35" s="201">
        <v>31</v>
      </c>
      <c r="B35" s="224"/>
      <c r="C35" s="6"/>
      <c r="D35" s="6"/>
      <c r="E35" s="68"/>
      <c r="F35" s="6"/>
      <c r="G35" s="69">
        <f t="shared" si="0"/>
        <v>0</v>
      </c>
      <c r="H35" s="68"/>
      <c r="I35" s="6"/>
      <c r="J35" s="69">
        <f t="shared" si="1"/>
        <v>0</v>
      </c>
      <c r="K35" s="69">
        <f t="shared" si="2"/>
        <v>0</v>
      </c>
      <c r="L35" s="307">
        <v>0</v>
      </c>
      <c r="M35" s="152">
        <f t="shared" si="3"/>
        <v>81899.44949999993</v>
      </c>
      <c r="N35" s="47"/>
      <c r="O35" s="5"/>
    </row>
    <row r="36" spans="1:15">
      <c r="A36" s="47">
        <v>32</v>
      </c>
      <c r="B36" s="224"/>
      <c r="C36" s="6"/>
      <c r="D36" s="6"/>
      <c r="E36" s="68"/>
      <c r="F36" s="6"/>
      <c r="G36" s="69">
        <f t="shared" si="0"/>
        <v>0</v>
      </c>
      <c r="H36" s="68"/>
      <c r="I36" s="6"/>
      <c r="J36" s="69">
        <f t="shared" si="1"/>
        <v>0</v>
      </c>
      <c r="K36" s="69">
        <f t="shared" si="2"/>
        <v>0</v>
      </c>
      <c r="L36" s="307">
        <v>0</v>
      </c>
      <c r="M36" s="152">
        <f t="shared" si="3"/>
        <v>81899.44949999993</v>
      </c>
      <c r="N36" s="47"/>
      <c r="O36" s="5"/>
    </row>
    <row r="37" spans="1:15">
      <c r="A37" s="47">
        <v>33</v>
      </c>
      <c r="B37" s="224"/>
      <c r="C37" s="6"/>
      <c r="D37" s="6"/>
      <c r="E37" s="68"/>
      <c r="F37" s="6"/>
      <c r="G37" s="69">
        <f t="shared" si="0"/>
        <v>0</v>
      </c>
      <c r="H37" s="68"/>
      <c r="I37" s="6"/>
      <c r="J37" s="69">
        <f t="shared" si="1"/>
        <v>0</v>
      </c>
      <c r="K37" s="69">
        <f t="shared" si="2"/>
        <v>0</v>
      </c>
      <c r="L37" s="307">
        <v>0</v>
      </c>
      <c r="M37" s="152">
        <f t="shared" si="3"/>
        <v>81899.44949999993</v>
      </c>
      <c r="N37" s="47"/>
      <c r="O37" s="5"/>
    </row>
    <row r="38" spans="1:15">
      <c r="A38" s="201">
        <v>34</v>
      </c>
      <c r="B38" s="224"/>
      <c r="C38" s="6"/>
      <c r="D38" s="6"/>
      <c r="E38" s="68"/>
      <c r="F38" s="6"/>
      <c r="G38" s="69">
        <f t="shared" si="0"/>
        <v>0</v>
      </c>
      <c r="H38" s="68"/>
      <c r="I38" s="6"/>
      <c r="J38" s="69">
        <f t="shared" si="1"/>
        <v>0</v>
      </c>
      <c r="K38" s="69">
        <f t="shared" si="2"/>
        <v>0</v>
      </c>
      <c r="L38" s="307">
        <v>0</v>
      </c>
      <c r="M38" s="152">
        <f t="shared" si="3"/>
        <v>81899.44949999993</v>
      </c>
      <c r="N38" s="47"/>
      <c r="O38" s="5"/>
    </row>
    <row r="39" spans="1:15">
      <c r="A39" s="47">
        <v>35</v>
      </c>
      <c r="B39" s="224"/>
      <c r="C39" s="6"/>
      <c r="D39" s="6"/>
      <c r="E39" s="68"/>
      <c r="F39" s="6"/>
      <c r="G39" s="69">
        <f t="shared" si="0"/>
        <v>0</v>
      </c>
      <c r="H39" s="68"/>
      <c r="I39" s="6"/>
      <c r="J39" s="69">
        <f t="shared" si="1"/>
        <v>0</v>
      </c>
      <c r="K39" s="69">
        <f t="shared" si="2"/>
        <v>0</v>
      </c>
      <c r="L39" s="307">
        <v>0</v>
      </c>
      <c r="M39" s="152">
        <f t="shared" si="3"/>
        <v>81899.44949999993</v>
      </c>
      <c r="N39" s="6"/>
      <c r="O39" s="5"/>
    </row>
    <row r="40" spans="1:15">
      <c r="A40" s="47">
        <v>36</v>
      </c>
      <c r="B40" s="224"/>
      <c r="C40" s="6"/>
      <c r="D40" s="6"/>
      <c r="E40" s="68"/>
      <c r="F40" s="6"/>
      <c r="G40" s="69">
        <f t="shared" ref="G23:G47" si="4">E40*F40</f>
        <v>0</v>
      </c>
      <c r="H40" s="68"/>
      <c r="I40" s="6"/>
      <c r="J40" s="69">
        <f t="shared" ref="J23:J47" si="5">H40*I40</f>
        <v>0</v>
      </c>
      <c r="K40" s="69">
        <f t="shared" ref="K5:K47" si="6">G40+J40</f>
        <v>0</v>
      </c>
      <c r="L40" s="307">
        <v>0</v>
      </c>
      <c r="M40" s="152">
        <f t="shared" si="3"/>
        <v>81899.44949999993</v>
      </c>
      <c r="N40" s="6"/>
      <c r="O40" s="5"/>
    </row>
    <row r="41" spans="1:15">
      <c r="A41" s="201">
        <v>37</v>
      </c>
      <c r="B41" s="224"/>
      <c r="C41" s="6"/>
      <c r="D41" s="6"/>
      <c r="E41" s="68"/>
      <c r="F41" s="6"/>
      <c r="G41" s="69">
        <f t="shared" si="4"/>
        <v>0</v>
      </c>
      <c r="H41" s="68"/>
      <c r="I41" s="6"/>
      <c r="J41" s="69">
        <f t="shared" si="5"/>
        <v>0</v>
      </c>
      <c r="K41" s="69">
        <f t="shared" si="6"/>
        <v>0</v>
      </c>
      <c r="L41" s="307">
        <v>0</v>
      </c>
      <c r="M41" s="152">
        <f t="shared" si="3"/>
        <v>81899.44949999993</v>
      </c>
      <c r="N41" s="6"/>
      <c r="O41" s="5"/>
    </row>
    <row r="42" spans="1:15">
      <c r="A42" s="47">
        <v>38</v>
      </c>
      <c r="B42" s="224"/>
      <c r="C42" s="6"/>
      <c r="D42" s="6"/>
      <c r="E42" s="68"/>
      <c r="F42" s="6"/>
      <c r="G42" s="69">
        <f t="shared" si="4"/>
        <v>0</v>
      </c>
      <c r="H42" s="68"/>
      <c r="I42" s="6"/>
      <c r="J42" s="69">
        <f t="shared" si="5"/>
        <v>0</v>
      </c>
      <c r="K42" s="69">
        <f t="shared" si="6"/>
        <v>0</v>
      </c>
      <c r="L42" s="307">
        <v>0</v>
      </c>
      <c r="M42" s="152">
        <f t="shared" si="3"/>
        <v>81899.44949999993</v>
      </c>
      <c r="N42" s="6"/>
      <c r="O42" s="5"/>
    </row>
    <row r="43" spans="1:15">
      <c r="A43" s="47">
        <v>39</v>
      </c>
      <c r="B43" s="224"/>
      <c r="C43" s="6"/>
      <c r="D43" s="6"/>
      <c r="E43" s="68"/>
      <c r="F43" s="6"/>
      <c r="G43" s="69">
        <f t="shared" si="4"/>
        <v>0</v>
      </c>
      <c r="H43" s="68"/>
      <c r="I43" s="6"/>
      <c r="J43" s="69">
        <f t="shared" si="5"/>
        <v>0</v>
      </c>
      <c r="K43" s="69">
        <f t="shared" si="6"/>
        <v>0</v>
      </c>
      <c r="L43" s="307">
        <v>0</v>
      </c>
      <c r="M43" s="152">
        <f t="shared" si="3"/>
        <v>81899.44949999993</v>
      </c>
      <c r="N43" s="6"/>
      <c r="O43" s="5"/>
    </row>
    <row r="44" spans="1:15">
      <c r="A44" s="201">
        <v>40</v>
      </c>
      <c r="B44" s="175"/>
      <c r="C44" s="174"/>
      <c r="D44" s="6"/>
      <c r="E44" s="68"/>
      <c r="F44" s="6"/>
      <c r="G44" s="69">
        <f t="shared" si="4"/>
        <v>0</v>
      </c>
      <c r="H44" s="68"/>
      <c r="I44" s="6"/>
      <c r="J44" s="69">
        <f t="shared" si="5"/>
        <v>0</v>
      </c>
      <c r="K44" s="69">
        <f t="shared" si="6"/>
        <v>0</v>
      </c>
      <c r="L44" s="307">
        <v>0</v>
      </c>
      <c r="M44" s="152">
        <f t="shared" si="3"/>
        <v>81899.44949999993</v>
      </c>
      <c r="N44" s="174"/>
      <c r="O44" s="5"/>
    </row>
    <row r="45" spans="1:15">
      <c r="A45" s="47">
        <v>41</v>
      </c>
      <c r="B45" s="6"/>
      <c r="C45" s="6"/>
      <c r="D45" s="6"/>
      <c r="E45" s="68"/>
      <c r="F45" s="6"/>
      <c r="G45" s="69">
        <f t="shared" si="4"/>
        <v>0</v>
      </c>
      <c r="H45" s="68"/>
      <c r="I45" s="6"/>
      <c r="J45" s="69">
        <f t="shared" si="5"/>
        <v>0</v>
      </c>
      <c r="K45" s="69">
        <f t="shared" si="6"/>
        <v>0</v>
      </c>
      <c r="L45" s="307">
        <v>0</v>
      </c>
      <c r="M45" s="152">
        <f t="shared" si="3"/>
        <v>81899.44949999993</v>
      </c>
      <c r="N45" s="6"/>
      <c r="O45" s="5"/>
    </row>
    <row r="46" spans="1:15">
      <c r="A46" s="47">
        <v>42</v>
      </c>
      <c r="B46" s="174"/>
      <c r="C46" s="174"/>
      <c r="D46" s="6"/>
      <c r="E46" s="68"/>
      <c r="F46" s="6"/>
      <c r="G46" s="69">
        <f t="shared" si="4"/>
        <v>0</v>
      </c>
      <c r="H46" s="68"/>
      <c r="I46" s="6"/>
      <c r="J46" s="69">
        <f t="shared" si="5"/>
        <v>0</v>
      </c>
      <c r="K46" s="176">
        <f t="shared" si="6"/>
        <v>0</v>
      </c>
      <c r="L46" s="166">
        <f t="shared" ref="L46:L47" si="7">+K46</f>
        <v>0</v>
      </c>
      <c r="M46" s="152">
        <f t="shared" si="3"/>
        <v>81899.44949999993</v>
      </c>
      <c r="N46" s="174"/>
      <c r="O46" s="5"/>
    </row>
    <row r="47" spans="1:15">
      <c r="A47" s="47"/>
      <c r="B47" s="174"/>
      <c r="C47" s="174"/>
      <c r="D47" s="6"/>
      <c r="E47" s="68"/>
      <c r="F47" s="6"/>
      <c r="G47" s="69">
        <f t="shared" si="4"/>
        <v>0</v>
      </c>
      <c r="H47" s="68"/>
      <c r="I47" s="6"/>
      <c r="J47" s="69">
        <f t="shared" si="5"/>
        <v>0</v>
      </c>
      <c r="K47" s="176">
        <f t="shared" si="6"/>
        <v>0</v>
      </c>
      <c r="L47" s="177">
        <f t="shared" si="7"/>
        <v>0</v>
      </c>
      <c r="M47" s="152">
        <f t="shared" si="3"/>
        <v>81899.44949999993</v>
      </c>
      <c r="N47" s="174"/>
      <c r="O47" s="5"/>
    </row>
    <row r="48" spans="1:15">
      <c r="A48" s="65"/>
      <c r="B48" s="65"/>
      <c r="C48" s="65"/>
      <c r="D48" s="65"/>
      <c r="E48" s="66">
        <f>SUM(E4:E47)</f>
        <v>1946.8699999999997</v>
      </c>
      <c r="F48" s="66"/>
      <c r="G48" s="66">
        <f>SUM(G4:G47)</f>
        <v>177982.85540000003</v>
      </c>
      <c r="H48" s="66">
        <f>SUM(H4:H47)</f>
        <v>62.05</v>
      </c>
      <c r="I48" s="66"/>
      <c r="J48" s="66">
        <f>SUM(J4:J47)</f>
        <v>6464.0504999999994</v>
      </c>
      <c r="K48" s="66">
        <f>SUM(K4:K47)</f>
        <v>184446.90590000004</v>
      </c>
      <c r="L48" s="66">
        <f>SUM(L4:L47)</f>
        <v>209000</v>
      </c>
      <c r="M48" s="66"/>
      <c r="N48" s="66"/>
      <c r="O48" s="62"/>
    </row>
    <row r="49" spans="1:15">
      <c r="A49" s="5"/>
      <c r="B49" s="5"/>
      <c r="C49" s="5"/>
      <c r="D49" s="5"/>
      <c r="E49" s="5"/>
      <c r="F49" s="5"/>
      <c r="G49" s="105"/>
      <c r="H49" s="5"/>
      <c r="I49" s="5"/>
      <c r="J49" s="105"/>
      <c r="K49" s="5"/>
      <c r="L49" s="105"/>
      <c r="M49" s="105"/>
      <c r="N49" s="5"/>
      <c r="O49" s="5"/>
    </row>
    <row r="50" spans="1:15">
      <c r="A50" s="5"/>
      <c r="B50" s="5"/>
      <c r="C50" s="5"/>
      <c r="D50" s="5"/>
      <c r="E50" s="5"/>
      <c r="F50" s="5"/>
      <c r="G50" s="105"/>
      <c r="H50" s="5"/>
      <c r="I50" s="5"/>
      <c r="J50" s="105"/>
      <c r="K50" s="5"/>
      <c r="L50" s="105"/>
      <c r="M50" s="105"/>
      <c r="N50" s="5"/>
      <c r="O50" s="5"/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F2EB7-2102-4FD0-A2B9-519DAB511885}">
  <sheetPr>
    <tabColor rgb="FF92D050"/>
  </sheetPr>
  <dimension ref="A1:O47"/>
  <sheetViews>
    <sheetView topLeftCell="A26" workbookViewId="0">
      <selection activeCell="M30" sqref="M30"/>
    </sheetView>
  </sheetViews>
  <sheetFormatPr defaultRowHeight="15"/>
  <cols>
    <col min="1" max="1" width="6.140625" customWidth="1"/>
    <col min="2" max="2" width="11.140625" bestFit="1" customWidth="1"/>
    <col min="6" max="6" width="9.42578125" bestFit="1" customWidth="1"/>
    <col min="7" max="7" width="11.85546875" bestFit="1" customWidth="1"/>
    <col min="11" max="11" width="16.7109375" customWidth="1"/>
    <col min="12" max="12" width="16.5703125" customWidth="1"/>
    <col min="13" max="13" width="16.140625" customWidth="1"/>
    <col min="14" max="14" width="15.140625" customWidth="1"/>
  </cols>
  <sheetData>
    <row r="1" spans="1:15" ht="15.75">
      <c r="A1" s="478" t="s">
        <v>95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5"/>
    </row>
    <row r="2" spans="1:15" ht="45">
      <c r="A2" s="67" t="s">
        <v>129</v>
      </c>
      <c r="B2" s="86" t="s">
        <v>130</v>
      </c>
      <c r="C2" s="86" t="s">
        <v>131</v>
      </c>
      <c r="D2" s="86" t="s">
        <v>198</v>
      </c>
      <c r="E2" s="86" t="s">
        <v>133</v>
      </c>
      <c r="F2" s="86" t="s">
        <v>134</v>
      </c>
      <c r="G2" s="93" t="s">
        <v>135</v>
      </c>
      <c r="H2" s="86" t="s">
        <v>136</v>
      </c>
      <c r="I2" s="86" t="s">
        <v>134</v>
      </c>
      <c r="J2" s="93" t="s">
        <v>135</v>
      </c>
      <c r="K2" s="67" t="s">
        <v>137</v>
      </c>
      <c r="L2" s="94" t="s">
        <v>138</v>
      </c>
      <c r="M2" s="88" t="s">
        <v>199</v>
      </c>
      <c r="N2" s="86" t="s">
        <v>140</v>
      </c>
      <c r="O2" s="5"/>
    </row>
    <row r="3" spans="1:15">
      <c r="A3" s="502" t="s">
        <v>141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4"/>
      <c r="M3" s="505">
        <v>5104.7894000000097</v>
      </c>
      <c r="N3" s="506"/>
      <c r="O3" s="5"/>
    </row>
    <row r="4" spans="1:15">
      <c r="A4" s="201">
        <v>1</v>
      </c>
      <c r="B4" s="374"/>
      <c r="C4" s="6"/>
      <c r="D4" s="6"/>
      <c r="E4" s="68"/>
      <c r="F4" s="6"/>
      <c r="G4" s="69">
        <v>0</v>
      </c>
      <c r="H4" s="68"/>
      <c r="I4" s="6"/>
      <c r="J4" s="69">
        <f>H4*I4</f>
        <v>0</v>
      </c>
      <c r="K4" s="69">
        <f>G4+J4</f>
        <v>0</v>
      </c>
      <c r="L4" s="166">
        <v>0</v>
      </c>
      <c r="M4" s="310">
        <f>M3+K4-L4</f>
        <v>5104.7894000000097</v>
      </c>
      <c r="N4" s="47" t="s">
        <v>230</v>
      </c>
      <c r="O4" s="5"/>
    </row>
    <row r="5" spans="1:15">
      <c r="A5" s="47">
        <v>2</v>
      </c>
      <c r="B5" s="374" t="s">
        <v>294</v>
      </c>
      <c r="C5" s="6"/>
      <c r="D5" s="6"/>
      <c r="E5" s="326"/>
      <c r="F5" s="362"/>
      <c r="G5" s="69">
        <f>E5*F5</f>
        <v>0</v>
      </c>
      <c r="H5" s="68">
        <v>5</v>
      </c>
      <c r="I5" s="6">
        <v>103.26</v>
      </c>
      <c r="J5" s="69">
        <f t="shared" ref="J5:J41" si="0">H5*I5</f>
        <v>516.30000000000007</v>
      </c>
      <c r="K5" s="69">
        <f t="shared" ref="K5:K41" si="1">G5+J5</f>
        <v>516.30000000000007</v>
      </c>
      <c r="L5" s="166">
        <v>0</v>
      </c>
      <c r="M5" s="310">
        <f t="shared" ref="M5:M14" si="2">M4+K5-L5</f>
        <v>5621.0894000000098</v>
      </c>
      <c r="N5" s="47" t="s">
        <v>230</v>
      </c>
      <c r="O5" s="5"/>
    </row>
    <row r="6" spans="1:15">
      <c r="A6" s="47">
        <v>3</v>
      </c>
      <c r="B6" s="374" t="s">
        <v>295</v>
      </c>
      <c r="C6" s="6"/>
      <c r="D6" s="6"/>
      <c r="E6" s="326"/>
      <c r="F6" s="362"/>
      <c r="G6" s="69">
        <f>E6*F6</f>
        <v>0</v>
      </c>
      <c r="H6" s="68">
        <v>5</v>
      </c>
      <c r="I6" s="6">
        <v>103.26</v>
      </c>
      <c r="J6" s="69">
        <f t="shared" si="0"/>
        <v>516.30000000000007</v>
      </c>
      <c r="K6" s="69">
        <f t="shared" si="1"/>
        <v>516.30000000000007</v>
      </c>
      <c r="L6" s="166">
        <v>0</v>
      </c>
      <c r="M6" s="310">
        <f t="shared" si="2"/>
        <v>6137.38940000001</v>
      </c>
      <c r="N6" s="47" t="s">
        <v>230</v>
      </c>
      <c r="O6" s="5"/>
    </row>
    <row r="7" spans="1:15">
      <c r="A7" s="47">
        <v>4</v>
      </c>
      <c r="B7" s="374" t="s">
        <v>296</v>
      </c>
      <c r="C7" s="174"/>
      <c r="D7" s="174"/>
      <c r="E7" s="68"/>
      <c r="F7" s="363"/>
      <c r="G7" s="69">
        <f t="shared" ref="G7:G30" si="3">E7*F7</f>
        <v>0</v>
      </c>
      <c r="H7" s="68">
        <v>5</v>
      </c>
      <c r="I7" s="6">
        <v>103.26</v>
      </c>
      <c r="J7" s="69">
        <f t="shared" si="0"/>
        <v>516.30000000000007</v>
      </c>
      <c r="K7" s="69">
        <f t="shared" si="1"/>
        <v>516.30000000000007</v>
      </c>
      <c r="L7" s="166">
        <v>0</v>
      </c>
      <c r="M7" s="310">
        <f t="shared" si="2"/>
        <v>6653.6894000000102</v>
      </c>
      <c r="N7" s="47" t="s">
        <v>230</v>
      </c>
      <c r="O7" s="5"/>
    </row>
    <row r="8" spans="1:15">
      <c r="A8" s="226">
        <v>5</v>
      </c>
      <c r="B8" s="374" t="s">
        <v>297</v>
      </c>
      <c r="C8" s="6"/>
      <c r="D8" s="6"/>
      <c r="E8" s="352">
        <v>10</v>
      </c>
      <c r="F8" s="363">
        <v>91.33</v>
      </c>
      <c r="G8" s="69">
        <f t="shared" si="3"/>
        <v>913.3</v>
      </c>
      <c r="H8" s="68"/>
      <c r="I8" s="6"/>
      <c r="J8" s="69">
        <f t="shared" si="0"/>
        <v>0</v>
      </c>
      <c r="K8" s="69">
        <f t="shared" si="1"/>
        <v>913.3</v>
      </c>
      <c r="L8" s="166">
        <v>0</v>
      </c>
      <c r="M8" s="310">
        <f t="shared" si="2"/>
        <v>7566.9894000000104</v>
      </c>
      <c r="N8" s="47" t="s">
        <v>230</v>
      </c>
      <c r="O8" s="5"/>
    </row>
    <row r="9" spans="1:15">
      <c r="A9" s="226">
        <v>6</v>
      </c>
      <c r="B9" s="374" t="s">
        <v>298</v>
      </c>
      <c r="C9" s="6"/>
      <c r="D9" s="6"/>
      <c r="E9" s="352">
        <v>52.5</v>
      </c>
      <c r="F9" s="362">
        <v>91.33</v>
      </c>
      <c r="G9" s="69">
        <f t="shared" si="3"/>
        <v>4794.8249999999998</v>
      </c>
      <c r="H9" s="68"/>
      <c r="I9" s="6"/>
      <c r="J9" s="69">
        <f t="shared" si="0"/>
        <v>0</v>
      </c>
      <c r="K9" s="69">
        <f t="shared" si="1"/>
        <v>4794.8249999999998</v>
      </c>
      <c r="L9" s="166">
        <v>0</v>
      </c>
      <c r="M9" s="310">
        <f>M8+K9-L9</f>
        <v>12361.81440000001</v>
      </c>
      <c r="N9" s="47" t="s">
        <v>230</v>
      </c>
      <c r="O9" s="5"/>
    </row>
    <row r="10" spans="1:15">
      <c r="A10" s="226">
        <v>7</v>
      </c>
      <c r="B10" s="374" t="s">
        <v>299</v>
      </c>
      <c r="C10" s="6"/>
      <c r="D10" s="6"/>
      <c r="E10" s="352">
        <v>30</v>
      </c>
      <c r="F10" s="362">
        <v>91.33</v>
      </c>
      <c r="G10" s="69">
        <f t="shared" si="3"/>
        <v>2739.9</v>
      </c>
      <c r="H10" s="68"/>
      <c r="I10" s="6"/>
      <c r="J10" s="69">
        <f t="shared" si="0"/>
        <v>0</v>
      </c>
      <c r="K10" s="69">
        <f t="shared" si="1"/>
        <v>2739.9</v>
      </c>
      <c r="L10" s="166">
        <v>0</v>
      </c>
      <c r="M10" s="310">
        <f t="shared" si="2"/>
        <v>15101.71440000001</v>
      </c>
      <c r="N10" s="47" t="s">
        <v>230</v>
      </c>
      <c r="O10" s="5"/>
    </row>
    <row r="11" spans="1:15">
      <c r="A11" s="226">
        <v>8</v>
      </c>
      <c r="B11" s="374" t="s">
        <v>239</v>
      </c>
      <c r="C11" s="6"/>
      <c r="D11" s="6"/>
      <c r="E11" s="352">
        <v>40</v>
      </c>
      <c r="F11" s="362">
        <v>91.33</v>
      </c>
      <c r="G11" s="69">
        <f t="shared" si="3"/>
        <v>3653.2</v>
      </c>
      <c r="H11" s="68">
        <v>2</v>
      </c>
      <c r="I11" s="6">
        <v>103.26</v>
      </c>
      <c r="J11" s="69">
        <f t="shared" si="0"/>
        <v>206.52</v>
      </c>
      <c r="K11" s="69">
        <f>G11+J11</f>
        <v>3859.72</v>
      </c>
      <c r="L11" s="166">
        <v>0</v>
      </c>
      <c r="M11" s="310">
        <f t="shared" si="2"/>
        <v>18961.434400000009</v>
      </c>
      <c r="N11" s="47" t="s">
        <v>230</v>
      </c>
      <c r="O11" s="5"/>
    </row>
    <row r="12" spans="1:15">
      <c r="A12" s="226">
        <v>9</v>
      </c>
      <c r="B12" s="374" t="s">
        <v>240</v>
      </c>
      <c r="C12" s="6"/>
      <c r="D12" s="6"/>
      <c r="E12" s="352">
        <v>10</v>
      </c>
      <c r="F12" s="362">
        <v>91.33</v>
      </c>
      <c r="G12" s="69">
        <f t="shared" si="3"/>
        <v>913.3</v>
      </c>
      <c r="H12" s="68"/>
      <c r="I12" s="6"/>
      <c r="J12" s="69">
        <f t="shared" si="0"/>
        <v>0</v>
      </c>
      <c r="K12" s="69">
        <f>G12+J12</f>
        <v>913.3</v>
      </c>
      <c r="L12" s="166">
        <v>0</v>
      </c>
      <c r="M12" s="310">
        <f t="shared" si="2"/>
        <v>19874.734400000008</v>
      </c>
      <c r="N12" s="47" t="s">
        <v>230</v>
      </c>
      <c r="O12" s="5"/>
    </row>
    <row r="13" spans="1:15">
      <c r="A13" s="226">
        <v>10</v>
      </c>
      <c r="B13" s="374" t="s">
        <v>241</v>
      </c>
      <c r="C13" s="6"/>
      <c r="D13" s="6"/>
      <c r="E13" s="352">
        <v>68.83</v>
      </c>
      <c r="F13" s="362">
        <v>91.33</v>
      </c>
      <c r="G13" s="69">
        <f t="shared" si="3"/>
        <v>6286.2438999999995</v>
      </c>
      <c r="H13" s="68"/>
      <c r="I13" s="6"/>
      <c r="J13" s="69">
        <f t="shared" si="0"/>
        <v>0</v>
      </c>
      <c r="K13" s="69">
        <f>G13+J13</f>
        <v>6286.2438999999995</v>
      </c>
      <c r="L13" s="166">
        <v>0</v>
      </c>
      <c r="M13" s="310">
        <f t="shared" si="2"/>
        <v>26160.97830000001</v>
      </c>
      <c r="N13" s="47" t="s">
        <v>230</v>
      </c>
      <c r="O13" s="5"/>
    </row>
    <row r="14" spans="1:15">
      <c r="A14" s="226">
        <v>11</v>
      </c>
      <c r="B14" s="374" t="s">
        <v>242</v>
      </c>
      <c r="C14" s="6"/>
      <c r="D14" s="6"/>
      <c r="E14" s="352">
        <v>10</v>
      </c>
      <c r="F14" s="363">
        <v>91.33</v>
      </c>
      <c r="G14" s="69">
        <f t="shared" si="3"/>
        <v>913.3</v>
      </c>
      <c r="H14" s="68"/>
      <c r="I14" s="6"/>
      <c r="J14" s="69">
        <f t="shared" si="0"/>
        <v>0</v>
      </c>
      <c r="K14" s="69">
        <f t="shared" si="1"/>
        <v>913.3</v>
      </c>
      <c r="L14" s="166">
        <v>0</v>
      </c>
      <c r="M14" s="310">
        <f t="shared" si="2"/>
        <v>27074.278300000009</v>
      </c>
      <c r="N14" s="47" t="s">
        <v>230</v>
      </c>
      <c r="O14" s="5"/>
    </row>
    <row r="15" spans="1:15">
      <c r="A15" s="226">
        <v>12</v>
      </c>
      <c r="B15" s="374" t="s">
        <v>243</v>
      </c>
      <c r="C15" s="6"/>
      <c r="D15" s="6"/>
      <c r="E15" s="352">
        <v>10</v>
      </c>
      <c r="F15" s="363">
        <v>91.33</v>
      </c>
      <c r="G15" s="69">
        <f t="shared" si="3"/>
        <v>913.3</v>
      </c>
      <c r="H15" s="68">
        <v>5</v>
      </c>
      <c r="I15" s="6">
        <v>103.26</v>
      </c>
      <c r="J15" s="69">
        <f t="shared" si="0"/>
        <v>516.30000000000007</v>
      </c>
      <c r="K15" s="69">
        <f t="shared" si="1"/>
        <v>1429.6</v>
      </c>
      <c r="L15" s="166">
        <v>0</v>
      </c>
      <c r="M15" s="311">
        <f t="shared" ref="M15:M42" si="4">M14+K15-L15</f>
        <v>28503.878300000008</v>
      </c>
      <c r="N15" s="47" t="s">
        <v>230</v>
      </c>
      <c r="O15" s="5"/>
    </row>
    <row r="16" spans="1:15">
      <c r="A16" s="226">
        <v>13</v>
      </c>
      <c r="B16" s="374" t="s">
        <v>244</v>
      </c>
      <c r="C16" s="6"/>
      <c r="D16" s="6"/>
      <c r="E16" s="326">
        <v>10</v>
      </c>
      <c r="F16" s="326">
        <v>91.33</v>
      </c>
      <c r="G16" s="69">
        <f t="shared" si="3"/>
        <v>913.3</v>
      </c>
      <c r="H16" s="68"/>
      <c r="I16" s="6"/>
      <c r="J16" s="69">
        <f t="shared" si="0"/>
        <v>0</v>
      </c>
      <c r="K16" s="69">
        <f t="shared" si="1"/>
        <v>913.3</v>
      </c>
      <c r="L16" s="166">
        <v>0</v>
      </c>
      <c r="M16" s="311">
        <f t="shared" si="4"/>
        <v>29417.178300000007</v>
      </c>
      <c r="N16" s="47" t="s">
        <v>230</v>
      </c>
      <c r="O16" s="5"/>
    </row>
    <row r="17" spans="1:15">
      <c r="A17" s="226">
        <v>14</v>
      </c>
      <c r="B17" s="374" t="s">
        <v>245</v>
      </c>
      <c r="C17" s="6"/>
      <c r="D17" s="6"/>
      <c r="E17" s="326">
        <v>10</v>
      </c>
      <c r="F17" s="326">
        <v>91.33</v>
      </c>
      <c r="G17" s="69">
        <f t="shared" si="3"/>
        <v>913.3</v>
      </c>
      <c r="H17" s="68"/>
      <c r="I17" s="6"/>
      <c r="J17" s="69">
        <f t="shared" si="0"/>
        <v>0</v>
      </c>
      <c r="K17" s="69">
        <f t="shared" si="1"/>
        <v>913.3</v>
      </c>
      <c r="L17" s="166">
        <v>0</v>
      </c>
      <c r="M17" s="311">
        <f>M16+K17-L17</f>
        <v>30330.478300000006</v>
      </c>
      <c r="N17" s="47" t="s">
        <v>230</v>
      </c>
      <c r="O17" s="5"/>
    </row>
    <row r="18" spans="1:15">
      <c r="A18" s="226">
        <v>15</v>
      </c>
      <c r="B18" s="374" t="s">
        <v>246</v>
      </c>
      <c r="C18" s="6"/>
      <c r="D18" s="6"/>
      <c r="E18" s="326">
        <v>10</v>
      </c>
      <c r="F18" s="326">
        <v>91.33</v>
      </c>
      <c r="G18" s="69">
        <f t="shared" si="3"/>
        <v>913.3</v>
      </c>
      <c r="H18" s="68"/>
      <c r="I18" s="6"/>
      <c r="J18" s="69">
        <f t="shared" si="0"/>
        <v>0</v>
      </c>
      <c r="K18" s="69">
        <f t="shared" si="1"/>
        <v>913.3</v>
      </c>
      <c r="L18" s="166">
        <v>0</v>
      </c>
      <c r="M18" s="311">
        <f t="shared" si="4"/>
        <v>31243.778300000005</v>
      </c>
      <c r="N18" s="47" t="s">
        <v>230</v>
      </c>
      <c r="O18" s="5"/>
    </row>
    <row r="19" spans="1:15">
      <c r="A19" s="226">
        <v>16</v>
      </c>
      <c r="B19" s="374" t="s">
        <v>247</v>
      </c>
      <c r="C19" s="6"/>
      <c r="D19" s="6"/>
      <c r="E19" s="352">
        <v>47.51</v>
      </c>
      <c r="F19" s="6">
        <v>91.33</v>
      </c>
      <c r="G19" s="69">
        <f t="shared" si="3"/>
        <v>4339.0882999999994</v>
      </c>
      <c r="H19" s="68"/>
      <c r="I19" s="6"/>
      <c r="J19" s="69">
        <f t="shared" si="0"/>
        <v>0</v>
      </c>
      <c r="K19" s="69">
        <f t="shared" si="1"/>
        <v>4339.0882999999994</v>
      </c>
      <c r="L19" s="166">
        <v>0</v>
      </c>
      <c r="M19" s="311">
        <f t="shared" si="4"/>
        <v>35582.866600000008</v>
      </c>
      <c r="N19" s="47" t="s">
        <v>230</v>
      </c>
      <c r="O19" s="5"/>
    </row>
    <row r="20" spans="1:15">
      <c r="A20" s="226">
        <v>17</v>
      </c>
      <c r="B20" s="374" t="s">
        <v>247</v>
      </c>
      <c r="C20" s="6"/>
      <c r="D20" s="6"/>
      <c r="E20" s="352">
        <v>10</v>
      </c>
      <c r="F20" s="6">
        <v>91.33</v>
      </c>
      <c r="G20" s="69">
        <f t="shared" si="3"/>
        <v>913.3</v>
      </c>
      <c r="H20" s="68"/>
      <c r="I20" s="6"/>
      <c r="J20" s="69">
        <f t="shared" si="0"/>
        <v>0</v>
      </c>
      <c r="K20" s="69">
        <f t="shared" si="1"/>
        <v>913.3</v>
      </c>
      <c r="L20" s="166">
        <v>0</v>
      </c>
      <c r="M20" s="311">
        <f t="shared" si="4"/>
        <v>36496.166600000011</v>
      </c>
      <c r="N20" s="47" t="s">
        <v>230</v>
      </c>
      <c r="O20" s="5"/>
    </row>
    <row r="21" spans="1:15">
      <c r="A21" s="226">
        <v>18</v>
      </c>
      <c r="B21" s="374" t="s">
        <v>249</v>
      </c>
      <c r="C21" s="6"/>
      <c r="D21" s="6"/>
      <c r="E21" s="352"/>
      <c r="F21" s="6"/>
      <c r="G21" s="69">
        <f t="shared" si="3"/>
        <v>0</v>
      </c>
      <c r="H21" s="68"/>
      <c r="I21" s="6"/>
      <c r="J21" s="69">
        <f t="shared" si="0"/>
        <v>0</v>
      </c>
      <c r="K21" s="69">
        <f t="shared" si="1"/>
        <v>0</v>
      </c>
      <c r="L21" s="166">
        <v>28000</v>
      </c>
      <c r="M21" s="311">
        <f t="shared" si="4"/>
        <v>8496.1666000000114</v>
      </c>
      <c r="N21" s="47" t="s">
        <v>230</v>
      </c>
      <c r="O21" s="5"/>
    </row>
    <row r="22" spans="1:15">
      <c r="A22" s="226">
        <v>19</v>
      </c>
      <c r="B22" s="351" t="s">
        <v>250</v>
      </c>
      <c r="C22" s="6"/>
      <c r="D22" s="6"/>
      <c r="E22" s="352">
        <v>10</v>
      </c>
      <c r="F22" s="6">
        <v>91.33</v>
      </c>
      <c r="G22" s="69">
        <f t="shared" si="3"/>
        <v>913.3</v>
      </c>
      <c r="H22" s="68"/>
      <c r="I22" s="6"/>
      <c r="J22" s="69">
        <f t="shared" si="0"/>
        <v>0</v>
      </c>
      <c r="K22" s="69">
        <f t="shared" si="1"/>
        <v>913.3</v>
      </c>
      <c r="L22" s="166">
        <v>0</v>
      </c>
      <c r="M22" s="311">
        <f t="shared" si="4"/>
        <v>9409.4666000000107</v>
      </c>
      <c r="N22" s="47" t="s">
        <v>230</v>
      </c>
      <c r="O22" s="5"/>
    </row>
    <row r="23" spans="1:15">
      <c r="A23" s="226">
        <v>20</v>
      </c>
      <c r="B23" s="351" t="s">
        <v>251</v>
      </c>
      <c r="C23" s="6"/>
      <c r="D23" s="6"/>
      <c r="E23" s="352">
        <v>50</v>
      </c>
      <c r="F23" s="6">
        <v>91.33</v>
      </c>
      <c r="G23" s="69">
        <f t="shared" si="3"/>
        <v>4566.5</v>
      </c>
      <c r="H23" s="68">
        <v>6</v>
      </c>
      <c r="I23" s="6">
        <v>103.26</v>
      </c>
      <c r="J23" s="69">
        <f t="shared" si="0"/>
        <v>619.56000000000006</v>
      </c>
      <c r="K23" s="69">
        <f t="shared" si="1"/>
        <v>5186.0600000000004</v>
      </c>
      <c r="L23" s="166">
        <v>0</v>
      </c>
      <c r="M23" s="311">
        <f t="shared" si="4"/>
        <v>14595.526600000012</v>
      </c>
      <c r="N23" s="47"/>
      <c r="O23" s="5"/>
    </row>
    <row r="24" spans="1:15">
      <c r="A24" s="226">
        <v>21</v>
      </c>
      <c r="B24" s="351" t="s">
        <v>252</v>
      </c>
      <c r="C24" s="6"/>
      <c r="D24" s="6"/>
      <c r="E24" s="352"/>
      <c r="F24" s="6">
        <v>91.33</v>
      </c>
      <c r="G24" s="69">
        <f t="shared" si="3"/>
        <v>0</v>
      </c>
      <c r="H24" s="68">
        <v>5</v>
      </c>
      <c r="I24" s="6">
        <v>103.26</v>
      </c>
      <c r="J24" s="69">
        <f t="shared" si="0"/>
        <v>516.30000000000007</v>
      </c>
      <c r="K24" s="69">
        <f t="shared" si="1"/>
        <v>516.30000000000007</v>
      </c>
      <c r="L24" s="166">
        <v>0</v>
      </c>
      <c r="M24" s="311">
        <f t="shared" si="4"/>
        <v>15111.826600000011</v>
      </c>
      <c r="N24" s="47"/>
      <c r="O24" s="5"/>
    </row>
    <row r="25" spans="1:15">
      <c r="A25" s="47">
        <v>22</v>
      </c>
      <c r="B25" s="351" t="s">
        <v>253</v>
      </c>
      <c r="C25" s="353"/>
      <c r="D25" s="353"/>
      <c r="E25" s="68">
        <v>220</v>
      </c>
      <c r="F25" s="6">
        <v>91.33</v>
      </c>
      <c r="G25" s="69">
        <f t="shared" si="3"/>
        <v>20092.599999999999</v>
      </c>
      <c r="H25" s="68">
        <v>5</v>
      </c>
      <c r="I25" s="6">
        <v>103.26</v>
      </c>
      <c r="J25" s="69">
        <f t="shared" si="0"/>
        <v>516.30000000000007</v>
      </c>
      <c r="K25" s="69">
        <f t="shared" si="1"/>
        <v>20608.899999999998</v>
      </c>
      <c r="L25" s="166">
        <v>0</v>
      </c>
      <c r="M25" s="264">
        <f t="shared" si="4"/>
        <v>35720.726600000009</v>
      </c>
      <c r="N25" s="47"/>
      <c r="O25" s="5"/>
    </row>
    <row r="26" spans="1:15">
      <c r="A26" s="47">
        <v>23</v>
      </c>
      <c r="B26" s="351" t="s">
        <v>254</v>
      </c>
      <c r="C26" s="6"/>
      <c r="D26" s="6"/>
      <c r="E26" s="68">
        <v>38</v>
      </c>
      <c r="F26" s="6">
        <v>91.33</v>
      </c>
      <c r="G26" s="69">
        <f t="shared" si="3"/>
        <v>3470.54</v>
      </c>
      <c r="H26" s="68"/>
      <c r="I26" s="6"/>
      <c r="J26" s="69">
        <f t="shared" si="0"/>
        <v>0</v>
      </c>
      <c r="K26" s="69">
        <f t="shared" si="1"/>
        <v>3470.54</v>
      </c>
      <c r="L26" s="166">
        <v>0</v>
      </c>
      <c r="M26" s="264">
        <f t="shared" si="4"/>
        <v>39191.26660000001</v>
      </c>
      <c r="N26" s="6"/>
      <c r="O26" s="5"/>
    </row>
    <row r="27" spans="1:15">
      <c r="A27" s="47">
        <v>24</v>
      </c>
      <c r="B27" s="351" t="s">
        <v>256</v>
      </c>
      <c r="C27" s="6"/>
      <c r="D27" s="6"/>
      <c r="E27" s="68">
        <v>35.6</v>
      </c>
      <c r="F27" s="6">
        <v>91.33</v>
      </c>
      <c r="G27" s="69">
        <f t="shared" si="3"/>
        <v>3251.348</v>
      </c>
      <c r="H27" s="68"/>
      <c r="I27" s="6"/>
      <c r="J27" s="69">
        <f t="shared" si="0"/>
        <v>0</v>
      </c>
      <c r="K27" s="69">
        <f t="shared" si="1"/>
        <v>3251.348</v>
      </c>
      <c r="L27" s="166">
        <v>0</v>
      </c>
      <c r="M27" s="264">
        <f t="shared" si="4"/>
        <v>42442.614600000008</v>
      </c>
      <c r="N27" s="6"/>
      <c r="O27" s="5"/>
    </row>
    <row r="28" spans="1:15">
      <c r="A28" s="226">
        <v>25</v>
      </c>
      <c r="B28" s="351" t="s">
        <v>257</v>
      </c>
      <c r="C28" s="6"/>
      <c r="D28" s="6"/>
      <c r="E28" s="68"/>
      <c r="F28" s="6"/>
      <c r="G28" s="69">
        <f t="shared" si="3"/>
        <v>0</v>
      </c>
      <c r="H28" s="68">
        <v>10</v>
      </c>
      <c r="I28" s="6">
        <v>103.26</v>
      </c>
      <c r="J28" s="69">
        <f t="shared" si="0"/>
        <v>1032.6000000000001</v>
      </c>
      <c r="K28" s="69">
        <f t="shared" si="1"/>
        <v>1032.6000000000001</v>
      </c>
      <c r="L28" s="166">
        <v>0</v>
      </c>
      <c r="M28" s="264">
        <f t="shared" si="4"/>
        <v>43475.214600000007</v>
      </c>
      <c r="N28" s="6"/>
      <c r="O28" s="5"/>
    </row>
    <row r="29" spans="1:15">
      <c r="A29" s="226">
        <v>26</v>
      </c>
      <c r="B29" s="224" t="s">
        <v>258</v>
      </c>
      <c r="C29" s="6"/>
      <c r="D29" s="6"/>
      <c r="E29" s="68">
        <v>29.05</v>
      </c>
      <c r="F29" s="6">
        <v>91.33</v>
      </c>
      <c r="G29" s="69">
        <f t="shared" si="3"/>
        <v>2653.1365000000001</v>
      </c>
      <c r="H29" s="68">
        <v>18.14</v>
      </c>
      <c r="I29" s="6">
        <v>103.26</v>
      </c>
      <c r="J29" s="69">
        <f t="shared" si="0"/>
        <v>1873.1364000000001</v>
      </c>
      <c r="K29" s="69">
        <f t="shared" si="1"/>
        <v>4526.2728999999999</v>
      </c>
      <c r="L29" s="166">
        <v>0</v>
      </c>
      <c r="M29" s="264">
        <f t="shared" si="4"/>
        <v>48001.487500000003</v>
      </c>
      <c r="N29" s="6"/>
      <c r="O29" s="5"/>
    </row>
    <row r="30" spans="1:15">
      <c r="A30" s="226">
        <v>27</v>
      </c>
      <c r="B30" s="224" t="s">
        <v>259</v>
      </c>
      <c r="C30" s="6"/>
      <c r="D30" s="6"/>
      <c r="E30" s="68">
        <v>33</v>
      </c>
      <c r="F30" s="6">
        <v>91.33</v>
      </c>
      <c r="G30" s="69">
        <f t="shared" si="3"/>
        <v>3013.89</v>
      </c>
      <c r="H30" s="68">
        <v>13.32</v>
      </c>
      <c r="I30" s="6">
        <v>103.26</v>
      </c>
      <c r="J30" s="69">
        <f t="shared" si="0"/>
        <v>1375.4232000000002</v>
      </c>
      <c r="K30" s="69">
        <f t="shared" si="1"/>
        <v>4389.3132000000005</v>
      </c>
      <c r="L30" s="166">
        <v>0</v>
      </c>
      <c r="M30" s="264">
        <f t="shared" si="4"/>
        <v>52390.800700000007</v>
      </c>
      <c r="N30" s="6"/>
      <c r="O30" s="5"/>
    </row>
    <row r="31" spans="1:15">
      <c r="A31" s="226">
        <v>28</v>
      </c>
      <c r="B31" s="224" t="s">
        <v>260</v>
      </c>
      <c r="C31" s="6"/>
      <c r="D31" s="6"/>
      <c r="E31" s="68"/>
      <c r="F31" s="6"/>
      <c r="G31" s="69">
        <v>0</v>
      </c>
      <c r="H31" s="68"/>
      <c r="I31" s="6"/>
      <c r="J31" s="69">
        <f t="shared" si="0"/>
        <v>0</v>
      </c>
      <c r="K31" s="69">
        <f t="shared" si="1"/>
        <v>0</v>
      </c>
      <c r="L31" s="166">
        <v>0</v>
      </c>
      <c r="M31" s="264">
        <f t="shared" si="4"/>
        <v>52390.800700000007</v>
      </c>
      <c r="N31" s="6"/>
      <c r="O31" s="5"/>
    </row>
    <row r="32" spans="1:15">
      <c r="A32" s="227">
        <v>29</v>
      </c>
      <c r="B32" s="224"/>
      <c r="C32" s="6"/>
      <c r="D32" s="6"/>
      <c r="E32" s="68"/>
      <c r="F32" s="6"/>
      <c r="G32" s="69">
        <v>0</v>
      </c>
      <c r="H32" s="68"/>
      <c r="I32" s="6"/>
      <c r="J32" s="69">
        <f t="shared" si="0"/>
        <v>0</v>
      </c>
      <c r="K32" s="69">
        <f t="shared" si="1"/>
        <v>0</v>
      </c>
      <c r="L32" s="166">
        <v>0</v>
      </c>
      <c r="M32" s="264">
        <f t="shared" si="4"/>
        <v>52390.800700000007</v>
      </c>
      <c r="N32" s="6"/>
      <c r="O32" s="5"/>
    </row>
    <row r="33" spans="1:15">
      <c r="A33" s="227">
        <v>30</v>
      </c>
      <c r="B33" s="224"/>
      <c r="C33" s="6"/>
      <c r="D33" s="6"/>
      <c r="E33" s="68"/>
      <c r="F33" s="6"/>
      <c r="G33" s="69">
        <v>0</v>
      </c>
      <c r="H33" s="68"/>
      <c r="I33" s="6"/>
      <c r="J33" s="69">
        <f t="shared" si="0"/>
        <v>0</v>
      </c>
      <c r="K33" s="69">
        <f t="shared" si="1"/>
        <v>0</v>
      </c>
      <c r="L33" s="166">
        <v>0</v>
      </c>
      <c r="M33" s="264">
        <f t="shared" si="4"/>
        <v>52390.800700000007</v>
      </c>
      <c r="N33" s="6"/>
      <c r="O33" s="5"/>
    </row>
    <row r="34" spans="1:15">
      <c r="A34" s="227">
        <v>31</v>
      </c>
      <c r="B34" s="224"/>
      <c r="C34" s="6"/>
      <c r="D34" s="6"/>
      <c r="E34" s="68"/>
      <c r="F34" s="6"/>
      <c r="G34" s="69">
        <v>0</v>
      </c>
      <c r="H34" s="68"/>
      <c r="I34" s="6"/>
      <c r="J34" s="69">
        <f t="shared" si="0"/>
        <v>0</v>
      </c>
      <c r="K34" s="69">
        <f t="shared" si="1"/>
        <v>0</v>
      </c>
      <c r="L34" s="166">
        <v>0</v>
      </c>
      <c r="M34" s="264">
        <f t="shared" si="4"/>
        <v>52390.800700000007</v>
      </c>
      <c r="N34" s="6"/>
      <c r="O34" s="5"/>
    </row>
    <row r="35" spans="1:15">
      <c r="A35" s="6">
        <v>35</v>
      </c>
      <c r="B35" s="81"/>
      <c r="C35" s="6"/>
      <c r="D35" s="6"/>
      <c r="E35" s="68"/>
      <c r="F35" s="6"/>
      <c r="G35" s="69">
        <v>0</v>
      </c>
      <c r="H35" s="68"/>
      <c r="I35" s="6"/>
      <c r="J35" s="69">
        <f t="shared" si="0"/>
        <v>0</v>
      </c>
      <c r="K35" s="69">
        <f t="shared" si="1"/>
        <v>0</v>
      </c>
      <c r="L35" s="166">
        <v>0</v>
      </c>
      <c r="M35" s="264">
        <f t="shared" si="4"/>
        <v>52390.800700000007</v>
      </c>
      <c r="N35" s="6"/>
      <c r="O35" s="5"/>
    </row>
    <row r="36" spans="1:15">
      <c r="A36" s="6">
        <v>36</v>
      </c>
      <c r="B36" s="81"/>
      <c r="C36" s="6"/>
      <c r="D36" s="6"/>
      <c r="E36" s="68"/>
      <c r="F36" s="6"/>
      <c r="G36" s="69">
        <v>0</v>
      </c>
      <c r="H36" s="68"/>
      <c r="I36" s="6"/>
      <c r="J36" s="69">
        <f t="shared" si="0"/>
        <v>0</v>
      </c>
      <c r="K36" s="69">
        <f t="shared" si="1"/>
        <v>0</v>
      </c>
      <c r="L36" s="166">
        <v>0</v>
      </c>
      <c r="M36" s="264">
        <f t="shared" si="4"/>
        <v>52390.800700000007</v>
      </c>
      <c r="N36" s="6"/>
      <c r="O36" s="5"/>
    </row>
    <row r="37" spans="1:15">
      <c r="A37" s="6">
        <v>37</v>
      </c>
      <c r="B37" s="81"/>
      <c r="C37" s="6"/>
      <c r="D37" s="6"/>
      <c r="E37" s="68"/>
      <c r="F37" s="6"/>
      <c r="G37" s="69">
        <v>0</v>
      </c>
      <c r="H37" s="68"/>
      <c r="I37" s="6"/>
      <c r="J37" s="69">
        <f t="shared" si="0"/>
        <v>0</v>
      </c>
      <c r="K37" s="69">
        <f t="shared" si="1"/>
        <v>0</v>
      </c>
      <c r="L37" s="166">
        <v>0</v>
      </c>
      <c r="M37" s="264">
        <f t="shared" si="4"/>
        <v>52390.800700000007</v>
      </c>
      <c r="N37" s="6"/>
      <c r="O37" s="5"/>
    </row>
    <row r="38" spans="1:15">
      <c r="A38" s="6">
        <v>38</v>
      </c>
      <c r="B38" s="81"/>
      <c r="C38" s="6"/>
      <c r="D38" s="6"/>
      <c r="E38" s="68"/>
      <c r="F38" s="6"/>
      <c r="G38" s="69">
        <v>0</v>
      </c>
      <c r="H38" s="68"/>
      <c r="I38" s="6"/>
      <c r="J38" s="69">
        <f t="shared" si="0"/>
        <v>0</v>
      </c>
      <c r="K38" s="69">
        <f t="shared" si="1"/>
        <v>0</v>
      </c>
      <c r="L38" s="166">
        <v>0</v>
      </c>
      <c r="M38" s="264">
        <f t="shared" si="4"/>
        <v>52390.800700000007</v>
      </c>
      <c r="N38" s="6"/>
      <c r="O38" s="5"/>
    </row>
    <row r="39" spans="1:15">
      <c r="A39" s="174">
        <v>39</v>
      </c>
      <c r="B39" s="175"/>
      <c r="C39" s="174"/>
      <c r="D39" s="6"/>
      <c r="E39" s="68"/>
      <c r="F39" s="6"/>
      <c r="G39" s="69">
        <v>0</v>
      </c>
      <c r="H39" s="68"/>
      <c r="I39" s="6"/>
      <c r="J39" s="69">
        <f t="shared" si="0"/>
        <v>0</v>
      </c>
      <c r="K39" s="69">
        <f t="shared" si="1"/>
        <v>0</v>
      </c>
      <c r="L39" s="166">
        <v>0</v>
      </c>
      <c r="M39" s="264">
        <f t="shared" si="4"/>
        <v>52390.800700000007</v>
      </c>
      <c r="N39" s="174"/>
      <c r="O39" s="5"/>
    </row>
    <row r="40" spans="1:15">
      <c r="A40" s="6">
        <v>40</v>
      </c>
      <c r="B40" s="6"/>
      <c r="C40" s="6"/>
      <c r="D40" s="6"/>
      <c r="E40" s="68"/>
      <c r="F40" s="6"/>
      <c r="G40" s="69">
        <v>0</v>
      </c>
      <c r="H40" s="68"/>
      <c r="I40" s="6"/>
      <c r="J40" s="69">
        <f t="shared" si="0"/>
        <v>0</v>
      </c>
      <c r="K40" s="69">
        <f t="shared" si="1"/>
        <v>0</v>
      </c>
      <c r="L40" s="166">
        <v>0</v>
      </c>
      <c r="M40" s="264">
        <f t="shared" si="4"/>
        <v>52390.800700000007</v>
      </c>
      <c r="N40" s="6"/>
      <c r="O40" s="5"/>
    </row>
    <row r="41" spans="1:15">
      <c r="A41" s="174">
        <v>41</v>
      </c>
      <c r="B41" s="174"/>
      <c r="C41" s="174"/>
      <c r="D41" s="6"/>
      <c r="E41" s="68"/>
      <c r="F41" s="6"/>
      <c r="G41" s="69">
        <v>0</v>
      </c>
      <c r="H41" s="68"/>
      <c r="I41" s="6"/>
      <c r="J41" s="69">
        <f t="shared" si="0"/>
        <v>0</v>
      </c>
      <c r="K41" s="69">
        <f t="shared" si="1"/>
        <v>0</v>
      </c>
      <c r="L41" s="166">
        <v>0</v>
      </c>
      <c r="M41" s="264">
        <f t="shared" si="4"/>
        <v>52390.800700000007</v>
      </c>
      <c r="N41" s="174"/>
      <c r="O41" s="5"/>
    </row>
    <row r="42" spans="1:15">
      <c r="A42" s="174">
        <v>42</v>
      </c>
      <c r="B42" s="174"/>
      <c r="C42" s="174"/>
      <c r="D42" s="6"/>
      <c r="E42" s="68"/>
      <c r="F42" s="6"/>
      <c r="G42" s="69">
        <f t="shared" ref="G42" si="5">E42*F42</f>
        <v>0</v>
      </c>
      <c r="H42" s="68"/>
      <c r="I42" s="6"/>
      <c r="J42" s="69">
        <f t="shared" ref="J42" si="6">H42*I42</f>
        <v>0</v>
      </c>
      <c r="K42" s="176">
        <f t="shared" ref="K42" si="7">G42+J42</f>
        <v>0</v>
      </c>
      <c r="L42" s="177">
        <f t="shared" ref="L42" si="8">+K42</f>
        <v>0</v>
      </c>
      <c r="M42" s="264">
        <f t="shared" si="4"/>
        <v>52390.800700000007</v>
      </c>
      <c r="N42" s="174"/>
      <c r="O42" s="5"/>
    </row>
    <row r="43" spans="1:15">
      <c r="A43" s="65"/>
      <c r="B43" s="65"/>
      <c r="C43" s="65"/>
      <c r="D43" s="65"/>
      <c r="E43" s="66">
        <f>SUM(E4:E42)</f>
        <v>734.4899999999999</v>
      </c>
      <c r="F43" s="66"/>
      <c r="G43" s="66">
        <f>SUM(G4:G42)</f>
        <v>67080.971699999995</v>
      </c>
      <c r="H43" s="66">
        <f>SUM(H4:H42)</f>
        <v>79.460000000000008</v>
      </c>
      <c r="I43" s="66"/>
      <c r="J43" s="66">
        <f>SUM(J4:J42)</f>
        <v>8205.0396000000001</v>
      </c>
      <c r="K43" s="66">
        <f>SUM(K4:K42)</f>
        <v>75286.011299999984</v>
      </c>
      <c r="L43" s="66">
        <f>SUM(L4:L42)</f>
        <v>28000</v>
      </c>
      <c r="M43" s="66"/>
      <c r="N43" s="66"/>
      <c r="O43" s="62"/>
    </row>
    <row r="44" spans="1:15">
      <c r="A44" s="5"/>
      <c r="B44" s="5"/>
      <c r="C44" s="5"/>
      <c r="D44" s="5"/>
      <c r="E44" s="5"/>
      <c r="F44" s="5"/>
      <c r="G44" s="105"/>
      <c r="H44" s="5"/>
      <c r="I44" s="5"/>
      <c r="J44" s="105"/>
      <c r="K44" s="5"/>
      <c r="L44" s="105"/>
      <c r="M44" s="105"/>
      <c r="N44" s="5"/>
      <c r="O44" s="5"/>
    </row>
    <row r="45" spans="1:15">
      <c r="A45" s="5"/>
      <c r="B45" s="5"/>
      <c r="C45" s="5"/>
      <c r="D45" s="5"/>
      <c r="E45" s="5"/>
      <c r="F45" s="5"/>
      <c r="G45" s="105"/>
      <c r="H45" s="5"/>
      <c r="I45" s="5"/>
      <c r="J45" s="105"/>
      <c r="K45" s="5"/>
      <c r="L45" s="105"/>
      <c r="M45" s="105"/>
      <c r="N45" s="5"/>
      <c r="O45" s="5"/>
    </row>
    <row r="46" spans="1:15">
      <c r="L46">
        <v>41648.541499999999</v>
      </c>
    </row>
    <row r="47" spans="1:15">
      <c r="L47" s="179">
        <f>L43+L46</f>
        <v>69648.541499999992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4E54-D29F-438F-9AA9-C122252DB046}">
  <sheetPr>
    <tabColor rgb="FF92D050"/>
  </sheetPr>
  <dimension ref="A1:R47"/>
  <sheetViews>
    <sheetView topLeftCell="A20" workbookViewId="0">
      <selection activeCell="M35" sqref="M35"/>
    </sheetView>
  </sheetViews>
  <sheetFormatPr defaultRowHeight="15"/>
  <cols>
    <col min="2" max="2" width="10.5703125" bestFit="1" customWidth="1"/>
    <col min="7" max="7" width="11.85546875" bestFit="1" customWidth="1"/>
    <col min="10" max="10" width="10.85546875" bestFit="1" customWidth="1"/>
    <col min="11" max="11" width="13.140625" bestFit="1" customWidth="1"/>
    <col min="12" max="12" width="12.140625" bestFit="1" customWidth="1"/>
    <col min="13" max="13" width="17.42578125" customWidth="1"/>
    <col min="14" max="14" width="11.85546875" customWidth="1"/>
    <col min="17" max="17" width="12" bestFit="1" customWidth="1"/>
  </cols>
  <sheetData>
    <row r="1" spans="1:18" ht="15.75">
      <c r="A1" s="478" t="s">
        <v>97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</row>
    <row r="2" spans="1:18" ht="45">
      <c r="A2" s="67" t="s">
        <v>129</v>
      </c>
      <c r="B2" s="86" t="s">
        <v>130</v>
      </c>
      <c r="C2" s="86" t="s">
        <v>131</v>
      </c>
      <c r="D2" s="86" t="s">
        <v>198</v>
      </c>
      <c r="E2" s="86" t="s">
        <v>133</v>
      </c>
      <c r="F2" s="86" t="s">
        <v>134</v>
      </c>
      <c r="G2" s="93" t="s">
        <v>135</v>
      </c>
      <c r="H2" s="86" t="s">
        <v>136</v>
      </c>
      <c r="I2" s="86" t="s">
        <v>134</v>
      </c>
      <c r="J2" s="93" t="s">
        <v>135</v>
      </c>
      <c r="K2" s="67" t="s">
        <v>137</v>
      </c>
      <c r="L2" s="94" t="s">
        <v>138</v>
      </c>
      <c r="M2" s="88" t="s">
        <v>199</v>
      </c>
      <c r="N2" s="86" t="s">
        <v>140</v>
      </c>
    </row>
    <row r="3" spans="1:18">
      <c r="A3" s="502" t="s">
        <v>141</v>
      </c>
      <c r="B3" s="503"/>
      <c r="C3" s="503"/>
      <c r="D3" s="503"/>
      <c r="E3" s="503"/>
      <c r="F3" s="503"/>
      <c r="G3" s="503"/>
      <c r="H3" s="503"/>
      <c r="I3" s="503"/>
      <c r="J3" s="503"/>
      <c r="K3" s="503"/>
      <c r="L3" s="504"/>
      <c r="M3" s="505">
        <v>32417.28596000003</v>
      </c>
      <c r="N3" s="506"/>
    </row>
    <row r="4" spans="1:18">
      <c r="A4" s="201">
        <v>1</v>
      </c>
      <c r="B4" s="224">
        <v>46023</v>
      </c>
      <c r="C4" s="6"/>
      <c r="D4" s="6"/>
      <c r="E4" s="68"/>
      <c r="F4" s="326"/>
      <c r="G4" s="69">
        <f>E4*F4</f>
        <v>0</v>
      </c>
      <c r="H4" s="68"/>
      <c r="I4" s="6"/>
      <c r="J4" s="69">
        <f>H4*I4</f>
        <v>0</v>
      </c>
      <c r="K4" s="69">
        <f>G4+J4</f>
        <v>0</v>
      </c>
      <c r="L4" s="166">
        <v>0</v>
      </c>
      <c r="M4" s="152">
        <f>M3+K4-L4</f>
        <v>32417.28596000003</v>
      </c>
      <c r="N4" s="47" t="s">
        <v>230</v>
      </c>
    </row>
    <row r="5" spans="1:18">
      <c r="A5" s="47">
        <v>2</v>
      </c>
      <c r="B5" s="224">
        <v>46024</v>
      </c>
      <c r="C5" s="6"/>
      <c r="D5" s="6"/>
      <c r="E5" s="68"/>
      <c r="F5" s="326"/>
      <c r="G5" s="69">
        <f t="shared" ref="G5:G40" si="0">E5*F5</f>
        <v>0</v>
      </c>
      <c r="H5" s="68"/>
      <c r="I5" s="6"/>
      <c r="J5" s="69">
        <f t="shared" ref="J5:J40" si="1">H5*I5</f>
        <v>0</v>
      </c>
      <c r="K5" s="69">
        <f t="shared" ref="K5:K40" si="2">G5+J5</f>
        <v>0</v>
      </c>
      <c r="L5" s="166">
        <v>0</v>
      </c>
      <c r="M5" s="152">
        <f t="shared" ref="M5:M33" si="3">M4+K5-L5</f>
        <v>32417.28596000003</v>
      </c>
      <c r="N5" s="47" t="s">
        <v>230</v>
      </c>
    </row>
    <row r="6" spans="1:18">
      <c r="A6" s="47">
        <v>3</v>
      </c>
      <c r="B6" s="224">
        <v>46025</v>
      </c>
      <c r="C6" s="6"/>
      <c r="D6" s="6"/>
      <c r="E6" s="68"/>
      <c r="F6" s="326"/>
      <c r="G6" s="69">
        <f t="shared" si="0"/>
        <v>0</v>
      </c>
      <c r="H6" s="68"/>
      <c r="I6" s="6"/>
      <c r="J6" s="69">
        <f t="shared" si="1"/>
        <v>0</v>
      </c>
      <c r="K6" s="69">
        <f t="shared" si="2"/>
        <v>0</v>
      </c>
      <c r="L6" s="166">
        <v>0</v>
      </c>
      <c r="M6" s="152">
        <f t="shared" si="3"/>
        <v>32417.28596000003</v>
      </c>
      <c r="N6" s="47" t="s">
        <v>230</v>
      </c>
    </row>
    <row r="7" spans="1:18">
      <c r="A7" s="47">
        <v>4</v>
      </c>
      <c r="B7" s="224">
        <v>46026</v>
      </c>
      <c r="C7" s="6"/>
      <c r="D7" s="6"/>
      <c r="E7" s="68"/>
      <c r="F7" s="326"/>
      <c r="G7" s="69">
        <f t="shared" si="0"/>
        <v>0</v>
      </c>
      <c r="H7" s="68"/>
      <c r="I7" s="6"/>
      <c r="J7" s="69">
        <f t="shared" si="1"/>
        <v>0</v>
      </c>
      <c r="K7" s="69">
        <f t="shared" si="2"/>
        <v>0</v>
      </c>
      <c r="L7" s="166">
        <v>0</v>
      </c>
      <c r="M7" s="152">
        <f>M6+K7-L7</f>
        <v>32417.28596000003</v>
      </c>
      <c r="N7" s="47" t="s">
        <v>230</v>
      </c>
    </row>
    <row r="8" spans="1:18">
      <c r="A8" s="47">
        <v>5</v>
      </c>
      <c r="B8" s="224">
        <v>46027</v>
      </c>
      <c r="C8" s="6"/>
      <c r="D8" s="6"/>
      <c r="E8" s="68"/>
      <c r="F8" s="326"/>
      <c r="G8" s="69">
        <f t="shared" si="0"/>
        <v>0</v>
      </c>
      <c r="H8" s="68"/>
      <c r="I8" s="6"/>
      <c r="J8" s="69">
        <f t="shared" si="1"/>
        <v>0</v>
      </c>
      <c r="K8" s="69">
        <f t="shared" si="2"/>
        <v>0</v>
      </c>
      <c r="L8" s="166">
        <v>0</v>
      </c>
      <c r="M8" s="152">
        <f t="shared" si="3"/>
        <v>32417.28596000003</v>
      </c>
      <c r="N8" s="47" t="s">
        <v>230</v>
      </c>
    </row>
    <row r="9" spans="1:18">
      <c r="A9" s="47">
        <v>6</v>
      </c>
      <c r="B9" s="224">
        <v>46028</v>
      </c>
      <c r="C9" s="6"/>
      <c r="D9" s="6"/>
      <c r="E9" s="68"/>
      <c r="F9" s="326"/>
      <c r="G9" s="69">
        <f t="shared" si="0"/>
        <v>0</v>
      </c>
      <c r="H9" s="68"/>
      <c r="I9" s="6"/>
      <c r="J9" s="69">
        <f t="shared" si="1"/>
        <v>0</v>
      </c>
      <c r="K9" s="69">
        <f t="shared" si="2"/>
        <v>0</v>
      </c>
      <c r="L9" s="166">
        <v>0</v>
      </c>
      <c r="M9" s="152">
        <f t="shared" si="3"/>
        <v>32417.28596000003</v>
      </c>
      <c r="N9" s="47" t="s">
        <v>230</v>
      </c>
    </row>
    <row r="10" spans="1:18">
      <c r="A10" s="47">
        <v>7</v>
      </c>
      <c r="B10" s="224">
        <v>46029</v>
      </c>
      <c r="C10" s="6"/>
      <c r="D10" s="6"/>
      <c r="E10" s="68"/>
      <c r="F10" s="326"/>
      <c r="G10" s="69">
        <f t="shared" si="0"/>
        <v>0</v>
      </c>
      <c r="H10" s="68"/>
      <c r="I10" s="6"/>
      <c r="J10" s="69">
        <f t="shared" si="1"/>
        <v>0</v>
      </c>
      <c r="K10" s="69">
        <f t="shared" si="2"/>
        <v>0</v>
      </c>
      <c r="L10" s="166">
        <v>0</v>
      </c>
      <c r="M10" s="152">
        <f t="shared" si="3"/>
        <v>32417.28596000003</v>
      </c>
      <c r="N10" s="47" t="s">
        <v>230</v>
      </c>
    </row>
    <row r="11" spans="1:18">
      <c r="A11" s="47">
        <v>8</v>
      </c>
      <c r="B11" s="224">
        <v>46030</v>
      </c>
      <c r="C11" s="6"/>
      <c r="D11" s="6"/>
      <c r="E11" s="68"/>
      <c r="F11" s="326"/>
      <c r="G11" s="69">
        <f t="shared" si="0"/>
        <v>0</v>
      </c>
      <c r="H11" s="68"/>
      <c r="I11" s="6"/>
      <c r="J11" s="69">
        <f t="shared" si="1"/>
        <v>0</v>
      </c>
      <c r="K11" s="69">
        <f t="shared" si="2"/>
        <v>0</v>
      </c>
      <c r="L11" s="166">
        <v>0</v>
      </c>
      <c r="M11" s="152">
        <f t="shared" si="3"/>
        <v>32417.28596000003</v>
      </c>
      <c r="N11" s="47" t="s">
        <v>230</v>
      </c>
    </row>
    <row r="12" spans="1:18">
      <c r="A12" s="47">
        <v>9</v>
      </c>
      <c r="B12" s="224">
        <v>46031</v>
      </c>
      <c r="C12" s="6"/>
      <c r="D12" s="6"/>
      <c r="E12" s="68"/>
      <c r="F12" s="326"/>
      <c r="G12" s="69">
        <f t="shared" si="0"/>
        <v>0</v>
      </c>
      <c r="H12" s="68"/>
      <c r="I12" s="6"/>
      <c r="J12" s="69">
        <f t="shared" si="1"/>
        <v>0</v>
      </c>
      <c r="K12" s="69">
        <f t="shared" si="2"/>
        <v>0</v>
      </c>
      <c r="L12" s="166">
        <v>0</v>
      </c>
      <c r="M12" s="152">
        <f t="shared" si="3"/>
        <v>32417.28596000003</v>
      </c>
      <c r="N12" s="47" t="s">
        <v>230</v>
      </c>
      <c r="R12" s="243"/>
    </row>
    <row r="13" spans="1:18">
      <c r="A13" s="47">
        <v>10</v>
      </c>
      <c r="B13" s="224">
        <v>46032</v>
      </c>
      <c r="C13" s="6"/>
      <c r="D13" s="6"/>
      <c r="E13" s="68"/>
      <c r="F13" s="326"/>
      <c r="G13" s="69">
        <f t="shared" si="0"/>
        <v>0</v>
      </c>
      <c r="H13" s="68">
        <v>4.83</v>
      </c>
      <c r="I13" s="6">
        <v>103.57</v>
      </c>
      <c r="J13" s="69">
        <f t="shared" si="1"/>
        <v>500.24309999999997</v>
      </c>
      <c r="K13" s="69">
        <f t="shared" si="2"/>
        <v>500.24309999999997</v>
      </c>
      <c r="L13" s="166">
        <v>0</v>
      </c>
      <c r="M13" s="152">
        <f t="shared" si="3"/>
        <v>32917.52906000003</v>
      </c>
      <c r="N13" s="47" t="s">
        <v>230</v>
      </c>
    </row>
    <row r="14" spans="1:18">
      <c r="A14" s="47">
        <v>11</v>
      </c>
      <c r="B14" s="224">
        <v>46033</v>
      </c>
      <c r="C14" s="6"/>
      <c r="D14" s="6"/>
      <c r="E14" s="68"/>
      <c r="F14" s="326"/>
      <c r="G14" s="69">
        <f t="shared" si="0"/>
        <v>0</v>
      </c>
      <c r="H14" s="68"/>
      <c r="I14" s="6"/>
      <c r="J14" s="69">
        <f t="shared" si="1"/>
        <v>0</v>
      </c>
      <c r="K14" s="69">
        <f t="shared" si="2"/>
        <v>0</v>
      </c>
      <c r="L14" s="166">
        <v>0</v>
      </c>
      <c r="M14" s="152">
        <f t="shared" si="3"/>
        <v>32917.52906000003</v>
      </c>
      <c r="N14" s="47" t="s">
        <v>230</v>
      </c>
    </row>
    <row r="15" spans="1:18">
      <c r="A15" s="47">
        <v>12</v>
      </c>
      <c r="B15" s="224">
        <v>46034</v>
      </c>
      <c r="C15" s="6"/>
      <c r="D15" s="6"/>
      <c r="E15" s="68"/>
      <c r="F15" s="326"/>
      <c r="G15" s="69">
        <f t="shared" si="0"/>
        <v>0</v>
      </c>
      <c r="H15" s="68"/>
      <c r="I15" s="6"/>
      <c r="J15" s="69">
        <f t="shared" si="1"/>
        <v>0</v>
      </c>
      <c r="K15" s="69">
        <f t="shared" si="2"/>
        <v>0</v>
      </c>
      <c r="L15" s="166">
        <v>0</v>
      </c>
      <c r="M15" s="152">
        <f t="shared" si="3"/>
        <v>32917.52906000003</v>
      </c>
      <c r="N15" s="47" t="s">
        <v>230</v>
      </c>
    </row>
    <row r="16" spans="1:18">
      <c r="A16" s="47">
        <v>13</v>
      </c>
      <c r="B16" s="224">
        <v>46035</v>
      </c>
      <c r="C16" s="6"/>
      <c r="D16" s="6"/>
      <c r="E16" s="68"/>
      <c r="F16" s="326"/>
      <c r="G16" s="69">
        <f t="shared" si="0"/>
        <v>0</v>
      </c>
      <c r="H16" s="68"/>
      <c r="I16" s="6"/>
      <c r="J16" s="69">
        <f t="shared" si="1"/>
        <v>0</v>
      </c>
      <c r="K16" s="69">
        <f t="shared" si="2"/>
        <v>0</v>
      </c>
      <c r="L16" s="166">
        <v>0</v>
      </c>
      <c r="M16" s="152">
        <f t="shared" si="3"/>
        <v>32917.52906000003</v>
      </c>
      <c r="N16" s="47" t="s">
        <v>230</v>
      </c>
    </row>
    <row r="17" spans="1:14">
      <c r="A17" s="47">
        <v>14</v>
      </c>
      <c r="B17" s="224">
        <v>46036</v>
      </c>
      <c r="C17" s="6"/>
      <c r="D17" s="6"/>
      <c r="E17" s="68"/>
      <c r="F17" s="326"/>
      <c r="G17" s="69">
        <f t="shared" si="0"/>
        <v>0</v>
      </c>
      <c r="H17" s="68"/>
      <c r="I17" s="6"/>
      <c r="J17" s="69">
        <f t="shared" si="1"/>
        <v>0</v>
      </c>
      <c r="K17" s="69">
        <f t="shared" si="2"/>
        <v>0</v>
      </c>
      <c r="L17" s="166">
        <v>0</v>
      </c>
      <c r="M17" s="152">
        <f t="shared" si="3"/>
        <v>32917.52906000003</v>
      </c>
      <c r="N17" s="47" t="s">
        <v>230</v>
      </c>
    </row>
    <row r="18" spans="1:14">
      <c r="A18" s="47">
        <v>15</v>
      </c>
      <c r="B18" s="224">
        <v>46037</v>
      </c>
      <c r="C18" s="6"/>
      <c r="D18" s="6"/>
      <c r="E18" s="68">
        <v>32.74</v>
      </c>
      <c r="F18" s="326">
        <v>91.62</v>
      </c>
      <c r="G18" s="69">
        <f t="shared" si="0"/>
        <v>2999.6388000000002</v>
      </c>
      <c r="H18" s="68"/>
      <c r="I18" s="6"/>
      <c r="J18" s="69">
        <f t="shared" si="1"/>
        <v>0</v>
      </c>
      <c r="K18" s="69">
        <f t="shared" si="2"/>
        <v>2999.6388000000002</v>
      </c>
      <c r="L18" s="166">
        <v>0</v>
      </c>
      <c r="M18" s="152">
        <f t="shared" si="3"/>
        <v>35917.16786000003</v>
      </c>
      <c r="N18" s="47" t="s">
        <v>230</v>
      </c>
    </row>
    <row r="19" spans="1:14">
      <c r="A19" s="47">
        <v>16</v>
      </c>
      <c r="B19" s="224">
        <v>46038</v>
      </c>
      <c r="C19" s="6"/>
      <c r="D19" s="6"/>
      <c r="E19" s="68">
        <v>71.83</v>
      </c>
      <c r="F19" s="326">
        <v>91.62</v>
      </c>
      <c r="G19" s="69">
        <f t="shared" si="0"/>
        <v>6581.0646000000006</v>
      </c>
      <c r="H19" s="68"/>
      <c r="I19" s="6"/>
      <c r="J19" s="69">
        <f t="shared" si="1"/>
        <v>0</v>
      </c>
      <c r="K19" s="69">
        <f t="shared" si="2"/>
        <v>6581.0646000000006</v>
      </c>
      <c r="L19" s="166">
        <v>0</v>
      </c>
      <c r="M19" s="152">
        <f t="shared" si="3"/>
        <v>42498.232460000028</v>
      </c>
      <c r="N19" s="47" t="s">
        <v>230</v>
      </c>
    </row>
    <row r="20" spans="1:14">
      <c r="A20" s="47">
        <v>17</v>
      </c>
      <c r="B20" s="224">
        <v>46039</v>
      </c>
      <c r="C20" s="6"/>
      <c r="D20" s="6"/>
      <c r="E20" s="68">
        <v>32.74</v>
      </c>
      <c r="F20" s="326">
        <v>91.62</v>
      </c>
      <c r="G20" s="69">
        <f t="shared" si="0"/>
        <v>2999.6388000000002</v>
      </c>
      <c r="H20" s="68">
        <v>4.82</v>
      </c>
      <c r="I20" s="6">
        <v>103.57</v>
      </c>
      <c r="J20" s="69">
        <f t="shared" si="1"/>
        <v>499.20740000000001</v>
      </c>
      <c r="K20" s="69">
        <f t="shared" si="2"/>
        <v>3498.8462</v>
      </c>
      <c r="L20" s="166">
        <v>0</v>
      </c>
      <c r="M20" s="152">
        <f t="shared" si="3"/>
        <v>45997.078660000028</v>
      </c>
      <c r="N20" s="47" t="s">
        <v>230</v>
      </c>
    </row>
    <row r="21" spans="1:14">
      <c r="A21" s="47">
        <v>18</v>
      </c>
      <c r="B21" s="224">
        <v>46040</v>
      </c>
      <c r="C21" s="6"/>
      <c r="D21" s="6"/>
      <c r="E21" s="68"/>
      <c r="F21" s="326"/>
      <c r="G21" s="69">
        <f t="shared" si="0"/>
        <v>0</v>
      </c>
      <c r="H21" s="68"/>
      <c r="I21" s="6"/>
      <c r="J21" s="69">
        <f t="shared" si="1"/>
        <v>0</v>
      </c>
      <c r="K21" s="69">
        <f t="shared" si="2"/>
        <v>0</v>
      </c>
      <c r="L21" s="166">
        <v>0</v>
      </c>
      <c r="M21" s="152">
        <f t="shared" si="3"/>
        <v>45997.078660000028</v>
      </c>
      <c r="N21" s="47" t="s">
        <v>230</v>
      </c>
    </row>
    <row r="22" spans="1:14">
      <c r="A22" s="47">
        <v>19</v>
      </c>
      <c r="B22" s="224">
        <v>46041</v>
      </c>
      <c r="C22" s="6"/>
      <c r="D22" s="6"/>
      <c r="E22" s="68">
        <v>32.74</v>
      </c>
      <c r="F22" s="326">
        <v>91.62</v>
      </c>
      <c r="G22" s="69">
        <f t="shared" si="0"/>
        <v>2999.6388000000002</v>
      </c>
      <c r="H22" s="68"/>
      <c r="I22" s="6"/>
      <c r="J22" s="69">
        <f t="shared" si="1"/>
        <v>0</v>
      </c>
      <c r="K22" s="69">
        <f t="shared" si="2"/>
        <v>2999.6388000000002</v>
      </c>
      <c r="L22" s="166">
        <v>0</v>
      </c>
      <c r="M22" s="152">
        <f t="shared" si="3"/>
        <v>48996.717460000029</v>
      </c>
      <c r="N22" s="47" t="s">
        <v>230</v>
      </c>
    </row>
    <row r="23" spans="1:14">
      <c r="A23" s="47">
        <v>20</v>
      </c>
      <c r="B23" s="224">
        <v>46042</v>
      </c>
      <c r="C23" s="6"/>
      <c r="D23" s="6"/>
      <c r="E23" s="68"/>
      <c r="F23" s="326"/>
      <c r="G23" s="69">
        <f t="shared" si="0"/>
        <v>0</v>
      </c>
      <c r="H23" s="68"/>
      <c r="I23" s="6"/>
      <c r="J23" s="69">
        <f t="shared" si="1"/>
        <v>0</v>
      </c>
      <c r="K23" s="69">
        <f t="shared" si="2"/>
        <v>0</v>
      </c>
      <c r="L23" s="166">
        <v>0</v>
      </c>
      <c r="M23" s="152">
        <f t="shared" si="3"/>
        <v>48996.717460000029</v>
      </c>
      <c r="N23" s="47"/>
    </row>
    <row r="24" spans="1:14">
      <c r="A24" s="47">
        <v>21</v>
      </c>
      <c r="B24" s="224">
        <v>46043</v>
      </c>
      <c r="C24" s="6"/>
      <c r="D24" s="6"/>
      <c r="E24" s="68">
        <v>102.95</v>
      </c>
      <c r="F24" s="326">
        <v>91.62</v>
      </c>
      <c r="G24" s="69">
        <f t="shared" si="0"/>
        <v>9432.2790000000005</v>
      </c>
      <c r="H24" s="68"/>
      <c r="I24" s="6"/>
      <c r="J24" s="69">
        <f t="shared" si="1"/>
        <v>0</v>
      </c>
      <c r="K24" s="69">
        <f t="shared" si="2"/>
        <v>9432.2790000000005</v>
      </c>
      <c r="L24" s="166">
        <v>0</v>
      </c>
      <c r="M24" s="152">
        <f>M23+K24-L24</f>
        <v>58428.996460000031</v>
      </c>
      <c r="N24" s="47"/>
    </row>
    <row r="25" spans="1:14">
      <c r="A25" s="47">
        <v>22</v>
      </c>
      <c r="B25" s="224">
        <v>46044</v>
      </c>
      <c r="C25" s="6"/>
      <c r="D25" s="6"/>
      <c r="E25" s="68"/>
      <c r="F25" s="326"/>
      <c r="G25" s="69">
        <f t="shared" si="0"/>
        <v>0</v>
      </c>
      <c r="H25" s="68"/>
      <c r="I25" s="6"/>
      <c r="J25" s="69">
        <f t="shared" si="1"/>
        <v>0</v>
      </c>
      <c r="K25" s="69">
        <f t="shared" si="2"/>
        <v>0</v>
      </c>
      <c r="L25" s="166">
        <v>0</v>
      </c>
      <c r="M25" s="152">
        <f t="shared" si="3"/>
        <v>58428.996460000031</v>
      </c>
      <c r="N25" s="47"/>
    </row>
    <row r="26" spans="1:14">
      <c r="A26" s="47">
        <v>23</v>
      </c>
      <c r="B26" s="224">
        <v>46045</v>
      </c>
      <c r="C26" s="6"/>
      <c r="D26" s="6"/>
      <c r="E26" s="68">
        <v>32.74</v>
      </c>
      <c r="F26" s="326">
        <v>91.62</v>
      </c>
      <c r="G26" s="69">
        <f t="shared" si="0"/>
        <v>2999.6388000000002</v>
      </c>
      <c r="H26" s="68">
        <v>8.8000000000000007</v>
      </c>
      <c r="I26" s="6">
        <v>103.57</v>
      </c>
      <c r="J26" s="69">
        <f t="shared" si="1"/>
        <v>911.41600000000005</v>
      </c>
      <c r="K26" s="69">
        <f t="shared" si="2"/>
        <v>3911.0548000000003</v>
      </c>
      <c r="L26" s="166">
        <v>0</v>
      </c>
      <c r="M26" s="152">
        <f t="shared" si="3"/>
        <v>62340.051260000029</v>
      </c>
      <c r="N26" s="6"/>
    </row>
    <row r="27" spans="1:14">
      <c r="A27" s="47">
        <v>24</v>
      </c>
      <c r="B27" s="224">
        <v>46046</v>
      </c>
      <c r="C27" s="6"/>
      <c r="D27" s="6"/>
      <c r="E27" s="68"/>
      <c r="F27" s="326"/>
      <c r="G27" s="69">
        <f t="shared" si="0"/>
        <v>0</v>
      </c>
      <c r="H27" s="68">
        <v>3.86</v>
      </c>
      <c r="I27" s="6">
        <v>103.57</v>
      </c>
      <c r="J27" s="69">
        <f t="shared" si="1"/>
        <v>399.78019999999998</v>
      </c>
      <c r="K27" s="69">
        <f t="shared" si="2"/>
        <v>399.78019999999998</v>
      </c>
      <c r="L27" s="166">
        <v>0</v>
      </c>
      <c r="M27" s="152">
        <f t="shared" si="3"/>
        <v>62739.83146000003</v>
      </c>
      <c r="N27" s="6"/>
    </row>
    <row r="28" spans="1:14">
      <c r="A28" s="226">
        <v>25</v>
      </c>
      <c r="B28" s="224">
        <v>46047</v>
      </c>
      <c r="C28" s="6"/>
      <c r="D28" s="6"/>
      <c r="E28" s="326">
        <f>52.17+42.82+102.86</f>
        <v>197.85000000000002</v>
      </c>
      <c r="F28" s="326">
        <v>91.62</v>
      </c>
      <c r="G28" s="69">
        <f t="shared" si="0"/>
        <v>18127.017000000003</v>
      </c>
      <c r="H28" s="68"/>
      <c r="I28" s="6"/>
      <c r="J28" s="69">
        <f t="shared" si="1"/>
        <v>0</v>
      </c>
      <c r="K28" s="69">
        <f t="shared" si="2"/>
        <v>18127.017000000003</v>
      </c>
      <c r="L28" s="166">
        <v>0</v>
      </c>
      <c r="M28" s="152">
        <f t="shared" si="3"/>
        <v>80866.848460000037</v>
      </c>
      <c r="N28" s="6"/>
    </row>
    <row r="29" spans="1:14">
      <c r="A29" s="226">
        <v>26</v>
      </c>
      <c r="B29" s="224">
        <v>46048</v>
      </c>
      <c r="C29" s="6"/>
      <c r="D29" s="6"/>
      <c r="E29" s="326">
        <f>10+10</f>
        <v>20</v>
      </c>
      <c r="F29" s="326">
        <v>91.62</v>
      </c>
      <c r="G29" s="69">
        <f t="shared" si="0"/>
        <v>1832.4</v>
      </c>
      <c r="H29" s="68"/>
      <c r="I29" s="6"/>
      <c r="J29" s="69">
        <f t="shared" si="1"/>
        <v>0</v>
      </c>
      <c r="K29" s="69">
        <f t="shared" si="2"/>
        <v>1832.4</v>
      </c>
      <c r="L29" s="166">
        <v>0</v>
      </c>
      <c r="M29" s="152">
        <f t="shared" si="3"/>
        <v>82699.248460000032</v>
      </c>
      <c r="N29" s="6"/>
    </row>
    <row r="30" spans="1:14">
      <c r="A30" s="226">
        <v>27</v>
      </c>
      <c r="B30" s="224">
        <v>46049</v>
      </c>
      <c r="C30" s="6"/>
      <c r="D30" s="6"/>
      <c r="E30" s="68"/>
      <c r="F30" s="326"/>
      <c r="G30" s="69">
        <f t="shared" si="0"/>
        <v>0</v>
      </c>
      <c r="H30" s="68">
        <v>9.65</v>
      </c>
      <c r="I30" s="6">
        <v>103.57</v>
      </c>
      <c r="J30" s="69">
        <f t="shared" si="1"/>
        <v>999.45049999999992</v>
      </c>
      <c r="K30" s="69">
        <f t="shared" si="2"/>
        <v>999.45049999999992</v>
      </c>
      <c r="L30" s="166">
        <v>42500</v>
      </c>
      <c r="M30" s="152">
        <f t="shared" si="3"/>
        <v>41198.698960000038</v>
      </c>
      <c r="N30" s="6"/>
    </row>
    <row r="31" spans="1:14">
      <c r="A31" s="226">
        <v>28</v>
      </c>
      <c r="B31" s="224">
        <v>46050</v>
      </c>
      <c r="C31" s="6"/>
      <c r="D31" s="6"/>
      <c r="E31" s="68">
        <v>26.81</v>
      </c>
      <c r="F31" s="326">
        <v>91.62</v>
      </c>
      <c r="G31" s="69">
        <f t="shared" si="0"/>
        <v>2456.3321999999998</v>
      </c>
      <c r="H31" s="68">
        <v>4.83</v>
      </c>
      <c r="I31" s="6">
        <v>103.57</v>
      </c>
      <c r="J31" s="69">
        <f t="shared" si="1"/>
        <v>500.24309999999997</v>
      </c>
      <c r="K31" s="69">
        <f t="shared" si="2"/>
        <v>2956.5753</v>
      </c>
      <c r="L31" s="166">
        <v>0</v>
      </c>
      <c r="M31" s="152">
        <f t="shared" si="3"/>
        <v>44155.274260000035</v>
      </c>
      <c r="N31" s="6"/>
    </row>
    <row r="32" spans="1:14">
      <c r="A32" s="227">
        <v>29</v>
      </c>
      <c r="B32" s="224">
        <v>46051</v>
      </c>
      <c r="C32" s="6"/>
      <c r="D32" s="6"/>
      <c r="E32" s="68">
        <v>120.06</v>
      </c>
      <c r="F32" s="326">
        <v>91.62</v>
      </c>
      <c r="G32" s="69">
        <f t="shared" si="0"/>
        <v>10999.897200000001</v>
      </c>
      <c r="H32" s="68">
        <v>6.44</v>
      </c>
      <c r="I32" s="6">
        <v>103.57</v>
      </c>
      <c r="J32" s="69">
        <f t="shared" si="1"/>
        <v>666.99080000000004</v>
      </c>
      <c r="K32" s="69">
        <f t="shared" si="2"/>
        <v>11666.888000000001</v>
      </c>
      <c r="L32" s="166">
        <v>0</v>
      </c>
      <c r="M32" s="152">
        <f t="shared" si="3"/>
        <v>55822.162260000034</v>
      </c>
      <c r="N32" s="6"/>
    </row>
    <row r="33" spans="1:17">
      <c r="A33" s="227">
        <v>30</v>
      </c>
      <c r="B33" s="224">
        <v>46052</v>
      </c>
      <c r="C33" s="6"/>
      <c r="D33" s="6"/>
      <c r="E33" s="68"/>
      <c r="F33" s="326"/>
      <c r="G33" s="69">
        <f t="shared" si="0"/>
        <v>0</v>
      </c>
      <c r="H33" s="68">
        <v>9.66</v>
      </c>
      <c r="I33" s="6">
        <v>103.57</v>
      </c>
      <c r="J33" s="69">
        <f t="shared" si="1"/>
        <v>1000.4861999999999</v>
      </c>
      <c r="K33" s="69">
        <f t="shared" si="2"/>
        <v>1000.4861999999999</v>
      </c>
      <c r="L33" s="166">
        <v>0</v>
      </c>
      <c r="M33" s="152">
        <f t="shared" si="3"/>
        <v>56822.648460000033</v>
      </c>
      <c r="N33" s="6"/>
    </row>
    <row r="34" spans="1:17">
      <c r="A34" s="227">
        <v>31</v>
      </c>
      <c r="B34" s="224">
        <v>46053</v>
      </c>
      <c r="C34" s="6"/>
      <c r="D34" s="6"/>
      <c r="E34" s="68">
        <v>25.6</v>
      </c>
      <c r="F34" s="326">
        <v>91.62</v>
      </c>
      <c r="G34" s="69">
        <f t="shared" si="0"/>
        <v>2345.4720000000002</v>
      </c>
      <c r="H34" s="68"/>
      <c r="I34" s="6"/>
      <c r="J34" s="69">
        <f t="shared" si="1"/>
        <v>0</v>
      </c>
      <c r="K34" s="69">
        <f t="shared" si="2"/>
        <v>2345.4720000000002</v>
      </c>
      <c r="L34" s="166">
        <v>0</v>
      </c>
      <c r="M34" s="152">
        <f t="shared" ref="M34:M39" si="4">M33+K34-L34</f>
        <v>59168.120460000035</v>
      </c>
      <c r="N34" s="6"/>
    </row>
    <row r="35" spans="1:17">
      <c r="A35" s="6">
        <v>35</v>
      </c>
      <c r="B35" s="81"/>
      <c r="C35" s="6"/>
      <c r="D35" s="6"/>
      <c r="E35" s="68"/>
      <c r="F35" s="326"/>
      <c r="G35" s="69">
        <f t="shared" si="0"/>
        <v>0</v>
      </c>
      <c r="H35" s="68"/>
      <c r="I35" s="6"/>
      <c r="J35" s="69">
        <f t="shared" si="1"/>
        <v>0</v>
      </c>
      <c r="K35" s="69">
        <f t="shared" si="2"/>
        <v>0</v>
      </c>
      <c r="L35" s="166">
        <v>0</v>
      </c>
      <c r="M35" s="152">
        <f t="shared" si="4"/>
        <v>59168.120460000035</v>
      </c>
      <c r="N35" s="6"/>
    </row>
    <row r="36" spans="1:17">
      <c r="A36" s="6">
        <v>36</v>
      </c>
      <c r="B36" s="81"/>
      <c r="C36" s="6"/>
      <c r="D36" s="6"/>
      <c r="E36" s="68"/>
      <c r="F36" s="326"/>
      <c r="G36" s="69">
        <f t="shared" si="0"/>
        <v>0</v>
      </c>
      <c r="H36" s="68"/>
      <c r="I36" s="6"/>
      <c r="J36" s="69">
        <f t="shared" si="1"/>
        <v>0</v>
      </c>
      <c r="K36" s="69">
        <f t="shared" si="2"/>
        <v>0</v>
      </c>
      <c r="L36" s="166">
        <v>0</v>
      </c>
      <c r="M36" s="152">
        <f t="shared" si="4"/>
        <v>59168.120460000035</v>
      </c>
      <c r="N36" s="6"/>
    </row>
    <row r="37" spans="1:17">
      <c r="A37" s="6">
        <v>37</v>
      </c>
      <c r="B37" s="81"/>
      <c r="C37" s="6"/>
      <c r="D37" s="6"/>
      <c r="E37" s="68"/>
      <c r="F37" s="326"/>
      <c r="G37" s="69">
        <f t="shared" si="0"/>
        <v>0</v>
      </c>
      <c r="H37" s="68"/>
      <c r="I37" s="6"/>
      <c r="J37" s="69">
        <f t="shared" si="1"/>
        <v>0</v>
      </c>
      <c r="K37" s="69">
        <f t="shared" si="2"/>
        <v>0</v>
      </c>
      <c r="L37" s="166">
        <v>0</v>
      </c>
      <c r="M37" s="152">
        <f t="shared" si="4"/>
        <v>59168.120460000035</v>
      </c>
      <c r="N37" s="6"/>
    </row>
    <row r="38" spans="1:17">
      <c r="A38" s="6">
        <v>38</v>
      </c>
      <c r="B38" s="81"/>
      <c r="C38" s="6"/>
      <c r="D38" s="6"/>
      <c r="E38" s="68"/>
      <c r="F38" s="326"/>
      <c r="G38" s="69">
        <f t="shared" si="0"/>
        <v>0</v>
      </c>
      <c r="H38" s="68"/>
      <c r="I38" s="6"/>
      <c r="J38" s="69">
        <f t="shared" si="1"/>
        <v>0</v>
      </c>
      <c r="K38" s="69">
        <f t="shared" si="2"/>
        <v>0</v>
      </c>
      <c r="L38" s="166">
        <v>0</v>
      </c>
      <c r="M38" s="152">
        <f t="shared" si="4"/>
        <v>59168.120460000035</v>
      </c>
      <c r="N38" s="6"/>
    </row>
    <row r="39" spans="1:17">
      <c r="A39" s="174">
        <v>39</v>
      </c>
      <c r="B39" s="175"/>
      <c r="C39" s="174"/>
      <c r="D39" s="6"/>
      <c r="E39" s="68"/>
      <c r="F39" s="326"/>
      <c r="G39" s="69">
        <f t="shared" si="0"/>
        <v>0</v>
      </c>
      <c r="H39" s="68"/>
      <c r="I39" s="6"/>
      <c r="J39" s="69">
        <f t="shared" si="1"/>
        <v>0</v>
      </c>
      <c r="K39" s="69">
        <f t="shared" si="2"/>
        <v>0</v>
      </c>
      <c r="L39" s="166">
        <v>0</v>
      </c>
      <c r="M39" s="152">
        <f t="shared" si="4"/>
        <v>59168.120460000035</v>
      </c>
      <c r="N39" s="174"/>
    </row>
    <row r="40" spans="1:17">
      <c r="A40" s="6">
        <v>40</v>
      </c>
      <c r="B40" s="6"/>
      <c r="C40" s="6"/>
      <c r="D40" s="6"/>
      <c r="E40" s="68"/>
      <c r="F40" s="326"/>
      <c r="G40" s="69">
        <f t="shared" si="0"/>
        <v>0</v>
      </c>
      <c r="H40" s="68"/>
      <c r="I40" s="6"/>
      <c r="J40" s="69">
        <f t="shared" si="1"/>
        <v>0</v>
      </c>
      <c r="K40" s="69">
        <f t="shared" si="2"/>
        <v>0</v>
      </c>
      <c r="L40" s="166">
        <v>0</v>
      </c>
      <c r="M40" s="152">
        <v>0</v>
      </c>
      <c r="N40" s="6"/>
    </row>
    <row r="41" spans="1:17">
      <c r="A41" s="174">
        <v>41</v>
      </c>
      <c r="B41" s="174"/>
      <c r="C41" s="174"/>
      <c r="D41" s="6"/>
      <c r="E41" s="68">
        <v>0</v>
      </c>
      <c r="F41" s="326">
        <v>0</v>
      </c>
      <c r="G41" s="69">
        <f t="shared" ref="G5:G41" si="5">E41*F41</f>
        <v>0</v>
      </c>
      <c r="H41" s="68">
        <v>0</v>
      </c>
      <c r="I41" s="6">
        <v>0</v>
      </c>
      <c r="J41" s="69">
        <f t="shared" ref="J5:J41" si="6">H41*I41</f>
        <v>0</v>
      </c>
      <c r="K41" s="69">
        <f t="shared" ref="K5:K41" si="7">G41+J41</f>
        <v>0</v>
      </c>
      <c r="L41" s="166">
        <v>0</v>
      </c>
      <c r="M41" s="178">
        <v>0</v>
      </c>
      <c r="N41" s="174"/>
    </row>
    <row r="42" spans="1:17">
      <c r="A42" s="174">
        <v>42</v>
      </c>
      <c r="B42" s="174"/>
      <c r="C42" s="174"/>
      <c r="D42" s="6"/>
      <c r="E42" s="68">
        <v>0</v>
      </c>
      <c r="F42" s="6">
        <v>0</v>
      </c>
      <c r="G42" s="69">
        <f t="shared" ref="G42" si="8">E42*F42</f>
        <v>0</v>
      </c>
      <c r="H42" s="68">
        <v>0</v>
      </c>
      <c r="I42" s="6">
        <v>0</v>
      </c>
      <c r="J42" s="69">
        <f t="shared" ref="J42" si="9">H42*I42</f>
        <v>0</v>
      </c>
      <c r="K42" s="176">
        <f t="shared" ref="K42" si="10">G42+J42</f>
        <v>0</v>
      </c>
      <c r="L42" s="177">
        <f t="shared" ref="L42" si="11">+K42</f>
        <v>0</v>
      </c>
      <c r="M42" s="178">
        <v>0</v>
      </c>
      <c r="N42" s="174"/>
    </row>
    <row r="43" spans="1:17">
      <c r="A43" s="65"/>
      <c r="B43" s="65"/>
      <c r="C43" s="65"/>
      <c r="D43" s="65"/>
      <c r="E43" s="66">
        <f>SUM(E4:E42)</f>
        <v>696.06000000000006</v>
      </c>
      <c r="F43" s="66"/>
      <c r="G43" s="66">
        <f>SUM(G4:G42)</f>
        <v>63773.017200000002</v>
      </c>
      <c r="H43" s="66">
        <f>SUM(H4:H42)</f>
        <v>52.89</v>
      </c>
      <c r="I43" s="66"/>
      <c r="J43" s="66">
        <f>SUM(J4:J42)</f>
        <v>5477.8173000000006</v>
      </c>
      <c r="K43" s="66">
        <f>SUM(K4:K42)</f>
        <v>69250.834499999997</v>
      </c>
      <c r="L43" s="66">
        <f>SUM(L4:L42)</f>
        <v>42500</v>
      </c>
      <c r="M43" s="66"/>
      <c r="N43" s="66"/>
    </row>
    <row r="47" spans="1:17">
      <c r="Q47">
        <v>9542400867</v>
      </c>
    </row>
  </sheetData>
  <mergeCells count="3">
    <mergeCell ref="A1:N1"/>
    <mergeCell ref="A3:L3"/>
    <mergeCell ref="M3:N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3BF21-978C-45C0-87AC-3079BCB517B4}">
  <dimension ref="A1:Z44"/>
  <sheetViews>
    <sheetView workbookViewId="0">
      <pane ySplit="2" topLeftCell="A20" activePane="bottomLeft" state="frozen"/>
      <selection pane="bottomLeft" activeCell="J33" sqref="J33"/>
    </sheetView>
  </sheetViews>
  <sheetFormatPr defaultRowHeight="15"/>
  <cols>
    <col min="1" max="1" width="5.140625" bestFit="1" customWidth="1"/>
    <col min="2" max="2" width="10.140625" bestFit="1" customWidth="1"/>
    <col min="3" max="3" width="8" bestFit="1" customWidth="1"/>
    <col min="4" max="4" width="13.28515625" bestFit="1" customWidth="1"/>
    <col min="5" max="5" width="10.7109375" bestFit="1" customWidth="1"/>
    <col min="6" max="6" width="9.7109375" bestFit="1" customWidth="1"/>
    <col min="7" max="7" width="13.140625" customWidth="1"/>
    <col min="8" max="8" width="10.7109375" bestFit="1" customWidth="1"/>
    <col min="9" max="9" width="7.140625" bestFit="1" customWidth="1"/>
    <col min="10" max="10" width="9.7109375" bestFit="1" customWidth="1"/>
    <col min="11" max="12" width="13.5703125" bestFit="1" customWidth="1"/>
    <col min="13" max="13" width="14.42578125" customWidth="1"/>
    <col min="14" max="14" width="16.42578125" bestFit="1" customWidth="1"/>
  </cols>
  <sheetData>
    <row r="1" spans="1:15" ht="15.75" customHeight="1">
      <c r="A1" s="461" t="s">
        <v>99</v>
      </c>
      <c r="B1" s="461"/>
      <c r="C1" s="461"/>
      <c r="D1" s="461"/>
      <c r="E1" s="461"/>
      <c r="F1" s="461"/>
      <c r="G1" s="461"/>
      <c r="H1" s="461"/>
      <c r="I1" s="461"/>
      <c r="J1" s="461"/>
      <c r="K1" s="461"/>
      <c r="L1" s="461"/>
      <c r="M1" s="461"/>
      <c r="N1" s="461"/>
      <c r="O1" s="85"/>
    </row>
    <row r="2" spans="1:15" ht="16.5" customHeight="1">
      <c r="A2" s="101" t="s">
        <v>129</v>
      </c>
      <c r="B2" s="102" t="s">
        <v>130</v>
      </c>
      <c r="C2" s="102" t="s">
        <v>131</v>
      </c>
      <c r="D2" s="102" t="s">
        <v>198</v>
      </c>
      <c r="E2" s="102" t="s">
        <v>133</v>
      </c>
      <c r="F2" s="102" t="s">
        <v>134</v>
      </c>
      <c r="G2" s="102" t="s">
        <v>135</v>
      </c>
      <c r="H2" s="102" t="s">
        <v>136</v>
      </c>
      <c r="I2" s="102" t="s">
        <v>134</v>
      </c>
      <c r="J2" s="141" t="s">
        <v>135</v>
      </c>
      <c r="K2" s="103" t="s">
        <v>137</v>
      </c>
      <c r="L2" s="142" t="s">
        <v>138</v>
      </c>
      <c r="M2" s="146" t="s">
        <v>199</v>
      </c>
      <c r="N2" s="104" t="s">
        <v>140</v>
      </c>
      <c r="O2" s="62"/>
    </row>
    <row r="3" spans="1:15" ht="16.5" customHeight="1">
      <c r="A3" s="462" t="s">
        <v>141</v>
      </c>
      <c r="B3" s="463"/>
      <c r="C3" s="463"/>
      <c r="D3" s="463"/>
      <c r="E3" s="463"/>
      <c r="F3" s="463"/>
      <c r="G3" s="463"/>
      <c r="H3" s="463"/>
      <c r="I3" s="463"/>
      <c r="J3" s="463"/>
      <c r="K3" s="463"/>
      <c r="L3" s="464"/>
      <c r="M3" s="151">
        <v>0</v>
      </c>
      <c r="N3" s="160"/>
      <c r="O3" s="62"/>
    </row>
    <row r="4" spans="1:15">
      <c r="A4" s="201">
        <v>1</v>
      </c>
      <c r="B4" s="224">
        <v>46023</v>
      </c>
      <c r="C4" s="70"/>
      <c r="D4" s="163"/>
      <c r="E4" s="68">
        <v>0</v>
      </c>
      <c r="F4" s="68">
        <v>0</v>
      </c>
      <c r="G4" s="8">
        <f>E4*F4</f>
        <v>0</v>
      </c>
      <c r="H4" s="68">
        <v>0</v>
      </c>
      <c r="I4" s="69">
        <v>0</v>
      </c>
      <c r="J4" s="8">
        <f>H4*I4</f>
        <v>0</v>
      </c>
      <c r="K4" s="8">
        <f>G4+J4</f>
        <v>0</v>
      </c>
      <c r="L4" s="71">
        <f>+K4</f>
        <v>0</v>
      </c>
      <c r="M4" s="71">
        <v>0</v>
      </c>
      <c r="N4" s="8"/>
    </row>
    <row r="5" spans="1:15">
      <c r="A5" s="47">
        <v>2</v>
      </c>
      <c r="B5" s="224">
        <v>46024</v>
      </c>
      <c r="C5" s="70"/>
      <c r="D5" s="163"/>
      <c r="E5" s="68">
        <v>0</v>
      </c>
      <c r="F5" s="68">
        <v>0</v>
      </c>
      <c r="G5" s="8">
        <f t="shared" ref="G5:G34" si="0">E5*F5</f>
        <v>0</v>
      </c>
      <c r="H5" s="68">
        <v>0</v>
      </c>
      <c r="I5" s="69">
        <v>0</v>
      </c>
      <c r="J5" s="8">
        <f t="shared" ref="J5:J8" si="1">H5*I5</f>
        <v>0</v>
      </c>
      <c r="K5" s="8">
        <f t="shared" ref="K5:K33" si="2">G5+J5</f>
        <v>0</v>
      </c>
      <c r="L5" s="71">
        <f t="shared" ref="L5:L33" si="3">+K5</f>
        <v>0</v>
      </c>
      <c r="M5" s="71">
        <v>0</v>
      </c>
      <c r="N5" s="8"/>
    </row>
    <row r="6" spans="1:15">
      <c r="A6" s="47">
        <v>3</v>
      </c>
      <c r="B6" s="224">
        <v>46025</v>
      </c>
      <c r="C6" s="70"/>
      <c r="D6" s="163"/>
      <c r="E6" s="68">
        <v>33.119999999999997</v>
      </c>
      <c r="F6" s="68">
        <v>90.57</v>
      </c>
      <c r="G6" s="8">
        <f t="shared" si="0"/>
        <v>2999.6783999999993</v>
      </c>
      <c r="H6" s="68">
        <v>0</v>
      </c>
      <c r="I6" s="69">
        <v>0</v>
      </c>
      <c r="J6" s="8">
        <f t="shared" si="1"/>
        <v>0</v>
      </c>
      <c r="K6" s="8">
        <f t="shared" si="2"/>
        <v>2999.6783999999993</v>
      </c>
      <c r="L6" s="71">
        <f t="shared" si="3"/>
        <v>2999.6783999999993</v>
      </c>
      <c r="M6" s="71">
        <v>0</v>
      </c>
      <c r="N6" s="8"/>
    </row>
    <row r="7" spans="1:15">
      <c r="A7" s="47">
        <v>4</v>
      </c>
      <c r="B7" s="224">
        <v>46026</v>
      </c>
      <c r="C7" s="70"/>
      <c r="D7" s="163"/>
      <c r="E7" s="68">
        <v>0</v>
      </c>
      <c r="F7" s="68">
        <v>0</v>
      </c>
      <c r="G7" s="8">
        <f t="shared" si="0"/>
        <v>0</v>
      </c>
      <c r="H7" s="68">
        <v>0</v>
      </c>
      <c r="I7" s="69">
        <v>0</v>
      </c>
      <c r="J7" s="8">
        <f t="shared" ref="J7" si="4">H7*I7</f>
        <v>0</v>
      </c>
      <c r="K7" s="8">
        <f t="shared" si="2"/>
        <v>0</v>
      </c>
      <c r="L7" s="71">
        <f t="shared" si="3"/>
        <v>0</v>
      </c>
      <c r="M7" s="71">
        <v>0</v>
      </c>
      <c r="N7" s="8"/>
    </row>
    <row r="8" spans="1:15">
      <c r="A8" s="47">
        <v>5</v>
      </c>
      <c r="B8" s="224">
        <v>46027</v>
      </c>
      <c r="C8" s="70"/>
      <c r="D8" s="163"/>
      <c r="E8" s="68">
        <v>33.119999999999997</v>
      </c>
      <c r="F8" s="68">
        <v>90.57</v>
      </c>
      <c r="G8" s="8">
        <f t="shared" si="0"/>
        <v>2999.6783999999993</v>
      </c>
      <c r="H8" s="68">
        <v>0</v>
      </c>
      <c r="I8" s="69">
        <v>0</v>
      </c>
      <c r="J8" s="8">
        <f t="shared" si="1"/>
        <v>0</v>
      </c>
      <c r="K8" s="8">
        <f t="shared" si="2"/>
        <v>2999.6783999999993</v>
      </c>
      <c r="L8" s="71">
        <f t="shared" si="3"/>
        <v>2999.6783999999993</v>
      </c>
      <c r="M8" s="71">
        <v>0</v>
      </c>
      <c r="N8" s="8"/>
      <c r="O8" s="72"/>
    </row>
    <row r="9" spans="1:15">
      <c r="A9" s="47">
        <v>6</v>
      </c>
      <c r="B9" s="224">
        <v>46028</v>
      </c>
      <c r="C9" s="70"/>
      <c r="D9" s="163"/>
      <c r="E9" s="68">
        <v>33.119999999999997</v>
      </c>
      <c r="F9" s="68">
        <v>90.57</v>
      </c>
      <c r="G9" s="8">
        <f t="shared" si="0"/>
        <v>2999.6783999999993</v>
      </c>
      <c r="H9" s="68">
        <v>0</v>
      </c>
      <c r="I9" s="69">
        <v>0</v>
      </c>
      <c r="J9" s="8">
        <f t="shared" ref="J9:J34" si="5">H9*I9</f>
        <v>0</v>
      </c>
      <c r="K9" s="8">
        <f t="shared" si="2"/>
        <v>2999.6783999999993</v>
      </c>
      <c r="L9" s="71">
        <f t="shared" si="3"/>
        <v>2999.6783999999993</v>
      </c>
      <c r="M9" s="71">
        <v>0</v>
      </c>
      <c r="N9" s="8"/>
      <c r="O9" s="72"/>
    </row>
    <row r="10" spans="1:15">
      <c r="A10" s="47">
        <v>7</v>
      </c>
      <c r="B10" s="224">
        <v>46029</v>
      </c>
      <c r="C10" s="70"/>
      <c r="D10" s="163"/>
      <c r="E10" s="68">
        <v>33.119999999999997</v>
      </c>
      <c r="F10" s="68">
        <v>90.57</v>
      </c>
      <c r="G10" s="8">
        <f t="shared" si="0"/>
        <v>2999.6783999999993</v>
      </c>
      <c r="H10" s="68">
        <v>9.76</v>
      </c>
      <c r="I10" s="69">
        <v>102.46</v>
      </c>
      <c r="J10" s="8">
        <f t="shared" si="5"/>
        <v>1000.0095999999999</v>
      </c>
      <c r="K10" s="8">
        <f t="shared" si="2"/>
        <v>3999.6879999999992</v>
      </c>
      <c r="L10" s="71">
        <f t="shared" si="3"/>
        <v>3999.6879999999992</v>
      </c>
      <c r="M10" s="71">
        <v>0</v>
      </c>
      <c r="N10" s="8"/>
      <c r="O10" s="72"/>
    </row>
    <row r="11" spans="1:15">
      <c r="A11" s="47">
        <v>8</v>
      </c>
      <c r="B11" s="224">
        <v>46030</v>
      </c>
      <c r="C11" s="70"/>
      <c r="D11" s="163"/>
      <c r="E11" s="68">
        <v>33.119999999999997</v>
      </c>
      <c r="F11" s="68">
        <v>90.57</v>
      </c>
      <c r="G11" s="8">
        <f t="shared" si="0"/>
        <v>2999.6783999999993</v>
      </c>
      <c r="H11" s="68">
        <v>0</v>
      </c>
      <c r="I11" s="69">
        <v>0</v>
      </c>
      <c r="J11" s="8">
        <f t="shared" si="5"/>
        <v>0</v>
      </c>
      <c r="K11" s="8">
        <f t="shared" si="2"/>
        <v>2999.6783999999993</v>
      </c>
      <c r="L11" s="71">
        <f t="shared" si="3"/>
        <v>2999.6783999999993</v>
      </c>
      <c r="M11" s="71">
        <v>0</v>
      </c>
      <c r="N11" s="8"/>
      <c r="O11" s="72"/>
    </row>
    <row r="12" spans="1:15">
      <c r="A12" s="47">
        <v>9</v>
      </c>
      <c r="B12" s="224">
        <v>46031</v>
      </c>
      <c r="C12" s="70"/>
      <c r="D12" s="163"/>
      <c r="E12" s="68">
        <v>33.119999999999997</v>
      </c>
      <c r="F12" s="68">
        <v>90.57</v>
      </c>
      <c r="G12" s="8">
        <f t="shared" si="0"/>
        <v>2999.6783999999993</v>
      </c>
      <c r="H12" s="68">
        <v>0</v>
      </c>
      <c r="I12" s="69">
        <v>0</v>
      </c>
      <c r="J12" s="8">
        <f t="shared" si="5"/>
        <v>0</v>
      </c>
      <c r="K12" s="8">
        <f t="shared" si="2"/>
        <v>2999.6783999999993</v>
      </c>
      <c r="L12" s="71">
        <f t="shared" si="3"/>
        <v>2999.6783999999993</v>
      </c>
      <c r="M12" s="71">
        <v>0</v>
      </c>
      <c r="N12" s="8"/>
      <c r="O12" s="72"/>
    </row>
    <row r="13" spans="1:15">
      <c r="A13" s="47">
        <v>10</v>
      </c>
      <c r="B13" s="224">
        <v>46032</v>
      </c>
      <c r="C13" s="70"/>
      <c r="D13" s="163"/>
      <c r="E13" s="68">
        <v>0</v>
      </c>
      <c r="F13" s="68">
        <v>0</v>
      </c>
      <c r="G13" s="8">
        <f t="shared" si="0"/>
        <v>0</v>
      </c>
      <c r="H13" s="68">
        <v>0</v>
      </c>
      <c r="I13" s="69">
        <v>0</v>
      </c>
      <c r="J13" s="8">
        <f t="shared" si="5"/>
        <v>0</v>
      </c>
      <c r="K13" s="8">
        <f t="shared" si="2"/>
        <v>0</v>
      </c>
      <c r="L13" s="71">
        <f t="shared" si="3"/>
        <v>0</v>
      </c>
      <c r="M13" s="71">
        <v>0</v>
      </c>
      <c r="N13" s="8"/>
      <c r="O13" s="72"/>
    </row>
    <row r="14" spans="1:15">
      <c r="A14" s="47">
        <v>11</v>
      </c>
      <c r="B14" s="224">
        <v>46033</v>
      </c>
      <c r="C14" s="70"/>
      <c r="D14" s="163"/>
      <c r="E14" s="68">
        <v>0</v>
      </c>
      <c r="F14" s="68">
        <v>0</v>
      </c>
      <c r="G14" s="8">
        <f t="shared" si="0"/>
        <v>0</v>
      </c>
      <c r="H14" s="68">
        <v>0</v>
      </c>
      <c r="I14" s="69">
        <v>0</v>
      </c>
      <c r="J14" s="8">
        <f t="shared" si="5"/>
        <v>0</v>
      </c>
      <c r="K14" s="8">
        <f t="shared" si="2"/>
        <v>0</v>
      </c>
      <c r="L14" s="71">
        <f t="shared" si="3"/>
        <v>0</v>
      </c>
      <c r="M14" s="71">
        <v>0</v>
      </c>
      <c r="N14" s="8"/>
      <c r="O14" s="72"/>
    </row>
    <row r="15" spans="1:15">
      <c r="A15" s="47">
        <v>12</v>
      </c>
      <c r="B15" s="224">
        <v>46034</v>
      </c>
      <c r="C15" s="70"/>
      <c r="D15" s="163"/>
      <c r="E15" s="68">
        <v>0</v>
      </c>
      <c r="F15" s="68">
        <v>0</v>
      </c>
      <c r="G15" s="8">
        <f t="shared" si="0"/>
        <v>0</v>
      </c>
      <c r="H15" s="68">
        <v>0</v>
      </c>
      <c r="I15" s="69">
        <v>0</v>
      </c>
      <c r="J15" s="8">
        <f t="shared" si="5"/>
        <v>0</v>
      </c>
      <c r="K15" s="8">
        <f t="shared" si="2"/>
        <v>0</v>
      </c>
      <c r="L15" s="71">
        <f t="shared" si="3"/>
        <v>0</v>
      </c>
      <c r="M15" s="71">
        <v>0</v>
      </c>
      <c r="N15" s="8"/>
      <c r="O15" s="72"/>
    </row>
    <row r="16" spans="1:15">
      <c r="A16" s="47">
        <v>13</v>
      </c>
      <c r="B16" s="224">
        <v>46035</v>
      </c>
      <c r="C16" s="70"/>
      <c r="D16" s="163"/>
      <c r="E16" s="68">
        <v>0</v>
      </c>
      <c r="F16" s="68">
        <v>0</v>
      </c>
      <c r="G16" s="8">
        <f t="shared" si="0"/>
        <v>0</v>
      </c>
      <c r="H16" s="68">
        <v>0</v>
      </c>
      <c r="I16" s="69">
        <v>0</v>
      </c>
      <c r="J16" s="8">
        <f t="shared" si="5"/>
        <v>0</v>
      </c>
      <c r="K16" s="8">
        <f t="shared" si="2"/>
        <v>0</v>
      </c>
      <c r="L16" s="71">
        <f t="shared" si="3"/>
        <v>0</v>
      </c>
      <c r="M16" s="71">
        <v>0</v>
      </c>
      <c r="N16" s="8"/>
      <c r="O16" s="72"/>
    </row>
    <row r="17" spans="1:26">
      <c r="A17" s="47">
        <v>14</v>
      </c>
      <c r="B17" s="224">
        <v>46036</v>
      </c>
      <c r="C17" s="70"/>
      <c r="D17" s="163"/>
      <c r="E17" s="68">
        <v>0</v>
      </c>
      <c r="F17" s="68">
        <v>0</v>
      </c>
      <c r="G17" s="8">
        <f t="shared" si="0"/>
        <v>0</v>
      </c>
      <c r="H17" s="68">
        <v>0</v>
      </c>
      <c r="I17" s="69">
        <v>0</v>
      </c>
      <c r="J17" s="8">
        <f t="shared" si="5"/>
        <v>0</v>
      </c>
      <c r="K17" s="8">
        <f t="shared" si="2"/>
        <v>0</v>
      </c>
      <c r="L17" s="71">
        <f t="shared" si="3"/>
        <v>0</v>
      </c>
      <c r="M17" s="71">
        <v>0</v>
      </c>
      <c r="N17" s="8"/>
      <c r="O17" s="72"/>
    </row>
    <row r="18" spans="1:26">
      <c r="A18" s="47">
        <v>15</v>
      </c>
      <c r="B18" s="224">
        <v>46037</v>
      </c>
      <c r="C18" s="70"/>
      <c r="D18" s="163"/>
      <c r="E18" s="68">
        <v>0</v>
      </c>
      <c r="F18" s="68">
        <v>0</v>
      </c>
      <c r="G18" s="8">
        <f t="shared" si="0"/>
        <v>0</v>
      </c>
      <c r="H18" s="68">
        <v>0</v>
      </c>
      <c r="I18" s="69">
        <v>0</v>
      </c>
      <c r="J18" s="8">
        <f t="shared" si="5"/>
        <v>0</v>
      </c>
      <c r="K18" s="8">
        <f t="shared" si="2"/>
        <v>0</v>
      </c>
      <c r="L18" s="71">
        <f t="shared" si="3"/>
        <v>0</v>
      </c>
      <c r="M18" s="71">
        <v>0</v>
      </c>
      <c r="N18" s="8"/>
      <c r="O18" s="72"/>
    </row>
    <row r="19" spans="1:26">
      <c r="A19" s="47">
        <v>16</v>
      </c>
      <c r="B19" s="224">
        <v>46038</v>
      </c>
      <c r="C19" s="70"/>
      <c r="D19" s="163"/>
      <c r="E19" s="68">
        <v>0</v>
      </c>
      <c r="F19" s="68">
        <v>0</v>
      </c>
      <c r="G19" s="8">
        <f t="shared" si="0"/>
        <v>0</v>
      </c>
      <c r="H19" s="68">
        <v>0</v>
      </c>
      <c r="I19" s="69">
        <v>0</v>
      </c>
      <c r="J19" s="8">
        <f t="shared" si="5"/>
        <v>0</v>
      </c>
      <c r="K19" s="8">
        <f t="shared" si="2"/>
        <v>0</v>
      </c>
      <c r="L19" s="71">
        <f>+K19</f>
        <v>0</v>
      </c>
      <c r="M19" s="71">
        <v>0</v>
      </c>
      <c r="N19" s="8"/>
      <c r="O19" s="72"/>
    </row>
    <row r="20" spans="1:26">
      <c r="A20" s="47">
        <v>17</v>
      </c>
      <c r="B20" s="224">
        <v>46039</v>
      </c>
      <c r="C20" s="70"/>
      <c r="D20" s="163"/>
      <c r="E20" s="68">
        <v>0</v>
      </c>
      <c r="F20" s="68">
        <v>0</v>
      </c>
      <c r="G20" s="8">
        <f t="shared" si="0"/>
        <v>0</v>
      </c>
      <c r="H20" s="68">
        <v>0</v>
      </c>
      <c r="I20" s="69">
        <v>0</v>
      </c>
      <c r="J20" s="8">
        <f t="shared" si="5"/>
        <v>0</v>
      </c>
      <c r="K20" s="8">
        <f t="shared" si="2"/>
        <v>0</v>
      </c>
      <c r="L20" s="71">
        <f t="shared" si="3"/>
        <v>0</v>
      </c>
      <c r="M20" s="71">
        <v>0</v>
      </c>
      <c r="N20" s="8"/>
      <c r="O20" s="72"/>
    </row>
    <row r="21" spans="1:26">
      <c r="A21" s="47">
        <v>18</v>
      </c>
      <c r="B21" s="224">
        <v>46040</v>
      </c>
      <c r="C21" s="70"/>
      <c r="D21" s="163"/>
      <c r="E21" s="68">
        <v>0</v>
      </c>
      <c r="F21" s="68">
        <v>0</v>
      </c>
      <c r="G21" s="8">
        <f t="shared" si="0"/>
        <v>0</v>
      </c>
      <c r="H21" s="68">
        <v>0</v>
      </c>
      <c r="I21" s="69">
        <v>0</v>
      </c>
      <c r="J21" s="8">
        <f t="shared" si="5"/>
        <v>0</v>
      </c>
      <c r="K21" s="8">
        <f t="shared" si="2"/>
        <v>0</v>
      </c>
      <c r="L21" s="71">
        <f t="shared" si="3"/>
        <v>0</v>
      </c>
      <c r="M21" s="71">
        <v>0</v>
      </c>
      <c r="N21" s="8"/>
      <c r="O21" s="72"/>
      <c r="Q21">
        <v>18</v>
      </c>
      <c r="R21">
        <v>335.74</v>
      </c>
      <c r="S21">
        <v>97.43</v>
      </c>
      <c r="T21">
        <f>R21*S21</f>
        <v>32711.148200000003</v>
      </c>
      <c r="V21">
        <v>5.56</v>
      </c>
      <c r="W21">
        <v>109.61</v>
      </c>
      <c r="X21">
        <f>V21*W21</f>
        <v>609.4316</v>
      </c>
      <c r="Y21">
        <f>T21+X21</f>
        <v>33320.579800000007</v>
      </c>
      <c r="Z21" t="s">
        <v>300</v>
      </c>
    </row>
    <row r="22" spans="1:26">
      <c r="A22" s="47">
        <v>19</v>
      </c>
      <c r="B22" s="224">
        <v>46041</v>
      </c>
      <c r="C22" s="70"/>
      <c r="D22" s="163"/>
      <c r="E22" s="68">
        <v>0</v>
      </c>
      <c r="F22" s="68">
        <v>0</v>
      </c>
      <c r="G22" s="8">
        <f t="shared" si="0"/>
        <v>0</v>
      </c>
      <c r="H22" s="68">
        <v>0</v>
      </c>
      <c r="I22" s="69">
        <v>0</v>
      </c>
      <c r="J22" s="8">
        <f t="shared" si="5"/>
        <v>0</v>
      </c>
      <c r="K22" s="8">
        <f t="shared" si="2"/>
        <v>0</v>
      </c>
      <c r="L22" s="71">
        <f t="shared" si="3"/>
        <v>0</v>
      </c>
      <c r="M22" s="71">
        <v>0</v>
      </c>
      <c r="N22" s="8"/>
      <c r="O22" s="72"/>
      <c r="Q22">
        <v>19</v>
      </c>
      <c r="R22">
        <v>0</v>
      </c>
      <c r="T22">
        <f>R22*S22</f>
        <v>0</v>
      </c>
      <c r="V22">
        <v>0</v>
      </c>
      <c r="X22">
        <f t="shared" ref="X22:X25" si="6">V22*W22</f>
        <v>0</v>
      </c>
      <c r="Y22">
        <f t="shared" ref="Y22:Y24" si="7">T22+X22</f>
        <v>0</v>
      </c>
      <c r="Z22" t="s">
        <v>300</v>
      </c>
    </row>
    <row r="23" spans="1:26">
      <c r="A23" s="47">
        <v>20</v>
      </c>
      <c r="B23" s="224">
        <v>46042</v>
      </c>
      <c r="C23" s="70"/>
      <c r="D23" s="163"/>
      <c r="E23" s="68">
        <v>0</v>
      </c>
      <c r="F23" s="68">
        <v>0</v>
      </c>
      <c r="G23" s="8">
        <f t="shared" si="0"/>
        <v>0</v>
      </c>
      <c r="H23" s="68">
        <v>0</v>
      </c>
      <c r="I23" s="69">
        <v>0</v>
      </c>
      <c r="J23" s="8">
        <f t="shared" si="5"/>
        <v>0</v>
      </c>
      <c r="K23" s="8">
        <f t="shared" si="2"/>
        <v>0</v>
      </c>
      <c r="L23" s="71">
        <f t="shared" si="3"/>
        <v>0</v>
      </c>
      <c r="M23" s="71">
        <v>0</v>
      </c>
      <c r="N23" s="8"/>
      <c r="O23" s="72"/>
      <c r="Q23">
        <v>20</v>
      </c>
      <c r="R23">
        <v>61.58</v>
      </c>
      <c r="S23">
        <v>97.43</v>
      </c>
      <c r="T23">
        <f t="shared" ref="T23:T25" si="8">R23*S23</f>
        <v>5999.7394000000004</v>
      </c>
      <c r="X23">
        <f t="shared" si="6"/>
        <v>0</v>
      </c>
      <c r="Y23">
        <f t="shared" si="7"/>
        <v>5999.7394000000004</v>
      </c>
      <c r="Z23" t="s">
        <v>300</v>
      </c>
    </row>
    <row r="24" spans="1:26">
      <c r="A24" s="47">
        <v>21</v>
      </c>
      <c r="B24" s="224">
        <v>46043</v>
      </c>
      <c r="C24" s="70"/>
      <c r="D24" s="163"/>
      <c r="E24" s="68">
        <v>0</v>
      </c>
      <c r="F24" s="68">
        <v>0</v>
      </c>
      <c r="G24" s="8">
        <f t="shared" si="0"/>
        <v>0</v>
      </c>
      <c r="H24" s="68">
        <v>0</v>
      </c>
      <c r="I24" s="69">
        <v>0</v>
      </c>
      <c r="J24" s="8">
        <f t="shared" si="5"/>
        <v>0</v>
      </c>
      <c r="K24" s="8">
        <f t="shared" si="2"/>
        <v>0</v>
      </c>
      <c r="L24" s="71">
        <f t="shared" si="3"/>
        <v>0</v>
      </c>
      <c r="M24" s="71">
        <v>0</v>
      </c>
      <c r="N24" s="8"/>
      <c r="O24" s="72"/>
      <c r="Q24">
        <v>23</v>
      </c>
      <c r="R24">
        <v>200</v>
      </c>
      <c r="S24">
        <v>97.76</v>
      </c>
      <c r="T24">
        <f t="shared" si="8"/>
        <v>19552</v>
      </c>
      <c r="X24">
        <f t="shared" si="6"/>
        <v>0</v>
      </c>
      <c r="Y24">
        <f t="shared" si="7"/>
        <v>19552</v>
      </c>
      <c r="Z24" t="s">
        <v>301</v>
      </c>
    </row>
    <row r="25" spans="1:26">
      <c r="A25" s="47">
        <v>22</v>
      </c>
      <c r="B25" s="224">
        <v>46044</v>
      </c>
      <c r="C25" s="70"/>
      <c r="D25" s="163"/>
      <c r="E25" s="68">
        <v>0</v>
      </c>
      <c r="F25" s="68">
        <v>0</v>
      </c>
      <c r="G25" s="8">
        <f t="shared" si="0"/>
        <v>0</v>
      </c>
      <c r="H25" s="68">
        <v>0</v>
      </c>
      <c r="I25" s="69">
        <v>0</v>
      </c>
      <c r="J25" s="8">
        <f t="shared" si="5"/>
        <v>0</v>
      </c>
      <c r="K25" s="8">
        <f t="shared" si="2"/>
        <v>0</v>
      </c>
      <c r="L25" s="71">
        <f t="shared" si="3"/>
        <v>0</v>
      </c>
      <c r="M25" s="71">
        <v>0</v>
      </c>
      <c r="N25" s="8"/>
      <c r="O25" s="72"/>
      <c r="Q25">
        <v>24</v>
      </c>
      <c r="R25">
        <v>98.62</v>
      </c>
      <c r="S25">
        <v>97.43</v>
      </c>
      <c r="T25">
        <f t="shared" si="8"/>
        <v>9608.5466000000015</v>
      </c>
      <c r="V25">
        <v>5.83</v>
      </c>
      <c r="W25">
        <v>109.61</v>
      </c>
      <c r="X25">
        <f t="shared" si="6"/>
        <v>639.02629999999999</v>
      </c>
      <c r="Y25">
        <f>T25+X25</f>
        <v>10247.572900000001</v>
      </c>
    </row>
    <row r="26" spans="1:26">
      <c r="A26" s="47">
        <v>23</v>
      </c>
      <c r="B26" s="224">
        <v>46045</v>
      </c>
      <c r="C26" s="70"/>
      <c r="D26" s="163"/>
      <c r="E26" s="68">
        <v>0</v>
      </c>
      <c r="F26" s="68">
        <v>0</v>
      </c>
      <c r="G26" s="8">
        <f t="shared" si="0"/>
        <v>0</v>
      </c>
      <c r="H26" s="68">
        <v>0</v>
      </c>
      <c r="I26" s="69">
        <v>0</v>
      </c>
      <c r="J26" s="8">
        <f t="shared" si="5"/>
        <v>0</v>
      </c>
      <c r="K26" s="8">
        <f t="shared" si="2"/>
        <v>0</v>
      </c>
      <c r="L26" s="71">
        <f t="shared" si="3"/>
        <v>0</v>
      </c>
      <c r="M26" s="71">
        <v>0</v>
      </c>
      <c r="N26" s="8"/>
      <c r="O26" s="72"/>
    </row>
    <row r="27" spans="1:26">
      <c r="A27" s="47">
        <v>24</v>
      </c>
      <c r="B27" s="224">
        <v>46046</v>
      </c>
      <c r="C27" s="70"/>
      <c r="D27" s="163"/>
      <c r="E27" s="68">
        <v>0</v>
      </c>
      <c r="F27" s="68">
        <v>0</v>
      </c>
      <c r="G27" s="8">
        <f t="shared" si="0"/>
        <v>0</v>
      </c>
      <c r="H27" s="68">
        <v>0</v>
      </c>
      <c r="I27" s="69">
        <v>0</v>
      </c>
      <c r="J27" s="8">
        <f t="shared" si="5"/>
        <v>0</v>
      </c>
      <c r="K27" s="8">
        <f t="shared" si="2"/>
        <v>0</v>
      </c>
      <c r="L27" s="71">
        <f t="shared" si="3"/>
        <v>0</v>
      </c>
      <c r="M27" s="71">
        <v>0</v>
      </c>
      <c r="N27" s="8"/>
      <c r="O27" s="72"/>
    </row>
    <row r="28" spans="1:26">
      <c r="A28" s="226">
        <v>25</v>
      </c>
      <c r="B28" s="224">
        <v>46047</v>
      </c>
      <c r="C28" s="70"/>
      <c r="D28" s="163"/>
      <c r="E28" s="68">
        <v>0</v>
      </c>
      <c r="F28" s="68">
        <v>0</v>
      </c>
      <c r="G28" s="8">
        <f t="shared" si="0"/>
        <v>0</v>
      </c>
      <c r="H28" s="68">
        <v>0</v>
      </c>
      <c r="I28" s="69">
        <v>0</v>
      </c>
      <c r="J28" s="8">
        <f t="shared" si="5"/>
        <v>0</v>
      </c>
      <c r="K28" s="8">
        <f t="shared" si="2"/>
        <v>0</v>
      </c>
      <c r="L28" s="71">
        <f t="shared" si="3"/>
        <v>0</v>
      </c>
      <c r="M28" s="71">
        <v>0</v>
      </c>
      <c r="N28" s="8"/>
      <c r="O28" s="72"/>
    </row>
    <row r="29" spans="1:26">
      <c r="A29" s="226">
        <v>26</v>
      </c>
      <c r="B29" s="224">
        <v>46048</v>
      </c>
      <c r="C29" s="70"/>
      <c r="D29" s="163"/>
      <c r="E29" s="68">
        <v>0</v>
      </c>
      <c r="F29" s="68">
        <v>0</v>
      </c>
      <c r="G29" s="8">
        <f t="shared" si="0"/>
        <v>0</v>
      </c>
      <c r="H29" s="68">
        <v>0</v>
      </c>
      <c r="I29" s="69">
        <v>0</v>
      </c>
      <c r="J29" s="8">
        <f t="shared" si="5"/>
        <v>0</v>
      </c>
      <c r="K29" s="8">
        <f t="shared" si="2"/>
        <v>0</v>
      </c>
      <c r="L29" s="71">
        <f t="shared" si="3"/>
        <v>0</v>
      </c>
      <c r="M29" s="71">
        <v>0</v>
      </c>
      <c r="N29" s="8"/>
      <c r="O29" s="72"/>
    </row>
    <row r="30" spans="1:26">
      <c r="A30" s="226">
        <v>27</v>
      </c>
      <c r="B30" s="224">
        <v>46049</v>
      </c>
      <c r="C30" s="70"/>
      <c r="D30" s="163"/>
      <c r="E30" s="68">
        <v>0</v>
      </c>
      <c r="F30" s="68">
        <v>0</v>
      </c>
      <c r="G30" s="8">
        <f t="shared" si="0"/>
        <v>0</v>
      </c>
      <c r="H30" s="68">
        <v>0</v>
      </c>
      <c r="I30" s="69">
        <v>0</v>
      </c>
      <c r="J30" s="8">
        <f t="shared" si="5"/>
        <v>0</v>
      </c>
      <c r="K30" s="8">
        <f t="shared" si="2"/>
        <v>0</v>
      </c>
      <c r="L30" s="71">
        <f t="shared" si="3"/>
        <v>0</v>
      </c>
      <c r="M30" s="71">
        <v>0</v>
      </c>
      <c r="N30" s="8"/>
      <c r="O30" s="72"/>
    </row>
    <row r="31" spans="1:26">
      <c r="A31" s="226">
        <v>28</v>
      </c>
      <c r="B31" s="224">
        <v>46050</v>
      </c>
      <c r="C31" s="70"/>
      <c r="D31" s="163"/>
      <c r="E31" s="68">
        <v>0</v>
      </c>
      <c r="F31" s="68">
        <v>0</v>
      </c>
      <c r="G31" s="8">
        <f t="shared" si="0"/>
        <v>0</v>
      </c>
      <c r="H31" s="68">
        <v>0</v>
      </c>
      <c r="I31" s="69">
        <v>0</v>
      </c>
      <c r="J31" s="8">
        <f t="shared" si="5"/>
        <v>0</v>
      </c>
      <c r="K31" s="8">
        <f t="shared" si="2"/>
        <v>0</v>
      </c>
      <c r="L31" s="71">
        <f t="shared" si="3"/>
        <v>0</v>
      </c>
      <c r="M31" s="71">
        <v>0</v>
      </c>
      <c r="N31" s="8"/>
      <c r="O31" s="72"/>
    </row>
    <row r="32" spans="1:26">
      <c r="A32" s="227">
        <v>29</v>
      </c>
      <c r="B32" s="224">
        <v>46051</v>
      </c>
      <c r="C32" s="70"/>
      <c r="D32" s="163"/>
      <c r="E32" s="68">
        <v>0</v>
      </c>
      <c r="F32" s="68">
        <v>0</v>
      </c>
      <c r="G32" s="8">
        <f t="shared" ref="G32:G33" si="9">E32*F32</f>
        <v>0</v>
      </c>
      <c r="H32" s="68">
        <v>0</v>
      </c>
      <c r="I32" s="69">
        <v>0</v>
      </c>
      <c r="J32" s="8">
        <f t="shared" si="5"/>
        <v>0</v>
      </c>
      <c r="K32" s="8">
        <f t="shared" si="2"/>
        <v>0</v>
      </c>
      <c r="L32" s="71">
        <f t="shared" si="3"/>
        <v>0</v>
      </c>
      <c r="M32" s="71">
        <v>0</v>
      </c>
      <c r="N32" s="8"/>
      <c r="O32" s="72"/>
    </row>
    <row r="33" spans="1:15">
      <c r="A33" s="227">
        <v>30</v>
      </c>
      <c r="B33" s="224">
        <v>46052</v>
      </c>
      <c r="C33" s="70"/>
      <c r="D33" s="163"/>
      <c r="E33" s="68">
        <v>0</v>
      </c>
      <c r="F33" s="68">
        <v>0</v>
      </c>
      <c r="G33" s="8">
        <f t="shared" si="9"/>
        <v>0</v>
      </c>
      <c r="H33" s="68">
        <v>8.82</v>
      </c>
      <c r="I33" s="69">
        <v>102.46</v>
      </c>
      <c r="J33" s="8">
        <f t="shared" si="5"/>
        <v>903.69719999999995</v>
      </c>
      <c r="K33" s="8">
        <f t="shared" si="2"/>
        <v>903.69719999999995</v>
      </c>
      <c r="L33" s="71">
        <f t="shared" si="3"/>
        <v>903.69719999999995</v>
      </c>
      <c r="M33" s="71">
        <v>0</v>
      </c>
      <c r="N33" s="8"/>
      <c r="O33" s="72"/>
    </row>
    <row r="34" spans="1:15">
      <c r="A34" s="227">
        <v>31</v>
      </c>
      <c r="B34" s="224">
        <v>46053</v>
      </c>
      <c r="C34" s="70"/>
      <c r="D34" s="163"/>
      <c r="E34" s="68">
        <v>0</v>
      </c>
      <c r="F34" s="68">
        <v>0</v>
      </c>
      <c r="G34" s="8">
        <f t="shared" si="0"/>
        <v>0</v>
      </c>
      <c r="H34" s="68">
        <v>0</v>
      </c>
      <c r="I34" s="69">
        <v>0</v>
      </c>
      <c r="J34" s="8">
        <f t="shared" si="5"/>
        <v>0</v>
      </c>
      <c r="K34" s="8">
        <f t="shared" ref="K34" si="10">G34+J34</f>
        <v>0</v>
      </c>
      <c r="L34" s="71">
        <f t="shared" ref="L34" si="11">+K34</f>
        <v>0</v>
      </c>
      <c r="M34" s="71">
        <v>0</v>
      </c>
      <c r="N34" s="8"/>
      <c r="O34" s="72"/>
    </row>
    <row r="35" spans="1:15">
      <c r="A35" s="65"/>
      <c r="B35" s="65"/>
      <c r="C35" s="65"/>
      <c r="D35" s="65"/>
      <c r="E35" s="66">
        <f>SUM(E4:E34)</f>
        <v>198.72</v>
      </c>
      <c r="F35" s="66"/>
      <c r="G35" s="66">
        <f>SUM(G4:G34)</f>
        <v>17998.070399999997</v>
      </c>
      <c r="H35" s="66">
        <f>SUM(H4:H34)</f>
        <v>18.579999999999998</v>
      </c>
      <c r="I35" s="66"/>
      <c r="J35" s="66">
        <f>SUM(J4:J34)</f>
        <v>1903.7067999999999</v>
      </c>
      <c r="K35" s="66">
        <f>SUM(K4:K34)</f>
        <v>19901.777199999993</v>
      </c>
      <c r="L35" s="66">
        <f>SUM(L4:L34)</f>
        <v>19901.777199999993</v>
      </c>
      <c r="M35" s="66"/>
      <c r="N35" s="66"/>
      <c r="O35" s="62"/>
    </row>
    <row r="36" spans="1:15">
      <c r="A36" s="75"/>
      <c r="B36" s="76"/>
      <c r="C36" s="75"/>
      <c r="D36" s="75"/>
      <c r="E36" s="77"/>
      <c r="F36" s="77"/>
      <c r="G36" s="77"/>
      <c r="H36" s="77"/>
      <c r="I36" s="77"/>
      <c r="J36" s="78"/>
      <c r="K36" s="78"/>
      <c r="L36" s="78"/>
      <c r="M36" s="78"/>
      <c r="N36" s="77"/>
      <c r="O36" s="72"/>
    </row>
    <row r="37" spans="1:15">
      <c r="O37" s="72"/>
    </row>
    <row r="38" spans="1:15">
      <c r="O38" s="72"/>
    </row>
    <row r="39" spans="1:15">
      <c r="O39" s="72"/>
    </row>
    <row r="40" spans="1:15">
      <c r="O40" s="72"/>
    </row>
    <row r="41" spans="1:15">
      <c r="O41" s="72"/>
    </row>
    <row r="42" spans="1:15">
      <c r="A42" s="72"/>
      <c r="B42" s="62"/>
      <c r="C42" s="72"/>
      <c r="D42" s="72"/>
      <c r="E42" s="72"/>
      <c r="F42" s="72"/>
      <c r="G42" s="79"/>
      <c r="H42" s="72"/>
      <c r="I42" s="72"/>
      <c r="J42" s="62"/>
      <c r="K42" s="62"/>
      <c r="L42" s="62"/>
      <c r="M42" s="62"/>
      <c r="N42" s="72"/>
      <c r="O42" s="77"/>
    </row>
    <row r="43" spans="1:15">
      <c r="A43" s="72"/>
      <c r="B43" s="472"/>
      <c r="C43" s="472"/>
      <c r="D43" s="472"/>
      <c r="E43" s="472"/>
      <c r="F43" s="72"/>
      <c r="G43" s="72"/>
      <c r="H43" s="72"/>
      <c r="I43" s="472"/>
      <c r="J43" s="472"/>
      <c r="K43" s="472"/>
      <c r="L43" s="472"/>
      <c r="M43" s="472"/>
      <c r="N43" s="472"/>
      <c r="O43" s="77"/>
    </row>
    <row r="44" spans="1:15">
      <c r="A44" s="72"/>
      <c r="B44" s="62"/>
      <c r="C44" s="72"/>
      <c r="D44" s="72"/>
      <c r="E44" s="72"/>
      <c r="F44" s="72"/>
      <c r="G44" s="72"/>
      <c r="H44" s="72"/>
      <c r="I44" s="72"/>
      <c r="J44" s="62"/>
      <c r="K44" s="62"/>
      <c r="L44" s="62"/>
      <c r="M44" s="62"/>
      <c r="N44" s="72"/>
      <c r="O44" s="77"/>
    </row>
  </sheetData>
  <mergeCells count="4">
    <mergeCell ref="B43:E43"/>
    <mergeCell ref="I43:N43"/>
    <mergeCell ref="A1:N1"/>
    <mergeCell ref="A3:L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B0F2-641D-4F53-BA0F-B63DE3F29F26}">
  <sheetPr filterMode="1"/>
  <dimension ref="A1:U90"/>
  <sheetViews>
    <sheetView workbookViewId="0">
      <pane ySplit="4" topLeftCell="C19" activePane="bottomLeft" state="frozen"/>
      <selection pane="bottomLeft" activeCell="H96" sqref="H96"/>
    </sheetView>
  </sheetViews>
  <sheetFormatPr defaultRowHeight="15"/>
  <cols>
    <col min="1" max="1" width="17.5703125" bestFit="1" customWidth="1"/>
    <col min="2" max="2" width="10.85546875" bestFit="1" customWidth="1"/>
    <col min="3" max="3" width="63.5703125" bestFit="1" customWidth="1"/>
    <col min="4" max="4" width="15.5703125" customWidth="1"/>
    <col min="5" max="5" width="12.28515625" style="190" customWidth="1"/>
    <col min="6" max="6" width="12.85546875" style="190" customWidth="1"/>
    <col min="7" max="7" width="12.5703125" style="190" bestFit="1" customWidth="1"/>
    <col min="8" max="8" width="12.5703125" style="190" customWidth="1"/>
    <col min="9" max="10" width="9.140625" style="190"/>
    <col min="11" max="11" width="18.7109375" style="190" customWidth="1"/>
    <col min="12" max="12" width="24.140625" style="190" customWidth="1"/>
    <col min="13" max="13" width="16.5703125" style="190" customWidth="1"/>
    <col min="14" max="14" width="19.85546875" style="190" customWidth="1"/>
    <col min="15" max="15" width="13.42578125" style="190" customWidth="1"/>
    <col min="16" max="21" width="9.140625" style="190"/>
  </cols>
  <sheetData>
    <row r="1" spans="1:15" ht="15.75">
      <c r="A1" s="251" t="s">
        <v>302</v>
      </c>
      <c r="B1" s="251"/>
      <c r="C1" s="251"/>
      <c r="D1" s="251"/>
      <c r="E1" s="289"/>
      <c r="F1" s="289"/>
      <c r="G1" s="289"/>
      <c r="H1" s="289"/>
      <c r="I1" s="289"/>
      <c r="J1" s="289"/>
      <c r="K1" s="289"/>
      <c r="L1" s="289"/>
      <c r="M1" s="289"/>
      <c r="N1" s="289"/>
      <c r="O1" s="289"/>
    </row>
    <row r="2" spans="1:15" ht="26.25" customHeight="1">
      <c r="A2" s="67" t="s">
        <v>129</v>
      </c>
      <c r="B2" s="86" t="s">
        <v>130</v>
      </c>
      <c r="C2" s="86" t="s">
        <v>303</v>
      </c>
      <c r="D2" s="86" t="s">
        <v>304</v>
      </c>
      <c r="E2" s="290" t="s">
        <v>133</v>
      </c>
      <c r="F2" s="290" t="s">
        <v>134</v>
      </c>
      <c r="G2" s="291" t="s">
        <v>135</v>
      </c>
      <c r="H2" s="290" t="s">
        <v>136</v>
      </c>
      <c r="I2" s="290" t="s">
        <v>134</v>
      </c>
      <c r="J2" s="291" t="s">
        <v>135</v>
      </c>
      <c r="K2" s="292" t="s">
        <v>137</v>
      </c>
      <c r="L2" s="293" t="s">
        <v>305</v>
      </c>
      <c r="M2" s="294" t="s">
        <v>199</v>
      </c>
      <c r="N2" s="290" t="s">
        <v>140</v>
      </c>
      <c r="O2" s="290" t="s">
        <v>306</v>
      </c>
    </row>
    <row r="3" spans="1:15" ht="15.75" hidden="1">
      <c r="A3" s="252" t="s">
        <v>141</v>
      </c>
      <c r="B3" s="252"/>
      <c r="C3" s="252"/>
      <c r="D3" s="252"/>
      <c r="E3" s="295"/>
      <c r="F3" s="295"/>
      <c r="G3" s="295"/>
      <c r="H3" s="295"/>
      <c r="I3" s="295"/>
      <c r="J3" s="295"/>
      <c r="K3" s="318">
        <v>64956.57</v>
      </c>
      <c r="L3" s="318"/>
      <c r="M3" s="318"/>
      <c r="N3" s="296"/>
      <c r="O3" s="297"/>
    </row>
    <row r="4" spans="1:15" hidden="1">
      <c r="A4" s="316">
        <v>1</v>
      </c>
      <c r="B4" s="344" t="s">
        <v>307</v>
      </c>
      <c r="C4" s="107" t="s">
        <v>308</v>
      </c>
      <c r="D4" s="107" t="s">
        <v>309</v>
      </c>
      <c r="E4" s="298">
        <v>67.290000000000006</v>
      </c>
      <c r="F4" s="298">
        <v>86.75</v>
      </c>
      <c r="G4" s="298">
        <f>E4*F4</f>
        <v>5837.4075000000003</v>
      </c>
      <c r="H4" s="107">
        <v>5</v>
      </c>
      <c r="I4" s="107">
        <v>96.91</v>
      </c>
      <c r="J4" s="298">
        <f>H4*I4</f>
        <v>484.54999999999995</v>
      </c>
      <c r="K4" s="298">
        <f t="shared" ref="K4:K70" si="0">G4+J4</f>
        <v>6321.9575000000004</v>
      </c>
      <c r="L4" s="299">
        <v>499108</v>
      </c>
      <c r="M4" s="315">
        <f>K3+L4-K4</f>
        <v>557742.61249999993</v>
      </c>
      <c r="N4" s="315"/>
      <c r="O4" s="299"/>
    </row>
    <row r="5" spans="1:15" hidden="1">
      <c r="A5" s="100">
        <v>2</v>
      </c>
      <c r="B5" s="344" t="s">
        <v>285</v>
      </c>
      <c r="C5" s="107" t="s">
        <v>310</v>
      </c>
      <c r="D5" s="107" t="s">
        <v>311</v>
      </c>
      <c r="E5" s="107">
        <v>990.32</v>
      </c>
      <c r="F5" s="107">
        <v>90.88</v>
      </c>
      <c r="G5" s="298">
        <f t="shared" ref="G5:G68" si="1">E5*F5</f>
        <v>90000.281600000002</v>
      </c>
      <c r="H5" s="107">
        <v>77.84</v>
      </c>
      <c r="I5" s="107">
        <v>102.77</v>
      </c>
      <c r="J5" s="298">
        <f t="shared" ref="J5:J69" si="2">H5*I5</f>
        <v>7999.6167999999998</v>
      </c>
      <c r="K5" s="298">
        <f t="shared" si="0"/>
        <v>97999.898400000005</v>
      </c>
      <c r="L5" s="299"/>
      <c r="M5" s="301">
        <f>M4+L5-K5</f>
        <v>459742.71409999992</v>
      </c>
      <c r="N5" s="301"/>
      <c r="O5" s="298"/>
    </row>
    <row r="6" spans="1:15" hidden="1">
      <c r="A6" s="100">
        <v>3</v>
      </c>
      <c r="B6" s="344" t="s">
        <v>285</v>
      </c>
      <c r="C6" s="171" t="s">
        <v>312</v>
      </c>
      <c r="D6" s="107" t="s">
        <v>313</v>
      </c>
      <c r="E6" s="189">
        <v>1803.48</v>
      </c>
      <c r="F6" s="189">
        <v>91.49</v>
      </c>
      <c r="G6" s="298">
        <f t="shared" si="1"/>
        <v>165000.38519999999</v>
      </c>
      <c r="H6" s="107"/>
      <c r="I6" s="107"/>
      <c r="J6" s="298">
        <f t="shared" si="2"/>
        <v>0</v>
      </c>
      <c r="K6" s="298">
        <f t="shared" si="0"/>
        <v>165000.38519999999</v>
      </c>
      <c r="L6" s="299"/>
      <c r="M6" s="301">
        <f>M5+L6-K6</f>
        <v>294742.32889999996</v>
      </c>
      <c r="N6" s="301"/>
      <c r="O6" s="298"/>
    </row>
    <row r="7" spans="1:15" hidden="1">
      <c r="A7" s="316">
        <v>4</v>
      </c>
      <c r="B7" s="344" t="s">
        <v>285</v>
      </c>
      <c r="C7" s="17" t="s">
        <v>314</v>
      </c>
      <c r="D7" s="107" t="s">
        <v>313</v>
      </c>
      <c r="E7" s="189">
        <v>569.80999999999995</v>
      </c>
      <c r="F7" s="189">
        <v>92.22</v>
      </c>
      <c r="G7" s="298">
        <f t="shared" si="1"/>
        <v>52547.878199999992</v>
      </c>
      <c r="H7" s="298">
        <v>19.98</v>
      </c>
      <c r="I7" s="107">
        <v>104.08</v>
      </c>
      <c r="J7" s="298">
        <f t="shared" si="2"/>
        <v>2079.5183999999999</v>
      </c>
      <c r="K7" s="298">
        <f t="shared" si="0"/>
        <v>54627.396599999993</v>
      </c>
      <c r="L7" s="299"/>
      <c r="M7" s="301">
        <f t="shared" ref="M7:M70" si="3">M6+L7-K7</f>
        <v>240114.93229999999</v>
      </c>
      <c r="N7" s="301"/>
      <c r="O7" s="298"/>
    </row>
    <row r="8" spans="1:15" hidden="1">
      <c r="A8" s="100">
        <v>5</v>
      </c>
      <c r="B8" s="344" t="s">
        <v>285</v>
      </c>
      <c r="C8" s="171" t="s">
        <v>315</v>
      </c>
      <c r="D8" s="107" t="s">
        <v>313</v>
      </c>
      <c r="E8" s="189">
        <v>1576.51</v>
      </c>
      <c r="F8" s="189">
        <v>92.23</v>
      </c>
      <c r="G8" s="298">
        <f t="shared" si="1"/>
        <v>145401.51730000001</v>
      </c>
      <c r="H8" s="298"/>
      <c r="I8" s="107"/>
      <c r="J8" s="298">
        <f t="shared" si="2"/>
        <v>0</v>
      </c>
      <c r="K8" s="298">
        <f t="shared" si="0"/>
        <v>145401.51730000001</v>
      </c>
      <c r="L8" s="299"/>
      <c r="M8" s="301">
        <f t="shared" si="3"/>
        <v>94713.414999999979</v>
      </c>
      <c r="N8" s="301"/>
      <c r="O8" s="298"/>
    </row>
    <row r="9" spans="1:15" hidden="1">
      <c r="A9" s="100">
        <v>6</v>
      </c>
      <c r="B9" s="344" t="s">
        <v>285</v>
      </c>
      <c r="C9" s="171" t="s">
        <v>316</v>
      </c>
      <c r="D9" s="107" t="s">
        <v>186</v>
      </c>
      <c r="E9" s="298">
        <v>33.44</v>
      </c>
      <c r="F9" s="298">
        <v>95.7</v>
      </c>
      <c r="G9" s="298">
        <f t="shared" si="1"/>
        <v>3200.2080000000001</v>
      </c>
      <c r="H9" s="107"/>
      <c r="I9" s="107"/>
      <c r="J9" s="298">
        <f t="shared" si="2"/>
        <v>0</v>
      </c>
      <c r="K9" s="298">
        <f t="shared" si="0"/>
        <v>3200.2080000000001</v>
      </c>
      <c r="L9" s="299"/>
      <c r="M9" s="301">
        <f t="shared" si="3"/>
        <v>91513.20699999998</v>
      </c>
      <c r="N9" s="301"/>
      <c r="O9" s="298"/>
    </row>
    <row r="10" spans="1:15" hidden="1">
      <c r="A10" s="316">
        <v>7</v>
      </c>
      <c r="B10" s="344" t="s">
        <v>286</v>
      </c>
      <c r="C10" s="171" t="s">
        <v>317</v>
      </c>
      <c r="D10" s="171" t="s">
        <v>180</v>
      </c>
      <c r="E10" s="298"/>
      <c r="F10" s="298"/>
      <c r="G10" s="298">
        <f t="shared" si="1"/>
        <v>0</v>
      </c>
      <c r="H10" s="107">
        <v>4.6900000000000004</v>
      </c>
      <c r="I10" s="107">
        <v>107.46</v>
      </c>
      <c r="J10" s="298">
        <f t="shared" si="2"/>
        <v>503.98740000000004</v>
      </c>
      <c r="K10" s="298">
        <f t="shared" si="0"/>
        <v>503.98740000000004</v>
      </c>
      <c r="L10" s="299"/>
      <c r="M10" s="301">
        <f t="shared" si="3"/>
        <v>91009.219599999982</v>
      </c>
      <c r="N10" s="322"/>
      <c r="O10" s="300"/>
    </row>
    <row r="11" spans="1:15" hidden="1">
      <c r="A11" s="100">
        <v>8</v>
      </c>
      <c r="B11" s="375" t="s">
        <v>116</v>
      </c>
      <c r="C11" s="324" t="s">
        <v>318</v>
      </c>
      <c r="D11" s="320" t="s">
        <v>193</v>
      </c>
      <c r="E11" s="107">
        <v>40</v>
      </c>
      <c r="F11" s="107">
        <v>91.8</v>
      </c>
      <c r="G11" s="298">
        <f t="shared" si="1"/>
        <v>3672</v>
      </c>
      <c r="H11" s="107"/>
      <c r="I11" s="107"/>
      <c r="J11" s="298">
        <f t="shared" si="2"/>
        <v>0</v>
      </c>
      <c r="K11" s="298">
        <f t="shared" si="0"/>
        <v>3672</v>
      </c>
      <c r="L11" s="299"/>
      <c r="M11" s="301">
        <f t="shared" si="3"/>
        <v>87337.219599999982</v>
      </c>
      <c r="N11" s="322"/>
      <c r="O11" s="300"/>
    </row>
    <row r="12" spans="1:15" hidden="1">
      <c r="A12" s="100">
        <v>9</v>
      </c>
      <c r="B12" s="375" t="s">
        <v>116</v>
      </c>
      <c r="C12" s="356" t="s">
        <v>315</v>
      </c>
      <c r="D12" s="107" t="s">
        <v>319</v>
      </c>
      <c r="E12" s="323">
        <v>70</v>
      </c>
      <c r="F12" s="107">
        <v>92.23</v>
      </c>
      <c r="G12" s="298">
        <f t="shared" si="1"/>
        <v>6456.1</v>
      </c>
      <c r="H12" s="107">
        <v>5</v>
      </c>
      <c r="I12" s="107">
        <v>104.09</v>
      </c>
      <c r="J12" s="298">
        <f t="shared" si="2"/>
        <v>520.45000000000005</v>
      </c>
      <c r="K12" s="298">
        <f t="shared" si="0"/>
        <v>6976.55</v>
      </c>
      <c r="L12" s="299"/>
      <c r="M12" s="301">
        <f t="shared" si="3"/>
        <v>80360.669599999979</v>
      </c>
      <c r="N12" s="322"/>
      <c r="O12" s="300"/>
    </row>
    <row r="13" spans="1:15" hidden="1">
      <c r="A13" s="316">
        <v>10</v>
      </c>
      <c r="B13" s="228" t="s">
        <v>287</v>
      </c>
      <c r="C13" s="107" t="s">
        <v>308</v>
      </c>
      <c r="D13" s="171" t="s">
        <v>309</v>
      </c>
      <c r="E13" s="323">
        <v>42.18</v>
      </c>
      <c r="F13" s="107">
        <v>86.75</v>
      </c>
      <c r="G13" s="298">
        <f t="shared" si="1"/>
        <v>3659.1149999999998</v>
      </c>
      <c r="H13" s="107">
        <v>5</v>
      </c>
      <c r="I13" s="107">
        <v>96.91</v>
      </c>
      <c r="J13" s="298">
        <f t="shared" si="2"/>
        <v>484.54999999999995</v>
      </c>
      <c r="K13" s="298">
        <f t="shared" si="0"/>
        <v>4143.665</v>
      </c>
      <c r="L13" s="299"/>
      <c r="M13" s="301">
        <f t="shared" si="3"/>
        <v>76217.004599999986</v>
      </c>
      <c r="N13" s="301"/>
      <c r="O13" s="298"/>
    </row>
    <row r="14" spans="1:15" hidden="1">
      <c r="A14" s="100">
        <v>11</v>
      </c>
      <c r="B14" s="228" t="s">
        <v>287</v>
      </c>
      <c r="C14" s="107" t="s">
        <v>320</v>
      </c>
      <c r="D14" s="107" t="s">
        <v>193</v>
      </c>
      <c r="E14" s="301">
        <v>40</v>
      </c>
      <c r="F14" s="298">
        <v>91.49</v>
      </c>
      <c r="G14" s="298">
        <f t="shared" si="1"/>
        <v>3659.6</v>
      </c>
      <c r="H14" s="334">
        <v>0</v>
      </c>
      <c r="I14" s="334">
        <v>0</v>
      </c>
      <c r="J14" s="298">
        <f t="shared" si="2"/>
        <v>0</v>
      </c>
      <c r="K14" s="298">
        <f t="shared" si="0"/>
        <v>3659.6</v>
      </c>
      <c r="L14" s="299"/>
      <c r="M14" s="301">
        <f t="shared" si="3"/>
        <v>72557.40459999998</v>
      </c>
      <c r="N14" s="301"/>
      <c r="O14" s="298"/>
    </row>
    <row r="15" spans="1:15" hidden="1">
      <c r="A15" s="100">
        <v>12</v>
      </c>
      <c r="B15" s="228" t="s">
        <v>288</v>
      </c>
      <c r="C15" s="107" t="s">
        <v>321</v>
      </c>
      <c r="D15" s="107" t="s">
        <v>180</v>
      </c>
      <c r="E15" s="301">
        <v>0</v>
      </c>
      <c r="F15" s="298">
        <v>0</v>
      </c>
      <c r="G15" s="298">
        <f t="shared" si="1"/>
        <v>0</v>
      </c>
      <c r="H15" s="334">
        <v>3.91</v>
      </c>
      <c r="I15" s="334">
        <v>107.46</v>
      </c>
      <c r="J15" s="298">
        <f t="shared" si="2"/>
        <v>420.16859999999997</v>
      </c>
      <c r="K15" s="298">
        <f t="shared" si="0"/>
        <v>420.16859999999997</v>
      </c>
      <c r="L15" s="299"/>
      <c r="M15" s="301">
        <f t="shared" si="3"/>
        <v>72137.235999999975</v>
      </c>
      <c r="N15" s="301"/>
      <c r="O15" s="298"/>
    </row>
    <row r="16" spans="1:15" hidden="1">
      <c r="A16" s="316">
        <v>13</v>
      </c>
      <c r="B16" s="228" t="s">
        <v>288</v>
      </c>
      <c r="C16" s="107" t="s">
        <v>322</v>
      </c>
      <c r="D16" s="107" t="s">
        <v>191</v>
      </c>
      <c r="E16" s="301">
        <v>86.29</v>
      </c>
      <c r="F16" s="298">
        <v>92.25</v>
      </c>
      <c r="G16" s="298">
        <f t="shared" si="1"/>
        <v>7960.2525000000005</v>
      </c>
      <c r="H16" s="107"/>
      <c r="I16" s="107"/>
      <c r="J16" s="298">
        <f t="shared" si="2"/>
        <v>0</v>
      </c>
      <c r="K16" s="298">
        <f t="shared" si="0"/>
        <v>7960.2525000000005</v>
      </c>
      <c r="L16" s="299"/>
      <c r="M16" s="301">
        <f t="shared" si="3"/>
        <v>64176.983499999973</v>
      </c>
      <c r="N16" s="301"/>
      <c r="O16" s="298"/>
    </row>
    <row r="17" spans="1:15" hidden="1">
      <c r="A17" s="100">
        <v>14</v>
      </c>
      <c r="B17" s="228" t="s">
        <v>289</v>
      </c>
      <c r="C17" s="171" t="s">
        <v>318</v>
      </c>
      <c r="D17" s="171" t="s">
        <v>193</v>
      </c>
      <c r="E17" s="301">
        <v>36</v>
      </c>
      <c r="F17" s="298">
        <v>91.8</v>
      </c>
      <c r="G17" s="298">
        <f t="shared" si="1"/>
        <v>3304.7999999999997</v>
      </c>
      <c r="H17" s="107"/>
      <c r="I17" s="107"/>
      <c r="J17" s="298">
        <f t="shared" si="2"/>
        <v>0</v>
      </c>
      <c r="K17" s="298">
        <f t="shared" si="0"/>
        <v>3304.7999999999997</v>
      </c>
      <c r="L17" s="299">
        <v>700000</v>
      </c>
      <c r="M17" s="301">
        <f t="shared" si="3"/>
        <v>760872.18349999993</v>
      </c>
      <c r="N17" s="301"/>
      <c r="O17" s="298"/>
    </row>
    <row r="18" spans="1:15" hidden="1">
      <c r="A18" s="100">
        <v>15</v>
      </c>
      <c r="B18" s="228" t="s">
        <v>289</v>
      </c>
      <c r="C18" s="17" t="s">
        <v>323</v>
      </c>
      <c r="D18" s="171" t="s">
        <v>324</v>
      </c>
      <c r="E18" s="301">
        <v>4380.2</v>
      </c>
      <c r="F18" s="298">
        <v>91.32</v>
      </c>
      <c r="G18" s="298">
        <f t="shared" si="1"/>
        <v>399999.86399999994</v>
      </c>
      <c r="H18" s="107"/>
      <c r="I18" s="107"/>
      <c r="J18" s="298">
        <f t="shared" si="2"/>
        <v>0</v>
      </c>
      <c r="K18" s="298">
        <f t="shared" si="0"/>
        <v>399999.86399999994</v>
      </c>
      <c r="L18" s="299"/>
      <c r="M18" s="301">
        <f t="shared" si="3"/>
        <v>360872.31949999998</v>
      </c>
      <c r="N18" s="301"/>
      <c r="O18" s="298"/>
    </row>
    <row r="19" spans="1:15">
      <c r="A19" s="316">
        <v>16</v>
      </c>
      <c r="B19" s="228" t="s">
        <v>289</v>
      </c>
      <c r="C19" s="171" t="s">
        <v>325</v>
      </c>
      <c r="D19" s="171" t="s">
        <v>313</v>
      </c>
      <c r="E19" s="301">
        <v>2823</v>
      </c>
      <c r="F19" s="298">
        <v>92.17</v>
      </c>
      <c r="G19" s="298">
        <f t="shared" si="1"/>
        <v>260195.91</v>
      </c>
      <c r="H19" s="107"/>
      <c r="I19" s="107"/>
      <c r="J19" s="298">
        <f t="shared" si="2"/>
        <v>0</v>
      </c>
      <c r="K19" s="298">
        <f t="shared" si="0"/>
        <v>260195.91</v>
      </c>
      <c r="L19" s="299"/>
      <c r="M19" s="301">
        <f t="shared" si="3"/>
        <v>100676.40949999998</v>
      </c>
      <c r="N19" s="322"/>
      <c r="O19" s="300"/>
    </row>
    <row r="20" spans="1:15" hidden="1">
      <c r="A20" s="100">
        <v>17</v>
      </c>
      <c r="B20" s="228" t="s">
        <v>289</v>
      </c>
      <c r="C20" s="407" t="s">
        <v>326</v>
      </c>
      <c r="D20" s="317" t="s">
        <v>309</v>
      </c>
      <c r="E20" s="298"/>
      <c r="F20" s="298"/>
      <c r="G20" s="298">
        <f t="shared" si="1"/>
        <v>0</v>
      </c>
      <c r="H20" s="107">
        <v>5</v>
      </c>
      <c r="I20" s="107">
        <v>109.94</v>
      </c>
      <c r="J20" s="298">
        <f t="shared" si="2"/>
        <v>549.70000000000005</v>
      </c>
      <c r="K20" s="298">
        <f t="shared" si="0"/>
        <v>549.70000000000005</v>
      </c>
      <c r="L20" s="299"/>
      <c r="M20" s="301">
        <f t="shared" si="3"/>
        <v>100126.70949999998</v>
      </c>
      <c r="N20" s="301"/>
      <c r="O20" s="298"/>
    </row>
    <row r="21" spans="1:15" hidden="1">
      <c r="A21" s="100">
        <v>18</v>
      </c>
      <c r="B21" s="406" t="s">
        <v>290</v>
      </c>
      <c r="C21" s="171" t="s">
        <v>317</v>
      </c>
      <c r="D21" s="107" t="s">
        <v>180</v>
      </c>
      <c r="E21" s="298"/>
      <c r="F21" s="298"/>
      <c r="G21" s="298">
        <f t="shared" si="1"/>
        <v>0</v>
      </c>
      <c r="H21" s="107">
        <v>6.98</v>
      </c>
      <c r="I21" s="107">
        <v>109.94</v>
      </c>
      <c r="J21" s="298">
        <f t="shared" si="2"/>
        <v>767.38120000000004</v>
      </c>
      <c r="K21" s="298">
        <f t="shared" si="0"/>
        <v>767.38120000000004</v>
      </c>
      <c r="L21" s="299"/>
      <c r="M21" s="301">
        <f t="shared" si="3"/>
        <v>99359.328299999979</v>
      </c>
      <c r="N21" s="301"/>
      <c r="O21" s="298"/>
    </row>
    <row r="22" spans="1:15" hidden="1">
      <c r="A22" s="316">
        <v>19</v>
      </c>
      <c r="B22" s="406" t="s">
        <v>290</v>
      </c>
      <c r="C22" s="171" t="s">
        <v>327</v>
      </c>
      <c r="D22" s="107" t="s">
        <v>188</v>
      </c>
      <c r="E22" s="298">
        <v>49.22</v>
      </c>
      <c r="F22" s="298">
        <v>95.7</v>
      </c>
      <c r="G22" s="298">
        <f t="shared" si="1"/>
        <v>4710.3540000000003</v>
      </c>
      <c r="H22" s="107"/>
      <c r="I22" s="107"/>
      <c r="J22" s="298">
        <f t="shared" si="2"/>
        <v>0</v>
      </c>
      <c r="K22" s="298">
        <f t="shared" si="0"/>
        <v>4710.3540000000003</v>
      </c>
      <c r="L22" s="299"/>
      <c r="M22" s="301">
        <f t="shared" si="3"/>
        <v>94648.974299999973</v>
      </c>
      <c r="N22" s="322"/>
      <c r="O22" s="300"/>
    </row>
    <row r="23" spans="1:15" hidden="1">
      <c r="A23" s="100">
        <v>20</v>
      </c>
      <c r="B23" s="406" t="s">
        <v>290</v>
      </c>
      <c r="C23" s="171" t="s">
        <v>315</v>
      </c>
      <c r="D23" s="107" t="s">
        <v>319</v>
      </c>
      <c r="E23" s="298">
        <v>80.010000000000005</v>
      </c>
      <c r="F23" s="298">
        <v>92.23</v>
      </c>
      <c r="G23" s="298">
        <f t="shared" si="1"/>
        <v>7379.3223000000007</v>
      </c>
      <c r="H23" s="107">
        <v>5.01</v>
      </c>
      <c r="I23" s="107">
        <v>104.09</v>
      </c>
      <c r="J23" s="298">
        <f t="shared" si="2"/>
        <v>521.49090000000001</v>
      </c>
      <c r="K23" s="298">
        <f t="shared" si="0"/>
        <v>7900.8132000000005</v>
      </c>
      <c r="L23" s="299"/>
      <c r="M23" s="301">
        <f t="shared" si="3"/>
        <v>86748.161099999968</v>
      </c>
      <c r="N23" s="301"/>
      <c r="O23" s="298"/>
    </row>
    <row r="24" spans="1:15" hidden="1">
      <c r="A24" s="100">
        <v>21</v>
      </c>
      <c r="B24" s="406" t="s">
        <v>290</v>
      </c>
      <c r="C24" s="171" t="s">
        <v>318</v>
      </c>
      <c r="D24" s="107" t="s">
        <v>193</v>
      </c>
      <c r="E24" s="298">
        <v>35</v>
      </c>
      <c r="F24" s="298">
        <v>91.8</v>
      </c>
      <c r="G24" s="298">
        <f t="shared" si="1"/>
        <v>3213</v>
      </c>
      <c r="H24" s="107"/>
      <c r="I24" s="107"/>
      <c r="J24" s="298">
        <f t="shared" si="2"/>
        <v>0</v>
      </c>
      <c r="K24" s="298">
        <f t="shared" si="0"/>
        <v>3213</v>
      </c>
      <c r="L24" s="299"/>
      <c r="M24" s="301">
        <f t="shared" si="3"/>
        <v>83535.161099999968</v>
      </c>
      <c r="N24" s="322"/>
      <c r="O24" s="300"/>
    </row>
    <row r="25" spans="1:15" hidden="1">
      <c r="A25" s="316">
        <v>22</v>
      </c>
      <c r="B25" s="406" t="s">
        <v>291</v>
      </c>
      <c r="C25" s="107" t="s">
        <v>328</v>
      </c>
      <c r="D25" s="107" t="s">
        <v>186</v>
      </c>
      <c r="E25" s="298">
        <v>35.53</v>
      </c>
      <c r="F25" s="298">
        <v>95.7</v>
      </c>
      <c r="G25" s="298">
        <f t="shared" si="1"/>
        <v>3400.221</v>
      </c>
      <c r="H25" s="107"/>
      <c r="I25" s="107"/>
      <c r="J25" s="298">
        <f t="shared" si="2"/>
        <v>0</v>
      </c>
      <c r="K25" s="298">
        <f t="shared" si="0"/>
        <v>3400.221</v>
      </c>
      <c r="L25" s="299"/>
      <c r="M25" s="301">
        <f t="shared" si="3"/>
        <v>80134.940099999963</v>
      </c>
      <c r="N25" s="322"/>
      <c r="O25" s="300"/>
    </row>
    <row r="26" spans="1:15" hidden="1">
      <c r="A26" s="100">
        <v>23</v>
      </c>
      <c r="B26" s="406" t="s">
        <v>280</v>
      </c>
      <c r="C26" s="107" t="s">
        <v>329</v>
      </c>
      <c r="D26" s="107" t="s">
        <v>180</v>
      </c>
      <c r="E26" s="298"/>
      <c r="F26" s="298"/>
      <c r="G26" s="298">
        <f t="shared" si="1"/>
        <v>0</v>
      </c>
      <c r="H26" s="107">
        <v>3.38</v>
      </c>
      <c r="I26" s="107">
        <v>107.51</v>
      </c>
      <c r="J26" s="298">
        <f t="shared" si="2"/>
        <v>363.38380000000001</v>
      </c>
      <c r="K26" s="298">
        <f t="shared" si="0"/>
        <v>363.38380000000001</v>
      </c>
      <c r="L26" s="299"/>
      <c r="M26" s="301">
        <f t="shared" si="3"/>
        <v>79771.556299999967</v>
      </c>
      <c r="N26" s="298"/>
      <c r="O26" s="298"/>
    </row>
    <row r="27" spans="1:15" hidden="1">
      <c r="A27" s="100">
        <v>24</v>
      </c>
      <c r="B27" s="406" t="s">
        <v>280</v>
      </c>
      <c r="C27" s="107" t="s">
        <v>315</v>
      </c>
      <c r="D27" s="107" t="s">
        <v>319</v>
      </c>
      <c r="E27" s="298">
        <v>60</v>
      </c>
      <c r="F27" s="298">
        <v>92.23</v>
      </c>
      <c r="G27" s="298">
        <f t="shared" si="1"/>
        <v>5533.8</v>
      </c>
      <c r="H27" s="107">
        <v>5</v>
      </c>
      <c r="I27" s="107">
        <v>104.09</v>
      </c>
      <c r="J27" s="298">
        <f t="shared" si="2"/>
        <v>520.45000000000005</v>
      </c>
      <c r="K27" s="298">
        <f t="shared" si="0"/>
        <v>6054.25</v>
      </c>
      <c r="L27" s="299"/>
      <c r="M27" s="301">
        <f t="shared" si="3"/>
        <v>73717.306299999967</v>
      </c>
      <c r="N27" s="298"/>
      <c r="O27" s="298"/>
    </row>
    <row r="28" spans="1:15" hidden="1">
      <c r="A28" s="316">
        <v>25</v>
      </c>
      <c r="B28" s="406" t="s">
        <v>281</v>
      </c>
      <c r="C28" s="107" t="s">
        <v>323</v>
      </c>
      <c r="D28" s="107" t="s">
        <v>324</v>
      </c>
      <c r="E28" s="298">
        <v>2974.38</v>
      </c>
      <c r="F28" s="298">
        <v>91.32</v>
      </c>
      <c r="G28" s="298">
        <f t="shared" si="1"/>
        <v>271620.38159999996</v>
      </c>
      <c r="H28" s="107"/>
      <c r="I28" s="107"/>
      <c r="J28" s="298">
        <f t="shared" si="2"/>
        <v>0</v>
      </c>
      <c r="K28" s="298">
        <f t="shared" si="0"/>
        <v>271620.38159999996</v>
      </c>
      <c r="L28" s="299">
        <v>1000000</v>
      </c>
      <c r="M28" s="301">
        <f t="shared" si="3"/>
        <v>802096.92470000009</v>
      </c>
      <c r="N28" s="298"/>
      <c r="O28" s="298"/>
    </row>
    <row r="29" spans="1:15" hidden="1">
      <c r="A29" s="100">
        <v>26</v>
      </c>
      <c r="B29" s="406" t="s">
        <v>281</v>
      </c>
      <c r="C29" s="107" t="s">
        <v>330</v>
      </c>
      <c r="D29" s="107" t="s">
        <v>313</v>
      </c>
      <c r="E29" s="107">
        <v>1640.77</v>
      </c>
      <c r="F29" s="107">
        <v>91.42</v>
      </c>
      <c r="G29" s="298">
        <f t="shared" si="1"/>
        <v>149999.19339999999</v>
      </c>
      <c r="H29" s="107"/>
      <c r="I29" s="107"/>
      <c r="J29" s="298">
        <f t="shared" si="2"/>
        <v>0</v>
      </c>
      <c r="K29" s="298">
        <f t="shared" si="0"/>
        <v>149999.19339999999</v>
      </c>
      <c r="L29" s="299"/>
      <c r="M29" s="301">
        <f t="shared" si="3"/>
        <v>652097.7313000001</v>
      </c>
      <c r="N29" s="298"/>
      <c r="O29" s="298"/>
    </row>
    <row r="30" spans="1:15" ht="14.25" hidden="1" customHeight="1">
      <c r="A30" s="100">
        <v>27</v>
      </c>
      <c r="B30" s="406" t="s">
        <v>281</v>
      </c>
      <c r="C30" s="171" t="s">
        <v>314</v>
      </c>
      <c r="D30" s="107" t="s">
        <v>313</v>
      </c>
      <c r="E30" s="298">
        <v>505</v>
      </c>
      <c r="F30" s="298">
        <v>92.22</v>
      </c>
      <c r="G30" s="298">
        <f t="shared" si="1"/>
        <v>46571.1</v>
      </c>
      <c r="H30" s="107">
        <v>10</v>
      </c>
      <c r="I30" s="107">
        <v>104.08</v>
      </c>
      <c r="J30" s="298">
        <f t="shared" si="2"/>
        <v>1040.8</v>
      </c>
      <c r="K30" s="298">
        <f t="shared" si="0"/>
        <v>47611.9</v>
      </c>
      <c r="L30" s="299"/>
      <c r="M30" s="301">
        <f t="shared" si="3"/>
        <v>604485.83130000008</v>
      </c>
      <c r="N30" s="298"/>
      <c r="O30" s="298"/>
    </row>
    <row r="31" spans="1:15" hidden="1">
      <c r="A31" s="316">
        <v>28</v>
      </c>
      <c r="B31" s="406" t="s">
        <v>281</v>
      </c>
      <c r="C31" s="107" t="s">
        <v>331</v>
      </c>
      <c r="D31" s="107" t="s">
        <v>309</v>
      </c>
      <c r="E31" s="107"/>
      <c r="F31" s="107"/>
      <c r="G31" s="298">
        <f t="shared" si="1"/>
        <v>0</v>
      </c>
      <c r="H31" s="107">
        <v>5</v>
      </c>
      <c r="I31" s="107">
        <v>109.2</v>
      </c>
      <c r="J31" s="298">
        <f t="shared" si="2"/>
        <v>546</v>
      </c>
      <c r="K31" s="298">
        <f t="shared" si="0"/>
        <v>546</v>
      </c>
      <c r="L31" s="299"/>
      <c r="M31" s="301">
        <f t="shared" si="3"/>
        <v>603939.83130000008</v>
      </c>
      <c r="N31" s="298"/>
      <c r="O31" s="298"/>
    </row>
    <row r="32" spans="1:15" hidden="1">
      <c r="A32" s="100">
        <v>29</v>
      </c>
      <c r="B32" s="406" t="s">
        <v>281</v>
      </c>
      <c r="C32" s="107" t="s">
        <v>332</v>
      </c>
      <c r="D32" s="107" t="s">
        <v>313</v>
      </c>
      <c r="E32" s="107">
        <v>3263.36</v>
      </c>
      <c r="F32" s="107">
        <v>91.93</v>
      </c>
      <c r="G32" s="298">
        <f t="shared" si="1"/>
        <v>300000.68480000005</v>
      </c>
      <c r="H32" s="107"/>
      <c r="I32" s="107"/>
      <c r="J32" s="298">
        <f t="shared" si="2"/>
        <v>0</v>
      </c>
      <c r="K32" s="298">
        <f t="shared" si="0"/>
        <v>300000.68480000005</v>
      </c>
      <c r="L32" s="299"/>
      <c r="M32" s="301">
        <f t="shared" si="3"/>
        <v>303939.14650000003</v>
      </c>
      <c r="N32" s="298"/>
      <c r="O32" s="298"/>
    </row>
    <row r="33" spans="1:15" hidden="1">
      <c r="A33" s="100">
        <v>30</v>
      </c>
      <c r="B33" s="406" t="s">
        <v>281</v>
      </c>
      <c r="C33" s="107" t="s">
        <v>333</v>
      </c>
      <c r="D33" s="107" t="s">
        <v>188</v>
      </c>
      <c r="E33" s="107">
        <v>54.57</v>
      </c>
      <c r="F33" s="107">
        <v>97.12</v>
      </c>
      <c r="G33" s="298">
        <f t="shared" si="1"/>
        <v>5299.8384000000005</v>
      </c>
      <c r="H33" s="107"/>
      <c r="I33" s="107"/>
      <c r="J33" s="298">
        <f t="shared" si="2"/>
        <v>0</v>
      </c>
      <c r="K33" s="298">
        <f t="shared" si="0"/>
        <v>5299.8384000000005</v>
      </c>
      <c r="L33" s="299"/>
      <c r="M33" s="301">
        <f t="shared" si="3"/>
        <v>298639.30810000002</v>
      </c>
      <c r="N33" s="302"/>
      <c r="O33" s="302"/>
    </row>
    <row r="34" spans="1:15" hidden="1">
      <c r="A34" s="316">
        <v>31</v>
      </c>
      <c r="B34" s="406" t="s">
        <v>119</v>
      </c>
      <c r="C34" s="171"/>
      <c r="D34" s="171"/>
      <c r="E34" s="298"/>
      <c r="F34" s="298"/>
      <c r="G34" s="298">
        <f t="shared" si="1"/>
        <v>0</v>
      </c>
      <c r="H34" s="107"/>
      <c r="I34" s="107"/>
      <c r="J34" s="298">
        <f t="shared" si="2"/>
        <v>0</v>
      </c>
      <c r="K34" s="298">
        <f t="shared" si="0"/>
        <v>0</v>
      </c>
      <c r="L34" s="299"/>
      <c r="M34" s="301">
        <f t="shared" si="3"/>
        <v>298639.30810000002</v>
      </c>
      <c r="N34" s="300"/>
      <c r="O34" s="300"/>
    </row>
    <row r="35" spans="1:15" hidden="1">
      <c r="A35" s="100">
        <v>32</v>
      </c>
      <c r="B35" s="406" t="s">
        <v>282</v>
      </c>
      <c r="C35" s="107" t="s">
        <v>318</v>
      </c>
      <c r="D35" s="334" t="s">
        <v>193</v>
      </c>
      <c r="E35" s="298">
        <v>45</v>
      </c>
      <c r="F35" s="298">
        <v>91.8</v>
      </c>
      <c r="G35" s="298">
        <f t="shared" si="1"/>
        <v>4131</v>
      </c>
      <c r="H35" s="107"/>
      <c r="I35" s="107"/>
      <c r="J35" s="298">
        <f t="shared" si="2"/>
        <v>0</v>
      </c>
      <c r="K35" s="298">
        <f t="shared" si="0"/>
        <v>4131</v>
      </c>
      <c r="L35" s="299"/>
      <c r="M35" s="301">
        <f t="shared" si="3"/>
        <v>294508.30810000002</v>
      </c>
      <c r="N35" s="300"/>
      <c r="O35" s="300"/>
    </row>
    <row r="36" spans="1:15" hidden="1">
      <c r="A36" s="100">
        <v>33</v>
      </c>
      <c r="B36" s="406" t="s">
        <v>282</v>
      </c>
      <c r="C36" s="107" t="s">
        <v>315</v>
      </c>
      <c r="D36" s="107" t="s">
        <v>319</v>
      </c>
      <c r="E36" s="107">
        <v>59.99</v>
      </c>
      <c r="F36" s="107">
        <v>92.23</v>
      </c>
      <c r="G36" s="298">
        <f t="shared" si="1"/>
        <v>5532.8777</v>
      </c>
      <c r="H36" s="107">
        <v>5</v>
      </c>
      <c r="I36" s="107">
        <v>104.09</v>
      </c>
      <c r="J36" s="298">
        <f t="shared" si="2"/>
        <v>520.45000000000005</v>
      </c>
      <c r="K36" s="298">
        <f t="shared" si="0"/>
        <v>6053.3276999999998</v>
      </c>
      <c r="L36" s="299"/>
      <c r="M36" s="301">
        <f t="shared" si="3"/>
        <v>288454.9804</v>
      </c>
      <c r="N36" s="300"/>
      <c r="O36" s="300"/>
    </row>
    <row r="37" spans="1:15" hidden="1">
      <c r="A37" s="316">
        <v>34</v>
      </c>
      <c r="B37" s="406" t="s">
        <v>283</v>
      </c>
      <c r="C37" s="171" t="s">
        <v>334</v>
      </c>
      <c r="D37" s="107" t="s">
        <v>319</v>
      </c>
      <c r="E37" s="107">
        <v>5.22</v>
      </c>
      <c r="F37" s="107">
        <v>95.7</v>
      </c>
      <c r="G37" s="298">
        <f t="shared" si="1"/>
        <v>499.55399999999997</v>
      </c>
      <c r="H37" s="107"/>
      <c r="I37" s="107"/>
      <c r="J37" s="298">
        <f t="shared" si="2"/>
        <v>0</v>
      </c>
      <c r="K37" s="298">
        <f t="shared" si="0"/>
        <v>499.55399999999997</v>
      </c>
      <c r="L37" s="299"/>
      <c r="M37" s="301">
        <f t="shared" si="3"/>
        <v>287955.4264</v>
      </c>
      <c r="N37" s="300"/>
      <c r="O37" s="300"/>
    </row>
    <row r="38" spans="1:15" hidden="1">
      <c r="A38" s="100">
        <v>35</v>
      </c>
      <c r="B38" s="406" t="s">
        <v>283</v>
      </c>
      <c r="C38" s="171" t="s">
        <v>315</v>
      </c>
      <c r="D38" s="107" t="s">
        <v>313</v>
      </c>
      <c r="E38" s="107">
        <v>2312.85</v>
      </c>
      <c r="F38" s="107">
        <v>92.23</v>
      </c>
      <c r="G38" s="298">
        <f t="shared" si="1"/>
        <v>213314.15549999999</v>
      </c>
      <c r="H38" s="107"/>
      <c r="I38" s="107"/>
      <c r="J38" s="298">
        <f t="shared" si="2"/>
        <v>0</v>
      </c>
      <c r="K38" s="298">
        <f t="shared" si="0"/>
        <v>213314.15549999999</v>
      </c>
      <c r="L38" s="299"/>
      <c r="M38" s="301">
        <f t="shared" si="3"/>
        <v>74641.270900000003</v>
      </c>
      <c r="N38" s="300"/>
      <c r="O38" s="300"/>
    </row>
    <row r="39" spans="1:15" hidden="1">
      <c r="A39" s="100">
        <v>36</v>
      </c>
      <c r="B39" s="406" t="s">
        <v>283</v>
      </c>
      <c r="C39" s="107" t="s">
        <v>318</v>
      </c>
      <c r="D39" s="107" t="s">
        <v>193</v>
      </c>
      <c r="E39" s="107">
        <v>45</v>
      </c>
      <c r="F39" s="107">
        <v>91.8</v>
      </c>
      <c r="G39" s="298">
        <f t="shared" si="1"/>
        <v>4131</v>
      </c>
      <c r="H39" s="107"/>
      <c r="I39" s="107"/>
      <c r="J39" s="298">
        <f t="shared" si="2"/>
        <v>0</v>
      </c>
      <c r="K39" s="298">
        <f t="shared" si="0"/>
        <v>4131</v>
      </c>
      <c r="L39" s="299"/>
      <c r="M39" s="301">
        <f t="shared" si="3"/>
        <v>70510.270900000003</v>
      </c>
      <c r="N39" s="300"/>
      <c r="O39" s="300"/>
    </row>
    <row r="40" spans="1:15" hidden="1">
      <c r="A40" s="316">
        <v>37</v>
      </c>
      <c r="B40" s="406" t="s">
        <v>283</v>
      </c>
      <c r="C40" s="107" t="s">
        <v>314</v>
      </c>
      <c r="D40" s="320" t="s">
        <v>313</v>
      </c>
      <c r="E40" s="320">
        <v>270</v>
      </c>
      <c r="F40" s="320">
        <v>92.22</v>
      </c>
      <c r="G40" s="300">
        <f t="shared" si="1"/>
        <v>24899.4</v>
      </c>
      <c r="H40" s="320"/>
      <c r="I40" s="320"/>
      <c r="J40" s="300">
        <f t="shared" si="2"/>
        <v>0</v>
      </c>
      <c r="K40" s="298">
        <f t="shared" si="0"/>
        <v>24899.4</v>
      </c>
      <c r="L40" s="299"/>
      <c r="M40" s="301">
        <f t="shared" si="3"/>
        <v>45610.870900000002</v>
      </c>
      <c r="N40" s="300"/>
      <c r="O40" s="300"/>
    </row>
    <row r="41" spans="1:15" hidden="1">
      <c r="A41" s="100">
        <v>38</v>
      </c>
      <c r="B41" s="406" t="s">
        <v>293</v>
      </c>
      <c r="C41" s="334" t="s">
        <v>335</v>
      </c>
      <c r="D41" s="107" t="s">
        <v>309</v>
      </c>
      <c r="E41" s="107">
        <v>42.38</v>
      </c>
      <c r="F41" s="107">
        <v>96.74</v>
      </c>
      <c r="G41" s="298">
        <f t="shared" si="1"/>
        <v>4099.8411999999998</v>
      </c>
      <c r="H41" s="107"/>
      <c r="I41" s="107"/>
      <c r="J41" s="298">
        <f t="shared" si="2"/>
        <v>0</v>
      </c>
      <c r="K41" s="298">
        <f t="shared" si="0"/>
        <v>4099.8411999999998</v>
      </c>
      <c r="L41" s="299"/>
      <c r="M41" s="301">
        <f t="shared" si="3"/>
        <v>41511.029699999999</v>
      </c>
      <c r="N41" s="298"/>
      <c r="O41" s="298"/>
    </row>
    <row r="42" spans="1:15" hidden="1">
      <c r="A42" s="100">
        <v>39</v>
      </c>
      <c r="B42" s="406" t="s">
        <v>293</v>
      </c>
      <c r="C42" s="334" t="s">
        <v>336</v>
      </c>
      <c r="D42" s="107" t="s">
        <v>193</v>
      </c>
      <c r="E42" s="107">
        <v>43.53</v>
      </c>
      <c r="F42" s="107">
        <v>93.28</v>
      </c>
      <c r="G42" s="298">
        <f t="shared" si="1"/>
        <v>4060.4784</v>
      </c>
      <c r="H42" s="107"/>
      <c r="I42" s="107"/>
      <c r="J42" s="298">
        <f t="shared" si="2"/>
        <v>0</v>
      </c>
      <c r="K42" s="298">
        <f t="shared" si="0"/>
        <v>4060.4784</v>
      </c>
      <c r="L42" s="299"/>
      <c r="M42" s="301">
        <f t="shared" si="3"/>
        <v>37450.551299999999</v>
      </c>
      <c r="N42" s="298"/>
      <c r="O42" s="298"/>
    </row>
    <row r="43" spans="1:15" hidden="1">
      <c r="A43" s="316">
        <v>40</v>
      </c>
      <c r="B43" s="406" t="s">
        <v>293</v>
      </c>
      <c r="C43" s="334" t="s">
        <v>337</v>
      </c>
      <c r="D43" s="107" t="s">
        <v>309</v>
      </c>
      <c r="E43" s="298"/>
      <c r="F43" s="298"/>
      <c r="G43" s="298">
        <f t="shared" si="1"/>
        <v>0</v>
      </c>
      <c r="H43" s="107">
        <v>5</v>
      </c>
      <c r="I43" s="107">
        <v>108.86</v>
      </c>
      <c r="J43" s="298">
        <f t="shared" si="2"/>
        <v>544.29999999999995</v>
      </c>
      <c r="K43" s="298">
        <f t="shared" si="0"/>
        <v>544.29999999999995</v>
      </c>
      <c r="L43" s="299"/>
      <c r="M43" s="301">
        <f t="shared" si="3"/>
        <v>36906.251299999996</v>
      </c>
      <c r="N43" s="298"/>
      <c r="O43" s="298"/>
    </row>
    <row r="44" spans="1:15" hidden="1">
      <c r="A44" s="100">
        <v>41</v>
      </c>
      <c r="B44" s="406" t="s">
        <v>284</v>
      </c>
      <c r="C44" s="413" t="s">
        <v>312</v>
      </c>
      <c r="D44" s="107" t="s">
        <v>313</v>
      </c>
      <c r="E44" s="298">
        <v>2994.84</v>
      </c>
      <c r="F44" s="298">
        <v>91.49</v>
      </c>
      <c r="G44" s="298">
        <f t="shared" si="1"/>
        <v>273997.91159999999</v>
      </c>
      <c r="H44" s="107"/>
      <c r="I44" s="107"/>
      <c r="J44" s="298">
        <f t="shared" si="2"/>
        <v>0</v>
      </c>
      <c r="K44" s="298">
        <f t="shared" si="0"/>
        <v>273997.91159999999</v>
      </c>
      <c r="L44" s="299">
        <v>1920000</v>
      </c>
      <c r="M44" s="301">
        <f t="shared" si="3"/>
        <v>1682908.3396999999</v>
      </c>
      <c r="N44" s="298"/>
      <c r="O44" s="298"/>
    </row>
    <row r="45" spans="1:15" hidden="1">
      <c r="A45" s="100">
        <v>42</v>
      </c>
      <c r="B45" s="406" t="s">
        <v>284</v>
      </c>
      <c r="C45" s="107" t="s">
        <v>330</v>
      </c>
      <c r="D45" s="317" t="s">
        <v>313</v>
      </c>
      <c r="E45" s="302">
        <v>645.37</v>
      </c>
      <c r="F45" s="302">
        <v>91.42</v>
      </c>
      <c r="G45" s="298">
        <f t="shared" si="1"/>
        <v>58999.725400000003</v>
      </c>
      <c r="H45" s="317"/>
      <c r="I45" s="317"/>
      <c r="J45" s="298">
        <f t="shared" si="2"/>
        <v>0</v>
      </c>
      <c r="K45" s="298">
        <f t="shared" si="0"/>
        <v>58999.725400000003</v>
      </c>
      <c r="L45" s="299"/>
      <c r="M45" s="301">
        <f t="shared" si="3"/>
        <v>1623908.6142999998</v>
      </c>
      <c r="N45" s="298"/>
      <c r="O45" s="298"/>
    </row>
    <row r="46" spans="1:15" hidden="1">
      <c r="A46" s="316">
        <v>43</v>
      </c>
      <c r="B46" s="406" t="s">
        <v>284</v>
      </c>
      <c r="C46" s="107" t="s">
        <v>315</v>
      </c>
      <c r="D46" s="107" t="s">
        <v>319</v>
      </c>
      <c r="E46" s="298">
        <v>60</v>
      </c>
      <c r="F46" s="298">
        <v>92.23</v>
      </c>
      <c r="G46" s="298">
        <f t="shared" si="1"/>
        <v>5533.8</v>
      </c>
      <c r="H46" s="107">
        <v>5</v>
      </c>
      <c r="I46" s="107">
        <v>104.09</v>
      </c>
      <c r="J46" s="298">
        <f t="shared" si="2"/>
        <v>520.45000000000005</v>
      </c>
      <c r="K46" s="298">
        <f t="shared" si="0"/>
        <v>6054.25</v>
      </c>
      <c r="L46" s="299"/>
      <c r="M46" s="301">
        <f t="shared" si="3"/>
        <v>1617854.3642999998</v>
      </c>
      <c r="N46" s="298"/>
      <c r="O46" s="298"/>
    </row>
    <row r="47" spans="1:15" hidden="1">
      <c r="A47" s="100">
        <v>44</v>
      </c>
      <c r="B47" s="406" t="s">
        <v>284</v>
      </c>
      <c r="C47" s="107" t="s">
        <v>338</v>
      </c>
      <c r="D47" s="107" t="s">
        <v>319</v>
      </c>
      <c r="E47" s="298">
        <v>5741.22</v>
      </c>
      <c r="F47" s="298">
        <v>91.14</v>
      </c>
      <c r="G47" s="298">
        <f t="shared" si="1"/>
        <v>523254.79080000002</v>
      </c>
      <c r="H47" s="107"/>
      <c r="I47" s="107"/>
      <c r="J47" s="298">
        <f t="shared" si="2"/>
        <v>0</v>
      </c>
      <c r="K47" s="298">
        <f t="shared" si="0"/>
        <v>523254.79080000002</v>
      </c>
      <c r="L47" s="299"/>
      <c r="M47" s="301">
        <f t="shared" si="3"/>
        <v>1094599.5734999997</v>
      </c>
      <c r="N47" s="298"/>
      <c r="O47" s="298"/>
    </row>
    <row r="48" spans="1:15" hidden="1">
      <c r="A48" s="100">
        <v>45</v>
      </c>
      <c r="B48" s="406" t="s">
        <v>284</v>
      </c>
      <c r="C48" s="107" t="s">
        <v>332</v>
      </c>
      <c r="D48" s="317" t="s">
        <v>313</v>
      </c>
      <c r="E48" s="298">
        <v>2132.06</v>
      </c>
      <c r="F48" s="298">
        <v>91.93</v>
      </c>
      <c r="G48" s="298">
        <f t="shared" si="1"/>
        <v>196000.2758</v>
      </c>
      <c r="H48" s="107"/>
      <c r="I48" s="107"/>
      <c r="J48" s="298">
        <f t="shared" si="2"/>
        <v>0</v>
      </c>
      <c r="K48" s="298">
        <f t="shared" si="0"/>
        <v>196000.2758</v>
      </c>
      <c r="L48" s="299"/>
      <c r="M48" s="301">
        <f t="shared" si="3"/>
        <v>898599.29769999976</v>
      </c>
      <c r="N48" s="298"/>
      <c r="O48" s="298"/>
    </row>
    <row r="49" spans="1:15">
      <c r="A49" s="316">
        <v>46</v>
      </c>
      <c r="B49" s="406" t="s">
        <v>284</v>
      </c>
      <c r="C49" s="107" t="s">
        <v>325</v>
      </c>
      <c r="D49" s="107" t="s">
        <v>313</v>
      </c>
      <c r="E49" s="107">
        <v>2629.01</v>
      </c>
      <c r="F49" s="107">
        <v>92.17</v>
      </c>
      <c r="G49" s="298">
        <f t="shared" si="1"/>
        <v>242315.85170000003</v>
      </c>
      <c r="H49" s="107"/>
      <c r="I49" s="107"/>
      <c r="J49" s="298">
        <f t="shared" si="2"/>
        <v>0</v>
      </c>
      <c r="K49" s="298">
        <f t="shared" si="0"/>
        <v>242315.85170000003</v>
      </c>
      <c r="L49" s="299"/>
      <c r="M49" s="301">
        <f t="shared" si="3"/>
        <v>656283.44599999976</v>
      </c>
      <c r="N49" s="298"/>
      <c r="O49" s="298"/>
    </row>
    <row r="50" spans="1:15" hidden="1">
      <c r="A50" s="100">
        <v>47</v>
      </c>
      <c r="B50" s="406" t="s">
        <v>284</v>
      </c>
      <c r="C50" s="107" t="s">
        <v>339</v>
      </c>
      <c r="D50" s="107" t="s">
        <v>193</v>
      </c>
      <c r="E50" s="107">
        <v>40</v>
      </c>
      <c r="F50" s="107">
        <v>94.21</v>
      </c>
      <c r="G50" s="298">
        <f t="shared" si="1"/>
        <v>3768.3999999999996</v>
      </c>
      <c r="H50" s="107"/>
      <c r="I50" s="107"/>
      <c r="J50" s="298">
        <f t="shared" si="2"/>
        <v>0</v>
      </c>
      <c r="K50" s="298">
        <f t="shared" si="0"/>
        <v>3768.3999999999996</v>
      </c>
      <c r="L50" s="299"/>
      <c r="M50" s="301">
        <f t="shared" si="3"/>
        <v>652515.04599999974</v>
      </c>
      <c r="N50" s="298"/>
      <c r="O50" s="298"/>
    </row>
    <row r="51" spans="1:15" hidden="1">
      <c r="A51" s="100">
        <v>48</v>
      </c>
      <c r="B51" s="406" t="s">
        <v>284</v>
      </c>
      <c r="C51" s="107" t="s">
        <v>340</v>
      </c>
      <c r="D51" s="107" t="s">
        <v>341</v>
      </c>
      <c r="E51" s="107">
        <v>3285.15</v>
      </c>
      <c r="F51" s="107">
        <v>91.32</v>
      </c>
      <c r="G51" s="298">
        <f t="shared" si="1"/>
        <v>299999.89799999999</v>
      </c>
      <c r="H51" s="107"/>
      <c r="I51" s="107"/>
      <c r="J51" s="298">
        <f t="shared" si="2"/>
        <v>0</v>
      </c>
      <c r="K51" s="298">
        <f t="shared" si="0"/>
        <v>299999.89799999999</v>
      </c>
      <c r="L51" s="299"/>
      <c r="M51" s="301">
        <f t="shared" si="3"/>
        <v>352515.14799999975</v>
      </c>
      <c r="N51" s="298"/>
      <c r="O51" s="298"/>
    </row>
    <row r="52" spans="1:15" hidden="1">
      <c r="A52" s="316">
        <v>49</v>
      </c>
      <c r="B52" s="406" t="s">
        <v>284</v>
      </c>
      <c r="C52" s="107" t="s">
        <v>310</v>
      </c>
      <c r="D52" s="107" t="s">
        <v>311</v>
      </c>
      <c r="E52" s="107">
        <v>952.02</v>
      </c>
      <c r="F52" s="107">
        <v>90.88</v>
      </c>
      <c r="G52" s="298">
        <f t="shared" si="1"/>
        <v>86519.57759999999</v>
      </c>
      <c r="H52" s="107"/>
      <c r="I52" s="107"/>
      <c r="J52" s="298">
        <f t="shared" si="2"/>
        <v>0</v>
      </c>
      <c r="K52" s="298">
        <f t="shared" si="0"/>
        <v>86519.57759999999</v>
      </c>
      <c r="L52" s="299"/>
      <c r="M52" s="301">
        <f t="shared" si="3"/>
        <v>265995.57039999973</v>
      </c>
      <c r="N52" s="322"/>
      <c r="O52" s="300"/>
    </row>
    <row r="53" spans="1:15" hidden="1">
      <c r="A53" s="100">
        <v>50</v>
      </c>
      <c r="B53" s="406" t="s">
        <v>250</v>
      </c>
      <c r="C53" s="171" t="s">
        <v>342</v>
      </c>
      <c r="D53" s="107" t="s">
        <v>193</v>
      </c>
      <c r="E53" s="107">
        <v>43</v>
      </c>
      <c r="F53" s="107">
        <v>92.13</v>
      </c>
      <c r="G53" s="298">
        <f t="shared" si="1"/>
        <v>3961.5899999999997</v>
      </c>
      <c r="H53" s="107"/>
      <c r="I53" s="107"/>
      <c r="J53" s="298">
        <f t="shared" si="2"/>
        <v>0</v>
      </c>
      <c r="K53" s="298">
        <f t="shared" si="0"/>
        <v>3961.5899999999997</v>
      </c>
      <c r="L53" s="299"/>
      <c r="M53" s="301">
        <f t="shared" si="3"/>
        <v>262033.98039999974</v>
      </c>
      <c r="N53" s="322"/>
      <c r="O53" s="300"/>
    </row>
    <row r="54" spans="1:15" hidden="1">
      <c r="A54" s="100">
        <v>51</v>
      </c>
      <c r="B54" s="406" t="s">
        <v>251</v>
      </c>
      <c r="C54" s="171" t="s">
        <v>316</v>
      </c>
      <c r="D54" s="320" t="s">
        <v>186</v>
      </c>
      <c r="E54" s="107">
        <v>33.44</v>
      </c>
      <c r="F54" s="107">
        <v>95.7</v>
      </c>
      <c r="G54" s="298">
        <f t="shared" si="1"/>
        <v>3200.2080000000001</v>
      </c>
      <c r="H54" s="107"/>
      <c r="I54" s="107"/>
      <c r="J54" s="298">
        <f t="shared" si="2"/>
        <v>0</v>
      </c>
      <c r="K54" s="298">
        <f t="shared" si="0"/>
        <v>3200.2080000000001</v>
      </c>
      <c r="L54" s="299"/>
      <c r="M54" s="301">
        <f t="shared" si="3"/>
        <v>258833.77239999973</v>
      </c>
      <c r="N54" s="322"/>
      <c r="O54" s="300"/>
    </row>
    <row r="55" spans="1:15" hidden="1">
      <c r="A55" s="316">
        <v>52</v>
      </c>
      <c r="B55" s="406" t="s">
        <v>252</v>
      </c>
      <c r="C55" s="414" t="s">
        <v>343</v>
      </c>
      <c r="D55" s="107" t="s">
        <v>180</v>
      </c>
      <c r="E55" s="301"/>
      <c r="F55" s="298"/>
      <c r="G55" s="298">
        <f t="shared" si="1"/>
        <v>0</v>
      </c>
      <c r="H55" s="107">
        <v>4.08</v>
      </c>
      <c r="I55" s="107">
        <v>107.51</v>
      </c>
      <c r="J55" s="298">
        <f t="shared" si="2"/>
        <v>438.64080000000001</v>
      </c>
      <c r="K55" s="298">
        <f t="shared" si="0"/>
        <v>438.64080000000001</v>
      </c>
      <c r="L55" s="299"/>
      <c r="M55" s="301">
        <f t="shared" si="3"/>
        <v>258395.13159999973</v>
      </c>
      <c r="N55" s="301"/>
      <c r="O55" s="298"/>
    </row>
    <row r="56" spans="1:15" hidden="1">
      <c r="A56" s="100">
        <v>53</v>
      </c>
      <c r="B56" s="406" t="s">
        <v>252</v>
      </c>
      <c r="C56" s="413" t="s">
        <v>337</v>
      </c>
      <c r="D56" s="107" t="s">
        <v>309</v>
      </c>
      <c r="E56" s="323">
        <v>45.62</v>
      </c>
      <c r="F56" s="107">
        <v>96.74</v>
      </c>
      <c r="G56" s="298">
        <f t="shared" si="1"/>
        <v>4413.2787999999991</v>
      </c>
      <c r="H56" s="107"/>
      <c r="I56" s="107"/>
      <c r="J56" s="298">
        <f t="shared" si="2"/>
        <v>0</v>
      </c>
      <c r="K56" s="298">
        <f t="shared" si="0"/>
        <v>4413.2787999999991</v>
      </c>
      <c r="L56" s="299"/>
      <c r="M56" s="301">
        <f t="shared" si="3"/>
        <v>253981.85279999973</v>
      </c>
      <c r="N56" s="298"/>
      <c r="O56" s="298"/>
    </row>
    <row r="57" spans="1:15" hidden="1">
      <c r="A57" s="100">
        <v>54</v>
      </c>
      <c r="B57" s="406" t="s">
        <v>252</v>
      </c>
      <c r="C57" s="415" t="s">
        <v>344</v>
      </c>
      <c r="D57" s="107" t="s">
        <v>193</v>
      </c>
      <c r="E57" s="343">
        <v>40</v>
      </c>
      <c r="F57" s="317">
        <v>90.98</v>
      </c>
      <c r="G57" s="298">
        <f t="shared" si="1"/>
        <v>3639.2000000000003</v>
      </c>
      <c r="H57" s="317"/>
      <c r="I57" s="317"/>
      <c r="J57" s="298">
        <f t="shared" si="2"/>
        <v>0</v>
      </c>
      <c r="K57" s="298">
        <f t="shared" si="0"/>
        <v>3639.2000000000003</v>
      </c>
      <c r="L57" s="357"/>
      <c r="M57" s="301">
        <f t="shared" si="3"/>
        <v>250342.65279999972</v>
      </c>
      <c r="N57" s="298"/>
      <c r="O57" s="298"/>
    </row>
    <row r="58" spans="1:15" hidden="1">
      <c r="A58" s="316">
        <v>55</v>
      </c>
      <c r="B58" s="344" t="s">
        <v>253</v>
      </c>
      <c r="C58" s="171" t="s">
        <v>327</v>
      </c>
      <c r="D58" s="358" t="s">
        <v>188</v>
      </c>
      <c r="E58" s="334">
        <v>49.8</v>
      </c>
      <c r="F58" s="302">
        <v>95.7</v>
      </c>
      <c r="G58" s="298">
        <f t="shared" si="1"/>
        <v>4765.8599999999997</v>
      </c>
      <c r="H58" s="317"/>
      <c r="I58" s="317"/>
      <c r="J58" s="298">
        <f t="shared" si="2"/>
        <v>0</v>
      </c>
      <c r="K58" s="298">
        <f t="shared" si="0"/>
        <v>4765.8599999999997</v>
      </c>
      <c r="L58" s="299"/>
      <c r="M58" s="301">
        <f t="shared" si="3"/>
        <v>245576.79279999973</v>
      </c>
      <c r="N58" s="298"/>
      <c r="O58" s="298"/>
    </row>
    <row r="59" spans="1:15" hidden="1">
      <c r="A59" s="100">
        <v>56</v>
      </c>
      <c r="B59" s="344" t="s">
        <v>253</v>
      </c>
      <c r="C59" s="171" t="s">
        <v>322</v>
      </c>
      <c r="D59" s="323" t="s">
        <v>191</v>
      </c>
      <c r="E59" s="301">
        <v>145.61000000000001</v>
      </c>
      <c r="F59" s="298">
        <v>92.25</v>
      </c>
      <c r="G59" s="298">
        <f t="shared" si="1"/>
        <v>13432.522500000001</v>
      </c>
      <c r="H59" s="107"/>
      <c r="I59" s="107"/>
      <c r="J59" s="298">
        <f t="shared" si="2"/>
        <v>0</v>
      </c>
      <c r="K59" s="298">
        <f t="shared" si="0"/>
        <v>13432.522500000001</v>
      </c>
      <c r="L59" s="299"/>
      <c r="M59" s="301">
        <f t="shared" si="3"/>
        <v>232144.27029999974</v>
      </c>
      <c r="N59" s="300"/>
      <c r="O59" s="300"/>
    </row>
    <row r="60" spans="1:15" hidden="1">
      <c r="A60" s="100">
        <v>57</v>
      </c>
      <c r="B60" s="344" t="s">
        <v>253</v>
      </c>
      <c r="C60" s="171" t="s">
        <v>316</v>
      </c>
      <c r="D60" s="323" t="s">
        <v>180</v>
      </c>
      <c r="E60" s="301">
        <v>60</v>
      </c>
      <c r="F60" s="298">
        <v>95.7</v>
      </c>
      <c r="G60" s="298">
        <f t="shared" si="1"/>
        <v>5742</v>
      </c>
      <c r="H60" s="107"/>
      <c r="I60" s="107"/>
      <c r="J60" s="298">
        <f t="shared" si="2"/>
        <v>0</v>
      </c>
      <c r="K60" s="298">
        <f t="shared" si="0"/>
        <v>5742</v>
      </c>
      <c r="L60" s="299"/>
      <c r="M60" s="301">
        <f t="shared" si="3"/>
        <v>226402.27029999974</v>
      </c>
      <c r="N60" s="298"/>
      <c r="O60" s="298"/>
    </row>
    <row r="61" spans="1:15" hidden="1">
      <c r="A61" s="316">
        <v>58</v>
      </c>
      <c r="B61" s="344" t="s">
        <v>253</v>
      </c>
      <c r="C61" s="325" t="s">
        <v>337</v>
      </c>
      <c r="D61" s="323" t="s">
        <v>309</v>
      </c>
      <c r="E61" s="301"/>
      <c r="F61" s="298"/>
      <c r="G61" s="298">
        <f t="shared" si="1"/>
        <v>0</v>
      </c>
      <c r="H61" s="107">
        <v>5</v>
      </c>
      <c r="I61" s="107">
        <v>108.86</v>
      </c>
      <c r="J61" s="298">
        <f t="shared" si="2"/>
        <v>544.29999999999995</v>
      </c>
      <c r="K61" s="298">
        <f t="shared" si="0"/>
        <v>544.29999999999995</v>
      </c>
      <c r="L61" s="299"/>
      <c r="M61" s="301">
        <f t="shared" si="3"/>
        <v>225857.97029999975</v>
      </c>
      <c r="N61" s="300"/>
      <c r="O61" s="300"/>
    </row>
    <row r="62" spans="1:15" hidden="1">
      <c r="A62" s="100">
        <v>59</v>
      </c>
      <c r="B62" s="344" t="s">
        <v>253</v>
      </c>
      <c r="C62" s="171" t="s">
        <v>315</v>
      </c>
      <c r="D62" s="107" t="s">
        <v>319</v>
      </c>
      <c r="E62" s="301">
        <v>55</v>
      </c>
      <c r="F62" s="298">
        <v>92.23</v>
      </c>
      <c r="G62" s="298">
        <f t="shared" si="1"/>
        <v>5072.6500000000005</v>
      </c>
      <c r="H62" s="107"/>
      <c r="I62" s="107"/>
      <c r="J62" s="298">
        <f t="shared" si="2"/>
        <v>0</v>
      </c>
      <c r="K62" s="298">
        <f t="shared" si="0"/>
        <v>5072.6500000000005</v>
      </c>
      <c r="L62" s="299"/>
      <c r="M62" s="301">
        <f t="shared" si="3"/>
        <v>220785.32029999976</v>
      </c>
      <c r="N62" s="298"/>
      <c r="O62" s="298"/>
    </row>
    <row r="63" spans="1:15" hidden="1">
      <c r="A63" s="100">
        <v>60</v>
      </c>
      <c r="B63" s="344" t="s">
        <v>254</v>
      </c>
      <c r="C63" s="171" t="s">
        <v>318</v>
      </c>
      <c r="D63" s="107" t="s">
        <v>193</v>
      </c>
      <c r="E63" s="301">
        <v>40</v>
      </c>
      <c r="F63" s="298">
        <v>91.8</v>
      </c>
      <c r="G63" s="298">
        <f t="shared" si="1"/>
        <v>3672</v>
      </c>
      <c r="H63" s="107"/>
      <c r="I63" s="107"/>
      <c r="J63" s="298">
        <f t="shared" si="2"/>
        <v>0</v>
      </c>
      <c r="K63" s="298">
        <f t="shared" si="0"/>
        <v>3672</v>
      </c>
      <c r="L63" s="299"/>
      <c r="M63" s="301">
        <f t="shared" si="3"/>
        <v>217113.32029999976</v>
      </c>
      <c r="N63" s="298"/>
      <c r="O63" s="298"/>
    </row>
    <row r="64" spans="1:15" hidden="1">
      <c r="A64" s="316">
        <v>61</v>
      </c>
      <c r="B64" s="344" t="s">
        <v>254</v>
      </c>
      <c r="C64" s="171" t="s">
        <v>308</v>
      </c>
      <c r="D64" s="171" t="s">
        <v>309</v>
      </c>
      <c r="E64" s="301">
        <v>36.869999999999997</v>
      </c>
      <c r="F64" s="298">
        <v>86.75</v>
      </c>
      <c r="G64" s="298">
        <f t="shared" si="1"/>
        <v>3198.4724999999999</v>
      </c>
      <c r="H64" s="107">
        <v>21</v>
      </c>
      <c r="I64" s="107">
        <v>96.91</v>
      </c>
      <c r="J64" s="298">
        <f t="shared" si="2"/>
        <v>2035.11</v>
      </c>
      <c r="K64" s="298">
        <f t="shared" si="0"/>
        <v>5233.5824999999995</v>
      </c>
      <c r="L64" s="299"/>
      <c r="M64" s="301">
        <f t="shared" si="3"/>
        <v>211879.73779999977</v>
      </c>
      <c r="N64" s="298"/>
      <c r="O64" s="298"/>
    </row>
    <row r="65" spans="1:15" hidden="1">
      <c r="A65" s="100">
        <v>62</v>
      </c>
      <c r="B65" s="344" t="s">
        <v>257</v>
      </c>
      <c r="C65" s="324" t="s">
        <v>317</v>
      </c>
      <c r="D65" s="171" t="s">
        <v>180</v>
      </c>
      <c r="E65" s="298"/>
      <c r="F65" s="298"/>
      <c r="G65" s="298">
        <f t="shared" si="1"/>
        <v>0</v>
      </c>
      <c r="H65" s="107">
        <v>4.5599999999999996</v>
      </c>
      <c r="I65" s="107">
        <v>107.46</v>
      </c>
      <c r="J65" s="298">
        <f t="shared" si="2"/>
        <v>490.0175999999999</v>
      </c>
      <c r="K65" s="298">
        <f t="shared" si="0"/>
        <v>490.0175999999999</v>
      </c>
      <c r="L65" s="299"/>
      <c r="M65" s="301">
        <f t="shared" si="3"/>
        <v>211389.72019999978</v>
      </c>
      <c r="N65" s="298"/>
      <c r="O65" s="298"/>
    </row>
    <row r="66" spans="1:15" hidden="1">
      <c r="A66" s="100">
        <v>63</v>
      </c>
      <c r="B66" s="344" t="s">
        <v>257</v>
      </c>
      <c r="C66" s="107" t="s">
        <v>315</v>
      </c>
      <c r="D66" s="324" t="s">
        <v>319</v>
      </c>
      <c r="E66" s="300">
        <v>60</v>
      </c>
      <c r="F66" s="300">
        <v>92.23</v>
      </c>
      <c r="G66" s="298">
        <f t="shared" si="1"/>
        <v>5533.8</v>
      </c>
      <c r="H66" s="320">
        <v>8.07</v>
      </c>
      <c r="I66" s="320">
        <v>104.09</v>
      </c>
      <c r="J66" s="298">
        <f t="shared" si="2"/>
        <v>840.00630000000001</v>
      </c>
      <c r="K66" s="298">
        <f t="shared" si="0"/>
        <v>6373.8063000000002</v>
      </c>
      <c r="L66" s="335"/>
      <c r="M66" s="301">
        <f t="shared" si="3"/>
        <v>205015.91389999978</v>
      </c>
      <c r="N66" s="435">
        <v>204965.24</v>
      </c>
      <c r="O66" s="298">
        <f>M66-N66</f>
        <v>50.673899999790592</v>
      </c>
    </row>
    <row r="67" spans="1:15" hidden="1">
      <c r="A67" s="316">
        <v>64</v>
      </c>
      <c r="B67" s="344" t="s">
        <v>258</v>
      </c>
      <c r="C67" s="107" t="s">
        <v>345</v>
      </c>
      <c r="D67" s="171" t="s">
        <v>346</v>
      </c>
      <c r="E67" s="107">
        <v>40</v>
      </c>
      <c r="F67" s="107">
        <v>91.8</v>
      </c>
      <c r="G67" s="298">
        <f t="shared" si="1"/>
        <v>3672</v>
      </c>
      <c r="H67" s="107"/>
      <c r="I67" s="107"/>
      <c r="J67" s="298">
        <f t="shared" si="2"/>
        <v>0</v>
      </c>
      <c r="K67" s="298">
        <f t="shared" si="0"/>
        <v>3672</v>
      </c>
      <c r="L67" s="299"/>
      <c r="M67" s="301">
        <f t="shared" si="3"/>
        <v>201343.91389999978</v>
      </c>
      <c r="N67" s="337"/>
      <c r="O67" s="189"/>
    </row>
    <row r="68" spans="1:15" hidden="1">
      <c r="A68" s="100">
        <v>65</v>
      </c>
      <c r="B68" s="344" t="s">
        <v>258</v>
      </c>
      <c r="C68" s="320" t="s">
        <v>347</v>
      </c>
      <c r="D68" s="323" t="s">
        <v>348</v>
      </c>
      <c r="E68" s="107"/>
      <c r="F68" s="107"/>
      <c r="G68" s="298">
        <f t="shared" si="1"/>
        <v>0</v>
      </c>
      <c r="H68" s="107">
        <v>5</v>
      </c>
      <c r="I68" s="107">
        <v>108.79</v>
      </c>
      <c r="J68" s="298">
        <f t="shared" si="2"/>
        <v>543.95000000000005</v>
      </c>
      <c r="K68" s="298">
        <f t="shared" si="0"/>
        <v>543.95000000000005</v>
      </c>
      <c r="L68" s="299"/>
      <c r="M68" s="301">
        <f t="shared" si="3"/>
        <v>200799.96389999977</v>
      </c>
      <c r="N68" s="337"/>
      <c r="O68" s="189"/>
    </row>
    <row r="69" spans="1:15" hidden="1">
      <c r="A69" s="100">
        <v>66</v>
      </c>
      <c r="B69" s="344" t="s">
        <v>258</v>
      </c>
      <c r="C69" s="107" t="s">
        <v>349</v>
      </c>
      <c r="D69" s="453" t="s">
        <v>350</v>
      </c>
      <c r="E69" s="107">
        <v>100</v>
      </c>
      <c r="F69" s="107">
        <v>91.97</v>
      </c>
      <c r="G69" s="298">
        <f t="shared" ref="G69:G79" si="4">E69*F69</f>
        <v>9197</v>
      </c>
      <c r="H69" s="298"/>
      <c r="I69" s="298"/>
      <c r="J69" s="298">
        <f t="shared" si="2"/>
        <v>0</v>
      </c>
      <c r="K69" s="298">
        <f t="shared" si="0"/>
        <v>9197</v>
      </c>
      <c r="L69" s="299"/>
      <c r="M69" s="301">
        <f t="shared" si="3"/>
        <v>191602.96389999977</v>
      </c>
      <c r="N69" s="337"/>
      <c r="O69" s="189"/>
    </row>
    <row r="70" spans="1:15" hidden="1">
      <c r="A70" s="316">
        <v>67</v>
      </c>
      <c r="B70" s="344" t="s">
        <v>259</v>
      </c>
      <c r="C70" s="334" t="s">
        <v>316</v>
      </c>
      <c r="D70" s="171" t="s">
        <v>186</v>
      </c>
      <c r="E70" s="323">
        <v>34.479999999999997</v>
      </c>
      <c r="F70" s="107">
        <v>95.7</v>
      </c>
      <c r="G70" s="298">
        <f t="shared" si="4"/>
        <v>3299.7359999999999</v>
      </c>
      <c r="H70" s="298"/>
      <c r="I70" s="298"/>
      <c r="J70" s="298">
        <f t="shared" ref="J70:J77" si="5">H70*I70</f>
        <v>0</v>
      </c>
      <c r="K70" s="298">
        <f t="shared" si="0"/>
        <v>3299.7359999999999</v>
      </c>
      <c r="L70" s="299"/>
      <c r="M70" s="301">
        <f t="shared" si="3"/>
        <v>188303.22789999977</v>
      </c>
      <c r="N70" s="338"/>
      <c r="O70" s="303"/>
    </row>
    <row r="71" spans="1:15" hidden="1">
      <c r="A71" s="100">
        <v>68</v>
      </c>
      <c r="B71" s="344" t="s">
        <v>259</v>
      </c>
      <c r="C71" s="334" t="s">
        <v>315</v>
      </c>
      <c r="D71" s="171" t="s">
        <v>319</v>
      </c>
      <c r="E71" s="452">
        <v>65</v>
      </c>
      <c r="F71" s="302">
        <v>92.23</v>
      </c>
      <c r="G71" s="298">
        <f t="shared" si="4"/>
        <v>5994.95</v>
      </c>
      <c r="H71" s="302"/>
      <c r="I71" s="302"/>
      <c r="J71" s="298">
        <f t="shared" si="5"/>
        <v>0</v>
      </c>
      <c r="K71" s="298">
        <f t="shared" ref="K71:K79" si="6">G71+J71</f>
        <v>5994.95</v>
      </c>
      <c r="L71" s="319"/>
      <c r="M71" s="301">
        <f t="shared" ref="M71:M80" si="7">M70+L71-K71</f>
        <v>182308.27789999975</v>
      </c>
      <c r="N71" s="189"/>
      <c r="O71" s="189"/>
    </row>
    <row r="72" spans="1:15" hidden="1">
      <c r="A72" s="100">
        <v>69</v>
      </c>
      <c r="B72" s="344" t="s">
        <v>260</v>
      </c>
      <c r="C72" s="415" t="s">
        <v>351</v>
      </c>
      <c r="D72" s="171" t="s">
        <v>352</v>
      </c>
      <c r="E72" s="301">
        <v>36.130000000000003</v>
      </c>
      <c r="F72" s="298">
        <v>96.83</v>
      </c>
      <c r="G72" s="298">
        <f t="shared" si="4"/>
        <v>3498.4679000000001</v>
      </c>
      <c r="H72" s="334"/>
      <c r="I72" s="334"/>
      <c r="J72" s="298">
        <f t="shared" si="5"/>
        <v>0</v>
      </c>
      <c r="K72" s="298">
        <f t="shared" si="6"/>
        <v>3498.4679000000001</v>
      </c>
      <c r="L72" s="299"/>
      <c r="M72" s="301">
        <f t="shared" si="7"/>
        <v>178809.80999999976</v>
      </c>
      <c r="N72" s="189"/>
      <c r="O72" s="189"/>
    </row>
    <row r="73" spans="1:15" hidden="1">
      <c r="A73" s="316">
        <v>70</v>
      </c>
      <c r="B73" s="375" t="s">
        <v>260</v>
      </c>
      <c r="C73" s="334" t="s">
        <v>353</v>
      </c>
      <c r="D73" s="324" t="s">
        <v>188</v>
      </c>
      <c r="E73" s="322">
        <v>51.91</v>
      </c>
      <c r="F73" s="300">
        <v>95.7</v>
      </c>
      <c r="G73" s="300">
        <f t="shared" si="4"/>
        <v>4967.7870000000003</v>
      </c>
      <c r="H73" s="300"/>
      <c r="I73" s="300"/>
      <c r="J73" s="300">
        <f t="shared" si="5"/>
        <v>0</v>
      </c>
      <c r="K73" s="300">
        <f t="shared" si="6"/>
        <v>4967.7870000000003</v>
      </c>
      <c r="L73" s="335"/>
      <c r="M73" s="301">
        <f t="shared" si="7"/>
        <v>173842.02299999975</v>
      </c>
      <c r="N73" s="189"/>
      <c r="O73" s="189"/>
    </row>
    <row r="74" spans="1:15" hidden="1">
      <c r="A74" s="100">
        <v>71</v>
      </c>
      <c r="B74" s="228" t="s">
        <v>260</v>
      </c>
      <c r="C74" s="171" t="s">
        <v>342</v>
      </c>
      <c r="D74" s="171" t="s">
        <v>193</v>
      </c>
      <c r="E74" s="298">
        <v>40</v>
      </c>
      <c r="F74" s="298">
        <v>92.13</v>
      </c>
      <c r="G74" s="298">
        <f t="shared" si="4"/>
        <v>3685.2</v>
      </c>
      <c r="H74" s="298"/>
      <c r="I74" s="298"/>
      <c r="J74" s="298">
        <f t="shared" si="5"/>
        <v>0</v>
      </c>
      <c r="K74" s="298">
        <f t="shared" si="6"/>
        <v>3685.2</v>
      </c>
      <c r="L74" s="299"/>
      <c r="M74" s="301">
        <f t="shared" si="7"/>
        <v>170156.82299999974</v>
      </c>
      <c r="N74" s="303"/>
      <c r="O74" s="303"/>
    </row>
    <row r="75" spans="1:15" hidden="1">
      <c r="A75" s="100">
        <v>72</v>
      </c>
      <c r="B75" s="228" t="s">
        <v>260</v>
      </c>
      <c r="C75" s="107" t="s">
        <v>354</v>
      </c>
      <c r="D75" s="171" t="s">
        <v>313</v>
      </c>
      <c r="E75" s="298">
        <v>30</v>
      </c>
      <c r="F75" s="298">
        <v>91.97</v>
      </c>
      <c r="G75" s="298">
        <f t="shared" si="4"/>
        <v>2759.1</v>
      </c>
      <c r="H75" s="298">
        <v>10</v>
      </c>
      <c r="I75" s="298">
        <v>104.01</v>
      </c>
      <c r="J75" s="298">
        <f t="shared" si="5"/>
        <v>1040.1000000000001</v>
      </c>
      <c r="K75" s="298">
        <f t="shared" si="6"/>
        <v>3799.2</v>
      </c>
      <c r="L75" s="299"/>
      <c r="M75" s="301">
        <f t="shared" si="7"/>
        <v>166357.62299999973</v>
      </c>
      <c r="N75" s="189"/>
      <c r="O75" s="189"/>
    </row>
    <row r="76" spans="1:15" hidden="1">
      <c r="A76" s="316">
        <v>73</v>
      </c>
      <c r="B76" s="228" t="s">
        <v>260</v>
      </c>
      <c r="C76" s="107" t="s">
        <v>355</v>
      </c>
      <c r="D76" s="171" t="s">
        <v>309</v>
      </c>
      <c r="E76" s="298">
        <v>50.02</v>
      </c>
      <c r="F76" s="298">
        <v>96.87</v>
      </c>
      <c r="G76" s="298">
        <f t="shared" si="4"/>
        <v>4845.4374000000007</v>
      </c>
      <c r="H76" s="298"/>
      <c r="I76" s="298"/>
      <c r="J76" s="298">
        <f t="shared" si="5"/>
        <v>0</v>
      </c>
      <c r="K76" s="298">
        <f t="shared" si="6"/>
        <v>4845.4374000000007</v>
      </c>
      <c r="L76" s="299"/>
      <c r="M76" s="301">
        <f t="shared" si="7"/>
        <v>161512.18559999974</v>
      </c>
      <c r="N76" s="303"/>
      <c r="O76" s="303"/>
    </row>
    <row r="77" spans="1:15" hidden="1">
      <c r="A77" s="100">
        <v>74</v>
      </c>
      <c r="B77" s="228" t="s">
        <v>356</v>
      </c>
      <c r="C77" s="107" t="s">
        <v>329</v>
      </c>
      <c r="D77" s="107" t="s">
        <v>180</v>
      </c>
      <c r="E77" s="298">
        <v>0</v>
      </c>
      <c r="F77" s="298">
        <v>0</v>
      </c>
      <c r="G77" s="298">
        <f t="shared" si="4"/>
        <v>0</v>
      </c>
      <c r="H77" s="107">
        <v>4.4400000000000004</v>
      </c>
      <c r="I77" s="107">
        <v>107.51</v>
      </c>
      <c r="J77" s="298">
        <f t="shared" si="5"/>
        <v>477.34440000000006</v>
      </c>
      <c r="K77" s="298">
        <f t="shared" si="6"/>
        <v>477.34440000000006</v>
      </c>
      <c r="L77" s="299"/>
      <c r="M77" s="301">
        <f t="shared" si="7"/>
        <v>161034.84119999973</v>
      </c>
      <c r="N77" s="303"/>
      <c r="O77" s="303"/>
    </row>
    <row r="78" spans="1:15" hidden="1">
      <c r="A78" s="100">
        <v>75</v>
      </c>
      <c r="B78" s="228" t="s">
        <v>356</v>
      </c>
      <c r="C78" s="107" t="s">
        <v>354</v>
      </c>
      <c r="D78" s="171" t="s">
        <v>313</v>
      </c>
      <c r="E78" s="107">
        <v>100</v>
      </c>
      <c r="F78" s="107">
        <v>91.97</v>
      </c>
      <c r="G78" s="298">
        <f t="shared" si="4"/>
        <v>9197</v>
      </c>
      <c r="H78" s="298"/>
      <c r="I78" s="298"/>
      <c r="J78" s="298"/>
      <c r="K78" s="298">
        <f t="shared" si="6"/>
        <v>9197</v>
      </c>
      <c r="L78" s="299"/>
      <c r="M78" s="301">
        <f t="shared" si="7"/>
        <v>151837.84119999973</v>
      </c>
      <c r="N78" s="189"/>
      <c r="O78" s="189"/>
    </row>
    <row r="79" spans="1:15" hidden="1">
      <c r="A79" s="316">
        <v>76</v>
      </c>
      <c r="B79" s="406" t="s">
        <v>356</v>
      </c>
      <c r="C79" s="334" t="s">
        <v>357</v>
      </c>
      <c r="D79" s="325" t="s">
        <v>313</v>
      </c>
      <c r="E79" s="334">
        <v>30</v>
      </c>
      <c r="F79" s="334">
        <v>91.13</v>
      </c>
      <c r="G79" s="298">
        <f t="shared" si="4"/>
        <v>2733.8999999999996</v>
      </c>
      <c r="H79" s="302"/>
      <c r="I79" s="302"/>
      <c r="J79" s="302"/>
      <c r="K79" s="298">
        <f t="shared" si="6"/>
        <v>2733.8999999999996</v>
      </c>
      <c r="L79" s="319"/>
      <c r="M79" s="301">
        <f t="shared" si="7"/>
        <v>149103.94119999974</v>
      </c>
      <c r="N79" s="303"/>
      <c r="O79" s="303"/>
    </row>
    <row r="80" spans="1:15" hidden="1">
      <c r="A80" s="316">
        <v>77</v>
      </c>
      <c r="B80" s="344"/>
      <c r="C80" s="171"/>
      <c r="D80" s="171"/>
      <c r="E80" s="298"/>
      <c r="F80" s="298"/>
      <c r="G80" s="298"/>
      <c r="H80" s="298"/>
      <c r="I80" s="298"/>
      <c r="J80" s="298"/>
      <c r="K80" s="298"/>
      <c r="L80" s="299"/>
      <c r="M80" s="301">
        <f t="shared" si="7"/>
        <v>149103.94119999974</v>
      </c>
      <c r="N80" s="189"/>
      <c r="O80" s="189"/>
    </row>
    <row r="81" spans="1:15" hidden="1">
      <c r="A81" s="100">
        <v>78</v>
      </c>
      <c r="B81" s="344"/>
      <c r="C81" s="171"/>
      <c r="D81" s="171"/>
      <c r="E81" s="298"/>
      <c r="F81" s="298"/>
      <c r="G81" s="298"/>
      <c r="H81" s="298"/>
      <c r="I81" s="298"/>
      <c r="J81" s="298"/>
      <c r="K81" s="298"/>
      <c r="L81" s="298"/>
      <c r="M81" s="301"/>
      <c r="N81" s="189"/>
      <c r="O81" s="189"/>
    </row>
    <row r="82" spans="1:15" hidden="1">
      <c r="A82" s="100">
        <v>79</v>
      </c>
      <c r="B82" s="344"/>
      <c r="C82" s="171"/>
      <c r="D82" s="171"/>
      <c r="E82" s="298"/>
      <c r="F82" s="298"/>
      <c r="G82" s="298"/>
      <c r="H82" s="298"/>
      <c r="I82" s="298"/>
      <c r="J82" s="298"/>
      <c r="K82" s="298"/>
      <c r="L82" s="298"/>
      <c r="M82" s="301"/>
      <c r="N82" s="189"/>
      <c r="O82" s="189"/>
    </row>
    <row r="83" spans="1:15" hidden="1">
      <c r="A83" s="316">
        <v>80</v>
      </c>
      <c r="B83" s="344"/>
      <c r="C83" s="171"/>
      <c r="D83" s="171"/>
      <c r="E83" s="298"/>
      <c r="F83" s="298"/>
      <c r="G83" s="298"/>
      <c r="H83" s="298"/>
      <c r="I83" s="298"/>
      <c r="J83" s="298"/>
      <c r="K83" s="298"/>
      <c r="L83" s="298"/>
      <c r="M83" s="301"/>
      <c r="N83" s="189"/>
      <c r="O83" s="189"/>
    </row>
    <row r="84" spans="1:15" hidden="1">
      <c r="A84" s="100">
        <v>81</v>
      </c>
      <c r="B84" s="344"/>
      <c r="C84" s="171"/>
      <c r="D84" s="171"/>
      <c r="E84" s="298"/>
      <c r="F84" s="298"/>
      <c r="G84" s="298"/>
      <c r="H84" s="298"/>
      <c r="I84" s="298"/>
      <c r="J84" s="298"/>
      <c r="K84" s="298"/>
      <c r="L84" s="298"/>
      <c r="M84" s="301"/>
      <c r="N84" s="189"/>
      <c r="O84" s="189"/>
    </row>
    <row r="85" spans="1:15" hidden="1">
      <c r="A85" s="100">
        <v>82</v>
      </c>
      <c r="B85" s="344"/>
      <c r="C85" s="334"/>
      <c r="D85" s="171"/>
      <c r="E85" s="298"/>
      <c r="F85" s="298"/>
      <c r="G85" s="298"/>
      <c r="H85" s="298"/>
      <c r="I85" s="298"/>
      <c r="J85" s="298"/>
      <c r="K85" s="298"/>
      <c r="L85" s="298"/>
      <c r="M85" s="301"/>
      <c r="N85" s="189"/>
      <c r="O85" s="189"/>
    </row>
    <row r="86" spans="1:15" hidden="1">
      <c r="A86" s="316">
        <v>83</v>
      </c>
      <c r="B86" s="228"/>
      <c r="C86" s="171"/>
      <c r="D86" s="171"/>
      <c r="E86" s="298"/>
      <c r="F86" s="298"/>
      <c r="G86" s="298"/>
      <c r="H86" s="298"/>
      <c r="I86" s="298"/>
      <c r="J86" s="298"/>
      <c r="K86" s="298"/>
      <c r="L86" s="298"/>
      <c r="M86" s="301"/>
      <c r="N86" s="189"/>
      <c r="O86" s="189"/>
    </row>
    <row r="87" spans="1:15" hidden="1">
      <c r="A87" s="100">
        <v>84</v>
      </c>
      <c r="B87" s="228"/>
      <c r="C87" s="107"/>
      <c r="D87" s="171"/>
      <c r="E87" s="298"/>
      <c r="F87" s="298"/>
      <c r="G87" s="298"/>
      <c r="H87" s="298"/>
      <c r="I87" s="298"/>
      <c r="J87" s="298"/>
      <c r="K87" s="298"/>
      <c r="L87" s="298"/>
      <c r="M87" s="301"/>
      <c r="N87" s="303"/>
      <c r="O87" s="303"/>
    </row>
    <row r="88" spans="1:15" hidden="1">
      <c r="A88" s="100">
        <v>85</v>
      </c>
      <c r="B88" s="228"/>
      <c r="C88" s="235"/>
      <c r="D88" s="107"/>
      <c r="E88" s="298"/>
      <c r="F88" s="298"/>
      <c r="G88" s="298"/>
      <c r="H88" s="298"/>
      <c r="I88" s="298"/>
      <c r="J88" s="298"/>
      <c r="K88" s="298"/>
      <c r="L88" s="298"/>
      <c r="M88" s="301"/>
      <c r="N88" s="189"/>
      <c r="O88" s="189"/>
    </row>
    <row r="89" spans="1:15" hidden="1">
      <c r="A89" s="316">
        <v>86</v>
      </c>
      <c r="B89" s="228"/>
      <c r="C89" s="17"/>
      <c r="D89" s="235"/>
      <c r="E89" s="298"/>
      <c r="F89" s="298"/>
      <c r="G89" s="298"/>
      <c r="H89" s="298"/>
      <c r="I89" s="298"/>
      <c r="J89" s="298"/>
      <c r="K89" s="298"/>
      <c r="L89" s="298"/>
      <c r="M89" s="301"/>
      <c r="N89" s="189"/>
      <c r="O89" s="189"/>
    </row>
    <row r="90" spans="1:15" hidden="1">
      <c r="A90" s="100">
        <v>87</v>
      </c>
      <c r="B90" s="17"/>
      <c r="D90" s="17"/>
      <c r="E90" s="298"/>
      <c r="F90" s="298"/>
      <c r="G90" s="298"/>
      <c r="H90" s="298"/>
      <c r="I90" s="298"/>
      <c r="J90" s="298"/>
      <c r="K90" s="298"/>
      <c r="L90" s="298"/>
      <c r="M90" s="301"/>
      <c r="N90" s="189"/>
      <c r="O90" s="189"/>
    </row>
  </sheetData>
  <autoFilter ref="A2:O90" xr:uid="{E4D2B0F2-641D-4F53-BA0F-B63DE3F29F26}">
    <filterColumn colId="2">
      <filters>
        <filter val="SREE VEERABHADRESHWARA SER.STA BHARAT PETROLEUM DEALERS"/>
      </filters>
    </filterColumn>
  </autoFilter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DBD2A-34DD-4CE3-849C-464A244C338A}">
  <dimension ref="A1:O29"/>
  <sheetViews>
    <sheetView topLeftCell="A4" workbookViewId="0">
      <selection activeCell="G15" sqref="G15"/>
    </sheetView>
  </sheetViews>
  <sheetFormatPr defaultRowHeight="15"/>
  <cols>
    <col min="1" max="1" width="9.140625" style="5"/>
    <col min="2" max="2" width="11.5703125" style="5" customWidth="1"/>
    <col min="3" max="3" width="46" style="5" bestFit="1" customWidth="1"/>
    <col min="4" max="4" width="40.85546875" style="5" bestFit="1" customWidth="1"/>
    <col min="5" max="5" width="15.7109375" style="5" customWidth="1"/>
    <col min="6" max="6" width="9.140625" style="5"/>
    <col min="7" max="7" width="22.42578125" style="5" customWidth="1"/>
    <col min="8" max="8" width="22.140625" style="5" customWidth="1"/>
    <col min="9" max="9" width="17.7109375" style="5" bestFit="1" customWidth="1"/>
    <col min="10" max="10" width="10.42578125" style="5" bestFit="1" customWidth="1"/>
    <col min="11" max="11" width="15.42578125" style="5" customWidth="1"/>
    <col min="12" max="12" width="17.7109375" style="5" customWidth="1"/>
    <col min="13" max="13" width="12.7109375" style="5" customWidth="1"/>
    <col min="14" max="14" width="15.140625" style="5" customWidth="1"/>
    <col min="15" max="15" width="20.5703125" style="5" customWidth="1"/>
    <col min="16" max="16384" width="9.140625" style="5"/>
  </cols>
  <sheetData>
    <row r="1" spans="1:15" ht="15.75">
      <c r="A1" s="478" t="s">
        <v>358</v>
      </c>
      <c r="B1" s="478"/>
      <c r="C1" s="478"/>
      <c r="D1" s="478"/>
      <c r="E1" s="478"/>
      <c r="F1" s="478"/>
      <c r="G1" s="478"/>
      <c r="H1" s="478"/>
      <c r="I1" s="478"/>
      <c r="J1" s="478"/>
      <c r="K1" s="478"/>
      <c r="L1" s="478"/>
      <c r="M1" s="478"/>
      <c r="N1" s="478"/>
      <c r="O1" s="478"/>
    </row>
    <row r="2" spans="1:15">
      <c r="A2" s="67" t="s">
        <v>129</v>
      </c>
      <c r="B2" s="86" t="s">
        <v>130</v>
      </c>
      <c r="C2" s="86" t="s">
        <v>303</v>
      </c>
      <c r="D2" s="86" t="s">
        <v>304</v>
      </c>
      <c r="E2" s="86" t="s">
        <v>133</v>
      </c>
      <c r="F2" s="86" t="s">
        <v>134</v>
      </c>
      <c r="G2" s="93" t="s">
        <v>135</v>
      </c>
      <c r="H2" s="86" t="s">
        <v>136</v>
      </c>
      <c r="I2" s="86" t="s">
        <v>134</v>
      </c>
      <c r="J2" s="93" t="s">
        <v>135</v>
      </c>
      <c r="K2" s="67" t="s">
        <v>137</v>
      </c>
      <c r="L2" s="94" t="s">
        <v>305</v>
      </c>
      <c r="M2" s="88" t="s">
        <v>199</v>
      </c>
      <c r="N2" s="86" t="s">
        <v>140</v>
      </c>
      <c r="O2" s="86" t="s">
        <v>306</v>
      </c>
    </row>
    <row r="3" spans="1:15">
      <c r="A3" s="507" t="s">
        <v>141</v>
      </c>
      <c r="B3" s="507"/>
      <c r="C3" s="507"/>
      <c r="D3" s="507"/>
      <c r="E3" s="507"/>
      <c r="F3" s="507"/>
      <c r="G3" s="507"/>
      <c r="H3" s="507"/>
      <c r="I3" s="507"/>
      <c r="J3" s="507"/>
      <c r="K3" s="105">
        <v>196955.73</v>
      </c>
      <c r="L3" s="229"/>
      <c r="M3" s="436">
        <f>+K3</f>
        <v>196955.73</v>
      </c>
      <c r="N3" s="174"/>
      <c r="O3" s="174"/>
    </row>
    <row r="4" spans="1:15">
      <c r="A4" s="437">
        <v>1</v>
      </c>
      <c r="B4" s="47" t="s">
        <v>287</v>
      </c>
      <c r="C4" s="6" t="s">
        <v>359</v>
      </c>
      <c r="D4" s="438" t="s">
        <v>360</v>
      </c>
      <c r="E4" s="69">
        <v>656.54</v>
      </c>
      <c r="F4" s="69">
        <v>91.33</v>
      </c>
      <c r="G4" s="69">
        <v>59961.5</v>
      </c>
      <c r="H4" s="69"/>
      <c r="I4" s="69">
        <v>104.08</v>
      </c>
      <c r="J4" s="69"/>
      <c r="K4" s="69">
        <f>G4+J4</f>
        <v>59961.5</v>
      </c>
      <c r="L4" s="45">
        <v>500000</v>
      </c>
      <c r="M4" s="439">
        <f>SUM(M3+L4-K4)</f>
        <v>636994.23</v>
      </c>
      <c r="N4" s="174"/>
      <c r="O4" s="174"/>
    </row>
    <row r="5" spans="1:15">
      <c r="A5" s="437">
        <v>2</v>
      </c>
      <c r="B5" s="47" t="s">
        <v>289</v>
      </c>
      <c r="C5" s="6" t="s">
        <v>361</v>
      </c>
      <c r="D5" s="438" t="s">
        <v>362</v>
      </c>
      <c r="E5" s="69">
        <v>200</v>
      </c>
      <c r="F5" s="69">
        <v>92.21</v>
      </c>
      <c r="G5" s="69">
        <v>18442</v>
      </c>
      <c r="H5" s="69">
        <v>13.99</v>
      </c>
      <c r="I5" s="69">
        <v>104.08</v>
      </c>
      <c r="J5" s="69">
        <v>1456.28</v>
      </c>
      <c r="K5" s="69">
        <f>G5+J5</f>
        <v>19898.28</v>
      </c>
      <c r="L5" s="45"/>
      <c r="M5" s="439">
        <f t="shared" ref="M5:M22" si="0">SUM(M4+L5-K5)</f>
        <v>617095.94999999995</v>
      </c>
      <c r="N5" s="174"/>
      <c r="O5" s="174"/>
    </row>
    <row r="6" spans="1:15">
      <c r="A6" s="437">
        <v>3</v>
      </c>
      <c r="B6" s="47" t="s">
        <v>289</v>
      </c>
      <c r="C6" s="6" t="s">
        <v>363</v>
      </c>
      <c r="D6" s="438" t="s">
        <v>362</v>
      </c>
      <c r="E6" s="69">
        <v>100</v>
      </c>
      <c r="F6" s="69">
        <v>92.05</v>
      </c>
      <c r="G6" s="69">
        <v>9205</v>
      </c>
      <c r="H6" s="69"/>
      <c r="I6" s="69"/>
      <c r="J6" s="69"/>
      <c r="K6" s="69">
        <f>G6+J6</f>
        <v>9205</v>
      </c>
      <c r="L6" s="45"/>
      <c r="M6" s="439">
        <f t="shared" si="0"/>
        <v>607890.94999999995</v>
      </c>
      <c r="N6" s="174"/>
      <c r="O6" s="174"/>
    </row>
    <row r="7" spans="1:15">
      <c r="A7" s="437">
        <v>4</v>
      </c>
      <c r="B7" s="47" t="s">
        <v>289</v>
      </c>
      <c r="C7" s="6" t="s">
        <v>359</v>
      </c>
      <c r="D7" s="438" t="s">
        <v>360</v>
      </c>
      <c r="E7" s="69">
        <v>4379.7299999999996</v>
      </c>
      <c r="F7" s="69">
        <v>91.33</v>
      </c>
      <c r="G7" s="69">
        <v>400000</v>
      </c>
      <c r="H7" s="69"/>
      <c r="I7" s="69"/>
      <c r="J7" s="69"/>
      <c r="K7" s="69">
        <f>G7+J7</f>
        <v>400000</v>
      </c>
      <c r="L7" s="45"/>
      <c r="M7" s="439">
        <f t="shared" si="0"/>
        <v>207890.94999999995</v>
      </c>
      <c r="N7" s="6"/>
      <c r="O7" s="6"/>
    </row>
    <row r="8" spans="1:15">
      <c r="A8" s="437">
        <v>5</v>
      </c>
      <c r="B8" s="47" t="s">
        <v>289</v>
      </c>
      <c r="C8" s="6" t="s">
        <v>364</v>
      </c>
      <c r="D8" s="438" t="s">
        <v>365</v>
      </c>
      <c r="E8" s="69">
        <v>2176.5300000000002</v>
      </c>
      <c r="F8" s="69">
        <v>91.89</v>
      </c>
      <c r="G8" s="69">
        <v>200000</v>
      </c>
      <c r="H8" s="69"/>
      <c r="I8" s="69"/>
      <c r="J8" s="69"/>
      <c r="K8" s="69">
        <f>G8+J8</f>
        <v>200000</v>
      </c>
      <c r="L8" s="45"/>
      <c r="M8" s="439">
        <f t="shared" si="0"/>
        <v>7890.9499999999534</v>
      </c>
      <c r="N8" s="6"/>
      <c r="O8" s="6"/>
    </row>
    <row r="9" spans="1:15">
      <c r="A9" s="437">
        <v>6</v>
      </c>
      <c r="B9" s="47" t="s">
        <v>291</v>
      </c>
      <c r="C9" s="6" t="s">
        <v>363</v>
      </c>
      <c r="D9" s="438" t="s">
        <v>362</v>
      </c>
      <c r="E9" s="69"/>
      <c r="F9" s="69"/>
      <c r="G9" s="69"/>
      <c r="H9" s="69">
        <v>21</v>
      </c>
      <c r="I9" s="69">
        <v>104.08</v>
      </c>
      <c r="J9" s="69">
        <v>2185.6799999999998</v>
      </c>
      <c r="K9" s="69">
        <f>G9+J9</f>
        <v>2185.6799999999998</v>
      </c>
      <c r="L9" s="45"/>
      <c r="M9" s="439">
        <f t="shared" si="0"/>
        <v>5705.2699999999531</v>
      </c>
      <c r="N9" s="6"/>
      <c r="O9" s="6"/>
    </row>
    <row r="10" spans="1:15">
      <c r="A10" s="437">
        <v>7</v>
      </c>
      <c r="B10" s="47" t="s">
        <v>281</v>
      </c>
      <c r="C10" s="6" t="s">
        <v>364</v>
      </c>
      <c r="D10" s="438" t="s">
        <v>365</v>
      </c>
      <c r="E10" s="69">
        <v>2176.5300000000002</v>
      </c>
      <c r="F10" s="69">
        <v>91.89</v>
      </c>
      <c r="G10" s="69">
        <v>200000</v>
      </c>
      <c r="H10" s="69"/>
      <c r="I10" s="69"/>
      <c r="J10" s="69"/>
      <c r="K10" s="69">
        <f t="shared" ref="K10:K22" si="1">G10+J10</f>
        <v>200000</v>
      </c>
      <c r="L10" s="440">
        <v>1300000</v>
      </c>
      <c r="M10" s="439">
        <f t="shared" si="0"/>
        <v>1105705.27</v>
      </c>
      <c r="N10" s="6"/>
      <c r="O10" s="6"/>
    </row>
    <row r="11" spans="1:15">
      <c r="A11" s="437">
        <v>8</v>
      </c>
      <c r="B11" s="47" t="s">
        <v>281</v>
      </c>
      <c r="C11" s="6" t="s">
        <v>359</v>
      </c>
      <c r="D11" s="438" t="s">
        <v>360</v>
      </c>
      <c r="E11" s="69">
        <v>3284.8</v>
      </c>
      <c r="F11" s="69">
        <v>91.33</v>
      </c>
      <c r="G11" s="69">
        <v>300000</v>
      </c>
      <c r="H11" s="69"/>
      <c r="I11" s="69"/>
      <c r="J11" s="69"/>
      <c r="K11" s="69">
        <f t="shared" si="1"/>
        <v>300000</v>
      </c>
      <c r="L11" s="440"/>
      <c r="M11" s="439">
        <f t="shared" si="0"/>
        <v>805705.27</v>
      </c>
      <c r="N11" s="6"/>
      <c r="O11" s="6"/>
    </row>
    <row r="12" spans="1:15">
      <c r="A12" s="437">
        <v>9</v>
      </c>
      <c r="B12" s="47" t="s">
        <v>292</v>
      </c>
      <c r="C12" s="6" t="s">
        <v>366</v>
      </c>
      <c r="D12" s="438" t="s">
        <v>362</v>
      </c>
      <c r="E12" s="69">
        <v>5465.7</v>
      </c>
      <c r="F12" s="69">
        <v>91.48</v>
      </c>
      <c r="G12" s="69">
        <v>500000</v>
      </c>
      <c r="H12" s="69">
        <v>967.02</v>
      </c>
      <c r="I12" s="69">
        <v>103.41</v>
      </c>
      <c r="J12" s="69">
        <v>100000</v>
      </c>
      <c r="K12" s="69">
        <f t="shared" si="1"/>
        <v>600000</v>
      </c>
      <c r="L12" s="440"/>
      <c r="M12" s="439">
        <f t="shared" si="0"/>
        <v>205705.27000000002</v>
      </c>
      <c r="N12" s="6"/>
      <c r="O12" s="6"/>
    </row>
    <row r="13" spans="1:15">
      <c r="A13" s="437">
        <v>10</v>
      </c>
      <c r="B13" s="47" t="s">
        <v>292</v>
      </c>
      <c r="C13" s="6" t="s">
        <v>367</v>
      </c>
      <c r="D13" s="438" t="s">
        <v>368</v>
      </c>
      <c r="E13" s="69">
        <v>1634.35</v>
      </c>
      <c r="F13" s="69">
        <v>91.78</v>
      </c>
      <c r="G13" s="69">
        <v>150000</v>
      </c>
      <c r="H13" s="69"/>
      <c r="I13" s="69"/>
      <c r="J13" s="69"/>
      <c r="K13" s="69">
        <f t="shared" si="1"/>
        <v>150000</v>
      </c>
      <c r="L13" s="440"/>
      <c r="M13" s="439">
        <f t="shared" si="0"/>
        <v>55705.270000000019</v>
      </c>
      <c r="N13" s="6"/>
      <c r="O13" s="6"/>
    </row>
    <row r="14" spans="1:15">
      <c r="A14" s="437">
        <v>11</v>
      </c>
      <c r="B14" s="47" t="s">
        <v>283</v>
      </c>
      <c r="C14" s="441" t="s">
        <v>369</v>
      </c>
      <c r="D14" s="438" t="s">
        <v>370</v>
      </c>
      <c r="E14" s="69"/>
      <c r="F14" s="69"/>
      <c r="G14" s="69"/>
      <c r="H14" s="69">
        <v>150</v>
      </c>
      <c r="I14" s="69">
        <v>108.1</v>
      </c>
      <c r="J14" s="69">
        <v>16215</v>
      </c>
      <c r="K14" s="69">
        <f t="shared" si="1"/>
        <v>16215</v>
      </c>
      <c r="L14" s="6"/>
      <c r="M14" s="439">
        <f t="shared" si="0"/>
        <v>39490.270000000019</v>
      </c>
      <c r="N14" s="6"/>
      <c r="O14" s="6"/>
    </row>
    <row r="15" spans="1:15">
      <c r="A15" s="437">
        <v>12</v>
      </c>
      <c r="B15" s="47" t="s">
        <v>284</v>
      </c>
      <c r="C15" s="6" t="s">
        <v>366</v>
      </c>
      <c r="D15" s="438" t="s">
        <v>362</v>
      </c>
      <c r="E15" s="69">
        <v>6779.24</v>
      </c>
      <c r="F15" s="69">
        <v>91.48</v>
      </c>
      <c r="G15" s="69">
        <v>531700</v>
      </c>
      <c r="H15" s="69">
        <v>967.02</v>
      </c>
      <c r="I15" s="69">
        <v>103.41</v>
      </c>
      <c r="J15" s="69">
        <v>100000</v>
      </c>
      <c r="K15" s="69">
        <f t="shared" si="1"/>
        <v>631700</v>
      </c>
      <c r="L15" s="45">
        <v>8396500</v>
      </c>
      <c r="M15" s="439">
        <f t="shared" si="0"/>
        <v>7804290.2699999996</v>
      </c>
      <c r="N15" s="6"/>
      <c r="O15" s="6"/>
    </row>
    <row r="16" spans="1:15">
      <c r="A16" s="437">
        <v>13</v>
      </c>
      <c r="B16" s="47" t="s">
        <v>284</v>
      </c>
      <c r="C16" s="6" t="s">
        <v>367</v>
      </c>
      <c r="D16" s="438" t="s">
        <v>368</v>
      </c>
      <c r="E16" s="69">
        <v>1961.22</v>
      </c>
      <c r="F16" s="69">
        <v>91.78</v>
      </c>
      <c r="G16" s="69">
        <v>180000</v>
      </c>
      <c r="H16" s="69">
        <v>0</v>
      </c>
      <c r="I16" s="69">
        <v>0</v>
      </c>
      <c r="J16" s="69">
        <v>0</v>
      </c>
      <c r="K16" s="69">
        <f t="shared" si="1"/>
        <v>180000</v>
      </c>
      <c r="L16" s="45">
        <v>0</v>
      </c>
      <c r="M16" s="439">
        <f t="shared" si="0"/>
        <v>7624290.2699999996</v>
      </c>
      <c r="N16" s="6"/>
      <c r="O16" s="6"/>
    </row>
    <row r="17" spans="1:15">
      <c r="A17" s="437">
        <v>14</v>
      </c>
      <c r="B17" s="47" t="s">
        <v>284</v>
      </c>
      <c r="C17" s="6" t="s">
        <v>364</v>
      </c>
      <c r="D17" s="438" t="s">
        <v>365</v>
      </c>
      <c r="E17" s="69">
        <v>1360.33</v>
      </c>
      <c r="F17" s="69">
        <v>91.89</v>
      </c>
      <c r="G17" s="69">
        <v>125000</v>
      </c>
      <c r="H17" s="69">
        <v>0</v>
      </c>
      <c r="I17" s="69">
        <v>0</v>
      </c>
      <c r="J17" s="69">
        <v>0</v>
      </c>
      <c r="K17" s="69">
        <f t="shared" si="1"/>
        <v>125000</v>
      </c>
      <c r="L17" s="45"/>
      <c r="M17" s="439">
        <f t="shared" si="0"/>
        <v>7499290.2699999996</v>
      </c>
      <c r="N17" s="6"/>
      <c r="O17" s="6"/>
    </row>
    <row r="18" spans="1:15">
      <c r="A18" s="437">
        <v>15</v>
      </c>
      <c r="B18" s="47" t="s">
        <v>284</v>
      </c>
      <c r="C18" s="6" t="s">
        <v>359</v>
      </c>
      <c r="D18" s="438" t="s">
        <v>360</v>
      </c>
      <c r="E18" s="69">
        <v>4290.82</v>
      </c>
      <c r="F18" s="69">
        <v>91.33</v>
      </c>
      <c r="G18" s="69">
        <v>391880</v>
      </c>
      <c r="H18" s="69">
        <v>0</v>
      </c>
      <c r="I18" s="69">
        <v>0</v>
      </c>
      <c r="J18" s="69">
        <v>0</v>
      </c>
      <c r="K18" s="69">
        <f t="shared" si="1"/>
        <v>391880</v>
      </c>
      <c r="L18" s="229"/>
      <c r="M18" s="439">
        <f t="shared" si="0"/>
        <v>7107410.2699999996</v>
      </c>
      <c r="N18" s="174"/>
      <c r="O18" s="174"/>
    </row>
    <row r="19" spans="1:15">
      <c r="A19" s="437">
        <v>16</v>
      </c>
      <c r="B19" s="47" t="s">
        <v>284</v>
      </c>
      <c r="C19" s="6" t="s">
        <v>371</v>
      </c>
      <c r="D19" s="438" t="s">
        <v>372</v>
      </c>
      <c r="E19" s="69">
        <v>3203.48</v>
      </c>
      <c r="F19" s="69">
        <v>91.54</v>
      </c>
      <c r="G19" s="69">
        <v>293246.40000000002</v>
      </c>
      <c r="H19" s="69">
        <v>0</v>
      </c>
      <c r="I19" s="69">
        <v>0</v>
      </c>
      <c r="J19" s="69">
        <v>0</v>
      </c>
      <c r="K19" s="69">
        <f t="shared" si="1"/>
        <v>293246.40000000002</v>
      </c>
      <c r="L19" s="45"/>
      <c r="M19" s="450">
        <f t="shared" si="0"/>
        <v>6814163.8699999992</v>
      </c>
      <c r="N19" s="444"/>
      <c r="O19" s="174"/>
    </row>
    <row r="20" spans="1:15">
      <c r="A20" s="437">
        <v>17</v>
      </c>
      <c r="B20" s="47" t="s">
        <v>284</v>
      </c>
      <c r="C20" s="5" t="s">
        <v>373</v>
      </c>
      <c r="D20" s="442" t="s">
        <v>374</v>
      </c>
      <c r="E20" s="69">
        <v>67972.3</v>
      </c>
      <c r="F20" s="69">
        <v>95.68</v>
      </c>
      <c r="G20" s="69">
        <v>6503593</v>
      </c>
      <c r="H20" s="69">
        <v>0</v>
      </c>
      <c r="I20" s="69">
        <v>0</v>
      </c>
      <c r="J20" s="69">
        <v>0</v>
      </c>
      <c r="K20" s="69">
        <f t="shared" si="1"/>
        <v>6503593</v>
      </c>
      <c r="L20" s="45"/>
      <c r="M20" s="450">
        <f t="shared" si="0"/>
        <v>310570.86999999918</v>
      </c>
      <c r="N20" s="444"/>
      <c r="O20" s="174"/>
    </row>
    <row r="21" spans="1:15">
      <c r="A21" s="437">
        <v>18</v>
      </c>
      <c r="B21" s="47" t="s">
        <v>254</v>
      </c>
      <c r="C21" s="441" t="s">
        <v>363</v>
      </c>
      <c r="D21" s="438" t="s">
        <v>362</v>
      </c>
      <c r="E21" s="69">
        <v>217.27</v>
      </c>
      <c r="F21" s="69">
        <v>92.05</v>
      </c>
      <c r="G21" s="69">
        <v>20000</v>
      </c>
      <c r="H21" s="69">
        <v>0</v>
      </c>
      <c r="I21" s="69">
        <v>0</v>
      </c>
      <c r="J21" s="69">
        <v>0</v>
      </c>
      <c r="K21" s="69">
        <f t="shared" si="1"/>
        <v>20000</v>
      </c>
      <c r="L21" s="45"/>
      <c r="M21" s="450">
        <f t="shared" si="0"/>
        <v>290570.86999999918</v>
      </c>
      <c r="N21" s="444"/>
      <c r="O21" s="174"/>
    </row>
    <row r="22" spans="1:15">
      <c r="A22" s="437">
        <v>19</v>
      </c>
      <c r="B22" s="47" t="s">
        <v>261</v>
      </c>
      <c r="C22" s="441" t="s">
        <v>375</v>
      </c>
      <c r="D22" s="438" t="s">
        <v>362</v>
      </c>
      <c r="E22" s="69">
        <v>36.950000000000003</v>
      </c>
      <c r="F22" s="69">
        <v>92.01</v>
      </c>
      <c r="G22" s="176">
        <v>3400</v>
      </c>
      <c r="H22" s="69"/>
      <c r="I22" s="69"/>
      <c r="J22" s="69"/>
      <c r="K22" s="69">
        <f t="shared" si="1"/>
        <v>3400</v>
      </c>
      <c r="L22" s="82"/>
      <c r="M22" s="450">
        <f t="shared" si="0"/>
        <v>287170.86999999918</v>
      </c>
      <c r="N22" s="6"/>
      <c r="O22" s="6"/>
    </row>
    <row r="23" spans="1:15">
      <c r="A23" s="437">
        <v>20</v>
      </c>
      <c r="B23" s="182"/>
      <c r="C23" s="445"/>
      <c r="D23" s="438"/>
      <c r="E23" s="440"/>
      <c r="F23" s="440"/>
      <c r="G23" s="69"/>
      <c r="H23" s="69"/>
      <c r="I23" s="69"/>
      <c r="J23" s="69"/>
      <c r="K23" s="158"/>
      <c r="L23" s="48"/>
      <c r="M23" s="436"/>
      <c r="N23" s="6"/>
      <c r="O23" s="6"/>
    </row>
    <row r="24" spans="1:15">
      <c r="A24" s="437">
        <v>21</v>
      </c>
      <c r="B24" s="182"/>
      <c r="C24" s="446"/>
      <c r="D24" s="438"/>
      <c r="E24" s="443"/>
      <c r="F24" s="440"/>
      <c r="G24" s="69"/>
      <c r="H24" s="69"/>
      <c r="I24" s="69"/>
      <c r="J24" s="69"/>
      <c r="K24" s="158"/>
      <c r="L24" s="48"/>
      <c r="M24" s="436"/>
      <c r="N24" s="6"/>
      <c r="O24" s="6"/>
    </row>
    <row r="25" spans="1:15">
      <c r="A25" s="437">
        <v>22</v>
      </c>
      <c r="B25" s="182"/>
      <c r="C25" s="441"/>
      <c r="D25" s="438"/>
      <c r="E25" s="69"/>
      <c r="F25" s="69"/>
      <c r="G25" s="69"/>
      <c r="H25" s="69"/>
      <c r="I25" s="69"/>
      <c r="J25" s="69"/>
      <c r="K25" s="158"/>
      <c r="L25" s="48"/>
      <c r="M25" s="436"/>
      <c r="N25" s="6"/>
      <c r="O25" s="6"/>
    </row>
    <row r="26" spans="1:15">
      <c r="A26" s="437">
        <v>23</v>
      </c>
      <c r="B26" s="444"/>
      <c r="C26" s="174"/>
      <c r="D26" s="447"/>
      <c r="E26" s="174"/>
      <c r="F26" s="174"/>
      <c r="G26" s="174"/>
      <c r="H26" s="174"/>
      <c r="I26" s="174"/>
      <c r="J26" s="174"/>
      <c r="K26" s="448"/>
      <c r="L26" s="437"/>
      <c r="M26" s="436"/>
      <c r="N26" s="444"/>
      <c r="O26" s="174"/>
    </row>
    <row r="27" spans="1:15">
      <c r="A27" s="437">
        <v>24</v>
      </c>
      <c r="B27" s="174"/>
      <c r="C27" s="446"/>
      <c r="D27" s="447"/>
      <c r="E27" s="174"/>
      <c r="F27" s="174"/>
      <c r="G27" s="174"/>
      <c r="H27" s="174"/>
      <c r="I27" s="174"/>
      <c r="J27" s="174"/>
      <c r="K27" s="176"/>
      <c r="L27" s="174"/>
      <c r="M27" s="436"/>
      <c r="N27" s="174"/>
      <c r="O27" s="174"/>
    </row>
    <row r="28" spans="1:15">
      <c r="A28" s="437">
        <v>25</v>
      </c>
      <c r="B28" s="6"/>
      <c r="C28" s="6"/>
      <c r="D28" s="438"/>
      <c r="E28" s="6"/>
      <c r="F28" s="6"/>
      <c r="G28" s="6"/>
      <c r="H28" s="6"/>
      <c r="I28" s="6"/>
      <c r="J28" s="6"/>
      <c r="K28" s="176"/>
      <c r="L28" s="6"/>
      <c r="M28" s="436"/>
      <c r="N28" s="6"/>
      <c r="O28" s="6"/>
    </row>
    <row r="29" spans="1:15">
      <c r="I29" s="449"/>
    </row>
  </sheetData>
  <mergeCells count="2">
    <mergeCell ref="A1:O1"/>
    <mergeCell ref="A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MIS</cp:lastModifiedBy>
  <cp:revision/>
  <dcterms:created xsi:type="dcterms:W3CDTF">2015-06-05T18:17:20Z</dcterms:created>
  <dcterms:modified xsi:type="dcterms:W3CDTF">2026-10-07T05:05:46Z</dcterms:modified>
  <cp:category/>
  <cp:contentStatus/>
</cp:coreProperties>
</file>