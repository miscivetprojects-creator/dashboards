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14818" documentId="8_{21E78461-8472-4FC4-9B9A-C4551723630E}" xr6:coauthVersionLast="47" xr6:coauthVersionMax="47" xr10:uidLastSave="{2ADCA037-CBE1-4921-8957-BCA8BEB54223}"/>
  <bookViews>
    <workbookView xWindow="-60" yWindow="-60" windowWidth="15480" windowHeight="11640" firstSheet="33" activeTab="33" xr2:uid="{00000000-000D-0000-FFFF-FFFF00000000}"/>
  </bookViews>
  <sheets>
    <sheet name="Feb-2026" sheetId="56" r:id="rId1"/>
    <sheet name="Sheet2" sheetId="84" r:id="rId2"/>
    <sheet name="HO(DG)" sheetId="81" r:id="rId3"/>
    <sheet name="Khammam-1" sheetId="50" r:id="rId4"/>
    <sheet name="Khammam-2" sheetId="47" r:id="rId5"/>
    <sheet name="Khammam-3" sheetId="82" r:id="rId6"/>
    <sheet name=" Sanga reddy-1" sheetId="86" r:id="rId7"/>
    <sheet name="Sangareddy -2" sheetId="87" r:id="rId8"/>
    <sheet name="Jadcherla-3" sheetId="72" r:id="rId9"/>
    <sheet name="Jadcherla-4" sheetId="78" r:id="rId10"/>
    <sheet name="Devarakhadra" sheetId="59" r:id="rId11"/>
    <sheet name="Dindi" sheetId="58" r:id="rId12"/>
    <sheet name="Amalapuram" sheetId="65" r:id="rId13"/>
    <sheet name="Madana palli" sheetId="71" r:id="rId14"/>
    <sheet name="Kadur" sheetId="7" r:id="rId15"/>
    <sheet name="YG Gudda-2" sheetId="62" r:id="rId16"/>
    <sheet name="Hosadurga" sheetId="1" r:id="rId17"/>
    <sheet name="Hosadurga -2" sheetId="52" r:id="rId18"/>
    <sheet name="Hiriyur(VJNL)" sheetId="3" r:id="rId19"/>
    <sheet name="Malebenur(KUWSDB)" sheetId="16" r:id="rId20"/>
    <sheet name="Molakamuru" sheetId="63" r:id="rId21"/>
    <sheet name="Chellakere -1" sheetId="68" r:id="rId22"/>
    <sheet name=" Chellakere-PKG-9" sheetId="73" r:id="rId23"/>
    <sheet name=" Chennagiri" sheetId="74" r:id="rId24"/>
    <sheet name="Khanapur" sheetId="24" r:id="rId25"/>
    <sheet name="Munavali" sheetId="61" r:id="rId26"/>
    <sheet name="Munavali-2" sheetId="80" r:id="rId27"/>
    <sheet name="Borgaon" sheetId="10" r:id="rId28"/>
    <sheet name="Ugar,Khagwad,Kudichi" sheetId="11" r:id="rId29"/>
    <sheet name="Kabbur" sheetId="40" r:id="rId30"/>
    <sheet name="kumta" sheetId="25" r:id="rId31"/>
    <sheet name="Jalgaon" sheetId="22" r:id="rId32"/>
    <sheet name="Jalgoan-2" sheetId="85" r:id="rId33"/>
    <sheet name="MKBD" sheetId="14" r:id="rId34"/>
    <sheet name=" Haveri-2" sheetId="75" r:id="rId35"/>
    <sheet name=" Guttal-2" sheetId="79" r:id="rId36"/>
    <sheet name="Rattihali" sheetId="37" r:id="rId37"/>
    <sheet name="Rattihali-2" sheetId="76" r:id="rId38"/>
    <sheet name="Gajendragada" sheetId="12" r:id="rId39"/>
    <sheet name="Gokak Dharwad PKG 3" sheetId="41" r:id="rId40"/>
    <sheet name="Ankalgi" sheetId="60" r:id="rId41"/>
    <sheet name=" TR Associates" sheetId="83" r:id="rId42"/>
    <sheet name=" Shankeshwar" sheetId="57" r:id="rId43"/>
    <sheet name=" Talikote" sheetId="26" r:id="rId44"/>
    <sheet name="Chadchan" sheetId="9" r:id="rId45"/>
    <sheet name="Sindagi" sheetId="33" r:id="rId46"/>
    <sheet name="Muddebhihal-2" sheetId="69" r:id="rId47"/>
    <sheet name="Alemela" sheetId="35" r:id="rId48"/>
    <sheet name="Nalatwad" sheetId="51" r:id="rId49"/>
    <sheet name="Srirangapatna" sheetId="19" r:id="rId50"/>
    <sheet name=" BPCL Feb 26" sheetId="44" r:id="rId51"/>
    <sheet name=" HPCL Feb26" sheetId="45" r:id="rId52"/>
  </sheets>
  <definedNames>
    <definedName name="_xlnm._FilterDatabase" localSheetId="50" hidden="1">' BPCL Feb 26'!$A$4:$U$4</definedName>
    <definedName name="_xlnm.Print_Area" localSheetId="16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86" l="1"/>
  <c r="M14" i="59"/>
  <c r="J9" i="56"/>
  <c r="I9" i="56"/>
  <c r="L35" i="86"/>
  <c r="H35" i="86"/>
  <c r="F9" i="56" s="1"/>
  <c r="E35" i="86"/>
  <c r="D9" i="56" s="1"/>
  <c r="J34" i="86"/>
  <c r="G34" i="86"/>
  <c r="K34" i="86" s="1"/>
  <c r="J33" i="86"/>
  <c r="G33" i="86"/>
  <c r="K33" i="86" s="1"/>
  <c r="J32" i="86"/>
  <c r="G32" i="86"/>
  <c r="K32" i="86" s="1"/>
  <c r="J31" i="86"/>
  <c r="G31" i="86"/>
  <c r="K31" i="86" s="1"/>
  <c r="J30" i="86"/>
  <c r="G30" i="86"/>
  <c r="K30" i="86" s="1"/>
  <c r="J29" i="86"/>
  <c r="G29" i="86"/>
  <c r="K29" i="86" s="1"/>
  <c r="J28" i="86"/>
  <c r="G28" i="86"/>
  <c r="K28" i="86" s="1"/>
  <c r="J27" i="86"/>
  <c r="G27" i="86"/>
  <c r="K27" i="86" s="1"/>
  <c r="J26" i="86"/>
  <c r="G26" i="86"/>
  <c r="K26" i="86" s="1"/>
  <c r="J25" i="86"/>
  <c r="G25" i="86"/>
  <c r="K25" i="86" s="1"/>
  <c r="J24" i="86"/>
  <c r="G24" i="86"/>
  <c r="K24" i="86" s="1"/>
  <c r="J23" i="86"/>
  <c r="G23" i="86"/>
  <c r="K23" i="86" s="1"/>
  <c r="J22" i="86"/>
  <c r="G22" i="86"/>
  <c r="K22" i="86" s="1"/>
  <c r="J21" i="86"/>
  <c r="G21" i="86"/>
  <c r="K21" i="86" s="1"/>
  <c r="J20" i="86"/>
  <c r="G20" i="86"/>
  <c r="K20" i="86" s="1"/>
  <c r="J19" i="86"/>
  <c r="G19" i="86"/>
  <c r="K19" i="86" s="1"/>
  <c r="J18" i="86"/>
  <c r="G18" i="86"/>
  <c r="K18" i="86" s="1"/>
  <c r="J17" i="86"/>
  <c r="G17" i="86"/>
  <c r="K17" i="86" s="1"/>
  <c r="J16" i="86"/>
  <c r="G16" i="86"/>
  <c r="K16" i="86" s="1"/>
  <c r="J15" i="86"/>
  <c r="G15" i="86"/>
  <c r="K15" i="86" s="1"/>
  <c r="J14" i="86"/>
  <c r="G14" i="86"/>
  <c r="K14" i="86" s="1"/>
  <c r="J13" i="86"/>
  <c r="G13" i="86"/>
  <c r="K13" i="86" s="1"/>
  <c r="J12" i="86"/>
  <c r="G12" i="86"/>
  <c r="K12" i="86" s="1"/>
  <c r="J11" i="86"/>
  <c r="G11" i="86"/>
  <c r="K11" i="86" s="1"/>
  <c r="J10" i="86"/>
  <c r="G10" i="86"/>
  <c r="K10" i="86" s="1"/>
  <c r="J9" i="86"/>
  <c r="G9" i="86"/>
  <c r="K9" i="86" s="1"/>
  <c r="J8" i="86"/>
  <c r="G8" i="86"/>
  <c r="K8" i="86" s="1"/>
  <c r="J7" i="86"/>
  <c r="G7" i="86"/>
  <c r="K7" i="86" s="1"/>
  <c r="J6" i="86"/>
  <c r="G6" i="86"/>
  <c r="K6" i="86" s="1"/>
  <c r="J5" i="86"/>
  <c r="G5" i="86"/>
  <c r="K5" i="86" s="1"/>
  <c r="J4" i="86"/>
  <c r="J35" i="86" s="1"/>
  <c r="G9" i="56" s="1"/>
  <c r="G4" i="86"/>
  <c r="T25" i="81"/>
  <c r="S25" i="81"/>
  <c r="M3" i="9"/>
  <c r="L34" i="81"/>
  <c r="G43" i="51"/>
  <c r="L34" i="45"/>
  <c r="L32" i="45"/>
  <c r="L33" i="45"/>
  <c r="L31" i="45"/>
  <c r="N30" i="45"/>
  <c r="N31" i="45" s="1"/>
  <c r="N32" i="45" s="1"/>
  <c r="N33" i="45" s="1"/>
  <c r="N34" i="45" s="1"/>
  <c r="L30" i="45"/>
  <c r="N28" i="45"/>
  <c r="N29" i="45"/>
  <c r="L29" i="45"/>
  <c r="L28" i="45"/>
  <c r="G83" i="44"/>
  <c r="K83" i="44" s="1"/>
  <c r="G80" i="44"/>
  <c r="G81" i="44"/>
  <c r="G82" i="44"/>
  <c r="K82" i="44" s="1"/>
  <c r="J78" i="44"/>
  <c r="J79" i="44"/>
  <c r="J80" i="44"/>
  <c r="K80" i="44" s="1"/>
  <c r="J81" i="44"/>
  <c r="K81" i="44" s="1"/>
  <c r="G79" i="44"/>
  <c r="K79" i="44" s="1"/>
  <c r="G78" i="44"/>
  <c r="K78" i="44" s="1"/>
  <c r="J77" i="44"/>
  <c r="G76" i="44"/>
  <c r="G77" i="44"/>
  <c r="K77" i="44" s="1"/>
  <c r="J71" i="44"/>
  <c r="J72" i="44"/>
  <c r="J73" i="44"/>
  <c r="J74" i="44"/>
  <c r="J75" i="44"/>
  <c r="J76" i="44"/>
  <c r="K76" i="44" s="1"/>
  <c r="G75" i="44"/>
  <c r="K75" i="44" s="1"/>
  <c r="G74" i="44"/>
  <c r="K74" i="44" s="1"/>
  <c r="G73" i="44"/>
  <c r="K73" i="44" s="1"/>
  <c r="G72" i="44"/>
  <c r="K72" i="44" s="1"/>
  <c r="G71" i="44"/>
  <c r="K71" i="44" s="1"/>
  <c r="J70" i="44"/>
  <c r="G70" i="44"/>
  <c r="K70" i="44" s="1"/>
  <c r="J69" i="44"/>
  <c r="G69" i="44"/>
  <c r="K69" i="44" s="1"/>
  <c r="E35" i="24"/>
  <c r="J27" i="68"/>
  <c r="J28" i="68"/>
  <c r="J29" i="68"/>
  <c r="J30" i="68"/>
  <c r="J31" i="68"/>
  <c r="G30" i="68"/>
  <c r="G31" i="68"/>
  <c r="G33" i="81"/>
  <c r="K33" i="81" s="1"/>
  <c r="J29" i="76"/>
  <c r="G29" i="76"/>
  <c r="K29" i="76" s="1"/>
  <c r="K29" i="82"/>
  <c r="J30" i="80"/>
  <c r="K30" i="80"/>
  <c r="G30" i="80"/>
  <c r="M28" i="80"/>
  <c r="M29" i="80"/>
  <c r="M30" i="80"/>
  <c r="G27" i="68"/>
  <c r="G28" i="68"/>
  <c r="G29" i="68"/>
  <c r="L27" i="45"/>
  <c r="L23" i="45"/>
  <c r="L24" i="45"/>
  <c r="L25" i="45"/>
  <c r="L26" i="45"/>
  <c r="J20" i="68"/>
  <c r="J21" i="68"/>
  <c r="J22" i="68"/>
  <c r="J23" i="68"/>
  <c r="J24" i="68"/>
  <c r="J25" i="68"/>
  <c r="J26" i="68"/>
  <c r="G22" i="68"/>
  <c r="G23" i="68"/>
  <c r="G24" i="68"/>
  <c r="G25" i="68"/>
  <c r="G26" i="68"/>
  <c r="G25" i="11"/>
  <c r="G26" i="12"/>
  <c r="J25" i="76"/>
  <c r="J26" i="76"/>
  <c r="J27" i="76"/>
  <c r="K13" i="65"/>
  <c r="K14" i="65"/>
  <c r="K15" i="65"/>
  <c r="K16" i="65"/>
  <c r="K17" i="65"/>
  <c r="J22" i="9"/>
  <c r="G22" i="9"/>
  <c r="K22" i="9" s="1"/>
  <c r="G20" i="68"/>
  <c r="G21" i="68"/>
  <c r="J16" i="68"/>
  <c r="J17" i="68"/>
  <c r="J18" i="68"/>
  <c r="J19" i="68"/>
  <c r="G16" i="68"/>
  <c r="G17" i="68"/>
  <c r="G18" i="68"/>
  <c r="G19" i="68"/>
  <c r="K10" i="65"/>
  <c r="K11" i="65"/>
  <c r="K12" i="65"/>
  <c r="K9" i="65"/>
  <c r="M6" i="35"/>
  <c r="M7" i="35"/>
  <c r="M8" i="35"/>
  <c r="M9" i="35"/>
  <c r="M10" i="35"/>
  <c r="M11" i="35"/>
  <c r="M12" i="35"/>
  <c r="M13" i="35"/>
  <c r="M14" i="35"/>
  <c r="J37" i="44"/>
  <c r="J38" i="44"/>
  <c r="J39" i="44"/>
  <c r="J36" i="44"/>
  <c r="J34" i="44"/>
  <c r="J35" i="44"/>
  <c r="G17" i="82"/>
  <c r="G18" i="82"/>
  <c r="G17" i="75"/>
  <c r="J16" i="76"/>
  <c r="J17" i="76"/>
  <c r="J33" i="44"/>
  <c r="J31" i="44"/>
  <c r="J32" i="44"/>
  <c r="J27" i="44"/>
  <c r="J28" i="44"/>
  <c r="J29" i="44"/>
  <c r="J30" i="44"/>
  <c r="J15" i="78"/>
  <c r="K15" i="78" s="1"/>
  <c r="J10" i="78"/>
  <c r="K10" i="78"/>
  <c r="J11" i="78"/>
  <c r="K11" i="78"/>
  <c r="J12" i="78"/>
  <c r="K12" i="78"/>
  <c r="J13" i="78"/>
  <c r="K13" i="78"/>
  <c r="J14" i="78"/>
  <c r="K14" i="78"/>
  <c r="J9" i="68"/>
  <c r="J10" i="68"/>
  <c r="J11" i="68"/>
  <c r="J12" i="68"/>
  <c r="J13" i="68"/>
  <c r="J14" i="68"/>
  <c r="J15" i="68"/>
  <c r="G13" i="68"/>
  <c r="G14" i="68"/>
  <c r="G15" i="68"/>
  <c r="J13" i="47"/>
  <c r="G13" i="47"/>
  <c r="K13" i="47" s="1"/>
  <c r="K5" i="65"/>
  <c r="K6" i="65"/>
  <c r="K7" i="65"/>
  <c r="K8" i="65"/>
  <c r="K4" i="65"/>
  <c r="G6" i="65"/>
  <c r="G8" i="65"/>
  <c r="G9" i="65"/>
  <c r="G10" i="65"/>
  <c r="G5" i="65"/>
  <c r="P7" i="59"/>
  <c r="G13" i="40"/>
  <c r="J25" i="44"/>
  <c r="J26" i="44"/>
  <c r="J19" i="44"/>
  <c r="J20" i="44"/>
  <c r="J21" i="44"/>
  <c r="J22" i="44"/>
  <c r="J23" i="44"/>
  <c r="J24" i="44"/>
  <c r="J10" i="44"/>
  <c r="J11" i="44"/>
  <c r="J12" i="44"/>
  <c r="J13" i="44"/>
  <c r="J14" i="44"/>
  <c r="J15" i="44"/>
  <c r="J16" i="44"/>
  <c r="J17" i="44"/>
  <c r="J18" i="44"/>
  <c r="G9" i="68"/>
  <c r="G10" i="68"/>
  <c r="G11" i="68"/>
  <c r="G12" i="68"/>
  <c r="G10" i="9"/>
  <c r="J10" i="9"/>
  <c r="K10" i="9"/>
  <c r="G11" i="9"/>
  <c r="J11" i="9"/>
  <c r="K11" i="9"/>
  <c r="G9" i="9"/>
  <c r="J9" i="9"/>
  <c r="K9" i="9"/>
  <c r="G9" i="51"/>
  <c r="P3" i="11"/>
  <c r="G10" i="81"/>
  <c r="K10" i="81" s="1"/>
  <c r="J6" i="68"/>
  <c r="J8" i="68"/>
  <c r="G8" i="68"/>
  <c r="G7" i="68"/>
  <c r="G6" i="68"/>
  <c r="J7" i="68"/>
  <c r="G7" i="82"/>
  <c r="G8" i="11"/>
  <c r="L10" i="45"/>
  <c r="K5" i="45"/>
  <c r="J8" i="44"/>
  <c r="J9" i="44"/>
  <c r="J6" i="44"/>
  <c r="J7" i="44"/>
  <c r="J5" i="44"/>
  <c r="G6" i="51"/>
  <c r="G5" i="11"/>
  <c r="G6" i="11"/>
  <c r="G5" i="61"/>
  <c r="G6" i="61"/>
  <c r="G7" i="61"/>
  <c r="G5" i="80"/>
  <c r="M5" i="12"/>
  <c r="L55" i="85"/>
  <c r="J30" i="56" s="1"/>
  <c r="H55" i="85"/>
  <c r="F30" i="56" s="1"/>
  <c r="E55" i="85"/>
  <c r="D30" i="56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J36" i="85"/>
  <c r="G36" i="85"/>
  <c r="K36" i="85" s="1"/>
  <c r="J35" i="85"/>
  <c r="G35" i="85"/>
  <c r="K35" i="85" s="1"/>
  <c r="J34" i="85"/>
  <c r="G34" i="85"/>
  <c r="K34" i="85" s="1"/>
  <c r="J33" i="85"/>
  <c r="G33" i="85"/>
  <c r="K33" i="85" s="1"/>
  <c r="J32" i="85"/>
  <c r="G32" i="85"/>
  <c r="K32" i="85" s="1"/>
  <c r="J31" i="85"/>
  <c r="G31" i="85"/>
  <c r="K31" i="85" s="1"/>
  <c r="J30" i="85"/>
  <c r="G30" i="85"/>
  <c r="K30" i="85" s="1"/>
  <c r="J29" i="85"/>
  <c r="G29" i="85"/>
  <c r="K29" i="85" s="1"/>
  <c r="J28" i="85"/>
  <c r="G28" i="85"/>
  <c r="K28" i="85" s="1"/>
  <c r="J27" i="85"/>
  <c r="G27" i="85"/>
  <c r="K27" i="85" s="1"/>
  <c r="J26" i="85"/>
  <c r="G26" i="85"/>
  <c r="K26" i="85" s="1"/>
  <c r="J25" i="85"/>
  <c r="G25" i="85"/>
  <c r="K25" i="85" s="1"/>
  <c r="J24" i="85"/>
  <c r="G24" i="85"/>
  <c r="K24" i="85" s="1"/>
  <c r="J23" i="85"/>
  <c r="G23" i="85"/>
  <c r="K23" i="85" s="1"/>
  <c r="J22" i="85"/>
  <c r="G22" i="85"/>
  <c r="K22" i="85" s="1"/>
  <c r="J21" i="85"/>
  <c r="G21" i="85"/>
  <c r="K21" i="85" s="1"/>
  <c r="J20" i="85"/>
  <c r="G20" i="85"/>
  <c r="K20" i="85" s="1"/>
  <c r="J19" i="85"/>
  <c r="G19" i="85"/>
  <c r="K19" i="85" s="1"/>
  <c r="J18" i="85"/>
  <c r="G18" i="85"/>
  <c r="K18" i="85" s="1"/>
  <c r="J17" i="85"/>
  <c r="G17" i="85"/>
  <c r="K17" i="85" s="1"/>
  <c r="J16" i="85"/>
  <c r="G16" i="85"/>
  <c r="K16" i="85" s="1"/>
  <c r="J15" i="85"/>
  <c r="G15" i="85"/>
  <c r="K15" i="85" s="1"/>
  <c r="J14" i="85"/>
  <c r="G14" i="85"/>
  <c r="K14" i="85" s="1"/>
  <c r="J13" i="85"/>
  <c r="G13" i="85"/>
  <c r="K13" i="85" s="1"/>
  <c r="J12" i="85"/>
  <c r="G12" i="85"/>
  <c r="K12" i="85" s="1"/>
  <c r="J11" i="85"/>
  <c r="G11" i="85"/>
  <c r="K11" i="85" s="1"/>
  <c r="J9" i="85"/>
  <c r="G9" i="85"/>
  <c r="K9" i="85" s="1"/>
  <c r="J8" i="85"/>
  <c r="G8" i="85"/>
  <c r="K8" i="85" s="1"/>
  <c r="J7" i="85"/>
  <c r="G7" i="85"/>
  <c r="K7" i="85" s="1"/>
  <c r="J6" i="85"/>
  <c r="G6" i="85"/>
  <c r="K6" i="85" s="1"/>
  <c r="J5" i="85"/>
  <c r="G5" i="85"/>
  <c r="K5" i="85" s="1"/>
  <c r="J4" i="85"/>
  <c r="J55" i="85" s="1"/>
  <c r="G30" i="56" s="1"/>
  <c r="G4" i="85"/>
  <c r="M3" i="85"/>
  <c r="I30" i="56" s="1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7" i="12"/>
  <c r="G28" i="12"/>
  <c r="G29" i="12"/>
  <c r="G30" i="12"/>
  <c r="G31" i="12"/>
  <c r="G32" i="12"/>
  <c r="G33" i="12"/>
  <c r="G34" i="12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8" i="61"/>
  <c r="G9" i="61"/>
  <c r="G10" i="61"/>
  <c r="G11" i="61"/>
  <c r="G12" i="61"/>
  <c r="G13" i="61"/>
  <c r="G14" i="61"/>
  <c r="G15" i="61"/>
  <c r="M3" i="14"/>
  <c r="G4" i="22"/>
  <c r="K5" i="68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L6" i="63"/>
  <c r="L7" i="63"/>
  <c r="L8" i="63"/>
  <c r="L9" i="63"/>
  <c r="L10" i="63"/>
  <c r="L12" i="63"/>
  <c r="L13" i="63"/>
  <c r="L14" i="63"/>
  <c r="L15" i="63"/>
  <c r="L16" i="63"/>
  <c r="L19" i="63"/>
  <c r="L20" i="63"/>
  <c r="L21" i="63"/>
  <c r="L22" i="63"/>
  <c r="L24" i="63"/>
  <c r="L25" i="63"/>
  <c r="L26" i="63"/>
  <c r="L27" i="63"/>
  <c r="L28" i="63"/>
  <c r="L29" i="63"/>
  <c r="L30" i="63"/>
  <c r="G5" i="63"/>
  <c r="J5" i="63"/>
  <c r="K5" i="63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L18" i="63" s="1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G35" i="16"/>
  <c r="J35" i="16"/>
  <c r="K35" i="16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5" i="62"/>
  <c r="J5" i="62"/>
  <c r="K5" i="62"/>
  <c r="G6" i="62"/>
  <c r="J6" i="62"/>
  <c r="K6" i="62"/>
  <c r="G7" i="62"/>
  <c r="J7" i="62"/>
  <c r="K7" i="62"/>
  <c r="G8" i="62"/>
  <c r="J8" i="62"/>
  <c r="K8" i="62"/>
  <c r="G9" i="62"/>
  <c r="J9" i="62"/>
  <c r="K9" i="62"/>
  <c r="G10" i="62"/>
  <c r="J10" i="62"/>
  <c r="K10" i="62"/>
  <c r="G11" i="62"/>
  <c r="J11" i="62"/>
  <c r="K11" i="62"/>
  <c r="G12" i="62"/>
  <c r="J12" i="62"/>
  <c r="K12" i="62"/>
  <c r="G13" i="62"/>
  <c r="J13" i="62"/>
  <c r="K13" i="62"/>
  <c r="G14" i="62"/>
  <c r="J14" i="62"/>
  <c r="K14" i="62"/>
  <c r="G15" i="62"/>
  <c r="J15" i="62"/>
  <c r="K15" i="62"/>
  <c r="G16" i="62"/>
  <c r="J16" i="62"/>
  <c r="K16" i="62"/>
  <c r="G17" i="62"/>
  <c r="J17" i="62"/>
  <c r="K17" i="62"/>
  <c r="G18" i="62"/>
  <c r="J18" i="62"/>
  <c r="K18" i="62"/>
  <c r="G19" i="62"/>
  <c r="J19" i="62"/>
  <c r="K19" i="62"/>
  <c r="G20" i="62"/>
  <c r="J20" i="62"/>
  <c r="K20" i="62"/>
  <c r="G21" i="62"/>
  <c r="J21" i="62"/>
  <c r="K21" i="62"/>
  <c r="G22" i="62"/>
  <c r="J22" i="62"/>
  <c r="K22" i="62"/>
  <c r="G23" i="62"/>
  <c r="J23" i="62"/>
  <c r="K23" i="62"/>
  <c r="G24" i="62"/>
  <c r="J24" i="62"/>
  <c r="K24" i="62"/>
  <c r="G25" i="62"/>
  <c r="J25" i="62"/>
  <c r="K25" i="62"/>
  <c r="G26" i="62"/>
  <c r="J26" i="62"/>
  <c r="K26" i="62"/>
  <c r="G27" i="62"/>
  <c r="J27" i="62"/>
  <c r="K27" i="62"/>
  <c r="G28" i="62"/>
  <c r="J28" i="62"/>
  <c r="K28" i="62"/>
  <c r="G29" i="62"/>
  <c r="J29" i="62"/>
  <c r="K29" i="62"/>
  <c r="G30" i="62"/>
  <c r="J30" i="62"/>
  <c r="K30" i="62"/>
  <c r="G31" i="62"/>
  <c r="J31" i="62"/>
  <c r="K31" i="62"/>
  <c r="G32" i="62"/>
  <c r="J32" i="62"/>
  <c r="K32" i="62"/>
  <c r="G33" i="62"/>
  <c r="J33" i="62"/>
  <c r="K33" i="62"/>
  <c r="G33" i="58"/>
  <c r="J5" i="47"/>
  <c r="J6" i="47"/>
  <c r="J7" i="47"/>
  <c r="J8" i="47"/>
  <c r="J9" i="47"/>
  <c r="J10" i="47"/>
  <c r="J11" i="47"/>
  <c r="J12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9" i="50"/>
  <c r="J10" i="50"/>
  <c r="J11" i="50"/>
  <c r="J12" i="50"/>
  <c r="J13" i="50"/>
  <c r="J14" i="50"/>
  <c r="J15" i="50"/>
  <c r="J16" i="50"/>
  <c r="J17" i="50"/>
  <c r="J18" i="50"/>
  <c r="J19" i="50"/>
  <c r="J20" i="50"/>
  <c r="J21" i="50"/>
  <c r="J22" i="50"/>
  <c r="J23" i="50"/>
  <c r="J24" i="50"/>
  <c r="J25" i="50"/>
  <c r="J26" i="50"/>
  <c r="J27" i="50"/>
  <c r="J28" i="50"/>
  <c r="G30" i="35"/>
  <c r="L6" i="45"/>
  <c r="L22" i="45"/>
  <c r="G66" i="44"/>
  <c r="G67" i="44"/>
  <c r="G68" i="44"/>
  <c r="J66" i="44"/>
  <c r="J67" i="44"/>
  <c r="K67" i="44" s="1"/>
  <c r="J68" i="44"/>
  <c r="K68" i="44" s="1"/>
  <c r="K66" i="44"/>
  <c r="J31" i="82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J33" i="78"/>
  <c r="H37" i="76"/>
  <c r="H35" i="24"/>
  <c r="J29" i="35"/>
  <c r="G29" i="35"/>
  <c r="G28" i="35"/>
  <c r="J65" i="44"/>
  <c r="G64" i="44"/>
  <c r="G65" i="44"/>
  <c r="K65" i="44" s="1"/>
  <c r="J64" i="44"/>
  <c r="K64" i="44" s="1"/>
  <c r="J61" i="44"/>
  <c r="J62" i="44"/>
  <c r="J63" i="44"/>
  <c r="G62" i="44"/>
  <c r="K62" i="44" s="1"/>
  <c r="G63" i="44"/>
  <c r="K63" i="44" s="1"/>
  <c r="G60" i="44"/>
  <c r="G61" i="44"/>
  <c r="K61" i="44" s="1"/>
  <c r="J55" i="44"/>
  <c r="J56" i="44"/>
  <c r="J57" i="44"/>
  <c r="J58" i="44"/>
  <c r="J59" i="44"/>
  <c r="J60" i="44"/>
  <c r="K60" i="44" s="1"/>
  <c r="G59" i="44"/>
  <c r="K59" i="44" s="1"/>
  <c r="G58" i="44"/>
  <c r="K58" i="44" s="1"/>
  <c r="G57" i="44"/>
  <c r="K57" i="44" s="1"/>
  <c r="G26" i="35"/>
  <c r="G27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24" i="35"/>
  <c r="G25" i="35"/>
  <c r="G53" i="44"/>
  <c r="G54" i="44"/>
  <c r="G55" i="44"/>
  <c r="K55" i="44" s="1"/>
  <c r="G56" i="44"/>
  <c r="K56" i="44" s="1"/>
  <c r="J52" i="44"/>
  <c r="J53" i="44"/>
  <c r="J54" i="44"/>
  <c r="G52" i="44"/>
  <c r="K52" i="44" s="1"/>
  <c r="G23" i="35"/>
  <c r="G22" i="35"/>
  <c r="G21" i="35"/>
  <c r="L16" i="45"/>
  <c r="L17" i="45"/>
  <c r="L18" i="45"/>
  <c r="L19" i="45"/>
  <c r="L20" i="45"/>
  <c r="L21" i="45"/>
  <c r="L14" i="45"/>
  <c r="L15" i="45"/>
  <c r="L11" i="45"/>
  <c r="L12" i="45"/>
  <c r="L13" i="45"/>
  <c r="L9" i="45"/>
  <c r="J46" i="44"/>
  <c r="J47" i="44"/>
  <c r="J48" i="44"/>
  <c r="J49" i="44"/>
  <c r="J50" i="44"/>
  <c r="J51" i="44"/>
  <c r="G51" i="44"/>
  <c r="K51" i="44" s="1"/>
  <c r="G50" i="44"/>
  <c r="K50" i="44" s="1"/>
  <c r="G49" i="44"/>
  <c r="K49" i="44" s="1"/>
  <c r="G48" i="44"/>
  <c r="K48" i="44" s="1"/>
  <c r="G47" i="44"/>
  <c r="K47" i="44" s="1"/>
  <c r="G46" i="44"/>
  <c r="K46" i="44" s="1"/>
  <c r="G45" i="44"/>
  <c r="K45" i="44" s="1"/>
  <c r="G44" i="44"/>
  <c r="K44" i="44" s="1"/>
  <c r="G42" i="44"/>
  <c r="K42" i="44" s="1"/>
  <c r="G43" i="44"/>
  <c r="K43" i="44" s="1"/>
  <c r="G40" i="44"/>
  <c r="K40" i="44" s="1"/>
  <c r="G41" i="44"/>
  <c r="K41" i="44" s="1"/>
  <c r="G39" i="44"/>
  <c r="K39" i="44" s="1"/>
  <c r="G38" i="44"/>
  <c r="K38" i="44" s="1"/>
  <c r="G37" i="44"/>
  <c r="K37" i="44" s="1"/>
  <c r="G36" i="44"/>
  <c r="K36" i="44" s="1"/>
  <c r="G35" i="44"/>
  <c r="K35" i="44" s="1"/>
  <c r="G33" i="44"/>
  <c r="K33" i="44" s="1"/>
  <c r="G34" i="44"/>
  <c r="K34" i="44" s="1"/>
  <c r="G32" i="44"/>
  <c r="K32" i="44" s="1"/>
  <c r="G30" i="44"/>
  <c r="K30" i="44" s="1"/>
  <c r="G31" i="44"/>
  <c r="K31" i="44" s="1"/>
  <c r="G29" i="44"/>
  <c r="K29" i="44" s="1"/>
  <c r="G28" i="44"/>
  <c r="K28" i="44" s="1"/>
  <c r="G27" i="44"/>
  <c r="K27" i="44" s="1"/>
  <c r="G26" i="44"/>
  <c r="K26" i="44" s="1"/>
  <c r="G19" i="35"/>
  <c r="G20" i="35"/>
  <c r="G5" i="78"/>
  <c r="J17" i="75"/>
  <c r="G18" i="51"/>
  <c r="G18" i="35"/>
  <c r="I4" i="56"/>
  <c r="I38" i="56"/>
  <c r="L35" i="83"/>
  <c r="J38" i="56" s="1"/>
  <c r="H35" i="83"/>
  <c r="F38" i="56" s="1"/>
  <c r="E35" i="83"/>
  <c r="D38" i="56" s="1"/>
  <c r="J34" i="83"/>
  <c r="G34" i="83"/>
  <c r="K34" i="83" s="1"/>
  <c r="J33" i="83"/>
  <c r="G33" i="83"/>
  <c r="K33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G7" i="83"/>
  <c r="K7" i="83" s="1"/>
  <c r="J6" i="83"/>
  <c r="G6" i="83"/>
  <c r="K6" i="83" s="1"/>
  <c r="J5" i="83"/>
  <c r="G5" i="83"/>
  <c r="K5" i="83" s="1"/>
  <c r="J4" i="83"/>
  <c r="J35" i="83" s="1"/>
  <c r="G38" i="56" s="1"/>
  <c r="G4" i="83"/>
  <c r="L35" i="82"/>
  <c r="J4" i="56" s="1"/>
  <c r="H35" i="82"/>
  <c r="F4" i="56" s="1"/>
  <c r="E35" i="82"/>
  <c r="D4" i="56" s="1"/>
  <c r="J34" i="82"/>
  <c r="G34" i="82"/>
  <c r="K34" i="82" s="1"/>
  <c r="J33" i="82"/>
  <c r="G33" i="82"/>
  <c r="K33" i="82" s="1"/>
  <c r="J32" i="82"/>
  <c r="G32" i="82"/>
  <c r="K32" i="82" s="1"/>
  <c r="G31" i="82"/>
  <c r="K31" i="82" s="1"/>
  <c r="J30" i="82"/>
  <c r="G30" i="82"/>
  <c r="K30" i="82" s="1"/>
  <c r="J29" i="82"/>
  <c r="G29" i="82"/>
  <c r="J28" i="82"/>
  <c r="G28" i="82"/>
  <c r="K28" i="82" s="1"/>
  <c r="J27" i="82"/>
  <c r="G27" i="82"/>
  <c r="K27" i="82" s="1"/>
  <c r="J26" i="82"/>
  <c r="G26" i="82"/>
  <c r="K26" i="82" s="1"/>
  <c r="J25" i="82"/>
  <c r="G25" i="82"/>
  <c r="K25" i="82" s="1"/>
  <c r="J24" i="82"/>
  <c r="G24" i="82"/>
  <c r="K24" i="82" s="1"/>
  <c r="J23" i="82"/>
  <c r="G23" i="82"/>
  <c r="K23" i="82" s="1"/>
  <c r="J22" i="82"/>
  <c r="G22" i="82"/>
  <c r="K22" i="82" s="1"/>
  <c r="J21" i="82"/>
  <c r="G21" i="82"/>
  <c r="K21" i="82" s="1"/>
  <c r="J20" i="82"/>
  <c r="G20" i="82"/>
  <c r="K20" i="82" s="1"/>
  <c r="J19" i="82"/>
  <c r="G19" i="82"/>
  <c r="K19" i="82" s="1"/>
  <c r="J18" i="82"/>
  <c r="K18" i="82"/>
  <c r="J17" i="82"/>
  <c r="K17" i="82"/>
  <c r="J16" i="82"/>
  <c r="G16" i="82"/>
  <c r="K16" i="82" s="1"/>
  <c r="J15" i="82"/>
  <c r="G15" i="82"/>
  <c r="K15" i="82" s="1"/>
  <c r="J14" i="82"/>
  <c r="G14" i="82"/>
  <c r="K14" i="82" s="1"/>
  <c r="J13" i="82"/>
  <c r="G13" i="82"/>
  <c r="K13" i="82" s="1"/>
  <c r="J12" i="82"/>
  <c r="G12" i="82"/>
  <c r="K12" i="82" s="1"/>
  <c r="J11" i="82"/>
  <c r="G11" i="82"/>
  <c r="K11" i="82" s="1"/>
  <c r="J10" i="82"/>
  <c r="G10" i="82"/>
  <c r="K10" i="82" s="1"/>
  <c r="J9" i="82"/>
  <c r="G9" i="82"/>
  <c r="K9" i="82" s="1"/>
  <c r="J8" i="82"/>
  <c r="G8" i="82"/>
  <c r="K8" i="82" s="1"/>
  <c r="J7" i="82"/>
  <c r="K7" i="82"/>
  <c r="J6" i="82"/>
  <c r="G6" i="82"/>
  <c r="K6" i="82" s="1"/>
  <c r="J5" i="82"/>
  <c r="G5" i="82"/>
  <c r="K5" i="82" s="1"/>
  <c r="J4" i="82"/>
  <c r="J35" i="82" s="1"/>
  <c r="G4" i="56" s="1"/>
  <c r="G4" i="82"/>
  <c r="G25" i="44"/>
  <c r="K25" i="44" s="1"/>
  <c r="G20" i="44"/>
  <c r="G21" i="44"/>
  <c r="G22" i="44"/>
  <c r="K22" i="44" s="1"/>
  <c r="G23" i="44"/>
  <c r="K23" i="44" s="1"/>
  <c r="G24" i="44"/>
  <c r="K24" i="44" s="1"/>
  <c r="K21" i="44"/>
  <c r="J11" i="25"/>
  <c r="J12" i="25"/>
  <c r="J13" i="25"/>
  <c r="J14" i="25"/>
  <c r="G12" i="35"/>
  <c r="G13" i="35"/>
  <c r="K20" i="44"/>
  <c r="G19" i="44"/>
  <c r="K19" i="44" s="1"/>
  <c r="G18" i="44"/>
  <c r="K18" i="44" s="1"/>
  <c r="G17" i="44"/>
  <c r="K17" i="44" s="1"/>
  <c r="I48" i="56"/>
  <c r="G6" i="72"/>
  <c r="G7" i="72"/>
  <c r="G8" i="72"/>
  <c r="G9" i="72"/>
  <c r="G10" i="72"/>
  <c r="G11" i="72"/>
  <c r="G12" i="72"/>
  <c r="G36" i="81"/>
  <c r="J36" i="81"/>
  <c r="K36" i="81"/>
  <c r="G37" i="81"/>
  <c r="J37" i="81"/>
  <c r="K37" i="81"/>
  <c r="M50" i="81"/>
  <c r="H39" i="81"/>
  <c r="F48" i="56" s="1"/>
  <c r="E39" i="81"/>
  <c r="D48" i="56" s="1"/>
  <c r="J38" i="81"/>
  <c r="G38" i="81"/>
  <c r="K38" i="81" s="1"/>
  <c r="J35" i="81"/>
  <c r="G35" i="81"/>
  <c r="K35" i="81" s="1"/>
  <c r="J34" i="81"/>
  <c r="G34" i="81"/>
  <c r="K34" i="81" s="1"/>
  <c r="J32" i="81"/>
  <c r="G32" i="81"/>
  <c r="K32" i="81" s="1"/>
  <c r="J31" i="81"/>
  <c r="G31" i="81"/>
  <c r="K31" i="81" s="1"/>
  <c r="J30" i="81"/>
  <c r="G30" i="81"/>
  <c r="K30" i="81" s="1"/>
  <c r="J29" i="81"/>
  <c r="G29" i="81"/>
  <c r="K29" i="81" s="1"/>
  <c r="J28" i="81"/>
  <c r="G28" i="81"/>
  <c r="K28" i="81" s="1"/>
  <c r="J27" i="81"/>
  <c r="G27" i="81"/>
  <c r="K27" i="81" s="1"/>
  <c r="J26" i="81"/>
  <c r="G26" i="81"/>
  <c r="K26" i="81" s="1"/>
  <c r="J25" i="81"/>
  <c r="G25" i="81"/>
  <c r="K25" i="81" s="1"/>
  <c r="J24" i="81"/>
  <c r="G24" i="81"/>
  <c r="K24" i="81" s="1"/>
  <c r="J23" i="81"/>
  <c r="G23" i="81"/>
  <c r="K23" i="81" s="1"/>
  <c r="J22" i="81"/>
  <c r="G22" i="81"/>
  <c r="K22" i="81" s="1"/>
  <c r="J21" i="81"/>
  <c r="G21" i="81"/>
  <c r="K21" i="81" s="1"/>
  <c r="J20" i="81"/>
  <c r="G20" i="81"/>
  <c r="K20" i="81" s="1"/>
  <c r="J19" i="81"/>
  <c r="G19" i="81"/>
  <c r="K19" i="81" s="1"/>
  <c r="J18" i="81"/>
  <c r="G18" i="81"/>
  <c r="K18" i="81" s="1"/>
  <c r="G17" i="81"/>
  <c r="K17" i="81" s="1"/>
  <c r="G16" i="81"/>
  <c r="K16" i="81" s="1"/>
  <c r="G15" i="81"/>
  <c r="K15" i="81" s="1"/>
  <c r="G14" i="81"/>
  <c r="K14" i="81" s="1"/>
  <c r="J13" i="81"/>
  <c r="G13" i="81"/>
  <c r="K13" i="81" s="1"/>
  <c r="J12" i="81"/>
  <c r="G12" i="81"/>
  <c r="K12" i="81" s="1"/>
  <c r="J11" i="81"/>
  <c r="G11" i="81"/>
  <c r="K11" i="81" s="1"/>
  <c r="L11" i="81" s="1"/>
  <c r="L39" i="81" s="1"/>
  <c r="J48" i="56" s="1"/>
  <c r="J9" i="81"/>
  <c r="G9" i="81"/>
  <c r="K9" i="81" s="1"/>
  <c r="J7" i="81"/>
  <c r="G7" i="81"/>
  <c r="K7" i="81" s="1"/>
  <c r="J6" i="81"/>
  <c r="G6" i="81"/>
  <c r="K6" i="81" s="1"/>
  <c r="J5" i="81"/>
  <c r="G5" i="81"/>
  <c r="K5" i="81" s="1"/>
  <c r="J4" i="81"/>
  <c r="J39" i="81" s="1"/>
  <c r="G48" i="56" s="1"/>
  <c r="G4" i="81"/>
  <c r="L8" i="45"/>
  <c r="L5" i="45"/>
  <c r="G16" i="44"/>
  <c r="K16" i="44" s="1"/>
  <c r="G13" i="44"/>
  <c r="G14" i="44"/>
  <c r="G15" i="44"/>
  <c r="K13" i="44"/>
  <c r="K14" i="44"/>
  <c r="K15" i="44"/>
  <c r="G10" i="44"/>
  <c r="G11" i="44"/>
  <c r="K11" i="44" s="1"/>
  <c r="G12" i="44"/>
  <c r="K12" i="44" s="1"/>
  <c r="I24" i="56"/>
  <c r="I33" i="56"/>
  <c r="G8" i="50"/>
  <c r="G9" i="50"/>
  <c r="K9" i="50"/>
  <c r="K10" i="44"/>
  <c r="G9" i="44"/>
  <c r="K9" i="44" s="1"/>
  <c r="G8" i="44"/>
  <c r="K8" i="44" s="1"/>
  <c r="G7" i="44"/>
  <c r="K7" i="44" s="1"/>
  <c r="G6" i="44"/>
  <c r="K6" i="44" s="1"/>
  <c r="L38" i="80"/>
  <c r="J24" i="56" s="1"/>
  <c r="H38" i="80"/>
  <c r="F24" i="56" s="1"/>
  <c r="E38" i="80"/>
  <c r="D24" i="56" s="1"/>
  <c r="J37" i="80"/>
  <c r="G37" i="80"/>
  <c r="K37" i="80" s="1"/>
  <c r="J36" i="80"/>
  <c r="G36" i="80"/>
  <c r="K36" i="80" s="1"/>
  <c r="J35" i="80"/>
  <c r="G35" i="80"/>
  <c r="K35" i="80" s="1"/>
  <c r="J34" i="80"/>
  <c r="G34" i="80"/>
  <c r="K34" i="80" s="1"/>
  <c r="J33" i="80"/>
  <c r="G33" i="80"/>
  <c r="K33" i="80" s="1"/>
  <c r="J32" i="80"/>
  <c r="G32" i="80"/>
  <c r="K32" i="80" s="1"/>
  <c r="J31" i="80"/>
  <c r="G31" i="80"/>
  <c r="K31" i="80" s="1"/>
  <c r="M31" i="80" s="1"/>
  <c r="M32" i="80" s="1"/>
  <c r="M33" i="80" s="1"/>
  <c r="M34" i="80" s="1"/>
  <c r="M35" i="80" s="1"/>
  <c r="M36" i="80" s="1"/>
  <c r="M37" i="80" s="1"/>
  <c r="J29" i="80"/>
  <c r="G29" i="80"/>
  <c r="K29" i="80" s="1"/>
  <c r="J28" i="80"/>
  <c r="G28" i="80"/>
  <c r="K28" i="80" s="1"/>
  <c r="J27" i="80"/>
  <c r="G27" i="80"/>
  <c r="K27" i="80" s="1"/>
  <c r="J26" i="80"/>
  <c r="G26" i="80"/>
  <c r="K26" i="80" s="1"/>
  <c r="J25" i="80"/>
  <c r="G25" i="80"/>
  <c r="K25" i="80" s="1"/>
  <c r="J24" i="80"/>
  <c r="G24" i="80"/>
  <c r="K24" i="80" s="1"/>
  <c r="J23" i="80"/>
  <c r="G23" i="80"/>
  <c r="K23" i="80" s="1"/>
  <c r="J22" i="80"/>
  <c r="G22" i="80"/>
  <c r="K22" i="80" s="1"/>
  <c r="J21" i="80"/>
  <c r="G21" i="80"/>
  <c r="K21" i="80" s="1"/>
  <c r="J20" i="80"/>
  <c r="G20" i="80"/>
  <c r="K20" i="80" s="1"/>
  <c r="J19" i="80"/>
  <c r="G19" i="80"/>
  <c r="K19" i="80" s="1"/>
  <c r="J18" i="80"/>
  <c r="G18" i="80"/>
  <c r="K18" i="80" s="1"/>
  <c r="J17" i="80"/>
  <c r="G17" i="80"/>
  <c r="K17" i="80" s="1"/>
  <c r="J16" i="80"/>
  <c r="G16" i="80"/>
  <c r="K16" i="80" s="1"/>
  <c r="J15" i="80"/>
  <c r="G15" i="80"/>
  <c r="K15" i="80" s="1"/>
  <c r="J14" i="80"/>
  <c r="G14" i="80"/>
  <c r="K14" i="80" s="1"/>
  <c r="J13" i="80"/>
  <c r="G13" i="80"/>
  <c r="K13" i="80" s="1"/>
  <c r="J12" i="80"/>
  <c r="G12" i="80"/>
  <c r="K12" i="80" s="1"/>
  <c r="J11" i="80"/>
  <c r="G11" i="80"/>
  <c r="K11" i="80" s="1"/>
  <c r="J10" i="80"/>
  <c r="G10" i="80"/>
  <c r="K10" i="80" s="1"/>
  <c r="J9" i="80"/>
  <c r="G9" i="80"/>
  <c r="K9" i="80" s="1"/>
  <c r="J8" i="80"/>
  <c r="G8" i="80"/>
  <c r="K8" i="80" s="1"/>
  <c r="J7" i="80"/>
  <c r="G7" i="80"/>
  <c r="K7" i="80" s="1"/>
  <c r="J6" i="80"/>
  <c r="G6" i="80"/>
  <c r="K6" i="80" s="1"/>
  <c r="J5" i="80"/>
  <c r="K5" i="80"/>
  <c r="J4" i="80"/>
  <c r="J38" i="80" s="1"/>
  <c r="G24" i="56" s="1"/>
  <c r="G6" i="60"/>
  <c r="G5" i="79"/>
  <c r="G6" i="79"/>
  <c r="G7" i="79"/>
  <c r="L35" i="79"/>
  <c r="J33" i="56" s="1"/>
  <c r="H35" i="79"/>
  <c r="F33" i="56" s="1"/>
  <c r="E35" i="79"/>
  <c r="D33" i="56" s="1"/>
  <c r="J34" i="79"/>
  <c r="G34" i="79"/>
  <c r="K34" i="79" s="1"/>
  <c r="J33" i="79"/>
  <c r="G33" i="79"/>
  <c r="K33" i="79" s="1"/>
  <c r="J32" i="79"/>
  <c r="G32" i="79"/>
  <c r="K32" i="79" s="1"/>
  <c r="J31" i="79"/>
  <c r="G31" i="79"/>
  <c r="K31" i="79" s="1"/>
  <c r="J30" i="79"/>
  <c r="G30" i="79"/>
  <c r="K30" i="79" s="1"/>
  <c r="J29" i="79"/>
  <c r="G29" i="79"/>
  <c r="K29" i="79" s="1"/>
  <c r="J28" i="79"/>
  <c r="G28" i="79"/>
  <c r="K28" i="79" s="1"/>
  <c r="J27" i="79"/>
  <c r="G27" i="79"/>
  <c r="K27" i="79" s="1"/>
  <c r="J26" i="79"/>
  <c r="G26" i="79"/>
  <c r="K26" i="79" s="1"/>
  <c r="J25" i="79"/>
  <c r="G25" i="79"/>
  <c r="K25" i="79" s="1"/>
  <c r="J24" i="79"/>
  <c r="G24" i="79"/>
  <c r="K24" i="79" s="1"/>
  <c r="I38" i="79" s="1"/>
  <c r="J23" i="79"/>
  <c r="G23" i="79"/>
  <c r="K23" i="79" s="1"/>
  <c r="J22" i="79"/>
  <c r="G22" i="79"/>
  <c r="K22" i="79" s="1"/>
  <c r="J21" i="79"/>
  <c r="G21" i="79"/>
  <c r="K21" i="79" s="1"/>
  <c r="J20" i="79"/>
  <c r="G20" i="79"/>
  <c r="K20" i="79" s="1"/>
  <c r="J19" i="79"/>
  <c r="G19" i="79"/>
  <c r="K19" i="79" s="1"/>
  <c r="J18" i="79"/>
  <c r="G18" i="79"/>
  <c r="K18" i="79" s="1"/>
  <c r="J17" i="79"/>
  <c r="G17" i="79"/>
  <c r="K17" i="79" s="1"/>
  <c r="J16" i="79"/>
  <c r="G16" i="79"/>
  <c r="K16" i="79" s="1"/>
  <c r="J15" i="79"/>
  <c r="G15" i="79"/>
  <c r="K15" i="79" s="1"/>
  <c r="J14" i="79"/>
  <c r="G14" i="79"/>
  <c r="K14" i="79" s="1"/>
  <c r="J13" i="79"/>
  <c r="G13" i="79"/>
  <c r="K13" i="79" s="1"/>
  <c r="J12" i="79"/>
  <c r="G12" i="79"/>
  <c r="K12" i="79" s="1"/>
  <c r="J11" i="79"/>
  <c r="G11" i="79"/>
  <c r="K11" i="79" s="1"/>
  <c r="J10" i="79"/>
  <c r="G10" i="79"/>
  <c r="K10" i="79" s="1"/>
  <c r="J9" i="79"/>
  <c r="G9" i="79"/>
  <c r="K9" i="79" s="1"/>
  <c r="J8" i="79"/>
  <c r="G8" i="79"/>
  <c r="K8" i="79" s="1"/>
  <c r="J7" i="79"/>
  <c r="K7" i="79"/>
  <c r="J6" i="79"/>
  <c r="K6" i="79"/>
  <c r="J5" i="79"/>
  <c r="K5" i="79"/>
  <c r="J4" i="79"/>
  <c r="J35" i="79" s="1"/>
  <c r="G33" i="56" s="1"/>
  <c r="G4" i="79"/>
  <c r="G32" i="19"/>
  <c r="G33" i="19"/>
  <c r="G6" i="25"/>
  <c r="J6" i="25"/>
  <c r="G7" i="25"/>
  <c r="J7" i="25"/>
  <c r="G8" i="25"/>
  <c r="J8" i="25"/>
  <c r="G9" i="25"/>
  <c r="J9" i="25"/>
  <c r="G10" i="25"/>
  <c r="J10" i="25"/>
  <c r="G11" i="25"/>
  <c r="G12" i="25"/>
  <c r="G13" i="25"/>
  <c r="G14" i="25"/>
  <c r="G15" i="25"/>
  <c r="J15" i="25"/>
  <c r="G16" i="25"/>
  <c r="J16" i="25"/>
  <c r="G17" i="25"/>
  <c r="J17" i="25"/>
  <c r="G18" i="25"/>
  <c r="J18" i="25"/>
  <c r="G19" i="25"/>
  <c r="J19" i="25"/>
  <c r="G20" i="25"/>
  <c r="J20" i="25"/>
  <c r="G21" i="25"/>
  <c r="J21" i="25"/>
  <c r="G22" i="25"/>
  <c r="J22" i="25"/>
  <c r="G23" i="25"/>
  <c r="J23" i="25"/>
  <c r="G24" i="25"/>
  <c r="J24" i="25"/>
  <c r="G25" i="25"/>
  <c r="J25" i="25"/>
  <c r="G26" i="25"/>
  <c r="J26" i="25"/>
  <c r="G27" i="25"/>
  <c r="J27" i="25"/>
  <c r="G28" i="25"/>
  <c r="J28" i="25"/>
  <c r="G29" i="25"/>
  <c r="J29" i="25"/>
  <c r="G30" i="25"/>
  <c r="J30" i="25"/>
  <c r="G31" i="25"/>
  <c r="J31" i="25"/>
  <c r="G32" i="25"/>
  <c r="J32" i="25"/>
  <c r="G33" i="25"/>
  <c r="J33" i="25"/>
  <c r="G34" i="25"/>
  <c r="J34" i="25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J36" i="65"/>
  <c r="G37" i="65"/>
  <c r="J37" i="65"/>
  <c r="G5" i="57"/>
  <c r="J5" i="57"/>
  <c r="K5" i="57"/>
  <c r="G6" i="57"/>
  <c r="J6" i="57"/>
  <c r="K6" i="57"/>
  <c r="G7" i="57"/>
  <c r="J7" i="57"/>
  <c r="K7" i="57"/>
  <c r="G8" i="57"/>
  <c r="J8" i="57"/>
  <c r="K8" i="57"/>
  <c r="G9" i="57"/>
  <c r="J9" i="57"/>
  <c r="K9" i="57"/>
  <c r="G10" i="57"/>
  <c r="J10" i="57"/>
  <c r="K10" i="57"/>
  <c r="G11" i="57"/>
  <c r="J11" i="57"/>
  <c r="K11" i="57"/>
  <c r="G12" i="57"/>
  <c r="J12" i="57"/>
  <c r="K12" i="57"/>
  <c r="G13" i="57"/>
  <c r="J13" i="57"/>
  <c r="K13" i="57"/>
  <c r="G14" i="57"/>
  <c r="J14" i="57"/>
  <c r="K14" i="57"/>
  <c r="G15" i="57"/>
  <c r="J15" i="57"/>
  <c r="K15" i="57"/>
  <c r="G16" i="57"/>
  <c r="J16" i="57"/>
  <c r="K16" i="57"/>
  <c r="G17" i="57"/>
  <c r="J17" i="57"/>
  <c r="K17" i="57"/>
  <c r="G18" i="57"/>
  <c r="J18" i="57"/>
  <c r="K18" i="57"/>
  <c r="G19" i="57"/>
  <c r="J19" i="57"/>
  <c r="K19" i="57"/>
  <c r="G20" i="57"/>
  <c r="J20" i="57"/>
  <c r="K20" i="57"/>
  <c r="G21" i="57"/>
  <c r="J21" i="57"/>
  <c r="K21" i="57"/>
  <c r="G22" i="57"/>
  <c r="J22" i="57"/>
  <c r="K22" i="57"/>
  <c r="G23" i="57"/>
  <c r="J23" i="57"/>
  <c r="K23" i="57"/>
  <c r="G24" i="57"/>
  <c r="J24" i="57"/>
  <c r="K24" i="57"/>
  <c r="G25" i="57"/>
  <c r="J25" i="57"/>
  <c r="K25" i="57"/>
  <c r="G26" i="57"/>
  <c r="J26" i="57"/>
  <c r="K26" i="57"/>
  <c r="G27" i="57"/>
  <c r="J27" i="57"/>
  <c r="K27" i="57"/>
  <c r="G28" i="57"/>
  <c r="J28" i="57"/>
  <c r="K28" i="57"/>
  <c r="G29" i="57"/>
  <c r="J29" i="57"/>
  <c r="K29" i="57"/>
  <c r="G30" i="57"/>
  <c r="J30" i="57"/>
  <c r="K30" i="57"/>
  <c r="G31" i="57"/>
  <c r="J31" i="57"/>
  <c r="K31" i="57"/>
  <c r="G32" i="57"/>
  <c r="J32" i="57"/>
  <c r="K32" i="57"/>
  <c r="G33" i="57"/>
  <c r="J33" i="57"/>
  <c r="K33" i="57"/>
  <c r="G34" i="57"/>
  <c r="J34" i="57"/>
  <c r="K34" i="57"/>
  <c r="G4" i="41"/>
  <c r="G5" i="41"/>
  <c r="G5" i="60"/>
  <c r="J5" i="60"/>
  <c r="J6" i="60"/>
  <c r="G7" i="60"/>
  <c r="J7" i="60"/>
  <c r="G8" i="60"/>
  <c r="J8" i="60"/>
  <c r="G9" i="60"/>
  <c r="J9" i="60"/>
  <c r="G10" i="60"/>
  <c r="J10" i="60"/>
  <c r="G11" i="60"/>
  <c r="J11" i="60"/>
  <c r="G12" i="60"/>
  <c r="J12" i="60"/>
  <c r="G13" i="60"/>
  <c r="J13" i="60"/>
  <c r="G14" i="60"/>
  <c r="J14" i="60"/>
  <c r="G15" i="60"/>
  <c r="J15" i="60"/>
  <c r="G16" i="60"/>
  <c r="J16" i="60"/>
  <c r="G17" i="60"/>
  <c r="J17" i="60"/>
  <c r="G18" i="60"/>
  <c r="J18" i="60"/>
  <c r="G19" i="60"/>
  <c r="J19" i="60"/>
  <c r="G20" i="60"/>
  <c r="J20" i="60"/>
  <c r="G21" i="60"/>
  <c r="J21" i="60"/>
  <c r="G22" i="60"/>
  <c r="J22" i="60"/>
  <c r="G23" i="60"/>
  <c r="J23" i="60"/>
  <c r="G24" i="60"/>
  <c r="J24" i="60"/>
  <c r="G25" i="60"/>
  <c r="J25" i="60"/>
  <c r="G26" i="60"/>
  <c r="J26" i="60"/>
  <c r="G27" i="60"/>
  <c r="J27" i="60"/>
  <c r="G28" i="60"/>
  <c r="J28" i="60"/>
  <c r="G29" i="60"/>
  <c r="J29" i="60"/>
  <c r="G30" i="60"/>
  <c r="J30" i="60"/>
  <c r="G31" i="60"/>
  <c r="J31" i="60"/>
  <c r="G32" i="60"/>
  <c r="J32" i="60"/>
  <c r="G33" i="60"/>
  <c r="J33" i="60"/>
  <c r="G34" i="60"/>
  <c r="J34" i="60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4" i="41"/>
  <c r="J14" i="41"/>
  <c r="G15" i="41"/>
  <c r="J15" i="41"/>
  <c r="G16" i="41"/>
  <c r="J16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G24" i="41"/>
  <c r="J24" i="41"/>
  <c r="G25" i="41"/>
  <c r="J25" i="4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5" i="22"/>
  <c r="J5" i="22"/>
  <c r="K5" i="22"/>
  <c r="G6" i="22"/>
  <c r="J6" i="22"/>
  <c r="K6" i="22"/>
  <c r="G7" i="22"/>
  <c r="J7" i="22"/>
  <c r="K7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4" i="22"/>
  <c r="J14" i="22"/>
  <c r="K14" i="22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5" i="51"/>
  <c r="J5" i="51"/>
  <c r="K5" i="51"/>
  <c r="J6" i="51"/>
  <c r="K6" i="51"/>
  <c r="G7" i="51"/>
  <c r="J7" i="51"/>
  <c r="K7" i="51"/>
  <c r="G8" i="51"/>
  <c r="J8" i="51"/>
  <c r="K8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J32" i="51"/>
  <c r="K32" i="51"/>
  <c r="G33" i="51"/>
  <c r="J33" i="51"/>
  <c r="K33" i="51"/>
  <c r="G34" i="51"/>
  <c r="J34" i="51"/>
  <c r="K34" i="5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5" i="69"/>
  <c r="J5" i="69"/>
  <c r="K5" i="69"/>
  <c r="G6" i="69"/>
  <c r="J6" i="69"/>
  <c r="K6" i="69"/>
  <c r="G7" i="69"/>
  <c r="J7" i="69"/>
  <c r="K7" i="69"/>
  <c r="G8" i="69"/>
  <c r="J8" i="69"/>
  <c r="K8" i="69"/>
  <c r="G9" i="69"/>
  <c r="J9" i="69"/>
  <c r="K9" i="69"/>
  <c r="G10" i="69"/>
  <c r="J10" i="69"/>
  <c r="K10" i="69"/>
  <c r="G11" i="69"/>
  <c r="J11" i="69"/>
  <c r="K11" i="69"/>
  <c r="G12" i="69"/>
  <c r="J12" i="69"/>
  <c r="K12" i="69"/>
  <c r="G13" i="69"/>
  <c r="J13" i="69"/>
  <c r="K13" i="69"/>
  <c r="G14" i="69"/>
  <c r="J14" i="69"/>
  <c r="K14" i="69"/>
  <c r="G15" i="69"/>
  <c r="J15" i="69"/>
  <c r="K15" i="69"/>
  <c r="G16" i="69"/>
  <c r="J16" i="69"/>
  <c r="K16" i="69"/>
  <c r="G17" i="69"/>
  <c r="J17" i="69"/>
  <c r="K17" i="69"/>
  <c r="G18" i="69"/>
  <c r="J18" i="69"/>
  <c r="K18" i="69"/>
  <c r="G19" i="69"/>
  <c r="J19" i="69"/>
  <c r="K19" i="69"/>
  <c r="G20" i="69"/>
  <c r="J20" i="69"/>
  <c r="K20" i="69"/>
  <c r="G21" i="69"/>
  <c r="J21" i="69"/>
  <c r="K21" i="69"/>
  <c r="G22" i="69"/>
  <c r="J22" i="69"/>
  <c r="K22" i="69"/>
  <c r="G23" i="69"/>
  <c r="J23" i="69"/>
  <c r="K23" i="69"/>
  <c r="G24" i="69"/>
  <c r="J24" i="69"/>
  <c r="K24" i="69"/>
  <c r="G25" i="69"/>
  <c r="J25" i="69"/>
  <c r="K25" i="69"/>
  <c r="G26" i="69"/>
  <c r="J26" i="69"/>
  <c r="K26" i="69"/>
  <c r="G27" i="69"/>
  <c r="J27" i="69"/>
  <c r="K27" i="69"/>
  <c r="G28" i="69"/>
  <c r="J28" i="69"/>
  <c r="K28" i="69"/>
  <c r="G29" i="69"/>
  <c r="J29" i="69"/>
  <c r="K29" i="69"/>
  <c r="G30" i="69"/>
  <c r="J30" i="69"/>
  <c r="K30" i="69"/>
  <c r="G31" i="69"/>
  <c r="J31" i="69"/>
  <c r="K31" i="69"/>
  <c r="G32" i="69"/>
  <c r="J32" i="69"/>
  <c r="K32" i="69"/>
  <c r="G33" i="69"/>
  <c r="J33" i="69"/>
  <c r="K33" i="69"/>
  <c r="G34" i="69"/>
  <c r="J34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5" i="9"/>
  <c r="J5" i="9"/>
  <c r="G6" i="9"/>
  <c r="J6" i="9"/>
  <c r="G7" i="9"/>
  <c r="J7" i="9"/>
  <c r="G8" i="9"/>
  <c r="J8" i="9"/>
  <c r="G12" i="9"/>
  <c r="J12" i="9"/>
  <c r="G13" i="9"/>
  <c r="J13" i="9"/>
  <c r="G14" i="9"/>
  <c r="J14" i="9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J34" i="62"/>
  <c r="J5" i="11"/>
  <c r="J6" i="11"/>
  <c r="G7" i="11"/>
  <c r="J7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34" i="10"/>
  <c r="J34" i="10"/>
  <c r="G4" i="76"/>
  <c r="G20" i="76"/>
  <c r="J20" i="76"/>
  <c r="G21" i="76"/>
  <c r="J21" i="76"/>
  <c r="G22" i="76"/>
  <c r="J22" i="76"/>
  <c r="G23" i="76"/>
  <c r="J23" i="76"/>
  <c r="G24" i="76"/>
  <c r="J24" i="76"/>
  <c r="G25" i="76"/>
  <c r="G26" i="76"/>
  <c r="G27" i="76"/>
  <c r="G28" i="76"/>
  <c r="J28" i="76"/>
  <c r="G30" i="76"/>
  <c r="J30" i="76"/>
  <c r="G31" i="76"/>
  <c r="J31" i="76"/>
  <c r="G32" i="76"/>
  <c r="J32" i="76"/>
  <c r="G33" i="76"/>
  <c r="J33" i="76"/>
  <c r="G34" i="76"/>
  <c r="J34" i="76"/>
  <c r="G4" i="75"/>
  <c r="J34" i="73"/>
  <c r="G31" i="73"/>
  <c r="G32" i="73"/>
  <c r="G33" i="73"/>
  <c r="G34" i="73"/>
  <c r="K34" i="73" s="1"/>
  <c r="L34" i="73" s="1"/>
  <c r="K34" i="24"/>
  <c r="K34" i="60"/>
  <c r="G17" i="35"/>
  <c r="G33" i="63"/>
  <c r="G34" i="63"/>
  <c r="K34" i="63" s="1"/>
  <c r="E35" i="74"/>
  <c r="G27" i="74"/>
  <c r="G28" i="74"/>
  <c r="G29" i="74"/>
  <c r="G30" i="74"/>
  <c r="G31" i="74"/>
  <c r="G32" i="74"/>
  <c r="G33" i="74"/>
  <c r="K33" i="74" s="1"/>
  <c r="L33" i="74" s="1"/>
  <c r="G34" i="74"/>
  <c r="K34" i="74" s="1"/>
  <c r="L34" i="74" s="1"/>
  <c r="J29" i="50"/>
  <c r="J30" i="50"/>
  <c r="J31" i="50"/>
  <c r="J32" i="50"/>
  <c r="J33" i="50"/>
  <c r="I6" i="56"/>
  <c r="G32" i="78"/>
  <c r="K32" i="78"/>
  <c r="G33" i="78"/>
  <c r="K33" i="78"/>
  <c r="G34" i="78"/>
  <c r="J34" i="78"/>
  <c r="K34" i="78"/>
  <c r="L35" i="78"/>
  <c r="J6" i="56" s="1"/>
  <c r="H35" i="78"/>
  <c r="F6" i="56" s="1"/>
  <c r="E35" i="78"/>
  <c r="D6" i="56" s="1"/>
  <c r="G31" i="78"/>
  <c r="K31" i="78" s="1"/>
  <c r="G30" i="78"/>
  <c r="K30" i="78" s="1"/>
  <c r="G29" i="78"/>
  <c r="K29" i="78" s="1"/>
  <c r="G28" i="78"/>
  <c r="K28" i="78" s="1"/>
  <c r="G27" i="78"/>
  <c r="K27" i="78" s="1"/>
  <c r="G26" i="78"/>
  <c r="G25" i="78"/>
  <c r="K25" i="78" s="1"/>
  <c r="G24" i="78"/>
  <c r="K24" i="78" s="1"/>
  <c r="G23" i="78"/>
  <c r="K23" i="78" s="1"/>
  <c r="G22" i="78"/>
  <c r="K22" i="78" s="1"/>
  <c r="G21" i="78"/>
  <c r="K21" i="78" s="1"/>
  <c r="G20" i="78"/>
  <c r="K20" i="78" s="1"/>
  <c r="J19" i="78"/>
  <c r="G19" i="78"/>
  <c r="K19" i="78" s="1"/>
  <c r="J18" i="78"/>
  <c r="G18" i="78"/>
  <c r="K18" i="78" s="1"/>
  <c r="J17" i="78"/>
  <c r="G17" i="78"/>
  <c r="K17" i="78" s="1"/>
  <c r="J16" i="78"/>
  <c r="G16" i="78"/>
  <c r="K16" i="78" s="1"/>
  <c r="G15" i="78"/>
  <c r="G14" i="78"/>
  <c r="G13" i="78"/>
  <c r="G12" i="78"/>
  <c r="G11" i="78"/>
  <c r="G10" i="78"/>
  <c r="J9" i="78"/>
  <c r="G9" i="78"/>
  <c r="K9" i="78" s="1"/>
  <c r="J8" i="78"/>
  <c r="G8" i="78"/>
  <c r="K8" i="78" s="1"/>
  <c r="J7" i="78"/>
  <c r="G7" i="78"/>
  <c r="K7" i="78" s="1"/>
  <c r="J6" i="78"/>
  <c r="G6" i="78"/>
  <c r="K6" i="78" s="1"/>
  <c r="J5" i="78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E37" i="61"/>
  <c r="G18" i="58"/>
  <c r="G19" i="58"/>
  <c r="G20" i="58"/>
  <c r="G21" i="58"/>
  <c r="G22" i="58"/>
  <c r="G23" i="58"/>
  <c r="G24" i="58"/>
  <c r="G25" i="58"/>
  <c r="G26" i="58"/>
  <c r="G27" i="58"/>
  <c r="J29" i="14"/>
  <c r="K29" i="14" s="1"/>
  <c r="J6" i="14"/>
  <c r="J23" i="14"/>
  <c r="K23" i="14"/>
  <c r="I35" i="56"/>
  <c r="L37" i="76"/>
  <c r="J35" i="56" s="1"/>
  <c r="F35" i="56"/>
  <c r="E37" i="76"/>
  <c r="D35" i="56" s="1"/>
  <c r="J35" i="76"/>
  <c r="G35" i="76"/>
  <c r="K35" i="76" s="1"/>
  <c r="K34" i="76"/>
  <c r="K33" i="76"/>
  <c r="K32" i="76"/>
  <c r="K31" i="76"/>
  <c r="K30" i="76"/>
  <c r="K28" i="76"/>
  <c r="K27" i="76"/>
  <c r="K26" i="76"/>
  <c r="K25" i="76"/>
  <c r="I40" i="76" s="1"/>
  <c r="K24" i="76"/>
  <c r="K23" i="76"/>
  <c r="K22" i="76"/>
  <c r="K21" i="76"/>
  <c r="K20" i="76"/>
  <c r="J19" i="76"/>
  <c r="G19" i="76"/>
  <c r="K19" i="76" s="1"/>
  <c r="J18" i="76"/>
  <c r="G18" i="76"/>
  <c r="K18" i="76" s="1"/>
  <c r="G17" i="76"/>
  <c r="K17" i="76" s="1"/>
  <c r="G16" i="76"/>
  <c r="K16" i="76" s="1"/>
  <c r="J15" i="76"/>
  <c r="G15" i="76"/>
  <c r="K15" i="76" s="1"/>
  <c r="J14" i="76"/>
  <c r="G14" i="76"/>
  <c r="K14" i="76" s="1"/>
  <c r="J13" i="76"/>
  <c r="G13" i="76"/>
  <c r="K13" i="76" s="1"/>
  <c r="J12" i="76"/>
  <c r="G12" i="76"/>
  <c r="K12" i="76" s="1"/>
  <c r="J11" i="76"/>
  <c r="G11" i="76"/>
  <c r="K11" i="76" s="1"/>
  <c r="J10" i="76"/>
  <c r="G10" i="76"/>
  <c r="K10" i="76" s="1"/>
  <c r="J9" i="76"/>
  <c r="G9" i="76"/>
  <c r="K9" i="76" s="1"/>
  <c r="J8" i="76"/>
  <c r="G8" i="76"/>
  <c r="K8" i="76" s="1"/>
  <c r="J7" i="76"/>
  <c r="G7" i="76"/>
  <c r="K7" i="76" s="1"/>
  <c r="J6" i="76"/>
  <c r="G6" i="76"/>
  <c r="K6" i="76" s="1"/>
  <c r="J5" i="76"/>
  <c r="G5" i="76"/>
  <c r="J4" i="76"/>
  <c r="G21" i="7"/>
  <c r="I32" i="56"/>
  <c r="E35" i="57"/>
  <c r="L35" i="9"/>
  <c r="E35" i="10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9" i="58"/>
  <c r="G10" i="58"/>
  <c r="G11" i="58"/>
  <c r="J7" i="50"/>
  <c r="J8" i="50"/>
  <c r="L37" i="75"/>
  <c r="J32" i="56" s="1"/>
  <c r="H37" i="75"/>
  <c r="F32" i="56" s="1"/>
  <c r="E37" i="75"/>
  <c r="D32" i="56" s="1"/>
  <c r="J35" i="75"/>
  <c r="G35" i="75"/>
  <c r="K35" i="75" s="1"/>
  <c r="J34" i="75"/>
  <c r="G34" i="75"/>
  <c r="K34" i="75" s="1"/>
  <c r="J33" i="75"/>
  <c r="G33" i="75"/>
  <c r="K33" i="75" s="1"/>
  <c r="J32" i="75"/>
  <c r="G32" i="75"/>
  <c r="K32" i="75" s="1"/>
  <c r="J31" i="75"/>
  <c r="G31" i="75"/>
  <c r="K31" i="75" s="1"/>
  <c r="J30" i="75"/>
  <c r="G30" i="75"/>
  <c r="K30" i="75" s="1"/>
  <c r="J29" i="75"/>
  <c r="G29" i="75"/>
  <c r="K29" i="75" s="1"/>
  <c r="J28" i="75"/>
  <c r="G28" i="75"/>
  <c r="K28" i="75" s="1"/>
  <c r="J27" i="75"/>
  <c r="G27" i="75"/>
  <c r="K27" i="75" s="1"/>
  <c r="J26" i="75"/>
  <c r="G26" i="75"/>
  <c r="K26" i="75" s="1"/>
  <c r="J25" i="75"/>
  <c r="G25" i="75"/>
  <c r="K25" i="75" s="1"/>
  <c r="I40" i="75" s="1"/>
  <c r="J24" i="75"/>
  <c r="G24" i="75"/>
  <c r="K24" i="75" s="1"/>
  <c r="J23" i="75"/>
  <c r="G23" i="75"/>
  <c r="K23" i="75" s="1"/>
  <c r="J22" i="75"/>
  <c r="G22" i="75"/>
  <c r="K22" i="75" s="1"/>
  <c r="J21" i="75"/>
  <c r="G21" i="75"/>
  <c r="K21" i="75" s="1"/>
  <c r="J20" i="75"/>
  <c r="G20" i="75"/>
  <c r="K20" i="75" s="1"/>
  <c r="J19" i="75"/>
  <c r="G19" i="75"/>
  <c r="K19" i="75" s="1"/>
  <c r="J18" i="75"/>
  <c r="G18" i="75"/>
  <c r="K18" i="75" s="1"/>
  <c r="K17" i="75"/>
  <c r="J16" i="75"/>
  <c r="G16" i="75"/>
  <c r="K16" i="75" s="1"/>
  <c r="J15" i="75"/>
  <c r="G15" i="75"/>
  <c r="K15" i="75" s="1"/>
  <c r="J14" i="75"/>
  <c r="G14" i="75"/>
  <c r="K14" i="75" s="1"/>
  <c r="J13" i="75"/>
  <c r="G13" i="75"/>
  <c r="K13" i="75" s="1"/>
  <c r="J12" i="75"/>
  <c r="G12" i="75"/>
  <c r="K12" i="75" s="1"/>
  <c r="J11" i="75"/>
  <c r="G11" i="75"/>
  <c r="K11" i="75" s="1"/>
  <c r="J10" i="75"/>
  <c r="G10" i="75"/>
  <c r="K10" i="75" s="1"/>
  <c r="J9" i="75"/>
  <c r="G9" i="75"/>
  <c r="K9" i="75" s="1"/>
  <c r="J8" i="75"/>
  <c r="G8" i="75"/>
  <c r="K8" i="75" s="1"/>
  <c r="J7" i="75"/>
  <c r="G7" i="75"/>
  <c r="K7" i="75" s="1"/>
  <c r="J6" i="75"/>
  <c r="G6" i="75"/>
  <c r="K6" i="75" s="1"/>
  <c r="J5" i="75"/>
  <c r="G5" i="75"/>
  <c r="J4" i="75"/>
  <c r="J6" i="50"/>
  <c r="J5" i="50"/>
  <c r="I21" i="56"/>
  <c r="J4" i="25"/>
  <c r="G4" i="60"/>
  <c r="K4" i="68"/>
  <c r="E54" i="22"/>
  <c r="G30" i="50"/>
  <c r="I19" i="56"/>
  <c r="H35" i="74"/>
  <c r="F21" i="56" s="1"/>
  <c r="D21" i="56"/>
  <c r="J33" i="74"/>
  <c r="J32" i="74"/>
  <c r="J31" i="74"/>
  <c r="J30" i="74"/>
  <c r="J29" i="74"/>
  <c r="K29" i="74"/>
  <c r="L29" i="74" s="1"/>
  <c r="J28" i="74"/>
  <c r="K28" i="74"/>
  <c r="L28" i="74" s="1"/>
  <c r="J27" i="74"/>
  <c r="K27" i="74"/>
  <c r="L27" i="74" s="1"/>
  <c r="J26" i="74"/>
  <c r="G26" i="74"/>
  <c r="K26" i="74" s="1"/>
  <c r="L26" i="74" s="1"/>
  <c r="J25" i="74"/>
  <c r="G25" i="74"/>
  <c r="K25" i="74" s="1"/>
  <c r="L25" i="74" s="1"/>
  <c r="J24" i="74"/>
  <c r="G24" i="74"/>
  <c r="K24" i="74" s="1"/>
  <c r="L24" i="74" s="1"/>
  <c r="J23" i="74"/>
  <c r="G23" i="74"/>
  <c r="K23" i="74" s="1"/>
  <c r="L23" i="74" s="1"/>
  <c r="J22" i="74"/>
  <c r="G22" i="74"/>
  <c r="K22" i="74" s="1"/>
  <c r="L22" i="74" s="1"/>
  <c r="J21" i="74"/>
  <c r="G21" i="74"/>
  <c r="K21" i="74" s="1"/>
  <c r="L21" i="74" s="1"/>
  <c r="J20" i="74"/>
  <c r="G20" i="74"/>
  <c r="K20" i="74" s="1"/>
  <c r="L20" i="74" s="1"/>
  <c r="J19" i="74"/>
  <c r="G19" i="74"/>
  <c r="K19" i="74" s="1"/>
  <c r="L19" i="74" s="1"/>
  <c r="J18" i="74"/>
  <c r="G18" i="74"/>
  <c r="K18" i="74" s="1"/>
  <c r="L18" i="74" s="1"/>
  <c r="J17" i="74"/>
  <c r="G17" i="74"/>
  <c r="K17" i="74" s="1"/>
  <c r="L17" i="74" s="1"/>
  <c r="J16" i="74"/>
  <c r="G16" i="74"/>
  <c r="K16" i="74" s="1"/>
  <c r="L16" i="74" s="1"/>
  <c r="J15" i="74"/>
  <c r="G15" i="74"/>
  <c r="K15" i="74" s="1"/>
  <c r="L15" i="74" s="1"/>
  <c r="J14" i="74"/>
  <c r="G14" i="74"/>
  <c r="K14" i="74" s="1"/>
  <c r="L14" i="74" s="1"/>
  <c r="J13" i="74"/>
  <c r="G13" i="74"/>
  <c r="K13" i="74" s="1"/>
  <c r="L13" i="74" s="1"/>
  <c r="J12" i="74"/>
  <c r="G12" i="74"/>
  <c r="K12" i="74" s="1"/>
  <c r="L12" i="74" s="1"/>
  <c r="J11" i="74"/>
  <c r="G11" i="74"/>
  <c r="K11" i="74" s="1"/>
  <c r="L11" i="74" s="1"/>
  <c r="J10" i="74"/>
  <c r="G10" i="74"/>
  <c r="K10" i="74" s="1"/>
  <c r="L10" i="74" s="1"/>
  <c r="J9" i="74"/>
  <c r="G9" i="74"/>
  <c r="K9" i="74" s="1"/>
  <c r="L9" i="74" s="1"/>
  <c r="J8" i="74"/>
  <c r="G8" i="74"/>
  <c r="K8" i="74" s="1"/>
  <c r="L8" i="74" s="1"/>
  <c r="J7" i="74"/>
  <c r="G7" i="74"/>
  <c r="K7" i="74" s="1"/>
  <c r="L7" i="74" s="1"/>
  <c r="J6" i="74"/>
  <c r="G6" i="74"/>
  <c r="K6" i="74" s="1"/>
  <c r="L6" i="74" s="1"/>
  <c r="J5" i="74"/>
  <c r="G5" i="74"/>
  <c r="K5" i="74" s="1"/>
  <c r="L5" i="74" s="1"/>
  <c r="J4" i="74"/>
  <c r="J35" i="74" s="1"/>
  <c r="G21" i="56" s="1"/>
  <c r="G4" i="74"/>
  <c r="M3" i="74"/>
  <c r="H35" i="73"/>
  <c r="F19" i="56" s="1"/>
  <c r="E35" i="73"/>
  <c r="D19" i="56" s="1"/>
  <c r="J33" i="73"/>
  <c r="K33" i="73"/>
  <c r="L33" i="73" s="1"/>
  <c r="J32" i="73"/>
  <c r="K32" i="73"/>
  <c r="L32" i="73" s="1"/>
  <c r="J31" i="73"/>
  <c r="K31" i="73"/>
  <c r="L31" i="73" s="1"/>
  <c r="J30" i="73"/>
  <c r="G30" i="73"/>
  <c r="K30" i="73" s="1"/>
  <c r="L30" i="73" s="1"/>
  <c r="J29" i="73"/>
  <c r="G29" i="73"/>
  <c r="K29" i="73" s="1"/>
  <c r="L29" i="73" s="1"/>
  <c r="J28" i="73"/>
  <c r="G28" i="73"/>
  <c r="K28" i="73" s="1"/>
  <c r="L28" i="73" s="1"/>
  <c r="J27" i="73"/>
  <c r="G27" i="73"/>
  <c r="K27" i="73" s="1"/>
  <c r="L27" i="73" s="1"/>
  <c r="J26" i="73"/>
  <c r="G26" i="73"/>
  <c r="K26" i="73" s="1"/>
  <c r="L26" i="73" s="1"/>
  <c r="J25" i="73"/>
  <c r="G25" i="73"/>
  <c r="K25" i="73" s="1"/>
  <c r="L25" i="73" s="1"/>
  <c r="J24" i="73"/>
  <c r="G24" i="73"/>
  <c r="K24" i="73" s="1"/>
  <c r="L24" i="73" s="1"/>
  <c r="J23" i="73"/>
  <c r="G23" i="73"/>
  <c r="K23" i="73" s="1"/>
  <c r="L23" i="73" s="1"/>
  <c r="J22" i="73"/>
  <c r="G22" i="73"/>
  <c r="K22" i="73" s="1"/>
  <c r="L22" i="73" s="1"/>
  <c r="J21" i="73"/>
  <c r="G21" i="73"/>
  <c r="K21" i="73" s="1"/>
  <c r="L21" i="73" s="1"/>
  <c r="J20" i="73"/>
  <c r="G20" i="73"/>
  <c r="K20" i="73" s="1"/>
  <c r="L20" i="73" s="1"/>
  <c r="J19" i="73"/>
  <c r="G19" i="73"/>
  <c r="K19" i="73" s="1"/>
  <c r="L19" i="73" s="1"/>
  <c r="J18" i="73"/>
  <c r="G18" i="73"/>
  <c r="K18" i="73" s="1"/>
  <c r="L18" i="73" s="1"/>
  <c r="J17" i="73"/>
  <c r="G17" i="73"/>
  <c r="K17" i="73" s="1"/>
  <c r="L17" i="73" s="1"/>
  <c r="J16" i="73"/>
  <c r="G16" i="73"/>
  <c r="K16" i="73" s="1"/>
  <c r="L16" i="73" s="1"/>
  <c r="J15" i="73"/>
  <c r="G15" i="73"/>
  <c r="K15" i="73" s="1"/>
  <c r="L15" i="73" s="1"/>
  <c r="J14" i="73"/>
  <c r="G14" i="73"/>
  <c r="K14" i="73" s="1"/>
  <c r="L14" i="73" s="1"/>
  <c r="J13" i="73"/>
  <c r="G13" i="73"/>
  <c r="K13" i="73" s="1"/>
  <c r="L13" i="73" s="1"/>
  <c r="J12" i="73"/>
  <c r="G12" i="73"/>
  <c r="K12" i="73" s="1"/>
  <c r="L12" i="73" s="1"/>
  <c r="J11" i="73"/>
  <c r="G11" i="73"/>
  <c r="K11" i="73" s="1"/>
  <c r="L11" i="73" s="1"/>
  <c r="J10" i="73"/>
  <c r="G10" i="73"/>
  <c r="K10" i="73" s="1"/>
  <c r="L10" i="73" s="1"/>
  <c r="J9" i="73"/>
  <c r="G9" i="73"/>
  <c r="K9" i="73" s="1"/>
  <c r="L9" i="73" s="1"/>
  <c r="J8" i="73"/>
  <c r="G8" i="73"/>
  <c r="K8" i="73" s="1"/>
  <c r="L8" i="73" s="1"/>
  <c r="J7" i="73"/>
  <c r="G7" i="73"/>
  <c r="K7" i="73" s="1"/>
  <c r="L7" i="73" s="1"/>
  <c r="J6" i="73"/>
  <c r="G6" i="73"/>
  <c r="K6" i="73" s="1"/>
  <c r="L6" i="73" s="1"/>
  <c r="J5" i="73"/>
  <c r="G5" i="73"/>
  <c r="K5" i="73" s="1"/>
  <c r="L5" i="73" s="1"/>
  <c r="J4" i="73"/>
  <c r="J35" i="73" s="1"/>
  <c r="G19" i="56" s="1"/>
  <c r="G4" i="73"/>
  <c r="G18" i="72"/>
  <c r="G19" i="72"/>
  <c r="G17" i="72"/>
  <c r="J13" i="14"/>
  <c r="G13" i="14"/>
  <c r="K13" i="14" s="1"/>
  <c r="H35" i="9"/>
  <c r="L7" i="45"/>
  <c r="L4" i="45"/>
  <c r="P17" i="71"/>
  <c r="Q12" i="71"/>
  <c r="O12" i="71"/>
  <c r="I7" i="56"/>
  <c r="I5" i="56"/>
  <c r="G7" i="56"/>
  <c r="L35" i="72"/>
  <c r="J5" i="56" s="1"/>
  <c r="H35" i="72"/>
  <c r="F5" i="56" s="1"/>
  <c r="E35" i="72"/>
  <c r="D5" i="56" s="1"/>
  <c r="J34" i="72"/>
  <c r="G34" i="72"/>
  <c r="K34" i="72" s="1"/>
  <c r="J33" i="72"/>
  <c r="G33" i="72"/>
  <c r="K33" i="72" s="1"/>
  <c r="J32" i="72"/>
  <c r="G32" i="72"/>
  <c r="K32" i="72" s="1"/>
  <c r="J31" i="72"/>
  <c r="G31" i="72"/>
  <c r="K31" i="72" s="1"/>
  <c r="J30" i="72"/>
  <c r="G30" i="72"/>
  <c r="K30" i="72" s="1"/>
  <c r="J29" i="72"/>
  <c r="G29" i="72"/>
  <c r="K29" i="72" s="1"/>
  <c r="J28" i="72"/>
  <c r="G28" i="72"/>
  <c r="K28" i="72" s="1"/>
  <c r="J27" i="72"/>
  <c r="G27" i="72"/>
  <c r="K27" i="72" s="1"/>
  <c r="J26" i="72"/>
  <c r="G26" i="72"/>
  <c r="K26" i="72" s="1"/>
  <c r="J25" i="72"/>
  <c r="G25" i="72"/>
  <c r="K25" i="72" s="1"/>
  <c r="J24" i="72"/>
  <c r="G24" i="72"/>
  <c r="K24" i="72" s="1"/>
  <c r="J23" i="72"/>
  <c r="G23" i="72"/>
  <c r="K23" i="72" s="1"/>
  <c r="J22" i="72"/>
  <c r="G22" i="72"/>
  <c r="K22" i="72" s="1"/>
  <c r="J21" i="72"/>
  <c r="G21" i="72"/>
  <c r="K21" i="72" s="1"/>
  <c r="J20" i="72"/>
  <c r="G20" i="72"/>
  <c r="K20" i="72" s="1"/>
  <c r="J19" i="72"/>
  <c r="K19" i="72" s="1"/>
  <c r="J18" i="72"/>
  <c r="K18" i="72" s="1"/>
  <c r="J17" i="72"/>
  <c r="K17" i="72" s="1"/>
  <c r="J16" i="72"/>
  <c r="G16" i="72"/>
  <c r="K16" i="72" s="1"/>
  <c r="J15" i="72"/>
  <c r="G15" i="72"/>
  <c r="K15" i="72" s="1"/>
  <c r="J14" i="72"/>
  <c r="G14" i="72"/>
  <c r="K14" i="72" s="1"/>
  <c r="J13" i="72"/>
  <c r="G13" i="72"/>
  <c r="K13" i="72" s="1"/>
  <c r="J12" i="72"/>
  <c r="K12" i="72"/>
  <c r="J11" i="72"/>
  <c r="K11" i="72"/>
  <c r="J10" i="72"/>
  <c r="K10" i="72"/>
  <c r="J9" i="72"/>
  <c r="K9" i="72"/>
  <c r="J8" i="72"/>
  <c r="K8" i="72"/>
  <c r="J7" i="72"/>
  <c r="K7" i="72"/>
  <c r="J6" i="72"/>
  <c r="K6" i="72"/>
  <c r="J5" i="72"/>
  <c r="G5" i="72"/>
  <c r="K5" i="72" s="1"/>
  <c r="J4" i="72"/>
  <c r="J35" i="72" s="1"/>
  <c r="G5" i="56" s="1"/>
  <c r="G4" i="72"/>
  <c r="J7" i="61"/>
  <c r="I18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G10" i="7"/>
  <c r="J10" i="7"/>
  <c r="K10" i="7"/>
  <c r="G11" i="7"/>
  <c r="J11" i="7"/>
  <c r="K11" i="7"/>
  <c r="G12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H35" i="71"/>
  <c r="G16" i="35"/>
  <c r="H43" i="35"/>
  <c r="G14" i="35"/>
  <c r="G15" i="35"/>
  <c r="I10" i="56"/>
  <c r="F10" i="56"/>
  <c r="E35" i="71"/>
  <c r="D10" i="56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G5" i="71"/>
  <c r="K5" i="71" s="1"/>
  <c r="L5" i="71" s="1"/>
  <c r="J4" i="71"/>
  <c r="J35" i="71" s="1"/>
  <c r="G10" i="56" s="1"/>
  <c r="G4" i="71"/>
  <c r="Y24" i="19"/>
  <c r="Y22" i="19"/>
  <c r="Y23" i="19"/>
  <c r="Y21" i="19"/>
  <c r="Y25" i="19"/>
  <c r="X22" i="19"/>
  <c r="X23" i="19"/>
  <c r="X24" i="19"/>
  <c r="X25" i="19"/>
  <c r="T23" i="19"/>
  <c r="T24" i="19"/>
  <c r="T25" i="19"/>
  <c r="H54" i="22"/>
  <c r="I44" i="56"/>
  <c r="H46" i="26"/>
  <c r="T22" i="19"/>
  <c r="X21" i="19"/>
  <c r="T21" i="19"/>
  <c r="H48" i="69"/>
  <c r="F44" i="56" s="1"/>
  <c r="J47" i="69"/>
  <c r="G47" i="69"/>
  <c r="K47" i="69" s="1"/>
  <c r="L47" i="69" s="1"/>
  <c r="J46" i="69"/>
  <c r="G46" i="69"/>
  <c r="K46" i="69" s="1"/>
  <c r="L46" i="69" s="1"/>
  <c r="L48" i="69" s="1"/>
  <c r="J44" i="56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0" i="69"/>
  <c r="G40" i="69"/>
  <c r="K40" i="69" s="1"/>
  <c r="J4" i="69"/>
  <c r="J48" i="69" s="1"/>
  <c r="G44" i="56" s="1"/>
  <c r="G4" i="69"/>
  <c r="H35" i="68"/>
  <c r="F18" i="56" s="1"/>
  <c r="E35" i="68"/>
  <c r="D18" i="56" s="1"/>
  <c r="J35" i="68"/>
  <c r="G18" i="56" s="1"/>
  <c r="G11" i="35"/>
  <c r="G10" i="35"/>
  <c r="G7" i="35"/>
  <c r="G8" i="35"/>
  <c r="G9" i="35"/>
  <c r="I22" i="56"/>
  <c r="G5" i="40"/>
  <c r="G6" i="40"/>
  <c r="G7" i="40"/>
  <c r="G8" i="40"/>
  <c r="G9" i="40"/>
  <c r="G10" i="40"/>
  <c r="G12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G9" i="14"/>
  <c r="J9" i="14"/>
  <c r="K9" i="14"/>
  <c r="G10" i="14"/>
  <c r="J10" i="14"/>
  <c r="K10" i="14"/>
  <c r="G11" i="14"/>
  <c r="J11" i="14"/>
  <c r="K11" i="14"/>
  <c r="G12" i="14"/>
  <c r="J12" i="14"/>
  <c r="K12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36" i="14"/>
  <c r="J36" i="14"/>
  <c r="K36" i="14"/>
  <c r="R13" i="25"/>
  <c r="R11" i="25"/>
  <c r="G6" i="35"/>
  <c r="G5" i="35"/>
  <c r="G39" i="22"/>
  <c r="J39" i="22"/>
  <c r="K39" i="22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M3" i="22"/>
  <c r="G5" i="12"/>
  <c r="J5" i="12"/>
  <c r="K5" i="12"/>
  <c r="G6" i="12"/>
  <c r="J6" i="12"/>
  <c r="K6" i="12"/>
  <c r="G7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G5" i="25"/>
  <c r="J5" i="25"/>
  <c r="K5" i="25"/>
  <c r="L5" i="25"/>
  <c r="K6" i="25"/>
  <c r="K7" i="25"/>
  <c r="K8" i="25"/>
  <c r="K9" i="25"/>
  <c r="L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L21" i="25"/>
  <c r="K22" i="25"/>
  <c r="K23" i="25"/>
  <c r="K24" i="25"/>
  <c r="K25" i="25"/>
  <c r="L25" i="25"/>
  <c r="K26" i="25"/>
  <c r="K27" i="25"/>
  <c r="K28" i="25"/>
  <c r="L28" i="25"/>
  <c r="K29" i="25"/>
  <c r="K30" i="25"/>
  <c r="L30" i="25"/>
  <c r="K31" i="25"/>
  <c r="K32" i="25"/>
  <c r="L32" i="25"/>
  <c r="K33" i="25"/>
  <c r="L33" i="25"/>
  <c r="K34" i="25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2" i="56" s="1"/>
  <c r="J5" i="61"/>
  <c r="K5" i="61"/>
  <c r="J6" i="61"/>
  <c r="K6" i="61"/>
  <c r="K7" i="61"/>
  <c r="J8" i="61"/>
  <c r="K8" i="61"/>
  <c r="J9" i="61"/>
  <c r="K9" i="61"/>
  <c r="J10" i="61"/>
  <c r="K10" i="61"/>
  <c r="J11" i="61"/>
  <c r="K11" i="61"/>
  <c r="J12" i="61"/>
  <c r="K12" i="61"/>
  <c r="J13" i="61"/>
  <c r="K13" i="61"/>
  <c r="J14" i="61"/>
  <c r="K14" i="61"/>
  <c r="J15" i="61"/>
  <c r="K15" i="61"/>
  <c r="J16" i="61"/>
  <c r="K16" i="61"/>
  <c r="J17" i="61"/>
  <c r="K17" i="61"/>
  <c r="J18" i="61"/>
  <c r="K18" i="61"/>
  <c r="J19" i="61"/>
  <c r="K19" i="61"/>
  <c r="J20" i="61"/>
  <c r="K20" i="61"/>
  <c r="J21" i="61"/>
  <c r="K21" i="61"/>
  <c r="J22" i="61"/>
  <c r="K22" i="61"/>
  <c r="J23" i="61"/>
  <c r="K23" i="61"/>
  <c r="J24" i="61"/>
  <c r="K24" i="61"/>
  <c r="J25" i="61"/>
  <c r="K25" i="61"/>
  <c r="J26" i="61"/>
  <c r="K26" i="61"/>
  <c r="J27" i="61"/>
  <c r="K27" i="61"/>
  <c r="J28" i="61"/>
  <c r="K28" i="61"/>
  <c r="J29" i="61"/>
  <c r="K29" i="61"/>
  <c r="J30" i="61"/>
  <c r="K30" i="61"/>
  <c r="J31" i="61"/>
  <c r="K31" i="61"/>
  <c r="J32" i="61"/>
  <c r="K32" i="61"/>
  <c r="J33" i="61"/>
  <c r="K33" i="61"/>
  <c r="J34" i="61"/>
  <c r="K34" i="61"/>
  <c r="J35" i="61"/>
  <c r="K35" i="61"/>
  <c r="G36" i="61"/>
  <c r="J36" i="61"/>
  <c r="K36" i="61"/>
  <c r="K5" i="60"/>
  <c r="K6" i="60"/>
  <c r="K7" i="60"/>
  <c r="K8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G37" i="41"/>
  <c r="J37" i="41"/>
  <c r="K37" i="41"/>
  <c r="G38" i="41"/>
  <c r="J38" i="41"/>
  <c r="K38" i="41"/>
  <c r="G39" i="41"/>
  <c r="J39" i="41"/>
  <c r="K39" i="41"/>
  <c r="G41" i="51"/>
  <c r="J41" i="51"/>
  <c r="K41" i="51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M15" i="35" s="1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8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J8" i="26"/>
  <c r="K8" i="26"/>
  <c r="J9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E38" i="24"/>
  <c r="P33" i="16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4" i="19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G8" i="14"/>
  <c r="J8" i="14"/>
  <c r="K8" i="14"/>
  <c r="G37" i="14"/>
  <c r="J37" i="14"/>
  <c r="K37" i="14"/>
  <c r="G53" i="22"/>
  <c r="J53" i="22"/>
  <c r="K53" i="22"/>
  <c r="L34" i="25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J33" i="63"/>
  <c r="G5" i="3"/>
  <c r="J5" i="3"/>
  <c r="K5" i="3"/>
  <c r="G36" i="16"/>
  <c r="J36" i="16"/>
  <c r="K36" i="16"/>
  <c r="G32" i="52"/>
  <c r="J32" i="52"/>
  <c r="K32" i="52"/>
  <c r="G33" i="52"/>
  <c r="J33" i="52"/>
  <c r="K33" i="52"/>
  <c r="J26" i="1"/>
  <c r="K26" i="1"/>
  <c r="J27" i="1"/>
  <c r="K27" i="1"/>
  <c r="J28" i="1"/>
  <c r="K28" i="1"/>
  <c r="J29" i="1"/>
  <c r="K29" i="1"/>
  <c r="J30" i="1"/>
  <c r="K30" i="1"/>
  <c r="J31" i="1"/>
  <c r="K31" i="1"/>
  <c r="G34" i="62"/>
  <c r="K34" i="62"/>
  <c r="G35" i="62"/>
  <c r="J35" i="62"/>
  <c r="K35" i="62"/>
  <c r="L38" i="65"/>
  <c r="J11" i="56" s="1"/>
  <c r="K36" i="65"/>
  <c r="K37" i="65"/>
  <c r="J5" i="59"/>
  <c r="K5" i="59"/>
  <c r="J6" i="59"/>
  <c r="K6" i="59"/>
  <c r="J7" i="59"/>
  <c r="K7" i="59"/>
  <c r="J8" i="59"/>
  <c r="K8" i="59"/>
  <c r="J9" i="59"/>
  <c r="K9" i="59"/>
  <c r="J10" i="59"/>
  <c r="K10" i="59"/>
  <c r="J11" i="59"/>
  <c r="K11" i="59"/>
  <c r="J12" i="59"/>
  <c r="K12" i="59"/>
  <c r="J13" i="59"/>
  <c r="K13" i="59"/>
  <c r="J14" i="59"/>
  <c r="K14" i="59"/>
  <c r="J15" i="59"/>
  <c r="K15" i="59"/>
  <c r="J16" i="59"/>
  <c r="K16" i="59"/>
  <c r="J17" i="59"/>
  <c r="K17" i="59"/>
  <c r="J18" i="59"/>
  <c r="K18" i="59"/>
  <c r="J19" i="59"/>
  <c r="K19" i="59"/>
  <c r="J20" i="59"/>
  <c r="K20" i="59"/>
  <c r="J21" i="59"/>
  <c r="K21" i="59"/>
  <c r="J22" i="59"/>
  <c r="K22" i="59"/>
  <c r="J23" i="59"/>
  <c r="K23" i="59"/>
  <c r="J24" i="59"/>
  <c r="K24" i="59"/>
  <c r="J25" i="59"/>
  <c r="K25" i="59"/>
  <c r="J26" i="59"/>
  <c r="K26" i="59"/>
  <c r="J27" i="59"/>
  <c r="K27" i="59"/>
  <c r="J28" i="59"/>
  <c r="K28" i="59"/>
  <c r="J29" i="59"/>
  <c r="K29" i="59"/>
  <c r="J30" i="59"/>
  <c r="K30" i="59"/>
  <c r="J31" i="59"/>
  <c r="K31" i="59"/>
  <c r="J32" i="59"/>
  <c r="K32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6" i="47"/>
  <c r="K6" i="47"/>
  <c r="G7" i="47"/>
  <c r="K7" i="47"/>
  <c r="G8" i="47"/>
  <c r="K8" i="47"/>
  <c r="G9" i="47"/>
  <c r="K9" i="47"/>
  <c r="G10" i="47"/>
  <c r="K10" i="47"/>
  <c r="G11" i="47"/>
  <c r="K11" i="47"/>
  <c r="G12" i="47"/>
  <c r="K12" i="47"/>
  <c r="G14" i="47"/>
  <c r="K14" i="47"/>
  <c r="G15" i="47"/>
  <c r="K15" i="47"/>
  <c r="G16" i="47"/>
  <c r="K16" i="47"/>
  <c r="G17" i="47"/>
  <c r="K17" i="47"/>
  <c r="G18" i="47"/>
  <c r="K18" i="47"/>
  <c r="G19" i="47"/>
  <c r="K19" i="47"/>
  <c r="G20" i="47"/>
  <c r="K20" i="47"/>
  <c r="G21" i="47"/>
  <c r="K21" i="47"/>
  <c r="G22" i="47"/>
  <c r="K22" i="47"/>
  <c r="G23" i="47"/>
  <c r="K23" i="47"/>
  <c r="G24" i="47"/>
  <c r="K24" i="47"/>
  <c r="G25" i="47"/>
  <c r="K25" i="47"/>
  <c r="G26" i="47"/>
  <c r="K26" i="47"/>
  <c r="G27" i="47"/>
  <c r="K27" i="47"/>
  <c r="G28" i="47"/>
  <c r="K28" i="47"/>
  <c r="G29" i="47"/>
  <c r="K29" i="47"/>
  <c r="G30" i="47"/>
  <c r="K30" i="47"/>
  <c r="G31" i="47"/>
  <c r="K31" i="47"/>
  <c r="G32" i="47"/>
  <c r="K32" i="47"/>
  <c r="G33" i="47"/>
  <c r="K33" i="47"/>
  <c r="G34" i="47"/>
  <c r="J34" i="47"/>
  <c r="K34" i="47"/>
  <c r="G5" i="50"/>
  <c r="K5" i="50"/>
  <c r="G6" i="50"/>
  <c r="K6" i="50"/>
  <c r="G7" i="50"/>
  <c r="K7" i="50"/>
  <c r="K8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/>
  <c r="G17" i="50"/>
  <c r="K17" i="50"/>
  <c r="G18" i="50"/>
  <c r="K18" i="50"/>
  <c r="G19" i="50"/>
  <c r="K19" i="50"/>
  <c r="G20" i="50"/>
  <c r="K20" i="50"/>
  <c r="G21" i="50"/>
  <c r="K21" i="50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K30" i="50"/>
  <c r="G31" i="50"/>
  <c r="K31" i="50"/>
  <c r="G32" i="50"/>
  <c r="K32" i="50"/>
  <c r="G33" i="50"/>
  <c r="K33" i="50"/>
  <c r="G34" i="50"/>
  <c r="K34" i="50"/>
  <c r="G35" i="50"/>
  <c r="J35" i="50"/>
  <c r="K35" i="50"/>
  <c r="G36" i="50"/>
  <c r="J36" i="50"/>
  <c r="K36" i="50"/>
  <c r="G37" i="50"/>
  <c r="J37" i="50"/>
  <c r="K37" i="50"/>
  <c r="H35" i="59"/>
  <c r="I11" i="56"/>
  <c r="H38" i="65"/>
  <c r="F11" i="56" s="1"/>
  <c r="E38" i="65"/>
  <c r="D11" i="56" s="1"/>
  <c r="J38" i="65"/>
  <c r="G11" i="56" s="1"/>
  <c r="I20" i="56"/>
  <c r="H35" i="63"/>
  <c r="F20" i="56" s="1"/>
  <c r="E35" i="63"/>
  <c r="D20" i="56" s="1"/>
  <c r="J4" i="63"/>
  <c r="J35" i="63" s="1"/>
  <c r="G20" i="56" s="1"/>
  <c r="G4" i="63"/>
  <c r="G5" i="44"/>
  <c r="I26" i="56"/>
  <c r="L36" i="62"/>
  <c r="J12" i="56" s="1"/>
  <c r="H36" i="62"/>
  <c r="F12" i="56" s="1"/>
  <c r="E36" i="62"/>
  <c r="D12" i="56" s="1"/>
  <c r="J4" i="62"/>
  <c r="J36" i="62" s="1"/>
  <c r="G12" i="56" s="1"/>
  <c r="G4" i="62"/>
  <c r="I12" i="56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G34" i="37"/>
  <c r="J34" i="37"/>
  <c r="K34" i="37"/>
  <c r="L34" i="37"/>
  <c r="G6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G27" i="1"/>
  <c r="G28" i="1"/>
  <c r="G29" i="1"/>
  <c r="G30" i="1"/>
  <c r="G31" i="1"/>
  <c r="G32" i="1"/>
  <c r="J32" i="1"/>
  <c r="K32" i="1"/>
  <c r="G33" i="1"/>
  <c r="J33" i="1"/>
  <c r="K33" i="1"/>
  <c r="G34" i="1"/>
  <c r="J34" i="1"/>
  <c r="K34" i="1"/>
  <c r="H35" i="37"/>
  <c r="E43" i="35"/>
  <c r="E35" i="11"/>
  <c r="H40" i="41"/>
  <c r="I39" i="56"/>
  <c r="I23" i="56"/>
  <c r="H37" i="61"/>
  <c r="F23" i="56" s="1"/>
  <c r="D23" i="56"/>
  <c r="L37" i="61"/>
  <c r="J23" i="56" s="1"/>
  <c r="J4" i="61"/>
  <c r="J37" i="61" s="1"/>
  <c r="G23" i="56" s="1"/>
  <c r="G4" i="61"/>
  <c r="H35" i="12"/>
  <c r="E35" i="37"/>
  <c r="G5" i="1"/>
  <c r="G6" i="1"/>
  <c r="G7" i="1"/>
  <c r="I45" i="56"/>
  <c r="I43" i="56"/>
  <c r="H35" i="60"/>
  <c r="F39" i="56" s="1"/>
  <c r="D39" i="56"/>
  <c r="J4" i="60"/>
  <c r="J35" i="60" s="1"/>
  <c r="G39" i="56" s="1"/>
  <c r="I34" i="56"/>
  <c r="I41" i="56"/>
  <c r="G4" i="52"/>
  <c r="J4" i="47"/>
  <c r="J5" i="14"/>
  <c r="P11" i="33"/>
  <c r="I8" i="56"/>
  <c r="F8" i="56"/>
  <c r="E35" i="59"/>
  <c r="D8" i="56" s="1"/>
  <c r="J4" i="59"/>
  <c r="J35" i="59" s="1"/>
  <c r="G8" i="56" s="1"/>
  <c r="G4" i="59"/>
  <c r="L40" i="41"/>
  <c r="I46" i="56"/>
  <c r="I42" i="56"/>
  <c r="I37" i="56"/>
  <c r="I36" i="56"/>
  <c r="I31" i="56"/>
  <c r="I29" i="56"/>
  <c r="I25" i="56"/>
  <c r="I17" i="56"/>
  <c r="I16" i="56"/>
  <c r="I15" i="56"/>
  <c r="I14" i="56"/>
  <c r="I13" i="56"/>
  <c r="N3" i="45"/>
  <c r="G4" i="9"/>
  <c r="G4" i="1"/>
  <c r="K34" i="19"/>
  <c r="L34" i="19"/>
  <c r="L33" i="57"/>
  <c r="L34" i="57"/>
  <c r="G4" i="37"/>
  <c r="G5" i="14"/>
  <c r="K5" i="14" s="1"/>
  <c r="M3" i="3"/>
  <c r="G5" i="7"/>
  <c r="J5" i="7"/>
  <c r="G6" i="7"/>
  <c r="J6" i="7"/>
  <c r="G7" i="7"/>
  <c r="J7" i="7"/>
  <c r="G8" i="7"/>
  <c r="J8" i="7"/>
  <c r="G9" i="7"/>
  <c r="J9" i="7"/>
  <c r="G18" i="7"/>
  <c r="J18" i="7"/>
  <c r="G19" i="7"/>
  <c r="J19" i="7"/>
  <c r="G20" i="7"/>
  <c r="J20" i="7"/>
  <c r="J21" i="7"/>
  <c r="J22" i="7"/>
  <c r="G33" i="7"/>
  <c r="J33" i="7"/>
  <c r="J5" i="1"/>
  <c r="K5" i="1"/>
  <c r="J6" i="1"/>
  <c r="K6" i="1"/>
  <c r="J7" i="1"/>
  <c r="K7" i="1"/>
  <c r="G4" i="50"/>
  <c r="K4" i="50"/>
  <c r="G34" i="58"/>
  <c r="J34" i="58"/>
  <c r="K34" i="58"/>
  <c r="L34" i="58"/>
  <c r="J4" i="58"/>
  <c r="G4" i="58"/>
  <c r="H35" i="58"/>
  <c r="F7" i="56" s="1"/>
  <c r="E35" i="58"/>
  <c r="D7" i="56" s="1"/>
  <c r="J35" i="58"/>
  <c r="H35" i="19"/>
  <c r="E35" i="19"/>
  <c r="H43" i="51"/>
  <c r="E43" i="51"/>
  <c r="F47" i="56"/>
  <c r="D47" i="56"/>
  <c r="F46" i="56"/>
  <c r="D46" i="56"/>
  <c r="D45" i="56"/>
  <c r="E44" i="33"/>
  <c r="D43" i="56" s="1"/>
  <c r="F42" i="56"/>
  <c r="E35" i="9"/>
  <c r="D42" i="56" s="1"/>
  <c r="F41" i="56"/>
  <c r="E46" i="26"/>
  <c r="D41" i="56" s="1"/>
  <c r="H35" i="57"/>
  <c r="F40" i="56" s="1"/>
  <c r="D40" i="56"/>
  <c r="J4" i="57"/>
  <c r="J35" i="57" s="1"/>
  <c r="G40" i="56" s="1"/>
  <c r="G4" i="57"/>
  <c r="J37" i="56"/>
  <c r="F37" i="56"/>
  <c r="E40" i="41"/>
  <c r="D37" i="56" s="1"/>
  <c r="E35" i="12"/>
  <c r="L35" i="12"/>
  <c r="J36" i="56"/>
  <c r="F36" i="56"/>
  <c r="D36" i="56"/>
  <c r="F29" i="56"/>
  <c r="D29" i="56"/>
  <c r="D34" i="56"/>
  <c r="E38" i="14"/>
  <c r="D31" i="56" s="1"/>
  <c r="E35" i="25"/>
  <c r="D28" i="56" s="1"/>
  <c r="E35" i="40"/>
  <c r="D27" i="56" s="1"/>
  <c r="D26" i="56"/>
  <c r="J25" i="56"/>
  <c r="D25" i="56"/>
  <c r="D22" i="56"/>
  <c r="E35" i="3"/>
  <c r="D17" i="56" s="1"/>
  <c r="E35" i="7"/>
  <c r="D16" i="56" s="1"/>
  <c r="E37" i="16"/>
  <c r="D15" i="56" s="1"/>
  <c r="L37" i="16"/>
  <c r="E35" i="52"/>
  <c r="D14" i="56" s="1"/>
  <c r="E35" i="1"/>
  <c r="D13" i="56" s="1"/>
  <c r="J42" i="56"/>
  <c r="F34" i="56"/>
  <c r="L35" i="11"/>
  <c r="J26" i="56" s="1"/>
  <c r="H35" i="11"/>
  <c r="F26" i="56" s="1"/>
  <c r="F25" i="56"/>
  <c r="H35" i="3"/>
  <c r="F17" i="56" s="1"/>
  <c r="L35" i="3"/>
  <c r="J17" i="56" s="1"/>
  <c r="H35" i="7"/>
  <c r="F16" i="56" s="1"/>
  <c r="I3" i="56"/>
  <c r="I2" i="56"/>
  <c r="L38" i="50"/>
  <c r="J2" i="56" s="1"/>
  <c r="H38" i="50"/>
  <c r="F2" i="56" s="1"/>
  <c r="E38" i="50"/>
  <c r="D2" i="56" s="1"/>
  <c r="F45" i="56"/>
  <c r="L38" i="14"/>
  <c r="J31" i="56" s="1"/>
  <c r="H38" i="14"/>
  <c r="F31" i="56" s="1"/>
  <c r="H35" i="25"/>
  <c r="F28" i="56" s="1"/>
  <c r="J35" i="40"/>
  <c r="G27" i="56" s="1"/>
  <c r="H35" i="40"/>
  <c r="F27" i="56" s="1"/>
  <c r="F22" i="56"/>
  <c r="K38" i="16"/>
  <c r="L35" i="52"/>
  <c r="J14" i="56" s="1"/>
  <c r="H35" i="52"/>
  <c r="F14" i="56" s="1"/>
  <c r="H35" i="1"/>
  <c r="F13" i="56" s="1"/>
  <c r="G35" i="1"/>
  <c r="E13" i="56" s="1"/>
  <c r="L35" i="1"/>
  <c r="J13" i="56" s="1"/>
  <c r="E35" i="47"/>
  <c r="D3" i="56" s="1"/>
  <c r="L35" i="47"/>
  <c r="J3" i="56" s="1"/>
  <c r="H35" i="47"/>
  <c r="F3" i="56" s="1"/>
  <c r="G4" i="44"/>
  <c r="G4" i="51"/>
  <c r="K5" i="7"/>
  <c r="K6" i="7"/>
  <c r="K7" i="7"/>
  <c r="K8" i="7"/>
  <c r="K9" i="7"/>
  <c r="K18" i="7"/>
  <c r="K19" i="7"/>
  <c r="K20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" i="51"/>
  <c r="G45" i="26"/>
  <c r="K45" i="26"/>
  <c r="G34" i="7"/>
  <c r="J34" i="7"/>
  <c r="K34" i="7"/>
  <c r="G4" i="47"/>
  <c r="X16" i="1"/>
  <c r="V22" i="16"/>
  <c r="V21" i="16"/>
  <c r="G4" i="40"/>
  <c r="G4" i="25"/>
  <c r="J4" i="24"/>
  <c r="J35" i="24" s="1"/>
  <c r="G22" i="56" s="1"/>
  <c r="G4" i="12"/>
  <c r="G35" i="12" s="1"/>
  <c r="E36" i="56" s="1"/>
  <c r="H37" i="16"/>
  <c r="F15" i="56" s="1"/>
  <c r="M3" i="40"/>
  <c r="I38" i="37"/>
  <c r="J4" i="37"/>
  <c r="J42" i="35"/>
  <c r="G42" i="35"/>
  <c r="K42" i="35" s="1"/>
  <c r="L42" i="35" s="1"/>
  <c r="J4" i="35"/>
  <c r="H44" i="33"/>
  <c r="F43" i="56" s="1"/>
  <c r="J4" i="33"/>
  <c r="J44" i="33" s="1"/>
  <c r="G43" i="56" s="1"/>
  <c r="G4" i="33"/>
  <c r="J4" i="10"/>
  <c r="J35" i="10" s="1"/>
  <c r="J4" i="22"/>
  <c r="J54" i="22" s="1"/>
  <c r="G29" i="56" s="1"/>
  <c r="L35" i="7"/>
  <c r="J16" i="56" s="1"/>
  <c r="M3" i="1"/>
  <c r="J4" i="26"/>
  <c r="J4" i="9"/>
  <c r="M3" i="25"/>
  <c r="G4" i="7"/>
  <c r="G4" i="24"/>
  <c r="G4" i="19"/>
  <c r="G35" i="19" s="1"/>
  <c r="E47" i="56" s="1"/>
  <c r="J4" i="19"/>
  <c r="K4" i="19"/>
  <c r="J4" i="16"/>
  <c r="G4" i="16"/>
  <c r="K4" i="16" s="1"/>
  <c r="J4" i="14"/>
  <c r="G4" i="14"/>
  <c r="K4" i="14"/>
  <c r="J4" i="7"/>
  <c r="J35" i="7" s="1"/>
  <c r="G16" i="56" s="1"/>
  <c r="J4" i="12"/>
  <c r="G4" i="11"/>
  <c r="J4" i="11"/>
  <c r="J35" i="11" s="1"/>
  <c r="G26" i="56" s="1"/>
  <c r="K4" i="11"/>
  <c r="M4" i="11" s="1"/>
  <c r="M5" i="11" s="1"/>
  <c r="G4" i="10"/>
  <c r="G35" i="10" s="1"/>
  <c r="J4" i="3"/>
  <c r="J35" i="3" s="1"/>
  <c r="G17" i="56" s="1"/>
  <c r="G4" i="3"/>
  <c r="G35" i="3" s="1"/>
  <c r="E17" i="56" s="1"/>
  <c r="J4" i="1"/>
  <c r="J35" i="1" s="1"/>
  <c r="G13" i="56" s="1"/>
  <c r="K4" i="1"/>
  <c r="K35" i="1" s="1"/>
  <c r="G35" i="86" l="1"/>
  <c r="E9" i="56" s="1"/>
  <c r="H9" i="56" s="1"/>
  <c r="K9" i="56" s="1"/>
  <c r="K4" i="86"/>
  <c r="M16" i="35"/>
  <c r="M17" i="35" s="1"/>
  <c r="M18" i="35" s="1"/>
  <c r="K54" i="44"/>
  <c r="K53" i="44"/>
  <c r="G55" i="85"/>
  <c r="E30" i="56" s="1"/>
  <c r="H30" i="56" s="1"/>
  <c r="K30" i="56" s="1"/>
  <c r="K4" i="85"/>
  <c r="J35" i="78"/>
  <c r="G6" i="56" s="1"/>
  <c r="G35" i="83"/>
  <c r="E38" i="56" s="1"/>
  <c r="H38" i="56" s="1"/>
  <c r="K38" i="56" s="1"/>
  <c r="K4" i="83"/>
  <c r="I49" i="56"/>
  <c r="G35" i="82"/>
  <c r="E4" i="56" s="1"/>
  <c r="H4" i="56" s="1"/>
  <c r="K4" i="56" s="1"/>
  <c r="K4" i="82"/>
  <c r="F49" i="56"/>
  <c r="G39" i="81"/>
  <c r="E48" i="56" s="1"/>
  <c r="K4" i="81"/>
  <c r="G38" i="80"/>
  <c r="E24" i="56" s="1"/>
  <c r="H24" i="56" s="1"/>
  <c r="K24" i="56" s="1"/>
  <c r="K4" i="80"/>
  <c r="G35" i="79"/>
  <c r="E33" i="56" s="1"/>
  <c r="H33" i="56" s="1"/>
  <c r="K33" i="56" s="1"/>
  <c r="K4" i="79"/>
  <c r="K32" i="74"/>
  <c r="L32" i="74" s="1"/>
  <c r="K31" i="74"/>
  <c r="L31" i="74" s="1"/>
  <c r="K30" i="74"/>
  <c r="L30" i="74" s="1"/>
  <c r="K33" i="63"/>
  <c r="L33" i="63" s="1"/>
  <c r="L32" i="63"/>
  <c r="K26" i="78"/>
  <c r="G35" i="78"/>
  <c r="E6" i="56" s="1"/>
  <c r="H6" i="56" s="1"/>
  <c r="K6" i="56" s="1"/>
  <c r="K6" i="14"/>
  <c r="J37" i="76"/>
  <c r="G35" i="56" s="1"/>
  <c r="K4" i="76"/>
  <c r="G37" i="76"/>
  <c r="E35" i="56" s="1"/>
  <c r="H35" i="56" s="1"/>
  <c r="K35" i="56" s="1"/>
  <c r="K5" i="76"/>
  <c r="J37" i="75"/>
  <c r="G32" i="56" s="1"/>
  <c r="K4" i="75"/>
  <c r="G37" i="75"/>
  <c r="E32" i="56" s="1"/>
  <c r="H32" i="56" s="1"/>
  <c r="K32" i="56" s="1"/>
  <c r="K5" i="75"/>
  <c r="K18" i="10"/>
  <c r="G35" i="74"/>
  <c r="E21" i="56" s="1"/>
  <c r="H21" i="56" s="1"/>
  <c r="K4" i="74"/>
  <c r="G35" i="73"/>
  <c r="E19" i="56" s="1"/>
  <c r="H19" i="56" s="1"/>
  <c r="K4" i="73"/>
  <c r="G35" i="72"/>
  <c r="E5" i="56" s="1"/>
  <c r="H5" i="56" s="1"/>
  <c r="K5" i="56" s="1"/>
  <c r="K4" i="72"/>
  <c r="H17" i="56"/>
  <c r="K17" i="56" s="1"/>
  <c r="M32" i="52"/>
  <c r="M33" i="52" s="1"/>
  <c r="K11" i="35"/>
  <c r="G35" i="71"/>
  <c r="E10" i="56" s="1"/>
  <c r="H10" i="56" s="1"/>
  <c r="K4" i="71"/>
  <c r="N4" i="45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K4" i="69"/>
  <c r="E48" i="69"/>
  <c r="D44" i="56" s="1"/>
  <c r="D49" i="56" s="1"/>
  <c r="G35" i="68"/>
  <c r="E18" i="56" s="1"/>
  <c r="K4" i="44"/>
  <c r="M4" i="44" s="1"/>
  <c r="K5" i="44"/>
  <c r="M6" i="11"/>
  <c r="G38" i="65"/>
  <c r="E11" i="56" s="1"/>
  <c r="H11" i="56" s="1"/>
  <c r="K11" i="56" s="1"/>
  <c r="K38" i="65"/>
  <c r="J37" i="16"/>
  <c r="G15" i="56" s="1"/>
  <c r="L46" i="26"/>
  <c r="G35" i="63"/>
  <c r="E20" i="56" s="1"/>
  <c r="H20" i="56" s="1"/>
  <c r="K4" i="63"/>
  <c r="M7" i="11"/>
  <c r="M8" i="11" s="1"/>
  <c r="G36" i="62"/>
  <c r="E12" i="56" s="1"/>
  <c r="H12" i="56" s="1"/>
  <c r="K12" i="56" s="1"/>
  <c r="K4" i="62"/>
  <c r="G37" i="61"/>
  <c r="E23" i="56" s="1"/>
  <c r="H23" i="56" s="1"/>
  <c r="K23" i="56" s="1"/>
  <c r="K4" i="61"/>
  <c r="G35" i="60"/>
  <c r="E39" i="56" s="1"/>
  <c r="H39" i="56" s="1"/>
  <c r="K4" i="60"/>
  <c r="J43" i="51"/>
  <c r="G46" i="56" s="1"/>
  <c r="J15" i="56"/>
  <c r="G35" i="59"/>
  <c r="E8" i="56" s="1"/>
  <c r="H8" i="56" s="1"/>
  <c r="K4" i="59"/>
  <c r="M4" i="59" s="1"/>
  <c r="M5" i="59" s="1"/>
  <c r="M6" i="59" s="1"/>
  <c r="M7" i="59" s="1"/>
  <c r="M8" i="59" s="1"/>
  <c r="M9" i="59" s="1"/>
  <c r="M10" i="59" s="1"/>
  <c r="M11" i="59" s="1"/>
  <c r="M12" i="59" s="1"/>
  <c r="M13" i="59" s="1"/>
  <c r="M15" i="59" s="1"/>
  <c r="M16" i="59" s="1"/>
  <c r="M17" i="59" s="1"/>
  <c r="M18" i="59" s="1"/>
  <c r="M19" i="59" s="1"/>
  <c r="M20" i="59" s="1"/>
  <c r="M21" i="59" s="1"/>
  <c r="M22" i="59" s="1"/>
  <c r="M23" i="59" s="1"/>
  <c r="K4" i="12"/>
  <c r="K35" i="12" s="1"/>
  <c r="J35" i="12"/>
  <c r="G36" i="56" s="1"/>
  <c r="H36" i="56"/>
  <c r="K36" i="56" s="1"/>
  <c r="H13" i="56"/>
  <c r="K13" i="56" s="1"/>
  <c r="G44" i="33"/>
  <c r="E43" i="56" s="1"/>
  <c r="H43" i="56" s="1"/>
  <c r="J35" i="9"/>
  <c r="G42" i="56" s="1"/>
  <c r="J46" i="26"/>
  <c r="G41" i="56" s="1"/>
  <c r="G54" i="22"/>
  <c r="E29" i="56" s="1"/>
  <c r="H29" i="56" s="1"/>
  <c r="K4" i="40"/>
  <c r="L4" i="40" s="1"/>
  <c r="G35" i="40"/>
  <c r="E27" i="56" s="1"/>
  <c r="H27" i="56" s="1"/>
  <c r="L35" i="40"/>
  <c r="J27" i="56" s="1"/>
  <c r="K35" i="40"/>
  <c r="J35" i="52"/>
  <c r="G14" i="56" s="1"/>
  <c r="K35" i="52"/>
  <c r="H14" i="56" s="1"/>
  <c r="K14" i="56" s="1"/>
  <c r="G35" i="52"/>
  <c r="J40" i="41"/>
  <c r="G37" i="56" s="1"/>
  <c r="G35" i="11"/>
  <c r="E26" i="56" s="1"/>
  <c r="G43" i="35"/>
  <c r="E45" i="56" s="1"/>
  <c r="E46" i="56"/>
  <c r="H46" i="56" s="1"/>
  <c r="J41" i="56"/>
  <c r="G46" i="26"/>
  <c r="E41" i="56" s="1"/>
  <c r="J35" i="19"/>
  <c r="G47" i="56" s="1"/>
  <c r="H47" i="56" s="1"/>
  <c r="H41" i="56"/>
  <c r="J43" i="35"/>
  <c r="G45" i="56" s="1"/>
  <c r="H45" i="56" s="1"/>
  <c r="G35" i="9"/>
  <c r="E42" i="56" s="1"/>
  <c r="G40" i="41"/>
  <c r="E37" i="56" s="1"/>
  <c r="H37" i="56" s="1"/>
  <c r="G35" i="58"/>
  <c r="E7" i="56" s="1"/>
  <c r="H7" i="56" s="1"/>
  <c r="K4" i="58"/>
  <c r="G35" i="57"/>
  <c r="E40" i="56" s="1"/>
  <c r="H40" i="56" s="1"/>
  <c r="K4" i="57"/>
  <c r="L4" i="57" s="1"/>
  <c r="L35" i="57" s="1"/>
  <c r="J40" i="56" s="1"/>
  <c r="H26" i="56"/>
  <c r="K26" i="56" s="1"/>
  <c r="G35" i="7"/>
  <c r="E16" i="56" s="1"/>
  <c r="J35" i="47"/>
  <c r="G3" i="56" s="1"/>
  <c r="G25" i="56"/>
  <c r="J35" i="37"/>
  <c r="G34" i="56" s="1"/>
  <c r="J38" i="14"/>
  <c r="G31" i="56" s="1"/>
  <c r="G38" i="14"/>
  <c r="E31" i="56" s="1"/>
  <c r="H31" i="56" s="1"/>
  <c r="K31" i="56" s="1"/>
  <c r="G35" i="47"/>
  <c r="E3" i="56" s="1"/>
  <c r="K35" i="19"/>
  <c r="H18" i="56"/>
  <c r="J38" i="50"/>
  <c r="G2" i="56" s="1"/>
  <c r="G38" i="50"/>
  <c r="E2" i="56" s="1"/>
  <c r="G35" i="25"/>
  <c r="E28" i="56" s="1"/>
  <c r="J35" i="25"/>
  <c r="G28" i="56" s="1"/>
  <c r="H28" i="56" s="1"/>
  <c r="K35" i="11"/>
  <c r="E25" i="56"/>
  <c r="G35" i="24"/>
  <c r="E22" i="56" s="1"/>
  <c r="H22" i="56" s="1"/>
  <c r="G35" i="37"/>
  <c r="E34" i="56" s="1"/>
  <c r="H34" i="56" s="1"/>
  <c r="K4" i="41"/>
  <c r="K38" i="14"/>
  <c r="K4" i="22"/>
  <c r="M4" i="22" s="1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P53" i="22" s="1"/>
  <c r="K4" i="51"/>
  <c r="K4" i="24"/>
  <c r="M4" i="24" s="1"/>
  <c r="K38" i="50"/>
  <c r="K4" i="47"/>
  <c r="K35" i="47" s="1"/>
  <c r="M4" i="47"/>
  <c r="O4" i="47" s="1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K4" i="37"/>
  <c r="K4" i="35"/>
  <c r="M4" i="35" s="1"/>
  <c r="M5" i="35" s="1"/>
  <c r="K4" i="33"/>
  <c r="L4" i="19"/>
  <c r="L35" i="19" s="1"/>
  <c r="J47" i="56" s="1"/>
  <c r="K4" i="7"/>
  <c r="K35" i="7" s="1"/>
  <c r="M4" i="14"/>
  <c r="M5" i="14" s="1"/>
  <c r="M6" i="14" s="1"/>
  <c r="M7" i="14" s="1"/>
  <c r="M8" i="14" s="1"/>
  <c r="M9" i="14" s="1"/>
  <c r="M10" i="14" s="1"/>
  <c r="K4" i="9"/>
  <c r="K4" i="10"/>
  <c r="K35" i="10" s="1"/>
  <c r="K4" i="26"/>
  <c r="M4" i="26" s="1"/>
  <c r="M5" i="26" s="1"/>
  <c r="M11" i="14"/>
  <c r="M12" i="14" s="1"/>
  <c r="M13" i="14" s="1"/>
  <c r="M14" i="14" s="1"/>
  <c r="M15" i="14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K4" i="25"/>
  <c r="K4" i="3"/>
  <c r="K35" i="86" l="1"/>
  <c r="M4" i="8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P8" i="11"/>
  <c r="H48" i="56"/>
  <c r="K48" i="56" s="1"/>
  <c r="C58" i="56" a="1"/>
  <c r="C58" i="56" s="1"/>
  <c r="B55" i="56" a="1"/>
  <c r="B55" i="56" s="1"/>
  <c r="K55" i="85"/>
  <c r="M4" i="85"/>
  <c r="M5" i="85" s="1"/>
  <c r="M6" i="85" s="1"/>
  <c r="M7" i="85" s="1"/>
  <c r="M8" i="85" s="1"/>
  <c r="M9" i="85" s="1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M23" i="85" s="1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P54" i="85" s="1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19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M34" i="83" s="1"/>
  <c r="K35" i="82"/>
  <c r="M4" i="82"/>
  <c r="G49" i="56"/>
  <c r="H2" i="56"/>
  <c r="K39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15" i="81" s="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29" i="81" s="1"/>
  <c r="M30" i="81" s="1"/>
  <c r="M31" i="81" s="1"/>
  <c r="M32" i="81" s="1"/>
  <c r="M33" i="81" s="1"/>
  <c r="M34" i="81" s="1"/>
  <c r="M35" i="81" s="1"/>
  <c r="M36" i="81" s="1"/>
  <c r="M37" i="81" s="1"/>
  <c r="M38" i="81" s="1"/>
  <c r="M5" i="44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K38" i="80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M17" i="80" s="1"/>
  <c r="M18" i="80" s="1"/>
  <c r="M19" i="80" s="1"/>
  <c r="M20" i="80" s="1"/>
  <c r="M21" i="80" s="1"/>
  <c r="M22" i="80" s="1"/>
  <c r="M23" i="80" s="1"/>
  <c r="M24" i="80" s="1"/>
  <c r="M25" i="80" s="1"/>
  <c r="M26" i="80" s="1"/>
  <c r="M27" i="80" s="1"/>
  <c r="K35" i="79"/>
  <c r="M4" i="79"/>
  <c r="M5" i="79" s="1"/>
  <c r="M6" i="79" s="1"/>
  <c r="M7" i="79" s="1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K37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K35" i="74"/>
  <c r="L4" i="74"/>
  <c r="L35" i="74" s="1"/>
  <c r="J21" i="56" s="1"/>
  <c r="K21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5" i="73"/>
  <c r="L4" i="73"/>
  <c r="L35" i="73" s="1"/>
  <c r="J19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5" i="24"/>
  <c r="M6" i="24" s="1"/>
  <c r="M7" i="24" s="1"/>
  <c r="M8" i="24" s="1"/>
  <c r="M9" i="24" s="1"/>
  <c r="M10" i="24" s="1"/>
  <c r="M11" i="24" s="1"/>
  <c r="M12" i="24" s="1"/>
  <c r="K35" i="24"/>
  <c r="H3" i="56"/>
  <c r="K3" i="56" s="1"/>
  <c r="K35" i="71"/>
  <c r="L4" i="71"/>
  <c r="L35" i="71" s="1"/>
  <c r="J10" i="56" s="1"/>
  <c r="K10" i="56" s="1"/>
  <c r="G48" i="69"/>
  <c r="E44" i="56" s="1"/>
  <c r="K48" i="69"/>
  <c r="H44" i="56" s="1"/>
  <c r="M4" i="69"/>
  <c r="M5" i="69" s="1"/>
  <c r="M6" i="69" s="1"/>
  <c r="M7" i="69" s="1"/>
  <c r="M8" i="69" s="1"/>
  <c r="M9" i="69" s="1"/>
  <c r="K35" i="68"/>
  <c r="L35" i="68"/>
  <c r="J18" i="56" s="1"/>
  <c r="M4" i="68"/>
  <c r="M5" i="68" s="1"/>
  <c r="M6" i="68" s="1"/>
  <c r="M7" i="68" s="1"/>
  <c r="M8" i="68" s="1"/>
  <c r="M9" i="68" s="1"/>
  <c r="M10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K35" i="25"/>
  <c r="H42" i="56"/>
  <c r="K42" i="56" s="1"/>
  <c r="H16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E15" i="56"/>
  <c r="H15" i="56" s="1"/>
  <c r="K15" i="56" s="1"/>
  <c r="K35" i="63"/>
  <c r="L4" i="63"/>
  <c r="L35" i="63" s="1"/>
  <c r="J20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K36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L43" i="51"/>
  <c r="M4" i="51"/>
  <c r="M5" i="51" s="1"/>
  <c r="M6" i="51" s="1"/>
  <c r="K43" i="51"/>
  <c r="K41" i="56"/>
  <c r="K37" i="61"/>
  <c r="M5" i="61"/>
  <c r="M6" i="61" s="1"/>
  <c r="M7" i="61" s="1"/>
  <c r="M8" i="61" s="1"/>
  <c r="M9" i="61" s="1"/>
  <c r="M10" i="61" s="1"/>
  <c r="M11" i="61" s="1"/>
  <c r="M12" i="61" s="1"/>
  <c r="M13" i="61" s="1"/>
  <c r="K37" i="56"/>
  <c r="K35" i="60"/>
  <c r="K46" i="26"/>
  <c r="M4" i="10"/>
  <c r="K44" i="33"/>
  <c r="K35" i="9"/>
  <c r="M4" i="9"/>
  <c r="K40" i="56"/>
  <c r="M16" i="14"/>
  <c r="M17" i="14" s="1"/>
  <c r="M18" i="14" s="1"/>
  <c r="M19" i="14" s="1"/>
  <c r="M20" i="14" s="1"/>
  <c r="M21" i="14" s="1"/>
  <c r="M22" i="14" s="1"/>
  <c r="E14" i="56"/>
  <c r="E49" i="56" s="1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7" i="56"/>
  <c r="H25" i="56"/>
  <c r="M4" i="41"/>
  <c r="M5" i="41" s="1"/>
  <c r="M6" i="41" s="1"/>
  <c r="M7" i="41" s="1"/>
  <c r="M8" i="41" s="1"/>
  <c r="M9" i="41" s="1"/>
  <c r="M10" i="41" s="1"/>
  <c r="M11" i="41" s="1"/>
  <c r="M12" i="41" s="1"/>
  <c r="K40" i="41"/>
  <c r="M4" i="16"/>
  <c r="K37" i="16"/>
  <c r="K47" i="56"/>
  <c r="K35" i="58"/>
  <c r="L4" i="58"/>
  <c r="L35" i="58" s="1"/>
  <c r="J7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4" i="22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K43" i="35"/>
  <c r="L43" i="35"/>
  <c r="J45" i="56" s="1"/>
  <c r="K45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18" i="56"/>
  <c r="M5" i="86" l="1"/>
  <c r="M6" i="86" s="1"/>
  <c r="M7" i="86" s="1"/>
  <c r="M8" i="86" s="1"/>
  <c r="M9" i="86" s="1"/>
  <c r="M10" i="86" s="1"/>
  <c r="M11" i="86" s="1"/>
  <c r="M12" i="86" s="1"/>
  <c r="M13" i="86" s="1"/>
  <c r="M14" i="86" s="1"/>
  <c r="M15" i="86" s="1"/>
  <c r="M16" i="86" s="1"/>
  <c r="M17" i="86" s="1"/>
  <c r="M18" i="86" s="1"/>
  <c r="M19" i="86" s="1"/>
  <c r="M20" i="86" s="1"/>
  <c r="M21" i="86" s="1"/>
  <c r="M22" i="86" s="1"/>
  <c r="M23" i="86" s="1"/>
  <c r="M24" i="86" s="1"/>
  <c r="M25" i="86" s="1"/>
  <c r="M26" i="86" s="1"/>
  <c r="M27" i="86" s="1"/>
  <c r="M28" i="86" s="1"/>
  <c r="M29" i="86" s="1"/>
  <c r="M30" i="86" s="1"/>
  <c r="M31" i="86" s="1"/>
  <c r="M32" i="86" s="1"/>
  <c r="M33" i="86" s="1"/>
  <c r="M34" i="86" s="1"/>
  <c r="M27" i="44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J46" i="56"/>
  <c r="K46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O4" i="82"/>
  <c r="K25" i="56"/>
  <c r="H49" i="56"/>
  <c r="K19" i="56"/>
  <c r="K20" i="56"/>
  <c r="M13" i="4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P12" i="41"/>
  <c r="M7" i="5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M10" i="69"/>
  <c r="M11" i="69" s="1"/>
  <c r="M12" i="69" s="1"/>
  <c r="M13" i="69" s="1"/>
  <c r="M14" i="69" s="1"/>
  <c r="M15" i="69" s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K44" i="56" s="1"/>
  <c r="M23" i="14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8" i="65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4" i="65" s="1"/>
  <c r="M35" i="65" s="1"/>
  <c r="M36" i="65" s="1"/>
  <c r="M37" i="65" s="1"/>
  <c r="M17" i="65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S18" i="16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35" i="25"/>
  <c r="J28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6" i="56"/>
  <c r="M20" i="5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L35" i="37"/>
  <c r="J34" i="56" s="1"/>
  <c r="K34" i="56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P19" i="41"/>
  <c r="L35" i="60"/>
  <c r="J39" i="56" s="1"/>
  <c r="K39" i="56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L35" i="59"/>
  <c r="J8" i="56" s="1"/>
  <c r="K8" i="56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43" i="56" s="1"/>
  <c r="M4" i="33"/>
  <c r="K7" i="56"/>
  <c r="L54" i="22"/>
  <c r="J29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L47" i="35"/>
  <c r="M44" i="44" l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O44" i="44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28" i="56"/>
  <c r="J49" i="56"/>
  <c r="K49" i="56" s="1"/>
  <c r="M49" i="56" s="1"/>
  <c r="P37" i="81"/>
  <c r="K43" i="56"/>
  <c r="M32" i="51"/>
  <c r="M33" i="51" s="1"/>
  <c r="M34" i="51" s="1"/>
  <c r="M35" i="51" s="1"/>
  <c r="M36" i="51" s="1"/>
  <c r="M37" i="51" s="1"/>
  <c r="M38" i="51" s="1"/>
  <c r="M39" i="51" s="1"/>
  <c r="M14" i="24"/>
  <c r="M17" i="37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29" i="56"/>
  <c r="O65" i="44" l="1"/>
  <c r="M66" i="44"/>
  <c r="M67" i="44" s="1"/>
  <c r="M68" i="44" s="1"/>
  <c r="M69" i="44" s="1"/>
  <c r="M70" i="44" s="1"/>
  <c r="M33" i="37"/>
  <c r="M34" i="37" s="1"/>
  <c r="M15" i="24"/>
  <c r="M16" i="24" s="1"/>
  <c r="M17" i="24" s="1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71" i="44" l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O83" i="44" s="1"/>
  <c r="M18" i="24"/>
  <c r="M19" i="24" l="1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/>
  <c r="K22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tc={4E9CF956-EFA3-4175-A59C-0ACB55EBD985}</author>
  </authors>
  <commentList>
    <comment ref="H28" authorId="0" shapeId="0" xr:uid="{4E9CF956-EFA3-4175-A59C-0ACB55EBD985}">
      <text>
        <t>[Threaded comment]
Your version of Excel allows you to read this threaded comment; however, any edits to it will get removed if the file is opened in a newer version of Excel. Learn more: https://go.microsoft.com/fwlink/?linkid=870924
Comment:
    Civet:
Hydraulic Oil VG 68 - 26 Ltr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<sst xmlns="http://schemas.openxmlformats.org/spreadsheetml/2006/main" count="1707" uniqueCount="362">
  <si>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</si>
  <si>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</si>
  <si>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</si>
  <si>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</si>
  <si>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</si>
  <si>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</si>
  <si>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</si>
  <si>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</si>
  <si>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</si>
  <si>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</si>
  <si>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</si>
  <si>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</si>
  <si>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</si>
  <si>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</si>
  <si>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</si>
  <si>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</si>
  <si>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</si>
  <si>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Jadcherla-3</t>
  </si>
  <si>
    <t>Jadcherla-4</t>
  </si>
  <si>
    <t>Shree Poornima F/S</t>
  </si>
  <si>
    <t>Dindi</t>
  </si>
  <si>
    <t>Akarapu Balakistamma Fillling</t>
  </si>
  <si>
    <t>Devarkhadra-1</t>
  </si>
  <si>
    <t>Kurumurthy Swami  F/S</t>
  </si>
  <si>
    <t>Sangareddy</t>
  </si>
  <si>
    <t>Durga indhan</t>
  </si>
  <si>
    <t>Madanapalli</t>
  </si>
  <si>
    <t>Amalapuram</t>
  </si>
  <si>
    <t>Sathya Filling Station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</si>
  <si>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</si>
  <si>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</si>
  <si>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</si>
  <si>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</si>
  <si>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</si>
  <si>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</si>
  <si>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</si>
  <si>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</si>
  <si>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</si>
  <si>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</si>
  <si>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</si>
  <si>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</si>
  <si>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</si>
  <si>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</si>
  <si>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</si>
  <si>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</si>
  <si>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</si>
  <si>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</si>
  <si>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</si>
  <si>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</si>
  <si>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Munavalli(PKG-3)-1</t>
  </si>
  <si>
    <t xml:space="preserve">Shri Daneshwari </t>
  </si>
  <si>
    <t>Munavalli(PKG-3)-2</t>
  </si>
  <si>
    <t>Shre Shiva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</si>
  <si>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</si>
  <si>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</si>
  <si>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</si>
  <si>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</si>
  <si>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</si>
  <si>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</si>
  <si>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</si>
  <si>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 xml:space="preserve">V.M.MIRJANKAR (KUMTA) BHARAT </t>
  </si>
  <si>
    <t>Jalgaon</t>
  </si>
  <si>
    <t>Sri Sai Petrol Pump</t>
  </si>
  <si>
    <t>Jalgaon-2</t>
  </si>
  <si>
    <t>Nayara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</si>
  <si>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</si>
  <si>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</si>
  <si>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</si>
  <si>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</si>
  <si>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</si>
  <si>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</si>
  <si>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</t>
  </si>
  <si>
    <t xml:space="preserve"> Shree Siri Gowari petroliam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</si>
  <si>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</si>
  <si>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</si>
  <si>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</si>
  <si>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</si>
  <si>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</si>
  <si>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</si>
  <si>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</si>
  <si>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</si>
  <si>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</si>
  <si>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</si>
  <si>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</si>
  <si>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</si>
  <si>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</si>
  <si>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</si>
  <si>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</si>
  <si>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</si>
  <si>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</si>
  <si>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</si>
  <si>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</si>
  <si>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</si>
  <si>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</si>
  <si>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</si>
  <si>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</si>
  <si>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</si>
  <si>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</si>
  <si>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</si>
  <si>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</si>
  <si>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Total</t>
  </si>
  <si>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</si>
  <si>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</si>
  <si>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</si>
  <si>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</si>
  <si>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</si>
  <si>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</si>
  <si>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</si>
  <si>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</si>
  <si>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</si>
  <si>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</si>
  <si>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</si>
  <si>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</si>
  <si>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</si>
  <si>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</si>
  <si>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</si>
  <si>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</si>
  <si>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</si>
  <si>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</si>
  <si>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</si>
  <si>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</si>
  <si>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</si>
  <si>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</si>
  <si>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</si>
  <si>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</si>
  <si>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</si>
  <si>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</si>
  <si>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</si>
  <si>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</si>
  <si>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</si>
  <si>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</si>
  <si>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</si>
  <si>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</si>
  <si>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</si>
  <si>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</si>
  <si>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</si>
  <si>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</si>
  <si>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</si>
  <si>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</si>
  <si>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</si>
  <si>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</si>
  <si>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</si>
  <si>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</si>
  <si>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</si>
  <si>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</si>
  <si>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</si>
  <si>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</si>
  <si>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</si>
  <si>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</si>
  <si>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</si>
  <si>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</si>
  <si>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</si>
  <si>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</si>
  <si>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</si>
  <si>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</si>
  <si>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</si>
  <si>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</si>
  <si>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</si>
  <si>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</si>
  <si>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</si>
  <si>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</si>
  <si>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</si>
  <si>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</si>
  <si>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</si>
  <si>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</si>
  <si>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</si>
  <si>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</si>
  <si>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HPCL</t>
  </si>
  <si>
    <t>BPCL</t>
  </si>
  <si>
    <t>Divya Lakshmi Ganapathi Auto Services</t>
  </si>
  <si>
    <t>As 0n Date</t>
  </si>
  <si>
    <t xml:space="preserve">JSASFuel Genie India Pvt.Ltd													</t>
  </si>
  <si>
    <t xml:space="preserve">Durga indhan													</t>
  </si>
  <si>
    <t>Ind no/Bill No</t>
  </si>
  <si>
    <t>As on Date</t>
  </si>
  <si>
    <t>/</t>
  </si>
  <si>
    <t>Poornima Filling Station</t>
  </si>
  <si>
    <t>rounoff</t>
  </si>
  <si>
    <t xml:space="preserve"> Fuel bills </t>
  </si>
  <si>
    <t>01.02.2026</t>
  </si>
  <si>
    <t>Sri Sathya Dattha Aparna -BPCL</t>
  </si>
  <si>
    <t>Chendurthi(Yeleswaram)</t>
  </si>
  <si>
    <t> </t>
  </si>
  <si>
    <t>02.02.2026</t>
  </si>
  <si>
    <t>BP Lala Cheruvu Bharat Petroleum</t>
  </si>
  <si>
    <t>Rajahmundry</t>
  </si>
  <si>
    <t>05.02.2026</t>
  </si>
  <si>
    <t xml:space="preserve">Sri Venkateswara Enterprises </t>
  </si>
  <si>
    <t>Yanam</t>
  </si>
  <si>
    <t>Sri Radha krishna Agencies</t>
  </si>
  <si>
    <t>Kakinada</t>
  </si>
  <si>
    <t>09.02.2026</t>
  </si>
  <si>
    <t>11.02.2026</t>
  </si>
  <si>
    <t>Sri Sathya Enterprises Bharat Petroleum</t>
  </si>
  <si>
    <t>Mettacur(Yanam)</t>
  </si>
  <si>
    <t>12.02.2026</t>
  </si>
  <si>
    <t>Lalacheruvu</t>
  </si>
  <si>
    <t>BP Kakinada Bhanugudi</t>
  </si>
  <si>
    <t>15.02.2026</t>
  </si>
  <si>
    <t>17.02.2026</t>
  </si>
  <si>
    <t>18.02.2026</t>
  </si>
  <si>
    <t>19.02.2026</t>
  </si>
  <si>
    <t>20.02.2026</t>
  </si>
  <si>
    <t>SRI LALITHA AGENCIES BHARAT PETROLEUM DEALERS</t>
  </si>
  <si>
    <t>PEDDAPURAM</t>
  </si>
  <si>
    <t>21.02.2026</t>
  </si>
  <si>
    <t>JVVR Filling Station Bharat Petroleum</t>
  </si>
  <si>
    <t>Pitapuram</t>
  </si>
  <si>
    <t>25.02.2026</t>
  </si>
  <si>
    <t>26.02.2026</t>
  </si>
  <si>
    <t>Sri Balaji Agencies BPCL</t>
  </si>
  <si>
    <t>28.02.2026</t>
  </si>
  <si>
    <t xml:space="preserve"> </t>
  </si>
  <si>
    <t>IOCL</t>
  </si>
  <si>
    <t>HP</t>
  </si>
  <si>
    <t>Pankaja Hp Fuel Center</t>
  </si>
  <si>
    <t>Bill No</t>
  </si>
  <si>
    <t>Shree Veera Prathap Fuels</t>
  </si>
  <si>
    <t>Sree Veerabhadreshwara Service Station</t>
  </si>
  <si>
    <t>Priyanka Petroleum</t>
  </si>
  <si>
    <t>Shivaganga Service Station (BPCL)</t>
  </si>
  <si>
    <t>Chellakere-PKG-09</t>
  </si>
  <si>
    <t>Tumcos Fuel Station</t>
  </si>
  <si>
    <t>Date of payment</t>
  </si>
  <si>
    <t>Shiri Shva Petroluem</t>
  </si>
  <si>
    <t>Start</t>
  </si>
  <si>
    <t>d</t>
  </si>
  <si>
    <t>Jai Bajarang Sarvo Senter Bodwad</t>
  </si>
  <si>
    <t>01.2.2026</t>
  </si>
  <si>
    <t>02.2.2026</t>
  </si>
  <si>
    <t>12.2.2026</t>
  </si>
  <si>
    <t>N. L. GANDHI &amp; CO.</t>
  </si>
  <si>
    <t>GULSHAN AUTOMOBILES, GONDKHAIRI</t>
  </si>
  <si>
    <t>13.2.2026</t>
  </si>
  <si>
    <t>14.2.2026</t>
  </si>
  <si>
    <t>15.2.2026</t>
  </si>
  <si>
    <t>16.2.2026</t>
  </si>
  <si>
    <t>17.2.2026</t>
  </si>
  <si>
    <t>18.2.2026</t>
  </si>
  <si>
    <t>26.2.2026</t>
  </si>
  <si>
    <t>Agrawal Petrol Pump</t>
  </si>
  <si>
    <t>03.2.2026</t>
  </si>
  <si>
    <t>04.2.2026</t>
  </si>
  <si>
    <t>05.2.2026</t>
  </si>
  <si>
    <t>06.2.2026</t>
  </si>
  <si>
    <t>07.2.2026</t>
  </si>
  <si>
    <t>09.2.2026</t>
  </si>
  <si>
    <t>10.2.2026</t>
  </si>
  <si>
    <t>11.2.2026</t>
  </si>
  <si>
    <t>19.2.2026</t>
  </si>
  <si>
    <t>20.2.2026</t>
  </si>
  <si>
    <t>21.2.2026</t>
  </si>
  <si>
    <t>22.2.2026</t>
  </si>
  <si>
    <t>23.2.2026</t>
  </si>
  <si>
    <t>24.2.2026</t>
  </si>
  <si>
    <t>25.2.2026</t>
  </si>
  <si>
    <t>27.2.2026</t>
  </si>
  <si>
    <t>28.2.2026</t>
  </si>
  <si>
    <t>Lubricant Purchaged</t>
  </si>
  <si>
    <t xml:space="preserve"> Magavi fuel F/S</t>
  </si>
  <si>
    <t>.</t>
  </si>
  <si>
    <t xml:space="preserve">  Shree Siri Gowari petroliam</t>
  </si>
  <si>
    <t>raja bhakshi</t>
  </si>
  <si>
    <t>Shivaganga Petroleums</t>
  </si>
  <si>
    <t xml:space="preserve">T.R. Associates </t>
  </si>
  <si>
    <t xml:space="preserve"> S R PATIL</t>
  </si>
  <si>
    <t>1.02.2026</t>
  </si>
  <si>
    <t>IOCL Card</t>
  </si>
  <si>
    <t>2.02.2026</t>
  </si>
  <si>
    <t>3.02.2026</t>
  </si>
  <si>
    <t>4.02.2026</t>
  </si>
  <si>
    <t>6.02.2026</t>
  </si>
  <si>
    <t>13.02.2026</t>
  </si>
  <si>
    <t>14.02.2026</t>
  </si>
  <si>
    <t>16.02.2026</t>
  </si>
  <si>
    <t>22.02.2026</t>
  </si>
  <si>
    <t>24.02.2026</t>
  </si>
  <si>
    <t>27.02.2026</t>
  </si>
  <si>
    <t>07.02.2026</t>
  </si>
  <si>
    <t>08.02.2026</t>
  </si>
  <si>
    <t>10.02.2026</t>
  </si>
  <si>
    <t>23.02.2026</t>
  </si>
  <si>
    <t>03.02.2026</t>
  </si>
  <si>
    <t>04.02.2026</t>
  </si>
  <si>
    <t>`</t>
  </si>
  <si>
    <t>06.02.2026</t>
  </si>
  <si>
    <t>iocl</t>
  </si>
  <si>
    <t>hpcl</t>
  </si>
  <si>
    <t>BPCL Card Ledger</t>
  </si>
  <si>
    <t>Petrol Bunk Name</t>
  </si>
  <si>
    <t>Card No</t>
  </si>
  <si>
    <t>Recharge Amount</t>
  </si>
  <si>
    <t>Redeem</t>
  </si>
  <si>
    <t>SRI SATYA DATTHA APARNA AGENCI BHARAT PETROLEUM DEALERS</t>
  </si>
  <si>
    <t>FC8000207659</t>
  </si>
  <si>
    <t>KUMARA KRUPA SERVICE STATION BHARAT PETROLEUM DEALERS</t>
  </si>
  <si>
    <t>BP-LALLACHERUVU BHARAT PETROLEUM DEALERS</t>
  </si>
  <si>
    <t>MAGAVI CITY FUELS BHARAT PETROLEUM DEALERS</t>
  </si>
  <si>
    <t>FC8000207650</t>
  </si>
  <si>
    <t>PRIYANKA PETROLEUM BHARAT PETROLEUM DEALERS</t>
  </si>
  <si>
    <t>SHIVAGANGA SERVICE STATION BHARAT PETROLEUM DEALERS</t>
  </si>
  <si>
    <t>FC3450698863</t>
  </si>
  <si>
    <t>SREE VEERABHADRESHWARA SER.STA BHARAT PETROLEUM DEALERS</t>
  </si>
  <si>
    <t>T. R. ASSOCIATES BHARAT PETROLEUM DEALERS</t>
  </si>
  <si>
    <t>FC3450698868</t>
  </si>
  <si>
    <t>V.V.VARDE BHARAT PETROLEUM DEALERS</t>
  </si>
  <si>
    <t>FC8000207649</t>
  </si>
  <si>
    <t>VIJAYA BHARAT FUEL &amp; SERVICES BHARAT PETROLEUM DEALERS</t>
  </si>
  <si>
    <t>SAI PRIYA FILLING STATION BHARAT PETROLEUM DEALERS</t>
  </si>
  <si>
    <t>BP RUDRARAM BHARAT PETROLEUM DEALERS</t>
  </si>
  <si>
    <t>SANDHYA FUEL STATION BHARAT PETROLEUM DEALERS</t>
  </si>
  <si>
    <t>SRI VENKATESWARA ENTERPRISES BHARAT PETROLEUM DEALERS</t>
  </si>
  <si>
    <t>KESHAV PETROFIL BHARAT PETROLEUM DEALERS</t>
  </si>
  <si>
    <t>PAVAN PUTRA PETRO PARK BHARAT PETROLEUM DEALERS</t>
  </si>
  <si>
    <t>SHRI BRAHMANATH PETROLEUM BHARAT PETROLEUM DEALERS</t>
  </si>
  <si>
    <t>W SRINIVAS RAO &amp; SONS BHARAT PETROLEUM DEALERS</t>
  </si>
  <si>
    <t>SRI SATYA ENTERPRISES BHARAT PETROLEUM DEALERS</t>
  </si>
  <si>
    <t>BP-KAKINADA BHARAT PETROLEUM CORPORATION L</t>
  </si>
  <si>
    <t>V.M.MIRJANKAR (KUMTA) BHARAT PETROLEUM DEALERS</t>
  </si>
  <si>
    <t>P S NAGATHAN PETROLEUMS BHARAT PETROLEUM DEALERS</t>
  </si>
  <si>
    <t>SHREE SURYA SUTHA BHARAT PETROLEUM DEALERS</t>
  </si>
  <si>
    <t>CAPITAL FUELS BHARAT PETROLEUM DEALERS</t>
  </si>
  <si>
    <t>EARTH PAVERS (HYD) PRIVATE LIM BHARAT PETROLEUM DEALERS</t>
  </si>
  <si>
    <t>JVVR FILLING STATION BHARAT PETROLEUM DEALERS</t>
  </si>
  <si>
    <t>SHUBHODAYA FILLING STATION BHARAT PETROLEUM DEALERS</t>
  </si>
  <si>
    <t>TS POLICE WELFARE SOCIETY-TSPA BHARAT PETROLEUM DEALERS</t>
  </si>
  <si>
    <t>BP-NELAMANGALA BHARAT PETROLEUM CORPORATION L</t>
  </si>
  <si>
    <t>SHREE SAI SAMARTH PETROLEUM BHARAT PETROLEUM DEALERS</t>
  </si>
  <si>
    <t>FC0323247261</t>
  </si>
  <si>
    <t>SRI BALAJI AGENCIES BHARAT PETROLEUM DEALERS</t>
  </si>
  <si>
    <t>HPCL Card Ledger</t>
  </si>
  <si>
    <t>AJ PETROLINKS</t>
  </si>
  <si>
    <t>8200079004507062</t>
  </si>
  <si>
    <t>TUMCOS FUEL STATION</t>
  </si>
  <si>
    <t>MSHSD SHRI HEMAGIRI PETROLEUM</t>
  </si>
  <si>
    <t>8200079004507121</t>
  </si>
  <si>
    <t>SHIVA OIL TRADERS</t>
  </si>
  <si>
    <t>8200079004507138</t>
  </si>
  <si>
    <t>PANKAJA HP FUEL CENTRE</t>
  </si>
  <si>
    <t>8200079004507153</t>
  </si>
  <si>
    <t>JAMBGI AUTO SERVICE</t>
  </si>
  <si>
    <t>Munavali</t>
  </si>
  <si>
    <t>8200079005271387</t>
  </si>
  <si>
    <t>DIVYA LAXMI GANAPATHI AUTO SERVICES</t>
  </si>
  <si>
    <t>8200079000522057</t>
  </si>
  <si>
    <t>NATH SERVICE CENTRE</t>
  </si>
  <si>
    <t>8200079005271461</t>
  </si>
  <si>
    <t>SHRI SHIVA PETROLEUM</t>
  </si>
  <si>
    <t>MOSCO</t>
  </si>
  <si>
    <t>VIVEK PETROLEUM</t>
  </si>
  <si>
    <t>SRI DURGA BHAVANI FASALWADI</t>
  </si>
  <si>
    <t>GULSHAN AUTOMOBILES</t>
  </si>
  <si>
    <t>Jalgaon(Prashanth sir Using Sub C Car</t>
  </si>
  <si>
    <t>ISNAPUR SERVICE STATION</t>
  </si>
  <si>
    <t>Rettihali</t>
  </si>
  <si>
    <t>YG Gudda</t>
  </si>
  <si>
    <t>Munnavali</t>
  </si>
  <si>
    <t>MS HSD SWATANTRATA SENANI PETROLEUM</t>
  </si>
  <si>
    <t>Jalgaon(Narsinha)</t>
  </si>
  <si>
    <t>BHAGYALAXMI PETROLEUMS</t>
  </si>
  <si>
    <t>Satyanarayan Dandu (dharwad )</t>
  </si>
  <si>
    <t>Dharwad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</si>
</sst>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8"/>
      <color rgb="FF212529"/>
      <name val="Calibri"/>
    </font>
    <font>
      <sz val="8"/>
      <color rgb="FF000000"/>
      <name val="Inter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489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2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2" xfId="0" applyFont="1" applyBorder="1"/>
    <xf numFmtId="0" fontId="0" fillId="0" borderId="13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0" xfId="0" applyBorder="1"/>
    <xf numFmtId="0" fontId="13" fillId="3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8" xfId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0" borderId="12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7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2" xfId="0" applyNumberFormat="1" applyFont="1" applyBorder="1" applyAlignment="1">
      <alignment horizontal="center"/>
    </xf>
    <xf numFmtId="2" fontId="3" fillId="0" borderId="12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2" xfId="0" applyNumberFormat="1" applyFont="1" applyFill="1" applyBorder="1" applyAlignment="1">
      <alignment horizontal="center" vertical="center"/>
    </xf>
    <xf numFmtId="164" fontId="4" fillId="4" borderId="12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10" fillId="0" borderId="17" xfId="0" applyFont="1" applyBorder="1" applyAlignment="1">
      <alignment horizontal="center" vertical="center"/>
    </xf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/>
    <xf numFmtId="2" fontId="3" fillId="0" borderId="13" xfId="0" applyNumberFormat="1" applyFont="1" applyBorder="1" applyAlignment="1">
      <alignment horizontal="right"/>
    </xf>
    <xf numFmtId="43" fontId="5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3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1" xfId="0" applyFont="1" applyBorder="1"/>
    <xf numFmtId="2" fontId="4" fillId="0" borderId="0" xfId="0" applyNumberFormat="1" applyFont="1"/>
    <xf numFmtId="2" fontId="0" fillId="0" borderId="12" xfId="0" applyNumberFormat="1" applyBorder="1"/>
    <xf numFmtId="0" fontId="10" fillId="0" borderId="13" xfId="0" applyFont="1" applyBorder="1" applyAlignment="1">
      <alignment horizontal="center" vertical="center"/>
    </xf>
    <xf numFmtId="2" fontId="9" fillId="4" borderId="26" xfId="0" applyNumberFormat="1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164" fontId="3" fillId="0" borderId="13" xfId="1" applyFont="1" applyBorder="1" applyAlignment="1">
      <alignment vertical="center"/>
    </xf>
    <xf numFmtId="164" fontId="3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164" fontId="10" fillId="0" borderId="10" xfId="1" applyFont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0" xfId="0" applyNumberFormat="1" applyFont="1" applyBorder="1" applyAlignment="1">
      <alignment horizontal="center"/>
    </xf>
    <xf numFmtId="164" fontId="9" fillId="0" borderId="13" xfId="1" applyFont="1" applyBorder="1" applyAlignment="1">
      <alignment horizontal="center" vertical="center"/>
    </xf>
    <xf numFmtId="0" fontId="10" fillId="0" borderId="13" xfId="0" applyFont="1" applyBorder="1"/>
    <xf numFmtId="2" fontId="9" fillId="4" borderId="12" xfId="0" applyNumberFormat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2" xfId="1" applyNumberFormat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2" fontId="0" fillId="0" borderId="13" xfId="0" applyNumberFormat="1" applyBorder="1"/>
    <xf numFmtId="2" fontId="13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3" fillId="2" borderId="13" xfId="0" applyFont="1" applyFill="1" applyBorder="1" applyAlignment="1">
      <alignment horizontal="center" vertical="center" wrapText="1"/>
    </xf>
    <xf numFmtId="164" fontId="10" fillId="0" borderId="12" xfId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5" fontId="3" fillId="0" borderId="27" xfId="0" applyNumberFormat="1" applyFont="1" applyBorder="1" applyAlignment="1">
      <alignment horizontal="center"/>
    </xf>
    <xf numFmtId="0" fontId="0" fillId="0" borderId="21" xfId="0" applyBorder="1"/>
    <xf numFmtId="0" fontId="3" fillId="0" borderId="1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5" fontId="18" fillId="2" borderId="5" xfId="0" applyNumberFormat="1" applyFont="1" applyFill="1" applyBorder="1"/>
    <xf numFmtId="0" fontId="5" fillId="0" borderId="13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3" xfId="0" applyFont="1" applyBorder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0" xfId="1" applyFont="1" applyBorder="1" applyAlignment="1">
      <alignment vertical="center"/>
    </xf>
    <xf numFmtId="0" fontId="0" fillId="0" borderId="11" xfId="0" applyBorder="1"/>
    <xf numFmtId="164" fontId="10" fillId="0" borderId="8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18" xfId="1" applyFont="1" applyBorder="1" applyAlignment="1">
      <alignment horizontal="center" vertical="center"/>
    </xf>
    <xf numFmtId="164" fontId="10" fillId="0" borderId="24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2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5" fillId="0" borderId="5" xfId="0" applyNumberFormat="1" applyFon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3" fillId="0" borderId="11" xfId="0" applyFont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1" fontId="17" fillId="0" borderId="20" xfId="0" applyNumberFormat="1" applyFont="1" applyBorder="1" applyAlignment="1">
      <alignment vertical="center"/>
    </xf>
    <xf numFmtId="164" fontId="19" fillId="0" borderId="32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3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164" fontId="29" fillId="0" borderId="5" xfId="4" applyNumberFormat="1" applyBorder="1" applyAlignment="1">
      <alignment horizontal="center" vertical="center"/>
    </xf>
    <xf numFmtId="164" fontId="3" fillId="0" borderId="10" xfId="1" applyFont="1" applyBorder="1" applyAlignment="1">
      <alignment horizontal="center" vertical="top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2" fillId="6" borderId="13" xfId="0" applyFont="1" applyFill="1" applyBorder="1" applyAlignment="1">
      <alignment horizontal="right"/>
    </xf>
    <xf numFmtId="2" fontId="21" fillId="6" borderId="21" xfId="0" applyNumberFormat="1" applyFont="1" applyFill="1" applyBorder="1" applyAlignment="1">
      <alignment horizontal="right"/>
    </xf>
    <xf numFmtId="2" fontId="21" fillId="6" borderId="11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2" fontId="4" fillId="2" borderId="1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2" xfId="0" applyNumberFormat="1" applyFont="1" applyFill="1" applyBorder="1" applyAlignment="1">
      <alignment horizontal="center" vertical="center"/>
    </xf>
    <xf numFmtId="164" fontId="30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1" fillId="0" borderId="0" xfId="0" applyNumberFormat="1" applyFont="1"/>
    <xf numFmtId="2" fontId="13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2" fontId="0" fillId="2" borderId="11" xfId="0" applyNumberFormat="1" applyFill="1" applyBorder="1" applyAlignment="1">
      <alignment horizontal="right"/>
    </xf>
    <xf numFmtId="0" fontId="0" fillId="2" borderId="10" xfId="0" applyFill="1" applyBorder="1"/>
    <xf numFmtId="0" fontId="18" fillId="0" borderId="12" xfId="0" applyFont="1" applyBorder="1"/>
    <xf numFmtId="2" fontId="21" fillId="6" borderId="25" xfId="0" applyNumberFormat="1" applyFon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18" fillId="0" borderId="13" xfId="0" applyFont="1" applyBorder="1"/>
    <xf numFmtId="0" fontId="3" fillId="2" borderId="31" xfId="0" applyFont="1" applyFill="1" applyBorder="1"/>
    <xf numFmtId="2" fontId="0" fillId="0" borderId="24" xfId="0" applyNumberFormat="1" applyBorder="1" applyAlignment="1">
      <alignment horizontal="right"/>
    </xf>
    <xf numFmtId="0" fontId="18" fillId="0" borderId="11" xfId="0" applyFont="1" applyBorder="1"/>
    <xf numFmtId="0" fontId="18" fillId="2" borderId="13" xfId="0" applyFont="1" applyFill="1" applyBorder="1"/>
    <xf numFmtId="0" fontId="18" fillId="2" borderId="12" xfId="0" applyFont="1" applyFill="1" applyBorder="1"/>
    <xf numFmtId="166" fontId="30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30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18" fillId="0" borderId="0" xfId="0" applyFont="1"/>
    <xf numFmtId="2" fontId="0" fillId="2" borderId="13" xfId="0" applyNumberFormat="1" applyFill="1" applyBorder="1" applyAlignment="1">
      <alignment horizontal="right"/>
    </xf>
    <xf numFmtId="0" fontId="31" fillId="0" borderId="0" xfId="0" applyFont="1"/>
    <xf numFmtId="0" fontId="0" fillId="0" borderId="11" xfId="0" applyBorder="1" applyAlignment="1">
      <alignment horizontal="right"/>
    </xf>
    <xf numFmtId="0" fontId="0" fillId="0" borderId="24" xfId="0" applyBorder="1" applyAlignment="1">
      <alignment horizontal="right"/>
    </xf>
    <xf numFmtId="1" fontId="0" fillId="0" borderId="0" xfId="0" applyNumberFormat="1"/>
    <xf numFmtId="0" fontId="25" fillId="0" borderId="5" xfId="0" applyFont="1" applyBorder="1" applyAlignment="1">
      <alignment horizontal="center" vertical="center"/>
    </xf>
    <xf numFmtId="0" fontId="30" fillId="0" borderId="5" xfId="0" applyFont="1" applyBorder="1"/>
    <xf numFmtId="0" fontId="0" fillId="0" borderId="2" xfId="0" applyBorder="1" applyAlignment="1">
      <alignment horizontal="center" vertical="center"/>
    </xf>
    <xf numFmtId="0" fontId="18" fillId="0" borderId="33" xfId="0" applyFont="1" applyBorder="1"/>
    <xf numFmtId="15" fontId="18" fillId="2" borderId="10" xfId="0" applyNumberFormat="1" applyFont="1" applyFill="1" applyBorder="1"/>
    <xf numFmtId="164" fontId="3" fillId="0" borderId="10" xfId="0" applyNumberFormat="1" applyFont="1" applyBorder="1" applyAlignment="1">
      <alignment vertical="center"/>
    </xf>
    <xf numFmtId="166" fontId="3" fillId="0" borderId="13" xfId="0" applyNumberFormat="1" applyFont="1" applyBorder="1"/>
    <xf numFmtId="164" fontId="3" fillId="0" borderId="13" xfId="1" applyFont="1" applyBorder="1" applyAlignment="1">
      <alignment horizontal="center" vertical="top"/>
    </xf>
    <xf numFmtId="169" fontId="3" fillId="0" borderId="5" xfId="0" applyNumberFormat="1" applyFont="1" applyBorder="1" applyAlignment="1">
      <alignment vertical="center"/>
    </xf>
    <xf numFmtId="164" fontId="10" fillId="2" borderId="5" xfId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0" fontId="3" fillId="0" borderId="12" xfId="0" applyFont="1" applyBorder="1"/>
    <xf numFmtId="164" fontId="19" fillId="0" borderId="2" xfId="1" applyFont="1" applyBorder="1" applyAlignment="1">
      <alignment horizontal="center"/>
    </xf>
    <xf numFmtId="16" fontId="0" fillId="0" borderId="0" xfId="0" applyNumberFormat="1"/>
    <xf numFmtId="0" fontId="18" fillId="0" borderId="5" xfId="0" applyFont="1" applyBorder="1" applyAlignment="1">
      <alignment wrapText="1"/>
    </xf>
    <xf numFmtId="2" fontId="0" fillId="2" borderId="33" xfId="0" applyNumberFormat="1" applyFill="1" applyBorder="1" applyAlignment="1">
      <alignment horizontal="right"/>
    </xf>
    <xf numFmtId="0" fontId="18" fillId="2" borderId="33" xfId="0" applyFont="1" applyFill="1" applyBorder="1"/>
    <xf numFmtId="0" fontId="27" fillId="0" borderId="11" xfId="0" applyFont="1" applyBorder="1"/>
    <xf numFmtId="0" fontId="27" fillId="10" borderId="0" xfId="0" applyFont="1" applyFill="1"/>
    <xf numFmtId="0" fontId="27" fillId="11" borderId="0" xfId="0" applyFont="1" applyFill="1"/>
    <xf numFmtId="0" fontId="33" fillId="0" borderId="5" xfId="0" applyFont="1" applyBorder="1"/>
    <xf numFmtId="0" fontId="3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4" fontId="32" fillId="0" borderId="5" xfId="0" applyNumberFormat="1" applyFont="1" applyBorder="1" applyAlignment="1">
      <alignment horizontal="center"/>
    </xf>
    <xf numFmtId="0" fontId="18" fillId="2" borderId="11" xfId="0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0" fillId="10" borderId="5" xfId="0" applyFill="1" applyBorder="1"/>
    <xf numFmtId="0" fontId="14" fillId="5" borderId="9" xfId="0" applyFont="1" applyFill="1" applyBorder="1" applyAlignment="1">
      <alignment horizontal="center" vertical="center"/>
    </xf>
    <xf numFmtId="4" fontId="18" fillId="0" borderId="11" xfId="0" applyNumberFormat="1" applyFont="1" applyBorder="1"/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9" fillId="4" borderId="42" xfId="0" applyNumberFormat="1" applyFont="1" applyFill="1" applyBorder="1" applyAlignment="1">
      <alignment horizontal="center" vertical="center"/>
    </xf>
    <xf numFmtId="164" fontId="9" fillId="4" borderId="42" xfId="1" applyFont="1" applyFill="1" applyBorder="1" applyAlignment="1">
      <alignment horizontal="center" vertical="center"/>
    </xf>
    <xf numFmtId="164" fontId="9" fillId="4" borderId="43" xfId="1" applyFont="1" applyFill="1" applyBorder="1" applyAlignment="1">
      <alignment horizontal="center" vertical="center"/>
    </xf>
    <xf numFmtId="164" fontId="9" fillId="4" borderId="44" xfId="1" applyFont="1" applyFill="1" applyBorder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7" fillId="0" borderId="0" xfId="0" applyFont="1"/>
    <xf numFmtId="15" fontId="18" fillId="2" borderId="27" xfId="0" applyNumberFormat="1" applyFont="1" applyFill="1" applyBorder="1"/>
    <xf numFmtId="2" fontId="0" fillId="10" borderId="5" xfId="0" applyNumberFormat="1" applyFill="1" applyBorder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18" fillId="0" borderId="10" xfId="0" applyFont="1" applyBorder="1"/>
    <xf numFmtId="0" fontId="18" fillId="2" borderId="10" xfId="0" applyFont="1" applyFill="1" applyBorder="1"/>
    <xf numFmtId="0" fontId="18" fillId="0" borderId="27" xfId="0" applyFont="1" applyBorder="1"/>
    <xf numFmtId="0" fontId="0" fillId="2" borderId="0" xfId="0" applyFill="1"/>
    <xf numFmtId="2" fontId="34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4" fillId="12" borderId="5" xfId="0" applyFont="1" applyFill="1" applyBorder="1" applyAlignment="1">
      <alignment horizontal="center" vertical="center" wrapText="1"/>
    </xf>
    <xf numFmtId="2" fontId="34" fillId="12" borderId="5" xfId="0" applyNumberFormat="1" applyFont="1" applyFill="1" applyBorder="1" applyAlignment="1">
      <alignment horizontal="left" vertical="center" wrapText="1"/>
    </xf>
    <xf numFmtId="2" fontId="34" fillId="12" borderId="5" xfId="0" applyNumberFormat="1" applyFont="1" applyFill="1" applyBorder="1" applyAlignment="1">
      <alignment horizontal="center" vertical="center" wrapText="1"/>
    </xf>
    <xf numFmtId="2" fontId="34" fillId="12" borderId="5" xfId="0" applyNumberFormat="1" applyFont="1" applyFill="1" applyBorder="1" applyAlignment="1">
      <alignment horizontal="center" vertical="center"/>
    </xf>
    <xf numFmtId="14" fontId="34" fillId="12" borderId="5" xfId="0" applyNumberFormat="1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 wrapText="1"/>
    </xf>
    <xf numFmtId="2" fontId="34" fillId="2" borderId="5" xfId="0" applyNumberFormat="1" applyFont="1" applyFill="1" applyBorder="1" applyAlignment="1">
      <alignment horizontal="left" vertical="center" wrapText="1"/>
    </xf>
    <xf numFmtId="2" fontId="34" fillId="2" borderId="5" xfId="0" applyNumberFormat="1" applyFont="1" applyFill="1" applyBorder="1" applyAlignment="1">
      <alignment horizontal="center" vertical="center" wrapText="1"/>
    </xf>
    <xf numFmtId="2" fontId="37" fillId="2" borderId="5" xfId="0" applyNumberFormat="1" applyFont="1" applyFill="1" applyBorder="1" applyAlignment="1">
      <alignment horizontal="center" vertical="center" wrapText="1"/>
    </xf>
    <xf numFmtId="14" fontId="34" fillId="2" borderId="5" xfId="0" applyNumberFormat="1" applyFont="1" applyFill="1" applyBorder="1" applyAlignment="1">
      <alignment horizontal="center" vertical="center"/>
    </xf>
    <xf numFmtId="0" fontId="36" fillId="7" borderId="5" xfId="0" applyFont="1" applyFill="1" applyBorder="1"/>
    <xf numFmtId="0" fontId="36" fillId="6" borderId="5" xfId="0" applyFont="1" applyFill="1" applyBorder="1"/>
    <xf numFmtId="171" fontId="18" fillId="0" borderId="5" xfId="0" applyNumberFormat="1" applyFont="1" applyBorder="1"/>
    <xf numFmtId="0" fontId="36" fillId="9" borderId="5" xfId="0" applyFont="1" applyFill="1" applyBorder="1"/>
    <xf numFmtId="0" fontId="18" fillId="0" borderId="21" xfId="0" applyFont="1" applyBorder="1"/>
    <xf numFmtId="4" fontId="0" fillId="0" borderId="5" xfId="0" applyNumberFormat="1" applyBorder="1" applyAlignment="1">
      <alignment horizontal="right"/>
    </xf>
    <xf numFmtId="2" fontId="5" fillId="0" borderId="13" xfId="0" applyNumberFormat="1" applyFont="1" applyBorder="1"/>
    <xf numFmtId="0" fontId="3" fillId="0" borderId="23" xfId="0" applyFont="1" applyBorder="1"/>
    <xf numFmtId="0" fontId="3" fillId="0" borderId="5" xfId="0" quotePrefix="1" applyFont="1" applyBorder="1" applyAlignment="1">
      <alignment horizontal="center"/>
    </xf>
    <xf numFmtId="2" fontId="5" fillId="0" borderId="24" xfId="0" applyNumberFormat="1" applyFont="1" applyBorder="1"/>
    <xf numFmtId="0" fontId="38" fillId="0" borderId="5" xfId="0" applyFont="1" applyBorder="1"/>
    <xf numFmtId="0" fontId="3" fillId="0" borderId="5" xfId="0" quotePrefix="1" applyFont="1" applyBorder="1"/>
    <xf numFmtId="0" fontId="3" fillId="0" borderId="24" xfId="0" applyFont="1" applyBorder="1"/>
    <xf numFmtId="1" fontId="3" fillId="0" borderId="5" xfId="0" quotePrefix="1" applyNumberFormat="1" applyFont="1" applyBorder="1"/>
    <xf numFmtId="0" fontId="3" fillId="0" borderId="13" xfId="0" quotePrefix="1" applyFont="1" applyBorder="1"/>
    <xf numFmtId="0" fontId="39" fillId="0" borderId="0" xfId="0" applyFont="1"/>
    <xf numFmtId="171" fontId="5" fillId="0" borderId="12" xfId="0" applyNumberFormat="1" applyFont="1" applyBorder="1"/>
    <xf numFmtId="2" fontId="0" fillId="0" borderId="10" xfId="0" applyNumberFormat="1" applyBorder="1" applyAlignment="1">
      <alignment horizontal="right"/>
    </xf>
    <xf numFmtId="2" fontId="0" fillId="0" borderId="23" xfId="0" applyNumberFormat="1" applyBorder="1" applyAlignment="1">
      <alignment horizontal="right"/>
    </xf>
    <xf numFmtId="2" fontId="0" fillId="0" borderId="45" xfId="0" applyNumberFormat="1" applyBorder="1" applyAlignment="1">
      <alignment horizontal="right"/>
    </xf>
    <xf numFmtId="2" fontId="0" fillId="0" borderId="40" xfId="0" applyNumberFormat="1" applyBorder="1" applyAlignment="1">
      <alignment horizontal="right"/>
    </xf>
    <xf numFmtId="0" fontId="18" fillId="2" borderId="21" xfId="0" applyFont="1" applyFill="1" applyBorder="1"/>
    <xf numFmtId="0" fontId="18" fillId="0" borderId="41" xfId="0" applyFont="1" applyBorder="1"/>
    <xf numFmtId="0" fontId="40" fillId="0" borderId="5" xfId="0" applyFont="1" applyBorder="1"/>
    <xf numFmtId="15" fontId="18" fillId="2" borderId="23" xfId="0" applyNumberFormat="1" applyFont="1" applyFill="1" applyBorder="1"/>
    <xf numFmtId="0" fontId="18" fillId="0" borderId="23" xfId="0" applyFont="1" applyBorder="1"/>
    <xf numFmtId="166" fontId="30" fillId="0" borderId="5" xfId="0" applyNumberFormat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/>
    </xf>
    <xf numFmtId="0" fontId="3" fillId="0" borderId="12" xfId="0" quotePrefix="1" applyFont="1" applyBorder="1"/>
    <xf numFmtId="2" fontId="5" fillId="0" borderId="5" xfId="0" applyNumberFormat="1" applyFont="1" applyBorder="1"/>
    <xf numFmtId="0" fontId="3" fillId="0" borderId="24" xfId="0" quotePrefix="1" applyFont="1" applyBorder="1" applyAlignment="1">
      <alignment horizontal="center"/>
    </xf>
    <xf numFmtId="0" fontId="3" fillId="0" borderId="46" xfId="0" applyFont="1" applyBorder="1"/>
    <xf numFmtId="164" fontId="10" fillId="0" borderId="33" xfId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164" fontId="10" fillId="0" borderId="13" xfId="1" applyFont="1" applyBorder="1" applyAlignment="1">
      <alignment horizontal="center" vertical="center"/>
    </xf>
    <xf numFmtId="0" fontId="25" fillId="0" borderId="13" xfId="0" applyFont="1" applyBorder="1"/>
    <xf numFmtId="0" fontId="4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2" fontId="34" fillId="12" borderId="5" xfId="0" applyNumberFormat="1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4" fillId="5" borderId="4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2" fontId="14" fillId="5" borderId="21" xfId="0" applyNumberFormat="1" applyFont="1" applyFill="1" applyBorder="1" applyAlignment="1">
      <alignment horizontal="center" vertical="center"/>
    </xf>
    <xf numFmtId="2" fontId="14" fillId="5" borderId="11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3" fontId="4" fillId="2" borderId="10" xfId="0" applyNumberFormat="1" applyFont="1" applyFill="1" applyBorder="1" applyAlignment="1">
      <alignment horizontal="center" vertical="center"/>
    </xf>
    <xf numFmtId="43" fontId="4" fillId="2" borderId="11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ECDA2E53-E796-4FA2-B0EA-83016F93297E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8" dT="2025-12-26T05:17:28.75" personId="{ECDA2E53-E796-4FA2-B0EA-83016F93297E}" id="{4E9CF956-EFA3-4175-A59C-0ACB55EBD985}">
    <text>Civet:
Hydraulic Oil VG 68 - 26 Ltr</text>
  </threadedComment>
</ThreadedComment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74"/>
  <sheetViews>
    <sheetView workbookViewId="0">
      <selection activeCell="A9" sqref="A9:XFD9"/>
    </sheetView>
  </sheetViews>
  <sheetFormatPr defaultColWidth="8.28515625" defaultRowHeight="15.75"/>
  <cols>
    <col min="1" max="1" width="8.28515625" style="276"/>
    <col min="2" max="2" width="25" style="276" customWidth="1"/>
    <col min="3" max="3" width="34.5703125" style="276" bestFit="1" customWidth="1"/>
    <col min="4" max="4" width="13.5703125" style="276" bestFit="1" customWidth="1"/>
    <col min="5" max="5" width="15.42578125" style="276" customWidth="1"/>
    <col min="6" max="6" width="14.5703125" style="276" customWidth="1"/>
    <col min="7" max="7" width="16.5703125" style="276" customWidth="1"/>
    <col min="8" max="8" width="23.5703125" style="276" customWidth="1"/>
    <col min="9" max="9" width="17.42578125" style="276" customWidth="1"/>
    <col min="10" max="10" width="16.7109375" style="276" customWidth="1"/>
    <col min="11" max="11" width="20.42578125" style="276" customWidth="1"/>
    <col min="12" max="12" width="22.7109375" style="276" customWidth="1"/>
    <col min="13" max="13" width="16.85546875" style="276" customWidth="1"/>
    <col min="14" max="16384" width="8.28515625" style="276"/>
  </cols>
  <sheetData>
    <row r="1" spans="1:11">
      <c r="A1" s="272" t="s">
        <v>0</v>
      </c>
      <c r="B1" s="273" t="s">
        <v>1</v>
      </c>
      <c r="C1" s="273" t="s">
        <v>2</v>
      </c>
      <c r="D1" s="274" t="s">
        <v>3</v>
      </c>
      <c r="E1" s="274" t="s">
        <v>4</v>
      </c>
      <c r="F1" s="274" t="s">
        <v>5</v>
      </c>
      <c r="G1" s="274" t="s">
        <v>6</v>
      </c>
      <c r="H1" s="274" t="s">
        <v>7</v>
      </c>
      <c r="I1" s="274" t="s">
        <v>8</v>
      </c>
      <c r="J1" s="274" t="s">
        <v>9</v>
      </c>
      <c r="K1" s="275" t="s">
        <v>10</v>
      </c>
    </row>
    <row r="2" spans="1:11">
      <c r="A2" s="357">
        <v>1</v>
      </c>
      <c r="B2" s="277" t="s">
        <v>11</v>
      </c>
      <c r="C2" s="277" t="s">
        <v>12</v>
      </c>
      <c r="D2" s="278">
        <f>+'Khammam-1'!E38</f>
        <v>87280.639999999999</v>
      </c>
      <c r="E2" s="278">
        <f>+'Khammam-1'!G38</f>
        <v>8351011.6352000004</v>
      </c>
      <c r="F2" s="278">
        <f>+'Khammam-1'!H38</f>
        <v>455</v>
      </c>
      <c r="G2" s="278">
        <f>+'Khammam-1'!J38</f>
        <v>48894.299999999996</v>
      </c>
      <c r="H2" s="278">
        <f>E2+G2</f>
        <v>8399905.9352000002</v>
      </c>
      <c r="I2" s="278">
        <f>+'Khammam-1'!K3</f>
        <v>2836060.9516999964</v>
      </c>
      <c r="J2" s="278">
        <f>+'Khammam-1'!L38</f>
        <v>2998712</v>
      </c>
      <c r="K2" s="358">
        <f>H2+I2-J2</f>
        <v>8237254.8868999965</v>
      </c>
    </row>
    <row r="3" spans="1:11">
      <c r="A3" s="357">
        <v>2</v>
      </c>
      <c r="B3" s="277" t="s">
        <v>13</v>
      </c>
      <c r="C3" s="277" t="s">
        <v>14</v>
      </c>
      <c r="D3" s="278">
        <f>+'Khammam-2'!E35</f>
        <v>81063.05</v>
      </c>
      <c r="E3" s="278">
        <f>+'Khammam-2'!G35</f>
        <v>7758252.0154999997</v>
      </c>
      <c r="F3" s="278">
        <f>+'Khammam-2'!H35</f>
        <v>630</v>
      </c>
      <c r="G3" s="278">
        <f>+'Khammam-2'!J35</f>
        <v>67714.350000000006</v>
      </c>
      <c r="H3" s="278">
        <f>E3+G3</f>
        <v>7825966.3654999994</v>
      </c>
      <c r="I3" s="278">
        <f>+'Khammam-2'!K3</f>
        <v>4435776.8029000005</v>
      </c>
      <c r="J3" s="278">
        <f>+'Khammam-2'!L35</f>
        <v>6705886</v>
      </c>
      <c r="K3" s="358">
        <f>H3+I3-J3</f>
        <v>5555857.1684000008</v>
      </c>
    </row>
    <row r="4" spans="1:11">
      <c r="A4" s="357">
        <v>3</v>
      </c>
      <c r="B4" s="277" t="s">
        <v>15</v>
      </c>
      <c r="C4" s="277" t="s">
        <v>16</v>
      </c>
      <c r="D4" s="278">
        <f>+'Khammam-3'!E35</f>
        <v>101973</v>
      </c>
      <c r="E4" s="278">
        <f>+'Khammam-3'!G35</f>
        <v>9656843.0999999996</v>
      </c>
      <c r="F4" s="278">
        <f>+'Khammam-3'!H35</f>
        <v>0</v>
      </c>
      <c r="G4" s="278">
        <f>+'Khammam-3'!J35</f>
        <v>0</v>
      </c>
      <c r="H4" s="278">
        <f>E4+G4</f>
        <v>9656843.0999999996</v>
      </c>
      <c r="I4" s="278">
        <f>+'Khammam-3'!M3</f>
        <v>120400</v>
      </c>
      <c r="J4" s="278">
        <f>+'Khammam-3'!L35</f>
        <v>8637100</v>
      </c>
      <c r="K4" s="358">
        <f>H4+I4-J4</f>
        <v>1140143.0999999996</v>
      </c>
    </row>
    <row r="5" spans="1:11">
      <c r="A5" s="357">
        <v>4</v>
      </c>
      <c r="B5" s="277" t="s">
        <v>17</v>
      </c>
      <c r="C5" s="277" t="s">
        <v>16</v>
      </c>
      <c r="D5" s="278">
        <f>+'Jadcherla-3'!E35</f>
        <v>25225</v>
      </c>
      <c r="E5" s="278">
        <f>+'Jadcherla-3'!G35</f>
        <v>2407221.75</v>
      </c>
      <c r="F5" s="278">
        <f>+'Jadcherla-3'!H35</f>
        <v>0</v>
      </c>
      <c r="G5" s="278">
        <f>+'Jadcherla-3'!J35</f>
        <v>0</v>
      </c>
      <c r="H5" s="278">
        <f>E5+G5</f>
        <v>2407221.75</v>
      </c>
      <c r="I5" s="278">
        <f>+'Jadcherla-3'!M3</f>
        <v>299056.5</v>
      </c>
      <c r="J5" s="278">
        <f>+'Jadcherla-3'!L35</f>
        <v>1680000</v>
      </c>
      <c r="K5" s="358">
        <f>H5+I5-J5</f>
        <v>1026278.25</v>
      </c>
    </row>
    <row r="6" spans="1:11">
      <c r="A6" s="357">
        <v>5</v>
      </c>
      <c r="B6" s="277" t="s">
        <v>18</v>
      </c>
      <c r="C6" s="277" t="s">
        <v>19</v>
      </c>
      <c r="D6" s="278">
        <f>+'Jadcherla-4'!E35</f>
        <v>0</v>
      </c>
      <c r="E6" s="278">
        <f>+'Jadcherla-4'!G35</f>
        <v>0</v>
      </c>
      <c r="F6" s="278">
        <f>+'Jadcherla-4'!H35</f>
        <v>180</v>
      </c>
      <c r="G6" s="278">
        <f>+'Jadcherla-4'!J35</f>
        <v>19458</v>
      </c>
      <c r="H6" s="278">
        <f>E6+G6</f>
        <v>19458</v>
      </c>
      <c r="I6" s="278">
        <f>+'Jadcherla-4'!M3</f>
        <v>5405</v>
      </c>
      <c r="J6" s="278">
        <f>+'Jadcherla-4'!L35</f>
        <v>0</v>
      </c>
      <c r="K6" s="358">
        <f>H6+I6-J6</f>
        <v>24863</v>
      </c>
    </row>
    <row r="7" spans="1:11">
      <c r="A7" s="357">
        <v>6</v>
      </c>
      <c r="B7" s="277" t="s">
        <v>20</v>
      </c>
      <c r="C7" s="277" t="s">
        <v>21</v>
      </c>
      <c r="D7" s="278">
        <f>+Dindi!E35</f>
        <v>0</v>
      </c>
      <c r="E7" s="278">
        <f>+Dindi!G35</f>
        <v>0</v>
      </c>
      <c r="F7" s="278">
        <f>+Dindi!H35</f>
        <v>0</v>
      </c>
      <c r="G7" s="278">
        <f>+Dindi!J35</f>
        <v>0</v>
      </c>
      <c r="H7" s="278">
        <f>E7+G7</f>
        <v>0</v>
      </c>
      <c r="I7" s="278">
        <f>+Dindi!M3</f>
        <v>0</v>
      </c>
      <c r="J7" s="278">
        <f>+Dindi!L35</f>
        <v>0</v>
      </c>
      <c r="K7" s="358">
        <f t="shared" ref="K7:K48" si="0">H7+I7-J7</f>
        <v>0</v>
      </c>
    </row>
    <row r="8" spans="1:11">
      <c r="A8" s="357">
        <v>7</v>
      </c>
      <c r="B8" s="277" t="s">
        <v>22</v>
      </c>
      <c r="C8" s="277" t="s">
        <v>23</v>
      </c>
      <c r="D8" s="278">
        <f>+Devarakhadra!E35</f>
        <v>10</v>
      </c>
      <c r="E8" s="278">
        <f>+Devarakhadra!G35</f>
        <v>971</v>
      </c>
      <c r="F8" s="278">
        <f>+Devarakhadra!H35</f>
        <v>13</v>
      </c>
      <c r="G8" s="278">
        <f>+Devarakhadra!J35</f>
        <v>1414.79</v>
      </c>
      <c r="H8" s="278">
        <f>E8+G8</f>
        <v>2385.79</v>
      </c>
      <c r="I8" s="278">
        <f>+Devarakhadra!M3</f>
        <v>5856.2923999998902</v>
      </c>
      <c r="J8" s="278">
        <f>+Devarakhadra!L35</f>
        <v>8242.08</v>
      </c>
      <c r="K8" s="358">
        <f>H8+I8-J8</f>
        <v>2.3999998902581865E-3</v>
      </c>
    </row>
    <row r="9" spans="1:11">
      <c r="A9" s="357">
        <v>8</v>
      </c>
      <c r="B9" s="277" t="s">
        <v>24</v>
      </c>
      <c r="C9" s="277" t="s">
        <v>25</v>
      </c>
      <c r="D9" s="278">
        <f>+' Sanga reddy-1'!E35</f>
        <v>1553.08</v>
      </c>
      <c r="E9" s="278">
        <f>+' Sanga reddy-1'!G35</f>
        <v>149654.78880000001</v>
      </c>
      <c r="F9" s="278">
        <f>+' Sanga reddy-1'!H35</f>
        <v>19</v>
      </c>
      <c r="G9" s="278">
        <f>+' Sanga reddy-1'!J35</f>
        <v>2055.23</v>
      </c>
      <c r="H9" s="278">
        <f>E9+G9</f>
        <v>151710.01880000002</v>
      </c>
      <c r="I9" s="278">
        <f>+' Sanga reddy-1'!M3</f>
        <v>0</v>
      </c>
      <c r="J9" s="278">
        <f>+' Sanga reddy-1'!L35</f>
        <v>0</v>
      </c>
      <c r="K9" s="358">
        <f t="shared" si="0"/>
        <v>151710.01880000002</v>
      </c>
    </row>
    <row r="10" spans="1:11">
      <c r="A10" s="357">
        <v>9</v>
      </c>
      <c r="B10" s="277" t="s">
        <v>26</v>
      </c>
      <c r="C10" s="277"/>
      <c r="D10" s="278">
        <f>+'Madana palli'!E35</f>
        <v>215.39</v>
      </c>
      <c r="E10" s="278">
        <f>+'Madana palli'!G35</f>
        <v>21057.447700000001</v>
      </c>
      <c r="F10" s="278">
        <f>+'Madana palli'!H35</f>
        <v>23.330000000000002</v>
      </c>
      <c r="G10" s="278">
        <f>+'Madana palli'!J35</f>
        <v>2557.2013000000002</v>
      </c>
      <c r="H10" s="278">
        <f>E10+G10</f>
        <v>23614.649000000001</v>
      </c>
      <c r="I10" s="278">
        <f>+'Madana palli'!M3</f>
        <v>0</v>
      </c>
      <c r="J10" s="278">
        <f>+'Madana palli'!L35</f>
        <v>23614.649000000001</v>
      </c>
      <c r="K10" s="358">
        <f t="shared" si="0"/>
        <v>0</v>
      </c>
    </row>
    <row r="11" spans="1:11">
      <c r="A11" s="357">
        <v>10</v>
      </c>
      <c r="B11" s="277" t="s">
        <v>27</v>
      </c>
      <c r="C11" s="277" t="s">
        <v>28</v>
      </c>
      <c r="D11" s="278">
        <f>+Amalapuram!E38</f>
        <v>530.07000000000005</v>
      </c>
      <c r="E11" s="278">
        <f>+Amalapuram!G38</f>
        <v>49919.953600000015</v>
      </c>
      <c r="F11" s="278">
        <f>+Amalapuram!H38</f>
        <v>171.5</v>
      </c>
      <c r="G11" s="278">
        <f>+Amalapuram!J38</f>
        <v>18448.050000000003</v>
      </c>
      <c r="H11" s="278">
        <f>E11+G11</f>
        <v>68368.003600000025</v>
      </c>
      <c r="I11" s="278">
        <f>+Amalapuram!M3</f>
        <v>0</v>
      </c>
      <c r="J11" s="278">
        <f>+Amalapuram!L38</f>
        <v>68366.97</v>
      </c>
      <c r="K11" s="358">
        <f t="shared" si="0"/>
        <v>1.0336000000243075</v>
      </c>
    </row>
    <row r="12" spans="1:11">
      <c r="A12" s="357">
        <v>11</v>
      </c>
      <c r="B12" s="277" t="s">
        <v>29</v>
      </c>
      <c r="C12" s="277" t="s">
        <v>30</v>
      </c>
      <c r="D12" s="278">
        <f>+'YG Gudda-2'!E36</f>
        <v>12500</v>
      </c>
      <c r="E12" s="278">
        <f>+'YG Gudda-2'!G36</f>
        <v>1141625</v>
      </c>
      <c r="F12" s="278">
        <f>+'YG Gudda-2'!H36</f>
        <v>385</v>
      </c>
      <c r="G12" s="278">
        <f>+'YG Gudda-2'!J36</f>
        <v>39758.949999999997</v>
      </c>
      <c r="H12" s="278">
        <f t="shared" ref="H12" si="1">E12+G12</f>
        <v>1181383.95</v>
      </c>
      <c r="I12" s="278">
        <f>+'YG Gudda-2'!M3</f>
        <v>478336.85290299996</v>
      </c>
      <c r="J12" s="278">
        <f>+'YG Gudda-2'!L36</f>
        <v>1128337</v>
      </c>
      <c r="K12" s="358">
        <f t="shared" si="0"/>
        <v>531383.8029029998</v>
      </c>
    </row>
    <row r="13" spans="1:11">
      <c r="A13" s="357">
        <v>12</v>
      </c>
      <c r="B13" s="277" t="s">
        <v>31</v>
      </c>
      <c r="C13" s="277" t="s">
        <v>32</v>
      </c>
      <c r="D13" s="278">
        <f>+Hosadurga!E35</f>
        <v>0</v>
      </c>
      <c r="E13" s="278">
        <f>+Hosadurga!G35</f>
        <v>0</v>
      </c>
      <c r="F13" s="278">
        <f>+Hosadurga!H35</f>
        <v>0</v>
      </c>
      <c r="G13" s="278">
        <f>+Hosadurga!J35</f>
        <v>0</v>
      </c>
      <c r="H13" s="278">
        <f t="shared" ref="H13:H48" si="2">E13+G13</f>
        <v>0</v>
      </c>
      <c r="I13" s="278">
        <f>+Hosadurga!K3</f>
        <v>2258.5999999999767</v>
      </c>
      <c r="J13" s="278">
        <f>+Hosadurga!L35</f>
        <v>2260</v>
      </c>
      <c r="K13" s="358">
        <f t="shared" si="0"/>
        <v>-1.4000000000232831</v>
      </c>
    </row>
    <row r="14" spans="1:11">
      <c r="A14" s="357">
        <v>13</v>
      </c>
      <c r="B14" s="277" t="s">
        <v>33</v>
      </c>
      <c r="C14" s="277" t="s">
        <v>34</v>
      </c>
      <c r="D14" s="278">
        <f>+'Hosadurga -2'!E35</f>
        <v>7300</v>
      </c>
      <c r="E14" s="278">
        <f>+'Hosadurga -2'!G35</f>
        <v>668315</v>
      </c>
      <c r="F14" s="278">
        <f>+'Hosadurga -2'!H35</f>
        <v>280</v>
      </c>
      <c r="G14" s="278">
        <f>+'Hosadurga -2'!J35</f>
        <v>29044.400000000001</v>
      </c>
      <c r="H14" s="278">
        <f>+'Hosadurga -2'!K35</f>
        <v>697359.4</v>
      </c>
      <c r="I14" s="278">
        <f>+'Hosadurga -2'!K3</f>
        <v>325898.19690000033</v>
      </c>
      <c r="J14" s="278">
        <f>+'Hosadurga -2'!L35</f>
        <v>825898.19690000033</v>
      </c>
      <c r="K14" s="358">
        <f>H14+I14-J14</f>
        <v>197359.40000000002</v>
      </c>
    </row>
    <row r="15" spans="1:11" ht="15.75" customHeight="1">
      <c r="A15" s="357">
        <v>14</v>
      </c>
      <c r="B15" s="279" t="s">
        <v>35</v>
      </c>
      <c r="C15" s="279" t="s">
        <v>36</v>
      </c>
      <c r="D15" s="278">
        <f>+'Malebenur(KUWSDB)'!E37</f>
        <v>4200</v>
      </c>
      <c r="E15" s="278">
        <f>+'Malebenur(KUWSDB)'!G37</f>
        <v>387114</v>
      </c>
      <c r="F15" s="278">
        <f>+'Malebenur(KUWSDB)'!H37</f>
        <v>180</v>
      </c>
      <c r="G15" s="278">
        <f>+'Malebenur(KUWSDB)'!J37</f>
        <v>18725.400000000001</v>
      </c>
      <c r="H15" s="278">
        <f>E15+G15</f>
        <v>405839.4</v>
      </c>
      <c r="I15" s="278">
        <f>+'Malebenur(KUWSDB)'!K3</f>
        <v>213698.55969999993</v>
      </c>
      <c r="J15" s="278">
        <f>+'Malebenur(KUWSDB)'!L37</f>
        <v>560585</v>
      </c>
      <c r="K15" s="358">
        <f>H15+I15-J15</f>
        <v>58952.959700000007</v>
      </c>
    </row>
    <row r="16" spans="1:11">
      <c r="A16" s="357">
        <v>15</v>
      </c>
      <c r="B16" s="277" t="s">
        <v>37</v>
      </c>
      <c r="C16" s="277" t="s">
        <v>38</v>
      </c>
      <c r="D16" s="278">
        <f>+Kadur!E35</f>
        <v>2500</v>
      </c>
      <c r="E16" s="278">
        <f>+Kadur!G35</f>
        <v>230375</v>
      </c>
      <c r="F16" s="278">
        <f>+Kadur!H35</f>
        <v>100</v>
      </c>
      <c r="G16" s="278">
        <f>+Kadur!J35</f>
        <v>10427</v>
      </c>
      <c r="H16" s="278">
        <f t="shared" si="2"/>
        <v>240802</v>
      </c>
      <c r="I16" s="278">
        <f>+Kadur!K3</f>
        <v>14627.030999999755</v>
      </c>
      <c r="J16" s="278">
        <f>+Kadur!L35</f>
        <v>14492</v>
      </c>
      <c r="K16" s="358">
        <f t="shared" si="0"/>
        <v>240937.03099999976</v>
      </c>
    </row>
    <row r="17" spans="1:11">
      <c r="A17" s="357">
        <v>16</v>
      </c>
      <c r="B17" s="277" t="s">
        <v>39</v>
      </c>
      <c r="C17" s="277" t="s">
        <v>40</v>
      </c>
      <c r="D17" s="278">
        <f>+'Hiriyur(VJNL)'!E35</f>
        <v>2400</v>
      </c>
      <c r="E17" s="278">
        <f>+'Hiriyur(VJNL)'!G35</f>
        <v>221424</v>
      </c>
      <c r="F17" s="278">
        <f>+'Hiriyur(VJNL)'!H35</f>
        <v>245</v>
      </c>
      <c r="G17" s="278">
        <f>+'Hiriyur(VJNL)'!J35</f>
        <v>25511.85</v>
      </c>
      <c r="H17" s="278">
        <f t="shared" si="2"/>
        <v>246935.85</v>
      </c>
      <c r="I17" s="278">
        <f>+'Hiriyur(VJNL)'!K3</f>
        <v>219486.1</v>
      </c>
      <c r="J17" s="278">
        <f>+'Hiriyur(VJNL)'!L35</f>
        <v>459486</v>
      </c>
      <c r="K17" s="358">
        <f t="shared" si="0"/>
        <v>6935.9500000000116</v>
      </c>
    </row>
    <row r="18" spans="1:11">
      <c r="A18" s="357">
        <v>17</v>
      </c>
      <c r="B18" s="277" t="s">
        <v>41</v>
      </c>
      <c r="C18" s="277" t="s">
        <v>42</v>
      </c>
      <c r="D18" s="278">
        <f>+'Chellakere -1'!E35</f>
        <v>5000</v>
      </c>
      <c r="E18" s="278">
        <f>+'Chellakere -1'!G35</f>
        <v>461150</v>
      </c>
      <c r="F18" s="278">
        <f>+'Chellakere -1'!H35</f>
        <v>195.04</v>
      </c>
      <c r="G18" s="278">
        <f>+'Chellakere -1'!J35</f>
        <v>20301.713599999999</v>
      </c>
      <c r="H18" s="278">
        <f t="shared" si="2"/>
        <v>481451.71360000002</v>
      </c>
      <c r="I18" s="278">
        <f>+'Chellakere -1'!K3</f>
        <v>161104.96360000002</v>
      </c>
      <c r="J18" s="278">
        <f>+'Chellakere -1'!L35</f>
        <v>373900</v>
      </c>
      <c r="K18" s="358">
        <f t="shared" si="0"/>
        <v>268656.67720000003</v>
      </c>
    </row>
    <row r="19" spans="1:11">
      <c r="A19" s="357">
        <v>18</v>
      </c>
      <c r="B19" s="277" t="s">
        <v>43</v>
      </c>
      <c r="C19" s="352"/>
      <c r="D19" s="278">
        <f>+' Chellakere-PKG-9'!E35</f>
        <v>410.01</v>
      </c>
      <c r="E19" s="278">
        <f>+' Chellakere-PKG-9'!G35</f>
        <v>37777.422300000006</v>
      </c>
      <c r="F19" s="278">
        <f>+' Chellakere-PKG-9'!H35</f>
        <v>18.04</v>
      </c>
      <c r="G19" s="278">
        <f>+' Chellakere-PKG-9'!J35</f>
        <v>1877.7836</v>
      </c>
      <c r="H19" s="278">
        <f t="shared" si="2"/>
        <v>39655.205900000008</v>
      </c>
      <c r="I19" s="278">
        <f>+' Chellakere-PKG-9'!M3</f>
        <v>0</v>
      </c>
      <c r="J19" s="278">
        <f>+' Chellakere-PKG-9'!L35</f>
        <v>39655.205900000001</v>
      </c>
      <c r="K19" s="358">
        <f t="shared" si="0"/>
        <v>0</v>
      </c>
    </row>
    <row r="20" spans="1:11">
      <c r="A20" s="357">
        <v>19</v>
      </c>
      <c r="B20" s="277" t="s">
        <v>44</v>
      </c>
      <c r="C20" s="317" t="s">
        <v>45</v>
      </c>
      <c r="D20" s="278">
        <f>+Molakamuru!E35</f>
        <v>600</v>
      </c>
      <c r="E20" s="278">
        <f>+Molakamuru!G35</f>
        <v>55332</v>
      </c>
      <c r="F20" s="278">
        <f>+Molakamuru!H35</f>
        <v>100</v>
      </c>
      <c r="G20" s="278">
        <f>+Molakamuru!J35</f>
        <v>10408</v>
      </c>
      <c r="H20" s="278">
        <f t="shared" si="2"/>
        <v>65740</v>
      </c>
      <c r="I20" s="278">
        <f>+Molakamuru!K3</f>
        <v>27990.595199999989</v>
      </c>
      <c r="J20" s="278">
        <f>+Molakamuru!L35</f>
        <v>71123.38</v>
      </c>
      <c r="K20" s="358">
        <f t="shared" si="0"/>
        <v>22607.215199999977</v>
      </c>
    </row>
    <row r="21" spans="1:11">
      <c r="A21" s="357">
        <v>20</v>
      </c>
      <c r="B21" s="277" t="s">
        <v>46</v>
      </c>
      <c r="C21" s="356"/>
      <c r="D21" s="278">
        <f>+' Chennagiri'!E35</f>
        <v>427.27</v>
      </c>
      <c r="E21" s="278">
        <f>+' Chennagiri'!G35</f>
        <v>39330.203500000003</v>
      </c>
      <c r="F21" s="278">
        <f>+' Chennagiri'!H35</f>
        <v>68</v>
      </c>
      <c r="G21" s="278">
        <f>+' Chennagiri'!J35</f>
        <v>7078.880000000001</v>
      </c>
      <c r="H21" s="278">
        <f t="shared" si="2"/>
        <v>46409.083500000008</v>
      </c>
      <c r="I21" s="278">
        <f>+' Chennagiri'!K3</f>
        <v>0</v>
      </c>
      <c r="J21" s="278">
        <f>+' Chennagiri'!L35</f>
        <v>46409.083500000001</v>
      </c>
      <c r="K21" s="358">
        <f t="shared" si="0"/>
        <v>0</v>
      </c>
    </row>
    <row r="22" spans="1:11">
      <c r="A22" s="357">
        <v>21</v>
      </c>
      <c r="B22" s="277" t="s">
        <v>47</v>
      </c>
      <c r="C22" s="277" t="s">
        <v>48</v>
      </c>
      <c r="D22" s="278">
        <f>+Khanapur!E35</f>
        <v>1766.6100000000001</v>
      </c>
      <c r="E22" s="278">
        <f>+Khanapur!G35</f>
        <v>160549.51680000001</v>
      </c>
      <c r="F22" s="278">
        <f>+Khanapur!H35</f>
        <v>79.78</v>
      </c>
      <c r="G22" s="278">
        <f>+Khanapur!J35</f>
        <v>8198.990600000001</v>
      </c>
      <c r="H22" s="278">
        <f t="shared" si="2"/>
        <v>168748.5074</v>
      </c>
      <c r="I22" s="278">
        <f>+Khanapur!M3</f>
        <v>103942.74519999999</v>
      </c>
      <c r="J22" s="278">
        <f>+Khanapur!L35</f>
        <v>203905.34</v>
      </c>
      <c r="K22" s="358">
        <f t="shared" si="0"/>
        <v>68785.912600000011</v>
      </c>
    </row>
    <row r="23" spans="1:11">
      <c r="A23" s="357">
        <v>22</v>
      </c>
      <c r="B23" s="277" t="s">
        <v>49</v>
      </c>
      <c r="C23" s="277" t="s">
        <v>50</v>
      </c>
      <c r="D23" s="278">
        <f>+Munavali!E37</f>
        <v>0</v>
      </c>
      <c r="E23" s="278">
        <f>+Munavali!G37</f>
        <v>0</v>
      </c>
      <c r="F23" s="278">
        <f>+Munavali!H37</f>
        <v>0</v>
      </c>
      <c r="G23" s="278">
        <f>+Munavali!J37</f>
        <v>0</v>
      </c>
      <c r="H23" s="278">
        <f t="shared" si="2"/>
        <v>0</v>
      </c>
      <c r="I23" s="278">
        <f>+Munavali!M3</f>
        <v>0</v>
      </c>
      <c r="J23" s="278">
        <f>+Munavali!L37</f>
        <v>0</v>
      </c>
      <c r="K23" s="358">
        <f t="shared" si="0"/>
        <v>0</v>
      </c>
    </row>
    <row r="24" spans="1:11">
      <c r="A24" s="357">
        <v>23</v>
      </c>
      <c r="B24" s="277" t="s">
        <v>51</v>
      </c>
      <c r="C24" s="277" t="s">
        <v>52</v>
      </c>
      <c r="D24" s="278">
        <f>+'Munavali-2'!E38</f>
        <v>17172.675999999999</v>
      </c>
      <c r="E24" s="278">
        <f>+'Munavali-2'!G38</f>
        <v>1571967.09106</v>
      </c>
      <c r="F24" s="278">
        <f>+'Munavali-2'!H38</f>
        <v>261</v>
      </c>
      <c r="G24" s="278">
        <f>+'Munavali-2'!J38</f>
        <v>27163.480000000003</v>
      </c>
      <c r="H24" s="278">
        <f t="shared" si="2"/>
        <v>1599130.57106</v>
      </c>
      <c r="I24" s="278">
        <f>+'Munavali-2'!M3</f>
        <v>343617.68000000005</v>
      </c>
      <c r="J24" s="278">
        <f>+'Munavali-2'!L38</f>
        <v>1204238.1600000001</v>
      </c>
      <c r="K24" s="358">
        <f t="shared" si="0"/>
        <v>738510.09106000001</v>
      </c>
    </row>
    <row r="25" spans="1:11">
      <c r="A25" s="357">
        <v>24</v>
      </c>
      <c r="B25" s="277" t="s">
        <v>53</v>
      </c>
      <c r="C25" s="277" t="s">
        <v>54</v>
      </c>
      <c r="D25" s="278">
        <f>+Borgaon!E35</f>
        <v>1395.17</v>
      </c>
      <c r="E25" s="278">
        <f>+Borgaon!G35</f>
        <v>128034.75089999998</v>
      </c>
      <c r="F25" s="278">
        <f>+Borgaon!H35</f>
        <v>117.74000000000001</v>
      </c>
      <c r="G25" s="278">
        <f>+Borgaon!J35</f>
        <v>12213.170199999997</v>
      </c>
      <c r="H25" s="278">
        <f t="shared" si="2"/>
        <v>140247.92109999998</v>
      </c>
      <c r="I25" s="278">
        <f>+Borgaon!K3</f>
        <v>115310.9831</v>
      </c>
      <c r="J25" s="278">
        <f>+Borgaon!L35</f>
        <v>226000</v>
      </c>
      <c r="K25" s="358">
        <f>H25+I25-J25</f>
        <v>29558.90419999999</v>
      </c>
    </row>
    <row r="26" spans="1:11">
      <c r="A26" s="357">
        <v>25</v>
      </c>
      <c r="B26" s="277" t="s">
        <v>55</v>
      </c>
      <c r="C26" s="277" t="s">
        <v>56</v>
      </c>
      <c r="D26" s="278">
        <f>+'Ugar,Khagwad,Kudichi'!E35</f>
        <v>4214.84</v>
      </c>
      <c r="E26" s="278">
        <f>+'Ugar,Khagwad,Kudichi'!G35</f>
        <v>387470.24120000005</v>
      </c>
      <c r="F26" s="278">
        <f>+'Ugar,Khagwad,Kudichi'!H35</f>
        <v>264</v>
      </c>
      <c r="G26" s="278">
        <f>+'Ugar,Khagwad,Kudichi'!J35</f>
        <v>27426.959999999999</v>
      </c>
      <c r="H26" s="278">
        <f t="shared" si="2"/>
        <v>414897.20120000007</v>
      </c>
      <c r="I26" s="278">
        <f>+'Ugar,Khagwad,Kudichi'!M3</f>
        <v>151510.54690000007</v>
      </c>
      <c r="J26" s="278">
        <f>+'Ugar,Khagwad,Kudichi'!L35</f>
        <v>351000</v>
      </c>
      <c r="K26" s="358">
        <f>H26+I26-J26</f>
        <v>215407.7481000002</v>
      </c>
    </row>
    <row r="27" spans="1:11">
      <c r="A27" s="357">
        <v>26</v>
      </c>
      <c r="B27" s="277" t="s">
        <v>57</v>
      </c>
      <c r="C27" s="277" t="s">
        <v>58</v>
      </c>
      <c r="D27" s="278">
        <f>+Kabbur!E35</f>
        <v>444.44</v>
      </c>
      <c r="E27" s="278">
        <f>+Kabbur!G35</f>
        <v>40798.573900000003</v>
      </c>
      <c r="F27" s="278">
        <f>+Kabbur!H35</f>
        <v>11.66</v>
      </c>
      <c r="G27" s="278">
        <f>+Kabbur!J35</f>
        <v>1207.1597999999999</v>
      </c>
      <c r="H27" s="278">
        <f t="shared" si="2"/>
        <v>42005.733700000004</v>
      </c>
      <c r="I27" s="278">
        <v>0</v>
      </c>
      <c r="J27" s="278">
        <f>+Kabbur!L35</f>
        <v>42005.733699999997</v>
      </c>
      <c r="K27" s="358">
        <f t="shared" si="0"/>
        <v>0</v>
      </c>
    </row>
    <row r="28" spans="1:11">
      <c r="A28" s="357">
        <v>27</v>
      </c>
      <c r="B28" s="277" t="s">
        <v>59</v>
      </c>
      <c r="C28" s="277" t="s">
        <v>60</v>
      </c>
      <c r="D28" s="278">
        <f>+kumta!E35</f>
        <v>2040</v>
      </c>
      <c r="E28" s="278">
        <f>+kumta!G35</f>
        <v>187618.80000000002</v>
      </c>
      <c r="F28" s="278">
        <f>+kumta!H35</f>
        <v>90</v>
      </c>
      <c r="G28" s="278">
        <f>+kumta!J35</f>
        <v>9360.9000000000015</v>
      </c>
      <c r="H28" s="278">
        <f t="shared" si="2"/>
        <v>196979.7</v>
      </c>
      <c r="I28" s="278">
        <v>0</v>
      </c>
      <c r="J28" s="278">
        <f>+kumta!L35</f>
        <v>169925</v>
      </c>
      <c r="K28" s="358">
        <f t="shared" si="0"/>
        <v>27054.700000000012</v>
      </c>
    </row>
    <row r="29" spans="1:11">
      <c r="A29" s="357">
        <v>28</v>
      </c>
      <c r="B29" s="277" t="s">
        <v>61</v>
      </c>
      <c r="C29" s="277" t="s">
        <v>62</v>
      </c>
      <c r="D29" s="278">
        <f>+Jalgaon!E54</f>
        <v>15971.286</v>
      </c>
      <c r="E29" s="278">
        <f>+Jalgaon!G54</f>
        <v>1464609.3787</v>
      </c>
      <c r="F29" s="278">
        <f>+Jalgaon!H54</f>
        <v>140</v>
      </c>
      <c r="G29" s="278">
        <f>+Jalgaon!J54</f>
        <v>14726.599999999999</v>
      </c>
      <c r="H29" s="278">
        <f t="shared" si="2"/>
        <v>1479335.9787000001</v>
      </c>
      <c r="I29" s="278">
        <f>+Jalgaon!K3</f>
        <v>1368586.4649</v>
      </c>
      <c r="J29" s="278">
        <f>+Jalgaon!L54</f>
        <v>2510129.19</v>
      </c>
      <c r="K29" s="358">
        <f t="shared" si="0"/>
        <v>337793.25359999994</v>
      </c>
    </row>
    <row r="30" spans="1:11">
      <c r="A30" s="357">
        <v>29</v>
      </c>
      <c r="B30" s="277" t="s">
        <v>63</v>
      </c>
      <c r="C30" s="277" t="s">
        <v>64</v>
      </c>
      <c r="D30" s="278">
        <f>+'Jalgoan-2'!E55</f>
        <v>42840.22</v>
      </c>
      <c r="E30" s="278">
        <f>'Jalgoan-2'!G55</f>
        <v>3928876.5762</v>
      </c>
      <c r="F30" s="278">
        <f>+'Jalgoan-2'!H55</f>
        <v>230</v>
      </c>
      <c r="G30" s="278">
        <f>+'Jalgoan-2'!J55</f>
        <v>24251.200000000001</v>
      </c>
      <c r="H30" s="278">
        <f t="shared" si="2"/>
        <v>3953127.7762000002</v>
      </c>
      <c r="I30" s="278">
        <f>+'Jalgoan-2'!M3</f>
        <v>0</v>
      </c>
      <c r="J30" s="278">
        <f>+'Jalgoan-2'!L55</f>
        <v>1000000</v>
      </c>
      <c r="K30" s="358">
        <f t="shared" si="0"/>
        <v>2953127.7762000002</v>
      </c>
    </row>
    <row r="31" spans="1:11">
      <c r="A31" s="357">
        <v>30</v>
      </c>
      <c r="B31" s="277" t="s">
        <v>65</v>
      </c>
      <c r="C31" s="277" t="s">
        <v>66</v>
      </c>
      <c r="D31" s="278">
        <f>+MKBD!E38</f>
        <v>8000</v>
      </c>
      <c r="E31" s="278">
        <f>+MKBD!G38</f>
        <v>729120</v>
      </c>
      <c r="F31" s="278">
        <f>+MKBD!H38</f>
        <v>75</v>
      </c>
      <c r="G31" s="278">
        <f>+MKBD!J38</f>
        <v>7845</v>
      </c>
      <c r="H31" s="278">
        <f t="shared" si="2"/>
        <v>736965</v>
      </c>
      <c r="I31" s="278">
        <f>+MKBD!K3</f>
        <v>366041.64999999991</v>
      </c>
      <c r="J31" s="278">
        <f>+MKBD!L38</f>
        <v>1000000</v>
      </c>
      <c r="K31" s="358">
        <f t="shared" si="0"/>
        <v>103006.64999999991</v>
      </c>
    </row>
    <row r="32" spans="1:11">
      <c r="A32" s="357">
        <v>31</v>
      </c>
      <c r="B32" s="277" t="s">
        <v>67</v>
      </c>
      <c r="C32" s="277" t="s">
        <v>68</v>
      </c>
      <c r="D32" s="278">
        <f>' Haveri-2'!E37</f>
        <v>2590.84</v>
      </c>
      <c r="E32" s="278">
        <f>' Haveri-2'!G37</f>
        <v>237035.95160000003</v>
      </c>
      <c r="F32" s="278">
        <f>' Haveri-2'!H37</f>
        <v>107.73</v>
      </c>
      <c r="G32" s="278">
        <f>' Haveri-2'!J37</f>
        <v>11142.5139</v>
      </c>
      <c r="H32" s="278">
        <f t="shared" si="2"/>
        <v>248178.46550000002</v>
      </c>
      <c r="I32" s="278">
        <f>' Haveri-2'!M3</f>
        <v>150830.73329999996</v>
      </c>
      <c r="J32" s="278">
        <f>+' Haveri-2'!L37</f>
        <v>308600</v>
      </c>
      <c r="K32" s="358">
        <f t="shared" si="0"/>
        <v>90409.198800000013</v>
      </c>
    </row>
    <row r="33" spans="1:13">
      <c r="A33" s="357">
        <v>32</v>
      </c>
      <c r="B33" s="277" t="s">
        <v>69</v>
      </c>
      <c r="C33" s="277" t="s">
        <v>70</v>
      </c>
      <c r="D33" s="278">
        <f>+' Guttal-2'!E35</f>
        <v>5890.6</v>
      </c>
      <c r="E33" s="278">
        <f>+' Guttal-2'!G35</f>
        <v>540639.26799999992</v>
      </c>
      <c r="F33" s="278">
        <f>+' Guttal-2'!H35</f>
        <v>160</v>
      </c>
      <c r="G33" s="278">
        <f>+' Guttal-2'!J35</f>
        <v>16598.400000000001</v>
      </c>
      <c r="H33" s="278">
        <f t="shared" si="2"/>
        <v>557237.66799999995</v>
      </c>
      <c r="I33" s="278">
        <f>+' Guttal-2'!M3</f>
        <v>532276.87780000013</v>
      </c>
      <c r="J33" s="278">
        <f>+' Guttal-2'!L35</f>
        <v>970904</v>
      </c>
      <c r="K33" s="358">
        <f t="shared" si="0"/>
        <v>118610.54579999996</v>
      </c>
    </row>
    <row r="34" spans="1:13">
      <c r="A34" s="357">
        <v>33</v>
      </c>
      <c r="B34" s="277" t="s">
        <v>71</v>
      </c>
      <c r="C34" s="277" t="s">
        <v>72</v>
      </c>
      <c r="D34" s="278">
        <f>+Rattihali!E35</f>
        <v>0</v>
      </c>
      <c r="E34" s="278">
        <f>+Rattihali!G35</f>
        <v>0</v>
      </c>
      <c r="F34" s="278">
        <f>+Rattihali!H35</f>
        <v>0</v>
      </c>
      <c r="G34" s="278">
        <f>+Rattihali!J35</f>
        <v>0</v>
      </c>
      <c r="H34" s="278">
        <f t="shared" si="2"/>
        <v>0</v>
      </c>
      <c r="I34" s="278">
        <f>+Rattihali!M3</f>
        <v>6442.7239999999874</v>
      </c>
      <c r="J34" s="278">
        <f>+Rattihali!L35</f>
        <v>0</v>
      </c>
      <c r="K34" s="358">
        <f t="shared" si="0"/>
        <v>6442.7239999999874</v>
      </c>
    </row>
    <row r="35" spans="1:13">
      <c r="A35" s="357">
        <v>34</v>
      </c>
      <c r="B35" s="277" t="s">
        <v>73</v>
      </c>
      <c r="C35" s="277" t="s">
        <v>74</v>
      </c>
      <c r="D35" s="278">
        <f>+'Rattihali-2'!E37</f>
        <v>3706.11</v>
      </c>
      <c r="E35" s="278">
        <f>+'Rattihali-2'!G37</f>
        <v>340554.44789999991</v>
      </c>
      <c r="F35" s="278">
        <f>+'Rattihali-2'!H37</f>
        <v>129</v>
      </c>
      <c r="G35" s="278">
        <f>+'Rattihali-2'!J37</f>
        <v>13474.35</v>
      </c>
      <c r="H35" s="278">
        <f t="shared" si="2"/>
        <v>354028.79789999989</v>
      </c>
      <c r="I35" s="278">
        <f>+'Rattihali-2'!M3</f>
        <v>162379.87650000004</v>
      </c>
      <c r="J35" s="278">
        <f>+'Rattihali-2'!L37</f>
        <v>366900</v>
      </c>
      <c r="K35" s="358">
        <f t="shared" si="0"/>
        <v>149508.6743999999</v>
      </c>
    </row>
    <row r="36" spans="1:13">
      <c r="A36" s="357">
        <v>35</v>
      </c>
      <c r="B36" s="277" t="s">
        <v>75</v>
      </c>
      <c r="C36" s="277" t="s">
        <v>76</v>
      </c>
      <c r="D36" s="278">
        <f>+Gajendragada!E35</f>
        <v>1238</v>
      </c>
      <c r="E36" s="278">
        <f>+Gajendragada!G35</f>
        <v>113685.54</v>
      </c>
      <c r="F36" s="278">
        <f>+Gajendragada!H35</f>
        <v>120</v>
      </c>
      <c r="G36" s="278">
        <f>+Gajendragada!J35</f>
        <v>12456</v>
      </c>
      <c r="H36" s="278">
        <f t="shared" si="2"/>
        <v>126141.54</v>
      </c>
      <c r="I36" s="278">
        <f>+Gajendragada!K3</f>
        <v>10249.401500000007</v>
      </c>
      <c r="J36" s="278">
        <f>+Gajendragada!L35</f>
        <v>10288.040000000001</v>
      </c>
      <c r="K36" s="358">
        <f t="shared" si="0"/>
        <v>126102.90150000001</v>
      </c>
    </row>
    <row r="37" spans="1:13">
      <c r="A37" s="357">
        <v>36</v>
      </c>
      <c r="B37" s="280" t="s">
        <v>77</v>
      </c>
      <c r="C37" s="280" t="s">
        <v>78</v>
      </c>
      <c r="D37" s="278">
        <f>+'Gokak Dharwad PKG 3'!E40</f>
        <v>10361.889999999998</v>
      </c>
      <c r="E37" s="278">
        <f>+'Gokak Dharwad PKG 3'!G40</f>
        <v>947905.69720000017</v>
      </c>
      <c r="F37" s="278">
        <f>+'Gokak Dharwad PKG 3'!H40</f>
        <v>289</v>
      </c>
      <c r="G37" s="278">
        <f>+'Gokak Dharwad PKG 3'!J40</f>
        <v>29885.489999999998</v>
      </c>
      <c r="H37" s="278">
        <f t="shared" si="2"/>
        <v>977791.18720000016</v>
      </c>
      <c r="I37" s="382">
        <f>+'Gokak Dharwad PKG 3'!K3</f>
        <v>437987.29220000107</v>
      </c>
      <c r="J37" s="278">
        <f>+'Gokak Dharwad PKG 3'!L40</f>
        <v>1188028</v>
      </c>
      <c r="K37" s="358">
        <f t="shared" si="0"/>
        <v>227750.47940000123</v>
      </c>
      <c r="M37" s="282"/>
    </row>
    <row r="38" spans="1:13">
      <c r="A38" s="357">
        <v>37</v>
      </c>
      <c r="B38" s="280" t="s">
        <v>79</v>
      </c>
      <c r="C38" s="280" t="s">
        <v>80</v>
      </c>
      <c r="D38" s="278">
        <f>+' TR Associates'!E35</f>
        <v>9861.7499999999982</v>
      </c>
      <c r="E38" s="278">
        <f>+' TR Associates'!G35</f>
        <v>900575.01</v>
      </c>
      <c r="F38" s="278">
        <f>+' TR Associates'!H35</f>
        <v>12.02</v>
      </c>
      <c r="G38" s="278">
        <f>+' TR Associates'!J35</f>
        <v>1240.8847999999998</v>
      </c>
      <c r="H38" s="380">
        <f t="shared" si="2"/>
        <v>901815.89480000001</v>
      </c>
      <c r="I38" s="379">
        <f>+' TR Associates'!M3</f>
        <v>647689.79239999992</v>
      </c>
      <c r="J38" s="381">
        <f>+' TR Associates'!L35</f>
        <v>1247689</v>
      </c>
      <c r="K38" s="358">
        <f t="shared" si="0"/>
        <v>301816.68720000004</v>
      </c>
      <c r="M38" s="282"/>
    </row>
    <row r="39" spans="1:13">
      <c r="A39" s="357">
        <v>38</v>
      </c>
      <c r="B39" s="280" t="s">
        <v>81</v>
      </c>
      <c r="C39" s="280" t="s">
        <v>82</v>
      </c>
      <c r="D39" s="278">
        <f>+Ankalgi!E35</f>
        <v>4209.09</v>
      </c>
      <c r="E39" s="278">
        <f>+Ankalgi!G35</f>
        <v>384332.00790000008</v>
      </c>
      <c r="F39" s="278">
        <f>+Ankalgi!H35</f>
        <v>102</v>
      </c>
      <c r="G39" s="278">
        <f>+Ankalgi!J35</f>
        <v>10529.46</v>
      </c>
      <c r="H39" s="278">
        <f t="shared" si="2"/>
        <v>394861.46790000011</v>
      </c>
      <c r="I39" s="305">
        <f>+Ankalgi!M3</f>
        <v>306662.50849999988</v>
      </c>
      <c r="J39" s="278">
        <f>+Ankalgi!L35</f>
        <v>606663</v>
      </c>
      <c r="K39" s="358">
        <f t="shared" si="0"/>
        <v>94860.976400000043</v>
      </c>
    </row>
    <row r="40" spans="1:13">
      <c r="A40" s="357">
        <v>39</v>
      </c>
      <c r="B40" s="280" t="s">
        <v>83</v>
      </c>
      <c r="C40" s="280" t="s">
        <v>84</v>
      </c>
      <c r="D40" s="278">
        <f>+' Shankeshwar'!E35</f>
        <v>590.04</v>
      </c>
      <c r="E40" s="278">
        <f>+' Shankeshwar'!G35</f>
        <v>53871.752</v>
      </c>
      <c r="F40" s="278">
        <f>+' Shankeshwar'!H35</f>
        <v>135</v>
      </c>
      <c r="G40" s="278">
        <f>+' Shankeshwar'!J35</f>
        <v>13934.699999999999</v>
      </c>
      <c r="H40" s="278">
        <f t="shared" si="2"/>
        <v>67806.452000000005</v>
      </c>
      <c r="I40" s="278"/>
      <c r="J40" s="278">
        <f>+' Shankeshwar'!L35</f>
        <v>67806.45199999999</v>
      </c>
      <c r="K40" s="358">
        <f t="shared" si="0"/>
        <v>0</v>
      </c>
    </row>
    <row r="41" spans="1:13">
      <c r="A41" s="357">
        <v>40</v>
      </c>
      <c r="B41" s="280" t="s">
        <v>85</v>
      </c>
      <c r="C41" s="280" t="s">
        <v>86</v>
      </c>
      <c r="D41" s="278">
        <f>+' Talikote'!E46</f>
        <v>318.88</v>
      </c>
      <c r="E41" s="278">
        <f>+' Talikote'!G46</f>
        <v>29177.52</v>
      </c>
      <c r="F41" s="278">
        <f>+' Talikote'!H46</f>
        <v>68.27</v>
      </c>
      <c r="G41" s="278">
        <f>+' Talikote'!J46</f>
        <v>7061.8487999999998</v>
      </c>
      <c r="H41" s="278">
        <f t="shared" si="2"/>
        <v>36239.368799999997</v>
      </c>
      <c r="I41" s="278">
        <f>+' Talikote'!N3</f>
        <v>27659.594699999983</v>
      </c>
      <c r="J41" s="278">
        <f>+' Talikote'!L46</f>
        <v>61475</v>
      </c>
      <c r="K41" s="358">
        <f t="shared" si="0"/>
        <v>2423.9634999999835</v>
      </c>
    </row>
    <row r="42" spans="1:13">
      <c r="A42" s="357">
        <v>41</v>
      </c>
      <c r="B42" s="280" t="s">
        <v>87</v>
      </c>
      <c r="C42" s="280" t="s">
        <v>88</v>
      </c>
      <c r="D42" s="278">
        <f>+Chadchan!E35</f>
        <v>1322.98</v>
      </c>
      <c r="E42" s="278">
        <f>+Chadchan!G35</f>
        <v>120695.46540000003</v>
      </c>
      <c r="F42" s="278">
        <f>+Chadchan!H35</f>
        <v>79.59</v>
      </c>
      <c r="G42" s="278">
        <f>+Chadchan!J35</f>
        <v>8210.504399999998</v>
      </c>
      <c r="H42" s="278">
        <f t="shared" si="2"/>
        <v>128905.96980000002</v>
      </c>
      <c r="I42" s="278">
        <f>+Chadchan!K3</f>
        <v>86951.114100000108</v>
      </c>
      <c r="J42" s="278">
        <f>+Chadchan!L35</f>
        <v>89512</v>
      </c>
      <c r="K42" s="358">
        <f t="shared" si="0"/>
        <v>126345.08390000014</v>
      </c>
    </row>
    <row r="43" spans="1:13">
      <c r="A43" s="357">
        <v>42</v>
      </c>
      <c r="B43" s="280" t="s">
        <v>89</v>
      </c>
      <c r="C43" s="280" t="s">
        <v>90</v>
      </c>
      <c r="D43" s="278">
        <f>+Sindagi!E44</f>
        <v>706.95</v>
      </c>
      <c r="E43" s="278">
        <f>+Sindagi!G44</f>
        <v>64495.048499999997</v>
      </c>
      <c r="F43" s="278">
        <f>+Sindagi!H44</f>
        <v>10</v>
      </c>
      <c r="G43" s="278">
        <f>+Sindagi!J44</f>
        <v>1068.0999999999999</v>
      </c>
      <c r="H43" s="278">
        <f t="shared" si="2"/>
        <v>65563.148499999996</v>
      </c>
      <c r="I43" s="278">
        <f>+Sindagi!M3</f>
        <v>4187.2387000000017</v>
      </c>
      <c r="J43" s="278">
        <f>+Sindagi!L44</f>
        <v>65000</v>
      </c>
      <c r="K43" s="358">
        <f t="shared" si="0"/>
        <v>4750.3871999999974</v>
      </c>
    </row>
    <row r="44" spans="1:13">
      <c r="A44" s="357">
        <v>43</v>
      </c>
      <c r="B44" s="280" t="s">
        <v>91</v>
      </c>
      <c r="C44" s="280" t="s">
        <v>92</v>
      </c>
      <c r="D44" s="278">
        <f>+'Muddebhihal-2'!E48</f>
        <v>1116.1900000000003</v>
      </c>
      <c r="E44" s="278">
        <f>+'Muddebhihal-2'!G48</f>
        <v>102042.08980000002</v>
      </c>
      <c r="F44" s="278">
        <f>+'Muddebhihal-2'!H48</f>
        <v>35</v>
      </c>
      <c r="G44" s="278">
        <f>+'Muddebhihal-2'!J48</f>
        <v>3617.25</v>
      </c>
      <c r="H44" s="278">
        <f>+'Muddebhihal-2'!K48</f>
        <v>105659.33980000002</v>
      </c>
      <c r="I44" s="278">
        <f>+'Muddebhihal-2'!M3</f>
        <v>81899.45</v>
      </c>
      <c r="J44" s="278">
        <f>+'Muddebhihal-2'!L48</f>
        <v>100000</v>
      </c>
      <c r="K44" s="358">
        <f>+'Muddebhihal-2'!M47</f>
        <v>87558.78979999997</v>
      </c>
    </row>
    <row r="45" spans="1:13">
      <c r="A45" s="357">
        <v>44</v>
      </c>
      <c r="B45" s="280" t="s">
        <v>93</v>
      </c>
      <c r="C45" s="280" t="s">
        <v>94</v>
      </c>
      <c r="D45" s="278">
        <f>+Alemela!E43</f>
        <v>1271.27</v>
      </c>
      <c r="E45" s="278">
        <f>+Alemela!G43</f>
        <v>116270.3542</v>
      </c>
      <c r="F45" s="278">
        <f>+Alemela!H43</f>
        <v>101.17999999999999</v>
      </c>
      <c r="G45" s="278">
        <f>+Alemela!J43</f>
        <v>10462.011999999999</v>
      </c>
      <c r="H45" s="278">
        <f t="shared" si="2"/>
        <v>126732.3662</v>
      </c>
      <c r="I45" s="278">
        <f>+Alemela!M3</f>
        <v>52390.800700000007</v>
      </c>
      <c r="J45" s="278">
        <f>+Alemela!L43</f>
        <v>122000</v>
      </c>
      <c r="K45" s="358">
        <f t="shared" si="0"/>
        <v>57123.166900000011</v>
      </c>
    </row>
    <row r="46" spans="1:13">
      <c r="A46" s="357">
        <v>45</v>
      </c>
      <c r="B46" s="280" t="s">
        <v>95</v>
      </c>
      <c r="C46" s="280" t="s">
        <v>96</v>
      </c>
      <c r="D46" s="278">
        <f>+Nalatwad!E43</f>
        <v>1056.01</v>
      </c>
      <c r="E46" s="278">
        <f>+Nalatwad!G43</f>
        <v>96751.636200000008</v>
      </c>
      <c r="F46" s="278">
        <f>+Nalatwad!H43</f>
        <v>31.089999999999996</v>
      </c>
      <c r="G46" s="278">
        <f>+Nalatwad!J43</f>
        <v>3219.9913000000001</v>
      </c>
      <c r="H46" s="278">
        <f>E46+G46</f>
        <v>99971.627500000002</v>
      </c>
      <c r="I46" s="278">
        <f>+Nalatwad!M3</f>
        <v>59168.120460000035</v>
      </c>
      <c r="J46" s="278">
        <f>+Nalatwad!L43</f>
        <v>120000</v>
      </c>
      <c r="K46" s="358">
        <f>H46+I46-J46</f>
        <v>39139.747960000037</v>
      </c>
    </row>
    <row r="47" spans="1:13">
      <c r="A47" s="357">
        <v>46</v>
      </c>
      <c r="B47" s="280" t="s">
        <v>97</v>
      </c>
      <c r="C47" s="280" t="s">
        <v>98</v>
      </c>
      <c r="D47" s="278">
        <f>+Srirangapatna!E35</f>
        <v>25.65</v>
      </c>
      <c r="E47" s="278">
        <f>+Srirangapatna!G35</f>
        <v>2499.0794999999998</v>
      </c>
      <c r="F47" s="278">
        <f>+Srirangapatna!H35</f>
        <v>19.52</v>
      </c>
      <c r="G47" s="278">
        <f>+Srirangapatna!J35</f>
        <v>2000.0191999999997</v>
      </c>
      <c r="H47" s="278">
        <f t="shared" si="2"/>
        <v>4499.0986999999996</v>
      </c>
      <c r="I47" s="278">
        <v>0</v>
      </c>
      <c r="J47" s="278">
        <f>+Srirangapatna!L35</f>
        <v>4499.0986999999996</v>
      </c>
      <c r="K47" s="358">
        <f t="shared" si="0"/>
        <v>0</v>
      </c>
    </row>
    <row r="48" spans="1:13">
      <c r="A48" s="357">
        <v>47</v>
      </c>
      <c r="B48" s="280" t="s">
        <v>99</v>
      </c>
      <c r="C48" s="277" t="s">
        <v>16</v>
      </c>
      <c r="D48" s="365">
        <f>+'HO(DG)'!E39</f>
        <v>1087.93</v>
      </c>
      <c r="E48" s="365">
        <f>+'HO(DG)'!G39</f>
        <v>104232.98920000001</v>
      </c>
      <c r="F48" s="365">
        <f>+'HO(DG)'!H39</f>
        <v>0</v>
      </c>
      <c r="G48" s="365">
        <f>+'HO(DG)'!J39</f>
        <v>0</v>
      </c>
      <c r="H48" s="278">
        <f t="shared" si="2"/>
        <v>104232.98920000001</v>
      </c>
      <c r="I48" s="365">
        <f>+'HO(DG)'!M3</f>
        <v>32600.612700000001</v>
      </c>
      <c r="J48" s="365">
        <f>+'HO(DG)'!L39</f>
        <v>47345.02</v>
      </c>
      <c r="K48" s="358">
        <f t="shared" si="0"/>
        <v>89488.581900000019</v>
      </c>
    </row>
    <row r="49" spans="1:13">
      <c r="A49" s="437" t="s">
        <v>100</v>
      </c>
      <c r="B49" s="438"/>
      <c r="C49" s="439"/>
      <c r="D49" s="359">
        <f>SUM(D2:D48)</f>
        <v>472386.93200000015</v>
      </c>
      <c r="E49" s="359">
        <f t="shared" ref="E49:G49" si="3">SUM(E2:E48)</f>
        <v>44391183.102760002</v>
      </c>
      <c r="F49" s="359">
        <f t="shared" si="3"/>
        <v>5731.4900000000016</v>
      </c>
      <c r="G49" s="359">
        <f>SUM(G2:G48)</f>
        <v>600970.8835</v>
      </c>
      <c r="H49" s="359">
        <f t="shared" ref="H49:J49" si="4">SUM(H2:H48)</f>
        <v>44992153.986260004</v>
      </c>
      <c r="I49" s="359">
        <f t="shared" si="4"/>
        <v>14194342.653962998</v>
      </c>
      <c r="J49" s="359">
        <f t="shared" si="4"/>
        <v>35727980.599700004</v>
      </c>
      <c r="K49" s="360">
        <f>H49+I49-J49</f>
        <v>23458516.040523</v>
      </c>
      <c r="L49" s="276">
        <v>23361980</v>
      </c>
      <c r="M49" s="282">
        <f>L49-K49</f>
        <v>-96536.040523000062</v>
      </c>
    </row>
    <row r="50" spans="1:13">
      <c r="K50" s="281"/>
    </row>
    <row r="51" spans="1:13">
      <c r="K51" s="281"/>
    </row>
    <row r="52" spans="1:13">
      <c r="K52" s="281"/>
    </row>
    <row r="53" spans="1:13">
      <c r="K53" s="281"/>
    </row>
    <row r="54" spans="1:13">
      <c r="A54" s="324" t="s">
        <v>0</v>
      </c>
      <c r="B54" s="324" t="s">
        <v>1</v>
      </c>
      <c r="C54" s="324" t="s">
        <v>2</v>
      </c>
      <c r="D54" s="325" t="s">
        <v>3</v>
      </c>
      <c r="E54" s="325" t="s">
        <v>4</v>
      </c>
      <c r="F54" s="325" t="s">
        <v>5</v>
      </c>
      <c r="G54" s="325" t="s">
        <v>6</v>
      </c>
      <c r="H54" s="325" t="s">
        <v>7</v>
      </c>
      <c r="I54" s="325" t="s">
        <v>8</v>
      </c>
      <c r="J54" s="325" t="s">
        <v>9</v>
      </c>
      <c r="K54" s="325" t="s">
        <v>10</v>
      </c>
    </row>
    <row r="55" spans="1:13">
      <c r="A55" s="326">
        <v>46</v>
      </c>
      <c r="B55" s="326" t="str" cm="1">
        <f t="array" ref="B55:K55">VLOOKUP(A55,A1:K48,{2,3,4,5,6,7,8,9,10,11},FALSE)</f>
        <v>Srirangapatna</v>
      </c>
      <c r="C55" s="326" t="str">
        <v>Anupama F/S</v>
      </c>
      <c r="D55" s="326">
        <v>25.65</v>
      </c>
      <c r="E55" s="326">
        <v>2499.0794999999998</v>
      </c>
      <c r="F55" s="326">
        <v>19.52</v>
      </c>
      <c r="G55" s="326">
        <v>2000.0191999999997</v>
      </c>
      <c r="H55" s="326">
        <v>4499.0986999999996</v>
      </c>
      <c r="I55" s="326">
        <v>0</v>
      </c>
      <c r="J55" s="326">
        <v>4499.0986999999996</v>
      </c>
      <c r="K55" s="326">
        <v>0</v>
      </c>
    </row>
    <row r="57" spans="1:13">
      <c r="B57" s="324" t="s">
        <v>1</v>
      </c>
      <c r="C57" s="324" t="s">
        <v>2</v>
      </c>
      <c r="D57" s="325" t="s">
        <v>3</v>
      </c>
      <c r="E57" s="325" t="s">
        <v>4</v>
      </c>
      <c r="F57" s="325" t="s">
        <v>5</v>
      </c>
      <c r="G57" s="325" t="s">
        <v>6</v>
      </c>
      <c r="H57" s="325" t="s">
        <v>7</v>
      </c>
      <c r="I57" s="325" t="s">
        <v>8</v>
      </c>
      <c r="J57" s="325" t="s">
        <v>9</v>
      </c>
      <c r="K57" s="325" t="s">
        <v>10</v>
      </c>
    </row>
    <row r="58" spans="1:13">
      <c r="B58" s="276" t="s">
        <v>99</v>
      </c>
      <c r="C58" s="276" t="str" cm="1">
        <f t="array" ref="C58:K58">VLOOKUP(B58,B1:K48,{2,3,4,5,6,7,8,9,10},FALSE)</f>
        <v>JSASFuel Genie India Pvt.Ltd</v>
      </c>
      <c r="D58" s="276">
        <v>1087.93</v>
      </c>
      <c r="E58" s="276">
        <v>104232.98920000001</v>
      </c>
      <c r="F58" s="276">
        <v>0</v>
      </c>
      <c r="G58" s="276">
        <v>0</v>
      </c>
      <c r="H58" s="276">
        <v>104232.98920000001</v>
      </c>
      <c r="I58" s="276">
        <v>32600.612700000001</v>
      </c>
      <c r="J58" s="276">
        <v>47345.02</v>
      </c>
      <c r="K58" s="276">
        <v>89488.581900000019</v>
      </c>
    </row>
    <row r="65" spans="2:14">
      <c r="B65" s="276">
        <v>60000</v>
      </c>
    </row>
    <row r="66" spans="2:14">
      <c r="B66" s="276">
        <v>18000</v>
      </c>
    </row>
    <row r="67" spans="2:14">
      <c r="B67" s="276">
        <v>18000</v>
      </c>
    </row>
    <row r="68" spans="2:14">
      <c r="B68" s="276">
        <v>75000</v>
      </c>
    </row>
    <row r="69" spans="2:14">
      <c r="B69" s="276">
        <v>360000</v>
      </c>
    </row>
    <row r="73" spans="2:14">
      <c r="M73" s="354"/>
    </row>
    <row r="74" spans="2:14">
      <c r="M74" s="354"/>
      <c r="N74" s="353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9:C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H1" activePane="topRight" state="frozen"/>
      <selection pane="topRight" activeCell="AJ17" sqref="AJ17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89" t="s">
        <v>101</v>
      </c>
      <c r="B2" s="390" t="s">
        <v>102</v>
      </c>
      <c r="C2" s="391" t="s">
        <v>103</v>
      </c>
      <c r="D2" s="391" t="s">
        <v>104</v>
      </c>
      <c r="E2" s="391" t="s">
        <v>104</v>
      </c>
      <c r="F2" s="391" t="s">
        <v>105</v>
      </c>
      <c r="G2" s="440" t="s">
        <v>106</v>
      </c>
      <c r="H2" s="440"/>
      <c r="I2" s="392" t="s">
        <v>107</v>
      </c>
      <c r="J2" s="392" t="s">
        <v>108</v>
      </c>
      <c r="K2" s="392" t="s">
        <v>109</v>
      </c>
      <c r="L2" s="392" t="s">
        <v>110</v>
      </c>
      <c r="M2" s="392" t="s">
        <v>111</v>
      </c>
      <c r="N2" s="392" t="s">
        <v>112</v>
      </c>
      <c r="O2" s="392" t="s">
        <v>113</v>
      </c>
      <c r="P2" s="392" t="s">
        <v>114</v>
      </c>
      <c r="Q2" s="392" t="s">
        <v>115</v>
      </c>
      <c r="R2" s="392" t="s">
        <v>116</v>
      </c>
      <c r="S2" s="392" t="s">
        <v>117</v>
      </c>
      <c r="T2" s="392" t="s">
        <v>118</v>
      </c>
      <c r="U2" s="392" t="s">
        <v>119</v>
      </c>
      <c r="V2" s="392" t="s">
        <v>120</v>
      </c>
      <c r="W2" s="392" t="s">
        <v>121</v>
      </c>
      <c r="X2" s="392" t="s">
        <v>122</v>
      </c>
      <c r="Y2" s="392" t="s">
        <v>123</v>
      </c>
      <c r="Z2" s="392" t="s">
        <v>124</v>
      </c>
      <c r="AA2" s="392" t="s">
        <v>125</v>
      </c>
      <c r="AB2" s="392" t="s">
        <v>126</v>
      </c>
      <c r="AC2" s="392" t="s">
        <v>127</v>
      </c>
      <c r="AD2" s="392" t="s">
        <v>128</v>
      </c>
      <c r="AE2" s="392" t="s">
        <v>129</v>
      </c>
      <c r="AF2" s="392" t="s">
        <v>130</v>
      </c>
      <c r="AG2" s="392" t="s">
        <v>131</v>
      </c>
      <c r="AH2" s="392" t="s">
        <v>132</v>
      </c>
      <c r="AI2" s="392" t="s">
        <v>133</v>
      </c>
      <c r="AJ2" s="392" t="s">
        <v>134</v>
      </c>
      <c r="AK2" s="392" t="s">
        <v>135</v>
      </c>
      <c r="AL2" s="392" t="s">
        <v>136</v>
      </c>
      <c r="AM2" s="393" t="s">
        <v>100</v>
      </c>
    </row>
    <row r="3" spans="1:39" s="386" customFormat="1">
      <c r="A3" s="394"/>
      <c r="B3" s="395"/>
      <c r="C3" s="396"/>
      <c r="D3" s="396"/>
      <c r="E3" s="396"/>
      <c r="F3" s="397" t="s">
        <v>137</v>
      </c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98"/>
    </row>
    <row r="4" spans="1:39" ht="15.75">
      <c r="A4" s="443">
        <v>1</v>
      </c>
      <c r="B4" s="441" t="s">
        <v>138</v>
      </c>
      <c r="C4" s="441" t="s">
        <v>139</v>
      </c>
      <c r="D4" s="442" t="s">
        <v>140</v>
      </c>
      <c r="E4" s="399" t="s">
        <v>137</v>
      </c>
      <c r="F4" s="388">
        <v>0</v>
      </c>
      <c r="G4" s="388">
        <v>0</v>
      </c>
      <c r="H4" s="388">
        <v>0</v>
      </c>
      <c r="I4" s="388">
        <v>0</v>
      </c>
      <c r="J4" s="388">
        <v>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>
        <v>0</v>
      </c>
      <c r="T4" s="388">
        <v>0</v>
      </c>
      <c r="U4" s="388">
        <v>0</v>
      </c>
      <c r="V4" s="388">
        <v>0</v>
      </c>
      <c r="W4" s="388">
        <v>0</v>
      </c>
      <c r="X4" s="388">
        <v>5.22</v>
      </c>
      <c r="Y4" s="388">
        <v>0</v>
      </c>
      <c r="Z4" s="388">
        <v>0</v>
      </c>
      <c r="AA4" s="388">
        <v>0</v>
      </c>
      <c r="AB4" s="388">
        <v>0</v>
      </c>
      <c r="AC4" s="388">
        <v>0</v>
      </c>
      <c r="AD4" s="388">
        <v>60</v>
      </c>
      <c r="AE4" s="388">
        <v>0</v>
      </c>
      <c r="AF4" s="388">
        <v>0</v>
      </c>
      <c r="AG4" s="388">
        <v>0</v>
      </c>
      <c r="AH4" s="388">
        <v>4.5599999999999996</v>
      </c>
      <c r="AI4" s="388">
        <v>0</v>
      </c>
      <c r="AJ4" s="388">
        <v>0</v>
      </c>
      <c r="AK4" s="388">
        <v>0</v>
      </c>
      <c r="AL4" s="388">
        <v>0</v>
      </c>
      <c r="AM4" s="388">
        <f>SUM(F4:AL4)</f>
        <v>69.78</v>
      </c>
    </row>
    <row r="5" spans="1:39" ht="15.75">
      <c r="A5" s="443"/>
      <c r="B5" s="441"/>
      <c r="C5" s="441"/>
      <c r="D5" s="442"/>
      <c r="E5" s="400" t="s">
        <v>141</v>
      </c>
      <c r="F5" s="388">
        <v>0</v>
      </c>
      <c r="G5" s="388">
        <v>4.6900000000000004</v>
      </c>
      <c r="H5" s="388">
        <v>0</v>
      </c>
      <c r="I5" s="388">
        <v>0</v>
      </c>
      <c r="J5" s="388">
        <v>0</v>
      </c>
      <c r="K5" s="388">
        <v>0</v>
      </c>
      <c r="L5" s="388">
        <v>0</v>
      </c>
      <c r="M5" s="388">
        <v>0</v>
      </c>
      <c r="N5" s="388">
        <v>3.91</v>
      </c>
      <c r="O5" s="388">
        <v>0</v>
      </c>
      <c r="P5" s="388">
        <v>6.98</v>
      </c>
      <c r="Q5" s="388">
        <v>0</v>
      </c>
      <c r="R5" s="388">
        <v>0</v>
      </c>
      <c r="S5" s="388">
        <v>0</v>
      </c>
      <c r="T5" s="388">
        <v>0</v>
      </c>
      <c r="U5" s="388">
        <v>0</v>
      </c>
      <c r="V5" s="388">
        <v>0</v>
      </c>
      <c r="W5" s="388">
        <v>0</v>
      </c>
      <c r="X5" s="388">
        <v>0</v>
      </c>
      <c r="Y5" s="388">
        <v>0</v>
      </c>
      <c r="Z5" s="388">
        <v>0</v>
      </c>
      <c r="AA5" s="388"/>
      <c r="AB5" s="388">
        <v>0</v>
      </c>
      <c r="AC5" s="401">
        <v>0</v>
      </c>
      <c r="AD5" s="388">
        <v>0</v>
      </c>
      <c r="AE5" s="388">
        <v>0</v>
      </c>
      <c r="AF5" s="388">
        <v>0</v>
      </c>
      <c r="AG5" s="388">
        <v>0</v>
      </c>
      <c r="AH5" s="388">
        <v>0</v>
      </c>
      <c r="AI5" s="388">
        <v>0</v>
      </c>
      <c r="AJ5" s="388">
        <v>0</v>
      </c>
      <c r="AK5" s="388">
        <v>0</v>
      </c>
      <c r="AL5" s="388">
        <v>0</v>
      </c>
      <c r="AM5" s="388">
        <f t="shared" ref="AM5:AM15" si="0">SUM(F5:AL5)</f>
        <v>15.580000000000002</v>
      </c>
    </row>
    <row r="6" spans="1:39" ht="15.75">
      <c r="A6" s="443">
        <v>2</v>
      </c>
      <c r="B6" s="441" t="s">
        <v>142</v>
      </c>
      <c r="C6" s="441" t="s">
        <v>143</v>
      </c>
      <c r="D6" s="442" t="s">
        <v>144</v>
      </c>
      <c r="E6" s="402" t="s">
        <v>137</v>
      </c>
      <c r="F6" s="388">
        <v>0</v>
      </c>
      <c r="G6" s="388">
        <v>0</v>
      </c>
      <c r="H6" s="388">
        <v>0</v>
      </c>
      <c r="I6" s="388">
        <v>0</v>
      </c>
      <c r="J6" s="388">
        <v>0</v>
      </c>
      <c r="K6" s="388">
        <v>0</v>
      </c>
      <c r="L6" s="388">
        <v>0</v>
      </c>
      <c r="M6" s="388">
        <v>0</v>
      </c>
      <c r="N6" s="388">
        <v>0</v>
      </c>
      <c r="O6" s="388">
        <v>0</v>
      </c>
      <c r="P6" s="388">
        <v>0</v>
      </c>
      <c r="Q6" s="388">
        <v>0</v>
      </c>
      <c r="R6" s="388">
        <v>0</v>
      </c>
      <c r="S6" s="388">
        <v>0</v>
      </c>
      <c r="T6" s="388">
        <v>0</v>
      </c>
      <c r="U6" s="388">
        <v>0</v>
      </c>
      <c r="V6" s="388">
        <v>0</v>
      </c>
      <c r="W6" s="388">
        <v>0</v>
      </c>
      <c r="X6" s="388">
        <v>0</v>
      </c>
      <c r="Y6" s="388">
        <v>0</v>
      </c>
      <c r="Z6" s="388">
        <v>0</v>
      </c>
      <c r="AA6" s="388">
        <v>0</v>
      </c>
      <c r="AB6" s="388">
        <v>0</v>
      </c>
      <c r="AC6" s="388">
        <v>0</v>
      </c>
      <c r="AD6" s="388">
        <v>0</v>
      </c>
      <c r="AE6" s="388">
        <v>0</v>
      </c>
      <c r="AF6" s="388">
        <v>0</v>
      </c>
      <c r="AG6" s="388">
        <v>0</v>
      </c>
      <c r="AH6" s="388">
        <v>0</v>
      </c>
      <c r="AI6" s="388">
        <v>0</v>
      </c>
      <c r="AJ6" s="388">
        <v>0</v>
      </c>
      <c r="AK6" s="388">
        <v>0</v>
      </c>
      <c r="AL6" s="388">
        <v>0</v>
      </c>
      <c r="AM6" s="388">
        <f t="shared" si="0"/>
        <v>0</v>
      </c>
    </row>
    <row r="7" spans="1:39" ht="15.75">
      <c r="A7" s="443"/>
      <c r="B7" s="441"/>
      <c r="C7" s="441"/>
      <c r="D7" s="442"/>
      <c r="E7" s="400" t="s">
        <v>141</v>
      </c>
      <c r="F7" s="388">
        <v>0</v>
      </c>
      <c r="G7" s="388">
        <v>0</v>
      </c>
      <c r="H7" s="388">
        <v>0</v>
      </c>
      <c r="I7" s="388">
        <v>0</v>
      </c>
      <c r="J7" s="388">
        <v>0</v>
      </c>
      <c r="K7" s="388">
        <v>0</v>
      </c>
      <c r="L7" s="388">
        <v>0</v>
      </c>
      <c r="M7" s="388">
        <v>0</v>
      </c>
      <c r="N7" s="388">
        <v>0</v>
      </c>
      <c r="O7" s="388">
        <v>0</v>
      </c>
      <c r="P7" s="388">
        <v>0</v>
      </c>
      <c r="Q7" s="388">
        <v>0</v>
      </c>
      <c r="R7" s="388">
        <v>0</v>
      </c>
      <c r="S7" s="388">
        <v>0</v>
      </c>
      <c r="T7" s="388">
        <v>0</v>
      </c>
      <c r="U7" s="388">
        <v>0</v>
      </c>
      <c r="V7" s="388">
        <v>0</v>
      </c>
      <c r="W7" s="388">
        <v>0</v>
      </c>
      <c r="X7" s="388">
        <v>0</v>
      </c>
      <c r="Y7" s="388">
        <v>0</v>
      </c>
      <c r="Z7" s="388">
        <v>0</v>
      </c>
      <c r="AA7" s="388"/>
      <c r="AB7" s="388">
        <v>0</v>
      </c>
      <c r="AC7" s="401">
        <v>0</v>
      </c>
      <c r="AD7" s="388">
        <v>0</v>
      </c>
      <c r="AE7" s="388">
        <v>0</v>
      </c>
      <c r="AF7" s="388">
        <v>0</v>
      </c>
      <c r="AG7" s="388">
        <v>0</v>
      </c>
      <c r="AH7" s="388">
        <v>0</v>
      </c>
      <c r="AI7" s="388">
        <v>0</v>
      </c>
      <c r="AJ7" s="388">
        <v>0</v>
      </c>
      <c r="AK7" s="388">
        <v>0</v>
      </c>
      <c r="AL7" s="388">
        <v>0</v>
      </c>
      <c r="AM7" s="388">
        <f t="shared" si="0"/>
        <v>0</v>
      </c>
    </row>
    <row r="8" spans="1:39" ht="15.75">
      <c r="A8" s="443">
        <v>3</v>
      </c>
      <c r="B8" s="441" t="s">
        <v>145</v>
      </c>
      <c r="C8" s="441" t="s">
        <v>143</v>
      </c>
      <c r="D8" s="442" t="s">
        <v>146</v>
      </c>
      <c r="E8" s="402" t="s">
        <v>137</v>
      </c>
      <c r="F8" s="388">
        <v>0</v>
      </c>
      <c r="G8" s="388">
        <v>0</v>
      </c>
      <c r="H8" s="388">
        <v>0</v>
      </c>
      <c r="I8" s="388">
        <v>0</v>
      </c>
      <c r="J8" s="388">
        <v>33.44</v>
      </c>
      <c r="K8" s="388">
        <v>0</v>
      </c>
      <c r="L8" s="388">
        <v>0</v>
      </c>
      <c r="M8" s="388">
        <v>0</v>
      </c>
      <c r="N8" s="388">
        <v>0</v>
      </c>
      <c r="O8" s="388">
        <v>0</v>
      </c>
      <c r="P8" s="388">
        <v>0</v>
      </c>
      <c r="Q8" s="388">
        <v>0</v>
      </c>
      <c r="R8" s="388">
        <v>35.53</v>
      </c>
      <c r="S8" s="388">
        <v>0</v>
      </c>
      <c r="T8" s="388">
        <v>0</v>
      </c>
      <c r="U8" s="388">
        <v>0</v>
      </c>
      <c r="V8" s="388">
        <v>0</v>
      </c>
      <c r="W8" s="388">
        <v>0</v>
      </c>
      <c r="X8" s="388">
        <v>0</v>
      </c>
      <c r="Y8" s="388">
        <v>0</v>
      </c>
      <c r="Z8" s="388">
        <v>0</v>
      </c>
      <c r="AA8" s="388">
        <v>0</v>
      </c>
      <c r="AB8" s="388">
        <v>33.44</v>
      </c>
      <c r="AC8" s="388">
        <v>0</v>
      </c>
      <c r="AD8" s="388">
        <v>0</v>
      </c>
      <c r="AE8" s="388">
        <v>0</v>
      </c>
      <c r="AF8" s="388">
        <v>0</v>
      </c>
      <c r="AG8" s="388">
        <v>0</v>
      </c>
      <c r="AH8" s="388">
        <v>0</v>
      </c>
      <c r="AI8" s="388">
        <v>0</v>
      </c>
      <c r="AJ8" s="388">
        <v>0</v>
      </c>
      <c r="AK8" s="388">
        <v>0</v>
      </c>
      <c r="AL8" s="388">
        <v>0</v>
      </c>
      <c r="AM8" s="388">
        <f t="shared" si="0"/>
        <v>102.41</v>
      </c>
    </row>
    <row r="9" spans="1:39" ht="15.75">
      <c r="A9" s="443"/>
      <c r="B9" s="441"/>
      <c r="C9" s="441"/>
      <c r="D9" s="442"/>
      <c r="E9" s="400" t="s">
        <v>141</v>
      </c>
      <c r="F9" s="388">
        <v>0</v>
      </c>
      <c r="G9" s="388">
        <v>0</v>
      </c>
      <c r="H9" s="388">
        <v>0</v>
      </c>
      <c r="I9" s="388">
        <v>0</v>
      </c>
      <c r="J9" s="388">
        <v>0</v>
      </c>
      <c r="K9" s="388">
        <v>0</v>
      </c>
      <c r="L9" s="388">
        <v>0</v>
      </c>
      <c r="M9" s="388">
        <v>0</v>
      </c>
      <c r="N9" s="388">
        <v>0</v>
      </c>
      <c r="O9" s="388">
        <v>0</v>
      </c>
      <c r="P9" s="388">
        <v>0</v>
      </c>
      <c r="Q9" s="388">
        <v>0</v>
      </c>
      <c r="R9" s="388">
        <v>0</v>
      </c>
      <c r="S9" s="388">
        <v>0</v>
      </c>
      <c r="T9" s="388">
        <v>0</v>
      </c>
      <c r="U9" s="388">
        <v>0</v>
      </c>
      <c r="V9" s="388">
        <v>0</v>
      </c>
      <c r="W9" s="388">
        <v>0</v>
      </c>
      <c r="X9" s="388">
        <v>0</v>
      </c>
      <c r="Y9" s="388">
        <v>0</v>
      </c>
      <c r="Z9" s="388">
        <v>0</v>
      </c>
      <c r="AA9" s="388"/>
      <c r="AB9" s="388">
        <v>0</v>
      </c>
      <c r="AC9" s="401">
        <v>0</v>
      </c>
      <c r="AD9" s="388">
        <v>0</v>
      </c>
      <c r="AE9" s="388">
        <v>0</v>
      </c>
      <c r="AF9" s="388">
        <v>0</v>
      </c>
      <c r="AG9" s="388">
        <v>0</v>
      </c>
      <c r="AH9" s="388">
        <v>0</v>
      </c>
      <c r="AI9" s="388">
        <v>0</v>
      </c>
      <c r="AJ9" s="388">
        <v>0</v>
      </c>
      <c r="AK9" s="388">
        <v>0</v>
      </c>
      <c r="AL9" s="388">
        <v>0</v>
      </c>
      <c r="AM9" s="388">
        <f t="shared" si="0"/>
        <v>0</v>
      </c>
    </row>
    <row r="10" spans="1:39" ht="15.75">
      <c r="A10" s="443">
        <v>4</v>
      </c>
      <c r="B10" s="441" t="s">
        <v>147</v>
      </c>
      <c r="C10" s="441" t="s">
        <v>143</v>
      </c>
      <c r="D10" s="442" t="s">
        <v>148</v>
      </c>
      <c r="E10" s="402" t="s">
        <v>137</v>
      </c>
      <c r="F10" s="388">
        <v>0</v>
      </c>
      <c r="G10" s="388">
        <v>0</v>
      </c>
      <c r="H10" s="388">
        <v>0</v>
      </c>
      <c r="I10" s="388">
        <v>0</v>
      </c>
      <c r="J10" s="388">
        <v>0</v>
      </c>
      <c r="K10" s="388">
        <v>0</v>
      </c>
      <c r="L10" s="388">
        <v>0</v>
      </c>
      <c r="M10" s="388">
        <v>0</v>
      </c>
      <c r="N10" s="388">
        <v>0</v>
      </c>
      <c r="O10" s="388">
        <v>0</v>
      </c>
      <c r="P10" s="388">
        <v>49.22</v>
      </c>
      <c r="Q10" s="388">
        <v>0</v>
      </c>
      <c r="R10" s="388">
        <v>0</v>
      </c>
      <c r="S10" s="388">
        <v>0</v>
      </c>
      <c r="T10" s="388">
        <v>0</v>
      </c>
      <c r="U10" s="388">
        <v>54.57</v>
      </c>
      <c r="V10" s="388">
        <v>0</v>
      </c>
      <c r="W10" s="388">
        <v>0</v>
      </c>
      <c r="X10" s="388">
        <v>0</v>
      </c>
      <c r="Y10" s="388">
        <v>0</v>
      </c>
      <c r="Z10" s="388">
        <v>0</v>
      </c>
      <c r="AA10" s="388">
        <v>0</v>
      </c>
      <c r="AB10" s="388">
        <v>0</v>
      </c>
      <c r="AC10" s="388">
        <v>0</v>
      </c>
      <c r="AD10" s="388">
        <v>49.8</v>
      </c>
      <c r="AE10" s="388">
        <v>0</v>
      </c>
      <c r="AF10" s="388">
        <v>0</v>
      </c>
      <c r="AG10" s="388">
        <v>0</v>
      </c>
      <c r="AH10" s="388">
        <v>0</v>
      </c>
      <c r="AI10" s="388">
        <v>0</v>
      </c>
      <c r="AJ10" s="388">
        <v>0</v>
      </c>
      <c r="AK10" s="388">
        <v>0</v>
      </c>
      <c r="AL10" s="388">
        <v>0</v>
      </c>
      <c r="AM10" s="388">
        <f t="shared" si="0"/>
        <v>153.58999999999997</v>
      </c>
    </row>
    <row r="11" spans="1:39" ht="15.75">
      <c r="A11" s="443"/>
      <c r="B11" s="441"/>
      <c r="C11" s="441"/>
      <c r="D11" s="442"/>
      <c r="E11" s="400" t="s">
        <v>141</v>
      </c>
      <c r="F11" s="388">
        <v>0</v>
      </c>
      <c r="G11" s="388">
        <v>0</v>
      </c>
      <c r="H11" s="388">
        <v>0</v>
      </c>
      <c r="I11" s="388">
        <v>0</v>
      </c>
      <c r="J11" s="388">
        <v>0</v>
      </c>
      <c r="K11" s="388">
        <v>0</v>
      </c>
      <c r="L11" s="388">
        <v>0</v>
      </c>
      <c r="M11" s="388">
        <v>0</v>
      </c>
      <c r="N11" s="388">
        <v>0</v>
      </c>
      <c r="O11" s="388">
        <v>0</v>
      </c>
      <c r="P11" s="388">
        <v>0</v>
      </c>
      <c r="Q11" s="388">
        <v>0</v>
      </c>
      <c r="R11" s="388">
        <v>0</v>
      </c>
      <c r="S11" s="388">
        <v>0</v>
      </c>
      <c r="T11" s="388">
        <v>0</v>
      </c>
      <c r="U11" s="388">
        <v>0</v>
      </c>
      <c r="V11" s="388">
        <v>0</v>
      </c>
      <c r="W11" s="388">
        <v>0</v>
      </c>
      <c r="X11" s="388">
        <v>0</v>
      </c>
      <c r="Y11" s="388">
        <v>0</v>
      </c>
      <c r="Z11" s="388">
        <v>0</v>
      </c>
      <c r="AA11" s="388"/>
      <c r="AB11" s="388">
        <v>0</v>
      </c>
      <c r="AC11" s="401">
        <v>0</v>
      </c>
      <c r="AD11" s="388">
        <v>0</v>
      </c>
      <c r="AE11" s="388">
        <v>0</v>
      </c>
      <c r="AF11" s="388">
        <v>0</v>
      </c>
      <c r="AG11" s="388">
        <v>0</v>
      </c>
      <c r="AH11" s="388">
        <v>0</v>
      </c>
      <c r="AI11" s="388">
        <v>0</v>
      </c>
      <c r="AJ11" s="388">
        <v>0</v>
      </c>
      <c r="AK11" s="388">
        <v>0</v>
      </c>
      <c r="AL11" s="388">
        <v>0</v>
      </c>
      <c r="AM11" s="388">
        <f t="shared" si="0"/>
        <v>0</v>
      </c>
    </row>
    <row r="12" spans="1:39" ht="15.75">
      <c r="A12" s="443">
        <v>5</v>
      </c>
      <c r="B12" s="441" t="s">
        <v>149</v>
      </c>
      <c r="C12" s="441" t="s">
        <v>150</v>
      </c>
      <c r="D12" s="442" t="s">
        <v>151</v>
      </c>
      <c r="E12" s="402" t="s">
        <v>137</v>
      </c>
      <c r="F12" s="388">
        <v>0</v>
      </c>
      <c r="G12" s="388">
        <v>0</v>
      </c>
      <c r="H12" s="388">
        <v>0</v>
      </c>
      <c r="I12" s="388">
        <v>0</v>
      </c>
      <c r="J12" s="388">
        <v>0</v>
      </c>
      <c r="K12" s="388">
        <v>0</v>
      </c>
      <c r="L12" s="388">
        <v>0</v>
      </c>
      <c r="M12" s="388">
        <v>0</v>
      </c>
      <c r="N12" s="388">
        <v>86.29</v>
      </c>
      <c r="O12" s="388">
        <v>0</v>
      </c>
      <c r="P12" s="388">
        <v>0</v>
      </c>
      <c r="Q12" s="388">
        <v>0</v>
      </c>
      <c r="R12" s="388">
        <v>0</v>
      </c>
      <c r="S12" s="388">
        <v>0</v>
      </c>
      <c r="T12" s="388">
        <v>0</v>
      </c>
      <c r="U12" s="388">
        <v>0</v>
      </c>
      <c r="V12" s="388">
        <v>0</v>
      </c>
      <c r="W12" s="388">
        <v>0</v>
      </c>
      <c r="X12" s="388">
        <v>0</v>
      </c>
      <c r="Y12" s="388">
        <v>0</v>
      </c>
      <c r="Z12" s="388">
        <v>0</v>
      </c>
      <c r="AA12" s="388">
        <v>0</v>
      </c>
      <c r="AB12" s="388">
        <v>0</v>
      </c>
      <c r="AC12" s="388">
        <v>0</v>
      </c>
      <c r="AD12" s="388">
        <v>145.61000000000001</v>
      </c>
      <c r="AE12" s="388">
        <v>0</v>
      </c>
      <c r="AF12" s="388">
        <v>0</v>
      </c>
      <c r="AG12" s="388">
        <v>0</v>
      </c>
      <c r="AH12" s="388">
        <v>0</v>
      </c>
      <c r="AI12" s="388">
        <v>0</v>
      </c>
      <c r="AJ12" s="388">
        <v>0</v>
      </c>
      <c r="AK12" s="388">
        <v>0</v>
      </c>
      <c r="AL12" s="388">
        <v>0</v>
      </c>
      <c r="AM12" s="388">
        <f t="shared" si="0"/>
        <v>231.90000000000003</v>
      </c>
    </row>
    <row r="13" spans="1:39" ht="15.75">
      <c r="A13" s="443"/>
      <c r="B13" s="441"/>
      <c r="C13" s="441"/>
      <c r="D13" s="442"/>
      <c r="E13" s="400" t="s">
        <v>141</v>
      </c>
      <c r="F13" s="388">
        <v>0</v>
      </c>
      <c r="G13" s="388">
        <v>0</v>
      </c>
      <c r="H13" s="388">
        <v>0</v>
      </c>
      <c r="I13" s="388">
        <v>0</v>
      </c>
      <c r="J13" s="388">
        <v>0</v>
      </c>
      <c r="K13" s="388">
        <v>0</v>
      </c>
      <c r="L13" s="388">
        <v>0</v>
      </c>
      <c r="M13" s="388">
        <v>0</v>
      </c>
      <c r="N13" s="388">
        <v>0</v>
      </c>
      <c r="O13" s="388">
        <v>0</v>
      </c>
      <c r="P13" s="388">
        <v>0</v>
      </c>
      <c r="Q13" s="388">
        <v>0</v>
      </c>
      <c r="R13" s="388">
        <v>0</v>
      </c>
      <c r="S13" s="388">
        <v>0</v>
      </c>
      <c r="T13" s="388">
        <v>0</v>
      </c>
      <c r="U13" s="388">
        <v>0</v>
      </c>
      <c r="V13" s="388">
        <v>0</v>
      </c>
      <c r="W13" s="388">
        <v>0</v>
      </c>
      <c r="X13" s="388">
        <v>0</v>
      </c>
      <c r="Y13" s="388">
        <v>0</v>
      </c>
      <c r="Z13" s="388">
        <v>0</v>
      </c>
      <c r="AA13" s="388"/>
      <c r="AB13" s="388">
        <v>0</v>
      </c>
      <c r="AC13" s="401">
        <v>0</v>
      </c>
      <c r="AD13" s="388">
        <v>0</v>
      </c>
      <c r="AE13" s="388">
        <v>0</v>
      </c>
      <c r="AF13" s="388">
        <v>0</v>
      </c>
      <c r="AG13" s="388">
        <v>0</v>
      </c>
      <c r="AH13" s="388">
        <v>0</v>
      </c>
      <c r="AI13" s="388">
        <v>0</v>
      </c>
      <c r="AJ13" s="388">
        <v>0</v>
      </c>
      <c r="AK13" s="388">
        <v>0</v>
      </c>
      <c r="AL13" s="388">
        <v>0</v>
      </c>
      <c r="AM13" s="388">
        <f t="shared" si="0"/>
        <v>0</v>
      </c>
    </row>
    <row r="14" spans="1:39" ht="15.75">
      <c r="A14" s="443">
        <v>6</v>
      </c>
      <c r="B14" s="441" t="s">
        <v>149</v>
      </c>
      <c r="C14" s="441" t="s">
        <v>152</v>
      </c>
      <c r="D14" s="442" t="s">
        <v>153</v>
      </c>
      <c r="E14" s="402" t="s">
        <v>137</v>
      </c>
      <c r="F14" s="388">
        <v>0</v>
      </c>
      <c r="G14" s="388">
        <v>0</v>
      </c>
      <c r="H14" s="388">
        <v>0</v>
      </c>
      <c r="I14" s="388">
        <v>0</v>
      </c>
      <c r="J14" s="388">
        <v>0</v>
      </c>
      <c r="K14" s="388">
        <v>0</v>
      </c>
      <c r="L14" s="388">
        <v>40</v>
      </c>
      <c r="M14" s="388">
        <v>40</v>
      </c>
      <c r="N14" s="388">
        <v>0</v>
      </c>
      <c r="O14" s="388">
        <v>36</v>
      </c>
      <c r="P14" s="388">
        <v>35</v>
      </c>
      <c r="Q14" s="388">
        <v>0</v>
      </c>
      <c r="R14" s="388">
        <v>0</v>
      </c>
      <c r="S14" s="388">
        <v>0</v>
      </c>
      <c r="T14" s="388">
        <v>0</v>
      </c>
      <c r="U14" s="388">
        <v>0</v>
      </c>
      <c r="V14" s="388">
        <v>0</v>
      </c>
      <c r="W14" s="388">
        <v>45</v>
      </c>
      <c r="X14" s="388">
        <v>45</v>
      </c>
      <c r="Y14" s="388">
        <v>43.53</v>
      </c>
      <c r="Z14" s="388">
        <v>40</v>
      </c>
      <c r="AA14" s="388">
        <v>43</v>
      </c>
      <c r="AB14" s="388">
        <v>0</v>
      </c>
      <c r="AC14" s="388">
        <v>40</v>
      </c>
      <c r="AD14" s="388">
        <v>0</v>
      </c>
      <c r="AE14" s="388">
        <v>40</v>
      </c>
      <c r="AF14" s="388">
        <v>0</v>
      </c>
      <c r="AG14" s="388">
        <v>0</v>
      </c>
      <c r="AH14" s="388">
        <v>0</v>
      </c>
      <c r="AI14" s="388">
        <v>0</v>
      </c>
      <c r="AJ14" s="388">
        <v>0</v>
      </c>
      <c r="AK14" s="388">
        <v>0</v>
      </c>
      <c r="AL14" s="388">
        <v>0</v>
      </c>
      <c r="AM14" s="388">
        <f t="shared" si="0"/>
        <v>447.53</v>
      </c>
    </row>
    <row r="15" spans="1:39" ht="15.75">
      <c r="A15" s="443"/>
      <c r="B15" s="441"/>
      <c r="C15" s="441"/>
      <c r="D15" s="442"/>
      <c r="E15" s="400" t="s">
        <v>141</v>
      </c>
      <c r="F15" s="388">
        <v>0</v>
      </c>
      <c r="G15" s="388">
        <v>0</v>
      </c>
      <c r="H15" s="388">
        <v>0</v>
      </c>
      <c r="I15" s="388">
        <v>0</v>
      </c>
      <c r="J15" s="388">
        <v>0</v>
      </c>
      <c r="K15" s="388">
        <v>0</v>
      </c>
      <c r="L15" s="388">
        <v>0</v>
      </c>
      <c r="M15" s="388">
        <v>0</v>
      </c>
      <c r="N15" s="388">
        <v>0</v>
      </c>
      <c r="O15" s="388">
        <v>0</v>
      </c>
      <c r="P15" s="388">
        <v>0</v>
      </c>
      <c r="Q15" s="388">
        <v>0</v>
      </c>
      <c r="R15" s="388">
        <v>0</v>
      </c>
      <c r="S15" s="388">
        <v>0</v>
      </c>
      <c r="T15" s="388">
        <v>0</v>
      </c>
      <c r="U15" s="388">
        <v>0</v>
      </c>
      <c r="V15" s="388">
        <v>0</v>
      </c>
      <c r="W15" s="388">
        <v>0</v>
      </c>
      <c r="X15" s="388">
        <v>0</v>
      </c>
      <c r="Y15" s="388">
        <v>0</v>
      </c>
      <c r="Z15" s="388">
        <v>0</v>
      </c>
      <c r="AA15" s="388"/>
      <c r="AB15" s="388">
        <v>0</v>
      </c>
      <c r="AC15" s="401">
        <v>0</v>
      </c>
      <c r="AD15" s="388">
        <v>0</v>
      </c>
      <c r="AE15" s="388">
        <v>0</v>
      </c>
      <c r="AF15" s="388">
        <v>0</v>
      </c>
      <c r="AG15" s="388">
        <v>0</v>
      </c>
      <c r="AH15" s="388">
        <v>0</v>
      </c>
      <c r="AI15" s="388">
        <v>0</v>
      </c>
      <c r="AJ15" s="388">
        <v>0</v>
      </c>
      <c r="AK15" s="388">
        <v>0</v>
      </c>
      <c r="AL15" s="388">
        <v>0</v>
      </c>
      <c r="AM15" s="388">
        <f t="shared" si="0"/>
        <v>0</v>
      </c>
    </row>
    <row r="18" spans="7:7">
      <c r="G18" t="s">
        <v>154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T50"/>
  <sheetViews>
    <sheetView topLeftCell="A17" workbookViewId="0">
      <selection activeCell="S25" sqref="S25"/>
    </sheetView>
  </sheetViews>
  <sheetFormatPr defaultRowHeight="15"/>
  <cols>
    <col min="7" max="7" width="10.42578125" bestFit="1" customWidth="1"/>
    <col min="11" max="11" width="10.42578125" bestFit="1" customWidth="1"/>
    <col min="12" max="12" width="9.5703125" bestFit="1" customWidth="1"/>
    <col min="16" max="16" width="13.5703125" bestFit="1" customWidth="1"/>
  </cols>
  <sheetData>
    <row r="1" spans="1:17" ht="15.75">
      <c r="A1" s="444" t="s">
        <v>16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</row>
    <row r="2" spans="1:17" ht="27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45" t="s">
        <v>162</v>
      </c>
      <c r="L2" s="145" t="s">
        <v>163</v>
      </c>
      <c r="M2" s="145" t="s">
        <v>164</v>
      </c>
      <c r="N2" s="107" t="s">
        <v>165</v>
      </c>
    </row>
    <row r="3" spans="1:17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132"/>
      <c r="L3" s="234"/>
      <c r="M3" s="334">
        <v>32600.612700000001</v>
      </c>
      <c r="N3" s="235"/>
    </row>
    <row r="4" spans="1:17">
      <c r="A4" s="26">
        <v>1</v>
      </c>
      <c r="B4" s="27">
        <v>46054</v>
      </c>
      <c r="C4" s="108"/>
      <c r="D4" s="35"/>
      <c r="E4" s="37"/>
      <c r="F4" s="37"/>
      <c r="G4" s="37">
        <f>E4*F4</f>
        <v>0</v>
      </c>
      <c r="H4" s="344">
        <v>0</v>
      </c>
      <c r="I4" s="344">
        <v>0</v>
      </c>
      <c r="J4" s="37">
        <f>H4*I4</f>
        <v>0</v>
      </c>
      <c r="K4" s="37">
        <f t="shared" ref="K4:L38" si="0">G4+J4</f>
        <v>0</v>
      </c>
      <c r="L4" s="199">
        <v>0</v>
      </c>
      <c r="M4" s="37">
        <f>M3+K4-L4</f>
        <v>32600.612700000001</v>
      </c>
      <c r="N4" s="236"/>
      <c r="P4" s="22"/>
    </row>
    <row r="5" spans="1:17">
      <c r="A5" s="26">
        <v>2</v>
      </c>
      <c r="B5" s="27">
        <v>46055</v>
      </c>
      <c r="C5" s="108"/>
      <c r="D5" s="35"/>
      <c r="E5" s="37"/>
      <c r="F5" s="37"/>
      <c r="G5" s="37">
        <f t="shared" ref="G5:G37" si="1">E5*F5</f>
        <v>0</v>
      </c>
      <c r="H5" s="344">
        <v>0</v>
      </c>
      <c r="I5" s="344">
        <v>0</v>
      </c>
      <c r="J5" s="37">
        <f t="shared" ref="J5:J13" si="2">H5*I5</f>
        <v>0</v>
      </c>
      <c r="K5" s="37">
        <f t="shared" si="0"/>
        <v>0</v>
      </c>
      <c r="L5" s="199">
        <v>0</v>
      </c>
      <c r="M5" s="37">
        <f t="shared" ref="M5:M6" si="3">M4+K5-L5</f>
        <v>32600.612700000001</v>
      </c>
      <c r="N5" s="237"/>
    </row>
    <row r="6" spans="1:17">
      <c r="A6" s="26">
        <v>3</v>
      </c>
      <c r="B6" s="27">
        <v>46056</v>
      </c>
      <c r="C6" s="108"/>
      <c r="D6" s="35"/>
      <c r="E6" s="37"/>
      <c r="F6" s="37"/>
      <c r="G6" s="37">
        <f t="shared" si="1"/>
        <v>0</v>
      </c>
      <c r="H6" s="344">
        <v>0</v>
      </c>
      <c r="I6" s="344">
        <v>0</v>
      </c>
      <c r="J6" s="37">
        <f t="shared" si="2"/>
        <v>0</v>
      </c>
      <c r="K6" s="37">
        <f t="shared" si="0"/>
        <v>0</v>
      </c>
      <c r="L6" s="199">
        <v>0</v>
      </c>
      <c r="M6" s="37">
        <f t="shared" si="3"/>
        <v>32600.612700000001</v>
      </c>
      <c r="N6" s="238"/>
    </row>
    <row r="7" spans="1:17">
      <c r="A7" s="26">
        <v>4</v>
      </c>
      <c r="B7" s="27">
        <v>46057</v>
      </c>
      <c r="C7" s="108"/>
      <c r="D7" s="35"/>
      <c r="E7" s="67">
        <v>55.14</v>
      </c>
      <c r="F7" s="67">
        <v>95.64</v>
      </c>
      <c r="G7" s="37">
        <f t="shared" si="1"/>
        <v>5273.5896000000002</v>
      </c>
      <c r="H7" s="344">
        <v>0</v>
      </c>
      <c r="I7" s="344">
        <v>0</v>
      </c>
      <c r="J7" s="37">
        <f t="shared" si="2"/>
        <v>0</v>
      </c>
      <c r="K7" s="37">
        <f t="shared" si="0"/>
        <v>5273.5896000000002</v>
      </c>
      <c r="L7" s="199">
        <v>5273.59</v>
      </c>
      <c r="M7" s="37">
        <f>M6+K7-L7</f>
        <v>32600.612300000004</v>
      </c>
      <c r="N7" s="200" t="s">
        <v>167</v>
      </c>
    </row>
    <row r="8" spans="1:17">
      <c r="A8" s="26"/>
      <c r="B8" s="27">
        <v>46057</v>
      </c>
      <c r="C8" s="33"/>
      <c r="D8" s="35"/>
      <c r="E8" s="67"/>
      <c r="F8" s="67"/>
      <c r="G8" s="37"/>
      <c r="H8" s="344"/>
      <c r="I8" s="344"/>
      <c r="J8" s="37"/>
      <c r="K8" s="37"/>
      <c r="L8" s="199">
        <v>32600</v>
      </c>
      <c r="M8" s="37">
        <f t="shared" ref="M8:M38" si="4">M7+K8-L8</f>
        <v>0.61230000000432483</v>
      </c>
      <c r="N8" s="200"/>
    </row>
    <row r="9" spans="1:17">
      <c r="A9" s="26">
        <v>5</v>
      </c>
      <c r="B9" s="27">
        <v>46058</v>
      </c>
      <c r="C9" s="34"/>
      <c r="D9" s="35"/>
      <c r="E9" s="37">
        <v>170</v>
      </c>
      <c r="F9" s="37">
        <v>95.83</v>
      </c>
      <c r="G9" s="37">
        <f t="shared" si="1"/>
        <v>16291.1</v>
      </c>
      <c r="H9" s="344">
        <v>0</v>
      </c>
      <c r="I9" s="344">
        <v>0</v>
      </c>
      <c r="J9" s="37">
        <f t="shared" si="2"/>
        <v>0</v>
      </c>
      <c r="K9" s="37">
        <f t="shared" si="0"/>
        <v>16291.1</v>
      </c>
      <c r="L9" s="199">
        <v>0</v>
      </c>
      <c r="M9" s="37">
        <f t="shared" si="4"/>
        <v>16291.712300000005</v>
      </c>
      <c r="N9" s="200"/>
    </row>
    <row r="10" spans="1:17">
      <c r="A10" s="26">
        <v>6</v>
      </c>
      <c r="B10" s="27">
        <v>46058</v>
      </c>
      <c r="C10" s="34"/>
      <c r="D10" s="35"/>
      <c r="E10" s="37">
        <v>68.97</v>
      </c>
      <c r="F10" s="37">
        <v>95.7</v>
      </c>
      <c r="G10" s="37">
        <f t="shared" si="1"/>
        <v>6600.4290000000001</v>
      </c>
      <c r="H10" s="344"/>
      <c r="I10" s="344"/>
      <c r="J10" s="37"/>
      <c r="K10" s="37">
        <f t="shared" si="0"/>
        <v>6600.4290000000001</v>
      </c>
      <c r="L10" s="199">
        <v>6600.43</v>
      </c>
      <c r="M10" s="37">
        <f t="shared" si="4"/>
        <v>16291.711300000003</v>
      </c>
      <c r="N10" s="239" t="s">
        <v>168</v>
      </c>
    </row>
    <row r="11" spans="1:17">
      <c r="A11" s="26">
        <v>7</v>
      </c>
      <c r="B11" s="27">
        <v>46058</v>
      </c>
      <c r="C11" s="34"/>
      <c r="D11" s="35"/>
      <c r="E11" s="67">
        <v>0</v>
      </c>
      <c r="F11" s="67">
        <v>0</v>
      </c>
      <c r="G11" s="37">
        <f t="shared" si="1"/>
        <v>0</v>
      </c>
      <c r="H11" s="344">
        <v>0</v>
      </c>
      <c r="I11" s="344">
        <v>0</v>
      </c>
      <c r="J11" s="37">
        <f t="shared" si="2"/>
        <v>0</v>
      </c>
      <c r="K11" s="37">
        <f t="shared" si="0"/>
        <v>0</v>
      </c>
      <c r="L11" s="37">
        <f>H11+K11</f>
        <v>0</v>
      </c>
      <c r="M11" s="37">
        <f t="shared" si="4"/>
        <v>16291.711300000003</v>
      </c>
      <c r="N11" s="17"/>
    </row>
    <row r="12" spans="1:17">
      <c r="A12" s="26">
        <v>8</v>
      </c>
      <c r="B12" s="27">
        <v>46060</v>
      </c>
      <c r="C12" s="34"/>
      <c r="D12" s="35"/>
      <c r="E12" s="37"/>
      <c r="F12" s="37"/>
      <c r="G12" s="37">
        <f t="shared" si="1"/>
        <v>0</v>
      </c>
      <c r="H12" s="344">
        <v>0</v>
      </c>
      <c r="I12" s="344">
        <v>0</v>
      </c>
      <c r="J12" s="37">
        <f t="shared" si="2"/>
        <v>0</v>
      </c>
      <c r="K12" s="37">
        <f t="shared" si="0"/>
        <v>0</v>
      </c>
      <c r="L12" s="199">
        <v>0</v>
      </c>
      <c r="M12" s="37">
        <f t="shared" si="4"/>
        <v>16291.711300000003</v>
      </c>
      <c r="N12" s="431"/>
    </row>
    <row r="13" spans="1:17">
      <c r="A13" s="26">
        <v>9</v>
      </c>
      <c r="B13" s="27">
        <v>46061</v>
      </c>
      <c r="C13" s="34"/>
      <c r="D13" s="35"/>
      <c r="E13" s="37"/>
      <c r="F13" s="37"/>
      <c r="G13" s="37">
        <f t="shared" si="1"/>
        <v>0</v>
      </c>
      <c r="H13" s="344">
        <v>0</v>
      </c>
      <c r="I13" s="344">
        <v>0</v>
      </c>
      <c r="J13" s="37">
        <f t="shared" si="2"/>
        <v>0</v>
      </c>
      <c r="K13" s="37">
        <f t="shared" si="0"/>
        <v>0</v>
      </c>
      <c r="L13" s="199">
        <v>0</v>
      </c>
      <c r="M13" s="37">
        <f t="shared" si="4"/>
        <v>16291.711300000003</v>
      </c>
      <c r="N13" s="200"/>
    </row>
    <row r="14" spans="1:17">
      <c r="A14" s="26">
        <v>10</v>
      </c>
      <c r="B14" s="27">
        <v>46062</v>
      </c>
      <c r="C14" s="34"/>
      <c r="D14" s="35"/>
      <c r="E14" s="37"/>
      <c r="F14" s="37"/>
      <c r="G14" s="37">
        <f t="shared" si="1"/>
        <v>0</v>
      </c>
      <c r="H14" s="344">
        <v>0</v>
      </c>
      <c r="I14" s="344">
        <v>0</v>
      </c>
      <c r="J14" s="37"/>
      <c r="K14" s="37">
        <f t="shared" si="0"/>
        <v>0</v>
      </c>
      <c r="L14" s="199">
        <v>0</v>
      </c>
      <c r="M14" s="37">
        <f t="shared" si="4"/>
        <v>16291.711300000003</v>
      </c>
      <c r="N14" s="200"/>
    </row>
    <row r="15" spans="1:17">
      <c r="A15" s="26">
        <v>11</v>
      </c>
      <c r="B15" s="27">
        <v>46063</v>
      </c>
      <c r="C15" s="34"/>
      <c r="D15" s="35"/>
      <c r="E15" s="37"/>
      <c r="F15" s="37"/>
      <c r="G15" s="37">
        <f t="shared" si="1"/>
        <v>0</v>
      </c>
      <c r="H15" s="344">
        <v>0</v>
      </c>
      <c r="I15" s="344">
        <v>0</v>
      </c>
      <c r="J15" s="37"/>
      <c r="K15" s="37">
        <f t="shared" si="0"/>
        <v>0</v>
      </c>
      <c r="L15" s="199">
        <v>0</v>
      </c>
      <c r="M15" s="37">
        <f t="shared" si="4"/>
        <v>16291.711300000003</v>
      </c>
      <c r="N15" s="200"/>
    </row>
    <row r="16" spans="1:17">
      <c r="A16" s="26">
        <v>12</v>
      </c>
      <c r="B16" s="27">
        <v>46064</v>
      </c>
      <c r="C16" s="34"/>
      <c r="D16" s="35"/>
      <c r="E16" s="37">
        <v>200</v>
      </c>
      <c r="F16" s="37">
        <v>95.83</v>
      </c>
      <c r="G16" s="37">
        <f t="shared" si="1"/>
        <v>19166</v>
      </c>
      <c r="H16" s="344">
        <v>0</v>
      </c>
      <c r="I16" s="344">
        <v>0</v>
      </c>
      <c r="J16" s="37"/>
      <c r="K16" s="37">
        <f t="shared" si="0"/>
        <v>19166</v>
      </c>
      <c r="L16" s="199">
        <v>0</v>
      </c>
      <c r="M16" s="37">
        <f t="shared" si="4"/>
        <v>35457.711300000003</v>
      </c>
      <c r="N16" s="200"/>
      <c r="Q16" s="176"/>
    </row>
    <row r="17" spans="1:20">
      <c r="A17" s="26">
        <v>13</v>
      </c>
      <c r="B17" s="27">
        <v>46065</v>
      </c>
      <c r="C17" s="34"/>
      <c r="D17" s="35"/>
      <c r="E17" s="37"/>
      <c r="F17" s="37"/>
      <c r="G17" s="37">
        <f t="shared" si="1"/>
        <v>0</v>
      </c>
      <c r="H17" s="344">
        <v>0</v>
      </c>
      <c r="I17" s="344">
        <v>0</v>
      </c>
      <c r="J17" s="37"/>
      <c r="K17" s="37">
        <f t="shared" si="0"/>
        <v>0</v>
      </c>
      <c r="L17" s="199">
        <v>0</v>
      </c>
      <c r="M17" s="37">
        <f t="shared" si="4"/>
        <v>35457.711300000003</v>
      </c>
      <c r="N17" s="200"/>
    </row>
    <row r="18" spans="1:20">
      <c r="A18" s="26">
        <v>14</v>
      </c>
      <c r="B18" s="27">
        <v>46066</v>
      </c>
      <c r="C18" s="34"/>
      <c r="D18" s="35"/>
      <c r="E18" s="37"/>
      <c r="F18" s="37"/>
      <c r="G18" s="37">
        <f t="shared" si="1"/>
        <v>0</v>
      </c>
      <c r="H18" s="344">
        <v>0</v>
      </c>
      <c r="I18" s="344">
        <v>0</v>
      </c>
      <c r="J18" s="37">
        <f t="shared" ref="J18:J48" si="5">H18*I18</f>
        <v>0</v>
      </c>
      <c r="K18" s="37">
        <f t="shared" si="0"/>
        <v>0</v>
      </c>
      <c r="L18" s="199">
        <v>0</v>
      </c>
      <c r="M18" s="37">
        <f t="shared" si="4"/>
        <v>35457.711300000003</v>
      </c>
      <c r="N18" s="200"/>
    </row>
    <row r="19" spans="1:20">
      <c r="A19" s="26">
        <v>15</v>
      </c>
      <c r="B19" s="27">
        <v>46067</v>
      </c>
      <c r="C19" s="34"/>
      <c r="D19" s="35"/>
      <c r="E19" s="37"/>
      <c r="F19" s="37"/>
      <c r="G19" s="37">
        <f t="shared" si="1"/>
        <v>0</v>
      </c>
      <c r="H19" s="344">
        <v>0</v>
      </c>
      <c r="I19" s="344">
        <v>0</v>
      </c>
      <c r="J19" s="37">
        <f t="shared" si="5"/>
        <v>0</v>
      </c>
      <c r="K19" s="37">
        <f t="shared" si="0"/>
        <v>0</v>
      </c>
      <c r="L19" s="199">
        <v>0</v>
      </c>
      <c r="M19" s="37">
        <f t="shared" si="4"/>
        <v>35457.711300000003</v>
      </c>
      <c r="N19" s="200"/>
    </row>
    <row r="20" spans="1:20">
      <c r="A20" s="26">
        <v>16</v>
      </c>
      <c r="B20" s="27">
        <v>46068</v>
      </c>
      <c r="C20" s="170"/>
      <c r="D20" s="35"/>
      <c r="E20" s="37"/>
      <c r="F20" s="37"/>
      <c r="G20" s="37">
        <f t="shared" si="1"/>
        <v>0</v>
      </c>
      <c r="H20" s="344">
        <v>0</v>
      </c>
      <c r="I20" s="344">
        <v>0</v>
      </c>
      <c r="J20" s="37">
        <f t="shared" si="5"/>
        <v>0</v>
      </c>
      <c r="K20" s="37">
        <f t="shared" si="0"/>
        <v>0</v>
      </c>
      <c r="L20" s="199">
        <v>0</v>
      </c>
      <c r="M20" s="37">
        <f t="shared" si="4"/>
        <v>35457.711300000003</v>
      </c>
      <c r="N20" s="239"/>
      <c r="S20">
        <v>16291</v>
      </c>
    </row>
    <row r="21" spans="1:20">
      <c r="A21" s="26">
        <v>17</v>
      </c>
      <c r="B21" s="27">
        <v>46069</v>
      </c>
      <c r="C21" s="108"/>
      <c r="D21" s="35"/>
      <c r="E21" s="37"/>
      <c r="F21" s="37"/>
      <c r="G21" s="37">
        <f t="shared" si="1"/>
        <v>0</v>
      </c>
      <c r="H21" s="344">
        <v>0</v>
      </c>
      <c r="I21" s="344">
        <v>0</v>
      </c>
      <c r="J21" s="37">
        <f t="shared" si="5"/>
        <v>0</v>
      </c>
      <c r="K21" s="37">
        <f t="shared" si="0"/>
        <v>0</v>
      </c>
      <c r="L21" s="199">
        <v>0</v>
      </c>
      <c r="M21" s="37">
        <f t="shared" si="4"/>
        <v>35457.711300000003</v>
      </c>
      <c r="N21" s="239"/>
      <c r="S21">
        <v>19166</v>
      </c>
    </row>
    <row r="22" spans="1:20">
      <c r="A22" s="26">
        <v>18</v>
      </c>
      <c r="B22" s="27">
        <v>46070</v>
      </c>
      <c r="C22" s="182"/>
      <c r="D22" s="35"/>
      <c r="E22" s="37">
        <v>190.1</v>
      </c>
      <c r="F22" s="37">
        <v>95.83</v>
      </c>
      <c r="G22" s="37">
        <f t="shared" si="1"/>
        <v>18217.282999999999</v>
      </c>
      <c r="H22" s="344"/>
      <c r="I22" s="344"/>
      <c r="J22" s="37">
        <f t="shared" si="5"/>
        <v>0</v>
      </c>
      <c r="K22" s="37">
        <f t="shared" si="0"/>
        <v>18217.282999999999</v>
      </c>
      <c r="L22" s="199">
        <v>0</v>
      </c>
      <c r="M22" s="37">
        <f t="shared" si="4"/>
        <v>53674.994300000006</v>
      </c>
      <c r="N22" s="239"/>
      <c r="S22">
        <v>18217</v>
      </c>
    </row>
    <row r="23" spans="1:20">
      <c r="A23" s="26">
        <v>19</v>
      </c>
      <c r="B23" s="27">
        <v>46071</v>
      </c>
      <c r="C23" s="182"/>
      <c r="D23" s="35"/>
      <c r="E23" s="37"/>
      <c r="F23" s="37"/>
      <c r="G23" s="37">
        <f t="shared" si="1"/>
        <v>0</v>
      </c>
      <c r="H23" s="344"/>
      <c r="I23" s="344"/>
      <c r="J23" s="37">
        <f t="shared" si="5"/>
        <v>0</v>
      </c>
      <c r="K23" s="37">
        <f t="shared" si="0"/>
        <v>0</v>
      </c>
      <c r="L23" s="199">
        <v>0</v>
      </c>
      <c r="M23" s="37">
        <f t="shared" si="4"/>
        <v>53674.994300000006</v>
      </c>
      <c r="N23" s="239"/>
      <c r="S23">
        <v>16291</v>
      </c>
    </row>
    <row r="24" spans="1:20">
      <c r="A24" s="26">
        <v>20</v>
      </c>
      <c r="B24" s="27">
        <v>46072</v>
      </c>
      <c r="C24" s="108"/>
      <c r="D24" s="35"/>
      <c r="E24" s="37"/>
      <c r="F24" s="37"/>
      <c r="G24" s="37">
        <f t="shared" si="1"/>
        <v>0</v>
      </c>
      <c r="H24" s="344"/>
      <c r="I24" s="344"/>
      <c r="J24" s="37">
        <f t="shared" si="5"/>
        <v>0</v>
      </c>
      <c r="K24" s="37">
        <f t="shared" si="0"/>
        <v>0</v>
      </c>
      <c r="L24" s="199">
        <v>0</v>
      </c>
      <c r="M24" s="37">
        <f t="shared" si="4"/>
        <v>53674.994300000006</v>
      </c>
      <c r="N24" s="200"/>
      <c r="S24">
        <v>19522</v>
      </c>
      <c r="T24">
        <v>32598</v>
      </c>
    </row>
    <row r="25" spans="1:20">
      <c r="A25" s="26">
        <v>21</v>
      </c>
      <c r="B25" s="27">
        <v>46073</v>
      </c>
      <c r="C25" s="108"/>
      <c r="D25" s="35"/>
      <c r="E25" s="37">
        <v>0</v>
      </c>
      <c r="F25" s="37"/>
      <c r="G25" s="37">
        <f t="shared" si="1"/>
        <v>0</v>
      </c>
      <c r="H25" s="344"/>
      <c r="I25" s="344"/>
      <c r="J25" s="37">
        <f t="shared" si="5"/>
        <v>0</v>
      </c>
      <c r="K25" s="37">
        <f t="shared" si="0"/>
        <v>0</v>
      </c>
      <c r="L25" s="199">
        <v>0</v>
      </c>
      <c r="M25" s="37">
        <f t="shared" si="4"/>
        <v>53674.994300000006</v>
      </c>
      <c r="N25" s="200"/>
      <c r="S25">
        <f>SUM(S20:S24)</f>
        <v>89487</v>
      </c>
      <c r="T25">
        <f>T24+S25</f>
        <v>122085</v>
      </c>
    </row>
    <row r="26" spans="1:20">
      <c r="A26" s="26">
        <v>22</v>
      </c>
      <c r="B26" s="27">
        <v>46074</v>
      </c>
      <c r="C26" s="108"/>
      <c r="D26" s="35"/>
      <c r="E26" s="37">
        <v>170</v>
      </c>
      <c r="F26" s="37">
        <v>95.83</v>
      </c>
      <c r="G26" s="37">
        <f t="shared" si="1"/>
        <v>16291.1</v>
      </c>
      <c r="H26" s="344"/>
      <c r="I26" s="344"/>
      <c r="J26" s="37">
        <f t="shared" si="5"/>
        <v>0</v>
      </c>
      <c r="K26" s="37">
        <f t="shared" si="0"/>
        <v>16291.1</v>
      </c>
      <c r="L26" s="199">
        <v>0</v>
      </c>
      <c r="M26" s="37">
        <f t="shared" si="4"/>
        <v>69966.094300000012</v>
      </c>
      <c r="N26" s="200"/>
    </row>
    <row r="27" spans="1:20">
      <c r="A27" s="26">
        <v>23</v>
      </c>
      <c r="B27" s="27">
        <v>46075</v>
      </c>
      <c r="C27" s="108"/>
      <c r="D27" s="35"/>
      <c r="E27" s="37"/>
      <c r="F27" s="37"/>
      <c r="G27" s="37">
        <f t="shared" si="1"/>
        <v>0</v>
      </c>
      <c r="H27" s="344"/>
      <c r="I27" s="344"/>
      <c r="J27" s="37">
        <f t="shared" si="5"/>
        <v>0</v>
      </c>
      <c r="K27" s="37">
        <f t="shared" si="0"/>
        <v>0</v>
      </c>
      <c r="L27" s="199">
        <v>0</v>
      </c>
      <c r="M27" s="37">
        <f t="shared" si="4"/>
        <v>69966.094300000012</v>
      </c>
      <c r="N27" s="200"/>
    </row>
    <row r="28" spans="1:20">
      <c r="A28" s="26">
        <v>24</v>
      </c>
      <c r="B28" s="27">
        <v>46076</v>
      </c>
      <c r="C28" s="108"/>
      <c r="D28" s="35"/>
      <c r="E28" s="37"/>
      <c r="F28" s="37"/>
      <c r="G28" s="37">
        <f t="shared" si="1"/>
        <v>0</v>
      </c>
      <c r="H28" s="344"/>
      <c r="I28" s="344"/>
      <c r="J28" s="37">
        <f t="shared" si="5"/>
        <v>0</v>
      </c>
      <c r="K28" s="37">
        <f t="shared" si="0"/>
        <v>0</v>
      </c>
      <c r="L28" s="199">
        <v>0</v>
      </c>
      <c r="M28" s="37">
        <f t="shared" si="4"/>
        <v>69966.094300000012</v>
      </c>
      <c r="N28" s="200"/>
    </row>
    <row r="29" spans="1:20">
      <c r="A29" s="26">
        <v>25</v>
      </c>
      <c r="B29" s="27">
        <v>46077</v>
      </c>
      <c r="C29" s="108"/>
      <c r="D29" s="35"/>
      <c r="E29" s="37"/>
      <c r="F29" s="37"/>
      <c r="G29" s="37">
        <f t="shared" si="1"/>
        <v>0</v>
      </c>
      <c r="H29" s="344"/>
      <c r="I29" s="344"/>
      <c r="J29" s="37">
        <f t="shared" si="5"/>
        <v>0</v>
      </c>
      <c r="K29" s="37">
        <f t="shared" si="0"/>
        <v>0</v>
      </c>
      <c r="L29" s="199">
        <v>0</v>
      </c>
      <c r="M29" s="37">
        <f t="shared" si="4"/>
        <v>69966.094300000012</v>
      </c>
      <c r="N29" s="200"/>
    </row>
    <row r="30" spans="1:20">
      <c r="A30" s="26">
        <v>26</v>
      </c>
      <c r="B30" s="27">
        <v>46078</v>
      </c>
      <c r="C30" s="108"/>
      <c r="D30" s="35"/>
      <c r="E30" s="37"/>
      <c r="F30" s="37"/>
      <c r="G30" s="37">
        <f t="shared" si="1"/>
        <v>0</v>
      </c>
      <c r="H30" s="344"/>
      <c r="I30" s="344"/>
      <c r="J30" s="37">
        <f t="shared" si="5"/>
        <v>0</v>
      </c>
      <c r="K30" s="37">
        <f t="shared" si="0"/>
        <v>0</v>
      </c>
      <c r="L30" s="199">
        <v>0</v>
      </c>
      <c r="M30" s="37">
        <f t="shared" si="4"/>
        <v>69966.094300000012</v>
      </c>
      <c r="N30" s="200"/>
    </row>
    <row r="31" spans="1:20">
      <c r="A31" s="26">
        <v>27</v>
      </c>
      <c r="B31" s="27">
        <v>46079</v>
      </c>
      <c r="C31" s="108"/>
      <c r="D31" s="35"/>
      <c r="E31" s="433"/>
      <c r="F31" s="433"/>
      <c r="G31" s="37">
        <f t="shared" si="1"/>
        <v>0</v>
      </c>
      <c r="H31" s="344"/>
      <c r="I31" s="344"/>
      <c r="J31" s="37">
        <f t="shared" si="5"/>
        <v>0</v>
      </c>
      <c r="K31" s="37">
        <f t="shared" si="0"/>
        <v>0</v>
      </c>
      <c r="L31" s="199">
        <v>0</v>
      </c>
      <c r="M31" s="37">
        <f t="shared" si="4"/>
        <v>69966.094300000012</v>
      </c>
      <c r="N31" s="200"/>
    </row>
    <row r="32" spans="1:20">
      <c r="A32" s="26">
        <v>28</v>
      </c>
      <c r="B32" s="27">
        <v>46080</v>
      </c>
      <c r="C32" s="108"/>
      <c r="D32" s="432"/>
      <c r="E32" s="17"/>
      <c r="F32" s="17"/>
      <c r="G32" s="200">
        <f t="shared" si="1"/>
        <v>0</v>
      </c>
      <c r="H32" s="344"/>
      <c r="I32" s="344"/>
      <c r="J32" s="37">
        <f t="shared" si="5"/>
        <v>0</v>
      </c>
      <c r="K32" s="37">
        <f t="shared" si="0"/>
        <v>0</v>
      </c>
      <c r="L32" s="199"/>
      <c r="M32" s="37">
        <f t="shared" si="4"/>
        <v>69966.094300000012</v>
      </c>
      <c r="N32" s="200"/>
      <c r="R32">
        <v>203.72</v>
      </c>
      <c r="S32">
        <v>95.83</v>
      </c>
      <c r="T32">
        <v>19522.4876</v>
      </c>
    </row>
    <row r="33" spans="1:20">
      <c r="A33" s="26">
        <v>29</v>
      </c>
      <c r="B33" s="27">
        <v>46080</v>
      </c>
      <c r="C33" s="108"/>
      <c r="D33" s="432"/>
      <c r="E33" s="17">
        <v>203.72</v>
      </c>
      <c r="F33" s="17">
        <v>95.83</v>
      </c>
      <c r="G33" s="200">
        <f t="shared" si="1"/>
        <v>19522.4876</v>
      </c>
      <c r="H33" s="344"/>
      <c r="I33" s="344"/>
      <c r="J33" s="37"/>
      <c r="K33" s="37">
        <f t="shared" si="0"/>
        <v>19522.4876</v>
      </c>
      <c r="L33" s="199">
        <v>0</v>
      </c>
      <c r="M33" s="37">
        <f t="shared" si="4"/>
        <v>89488.581900000019</v>
      </c>
      <c r="N33" s="200"/>
      <c r="R33">
        <v>30</v>
      </c>
      <c r="S33">
        <v>95.7</v>
      </c>
      <c r="T33">
        <v>2871</v>
      </c>
    </row>
    <row r="34" spans="1:20">
      <c r="A34" s="26">
        <v>30</v>
      </c>
      <c r="B34" s="27">
        <v>46081</v>
      </c>
      <c r="C34" s="108"/>
      <c r="D34" s="35"/>
      <c r="E34">
        <v>30</v>
      </c>
      <c r="F34">
        <v>95.7</v>
      </c>
      <c r="G34" s="37">
        <f t="shared" si="1"/>
        <v>2871</v>
      </c>
      <c r="H34" s="344"/>
      <c r="I34" s="344"/>
      <c r="J34" s="37">
        <f t="shared" si="5"/>
        <v>0</v>
      </c>
      <c r="K34" s="37">
        <f t="shared" si="0"/>
        <v>2871</v>
      </c>
      <c r="L34" s="37">
        <f t="shared" si="0"/>
        <v>2871</v>
      </c>
      <c r="M34" s="37">
        <f t="shared" si="4"/>
        <v>89488.581900000019</v>
      </c>
      <c r="N34" s="200"/>
    </row>
    <row r="35" spans="1:20">
      <c r="A35" s="26">
        <v>31</v>
      </c>
      <c r="B35" s="27"/>
      <c r="C35" s="108"/>
      <c r="D35" s="35"/>
      <c r="E35" s="37"/>
      <c r="F35" s="37"/>
      <c r="G35" s="37">
        <f t="shared" si="1"/>
        <v>0</v>
      </c>
      <c r="H35" s="344"/>
      <c r="I35" s="344"/>
      <c r="J35" s="37">
        <f t="shared" si="5"/>
        <v>0</v>
      </c>
      <c r="K35" s="37">
        <f t="shared" si="0"/>
        <v>0</v>
      </c>
      <c r="L35" s="199"/>
      <c r="M35" s="37">
        <f t="shared" si="4"/>
        <v>89488.581900000019</v>
      </c>
      <c r="N35" s="200"/>
    </row>
    <row r="36" spans="1:20">
      <c r="A36" s="26">
        <v>32</v>
      </c>
      <c r="B36" s="27"/>
      <c r="C36" s="108"/>
      <c r="D36" s="35"/>
      <c r="E36" s="37"/>
      <c r="F36" s="37"/>
      <c r="G36" s="37">
        <f t="shared" ref="G36:G37" si="6">E36*F36</f>
        <v>0</v>
      </c>
      <c r="H36" s="344"/>
      <c r="I36" s="344"/>
      <c r="J36" s="37">
        <f t="shared" ref="J36:J37" si="7">H36*I36</f>
        <v>0</v>
      </c>
      <c r="K36" s="37">
        <f t="shared" ref="K36:K37" si="8">G36+J36</f>
        <v>0</v>
      </c>
      <c r="L36" s="199"/>
      <c r="M36" s="37">
        <f t="shared" si="4"/>
        <v>89488.581900000019</v>
      </c>
      <c r="N36" s="200"/>
    </row>
    <row r="37" spans="1:20">
      <c r="A37" s="26">
        <v>33</v>
      </c>
      <c r="B37" s="27"/>
      <c r="C37" s="108"/>
      <c r="D37" s="35"/>
      <c r="E37" s="37"/>
      <c r="F37" s="37"/>
      <c r="G37" s="37">
        <f t="shared" si="6"/>
        <v>0</v>
      </c>
      <c r="H37" s="344"/>
      <c r="I37" s="344"/>
      <c r="J37" s="37">
        <f t="shared" si="7"/>
        <v>0</v>
      </c>
      <c r="K37" s="37">
        <f t="shared" si="8"/>
        <v>0</v>
      </c>
      <c r="L37" s="199">
        <v>0</v>
      </c>
      <c r="M37" s="37">
        <f t="shared" si="4"/>
        <v>89488.581900000019</v>
      </c>
      <c r="N37" s="239"/>
      <c r="O37">
        <v>2669494</v>
      </c>
      <c r="P37" s="176">
        <f>O37-M37</f>
        <v>2580005.4180999999</v>
      </c>
    </row>
    <row r="38" spans="1:20">
      <c r="A38" s="369"/>
      <c r="B38" s="27"/>
      <c r="C38" s="33"/>
      <c r="D38" s="370"/>
      <c r="E38" s="37">
        <v>0</v>
      </c>
      <c r="F38" s="37">
        <v>0</v>
      </c>
      <c r="G38" s="37">
        <f>E38*F38</f>
        <v>0</v>
      </c>
      <c r="H38" s="37"/>
      <c r="I38" s="37"/>
      <c r="J38" s="37">
        <f t="shared" si="5"/>
        <v>0</v>
      </c>
      <c r="K38" s="37">
        <f t="shared" si="0"/>
        <v>0</v>
      </c>
      <c r="L38" s="39"/>
      <c r="M38" s="37">
        <f t="shared" si="4"/>
        <v>89488.581900000019</v>
      </c>
      <c r="N38" s="37"/>
    </row>
    <row r="39" spans="1:20">
      <c r="A39" s="183"/>
      <c r="B39" s="371"/>
      <c r="C39" s="371"/>
      <c r="D39" s="371"/>
      <c r="E39" s="372">
        <f>SUM(E4:E37)</f>
        <v>1087.93</v>
      </c>
      <c r="F39" s="372"/>
      <c r="G39" s="372">
        <f>SUM(G4:G37)</f>
        <v>104232.98920000001</v>
      </c>
      <c r="H39" s="372">
        <f>SUM(H4:H37)</f>
        <v>0</v>
      </c>
      <c r="I39" s="372"/>
      <c r="J39" s="372">
        <f>SUM(J4:J37)</f>
        <v>0</v>
      </c>
      <c r="K39" s="372">
        <f>SUM(K4:K37)</f>
        <v>104232.98920000001</v>
      </c>
      <c r="L39" s="372">
        <f>SUM(L4:L37)</f>
        <v>47345.02</v>
      </c>
      <c r="M39" s="373"/>
      <c r="N39" s="374"/>
    </row>
    <row r="40" spans="1:20">
      <c r="A40" s="38"/>
      <c r="B40" s="38"/>
      <c r="C40" s="38"/>
      <c r="D40" s="38"/>
      <c r="E40" s="375"/>
      <c r="F40" s="375"/>
      <c r="G40" s="375"/>
      <c r="H40" s="375"/>
      <c r="I40" s="375"/>
      <c r="J40" s="375"/>
      <c r="K40" s="375"/>
      <c r="L40" s="375"/>
      <c r="M40" s="375"/>
      <c r="N40" s="375"/>
    </row>
    <row r="41" spans="1:20">
      <c r="A41" s="33"/>
      <c r="B41" s="33"/>
      <c r="C41" s="33"/>
      <c r="D41" s="33"/>
      <c r="E41" s="33"/>
      <c r="F41" s="33"/>
      <c r="G41" s="40"/>
      <c r="H41" s="33"/>
      <c r="I41" s="33"/>
      <c r="J41" s="33"/>
      <c r="K41" s="33"/>
      <c r="L41" s="33"/>
      <c r="M41" s="33"/>
      <c r="N41" s="33"/>
    </row>
    <row r="42" spans="1:2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6" spans="1:20">
      <c r="E46" s="176"/>
    </row>
    <row r="48" spans="1:20">
      <c r="M48">
        <v>2408309</v>
      </c>
    </row>
    <row r="49" spans="13:13">
      <c r="M49">
        <v>5327.86</v>
      </c>
    </row>
    <row r="50" spans="13:13">
      <c r="M50" s="376">
        <f>M48-M49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14" workbookViewId="0">
      <selection activeCell="M32" sqref="M32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448" t="s">
        <v>169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1:18" ht="30">
      <c r="A2" s="125" t="s">
        <v>101</v>
      </c>
      <c r="B2" s="126" t="s">
        <v>155</v>
      </c>
      <c r="C2" s="126" t="s">
        <v>156</v>
      </c>
      <c r="D2" s="126" t="s">
        <v>157</v>
      </c>
      <c r="E2" s="126" t="s">
        <v>158</v>
      </c>
      <c r="F2" s="126" t="s">
        <v>159</v>
      </c>
      <c r="G2" s="126" t="s">
        <v>160</v>
      </c>
      <c r="H2" s="126" t="s">
        <v>161</v>
      </c>
      <c r="I2" s="126" t="s">
        <v>159</v>
      </c>
      <c r="J2" s="127" t="s">
        <v>160</v>
      </c>
      <c r="K2" s="125" t="s">
        <v>162</v>
      </c>
      <c r="L2" s="128" t="s">
        <v>163</v>
      </c>
      <c r="M2" s="128" t="s">
        <v>170</v>
      </c>
      <c r="N2" s="126" t="s">
        <v>165</v>
      </c>
    </row>
    <row r="3" spans="1:18">
      <c r="A3" s="449" t="s">
        <v>166</v>
      </c>
      <c r="B3" s="449"/>
      <c r="C3" s="449"/>
      <c r="D3" s="449"/>
      <c r="E3" s="449"/>
      <c r="F3" s="449"/>
      <c r="G3" s="449"/>
      <c r="H3" s="449"/>
      <c r="I3" s="449"/>
      <c r="J3" s="449"/>
      <c r="K3" s="214">
        <v>2836060.9516999964</v>
      </c>
      <c r="L3" s="230"/>
      <c r="M3" s="214">
        <v>2836060.9516999964</v>
      </c>
      <c r="N3" s="95"/>
      <c r="O3">
        <v>11178223.678099994</v>
      </c>
    </row>
    <row r="4" spans="1:18">
      <c r="A4" s="26">
        <v>1</v>
      </c>
      <c r="B4" s="27">
        <v>46054</v>
      </c>
      <c r="C4" s="17"/>
      <c r="D4" s="17"/>
      <c r="E4" s="17">
        <v>4200</v>
      </c>
      <c r="F4" s="17">
        <v>95.68</v>
      </c>
      <c r="G4" s="17">
        <f>E4*F4</f>
        <v>401856</v>
      </c>
      <c r="H4" s="328"/>
      <c r="I4" s="17"/>
      <c r="J4" s="17"/>
      <c r="K4" s="17">
        <f>G4+J4</f>
        <v>401856</v>
      </c>
      <c r="L4" s="17">
        <v>0</v>
      </c>
      <c r="M4" s="41">
        <f>M3+K4-L4</f>
        <v>3237916.9516999964</v>
      </c>
      <c r="N4" s="17"/>
    </row>
    <row r="5" spans="1:18">
      <c r="A5" s="26">
        <v>2</v>
      </c>
      <c r="B5" s="27">
        <v>46055</v>
      </c>
      <c r="C5" s="17"/>
      <c r="D5" s="17"/>
      <c r="E5" s="17">
        <v>5300</v>
      </c>
      <c r="F5" s="17">
        <v>95.68</v>
      </c>
      <c r="G5" s="17">
        <f>E5*F5</f>
        <v>507104.00000000006</v>
      </c>
      <c r="H5" s="328">
        <v>40</v>
      </c>
      <c r="I5" s="17">
        <v>107.46</v>
      </c>
      <c r="J5" s="17">
        <f>H5*I5</f>
        <v>4298.3999999999996</v>
      </c>
      <c r="K5" s="17">
        <f t="shared" ref="K5:K37" si="0">G5+J5</f>
        <v>511402.40000000008</v>
      </c>
      <c r="L5" s="17">
        <v>2998712</v>
      </c>
      <c r="M5" s="41">
        <f>M4+K5-L5</f>
        <v>750607.35169999627</v>
      </c>
      <c r="N5" s="17"/>
    </row>
    <row r="6" spans="1:18">
      <c r="A6" s="26">
        <v>3</v>
      </c>
      <c r="B6" s="27">
        <v>46056</v>
      </c>
      <c r="C6" s="17"/>
      <c r="D6" s="17"/>
      <c r="E6" s="17">
        <v>5200</v>
      </c>
      <c r="F6" s="17">
        <v>95.68</v>
      </c>
      <c r="G6" s="17">
        <f>E6*F6</f>
        <v>497536.00000000006</v>
      </c>
      <c r="H6" s="328"/>
      <c r="I6" s="17"/>
      <c r="J6" s="17">
        <f>H6*I6</f>
        <v>0</v>
      </c>
      <c r="K6" s="17">
        <f t="shared" si="0"/>
        <v>497536.00000000006</v>
      </c>
      <c r="L6" s="17">
        <v>0</v>
      </c>
      <c r="M6" s="41">
        <f t="shared" ref="M6:M8" si="1">M5+K6-L6</f>
        <v>1248143.3516999963</v>
      </c>
      <c r="N6" s="17"/>
    </row>
    <row r="7" spans="1:18">
      <c r="A7" s="26">
        <v>4</v>
      </c>
      <c r="B7" s="27">
        <v>46057</v>
      </c>
      <c r="C7" s="17"/>
      <c r="D7" s="17"/>
      <c r="E7" s="17">
        <v>1000</v>
      </c>
      <c r="F7" s="17">
        <v>95.68</v>
      </c>
      <c r="G7" s="17">
        <f>E7*F7</f>
        <v>95680</v>
      </c>
      <c r="H7" s="328"/>
      <c r="I7" s="17"/>
      <c r="J7" s="17">
        <f t="shared" ref="J7:J33" si="2">H7*I7</f>
        <v>0</v>
      </c>
      <c r="K7" s="17">
        <f t="shared" si="0"/>
        <v>95680</v>
      </c>
      <c r="L7" s="17">
        <v>0</v>
      </c>
      <c r="M7" s="41">
        <f t="shared" si="1"/>
        <v>1343823.3516999963</v>
      </c>
      <c r="N7" s="17"/>
    </row>
    <row r="8" spans="1:18">
      <c r="A8" s="26">
        <v>5</v>
      </c>
      <c r="B8" s="27">
        <v>46058</v>
      </c>
      <c r="C8" s="17"/>
      <c r="D8" s="17"/>
      <c r="E8" s="17">
        <v>1000</v>
      </c>
      <c r="F8" s="17">
        <v>95.68</v>
      </c>
      <c r="G8" s="41">
        <f t="shared" ref="G8:G9" si="3">E8*F8</f>
        <v>95680</v>
      </c>
      <c r="H8" s="328"/>
      <c r="I8" s="17"/>
      <c r="J8" s="17">
        <f t="shared" si="2"/>
        <v>0</v>
      </c>
      <c r="K8" s="41">
        <f t="shared" si="0"/>
        <v>95680</v>
      </c>
      <c r="L8" s="17">
        <v>0</v>
      </c>
      <c r="M8" s="41">
        <f t="shared" si="1"/>
        <v>1439503.3516999963</v>
      </c>
      <c r="N8" s="17"/>
    </row>
    <row r="9" spans="1:18">
      <c r="A9" s="26">
        <v>6</v>
      </c>
      <c r="B9" s="27">
        <v>46059</v>
      </c>
      <c r="C9" s="17"/>
      <c r="D9" s="17"/>
      <c r="E9" s="17">
        <v>4900</v>
      </c>
      <c r="F9" s="17">
        <v>95.68</v>
      </c>
      <c r="G9" s="41">
        <f t="shared" si="3"/>
        <v>468832.00000000006</v>
      </c>
      <c r="H9" s="328">
        <v>75</v>
      </c>
      <c r="I9" s="17">
        <v>107.46</v>
      </c>
      <c r="J9" s="17">
        <f t="shared" ref="J9:J28" si="4">H9*I9</f>
        <v>8059.4999999999991</v>
      </c>
      <c r="K9" s="41">
        <f>G9+J9</f>
        <v>476891.50000000006</v>
      </c>
      <c r="L9" s="17">
        <v>0</v>
      </c>
      <c r="M9" s="41">
        <f>M8+K9-L9</f>
        <v>1916394.8516999963</v>
      </c>
      <c r="N9" s="17"/>
    </row>
    <row r="10" spans="1:18">
      <c r="A10" s="26">
        <v>7</v>
      </c>
      <c r="B10" s="27">
        <v>46060</v>
      </c>
      <c r="C10" s="17"/>
      <c r="D10" s="17"/>
      <c r="E10" s="17">
        <v>1200</v>
      </c>
      <c r="F10" s="17">
        <v>95.68</v>
      </c>
      <c r="G10" s="41">
        <f>E10*F10</f>
        <v>114816.00000000001</v>
      </c>
      <c r="H10" s="328"/>
      <c r="I10" s="17"/>
      <c r="J10" s="17">
        <f t="shared" si="4"/>
        <v>0</v>
      </c>
      <c r="K10" s="41">
        <f t="shared" si="0"/>
        <v>114816.00000000001</v>
      </c>
      <c r="L10" s="17">
        <v>0</v>
      </c>
      <c r="M10" s="41">
        <f>M9+K10-L10</f>
        <v>2031210.8516999963</v>
      </c>
      <c r="N10" s="17"/>
    </row>
    <row r="11" spans="1:18">
      <c r="A11" s="26">
        <v>8</v>
      </c>
      <c r="B11" s="27">
        <v>46061</v>
      </c>
      <c r="C11" s="17"/>
      <c r="D11" s="17"/>
      <c r="E11" s="17">
        <v>1200</v>
      </c>
      <c r="F11" s="17">
        <v>95.68</v>
      </c>
      <c r="G11" s="41">
        <f>E11*F11</f>
        <v>114816.00000000001</v>
      </c>
      <c r="H11" s="328"/>
      <c r="I11" s="17"/>
      <c r="J11" s="17">
        <f t="shared" si="4"/>
        <v>0</v>
      </c>
      <c r="K11" s="41">
        <f t="shared" si="0"/>
        <v>114816.00000000001</v>
      </c>
      <c r="L11" s="17">
        <v>0</v>
      </c>
      <c r="M11" s="41">
        <f>M10+K11-L11</f>
        <v>2146026.8516999963</v>
      </c>
      <c r="N11" s="17"/>
    </row>
    <row r="12" spans="1:18">
      <c r="A12" s="26">
        <v>9</v>
      </c>
      <c r="B12" s="27">
        <v>46062</v>
      </c>
      <c r="C12" s="17"/>
      <c r="D12" s="17"/>
      <c r="E12" s="17">
        <v>4400</v>
      </c>
      <c r="F12" s="17">
        <v>95.68</v>
      </c>
      <c r="G12" s="41">
        <f>E12*F12</f>
        <v>420992.00000000006</v>
      </c>
      <c r="H12" s="328">
        <v>40</v>
      </c>
      <c r="I12" s="17">
        <v>107.46</v>
      </c>
      <c r="J12" s="17">
        <f t="shared" si="4"/>
        <v>4298.3999999999996</v>
      </c>
      <c r="K12" s="41">
        <f t="shared" si="0"/>
        <v>425290.40000000008</v>
      </c>
      <c r="L12" s="17">
        <v>0</v>
      </c>
      <c r="M12" s="41">
        <f>M11+K12-L12</f>
        <v>2571317.2516999962</v>
      </c>
      <c r="N12" s="17"/>
    </row>
    <row r="13" spans="1:18">
      <c r="A13" s="26">
        <v>10</v>
      </c>
      <c r="B13" s="27">
        <v>46063</v>
      </c>
      <c r="C13" s="17"/>
      <c r="D13" s="17"/>
      <c r="E13" s="17">
        <v>1200</v>
      </c>
      <c r="F13" s="17">
        <v>95.68</v>
      </c>
      <c r="G13" s="41">
        <f>E13*F13</f>
        <v>114816.00000000001</v>
      </c>
      <c r="H13" s="328"/>
      <c r="I13" s="17"/>
      <c r="J13" s="17">
        <f t="shared" si="4"/>
        <v>0</v>
      </c>
      <c r="K13" s="41">
        <f t="shared" si="0"/>
        <v>114816.00000000001</v>
      </c>
      <c r="L13" s="17">
        <v>0</v>
      </c>
      <c r="M13" s="41">
        <f t="shared" ref="M13:M35" si="5">M12+K13-L13</f>
        <v>2686133.2516999962</v>
      </c>
      <c r="N13" s="17"/>
      <c r="P13" s="22"/>
    </row>
    <row r="14" spans="1:18">
      <c r="A14" s="26">
        <v>11</v>
      </c>
      <c r="B14" s="27">
        <v>46064</v>
      </c>
      <c r="C14" s="17"/>
      <c r="D14" s="17"/>
      <c r="E14" s="17">
        <v>3900</v>
      </c>
      <c r="F14" s="17">
        <v>95.68</v>
      </c>
      <c r="G14" s="41">
        <f>E14*F14</f>
        <v>373152</v>
      </c>
      <c r="H14" s="328">
        <v>20</v>
      </c>
      <c r="I14" s="17">
        <v>107.46</v>
      </c>
      <c r="J14" s="17">
        <f t="shared" si="4"/>
        <v>2149.1999999999998</v>
      </c>
      <c r="K14" s="41">
        <f t="shared" si="0"/>
        <v>375301.2</v>
      </c>
      <c r="L14" s="17">
        <v>0</v>
      </c>
      <c r="M14" s="41">
        <f t="shared" si="5"/>
        <v>3061434.4516999964</v>
      </c>
      <c r="N14" s="17"/>
    </row>
    <row r="15" spans="1:18">
      <c r="A15" s="26">
        <v>12</v>
      </c>
      <c r="B15" s="27">
        <v>46065</v>
      </c>
      <c r="C15" s="17"/>
      <c r="D15" s="17"/>
      <c r="E15" s="17">
        <v>4900</v>
      </c>
      <c r="F15" s="17">
        <v>95.68</v>
      </c>
      <c r="G15" s="41">
        <f>E15*F15</f>
        <v>468832.00000000006</v>
      </c>
      <c r="H15" s="328">
        <v>20</v>
      </c>
      <c r="I15" s="17">
        <v>107.46</v>
      </c>
      <c r="J15" s="17">
        <f t="shared" si="4"/>
        <v>2149.1999999999998</v>
      </c>
      <c r="K15" s="41">
        <f t="shared" si="0"/>
        <v>470981.20000000007</v>
      </c>
      <c r="L15" s="17">
        <v>0</v>
      </c>
      <c r="M15" s="41">
        <f t="shared" si="5"/>
        <v>3532415.6516999966</v>
      </c>
      <c r="N15" s="17"/>
      <c r="R15" s="22"/>
    </row>
    <row r="16" spans="1:18">
      <c r="A16" s="26">
        <v>13</v>
      </c>
      <c r="B16" s="27">
        <v>46066</v>
      </c>
      <c r="C16" s="17"/>
      <c r="D16" s="17"/>
      <c r="E16" s="17">
        <v>1200</v>
      </c>
      <c r="F16" s="17">
        <v>95.68</v>
      </c>
      <c r="G16" s="41">
        <f>E16*F16</f>
        <v>114816.00000000001</v>
      </c>
      <c r="H16" s="328"/>
      <c r="I16" s="17"/>
      <c r="J16" s="17">
        <f t="shared" si="4"/>
        <v>0</v>
      </c>
      <c r="K16" s="41">
        <f t="shared" si="0"/>
        <v>114816.00000000001</v>
      </c>
      <c r="L16" s="17">
        <v>0</v>
      </c>
      <c r="M16" s="41">
        <f t="shared" si="5"/>
        <v>3647231.6516999966</v>
      </c>
      <c r="N16" s="17"/>
    </row>
    <row r="17" spans="1:16">
      <c r="A17" s="26">
        <v>14</v>
      </c>
      <c r="B17" s="27">
        <v>46067</v>
      </c>
      <c r="C17" s="17"/>
      <c r="D17" s="17"/>
      <c r="E17" s="17">
        <v>1200</v>
      </c>
      <c r="F17" s="17">
        <v>95.68</v>
      </c>
      <c r="G17" s="41">
        <f>E17*F17</f>
        <v>114816.00000000001</v>
      </c>
      <c r="H17" s="328"/>
      <c r="I17" s="17"/>
      <c r="J17" s="17">
        <f t="shared" si="4"/>
        <v>0</v>
      </c>
      <c r="K17" s="17">
        <f t="shared" si="0"/>
        <v>114816.00000000001</v>
      </c>
      <c r="L17" s="17">
        <v>0</v>
      </c>
      <c r="M17" s="41">
        <f t="shared" si="5"/>
        <v>3762047.6516999966</v>
      </c>
      <c r="N17" s="17"/>
    </row>
    <row r="18" spans="1:16">
      <c r="A18" s="26">
        <v>15</v>
      </c>
      <c r="B18" s="27">
        <v>46068</v>
      </c>
      <c r="C18" s="17"/>
      <c r="D18" s="17"/>
      <c r="E18" s="17"/>
      <c r="F18" s="17"/>
      <c r="G18" s="41">
        <f>E18*F18</f>
        <v>0</v>
      </c>
      <c r="H18" s="328"/>
      <c r="I18" s="17"/>
      <c r="J18" s="17">
        <f t="shared" si="4"/>
        <v>0</v>
      </c>
      <c r="K18" s="17">
        <f t="shared" si="0"/>
        <v>0</v>
      </c>
      <c r="L18" s="17">
        <v>0</v>
      </c>
      <c r="M18" s="41">
        <f t="shared" si="5"/>
        <v>3762047.6516999966</v>
      </c>
      <c r="N18" s="17"/>
    </row>
    <row r="19" spans="1:16">
      <c r="A19" s="26">
        <v>16</v>
      </c>
      <c r="B19" s="27">
        <v>46069</v>
      </c>
      <c r="C19" s="17"/>
      <c r="D19" s="17"/>
      <c r="E19" s="17">
        <v>2000</v>
      </c>
      <c r="F19" s="17">
        <v>95.68</v>
      </c>
      <c r="G19" s="41">
        <f>E19*F19</f>
        <v>191360</v>
      </c>
      <c r="H19" s="328"/>
      <c r="I19" s="17"/>
      <c r="J19" s="17">
        <f t="shared" si="4"/>
        <v>0</v>
      </c>
      <c r="K19" s="17">
        <f t="shared" si="0"/>
        <v>191360</v>
      </c>
      <c r="L19" s="17">
        <v>0</v>
      </c>
      <c r="M19" s="41">
        <f t="shared" si="5"/>
        <v>3953407.6516999966</v>
      </c>
      <c r="N19" s="17"/>
    </row>
    <row r="20" spans="1:16">
      <c r="A20" s="26">
        <v>17</v>
      </c>
      <c r="B20" s="27">
        <v>46070</v>
      </c>
      <c r="C20" s="17"/>
      <c r="D20" s="17"/>
      <c r="E20" s="17">
        <v>2000</v>
      </c>
      <c r="F20" s="17">
        <v>95.68</v>
      </c>
      <c r="G20" s="41">
        <f>E20*F20</f>
        <v>191360</v>
      </c>
      <c r="H20" s="328"/>
      <c r="I20" s="17"/>
      <c r="J20" s="17">
        <f t="shared" si="4"/>
        <v>0</v>
      </c>
      <c r="K20" s="17">
        <f t="shared" si="0"/>
        <v>191360</v>
      </c>
      <c r="L20" s="17">
        <v>0</v>
      </c>
      <c r="M20" s="41">
        <f t="shared" si="5"/>
        <v>4144767.6516999966</v>
      </c>
      <c r="N20" s="17"/>
    </row>
    <row r="21" spans="1:16">
      <c r="A21" s="26">
        <v>18</v>
      </c>
      <c r="B21" s="27">
        <v>46071</v>
      </c>
      <c r="C21" s="17"/>
      <c r="D21" s="17"/>
      <c r="E21" s="17">
        <v>4780.6400000000003</v>
      </c>
      <c r="F21" s="17">
        <v>95.68</v>
      </c>
      <c r="G21" s="41">
        <f>E21*F21</f>
        <v>457411.63520000008</v>
      </c>
      <c r="H21" s="328"/>
      <c r="I21" s="17"/>
      <c r="J21" s="17">
        <f t="shared" si="4"/>
        <v>0</v>
      </c>
      <c r="K21" s="17">
        <f t="shared" si="0"/>
        <v>457411.63520000008</v>
      </c>
      <c r="L21" s="17">
        <v>0</v>
      </c>
      <c r="M21" s="41">
        <f t="shared" si="5"/>
        <v>4602179.2868999969</v>
      </c>
      <c r="N21" s="17"/>
    </row>
    <row r="22" spans="1:16">
      <c r="A22" s="26">
        <v>19</v>
      </c>
      <c r="B22" s="27">
        <v>46072</v>
      </c>
      <c r="C22" s="17"/>
      <c r="D22" s="17"/>
      <c r="E22" s="17">
        <v>4200</v>
      </c>
      <c r="F22" s="17">
        <v>95.68</v>
      </c>
      <c r="G22" s="363">
        <f>E22*F22</f>
        <v>401856</v>
      </c>
      <c r="H22" s="328">
        <v>60</v>
      </c>
      <c r="I22" s="17">
        <v>107.46</v>
      </c>
      <c r="J22" s="17">
        <f t="shared" si="4"/>
        <v>6447.5999999999995</v>
      </c>
      <c r="K22" s="17">
        <f t="shared" si="0"/>
        <v>408303.6</v>
      </c>
      <c r="L22" s="17">
        <v>0</v>
      </c>
      <c r="M22" s="41">
        <f t="shared" si="5"/>
        <v>5010482.8868999965</v>
      </c>
      <c r="N22" s="17"/>
    </row>
    <row r="23" spans="1:16">
      <c r="A23" s="26">
        <v>20</v>
      </c>
      <c r="B23" s="27">
        <v>46073</v>
      </c>
      <c r="C23" s="17"/>
      <c r="D23" s="17"/>
      <c r="E23" s="17">
        <v>4100</v>
      </c>
      <c r="F23" s="17">
        <v>95.68</v>
      </c>
      <c r="G23" s="363">
        <f>E23*F23</f>
        <v>392288</v>
      </c>
      <c r="H23" s="328"/>
      <c r="I23" s="17"/>
      <c r="J23" s="17">
        <f t="shared" si="4"/>
        <v>0</v>
      </c>
      <c r="K23" s="17">
        <f t="shared" si="0"/>
        <v>392288</v>
      </c>
      <c r="L23" s="17">
        <v>0</v>
      </c>
      <c r="M23" s="41">
        <f t="shared" si="5"/>
        <v>5402770.8868999965</v>
      </c>
      <c r="N23" s="17"/>
    </row>
    <row r="24" spans="1:16">
      <c r="A24" s="26">
        <v>21</v>
      </c>
      <c r="B24" s="27">
        <v>46074</v>
      </c>
      <c r="C24" s="17"/>
      <c r="D24" s="17"/>
      <c r="E24" s="17">
        <v>4900</v>
      </c>
      <c r="F24" s="17">
        <v>95.68</v>
      </c>
      <c r="G24" s="363">
        <f>E24*F24</f>
        <v>468832.00000000006</v>
      </c>
      <c r="H24" s="328"/>
      <c r="I24" s="17"/>
      <c r="J24" s="17">
        <f t="shared" si="4"/>
        <v>0</v>
      </c>
      <c r="K24" s="17">
        <f t="shared" si="0"/>
        <v>468832.00000000006</v>
      </c>
      <c r="L24" s="17">
        <v>0</v>
      </c>
      <c r="M24" s="41">
        <f t="shared" si="5"/>
        <v>5871602.8868999965</v>
      </c>
      <c r="N24" s="17"/>
    </row>
    <row r="25" spans="1:16">
      <c r="A25" s="26">
        <v>22</v>
      </c>
      <c r="B25" s="27">
        <v>46075</v>
      </c>
      <c r="C25" s="17"/>
      <c r="D25" s="17"/>
      <c r="E25" s="17">
        <v>1500</v>
      </c>
      <c r="F25" s="17">
        <v>95.68</v>
      </c>
      <c r="G25" s="363">
        <f>E25*F25</f>
        <v>143520</v>
      </c>
      <c r="H25" s="328"/>
      <c r="I25" s="17"/>
      <c r="J25" s="17">
        <f t="shared" si="4"/>
        <v>0</v>
      </c>
      <c r="K25" s="17">
        <f t="shared" si="0"/>
        <v>143520</v>
      </c>
      <c r="L25" s="17">
        <v>0</v>
      </c>
      <c r="M25" s="41">
        <f t="shared" si="5"/>
        <v>6015122.8868999965</v>
      </c>
      <c r="N25" s="17"/>
    </row>
    <row r="26" spans="1:16">
      <c r="A26" s="26">
        <v>23</v>
      </c>
      <c r="B26" s="27">
        <v>46076</v>
      </c>
      <c r="C26" s="17"/>
      <c r="D26" s="17"/>
      <c r="E26" s="17">
        <v>4700</v>
      </c>
      <c r="F26" s="17">
        <v>95.68</v>
      </c>
      <c r="G26" s="363">
        <f>E26*F26</f>
        <v>449696.00000000006</v>
      </c>
      <c r="H26" s="328">
        <v>60</v>
      </c>
      <c r="I26" s="17">
        <v>107.46</v>
      </c>
      <c r="J26" s="17">
        <f t="shared" si="4"/>
        <v>6447.5999999999995</v>
      </c>
      <c r="K26" s="17">
        <f t="shared" si="0"/>
        <v>456143.60000000003</v>
      </c>
      <c r="L26" s="17">
        <v>0</v>
      </c>
      <c r="M26" s="41">
        <f t="shared" si="5"/>
        <v>6471266.4868999962</v>
      </c>
      <c r="N26" s="17"/>
    </row>
    <row r="27" spans="1:16">
      <c r="A27" s="26">
        <v>24</v>
      </c>
      <c r="B27" s="27">
        <v>46077</v>
      </c>
      <c r="C27" s="17"/>
      <c r="D27" s="17"/>
      <c r="E27" s="17">
        <v>4900</v>
      </c>
      <c r="F27" s="17">
        <v>95.68</v>
      </c>
      <c r="G27" s="363">
        <f>E27*F27</f>
        <v>468832.00000000006</v>
      </c>
      <c r="H27" s="328">
        <v>40</v>
      </c>
      <c r="I27" s="17">
        <v>107.46</v>
      </c>
      <c r="J27" s="17">
        <f t="shared" si="4"/>
        <v>4298.3999999999996</v>
      </c>
      <c r="K27" s="17">
        <f t="shared" si="0"/>
        <v>473130.40000000008</v>
      </c>
      <c r="L27" s="17">
        <v>0</v>
      </c>
      <c r="M27" s="41">
        <f t="shared" si="5"/>
        <v>6944396.8868999965</v>
      </c>
      <c r="N27" s="17"/>
    </row>
    <row r="28" spans="1:16">
      <c r="A28" s="26">
        <v>25</v>
      </c>
      <c r="B28" s="27">
        <v>46078</v>
      </c>
      <c r="C28" s="17"/>
      <c r="D28" s="17"/>
      <c r="E28" s="17">
        <v>3600</v>
      </c>
      <c r="F28" s="17">
        <v>95.68</v>
      </c>
      <c r="G28" s="363">
        <f>E28*F28</f>
        <v>344448</v>
      </c>
      <c r="H28" s="328">
        <v>20</v>
      </c>
      <c r="I28" s="17">
        <v>107.46</v>
      </c>
      <c r="J28" s="17">
        <f t="shared" si="4"/>
        <v>2149.1999999999998</v>
      </c>
      <c r="K28" s="17">
        <f t="shared" si="0"/>
        <v>346597.2</v>
      </c>
      <c r="L28" s="17">
        <v>0</v>
      </c>
      <c r="M28" s="41">
        <f t="shared" si="5"/>
        <v>7290994.0868999967</v>
      </c>
      <c r="N28" s="17"/>
    </row>
    <row r="29" spans="1:16">
      <c r="A29" s="26">
        <v>26</v>
      </c>
      <c r="B29" s="27">
        <v>46079</v>
      </c>
      <c r="C29" s="17"/>
      <c r="D29" s="17"/>
      <c r="E29" s="17">
        <v>4400</v>
      </c>
      <c r="F29" s="17">
        <v>95.68</v>
      </c>
      <c r="G29" s="363">
        <f>E29*F29</f>
        <v>420992.00000000006</v>
      </c>
      <c r="H29" s="328">
        <v>40</v>
      </c>
      <c r="I29" s="17">
        <v>107.46</v>
      </c>
      <c r="J29" s="17">
        <f t="shared" si="2"/>
        <v>4298.3999999999996</v>
      </c>
      <c r="K29" s="17">
        <f t="shared" si="0"/>
        <v>425290.40000000008</v>
      </c>
      <c r="L29" s="17">
        <v>0</v>
      </c>
      <c r="M29" s="41">
        <f t="shared" si="5"/>
        <v>7716284.4868999971</v>
      </c>
      <c r="N29" s="17"/>
    </row>
    <row r="30" spans="1:16">
      <c r="A30" s="26">
        <v>27</v>
      </c>
      <c r="B30" s="27">
        <v>46080</v>
      </c>
      <c r="C30" s="17"/>
      <c r="D30" s="17"/>
      <c r="E30" s="17">
        <v>3800</v>
      </c>
      <c r="F30" s="17">
        <v>95.68</v>
      </c>
      <c r="G30" s="363">
        <f t="shared" ref="G30" si="6">E30*F30</f>
        <v>363584</v>
      </c>
      <c r="H30" s="328">
        <v>40</v>
      </c>
      <c r="I30" s="17">
        <v>107.46</v>
      </c>
      <c r="J30" s="17">
        <f t="shared" si="2"/>
        <v>4298.3999999999996</v>
      </c>
      <c r="K30" s="17">
        <f t="shared" si="0"/>
        <v>367882.4</v>
      </c>
      <c r="L30" s="17">
        <v>0</v>
      </c>
      <c r="M30" s="41">
        <f t="shared" si="5"/>
        <v>8084166.8868999975</v>
      </c>
      <c r="N30" s="17"/>
      <c r="P30" s="22"/>
    </row>
    <row r="31" spans="1:16">
      <c r="A31" s="26">
        <v>28</v>
      </c>
      <c r="B31" s="27">
        <v>46081</v>
      </c>
      <c r="C31" s="17"/>
      <c r="D31" s="17"/>
      <c r="E31" s="17">
        <v>1600</v>
      </c>
      <c r="F31" s="17">
        <v>95.68</v>
      </c>
      <c r="G31" s="363">
        <f>E31*F31</f>
        <v>153088</v>
      </c>
      <c r="H31" s="328"/>
      <c r="I31" s="17"/>
      <c r="J31" s="17">
        <f t="shared" si="2"/>
        <v>0</v>
      </c>
      <c r="K31" s="17">
        <f t="shared" si="0"/>
        <v>153088</v>
      </c>
      <c r="L31" s="17">
        <v>0</v>
      </c>
      <c r="M31" s="41">
        <f t="shared" si="5"/>
        <v>8237254.8868999975</v>
      </c>
      <c r="N31" s="17"/>
    </row>
    <row r="32" spans="1:16">
      <c r="A32" s="26">
        <v>29</v>
      </c>
      <c r="B32" s="27"/>
      <c r="C32" s="17"/>
      <c r="D32" s="17"/>
      <c r="E32" s="17"/>
      <c r="F32" s="17"/>
      <c r="G32" s="363">
        <f>E32*F32</f>
        <v>0</v>
      </c>
      <c r="H32" s="328"/>
      <c r="I32" s="17"/>
      <c r="J32" s="17">
        <f t="shared" si="2"/>
        <v>0</v>
      </c>
      <c r="K32" s="17">
        <f t="shared" si="0"/>
        <v>0</v>
      </c>
      <c r="L32" s="17">
        <v>0</v>
      </c>
      <c r="M32" s="41">
        <f t="shared" si="5"/>
        <v>8237254.8868999975</v>
      </c>
      <c r="N32" s="17"/>
      <c r="P32" s="22"/>
    </row>
    <row r="33" spans="1:14">
      <c r="A33" s="26">
        <v>30</v>
      </c>
      <c r="B33" s="27"/>
      <c r="C33" s="17"/>
      <c r="D33" s="17"/>
      <c r="E33" s="17"/>
      <c r="F33" s="17"/>
      <c r="G33" s="363">
        <f>E33*F33</f>
        <v>0</v>
      </c>
      <c r="H33" s="328"/>
      <c r="I33" s="17"/>
      <c r="J33" s="17">
        <f t="shared" si="2"/>
        <v>0</v>
      </c>
      <c r="K33" s="17">
        <f t="shared" si="0"/>
        <v>0</v>
      </c>
      <c r="L33" s="17">
        <v>0</v>
      </c>
      <c r="M33" s="41">
        <f t="shared" si="5"/>
        <v>8237254.8868999975</v>
      </c>
      <c r="N33" s="17"/>
    </row>
    <row r="34" spans="1:14">
      <c r="A34" s="26">
        <v>31</v>
      </c>
      <c r="B34" s="27"/>
      <c r="C34" s="17"/>
      <c r="D34" s="17"/>
      <c r="E34" s="17"/>
      <c r="F34" s="17"/>
      <c r="G34" s="363">
        <f>E34*F34</f>
        <v>0</v>
      </c>
      <c r="H34" s="328"/>
      <c r="I34" s="17"/>
      <c r="J34" s="17"/>
      <c r="K34" s="17">
        <f t="shared" si="0"/>
        <v>0</v>
      </c>
      <c r="L34" s="17">
        <v>0</v>
      </c>
      <c r="M34" s="41">
        <f t="shared" si="5"/>
        <v>8237254.8868999975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63">
        <f>E35*F35</f>
        <v>0</v>
      </c>
      <c r="H35" s="328"/>
      <c r="I35" s="17"/>
      <c r="J35" s="17">
        <f t="shared" ref="J5:J37" si="7">H35*I35</f>
        <v>0</v>
      </c>
      <c r="K35" s="17">
        <f t="shared" si="0"/>
        <v>0</v>
      </c>
      <c r="L35" s="17">
        <v>0</v>
      </c>
      <c r="M35" s="41">
        <f t="shared" si="5"/>
        <v>8237254.8868999975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63">
        <f>E36*F36</f>
        <v>0</v>
      </c>
      <c r="H36" s="328"/>
      <c r="I36" s="17"/>
      <c r="J36" s="17">
        <f t="shared" si="7"/>
        <v>0</v>
      </c>
      <c r="K36" s="17">
        <f t="shared" si="0"/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63">
        <f>E37*F37</f>
        <v>0</v>
      </c>
      <c r="H37" s="328"/>
      <c r="I37" s="17"/>
      <c r="J37" s="17">
        <f t="shared" si="7"/>
        <v>0</v>
      </c>
      <c r="K37" s="17">
        <f t="shared" si="0"/>
        <v>0</v>
      </c>
      <c r="L37" s="17"/>
      <c r="M37" s="17"/>
      <c r="N37" s="17"/>
    </row>
    <row r="38" spans="1:14">
      <c r="A38" s="43"/>
      <c r="B38" s="43"/>
      <c r="C38" s="43"/>
      <c r="D38" s="43"/>
      <c r="E38" s="231">
        <f>SUM(E3:E37)</f>
        <v>87280.639999999999</v>
      </c>
      <c r="F38" s="231"/>
      <c r="G38" s="231">
        <f>SUM(G3:G37)</f>
        <v>8351011.6352000004</v>
      </c>
      <c r="H38" s="231">
        <f>SUM(H3:H37)</f>
        <v>455</v>
      </c>
      <c r="I38" s="231"/>
      <c r="J38" s="231">
        <f>SUM(J3:J37)</f>
        <v>48894.299999999996</v>
      </c>
      <c r="K38" s="231">
        <f>SUM(K4:K37)</f>
        <v>8399905.935200002</v>
      </c>
      <c r="L38" s="231">
        <f>SUM(L3:L37)</f>
        <v>2998712</v>
      </c>
      <c r="M38" s="231"/>
      <c r="N38" s="231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39"/>
  <sheetViews>
    <sheetView workbookViewId="0">
      <selection activeCell="R11" sqref="R11"/>
    </sheetView>
  </sheetViews>
  <sheetFormatPr defaultRowHeight="15"/>
  <cols>
    <col min="2" max="2" width="12.140625" customWidth="1"/>
    <col min="4" max="4" width="12.5703125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448" t="s">
        <v>14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1:16" ht="30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125" t="s">
        <v>162</v>
      </c>
      <c r="L2" s="128" t="s">
        <v>163</v>
      </c>
      <c r="M2" s="128" t="s">
        <v>170</v>
      </c>
      <c r="N2" s="126" t="s">
        <v>165</v>
      </c>
      <c r="O2" s="331"/>
      <c r="P2" s="22"/>
    </row>
    <row r="3" spans="1:16">
      <c r="A3" s="450" t="s">
        <v>166</v>
      </c>
      <c r="B3" s="451"/>
      <c r="C3" s="451"/>
      <c r="D3" s="451"/>
      <c r="E3" s="451"/>
      <c r="F3" s="451"/>
      <c r="G3" s="451"/>
      <c r="H3" s="451"/>
      <c r="I3" s="451"/>
      <c r="J3" s="451"/>
      <c r="K3">
        <v>4435776.8029000005</v>
      </c>
      <c r="L3" s="230"/>
      <c r="M3">
        <v>4435776.8029000005</v>
      </c>
      <c r="N3" s="95"/>
    </row>
    <row r="4" spans="1:16">
      <c r="A4" s="26">
        <v>1</v>
      </c>
      <c r="B4" s="27">
        <v>46054</v>
      </c>
      <c r="C4" s="17"/>
      <c r="D4" s="262"/>
      <c r="E4" s="271">
        <v>2800</v>
      </c>
      <c r="F4" s="327">
        <v>95.7</v>
      </c>
      <c r="G4" s="17">
        <f>E4*F4</f>
        <v>267960</v>
      </c>
      <c r="H4" s="17">
        <v>20</v>
      </c>
      <c r="I4" s="17">
        <v>107.48</v>
      </c>
      <c r="J4" s="17">
        <f>H4*I4</f>
        <v>2149.6</v>
      </c>
      <c r="K4" s="17">
        <f>G4+J4</f>
        <v>270109.59999999998</v>
      </c>
      <c r="L4" s="17"/>
      <c r="M4" s="41">
        <f>M3+K4-L4</f>
        <v>4705886.4029000001</v>
      </c>
      <c r="N4" s="17"/>
      <c r="O4" s="41">
        <f t="shared" ref="O4" si="0">O3+M4-N4</f>
        <v>4705886.4029000001</v>
      </c>
    </row>
    <row r="5" spans="1:16">
      <c r="A5" s="26">
        <v>2</v>
      </c>
      <c r="B5" s="27">
        <v>46055</v>
      </c>
      <c r="C5" s="17"/>
      <c r="D5" s="262"/>
      <c r="E5" s="271">
        <v>2700</v>
      </c>
      <c r="F5" s="327">
        <v>95.7</v>
      </c>
      <c r="G5" s="17">
        <f t="shared" ref="G5:G34" si="1">E5*F5</f>
        <v>258390</v>
      </c>
      <c r="H5" s="17"/>
      <c r="I5" s="17"/>
      <c r="J5" s="17">
        <f t="shared" ref="J5:J33" si="2">H5*I5</f>
        <v>0</v>
      </c>
      <c r="K5" s="17">
        <f t="shared" ref="K5:K34" si="3">G5+J5</f>
        <v>258390</v>
      </c>
      <c r="L5" s="17"/>
      <c r="M5" s="41">
        <f t="shared" ref="M5:M16" si="4">M4+K5-L5</f>
        <v>4964276.4029000001</v>
      </c>
      <c r="N5" s="17"/>
    </row>
    <row r="6" spans="1:16">
      <c r="A6" s="26">
        <v>3</v>
      </c>
      <c r="B6" s="27">
        <v>46056</v>
      </c>
      <c r="C6" s="17"/>
      <c r="D6" s="262"/>
      <c r="E6" s="271">
        <v>2800</v>
      </c>
      <c r="F6" s="327">
        <v>95.7</v>
      </c>
      <c r="G6" s="17">
        <f t="shared" si="1"/>
        <v>267960</v>
      </c>
      <c r="H6" s="17">
        <v>60</v>
      </c>
      <c r="I6" s="17">
        <v>107.48</v>
      </c>
      <c r="J6" s="17">
        <f t="shared" si="2"/>
        <v>6448.8</v>
      </c>
      <c r="K6" s="17">
        <f t="shared" si="3"/>
        <v>274408.8</v>
      </c>
      <c r="L6" s="17">
        <v>4705886</v>
      </c>
      <c r="M6" s="41">
        <f t="shared" si="4"/>
        <v>532799.20289999992</v>
      </c>
      <c r="N6" s="17"/>
    </row>
    <row r="7" spans="1:16">
      <c r="A7" s="26">
        <v>4</v>
      </c>
      <c r="B7" s="27">
        <v>46057</v>
      </c>
      <c r="C7" s="17"/>
      <c r="D7" s="262"/>
      <c r="E7" s="271">
        <v>2800</v>
      </c>
      <c r="F7" s="327">
        <v>95.7</v>
      </c>
      <c r="G7" s="17">
        <f t="shared" si="1"/>
        <v>267960</v>
      </c>
      <c r="H7" s="17">
        <v>40</v>
      </c>
      <c r="I7" s="17">
        <v>107.48</v>
      </c>
      <c r="J7" s="17">
        <f t="shared" si="2"/>
        <v>4299.2</v>
      </c>
      <c r="K7" s="17">
        <f t="shared" si="3"/>
        <v>272259.20000000001</v>
      </c>
      <c r="L7" s="17"/>
      <c r="M7" s="41">
        <f t="shared" si="4"/>
        <v>805058.40289999987</v>
      </c>
      <c r="N7" s="17"/>
    </row>
    <row r="8" spans="1:16">
      <c r="A8" s="26">
        <v>5</v>
      </c>
      <c r="B8" s="27">
        <v>46058</v>
      </c>
      <c r="C8" s="17"/>
      <c r="D8" s="262"/>
      <c r="E8" s="271"/>
      <c r="F8" s="327"/>
      <c r="G8" s="17">
        <f t="shared" si="1"/>
        <v>0</v>
      </c>
      <c r="H8" s="17"/>
      <c r="I8" s="17"/>
      <c r="J8" s="17">
        <f t="shared" si="2"/>
        <v>0</v>
      </c>
      <c r="K8" s="17">
        <f t="shared" si="3"/>
        <v>0</v>
      </c>
      <c r="L8" s="17"/>
      <c r="M8" s="41">
        <f t="shared" si="4"/>
        <v>805058.40289999987</v>
      </c>
      <c r="N8" s="17"/>
      <c r="O8">
        <v>12802499.148000002</v>
      </c>
    </row>
    <row r="9" spans="1:16">
      <c r="A9" s="26">
        <v>6</v>
      </c>
      <c r="B9" s="27">
        <v>46059</v>
      </c>
      <c r="C9" s="17"/>
      <c r="D9" s="262"/>
      <c r="E9" s="271"/>
      <c r="F9" s="327"/>
      <c r="G9" s="17">
        <f t="shared" si="1"/>
        <v>0</v>
      </c>
      <c r="H9" s="17"/>
      <c r="I9" s="17"/>
      <c r="J9" s="17">
        <f t="shared" si="2"/>
        <v>0</v>
      </c>
      <c r="K9" s="17">
        <f t="shared" si="3"/>
        <v>0</v>
      </c>
      <c r="L9" s="17"/>
      <c r="M9" s="41">
        <f t="shared" si="4"/>
        <v>805058.40289999987</v>
      </c>
      <c r="N9" s="232"/>
    </row>
    <row r="10" spans="1:16">
      <c r="A10" s="26">
        <v>7</v>
      </c>
      <c r="B10" s="27">
        <v>46060</v>
      </c>
      <c r="C10" s="17"/>
      <c r="D10" s="262"/>
      <c r="E10" s="271">
        <v>2800</v>
      </c>
      <c r="F10" s="327">
        <v>95.7</v>
      </c>
      <c r="G10" s="17">
        <f t="shared" si="1"/>
        <v>267960</v>
      </c>
      <c r="H10" s="17">
        <v>40</v>
      </c>
      <c r="I10" s="17">
        <v>107.48</v>
      </c>
      <c r="J10" s="17">
        <f t="shared" si="2"/>
        <v>4299.2</v>
      </c>
      <c r="K10" s="17">
        <f t="shared" si="3"/>
        <v>272259.20000000001</v>
      </c>
      <c r="L10" s="17">
        <v>0</v>
      </c>
      <c r="M10" s="41">
        <f t="shared" si="4"/>
        <v>1077317.6028999998</v>
      </c>
      <c r="N10" s="17"/>
    </row>
    <row r="11" spans="1:16">
      <c r="A11" s="26">
        <v>8</v>
      </c>
      <c r="B11" s="27">
        <v>46061</v>
      </c>
      <c r="C11" s="17"/>
      <c r="D11" s="262"/>
      <c r="E11" s="271"/>
      <c r="F11" s="327"/>
      <c r="G11" s="17">
        <f t="shared" si="1"/>
        <v>0</v>
      </c>
      <c r="H11" s="17"/>
      <c r="I11" s="17"/>
      <c r="J11" s="17">
        <f t="shared" si="2"/>
        <v>0</v>
      </c>
      <c r="K11" s="17">
        <f t="shared" si="3"/>
        <v>0</v>
      </c>
      <c r="L11" s="17"/>
      <c r="M11" s="41">
        <f t="shared" si="4"/>
        <v>1077317.6028999998</v>
      </c>
      <c r="N11" s="17"/>
    </row>
    <row r="12" spans="1:16">
      <c r="A12" s="26">
        <v>9</v>
      </c>
      <c r="B12" s="27">
        <v>46062</v>
      </c>
      <c r="C12" s="17"/>
      <c r="D12" s="262"/>
      <c r="E12" s="271"/>
      <c r="F12" s="327"/>
      <c r="G12" s="17">
        <f t="shared" si="1"/>
        <v>0</v>
      </c>
      <c r="H12" s="17"/>
      <c r="I12" s="17"/>
      <c r="J12" s="17">
        <f t="shared" si="2"/>
        <v>0</v>
      </c>
      <c r="K12" s="17">
        <f t="shared" si="3"/>
        <v>0</v>
      </c>
      <c r="L12" s="17"/>
      <c r="M12" s="41">
        <f t="shared" si="4"/>
        <v>1077317.6028999998</v>
      </c>
      <c r="N12" s="17"/>
    </row>
    <row r="13" spans="1:16">
      <c r="A13" s="26">
        <v>10</v>
      </c>
      <c r="B13" s="27">
        <v>46063</v>
      </c>
      <c r="C13" s="17"/>
      <c r="D13" s="262"/>
      <c r="E13" s="271">
        <v>5400</v>
      </c>
      <c r="F13" s="327">
        <v>95.7</v>
      </c>
      <c r="G13" s="17">
        <f t="shared" ref="G13" si="5">E13*F13</f>
        <v>516780</v>
      </c>
      <c r="H13" s="17">
        <v>75</v>
      </c>
      <c r="I13" s="17">
        <v>107.48</v>
      </c>
      <c r="J13" s="17">
        <f t="shared" ref="J13" si="6">H13*I13</f>
        <v>8061</v>
      </c>
      <c r="K13" s="17">
        <f t="shared" ref="K13" si="7">G13+J13</f>
        <v>524841</v>
      </c>
      <c r="L13" s="17"/>
      <c r="M13" s="41">
        <f t="shared" si="4"/>
        <v>1602158.6028999998</v>
      </c>
      <c r="N13" s="17"/>
    </row>
    <row r="14" spans="1:16">
      <c r="A14" s="26">
        <v>11</v>
      </c>
      <c r="B14" s="27">
        <v>46064</v>
      </c>
      <c r="C14" s="17"/>
      <c r="D14" s="262"/>
      <c r="E14" s="271">
        <v>2800</v>
      </c>
      <c r="F14" s="327">
        <v>95.7</v>
      </c>
      <c r="G14" s="17">
        <f t="shared" si="1"/>
        <v>267960</v>
      </c>
      <c r="H14" s="17">
        <v>40</v>
      </c>
      <c r="I14" s="17">
        <v>107.48</v>
      </c>
      <c r="J14" s="17">
        <f t="shared" si="2"/>
        <v>4299.2</v>
      </c>
      <c r="K14" s="17">
        <f t="shared" si="3"/>
        <v>272259.20000000001</v>
      </c>
      <c r="L14" s="17"/>
      <c r="M14" s="41">
        <f t="shared" si="4"/>
        <v>1874417.8028999998</v>
      </c>
      <c r="N14" s="17"/>
    </row>
    <row r="15" spans="1:16">
      <c r="A15" s="26">
        <v>12</v>
      </c>
      <c r="B15" s="27">
        <v>46065</v>
      </c>
      <c r="C15" s="17"/>
      <c r="D15" s="262"/>
      <c r="E15" s="271">
        <v>2500</v>
      </c>
      <c r="F15" s="327">
        <v>95.7</v>
      </c>
      <c r="G15" s="17">
        <f t="shared" si="1"/>
        <v>239250</v>
      </c>
      <c r="H15" s="17"/>
      <c r="I15" s="17"/>
      <c r="J15" s="17">
        <f t="shared" si="2"/>
        <v>0</v>
      </c>
      <c r="K15" s="41">
        <f t="shared" si="3"/>
        <v>239250</v>
      </c>
      <c r="L15" s="17"/>
      <c r="M15" s="41">
        <f t="shared" si="4"/>
        <v>2113667.8028999995</v>
      </c>
      <c r="N15" s="17"/>
    </row>
    <row r="16" spans="1:16">
      <c r="A16" s="26">
        <v>13</v>
      </c>
      <c r="B16" s="27">
        <v>46066</v>
      </c>
      <c r="C16" s="17"/>
      <c r="D16" s="262"/>
      <c r="E16" s="271"/>
      <c r="F16" s="327"/>
      <c r="G16" s="17">
        <f t="shared" si="1"/>
        <v>0</v>
      </c>
      <c r="H16" s="17"/>
      <c r="I16" s="17"/>
      <c r="J16" s="17">
        <f t="shared" si="2"/>
        <v>0</v>
      </c>
      <c r="K16" s="17">
        <f t="shared" si="3"/>
        <v>0</v>
      </c>
      <c r="L16" s="17"/>
      <c r="M16" s="41">
        <f t="shared" si="4"/>
        <v>2113667.8028999995</v>
      </c>
      <c r="N16" s="17"/>
    </row>
    <row r="17" spans="1:14">
      <c r="A17" s="26">
        <v>14</v>
      </c>
      <c r="B17" s="27">
        <v>46067</v>
      </c>
      <c r="C17" s="17"/>
      <c r="D17" s="262"/>
      <c r="E17" s="271">
        <v>2650</v>
      </c>
      <c r="F17" s="327">
        <v>95.7</v>
      </c>
      <c r="G17" s="17">
        <f t="shared" si="1"/>
        <v>253605</v>
      </c>
      <c r="H17" s="17">
        <v>60</v>
      </c>
      <c r="I17" s="17">
        <v>107.48</v>
      </c>
      <c r="J17" s="17">
        <f t="shared" si="2"/>
        <v>6448.8</v>
      </c>
      <c r="K17" s="17">
        <f t="shared" si="3"/>
        <v>260053.8</v>
      </c>
      <c r="L17" s="17"/>
      <c r="M17" s="41">
        <f t="shared" ref="M17:M34" si="8">M16+K17-L17</f>
        <v>2373721.6028999994</v>
      </c>
      <c r="N17" s="17"/>
    </row>
    <row r="18" spans="1:14">
      <c r="A18" s="26">
        <v>15</v>
      </c>
      <c r="B18" s="27">
        <v>46068</v>
      </c>
      <c r="C18" s="17"/>
      <c r="D18" s="262"/>
      <c r="E18" s="271">
        <v>2000</v>
      </c>
      <c r="F18" s="327">
        <v>95.7</v>
      </c>
      <c r="G18" s="17">
        <f t="shared" si="1"/>
        <v>191400</v>
      </c>
      <c r="H18" s="17">
        <v>40</v>
      </c>
      <c r="I18" s="17">
        <v>107.48</v>
      </c>
      <c r="J18" s="17">
        <f t="shared" si="2"/>
        <v>4299.2</v>
      </c>
      <c r="K18" s="17">
        <f t="shared" si="3"/>
        <v>195699.20000000001</v>
      </c>
      <c r="L18" s="17"/>
      <c r="M18" s="41">
        <f t="shared" si="8"/>
        <v>2569420.8028999995</v>
      </c>
      <c r="N18" s="17"/>
    </row>
    <row r="19" spans="1:14">
      <c r="A19" s="26">
        <v>16</v>
      </c>
      <c r="B19" s="27">
        <v>46069</v>
      </c>
      <c r="C19" s="17"/>
      <c r="D19" s="262"/>
      <c r="E19" s="271">
        <v>9030.2900000000009</v>
      </c>
      <c r="F19" s="327">
        <v>95.71</v>
      </c>
      <c r="G19" s="17">
        <f t="shared" si="1"/>
        <v>864289.05590000004</v>
      </c>
      <c r="H19" s="17">
        <v>60</v>
      </c>
      <c r="I19" s="17">
        <v>107.48</v>
      </c>
      <c r="J19" s="17">
        <f t="shared" si="2"/>
        <v>6448.8</v>
      </c>
      <c r="K19" s="17">
        <f t="shared" si="3"/>
        <v>870737.85590000008</v>
      </c>
      <c r="L19" s="17"/>
      <c r="M19" s="41">
        <f t="shared" si="8"/>
        <v>3440158.6587999994</v>
      </c>
      <c r="N19" s="17"/>
    </row>
    <row r="20" spans="1:14">
      <c r="A20" s="26">
        <v>17</v>
      </c>
      <c r="B20" s="27">
        <v>46070</v>
      </c>
      <c r="C20" s="17"/>
      <c r="D20" s="262"/>
      <c r="E20" s="271">
        <v>2700</v>
      </c>
      <c r="F20" s="327">
        <v>95.71</v>
      </c>
      <c r="G20" s="17">
        <f t="shared" si="1"/>
        <v>258416.99999999997</v>
      </c>
      <c r="H20" s="17">
        <v>40</v>
      </c>
      <c r="I20" s="17">
        <v>107.49</v>
      </c>
      <c r="J20" s="17">
        <f t="shared" si="2"/>
        <v>4299.5999999999995</v>
      </c>
      <c r="K20" s="17">
        <f t="shared" si="3"/>
        <v>262716.59999999998</v>
      </c>
      <c r="L20" s="17"/>
      <c r="M20" s="41">
        <f t="shared" si="8"/>
        <v>3702875.2587999995</v>
      </c>
      <c r="N20" s="17"/>
    </row>
    <row r="21" spans="1:14">
      <c r="A21" s="26">
        <v>18</v>
      </c>
      <c r="B21" s="27">
        <v>46071</v>
      </c>
      <c r="C21" s="17"/>
      <c r="D21" s="262"/>
      <c r="E21" s="271">
        <v>9336.48</v>
      </c>
      <c r="F21" s="327">
        <v>95.71</v>
      </c>
      <c r="G21" s="17">
        <f t="shared" si="1"/>
        <v>893594.50079999992</v>
      </c>
      <c r="H21" s="17">
        <v>20</v>
      </c>
      <c r="I21" s="17">
        <v>107.49</v>
      </c>
      <c r="J21" s="17">
        <f t="shared" si="2"/>
        <v>2149.7999999999997</v>
      </c>
      <c r="K21" s="17">
        <f t="shared" si="3"/>
        <v>895744.30079999997</v>
      </c>
      <c r="L21" s="17"/>
      <c r="M21" s="41">
        <f t="shared" si="8"/>
        <v>4598619.5595999993</v>
      </c>
      <c r="N21" s="17"/>
    </row>
    <row r="22" spans="1:14">
      <c r="A22" s="26">
        <v>19</v>
      </c>
      <c r="B22" s="27">
        <v>46072</v>
      </c>
      <c r="C22" s="17"/>
      <c r="D22" s="262"/>
      <c r="E22" s="271"/>
      <c r="F22" s="327"/>
      <c r="G22" s="17">
        <f t="shared" si="1"/>
        <v>0</v>
      </c>
      <c r="H22" s="17"/>
      <c r="I22" s="17"/>
      <c r="J22" s="17">
        <f t="shared" si="2"/>
        <v>0</v>
      </c>
      <c r="K22" s="17">
        <f t="shared" si="3"/>
        <v>0</v>
      </c>
      <c r="L22" s="17">
        <v>0</v>
      </c>
      <c r="M22" s="41">
        <f t="shared" si="8"/>
        <v>4598619.5595999993</v>
      </c>
      <c r="N22" s="17"/>
    </row>
    <row r="23" spans="1:14">
      <c r="A23" s="26">
        <v>20</v>
      </c>
      <c r="B23" s="27">
        <v>46073</v>
      </c>
      <c r="C23" s="17"/>
      <c r="D23" s="262"/>
      <c r="E23" s="271">
        <v>6863.58</v>
      </c>
      <c r="F23" s="327">
        <v>95.71</v>
      </c>
      <c r="G23" s="17">
        <f t="shared" si="1"/>
        <v>656913.24179999996</v>
      </c>
      <c r="H23" s="17">
        <v>60</v>
      </c>
      <c r="I23" s="17">
        <v>107.49</v>
      </c>
      <c r="J23" s="17">
        <f t="shared" si="2"/>
        <v>6449.4</v>
      </c>
      <c r="K23" s="17">
        <f t="shared" si="3"/>
        <v>663362.64179999998</v>
      </c>
      <c r="L23" s="17"/>
      <c r="M23" s="41">
        <f t="shared" si="8"/>
        <v>5261982.2013999997</v>
      </c>
      <c r="N23" s="17"/>
    </row>
    <row r="24" spans="1:14">
      <c r="A24" s="26">
        <v>21</v>
      </c>
      <c r="B24" s="27">
        <v>46074</v>
      </c>
      <c r="C24" s="17"/>
      <c r="D24" s="262"/>
      <c r="E24" s="271">
        <v>5500</v>
      </c>
      <c r="F24" s="327">
        <v>95.71</v>
      </c>
      <c r="G24" s="17">
        <f t="shared" si="1"/>
        <v>526405</v>
      </c>
      <c r="H24" s="17">
        <v>75</v>
      </c>
      <c r="I24" s="17">
        <v>107.49</v>
      </c>
      <c r="J24" s="17">
        <f t="shared" si="2"/>
        <v>8061.75</v>
      </c>
      <c r="K24" s="17">
        <f t="shared" si="3"/>
        <v>534466.75</v>
      </c>
      <c r="L24" s="17"/>
      <c r="M24" s="41">
        <f t="shared" si="8"/>
        <v>5796448.9513999997</v>
      </c>
      <c r="N24" s="17"/>
    </row>
    <row r="25" spans="1:14">
      <c r="A25" s="26">
        <v>22</v>
      </c>
      <c r="B25" s="27">
        <v>46075</v>
      </c>
      <c r="C25" s="17"/>
      <c r="D25" s="262"/>
      <c r="E25" s="271">
        <v>2200</v>
      </c>
      <c r="F25" s="327">
        <v>95.71</v>
      </c>
      <c r="G25" s="17">
        <f t="shared" si="1"/>
        <v>210562</v>
      </c>
      <c r="H25" s="17"/>
      <c r="I25" s="17"/>
      <c r="J25" s="17">
        <f t="shared" si="2"/>
        <v>0</v>
      </c>
      <c r="K25" s="17">
        <f t="shared" si="3"/>
        <v>210562</v>
      </c>
      <c r="L25" s="17"/>
      <c r="M25" s="41">
        <f t="shared" si="8"/>
        <v>6007010.9513999997</v>
      </c>
      <c r="N25" s="17"/>
    </row>
    <row r="26" spans="1:14">
      <c r="A26" s="26">
        <v>23</v>
      </c>
      <c r="B26" s="27">
        <v>46076</v>
      </c>
      <c r="C26" s="17"/>
      <c r="D26" s="262"/>
      <c r="E26" s="271"/>
      <c r="F26" s="327"/>
      <c r="G26" s="17">
        <f t="shared" si="1"/>
        <v>0</v>
      </c>
      <c r="H26" s="17"/>
      <c r="I26" s="17"/>
      <c r="J26" s="17">
        <f t="shared" si="2"/>
        <v>0</v>
      </c>
      <c r="K26" s="17">
        <f t="shared" si="3"/>
        <v>0</v>
      </c>
      <c r="L26" s="17"/>
      <c r="M26" s="41">
        <f t="shared" si="8"/>
        <v>6007010.9513999997</v>
      </c>
      <c r="N26" s="17"/>
    </row>
    <row r="27" spans="1:14">
      <c r="A27" s="26">
        <v>24</v>
      </c>
      <c r="B27" s="27">
        <v>46077</v>
      </c>
      <c r="C27" s="17"/>
      <c r="D27" s="262"/>
      <c r="E27" s="271">
        <v>5896.01</v>
      </c>
      <c r="F27" s="327">
        <v>95.71</v>
      </c>
      <c r="G27" s="17">
        <f t="shared" si="1"/>
        <v>564307.11710000003</v>
      </c>
      <c r="H27" s="17"/>
      <c r="I27" s="17"/>
      <c r="J27" s="17">
        <f t="shared" si="2"/>
        <v>0</v>
      </c>
      <c r="K27" s="17">
        <f t="shared" si="3"/>
        <v>564307.11710000003</v>
      </c>
      <c r="L27" s="17"/>
      <c r="M27" s="41">
        <f t="shared" si="8"/>
        <v>6571318.0685000001</v>
      </c>
      <c r="N27" s="17"/>
    </row>
    <row r="28" spans="1:14">
      <c r="A28" s="26">
        <v>25</v>
      </c>
      <c r="B28" s="27">
        <v>46078</v>
      </c>
      <c r="C28" s="17"/>
      <c r="D28" s="262"/>
      <c r="E28" s="271">
        <v>4173.42</v>
      </c>
      <c r="F28" s="327">
        <v>95.71</v>
      </c>
      <c r="G28" s="17">
        <f t="shared" si="1"/>
        <v>399438.0282</v>
      </c>
      <c r="H28" s="17"/>
      <c r="I28" s="17"/>
      <c r="J28" s="17">
        <f t="shared" si="2"/>
        <v>0</v>
      </c>
      <c r="K28" s="17">
        <f t="shared" si="3"/>
        <v>399438.0282</v>
      </c>
      <c r="L28" s="17"/>
      <c r="M28" s="41">
        <f t="shared" si="8"/>
        <v>6970756.0966999996</v>
      </c>
      <c r="N28" s="17"/>
    </row>
    <row r="29" spans="1:14">
      <c r="A29" s="26">
        <v>26</v>
      </c>
      <c r="B29" s="27">
        <v>46079</v>
      </c>
      <c r="C29" s="17"/>
      <c r="D29" s="262"/>
      <c r="E29" s="271">
        <v>6113.27</v>
      </c>
      <c r="F29" s="327">
        <v>95.71</v>
      </c>
      <c r="G29" s="17">
        <f t="shared" si="1"/>
        <v>585101.07169999997</v>
      </c>
      <c r="H29" s="17"/>
      <c r="I29" s="17"/>
      <c r="J29" s="17">
        <f t="shared" si="2"/>
        <v>0</v>
      </c>
      <c r="K29" s="17">
        <f t="shared" si="3"/>
        <v>585101.07169999997</v>
      </c>
      <c r="L29" s="17">
        <v>2000000</v>
      </c>
      <c r="M29" s="41">
        <f t="shared" si="8"/>
        <v>5555857.1683999998</v>
      </c>
      <c r="N29" s="17"/>
    </row>
    <row r="30" spans="1:14">
      <c r="A30" s="26">
        <v>27</v>
      </c>
      <c r="B30" s="27">
        <v>46080</v>
      </c>
      <c r="C30" s="17"/>
      <c r="D30" s="262"/>
      <c r="E30" s="271"/>
      <c r="F30" s="327"/>
      <c r="G30" s="17">
        <f t="shared" si="1"/>
        <v>0</v>
      </c>
      <c r="H30" s="17"/>
      <c r="I30" s="17"/>
      <c r="J30" s="17">
        <f t="shared" si="2"/>
        <v>0</v>
      </c>
      <c r="K30" s="17">
        <f t="shared" si="3"/>
        <v>0</v>
      </c>
      <c r="L30" s="17"/>
      <c r="M30" s="41">
        <f t="shared" si="8"/>
        <v>5555857.1683999998</v>
      </c>
      <c r="N30" s="17"/>
    </row>
    <row r="31" spans="1:14">
      <c r="A31" s="26">
        <v>28</v>
      </c>
      <c r="B31" s="27">
        <v>46081</v>
      </c>
      <c r="C31" s="17"/>
      <c r="D31" s="262"/>
      <c r="E31" s="271"/>
      <c r="F31" s="327"/>
      <c r="G31" s="17">
        <f t="shared" si="1"/>
        <v>0</v>
      </c>
      <c r="H31" s="17"/>
      <c r="I31" s="17"/>
      <c r="J31" s="17">
        <f t="shared" si="2"/>
        <v>0</v>
      </c>
      <c r="K31" s="17">
        <f t="shared" si="3"/>
        <v>0</v>
      </c>
      <c r="L31" s="17"/>
      <c r="M31" s="41">
        <f t="shared" si="8"/>
        <v>5555857.1683999998</v>
      </c>
      <c r="N31" s="17"/>
    </row>
    <row r="32" spans="1:14">
      <c r="A32" s="26">
        <v>29</v>
      </c>
      <c r="B32" s="27"/>
      <c r="C32" s="17"/>
      <c r="D32" s="262"/>
      <c r="E32" s="271"/>
      <c r="F32" s="327"/>
      <c r="G32" s="17">
        <f t="shared" si="1"/>
        <v>0</v>
      </c>
      <c r="H32" s="17"/>
      <c r="I32" s="17"/>
      <c r="J32" s="17">
        <f t="shared" si="2"/>
        <v>0</v>
      </c>
      <c r="K32" s="17">
        <f t="shared" si="3"/>
        <v>0</v>
      </c>
      <c r="L32" s="17"/>
      <c r="M32" s="41">
        <f t="shared" si="8"/>
        <v>5555857.1683999998</v>
      </c>
      <c r="N32" s="17"/>
    </row>
    <row r="33" spans="1:14">
      <c r="A33" s="26">
        <v>30</v>
      </c>
      <c r="B33" s="27"/>
      <c r="C33" s="17"/>
      <c r="D33" s="262"/>
      <c r="E33" s="271"/>
      <c r="F33" s="327"/>
      <c r="G33" s="17">
        <f t="shared" si="1"/>
        <v>0</v>
      </c>
      <c r="H33" s="17"/>
      <c r="I33" s="17"/>
      <c r="J33" s="17">
        <f t="shared" si="2"/>
        <v>0</v>
      </c>
      <c r="K33" s="17">
        <f t="shared" si="3"/>
        <v>0</v>
      </c>
      <c r="L33" s="17"/>
      <c r="M33" s="41">
        <f t="shared" si="8"/>
        <v>5555857.1683999998</v>
      </c>
      <c r="N33" s="17"/>
    </row>
    <row r="34" spans="1:14">
      <c r="A34" s="26">
        <v>31</v>
      </c>
      <c r="B34" s="27"/>
      <c r="C34" s="17"/>
      <c r="D34" s="262"/>
      <c r="E34" s="271"/>
      <c r="F34" s="327"/>
      <c r="G34" s="17">
        <f t="shared" si="1"/>
        <v>0</v>
      </c>
      <c r="H34" s="17"/>
      <c r="I34" s="17"/>
      <c r="J34" s="17">
        <f t="shared" ref="J5:J34" si="9">H34*I34</f>
        <v>0</v>
      </c>
      <c r="K34" s="17">
        <f t="shared" si="3"/>
        <v>0</v>
      </c>
      <c r="L34" s="17"/>
      <c r="M34" s="41">
        <f t="shared" si="8"/>
        <v>5555857.1683999998</v>
      </c>
      <c r="N34" s="17"/>
    </row>
    <row r="35" spans="1:14">
      <c r="A35" s="43"/>
      <c r="B35" s="43"/>
      <c r="C35" s="43"/>
      <c r="D35" s="43"/>
      <c r="E35" s="44">
        <f>SUM(E4:E34)</f>
        <v>81063.05</v>
      </c>
      <c r="F35" s="44"/>
      <c r="G35" s="44">
        <f>SUM(G4:G34)</f>
        <v>7758252.0154999997</v>
      </c>
      <c r="H35" s="44">
        <f>SUM(H4:H34)</f>
        <v>630</v>
      </c>
      <c r="I35" s="44"/>
      <c r="J35" s="44">
        <f>SUM(J4:J34)</f>
        <v>67714.350000000006</v>
      </c>
      <c r="K35" s="44">
        <f>SUM(K4:K34)</f>
        <v>7825966.3655000003</v>
      </c>
      <c r="L35" s="44">
        <f>SUM(L4:L34)</f>
        <v>6705886</v>
      </c>
      <c r="M35" s="44"/>
      <c r="N35" s="44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workbookViewId="0">
      <selection sqref="A1:XFD1048576"/>
    </sheetView>
  </sheetViews>
  <sheetFormatPr defaultRowHeight="15"/>
  <cols>
    <col min="7" max="7" width="11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0.42578125" bestFit="1" customWidth="1"/>
  </cols>
  <sheetData>
    <row r="1" spans="1:16" ht="15.75">
      <c r="A1" s="448" t="s">
        <v>171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1:16" ht="30.75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125" t="s">
        <v>162</v>
      </c>
      <c r="L2" s="128" t="s">
        <v>163</v>
      </c>
      <c r="M2" s="128" t="s">
        <v>170</v>
      </c>
      <c r="N2" s="126" t="s">
        <v>165</v>
      </c>
      <c r="O2" s="331"/>
      <c r="P2" s="22"/>
    </row>
    <row r="3" spans="1:16">
      <c r="A3" s="450" t="s">
        <v>166</v>
      </c>
      <c r="B3" s="451"/>
      <c r="C3" s="451"/>
      <c r="D3" s="451"/>
      <c r="E3" s="451"/>
      <c r="F3" s="451"/>
      <c r="G3" s="451"/>
      <c r="H3" s="451"/>
      <c r="I3" s="451"/>
      <c r="J3" s="451"/>
      <c r="K3">
        <v>0</v>
      </c>
      <c r="L3" s="230"/>
      <c r="M3">
        <v>120400</v>
      </c>
      <c r="N3" s="95"/>
    </row>
    <row r="4" spans="1:16">
      <c r="A4" s="26">
        <v>1</v>
      </c>
      <c r="B4" s="27">
        <v>46054</v>
      </c>
      <c r="C4" s="17"/>
      <c r="D4" s="262"/>
      <c r="E4" s="271"/>
      <c r="F4" s="327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1">
        <f>M3+K4-L4</f>
        <v>120400</v>
      </c>
      <c r="N4" s="17"/>
      <c r="O4" s="41">
        <f t="shared" ref="O4" si="0">O3+M4-N4</f>
        <v>120400</v>
      </c>
    </row>
    <row r="5" spans="1:16">
      <c r="A5" s="26">
        <v>2</v>
      </c>
      <c r="B5" s="27">
        <v>46055</v>
      </c>
      <c r="C5" s="17"/>
      <c r="D5" s="262"/>
      <c r="E5" s="271"/>
      <c r="F5" s="327"/>
      <c r="G5" s="17">
        <f t="shared" ref="G5:G34" si="1">E5*F5</f>
        <v>0</v>
      </c>
      <c r="H5" s="17"/>
      <c r="I5" s="17"/>
      <c r="J5" s="17">
        <f>H5*I5</f>
        <v>0</v>
      </c>
      <c r="K5" s="17">
        <f>G5+J5</f>
        <v>0</v>
      </c>
      <c r="L5" s="17">
        <v>0</v>
      </c>
      <c r="M5" s="41">
        <f>M4+K5-L5</f>
        <v>120400</v>
      </c>
      <c r="N5" s="17"/>
    </row>
    <row r="6" spans="1:16">
      <c r="A6" s="26">
        <v>3</v>
      </c>
      <c r="B6" s="27">
        <v>46056</v>
      </c>
      <c r="C6" s="17"/>
      <c r="D6" s="262"/>
      <c r="E6" s="271"/>
      <c r="F6" s="327"/>
      <c r="G6" s="17">
        <f t="shared" si="1"/>
        <v>0</v>
      </c>
      <c r="H6" s="17"/>
      <c r="I6" s="17"/>
      <c r="J6" s="17">
        <f>H6*I6</f>
        <v>0</v>
      </c>
      <c r="K6" s="17">
        <f>G6+J6</f>
        <v>0</v>
      </c>
      <c r="L6" s="17"/>
      <c r="M6" s="41">
        <f t="shared" ref="M6:M34" si="2">M5+K6-L6</f>
        <v>120400</v>
      </c>
      <c r="N6" s="17"/>
    </row>
    <row r="7" spans="1:16">
      <c r="A7" s="26">
        <v>4</v>
      </c>
      <c r="B7" s="27">
        <v>46057</v>
      </c>
      <c r="C7" s="17"/>
      <c r="D7" s="262"/>
      <c r="E7" s="271">
        <v>6000</v>
      </c>
      <c r="F7" s="327">
        <v>94.7</v>
      </c>
      <c r="G7" s="137">
        <f>E7*F7</f>
        <v>568200</v>
      </c>
      <c r="H7" s="17"/>
      <c r="I7" s="17"/>
      <c r="J7" s="17">
        <f>H7*I7</f>
        <v>0</v>
      </c>
      <c r="K7" s="17">
        <f>G7+J7</f>
        <v>568200</v>
      </c>
      <c r="L7" s="17">
        <v>117100</v>
      </c>
      <c r="M7" s="41">
        <f>M6+K7-L7</f>
        <v>571500</v>
      </c>
      <c r="N7" s="17"/>
    </row>
    <row r="8" spans="1:16">
      <c r="A8" s="26">
        <v>5</v>
      </c>
      <c r="B8" s="27">
        <v>46058</v>
      </c>
      <c r="C8" s="17"/>
      <c r="D8" s="262"/>
      <c r="E8" s="271">
        <v>6000</v>
      </c>
      <c r="F8" s="327">
        <v>94.7</v>
      </c>
      <c r="G8" s="17">
        <f t="shared" si="1"/>
        <v>568200</v>
      </c>
      <c r="H8" s="17"/>
      <c r="I8" s="17"/>
      <c r="J8" s="17">
        <f>H8*I8</f>
        <v>0</v>
      </c>
      <c r="K8" s="17">
        <f>G8+J8</f>
        <v>568200</v>
      </c>
      <c r="L8" s="17"/>
      <c r="M8" s="41">
        <f t="shared" si="2"/>
        <v>1139700</v>
      </c>
      <c r="N8" s="17"/>
    </row>
    <row r="9" spans="1:16">
      <c r="A9" s="26">
        <v>6</v>
      </c>
      <c r="B9" s="27">
        <v>46059</v>
      </c>
      <c r="C9" s="17"/>
      <c r="D9" s="262"/>
      <c r="E9" s="271">
        <v>6000</v>
      </c>
      <c r="F9" s="327">
        <v>94.7</v>
      </c>
      <c r="G9" s="17">
        <f t="shared" si="1"/>
        <v>568200</v>
      </c>
      <c r="H9" s="17"/>
      <c r="I9" s="17"/>
      <c r="J9" s="17">
        <f>H9*I9</f>
        <v>0</v>
      </c>
      <c r="K9" s="17">
        <f>G9+J9</f>
        <v>568200</v>
      </c>
      <c r="L9" s="17"/>
      <c r="M9" s="41">
        <f t="shared" si="2"/>
        <v>1707900</v>
      </c>
      <c r="N9" s="232"/>
    </row>
    <row r="10" spans="1:16">
      <c r="A10" s="26">
        <v>7</v>
      </c>
      <c r="B10" s="27">
        <v>46060</v>
      </c>
      <c r="C10" s="17"/>
      <c r="D10" s="262"/>
      <c r="E10" s="271">
        <v>6000</v>
      </c>
      <c r="F10" s="327">
        <v>94.7</v>
      </c>
      <c r="G10" s="17">
        <f t="shared" si="1"/>
        <v>568200</v>
      </c>
      <c r="H10" s="17"/>
      <c r="I10" s="17"/>
      <c r="J10" s="17">
        <f>H10*I10</f>
        <v>0</v>
      </c>
      <c r="K10" s="17">
        <f>G10+J10</f>
        <v>568200</v>
      </c>
      <c r="L10" s="17"/>
      <c r="M10" s="41">
        <f t="shared" si="2"/>
        <v>2276100</v>
      </c>
      <c r="N10" s="17"/>
    </row>
    <row r="11" spans="1:16">
      <c r="A11" s="26">
        <v>8</v>
      </c>
      <c r="B11" s="27">
        <v>46061</v>
      </c>
      <c r="C11" s="17"/>
      <c r="D11" s="262"/>
      <c r="E11" s="271">
        <v>6000</v>
      </c>
      <c r="F11" s="327">
        <v>94.7</v>
      </c>
      <c r="G11" s="17">
        <f t="shared" si="1"/>
        <v>568200</v>
      </c>
      <c r="H11" s="17"/>
      <c r="I11" s="17"/>
      <c r="J11" s="17">
        <f>H11*I11</f>
        <v>0</v>
      </c>
      <c r="K11" s="17">
        <f>G11+J11</f>
        <v>568200</v>
      </c>
      <c r="L11" s="17"/>
      <c r="M11" s="41">
        <f t="shared" si="2"/>
        <v>2844300</v>
      </c>
      <c r="N11" s="17"/>
    </row>
    <row r="12" spans="1:16">
      <c r="A12" s="26">
        <v>9</v>
      </c>
      <c r="B12" s="27">
        <v>46062</v>
      </c>
      <c r="C12" s="17"/>
      <c r="D12" s="262"/>
      <c r="E12" s="271">
        <v>6000</v>
      </c>
      <c r="F12" s="327">
        <v>94.7</v>
      </c>
      <c r="G12" s="17">
        <f t="shared" si="1"/>
        <v>568200</v>
      </c>
      <c r="H12" s="17"/>
      <c r="I12" s="17"/>
      <c r="J12" s="17">
        <f>H12*I12</f>
        <v>0</v>
      </c>
      <c r="K12" s="17">
        <f>G12+J12</f>
        <v>568200</v>
      </c>
      <c r="L12" s="17"/>
      <c r="M12" s="41">
        <f t="shared" si="2"/>
        <v>3412500</v>
      </c>
      <c r="N12" s="17"/>
    </row>
    <row r="13" spans="1:16">
      <c r="A13" s="26">
        <v>10</v>
      </c>
      <c r="B13" s="27">
        <v>46063</v>
      </c>
      <c r="C13" s="17"/>
      <c r="D13" s="262"/>
      <c r="E13" s="271">
        <v>5973</v>
      </c>
      <c r="F13" s="327">
        <v>94.7</v>
      </c>
      <c r="G13" s="17">
        <f t="shared" si="1"/>
        <v>565643.1</v>
      </c>
      <c r="H13" s="17"/>
      <c r="I13" s="17"/>
      <c r="J13" s="17">
        <f>H13*I13</f>
        <v>0</v>
      </c>
      <c r="K13" s="17">
        <f>G13+J13</f>
        <v>565643.1</v>
      </c>
      <c r="L13" s="17"/>
      <c r="M13" s="41">
        <f t="shared" si="2"/>
        <v>3978143.1</v>
      </c>
      <c r="N13" s="17"/>
    </row>
    <row r="14" spans="1:16">
      <c r="A14" s="26">
        <v>11</v>
      </c>
      <c r="B14" s="27">
        <v>46064</v>
      </c>
      <c r="C14" s="17"/>
      <c r="D14" s="262"/>
      <c r="E14" s="271">
        <v>0</v>
      </c>
      <c r="F14" s="327"/>
      <c r="G14" s="17">
        <f t="shared" si="1"/>
        <v>0</v>
      </c>
      <c r="H14" s="17"/>
      <c r="I14" s="17"/>
      <c r="J14" s="17">
        <f>H14*I14</f>
        <v>0</v>
      </c>
      <c r="K14" s="17">
        <f>G14+J14</f>
        <v>0</v>
      </c>
      <c r="L14" s="17"/>
      <c r="M14" s="41">
        <f t="shared" si="2"/>
        <v>3978143.1</v>
      </c>
      <c r="N14" s="17"/>
    </row>
    <row r="15" spans="1:16">
      <c r="A15" s="26">
        <v>12</v>
      </c>
      <c r="B15" s="27">
        <v>46065</v>
      </c>
      <c r="C15" s="17"/>
      <c r="D15" s="262"/>
      <c r="E15" s="271">
        <v>6000</v>
      </c>
      <c r="F15" s="327">
        <v>94.7</v>
      </c>
      <c r="G15" s="17">
        <f t="shared" si="1"/>
        <v>568200</v>
      </c>
      <c r="H15" s="17"/>
      <c r="I15" s="17"/>
      <c r="J15" s="17">
        <f>H15*I15</f>
        <v>0</v>
      </c>
      <c r="K15" s="17">
        <f>G15+J15</f>
        <v>568200</v>
      </c>
      <c r="L15" s="17"/>
      <c r="M15" s="41">
        <f t="shared" si="2"/>
        <v>4546343.0999999996</v>
      </c>
      <c r="N15" s="17"/>
    </row>
    <row r="16" spans="1:16">
      <c r="A16" s="26">
        <v>13</v>
      </c>
      <c r="B16" s="27">
        <v>46066</v>
      </c>
      <c r="C16" s="17"/>
      <c r="D16" s="262"/>
      <c r="E16" s="271">
        <v>6000</v>
      </c>
      <c r="F16" s="327">
        <v>94.7</v>
      </c>
      <c r="G16" s="17">
        <f t="shared" si="1"/>
        <v>568200</v>
      </c>
      <c r="H16" s="17"/>
      <c r="I16" s="17"/>
      <c r="J16" s="17">
        <f>H16*I16</f>
        <v>0</v>
      </c>
      <c r="K16" s="17">
        <f>G16+J16</f>
        <v>568200</v>
      </c>
      <c r="L16" s="17"/>
      <c r="M16" s="41">
        <f>M15+K16-L16</f>
        <v>5114543.0999999996</v>
      </c>
      <c r="N16" s="17"/>
    </row>
    <row r="17" spans="1:14">
      <c r="A17" s="26">
        <v>14</v>
      </c>
      <c r="B17" s="27">
        <v>46067</v>
      </c>
      <c r="C17" s="17"/>
      <c r="D17" s="262"/>
      <c r="E17" s="271">
        <v>6000</v>
      </c>
      <c r="F17" s="327">
        <v>94.7</v>
      </c>
      <c r="G17" s="17">
        <f t="shared" ref="G17:G18" si="3">E17*F17</f>
        <v>568200</v>
      </c>
      <c r="H17" s="17"/>
      <c r="I17" s="17"/>
      <c r="J17" s="17">
        <f>H17*I17</f>
        <v>0</v>
      </c>
      <c r="K17" s="17">
        <f>G17+J17</f>
        <v>568200</v>
      </c>
      <c r="L17" s="17"/>
      <c r="M17" s="41">
        <f t="shared" si="2"/>
        <v>5682743.0999999996</v>
      </c>
      <c r="N17" s="17"/>
    </row>
    <row r="18" spans="1:14">
      <c r="A18" s="26">
        <v>15</v>
      </c>
      <c r="B18" s="27">
        <v>46068</v>
      </c>
      <c r="C18" s="17"/>
      <c r="D18" s="262"/>
      <c r="E18" s="271">
        <v>6000</v>
      </c>
      <c r="F18" s="327">
        <v>94.7</v>
      </c>
      <c r="G18" s="17">
        <f t="shared" si="3"/>
        <v>568200</v>
      </c>
      <c r="H18" s="17"/>
      <c r="I18" s="17"/>
      <c r="J18" s="17">
        <f>H18*I18</f>
        <v>0</v>
      </c>
      <c r="K18" s="17">
        <f>G18+J18</f>
        <v>568200</v>
      </c>
      <c r="L18" s="17"/>
      <c r="M18" s="41">
        <f t="shared" si="2"/>
        <v>6250943.0999999996</v>
      </c>
      <c r="N18" s="17"/>
    </row>
    <row r="19" spans="1:14">
      <c r="A19" s="26">
        <v>16</v>
      </c>
      <c r="B19" s="27">
        <v>46069</v>
      </c>
      <c r="C19" s="17"/>
      <c r="D19" s="262"/>
      <c r="E19" s="271"/>
      <c r="F19" s="327"/>
      <c r="G19" s="17">
        <f t="shared" si="1"/>
        <v>0</v>
      </c>
      <c r="H19" s="17"/>
      <c r="I19" s="17"/>
      <c r="J19" s="17">
        <f>H19*I19</f>
        <v>0</v>
      </c>
      <c r="K19" s="17">
        <f>G19+J19</f>
        <v>0</v>
      </c>
      <c r="L19" s="17"/>
      <c r="M19" s="41">
        <f t="shared" si="2"/>
        <v>6250943.0999999996</v>
      </c>
      <c r="N19" s="17"/>
    </row>
    <row r="20" spans="1:14">
      <c r="A20" s="26">
        <v>17</v>
      </c>
      <c r="B20" s="27">
        <v>46070</v>
      </c>
      <c r="C20" s="17"/>
      <c r="D20" s="262"/>
      <c r="E20" s="271">
        <v>6000</v>
      </c>
      <c r="F20" s="327">
        <v>94.7</v>
      </c>
      <c r="G20" s="17">
        <f t="shared" si="1"/>
        <v>568200</v>
      </c>
      <c r="H20" s="17"/>
      <c r="I20" s="17"/>
      <c r="J20" s="17">
        <f>H20*I20</f>
        <v>0</v>
      </c>
      <c r="K20" s="17">
        <f>G20+J20</f>
        <v>568200</v>
      </c>
      <c r="L20" s="17"/>
      <c r="M20" s="41">
        <f t="shared" si="2"/>
        <v>6819143.0999999996</v>
      </c>
      <c r="N20" s="17"/>
    </row>
    <row r="21" spans="1:14">
      <c r="A21" s="26">
        <v>18</v>
      </c>
      <c r="B21" s="27">
        <v>46071</v>
      </c>
      <c r="C21" s="17"/>
      <c r="D21" s="262"/>
      <c r="E21" s="271"/>
      <c r="F21" s="327"/>
      <c r="G21" s="17">
        <f t="shared" si="1"/>
        <v>0</v>
      </c>
      <c r="H21" s="17"/>
      <c r="I21" s="17"/>
      <c r="J21" s="17">
        <f>H21*I21</f>
        <v>0</v>
      </c>
      <c r="K21" s="17">
        <f>G21+J21</f>
        <v>0</v>
      </c>
      <c r="L21" s="17"/>
      <c r="M21" s="41">
        <f t="shared" si="2"/>
        <v>6819143.0999999996</v>
      </c>
      <c r="N21" s="17"/>
    </row>
    <row r="22" spans="1:14">
      <c r="A22" s="26">
        <v>19</v>
      </c>
      <c r="B22" s="27">
        <v>46072</v>
      </c>
      <c r="C22" s="17"/>
      <c r="D22" s="262"/>
      <c r="E22" s="271">
        <v>6000</v>
      </c>
      <c r="F22" s="327">
        <v>94.7</v>
      </c>
      <c r="G22" s="17">
        <f t="shared" si="1"/>
        <v>568200</v>
      </c>
      <c r="H22" s="17"/>
      <c r="I22" s="17"/>
      <c r="J22" s="17">
        <f>H22*I22</f>
        <v>0</v>
      </c>
      <c r="K22" s="17">
        <f>G22+J22</f>
        <v>568200</v>
      </c>
      <c r="L22" s="17"/>
      <c r="M22" s="41">
        <f t="shared" si="2"/>
        <v>7387343.0999999996</v>
      </c>
      <c r="N22" s="17"/>
    </row>
    <row r="23" spans="1:14">
      <c r="A23" s="26">
        <v>20</v>
      </c>
      <c r="B23" s="27">
        <v>46073</v>
      </c>
      <c r="C23" s="17"/>
      <c r="D23" s="262"/>
      <c r="E23" s="271"/>
      <c r="F23" s="327"/>
      <c r="G23" s="17">
        <f t="shared" si="1"/>
        <v>0</v>
      </c>
      <c r="H23" s="17"/>
      <c r="I23" s="17"/>
      <c r="J23" s="17">
        <f>H23*I23</f>
        <v>0</v>
      </c>
      <c r="K23" s="17">
        <f>G23+J23</f>
        <v>0</v>
      </c>
      <c r="L23" s="17"/>
      <c r="M23" s="41">
        <f t="shared" si="2"/>
        <v>7387343.0999999996</v>
      </c>
      <c r="N23" s="17"/>
    </row>
    <row r="24" spans="1:14">
      <c r="A24" s="26">
        <v>21</v>
      </c>
      <c r="B24" s="27">
        <v>46074</v>
      </c>
      <c r="C24" s="17"/>
      <c r="D24" s="262"/>
      <c r="E24" s="271"/>
      <c r="F24" s="327"/>
      <c r="G24" s="17">
        <f t="shared" si="1"/>
        <v>0</v>
      </c>
      <c r="H24" s="17"/>
      <c r="I24" s="17"/>
      <c r="J24" s="17">
        <f>H24*I24</f>
        <v>0</v>
      </c>
      <c r="K24" s="17">
        <f>G24+J24</f>
        <v>0</v>
      </c>
      <c r="L24" s="17"/>
      <c r="M24" s="41">
        <f t="shared" si="2"/>
        <v>7387343.0999999996</v>
      </c>
      <c r="N24" s="17"/>
    </row>
    <row r="25" spans="1:14">
      <c r="A25" s="26">
        <v>22</v>
      </c>
      <c r="B25" s="27">
        <v>46075</v>
      </c>
      <c r="C25" s="17"/>
      <c r="D25" s="262"/>
      <c r="E25" s="271">
        <v>6000</v>
      </c>
      <c r="F25" s="327">
        <v>94.7</v>
      </c>
      <c r="G25" s="17">
        <f t="shared" si="1"/>
        <v>568200</v>
      </c>
      <c r="H25" s="17"/>
      <c r="I25" s="17"/>
      <c r="J25" s="17">
        <f>H25*I25</f>
        <v>0</v>
      </c>
      <c r="K25" s="17">
        <f>G25+J25</f>
        <v>568200</v>
      </c>
      <c r="L25" s="17"/>
      <c r="M25" s="41">
        <f t="shared" si="2"/>
        <v>7955543.0999999996</v>
      </c>
      <c r="N25" s="17"/>
    </row>
    <row r="26" spans="1:14">
      <c r="A26" s="26">
        <v>23</v>
      </c>
      <c r="B26" s="27">
        <v>46076</v>
      </c>
      <c r="C26" s="17"/>
      <c r="D26" s="262"/>
      <c r="E26" s="271">
        <v>6000</v>
      </c>
      <c r="F26" s="327">
        <v>94.7</v>
      </c>
      <c r="G26" s="17">
        <f t="shared" si="1"/>
        <v>568200</v>
      </c>
      <c r="H26" s="17"/>
      <c r="I26" s="17"/>
      <c r="J26" s="17">
        <f>H26*I26</f>
        <v>0</v>
      </c>
      <c r="K26" s="17">
        <f>G26+J26</f>
        <v>568200</v>
      </c>
      <c r="L26" s="17"/>
      <c r="M26" s="41">
        <f t="shared" si="2"/>
        <v>8523743.0999999996</v>
      </c>
      <c r="N26" s="17"/>
    </row>
    <row r="27" spans="1:14">
      <c r="A27" s="26">
        <v>24</v>
      </c>
      <c r="B27" s="27">
        <v>46077</v>
      </c>
      <c r="C27" s="17"/>
      <c r="D27" s="262"/>
      <c r="E27" s="271"/>
      <c r="F27" s="327"/>
      <c r="G27" s="17">
        <f t="shared" si="1"/>
        <v>0</v>
      </c>
      <c r="H27" s="17"/>
      <c r="I27" s="17"/>
      <c r="J27" s="17">
        <f>H27*I27</f>
        <v>0</v>
      </c>
      <c r="K27" s="17">
        <f>G27+J27</f>
        <v>0</v>
      </c>
      <c r="L27" s="17"/>
      <c r="M27" s="41">
        <f t="shared" si="2"/>
        <v>8523743.0999999996</v>
      </c>
      <c r="N27" s="17"/>
    </row>
    <row r="28" spans="1:14">
      <c r="A28" s="26">
        <v>25</v>
      </c>
      <c r="B28" s="27">
        <v>46078</v>
      </c>
      <c r="C28" s="17"/>
      <c r="D28" s="262"/>
      <c r="E28" s="271"/>
      <c r="F28" s="327"/>
      <c r="G28" s="17">
        <f t="shared" si="1"/>
        <v>0</v>
      </c>
      <c r="H28" s="17"/>
      <c r="I28" s="17"/>
      <c r="J28" s="17">
        <f>H28*I28</f>
        <v>0</v>
      </c>
      <c r="K28" s="17">
        <f>G28+J28</f>
        <v>0</v>
      </c>
      <c r="L28" s="17"/>
      <c r="M28" s="41">
        <f t="shared" si="2"/>
        <v>8523743.0999999996</v>
      </c>
      <c r="N28" s="17"/>
    </row>
    <row r="29" spans="1:14">
      <c r="A29" s="26">
        <v>26</v>
      </c>
      <c r="B29" s="27">
        <v>46079</v>
      </c>
      <c r="C29" s="17"/>
      <c r="D29" s="262"/>
      <c r="E29" s="271"/>
      <c r="F29" s="327"/>
      <c r="G29" s="17">
        <f t="shared" si="1"/>
        <v>0</v>
      </c>
      <c r="H29" s="17"/>
      <c r="I29" s="17"/>
      <c r="J29" s="17">
        <f>H29*I29</f>
        <v>0</v>
      </c>
      <c r="K29" s="17">
        <f>G29+J29</f>
        <v>0</v>
      </c>
      <c r="L29" s="17">
        <v>8520000</v>
      </c>
      <c r="M29" s="41">
        <f t="shared" si="2"/>
        <v>3743.0999999996275</v>
      </c>
      <c r="N29" s="17"/>
    </row>
    <row r="30" spans="1:14">
      <c r="A30" s="26">
        <v>27</v>
      </c>
      <c r="B30" s="27">
        <v>46080</v>
      </c>
      <c r="C30" s="17"/>
      <c r="D30" s="262"/>
      <c r="E30" s="271">
        <v>6000</v>
      </c>
      <c r="F30" s="327">
        <v>94.7</v>
      </c>
      <c r="G30" s="17">
        <f t="shared" si="1"/>
        <v>568200</v>
      </c>
      <c r="H30" s="17"/>
      <c r="I30" s="17"/>
      <c r="J30" s="17">
        <f>H30*I30</f>
        <v>0</v>
      </c>
      <c r="K30" s="17">
        <f>G30+J30</f>
        <v>568200</v>
      </c>
      <c r="L30" s="17"/>
      <c r="M30" s="41">
        <f t="shared" si="2"/>
        <v>571943.09999999963</v>
      </c>
      <c r="N30" s="17"/>
    </row>
    <row r="31" spans="1:14">
      <c r="A31" s="26">
        <v>28</v>
      </c>
      <c r="B31" s="27">
        <v>46081</v>
      </c>
      <c r="C31" s="17"/>
      <c r="D31" s="262"/>
      <c r="E31" s="271">
        <v>6000</v>
      </c>
      <c r="F31" s="327">
        <v>94.7</v>
      </c>
      <c r="G31" s="17">
        <f t="shared" si="1"/>
        <v>568200</v>
      </c>
      <c r="J31" s="17">
        <f>H31*I31</f>
        <v>0</v>
      </c>
      <c r="K31" s="17">
        <f>G31+J31</f>
        <v>568200</v>
      </c>
      <c r="L31" s="17"/>
      <c r="M31" s="41">
        <f t="shared" si="2"/>
        <v>1140143.0999999996</v>
      </c>
      <c r="N31" s="17"/>
    </row>
    <row r="32" spans="1:14">
      <c r="A32" s="26">
        <v>29</v>
      </c>
      <c r="B32" s="27"/>
      <c r="C32" s="17"/>
      <c r="D32" s="262"/>
      <c r="E32" s="271"/>
      <c r="F32" s="327"/>
      <c r="G32" s="17">
        <f t="shared" si="1"/>
        <v>0</v>
      </c>
      <c r="H32" s="17"/>
      <c r="I32" s="17"/>
      <c r="J32" s="17">
        <f>H32*I32</f>
        <v>0</v>
      </c>
      <c r="K32" s="17">
        <f>G32+J32</f>
        <v>0</v>
      </c>
      <c r="L32" s="17"/>
      <c r="M32" s="41">
        <f t="shared" si="2"/>
        <v>1140143.0999999996</v>
      </c>
      <c r="N32" s="17"/>
    </row>
    <row r="33" spans="1:14">
      <c r="A33" s="26">
        <v>30</v>
      </c>
      <c r="B33" s="27"/>
      <c r="C33" s="17"/>
      <c r="D33" s="262"/>
      <c r="E33" s="271"/>
      <c r="F33" s="327"/>
      <c r="G33" s="17">
        <f t="shared" si="1"/>
        <v>0</v>
      </c>
      <c r="H33" s="17"/>
      <c r="I33" s="17"/>
      <c r="J33" s="17">
        <f>H33*I33</f>
        <v>0</v>
      </c>
      <c r="K33" s="17">
        <f>G33+J33</f>
        <v>0</v>
      </c>
      <c r="L33" s="17"/>
      <c r="M33" s="41">
        <f t="shared" si="2"/>
        <v>1140143.0999999996</v>
      </c>
      <c r="N33" s="17"/>
    </row>
    <row r="34" spans="1:14">
      <c r="A34" s="26">
        <v>31</v>
      </c>
      <c r="B34" s="27"/>
      <c r="C34" s="17"/>
      <c r="D34" s="262"/>
      <c r="E34" s="271"/>
      <c r="F34" s="327"/>
      <c r="G34" s="17">
        <f t="shared" si="1"/>
        <v>0</v>
      </c>
      <c r="H34" s="17"/>
      <c r="I34" s="17"/>
      <c r="J34" s="17">
        <f>H34*I34</f>
        <v>0</v>
      </c>
      <c r="K34" s="17">
        <f>G34+J34</f>
        <v>0</v>
      </c>
      <c r="L34" s="17"/>
      <c r="M34" s="41">
        <f t="shared" si="2"/>
        <v>1140143.0999999996</v>
      </c>
      <c r="N34" s="17"/>
    </row>
    <row r="35" spans="1:14">
      <c r="A35" s="43"/>
      <c r="B35" s="43"/>
      <c r="C35" s="43"/>
      <c r="D35" s="43"/>
      <c r="E35" s="44">
        <f>SUM(E4:E34)</f>
        <v>101973</v>
      </c>
      <c r="F35" s="44"/>
      <c r="G35" s="44">
        <f>SUM(G4:G34)</f>
        <v>9656843.0999999996</v>
      </c>
      <c r="H35" s="44">
        <f>SUM(H4:H34)</f>
        <v>0</v>
      </c>
      <c r="I35" s="44"/>
      <c r="J35" s="44">
        <f>SUM(J4:J34)</f>
        <v>0</v>
      </c>
      <c r="K35" s="44">
        <f>SUM(K4:K34)</f>
        <v>9656843.0999999996</v>
      </c>
      <c r="L35" s="44">
        <f>SUM(L4:L34)</f>
        <v>8637100</v>
      </c>
      <c r="M35" s="44"/>
      <c r="N35" s="44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17C6-1F4B-4E63-B788-458F95DC6778}">
  <dimension ref="A1:P39"/>
  <sheetViews>
    <sheetView workbookViewId="0">
      <selection activeCell="R13" sqref="R13"/>
    </sheetView>
  </sheetViews>
  <sheetFormatPr defaultRowHeight="15"/>
  <cols>
    <col min="2" max="2" width="10.42578125" customWidth="1"/>
    <col min="7" max="7" width="11" customWidth="1"/>
    <col min="11" max="11" width="13.7109375" customWidth="1"/>
    <col min="13" max="13" width="11.42578125" bestFit="1" customWidth="1"/>
    <col min="15" max="15" width="10.42578125" bestFit="1" customWidth="1"/>
  </cols>
  <sheetData>
    <row r="1" spans="1:16" ht="15.75">
      <c r="A1" s="448" t="s">
        <v>172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1:16" ht="30.75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125" t="s">
        <v>162</v>
      </c>
      <c r="L2" s="128" t="s">
        <v>163</v>
      </c>
      <c r="M2" s="128" t="s">
        <v>170</v>
      </c>
      <c r="N2" s="126" t="s">
        <v>165</v>
      </c>
      <c r="O2" s="331"/>
      <c r="P2" s="22"/>
    </row>
    <row r="3" spans="1:16">
      <c r="A3" s="450" t="s">
        <v>166</v>
      </c>
      <c r="B3" s="451"/>
      <c r="C3" s="451"/>
      <c r="D3" s="451"/>
      <c r="E3" s="451"/>
      <c r="F3" s="451"/>
      <c r="G3" s="451"/>
      <c r="H3" s="451"/>
      <c r="I3" s="451"/>
      <c r="J3" s="451"/>
      <c r="L3" s="230"/>
      <c r="N3" s="95"/>
    </row>
    <row r="4" spans="1:16">
      <c r="A4" s="26">
        <v>1</v>
      </c>
      <c r="B4" s="27">
        <v>46054</v>
      </c>
      <c r="C4" s="17"/>
      <c r="D4" s="262"/>
      <c r="E4" s="271"/>
      <c r="F4" s="327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1">
        <f>M3+K4-L4</f>
        <v>0</v>
      </c>
      <c r="N4" s="17"/>
      <c r="O4" s="41">
        <f>O3+M4-N4</f>
        <v>0</v>
      </c>
    </row>
    <row r="5" spans="1:16">
      <c r="A5" s="26">
        <v>2</v>
      </c>
      <c r="B5" s="27">
        <v>46055</v>
      </c>
      <c r="C5" s="17"/>
      <c r="D5" s="262"/>
      <c r="E5" s="271"/>
      <c r="F5" s="327"/>
      <c r="G5" s="17">
        <f t="shared" ref="G5:G34" si="0">E5*F5</f>
        <v>0</v>
      </c>
      <c r="H5" s="17"/>
      <c r="I5" s="17"/>
      <c r="J5" s="17">
        <f>H5*I5</f>
        <v>0</v>
      </c>
      <c r="K5" s="17">
        <f>G5+J5</f>
        <v>0</v>
      </c>
      <c r="L5" s="17">
        <v>0</v>
      </c>
      <c r="M5" s="41">
        <f>M4+K5-L5</f>
        <v>0</v>
      </c>
      <c r="N5" s="17"/>
    </row>
    <row r="6" spans="1:16">
      <c r="A6" s="26">
        <v>3</v>
      </c>
      <c r="B6" s="27">
        <v>46056</v>
      </c>
      <c r="C6" s="17"/>
      <c r="D6" s="262"/>
      <c r="E6" s="271"/>
      <c r="F6" s="327"/>
      <c r="G6" s="17">
        <f t="shared" si="0"/>
        <v>0</v>
      </c>
      <c r="H6" s="17"/>
      <c r="I6" s="17"/>
      <c r="J6" s="17">
        <f>H6*I6</f>
        <v>0</v>
      </c>
      <c r="K6" s="17">
        <f>G6+J6</f>
        <v>0</v>
      </c>
      <c r="L6" s="17"/>
      <c r="M6" s="41">
        <f t="shared" ref="M6:M34" si="1">M5+K6-L6</f>
        <v>0</v>
      </c>
      <c r="N6" s="17"/>
    </row>
    <row r="7" spans="1:16">
      <c r="A7" s="26">
        <v>4</v>
      </c>
      <c r="B7" s="27">
        <v>46057</v>
      </c>
      <c r="C7" s="17"/>
      <c r="D7" s="262"/>
      <c r="E7" s="271"/>
      <c r="F7" s="327"/>
      <c r="G7" s="137">
        <f>E7*F7</f>
        <v>0</v>
      </c>
      <c r="H7" s="17"/>
      <c r="I7" s="17"/>
      <c r="J7" s="17">
        <f>H7*I7</f>
        <v>0</v>
      </c>
      <c r="K7" s="17">
        <f>G7+J7</f>
        <v>0</v>
      </c>
      <c r="L7" s="17"/>
      <c r="M7" s="41">
        <f>M6+K7-L7</f>
        <v>0</v>
      </c>
      <c r="N7" s="17"/>
    </row>
    <row r="8" spans="1:16">
      <c r="A8" s="26">
        <v>5</v>
      </c>
      <c r="B8" s="27">
        <v>46058</v>
      </c>
      <c r="C8" s="17"/>
      <c r="D8" s="262"/>
      <c r="E8" s="271"/>
      <c r="F8" s="327"/>
      <c r="G8" s="17">
        <f t="shared" si="0"/>
        <v>0</v>
      </c>
      <c r="H8" s="17"/>
      <c r="I8" s="17"/>
      <c r="J8" s="17">
        <f>H8*I8</f>
        <v>0</v>
      </c>
      <c r="K8" s="17">
        <f>G8+J8</f>
        <v>0</v>
      </c>
      <c r="L8" s="17"/>
      <c r="M8" s="41">
        <f t="shared" si="1"/>
        <v>0</v>
      </c>
      <c r="N8" s="17"/>
    </row>
    <row r="9" spans="1:16">
      <c r="A9" s="26">
        <v>6</v>
      </c>
      <c r="B9" s="27">
        <v>46059</v>
      </c>
      <c r="C9" s="17"/>
      <c r="D9" s="262"/>
      <c r="E9" s="271"/>
      <c r="F9" s="327"/>
      <c r="G9" s="17">
        <f t="shared" si="0"/>
        <v>0</v>
      </c>
      <c r="H9" s="17"/>
      <c r="I9" s="17"/>
      <c r="J9" s="17">
        <f>H9*I9</f>
        <v>0</v>
      </c>
      <c r="K9" s="17">
        <f>G9+J9</f>
        <v>0</v>
      </c>
      <c r="L9" s="17"/>
      <c r="M9" s="41">
        <f t="shared" si="1"/>
        <v>0</v>
      </c>
      <c r="N9" s="232"/>
    </row>
    <row r="10" spans="1:16">
      <c r="A10" s="26">
        <v>7</v>
      </c>
      <c r="B10" s="27">
        <v>46060</v>
      </c>
      <c r="C10" s="17"/>
      <c r="D10" s="262"/>
      <c r="E10" s="271"/>
      <c r="F10" s="327"/>
      <c r="G10" s="17">
        <f t="shared" si="0"/>
        <v>0</v>
      </c>
      <c r="H10" s="17"/>
      <c r="I10" s="17"/>
      <c r="J10" s="17">
        <f>H10*I10</f>
        <v>0</v>
      </c>
      <c r="K10" s="17">
        <f>G10+J10</f>
        <v>0</v>
      </c>
      <c r="L10" s="17"/>
      <c r="M10" s="41">
        <f t="shared" si="1"/>
        <v>0</v>
      </c>
      <c r="N10" s="17"/>
    </row>
    <row r="11" spans="1:16">
      <c r="A11" s="26">
        <v>8</v>
      </c>
      <c r="B11" s="27">
        <v>46061</v>
      </c>
      <c r="C11" s="17"/>
      <c r="D11" s="262"/>
      <c r="E11" s="271"/>
      <c r="F11" s="327"/>
      <c r="G11" s="17">
        <f t="shared" si="0"/>
        <v>0</v>
      </c>
      <c r="H11" s="17"/>
      <c r="I11" s="17"/>
      <c r="J11" s="17">
        <f>H11*I11</f>
        <v>0</v>
      </c>
      <c r="K11" s="17">
        <f>G11+J11</f>
        <v>0</v>
      </c>
      <c r="L11" s="17"/>
      <c r="M11" s="41">
        <f t="shared" si="1"/>
        <v>0</v>
      </c>
      <c r="N11" s="17"/>
    </row>
    <row r="12" spans="1:16">
      <c r="A12" s="26">
        <v>9</v>
      </c>
      <c r="B12" s="27">
        <v>46062</v>
      </c>
      <c r="C12" s="17"/>
      <c r="D12" s="262"/>
      <c r="E12" s="271"/>
      <c r="F12" s="327"/>
      <c r="G12" s="17">
        <f t="shared" si="0"/>
        <v>0</v>
      </c>
      <c r="H12" s="17"/>
      <c r="I12" s="17"/>
      <c r="J12" s="17">
        <f>H12*I12</f>
        <v>0</v>
      </c>
      <c r="K12" s="17">
        <f>G12+J12</f>
        <v>0</v>
      </c>
      <c r="L12" s="17"/>
      <c r="M12" s="41">
        <f t="shared" si="1"/>
        <v>0</v>
      </c>
      <c r="N12" s="17"/>
    </row>
    <row r="13" spans="1:16">
      <c r="A13" s="26">
        <v>10</v>
      </c>
      <c r="B13" s="27">
        <v>46063</v>
      </c>
      <c r="C13" s="17"/>
      <c r="D13" s="262"/>
      <c r="E13" s="271"/>
      <c r="F13" s="327"/>
      <c r="G13" s="17">
        <f t="shared" si="0"/>
        <v>0</v>
      </c>
      <c r="H13" s="17"/>
      <c r="I13" s="17"/>
      <c r="J13" s="17">
        <f>H13*I13</f>
        <v>0</v>
      </c>
      <c r="K13" s="17">
        <f>G13+J13</f>
        <v>0</v>
      </c>
      <c r="L13" s="17"/>
      <c r="M13" s="41">
        <f t="shared" si="1"/>
        <v>0</v>
      </c>
      <c r="N13" s="17"/>
    </row>
    <row r="14" spans="1:16">
      <c r="A14" s="26">
        <v>11</v>
      </c>
      <c r="B14" s="27">
        <v>46064</v>
      </c>
      <c r="C14" s="17"/>
      <c r="D14" s="262"/>
      <c r="E14" s="271"/>
      <c r="F14" s="327"/>
      <c r="G14" s="17">
        <f t="shared" si="0"/>
        <v>0</v>
      </c>
      <c r="H14" s="17"/>
      <c r="I14" s="17"/>
      <c r="J14" s="17">
        <f>H14*I14</f>
        <v>0</v>
      </c>
      <c r="K14" s="17">
        <f>G14+J14</f>
        <v>0</v>
      </c>
      <c r="L14" s="17"/>
      <c r="M14" s="41">
        <f t="shared" si="1"/>
        <v>0</v>
      </c>
      <c r="N14" s="17"/>
    </row>
    <row r="15" spans="1:16">
      <c r="A15" s="26">
        <v>12</v>
      </c>
      <c r="B15" s="27">
        <v>46065</v>
      </c>
      <c r="C15" s="17"/>
      <c r="D15" s="262"/>
      <c r="E15" s="271"/>
      <c r="F15" s="327"/>
      <c r="G15" s="17">
        <f t="shared" si="0"/>
        <v>0</v>
      </c>
      <c r="H15" s="17"/>
      <c r="I15" s="17"/>
      <c r="J15" s="17">
        <f>H15*I15</f>
        <v>0</v>
      </c>
      <c r="K15" s="17">
        <f>G15+J15</f>
        <v>0</v>
      </c>
      <c r="L15" s="17"/>
      <c r="M15" s="41">
        <f t="shared" si="1"/>
        <v>0</v>
      </c>
      <c r="N15" s="17"/>
    </row>
    <row r="16" spans="1:16">
      <c r="A16" s="26">
        <v>13</v>
      </c>
      <c r="B16" s="27">
        <v>46066</v>
      </c>
      <c r="C16" s="17"/>
      <c r="D16" s="262"/>
      <c r="E16" s="271"/>
      <c r="F16" s="327"/>
      <c r="G16" s="17">
        <f t="shared" si="0"/>
        <v>0</v>
      </c>
      <c r="H16" s="17"/>
      <c r="I16" s="17"/>
      <c r="J16" s="17">
        <f>H16*I16</f>
        <v>0</v>
      </c>
      <c r="K16" s="17">
        <f>G16+J16</f>
        <v>0</v>
      </c>
      <c r="L16" s="17"/>
      <c r="M16" s="41">
        <f>M15+K16-L16</f>
        <v>0</v>
      </c>
      <c r="N16" s="17"/>
    </row>
    <row r="17" spans="1:14">
      <c r="A17" s="26">
        <v>14</v>
      </c>
      <c r="B17" s="27">
        <v>46067</v>
      </c>
      <c r="C17" s="17"/>
      <c r="D17" s="262"/>
      <c r="E17" s="271"/>
      <c r="F17" s="327"/>
      <c r="G17" s="17">
        <f t="shared" si="0"/>
        <v>0</v>
      </c>
      <c r="H17" s="17"/>
      <c r="I17" s="17"/>
      <c r="J17" s="17">
        <f>H17*I17</f>
        <v>0</v>
      </c>
      <c r="K17" s="17">
        <f>G17+J17</f>
        <v>0</v>
      </c>
      <c r="L17" s="17"/>
      <c r="M17" s="41">
        <f t="shared" si="1"/>
        <v>0</v>
      </c>
      <c r="N17" s="17"/>
    </row>
    <row r="18" spans="1:14">
      <c r="A18" s="26">
        <v>15</v>
      </c>
      <c r="B18" s="27">
        <v>46068</v>
      </c>
      <c r="C18" s="17"/>
      <c r="D18" s="262"/>
      <c r="E18" s="271"/>
      <c r="F18" s="327"/>
      <c r="G18" s="17">
        <f t="shared" si="0"/>
        <v>0</v>
      </c>
      <c r="H18" s="17"/>
      <c r="I18" s="17"/>
      <c r="J18" s="17">
        <f>H18*I18</f>
        <v>0</v>
      </c>
      <c r="K18" s="17">
        <f>G18+J18</f>
        <v>0</v>
      </c>
      <c r="L18" s="17"/>
      <c r="M18" s="41">
        <f t="shared" si="1"/>
        <v>0</v>
      </c>
      <c r="N18" s="17"/>
    </row>
    <row r="19" spans="1:14">
      <c r="A19" s="26">
        <v>16</v>
      </c>
      <c r="B19" s="27">
        <v>46069</v>
      </c>
      <c r="C19" s="17"/>
      <c r="D19" s="262"/>
      <c r="E19" s="271"/>
      <c r="F19" s="327"/>
      <c r="G19" s="17">
        <f t="shared" si="0"/>
        <v>0</v>
      </c>
      <c r="H19" s="17"/>
      <c r="I19" s="17"/>
      <c r="J19" s="17">
        <f>H19*I19</f>
        <v>0</v>
      </c>
      <c r="K19" s="17">
        <f>G19+J19</f>
        <v>0</v>
      </c>
      <c r="L19" s="17"/>
      <c r="M19" s="41">
        <f t="shared" si="1"/>
        <v>0</v>
      </c>
      <c r="N19" s="17"/>
    </row>
    <row r="20" spans="1:14">
      <c r="A20" s="26">
        <v>17</v>
      </c>
      <c r="B20" s="27">
        <v>46070</v>
      </c>
      <c r="C20" s="17"/>
      <c r="D20" s="262"/>
      <c r="E20" s="271"/>
      <c r="F20" s="327"/>
      <c r="G20" s="17">
        <f t="shared" si="0"/>
        <v>0</v>
      </c>
      <c r="H20" s="17"/>
      <c r="I20" s="17"/>
      <c r="J20" s="17">
        <f>H20*I20</f>
        <v>0</v>
      </c>
      <c r="K20" s="17">
        <f>G20+J20</f>
        <v>0</v>
      </c>
      <c r="L20" s="17"/>
      <c r="M20" s="41">
        <f t="shared" si="1"/>
        <v>0</v>
      </c>
      <c r="N20" s="17"/>
    </row>
    <row r="21" spans="1:14">
      <c r="A21" s="26">
        <v>18</v>
      </c>
      <c r="B21" s="27">
        <v>46071</v>
      </c>
      <c r="C21" s="17"/>
      <c r="D21" s="262"/>
      <c r="E21" s="271">
        <v>200</v>
      </c>
      <c r="F21" s="327">
        <v>96.36</v>
      </c>
      <c r="G21" s="17">
        <f t="shared" si="0"/>
        <v>19272</v>
      </c>
      <c r="H21" s="17">
        <v>5</v>
      </c>
      <c r="I21" s="304">
        <v>108.17</v>
      </c>
      <c r="J21" s="17">
        <f>H21*I21</f>
        <v>540.85</v>
      </c>
      <c r="K21" s="17">
        <f>G21+J21</f>
        <v>19812.849999999999</v>
      </c>
      <c r="L21" s="17"/>
      <c r="M21" s="41">
        <f t="shared" si="1"/>
        <v>19812.849999999999</v>
      </c>
      <c r="N21" s="17"/>
    </row>
    <row r="22" spans="1:14">
      <c r="A22" s="26">
        <v>19</v>
      </c>
      <c r="B22" s="27">
        <v>46072</v>
      </c>
      <c r="C22" s="17"/>
      <c r="D22" s="262"/>
      <c r="E22" s="271">
        <v>50</v>
      </c>
      <c r="F22" s="327">
        <v>96.36</v>
      </c>
      <c r="G22" s="17">
        <f t="shared" si="0"/>
        <v>4818</v>
      </c>
      <c r="H22" s="17">
        <v>4</v>
      </c>
      <c r="I22" s="304">
        <v>108.17</v>
      </c>
      <c r="J22" s="17">
        <f>H22*I22</f>
        <v>432.68</v>
      </c>
      <c r="K22" s="17">
        <f>G22+J22</f>
        <v>5250.68</v>
      </c>
      <c r="L22" s="17"/>
      <c r="M22" s="41">
        <f t="shared" si="1"/>
        <v>25063.53</v>
      </c>
      <c r="N22" s="17"/>
    </row>
    <row r="23" spans="1:14">
      <c r="A23" s="26">
        <v>20</v>
      </c>
      <c r="B23" s="27">
        <v>46073</v>
      </c>
      <c r="C23" s="17"/>
      <c r="D23" s="262"/>
      <c r="E23" s="271">
        <v>67.47</v>
      </c>
      <c r="F23" s="327">
        <v>96.36</v>
      </c>
      <c r="G23" s="17">
        <f t="shared" si="0"/>
        <v>6501.4092000000001</v>
      </c>
      <c r="H23" s="17">
        <v>0</v>
      </c>
      <c r="I23" s="434">
        <v>108.17</v>
      </c>
      <c r="J23" s="17">
        <f>H23*I23</f>
        <v>0</v>
      </c>
      <c r="K23" s="17">
        <f>G23+J23</f>
        <v>6501.4092000000001</v>
      </c>
      <c r="L23" s="17"/>
      <c r="M23" s="41">
        <f t="shared" si="1"/>
        <v>31564.939200000001</v>
      </c>
      <c r="N23" s="17"/>
    </row>
    <row r="24" spans="1:14">
      <c r="A24" s="26">
        <v>21</v>
      </c>
      <c r="B24" s="27">
        <v>46074</v>
      </c>
      <c r="C24" s="17"/>
      <c r="D24" s="262"/>
      <c r="E24" s="271">
        <v>200</v>
      </c>
      <c r="F24" s="327">
        <v>96.36</v>
      </c>
      <c r="G24" s="17">
        <f t="shared" si="0"/>
        <v>19272</v>
      </c>
      <c r="H24" s="17">
        <v>0</v>
      </c>
      <c r="I24" s="434">
        <v>108.17</v>
      </c>
      <c r="J24" s="17">
        <f>H24*I24</f>
        <v>0</v>
      </c>
      <c r="K24" s="17">
        <f>G24+J24</f>
        <v>19272</v>
      </c>
      <c r="L24" s="17"/>
      <c r="M24" s="41">
        <f t="shared" si="1"/>
        <v>50836.939200000001</v>
      </c>
      <c r="N24" s="17"/>
    </row>
    <row r="25" spans="1:14">
      <c r="A25" s="26">
        <v>22</v>
      </c>
      <c r="B25" s="27">
        <v>46075</v>
      </c>
      <c r="C25" s="17"/>
      <c r="D25" s="262"/>
      <c r="E25" s="271">
        <v>0</v>
      </c>
      <c r="F25" s="327">
        <v>96.36</v>
      </c>
      <c r="G25" s="17">
        <f t="shared" si="0"/>
        <v>0</v>
      </c>
      <c r="H25" s="17">
        <v>0</v>
      </c>
      <c r="I25" s="434">
        <v>108.17</v>
      </c>
      <c r="J25" s="17">
        <f>H25*I25</f>
        <v>0</v>
      </c>
      <c r="K25" s="17">
        <f>G25+J25</f>
        <v>0</v>
      </c>
      <c r="L25" s="17"/>
      <c r="M25" s="41">
        <f t="shared" si="1"/>
        <v>50836.939200000001</v>
      </c>
      <c r="N25" s="17"/>
    </row>
    <row r="26" spans="1:14">
      <c r="A26" s="26">
        <v>23</v>
      </c>
      <c r="B26" s="27">
        <v>46076</v>
      </c>
      <c r="C26" s="17"/>
      <c r="D26" s="262"/>
      <c r="E26" s="271">
        <v>0</v>
      </c>
      <c r="F26" s="327">
        <v>96.36</v>
      </c>
      <c r="G26" s="17">
        <f t="shared" si="0"/>
        <v>0</v>
      </c>
      <c r="H26" s="17">
        <v>0</v>
      </c>
      <c r="I26" s="434">
        <v>108.17</v>
      </c>
      <c r="J26" s="17">
        <f>H26*I26</f>
        <v>0</v>
      </c>
      <c r="K26" s="17">
        <f>G26+J26</f>
        <v>0</v>
      </c>
      <c r="L26" s="17"/>
      <c r="M26" s="41">
        <f t="shared" si="1"/>
        <v>50836.939200000001</v>
      </c>
      <c r="N26" s="17"/>
    </row>
    <row r="27" spans="1:14">
      <c r="A27" s="26">
        <v>24</v>
      </c>
      <c r="B27" s="27">
        <v>46077</v>
      </c>
      <c r="C27" s="17"/>
      <c r="D27" s="262"/>
      <c r="E27" s="271">
        <v>435.61</v>
      </c>
      <c r="F27" s="327">
        <v>96.36</v>
      </c>
      <c r="G27" s="17">
        <f t="shared" si="0"/>
        <v>41975.3796</v>
      </c>
      <c r="H27" s="17">
        <v>5</v>
      </c>
      <c r="I27" s="434">
        <v>108.17</v>
      </c>
      <c r="J27" s="17">
        <f>H27*I27</f>
        <v>540.85</v>
      </c>
      <c r="K27" s="17">
        <f>G27+J27</f>
        <v>42516.229599999999</v>
      </c>
      <c r="L27" s="17"/>
      <c r="M27" s="41">
        <f t="shared" si="1"/>
        <v>93353.168799999999</v>
      </c>
      <c r="N27" s="17"/>
    </row>
    <row r="28" spans="1:14">
      <c r="A28" s="26">
        <v>25</v>
      </c>
      <c r="B28" s="27">
        <v>46078</v>
      </c>
      <c r="C28" s="17"/>
      <c r="D28" s="262"/>
      <c r="E28" s="271">
        <v>0</v>
      </c>
      <c r="F28" s="327">
        <v>96.36</v>
      </c>
      <c r="G28" s="17">
        <f t="shared" si="0"/>
        <v>0</v>
      </c>
      <c r="H28" s="17">
        <v>0</v>
      </c>
      <c r="I28" s="434">
        <v>108.17</v>
      </c>
      <c r="J28" s="17">
        <f>H28*I28</f>
        <v>0</v>
      </c>
      <c r="K28" s="17">
        <f>G28+J28</f>
        <v>0</v>
      </c>
      <c r="L28" s="17"/>
      <c r="M28" s="41">
        <f t="shared" si="1"/>
        <v>93353.168799999999</v>
      </c>
      <c r="N28" s="17"/>
    </row>
    <row r="29" spans="1:14">
      <c r="A29" s="26">
        <v>26</v>
      </c>
      <c r="B29" s="27">
        <v>46079</v>
      </c>
      <c r="C29" s="17"/>
      <c r="D29" s="262"/>
      <c r="E29" s="271">
        <v>400</v>
      </c>
      <c r="F29" s="327">
        <v>96.36</v>
      </c>
      <c r="G29" s="17">
        <f t="shared" si="0"/>
        <v>38544</v>
      </c>
      <c r="H29" s="17">
        <v>0</v>
      </c>
      <c r="I29" s="434">
        <v>108.17</v>
      </c>
      <c r="J29" s="17">
        <f>H29*I29</f>
        <v>0</v>
      </c>
      <c r="K29" s="17">
        <f>G29+J29</f>
        <v>38544</v>
      </c>
      <c r="L29" s="17"/>
      <c r="M29" s="41">
        <f t="shared" si="1"/>
        <v>131897.16879999998</v>
      </c>
      <c r="N29" s="17"/>
    </row>
    <row r="30" spans="1:14">
      <c r="A30" s="26">
        <v>27</v>
      </c>
      <c r="B30" s="27">
        <v>46080</v>
      </c>
      <c r="C30" s="17"/>
      <c r="D30" s="262"/>
      <c r="E30" s="271">
        <v>0</v>
      </c>
      <c r="F30" s="327">
        <v>96.36</v>
      </c>
      <c r="G30" s="17">
        <f t="shared" si="0"/>
        <v>0</v>
      </c>
      <c r="H30" s="17">
        <v>5</v>
      </c>
      <c r="I30" s="434">
        <v>108.17</v>
      </c>
      <c r="J30" s="17">
        <f>H30*I30</f>
        <v>540.85</v>
      </c>
      <c r="K30" s="17">
        <f>G30+J30</f>
        <v>540.85</v>
      </c>
      <c r="L30" s="17"/>
      <c r="M30" s="41">
        <f t="shared" si="1"/>
        <v>132438.01879999999</v>
      </c>
      <c r="N30" s="17"/>
    </row>
    <row r="31" spans="1:14">
      <c r="A31" s="26">
        <v>28</v>
      </c>
      <c r="B31" s="27">
        <v>46081</v>
      </c>
      <c r="C31" s="17"/>
      <c r="D31" s="262"/>
      <c r="E31" s="271">
        <v>200</v>
      </c>
      <c r="F31" s="327">
        <v>96.36</v>
      </c>
      <c r="G31" s="17">
        <f t="shared" si="0"/>
        <v>19272</v>
      </c>
      <c r="H31">
        <v>0</v>
      </c>
      <c r="I31" s="434">
        <v>108.17</v>
      </c>
      <c r="J31" s="17">
        <f>H31*I31</f>
        <v>0</v>
      </c>
      <c r="K31" s="17">
        <f>G31+J31</f>
        <v>19272</v>
      </c>
      <c r="L31" s="17"/>
      <c r="M31" s="41">
        <f t="shared" si="1"/>
        <v>151710.01879999999</v>
      </c>
      <c r="N31" s="17"/>
    </row>
    <row r="32" spans="1:14">
      <c r="A32" s="26">
        <v>29</v>
      </c>
      <c r="B32" s="27"/>
      <c r="C32" s="17"/>
      <c r="D32" s="262"/>
      <c r="E32" s="271"/>
      <c r="F32" s="327"/>
      <c r="G32" s="17">
        <f t="shared" si="0"/>
        <v>0</v>
      </c>
      <c r="H32" s="17"/>
      <c r="I32" s="17"/>
      <c r="J32" s="17">
        <f>H32*I32</f>
        <v>0</v>
      </c>
      <c r="K32" s="17">
        <f>G32+J32</f>
        <v>0</v>
      </c>
      <c r="L32" s="17"/>
      <c r="M32" s="41">
        <f t="shared" si="1"/>
        <v>151710.01879999999</v>
      </c>
      <c r="N32" s="17"/>
    </row>
    <row r="33" spans="1:14">
      <c r="A33" s="26">
        <v>30</v>
      </c>
      <c r="B33" s="27"/>
      <c r="C33" s="17"/>
      <c r="D33" s="262"/>
      <c r="E33" s="271"/>
      <c r="F33" s="327"/>
      <c r="G33" s="17">
        <f t="shared" si="0"/>
        <v>0</v>
      </c>
      <c r="H33" s="17"/>
      <c r="I33" s="17"/>
      <c r="J33" s="17">
        <f>H33*I33</f>
        <v>0</v>
      </c>
      <c r="K33" s="17">
        <f>G33+J33</f>
        <v>0</v>
      </c>
      <c r="L33" s="17"/>
      <c r="M33" s="41">
        <f t="shared" si="1"/>
        <v>151710.01879999999</v>
      </c>
      <c r="N33" s="17"/>
    </row>
    <row r="34" spans="1:14">
      <c r="A34" s="26">
        <v>31</v>
      </c>
      <c r="B34" s="27"/>
      <c r="C34" s="17"/>
      <c r="D34" s="262"/>
      <c r="E34" s="271"/>
      <c r="F34" s="327"/>
      <c r="G34" s="17">
        <f t="shared" si="0"/>
        <v>0</v>
      </c>
      <c r="H34" s="17"/>
      <c r="I34" s="17"/>
      <c r="J34" s="17">
        <f>H34*I34</f>
        <v>0</v>
      </c>
      <c r="K34" s="17">
        <f>G34+J34</f>
        <v>0</v>
      </c>
      <c r="L34" s="17"/>
      <c r="M34" s="41">
        <f t="shared" si="1"/>
        <v>151710.01879999999</v>
      </c>
      <c r="N34" s="17"/>
    </row>
    <row r="35" spans="1:14">
      <c r="A35" s="43"/>
      <c r="B35" s="43"/>
      <c r="C35" s="43"/>
      <c r="D35" s="43"/>
      <c r="E35" s="44">
        <f>SUM(E4:E34)</f>
        <v>1553.08</v>
      </c>
      <c r="F35" s="44"/>
      <c r="G35" s="44">
        <f>SUM(G4:G34)</f>
        <v>149654.78880000001</v>
      </c>
      <c r="H35" s="44">
        <f>SUM(H4:H34)</f>
        <v>19</v>
      </c>
      <c r="I35" s="44"/>
      <c r="J35" s="44">
        <f>SUM(J4:J34)</f>
        <v>2055.23</v>
      </c>
      <c r="K35" s="44">
        <f>SUM(K4:K34)</f>
        <v>151710.01879999999</v>
      </c>
      <c r="L35" s="44">
        <f>SUM(L4:L34)</f>
        <v>0</v>
      </c>
      <c r="M35" s="44"/>
      <c r="N35" s="44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4CCA-75AB-4200-A3B8-E94E6393F97A}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S44"/>
  <sheetViews>
    <sheetView topLeftCell="A3" workbookViewId="0">
      <selection activeCell="L23" sqref="L23"/>
    </sheetView>
  </sheetViews>
  <sheetFormatPr defaultRowHeight="15"/>
  <cols>
    <col min="2" max="2" width="10.1406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9" ht="15.75">
      <c r="A1" s="444" t="s">
        <v>16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83"/>
    </row>
    <row r="2" spans="1:19" ht="30.75">
      <c r="A2" s="99" t="s">
        <v>101</v>
      </c>
      <c r="B2" s="100" t="s">
        <v>155</v>
      </c>
      <c r="C2" s="100" t="s">
        <v>156</v>
      </c>
      <c r="D2" s="100" t="s">
        <v>173</v>
      </c>
      <c r="E2" s="258" t="s">
        <v>158</v>
      </c>
      <c r="F2" s="258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9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7"/>
      <c r="M3" s="149">
        <v>299056.5</v>
      </c>
      <c r="N3" s="158"/>
      <c r="O3" s="60"/>
    </row>
    <row r="4" spans="1:19">
      <c r="A4" s="198">
        <v>1</v>
      </c>
      <c r="B4" s="221">
        <v>46054</v>
      </c>
      <c r="C4" s="68"/>
      <c r="D4" s="161"/>
      <c r="E4" s="259"/>
      <c r="F4" s="259"/>
      <c r="G4" s="8">
        <f t="shared" ref="G4:G34" si="0">E4*F4</f>
        <v>0</v>
      </c>
      <c r="H4" s="66">
        <v>0</v>
      </c>
      <c r="I4" s="67">
        <v>0</v>
      </c>
      <c r="J4" s="8">
        <f>H4*I4</f>
        <v>0</v>
      </c>
      <c r="K4" s="8">
        <f>G4+J4</f>
        <v>0</v>
      </c>
      <c r="L4" s="69">
        <v>0</v>
      </c>
      <c r="M4" s="69">
        <f>+M3+K4-L4</f>
        <v>299056.5</v>
      </c>
      <c r="N4" s="8"/>
    </row>
    <row r="5" spans="1:19">
      <c r="A5" s="47">
        <v>2</v>
      </c>
      <c r="B5" s="221">
        <v>46055</v>
      </c>
      <c r="C5" s="68"/>
      <c r="D5" s="161"/>
      <c r="E5" s="259"/>
      <c r="F5" s="259"/>
      <c r="G5" s="8">
        <f t="shared" si="0"/>
        <v>0</v>
      </c>
      <c r="H5" s="66">
        <v>0</v>
      </c>
      <c r="I5" s="67">
        <v>0</v>
      </c>
      <c r="J5" s="8">
        <f t="shared" ref="J5:J34" si="1">H5*I5</f>
        <v>0</v>
      </c>
      <c r="K5" s="8">
        <f t="shared" ref="K5:K34" si="2">G5+J5</f>
        <v>0</v>
      </c>
      <c r="L5" s="69">
        <v>0</v>
      </c>
      <c r="M5" s="69">
        <f t="shared" ref="M5:M34" si="3">+M4+K5-L5</f>
        <v>299056.5</v>
      </c>
      <c r="N5" s="8"/>
    </row>
    <row r="6" spans="1:19">
      <c r="A6" s="47">
        <v>3</v>
      </c>
      <c r="B6" s="221">
        <v>46056</v>
      </c>
      <c r="C6" s="68"/>
      <c r="D6" s="161"/>
      <c r="E6" s="259"/>
      <c r="F6" s="259"/>
      <c r="G6" s="8">
        <f t="shared" si="0"/>
        <v>0</v>
      </c>
      <c r="H6" s="66">
        <v>0</v>
      </c>
      <c r="I6" s="67">
        <v>0</v>
      </c>
      <c r="J6" s="8">
        <f t="shared" si="1"/>
        <v>0</v>
      </c>
      <c r="K6" s="8">
        <f t="shared" si="2"/>
        <v>0</v>
      </c>
      <c r="L6" s="69"/>
      <c r="M6" s="69">
        <f t="shared" si="3"/>
        <v>299056.5</v>
      </c>
      <c r="N6" s="8"/>
    </row>
    <row r="7" spans="1:19">
      <c r="A7" s="47">
        <v>4</v>
      </c>
      <c r="B7" s="221">
        <v>46057</v>
      </c>
      <c r="C7" s="68"/>
      <c r="D7" s="161"/>
      <c r="E7" s="259"/>
      <c r="F7" s="259"/>
      <c r="G7" s="8">
        <f t="shared" si="0"/>
        <v>0</v>
      </c>
      <c r="H7" s="66">
        <v>0</v>
      </c>
      <c r="I7" s="67">
        <v>0</v>
      </c>
      <c r="J7" s="8">
        <f t="shared" si="1"/>
        <v>0</v>
      </c>
      <c r="K7" s="8">
        <f t="shared" si="2"/>
        <v>0</v>
      </c>
      <c r="L7" s="69">
        <v>200000</v>
      </c>
      <c r="M7" s="69">
        <f t="shared" si="3"/>
        <v>99056.5</v>
      </c>
      <c r="N7" s="8"/>
    </row>
    <row r="8" spans="1:19">
      <c r="A8" s="47">
        <v>5</v>
      </c>
      <c r="B8" s="221">
        <v>46058</v>
      </c>
      <c r="C8" s="68"/>
      <c r="D8" s="161"/>
      <c r="E8" s="259"/>
      <c r="F8" s="259"/>
      <c r="G8" s="8">
        <f t="shared" si="0"/>
        <v>0</v>
      </c>
      <c r="H8" s="66">
        <v>0</v>
      </c>
      <c r="I8" s="67">
        <v>0</v>
      </c>
      <c r="J8" s="8">
        <f t="shared" si="1"/>
        <v>0</v>
      </c>
      <c r="K8" s="8">
        <f t="shared" si="2"/>
        <v>0</v>
      </c>
      <c r="L8" s="69"/>
      <c r="M8" s="69">
        <f t="shared" si="3"/>
        <v>99056.5</v>
      </c>
      <c r="N8" s="8"/>
      <c r="O8" s="70"/>
      <c r="R8" s="227"/>
    </row>
    <row r="9" spans="1:19">
      <c r="A9" s="47">
        <v>6</v>
      </c>
      <c r="B9" s="221">
        <v>46059</v>
      </c>
      <c r="C9" s="68"/>
      <c r="D9" s="161"/>
      <c r="E9" s="259">
        <v>2000</v>
      </c>
      <c r="F9" s="259">
        <v>95.43</v>
      </c>
      <c r="G9" s="8">
        <f t="shared" si="0"/>
        <v>190860</v>
      </c>
      <c r="H9" s="66">
        <v>0</v>
      </c>
      <c r="I9" s="67">
        <v>0</v>
      </c>
      <c r="J9" s="8">
        <f t="shared" si="1"/>
        <v>0</v>
      </c>
      <c r="K9" s="8">
        <f t="shared" si="2"/>
        <v>190860</v>
      </c>
      <c r="L9" s="69"/>
      <c r="M9" s="69">
        <f t="shared" si="3"/>
        <v>289916.5</v>
      </c>
      <c r="N9" s="8"/>
      <c r="O9" s="70"/>
    </row>
    <row r="10" spans="1:19">
      <c r="A10" s="47">
        <v>7</v>
      </c>
      <c r="B10" s="221">
        <v>46060</v>
      </c>
      <c r="C10" s="68"/>
      <c r="D10" s="161"/>
      <c r="E10" s="259"/>
      <c r="F10" s="259"/>
      <c r="G10" s="8">
        <f t="shared" si="0"/>
        <v>0</v>
      </c>
      <c r="H10" s="66">
        <v>0</v>
      </c>
      <c r="I10" s="67">
        <v>0</v>
      </c>
      <c r="J10" s="8">
        <f t="shared" si="1"/>
        <v>0</v>
      </c>
      <c r="K10" s="8">
        <f t="shared" si="2"/>
        <v>0</v>
      </c>
      <c r="L10" s="69"/>
      <c r="M10" s="69">
        <f t="shared" si="3"/>
        <v>289916.5</v>
      </c>
      <c r="N10" s="8"/>
      <c r="O10" s="70"/>
      <c r="R10">
        <v>700</v>
      </c>
    </row>
    <row r="11" spans="1:19">
      <c r="A11" s="47">
        <v>8</v>
      </c>
      <c r="B11" s="221">
        <v>46061</v>
      </c>
      <c r="C11" s="68"/>
      <c r="D11" s="161"/>
      <c r="E11" s="259">
        <v>1500</v>
      </c>
      <c r="F11" s="259">
        <v>95.43</v>
      </c>
      <c r="G11" s="8">
        <f t="shared" si="0"/>
        <v>143145</v>
      </c>
      <c r="H11" s="66">
        <v>0</v>
      </c>
      <c r="I11" s="67">
        <v>0</v>
      </c>
      <c r="J11" s="8">
        <f t="shared" si="1"/>
        <v>0</v>
      </c>
      <c r="K11" s="8">
        <f t="shared" si="2"/>
        <v>143145</v>
      </c>
      <c r="L11" s="69"/>
      <c r="M11" s="69">
        <f t="shared" si="3"/>
        <v>433061.5</v>
      </c>
      <c r="N11" s="8"/>
      <c r="O11" s="70"/>
      <c r="S11">
        <v>5000</v>
      </c>
    </row>
    <row r="12" spans="1:19">
      <c r="A12" s="47">
        <v>9</v>
      </c>
      <c r="B12" s="221">
        <v>46062</v>
      </c>
      <c r="C12" s="68"/>
      <c r="D12" s="161"/>
      <c r="E12" s="259"/>
      <c r="F12" s="259"/>
      <c r="G12" s="8">
        <f t="shared" si="0"/>
        <v>0</v>
      </c>
      <c r="H12" s="66">
        <v>0</v>
      </c>
      <c r="I12" s="67">
        <v>0</v>
      </c>
      <c r="J12" s="8">
        <f t="shared" si="1"/>
        <v>0</v>
      </c>
      <c r="K12" s="8">
        <f t="shared" si="2"/>
        <v>0</v>
      </c>
      <c r="L12" s="69"/>
      <c r="M12" s="69">
        <f t="shared" si="3"/>
        <v>433061.5</v>
      </c>
      <c r="N12" s="8"/>
      <c r="O12" s="70"/>
      <c r="S12">
        <v>1500</v>
      </c>
    </row>
    <row r="13" spans="1:19">
      <c r="A13" s="47">
        <v>10</v>
      </c>
      <c r="B13" s="221">
        <v>46063</v>
      </c>
      <c r="C13" s="68"/>
      <c r="D13" s="161"/>
      <c r="E13" s="259">
        <v>2500</v>
      </c>
      <c r="F13" s="259">
        <v>95.43</v>
      </c>
      <c r="G13" s="8">
        <f t="shared" si="0"/>
        <v>238575.00000000003</v>
      </c>
      <c r="H13" s="66">
        <v>0</v>
      </c>
      <c r="I13" s="67">
        <v>0</v>
      </c>
      <c r="J13" s="8">
        <f t="shared" si="1"/>
        <v>0</v>
      </c>
      <c r="K13" s="8">
        <f t="shared" si="2"/>
        <v>238575.00000000003</v>
      </c>
      <c r="L13" s="69"/>
      <c r="M13" s="69">
        <f t="shared" si="3"/>
        <v>671636.5</v>
      </c>
      <c r="N13" s="8"/>
      <c r="O13" s="70"/>
      <c r="S13">
        <v>500</v>
      </c>
    </row>
    <row r="14" spans="1:19">
      <c r="A14" s="47">
        <v>11</v>
      </c>
      <c r="B14" s="221">
        <v>46064</v>
      </c>
      <c r="C14" s="68"/>
      <c r="D14" s="161"/>
      <c r="E14" s="259"/>
      <c r="F14" s="259"/>
      <c r="G14" s="8">
        <f t="shared" si="0"/>
        <v>0</v>
      </c>
      <c r="H14" s="66">
        <v>0</v>
      </c>
      <c r="I14" s="67">
        <v>0</v>
      </c>
      <c r="J14" s="8">
        <f t="shared" si="1"/>
        <v>0</v>
      </c>
      <c r="K14" s="8">
        <f t="shared" si="2"/>
        <v>0</v>
      </c>
      <c r="L14" s="69"/>
      <c r="M14" s="69">
        <f t="shared" si="3"/>
        <v>671636.5</v>
      </c>
      <c r="N14" s="8"/>
      <c r="O14" s="70"/>
    </row>
    <row r="15" spans="1:19">
      <c r="A15" s="47">
        <v>12</v>
      </c>
      <c r="B15" s="221">
        <v>46065</v>
      </c>
      <c r="C15" s="68"/>
      <c r="D15" s="161"/>
      <c r="E15" s="259"/>
      <c r="F15" s="259"/>
      <c r="G15" s="8">
        <f t="shared" si="0"/>
        <v>0</v>
      </c>
      <c r="H15" s="66">
        <v>0</v>
      </c>
      <c r="I15" s="67">
        <v>0</v>
      </c>
      <c r="J15" s="8">
        <f t="shared" si="1"/>
        <v>0</v>
      </c>
      <c r="K15" s="8">
        <f t="shared" si="2"/>
        <v>0</v>
      </c>
      <c r="L15" s="69"/>
      <c r="M15" s="69">
        <f t="shared" si="3"/>
        <v>671636.5</v>
      </c>
      <c r="N15" s="8"/>
      <c r="O15" s="70"/>
    </row>
    <row r="16" spans="1:19">
      <c r="A16" s="47">
        <v>13</v>
      </c>
      <c r="B16" s="221">
        <v>46066</v>
      </c>
      <c r="C16" s="68"/>
      <c r="D16" s="161"/>
      <c r="E16" s="259">
        <v>2000</v>
      </c>
      <c r="F16" s="259">
        <v>95.43</v>
      </c>
      <c r="G16" s="8">
        <f t="shared" si="0"/>
        <v>190860</v>
      </c>
      <c r="H16" s="66">
        <v>0</v>
      </c>
      <c r="I16" s="67">
        <v>0</v>
      </c>
      <c r="J16" s="8">
        <f t="shared" si="1"/>
        <v>0</v>
      </c>
      <c r="K16" s="8">
        <f t="shared" si="2"/>
        <v>190860</v>
      </c>
      <c r="L16" s="69"/>
      <c r="M16" s="69">
        <f t="shared" si="3"/>
        <v>862496.5</v>
      </c>
      <c r="N16" s="8"/>
      <c r="O16" s="70"/>
    </row>
    <row r="17" spans="1:17">
      <c r="A17" s="47">
        <v>14</v>
      </c>
      <c r="B17" s="221">
        <v>46067</v>
      </c>
      <c r="C17" s="68"/>
      <c r="D17" s="161"/>
      <c r="E17" s="259">
        <v>2400</v>
      </c>
      <c r="F17" s="259">
        <v>95.43</v>
      </c>
      <c r="G17" s="8">
        <f t="shared" si="0"/>
        <v>229032.00000000003</v>
      </c>
      <c r="H17" s="66">
        <v>0</v>
      </c>
      <c r="I17" s="67">
        <v>0</v>
      </c>
      <c r="J17" s="8">
        <f t="shared" si="1"/>
        <v>0</v>
      </c>
      <c r="K17" s="8">
        <f t="shared" si="2"/>
        <v>229032.00000000003</v>
      </c>
      <c r="L17" s="69"/>
      <c r="M17" s="69">
        <f t="shared" si="3"/>
        <v>1091528.5</v>
      </c>
      <c r="N17" s="8"/>
      <c r="O17" s="70"/>
    </row>
    <row r="18" spans="1:17">
      <c r="A18" s="47">
        <v>15</v>
      </c>
      <c r="B18" s="221">
        <v>46068</v>
      </c>
      <c r="C18" s="68"/>
      <c r="D18" s="161"/>
      <c r="E18" s="259"/>
      <c r="F18" s="259"/>
      <c r="G18" s="8">
        <f t="shared" si="0"/>
        <v>0</v>
      </c>
      <c r="H18" s="66">
        <v>0</v>
      </c>
      <c r="I18" s="67">
        <v>0</v>
      </c>
      <c r="J18" s="8">
        <f t="shared" si="1"/>
        <v>0</v>
      </c>
      <c r="K18" s="8">
        <f t="shared" si="2"/>
        <v>0</v>
      </c>
      <c r="L18" s="69"/>
      <c r="M18" s="69">
        <f t="shared" si="3"/>
        <v>1091528.5</v>
      </c>
      <c r="N18" s="184"/>
      <c r="O18" s="70"/>
    </row>
    <row r="19" spans="1:17">
      <c r="A19" s="47">
        <v>16</v>
      </c>
      <c r="B19" s="221">
        <v>46069</v>
      </c>
      <c r="C19" s="68"/>
      <c r="D19" s="161"/>
      <c r="E19" s="259"/>
      <c r="F19" s="259"/>
      <c r="G19" s="8">
        <f t="shared" si="0"/>
        <v>0</v>
      </c>
      <c r="H19" s="66">
        <v>0</v>
      </c>
      <c r="I19" s="67">
        <v>0</v>
      </c>
      <c r="J19" s="8">
        <f t="shared" si="1"/>
        <v>0</v>
      </c>
      <c r="K19" s="8">
        <f t="shared" si="2"/>
        <v>0</v>
      </c>
      <c r="L19" s="69"/>
      <c r="M19" s="69">
        <f t="shared" si="3"/>
        <v>1091528.5</v>
      </c>
      <c r="N19" s="283"/>
      <c r="O19" s="70"/>
    </row>
    <row r="20" spans="1:17">
      <c r="A20" s="47">
        <v>17</v>
      </c>
      <c r="B20" s="221">
        <v>46070</v>
      </c>
      <c r="C20" s="68"/>
      <c r="D20" s="161"/>
      <c r="E20" s="259">
        <v>2192</v>
      </c>
      <c r="F20" s="259">
        <v>95.43</v>
      </c>
      <c r="G20" s="8">
        <f t="shared" si="0"/>
        <v>209182.56000000003</v>
      </c>
      <c r="H20" s="66">
        <v>0</v>
      </c>
      <c r="I20" s="67">
        <v>0</v>
      </c>
      <c r="J20" s="8">
        <f t="shared" si="1"/>
        <v>0</v>
      </c>
      <c r="K20" s="8">
        <f t="shared" si="2"/>
        <v>209182.56000000003</v>
      </c>
      <c r="L20" s="69"/>
      <c r="M20" s="69">
        <f t="shared" si="3"/>
        <v>1300711.06</v>
      </c>
      <c r="N20" s="19"/>
      <c r="O20" s="70"/>
    </row>
    <row r="21" spans="1:17">
      <c r="A21" s="47">
        <v>18</v>
      </c>
      <c r="B21" s="221">
        <v>46071</v>
      </c>
      <c r="C21" s="68"/>
      <c r="D21" s="161"/>
      <c r="E21" s="259">
        <v>2033</v>
      </c>
      <c r="F21" s="259">
        <v>95.43</v>
      </c>
      <c r="G21" s="8">
        <f t="shared" si="0"/>
        <v>194009.19</v>
      </c>
      <c r="H21" s="66">
        <v>0</v>
      </c>
      <c r="I21" s="67">
        <v>0</v>
      </c>
      <c r="J21" s="8">
        <f t="shared" si="1"/>
        <v>0</v>
      </c>
      <c r="K21" s="8">
        <f t="shared" si="2"/>
        <v>194009.19</v>
      </c>
      <c r="L21" s="69"/>
      <c r="M21" s="69">
        <f t="shared" si="3"/>
        <v>1494720.25</v>
      </c>
      <c r="N21" s="8"/>
      <c r="O21" s="70"/>
    </row>
    <row r="22" spans="1:17">
      <c r="A22" s="47">
        <v>19</v>
      </c>
      <c r="B22" s="221">
        <v>46072</v>
      </c>
      <c r="C22" s="68"/>
      <c r="D22" s="161"/>
      <c r="E22" s="259"/>
      <c r="F22" s="259"/>
      <c r="G22" s="8">
        <f t="shared" si="0"/>
        <v>0</v>
      </c>
      <c r="H22" s="66">
        <v>0</v>
      </c>
      <c r="I22" s="67">
        <v>0</v>
      </c>
      <c r="J22" s="8">
        <f t="shared" si="1"/>
        <v>0</v>
      </c>
      <c r="K22" s="8">
        <f t="shared" si="2"/>
        <v>0</v>
      </c>
      <c r="L22" s="69"/>
      <c r="M22" s="69">
        <f t="shared" si="3"/>
        <v>1494720.25</v>
      </c>
      <c r="N22" s="8"/>
      <c r="O22" s="70"/>
      <c r="Q22" s="22"/>
    </row>
    <row r="23" spans="1:17">
      <c r="A23" s="47">
        <v>20</v>
      </c>
      <c r="B23" s="221">
        <v>46073</v>
      </c>
      <c r="C23" s="68"/>
      <c r="D23" s="161"/>
      <c r="E23" s="259">
        <v>2000</v>
      </c>
      <c r="F23" s="259">
        <v>95.43</v>
      </c>
      <c r="G23" s="8">
        <f t="shared" si="0"/>
        <v>190860</v>
      </c>
      <c r="H23" s="66">
        <v>0</v>
      </c>
      <c r="I23" s="67">
        <v>0</v>
      </c>
      <c r="J23" s="8">
        <f t="shared" si="1"/>
        <v>0</v>
      </c>
      <c r="K23" s="8">
        <f t="shared" si="2"/>
        <v>190860</v>
      </c>
      <c r="L23" s="69">
        <v>1000000</v>
      </c>
      <c r="M23" s="69">
        <f>+M22+K23-L23</f>
        <v>685580.25</v>
      </c>
      <c r="N23" s="8"/>
      <c r="O23" s="70"/>
    </row>
    <row r="24" spans="1:17">
      <c r="A24" s="47">
        <v>21</v>
      </c>
      <c r="B24" s="221">
        <v>46074</v>
      </c>
      <c r="C24" s="68"/>
      <c r="D24" s="161"/>
      <c r="E24" s="259">
        <v>2000</v>
      </c>
      <c r="F24" s="259">
        <v>95.43</v>
      </c>
      <c r="G24" s="8">
        <f t="shared" si="0"/>
        <v>190860</v>
      </c>
      <c r="H24" s="66">
        <v>0</v>
      </c>
      <c r="I24" s="67">
        <v>0</v>
      </c>
      <c r="J24" s="8">
        <f t="shared" si="1"/>
        <v>0</v>
      </c>
      <c r="K24" s="8">
        <f t="shared" si="2"/>
        <v>190860</v>
      </c>
      <c r="L24" s="69"/>
      <c r="M24" s="69">
        <f t="shared" si="3"/>
        <v>876440.25</v>
      </c>
      <c r="N24" s="8"/>
      <c r="O24" s="70"/>
    </row>
    <row r="25" spans="1:17">
      <c r="A25" s="47">
        <v>22</v>
      </c>
      <c r="B25" s="221">
        <v>46075</v>
      </c>
      <c r="C25" s="68"/>
      <c r="D25" s="161"/>
      <c r="E25" s="259"/>
      <c r="F25" s="259">
        <v>95.43</v>
      </c>
      <c r="G25" s="8">
        <f t="shared" si="0"/>
        <v>0</v>
      </c>
      <c r="H25" s="66">
        <v>0</v>
      </c>
      <c r="I25" s="67">
        <v>0</v>
      </c>
      <c r="J25" s="8">
        <f t="shared" si="1"/>
        <v>0</v>
      </c>
      <c r="K25" s="8">
        <f t="shared" si="2"/>
        <v>0</v>
      </c>
      <c r="L25" s="69"/>
      <c r="M25" s="69">
        <f t="shared" si="3"/>
        <v>876440.25</v>
      </c>
      <c r="N25" s="8"/>
      <c r="O25" s="70"/>
    </row>
    <row r="26" spans="1:17">
      <c r="A26" s="47">
        <v>23</v>
      </c>
      <c r="B26" s="221">
        <v>46076</v>
      </c>
      <c r="C26" s="68"/>
      <c r="D26" s="161"/>
      <c r="E26" s="259">
        <v>2200</v>
      </c>
      <c r="F26" s="259">
        <v>95.43</v>
      </c>
      <c r="G26" s="8">
        <f t="shared" si="0"/>
        <v>209946.00000000003</v>
      </c>
      <c r="H26" s="66">
        <v>0</v>
      </c>
      <c r="I26" s="67">
        <v>0</v>
      </c>
      <c r="J26" s="8">
        <f t="shared" si="1"/>
        <v>0</v>
      </c>
      <c r="K26" s="8">
        <f t="shared" si="2"/>
        <v>209946.00000000003</v>
      </c>
      <c r="L26" s="69"/>
      <c r="M26" s="69">
        <f t="shared" si="3"/>
        <v>1086386.25</v>
      </c>
      <c r="N26" s="8"/>
      <c r="O26" s="70"/>
    </row>
    <row r="27" spans="1:17">
      <c r="A27" s="47">
        <v>24</v>
      </c>
      <c r="B27" s="221">
        <v>46077</v>
      </c>
      <c r="C27" s="68"/>
      <c r="D27" s="161"/>
      <c r="E27" s="259"/>
      <c r="F27" s="259"/>
      <c r="G27" s="8">
        <f t="shared" si="0"/>
        <v>0</v>
      </c>
      <c r="H27" s="66">
        <v>0</v>
      </c>
      <c r="I27" s="67">
        <v>0</v>
      </c>
      <c r="J27" s="8">
        <f t="shared" si="1"/>
        <v>0</v>
      </c>
      <c r="K27" s="8">
        <f t="shared" si="2"/>
        <v>0</v>
      </c>
      <c r="L27" s="69"/>
      <c r="M27" s="69">
        <f t="shared" si="3"/>
        <v>1086386.25</v>
      </c>
      <c r="N27" s="8"/>
      <c r="O27" s="70"/>
    </row>
    <row r="28" spans="1:17">
      <c r="A28" s="223">
        <v>25</v>
      </c>
      <c r="B28" s="221">
        <v>46078</v>
      </c>
      <c r="C28" s="68"/>
      <c r="D28" s="161"/>
      <c r="E28" s="259">
        <v>2200</v>
      </c>
      <c r="F28" s="259">
        <v>95.43</v>
      </c>
      <c r="G28" s="8">
        <f t="shared" si="0"/>
        <v>209946.00000000003</v>
      </c>
      <c r="H28" s="66">
        <v>0</v>
      </c>
      <c r="I28" s="67">
        <v>0</v>
      </c>
      <c r="J28" s="8">
        <f t="shared" si="1"/>
        <v>0</v>
      </c>
      <c r="K28" s="8">
        <f t="shared" si="2"/>
        <v>209946.00000000003</v>
      </c>
      <c r="L28" s="69"/>
      <c r="M28" s="69">
        <f t="shared" si="3"/>
        <v>1296332.25</v>
      </c>
      <c r="N28" s="8"/>
      <c r="O28" s="70"/>
    </row>
    <row r="29" spans="1:17">
      <c r="A29" s="223">
        <v>26</v>
      </c>
      <c r="B29" s="221">
        <v>46079</v>
      </c>
      <c r="C29" s="68"/>
      <c r="D29" s="161"/>
      <c r="E29" s="259">
        <v>2200</v>
      </c>
      <c r="F29" s="259">
        <v>95.43</v>
      </c>
      <c r="G29" s="8">
        <f t="shared" si="0"/>
        <v>209946.00000000003</v>
      </c>
      <c r="H29" s="66">
        <v>0</v>
      </c>
      <c r="I29" s="67">
        <v>0</v>
      </c>
      <c r="J29" s="8">
        <f t="shared" si="1"/>
        <v>0</v>
      </c>
      <c r="K29" s="8">
        <f t="shared" si="2"/>
        <v>209946.00000000003</v>
      </c>
      <c r="L29" s="69">
        <v>480000</v>
      </c>
      <c r="M29" s="69">
        <f t="shared" si="3"/>
        <v>1026278.25</v>
      </c>
      <c r="N29" s="8"/>
      <c r="O29" s="70"/>
    </row>
    <row r="30" spans="1:17">
      <c r="A30" s="223">
        <v>27</v>
      </c>
      <c r="B30" s="221">
        <v>46080</v>
      </c>
      <c r="C30" s="68"/>
      <c r="D30" s="161"/>
      <c r="E30" s="259"/>
      <c r="F30" s="259"/>
      <c r="G30" s="8">
        <f t="shared" si="0"/>
        <v>0</v>
      </c>
      <c r="H30" s="66">
        <v>0</v>
      </c>
      <c r="I30" s="67">
        <v>0</v>
      </c>
      <c r="J30" s="8">
        <f t="shared" si="1"/>
        <v>0</v>
      </c>
      <c r="K30" s="8">
        <f t="shared" si="2"/>
        <v>0</v>
      </c>
      <c r="L30" s="69"/>
      <c r="M30" s="69">
        <f t="shared" si="3"/>
        <v>1026278.25</v>
      </c>
      <c r="N30" s="8"/>
      <c r="O30" s="70"/>
    </row>
    <row r="31" spans="1:17">
      <c r="A31" s="223">
        <v>28</v>
      </c>
      <c r="B31" s="221">
        <v>46081</v>
      </c>
      <c r="C31" s="68"/>
      <c r="D31" s="161"/>
      <c r="E31" s="259"/>
      <c r="F31" s="259"/>
      <c r="G31" s="8">
        <f t="shared" si="0"/>
        <v>0</v>
      </c>
      <c r="H31" s="66">
        <v>0</v>
      </c>
      <c r="I31" s="67">
        <v>0</v>
      </c>
      <c r="J31" s="8">
        <f t="shared" si="1"/>
        <v>0</v>
      </c>
      <c r="K31" s="8">
        <f t="shared" si="2"/>
        <v>0</v>
      </c>
      <c r="L31" s="69"/>
      <c r="M31" s="69">
        <f t="shared" si="3"/>
        <v>1026278.25</v>
      </c>
      <c r="N31" s="8"/>
      <c r="O31" s="70"/>
    </row>
    <row r="32" spans="1:17">
      <c r="A32" s="224">
        <v>29</v>
      </c>
      <c r="B32" s="221"/>
      <c r="C32" s="68"/>
      <c r="D32" s="161"/>
      <c r="E32" s="259"/>
      <c r="F32" s="259"/>
      <c r="G32" s="8">
        <f t="shared" si="0"/>
        <v>0</v>
      </c>
      <c r="H32" s="66">
        <v>0</v>
      </c>
      <c r="I32" s="67">
        <v>0</v>
      </c>
      <c r="J32" s="8">
        <f t="shared" si="1"/>
        <v>0</v>
      </c>
      <c r="K32" s="8">
        <f t="shared" si="2"/>
        <v>0</v>
      </c>
      <c r="L32" s="69"/>
      <c r="M32" s="69">
        <f t="shared" si="3"/>
        <v>1026278.25</v>
      </c>
      <c r="N32" s="8"/>
      <c r="O32" s="70"/>
    </row>
    <row r="33" spans="1:15">
      <c r="A33" s="224">
        <v>30</v>
      </c>
      <c r="B33" s="221"/>
      <c r="C33" s="68"/>
      <c r="D33" s="161"/>
      <c r="E33" s="259">
        <v>0</v>
      </c>
      <c r="F33" s="259">
        <v>0</v>
      </c>
      <c r="G33" s="8">
        <f t="shared" si="0"/>
        <v>0</v>
      </c>
      <c r="H33" s="66">
        <v>0</v>
      </c>
      <c r="I33" s="67">
        <v>0</v>
      </c>
      <c r="J33" s="8">
        <f t="shared" si="1"/>
        <v>0</v>
      </c>
      <c r="K33" s="8">
        <f t="shared" si="2"/>
        <v>0</v>
      </c>
      <c r="L33" s="69"/>
      <c r="M33" s="69">
        <f t="shared" si="3"/>
        <v>1026278.25</v>
      </c>
      <c r="N33" s="8"/>
      <c r="O33" s="70"/>
    </row>
    <row r="34" spans="1:15">
      <c r="A34" s="224">
        <v>31</v>
      </c>
      <c r="B34" s="221"/>
      <c r="C34" s="68"/>
      <c r="D34" s="161"/>
      <c r="E34" s="259"/>
      <c r="F34" s="259"/>
      <c r="G34" s="8">
        <f t="shared" si="0"/>
        <v>0</v>
      </c>
      <c r="H34" s="66">
        <v>0</v>
      </c>
      <c r="I34" s="67">
        <v>0</v>
      </c>
      <c r="J34" s="8">
        <f t="shared" si="1"/>
        <v>0</v>
      </c>
      <c r="K34" s="8">
        <f t="shared" si="2"/>
        <v>0</v>
      </c>
      <c r="L34" s="69">
        <v>0</v>
      </c>
      <c r="M34" s="69">
        <f t="shared" si="3"/>
        <v>1026278.25</v>
      </c>
      <c r="N34" s="8"/>
      <c r="O34" s="70"/>
    </row>
    <row r="35" spans="1:15">
      <c r="A35" s="63"/>
      <c r="B35" s="63"/>
      <c r="C35" s="63"/>
      <c r="D35" s="63"/>
      <c r="E35" s="260">
        <f>SUM(E4:E34)</f>
        <v>25225</v>
      </c>
      <c r="F35" s="260"/>
      <c r="G35" s="64">
        <f>SUM(G4:G34)</f>
        <v>2407221.75</v>
      </c>
      <c r="H35" s="64">
        <f>SUM(H4:H34)</f>
        <v>0</v>
      </c>
      <c r="I35" s="64"/>
      <c r="J35" s="64">
        <f>SUM(J4:J34)</f>
        <v>0</v>
      </c>
      <c r="K35" s="64">
        <f>SUM(K4:K34)</f>
        <v>2407221.75</v>
      </c>
      <c r="L35" s="64">
        <f>SUM(L4:L34)</f>
        <v>1680000</v>
      </c>
      <c r="M35" s="64"/>
      <c r="N35" s="64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  <row r="37" spans="1:15">
      <c r="O37" s="70"/>
    </row>
    <row r="38" spans="1:15">
      <c r="F38" t="s">
        <v>175</v>
      </c>
      <c r="O38" s="70"/>
    </row>
    <row r="39" spans="1:15">
      <c r="O39" s="70"/>
    </row>
    <row r="40" spans="1:15">
      <c r="O40" s="70"/>
    </row>
    <row r="41" spans="1:15">
      <c r="O41" s="70"/>
    </row>
    <row r="42" spans="1:15">
      <c r="A42" s="70"/>
      <c r="B42" s="60"/>
      <c r="C42" s="70"/>
      <c r="D42" s="70"/>
      <c r="E42" s="70"/>
      <c r="F42" s="70"/>
      <c r="G42" s="77"/>
      <c r="H42" s="70"/>
      <c r="I42" s="70"/>
      <c r="J42" s="60"/>
      <c r="K42" s="60"/>
      <c r="L42" s="60"/>
      <c r="M42" s="60"/>
      <c r="N42" s="70"/>
      <c r="O42" s="75"/>
    </row>
    <row r="43" spans="1:15">
      <c r="A43" s="70"/>
      <c r="B43" s="452"/>
      <c r="C43" s="452"/>
      <c r="D43" s="452"/>
      <c r="E43" s="452"/>
      <c r="F43" s="70"/>
      <c r="G43" s="70"/>
      <c r="H43" s="70"/>
      <c r="I43" s="452"/>
      <c r="J43" s="452"/>
      <c r="K43" s="452"/>
      <c r="L43" s="452"/>
      <c r="M43" s="452"/>
      <c r="N43" s="452"/>
      <c r="O43" s="75"/>
    </row>
    <row r="44" spans="1:15">
      <c r="A44" s="70"/>
      <c r="B44" s="60"/>
      <c r="C44" s="70"/>
      <c r="D44" s="70"/>
      <c r="E44" s="70"/>
      <c r="F44" s="70"/>
      <c r="G44" s="70"/>
      <c r="H44" s="70"/>
      <c r="I44" s="70"/>
      <c r="J44" s="60"/>
      <c r="K44" s="60"/>
      <c r="L44" s="60"/>
      <c r="M44" s="60"/>
      <c r="N44" s="70"/>
      <c r="O44" s="75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topLeftCell="A17" workbookViewId="0">
      <selection activeCell="M34" sqref="M34"/>
    </sheetView>
  </sheetViews>
  <sheetFormatPr defaultRowHeight="15"/>
  <cols>
    <col min="2" max="2" width="10.140625" bestFit="1" customWidth="1"/>
  </cols>
  <sheetData>
    <row r="1" spans="1:14" ht="15.75">
      <c r="A1" s="453" t="s">
        <v>176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</row>
    <row r="2" spans="1:14" ht="27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45" t="s">
        <v>162</v>
      </c>
      <c r="L2" s="145" t="s">
        <v>163</v>
      </c>
      <c r="M2" s="145" t="s">
        <v>164</v>
      </c>
      <c r="N2" s="107" t="s">
        <v>165</v>
      </c>
    </row>
    <row r="3" spans="1:14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132"/>
      <c r="L3" s="234"/>
      <c r="M3" s="334">
        <v>5405</v>
      </c>
      <c r="N3" s="235"/>
    </row>
    <row r="4" spans="1:14">
      <c r="A4" s="26">
        <v>1</v>
      </c>
      <c r="B4" s="27">
        <v>46054</v>
      </c>
      <c r="C4" s="108"/>
      <c r="D4" s="35"/>
      <c r="E4" s="37"/>
      <c r="F4" s="37"/>
      <c r="G4" s="37">
        <f>E4*F4</f>
        <v>0</v>
      </c>
      <c r="H4" s="344">
        <v>0</v>
      </c>
      <c r="I4" s="344">
        <v>0</v>
      </c>
      <c r="J4" s="37">
        <f>H4*I4</f>
        <v>0</v>
      </c>
      <c r="K4" s="37">
        <f t="shared" ref="K4:K31" si="0">G4+J4</f>
        <v>0</v>
      </c>
      <c r="L4" s="199">
        <v>0</v>
      </c>
      <c r="M4" s="37">
        <f>M3+K4-L4</f>
        <v>5405</v>
      </c>
      <c r="N4" s="236"/>
    </row>
    <row r="5" spans="1:14">
      <c r="A5" s="26">
        <v>2</v>
      </c>
      <c r="B5" s="27">
        <v>46055</v>
      </c>
      <c r="C5" s="108"/>
      <c r="D5" s="35"/>
      <c r="E5" s="37"/>
      <c r="F5" s="37"/>
      <c r="G5" s="37">
        <f>E5*F5</f>
        <v>0</v>
      </c>
      <c r="H5" s="344">
        <v>0</v>
      </c>
      <c r="I5" s="344">
        <v>0</v>
      </c>
      <c r="J5" s="37">
        <f>H5*I5</f>
        <v>0</v>
      </c>
      <c r="K5" s="37">
        <f t="shared" si="0"/>
        <v>0</v>
      </c>
      <c r="L5" s="199">
        <v>0</v>
      </c>
      <c r="M5" s="37">
        <f t="shared" ref="M5:M31" si="1">M4+K5-L5</f>
        <v>5405</v>
      </c>
      <c r="N5" s="237"/>
    </row>
    <row r="6" spans="1:14">
      <c r="A6" s="26">
        <v>3</v>
      </c>
      <c r="B6" s="27">
        <v>46056</v>
      </c>
      <c r="C6" s="108"/>
      <c r="D6" s="35"/>
      <c r="E6" s="37"/>
      <c r="F6" s="37"/>
      <c r="G6" s="37">
        <f t="shared" ref="G6:G31" si="2">E6*F6</f>
        <v>0</v>
      </c>
      <c r="H6" s="344">
        <v>0</v>
      </c>
      <c r="I6" s="344">
        <v>0</v>
      </c>
      <c r="J6" s="37">
        <f t="shared" ref="J6:J11" si="3">H6*I6</f>
        <v>0</v>
      </c>
      <c r="K6" s="37">
        <f t="shared" si="0"/>
        <v>0</v>
      </c>
      <c r="L6" s="199">
        <v>0</v>
      </c>
      <c r="M6" s="37">
        <f t="shared" si="1"/>
        <v>5405</v>
      </c>
      <c r="N6" s="238"/>
    </row>
    <row r="7" spans="1:14">
      <c r="A7" s="26">
        <v>4</v>
      </c>
      <c r="B7" s="27">
        <v>46057</v>
      </c>
      <c r="C7" s="108"/>
      <c r="D7" s="35"/>
      <c r="E7" s="37"/>
      <c r="F7" s="37"/>
      <c r="G7" s="37">
        <f t="shared" si="2"/>
        <v>0</v>
      </c>
      <c r="H7" s="344">
        <v>0</v>
      </c>
      <c r="I7" s="344">
        <v>0</v>
      </c>
      <c r="J7" s="37">
        <f t="shared" si="3"/>
        <v>0</v>
      </c>
      <c r="K7" s="37">
        <f t="shared" si="0"/>
        <v>0</v>
      </c>
      <c r="L7" s="199">
        <v>0</v>
      </c>
      <c r="M7" s="37">
        <f>M6+K7-L7</f>
        <v>5405</v>
      </c>
      <c r="N7" s="200"/>
    </row>
    <row r="8" spans="1:14">
      <c r="A8" s="26">
        <v>5</v>
      </c>
      <c r="B8" s="27">
        <v>46058</v>
      </c>
      <c r="C8" s="34"/>
      <c r="D8" s="35"/>
      <c r="E8" s="37"/>
      <c r="F8" s="37"/>
      <c r="G8" s="37">
        <f t="shared" si="2"/>
        <v>0</v>
      </c>
      <c r="H8" s="344">
        <v>0</v>
      </c>
      <c r="I8" s="344">
        <v>0</v>
      </c>
      <c r="J8" s="37">
        <f t="shared" si="3"/>
        <v>0</v>
      </c>
      <c r="K8" s="37">
        <f t="shared" si="0"/>
        <v>0</v>
      </c>
      <c r="L8" s="199">
        <v>0</v>
      </c>
      <c r="M8" s="37">
        <f>M7+K8-L8</f>
        <v>5405</v>
      </c>
      <c r="N8" s="200"/>
    </row>
    <row r="9" spans="1:14">
      <c r="A9" s="26">
        <v>6</v>
      </c>
      <c r="B9" s="27">
        <v>46059</v>
      </c>
      <c r="C9" s="34"/>
      <c r="D9" s="35"/>
      <c r="E9" s="37"/>
      <c r="F9" s="37"/>
      <c r="G9" s="37">
        <f t="shared" si="2"/>
        <v>0</v>
      </c>
      <c r="H9" s="344">
        <v>40</v>
      </c>
      <c r="I9" s="344">
        <v>108.1</v>
      </c>
      <c r="J9" s="37">
        <f t="shared" si="3"/>
        <v>4324</v>
      </c>
      <c r="K9" s="37">
        <f t="shared" si="0"/>
        <v>4324</v>
      </c>
      <c r="L9" s="199">
        <v>0</v>
      </c>
      <c r="M9" s="37">
        <f t="shared" si="1"/>
        <v>9729</v>
      </c>
      <c r="N9" s="200"/>
    </row>
    <row r="10" spans="1:14">
      <c r="A10" s="26">
        <v>7</v>
      </c>
      <c r="B10" s="27">
        <v>46060</v>
      </c>
      <c r="C10" s="34"/>
      <c r="D10" s="35"/>
      <c r="E10" s="37"/>
      <c r="F10" s="37"/>
      <c r="G10" s="37">
        <f t="shared" si="2"/>
        <v>0</v>
      </c>
      <c r="H10" s="344">
        <v>0</v>
      </c>
      <c r="I10" s="344">
        <v>0</v>
      </c>
      <c r="J10" s="37">
        <f t="shared" ref="J10:J15" si="4">H10*I10</f>
        <v>0</v>
      </c>
      <c r="K10" s="37">
        <f t="shared" ref="K10:K15" si="5">G10+J10</f>
        <v>0</v>
      </c>
      <c r="L10" s="199">
        <v>0</v>
      </c>
      <c r="M10" s="37">
        <f t="shared" si="1"/>
        <v>9729</v>
      </c>
      <c r="N10" s="200"/>
    </row>
    <row r="11" spans="1:14">
      <c r="A11" s="26">
        <v>8</v>
      </c>
      <c r="B11" s="27">
        <v>46061</v>
      </c>
      <c r="C11" s="34"/>
      <c r="D11" s="35"/>
      <c r="E11" s="37"/>
      <c r="F11" s="37"/>
      <c r="G11" s="37">
        <f t="shared" si="2"/>
        <v>0</v>
      </c>
      <c r="H11" s="344">
        <v>0</v>
      </c>
      <c r="I11" s="344">
        <v>0</v>
      </c>
      <c r="J11" s="37">
        <f t="shared" si="4"/>
        <v>0</v>
      </c>
      <c r="K11" s="37">
        <f t="shared" si="5"/>
        <v>0</v>
      </c>
      <c r="L11" s="199">
        <v>0</v>
      </c>
      <c r="M11" s="37">
        <f t="shared" si="1"/>
        <v>9729</v>
      </c>
      <c r="N11" s="200"/>
    </row>
    <row r="12" spans="1:14">
      <c r="A12" s="26">
        <v>9</v>
      </c>
      <c r="B12" s="27">
        <v>46062</v>
      </c>
      <c r="C12" s="34"/>
      <c r="D12" s="35"/>
      <c r="E12" s="37"/>
      <c r="F12" s="37"/>
      <c r="G12" s="37">
        <f t="shared" si="2"/>
        <v>0</v>
      </c>
      <c r="H12" s="344">
        <v>0</v>
      </c>
      <c r="I12" s="344">
        <v>0</v>
      </c>
      <c r="J12" s="37">
        <f t="shared" si="4"/>
        <v>0</v>
      </c>
      <c r="K12" s="37">
        <f t="shared" si="5"/>
        <v>0</v>
      </c>
      <c r="L12" s="199">
        <v>0</v>
      </c>
      <c r="M12" s="37">
        <f t="shared" si="1"/>
        <v>9729</v>
      </c>
      <c r="N12" s="200"/>
    </row>
    <row r="13" spans="1:14">
      <c r="A13" s="26">
        <v>10</v>
      </c>
      <c r="B13" s="27">
        <v>46063</v>
      </c>
      <c r="C13" s="34"/>
      <c r="D13" s="35"/>
      <c r="E13" s="37"/>
      <c r="F13" s="37"/>
      <c r="G13" s="37">
        <f t="shared" si="2"/>
        <v>0</v>
      </c>
      <c r="H13" s="344">
        <v>0</v>
      </c>
      <c r="I13" s="344">
        <v>0</v>
      </c>
      <c r="J13" s="37">
        <f t="shared" si="4"/>
        <v>0</v>
      </c>
      <c r="K13" s="37">
        <f t="shared" si="5"/>
        <v>0</v>
      </c>
      <c r="L13" s="199">
        <v>0</v>
      </c>
      <c r="M13" s="37">
        <f>M12+K13-L13</f>
        <v>9729</v>
      </c>
      <c r="N13" s="200"/>
    </row>
    <row r="14" spans="1:14">
      <c r="A14" s="26">
        <v>11</v>
      </c>
      <c r="B14" s="27">
        <v>46064</v>
      </c>
      <c r="C14" s="34"/>
      <c r="D14" s="35"/>
      <c r="E14" s="37"/>
      <c r="F14" s="37"/>
      <c r="G14" s="37">
        <f t="shared" si="2"/>
        <v>0</v>
      </c>
      <c r="H14" s="344">
        <v>0</v>
      </c>
      <c r="I14" s="344">
        <v>0</v>
      </c>
      <c r="J14" s="37">
        <f t="shared" si="4"/>
        <v>0</v>
      </c>
      <c r="K14" s="37">
        <f t="shared" si="5"/>
        <v>0</v>
      </c>
      <c r="L14" s="199">
        <v>0</v>
      </c>
      <c r="M14" s="37">
        <f>M13+K14-L14</f>
        <v>9729</v>
      </c>
      <c r="N14" s="200"/>
    </row>
    <row r="15" spans="1:14">
      <c r="A15" s="26">
        <v>12</v>
      </c>
      <c r="B15" s="27">
        <v>46065</v>
      </c>
      <c r="C15" s="34"/>
      <c r="D15" s="35"/>
      <c r="E15" s="37"/>
      <c r="F15" s="37"/>
      <c r="G15" s="37">
        <f t="shared" si="2"/>
        <v>0</v>
      </c>
      <c r="H15" s="344">
        <v>50</v>
      </c>
      <c r="I15" s="344">
        <v>108.1</v>
      </c>
      <c r="J15" s="37">
        <f>H15*I15</f>
        <v>5405</v>
      </c>
      <c r="K15" s="37">
        <f>G15+J15</f>
        <v>5405</v>
      </c>
      <c r="L15" s="199">
        <v>0</v>
      </c>
      <c r="M15" s="37">
        <f t="shared" si="1"/>
        <v>15134</v>
      </c>
      <c r="N15" s="200"/>
    </row>
    <row r="16" spans="1:14">
      <c r="A16" s="26">
        <v>13</v>
      </c>
      <c r="B16" s="27">
        <v>46066</v>
      </c>
      <c r="C16" s="34"/>
      <c r="D16" s="35"/>
      <c r="E16" s="37"/>
      <c r="F16" s="37"/>
      <c r="G16" s="37">
        <f t="shared" si="2"/>
        <v>0</v>
      </c>
      <c r="H16" s="344">
        <v>0</v>
      </c>
      <c r="I16" s="344">
        <v>0</v>
      </c>
      <c r="J16" s="37">
        <f t="shared" ref="J16:J33" si="6">H16*I16</f>
        <v>0</v>
      </c>
      <c r="K16" s="37">
        <f t="shared" si="0"/>
        <v>0</v>
      </c>
      <c r="L16" s="199">
        <v>0</v>
      </c>
      <c r="M16" s="37">
        <f t="shared" si="1"/>
        <v>15134</v>
      </c>
      <c r="N16" s="200"/>
    </row>
    <row r="17" spans="1:14">
      <c r="A17" s="26">
        <v>14</v>
      </c>
      <c r="B17" s="27">
        <v>46067</v>
      </c>
      <c r="C17" s="34"/>
      <c r="D17" s="35"/>
      <c r="E17" s="37"/>
      <c r="F17" s="37"/>
      <c r="G17" s="37">
        <f t="shared" si="2"/>
        <v>0</v>
      </c>
      <c r="H17" s="344">
        <v>0</v>
      </c>
      <c r="I17" s="344">
        <v>0</v>
      </c>
      <c r="J17" s="37">
        <f t="shared" si="6"/>
        <v>0</v>
      </c>
      <c r="K17" s="37">
        <f t="shared" si="0"/>
        <v>0</v>
      </c>
      <c r="L17" s="199">
        <v>0</v>
      </c>
      <c r="M17" s="37">
        <f t="shared" si="1"/>
        <v>15134</v>
      </c>
      <c r="N17" s="200"/>
    </row>
    <row r="18" spans="1:14">
      <c r="A18" s="26">
        <v>15</v>
      </c>
      <c r="B18" s="27">
        <v>46068</v>
      </c>
      <c r="C18" s="170"/>
      <c r="D18" s="35"/>
      <c r="E18" s="37"/>
      <c r="F18" s="37"/>
      <c r="G18" s="37">
        <f t="shared" si="2"/>
        <v>0</v>
      </c>
      <c r="H18" s="344">
        <v>0</v>
      </c>
      <c r="I18" s="344">
        <v>0</v>
      </c>
      <c r="J18" s="37">
        <f t="shared" si="6"/>
        <v>0</v>
      </c>
      <c r="K18" s="37">
        <f t="shared" si="0"/>
        <v>0</v>
      </c>
      <c r="L18" s="199">
        <v>0</v>
      </c>
      <c r="M18" s="37">
        <f t="shared" si="1"/>
        <v>15134</v>
      </c>
      <c r="N18" s="239"/>
    </row>
    <row r="19" spans="1:14">
      <c r="A19" s="26">
        <v>16</v>
      </c>
      <c r="B19" s="27">
        <v>46069</v>
      </c>
      <c r="C19" s="108"/>
      <c r="D19" s="35"/>
      <c r="E19" s="37"/>
      <c r="F19" s="37"/>
      <c r="G19" s="37">
        <f t="shared" si="2"/>
        <v>0</v>
      </c>
      <c r="H19" s="344">
        <v>0</v>
      </c>
      <c r="I19" s="344">
        <v>0</v>
      </c>
      <c r="J19" s="37">
        <f t="shared" si="6"/>
        <v>0</v>
      </c>
      <c r="K19" s="37">
        <f t="shared" si="0"/>
        <v>0</v>
      </c>
      <c r="L19" s="199">
        <v>0</v>
      </c>
      <c r="M19" s="37">
        <f t="shared" si="1"/>
        <v>15134</v>
      </c>
      <c r="N19" s="239"/>
    </row>
    <row r="20" spans="1:14">
      <c r="A20" s="26">
        <v>17</v>
      </c>
      <c r="B20" s="27">
        <v>46070</v>
      </c>
      <c r="C20" s="182"/>
      <c r="D20" s="35"/>
      <c r="E20" s="37"/>
      <c r="F20" s="37"/>
      <c r="G20" s="37">
        <f t="shared" si="2"/>
        <v>0</v>
      </c>
      <c r="H20" s="344">
        <v>50</v>
      </c>
      <c r="I20" s="344">
        <v>108.1</v>
      </c>
      <c r="J20" s="37">
        <f t="shared" si="6"/>
        <v>5405</v>
      </c>
      <c r="K20" s="37">
        <f t="shared" si="0"/>
        <v>5405</v>
      </c>
      <c r="L20" s="199">
        <v>0</v>
      </c>
      <c r="M20" s="37">
        <f t="shared" si="1"/>
        <v>20539</v>
      </c>
      <c r="N20" s="239"/>
    </row>
    <row r="21" spans="1:14">
      <c r="A21" s="26">
        <v>18</v>
      </c>
      <c r="B21" s="27">
        <v>46071</v>
      </c>
      <c r="C21" s="182"/>
      <c r="D21" s="35"/>
      <c r="E21" s="37"/>
      <c r="F21" s="37"/>
      <c r="G21" s="37">
        <f t="shared" si="2"/>
        <v>0</v>
      </c>
      <c r="H21" s="344">
        <v>0</v>
      </c>
      <c r="I21" s="344">
        <v>0</v>
      </c>
      <c r="J21" s="37">
        <f t="shared" si="6"/>
        <v>0</v>
      </c>
      <c r="K21" s="37">
        <f t="shared" si="0"/>
        <v>0</v>
      </c>
      <c r="L21" s="199">
        <v>0</v>
      </c>
      <c r="M21" s="37">
        <f t="shared" si="1"/>
        <v>20539</v>
      </c>
      <c r="N21" s="239"/>
    </row>
    <row r="22" spans="1:14">
      <c r="A22" s="26">
        <v>19</v>
      </c>
      <c r="B22" s="27">
        <v>46072</v>
      </c>
      <c r="C22" s="108"/>
      <c r="D22" s="35"/>
      <c r="E22" s="37"/>
      <c r="F22" s="37"/>
      <c r="G22" s="37">
        <f t="shared" si="2"/>
        <v>0</v>
      </c>
      <c r="H22" s="344">
        <v>0</v>
      </c>
      <c r="I22" s="344">
        <v>0</v>
      </c>
      <c r="J22" s="37">
        <f t="shared" si="6"/>
        <v>0</v>
      </c>
      <c r="K22" s="37">
        <f t="shared" si="0"/>
        <v>0</v>
      </c>
      <c r="L22" s="199">
        <v>0</v>
      </c>
      <c r="M22" s="37">
        <f t="shared" si="1"/>
        <v>20539</v>
      </c>
      <c r="N22" s="200"/>
    </row>
    <row r="23" spans="1:14">
      <c r="A23" s="26">
        <v>20</v>
      </c>
      <c r="B23" s="27">
        <v>46073</v>
      </c>
      <c r="C23" s="108"/>
      <c r="D23" s="35"/>
      <c r="E23" s="37"/>
      <c r="F23" s="37"/>
      <c r="G23" s="37">
        <f t="shared" si="2"/>
        <v>0</v>
      </c>
      <c r="H23" s="344">
        <v>0</v>
      </c>
      <c r="I23" s="344">
        <v>0</v>
      </c>
      <c r="J23" s="37">
        <f t="shared" si="6"/>
        <v>0</v>
      </c>
      <c r="K23" s="37">
        <f t="shared" si="0"/>
        <v>0</v>
      </c>
      <c r="L23" s="199">
        <v>0</v>
      </c>
      <c r="M23" s="37">
        <f t="shared" si="1"/>
        <v>20539</v>
      </c>
      <c r="N23" s="200"/>
    </row>
    <row r="24" spans="1:14">
      <c r="A24" s="26">
        <v>21</v>
      </c>
      <c r="B24" s="27">
        <v>46074</v>
      </c>
      <c r="C24" s="108"/>
      <c r="D24" s="35"/>
      <c r="E24" s="37"/>
      <c r="F24" s="37"/>
      <c r="G24" s="37">
        <f t="shared" si="2"/>
        <v>0</v>
      </c>
      <c r="H24" s="344">
        <v>0</v>
      </c>
      <c r="I24" s="344">
        <v>0</v>
      </c>
      <c r="J24" s="37">
        <f t="shared" si="6"/>
        <v>0</v>
      </c>
      <c r="K24" s="37">
        <f t="shared" si="0"/>
        <v>0</v>
      </c>
      <c r="L24" s="199">
        <v>0</v>
      </c>
      <c r="M24" s="37">
        <f t="shared" si="1"/>
        <v>20539</v>
      </c>
      <c r="N24" s="200"/>
    </row>
    <row r="25" spans="1:14">
      <c r="A25" s="26">
        <v>22</v>
      </c>
      <c r="B25" s="27">
        <v>46075</v>
      </c>
      <c r="C25" s="108"/>
      <c r="D25" s="35"/>
      <c r="E25" s="37"/>
      <c r="F25" s="37"/>
      <c r="G25" s="37">
        <f t="shared" si="2"/>
        <v>0</v>
      </c>
      <c r="H25" s="344">
        <v>0</v>
      </c>
      <c r="I25" s="344">
        <v>0</v>
      </c>
      <c r="J25" s="37">
        <f t="shared" si="6"/>
        <v>0</v>
      </c>
      <c r="K25" s="37">
        <f t="shared" si="0"/>
        <v>0</v>
      </c>
      <c r="L25" s="199">
        <v>0</v>
      </c>
      <c r="M25" s="37">
        <f t="shared" si="1"/>
        <v>20539</v>
      </c>
      <c r="N25" s="200"/>
    </row>
    <row r="26" spans="1:14">
      <c r="A26" s="26">
        <v>23</v>
      </c>
      <c r="B26" s="27">
        <v>46076</v>
      </c>
      <c r="C26" s="108"/>
      <c r="D26" s="35"/>
      <c r="E26" s="37">
        <v>0</v>
      </c>
      <c r="F26" s="37">
        <v>0</v>
      </c>
      <c r="G26" s="37">
        <f t="shared" si="2"/>
        <v>0</v>
      </c>
      <c r="H26" s="344">
        <v>40</v>
      </c>
      <c r="I26" s="344">
        <v>108.1</v>
      </c>
      <c r="J26" s="37">
        <f t="shared" si="6"/>
        <v>4324</v>
      </c>
      <c r="K26" s="37">
        <f t="shared" si="0"/>
        <v>4324</v>
      </c>
      <c r="L26" s="199">
        <v>0</v>
      </c>
      <c r="M26" s="37">
        <f t="shared" si="1"/>
        <v>24863</v>
      </c>
      <c r="N26" s="200"/>
    </row>
    <row r="27" spans="1:14">
      <c r="A27" s="26">
        <v>24</v>
      </c>
      <c r="B27" s="27">
        <v>46077</v>
      </c>
      <c r="C27" s="108"/>
      <c r="D27" s="35"/>
      <c r="E27" s="37"/>
      <c r="F27" s="37"/>
      <c r="G27" s="37">
        <f t="shared" si="2"/>
        <v>0</v>
      </c>
      <c r="H27" s="344">
        <v>0</v>
      </c>
      <c r="I27" s="344">
        <v>0</v>
      </c>
      <c r="J27" s="37">
        <f t="shared" si="6"/>
        <v>0</v>
      </c>
      <c r="K27" s="37">
        <f t="shared" si="0"/>
        <v>0</v>
      </c>
      <c r="L27" s="199">
        <v>0</v>
      </c>
      <c r="M27" s="37">
        <f t="shared" si="1"/>
        <v>24863</v>
      </c>
      <c r="N27" s="200"/>
    </row>
    <row r="28" spans="1:14">
      <c r="A28" s="26">
        <v>25</v>
      </c>
      <c r="B28" s="27">
        <v>46078</v>
      </c>
      <c r="C28" s="108"/>
      <c r="D28" s="35"/>
      <c r="E28" s="37"/>
      <c r="F28" s="37"/>
      <c r="G28" s="37">
        <f t="shared" si="2"/>
        <v>0</v>
      </c>
      <c r="H28" s="344">
        <v>0</v>
      </c>
      <c r="I28" s="344">
        <v>0</v>
      </c>
      <c r="J28" s="37">
        <f t="shared" si="6"/>
        <v>0</v>
      </c>
      <c r="K28" s="37">
        <f t="shared" si="0"/>
        <v>0</v>
      </c>
      <c r="L28" s="199">
        <v>0</v>
      </c>
      <c r="M28" s="37">
        <f t="shared" si="1"/>
        <v>24863</v>
      </c>
      <c r="N28" s="200"/>
    </row>
    <row r="29" spans="1:14">
      <c r="A29" s="26">
        <v>26</v>
      </c>
      <c r="B29" s="27">
        <v>46079</v>
      </c>
      <c r="C29" s="108"/>
      <c r="D29" s="35"/>
      <c r="E29" s="37"/>
      <c r="F29" s="37"/>
      <c r="G29" s="37">
        <f t="shared" si="2"/>
        <v>0</v>
      </c>
      <c r="H29" s="344">
        <v>0</v>
      </c>
      <c r="I29" s="344">
        <v>0</v>
      </c>
      <c r="J29" s="37">
        <f t="shared" si="6"/>
        <v>0</v>
      </c>
      <c r="K29" s="37">
        <f t="shared" si="0"/>
        <v>0</v>
      </c>
      <c r="L29" s="199">
        <v>0</v>
      </c>
      <c r="M29" s="37">
        <f t="shared" si="1"/>
        <v>24863</v>
      </c>
      <c r="N29" s="200"/>
    </row>
    <row r="30" spans="1:14">
      <c r="A30" s="26">
        <v>27</v>
      </c>
      <c r="B30" s="27">
        <v>46080</v>
      </c>
      <c r="C30" s="108"/>
      <c r="D30" s="35"/>
      <c r="E30" s="37"/>
      <c r="F30" s="37"/>
      <c r="G30" s="37">
        <f t="shared" si="2"/>
        <v>0</v>
      </c>
      <c r="H30" s="344">
        <v>0</v>
      </c>
      <c r="I30" s="344">
        <v>0</v>
      </c>
      <c r="J30" s="37">
        <f t="shared" si="6"/>
        <v>0</v>
      </c>
      <c r="K30" s="37">
        <f t="shared" si="0"/>
        <v>0</v>
      </c>
      <c r="L30" s="199">
        <v>0</v>
      </c>
      <c r="M30" s="37">
        <f>M29+K30-L30</f>
        <v>24863</v>
      </c>
      <c r="N30" s="200"/>
    </row>
    <row r="31" spans="1:14">
      <c r="A31" s="26">
        <v>28</v>
      </c>
      <c r="B31" s="27">
        <v>46081</v>
      </c>
      <c r="C31" s="108"/>
      <c r="D31" s="35"/>
      <c r="E31" s="37"/>
      <c r="F31" s="37"/>
      <c r="G31" s="37">
        <f t="shared" si="2"/>
        <v>0</v>
      </c>
      <c r="H31" s="344">
        <v>0</v>
      </c>
      <c r="I31" s="344">
        <v>0</v>
      </c>
      <c r="J31" s="37">
        <f t="shared" si="6"/>
        <v>0</v>
      </c>
      <c r="K31" s="37">
        <f t="shared" si="0"/>
        <v>0</v>
      </c>
      <c r="L31" s="199"/>
      <c r="M31" s="37">
        <f t="shared" si="1"/>
        <v>24863</v>
      </c>
      <c r="N31" s="200"/>
    </row>
    <row r="32" spans="1:14">
      <c r="A32" s="26">
        <v>28</v>
      </c>
      <c r="B32" s="27"/>
      <c r="C32" s="108"/>
      <c r="D32" s="35"/>
      <c r="E32" s="37"/>
      <c r="F32" s="37"/>
      <c r="G32" s="37">
        <f t="shared" ref="G32:G34" si="7">E32*F32</f>
        <v>0</v>
      </c>
      <c r="H32" s="344">
        <v>0</v>
      </c>
      <c r="I32" s="344">
        <v>0</v>
      </c>
      <c r="J32" s="37">
        <f t="shared" si="6"/>
        <v>0</v>
      </c>
      <c r="K32" s="37">
        <f t="shared" ref="K32:K34" si="8">G32+J32</f>
        <v>0</v>
      </c>
      <c r="L32" s="199"/>
      <c r="M32" s="37">
        <f t="shared" ref="M32:M34" si="9">M31+K32-L32</f>
        <v>24863</v>
      </c>
      <c r="N32" s="200"/>
    </row>
    <row r="33" spans="1:14">
      <c r="A33" s="26">
        <v>28</v>
      </c>
      <c r="B33" s="27"/>
      <c r="C33" s="108"/>
      <c r="D33" s="35"/>
      <c r="E33" s="37"/>
      <c r="F33" s="37"/>
      <c r="G33" s="37">
        <f t="shared" si="7"/>
        <v>0</v>
      </c>
      <c r="H33" s="344">
        <v>0</v>
      </c>
      <c r="I33" s="344">
        <v>0</v>
      </c>
      <c r="J33" s="37">
        <f t="shared" si="6"/>
        <v>0</v>
      </c>
      <c r="K33" s="37">
        <f t="shared" si="8"/>
        <v>0</v>
      </c>
      <c r="L33" s="199"/>
      <c r="M33" s="37">
        <f t="shared" si="9"/>
        <v>24863</v>
      </c>
      <c r="N33" s="200"/>
    </row>
    <row r="34" spans="1:14">
      <c r="A34" s="26">
        <v>28</v>
      </c>
      <c r="B34" s="27"/>
      <c r="C34" s="108"/>
      <c r="D34" s="35"/>
      <c r="E34" s="37"/>
      <c r="F34" s="37"/>
      <c r="G34" s="37">
        <f t="shared" si="7"/>
        <v>0</v>
      </c>
      <c r="H34" s="344"/>
      <c r="I34" s="344"/>
      <c r="J34" s="37">
        <f t="shared" ref="J32:J34" si="10">H34*I34</f>
        <v>0</v>
      </c>
      <c r="K34" s="37">
        <f t="shared" si="8"/>
        <v>0</v>
      </c>
      <c r="L34" s="199"/>
      <c r="M34" s="37">
        <f t="shared" si="9"/>
        <v>24863</v>
      </c>
      <c r="N34" s="200"/>
    </row>
    <row r="35" spans="1:14">
      <c r="A35" s="63"/>
      <c r="B35" s="63"/>
      <c r="C35" s="63"/>
      <c r="D35" s="63"/>
      <c r="E35" s="260">
        <f>SUM(E4:E34)</f>
        <v>0</v>
      </c>
      <c r="F35" s="260"/>
      <c r="G35" s="64">
        <f>SUM(G4:G34)</f>
        <v>0</v>
      </c>
      <c r="H35" s="64">
        <f>SUM(H4:H34)</f>
        <v>180</v>
      </c>
      <c r="I35" s="64"/>
      <c r="J35" s="64">
        <f>SUM(J4:J34)</f>
        <v>19458</v>
      </c>
      <c r="K35" s="64">
        <f>SUM(K4:K34)</f>
        <v>19458</v>
      </c>
      <c r="L35" s="64">
        <f>SUM(L4:L34)</f>
        <v>0</v>
      </c>
      <c r="M35" s="64"/>
      <c r="N35" s="64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workbookViewId="0">
      <selection activeCell="N16" sqref="N16"/>
    </sheetView>
  </sheetViews>
  <sheetFormatPr defaultRowHeight="15"/>
  <cols>
    <col min="5" max="5" width="10.85546875" bestFit="1" customWidth="1"/>
    <col min="7" max="7" width="13.7109375" bestFit="1" customWidth="1"/>
    <col min="9" max="9" width="7.14062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44" t="s">
        <v>23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83"/>
    </row>
    <row r="2" spans="1:18" ht="45">
      <c r="A2" s="99" t="s">
        <v>101</v>
      </c>
      <c r="B2" s="100" t="s">
        <v>155</v>
      </c>
      <c r="C2" s="100" t="s">
        <v>156</v>
      </c>
      <c r="D2" s="100" t="s">
        <v>173</v>
      </c>
      <c r="E2" s="258" t="s">
        <v>158</v>
      </c>
      <c r="F2" s="258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8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7"/>
      <c r="M3" s="60">
        <v>5856.2923999998902</v>
      </c>
      <c r="N3" s="158"/>
      <c r="O3" s="60">
        <v>121213.36599999985</v>
      </c>
    </row>
    <row r="4" spans="1:18">
      <c r="A4" s="198">
        <v>1</v>
      </c>
      <c r="B4" s="221">
        <v>46054</v>
      </c>
      <c r="C4" s="68"/>
      <c r="D4" s="343"/>
      <c r="E4" s="66">
        <v>10</v>
      </c>
      <c r="F4" s="335">
        <v>97.1</v>
      </c>
      <c r="G4" s="8">
        <f t="shared" ref="G4" si="0">E4*F4</f>
        <v>971</v>
      </c>
      <c r="H4" s="66">
        <v>0</v>
      </c>
      <c r="I4" s="304">
        <v>0</v>
      </c>
      <c r="J4" s="8">
        <f>H4*I4</f>
        <v>0</v>
      </c>
      <c r="K4" s="8">
        <f>G4+J4</f>
        <v>971</v>
      </c>
      <c r="L4" s="69"/>
      <c r="M4" s="69">
        <f>+M3+K4-L4</f>
        <v>6827.2923999998902</v>
      </c>
      <c r="N4" s="8"/>
    </row>
    <row r="5" spans="1:18">
      <c r="A5" s="47">
        <v>2</v>
      </c>
      <c r="B5" s="221">
        <v>46055</v>
      </c>
      <c r="C5" s="68"/>
      <c r="D5" s="343"/>
      <c r="E5" s="270">
        <v>0</v>
      </c>
      <c r="F5" s="335">
        <v>0</v>
      </c>
      <c r="G5" s="8">
        <f t="shared" ref="G5:G33" si="1">E5*F5</f>
        <v>0</v>
      </c>
      <c r="H5" s="66"/>
      <c r="I5" s="304"/>
      <c r="J5" s="8">
        <f t="shared" ref="J5:J34" si="2">H5*I5</f>
        <v>0</v>
      </c>
      <c r="K5" s="8">
        <f t="shared" ref="K5:K34" si="3">G5+J5</f>
        <v>0</v>
      </c>
      <c r="L5" s="69">
        <v>7000</v>
      </c>
      <c r="M5" s="69">
        <f t="shared" ref="M5:M18" si="4">+M4+K5-L5</f>
        <v>-172.70760000010978</v>
      </c>
      <c r="N5" s="8"/>
    </row>
    <row r="6" spans="1:18">
      <c r="A6" s="47">
        <v>3</v>
      </c>
      <c r="B6" s="221">
        <v>46056</v>
      </c>
      <c r="C6" s="68"/>
      <c r="D6" s="343"/>
      <c r="E6" s="270">
        <v>0</v>
      </c>
      <c r="F6" s="335">
        <v>0</v>
      </c>
      <c r="G6" s="8">
        <f t="shared" si="1"/>
        <v>0</v>
      </c>
      <c r="H6" s="66"/>
      <c r="I6" s="304"/>
      <c r="J6" s="8">
        <f t="shared" si="2"/>
        <v>0</v>
      </c>
      <c r="K6" s="8">
        <f t="shared" si="3"/>
        <v>0</v>
      </c>
      <c r="L6" s="69"/>
      <c r="M6" s="69">
        <f t="shared" si="4"/>
        <v>-172.70760000010978</v>
      </c>
      <c r="N6" s="8"/>
    </row>
    <row r="7" spans="1:18">
      <c r="A7" s="47">
        <v>4</v>
      </c>
      <c r="B7" s="221">
        <v>46057</v>
      </c>
      <c r="C7" s="68"/>
      <c r="D7" s="343"/>
      <c r="E7" s="270">
        <v>0</v>
      </c>
      <c r="F7" s="335">
        <v>0</v>
      </c>
      <c r="G7" s="8">
        <f t="shared" si="1"/>
        <v>0</v>
      </c>
      <c r="H7" s="66">
        <v>13</v>
      </c>
      <c r="I7" s="304">
        <v>108.83</v>
      </c>
      <c r="J7" s="8">
        <f t="shared" si="2"/>
        <v>1414.79</v>
      </c>
      <c r="K7" s="8">
        <f t="shared" si="3"/>
        <v>1414.79</v>
      </c>
      <c r="L7" s="69"/>
      <c r="M7" s="69">
        <f t="shared" si="4"/>
        <v>1242.0823999998902</v>
      </c>
      <c r="N7" s="8"/>
      <c r="O7">
        <v>1307</v>
      </c>
      <c r="P7" s="176">
        <f>O7-M7</f>
        <v>64.917600000109815</v>
      </c>
    </row>
    <row r="8" spans="1:18">
      <c r="A8" s="47">
        <v>5</v>
      </c>
      <c r="B8" s="221">
        <v>46058</v>
      </c>
      <c r="C8" s="68"/>
      <c r="D8" s="343"/>
      <c r="E8" s="270">
        <v>0</v>
      </c>
      <c r="F8" s="335">
        <v>0</v>
      </c>
      <c r="G8" s="8">
        <f t="shared" si="1"/>
        <v>0</v>
      </c>
      <c r="H8" s="66"/>
      <c r="I8" s="304"/>
      <c r="J8" s="8">
        <f t="shared" si="2"/>
        <v>0</v>
      </c>
      <c r="K8" s="8">
        <f t="shared" si="3"/>
        <v>0</v>
      </c>
      <c r="L8" s="69"/>
      <c r="M8" s="69">
        <f t="shared" si="4"/>
        <v>1242.0823999998902</v>
      </c>
      <c r="N8" s="8"/>
      <c r="O8" s="70"/>
      <c r="R8" s="227"/>
    </row>
    <row r="9" spans="1:18">
      <c r="A9" s="47">
        <v>6</v>
      </c>
      <c r="B9" s="221">
        <v>46059</v>
      </c>
      <c r="C9" s="68"/>
      <c r="D9" s="343"/>
      <c r="E9" s="270">
        <v>0</v>
      </c>
      <c r="F9" s="335">
        <v>0</v>
      </c>
      <c r="G9" s="8">
        <f t="shared" si="1"/>
        <v>0</v>
      </c>
      <c r="H9" s="66"/>
      <c r="I9" s="304"/>
      <c r="J9" s="8">
        <f t="shared" si="2"/>
        <v>0</v>
      </c>
      <c r="K9" s="8">
        <f t="shared" si="3"/>
        <v>0</v>
      </c>
      <c r="L9" s="69"/>
      <c r="M9" s="69">
        <f t="shared" si="4"/>
        <v>1242.0823999998902</v>
      </c>
      <c r="N9" s="8"/>
      <c r="O9" s="70"/>
    </row>
    <row r="10" spans="1:18">
      <c r="A10" s="47">
        <v>7</v>
      </c>
      <c r="B10" s="221">
        <v>46060</v>
      </c>
      <c r="C10" s="68"/>
      <c r="D10" s="343"/>
      <c r="E10" s="270">
        <v>0</v>
      </c>
      <c r="F10" s="335">
        <v>0</v>
      </c>
      <c r="G10" s="8">
        <f t="shared" si="1"/>
        <v>0</v>
      </c>
      <c r="H10" s="66"/>
      <c r="I10" s="304"/>
      <c r="J10" s="8">
        <f t="shared" si="2"/>
        <v>0</v>
      </c>
      <c r="K10" s="8">
        <f t="shared" si="3"/>
        <v>0</v>
      </c>
      <c r="L10" s="69"/>
      <c r="M10" s="69">
        <f t="shared" si="4"/>
        <v>1242.0823999998902</v>
      </c>
      <c r="N10" s="8"/>
      <c r="O10" s="70"/>
    </row>
    <row r="11" spans="1:18">
      <c r="A11" s="47">
        <v>8</v>
      </c>
      <c r="B11" s="221">
        <v>46061</v>
      </c>
      <c r="C11" s="68"/>
      <c r="D11" s="343"/>
      <c r="E11" s="270">
        <v>0</v>
      </c>
      <c r="F11" s="335">
        <v>0</v>
      </c>
      <c r="G11" s="8">
        <f t="shared" si="1"/>
        <v>0</v>
      </c>
      <c r="H11" s="66"/>
      <c r="I11" s="304"/>
      <c r="J11" s="8">
        <f t="shared" si="2"/>
        <v>0</v>
      </c>
      <c r="K11" s="8">
        <f t="shared" si="3"/>
        <v>0</v>
      </c>
      <c r="L11" s="69"/>
      <c r="M11" s="69">
        <f t="shared" si="4"/>
        <v>1242.0823999998902</v>
      </c>
      <c r="N11" s="8"/>
      <c r="O11" s="70"/>
    </row>
    <row r="12" spans="1:18">
      <c r="A12" s="47">
        <v>9</v>
      </c>
      <c r="B12" s="221">
        <v>46062</v>
      </c>
      <c r="C12" s="68"/>
      <c r="D12" s="343"/>
      <c r="E12" s="270">
        <v>0</v>
      </c>
      <c r="F12" s="335">
        <v>0</v>
      </c>
      <c r="G12" s="8">
        <f t="shared" si="1"/>
        <v>0</v>
      </c>
      <c r="H12" s="66"/>
      <c r="I12" s="304"/>
      <c r="J12" s="8">
        <f t="shared" si="2"/>
        <v>0</v>
      </c>
      <c r="K12" s="8">
        <f t="shared" si="3"/>
        <v>0</v>
      </c>
      <c r="L12" s="69"/>
      <c r="M12" s="69">
        <f t="shared" si="4"/>
        <v>1242.0823999998902</v>
      </c>
      <c r="N12" s="8"/>
      <c r="O12" s="70"/>
    </row>
    <row r="13" spans="1:18">
      <c r="A13" s="47">
        <v>10</v>
      </c>
      <c r="B13" s="221">
        <v>46063</v>
      </c>
      <c r="C13" s="68"/>
      <c r="D13" s="343"/>
      <c r="E13" s="270">
        <v>0</v>
      </c>
      <c r="F13" s="335">
        <v>0</v>
      </c>
      <c r="G13" s="8">
        <f t="shared" si="1"/>
        <v>0</v>
      </c>
      <c r="H13" s="66"/>
      <c r="I13" s="304"/>
      <c r="J13" s="8">
        <f t="shared" si="2"/>
        <v>0</v>
      </c>
      <c r="K13" s="8">
        <f t="shared" si="3"/>
        <v>0</v>
      </c>
      <c r="L13" s="69"/>
      <c r="M13" s="69">
        <f t="shared" si="4"/>
        <v>1242.0823999998902</v>
      </c>
      <c r="N13" s="8"/>
      <c r="O13" s="70"/>
    </row>
    <row r="14" spans="1:18">
      <c r="A14" s="47">
        <v>11</v>
      </c>
      <c r="B14" s="221">
        <v>46064</v>
      </c>
      <c r="C14" s="68"/>
      <c r="D14" s="343"/>
      <c r="E14" s="270">
        <v>0</v>
      </c>
      <c r="F14" s="335">
        <v>0</v>
      </c>
      <c r="G14" s="8">
        <f t="shared" si="1"/>
        <v>0</v>
      </c>
      <c r="H14" s="66"/>
      <c r="I14" s="304"/>
      <c r="J14" s="8">
        <f t="shared" si="2"/>
        <v>0</v>
      </c>
      <c r="K14" s="8">
        <f t="shared" si="3"/>
        <v>0</v>
      </c>
      <c r="L14" s="69">
        <v>1307</v>
      </c>
      <c r="M14" s="69">
        <f t="shared" si="4"/>
        <v>-64.917600000109815</v>
      </c>
      <c r="N14" s="8"/>
      <c r="O14" s="70"/>
    </row>
    <row r="15" spans="1:18">
      <c r="A15" s="47">
        <v>12</v>
      </c>
      <c r="B15" s="221">
        <v>46065</v>
      </c>
      <c r="C15" s="68"/>
      <c r="D15" s="343"/>
      <c r="E15" s="270">
        <v>0</v>
      </c>
      <c r="F15" s="335">
        <v>0</v>
      </c>
      <c r="G15" s="8">
        <f t="shared" si="1"/>
        <v>0</v>
      </c>
      <c r="H15" s="66"/>
      <c r="I15" s="304"/>
      <c r="J15" s="8">
        <f t="shared" si="2"/>
        <v>0</v>
      </c>
      <c r="K15" s="8">
        <f t="shared" si="3"/>
        <v>0</v>
      </c>
      <c r="L15" s="69">
        <v>-64.92</v>
      </c>
      <c r="M15" s="69">
        <f t="shared" si="4"/>
        <v>2.3999998901871322E-3</v>
      </c>
      <c r="N15" s="8" t="s">
        <v>177</v>
      </c>
      <c r="O15" s="70"/>
    </row>
    <row r="16" spans="1:18">
      <c r="A16" s="47">
        <v>13</v>
      </c>
      <c r="B16" s="221">
        <v>46066</v>
      </c>
      <c r="C16" s="68"/>
      <c r="D16" s="343"/>
      <c r="E16" s="270">
        <v>0</v>
      </c>
      <c r="F16" s="335">
        <v>0</v>
      </c>
      <c r="G16" s="8">
        <f t="shared" si="1"/>
        <v>0</v>
      </c>
      <c r="H16" s="66"/>
      <c r="I16" s="304"/>
      <c r="J16" s="8">
        <f t="shared" si="2"/>
        <v>0</v>
      </c>
      <c r="K16" s="8">
        <f t="shared" si="3"/>
        <v>0</v>
      </c>
      <c r="L16" s="69"/>
      <c r="M16" s="69">
        <f t="shared" si="4"/>
        <v>2.3999998901871322E-3</v>
      </c>
      <c r="N16" s="8"/>
      <c r="O16" s="70"/>
    </row>
    <row r="17" spans="1:17">
      <c r="A17" s="47">
        <v>14</v>
      </c>
      <c r="B17" s="221">
        <v>46067</v>
      </c>
      <c r="C17" s="68"/>
      <c r="D17" s="343"/>
      <c r="E17" s="270">
        <v>0</v>
      </c>
      <c r="F17" s="335">
        <v>0</v>
      </c>
      <c r="G17" s="8">
        <f t="shared" si="1"/>
        <v>0</v>
      </c>
      <c r="H17" s="66"/>
      <c r="I17" s="304"/>
      <c r="J17" s="8">
        <f t="shared" si="2"/>
        <v>0</v>
      </c>
      <c r="K17" s="8">
        <f t="shared" si="3"/>
        <v>0</v>
      </c>
      <c r="L17" s="69"/>
      <c r="M17" s="69">
        <f t="shared" si="4"/>
        <v>2.3999998901871322E-3</v>
      </c>
      <c r="N17" s="8"/>
      <c r="O17" s="70"/>
    </row>
    <row r="18" spans="1:17">
      <c r="A18" s="47">
        <v>15</v>
      </c>
      <c r="B18" s="221">
        <v>46068</v>
      </c>
      <c r="C18" s="68"/>
      <c r="D18" s="343"/>
      <c r="E18" s="270">
        <v>0</v>
      </c>
      <c r="F18" s="335">
        <v>0</v>
      </c>
      <c r="G18" s="8">
        <f t="shared" si="1"/>
        <v>0</v>
      </c>
      <c r="H18" s="66"/>
      <c r="I18" s="304"/>
      <c r="J18" s="8">
        <f t="shared" si="2"/>
        <v>0</v>
      </c>
      <c r="K18" s="8">
        <f t="shared" si="3"/>
        <v>0</v>
      </c>
      <c r="L18" s="69"/>
      <c r="M18" s="69">
        <f t="shared" si="4"/>
        <v>2.3999998901871322E-3</v>
      </c>
      <c r="N18" s="184"/>
      <c r="O18" s="70"/>
    </row>
    <row r="19" spans="1:17">
      <c r="A19" s="47">
        <v>16</v>
      </c>
      <c r="B19" s="221">
        <v>46069</v>
      </c>
      <c r="C19" s="68"/>
      <c r="D19" s="343"/>
      <c r="E19" s="270">
        <v>0</v>
      </c>
      <c r="F19" s="335">
        <v>0</v>
      </c>
      <c r="G19" s="8">
        <f t="shared" si="1"/>
        <v>0</v>
      </c>
      <c r="H19" s="66"/>
      <c r="I19" s="304"/>
      <c r="J19" s="8">
        <f t="shared" si="2"/>
        <v>0</v>
      </c>
      <c r="K19" s="8">
        <f t="shared" si="3"/>
        <v>0</v>
      </c>
      <c r="L19" s="69"/>
      <c r="M19" s="284">
        <f t="shared" ref="M19:M34" si="5">+M18+K19-L19</f>
        <v>2.3999998901871322E-3</v>
      </c>
      <c r="N19" s="283" t="s">
        <v>178</v>
      </c>
      <c r="O19" s="70"/>
    </row>
    <row r="20" spans="1:17">
      <c r="A20" s="47">
        <v>17</v>
      </c>
      <c r="B20" s="221">
        <v>46070</v>
      </c>
      <c r="C20" s="68"/>
      <c r="D20" s="343"/>
      <c r="E20" s="270">
        <v>0</v>
      </c>
      <c r="F20" s="335">
        <v>0</v>
      </c>
      <c r="G20" s="8">
        <f t="shared" si="1"/>
        <v>0</v>
      </c>
      <c r="H20" s="66"/>
      <c r="I20" s="304"/>
      <c r="J20" s="8">
        <f t="shared" si="2"/>
        <v>0</v>
      </c>
      <c r="K20" s="8">
        <f t="shared" si="3"/>
        <v>0</v>
      </c>
      <c r="L20" s="69"/>
      <c r="M20" s="69">
        <f t="shared" si="5"/>
        <v>2.3999998901871322E-3</v>
      </c>
      <c r="N20" s="19"/>
      <c r="O20" s="70"/>
    </row>
    <row r="21" spans="1:17">
      <c r="A21" s="47">
        <v>18</v>
      </c>
      <c r="B21" s="221">
        <v>46071</v>
      </c>
      <c r="C21" s="68"/>
      <c r="D21" s="343"/>
      <c r="E21" s="270">
        <v>0</v>
      </c>
      <c r="F21" s="335">
        <v>0</v>
      </c>
      <c r="G21" s="8">
        <f t="shared" si="1"/>
        <v>0</v>
      </c>
      <c r="H21" s="66"/>
      <c r="I21" s="304"/>
      <c r="J21" s="8">
        <f t="shared" si="2"/>
        <v>0</v>
      </c>
      <c r="K21" s="8">
        <f t="shared" si="3"/>
        <v>0</v>
      </c>
      <c r="L21" s="69"/>
      <c r="M21" s="69">
        <f t="shared" si="5"/>
        <v>2.3999998901871322E-3</v>
      </c>
      <c r="N21" s="8"/>
      <c r="O21" s="70"/>
    </row>
    <row r="22" spans="1:17">
      <c r="A22" s="47">
        <v>19</v>
      </c>
      <c r="B22" s="221">
        <v>46072</v>
      </c>
      <c r="C22" s="68"/>
      <c r="D22" s="343"/>
      <c r="E22" s="270">
        <v>0</v>
      </c>
      <c r="F22" s="335">
        <v>0</v>
      </c>
      <c r="G22" s="8">
        <f t="shared" si="1"/>
        <v>0</v>
      </c>
      <c r="H22" s="66"/>
      <c r="I22" s="304"/>
      <c r="J22" s="8">
        <f t="shared" si="2"/>
        <v>0</v>
      </c>
      <c r="K22" s="8">
        <f t="shared" si="3"/>
        <v>0</v>
      </c>
      <c r="L22" s="69"/>
      <c r="M22" s="69">
        <f t="shared" si="5"/>
        <v>2.3999998901871322E-3</v>
      </c>
      <c r="N22" s="8"/>
      <c r="O22" s="70"/>
      <c r="Q22" s="22"/>
    </row>
    <row r="23" spans="1:17">
      <c r="A23" s="47">
        <v>20</v>
      </c>
      <c r="B23" s="221">
        <v>46073</v>
      </c>
      <c r="C23" s="68"/>
      <c r="D23" s="343"/>
      <c r="E23" s="270">
        <v>0</v>
      </c>
      <c r="F23" s="335">
        <v>0</v>
      </c>
      <c r="G23" s="8">
        <f t="shared" si="1"/>
        <v>0</v>
      </c>
      <c r="H23" s="66"/>
      <c r="I23" s="304"/>
      <c r="J23" s="8">
        <f t="shared" si="2"/>
        <v>0</v>
      </c>
      <c r="K23" s="8">
        <f t="shared" si="3"/>
        <v>0</v>
      </c>
      <c r="L23" s="69"/>
      <c r="M23" s="69">
        <f t="shared" si="5"/>
        <v>2.3999998901871322E-3</v>
      </c>
      <c r="N23" s="8"/>
      <c r="O23" s="70"/>
    </row>
    <row r="24" spans="1:17">
      <c r="A24" s="47">
        <v>21</v>
      </c>
      <c r="B24" s="221">
        <v>46074</v>
      </c>
      <c r="C24" s="68"/>
      <c r="D24" s="343"/>
      <c r="E24" s="270">
        <v>0</v>
      </c>
      <c r="F24" s="335">
        <v>0</v>
      </c>
      <c r="G24" s="8">
        <f t="shared" si="1"/>
        <v>0</v>
      </c>
      <c r="H24" s="66"/>
      <c r="I24" s="304"/>
      <c r="J24" s="8">
        <f t="shared" si="2"/>
        <v>0</v>
      </c>
      <c r="K24" s="8">
        <f t="shared" si="3"/>
        <v>0</v>
      </c>
      <c r="L24" s="69"/>
      <c r="M24" s="69">
        <f t="shared" si="5"/>
        <v>2.3999998901871322E-3</v>
      </c>
      <c r="N24" s="8"/>
      <c r="O24" s="70"/>
    </row>
    <row r="25" spans="1:17">
      <c r="A25" s="47">
        <v>22</v>
      </c>
      <c r="B25" s="221">
        <v>46075</v>
      </c>
      <c r="C25" s="68"/>
      <c r="D25" s="343"/>
      <c r="E25" s="270">
        <v>0</v>
      </c>
      <c r="F25" s="335">
        <v>0</v>
      </c>
      <c r="G25" s="8">
        <f t="shared" si="1"/>
        <v>0</v>
      </c>
      <c r="H25" s="66"/>
      <c r="I25" s="304"/>
      <c r="J25" s="8">
        <f t="shared" si="2"/>
        <v>0</v>
      </c>
      <c r="K25" s="8">
        <f t="shared" si="3"/>
        <v>0</v>
      </c>
      <c r="L25" s="69"/>
      <c r="M25" s="69">
        <f t="shared" si="5"/>
        <v>2.3999998901871322E-3</v>
      </c>
      <c r="N25" s="8"/>
      <c r="O25" s="70"/>
    </row>
    <row r="26" spans="1:17">
      <c r="A26" s="47">
        <v>23</v>
      </c>
      <c r="B26" s="221">
        <v>46076</v>
      </c>
      <c r="C26" s="68"/>
      <c r="D26" s="343"/>
      <c r="E26" s="270">
        <v>0</v>
      </c>
      <c r="F26" s="335">
        <v>0</v>
      </c>
      <c r="G26" s="8">
        <f t="shared" si="1"/>
        <v>0</v>
      </c>
      <c r="H26" s="66"/>
      <c r="I26" s="304"/>
      <c r="J26" s="8">
        <f t="shared" si="2"/>
        <v>0</v>
      </c>
      <c r="K26" s="8">
        <f t="shared" si="3"/>
        <v>0</v>
      </c>
      <c r="L26" s="69"/>
      <c r="M26" s="69">
        <f t="shared" si="5"/>
        <v>2.3999998901871322E-3</v>
      </c>
      <c r="N26" s="8"/>
      <c r="O26" s="70"/>
    </row>
    <row r="27" spans="1:17">
      <c r="A27" s="47">
        <v>24</v>
      </c>
      <c r="B27" s="221">
        <v>46077</v>
      </c>
      <c r="C27" s="68"/>
      <c r="D27" s="343"/>
      <c r="E27" s="270">
        <v>0</v>
      </c>
      <c r="F27" s="335">
        <v>0</v>
      </c>
      <c r="G27" s="8">
        <f t="shared" si="1"/>
        <v>0</v>
      </c>
      <c r="H27" s="66"/>
      <c r="I27" s="304"/>
      <c r="J27" s="8">
        <f t="shared" si="2"/>
        <v>0</v>
      </c>
      <c r="K27" s="8">
        <f t="shared" si="3"/>
        <v>0</v>
      </c>
      <c r="L27" s="69"/>
      <c r="M27" s="69">
        <f t="shared" si="5"/>
        <v>2.3999998901871322E-3</v>
      </c>
      <c r="N27" s="8"/>
      <c r="O27" s="70"/>
    </row>
    <row r="28" spans="1:17">
      <c r="A28" s="223">
        <v>25</v>
      </c>
      <c r="B28" s="221">
        <v>46078</v>
      </c>
      <c r="C28" s="68"/>
      <c r="D28" s="343"/>
      <c r="E28" s="270">
        <v>0</v>
      </c>
      <c r="F28" s="335">
        <v>0</v>
      </c>
      <c r="G28" s="8">
        <f t="shared" si="1"/>
        <v>0</v>
      </c>
      <c r="H28" s="66"/>
      <c r="I28" s="304"/>
      <c r="J28" s="8">
        <f t="shared" si="2"/>
        <v>0</v>
      </c>
      <c r="K28" s="8">
        <f t="shared" si="3"/>
        <v>0</v>
      </c>
      <c r="L28" s="69"/>
      <c r="M28" s="69">
        <f t="shared" si="5"/>
        <v>2.3999998901871322E-3</v>
      </c>
      <c r="N28" s="8"/>
      <c r="O28" s="70"/>
    </row>
    <row r="29" spans="1:17">
      <c r="A29" s="223">
        <v>26</v>
      </c>
      <c r="B29" s="221">
        <v>46079</v>
      </c>
      <c r="C29" s="68"/>
      <c r="D29" s="343"/>
      <c r="E29" s="270">
        <v>0</v>
      </c>
      <c r="F29" s="335">
        <v>0</v>
      </c>
      <c r="G29" s="8">
        <f t="shared" si="1"/>
        <v>0</v>
      </c>
      <c r="H29" s="66"/>
      <c r="I29" s="304"/>
      <c r="J29" s="8">
        <f t="shared" si="2"/>
        <v>0</v>
      </c>
      <c r="K29" s="8">
        <f t="shared" si="3"/>
        <v>0</v>
      </c>
      <c r="L29" s="69"/>
      <c r="M29" s="69">
        <f t="shared" si="5"/>
        <v>2.3999998901871322E-3</v>
      </c>
      <c r="N29" s="8"/>
      <c r="O29" s="70"/>
    </row>
    <row r="30" spans="1:17">
      <c r="A30" s="223">
        <v>27</v>
      </c>
      <c r="B30" s="221">
        <v>46080</v>
      </c>
      <c r="C30" s="68"/>
      <c r="D30" s="343"/>
      <c r="E30" s="270">
        <v>0</v>
      </c>
      <c r="F30" s="335">
        <v>0</v>
      </c>
      <c r="G30" s="8">
        <f t="shared" si="1"/>
        <v>0</v>
      </c>
      <c r="H30" s="66"/>
      <c r="I30" s="304"/>
      <c r="J30" s="8">
        <f t="shared" si="2"/>
        <v>0</v>
      </c>
      <c r="K30" s="8">
        <f t="shared" si="3"/>
        <v>0</v>
      </c>
      <c r="L30" s="69"/>
      <c r="M30" s="69">
        <f t="shared" si="5"/>
        <v>2.3999998901871322E-3</v>
      </c>
      <c r="N30" s="8"/>
      <c r="O30" s="70"/>
    </row>
    <row r="31" spans="1:17">
      <c r="A31" s="223">
        <v>28</v>
      </c>
      <c r="B31" s="221">
        <v>46081</v>
      </c>
      <c r="C31" s="68"/>
      <c r="D31" s="343"/>
      <c r="E31" s="270">
        <v>0</v>
      </c>
      <c r="F31" s="335">
        <v>0</v>
      </c>
      <c r="G31" s="8">
        <f t="shared" si="1"/>
        <v>0</v>
      </c>
      <c r="H31" s="66"/>
      <c r="I31" s="304"/>
      <c r="J31" s="8">
        <f t="shared" si="2"/>
        <v>0</v>
      </c>
      <c r="K31" s="8">
        <f t="shared" si="3"/>
        <v>0</v>
      </c>
      <c r="L31" s="69"/>
      <c r="M31" s="69">
        <f t="shared" si="5"/>
        <v>2.3999998901871322E-3</v>
      </c>
      <c r="N31" s="8"/>
      <c r="O31" s="70"/>
    </row>
    <row r="32" spans="1:17">
      <c r="A32" s="224">
        <v>29</v>
      </c>
      <c r="B32" s="221"/>
      <c r="C32" s="68"/>
      <c r="D32" s="343"/>
      <c r="E32" s="270">
        <v>0</v>
      </c>
      <c r="F32" s="335">
        <v>0</v>
      </c>
      <c r="G32" s="8">
        <f t="shared" si="1"/>
        <v>0</v>
      </c>
      <c r="H32" s="66"/>
      <c r="I32" s="304"/>
      <c r="J32" s="8">
        <f t="shared" si="2"/>
        <v>0</v>
      </c>
      <c r="K32" s="8">
        <f t="shared" si="3"/>
        <v>0</v>
      </c>
      <c r="L32" s="69"/>
      <c r="M32" s="69">
        <f t="shared" si="5"/>
        <v>2.3999998901871322E-3</v>
      </c>
      <c r="N32" s="8"/>
      <c r="O32" s="70"/>
    </row>
    <row r="33" spans="1:15">
      <c r="A33" s="224">
        <v>30</v>
      </c>
      <c r="B33" s="221"/>
      <c r="C33" s="68"/>
      <c r="D33" s="343"/>
      <c r="E33" s="270">
        <v>0</v>
      </c>
      <c r="F33" s="335">
        <v>0</v>
      </c>
      <c r="G33" s="8">
        <f t="shared" si="1"/>
        <v>0</v>
      </c>
      <c r="H33" s="66"/>
      <c r="I33" s="304"/>
      <c r="J33" s="8">
        <f t="shared" si="2"/>
        <v>0</v>
      </c>
      <c r="K33" s="8">
        <f t="shared" si="3"/>
        <v>0</v>
      </c>
      <c r="L33" s="69"/>
      <c r="M33" s="69">
        <f t="shared" si="5"/>
        <v>2.3999998901871322E-3</v>
      </c>
      <c r="N33" s="8"/>
      <c r="O33" s="70"/>
    </row>
    <row r="34" spans="1:15">
      <c r="A34" s="224">
        <v>31</v>
      </c>
      <c r="B34" s="221"/>
      <c r="C34" s="68"/>
      <c r="D34" s="343"/>
      <c r="E34" s="259"/>
      <c r="F34" s="259"/>
      <c r="G34" s="8">
        <f t="shared" ref="G5:G34" si="6">E34*F34</f>
        <v>0</v>
      </c>
      <c r="H34" s="66"/>
      <c r="I34" s="67"/>
      <c r="J34" s="8">
        <f t="shared" si="2"/>
        <v>0</v>
      </c>
      <c r="K34" s="8">
        <f t="shared" si="3"/>
        <v>0</v>
      </c>
      <c r="L34" s="69"/>
      <c r="M34" s="69">
        <f t="shared" si="5"/>
        <v>2.3999998901871322E-3</v>
      </c>
      <c r="N34" s="8"/>
      <c r="O34" s="70"/>
    </row>
    <row r="35" spans="1:15">
      <c r="A35" s="63"/>
      <c r="B35" s="63"/>
      <c r="C35" s="63"/>
      <c r="D35" s="63"/>
      <c r="E35" s="260">
        <f>SUM(E4:E34)</f>
        <v>10</v>
      </c>
      <c r="F35" s="260"/>
      <c r="G35" s="64">
        <f>SUM(G4:G34)</f>
        <v>971</v>
      </c>
      <c r="H35" s="64">
        <f>SUM(H4:H34)</f>
        <v>13</v>
      </c>
      <c r="I35" s="64"/>
      <c r="J35" s="64">
        <f>SUM(J4:J34)</f>
        <v>1414.79</v>
      </c>
      <c r="K35" s="64">
        <f>SUM(K4:K34)</f>
        <v>2385.79</v>
      </c>
      <c r="L35" s="64">
        <f>SUM(L4:L34)</f>
        <v>8242.08</v>
      </c>
      <c r="M35" s="64"/>
      <c r="N35" s="64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  <row r="37" spans="1:15">
      <c r="O37" s="70"/>
    </row>
    <row r="38" spans="1:15">
      <c r="O38" s="70"/>
    </row>
    <row r="39" spans="1:15">
      <c r="O39" s="70"/>
    </row>
    <row r="40" spans="1:15">
      <c r="O40" s="70"/>
    </row>
    <row r="41" spans="1:15">
      <c r="O41" s="70"/>
    </row>
    <row r="42" spans="1:15">
      <c r="A42" s="70"/>
      <c r="B42" s="60"/>
      <c r="C42" s="70"/>
      <c r="D42" s="70"/>
      <c r="E42" s="70"/>
      <c r="F42" s="70"/>
      <c r="G42" s="77"/>
      <c r="H42" s="70"/>
      <c r="I42" s="70"/>
      <c r="J42" s="60"/>
      <c r="K42" s="60"/>
      <c r="L42" s="60"/>
      <c r="M42" s="60"/>
      <c r="N42" s="70"/>
      <c r="O42" s="75"/>
    </row>
    <row r="43" spans="1:15">
      <c r="A43" s="70"/>
      <c r="B43" s="452"/>
      <c r="C43" s="452"/>
      <c r="D43" s="452"/>
      <c r="E43" s="452"/>
      <c r="F43" s="70"/>
      <c r="G43" s="70"/>
      <c r="H43" s="70"/>
      <c r="I43" s="452"/>
      <c r="J43" s="452"/>
      <c r="K43" s="452"/>
      <c r="L43" s="452"/>
      <c r="M43" s="452"/>
      <c r="N43" s="452"/>
      <c r="O43" s="75"/>
    </row>
    <row r="44" spans="1:15">
      <c r="A44" s="70"/>
      <c r="B44" s="60"/>
      <c r="C44" s="70"/>
      <c r="D44" s="70"/>
      <c r="E44" s="70"/>
      <c r="F44" s="70"/>
      <c r="G44" s="70"/>
      <c r="H44" s="70"/>
      <c r="I44" s="70"/>
      <c r="J44" s="60"/>
      <c r="K44" s="60"/>
      <c r="L44" s="60"/>
      <c r="M44" s="60"/>
      <c r="N44" s="70"/>
      <c r="O44" s="75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J41" sqref="J41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44" t="s">
        <v>21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83"/>
    </row>
    <row r="2" spans="1:18">
      <c r="A2" s="99" t="s">
        <v>101</v>
      </c>
      <c r="B2" s="100" t="s">
        <v>155</v>
      </c>
      <c r="C2" s="100" t="s">
        <v>156</v>
      </c>
      <c r="D2" s="100" t="s">
        <v>173</v>
      </c>
      <c r="E2" s="258" t="s">
        <v>158</v>
      </c>
      <c r="F2" s="258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8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7"/>
      <c r="M3" s="149">
        <v>0</v>
      </c>
      <c r="N3" s="158"/>
      <c r="O3" s="60"/>
    </row>
    <row r="4" spans="1:18">
      <c r="A4" s="198">
        <v>1</v>
      </c>
      <c r="B4" s="221">
        <v>45689</v>
      </c>
      <c r="C4" s="68"/>
      <c r="D4" s="161"/>
      <c r="E4" s="259"/>
      <c r="F4" s="259"/>
      <c r="G4" s="8">
        <f t="shared" ref="G4" si="0">E4*F4</f>
        <v>0</v>
      </c>
      <c r="H4" s="66">
        <v>0</v>
      </c>
      <c r="I4" s="67">
        <v>0</v>
      </c>
      <c r="J4" s="8">
        <f>H4*I4</f>
        <v>0</v>
      </c>
      <c r="K4" s="8">
        <f>G4+J4</f>
        <v>0</v>
      </c>
      <c r="L4" s="69">
        <f>+K4</f>
        <v>0</v>
      </c>
      <c r="M4" s="69">
        <v>0</v>
      </c>
      <c r="N4" s="8"/>
    </row>
    <row r="5" spans="1:18">
      <c r="A5" s="47">
        <v>2</v>
      </c>
      <c r="B5" s="221">
        <v>45690</v>
      </c>
      <c r="C5" s="68"/>
      <c r="D5" s="161"/>
      <c r="E5" s="259"/>
      <c r="F5" s="259"/>
      <c r="G5" s="8">
        <f t="shared" ref="G5:G33" si="1">E5*F5</f>
        <v>0</v>
      </c>
      <c r="H5" s="66">
        <v>0</v>
      </c>
      <c r="I5" s="67">
        <v>0</v>
      </c>
      <c r="J5" s="8">
        <f t="shared" ref="J5:J33" si="2">H5*I5</f>
        <v>0</v>
      </c>
      <c r="K5" s="8">
        <f t="shared" ref="K5:K33" si="3">G5+J5</f>
        <v>0</v>
      </c>
      <c r="L5" s="69">
        <f t="shared" ref="L5:L33" si="4">+K5</f>
        <v>0</v>
      </c>
      <c r="M5" s="69">
        <v>0</v>
      </c>
      <c r="N5" s="8"/>
    </row>
    <row r="6" spans="1:18">
      <c r="A6" s="47">
        <v>3</v>
      </c>
      <c r="B6" s="221">
        <v>45691</v>
      </c>
      <c r="C6" s="68"/>
      <c r="D6" s="161"/>
      <c r="E6" s="259"/>
      <c r="F6" s="259"/>
      <c r="G6" s="8">
        <f t="shared" si="1"/>
        <v>0</v>
      </c>
      <c r="H6" s="66">
        <v>0</v>
      </c>
      <c r="I6" s="67">
        <v>0</v>
      </c>
      <c r="J6" s="8">
        <f t="shared" si="2"/>
        <v>0</v>
      </c>
      <c r="K6" s="8">
        <f t="shared" si="3"/>
        <v>0</v>
      </c>
      <c r="L6" s="69">
        <f t="shared" si="4"/>
        <v>0</v>
      </c>
      <c r="M6" s="69">
        <v>0</v>
      </c>
      <c r="N6" s="8"/>
    </row>
    <row r="7" spans="1:18">
      <c r="A7" s="47">
        <v>4</v>
      </c>
      <c r="B7" s="221">
        <v>45692</v>
      </c>
      <c r="C7" s="68"/>
      <c r="D7" s="161"/>
      <c r="E7" s="259"/>
      <c r="F7" s="259"/>
      <c r="G7" s="8">
        <f t="shared" si="1"/>
        <v>0</v>
      </c>
      <c r="H7" s="66">
        <v>0</v>
      </c>
      <c r="I7" s="67">
        <v>0</v>
      </c>
      <c r="J7" s="8">
        <f t="shared" si="2"/>
        <v>0</v>
      </c>
      <c r="K7" s="8">
        <f t="shared" si="3"/>
        <v>0</v>
      </c>
      <c r="L7" s="69">
        <f t="shared" si="4"/>
        <v>0</v>
      </c>
      <c r="M7" s="69">
        <v>0</v>
      </c>
      <c r="N7" s="8"/>
    </row>
    <row r="8" spans="1:18">
      <c r="A8" s="47">
        <v>5</v>
      </c>
      <c r="B8" s="221">
        <v>45693</v>
      </c>
      <c r="C8" s="68"/>
      <c r="D8" s="161"/>
      <c r="E8" s="259"/>
      <c r="F8" s="259"/>
      <c r="G8" s="8">
        <f t="shared" si="1"/>
        <v>0</v>
      </c>
      <c r="H8" s="66">
        <v>0</v>
      </c>
      <c r="I8" s="67">
        <v>0</v>
      </c>
      <c r="J8" s="8">
        <f t="shared" si="2"/>
        <v>0</v>
      </c>
      <c r="K8" s="8">
        <f t="shared" si="3"/>
        <v>0</v>
      </c>
      <c r="L8" s="69">
        <f t="shared" si="4"/>
        <v>0</v>
      </c>
      <c r="M8" s="69">
        <v>0</v>
      </c>
      <c r="N8" s="8"/>
      <c r="O8" s="70"/>
      <c r="R8" s="227"/>
    </row>
    <row r="9" spans="1:18">
      <c r="A9" s="47">
        <v>6</v>
      </c>
      <c r="B9" s="221">
        <v>45694</v>
      </c>
      <c r="C9" s="68"/>
      <c r="D9" s="161"/>
      <c r="E9" s="259"/>
      <c r="F9" s="259"/>
      <c r="G9" s="8">
        <f t="shared" si="1"/>
        <v>0</v>
      </c>
      <c r="H9" s="66">
        <v>0</v>
      </c>
      <c r="I9" s="67">
        <v>0</v>
      </c>
      <c r="J9" s="8">
        <f t="shared" si="2"/>
        <v>0</v>
      </c>
      <c r="K9" s="8">
        <f t="shared" si="3"/>
        <v>0</v>
      </c>
      <c r="L9" s="69">
        <f t="shared" si="4"/>
        <v>0</v>
      </c>
      <c r="M9" s="69">
        <v>0</v>
      </c>
      <c r="N9" s="8"/>
      <c r="O9" s="70"/>
    </row>
    <row r="10" spans="1:18">
      <c r="A10" s="47">
        <v>7</v>
      </c>
      <c r="B10" s="221">
        <v>45695</v>
      </c>
      <c r="C10" s="68"/>
      <c r="D10" s="161"/>
      <c r="E10" s="259"/>
      <c r="F10" s="259"/>
      <c r="G10" s="8">
        <f t="shared" si="1"/>
        <v>0</v>
      </c>
      <c r="H10" s="66">
        <v>0</v>
      </c>
      <c r="I10" s="67">
        <v>0</v>
      </c>
      <c r="J10" s="8">
        <f t="shared" si="2"/>
        <v>0</v>
      </c>
      <c r="K10" s="8">
        <f t="shared" si="3"/>
        <v>0</v>
      </c>
      <c r="L10" s="69">
        <f t="shared" si="4"/>
        <v>0</v>
      </c>
      <c r="M10" s="69">
        <v>0</v>
      </c>
      <c r="N10" s="8"/>
      <c r="O10" s="70"/>
    </row>
    <row r="11" spans="1:18">
      <c r="A11" s="47">
        <v>8</v>
      </c>
      <c r="B11" s="221">
        <v>45696</v>
      </c>
      <c r="C11" s="68"/>
      <c r="D11" s="161"/>
      <c r="E11" s="259"/>
      <c r="F11" s="259"/>
      <c r="G11" s="8">
        <f t="shared" si="1"/>
        <v>0</v>
      </c>
      <c r="H11" s="66">
        <v>0</v>
      </c>
      <c r="I11" s="67">
        <v>0</v>
      </c>
      <c r="J11" s="8">
        <f t="shared" si="2"/>
        <v>0</v>
      </c>
      <c r="K11" s="8">
        <f t="shared" si="3"/>
        <v>0</v>
      </c>
      <c r="L11" s="69">
        <f t="shared" si="4"/>
        <v>0</v>
      </c>
      <c r="M11" s="69">
        <v>0</v>
      </c>
      <c r="N11" s="8"/>
      <c r="O11" s="70"/>
    </row>
    <row r="12" spans="1:18">
      <c r="A12" s="47">
        <v>9</v>
      </c>
      <c r="B12" s="221">
        <v>45697</v>
      </c>
      <c r="C12" s="68"/>
      <c r="D12" s="161"/>
      <c r="E12" s="259"/>
      <c r="F12" s="259"/>
      <c r="G12" s="8">
        <f t="shared" si="1"/>
        <v>0</v>
      </c>
      <c r="H12" s="66">
        <v>0</v>
      </c>
      <c r="I12" s="67">
        <v>0</v>
      </c>
      <c r="J12" s="8">
        <f t="shared" si="2"/>
        <v>0</v>
      </c>
      <c r="K12" s="8">
        <f t="shared" ref="K12:K18" si="5">G12+J12</f>
        <v>0</v>
      </c>
      <c r="L12" s="69">
        <f t="shared" ref="L12:L18" si="6">+K12</f>
        <v>0</v>
      </c>
      <c r="M12" s="69">
        <v>0</v>
      </c>
      <c r="N12" s="8"/>
      <c r="O12" s="70"/>
    </row>
    <row r="13" spans="1:18">
      <c r="A13" s="47">
        <v>10</v>
      </c>
      <c r="B13" s="221">
        <v>45698</v>
      </c>
      <c r="C13" s="68"/>
      <c r="D13" s="161"/>
      <c r="E13" s="259"/>
      <c r="F13" s="259"/>
      <c r="G13" s="8">
        <f t="shared" si="1"/>
        <v>0</v>
      </c>
      <c r="H13" s="66">
        <v>0</v>
      </c>
      <c r="I13" s="67">
        <v>0</v>
      </c>
      <c r="J13" s="8">
        <f t="shared" si="2"/>
        <v>0</v>
      </c>
      <c r="K13" s="8">
        <f t="shared" si="5"/>
        <v>0</v>
      </c>
      <c r="L13" s="69">
        <f t="shared" si="6"/>
        <v>0</v>
      </c>
      <c r="M13" s="69">
        <v>0</v>
      </c>
      <c r="N13" s="8"/>
      <c r="O13" s="70"/>
    </row>
    <row r="14" spans="1:18">
      <c r="A14" s="47">
        <v>11</v>
      </c>
      <c r="B14" s="221">
        <v>45699</v>
      </c>
      <c r="C14" s="68"/>
      <c r="D14" s="161"/>
      <c r="E14" s="259"/>
      <c r="F14" s="259"/>
      <c r="G14" s="8">
        <f t="shared" si="1"/>
        <v>0</v>
      </c>
      <c r="H14" s="66">
        <v>0</v>
      </c>
      <c r="I14" s="67">
        <v>0</v>
      </c>
      <c r="J14" s="8">
        <f t="shared" si="2"/>
        <v>0</v>
      </c>
      <c r="K14" s="8">
        <f t="shared" si="5"/>
        <v>0</v>
      </c>
      <c r="L14" s="69">
        <f t="shared" si="6"/>
        <v>0</v>
      </c>
      <c r="M14" s="69">
        <v>0</v>
      </c>
      <c r="N14" s="8"/>
      <c r="O14" s="70"/>
    </row>
    <row r="15" spans="1:18">
      <c r="A15" s="47">
        <v>12</v>
      </c>
      <c r="B15" s="221">
        <v>45700</v>
      </c>
      <c r="C15" s="68"/>
      <c r="D15" s="161"/>
      <c r="E15" s="259"/>
      <c r="F15" s="259"/>
      <c r="G15" s="8">
        <f t="shared" si="1"/>
        <v>0</v>
      </c>
      <c r="H15" s="66">
        <v>0</v>
      </c>
      <c r="I15" s="67">
        <v>0</v>
      </c>
      <c r="J15" s="8">
        <f t="shared" si="2"/>
        <v>0</v>
      </c>
      <c r="K15" s="8">
        <f t="shared" si="5"/>
        <v>0</v>
      </c>
      <c r="L15" s="69">
        <f t="shared" si="6"/>
        <v>0</v>
      </c>
      <c r="M15" s="69">
        <v>0</v>
      </c>
      <c r="N15" s="8"/>
      <c r="O15" s="70"/>
    </row>
    <row r="16" spans="1:18">
      <c r="A16" s="47">
        <v>13</v>
      </c>
      <c r="B16" s="221">
        <v>45701</v>
      </c>
      <c r="C16" s="68"/>
      <c r="D16" s="161"/>
      <c r="E16" s="259"/>
      <c r="F16" s="259"/>
      <c r="G16" s="8">
        <f t="shared" si="1"/>
        <v>0</v>
      </c>
      <c r="H16" s="66">
        <v>0</v>
      </c>
      <c r="I16" s="67">
        <v>0</v>
      </c>
      <c r="J16" s="8">
        <f t="shared" si="2"/>
        <v>0</v>
      </c>
      <c r="K16" s="8">
        <f t="shared" si="5"/>
        <v>0</v>
      </c>
      <c r="L16" s="69">
        <f t="shared" si="6"/>
        <v>0</v>
      </c>
      <c r="M16" s="69">
        <v>0</v>
      </c>
      <c r="N16" s="8"/>
      <c r="O16" s="70"/>
    </row>
    <row r="17" spans="1:15">
      <c r="A17" s="47">
        <v>14</v>
      </c>
      <c r="B17" s="221">
        <v>45702</v>
      </c>
      <c r="C17" s="68"/>
      <c r="D17" s="161"/>
      <c r="E17" s="259"/>
      <c r="F17" s="259"/>
      <c r="G17" s="8">
        <f t="shared" si="1"/>
        <v>0</v>
      </c>
      <c r="H17" s="66">
        <v>0</v>
      </c>
      <c r="I17" s="67">
        <v>0</v>
      </c>
      <c r="J17" s="8">
        <f t="shared" si="2"/>
        <v>0</v>
      </c>
      <c r="K17" s="8">
        <f t="shared" si="5"/>
        <v>0</v>
      </c>
      <c r="L17" s="69">
        <f t="shared" si="6"/>
        <v>0</v>
      </c>
      <c r="M17" s="69">
        <v>0</v>
      </c>
      <c r="N17" s="8"/>
      <c r="O17" s="70"/>
    </row>
    <row r="18" spans="1:15">
      <c r="A18" s="47">
        <v>15</v>
      </c>
      <c r="B18" s="221">
        <v>45703</v>
      </c>
      <c r="C18" s="68"/>
      <c r="D18" s="161"/>
      <c r="E18" s="259"/>
      <c r="F18" s="259"/>
      <c r="G18" s="8">
        <f t="shared" si="1"/>
        <v>0</v>
      </c>
      <c r="H18" s="66">
        <v>0</v>
      </c>
      <c r="I18" s="67">
        <v>0</v>
      </c>
      <c r="J18" s="8">
        <f t="shared" si="2"/>
        <v>0</v>
      </c>
      <c r="K18" s="8">
        <f t="shared" si="5"/>
        <v>0</v>
      </c>
      <c r="L18" s="69">
        <f t="shared" si="6"/>
        <v>0</v>
      </c>
      <c r="M18" s="69">
        <v>0</v>
      </c>
      <c r="N18" s="8"/>
      <c r="O18" s="70"/>
    </row>
    <row r="19" spans="1:15">
      <c r="A19" s="47">
        <v>16</v>
      </c>
      <c r="B19" s="221">
        <v>45704</v>
      </c>
      <c r="C19" s="68"/>
      <c r="D19" s="161"/>
      <c r="E19" s="259"/>
      <c r="F19" s="259"/>
      <c r="G19" s="8">
        <f t="shared" si="1"/>
        <v>0</v>
      </c>
      <c r="H19" s="66">
        <v>0</v>
      </c>
      <c r="I19" s="67">
        <v>0</v>
      </c>
      <c r="J19" s="8">
        <f t="shared" si="2"/>
        <v>0</v>
      </c>
      <c r="K19" s="8">
        <f t="shared" si="3"/>
        <v>0</v>
      </c>
      <c r="L19" s="69">
        <f t="shared" si="4"/>
        <v>0</v>
      </c>
      <c r="M19" s="69">
        <v>0</v>
      </c>
      <c r="N19" s="8"/>
      <c r="O19" s="70"/>
    </row>
    <row r="20" spans="1:15">
      <c r="A20" s="47">
        <v>17</v>
      </c>
      <c r="B20" s="221">
        <v>45705</v>
      </c>
      <c r="C20" s="68"/>
      <c r="D20" s="161"/>
      <c r="E20" s="259"/>
      <c r="F20" s="259"/>
      <c r="G20" s="8">
        <f t="shared" si="1"/>
        <v>0</v>
      </c>
      <c r="H20" s="66">
        <v>0</v>
      </c>
      <c r="I20" s="67">
        <v>0</v>
      </c>
      <c r="J20" s="8">
        <f t="shared" si="2"/>
        <v>0</v>
      </c>
      <c r="K20" s="8">
        <f t="shared" si="3"/>
        <v>0</v>
      </c>
      <c r="L20" s="69">
        <f t="shared" si="4"/>
        <v>0</v>
      </c>
      <c r="M20" s="69">
        <v>0</v>
      </c>
      <c r="N20" s="8"/>
      <c r="O20" s="70"/>
    </row>
    <row r="21" spans="1:15">
      <c r="A21" s="47">
        <v>18</v>
      </c>
      <c r="B21" s="221">
        <v>45706</v>
      </c>
      <c r="C21" s="68"/>
      <c r="D21" s="161"/>
      <c r="E21" s="259"/>
      <c r="F21" s="259"/>
      <c r="G21" s="8">
        <f t="shared" si="1"/>
        <v>0</v>
      </c>
      <c r="H21" s="66">
        <v>0</v>
      </c>
      <c r="I21" s="67">
        <v>0</v>
      </c>
      <c r="J21" s="8">
        <f t="shared" si="2"/>
        <v>0</v>
      </c>
      <c r="K21" s="8">
        <f t="shared" si="3"/>
        <v>0</v>
      </c>
      <c r="L21" s="69">
        <f t="shared" si="4"/>
        <v>0</v>
      </c>
      <c r="M21" s="69">
        <v>0</v>
      </c>
      <c r="N21" s="8"/>
      <c r="O21" s="70"/>
    </row>
    <row r="22" spans="1:15">
      <c r="A22" s="47">
        <v>19</v>
      </c>
      <c r="B22" s="221">
        <v>45707</v>
      </c>
      <c r="C22" s="68"/>
      <c r="D22" s="161"/>
      <c r="E22" s="259"/>
      <c r="F22" s="259"/>
      <c r="G22" s="8">
        <f t="shared" si="1"/>
        <v>0</v>
      </c>
      <c r="H22" s="66">
        <v>0</v>
      </c>
      <c r="I22" s="67">
        <v>0</v>
      </c>
      <c r="J22" s="8">
        <f t="shared" si="2"/>
        <v>0</v>
      </c>
      <c r="K22" s="8">
        <f t="shared" si="3"/>
        <v>0</v>
      </c>
      <c r="L22" s="69">
        <f t="shared" si="4"/>
        <v>0</v>
      </c>
      <c r="M22" s="69">
        <v>0</v>
      </c>
      <c r="N22" s="8"/>
      <c r="O22" s="70"/>
    </row>
    <row r="23" spans="1:15">
      <c r="A23" s="47">
        <v>20</v>
      </c>
      <c r="B23" s="221">
        <v>45708</v>
      </c>
      <c r="C23" s="68"/>
      <c r="D23" s="161"/>
      <c r="E23" s="259"/>
      <c r="F23" s="259"/>
      <c r="G23" s="8">
        <f t="shared" si="1"/>
        <v>0</v>
      </c>
      <c r="H23" s="66">
        <v>0</v>
      </c>
      <c r="I23" s="67">
        <v>0</v>
      </c>
      <c r="J23" s="8">
        <f t="shared" si="2"/>
        <v>0</v>
      </c>
      <c r="K23" s="8">
        <f t="shared" si="3"/>
        <v>0</v>
      </c>
      <c r="L23" s="69">
        <f t="shared" si="4"/>
        <v>0</v>
      </c>
      <c r="M23" s="69">
        <v>0</v>
      </c>
      <c r="N23" s="8"/>
      <c r="O23" s="70"/>
    </row>
    <row r="24" spans="1:15">
      <c r="A24" s="47">
        <v>21</v>
      </c>
      <c r="B24" s="221">
        <v>45709</v>
      </c>
      <c r="C24" s="68"/>
      <c r="D24" s="161"/>
      <c r="E24" s="259"/>
      <c r="F24" s="259"/>
      <c r="G24" s="8">
        <f t="shared" si="1"/>
        <v>0</v>
      </c>
      <c r="H24" s="66">
        <v>0</v>
      </c>
      <c r="I24" s="67">
        <v>0</v>
      </c>
      <c r="J24" s="8">
        <f t="shared" si="2"/>
        <v>0</v>
      </c>
      <c r="K24" s="8">
        <f t="shared" si="3"/>
        <v>0</v>
      </c>
      <c r="L24" s="69">
        <f t="shared" si="4"/>
        <v>0</v>
      </c>
      <c r="M24" s="69">
        <v>0</v>
      </c>
      <c r="N24" s="8"/>
      <c r="O24" s="70"/>
    </row>
    <row r="25" spans="1:15">
      <c r="A25" s="47">
        <v>22</v>
      </c>
      <c r="B25" s="221">
        <v>45710</v>
      </c>
      <c r="C25" s="68"/>
      <c r="D25" s="161"/>
      <c r="E25" s="259"/>
      <c r="F25" s="259"/>
      <c r="G25" s="8">
        <f t="shared" si="1"/>
        <v>0</v>
      </c>
      <c r="H25" s="66">
        <v>0</v>
      </c>
      <c r="I25" s="67">
        <v>0</v>
      </c>
      <c r="J25" s="8">
        <f t="shared" si="2"/>
        <v>0</v>
      </c>
      <c r="K25" s="8">
        <f t="shared" si="3"/>
        <v>0</v>
      </c>
      <c r="L25" s="69">
        <f t="shared" si="4"/>
        <v>0</v>
      </c>
      <c r="M25" s="69">
        <v>0</v>
      </c>
      <c r="N25" s="8"/>
      <c r="O25" s="70"/>
    </row>
    <row r="26" spans="1:15">
      <c r="A26" s="47">
        <v>23</v>
      </c>
      <c r="B26" s="221">
        <v>45711</v>
      </c>
      <c r="C26" s="68"/>
      <c r="D26" s="161"/>
      <c r="E26" s="259"/>
      <c r="F26" s="8"/>
      <c r="G26" s="8">
        <f t="shared" si="1"/>
        <v>0</v>
      </c>
      <c r="H26" s="66">
        <v>0</v>
      </c>
      <c r="I26" s="67">
        <v>0</v>
      </c>
      <c r="J26" s="8">
        <f t="shared" si="2"/>
        <v>0</v>
      </c>
      <c r="K26" s="8">
        <f t="shared" si="3"/>
        <v>0</v>
      </c>
      <c r="L26" s="69">
        <f t="shared" si="4"/>
        <v>0</v>
      </c>
      <c r="M26" s="69">
        <v>0</v>
      </c>
      <c r="N26" s="8"/>
      <c r="O26" s="70"/>
    </row>
    <row r="27" spans="1:15">
      <c r="A27" s="47">
        <v>24</v>
      </c>
      <c r="B27" s="221">
        <v>45712</v>
      </c>
      <c r="C27" s="68"/>
      <c r="D27" s="161"/>
      <c r="E27" s="259"/>
      <c r="F27" s="259"/>
      <c r="G27" s="8">
        <f t="shared" si="1"/>
        <v>0</v>
      </c>
      <c r="H27" s="66">
        <v>0</v>
      </c>
      <c r="I27" s="67">
        <v>0</v>
      </c>
      <c r="J27" s="8">
        <f t="shared" si="2"/>
        <v>0</v>
      </c>
      <c r="K27" s="8">
        <f t="shared" si="3"/>
        <v>0</v>
      </c>
      <c r="L27" s="69">
        <f t="shared" si="4"/>
        <v>0</v>
      </c>
      <c r="M27" s="69">
        <v>0</v>
      </c>
      <c r="N27" s="8"/>
      <c r="O27" s="70"/>
    </row>
    <row r="28" spans="1:15">
      <c r="A28" s="223">
        <v>25</v>
      </c>
      <c r="B28" s="221">
        <v>45713</v>
      </c>
      <c r="C28" s="68"/>
      <c r="D28" s="161"/>
      <c r="E28" s="259"/>
      <c r="F28" s="259"/>
      <c r="G28" s="8"/>
      <c r="H28" s="66">
        <v>0</v>
      </c>
      <c r="I28" s="67">
        <v>0</v>
      </c>
      <c r="J28" s="8">
        <f t="shared" si="2"/>
        <v>0</v>
      </c>
      <c r="K28" s="8">
        <f t="shared" si="3"/>
        <v>0</v>
      </c>
      <c r="L28" s="69">
        <f t="shared" si="4"/>
        <v>0</v>
      </c>
      <c r="M28" s="69">
        <v>0</v>
      </c>
      <c r="N28" s="8"/>
      <c r="O28" s="70"/>
    </row>
    <row r="29" spans="1:15">
      <c r="A29" s="223">
        <v>26</v>
      </c>
      <c r="B29" s="221">
        <v>45714</v>
      </c>
      <c r="C29" s="68"/>
      <c r="D29" s="161"/>
      <c r="E29" s="259"/>
      <c r="F29" s="259"/>
      <c r="G29" s="8">
        <f t="shared" si="1"/>
        <v>0</v>
      </c>
      <c r="H29" s="66">
        <v>0</v>
      </c>
      <c r="I29" s="67">
        <v>0</v>
      </c>
      <c r="J29" s="8">
        <f t="shared" si="2"/>
        <v>0</v>
      </c>
      <c r="K29" s="8">
        <f t="shared" si="3"/>
        <v>0</v>
      </c>
      <c r="L29" s="69">
        <f t="shared" si="4"/>
        <v>0</v>
      </c>
      <c r="M29" s="69">
        <v>0</v>
      </c>
      <c r="N29" s="8"/>
      <c r="O29" s="70"/>
    </row>
    <row r="30" spans="1:15">
      <c r="A30" s="223">
        <v>27</v>
      </c>
      <c r="B30" s="221">
        <v>45715</v>
      </c>
      <c r="C30" s="68"/>
      <c r="D30" s="161"/>
      <c r="E30" s="259"/>
      <c r="F30" s="259"/>
      <c r="G30" s="8">
        <f t="shared" si="1"/>
        <v>0</v>
      </c>
      <c r="H30" s="66">
        <v>0</v>
      </c>
      <c r="I30" s="67">
        <v>0</v>
      </c>
      <c r="J30" s="8">
        <f t="shared" si="2"/>
        <v>0</v>
      </c>
      <c r="K30" s="8">
        <f t="shared" si="3"/>
        <v>0</v>
      </c>
      <c r="L30" s="69">
        <f t="shared" si="4"/>
        <v>0</v>
      </c>
      <c r="M30" s="69">
        <v>0</v>
      </c>
      <c r="N30" s="8"/>
      <c r="O30" s="70"/>
    </row>
    <row r="31" spans="1:15">
      <c r="A31" s="223">
        <v>28</v>
      </c>
      <c r="B31" s="221">
        <v>45716</v>
      </c>
      <c r="C31" s="68"/>
      <c r="D31" s="161"/>
      <c r="E31" s="259"/>
      <c r="F31" s="259"/>
      <c r="G31" s="8">
        <f t="shared" si="1"/>
        <v>0</v>
      </c>
      <c r="H31" s="66">
        <v>0</v>
      </c>
      <c r="I31" s="67">
        <v>0</v>
      </c>
      <c r="J31" s="8">
        <f t="shared" si="2"/>
        <v>0</v>
      </c>
      <c r="K31" s="8">
        <f t="shared" si="3"/>
        <v>0</v>
      </c>
      <c r="L31" s="69">
        <f t="shared" si="4"/>
        <v>0</v>
      </c>
      <c r="M31" s="69">
        <v>0</v>
      </c>
      <c r="N31" s="8"/>
      <c r="O31" s="70"/>
    </row>
    <row r="32" spans="1:15">
      <c r="A32" s="224">
        <v>29</v>
      </c>
      <c r="B32" s="221"/>
      <c r="C32" s="68"/>
      <c r="D32" s="161"/>
      <c r="E32" s="259"/>
      <c r="F32" s="259"/>
      <c r="G32" s="8">
        <f t="shared" si="1"/>
        <v>0</v>
      </c>
      <c r="H32" s="66">
        <v>0</v>
      </c>
      <c r="I32" s="67">
        <v>0</v>
      </c>
      <c r="J32" s="8">
        <f t="shared" si="2"/>
        <v>0</v>
      </c>
      <c r="K32" s="8">
        <f t="shared" si="3"/>
        <v>0</v>
      </c>
      <c r="L32" s="69">
        <f t="shared" si="4"/>
        <v>0</v>
      </c>
      <c r="M32" s="69">
        <v>0</v>
      </c>
      <c r="N32" s="8"/>
      <c r="O32" s="70"/>
    </row>
    <row r="33" spans="1:15">
      <c r="A33" s="224">
        <v>30</v>
      </c>
      <c r="B33" s="221"/>
      <c r="C33" s="68"/>
      <c r="D33" s="161"/>
      <c r="E33" s="259"/>
      <c r="F33" s="259"/>
      <c r="G33" s="8">
        <f t="shared" ref="G33" si="7">E33*F33</f>
        <v>0</v>
      </c>
      <c r="H33" s="66">
        <v>0</v>
      </c>
      <c r="I33" s="67">
        <v>0</v>
      </c>
      <c r="J33" s="8">
        <f t="shared" si="2"/>
        <v>0</v>
      </c>
      <c r="K33" s="8">
        <f t="shared" si="3"/>
        <v>0</v>
      </c>
      <c r="L33" s="69">
        <f t="shared" si="4"/>
        <v>0</v>
      </c>
      <c r="M33" s="69">
        <v>0</v>
      </c>
      <c r="N33" s="8"/>
      <c r="O33" s="70"/>
    </row>
    <row r="34" spans="1:15">
      <c r="A34" s="224">
        <v>31</v>
      </c>
      <c r="B34" s="221"/>
      <c r="C34" s="68"/>
      <c r="D34" s="161"/>
      <c r="E34" s="259"/>
      <c r="F34" s="259"/>
      <c r="G34" s="8">
        <f t="shared" ref="G34" si="8">E34*F34</f>
        <v>0</v>
      </c>
      <c r="H34" s="66">
        <v>0</v>
      </c>
      <c r="I34" s="67">
        <v>0</v>
      </c>
      <c r="J34" s="8">
        <f t="shared" ref="J34" si="9">H34*I34</f>
        <v>0</v>
      </c>
      <c r="K34" s="8">
        <f t="shared" ref="K34" si="10">G34+J34</f>
        <v>0</v>
      </c>
      <c r="L34" s="69">
        <f t="shared" ref="L34" si="11">+K34</f>
        <v>0</v>
      </c>
      <c r="M34" s="69">
        <v>0</v>
      </c>
      <c r="N34" s="8"/>
      <c r="O34" s="70"/>
    </row>
    <row r="35" spans="1:15">
      <c r="A35" s="63"/>
      <c r="B35" s="63"/>
      <c r="C35" s="63"/>
      <c r="D35" s="63"/>
      <c r="E35" s="260">
        <f>SUM(E4:E34)</f>
        <v>0</v>
      </c>
      <c r="F35" s="260"/>
      <c r="G35" s="64">
        <f>SUM(G4:G34)</f>
        <v>0</v>
      </c>
      <c r="H35" s="64">
        <f>SUM(H4:H34)</f>
        <v>0</v>
      </c>
      <c r="I35" s="64"/>
      <c r="J35" s="64">
        <f>SUM(J4:J34)</f>
        <v>0</v>
      </c>
      <c r="K35" s="64">
        <f>SUM(K4:K34)</f>
        <v>0</v>
      </c>
      <c r="L35" s="64">
        <f>SUM(L4:L34)</f>
        <v>0</v>
      </c>
      <c r="M35" s="64"/>
      <c r="N35" s="64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  <row r="37" spans="1:15">
      <c r="O37" s="70"/>
    </row>
    <row r="38" spans="1:15">
      <c r="O38" s="70"/>
    </row>
    <row r="39" spans="1:15">
      <c r="O39" s="70"/>
    </row>
    <row r="40" spans="1:15">
      <c r="O40" s="70"/>
    </row>
    <row r="41" spans="1:15">
      <c r="O41" s="70"/>
    </row>
    <row r="42" spans="1:15">
      <c r="A42" s="70"/>
      <c r="B42" s="60"/>
      <c r="C42" s="70"/>
      <c r="D42" s="70"/>
      <c r="E42" s="70"/>
      <c r="F42" s="70"/>
      <c r="G42" s="77"/>
      <c r="H42" s="70"/>
      <c r="I42" s="70"/>
      <c r="J42" s="60"/>
      <c r="K42" s="60"/>
      <c r="L42" s="60"/>
      <c r="M42" s="60"/>
      <c r="N42" s="70"/>
      <c r="O42" s="75"/>
    </row>
    <row r="43" spans="1:15">
      <c r="A43" s="70"/>
      <c r="B43" s="452"/>
      <c r="C43" s="452"/>
      <c r="D43" s="452"/>
      <c r="E43" s="452"/>
      <c r="F43" s="70"/>
      <c r="G43" s="70"/>
      <c r="H43" s="70"/>
      <c r="I43" s="452"/>
      <c r="J43" s="452"/>
      <c r="K43" s="452"/>
      <c r="L43" s="452"/>
      <c r="M43" s="452"/>
      <c r="N43" s="452"/>
      <c r="O43" s="75"/>
    </row>
    <row r="44" spans="1:15">
      <c r="A44" s="70"/>
      <c r="B44" s="60"/>
      <c r="C44" s="70"/>
      <c r="D44" s="70"/>
      <c r="E44" s="70"/>
      <c r="F44" s="70"/>
      <c r="G44" s="70"/>
      <c r="H44" s="70"/>
      <c r="I44" s="70"/>
      <c r="J44" s="60"/>
      <c r="K44" s="60"/>
      <c r="L44" s="60"/>
      <c r="M44" s="60"/>
      <c r="N44" s="70"/>
      <c r="O44" s="75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7"/>
  <sheetViews>
    <sheetView topLeftCell="C12" workbookViewId="0">
      <selection activeCell="L22" sqref="L22:L23"/>
    </sheetView>
  </sheetViews>
  <sheetFormatPr defaultColWidth="18.28515625" defaultRowHeight="15"/>
  <cols>
    <col min="1" max="1" width="13.42578125" customWidth="1"/>
    <col min="3" max="3" width="43" bestFit="1" customWidth="1"/>
    <col min="4" max="4" width="2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67"/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83"/>
    </row>
    <row r="2" spans="1:18" ht="30.75">
      <c r="A2" s="99" t="s">
        <v>101</v>
      </c>
      <c r="B2" s="100" t="s">
        <v>155</v>
      </c>
      <c r="C2" s="100" t="s">
        <v>156</v>
      </c>
      <c r="D2" s="100" t="s">
        <v>173</v>
      </c>
      <c r="E2" s="258" t="s">
        <v>158</v>
      </c>
      <c r="F2" s="258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8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7"/>
      <c r="M3" s="149">
        <v>0</v>
      </c>
      <c r="N3" s="158"/>
      <c r="O3" s="60"/>
    </row>
    <row r="4" spans="1:18">
      <c r="A4" s="198">
        <v>1</v>
      </c>
      <c r="B4" s="221" t="s">
        <v>179</v>
      </c>
      <c r="C4" s="319" t="s">
        <v>180</v>
      </c>
      <c r="D4" s="319" t="s">
        <v>181</v>
      </c>
      <c r="E4" s="319">
        <v>0</v>
      </c>
      <c r="F4" s="319" t="s">
        <v>182</v>
      </c>
      <c r="G4" s="319">
        <v>0</v>
      </c>
      <c r="H4" s="319">
        <v>20.63</v>
      </c>
      <c r="I4" s="319">
        <v>97.28</v>
      </c>
      <c r="J4" s="319">
        <v>2006.55</v>
      </c>
      <c r="K4" s="368">
        <f>G4+J4</f>
        <v>2006.55</v>
      </c>
      <c r="L4" s="69">
        <v>2006.55</v>
      </c>
      <c r="M4" s="69">
        <f>+M3+K4-L4</f>
        <v>0</v>
      </c>
      <c r="N4" s="8"/>
    </row>
    <row r="5" spans="1:18">
      <c r="A5" s="47">
        <v>2</v>
      </c>
      <c r="B5" s="221" t="s">
        <v>183</v>
      </c>
      <c r="C5" s="319" t="s">
        <v>184</v>
      </c>
      <c r="D5" s="319" t="s">
        <v>185</v>
      </c>
      <c r="E5" s="319">
        <v>46.14</v>
      </c>
      <c r="F5" s="319">
        <v>96.74</v>
      </c>
      <c r="G5" s="319">
        <f>E5*F5</f>
        <v>4463.5835999999999</v>
      </c>
      <c r="H5" s="319">
        <v>5</v>
      </c>
      <c r="I5" s="319">
        <v>108.86</v>
      </c>
      <c r="J5" s="319">
        <v>544.29999999999995</v>
      </c>
      <c r="K5" s="368">
        <f t="shared" ref="K5:K10" si="0">G5+J5</f>
        <v>5007.8836000000001</v>
      </c>
      <c r="L5" s="69">
        <v>5007.88</v>
      </c>
      <c r="M5" s="69">
        <f t="shared" ref="M5:M37" si="1">+M4+K5-L5</f>
        <v>3.6000000000058208E-3</v>
      </c>
      <c r="N5" s="8"/>
    </row>
    <row r="6" spans="1:18">
      <c r="A6" s="47">
        <v>3</v>
      </c>
      <c r="B6" s="221" t="s">
        <v>186</v>
      </c>
      <c r="C6" s="319" t="s">
        <v>187</v>
      </c>
      <c r="D6" s="319" t="s">
        <v>188</v>
      </c>
      <c r="E6" s="319">
        <v>46.69</v>
      </c>
      <c r="F6" s="319">
        <v>86.75</v>
      </c>
      <c r="G6" s="319">
        <f t="shared" ref="G6:G10" si="2">E6*F6</f>
        <v>4050.3574999999996</v>
      </c>
      <c r="H6" s="319">
        <v>0</v>
      </c>
      <c r="I6" s="319">
        <v>0</v>
      </c>
      <c r="J6" s="319">
        <v>0</v>
      </c>
      <c r="K6" s="368">
        <f t="shared" si="0"/>
        <v>4050.3574999999996</v>
      </c>
      <c r="L6" s="69">
        <v>4050</v>
      </c>
      <c r="M6" s="69">
        <f t="shared" si="1"/>
        <v>0.36109999999962383</v>
      </c>
      <c r="N6" s="8"/>
    </row>
    <row r="7" spans="1:18">
      <c r="A7" s="198">
        <v>4</v>
      </c>
      <c r="B7" s="221" t="s">
        <v>186</v>
      </c>
      <c r="C7" s="338" t="s">
        <v>189</v>
      </c>
      <c r="D7" s="338" t="s">
        <v>190</v>
      </c>
      <c r="E7" s="338" t="s">
        <v>182</v>
      </c>
      <c r="F7" s="338" t="s">
        <v>182</v>
      </c>
      <c r="G7" s="319"/>
      <c r="H7" s="338">
        <v>10</v>
      </c>
      <c r="I7" s="338">
        <v>110.05</v>
      </c>
      <c r="J7" s="338">
        <v>1100.5</v>
      </c>
      <c r="K7" s="368">
        <f t="shared" si="0"/>
        <v>1100.5</v>
      </c>
      <c r="L7" s="69">
        <v>1100.5</v>
      </c>
      <c r="M7" s="69">
        <f t="shared" si="1"/>
        <v>0.36109999999962383</v>
      </c>
      <c r="N7" s="8"/>
    </row>
    <row r="8" spans="1:18">
      <c r="A8" s="47">
        <v>5</v>
      </c>
      <c r="B8" s="221" t="s">
        <v>191</v>
      </c>
      <c r="C8" s="68" t="s">
        <v>187</v>
      </c>
      <c r="D8" s="161" t="s">
        <v>188</v>
      </c>
      <c r="E8" s="105">
        <v>47.7</v>
      </c>
      <c r="F8" s="259">
        <v>86.75</v>
      </c>
      <c r="G8" s="319">
        <f t="shared" si="2"/>
        <v>4137.9750000000004</v>
      </c>
      <c r="H8" s="105">
        <v>10</v>
      </c>
      <c r="I8" s="259">
        <v>96.91</v>
      </c>
      <c r="J8" s="8">
        <v>969.1</v>
      </c>
      <c r="K8" s="368">
        <f t="shared" si="0"/>
        <v>5107.0750000000007</v>
      </c>
      <c r="L8" s="69">
        <v>5107.08</v>
      </c>
      <c r="M8" s="69">
        <f t="shared" si="1"/>
        <v>0.35610000000087894</v>
      </c>
      <c r="N8" s="8"/>
      <c r="O8" s="70"/>
      <c r="R8" s="227"/>
    </row>
    <row r="9" spans="1:18">
      <c r="A9" s="47">
        <v>6</v>
      </c>
      <c r="B9" s="221" t="s">
        <v>191</v>
      </c>
      <c r="C9" s="319" t="s">
        <v>28</v>
      </c>
      <c r="D9" s="319" t="s">
        <v>27</v>
      </c>
      <c r="E9" s="319">
        <v>0</v>
      </c>
      <c r="F9" s="319"/>
      <c r="G9" s="319">
        <f t="shared" si="2"/>
        <v>0</v>
      </c>
      <c r="H9" s="319">
        <v>10</v>
      </c>
      <c r="I9" s="319">
        <v>109.55</v>
      </c>
      <c r="J9" s="319">
        <v>1095.5</v>
      </c>
      <c r="K9" s="368">
        <f>G9+J9</f>
        <v>1095.5</v>
      </c>
      <c r="L9" s="8">
        <v>1095.5</v>
      </c>
      <c r="M9" s="69">
        <f t="shared" si="1"/>
        <v>0.35610000000087894</v>
      </c>
      <c r="N9" s="8"/>
      <c r="O9" s="70"/>
    </row>
    <row r="10" spans="1:18">
      <c r="A10" s="198">
        <v>7</v>
      </c>
      <c r="B10" s="221" t="s">
        <v>192</v>
      </c>
      <c r="C10" s="319" t="s">
        <v>193</v>
      </c>
      <c r="D10" s="319" t="s">
        <v>194</v>
      </c>
      <c r="E10" s="319">
        <v>44.61</v>
      </c>
      <c r="F10" s="319">
        <v>86.75</v>
      </c>
      <c r="G10" s="319">
        <f t="shared" si="2"/>
        <v>3869.9175</v>
      </c>
      <c r="H10" s="105"/>
      <c r="I10" s="259"/>
      <c r="J10" s="8"/>
      <c r="K10" s="368">
        <f t="shared" ref="K10:K19" si="3">G10+J10</f>
        <v>3869.9175</v>
      </c>
      <c r="L10" s="8">
        <v>3869.92</v>
      </c>
      <c r="M10" s="69">
        <f t="shared" si="1"/>
        <v>0.35360000000082437</v>
      </c>
      <c r="N10" s="8"/>
      <c r="O10" s="70"/>
    </row>
    <row r="11" spans="1:18">
      <c r="A11" s="47">
        <v>8</v>
      </c>
      <c r="B11" s="221" t="s">
        <v>195</v>
      </c>
      <c r="C11" s="68" t="s">
        <v>184</v>
      </c>
      <c r="D11" s="161" t="s">
        <v>196</v>
      </c>
      <c r="E11" s="105">
        <v>23.19</v>
      </c>
      <c r="F11" s="259">
        <v>96.74</v>
      </c>
      <c r="G11" s="8">
        <v>2243.4</v>
      </c>
      <c r="H11" s="105">
        <v>0</v>
      </c>
      <c r="I11" s="259"/>
      <c r="J11" s="8"/>
      <c r="K11" s="368">
        <f t="shared" si="3"/>
        <v>2243.4</v>
      </c>
      <c r="L11" s="368">
        <v>2243.4</v>
      </c>
      <c r="M11" s="69">
        <f t="shared" si="1"/>
        <v>0.35360000000082437</v>
      </c>
      <c r="N11" s="8"/>
      <c r="O11" s="70"/>
    </row>
    <row r="12" spans="1:18">
      <c r="A12" s="47">
        <v>9</v>
      </c>
      <c r="B12" s="221" t="s">
        <v>195</v>
      </c>
      <c r="C12" s="68" t="s">
        <v>197</v>
      </c>
      <c r="D12" s="161" t="s">
        <v>190</v>
      </c>
      <c r="E12" s="105">
        <v>0</v>
      </c>
      <c r="F12" s="259"/>
      <c r="G12" s="8"/>
      <c r="H12" s="105">
        <v>10</v>
      </c>
      <c r="I12" s="259">
        <v>109.94</v>
      </c>
      <c r="J12" s="8">
        <v>1099.4000000000001</v>
      </c>
      <c r="K12" s="368">
        <f t="shared" si="3"/>
        <v>1099.4000000000001</v>
      </c>
      <c r="L12" s="8">
        <v>1099.4000000000001</v>
      </c>
      <c r="M12" s="69">
        <f t="shared" si="1"/>
        <v>0.35360000000082437</v>
      </c>
      <c r="N12" s="8"/>
      <c r="O12" s="70"/>
    </row>
    <row r="13" spans="1:18">
      <c r="A13" s="198">
        <v>10</v>
      </c>
      <c r="B13" s="221" t="s">
        <v>198</v>
      </c>
      <c r="C13" s="319" t="s">
        <v>184</v>
      </c>
      <c r="D13" s="319" t="s">
        <v>196</v>
      </c>
      <c r="E13" s="319">
        <v>158.78</v>
      </c>
      <c r="F13" s="319">
        <v>96.74</v>
      </c>
      <c r="G13" s="319">
        <v>15360.38</v>
      </c>
      <c r="H13" s="319">
        <v>5</v>
      </c>
      <c r="I13" s="319">
        <v>108.86</v>
      </c>
      <c r="J13" s="319">
        <v>544.29999999999995</v>
      </c>
      <c r="K13" s="368">
        <f t="shared" si="3"/>
        <v>15904.679999999998</v>
      </c>
      <c r="L13" s="8">
        <v>15904</v>
      </c>
      <c r="M13" s="69">
        <f t="shared" si="1"/>
        <v>1.0335999999988417</v>
      </c>
      <c r="N13" s="8"/>
      <c r="O13" s="70"/>
    </row>
    <row r="14" spans="1:18">
      <c r="A14" s="47">
        <v>11</v>
      </c>
      <c r="B14" s="221" t="s">
        <v>199</v>
      </c>
      <c r="C14" s="68" t="s">
        <v>184</v>
      </c>
      <c r="D14" s="161" t="s">
        <v>196</v>
      </c>
      <c r="E14" s="105">
        <v>42.83</v>
      </c>
      <c r="F14" s="259">
        <v>96.74</v>
      </c>
      <c r="G14" s="8">
        <v>4143.37</v>
      </c>
      <c r="H14" s="105"/>
      <c r="I14" s="259"/>
      <c r="J14" s="8"/>
      <c r="K14" s="368">
        <f t="shared" si="3"/>
        <v>4143.37</v>
      </c>
      <c r="L14" s="69">
        <v>4143.37</v>
      </c>
      <c r="M14" s="69">
        <f t="shared" si="1"/>
        <v>1.0335999999988417</v>
      </c>
      <c r="N14" s="8"/>
      <c r="O14" s="70"/>
    </row>
    <row r="15" spans="1:18">
      <c r="A15" s="47">
        <v>12</v>
      </c>
      <c r="B15" s="221" t="s">
        <v>200</v>
      </c>
      <c r="C15" s="68" t="s">
        <v>197</v>
      </c>
      <c r="D15" s="161" t="s">
        <v>190</v>
      </c>
      <c r="E15" s="105">
        <v>0</v>
      </c>
      <c r="F15" s="259"/>
      <c r="G15" s="8"/>
      <c r="H15" s="105">
        <v>40.869999999999997</v>
      </c>
      <c r="I15" s="259">
        <v>109.94</v>
      </c>
      <c r="J15" s="8">
        <v>4493.25</v>
      </c>
      <c r="K15" s="368">
        <f t="shared" si="3"/>
        <v>4493.25</v>
      </c>
      <c r="L15" s="69">
        <v>4493.25</v>
      </c>
      <c r="M15" s="69">
        <f t="shared" si="1"/>
        <v>1.0335999999988417</v>
      </c>
      <c r="N15" s="8"/>
      <c r="O15" s="70"/>
    </row>
    <row r="16" spans="1:18">
      <c r="A16" s="198">
        <v>13</v>
      </c>
      <c r="B16" s="221" t="s">
        <v>201</v>
      </c>
      <c r="C16" s="68" t="s">
        <v>184</v>
      </c>
      <c r="D16" s="161" t="s">
        <v>196</v>
      </c>
      <c r="E16" s="105">
        <v>0</v>
      </c>
      <c r="F16" s="259"/>
      <c r="G16" s="8"/>
      <c r="H16" s="105">
        <v>10</v>
      </c>
      <c r="I16" s="259">
        <v>108.86</v>
      </c>
      <c r="J16" s="8">
        <v>1088.5999999999999</v>
      </c>
      <c r="K16" s="368">
        <f t="shared" si="3"/>
        <v>1088.5999999999999</v>
      </c>
      <c r="L16" s="8">
        <v>1088.5999999999999</v>
      </c>
      <c r="M16" s="69">
        <f t="shared" si="1"/>
        <v>1.0335999999988417</v>
      </c>
      <c r="N16" s="8"/>
      <c r="O16" s="70"/>
    </row>
    <row r="17" spans="1:17">
      <c r="A17" s="47">
        <v>14</v>
      </c>
      <c r="B17" s="221" t="s">
        <v>202</v>
      </c>
      <c r="C17" s="68" t="s">
        <v>203</v>
      </c>
      <c r="D17" s="161" t="s">
        <v>204</v>
      </c>
      <c r="E17" s="105">
        <v>37.369999999999997</v>
      </c>
      <c r="F17" s="259">
        <v>96.88</v>
      </c>
      <c r="G17" s="8">
        <v>3620.41</v>
      </c>
      <c r="H17" s="105"/>
      <c r="I17" s="259"/>
      <c r="J17" s="8"/>
      <c r="K17" s="368">
        <f t="shared" si="3"/>
        <v>3620.41</v>
      </c>
      <c r="L17" s="8">
        <v>3620.41</v>
      </c>
      <c r="M17" s="69">
        <f t="shared" si="1"/>
        <v>1.0335999999988417</v>
      </c>
      <c r="N17" s="8"/>
      <c r="O17" s="70"/>
    </row>
    <row r="18" spans="1:17">
      <c r="A18" s="47">
        <v>15</v>
      </c>
      <c r="B18" s="221" t="s">
        <v>205</v>
      </c>
      <c r="C18" s="68" t="s">
        <v>206</v>
      </c>
      <c r="D18" s="161" t="s">
        <v>207</v>
      </c>
      <c r="E18" s="105">
        <v>0</v>
      </c>
      <c r="F18" s="259"/>
      <c r="G18" s="8"/>
      <c r="H18" s="105">
        <v>15</v>
      </c>
      <c r="I18" s="259">
        <v>109.68</v>
      </c>
      <c r="J18" s="8">
        <v>1645.2</v>
      </c>
      <c r="K18" s="368">
        <v>1645.2</v>
      </c>
      <c r="L18" s="69">
        <v>1645.2</v>
      </c>
      <c r="M18" s="69">
        <f>+M16+K18-L18</f>
        <v>1.0335999999988417</v>
      </c>
      <c r="N18" s="8"/>
      <c r="O18" s="70"/>
    </row>
    <row r="19" spans="1:17">
      <c r="A19" s="198">
        <v>16</v>
      </c>
      <c r="B19" s="221" t="s">
        <v>208</v>
      </c>
      <c r="C19" s="68" t="s">
        <v>180</v>
      </c>
      <c r="D19" s="161" t="s">
        <v>181</v>
      </c>
      <c r="E19" s="105">
        <v>45.1</v>
      </c>
      <c r="F19" s="259">
        <v>97.28</v>
      </c>
      <c r="G19" s="8">
        <v>4387.33</v>
      </c>
      <c r="H19" s="105">
        <v>15</v>
      </c>
      <c r="I19" s="259">
        <v>109.47</v>
      </c>
      <c r="J19" s="8">
        <v>1642.05</v>
      </c>
      <c r="K19" s="368">
        <v>6029.38</v>
      </c>
      <c r="L19" s="368">
        <v>6029.38</v>
      </c>
      <c r="M19" s="69">
        <f t="shared" si="1"/>
        <v>1.0335999999988417</v>
      </c>
      <c r="N19" s="184"/>
      <c r="O19" s="70"/>
    </row>
    <row r="20" spans="1:17">
      <c r="A20" s="47">
        <v>17</v>
      </c>
      <c r="B20" s="221" t="s">
        <v>208</v>
      </c>
      <c r="C20" s="68" t="s">
        <v>184</v>
      </c>
      <c r="D20" s="161" t="s">
        <v>196</v>
      </c>
      <c r="E20" s="105">
        <v>0</v>
      </c>
      <c r="F20" s="259"/>
      <c r="G20" s="8"/>
      <c r="H20" s="105">
        <v>5</v>
      </c>
      <c r="I20" s="259">
        <v>108.86</v>
      </c>
      <c r="J20" s="8">
        <v>544.29999999999995</v>
      </c>
      <c r="K20" s="8">
        <v>544.29999999999995</v>
      </c>
      <c r="L20" s="8">
        <v>544.29999999999995</v>
      </c>
      <c r="M20" s="69">
        <f t="shared" si="1"/>
        <v>1.0335999999988417</v>
      </c>
      <c r="N20" s="283"/>
      <c r="O20" s="70"/>
    </row>
    <row r="21" spans="1:17">
      <c r="A21" s="47">
        <v>18</v>
      </c>
      <c r="B21" s="221" t="s">
        <v>209</v>
      </c>
      <c r="C21" s="68" t="s">
        <v>210</v>
      </c>
      <c r="D21" s="161" t="s">
        <v>190</v>
      </c>
      <c r="E21" s="105">
        <v>0</v>
      </c>
      <c r="F21" s="259"/>
      <c r="G21" s="8"/>
      <c r="H21" s="105">
        <v>5</v>
      </c>
      <c r="I21" s="259">
        <v>109.94</v>
      </c>
      <c r="J21" s="8">
        <v>550</v>
      </c>
      <c r="K21" s="8">
        <v>550</v>
      </c>
      <c r="L21" s="8">
        <v>550</v>
      </c>
      <c r="M21" s="69">
        <f t="shared" si="1"/>
        <v>1.0335999999988417</v>
      </c>
      <c r="N21" s="19"/>
      <c r="O21" s="70"/>
    </row>
    <row r="22" spans="1:17">
      <c r="A22" s="198">
        <v>19</v>
      </c>
      <c r="B22" s="221" t="s">
        <v>211</v>
      </c>
      <c r="C22" s="319" t="s">
        <v>184</v>
      </c>
      <c r="D22" s="319" t="s">
        <v>196</v>
      </c>
      <c r="E22" s="319">
        <v>37.659999999999997</v>
      </c>
      <c r="F22" s="319">
        <v>96.74</v>
      </c>
      <c r="G22" s="319">
        <v>3643.23</v>
      </c>
      <c r="H22" s="319">
        <v>5</v>
      </c>
      <c r="I22" s="319">
        <v>108.86</v>
      </c>
      <c r="J22" s="319">
        <v>544.29999999999995</v>
      </c>
      <c r="K22" s="368">
        <v>4187.53</v>
      </c>
      <c r="L22" s="368">
        <v>4187.53</v>
      </c>
      <c r="M22" s="69">
        <f t="shared" si="1"/>
        <v>1.0335999999988417</v>
      </c>
      <c r="N22" s="8"/>
      <c r="O22" s="70"/>
    </row>
    <row r="23" spans="1:17">
      <c r="A23" s="47">
        <v>20</v>
      </c>
      <c r="B23" s="221" t="s">
        <v>211</v>
      </c>
      <c r="C23" s="338" t="s">
        <v>184</v>
      </c>
      <c r="D23" s="338" t="s">
        <v>196</v>
      </c>
      <c r="E23" s="338">
        <v>0</v>
      </c>
      <c r="F23" s="338">
        <v>0</v>
      </c>
      <c r="G23" s="338">
        <v>0</v>
      </c>
      <c r="H23" s="338">
        <v>5</v>
      </c>
      <c r="I23" s="338">
        <v>116.14</v>
      </c>
      <c r="J23" s="338">
        <v>580.70000000000005</v>
      </c>
      <c r="K23" s="338">
        <v>580.70000000000005</v>
      </c>
      <c r="L23" s="338">
        <v>580.70000000000005</v>
      </c>
      <c r="M23" s="69">
        <f t="shared" si="1"/>
        <v>1.0335999999988417</v>
      </c>
      <c r="N23" s="8"/>
      <c r="O23" s="70"/>
      <c r="Q23" s="22"/>
    </row>
    <row r="24" spans="1:17">
      <c r="A24" s="47">
        <v>21</v>
      </c>
      <c r="B24" s="221"/>
      <c r="C24" s="68"/>
      <c r="D24" s="161"/>
      <c r="E24" s="105"/>
      <c r="F24" s="259"/>
      <c r="G24" s="8"/>
      <c r="H24" s="105"/>
      <c r="I24" s="259"/>
      <c r="J24" s="8"/>
      <c r="K24" s="8"/>
      <c r="L24" s="69"/>
      <c r="M24" s="69">
        <f t="shared" si="1"/>
        <v>1.0335999999988417</v>
      </c>
      <c r="N24" s="8"/>
      <c r="O24" s="70"/>
    </row>
    <row r="25" spans="1:17">
      <c r="A25" s="198">
        <v>22</v>
      </c>
      <c r="B25" s="221"/>
      <c r="C25" s="68"/>
      <c r="D25" s="161"/>
      <c r="E25" s="105"/>
      <c r="F25" s="259"/>
      <c r="G25" s="8"/>
      <c r="H25" s="105"/>
      <c r="I25" s="259"/>
      <c r="J25" s="8"/>
      <c r="K25" s="8"/>
      <c r="L25" s="69"/>
      <c r="M25" s="69">
        <f t="shared" si="1"/>
        <v>1.0335999999988417</v>
      </c>
      <c r="N25" s="8"/>
      <c r="O25" s="70"/>
    </row>
    <row r="26" spans="1:17">
      <c r="A26" s="47">
        <v>23</v>
      </c>
      <c r="B26" s="221"/>
      <c r="C26" s="319"/>
      <c r="D26" s="319"/>
      <c r="H26" s="105"/>
      <c r="I26" s="259"/>
      <c r="J26" s="8"/>
      <c r="K26" s="8"/>
      <c r="L26" s="69"/>
      <c r="M26" s="69">
        <f t="shared" si="1"/>
        <v>1.0335999999988417</v>
      </c>
      <c r="N26" s="8"/>
      <c r="O26" s="70"/>
    </row>
    <row r="27" spans="1:17">
      <c r="A27" s="47">
        <v>24</v>
      </c>
      <c r="B27" s="221"/>
      <c r="C27" s="319"/>
      <c r="D27" s="403"/>
      <c r="E27" s="105"/>
      <c r="F27" s="319"/>
      <c r="G27" s="319"/>
      <c r="H27" s="319"/>
      <c r="I27" s="319"/>
      <c r="J27" s="319"/>
      <c r="K27" s="368"/>
      <c r="L27" s="69"/>
      <c r="M27" s="69">
        <f t="shared" si="1"/>
        <v>1.0335999999988417</v>
      </c>
      <c r="N27" s="8"/>
      <c r="O27" s="70"/>
    </row>
    <row r="28" spans="1:17">
      <c r="A28" s="198">
        <v>25</v>
      </c>
      <c r="B28" s="221"/>
      <c r="C28" s="68"/>
      <c r="D28" s="161"/>
      <c r="E28" s="105"/>
      <c r="F28" s="259"/>
      <c r="G28" s="8"/>
      <c r="H28" s="105"/>
      <c r="I28" s="259"/>
      <c r="J28" s="8"/>
      <c r="K28" s="8"/>
      <c r="L28" s="69"/>
      <c r="M28" s="69">
        <f t="shared" si="1"/>
        <v>1.0335999999988417</v>
      </c>
      <c r="N28" s="8"/>
      <c r="O28" s="70"/>
    </row>
    <row r="29" spans="1:17">
      <c r="A29" s="47">
        <v>26</v>
      </c>
      <c r="B29" s="221"/>
      <c r="C29" s="68"/>
      <c r="D29" s="161"/>
      <c r="E29" s="105"/>
      <c r="F29" s="259"/>
      <c r="G29" s="8"/>
      <c r="H29" s="105"/>
      <c r="I29" s="259"/>
      <c r="J29" s="8"/>
      <c r="K29" s="8"/>
      <c r="L29" s="69"/>
      <c r="M29" s="69">
        <f t="shared" si="1"/>
        <v>1.0335999999988417</v>
      </c>
      <c r="N29" s="8"/>
      <c r="O29" s="70"/>
    </row>
    <row r="30" spans="1:17">
      <c r="A30" s="47">
        <v>27</v>
      </c>
      <c r="B30" s="221"/>
      <c r="C30" s="68"/>
      <c r="D30" s="161"/>
      <c r="E30" s="105"/>
      <c r="F30" s="259"/>
      <c r="G30" s="8"/>
      <c r="H30" s="105"/>
      <c r="I30" s="259"/>
      <c r="J30" s="8"/>
      <c r="K30" s="8"/>
      <c r="L30" s="69"/>
      <c r="M30" s="69">
        <f t="shared" si="1"/>
        <v>1.0335999999988417</v>
      </c>
      <c r="N30" s="8"/>
      <c r="O30" s="70"/>
    </row>
    <row r="31" spans="1:17">
      <c r="A31" s="198">
        <v>28</v>
      </c>
      <c r="B31" s="221"/>
      <c r="C31" s="68"/>
      <c r="D31" s="161"/>
      <c r="E31" s="105"/>
      <c r="F31" s="259"/>
      <c r="G31" s="8"/>
      <c r="H31" s="105"/>
      <c r="I31" s="259"/>
      <c r="J31" s="8"/>
      <c r="K31" s="8"/>
      <c r="L31" s="69"/>
      <c r="M31" s="69">
        <f t="shared" si="1"/>
        <v>1.0335999999988417</v>
      </c>
      <c r="N31" s="8"/>
      <c r="O31" s="70"/>
    </row>
    <row r="32" spans="1:17">
      <c r="A32" s="47">
        <v>29</v>
      </c>
      <c r="B32" s="221"/>
      <c r="C32" s="68"/>
      <c r="D32" s="161"/>
      <c r="E32" s="105"/>
      <c r="F32" s="259"/>
      <c r="G32" s="8"/>
      <c r="H32" s="105"/>
      <c r="I32" s="259"/>
      <c r="J32" s="8"/>
      <c r="K32" s="8"/>
      <c r="L32" s="69"/>
      <c r="M32" s="69">
        <f t="shared" si="1"/>
        <v>1.0335999999988417</v>
      </c>
      <c r="N32" s="8"/>
      <c r="O32" s="70"/>
    </row>
    <row r="33" spans="1:15">
      <c r="A33" s="47">
        <v>30</v>
      </c>
      <c r="B33" s="221"/>
      <c r="C33" s="319"/>
      <c r="D33" s="319"/>
      <c r="E33" s="319"/>
      <c r="F33" s="319"/>
      <c r="G33" s="319"/>
      <c r="H33" s="319"/>
      <c r="I33" s="319"/>
      <c r="J33" s="319"/>
      <c r="K33" s="368"/>
      <c r="L33" s="8"/>
      <c r="M33" s="69">
        <f t="shared" si="1"/>
        <v>1.0335999999988417</v>
      </c>
      <c r="N33" s="8"/>
      <c r="O33" s="70"/>
    </row>
    <row r="34" spans="1:15">
      <c r="A34" s="47">
        <v>30</v>
      </c>
      <c r="B34" s="221"/>
      <c r="C34" s="338"/>
      <c r="D34" s="338"/>
      <c r="E34" s="338"/>
      <c r="F34" s="338"/>
      <c r="G34" s="338"/>
      <c r="H34" s="338"/>
      <c r="I34" s="338"/>
      <c r="J34" s="338"/>
      <c r="K34" s="338"/>
      <c r="L34" s="8"/>
      <c r="M34" s="69">
        <f t="shared" si="1"/>
        <v>1.0335999999988417</v>
      </c>
      <c r="N34" s="8"/>
      <c r="O34" s="70"/>
    </row>
    <row r="35" spans="1:15">
      <c r="A35" s="198">
        <v>31</v>
      </c>
      <c r="B35" s="221"/>
      <c r="C35" s="68"/>
      <c r="D35" s="161"/>
      <c r="E35" s="105"/>
      <c r="F35" s="259"/>
      <c r="G35" s="8"/>
      <c r="H35" s="105"/>
      <c r="I35" s="259"/>
      <c r="J35" s="8"/>
      <c r="K35" s="8"/>
      <c r="L35" s="8"/>
      <c r="M35" s="69">
        <f t="shared" si="1"/>
        <v>1.0335999999988417</v>
      </c>
      <c r="N35" s="8"/>
      <c r="O35" s="70"/>
    </row>
    <row r="36" spans="1:15">
      <c r="A36" s="47">
        <v>32</v>
      </c>
      <c r="B36" s="221"/>
      <c r="C36" s="68"/>
      <c r="D36" s="161"/>
      <c r="E36" s="105"/>
      <c r="F36" s="259"/>
      <c r="G36" s="8"/>
      <c r="H36" s="105"/>
      <c r="I36" s="259">
        <v>0</v>
      </c>
      <c r="J36" s="8">
        <f t="shared" ref="J5:J37" si="4">H36*I36</f>
        <v>0</v>
      </c>
      <c r="K36" s="8">
        <f t="shared" ref="K5:K37" si="5">G36+J36</f>
        <v>0</v>
      </c>
      <c r="L36" s="69"/>
      <c r="M36" s="69">
        <f t="shared" si="1"/>
        <v>1.0335999999988417</v>
      </c>
      <c r="N36" s="8"/>
      <c r="O36" s="70"/>
    </row>
    <row r="37" spans="1:15">
      <c r="A37" s="47">
        <v>33</v>
      </c>
      <c r="B37" s="221"/>
      <c r="C37" s="68"/>
      <c r="D37" s="161"/>
      <c r="E37" s="105"/>
      <c r="F37" s="259"/>
      <c r="G37" s="8">
        <f t="shared" ref="G5:G37" si="6">E37*F37</f>
        <v>0</v>
      </c>
      <c r="H37" s="105">
        <v>0</v>
      </c>
      <c r="I37" s="259">
        <v>0</v>
      </c>
      <c r="J37" s="8">
        <f t="shared" si="4"/>
        <v>0</v>
      </c>
      <c r="K37" s="8">
        <f t="shared" si="5"/>
        <v>0</v>
      </c>
      <c r="L37" s="69"/>
      <c r="M37" s="69">
        <f t="shared" si="1"/>
        <v>1.0335999999988417</v>
      </c>
      <c r="N37" s="8"/>
      <c r="O37" s="70"/>
    </row>
    <row r="38" spans="1:15">
      <c r="A38" s="63"/>
      <c r="B38" s="63"/>
      <c r="C38" s="63"/>
      <c r="D38" s="63"/>
      <c r="E38" s="260">
        <f>SUM(E4:E37)</f>
        <v>530.07000000000005</v>
      </c>
      <c r="F38" s="260"/>
      <c r="G38" s="64">
        <f>SUM(G4:G37)</f>
        <v>49919.953600000015</v>
      </c>
      <c r="H38" s="64">
        <f>SUM(H4:H37)</f>
        <v>171.5</v>
      </c>
      <c r="I38" s="64"/>
      <c r="J38" s="64">
        <f>SUM(J4:J37)</f>
        <v>18448.050000000003</v>
      </c>
      <c r="K38" s="64">
        <f>SUM(K4:K37)</f>
        <v>68368.003599999996</v>
      </c>
      <c r="L38" s="64">
        <f>SUM(L4:L37)</f>
        <v>68366.97</v>
      </c>
      <c r="M38" s="64"/>
      <c r="N38" s="64"/>
      <c r="O38" s="60"/>
    </row>
    <row r="39" spans="1:15">
      <c r="A39" s="73"/>
      <c r="B39" s="74"/>
      <c r="C39" s="73"/>
      <c r="D39" s="73"/>
      <c r="E39" s="75"/>
      <c r="F39" s="75"/>
      <c r="G39" s="75"/>
      <c r="H39" s="75"/>
      <c r="I39" s="75"/>
      <c r="J39" s="76"/>
      <c r="K39" s="76"/>
      <c r="L39" s="76"/>
      <c r="M39" s="76"/>
      <c r="N39" s="75"/>
      <c r="O39" s="70"/>
    </row>
    <row r="40" spans="1:15">
      <c r="O40" s="70"/>
    </row>
    <row r="41" spans="1:15">
      <c r="O41" s="70"/>
    </row>
    <row r="42" spans="1:15">
      <c r="O42" s="70"/>
    </row>
    <row r="43" spans="1:15">
      <c r="O43" s="70"/>
    </row>
    <row r="44" spans="1:15">
      <c r="O44" s="70"/>
    </row>
    <row r="45" spans="1:15">
      <c r="A45" s="70"/>
      <c r="B45" s="60"/>
      <c r="C45" s="70"/>
      <c r="D45" s="70"/>
      <c r="E45" s="70"/>
      <c r="F45" s="70"/>
      <c r="G45" s="77"/>
      <c r="H45" s="70"/>
      <c r="I45" s="70"/>
      <c r="J45" s="60"/>
      <c r="K45" s="60"/>
      <c r="L45" s="60"/>
      <c r="M45" s="60"/>
      <c r="N45" s="70"/>
      <c r="O45" s="75"/>
    </row>
    <row r="46" spans="1:15">
      <c r="A46" s="70"/>
      <c r="B46" s="452"/>
      <c r="C46" s="452"/>
      <c r="D46" s="452"/>
      <c r="E46" s="452"/>
      <c r="F46" s="70"/>
      <c r="G46" s="70"/>
      <c r="H46" s="70"/>
      <c r="I46" s="452"/>
      <c r="J46" s="452"/>
      <c r="K46" s="452"/>
      <c r="L46" s="452"/>
      <c r="M46" s="452"/>
      <c r="N46" s="452"/>
      <c r="O46" s="75"/>
    </row>
    <row r="47" spans="1:15">
      <c r="A47" s="70"/>
      <c r="B47" s="60"/>
      <c r="C47" s="70"/>
      <c r="D47" s="70"/>
      <c r="E47" s="70"/>
      <c r="F47" s="70"/>
      <c r="G47" s="70"/>
      <c r="H47" s="70"/>
      <c r="I47" s="70"/>
      <c r="J47" s="60"/>
      <c r="K47" s="60"/>
      <c r="L47" s="60"/>
      <c r="M47" s="60"/>
      <c r="N47" s="70"/>
      <c r="O47" s="75"/>
    </row>
  </sheetData>
  <mergeCells count="3">
    <mergeCell ref="A3:L3"/>
    <mergeCell ref="B46:E46"/>
    <mergeCell ref="I46:N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4"/>
  <sheetViews>
    <sheetView workbookViewId="0">
      <selection activeCell="L26" sqref="L26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44" t="s">
        <v>212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83"/>
    </row>
    <row r="2" spans="1:18" ht="30.75">
      <c r="A2" s="99" t="s">
        <v>101</v>
      </c>
      <c r="B2" s="100" t="s">
        <v>155</v>
      </c>
      <c r="C2" s="100" t="s">
        <v>156</v>
      </c>
      <c r="D2" s="100" t="s">
        <v>173</v>
      </c>
      <c r="E2" s="258" t="s">
        <v>158</v>
      </c>
      <c r="F2" s="258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8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7"/>
      <c r="M3" s="149">
        <v>0</v>
      </c>
      <c r="N3" s="158"/>
      <c r="O3" s="60"/>
    </row>
    <row r="4" spans="1:18">
      <c r="A4" s="198">
        <v>1</v>
      </c>
      <c r="B4" s="221">
        <v>46054</v>
      </c>
      <c r="C4" s="68"/>
      <c r="D4" s="161"/>
      <c r="E4" s="259"/>
      <c r="F4" s="259"/>
      <c r="G4" s="8">
        <f t="shared" ref="G4:G34" si="0">E4*F4</f>
        <v>0</v>
      </c>
      <c r="H4" s="66">
        <v>0</v>
      </c>
      <c r="I4" s="67">
        <v>0</v>
      </c>
      <c r="J4" s="8">
        <f>H4*I4</f>
        <v>0</v>
      </c>
      <c r="K4" s="8">
        <f>G4+J4</f>
        <v>0</v>
      </c>
      <c r="L4" s="69">
        <f>+K4</f>
        <v>0</v>
      </c>
      <c r="M4" s="69">
        <v>0</v>
      </c>
      <c r="N4" s="8"/>
    </row>
    <row r="5" spans="1:18">
      <c r="A5" s="47">
        <v>2</v>
      </c>
      <c r="B5" s="221">
        <v>46055</v>
      </c>
      <c r="C5" s="68"/>
      <c r="D5" s="161"/>
      <c r="E5" s="259"/>
      <c r="F5" s="259"/>
      <c r="G5" s="8">
        <f t="shared" si="0"/>
        <v>0</v>
      </c>
      <c r="H5" s="66">
        <v>0</v>
      </c>
      <c r="I5" s="67">
        <v>0</v>
      </c>
      <c r="J5" s="8">
        <f t="shared" ref="J5:J34" si="1">H5*I5</f>
        <v>0</v>
      </c>
      <c r="K5" s="8">
        <f t="shared" ref="K5:K34" si="2">G5+J5</f>
        <v>0</v>
      </c>
      <c r="L5" s="69">
        <f t="shared" ref="L5:L34" si="3">+K5</f>
        <v>0</v>
      </c>
      <c r="M5" s="69">
        <v>0</v>
      </c>
      <c r="N5" s="8"/>
    </row>
    <row r="6" spans="1:18">
      <c r="A6" s="47">
        <v>3</v>
      </c>
      <c r="B6" s="221">
        <v>46056</v>
      </c>
      <c r="C6" s="68"/>
      <c r="D6" s="161"/>
      <c r="E6" s="259"/>
      <c r="F6" s="259"/>
      <c r="G6" s="8">
        <f t="shared" si="0"/>
        <v>0</v>
      </c>
      <c r="H6" s="66">
        <v>5.1100000000000003</v>
      </c>
      <c r="I6" s="67">
        <v>109.61</v>
      </c>
      <c r="J6" s="8">
        <f t="shared" si="1"/>
        <v>560.10710000000006</v>
      </c>
      <c r="K6" s="8">
        <f t="shared" si="2"/>
        <v>560.10710000000006</v>
      </c>
      <c r="L6" s="69">
        <f t="shared" si="3"/>
        <v>560.10710000000006</v>
      </c>
      <c r="M6" s="69">
        <v>0</v>
      </c>
      <c r="N6" s="8" t="s">
        <v>213</v>
      </c>
    </row>
    <row r="7" spans="1:18">
      <c r="A7" s="47">
        <v>4</v>
      </c>
      <c r="B7" s="221">
        <v>46057</v>
      </c>
      <c r="C7" s="68"/>
      <c r="D7" s="161"/>
      <c r="E7" s="259"/>
      <c r="F7" s="259"/>
      <c r="G7" s="8">
        <f t="shared" si="0"/>
        <v>0</v>
      </c>
      <c r="H7" s="66">
        <v>0</v>
      </c>
      <c r="I7" s="67">
        <v>0</v>
      </c>
      <c r="J7" s="8">
        <f t="shared" si="1"/>
        <v>0</v>
      </c>
      <c r="K7" s="8">
        <f t="shared" si="2"/>
        <v>0</v>
      </c>
      <c r="L7" s="69">
        <f t="shared" si="3"/>
        <v>0</v>
      </c>
      <c r="M7" s="69">
        <v>0</v>
      </c>
      <c r="N7" s="8"/>
    </row>
    <row r="8" spans="1:18">
      <c r="A8" s="47">
        <v>5</v>
      </c>
      <c r="B8" s="221">
        <v>46058</v>
      </c>
      <c r="C8" s="68"/>
      <c r="D8" s="161"/>
      <c r="E8" s="259">
        <v>200</v>
      </c>
      <c r="F8" s="259">
        <v>97.79</v>
      </c>
      <c r="G8" s="8">
        <f t="shared" si="0"/>
        <v>19558</v>
      </c>
      <c r="H8" s="66">
        <v>0</v>
      </c>
      <c r="I8" s="67">
        <v>0</v>
      </c>
      <c r="J8" s="8">
        <f t="shared" si="1"/>
        <v>0</v>
      </c>
      <c r="K8" s="8">
        <f t="shared" si="2"/>
        <v>19558</v>
      </c>
      <c r="L8" s="69">
        <f t="shared" si="3"/>
        <v>19558</v>
      </c>
      <c r="M8" s="69">
        <v>0</v>
      </c>
      <c r="N8" s="8" t="s">
        <v>214</v>
      </c>
      <c r="O8" s="70"/>
      <c r="R8" s="227"/>
    </row>
    <row r="9" spans="1:18">
      <c r="A9" s="47">
        <v>6</v>
      </c>
      <c r="B9" s="221">
        <v>46059</v>
      </c>
      <c r="C9" s="68"/>
      <c r="D9" s="161"/>
      <c r="E9" s="259"/>
      <c r="F9" s="259"/>
      <c r="G9" s="8">
        <f t="shared" si="0"/>
        <v>0</v>
      </c>
      <c r="H9" s="66">
        <v>0</v>
      </c>
      <c r="I9" s="67">
        <v>0</v>
      </c>
      <c r="J9" s="8">
        <f t="shared" si="1"/>
        <v>0</v>
      </c>
      <c r="K9" s="8">
        <f t="shared" si="2"/>
        <v>0</v>
      </c>
      <c r="L9" s="69">
        <f t="shared" si="3"/>
        <v>0</v>
      </c>
      <c r="M9" s="69">
        <v>0</v>
      </c>
      <c r="N9" s="8"/>
      <c r="O9" s="70"/>
    </row>
    <row r="10" spans="1:18">
      <c r="A10" s="47">
        <v>7</v>
      </c>
      <c r="B10" s="221">
        <v>46060</v>
      </c>
      <c r="C10" s="68"/>
      <c r="D10" s="161"/>
      <c r="E10" s="259"/>
      <c r="F10" s="259"/>
      <c r="G10" s="8">
        <f t="shared" si="0"/>
        <v>0</v>
      </c>
      <c r="H10" s="66">
        <v>0</v>
      </c>
      <c r="I10" s="67">
        <v>0</v>
      </c>
      <c r="J10" s="8">
        <f t="shared" si="1"/>
        <v>0</v>
      </c>
      <c r="K10" s="8">
        <f t="shared" si="2"/>
        <v>0</v>
      </c>
      <c r="L10" s="69">
        <f t="shared" si="3"/>
        <v>0</v>
      </c>
      <c r="M10" s="69">
        <v>0</v>
      </c>
      <c r="N10" s="8"/>
      <c r="O10" s="70">
        <v>169.99</v>
      </c>
    </row>
    <row r="11" spans="1:18">
      <c r="A11" s="47">
        <v>8</v>
      </c>
      <c r="B11" s="221">
        <v>46061</v>
      </c>
      <c r="C11" s="68"/>
      <c r="D11" s="161"/>
      <c r="E11" s="259"/>
      <c r="F11" s="259"/>
      <c r="G11" s="8">
        <f t="shared" si="0"/>
        <v>0</v>
      </c>
      <c r="H11" s="66">
        <v>0</v>
      </c>
      <c r="I11" s="67">
        <v>0</v>
      </c>
      <c r="J11" s="8">
        <f t="shared" si="1"/>
        <v>0</v>
      </c>
      <c r="K11" s="8">
        <f t="shared" si="2"/>
        <v>0</v>
      </c>
      <c r="L11" s="69">
        <f t="shared" si="3"/>
        <v>0</v>
      </c>
      <c r="M11" s="69">
        <v>0</v>
      </c>
      <c r="N11" s="8"/>
      <c r="O11" s="70">
        <v>80</v>
      </c>
    </row>
    <row r="12" spans="1:18">
      <c r="A12" s="47">
        <v>9</v>
      </c>
      <c r="B12" s="221">
        <v>46062</v>
      </c>
      <c r="C12" s="68"/>
      <c r="D12" s="161"/>
      <c r="E12" s="259"/>
      <c r="F12" s="259"/>
      <c r="G12" s="8">
        <f t="shared" si="0"/>
        <v>0</v>
      </c>
      <c r="H12" s="66">
        <v>0</v>
      </c>
      <c r="I12" s="67">
        <v>0</v>
      </c>
      <c r="J12" s="8">
        <f t="shared" si="1"/>
        <v>0</v>
      </c>
      <c r="K12" s="8">
        <f t="shared" si="2"/>
        <v>0</v>
      </c>
      <c r="L12" s="69">
        <f t="shared" si="3"/>
        <v>0</v>
      </c>
      <c r="M12" s="69">
        <v>0</v>
      </c>
      <c r="N12" s="8"/>
      <c r="O12" s="70">
        <f>SUM(O10:O11)</f>
        <v>249.99</v>
      </c>
      <c r="P12">
        <v>97.76</v>
      </c>
      <c r="Q12">
        <f>O12*P12</f>
        <v>24439.022400000002</v>
      </c>
    </row>
    <row r="13" spans="1:18">
      <c r="A13" s="47">
        <v>10</v>
      </c>
      <c r="B13" s="221">
        <v>46063</v>
      </c>
      <c r="C13" s="68"/>
      <c r="D13" s="161"/>
      <c r="E13" s="259"/>
      <c r="F13" s="259"/>
      <c r="G13" s="8">
        <f t="shared" si="0"/>
        <v>0</v>
      </c>
      <c r="H13" s="66">
        <v>0</v>
      </c>
      <c r="I13" s="67">
        <v>0</v>
      </c>
      <c r="J13" s="8">
        <f t="shared" si="1"/>
        <v>0</v>
      </c>
      <c r="K13" s="8">
        <f t="shared" si="2"/>
        <v>0</v>
      </c>
      <c r="L13" s="69">
        <f t="shared" si="3"/>
        <v>0</v>
      </c>
      <c r="M13" s="69">
        <v>0</v>
      </c>
      <c r="N13" s="8"/>
      <c r="O13" s="70"/>
    </row>
    <row r="14" spans="1:18">
      <c r="A14" s="47">
        <v>11</v>
      </c>
      <c r="B14" s="221">
        <v>46064</v>
      </c>
      <c r="C14" s="68"/>
      <c r="D14" s="161"/>
      <c r="E14" s="259"/>
      <c r="F14" s="259"/>
      <c r="G14" s="8">
        <f t="shared" si="0"/>
        <v>0</v>
      </c>
      <c r="H14" s="66">
        <v>5.96</v>
      </c>
      <c r="I14" s="67">
        <v>109.61</v>
      </c>
      <c r="J14" s="8">
        <f t="shared" si="1"/>
        <v>653.27559999999994</v>
      </c>
      <c r="K14" s="8">
        <f>G14+J14</f>
        <v>653.27559999999994</v>
      </c>
      <c r="L14" s="69">
        <f>+K14</f>
        <v>653.27559999999994</v>
      </c>
      <c r="M14" s="69">
        <v>0</v>
      </c>
      <c r="N14" s="8"/>
      <c r="O14" s="70"/>
    </row>
    <row r="15" spans="1:18">
      <c r="A15" s="47">
        <v>12</v>
      </c>
      <c r="B15" s="221">
        <v>46065</v>
      </c>
      <c r="C15" s="68"/>
      <c r="D15" s="161"/>
      <c r="E15" s="259"/>
      <c r="F15" s="259"/>
      <c r="G15" s="8">
        <f t="shared" si="0"/>
        <v>0</v>
      </c>
      <c r="H15" s="66">
        <v>0</v>
      </c>
      <c r="I15" s="67">
        <v>0</v>
      </c>
      <c r="J15" s="8">
        <f t="shared" si="1"/>
        <v>0</v>
      </c>
      <c r="K15" s="8">
        <f t="shared" si="2"/>
        <v>0</v>
      </c>
      <c r="L15" s="69">
        <f t="shared" si="3"/>
        <v>0</v>
      </c>
      <c r="M15" s="69">
        <v>0</v>
      </c>
      <c r="N15" s="8"/>
      <c r="O15" s="70"/>
      <c r="P15">
        <v>7820.8</v>
      </c>
    </row>
    <row r="16" spans="1:18">
      <c r="A16" s="47">
        <v>13</v>
      </c>
      <c r="B16" s="221">
        <v>46066</v>
      </c>
      <c r="C16" s="68"/>
      <c r="D16" s="161"/>
      <c r="E16" s="259"/>
      <c r="F16" s="259"/>
      <c r="G16" s="8">
        <f t="shared" si="0"/>
        <v>0</v>
      </c>
      <c r="H16" s="66">
        <v>0</v>
      </c>
      <c r="I16" s="67">
        <v>0</v>
      </c>
      <c r="J16" s="8">
        <f t="shared" si="1"/>
        <v>0</v>
      </c>
      <c r="K16" s="8">
        <f t="shared" si="2"/>
        <v>0</v>
      </c>
      <c r="L16" s="69">
        <f t="shared" si="3"/>
        <v>0</v>
      </c>
      <c r="M16" s="69">
        <v>0</v>
      </c>
      <c r="N16" s="8"/>
      <c r="O16" s="70"/>
      <c r="P16">
        <v>16619.2</v>
      </c>
    </row>
    <row r="17" spans="1:16">
      <c r="A17" s="47">
        <v>14</v>
      </c>
      <c r="B17" s="221">
        <v>46067</v>
      </c>
      <c r="C17" s="68"/>
      <c r="D17" s="161"/>
      <c r="E17" s="259"/>
      <c r="F17" s="259"/>
      <c r="G17" s="8">
        <f t="shared" si="0"/>
        <v>0</v>
      </c>
      <c r="H17" s="66">
        <v>0</v>
      </c>
      <c r="I17" s="67">
        <v>0</v>
      </c>
      <c r="J17" s="8">
        <f t="shared" si="1"/>
        <v>0</v>
      </c>
      <c r="K17" s="8">
        <f t="shared" si="2"/>
        <v>0</v>
      </c>
      <c r="L17" s="69">
        <f t="shared" si="3"/>
        <v>0</v>
      </c>
      <c r="M17" s="69">
        <v>0</v>
      </c>
      <c r="N17" s="8"/>
      <c r="O17" s="70"/>
      <c r="P17">
        <f>SUM(P15:P16)</f>
        <v>24440</v>
      </c>
    </row>
    <row r="18" spans="1:16">
      <c r="A18" s="47">
        <v>15</v>
      </c>
      <c r="B18" s="221">
        <v>46068</v>
      </c>
      <c r="C18" s="68"/>
      <c r="D18" s="161"/>
      <c r="E18" s="341"/>
      <c r="F18" s="341"/>
      <c r="G18" s="184">
        <f t="shared" si="0"/>
        <v>0</v>
      </c>
      <c r="H18" s="66">
        <v>0</v>
      </c>
      <c r="I18" s="67">
        <v>0</v>
      </c>
      <c r="J18" s="184">
        <f t="shared" si="1"/>
        <v>0</v>
      </c>
      <c r="K18" s="184">
        <f t="shared" si="2"/>
        <v>0</v>
      </c>
      <c r="L18" s="342">
        <f t="shared" si="3"/>
        <v>0</v>
      </c>
      <c r="M18" s="342">
        <v>0</v>
      </c>
      <c r="N18" s="8"/>
      <c r="O18" s="70"/>
    </row>
    <row r="19" spans="1:16">
      <c r="A19" s="47">
        <v>16</v>
      </c>
      <c r="B19" s="221">
        <v>46069</v>
      </c>
      <c r="C19" s="68"/>
      <c r="D19" s="340"/>
      <c r="E19" s="259"/>
      <c r="F19" s="259"/>
      <c r="G19" s="8">
        <f t="shared" si="0"/>
        <v>0</v>
      </c>
      <c r="H19" s="66">
        <v>0</v>
      </c>
      <c r="I19" s="67">
        <v>0</v>
      </c>
      <c r="J19" s="8">
        <f t="shared" si="1"/>
        <v>0</v>
      </c>
      <c r="K19" s="8">
        <f t="shared" si="2"/>
        <v>0</v>
      </c>
      <c r="L19" s="69">
        <f t="shared" si="3"/>
        <v>0</v>
      </c>
      <c r="M19" s="69">
        <v>0</v>
      </c>
      <c r="N19" s="195"/>
      <c r="O19" s="70"/>
    </row>
    <row r="20" spans="1:16">
      <c r="A20" s="47">
        <v>17</v>
      </c>
      <c r="B20" s="221">
        <v>46070</v>
      </c>
      <c r="C20" s="68"/>
      <c r="D20" s="340"/>
      <c r="E20" s="259"/>
      <c r="F20" s="259"/>
      <c r="G20" s="8">
        <f t="shared" si="0"/>
        <v>0</v>
      </c>
      <c r="H20" s="67">
        <v>6.1</v>
      </c>
      <c r="I20" s="67">
        <v>109.61</v>
      </c>
      <c r="J20" s="8">
        <f t="shared" si="1"/>
        <v>668.62099999999998</v>
      </c>
      <c r="K20" s="8">
        <f t="shared" si="2"/>
        <v>668.62099999999998</v>
      </c>
      <c r="L20" s="69">
        <f t="shared" si="3"/>
        <v>668.62099999999998</v>
      </c>
      <c r="M20" s="69">
        <v>0</v>
      </c>
      <c r="N20" s="195"/>
      <c r="O20" s="70"/>
    </row>
    <row r="21" spans="1:16">
      <c r="A21" s="47">
        <v>18</v>
      </c>
      <c r="B21" s="221">
        <v>46071</v>
      </c>
      <c r="C21" s="68"/>
      <c r="D21" s="340"/>
      <c r="E21" s="17"/>
      <c r="F21" s="17"/>
      <c r="G21" s="8">
        <f t="shared" si="0"/>
        <v>0</v>
      </c>
      <c r="H21" s="66">
        <v>0</v>
      </c>
      <c r="I21" s="67">
        <v>0</v>
      </c>
      <c r="J21" s="8">
        <f t="shared" si="1"/>
        <v>0</v>
      </c>
      <c r="K21" s="8">
        <f t="shared" si="2"/>
        <v>0</v>
      </c>
      <c r="L21" s="69">
        <f t="shared" si="3"/>
        <v>0</v>
      </c>
      <c r="M21" s="69">
        <v>0</v>
      </c>
      <c r="N21" s="195"/>
      <c r="O21" s="70"/>
    </row>
    <row r="22" spans="1:16">
      <c r="A22" s="47">
        <v>19</v>
      </c>
      <c r="B22" s="221">
        <v>46072</v>
      </c>
      <c r="C22" s="68"/>
      <c r="D22" s="340"/>
      <c r="E22" s="17"/>
      <c r="F22" s="17"/>
      <c r="G22" s="8">
        <f t="shared" si="0"/>
        <v>0</v>
      </c>
      <c r="H22" s="66">
        <v>0</v>
      </c>
      <c r="I22" s="67">
        <v>0</v>
      </c>
      <c r="J22" s="8">
        <f t="shared" si="1"/>
        <v>0</v>
      </c>
      <c r="K22" s="8">
        <f t="shared" si="2"/>
        <v>0</v>
      </c>
      <c r="L22" s="69">
        <f t="shared" si="3"/>
        <v>0</v>
      </c>
      <c r="M22" s="69">
        <v>0</v>
      </c>
      <c r="N22" s="195"/>
      <c r="O22" s="70"/>
    </row>
    <row r="23" spans="1:16">
      <c r="A23" s="47">
        <v>20</v>
      </c>
      <c r="B23" s="221">
        <v>46073</v>
      </c>
      <c r="C23" s="68"/>
      <c r="D23" s="340"/>
      <c r="E23" s="17"/>
      <c r="F23" s="17"/>
      <c r="G23" s="8">
        <f t="shared" si="0"/>
        <v>0</v>
      </c>
      <c r="H23" s="66">
        <v>0</v>
      </c>
      <c r="I23" s="67">
        <v>0</v>
      </c>
      <c r="J23" s="8">
        <f t="shared" si="1"/>
        <v>0</v>
      </c>
      <c r="K23" s="8">
        <f t="shared" si="2"/>
        <v>0</v>
      </c>
      <c r="L23" s="69">
        <f t="shared" si="3"/>
        <v>0</v>
      </c>
      <c r="M23" s="69">
        <v>0</v>
      </c>
      <c r="N23" s="195"/>
      <c r="O23" s="70"/>
    </row>
    <row r="24" spans="1:16">
      <c r="A24" s="47">
        <v>21</v>
      </c>
      <c r="B24" s="221">
        <v>46074</v>
      </c>
      <c r="C24" s="68"/>
      <c r="D24" s="340"/>
      <c r="E24" s="17"/>
      <c r="F24" s="17"/>
      <c r="G24" s="8">
        <f t="shared" si="0"/>
        <v>0</v>
      </c>
      <c r="H24" s="66">
        <v>0</v>
      </c>
      <c r="I24" s="67">
        <v>0</v>
      </c>
      <c r="J24" s="8">
        <f t="shared" si="1"/>
        <v>0</v>
      </c>
      <c r="K24" s="8">
        <f t="shared" si="2"/>
        <v>0</v>
      </c>
      <c r="L24" s="69">
        <f t="shared" si="3"/>
        <v>0</v>
      </c>
      <c r="M24" s="69">
        <v>0</v>
      </c>
      <c r="N24" s="195"/>
      <c r="O24" s="70"/>
    </row>
    <row r="25" spans="1:16">
      <c r="A25" s="47">
        <v>22</v>
      </c>
      <c r="B25" s="221">
        <v>46075</v>
      </c>
      <c r="C25" s="68"/>
      <c r="D25" s="340"/>
      <c r="E25" s="17"/>
      <c r="F25" s="17"/>
      <c r="G25" s="8">
        <f t="shared" si="0"/>
        <v>0</v>
      </c>
      <c r="H25" s="66">
        <v>0</v>
      </c>
      <c r="I25" s="67">
        <v>0</v>
      </c>
      <c r="J25" s="8">
        <f t="shared" si="1"/>
        <v>0</v>
      </c>
      <c r="K25" s="8">
        <f t="shared" si="2"/>
        <v>0</v>
      </c>
      <c r="L25" s="69">
        <f t="shared" si="3"/>
        <v>0</v>
      </c>
      <c r="M25" s="69">
        <v>0</v>
      </c>
      <c r="N25" s="195"/>
      <c r="O25" s="70"/>
    </row>
    <row r="26" spans="1:16">
      <c r="A26" s="47">
        <v>23</v>
      </c>
      <c r="B26" s="221">
        <v>46076</v>
      </c>
      <c r="C26" s="68"/>
      <c r="D26" s="340"/>
      <c r="E26" s="17">
        <v>15.39</v>
      </c>
      <c r="F26" s="17">
        <v>97.43</v>
      </c>
      <c r="G26" s="8">
        <f t="shared" si="0"/>
        <v>1499.4477000000002</v>
      </c>
      <c r="H26" s="66">
        <v>6.16</v>
      </c>
      <c r="I26" s="67">
        <v>109.61</v>
      </c>
      <c r="J26" s="8">
        <f t="shared" si="1"/>
        <v>675.19759999999997</v>
      </c>
      <c r="K26" s="8">
        <f t="shared" si="2"/>
        <v>2174.6453000000001</v>
      </c>
      <c r="L26" s="69">
        <f t="shared" si="3"/>
        <v>2174.6453000000001</v>
      </c>
      <c r="M26" s="69">
        <v>0</v>
      </c>
      <c r="N26" s="195"/>
      <c r="O26" s="70"/>
    </row>
    <row r="27" spans="1:16">
      <c r="A27" s="47">
        <v>24</v>
      </c>
      <c r="B27" s="221">
        <v>46077</v>
      </c>
      <c r="C27" s="68"/>
      <c r="D27" s="340"/>
      <c r="E27" s="17"/>
      <c r="F27" s="17"/>
      <c r="G27" s="8">
        <f t="shared" si="0"/>
        <v>0</v>
      </c>
      <c r="H27" s="66">
        <v>0</v>
      </c>
      <c r="I27" s="67">
        <v>0</v>
      </c>
      <c r="J27" s="8">
        <f t="shared" si="1"/>
        <v>0</v>
      </c>
      <c r="K27" s="8">
        <f t="shared" si="2"/>
        <v>0</v>
      </c>
      <c r="L27" s="69">
        <f t="shared" si="3"/>
        <v>0</v>
      </c>
      <c r="M27" s="69">
        <v>0</v>
      </c>
      <c r="N27" s="195"/>
      <c r="O27" s="70"/>
    </row>
    <row r="28" spans="1:16">
      <c r="A28" s="223">
        <v>25</v>
      </c>
      <c r="B28" s="221">
        <v>46078</v>
      </c>
      <c r="C28" s="68"/>
      <c r="D28" s="340"/>
      <c r="E28" s="17"/>
      <c r="F28" s="17"/>
      <c r="G28" s="8">
        <f t="shared" si="0"/>
        <v>0</v>
      </c>
      <c r="H28" s="66">
        <v>0</v>
      </c>
      <c r="I28" s="67">
        <v>0</v>
      </c>
      <c r="J28" s="8">
        <f t="shared" si="1"/>
        <v>0</v>
      </c>
      <c r="K28" s="8">
        <f t="shared" si="2"/>
        <v>0</v>
      </c>
      <c r="L28" s="69">
        <f t="shared" si="3"/>
        <v>0</v>
      </c>
      <c r="M28" s="69">
        <v>0</v>
      </c>
      <c r="N28" s="195"/>
      <c r="O28" s="70"/>
    </row>
    <row r="29" spans="1:16">
      <c r="A29" s="223">
        <v>26</v>
      </c>
      <c r="B29" s="221">
        <v>46079</v>
      </c>
      <c r="C29" s="68"/>
      <c r="D29" s="161"/>
      <c r="E29" s="17"/>
      <c r="F29" s="17"/>
      <c r="G29" s="19">
        <f t="shared" si="0"/>
        <v>0</v>
      </c>
      <c r="H29" s="66">
        <v>0</v>
      </c>
      <c r="I29" s="67">
        <v>0</v>
      </c>
      <c r="J29" s="19">
        <f t="shared" si="1"/>
        <v>0</v>
      </c>
      <c r="K29" s="19">
        <f t="shared" si="2"/>
        <v>0</v>
      </c>
      <c r="L29" s="131">
        <f t="shared" si="3"/>
        <v>0</v>
      </c>
      <c r="M29" s="131">
        <v>0</v>
      </c>
      <c r="N29" s="8"/>
      <c r="O29" s="70"/>
    </row>
    <row r="30" spans="1:16">
      <c r="A30" s="223">
        <v>27</v>
      </c>
      <c r="B30" s="221">
        <v>46080</v>
      </c>
      <c r="C30" s="68"/>
      <c r="D30" s="161"/>
      <c r="E30" s="259"/>
      <c r="F30" s="259"/>
      <c r="G30" s="8">
        <f t="shared" si="0"/>
        <v>0</v>
      </c>
      <c r="H30" s="66">
        <v>0</v>
      </c>
      <c r="I30" s="67">
        <v>0</v>
      </c>
      <c r="J30" s="8">
        <f t="shared" si="1"/>
        <v>0</v>
      </c>
      <c r="K30" s="8">
        <f t="shared" si="2"/>
        <v>0</v>
      </c>
      <c r="L30" s="69">
        <f t="shared" si="3"/>
        <v>0</v>
      </c>
      <c r="M30" s="69">
        <v>0</v>
      </c>
      <c r="N30" s="8"/>
      <c r="O30" s="70"/>
    </row>
    <row r="31" spans="1:16">
      <c r="A31" s="223">
        <v>28</v>
      </c>
      <c r="B31" s="221">
        <v>46081</v>
      </c>
      <c r="C31" s="68"/>
      <c r="D31" s="161"/>
      <c r="E31" s="259"/>
      <c r="F31" s="259"/>
      <c r="G31" s="8">
        <f t="shared" si="0"/>
        <v>0</v>
      </c>
      <c r="H31" s="66">
        <v>0</v>
      </c>
      <c r="I31" s="67">
        <v>0</v>
      </c>
      <c r="J31" s="8">
        <f t="shared" si="1"/>
        <v>0</v>
      </c>
      <c r="K31" s="8">
        <f t="shared" si="2"/>
        <v>0</v>
      </c>
      <c r="L31" s="69">
        <f t="shared" si="3"/>
        <v>0</v>
      </c>
      <c r="M31" s="69">
        <v>0</v>
      </c>
      <c r="N31" s="8"/>
      <c r="O31" s="70"/>
    </row>
    <row r="32" spans="1:16">
      <c r="A32" s="224">
        <v>29</v>
      </c>
      <c r="B32" s="221"/>
      <c r="C32" s="68"/>
      <c r="D32" s="161"/>
      <c r="E32" s="259"/>
      <c r="F32" s="259"/>
      <c r="G32" s="8">
        <f t="shared" si="0"/>
        <v>0</v>
      </c>
      <c r="H32" s="66">
        <v>0</v>
      </c>
      <c r="I32" s="67">
        <v>0</v>
      </c>
      <c r="J32" s="8">
        <f t="shared" si="1"/>
        <v>0</v>
      </c>
      <c r="K32" s="8">
        <f t="shared" si="2"/>
        <v>0</v>
      </c>
      <c r="L32" s="69">
        <f t="shared" si="3"/>
        <v>0</v>
      </c>
      <c r="M32" s="69">
        <v>0</v>
      </c>
      <c r="N32" s="8"/>
      <c r="O32" s="70"/>
    </row>
    <row r="33" spans="1:15">
      <c r="A33" s="224">
        <v>30</v>
      </c>
      <c r="B33" s="221"/>
      <c r="C33" s="68"/>
      <c r="D33" s="161"/>
      <c r="E33" s="259"/>
      <c r="F33" s="259"/>
      <c r="G33" s="8">
        <f t="shared" si="0"/>
        <v>0</v>
      </c>
      <c r="H33" s="66">
        <v>0</v>
      </c>
      <c r="I33" s="67">
        <v>0</v>
      </c>
      <c r="J33" s="8">
        <f t="shared" si="1"/>
        <v>0</v>
      </c>
      <c r="K33" s="8">
        <f t="shared" si="2"/>
        <v>0</v>
      </c>
      <c r="L33" s="69">
        <f t="shared" si="3"/>
        <v>0</v>
      </c>
      <c r="M33" s="69">
        <v>0</v>
      </c>
      <c r="N33" s="8"/>
      <c r="O33" s="70"/>
    </row>
    <row r="34" spans="1:15">
      <c r="A34" s="224">
        <v>31</v>
      </c>
      <c r="B34" s="221"/>
      <c r="C34" s="68"/>
      <c r="D34" s="161"/>
      <c r="E34" s="259"/>
      <c r="F34" s="259"/>
      <c r="G34" s="8">
        <f t="shared" si="0"/>
        <v>0</v>
      </c>
      <c r="H34" s="66">
        <v>0</v>
      </c>
      <c r="I34" s="67">
        <v>0</v>
      </c>
      <c r="J34" s="8">
        <f t="shared" si="1"/>
        <v>0</v>
      </c>
      <c r="K34" s="8">
        <f t="shared" si="2"/>
        <v>0</v>
      </c>
      <c r="L34" s="69">
        <f t="shared" si="3"/>
        <v>0</v>
      </c>
      <c r="M34" s="69">
        <v>0</v>
      </c>
      <c r="N34" s="8"/>
      <c r="O34" s="70"/>
    </row>
    <row r="35" spans="1:15">
      <c r="A35" s="63"/>
      <c r="B35" s="63"/>
      <c r="C35" s="63"/>
      <c r="D35" s="63"/>
      <c r="E35" s="260">
        <f>SUM(E4:E34)</f>
        <v>215.39</v>
      </c>
      <c r="F35" s="260"/>
      <c r="G35" s="64">
        <f>SUM(G4:G34)</f>
        <v>21057.447700000001</v>
      </c>
      <c r="H35" s="64">
        <f>SUM(H4:H34)</f>
        <v>23.330000000000002</v>
      </c>
      <c r="I35" s="64"/>
      <c r="J35" s="64">
        <f>SUM(J4:J34)</f>
        <v>2557.2013000000002</v>
      </c>
      <c r="K35" s="64">
        <f>SUM(K4:K34)</f>
        <v>23614.649000000001</v>
      </c>
      <c r="L35" s="64">
        <f>SUM(L4:L34)</f>
        <v>23614.649000000001</v>
      </c>
      <c r="M35" s="64"/>
      <c r="N35" s="64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  <row r="37" spans="1:15">
      <c r="O37" s="70"/>
    </row>
    <row r="38" spans="1:15">
      <c r="O38" s="70"/>
    </row>
    <row r="39" spans="1:15">
      <c r="O39" s="70"/>
    </row>
    <row r="40" spans="1:15">
      <c r="O40" s="70"/>
    </row>
    <row r="41" spans="1:15">
      <c r="O41" s="70"/>
    </row>
    <row r="42" spans="1:15">
      <c r="A42" s="70"/>
      <c r="B42" s="60"/>
      <c r="C42" s="70"/>
      <c r="D42" s="70"/>
      <c r="E42" s="70"/>
      <c r="F42" s="70"/>
      <c r="G42" s="77"/>
      <c r="H42" s="70"/>
      <c r="I42" s="70"/>
      <c r="J42" s="60"/>
      <c r="K42" s="60"/>
      <c r="L42" s="60"/>
      <c r="M42" s="60"/>
      <c r="N42" s="70"/>
      <c r="O42" s="75"/>
    </row>
    <row r="43" spans="1:15">
      <c r="A43" s="70"/>
      <c r="B43" s="452"/>
      <c r="C43" s="452"/>
      <c r="D43" s="452"/>
      <c r="E43" s="452"/>
      <c r="F43" s="70"/>
      <c r="G43" s="70"/>
      <c r="H43" s="70"/>
      <c r="I43" s="452"/>
      <c r="J43" s="452"/>
      <c r="K43" s="452"/>
      <c r="L43" s="452"/>
      <c r="M43" s="452"/>
      <c r="N43" s="452"/>
      <c r="O43" s="75"/>
    </row>
    <row r="44" spans="1:15">
      <c r="A44" s="70"/>
      <c r="B44" s="60"/>
      <c r="C44" s="70"/>
      <c r="D44" s="70"/>
      <c r="E44" s="70"/>
      <c r="F44" s="70"/>
      <c r="G44" s="70"/>
      <c r="H44" s="70"/>
      <c r="I44" s="70"/>
      <c r="J44" s="60"/>
      <c r="K44" s="60"/>
      <c r="L44" s="60"/>
      <c r="M44" s="60"/>
      <c r="N44" s="70"/>
      <c r="O44" s="75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25" activePane="bottomLeft" state="frozen"/>
      <selection pane="bottomLeft" activeCell="M33" sqref="M33"/>
    </sheetView>
  </sheetViews>
  <sheetFormatPr defaultColWidth="12.28515625" defaultRowHeight="12.75"/>
  <cols>
    <col min="1" max="1" width="8.42578125" style="62" customWidth="1"/>
    <col min="2" max="3" width="12.28515625" style="62"/>
    <col min="4" max="4" width="13.5703125" style="62" customWidth="1"/>
    <col min="5" max="5" width="12.28515625" style="62"/>
    <col min="6" max="6" width="13.7109375" style="62" bestFit="1" customWidth="1"/>
    <col min="7" max="16384" width="12.28515625" style="62"/>
  </cols>
  <sheetData>
    <row r="1" spans="1:15" ht="15.75" customHeight="1">
      <c r="A1" s="436" t="s">
        <v>38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61"/>
    </row>
    <row r="2" spans="1:15" ht="15.75" customHeight="1">
      <c r="A2" s="88" t="s">
        <v>101</v>
      </c>
      <c r="B2" s="89" t="s">
        <v>155</v>
      </c>
      <c r="C2" s="89" t="s">
        <v>156</v>
      </c>
      <c r="D2" s="89" t="s">
        <v>157</v>
      </c>
      <c r="E2" s="89" t="s">
        <v>158</v>
      </c>
      <c r="F2" s="89" t="s">
        <v>159</v>
      </c>
      <c r="G2" s="89" t="s">
        <v>160</v>
      </c>
      <c r="H2" s="89" t="s">
        <v>161</v>
      </c>
      <c r="I2" s="89" t="s">
        <v>159</v>
      </c>
      <c r="J2" s="113" t="s">
        <v>160</v>
      </c>
      <c r="K2" s="115" t="s">
        <v>162</v>
      </c>
      <c r="L2" s="116" t="s">
        <v>163</v>
      </c>
      <c r="M2" s="117" t="s">
        <v>174</v>
      </c>
      <c r="N2" s="90" t="s">
        <v>165</v>
      </c>
      <c r="O2" s="33"/>
    </row>
    <row r="3" spans="1:15" ht="15.75" customHeight="1">
      <c r="A3" s="445" t="s">
        <v>166</v>
      </c>
      <c r="B3" s="446"/>
      <c r="C3" s="451"/>
      <c r="D3" s="451"/>
      <c r="E3" s="451"/>
      <c r="F3" s="451"/>
      <c r="G3" s="451"/>
      <c r="H3" s="451"/>
      <c r="I3" s="451"/>
      <c r="J3" s="455"/>
      <c r="K3" s="202">
        <v>14627.030999999755</v>
      </c>
      <c r="L3" s="205"/>
      <c r="M3" s="202">
        <v>14627.030999999755</v>
      </c>
      <c r="N3" s="205"/>
      <c r="O3" s="33">
        <v>207239.43099999998</v>
      </c>
    </row>
    <row r="4" spans="1:15" ht="15">
      <c r="A4" s="26">
        <v>1</v>
      </c>
      <c r="B4" s="27">
        <v>45689</v>
      </c>
      <c r="C4" s="108"/>
      <c r="D4" s="108"/>
      <c r="E4" s="37"/>
      <c r="F4" s="37">
        <v>0</v>
      </c>
      <c r="G4" s="37">
        <f>E4*F4</f>
        <v>0</v>
      </c>
      <c r="H4" s="201">
        <v>0</v>
      </c>
      <c r="I4" s="201">
        <v>0</v>
      </c>
      <c r="J4" s="37">
        <f>H4*I4</f>
        <v>0</v>
      </c>
      <c r="K4" s="37">
        <f>G4+J4</f>
        <v>0</v>
      </c>
      <c r="L4" s="205"/>
      <c r="M4" s="202">
        <f>M3+K4-L4</f>
        <v>14627.030999999755</v>
      </c>
      <c r="N4" s="37"/>
      <c r="O4" s="28"/>
    </row>
    <row r="5" spans="1:15" ht="15">
      <c r="A5" s="26">
        <v>2</v>
      </c>
      <c r="B5" s="27">
        <v>45690</v>
      </c>
      <c r="C5" s="108"/>
      <c r="D5" s="108"/>
      <c r="E5" s="37"/>
      <c r="F5" s="37">
        <v>0</v>
      </c>
      <c r="G5" s="37">
        <f t="shared" ref="G5:G33" si="0">E5*F5</f>
        <v>0</v>
      </c>
      <c r="H5" s="201">
        <v>0</v>
      </c>
      <c r="I5" s="201">
        <v>0</v>
      </c>
      <c r="J5" s="37">
        <f t="shared" ref="J5:J33" si="1">H5*I5</f>
        <v>0</v>
      </c>
      <c r="K5" s="37">
        <f t="shared" ref="K5:K33" si="2">G5+J5</f>
        <v>0</v>
      </c>
      <c r="L5" s="205">
        <v>14492</v>
      </c>
      <c r="M5" s="202">
        <f>M4+K5-L5</f>
        <v>135.03099999975529</v>
      </c>
      <c r="N5" s="37"/>
      <c r="O5" s="28"/>
    </row>
    <row r="6" spans="1:15" ht="15">
      <c r="A6" s="26">
        <v>3</v>
      </c>
      <c r="B6" s="27">
        <v>45691</v>
      </c>
      <c r="C6" s="108"/>
      <c r="D6" s="108"/>
      <c r="E6" s="37"/>
      <c r="F6" s="37">
        <v>0</v>
      </c>
      <c r="G6" s="37">
        <f t="shared" si="0"/>
        <v>0</v>
      </c>
      <c r="H6" s="201">
        <v>0</v>
      </c>
      <c r="I6" s="201">
        <v>0</v>
      </c>
      <c r="J6" s="37">
        <f t="shared" si="1"/>
        <v>0</v>
      </c>
      <c r="K6" s="37">
        <f t="shared" si="2"/>
        <v>0</v>
      </c>
      <c r="L6" s="205"/>
      <c r="M6" s="202">
        <f>M5+K6-L6</f>
        <v>135.03099999975529</v>
      </c>
      <c r="N6" s="37"/>
      <c r="O6" s="28"/>
    </row>
    <row r="7" spans="1:15" ht="15">
      <c r="A7" s="26">
        <v>4</v>
      </c>
      <c r="B7" s="27">
        <v>45692</v>
      </c>
      <c r="C7" s="108"/>
      <c r="D7" s="108"/>
      <c r="E7" s="37"/>
      <c r="F7" s="37">
        <v>0</v>
      </c>
      <c r="G7" s="37">
        <f t="shared" si="0"/>
        <v>0</v>
      </c>
      <c r="H7" s="201">
        <v>0</v>
      </c>
      <c r="I7" s="201">
        <v>0</v>
      </c>
      <c r="J7" s="37">
        <f t="shared" si="1"/>
        <v>0</v>
      </c>
      <c r="K7" s="37">
        <f t="shared" si="2"/>
        <v>0</v>
      </c>
      <c r="L7" s="205"/>
      <c r="M7" s="202">
        <f>M6+K7-L7</f>
        <v>135.03099999975529</v>
      </c>
      <c r="N7" s="37"/>
      <c r="O7" s="28"/>
    </row>
    <row r="8" spans="1:15" ht="15">
      <c r="A8" s="26">
        <v>5</v>
      </c>
      <c r="B8" s="27">
        <v>45693</v>
      </c>
      <c r="C8" s="108"/>
      <c r="D8" s="108"/>
      <c r="E8" s="37"/>
      <c r="F8" s="37">
        <v>0</v>
      </c>
      <c r="G8" s="37">
        <f t="shared" si="0"/>
        <v>0</v>
      </c>
      <c r="H8" s="201">
        <v>0</v>
      </c>
      <c r="I8" s="201">
        <v>0</v>
      </c>
      <c r="J8" s="37">
        <f t="shared" si="1"/>
        <v>0</v>
      </c>
      <c r="K8" s="37">
        <f t="shared" si="2"/>
        <v>0</v>
      </c>
      <c r="L8" s="205"/>
      <c r="M8" s="202">
        <f>M7+K8-L8</f>
        <v>135.03099999975529</v>
      </c>
      <c r="N8" s="37"/>
      <c r="O8" s="28"/>
    </row>
    <row r="9" spans="1:15" ht="15">
      <c r="A9" s="26">
        <v>6</v>
      </c>
      <c r="B9" s="27">
        <v>45694</v>
      </c>
      <c r="C9" s="108"/>
      <c r="D9" s="108"/>
      <c r="E9" s="37"/>
      <c r="F9" s="37">
        <v>0</v>
      </c>
      <c r="G9" s="37">
        <f t="shared" si="0"/>
        <v>0</v>
      </c>
      <c r="H9" s="201">
        <v>0</v>
      </c>
      <c r="I9" s="201">
        <v>0</v>
      </c>
      <c r="J9" s="37">
        <f t="shared" si="1"/>
        <v>0</v>
      </c>
      <c r="K9" s="37">
        <f t="shared" si="2"/>
        <v>0</v>
      </c>
      <c r="L9" s="205"/>
      <c r="M9" s="202">
        <f t="shared" ref="M9:M33" si="3">M8+K9-L9</f>
        <v>135.03099999975529</v>
      </c>
      <c r="N9" s="37"/>
      <c r="O9" s="28"/>
    </row>
    <row r="10" spans="1:15" ht="15">
      <c r="A10" s="26">
        <v>7</v>
      </c>
      <c r="B10" s="27">
        <v>45695</v>
      </c>
      <c r="C10" s="108"/>
      <c r="D10" s="108"/>
      <c r="E10" s="37"/>
      <c r="F10" s="37">
        <v>0</v>
      </c>
      <c r="G10" s="37">
        <f t="shared" ref="G10:G17" si="4">E10*F10</f>
        <v>0</v>
      </c>
      <c r="H10" s="201">
        <v>0</v>
      </c>
      <c r="I10" s="201">
        <v>0</v>
      </c>
      <c r="J10" s="37">
        <f t="shared" ref="J10:J17" si="5">H10*I10</f>
        <v>0</v>
      </c>
      <c r="K10" s="37">
        <f t="shared" ref="K10:K17" si="6">G10+J10</f>
        <v>0</v>
      </c>
      <c r="L10" s="205"/>
      <c r="M10" s="202">
        <f t="shared" si="3"/>
        <v>135.03099999975529</v>
      </c>
      <c r="N10" s="37"/>
      <c r="O10" s="28"/>
    </row>
    <row r="11" spans="1:15" ht="15">
      <c r="A11" s="26">
        <v>8</v>
      </c>
      <c r="B11" s="27">
        <v>45696</v>
      </c>
      <c r="C11" s="108"/>
      <c r="D11" s="108"/>
      <c r="E11" s="37">
        <v>2500</v>
      </c>
      <c r="F11" s="37">
        <v>92.15</v>
      </c>
      <c r="G11" s="37">
        <f t="shared" si="4"/>
        <v>230375</v>
      </c>
      <c r="H11" s="201">
        <v>100</v>
      </c>
      <c r="I11" s="201">
        <v>104.27</v>
      </c>
      <c r="J11" s="37">
        <f t="shared" si="5"/>
        <v>10427</v>
      </c>
      <c r="K11" s="37">
        <f t="shared" si="6"/>
        <v>240802</v>
      </c>
      <c r="L11" s="205"/>
      <c r="M11" s="202">
        <f t="shared" si="3"/>
        <v>240937.03099999976</v>
      </c>
      <c r="N11" s="37"/>
      <c r="O11" s="28"/>
    </row>
    <row r="12" spans="1:15" ht="15">
      <c r="A12" s="26">
        <v>9</v>
      </c>
      <c r="B12" s="27">
        <v>45697</v>
      </c>
      <c r="C12" s="108"/>
      <c r="D12" s="108"/>
      <c r="E12" s="37"/>
      <c r="F12" s="37">
        <v>0</v>
      </c>
      <c r="G12" s="37">
        <f t="shared" si="4"/>
        <v>0</v>
      </c>
      <c r="H12" s="201">
        <v>0</v>
      </c>
      <c r="I12" s="201">
        <v>0</v>
      </c>
      <c r="J12" s="37">
        <f t="shared" si="5"/>
        <v>0</v>
      </c>
      <c r="K12" s="37">
        <f t="shared" si="6"/>
        <v>0</v>
      </c>
      <c r="L12" s="205"/>
      <c r="M12" s="202">
        <f t="shared" si="3"/>
        <v>240937.03099999976</v>
      </c>
      <c r="N12" s="37"/>
      <c r="O12" s="28"/>
    </row>
    <row r="13" spans="1:15" ht="15">
      <c r="A13" s="26">
        <v>10</v>
      </c>
      <c r="B13" s="27">
        <v>45698</v>
      </c>
      <c r="C13" s="108"/>
      <c r="D13" s="108"/>
      <c r="E13" s="37"/>
      <c r="F13" s="37">
        <v>0</v>
      </c>
      <c r="G13" s="37">
        <f t="shared" si="4"/>
        <v>0</v>
      </c>
      <c r="H13" s="201">
        <v>0</v>
      </c>
      <c r="I13" s="201">
        <v>0</v>
      </c>
      <c r="J13" s="37">
        <f t="shared" si="5"/>
        <v>0</v>
      </c>
      <c r="K13" s="37">
        <f t="shared" si="6"/>
        <v>0</v>
      </c>
      <c r="L13" s="205"/>
      <c r="M13" s="202">
        <f t="shared" si="3"/>
        <v>240937.03099999976</v>
      </c>
      <c r="N13" s="37"/>
      <c r="O13" s="28"/>
    </row>
    <row r="14" spans="1:15" ht="15">
      <c r="A14" s="26">
        <v>11</v>
      </c>
      <c r="B14" s="27">
        <v>45699</v>
      </c>
      <c r="C14" s="108"/>
      <c r="D14" s="108"/>
      <c r="E14" s="37"/>
      <c r="F14" s="37">
        <v>0</v>
      </c>
      <c r="G14" s="37">
        <f t="shared" si="4"/>
        <v>0</v>
      </c>
      <c r="H14" s="201">
        <v>0</v>
      </c>
      <c r="I14" s="201">
        <v>0</v>
      </c>
      <c r="J14" s="37">
        <f t="shared" si="5"/>
        <v>0</v>
      </c>
      <c r="K14" s="37">
        <f t="shared" si="6"/>
        <v>0</v>
      </c>
      <c r="L14" s="205"/>
      <c r="M14" s="202">
        <f t="shared" si="3"/>
        <v>240937.03099999976</v>
      </c>
      <c r="N14" s="37"/>
      <c r="O14" s="28"/>
    </row>
    <row r="15" spans="1:15" ht="15">
      <c r="A15" s="26">
        <v>12</v>
      </c>
      <c r="B15" s="27">
        <v>45700</v>
      </c>
      <c r="C15" s="108"/>
      <c r="D15" s="108"/>
      <c r="E15" s="37"/>
      <c r="F15" s="37">
        <v>0</v>
      </c>
      <c r="G15" s="37">
        <f t="shared" si="4"/>
        <v>0</v>
      </c>
      <c r="H15" s="201">
        <v>0</v>
      </c>
      <c r="I15" s="201">
        <v>0</v>
      </c>
      <c r="J15" s="37">
        <f t="shared" si="5"/>
        <v>0</v>
      </c>
      <c r="K15" s="37">
        <f t="shared" si="6"/>
        <v>0</v>
      </c>
      <c r="L15" s="205"/>
      <c r="M15" s="202">
        <f t="shared" si="3"/>
        <v>240937.03099999976</v>
      </c>
      <c r="N15" s="37"/>
      <c r="O15" s="28"/>
    </row>
    <row r="16" spans="1:15" ht="15">
      <c r="A16" s="26">
        <v>13</v>
      </c>
      <c r="B16" s="27">
        <v>45701</v>
      </c>
      <c r="C16" s="108"/>
      <c r="D16" s="108"/>
      <c r="E16" s="37"/>
      <c r="F16" s="37">
        <v>0</v>
      </c>
      <c r="G16" s="37">
        <f t="shared" si="4"/>
        <v>0</v>
      </c>
      <c r="H16" s="201">
        <v>0</v>
      </c>
      <c r="I16" s="201">
        <v>0</v>
      </c>
      <c r="J16" s="37">
        <f t="shared" si="5"/>
        <v>0</v>
      </c>
      <c r="K16" s="37">
        <f t="shared" si="6"/>
        <v>0</v>
      </c>
      <c r="L16" s="205"/>
      <c r="M16" s="202">
        <f t="shared" si="3"/>
        <v>240937.03099999976</v>
      </c>
      <c r="N16" s="37"/>
      <c r="O16" s="28"/>
    </row>
    <row r="17" spans="1:15" ht="15">
      <c r="A17" s="26">
        <v>14</v>
      </c>
      <c r="B17" s="27">
        <v>45702</v>
      </c>
      <c r="C17" s="108"/>
      <c r="D17" s="108"/>
      <c r="E17" s="37"/>
      <c r="F17" s="37">
        <v>0</v>
      </c>
      <c r="G17" s="37">
        <f t="shared" si="4"/>
        <v>0</v>
      </c>
      <c r="H17" s="201">
        <v>0</v>
      </c>
      <c r="I17" s="201">
        <v>0</v>
      </c>
      <c r="J17" s="37">
        <f t="shared" si="5"/>
        <v>0</v>
      </c>
      <c r="K17" s="37">
        <f t="shared" si="6"/>
        <v>0</v>
      </c>
      <c r="L17" s="205"/>
      <c r="M17" s="202">
        <f t="shared" si="3"/>
        <v>240937.03099999976</v>
      </c>
      <c r="N17" s="37"/>
      <c r="O17" s="28"/>
    </row>
    <row r="18" spans="1:15" ht="15">
      <c r="A18" s="26">
        <v>15</v>
      </c>
      <c r="B18" s="27">
        <v>45703</v>
      </c>
      <c r="C18" s="108"/>
      <c r="D18" s="108"/>
      <c r="E18" s="37"/>
      <c r="F18" s="37">
        <v>0</v>
      </c>
      <c r="G18" s="37">
        <f t="shared" si="0"/>
        <v>0</v>
      </c>
      <c r="H18" s="201">
        <v>0</v>
      </c>
      <c r="I18" s="201">
        <v>0</v>
      </c>
      <c r="J18" s="37">
        <f t="shared" si="1"/>
        <v>0</v>
      </c>
      <c r="K18" s="37">
        <f t="shared" si="2"/>
        <v>0</v>
      </c>
      <c r="L18" s="205"/>
      <c r="M18" s="202">
        <f t="shared" si="3"/>
        <v>240937.03099999976</v>
      </c>
      <c r="N18" s="37"/>
      <c r="O18" s="28"/>
    </row>
    <row r="19" spans="1:15" ht="15">
      <c r="A19" s="26">
        <v>16</v>
      </c>
      <c r="B19" s="27">
        <v>45704</v>
      </c>
      <c r="C19" s="108"/>
      <c r="D19" s="108"/>
      <c r="E19" s="37"/>
      <c r="F19" s="37">
        <v>0</v>
      </c>
      <c r="G19" s="37">
        <f t="shared" si="0"/>
        <v>0</v>
      </c>
      <c r="H19" s="201">
        <v>0</v>
      </c>
      <c r="I19" s="201">
        <v>0</v>
      </c>
      <c r="J19" s="37">
        <f t="shared" si="1"/>
        <v>0</v>
      </c>
      <c r="K19" s="37">
        <f t="shared" si="2"/>
        <v>0</v>
      </c>
      <c r="L19" s="205"/>
      <c r="M19" s="202">
        <f t="shared" si="3"/>
        <v>240937.03099999976</v>
      </c>
      <c r="N19" s="37"/>
      <c r="O19" s="28"/>
    </row>
    <row r="20" spans="1:15" ht="15">
      <c r="A20" s="26">
        <v>17</v>
      </c>
      <c r="B20" s="27">
        <v>45705</v>
      </c>
      <c r="C20" s="108"/>
      <c r="D20" s="108"/>
      <c r="E20" s="37"/>
      <c r="F20" s="37">
        <v>0</v>
      </c>
      <c r="G20" s="37">
        <f t="shared" si="0"/>
        <v>0</v>
      </c>
      <c r="H20" s="201">
        <v>0</v>
      </c>
      <c r="I20" s="201">
        <v>0</v>
      </c>
      <c r="J20" s="37">
        <f t="shared" si="1"/>
        <v>0</v>
      </c>
      <c r="K20" s="37">
        <f t="shared" si="2"/>
        <v>0</v>
      </c>
      <c r="L20" s="205"/>
      <c r="M20" s="202">
        <f t="shared" si="3"/>
        <v>240937.03099999976</v>
      </c>
      <c r="N20" s="37"/>
      <c r="O20" s="28"/>
    </row>
    <row r="21" spans="1:15" ht="15">
      <c r="A21" s="26">
        <v>18</v>
      </c>
      <c r="B21" s="27">
        <v>45706</v>
      </c>
      <c r="C21" s="108"/>
      <c r="D21" s="108"/>
      <c r="E21" s="37"/>
      <c r="F21" s="37">
        <v>0</v>
      </c>
      <c r="G21" s="37">
        <f t="shared" si="0"/>
        <v>0</v>
      </c>
      <c r="H21" s="201">
        <v>0</v>
      </c>
      <c r="I21" s="201">
        <v>0</v>
      </c>
      <c r="J21" s="37">
        <f t="shared" si="1"/>
        <v>0</v>
      </c>
      <c r="K21" s="37">
        <f t="shared" si="2"/>
        <v>0</v>
      </c>
      <c r="L21" s="205"/>
      <c r="M21" s="202">
        <f t="shared" si="3"/>
        <v>240937.03099999976</v>
      </c>
      <c r="N21" s="37"/>
      <c r="O21" s="28"/>
    </row>
    <row r="22" spans="1:15" ht="15">
      <c r="A22" s="26">
        <v>19</v>
      </c>
      <c r="B22" s="27">
        <v>45707</v>
      </c>
      <c r="C22" s="108"/>
      <c r="D22" s="108"/>
      <c r="E22" s="37"/>
      <c r="F22" s="37">
        <v>0</v>
      </c>
      <c r="G22" s="37"/>
      <c r="H22" s="201">
        <v>0</v>
      </c>
      <c r="I22" s="201">
        <v>0</v>
      </c>
      <c r="J22" s="37">
        <f t="shared" si="1"/>
        <v>0</v>
      </c>
      <c r="K22" s="37">
        <f t="shared" si="2"/>
        <v>0</v>
      </c>
      <c r="L22" s="205"/>
      <c r="M22" s="202">
        <f t="shared" si="3"/>
        <v>240937.03099999976</v>
      </c>
      <c r="N22" s="37"/>
      <c r="O22" s="28"/>
    </row>
    <row r="23" spans="1:15" ht="15">
      <c r="A23" s="26">
        <v>20</v>
      </c>
      <c r="B23" s="27">
        <v>45708</v>
      </c>
      <c r="C23" s="108"/>
      <c r="D23" s="108"/>
      <c r="E23" s="37"/>
      <c r="F23" s="37">
        <v>0</v>
      </c>
      <c r="G23" s="37"/>
      <c r="H23" s="201"/>
      <c r="I23" s="201"/>
      <c r="J23" s="37">
        <f t="shared" ref="J23:J32" si="7">H23*I23</f>
        <v>0</v>
      </c>
      <c r="K23" s="37">
        <f t="shared" ref="K23:K32" si="8">G23+J23</f>
        <v>0</v>
      </c>
      <c r="L23" s="205"/>
      <c r="M23" s="202">
        <f t="shared" si="3"/>
        <v>240937.03099999976</v>
      </c>
      <c r="N23" s="37"/>
      <c r="O23" s="28"/>
    </row>
    <row r="24" spans="1:15" ht="15">
      <c r="A24" s="26">
        <v>21</v>
      </c>
      <c r="B24" s="27">
        <v>45709</v>
      </c>
      <c r="C24" s="108"/>
      <c r="D24" s="108"/>
      <c r="E24" s="37"/>
      <c r="F24" s="37">
        <v>0</v>
      </c>
      <c r="G24" s="37"/>
      <c r="H24" s="201"/>
      <c r="I24" s="201"/>
      <c r="J24" s="37">
        <f t="shared" si="7"/>
        <v>0</v>
      </c>
      <c r="K24" s="37">
        <f t="shared" si="8"/>
        <v>0</v>
      </c>
      <c r="L24" s="205"/>
      <c r="M24" s="202">
        <f t="shared" si="3"/>
        <v>240937.03099999976</v>
      </c>
      <c r="N24" s="37"/>
      <c r="O24" s="28"/>
    </row>
    <row r="25" spans="1:15" ht="15">
      <c r="A25" s="26">
        <v>22</v>
      </c>
      <c r="B25" s="27">
        <v>45710</v>
      </c>
      <c r="C25" s="108"/>
      <c r="D25" s="108"/>
      <c r="E25" s="37"/>
      <c r="F25" s="37">
        <v>0</v>
      </c>
      <c r="G25" s="37"/>
      <c r="H25" s="201"/>
      <c r="I25" s="201"/>
      <c r="J25" s="37">
        <f t="shared" si="7"/>
        <v>0</v>
      </c>
      <c r="K25" s="37">
        <f t="shared" si="8"/>
        <v>0</v>
      </c>
      <c r="L25" s="205"/>
      <c r="M25" s="202">
        <f t="shared" si="3"/>
        <v>240937.03099999976</v>
      </c>
      <c r="N25" s="37"/>
      <c r="O25" s="28"/>
    </row>
    <row r="26" spans="1:15" ht="15">
      <c r="A26" s="26">
        <v>23</v>
      </c>
      <c r="B26" s="27">
        <v>45711</v>
      </c>
      <c r="C26" s="108"/>
      <c r="D26" s="108"/>
      <c r="E26" s="37"/>
      <c r="F26" s="37">
        <v>0</v>
      </c>
      <c r="G26" s="37"/>
      <c r="H26" s="201"/>
      <c r="I26" s="201"/>
      <c r="J26" s="37">
        <f t="shared" si="7"/>
        <v>0</v>
      </c>
      <c r="K26" s="37">
        <f t="shared" si="8"/>
        <v>0</v>
      </c>
      <c r="L26" s="205"/>
      <c r="M26" s="202">
        <f t="shared" si="3"/>
        <v>240937.03099999976</v>
      </c>
      <c r="N26" s="37"/>
      <c r="O26" s="28"/>
    </row>
    <row r="27" spans="1:15" ht="15">
      <c r="A27" s="26">
        <v>24</v>
      </c>
      <c r="B27" s="27">
        <v>45712</v>
      </c>
      <c r="C27" s="108"/>
      <c r="D27" s="108"/>
      <c r="E27" s="37"/>
      <c r="F27" s="37">
        <v>0</v>
      </c>
      <c r="G27" s="37"/>
      <c r="H27" s="201"/>
      <c r="I27" s="201"/>
      <c r="J27" s="37">
        <f t="shared" si="7"/>
        <v>0</v>
      </c>
      <c r="K27" s="37">
        <f t="shared" si="8"/>
        <v>0</v>
      </c>
      <c r="L27" s="205"/>
      <c r="M27" s="202">
        <f t="shared" si="3"/>
        <v>240937.03099999976</v>
      </c>
      <c r="N27" s="37"/>
      <c r="O27" s="28"/>
    </row>
    <row r="28" spans="1:15" ht="15">
      <c r="A28" s="26">
        <v>25</v>
      </c>
      <c r="B28" s="27">
        <v>45713</v>
      </c>
      <c r="C28" s="108"/>
      <c r="D28" s="108"/>
      <c r="E28" s="37"/>
      <c r="F28" s="37">
        <v>0</v>
      </c>
      <c r="G28" s="37"/>
      <c r="H28" s="201"/>
      <c r="I28" s="201"/>
      <c r="J28" s="37">
        <f t="shared" si="7"/>
        <v>0</v>
      </c>
      <c r="K28" s="37">
        <f t="shared" si="8"/>
        <v>0</v>
      </c>
      <c r="L28" s="205"/>
      <c r="M28" s="202">
        <f>M27+K28-L28</f>
        <v>240937.03099999976</v>
      </c>
      <c r="N28" s="37"/>
      <c r="O28" s="28"/>
    </row>
    <row r="29" spans="1:15" ht="15">
      <c r="A29" s="26">
        <v>26</v>
      </c>
      <c r="B29" s="27">
        <v>45714</v>
      </c>
      <c r="C29" s="108"/>
      <c r="D29" s="108"/>
      <c r="E29" s="37"/>
      <c r="F29" s="37">
        <v>0</v>
      </c>
      <c r="G29" s="37"/>
      <c r="H29" s="201"/>
      <c r="I29" s="201"/>
      <c r="J29" s="37">
        <f t="shared" si="7"/>
        <v>0</v>
      </c>
      <c r="K29" s="37">
        <f t="shared" si="8"/>
        <v>0</v>
      </c>
      <c r="L29" s="205"/>
      <c r="M29" s="202">
        <f t="shared" si="3"/>
        <v>240937.03099999976</v>
      </c>
      <c r="N29" s="37"/>
      <c r="O29" s="28"/>
    </row>
    <row r="30" spans="1:15" ht="15">
      <c r="A30" s="26">
        <v>27</v>
      </c>
      <c r="B30" s="27">
        <v>45715</v>
      </c>
      <c r="C30" s="108"/>
      <c r="D30" s="108"/>
      <c r="E30" s="37"/>
      <c r="F30" s="37">
        <v>0</v>
      </c>
      <c r="G30" s="37"/>
      <c r="H30" s="201"/>
      <c r="I30" s="201"/>
      <c r="J30" s="37">
        <f t="shared" si="7"/>
        <v>0</v>
      </c>
      <c r="K30" s="37">
        <f t="shared" si="8"/>
        <v>0</v>
      </c>
      <c r="L30" s="205"/>
      <c r="M30" s="202">
        <f t="shared" si="3"/>
        <v>240937.03099999976</v>
      </c>
      <c r="N30" s="37"/>
      <c r="O30" s="28"/>
    </row>
    <row r="31" spans="1:15" ht="15">
      <c r="A31" s="26">
        <v>28</v>
      </c>
      <c r="B31" s="27">
        <v>45716</v>
      </c>
      <c r="C31" s="108"/>
      <c r="D31" s="108"/>
      <c r="E31" s="37"/>
      <c r="F31" s="37">
        <v>0</v>
      </c>
      <c r="G31" s="37"/>
      <c r="H31" s="201"/>
      <c r="I31" s="201"/>
      <c r="J31" s="37">
        <f t="shared" si="7"/>
        <v>0</v>
      </c>
      <c r="K31" s="37">
        <f t="shared" si="8"/>
        <v>0</v>
      </c>
      <c r="L31" s="205"/>
      <c r="M31" s="202">
        <f t="shared" si="3"/>
        <v>240937.03099999976</v>
      </c>
      <c r="N31" s="37"/>
      <c r="O31" s="28"/>
    </row>
    <row r="32" spans="1:15" ht="15">
      <c r="A32" s="26">
        <v>29</v>
      </c>
      <c r="B32" s="27"/>
      <c r="C32" s="108"/>
      <c r="D32" s="108"/>
      <c r="E32" s="37"/>
      <c r="F32" s="37">
        <v>0</v>
      </c>
      <c r="G32" s="37">
        <f t="shared" ref="G32" si="9">E32*F32</f>
        <v>0</v>
      </c>
      <c r="H32" s="201">
        <v>0</v>
      </c>
      <c r="I32" s="201">
        <v>0</v>
      </c>
      <c r="J32" s="37">
        <f t="shared" si="7"/>
        <v>0</v>
      </c>
      <c r="K32" s="37">
        <f t="shared" si="8"/>
        <v>0</v>
      </c>
      <c r="L32" s="205"/>
      <c r="M32" s="202">
        <f t="shared" si="3"/>
        <v>240937.03099999976</v>
      </c>
      <c r="N32" s="218"/>
      <c r="O32" s="28"/>
    </row>
    <row r="33" spans="1:15" ht="15">
      <c r="A33" s="26">
        <v>30</v>
      </c>
      <c r="B33" s="27"/>
      <c r="C33" s="108"/>
      <c r="D33" s="108"/>
      <c r="E33" s="37"/>
      <c r="F33" s="37">
        <v>0</v>
      </c>
      <c r="G33" s="37">
        <f t="shared" si="0"/>
        <v>0</v>
      </c>
      <c r="H33" s="201">
        <v>0</v>
      </c>
      <c r="I33" s="201">
        <v>0</v>
      </c>
      <c r="J33" s="37">
        <f t="shared" si="1"/>
        <v>0</v>
      </c>
      <c r="K33" s="37">
        <f t="shared" si="2"/>
        <v>0</v>
      </c>
      <c r="L33" s="205"/>
      <c r="M33" s="202">
        <f t="shared" si="3"/>
        <v>240937.03099999976</v>
      </c>
      <c r="N33" s="218"/>
      <c r="O33" s="28"/>
    </row>
    <row r="34" spans="1:15" ht="15">
      <c r="A34" s="26">
        <v>31</v>
      </c>
      <c r="B34" s="27"/>
      <c r="C34" s="108"/>
      <c r="D34" s="108"/>
      <c r="E34" s="37"/>
      <c r="F34" s="37">
        <v>0</v>
      </c>
      <c r="G34" s="37">
        <f t="shared" ref="G34" si="10">E34*F34</f>
        <v>0</v>
      </c>
      <c r="H34" s="201"/>
      <c r="I34" s="201"/>
      <c r="J34" s="37">
        <f t="shared" ref="J34" si="11">H34*I34</f>
        <v>0</v>
      </c>
      <c r="K34" s="37">
        <f t="shared" ref="K34" si="12">G34+J34</f>
        <v>0</v>
      </c>
      <c r="L34" s="205"/>
      <c r="M34" s="218"/>
      <c r="N34" s="218"/>
      <c r="O34" s="28"/>
    </row>
    <row r="35" spans="1:15">
      <c r="A35" s="43"/>
      <c r="B35" s="43"/>
      <c r="C35" s="206"/>
      <c r="D35" s="206"/>
      <c r="E35" s="207">
        <f>SUM(E4:E34)</f>
        <v>2500</v>
      </c>
      <c r="F35" s="207"/>
      <c r="G35" s="207">
        <f>SUM(G4:G34)</f>
        <v>230375</v>
      </c>
      <c r="H35" s="207">
        <f>SUM(H4:H34)</f>
        <v>100</v>
      </c>
      <c r="I35" s="207"/>
      <c r="J35" s="207">
        <f>SUM(J4:J34)</f>
        <v>10427</v>
      </c>
      <c r="K35" s="207">
        <f>SUM(K4:K34)</f>
        <v>240802</v>
      </c>
      <c r="L35" s="207">
        <f>SUM(L4:L31)</f>
        <v>14492</v>
      </c>
      <c r="M35" s="207"/>
      <c r="N35" s="207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54"/>
      <c r="C38" s="454"/>
      <c r="D38" s="454"/>
      <c r="E38" s="454"/>
      <c r="F38" s="28"/>
      <c r="G38" s="28"/>
      <c r="H38" s="28"/>
      <c r="I38" s="454"/>
      <c r="J38" s="454"/>
      <c r="K38" s="454"/>
      <c r="L38" s="454"/>
      <c r="M38" s="454"/>
      <c r="N38" s="454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8"/>
  <sheetViews>
    <sheetView topLeftCell="A12" workbookViewId="0">
      <selection activeCell="T30" sqref="T30"/>
    </sheetView>
  </sheetViews>
  <sheetFormatPr defaultRowHeight="15"/>
  <cols>
    <col min="5" max="5" width="12.5703125" bestFit="1" customWidth="1"/>
    <col min="7" max="7" width="11.85546875" bestFit="1" customWidth="1"/>
    <col min="10" max="10" width="10.85546875" bestFit="1" customWidth="1"/>
    <col min="11" max="13" width="11.85546875" bestFit="1" customWidth="1"/>
  </cols>
  <sheetData>
    <row r="1" spans="1:34">
      <c r="A1" s="456" t="s">
        <v>215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ht="25.5">
      <c r="A2" s="88" t="s">
        <v>101</v>
      </c>
      <c r="B2" s="89" t="s">
        <v>155</v>
      </c>
      <c r="C2" s="89" t="s">
        <v>156</v>
      </c>
      <c r="D2" s="89" t="s">
        <v>157</v>
      </c>
      <c r="E2" s="89" t="s">
        <v>158</v>
      </c>
      <c r="F2" s="89" t="s">
        <v>159</v>
      </c>
      <c r="G2" s="89" t="s">
        <v>160</v>
      </c>
      <c r="H2" s="89" t="s">
        <v>161</v>
      </c>
      <c r="I2" s="89" t="s">
        <v>159</v>
      </c>
      <c r="J2" s="113" t="s">
        <v>160</v>
      </c>
      <c r="K2" s="89" t="s">
        <v>162</v>
      </c>
      <c r="L2" s="113" t="s">
        <v>163</v>
      </c>
      <c r="M2" s="112" t="s">
        <v>174</v>
      </c>
      <c r="N2" s="90" t="s">
        <v>165</v>
      </c>
      <c r="O2" s="33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</row>
    <row r="3" spans="1:34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57"/>
      <c r="K3" s="29">
        <v>0</v>
      </c>
      <c r="L3" s="47"/>
      <c r="M3" s="114">
        <v>478336.85290299996</v>
      </c>
      <c r="N3" s="47"/>
      <c r="O3" s="33">
        <v>99992.614513800188</v>
      </c>
      <c r="P3" s="50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>
      <c r="A4" s="26">
        <v>1</v>
      </c>
      <c r="B4" s="27">
        <v>46054</v>
      </c>
      <c r="C4" s="48" t="s">
        <v>182</v>
      </c>
      <c r="D4" s="49" t="s">
        <v>182</v>
      </c>
      <c r="E4" s="48"/>
      <c r="F4" s="48"/>
      <c r="G4" s="47">
        <f t="shared" ref="G4" si="0">E4*F4</f>
        <v>0</v>
      </c>
      <c r="H4" s="48"/>
      <c r="I4" s="48"/>
      <c r="J4" s="50">
        <f t="shared" ref="J4" si="1">H4*I4</f>
        <v>0</v>
      </c>
      <c r="K4" s="47">
        <f t="shared" ref="K4" si="2">G4+J4</f>
        <v>0</v>
      </c>
      <c r="L4" s="109"/>
      <c r="M4" s="50">
        <f>M3+K4-L4</f>
        <v>478336.85290299996</v>
      </c>
      <c r="N4" s="105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>
      <c r="A5" s="26">
        <v>2</v>
      </c>
      <c r="B5" s="27">
        <v>46055</v>
      </c>
      <c r="C5" s="48" t="s">
        <v>182</v>
      </c>
      <c r="D5" s="49" t="s">
        <v>182</v>
      </c>
      <c r="E5" s="48"/>
      <c r="F5" s="48"/>
      <c r="G5" s="47">
        <f t="shared" ref="G5:G33" si="3">E5*F5</f>
        <v>0</v>
      </c>
      <c r="H5" s="48"/>
      <c r="I5" s="48"/>
      <c r="J5" s="50">
        <f t="shared" ref="J5:J33" si="4">H5*I5</f>
        <v>0</v>
      </c>
      <c r="K5" s="47">
        <f t="shared" ref="K5:K33" si="5">G5+J5</f>
        <v>0</v>
      </c>
      <c r="L5" s="109">
        <v>478337</v>
      </c>
      <c r="M5" s="50">
        <f t="shared" ref="M5:M35" si="6">M4+K5-L5</f>
        <v>-0.14709700003731996</v>
      </c>
      <c r="N5" s="105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>
      <c r="A6" s="26">
        <v>3</v>
      </c>
      <c r="B6" s="27">
        <v>46056</v>
      </c>
      <c r="C6" s="48" t="s">
        <v>182</v>
      </c>
      <c r="D6" s="49" t="s">
        <v>182</v>
      </c>
      <c r="E6" s="48"/>
      <c r="F6" s="48"/>
      <c r="G6" s="47">
        <f t="shared" si="3"/>
        <v>0</v>
      </c>
      <c r="H6" s="48"/>
      <c r="I6" s="48"/>
      <c r="J6" s="50">
        <f t="shared" si="4"/>
        <v>0</v>
      </c>
      <c r="K6" s="47">
        <f t="shared" si="5"/>
        <v>0</v>
      </c>
      <c r="L6" s="109"/>
      <c r="M6" s="50">
        <f t="shared" si="6"/>
        <v>-0.14709700003731996</v>
      </c>
      <c r="N6" s="111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7" spans="1:34">
      <c r="A7" s="26">
        <v>4</v>
      </c>
      <c r="B7" s="27">
        <v>46057</v>
      </c>
      <c r="C7" s="48" t="s">
        <v>182</v>
      </c>
      <c r="D7" s="49" t="s">
        <v>182</v>
      </c>
      <c r="E7" s="48">
        <v>2000</v>
      </c>
      <c r="F7" s="48">
        <v>91.33</v>
      </c>
      <c r="G7" s="47">
        <f t="shared" si="3"/>
        <v>182660</v>
      </c>
      <c r="H7" s="48">
        <v>105</v>
      </c>
      <c r="I7" s="48">
        <v>103.27</v>
      </c>
      <c r="J7" s="50">
        <f t="shared" si="4"/>
        <v>10843.35</v>
      </c>
      <c r="K7" s="47">
        <f t="shared" si="5"/>
        <v>193503.35</v>
      </c>
      <c r="L7" s="109"/>
      <c r="M7" s="50">
        <f t="shared" si="6"/>
        <v>193503.20290299997</v>
      </c>
      <c r="N7" s="111"/>
      <c r="O7" s="46">
        <v>1</v>
      </c>
      <c r="P7" s="46" t="s">
        <v>216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 spans="1:34">
      <c r="A8" s="26">
        <v>5</v>
      </c>
      <c r="B8" s="27">
        <v>46058</v>
      </c>
      <c r="C8" s="48" t="s">
        <v>182</v>
      </c>
      <c r="D8" s="49" t="s">
        <v>182</v>
      </c>
      <c r="E8" s="48"/>
      <c r="F8" s="48"/>
      <c r="G8" s="47">
        <f t="shared" si="3"/>
        <v>0</v>
      </c>
      <c r="H8" s="48"/>
      <c r="I8" s="48"/>
      <c r="J8" s="50">
        <f t="shared" si="4"/>
        <v>0</v>
      </c>
      <c r="K8" s="47">
        <f t="shared" si="5"/>
        <v>0</v>
      </c>
      <c r="L8" s="109"/>
      <c r="M8" s="50">
        <f t="shared" si="6"/>
        <v>193503.20290299997</v>
      </c>
      <c r="N8" s="105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 spans="1:34">
      <c r="A9" s="26">
        <v>6</v>
      </c>
      <c r="B9" s="27">
        <v>46059</v>
      </c>
      <c r="C9" s="48" t="s">
        <v>182</v>
      </c>
      <c r="D9" s="49" t="s">
        <v>182</v>
      </c>
      <c r="E9" s="48"/>
      <c r="F9" s="48"/>
      <c r="G9" s="47">
        <f t="shared" si="3"/>
        <v>0</v>
      </c>
      <c r="H9" s="48"/>
      <c r="I9" s="48"/>
      <c r="J9" s="50">
        <f t="shared" si="4"/>
        <v>0</v>
      </c>
      <c r="K9" s="47">
        <f t="shared" si="5"/>
        <v>0</v>
      </c>
      <c r="L9" s="109"/>
      <c r="M9" s="50">
        <f t="shared" si="6"/>
        <v>193503.20290299997</v>
      </c>
      <c r="N9" s="111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>
      <c r="A10" s="26">
        <v>7</v>
      </c>
      <c r="B10" s="27">
        <v>46060</v>
      </c>
      <c r="C10" s="48" t="s">
        <v>182</v>
      </c>
      <c r="D10" s="49" t="s">
        <v>182</v>
      </c>
      <c r="E10" s="48"/>
      <c r="F10" s="48"/>
      <c r="G10" s="47">
        <f t="shared" si="3"/>
        <v>0</v>
      </c>
      <c r="H10" s="48"/>
      <c r="I10" s="48"/>
      <c r="J10" s="50">
        <f t="shared" si="4"/>
        <v>0</v>
      </c>
      <c r="K10" s="47">
        <f t="shared" si="5"/>
        <v>0</v>
      </c>
      <c r="L10" s="109"/>
      <c r="M10" s="50">
        <f t="shared" si="6"/>
        <v>193503.20290299997</v>
      </c>
      <c r="N10" s="105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 spans="1:34">
      <c r="A11" s="26">
        <v>8</v>
      </c>
      <c r="B11" s="27">
        <v>46061</v>
      </c>
      <c r="C11" s="48" t="s">
        <v>182</v>
      </c>
      <c r="D11" s="49" t="s">
        <v>182</v>
      </c>
      <c r="E11" s="48"/>
      <c r="F11" s="48"/>
      <c r="G11" s="47">
        <f t="shared" si="3"/>
        <v>0</v>
      </c>
      <c r="H11" s="48"/>
      <c r="I11" s="48"/>
      <c r="J11" s="50">
        <f t="shared" si="4"/>
        <v>0</v>
      </c>
      <c r="K11" s="47">
        <f t="shared" si="5"/>
        <v>0</v>
      </c>
      <c r="L11" s="109"/>
      <c r="M11" s="50">
        <f t="shared" si="6"/>
        <v>193503.20290299997</v>
      </c>
      <c r="N11" s="110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</row>
    <row r="12" spans="1:34">
      <c r="A12" s="26">
        <v>9</v>
      </c>
      <c r="B12" s="27">
        <v>46062</v>
      </c>
      <c r="C12" s="48" t="s">
        <v>182</v>
      </c>
      <c r="D12" s="49" t="s">
        <v>182</v>
      </c>
      <c r="E12" s="48">
        <v>2000</v>
      </c>
      <c r="F12" s="48">
        <v>91.33</v>
      </c>
      <c r="G12" s="47">
        <f t="shared" si="3"/>
        <v>182660</v>
      </c>
      <c r="H12" s="48">
        <v>35</v>
      </c>
      <c r="I12" s="48">
        <v>103.27</v>
      </c>
      <c r="J12" s="50">
        <f t="shared" si="4"/>
        <v>3614.45</v>
      </c>
      <c r="K12" s="47">
        <f t="shared" si="5"/>
        <v>186274.45</v>
      </c>
      <c r="L12" s="109"/>
      <c r="M12" s="50">
        <f t="shared" si="6"/>
        <v>379777.65290300001</v>
      </c>
      <c r="N12" s="105"/>
      <c r="O12" s="46">
        <v>2</v>
      </c>
      <c r="P12" s="46" t="s">
        <v>216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 spans="1:34">
      <c r="A13" s="26">
        <v>10</v>
      </c>
      <c r="B13" s="27">
        <v>46063</v>
      </c>
      <c r="C13" s="48" t="s">
        <v>182</v>
      </c>
      <c r="D13" s="49" t="s">
        <v>182</v>
      </c>
      <c r="E13" s="48"/>
      <c r="F13" s="48"/>
      <c r="G13" s="47">
        <f t="shared" si="3"/>
        <v>0</v>
      </c>
      <c r="H13" s="48"/>
      <c r="I13" s="48"/>
      <c r="J13" s="50">
        <f t="shared" si="4"/>
        <v>0</v>
      </c>
      <c r="K13" s="47">
        <f t="shared" si="5"/>
        <v>0</v>
      </c>
      <c r="L13" s="109"/>
      <c r="M13" s="50">
        <f t="shared" si="6"/>
        <v>379777.65290300001</v>
      </c>
      <c r="N13" s="105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>
      <c r="A14" s="26">
        <v>11</v>
      </c>
      <c r="B14" s="27">
        <v>46064</v>
      </c>
      <c r="C14" s="48" t="s">
        <v>182</v>
      </c>
      <c r="D14" s="49" t="s">
        <v>182</v>
      </c>
      <c r="E14" s="48"/>
      <c r="F14" s="48"/>
      <c r="G14" s="47">
        <f t="shared" si="3"/>
        <v>0</v>
      </c>
      <c r="H14" s="48"/>
      <c r="I14" s="48"/>
      <c r="J14" s="50">
        <f t="shared" si="4"/>
        <v>0</v>
      </c>
      <c r="K14" s="47">
        <f t="shared" si="5"/>
        <v>0</v>
      </c>
      <c r="L14" s="109"/>
      <c r="M14" s="50">
        <f t="shared" si="6"/>
        <v>379777.65290300001</v>
      </c>
      <c r="N14" s="105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1:34">
      <c r="A15" s="26">
        <v>12</v>
      </c>
      <c r="B15" s="27">
        <v>46065</v>
      </c>
      <c r="C15" s="48" t="s">
        <v>182</v>
      </c>
      <c r="D15" s="49" t="s">
        <v>182</v>
      </c>
      <c r="E15" s="48"/>
      <c r="F15" s="48"/>
      <c r="G15" s="47">
        <f t="shared" si="3"/>
        <v>0</v>
      </c>
      <c r="H15" s="48"/>
      <c r="I15" s="48"/>
      <c r="J15" s="50">
        <f t="shared" si="4"/>
        <v>0</v>
      </c>
      <c r="K15" s="47">
        <f t="shared" si="5"/>
        <v>0</v>
      </c>
      <c r="L15" s="109"/>
      <c r="M15" s="50">
        <f t="shared" si="6"/>
        <v>379777.65290300001</v>
      </c>
      <c r="N15" s="105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 spans="1:34">
      <c r="A16" s="26">
        <v>13</v>
      </c>
      <c r="B16" s="27">
        <v>46066</v>
      </c>
      <c r="C16" s="48" t="s">
        <v>182</v>
      </c>
      <c r="D16" s="49" t="s">
        <v>182</v>
      </c>
      <c r="E16" s="425">
        <v>500</v>
      </c>
      <c r="F16" s="327">
        <v>91.33</v>
      </c>
      <c r="G16" s="47">
        <f t="shared" si="3"/>
        <v>45665</v>
      </c>
      <c r="H16" s="48"/>
      <c r="I16" s="48"/>
      <c r="J16" s="50">
        <f t="shared" si="4"/>
        <v>0</v>
      </c>
      <c r="K16" s="47">
        <f t="shared" si="5"/>
        <v>45665</v>
      </c>
      <c r="L16" s="109"/>
      <c r="M16" s="50">
        <f t="shared" si="6"/>
        <v>425442.65290300001</v>
      </c>
      <c r="N16" s="105"/>
      <c r="O16" s="46">
        <v>3</v>
      </c>
      <c r="P16" s="46" t="s">
        <v>216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4">
      <c r="A17" s="26">
        <v>14</v>
      </c>
      <c r="B17" s="27">
        <v>46067</v>
      </c>
      <c r="C17" s="48" t="s">
        <v>182</v>
      </c>
      <c r="D17" s="49" t="s">
        <v>182</v>
      </c>
      <c r="E17" s="48">
        <v>2000</v>
      </c>
      <c r="F17" s="327">
        <v>91.33</v>
      </c>
      <c r="G17" s="47">
        <f t="shared" si="3"/>
        <v>182660</v>
      </c>
      <c r="H17" s="48">
        <v>70</v>
      </c>
      <c r="I17" s="48">
        <v>103.27</v>
      </c>
      <c r="J17" s="50">
        <f t="shared" si="4"/>
        <v>7228.9</v>
      </c>
      <c r="K17" s="47">
        <f t="shared" si="5"/>
        <v>189888.9</v>
      </c>
      <c r="L17" s="109"/>
      <c r="M17" s="50">
        <f t="shared" si="6"/>
        <v>615331.55290300003</v>
      </c>
      <c r="N17" s="105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>
      <c r="A18" s="26">
        <v>15</v>
      </c>
      <c r="B18" s="27">
        <v>46068</v>
      </c>
      <c r="C18" s="48" t="s">
        <v>182</v>
      </c>
      <c r="D18" s="49" t="s">
        <v>182</v>
      </c>
      <c r="E18" s="48"/>
      <c r="F18" s="48"/>
      <c r="G18" s="47">
        <f t="shared" si="3"/>
        <v>0</v>
      </c>
      <c r="H18" s="48"/>
      <c r="I18" s="48"/>
      <c r="J18" s="50">
        <f t="shared" si="4"/>
        <v>0</v>
      </c>
      <c r="K18" s="47">
        <f t="shared" si="5"/>
        <v>0</v>
      </c>
      <c r="L18" s="109"/>
      <c r="M18" s="50">
        <f t="shared" si="6"/>
        <v>615331.55290300003</v>
      </c>
      <c r="N18" s="105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</row>
    <row r="19" spans="1:34">
      <c r="A19" s="26">
        <v>16</v>
      </c>
      <c r="B19" s="27">
        <v>46069</v>
      </c>
      <c r="C19" s="48" t="s">
        <v>182</v>
      </c>
      <c r="D19" s="49" t="s">
        <v>182</v>
      </c>
      <c r="E19" s="48"/>
      <c r="F19" s="48"/>
      <c r="G19" s="47">
        <f t="shared" si="3"/>
        <v>0</v>
      </c>
      <c r="H19" s="48"/>
      <c r="I19" s="48"/>
      <c r="J19" s="50">
        <f t="shared" si="4"/>
        <v>0</v>
      </c>
      <c r="K19" s="47">
        <f t="shared" si="5"/>
        <v>0</v>
      </c>
      <c r="L19" s="109"/>
      <c r="M19" s="50">
        <f t="shared" si="6"/>
        <v>615331.55290300003</v>
      </c>
      <c r="N19" s="105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</row>
    <row r="20" spans="1:34">
      <c r="A20" s="26">
        <v>17</v>
      </c>
      <c r="B20" s="27">
        <v>46070</v>
      </c>
      <c r="C20" s="48" t="s">
        <v>182</v>
      </c>
      <c r="D20" s="49" t="s">
        <v>182</v>
      </c>
      <c r="E20" s="48"/>
      <c r="F20" s="48"/>
      <c r="G20" s="47">
        <f t="shared" si="3"/>
        <v>0</v>
      </c>
      <c r="H20" s="48"/>
      <c r="I20" s="48"/>
      <c r="J20" s="50">
        <f t="shared" si="4"/>
        <v>0</v>
      </c>
      <c r="K20" s="47">
        <f t="shared" si="5"/>
        <v>0</v>
      </c>
      <c r="L20" s="109"/>
      <c r="M20" s="50">
        <f t="shared" si="6"/>
        <v>615331.55290300003</v>
      </c>
      <c r="N20" s="105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</row>
    <row r="21" spans="1:34">
      <c r="A21" s="26">
        <v>18</v>
      </c>
      <c r="B21" s="27">
        <v>46071</v>
      </c>
      <c r="C21" s="48" t="s">
        <v>182</v>
      </c>
      <c r="D21" s="49" t="s">
        <v>182</v>
      </c>
      <c r="E21" s="48">
        <v>2000</v>
      </c>
      <c r="F21" s="48">
        <v>91.33</v>
      </c>
      <c r="G21" s="47">
        <f t="shared" si="3"/>
        <v>182660</v>
      </c>
      <c r="H21" s="48">
        <v>70</v>
      </c>
      <c r="I21" s="48">
        <v>103.27</v>
      </c>
      <c r="J21" s="50">
        <f t="shared" si="4"/>
        <v>7228.9</v>
      </c>
      <c r="K21" s="47">
        <f t="shared" si="5"/>
        <v>189888.9</v>
      </c>
      <c r="L21" s="109"/>
      <c r="M21" s="50">
        <f t="shared" si="6"/>
        <v>805220.45290300006</v>
      </c>
      <c r="N21" s="105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>
      <c r="A22" s="26">
        <v>19</v>
      </c>
      <c r="B22" s="27">
        <v>46072</v>
      </c>
      <c r="C22" s="48" t="s">
        <v>182</v>
      </c>
      <c r="D22" s="49" t="s">
        <v>182</v>
      </c>
      <c r="E22" s="48"/>
      <c r="F22" s="48"/>
      <c r="G22" s="47">
        <f t="shared" si="3"/>
        <v>0</v>
      </c>
      <c r="H22" s="48"/>
      <c r="I22" s="48"/>
      <c r="J22" s="50">
        <f t="shared" si="4"/>
        <v>0</v>
      </c>
      <c r="K22" s="47">
        <f t="shared" si="5"/>
        <v>0</v>
      </c>
      <c r="L22" s="109"/>
      <c r="M22" s="50">
        <f t="shared" si="6"/>
        <v>805220.45290300006</v>
      </c>
      <c r="N22" s="105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</row>
    <row r="23" spans="1:34">
      <c r="A23" s="26">
        <v>20</v>
      </c>
      <c r="B23" s="27">
        <v>46073</v>
      </c>
      <c r="C23" s="48" t="s">
        <v>182</v>
      </c>
      <c r="D23" s="49" t="s">
        <v>182</v>
      </c>
      <c r="E23" s="48"/>
      <c r="F23" s="48"/>
      <c r="G23" s="47">
        <f t="shared" si="3"/>
        <v>0</v>
      </c>
      <c r="H23" s="48"/>
      <c r="I23" s="48"/>
      <c r="J23" s="50">
        <f t="shared" si="4"/>
        <v>0</v>
      </c>
      <c r="K23" s="47">
        <f t="shared" si="5"/>
        <v>0</v>
      </c>
      <c r="L23" s="109">
        <v>500000</v>
      </c>
      <c r="M23" s="50">
        <f t="shared" si="6"/>
        <v>305220.45290300006</v>
      </c>
      <c r="N23" s="105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</row>
    <row r="24" spans="1:34">
      <c r="A24" s="26">
        <v>21</v>
      </c>
      <c r="B24" s="27">
        <v>46074</v>
      </c>
      <c r="C24" s="48" t="s">
        <v>182</v>
      </c>
      <c r="D24" s="49" t="s">
        <v>182</v>
      </c>
      <c r="E24" s="48"/>
      <c r="F24" s="48"/>
      <c r="G24" s="47">
        <f t="shared" si="3"/>
        <v>0</v>
      </c>
      <c r="H24" s="48"/>
      <c r="I24" s="48"/>
      <c r="J24" s="50">
        <f t="shared" si="4"/>
        <v>0</v>
      </c>
      <c r="K24" s="47">
        <f t="shared" si="5"/>
        <v>0</v>
      </c>
      <c r="L24" s="109"/>
      <c r="M24" s="50">
        <f t="shared" si="6"/>
        <v>305220.45290300006</v>
      </c>
      <c r="N24" s="105"/>
      <c r="O24" s="46">
        <v>4</v>
      </c>
      <c r="P24" s="46" t="s">
        <v>216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</row>
    <row r="25" spans="1:34">
      <c r="A25" s="26">
        <v>22</v>
      </c>
      <c r="B25" s="27">
        <v>46075</v>
      </c>
      <c r="C25" s="48" t="s">
        <v>182</v>
      </c>
      <c r="D25" s="49" t="s">
        <v>182</v>
      </c>
      <c r="E25" s="48"/>
      <c r="F25" s="48"/>
      <c r="G25" s="47">
        <f t="shared" si="3"/>
        <v>0</v>
      </c>
      <c r="H25" s="48"/>
      <c r="I25" s="48"/>
      <c r="J25" s="50">
        <f t="shared" si="4"/>
        <v>0</v>
      </c>
      <c r="K25" s="47">
        <f t="shared" si="5"/>
        <v>0</v>
      </c>
      <c r="L25" s="109"/>
      <c r="M25" s="50">
        <f t="shared" si="6"/>
        <v>305220.45290300006</v>
      </c>
      <c r="N25" s="105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>
      <c r="A26" s="26">
        <v>23</v>
      </c>
      <c r="B26" s="27">
        <v>46076</v>
      </c>
      <c r="C26" s="48" t="s">
        <v>182</v>
      </c>
      <c r="D26" s="49" t="s">
        <v>182</v>
      </c>
      <c r="E26" s="48">
        <v>2000</v>
      </c>
      <c r="F26" s="48">
        <v>91.33</v>
      </c>
      <c r="G26" s="47">
        <f t="shared" si="3"/>
        <v>182660</v>
      </c>
      <c r="H26" s="48">
        <v>35</v>
      </c>
      <c r="I26" s="48">
        <v>103.27</v>
      </c>
      <c r="J26" s="50">
        <f t="shared" si="4"/>
        <v>3614.45</v>
      </c>
      <c r="K26" s="47">
        <f t="shared" si="5"/>
        <v>186274.45</v>
      </c>
      <c r="L26" s="109"/>
      <c r="M26" s="50">
        <f t="shared" si="6"/>
        <v>491494.90290300007</v>
      </c>
      <c r="N26" s="105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</row>
    <row r="27" spans="1:34">
      <c r="A27" s="26">
        <v>24</v>
      </c>
      <c r="B27" s="27">
        <v>46077</v>
      </c>
      <c r="C27" s="48" t="s">
        <v>182</v>
      </c>
      <c r="D27" s="49" t="s">
        <v>182</v>
      </c>
      <c r="E27" s="48"/>
      <c r="F27" s="48"/>
      <c r="G27" s="47">
        <f t="shared" si="3"/>
        <v>0</v>
      </c>
      <c r="H27" s="48"/>
      <c r="I27" s="48"/>
      <c r="J27" s="50">
        <f t="shared" si="4"/>
        <v>0</v>
      </c>
      <c r="K27" s="47">
        <f t="shared" si="5"/>
        <v>0</v>
      </c>
      <c r="L27" s="109"/>
      <c r="M27" s="50">
        <f t="shared" si="6"/>
        <v>491494.90290300007</v>
      </c>
      <c r="N27" s="105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</row>
    <row r="28" spans="1:34">
      <c r="A28" s="26">
        <v>25</v>
      </c>
      <c r="B28" s="27">
        <v>46078</v>
      </c>
      <c r="C28" s="48"/>
      <c r="D28" s="49"/>
      <c r="E28" s="48"/>
      <c r="F28" s="48"/>
      <c r="G28" s="47">
        <f t="shared" si="3"/>
        <v>0</v>
      </c>
      <c r="H28" s="48"/>
      <c r="I28" s="48"/>
      <c r="J28" s="50">
        <f t="shared" si="4"/>
        <v>0</v>
      </c>
      <c r="K28" s="47">
        <f t="shared" si="5"/>
        <v>0</v>
      </c>
      <c r="L28" s="109"/>
      <c r="M28" s="50">
        <f t="shared" si="6"/>
        <v>491494.90290300007</v>
      </c>
      <c r="N28" s="105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</row>
    <row r="29" spans="1:34">
      <c r="A29" s="26">
        <v>26</v>
      </c>
      <c r="B29" s="27">
        <v>46079</v>
      </c>
      <c r="C29" s="48" t="s">
        <v>182</v>
      </c>
      <c r="D29" s="49" t="s">
        <v>182</v>
      </c>
      <c r="E29" s="48"/>
      <c r="F29" s="48"/>
      <c r="G29" s="47">
        <f t="shared" si="3"/>
        <v>0</v>
      </c>
      <c r="H29" s="48"/>
      <c r="I29" s="48"/>
      <c r="J29" s="50">
        <f t="shared" si="4"/>
        <v>0</v>
      </c>
      <c r="K29" s="47">
        <f t="shared" si="5"/>
        <v>0</v>
      </c>
      <c r="L29" s="109">
        <v>150000</v>
      </c>
      <c r="M29" s="50">
        <f t="shared" si="6"/>
        <v>341494.90290300007</v>
      </c>
      <c r="N29" s="105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>
      <c r="A30" s="26">
        <v>27</v>
      </c>
      <c r="B30" s="27">
        <v>46080</v>
      </c>
      <c r="C30" s="48" t="s">
        <v>182</v>
      </c>
      <c r="D30" s="49" t="s">
        <v>182</v>
      </c>
      <c r="E30" s="48"/>
      <c r="F30" s="48"/>
      <c r="G30" s="47">
        <f t="shared" si="3"/>
        <v>0</v>
      </c>
      <c r="H30" s="48"/>
      <c r="I30" s="48"/>
      <c r="J30" s="50">
        <f t="shared" si="4"/>
        <v>0</v>
      </c>
      <c r="K30" s="47">
        <f t="shared" si="5"/>
        <v>0</v>
      </c>
      <c r="L30" s="109"/>
      <c r="M30" s="50">
        <f t="shared" si="6"/>
        <v>341494.90290300007</v>
      </c>
      <c r="N30" s="105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 spans="1:34">
      <c r="A31" s="26">
        <v>28</v>
      </c>
      <c r="B31" s="27">
        <v>46081</v>
      </c>
      <c r="C31" s="48" t="s">
        <v>182</v>
      </c>
      <c r="D31" s="49" t="s">
        <v>182</v>
      </c>
      <c r="E31" s="48">
        <v>2000</v>
      </c>
      <c r="F31" s="48">
        <v>91.33</v>
      </c>
      <c r="G31" s="47">
        <f t="shared" si="3"/>
        <v>182660</v>
      </c>
      <c r="H31" s="48">
        <v>70</v>
      </c>
      <c r="I31" s="48">
        <v>103.27</v>
      </c>
      <c r="J31" s="50">
        <f t="shared" si="4"/>
        <v>7228.9</v>
      </c>
      <c r="K31" s="47">
        <f t="shared" si="5"/>
        <v>189888.9</v>
      </c>
      <c r="L31" s="109"/>
      <c r="M31" s="50">
        <f t="shared" si="6"/>
        <v>531383.80290300003</v>
      </c>
      <c r="N31" s="105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 spans="1:34">
      <c r="A32" s="26">
        <v>29</v>
      </c>
      <c r="B32" s="27"/>
      <c r="C32" s="47"/>
      <c r="D32" s="49" t="s">
        <v>182</v>
      </c>
      <c r="E32" s="48"/>
      <c r="F32" s="48"/>
      <c r="G32" s="47">
        <f t="shared" si="3"/>
        <v>0</v>
      </c>
      <c r="H32" s="48"/>
      <c r="I32" s="48"/>
      <c r="J32" s="50">
        <f t="shared" si="4"/>
        <v>0</v>
      </c>
      <c r="K32" s="47">
        <f t="shared" si="5"/>
        <v>0</v>
      </c>
      <c r="L32" s="109"/>
      <c r="M32" s="50">
        <f t="shared" si="6"/>
        <v>531383.80290300003</v>
      </c>
      <c r="N32" s="105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 spans="1:34">
      <c r="A33" s="26">
        <v>30</v>
      </c>
      <c r="B33" s="27"/>
      <c r="C33" s="47"/>
      <c r="D33" s="49" t="s">
        <v>182</v>
      </c>
      <c r="E33" s="48"/>
      <c r="F33" s="48"/>
      <c r="G33" s="47">
        <f t="shared" si="3"/>
        <v>0</v>
      </c>
      <c r="H33" s="48"/>
      <c r="I33" s="48"/>
      <c r="J33" s="50">
        <f t="shared" si="4"/>
        <v>0</v>
      </c>
      <c r="K33" s="47">
        <f t="shared" si="5"/>
        <v>0</v>
      </c>
      <c r="L33" s="109"/>
      <c r="M33" s="50">
        <f t="shared" si="6"/>
        <v>531383.80290300003</v>
      </c>
      <c r="N33" s="105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>
      <c r="A34" s="26">
        <v>31</v>
      </c>
      <c r="B34" s="27"/>
      <c r="C34" s="47"/>
      <c r="D34" s="49" t="s">
        <v>182</v>
      </c>
      <c r="E34" s="48"/>
      <c r="F34" s="48"/>
      <c r="G34" s="47">
        <f t="shared" ref="G5:G35" si="7">E34*F34</f>
        <v>0</v>
      </c>
      <c r="H34" s="48"/>
      <c r="I34" s="48"/>
      <c r="J34" s="50">
        <f t="shared" ref="J5:J34" si="8">H34*I34</f>
        <v>0</v>
      </c>
      <c r="K34" s="47">
        <f t="shared" ref="K5:K35" si="9">G34+J34</f>
        <v>0</v>
      </c>
      <c r="L34" s="109"/>
      <c r="M34" s="50">
        <f t="shared" si="6"/>
        <v>531383.80290300003</v>
      </c>
      <c r="N34" s="105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 spans="1:34">
      <c r="A35" s="26">
        <v>32</v>
      </c>
      <c r="B35" s="27"/>
      <c r="C35" s="47"/>
      <c r="D35" s="49" t="s">
        <v>182</v>
      </c>
      <c r="E35" s="48"/>
      <c r="F35" s="48"/>
      <c r="G35" s="47">
        <f t="shared" si="7"/>
        <v>0</v>
      </c>
      <c r="H35" s="48">
        <v>0</v>
      </c>
      <c r="I35" s="48">
        <v>0</v>
      </c>
      <c r="J35" s="50">
        <f t="shared" ref="J5:J35" si="10">H35*I35</f>
        <v>0</v>
      </c>
      <c r="K35" s="47">
        <f t="shared" si="9"/>
        <v>0</v>
      </c>
      <c r="L35" s="109"/>
      <c r="M35" s="50">
        <f t="shared" si="6"/>
        <v>531383.80290300003</v>
      </c>
      <c r="N35" s="105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>
      <c r="A36" s="43"/>
      <c r="B36" s="43"/>
      <c r="C36" s="43"/>
      <c r="D36" s="43"/>
      <c r="E36" s="44">
        <f>SUM(E4:E35)</f>
        <v>12500</v>
      </c>
      <c r="F36" s="44"/>
      <c r="G36" s="44">
        <f>SUM(G4:G35)</f>
        <v>1141625</v>
      </c>
      <c r="H36" s="44">
        <f>SUM(H4:H35)</f>
        <v>385</v>
      </c>
      <c r="I36" s="44"/>
      <c r="J36" s="44">
        <f>SUM(J4:J35)</f>
        <v>39758.949999999997</v>
      </c>
      <c r="K36" s="44">
        <f>SUM(K4:K35)</f>
        <v>1181383.95</v>
      </c>
      <c r="L36" s="44">
        <f>SUM(L4:L35)</f>
        <v>1128337</v>
      </c>
      <c r="M36" s="44"/>
      <c r="N36" s="44"/>
      <c r="O36" s="33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1:34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3" activePane="bottomLeft" state="frozen"/>
      <selection pane="bottomLeft" activeCell="P16" sqref="P16"/>
    </sheetView>
  </sheetViews>
  <sheetFormatPr defaultColWidth="9.140625" defaultRowHeight="12.75"/>
  <cols>
    <col min="1" max="1" width="5.28515625" style="33" bestFit="1" customWidth="1"/>
    <col min="2" max="2" width="11.85546875" style="33" bestFit="1" customWidth="1"/>
    <col min="3" max="3" width="10.7109375" style="33" bestFit="1" customWidth="1"/>
    <col min="4" max="4" width="21.5703125" style="33" customWidth="1"/>
    <col min="5" max="5" width="10.85546875" style="33" bestFit="1" customWidth="1"/>
    <col min="6" max="6" width="13.7109375" style="33" bestFit="1" customWidth="1"/>
    <col min="7" max="7" width="15.28515625" style="33" customWidth="1"/>
    <col min="8" max="8" width="10.85546875" style="33" bestFit="1" customWidth="1"/>
    <col min="9" max="9" width="8.140625" style="33" bestFit="1" customWidth="1"/>
    <col min="10" max="10" width="10.85546875" style="33" bestFit="1" customWidth="1"/>
    <col min="11" max="11" width="13.85546875" style="33" bestFit="1" customWidth="1"/>
    <col min="12" max="12" width="12.7109375" style="33" bestFit="1" customWidth="1"/>
    <col min="13" max="13" width="12.7109375" style="33" customWidth="1"/>
    <col min="14" max="14" width="17.7109375" style="33" bestFit="1" customWidth="1"/>
    <col min="15" max="15" width="13.7109375" style="33" customWidth="1"/>
    <col min="16" max="16384" width="9.140625" style="33"/>
  </cols>
  <sheetData>
    <row r="1" spans="1:24" ht="12.75" customHeight="1">
      <c r="A1" s="458" t="s">
        <v>32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24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07" t="s">
        <v>162</v>
      </c>
      <c r="L2" s="107" t="s">
        <v>163</v>
      </c>
      <c r="M2" s="107" t="s">
        <v>174</v>
      </c>
      <c r="N2" s="107" t="s">
        <v>165</v>
      </c>
    </row>
    <row r="3" spans="1:24" ht="15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152">
        <v>2258.5999999999767</v>
      </c>
      <c r="L3" s="151"/>
      <c r="M3" s="151">
        <f>+K3</f>
        <v>2258.5999999999767</v>
      </c>
      <c r="N3" s="108"/>
    </row>
    <row r="4" spans="1:24" ht="15">
      <c r="A4" s="26">
        <v>1</v>
      </c>
      <c r="B4" s="27">
        <v>46054</v>
      </c>
      <c r="C4" s="263"/>
      <c r="D4" s="264"/>
      <c r="E4" s="36"/>
      <c r="F4" s="36"/>
      <c r="G4" s="36">
        <f>E4*F4</f>
        <v>0</v>
      </c>
      <c r="H4" s="123">
        <v>0</v>
      </c>
      <c r="I4" s="123"/>
      <c r="J4" s="36">
        <f>H4*I4</f>
        <v>0</v>
      </c>
      <c r="K4" s="37">
        <f>G4+J4</f>
        <v>0</v>
      </c>
      <c r="L4" s="37">
        <v>0</v>
      </c>
      <c r="M4" s="37">
        <f>M3+K4-L4</f>
        <v>2258.5999999999767</v>
      </c>
      <c r="N4" s="45"/>
    </row>
    <row r="5" spans="1:24" ht="15">
      <c r="A5" s="26">
        <v>2</v>
      </c>
      <c r="B5" s="27">
        <v>46055</v>
      </c>
      <c r="C5" s="263"/>
      <c r="D5" s="264"/>
      <c r="E5" s="36"/>
      <c r="F5" s="36"/>
      <c r="G5" s="36">
        <f t="shared" ref="G5:G7" si="0">E5*F5</f>
        <v>0</v>
      </c>
      <c r="H5" s="123">
        <v>0</v>
      </c>
      <c r="I5" s="123">
        <v>0</v>
      </c>
      <c r="J5" s="36">
        <f t="shared" ref="J5:J7" si="1">H5*I5</f>
        <v>0</v>
      </c>
      <c r="K5" s="37">
        <f t="shared" ref="K5:K7" si="2">G5+J5</f>
        <v>0</v>
      </c>
      <c r="L5" s="37">
        <v>0</v>
      </c>
      <c r="M5" s="37">
        <f t="shared" ref="M5:M34" si="3">M4+K5-L5</f>
        <v>2258.5999999999767</v>
      </c>
      <c r="N5" s="45"/>
    </row>
    <row r="6" spans="1:24" ht="15">
      <c r="A6" s="26">
        <v>3</v>
      </c>
      <c r="B6" s="27">
        <v>46056</v>
      </c>
      <c r="C6" s="263"/>
      <c r="D6" s="264"/>
      <c r="E6" s="36"/>
      <c r="F6" s="36"/>
      <c r="G6" s="36">
        <f t="shared" si="0"/>
        <v>0</v>
      </c>
      <c r="H6" s="123">
        <v>0</v>
      </c>
      <c r="I6" s="123">
        <v>0</v>
      </c>
      <c r="J6" s="36">
        <f t="shared" si="1"/>
        <v>0</v>
      </c>
      <c r="K6" s="37">
        <f t="shared" si="2"/>
        <v>0</v>
      </c>
      <c r="L6" s="37">
        <v>2260</v>
      </c>
      <c r="M6" s="37">
        <f t="shared" si="3"/>
        <v>-1.4000000000232831</v>
      </c>
      <c r="N6" s="45"/>
    </row>
    <row r="7" spans="1:24" ht="15">
      <c r="A7" s="26">
        <v>4</v>
      </c>
      <c r="B7" s="27">
        <v>46057</v>
      </c>
      <c r="C7" s="263"/>
      <c r="D7" s="264"/>
      <c r="E7" s="36"/>
      <c r="F7" s="36"/>
      <c r="G7" s="36">
        <f t="shared" si="0"/>
        <v>0</v>
      </c>
      <c r="H7" s="123">
        <v>0</v>
      </c>
      <c r="I7" s="123">
        <v>0</v>
      </c>
      <c r="J7" s="36">
        <f t="shared" si="1"/>
        <v>0</v>
      </c>
      <c r="K7" s="37">
        <f t="shared" si="2"/>
        <v>0</v>
      </c>
      <c r="L7" s="37">
        <v>0</v>
      </c>
      <c r="M7" s="37">
        <f t="shared" si="3"/>
        <v>-1.4000000000232831</v>
      </c>
      <c r="N7" s="45"/>
    </row>
    <row r="8" spans="1:24" ht="15">
      <c r="A8" s="26">
        <v>5</v>
      </c>
      <c r="B8" s="27">
        <v>46058</v>
      </c>
      <c r="C8" s="263"/>
      <c r="D8" s="264"/>
      <c r="E8" s="36"/>
      <c r="F8" s="36"/>
      <c r="G8" s="36">
        <f t="shared" ref="G8:G34" si="4">E8*F8</f>
        <v>0</v>
      </c>
      <c r="H8" s="123">
        <v>0</v>
      </c>
      <c r="I8" s="123">
        <v>0</v>
      </c>
      <c r="J8" s="36">
        <f t="shared" ref="J8:J34" si="5">H8*I8</f>
        <v>0</v>
      </c>
      <c r="K8" s="37">
        <f t="shared" ref="K8:K34" si="6">G8+J8</f>
        <v>0</v>
      </c>
      <c r="L8" s="37">
        <v>0</v>
      </c>
      <c r="M8" s="37">
        <f t="shared" si="3"/>
        <v>-1.4000000000232831</v>
      </c>
      <c r="N8" s="45"/>
    </row>
    <row r="9" spans="1:24" ht="15">
      <c r="A9" s="26">
        <v>6</v>
      </c>
      <c r="B9" s="27">
        <v>46059</v>
      </c>
      <c r="C9" s="263"/>
      <c r="D9" s="264"/>
      <c r="E9" s="36"/>
      <c r="F9" s="36"/>
      <c r="G9" s="36">
        <f t="shared" si="4"/>
        <v>0</v>
      </c>
      <c r="H9" s="123">
        <v>0</v>
      </c>
      <c r="I9" s="123">
        <v>0</v>
      </c>
      <c r="J9" s="36">
        <f t="shared" si="5"/>
        <v>0</v>
      </c>
      <c r="K9" s="37">
        <f t="shared" si="6"/>
        <v>0</v>
      </c>
      <c r="L9" s="37">
        <v>0</v>
      </c>
      <c r="M9" s="37">
        <f t="shared" si="3"/>
        <v>-1.4000000000232831</v>
      </c>
      <c r="N9" s="45"/>
    </row>
    <row r="10" spans="1:24" ht="15">
      <c r="A10" s="26">
        <v>7</v>
      </c>
      <c r="B10" s="27">
        <v>46060</v>
      </c>
      <c r="C10" s="263"/>
      <c r="D10" s="264"/>
      <c r="E10" s="36"/>
      <c r="F10" s="36"/>
      <c r="G10" s="36">
        <f t="shared" si="4"/>
        <v>0</v>
      </c>
      <c r="H10" s="123"/>
      <c r="I10" s="123"/>
      <c r="J10" s="36">
        <f t="shared" si="5"/>
        <v>0</v>
      </c>
      <c r="K10" s="37">
        <f t="shared" si="6"/>
        <v>0</v>
      </c>
      <c r="L10" s="37">
        <v>0</v>
      </c>
      <c r="M10" s="37">
        <f t="shared" si="3"/>
        <v>-1.4000000000232831</v>
      </c>
      <c r="N10" s="45"/>
    </row>
    <row r="11" spans="1:24" ht="15">
      <c r="A11" s="26">
        <v>8</v>
      </c>
      <c r="B11" s="27">
        <v>46061</v>
      </c>
      <c r="C11" s="263"/>
      <c r="D11" s="264"/>
      <c r="E11" s="36"/>
      <c r="F11" s="36"/>
      <c r="G11" s="36">
        <f t="shared" si="4"/>
        <v>0</v>
      </c>
      <c r="H11" s="123">
        <v>0</v>
      </c>
      <c r="I11" s="123">
        <v>0</v>
      </c>
      <c r="J11" s="36">
        <f t="shared" si="5"/>
        <v>0</v>
      </c>
      <c r="K11" s="37">
        <f t="shared" si="6"/>
        <v>0</v>
      </c>
      <c r="L11" s="37">
        <v>0</v>
      </c>
      <c r="M11" s="37">
        <f t="shared" si="3"/>
        <v>-1.4000000000232831</v>
      </c>
      <c r="N11" s="45"/>
    </row>
    <row r="12" spans="1:24" ht="15">
      <c r="A12" s="26">
        <v>9</v>
      </c>
      <c r="B12" s="27">
        <v>46062</v>
      </c>
      <c r="C12" s="263"/>
      <c r="D12" s="264"/>
      <c r="E12" s="36"/>
      <c r="F12" s="36"/>
      <c r="G12" s="36">
        <f t="shared" si="4"/>
        <v>0</v>
      </c>
      <c r="H12" s="123">
        <v>0</v>
      </c>
      <c r="I12" s="123">
        <v>0</v>
      </c>
      <c r="J12" s="36">
        <f t="shared" si="5"/>
        <v>0</v>
      </c>
      <c r="K12" s="37">
        <f t="shared" si="6"/>
        <v>0</v>
      </c>
      <c r="L12" s="37">
        <v>0</v>
      </c>
      <c r="M12" s="37">
        <f t="shared" si="3"/>
        <v>-1.4000000000232831</v>
      </c>
      <c r="N12" s="45"/>
    </row>
    <row r="13" spans="1:24" ht="15">
      <c r="A13" s="26">
        <v>10</v>
      </c>
      <c r="B13" s="27">
        <v>46063</v>
      </c>
      <c r="C13" s="263"/>
      <c r="D13" s="264"/>
      <c r="E13" s="36"/>
      <c r="F13" s="36"/>
      <c r="G13" s="36">
        <f t="shared" si="4"/>
        <v>0</v>
      </c>
      <c r="H13" s="123">
        <v>0</v>
      </c>
      <c r="I13" s="123">
        <v>0</v>
      </c>
      <c r="J13" s="36">
        <f t="shared" si="5"/>
        <v>0</v>
      </c>
      <c r="K13" s="37">
        <f t="shared" si="6"/>
        <v>0</v>
      </c>
      <c r="L13" s="37">
        <v>0</v>
      </c>
      <c r="M13" s="37">
        <f t="shared" si="3"/>
        <v>-1.4000000000232831</v>
      </c>
      <c r="N13" s="45"/>
    </row>
    <row r="14" spans="1:24" ht="15">
      <c r="A14" s="26">
        <v>11</v>
      </c>
      <c r="B14" s="27">
        <v>46064</v>
      </c>
      <c r="C14" s="263"/>
      <c r="D14" s="264"/>
      <c r="E14" s="36"/>
      <c r="F14" s="36"/>
      <c r="G14" s="36">
        <f t="shared" si="4"/>
        <v>0</v>
      </c>
      <c r="H14" s="123">
        <v>0</v>
      </c>
      <c r="I14" s="123">
        <v>0</v>
      </c>
      <c r="J14" s="36">
        <f t="shared" si="5"/>
        <v>0</v>
      </c>
      <c r="K14" s="37">
        <f t="shared" si="6"/>
        <v>0</v>
      </c>
      <c r="L14" s="37">
        <v>0</v>
      </c>
      <c r="M14" s="37">
        <f t="shared" si="3"/>
        <v>-1.4000000000232831</v>
      </c>
      <c r="N14" s="45"/>
    </row>
    <row r="15" spans="1:24" ht="15">
      <c r="A15" s="26">
        <v>12</v>
      </c>
      <c r="B15" s="27">
        <v>46065</v>
      </c>
      <c r="C15" s="263"/>
      <c r="D15" s="264"/>
      <c r="E15" s="36"/>
      <c r="F15" s="36"/>
      <c r="G15" s="36">
        <f t="shared" si="4"/>
        <v>0</v>
      </c>
      <c r="H15" s="123">
        <v>0</v>
      </c>
      <c r="I15" s="123">
        <v>0</v>
      </c>
      <c r="J15" s="36">
        <f t="shared" si="5"/>
        <v>0</v>
      </c>
      <c r="K15" s="37">
        <f t="shared" si="6"/>
        <v>0</v>
      </c>
      <c r="L15" s="37">
        <v>0</v>
      </c>
      <c r="M15" s="37">
        <f t="shared" si="3"/>
        <v>-1.4000000000232831</v>
      </c>
      <c r="N15" s="45"/>
    </row>
    <row r="16" spans="1:24" ht="15">
      <c r="A16" s="26">
        <v>13</v>
      </c>
      <c r="B16" s="27">
        <v>46066</v>
      </c>
      <c r="C16" s="263"/>
      <c r="D16" s="264"/>
      <c r="E16" s="36"/>
      <c r="F16" s="36"/>
      <c r="G16" s="36">
        <f t="shared" si="4"/>
        <v>0</v>
      </c>
      <c r="H16" s="123">
        <v>0</v>
      </c>
      <c r="I16" s="123">
        <v>0</v>
      </c>
      <c r="J16" s="36">
        <f t="shared" si="5"/>
        <v>0</v>
      </c>
      <c r="K16" s="37">
        <f t="shared" si="6"/>
        <v>0</v>
      </c>
      <c r="L16" s="37">
        <v>0</v>
      </c>
      <c r="M16" s="37">
        <f t="shared" si="3"/>
        <v>-1.4000000000232831</v>
      </c>
      <c r="N16" s="45"/>
      <c r="X16" s="33">
        <f>100*104</f>
        <v>10400</v>
      </c>
    </row>
    <row r="17" spans="1:14" ht="15">
      <c r="A17" s="26">
        <v>14</v>
      </c>
      <c r="B17" s="27">
        <v>46067</v>
      </c>
      <c r="C17" s="263"/>
      <c r="D17" s="264"/>
      <c r="E17" s="36"/>
      <c r="F17" s="36"/>
      <c r="G17" s="36">
        <f t="shared" si="4"/>
        <v>0</v>
      </c>
      <c r="H17" s="123">
        <v>0</v>
      </c>
      <c r="I17" s="123">
        <v>0</v>
      </c>
      <c r="J17" s="36">
        <f t="shared" si="5"/>
        <v>0</v>
      </c>
      <c r="K17" s="37">
        <f t="shared" si="6"/>
        <v>0</v>
      </c>
      <c r="L17" s="37">
        <v>0</v>
      </c>
      <c r="M17" s="37">
        <f t="shared" si="3"/>
        <v>-1.4000000000232831</v>
      </c>
      <c r="N17" s="45"/>
    </row>
    <row r="18" spans="1:14" ht="15">
      <c r="A18" s="26">
        <v>15</v>
      </c>
      <c r="B18" s="27">
        <v>46068</v>
      </c>
      <c r="C18" s="263"/>
      <c r="D18" s="264"/>
      <c r="E18" s="36"/>
      <c r="F18" s="36"/>
      <c r="G18" s="36">
        <f t="shared" si="4"/>
        <v>0</v>
      </c>
      <c r="H18" s="123">
        <v>0</v>
      </c>
      <c r="I18" s="123">
        <v>0</v>
      </c>
      <c r="J18" s="36">
        <f t="shared" si="5"/>
        <v>0</v>
      </c>
      <c r="K18" s="37">
        <f t="shared" si="6"/>
        <v>0</v>
      </c>
      <c r="L18" s="37"/>
      <c r="M18" s="37">
        <f t="shared" si="3"/>
        <v>-1.4000000000232831</v>
      </c>
      <c r="N18" s="45"/>
    </row>
    <row r="19" spans="1:14" ht="15">
      <c r="A19" s="26">
        <v>16</v>
      </c>
      <c r="B19" s="27">
        <v>46069</v>
      </c>
      <c r="C19" s="263"/>
      <c r="D19" s="264"/>
      <c r="E19" s="36"/>
      <c r="F19" s="36"/>
      <c r="G19" s="36">
        <f t="shared" si="4"/>
        <v>0</v>
      </c>
      <c r="H19" s="123">
        <v>0</v>
      </c>
      <c r="I19" s="123">
        <v>0</v>
      </c>
      <c r="J19" s="36">
        <f t="shared" si="5"/>
        <v>0</v>
      </c>
      <c r="K19" s="37">
        <f t="shared" si="6"/>
        <v>0</v>
      </c>
      <c r="L19" s="37"/>
      <c r="M19" s="37">
        <f t="shared" si="3"/>
        <v>-1.4000000000232831</v>
      </c>
      <c r="N19" s="45"/>
    </row>
    <row r="20" spans="1:14" ht="15">
      <c r="A20" s="26">
        <v>17</v>
      </c>
      <c r="B20" s="27">
        <v>46070</v>
      </c>
      <c r="C20" s="263"/>
      <c r="D20" s="264"/>
      <c r="E20" s="36"/>
      <c r="F20" s="36"/>
      <c r="G20" s="36">
        <f t="shared" si="4"/>
        <v>0</v>
      </c>
      <c r="H20" s="123">
        <v>0</v>
      </c>
      <c r="I20" s="123">
        <v>0</v>
      </c>
      <c r="J20" s="36">
        <f t="shared" si="5"/>
        <v>0</v>
      </c>
      <c r="K20" s="37">
        <f t="shared" si="6"/>
        <v>0</v>
      </c>
      <c r="L20" s="37"/>
      <c r="M20" s="37">
        <f t="shared" si="3"/>
        <v>-1.4000000000232831</v>
      </c>
      <c r="N20" s="45"/>
    </row>
    <row r="21" spans="1:14" ht="15">
      <c r="A21" s="26">
        <v>18</v>
      </c>
      <c r="B21" s="27">
        <v>46071</v>
      </c>
      <c r="C21" s="263"/>
      <c r="D21" s="264"/>
      <c r="E21" s="36"/>
      <c r="F21" s="36"/>
      <c r="G21" s="36">
        <f t="shared" si="4"/>
        <v>0</v>
      </c>
      <c r="H21" s="123">
        <v>0</v>
      </c>
      <c r="I21" s="123">
        <v>0</v>
      </c>
      <c r="J21" s="36">
        <f t="shared" si="5"/>
        <v>0</v>
      </c>
      <c r="K21" s="37">
        <f t="shared" si="6"/>
        <v>0</v>
      </c>
      <c r="L21" s="37"/>
      <c r="M21" s="37">
        <f t="shared" si="3"/>
        <v>-1.4000000000232831</v>
      </c>
      <c r="N21" s="45"/>
    </row>
    <row r="22" spans="1:14" ht="15">
      <c r="A22" s="26">
        <v>19</v>
      </c>
      <c r="B22" s="27">
        <v>46072</v>
      </c>
      <c r="C22" s="263"/>
      <c r="D22" s="264"/>
      <c r="E22" s="36"/>
      <c r="F22" s="36"/>
      <c r="G22" s="36">
        <f t="shared" si="4"/>
        <v>0</v>
      </c>
      <c r="H22" s="123">
        <v>0</v>
      </c>
      <c r="I22" s="123">
        <v>0</v>
      </c>
      <c r="J22" s="36">
        <f t="shared" si="5"/>
        <v>0</v>
      </c>
      <c r="K22" s="37">
        <f t="shared" si="6"/>
        <v>0</v>
      </c>
      <c r="L22" s="37"/>
      <c r="M22" s="37">
        <f t="shared" si="3"/>
        <v>-1.4000000000232831</v>
      </c>
      <c r="N22" s="45"/>
    </row>
    <row r="23" spans="1:14" ht="15">
      <c r="A23" s="26">
        <v>20</v>
      </c>
      <c r="B23" s="27">
        <v>46073</v>
      </c>
      <c r="C23" s="263"/>
      <c r="D23" s="264"/>
      <c r="E23" s="36"/>
      <c r="F23" s="36"/>
      <c r="G23" s="36">
        <f t="shared" si="4"/>
        <v>0</v>
      </c>
      <c r="H23" s="123">
        <v>0</v>
      </c>
      <c r="I23" s="123">
        <v>0</v>
      </c>
      <c r="J23" s="36">
        <f t="shared" si="5"/>
        <v>0</v>
      </c>
      <c r="K23" s="37">
        <f t="shared" si="6"/>
        <v>0</v>
      </c>
      <c r="L23" s="37"/>
      <c r="M23" s="37">
        <f t="shared" si="3"/>
        <v>-1.4000000000232831</v>
      </c>
      <c r="N23" s="45"/>
    </row>
    <row r="24" spans="1:14" ht="15">
      <c r="A24" s="26">
        <v>21</v>
      </c>
      <c r="B24" s="27">
        <v>46074</v>
      </c>
      <c r="C24" s="263"/>
      <c r="D24" s="264"/>
      <c r="E24" s="36"/>
      <c r="F24" s="36"/>
      <c r="G24" s="36">
        <f t="shared" si="4"/>
        <v>0</v>
      </c>
      <c r="H24" s="123">
        <v>0</v>
      </c>
      <c r="I24" s="123">
        <v>0</v>
      </c>
      <c r="J24" s="36">
        <f t="shared" si="5"/>
        <v>0</v>
      </c>
      <c r="K24" s="37">
        <f t="shared" si="6"/>
        <v>0</v>
      </c>
      <c r="L24" s="37"/>
      <c r="M24" s="37">
        <f t="shared" si="3"/>
        <v>-1.4000000000232831</v>
      </c>
      <c r="N24" s="45"/>
    </row>
    <row r="25" spans="1:14" ht="15">
      <c r="A25" s="26">
        <v>22</v>
      </c>
      <c r="B25" s="27">
        <v>46075</v>
      </c>
      <c r="C25" s="263"/>
      <c r="D25" s="264"/>
      <c r="E25" s="36"/>
      <c r="F25" s="36"/>
      <c r="G25" s="36">
        <f t="shared" si="4"/>
        <v>0</v>
      </c>
      <c r="H25" s="123">
        <v>0</v>
      </c>
      <c r="I25" s="123">
        <v>0</v>
      </c>
      <c r="J25" s="36">
        <f t="shared" si="5"/>
        <v>0</v>
      </c>
      <c r="K25" s="37">
        <f t="shared" si="6"/>
        <v>0</v>
      </c>
      <c r="L25" s="37"/>
      <c r="M25" s="37">
        <f t="shared" si="3"/>
        <v>-1.4000000000232831</v>
      </c>
      <c r="N25" s="45"/>
    </row>
    <row r="26" spans="1:14" ht="15">
      <c r="A26" s="26">
        <v>23</v>
      </c>
      <c r="B26" s="27">
        <v>46076</v>
      </c>
      <c r="C26" s="263"/>
      <c r="D26" s="264"/>
      <c r="E26" s="36"/>
      <c r="F26" s="36"/>
      <c r="G26" s="36">
        <f t="shared" si="4"/>
        <v>0</v>
      </c>
      <c r="H26" s="123">
        <v>0</v>
      </c>
      <c r="I26" s="123">
        <v>0</v>
      </c>
      <c r="J26" s="36">
        <f t="shared" ref="J26:J31" si="7">H26*I26</f>
        <v>0</v>
      </c>
      <c r="K26" s="37">
        <f t="shared" ref="K26:K31" si="8">G26+J26</f>
        <v>0</v>
      </c>
      <c r="L26" s="37"/>
      <c r="M26" s="37">
        <f t="shared" si="3"/>
        <v>-1.4000000000232831</v>
      </c>
      <c r="N26" s="45"/>
    </row>
    <row r="27" spans="1:14" ht="15">
      <c r="A27" s="26">
        <v>24</v>
      </c>
      <c r="B27" s="27">
        <v>46077</v>
      </c>
      <c r="C27" s="263"/>
      <c r="D27" s="264"/>
      <c r="E27" s="36"/>
      <c r="F27" s="36"/>
      <c r="G27" s="36">
        <f t="shared" si="4"/>
        <v>0</v>
      </c>
      <c r="H27" s="123">
        <v>0</v>
      </c>
      <c r="I27" s="123">
        <v>0</v>
      </c>
      <c r="J27" s="36">
        <f t="shared" si="7"/>
        <v>0</v>
      </c>
      <c r="K27" s="37">
        <f t="shared" si="8"/>
        <v>0</v>
      </c>
      <c r="L27" s="37"/>
      <c r="M27" s="37">
        <f t="shared" si="3"/>
        <v>-1.4000000000232831</v>
      </c>
      <c r="N27" s="45"/>
    </row>
    <row r="28" spans="1:14" ht="15">
      <c r="A28" s="26">
        <v>25</v>
      </c>
      <c r="B28" s="27">
        <v>46078</v>
      </c>
      <c r="C28" s="263"/>
      <c r="D28" s="264"/>
      <c r="E28" s="36"/>
      <c r="F28" s="36"/>
      <c r="G28" s="36">
        <f t="shared" si="4"/>
        <v>0</v>
      </c>
      <c r="H28" s="123">
        <v>0</v>
      </c>
      <c r="I28" s="123">
        <v>0</v>
      </c>
      <c r="J28" s="36">
        <f t="shared" si="7"/>
        <v>0</v>
      </c>
      <c r="K28" s="37">
        <f t="shared" si="8"/>
        <v>0</v>
      </c>
      <c r="L28" s="37"/>
      <c r="M28" s="37">
        <f t="shared" si="3"/>
        <v>-1.4000000000232831</v>
      </c>
      <c r="N28" s="45"/>
    </row>
    <row r="29" spans="1:14" ht="15">
      <c r="A29" s="26">
        <v>26</v>
      </c>
      <c r="B29" s="27">
        <v>46079</v>
      </c>
      <c r="C29" s="263"/>
      <c r="D29" s="264"/>
      <c r="E29" s="36"/>
      <c r="F29" s="36"/>
      <c r="G29" s="36">
        <f t="shared" si="4"/>
        <v>0</v>
      </c>
      <c r="H29" s="123">
        <v>0</v>
      </c>
      <c r="I29" s="123">
        <v>0</v>
      </c>
      <c r="J29" s="36">
        <f t="shared" si="7"/>
        <v>0</v>
      </c>
      <c r="K29" s="37">
        <f t="shared" si="8"/>
        <v>0</v>
      </c>
      <c r="L29" s="37"/>
      <c r="M29" s="37">
        <f t="shared" si="3"/>
        <v>-1.4000000000232831</v>
      </c>
      <c r="N29" s="45"/>
    </row>
    <row r="30" spans="1:14" ht="15">
      <c r="A30" s="26">
        <v>27</v>
      </c>
      <c r="B30" s="27">
        <v>46080</v>
      </c>
      <c r="C30" s="263"/>
      <c r="D30" s="264"/>
      <c r="E30" s="36"/>
      <c r="F30" s="36"/>
      <c r="G30" s="36">
        <f t="shared" si="4"/>
        <v>0</v>
      </c>
      <c r="H30" s="123">
        <v>0</v>
      </c>
      <c r="I30" s="123">
        <v>0</v>
      </c>
      <c r="J30" s="36">
        <f t="shared" si="7"/>
        <v>0</v>
      </c>
      <c r="K30" s="37">
        <f t="shared" si="8"/>
        <v>0</v>
      </c>
      <c r="L30" s="37"/>
      <c r="M30" s="37">
        <f t="shared" si="3"/>
        <v>-1.4000000000232831</v>
      </c>
      <c r="N30" s="45"/>
    </row>
    <row r="31" spans="1:14" ht="15">
      <c r="A31" s="26">
        <v>28</v>
      </c>
      <c r="B31" s="27">
        <v>46081</v>
      </c>
      <c r="C31" s="263"/>
      <c r="D31" s="264"/>
      <c r="E31" s="36"/>
      <c r="F31" s="36"/>
      <c r="G31" s="36">
        <f t="shared" si="4"/>
        <v>0</v>
      </c>
      <c r="H31" s="123">
        <v>0</v>
      </c>
      <c r="I31" s="123">
        <v>0</v>
      </c>
      <c r="J31" s="36">
        <f t="shared" si="7"/>
        <v>0</v>
      </c>
      <c r="K31" s="37">
        <f t="shared" si="8"/>
        <v>0</v>
      </c>
      <c r="L31" s="37"/>
      <c r="M31" s="37">
        <f t="shared" si="3"/>
        <v>-1.4000000000232831</v>
      </c>
      <c r="N31" s="45"/>
    </row>
    <row r="32" spans="1:14" ht="15">
      <c r="A32" s="26">
        <v>29</v>
      </c>
      <c r="B32" s="27"/>
      <c r="C32" s="263"/>
      <c r="D32" s="264"/>
      <c r="E32" s="36"/>
      <c r="F32" s="36"/>
      <c r="G32" s="36">
        <f t="shared" si="4"/>
        <v>0</v>
      </c>
      <c r="H32" s="123">
        <v>0</v>
      </c>
      <c r="I32" s="123">
        <v>0</v>
      </c>
      <c r="J32" s="36">
        <f t="shared" si="5"/>
        <v>0</v>
      </c>
      <c r="K32" s="37">
        <f t="shared" si="6"/>
        <v>0</v>
      </c>
      <c r="L32" s="37"/>
      <c r="M32" s="37">
        <f t="shared" si="3"/>
        <v>-1.4000000000232831</v>
      </c>
      <c r="N32" s="45"/>
    </row>
    <row r="33" spans="1:14" ht="15">
      <c r="A33" s="26">
        <v>30</v>
      </c>
      <c r="B33" s="27"/>
      <c r="C33" s="263"/>
      <c r="D33" s="264"/>
      <c r="E33" s="36"/>
      <c r="F33" s="36"/>
      <c r="G33" s="36">
        <f t="shared" si="4"/>
        <v>0</v>
      </c>
      <c r="H33" s="123">
        <v>0</v>
      </c>
      <c r="I33" s="123">
        <v>0</v>
      </c>
      <c r="J33" s="36">
        <f t="shared" si="5"/>
        <v>0</v>
      </c>
      <c r="K33" s="37">
        <f t="shared" si="6"/>
        <v>0</v>
      </c>
      <c r="L33" s="37"/>
      <c r="M33" s="37">
        <f t="shared" si="3"/>
        <v>-1.4000000000232831</v>
      </c>
      <c r="N33" s="45"/>
    </row>
    <row r="34" spans="1:14" ht="15">
      <c r="A34" s="26">
        <v>31</v>
      </c>
      <c r="B34" s="27"/>
      <c r="C34" s="108"/>
      <c r="D34" s="122"/>
      <c r="E34" s="36"/>
      <c r="F34" s="36"/>
      <c r="G34" s="36">
        <f t="shared" si="4"/>
        <v>0</v>
      </c>
      <c r="H34" s="123">
        <v>0</v>
      </c>
      <c r="I34" s="123">
        <v>0</v>
      </c>
      <c r="J34" s="36">
        <f t="shared" si="5"/>
        <v>0</v>
      </c>
      <c r="K34" s="37">
        <f t="shared" si="6"/>
        <v>0</v>
      </c>
      <c r="L34" s="37">
        <v>0</v>
      </c>
      <c r="M34" s="37">
        <f t="shared" si="3"/>
        <v>-1.4000000000232831</v>
      </c>
      <c r="N34" s="45"/>
    </row>
    <row r="35" spans="1:14">
      <c r="A35" s="43"/>
      <c r="B35" s="43"/>
      <c r="C35" s="43"/>
      <c r="D35" s="43"/>
      <c r="E35" s="44">
        <f>SUM(E4:E34)</f>
        <v>0</v>
      </c>
      <c r="F35" s="44"/>
      <c r="G35" s="44">
        <f>SUM(G4:G34)</f>
        <v>0</v>
      </c>
      <c r="H35" s="44">
        <f>SUM(H4:H34)</f>
        <v>0</v>
      </c>
      <c r="I35" s="44"/>
      <c r="J35" s="44">
        <f>SUM(J4:J34)</f>
        <v>0</v>
      </c>
      <c r="K35" s="44">
        <f>SUM(K4:K34)</f>
        <v>0</v>
      </c>
      <c r="L35" s="44">
        <f>SUM(L4:L34)</f>
        <v>2260</v>
      </c>
      <c r="M35" s="44"/>
      <c r="N35" s="44"/>
    </row>
    <row r="36" spans="1:1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>
      <c r="G37" s="40"/>
    </row>
    <row r="38" spans="1:14">
      <c r="B38" s="459"/>
      <c r="C38" s="459"/>
      <c r="D38" s="459"/>
      <c r="E38" s="459"/>
      <c r="I38" s="459"/>
      <c r="J38" s="459"/>
      <c r="K38" s="459"/>
      <c r="L38" s="459"/>
      <c r="M38" s="459"/>
      <c r="N38" s="459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17" workbookViewId="0">
      <selection activeCell="M33" sqref="M33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58" t="s">
        <v>217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25.5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07" t="s">
        <v>162</v>
      </c>
      <c r="L2" s="107" t="s">
        <v>163</v>
      </c>
      <c r="M2" s="107" t="s">
        <v>174</v>
      </c>
      <c r="N2" s="107" t="s">
        <v>165</v>
      </c>
    </row>
    <row r="3" spans="1:14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>
        <v>325898.19690000033</v>
      </c>
      <c r="L3" s="151"/>
      <c r="M3" s="151">
        <v>325898.19690000033</v>
      </c>
      <c r="N3" s="108"/>
    </row>
    <row r="4" spans="1:14">
      <c r="A4" s="26">
        <v>1</v>
      </c>
      <c r="B4" s="27">
        <v>46054</v>
      </c>
      <c r="C4" s="108">
        <v>0</v>
      </c>
      <c r="D4" s="122"/>
      <c r="E4" s="37"/>
      <c r="F4" s="37"/>
      <c r="G4" s="37">
        <f>E4*F4</f>
        <v>0</v>
      </c>
      <c r="H4" s="123"/>
      <c r="I4" s="123"/>
      <c r="J4" s="37">
        <f>H4*I4</f>
        <v>0</v>
      </c>
      <c r="K4" s="37">
        <f>G4+J4</f>
        <v>0</v>
      </c>
      <c r="L4" s="37"/>
      <c r="M4" s="37">
        <f t="shared" ref="M4:M33" si="0">M3+K4-L4</f>
        <v>325898.19690000033</v>
      </c>
      <c r="N4" s="45"/>
    </row>
    <row r="5" spans="1:14">
      <c r="A5" s="26">
        <v>2</v>
      </c>
      <c r="B5" s="27">
        <v>46055</v>
      </c>
      <c r="C5" s="108">
        <v>0</v>
      </c>
      <c r="D5" s="122"/>
      <c r="E5" s="37">
        <v>1700</v>
      </c>
      <c r="F5" s="37">
        <v>91.55</v>
      </c>
      <c r="G5" s="37">
        <f t="shared" ref="G5:G31" si="1">E5*F5</f>
        <v>155635</v>
      </c>
      <c r="H5" s="123">
        <v>70</v>
      </c>
      <c r="I5" s="123">
        <v>103.73</v>
      </c>
      <c r="J5" s="37">
        <f t="shared" ref="J5:J31" si="2">H5*I5</f>
        <v>7261.1</v>
      </c>
      <c r="K5" s="37">
        <f t="shared" ref="K5:K31" si="3">G5+J5</f>
        <v>162896.1</v>
      </c>
      <c r="L5" s="37">
        <v>325898.19690000033</v>
      </c>
      <c r="M5" s="37">
        <f t="shared" si="0"/>
        <v>162896.09999999998</v>
      </c>
      <c r="N5" s="45"/>
    </row>
    <row r="6" spans="1:14">
      <c r="A6" s="26">
        <v>3</v>
      </c>
      <c r="B6" s="27">
        <v>46056</v>
      </c>
      <c r="C6" s="108">
        <v>0</v>
      </c>
      <c r="D6" s="122"/>
      <c r="E6" s="37"/>
      <c r="F6" s="37"/>
      <c r="G6" s="37">
        <f t="shared" si="1"/>
        <v>0</v>
      </c>
      <c r="H6" s="123"/>
      <c r="I6" s="123"/>
      <c r="J6" s="37">
        <f t="shared" si="2"/>
        <v>0</v>
      </c>
      <c r="K6" s="37">
        <f t="shared" si="3"/>
        <v>0</v>
      </c>
      <c r="L6" s="37"/>
      <c r="M6" s="37">
        <f t="shared" si="0"/>
        <v>162896.09999999998</v>
      </c>
      <c r="N6" s="45"/>
    </row>
    <row r="7" spans="1:14">
      <c r="A7" s="26">
        <v>4</v>
      </c>
      <c r="B7" s="27">
        <v>46057</v>
      </c>
      <c r="C7" s="108">
        <v>0</v>
      </c>
      <c r="D7" s="122"/>
      <c r="E7" s="37"/>
      <c r="F7" s="37"/>
      <c r="G7" s="37">
        <f t="shared" si="1"/>
        <v>0</v>
      </c>
      <c r="H7" s="123"/>
      <c r="I7" s="123"/>
      <c r="J7" s="37">
        <f t="shared" si="2"/>
        <v>0</v>
      </c>
      <c r="K7" s="37">
        <f t="shared" si="3"/>
        <v>0</v>
      </c>
      <c r="L7" s="37"/>
      <c r="M7" s="37">
        <f t="shared" si="0"/>
        <v>162896.09999999998</v>
      </c>
      <c r="N7" s="45"/>
    </row>
    <row r="8" spans="1:14">
      <c r="A8" s="26">
        <v>5</v>
      </c>
      <c r="B8" s="27">
        <v>46058</v>
      </c>
      <c r="C8" s="108">
        <v>0</v>
      </c>
      <c r="D8" s="122"/>
      <c r="E8" s="37"/>
      <c r="F8" s="37"/>
      <c r="G8" s="37">
        <f t="shared" si="1"/>
        <v>0</v>
      </c>
      <c r="H8" s="123"/>
      <c r="I8" s="123"/>
      <c r="J8" s="37">
        <f t="shared" si="2"/>
        <v>0</v>
      </c>
      <c r="K8" s="37">
        <f t="shared" si="3"/>
        <v>0</v>
      </c>
      <c r="L8" s="37"/>
      <c r="M8" s="37">
        <f t="shared" si="0"/>
        <v>162896.09999999998</v>
      </c>
      <c r="N8" s="45"/>
    </row>
    <row r="9" spans="1:14">
      <c r="A9" s="26">
        <v>6</v>
      </c>
      <c r="B9" s="27">
        <v>46059</v>
      </c>
      <c r="C9" s="108">
        <v>0</v>
      </c>
      <c r="D9" s="122"/>
      <c r="E9" s="37"/>
      <c r="F9" s="37"/>
      <c r="G9" s="37">
        <f t="shared" si="1"/>
        <v>0</v>
      </c>
      <c r="H9" s="123"/>
      <c r="I9" s="123"/>
      <c r="J9" s="37">
        <f t="shared" si="2"/>
        <v>0</v>
      </c>
      <c r="K9" s="37">
        <f t="shared" si="3"/>
        <v>0</v>
      </c>
      <c r="L9" s="37"/>
      <c r="M9" s="37">
        <f t="shared" si="0"/>
        <v>162896.09999999998</v>
      </c>
      <c r="N9" s="45"/>
    </row>
    <row r="10" spans="1:14">
      <c r="A10" s="26">
        <v>7</v>
      </c>
      <c r="B10" s="27">
        <v>46060</v>
      </c>
      <c r="C10" s="108">
        <v>0</v>
      </c>
      <c r="D10" s="122"/>
      <c r="E10" s="37"/>
      <c r="F10" s="37"/>
      <c r="G10" s="37">
        <f t="shared" si="1"/>
        <v>0</v>
      </c>
      <c r="H10" s="123"/>
      <c r="I10" s="123"/>
      <c r="J10" s="37">
        <f t="shared" si="2"/>
        <v>0</v>
      </c>
      <c r="K10" s="37">
        <f t="shared" si="3"/>
        <v>0</v>
      </c>
      <c r="L10" s="37"/>
      <c r="M10" s="37">
        <f t="shared" si="0"/>
        <v>162896.09999999998</v>
      </c>
      <c r="N10" s="45"/>
    </row>
    <row r="11" spans="1:14">
      <c r="A11" s="26">
        <v>8</v>
      </c>
      <c r="B11" s="27">
        <v>46061</v>
      </c>
      <c r="C11" s="108">
        <v>0</v>
      </c>
      <c r="D11" s="122"/>
      <c r="E11" s="37"/>
      <c r="F11" s="37"/>
      <c r="G11" s="37">
        <f t="shared" si="1"/>
        <v>0</v>
      </c>
      <c r="H11" s="123"/>
      <c r="I11" s="123"/>
      <c r="J11" s="37">
        <f t="shared" si="2"/>
        <v>0</v>
      </c>
      <c r="K11" s="37">
        <f t="shared" si="3"/>
        <v>0</v>
      </c>
      <c r="L11" s="37"/>
      <c r="M11" s="37">
        <f t="shared" si="0"/>
        <v>162896.09999999998</v>
      </c>
      <c r="N11" s="45"/>
    </row>
    <row r="12" spans="1:14">
      <c r="A12" s="26">
        <v>9</v>
      </c>
      <c r="B12" s="27">
        <v>46062</v>
      </c>
      <c r="C12" s="108">
        <v>0</v>
      </c>
      <c r="D12" s="122"/>
      <c r="E12" s="37"/>
      <c r="F12" s="37"/>
      <c r="G12" s="37">
        <f t="shared" si="1"/>
        <v>0</v>
      </c>
      <c r="H12" s="123"/>
      <c r="I12" s="123"/>
      <c r="J12" s="37">
        <f t="shared" si="2"/>
        <v>0</v>
      </c>
      <c r="K12" s="37">
        <f t="shared" si="3"/>
        <v>0</v>
      </c>
      <c r="L12" s="37"/>
      <c r="M12" s="37">
        <f t="shared" si="0"/>
        <v>162896.09999999998</v>
      </c>
      <c r="N12" s="45"/>
    </row>
    <row r="13" spans="1:14">
      <c r="A13" s="26">
        <v>10</v>
      </c>
      <c r="B13" s="27">
        <v>46063</v>
      </c>
      <c r="C13" s="108">
        <v>0</v>
      </c>
      <c r="D13" s="122"/>
      <c r="E13" s="37">
        <v>1800</v>
      </c>
      <c r="F13" s="37">
        <v>91.55</v>
      </c>
      <c r="G13" s="37">
        <f t="shared" si="1"/>
        <v>164790</v>
      </c>
      <c r="H13" s="123">
        <v>70</v>
      </c>
      <c r="I13" s="123">
        <v>103.73</v>
      </c>
      <c r="J13" s="37">
        <f t="shared" si="2"/>
        <v>7261.1</v>
      </c>
      <c r="K13" s="37">
        <f t="shared" si="3"/>
        <v>172051.1</v>
      </c>
      <c r="L13" s="37"/>
      <c r="M13" s="37">
        <f t="shared" si="0"/>
        <v>334947.19999999995</v>
      </c>
      <c r="N13" s="45"/>
    </row>
    <row r="14" spans="1:14">
      <c r="A14" s="26">
        <v>11</v>
      </c>
      <c r="B14" s="27">
        <v>46064</v>
      </c>
      <c r="C14" s="108">
        <v>0</v>
      </c>
      <c r="D14" s="122"/>
      <c r="E14" s="37"/>
      <c r="F14" s="37"/>
      <c r="G14" s="37">
        <f t="shared" si="1"/>
        <v>0</v>
      </c>
      <c r="H14" s="123"/>
      <c r="I14" s="123"/>
      <c r="J14" s="37">
        <f t="shared" si="2"/>
        <v>0</v>
      </c>
      <c r="K14" s="37">
        <f t="shared" si="3"/>
        <v>0</v>
      </c>
      <c r="L14" s="37"/>
      <c r="M14" s="37">
        <f t="shared" si="0"/>
        <v>334947.19999999995</v>
      </c>
      <c r="N14" s="45"/>
    </row>
    <row r="15" spans="1:14">
      <c r="A15" s="26">
        <v>12</v>
      </c>
      <c r="B15" s="27">
        <v>46065</v>
      </c>
      <c r="C15" s="108">
        <v>0</v>
      </c>
      <c r="D15" s="122"/>
      <c r="E15" s="37"/>
      <c r="F15" s="37"/>
      <c r="G15" s="37">
        <f t="shared" si="1"/>
        <v>0</v>
      </c>
      <c r="H15" s="123"/>
      <c r="I15" s="123"/>
      <c r="J15" s="37">
        <f t="shared" si="2"/>
        <v>0</v>
      </c>
      <c r="K15" s="37">
        <f t="shared" si="3"/>
        <v>0</v>
      </c>
      <c r="L15" s="37"/>
      <c r="M15" s="37">
        <f t="shared" si="0"/>
        <v>334947.19999999995</v>
      </c>
      <c r="N15" s="45"/>
    </row>
    <row r="16" spans="1:14">
      <c r="A16" s="26">
        <v>13</v>
      </c>
      <c r="B16" s="27">
        <v>46066</v>
      </c>
      <c r="C16" s="108">
        <v>0</v>
      </c>
      <c r="D16" s="122"/>
      <c r="E16" s="37"/>
      <c r="F16" s="37"/>
      <c r="G16" s="37">
        <f t="shared" si="1"/>
        <v>0</v>
      </c>
      <c r="H16" s="123"/>
      <c r="I16" s="123"/>
      <c r="J16" s="37">
        <f t="shared" si="2"/>
        <v>0</v>
      </c>
      <c r="K16" s="37">
        <f t="shared" si="3"/>
        <v>0</v>
      </c>
      <c r="L16" s="37"/>
      <c r="M16" s="37">
        <f t="shared" si="0"/>
        <v>334947.19999999995</v>
      </c>
      <c r="N16" s="45"/>
    </row>
    <row r="17" spans="1:14">
      <c r="A17" s="26">
        <v>14</v>
      </c>
      <c r="B17" s="27">
        <v>46067</v>
      </c>
      <c r="C17" s="108">
        <v>0</v>
      </c>
      <c r="D17" s="122"/>
      <c r="E17" s="37"/>
      <c r="F17" s="37"/>
      <c r="G17" s="37">
        <f t="shared" si="1"/>
        <v>0</v>
      </c>
      <c r="H17" s="123"/>
      <c r="I17" s="123"/>
      <c r="J17" s="37">
        <f t="shared" si="2"/>
        <v>0</v>
      </c>
      <c r="K17" s="37">
        <f t="shared" si="3"/>
        <v>0</v>
      </c>
      <c r="L17" s="37"/>
      <c r="M17" s="37">
        <f t="shared" si="0"/>
        <v>334947.19999999995</v>
      </c>
      <c r="N17" s="45"/>
    </row>
    <row r="18" spans="1:14">
      <c r="A18" s="26">
        <v>15</v>
      </c>
      <c r="B18" s="27">
        <v>46068</v>
      </c>
      <c r="C18" s="108">
        <v>0</v>
      </c>
      <c r="D18" s="122"/>
      <c r="E18" s="37"/>
      <c r="F18" s="37"/>
      <c r="G18" s="37">
        <f t="shared" si="1"/>
        <v>0</v>
      </c>
      <c r="H18" s="123"/>
      <c r="I18" s="123"/>
      <c r="J18" s="37">
        <f t="shared" si="2"/>
        <v>0</v>
      </c>
      <c r="K18" s="37">
        <f t="shared" si="3"/>
        <v>0</v>
      </c>
      <c r="L18" s="37"/>
      <c r="M18" s="37">
        <f t="shared" si="0"/>
        <v>334947.19999999995</v>
      </c>
      <c r="N18" s="45"/>
    </row>
    <row r="19" spans="1:14">
      <c r="A19" s="26">
        <v>16</v>
      </c>
      <c r="B19" s="27">
        <v>46069</v>
      </c>
      <c r="C19" s="108">
        <v>0</v>
      </c>
      <c r="D19" s="122"/>
      <c r="E19" s="37"/>
      <c r="F19" s="37"/>
      <c r="G19" s="37">
        <f t="shared" si="1"/>
        <v>0</v>
      </c>
      <c r="H19" s="123"/>
      <c r="I19" s="123"/>
      <c r="J19" s="37">
        <f t="shared" si="2"/>
        <v>0</v>
      </c>
      <c r="K19" s="37">
        <f t="shared" si="3"/>
        <v>0</v>
      </c>
      <c r="L19" s="37"/>
      <c r="M19" s="37">
        <f t="shared" si="0"/>
        <v>334947.19999999995</v>
      </c>
      <c r="N19" s="45"/>
    </row>
    <row r="20" spans="1:14">
      <c r="A20" s="26">
        <v>17</v>
      </c>
      <c r="B20" s="27">
        <v>46070</v>
      </c>
      <c r="C20" s="108">
        <v>0</v>
      </c>
      <c r="D20" s="122"/>
      <c r="E20" s="37"/>
      <c r="F20" s="37"/>
      <c r="G20" s="37">
        <f t="shared" si="1"/>
        <v>0</v>
      </c>
      <c r="H20" s="123"/>
      <c r="I20" s="123"/>
      <c r="J20" s="37">
        <f t="shared" si="2"/>
        <v>0</v>
      </c>
      <c r="K20" s="37">
        <f t="shared" si="3"/>
        <v>0</v>
      </c>
      <c r="L20" s="37"/>
      <c r="M20" s="37">
        <f t="shared" si="0"/>
        <v>334947.19999999995</v>
      </c>
      <c r="N20" s="45"/>
    </row>
    <row r="21" spans="1:14">
      <c r="A21" s="26">
        <v>18</v>
      </c>
      <c r="B21" s="27">
        <v>46071</v>
      </c>
      <c r="C21" s="108">
        <v>0</v>
      </c>
      <c r="D21" s="122"/>
      <c r="E21" s="37"/>
      <c r="F21" s="37"/>
      <c r="G21" s="37">
        <f t="shared" si="1"/>
        <v>0</v>
      </c>
      <c r="H21" s="123"/>
      <c r="I21" s="123"/>
      <c r="J21" s="37">
        <f t="shared" si="2"/>
        <v>0</v>
      </c>
      <c r="K21" s="37">
        <f t="shared" si="3"/>
        <v>0</v>
      </c>
      <c r="L21" s="37"/>
      <c r="M21" s="37">
        <f t="shared" si="0"/>
        <v>334947.19999999995</v>
      </c>
      <c r="N21" s="45"/>
    </row>
    <row r="22" spans="1:14">
      <c r="A22" s="26">
        <v>19</v>
      </c>
      <c r="B22" s="27">
        <v>46072</v>
      </c>
      <c r="C22" s="108">
        <v>0</v>
      </c>
      <c r="D22" s="122"/>
      <c r="E22" s="37">
        <v>2000</v>
      </c>
      <c r="F22" s="37">
        <v>91.55</v>
      </c>
      <c r="G22" s="37">
        <f t="shared" si="1"/>
        <v>183100</v>
      </c>
      <c r="H22" s="123">
        <v>70</v>
      </c>
      <c r="I22" s="123">
        <v>103.73</v>
      </c>
      <c r="J22" s="37">
        <f t="shared" si="2"/>
        <v>7261.1</v>
      </c>
      <c r="K22" s="37">
        <f t="shared" si="3"/>
        <v>190361.1</v>
      </c>
      <c r="L22" s="37"/>
      <c r="M22" s="37">
        <f t="shared" si="0"/>
        <v>525308.29999999993</v>
      </c>
      <c r="N22" s="45"/>
    </row>
    <row r="23" spans="1:14">
      <c r="A23" s="26">
        <v>20</v>
      </c>
      <c r="B23" s="27">
        <v>46073</v>
      </c>
      <c r="C23" s="108">
        <v>0</v>
      </c>
      <c r="D23" s="122"/>
      <c r="E23" s="37"/>
      <c r="F23" s="37"/>
      <c r="G23" s="37">
        <f t="shared" si="1"/>
        <v>0</v>
      </c>
      <c r="H23" s="123"/>
      <c r="I23" s="123"/>
      <c r="J23" s="37">
        <f t="shared" si="2"/>
        <v>0</v>
      </c>
      <c r="K23" s="37">
        <f t="shared" si="3"/>
        <v>0</v>
      </c>
      <c r="L23" s="37"/>
      <c r="M23" s="37">
        <f t="shared" si="0"/>
        <v>525308.29999999993</v>
      </c>
      <c r="N23" s="45"/>
    </row>
    <row r="24" spans="1:14">
      <c r="A24" s="26">
        <v>21</v>
      </c>
      <c r="B24" s="27">
        <v>46074</v>
      </c>
      <c r="C24" s="108">
        <v>0</v>
      </c>
      <c r="D24" s="122"/>
      <c r="E24" s="37"/>
      <c r="F24" s="37"/>
      <c r="G24" s="37">
        <f t="shared" si="1"/>
        <v>0</v>
      </c>
      <c r="H24" s="123"/>
      <c r="I24" s="123"/>
      <c r="J24" s="37">
        <f t="shared" si="2"/>
        <v>0</v>
      </c>
      <c r="K24" s="37">
        <f t="shared" si="3"/>
        <v>0</v>
      </c>
      <c r="L24" s="37"/>
      <c r="M24" s="37">
        <f t="shared" si="0"/>
        <v>525308.29999999993</v>
      </c>
      <c r="N24" s="45"/>
    </row>
    <row r="25" spans="1:14">
      <c r="A25" s="26">
        <v>22</v>
      </c>
      <c r="B25" s="27">
        <v>46075</v>
      </c>
      <c r="C25" s="108">
        <v>0</v>
      </c>
      <c r="D25" s="122"/>
      <c r="E25" s="37"/>
      <c r="F25" s="37"/>
      <c r="G25" s="37">
        <f t="shared" si="1"/>
        <v>0</v>
      </c>
      <c r="H25" s="123"/>
      <c r="I25" s="123"/>
      <c r="J25" s="37">
        <f t="shared" si="2"/>
        <v>0</v>
      </c>
      <c r="K25" s="37">
        <f t="shared" si="3"/>
        <v>0</v>
      </c>
      <c r="L25" s="37"/>
      <c r="M25" s="37">
        <f t="shared" si="0"/>
        <v>525308.29999999993</v>
      </c>
      <c r="N25" s="45"/>
    </row>
    <row r="26" spans="1:14">
      <c r="A26" s="26">
        <v>23</v>
      </c>
      <c r="B26" s="27">
        <v>46076</v>
      </c>
      <c r="C26" s="108">
        <v>0</v>
      </c>
      <c r="D26" s="122"/>
      <c r="E26" s="37"/>
      <c r="F26" s="37"/>
      <c r="G26" s="37">
        <f t="shared" si="1"/>
        <v>0</v>
      </c>
      <c r="H26" s="123"/>
      <c r="I26" s="123"/>
      <c r="J26" s="37">
        <f t="shared" si="2"/>
        <v>0</v>
      </c>
      <c r="K26" s="37">
        <f t="shared" si="3"/>
        <v>0</v>
      </c>
      <c r="L26" s="37"/>
      <c r="M26" s="37">
        <f t="shared" si="0"/>
        <v>525308.29999999993</v>
      </c>
      <c r="N26" s="45"/>
    </row>
    <row r="27" spans="1:14">
      <c r="A27" s="26">
        <v>24</v>
      </c>
      <c r="B27" s="27">
        <v>46077</v>
      </c>
      <c r="C27" s="108">
        <v>0</v>
      </c>
      <c r="D27" s="122"/>
      <c r="E27" s="37"/>
      <c r="F27" s="37"/>
      <c r="G27" s="37">
        <f t="shared" si="1"/>
        <v>0</v>
      </c>
      <c r="H27" s="123"/>
      <c r="I27" s="123"/>
      <c r="J27" s="37">
        <f t="shared" si="2"/>
        <v>0</v>
      </c>
      <c r="K27" s="37">
        <f t="shared" si="3"/>
        <v>0</v>
      </c>
      <c r="L27" s="37"/>
      <c r="M27" s="37">
        <f t="shared" si="0"/>
        <v>525308.29999999993</v>
      </c>
      <c r="N27" s="45"/>
    </row>
    <row r="28" spans="1:14">
      <c r="A28" s="26">
        <v>25</v>
      </c>
      <c r="B28" s="27">
        <v>46078</v>
      </c>
      <c r="C28" s="108">
        <v>0</v>
      </c>
      <c r="D28" s="122"/>
      <c r="E28" s="37"/>
      <c r="F28" s="37"/>
      <c r="G28" s="37">
        <f t="shared" si="1"/>
        <v>0</v>
      </c>
      <c r="H28" s="123"/>
      <c r="I28" s="123"/>
      <c r="J28" s="37">
        <f t="shared" si="2"/>
        <v>0</v>
      </c>
      <c r="K28" s="37">
        <f t="shared" si="3"/>
        <v>0</v>
      </c>
      <c r="L28" s="37"/>
      <c r="M28" s="37">
        <f t="shared" si="0"/>
        <v>525308.29999999993</v>
      </c>
      <c r="N28" s="45"/>
    </row>
    <row r="29" spans="1:14">
      <c r="A29" s="26">
        <v>26</v>
      </c>
      <c r="B29" s="27">
        <v>46079</v>
      </c>
      <c r="C29" s="108">
        <v>0</v>
      </c>
      <c r="D29" s="122"/>
      <c r="E29" s="37">
        <v>1800</v>
      </c>
      <c r="F29" s="37">
        <v>91.55</v>
      </c>
      <c r="G29" s="37">
        <f t="shared" si="1"/>
        <v>164790</v>
      </c>
      <c r="H29" s="123">
        <v>70</v>
      </c>
      <c r="I29" s="123">
        <v>103.73</v>
      </c>
      <c r="J29" s="37">
        <f t="shared" si="2"/>
        <v>7261.1</v>
      </c>
      <c r="K29" s="37">
        <f t="shared" si="3"/>
        <v>172051.1</v>
      </c>
      <c r="L29" s="37">
        <v>500000</v>
      </c>
      <c r="M29" s="37">
        <f t="shared" si="0"/>
        <v>197359.39999999991</v>
      </c>
      <c r="N29" s="45"/>
    </row>
    <row r="30" spans="1:14">
      <c r="A30" s="26">
        <v>27</v>
      </c>
      <c r="B30" s="27">
        <v>46080</v>
      </c>
      <c r="C30" s="108">
        <v>0</v>
      </c>
      <c r="D30" s="122"/>
      <c r="E30" s="37"/>
      <c r="F30" s="37"/>
      <c r="G30" s="37">
        <f t="shared" si="1"/>
        <v>0</v>
      </c>
      <c r="H30" s="123"/>
      <c r="I30" s="123"/>
      <c r="J30" s="37">
        <f t="shared" si="2"/>
        <v>0</v>
      </c>
      <c r="K30" s="37">
        <f t="shared" si="3"/>
        <v>0</v>
      </c>
      <c r="L30" s="37"/>
      <c r="M30" s="37">
        <f t="shared" si="0"/>
        <v>197359.39999999991</v>
      </c>
      <c r="N30" s="45"/>
    </row>
    <row r="31" spans="1:14">
      <c r="A31" s="26">
        <v>28</v>
      </c>
      <c r="B31" s="27">
        <v>46081</v>
      </c>
      <c r="C31" s="108">
        <v>0</v>
      </c>
      <c r="D31" s="122"/>
      <c r="E31" s="37"/>
      <c r="F31" s="37"/>
      <c r="G31" s="37">
        <f t="shared" si="1"/>
        <v>0</v>
      </c>
      <c r="H31" s="123"/>
      <c r="I31" s="123"/>
      <c r="J31" s="37">
        <f t="shared" si="2"/>
        <v>0</v>
      </c>
      <c r="K31" s="37">
        <f t="shared" si="3"/>
        <v>0</v>
      </c>
      <c r="L31" s="37"/>
      <c r="M31" s="37">
        <f t="shared" si="0"/>
        <v>197359.39999999991</v>
      </c>
      <c r="N31" s="45"/>
    </row>
    <row r="32" spans="1:14">
      <c r="A32" s="26">
        <v>29</v>
      </c>
      <c r="B32" s="27"/>
      <c r="C32" s="108">
        <v>0</v>
      </c>
      <c r="D32" s="122"/>
      <c r="E32" s="37"/>
      <c r="F32" s="37"/>
      <c r="G32" s="37">
        <f t="shared" ref="G5:G33" si="4">E32*F32</f>
        <v>0</v>
      </c>
      <c r="H32" s="123"/>
      <c r="I32" s="123"/>
      <c r="J32" s="37">
        <f t="shared" ref="J5:J33" si="5">H32*I32</f>
        <v>0</v>
      </c>
      <c r="K32" s="37">
        <f t="shared" ref="K5:K33" si="6">G32+J32</f>
        <v>0</v>
      </c>
      <c r="L32" s="37"/>
      <c r="M32" s="37">
        <f t="shared" si="0"/>
        <v>197359.39999999991</v>
      </c>
      <c r="N32" s="45"/>
    </row>
    <row r="33" spans="1:14">
      <c r="A33" s="26">
        <v>30</v>
      </c>
      <c r="B33" s="27"/>
      <c r="C33" s="108">
        <v>0</v>
      </c>
      <c r="D33" s="122"/>
      <c r="E33" s="37"/>
      <c r="F33" s="37"/>
      <c r="G33" s="37">
        <f t="shared" si="4"/>
        <v>0</v>
      </c>
      <c r="H33" s="123"/>
      <c r="I33" s="123"/>
      <c r="J33" s="37">
        <f t="shared" si="5"/>
        <v>0</v>
      </c>
      <c r="K33" s="37">
        <f t="shared" si="6"/>
        <v>0</v>
      </c>
      <c r="L33" s="37">
        <v>0</v>
      </c>
      <c r="M33" s="37">
        <f t="shared" si="0"/>
        <v>197359.39999999991</v>
      </c>
      <c r="N33" s="45"/>
    </row>
    <row r="34" spans="1:14">
      <c r="A34" s="26">
        <v>31</v>
      </c>
      <c r="B34" s="27"/>
      <c r="C34" s="108"/>
      <c r="D34" s="122"/>
      <c r="E34" s="37"/>
      <c r="F34" s="37"/>
      <c r="G34" s="37"/>
      <c r="H34" s="123"/>
      <c r="I34" s="123"/>
      <c r="J34" s="37"/>
      <c r="K34" s="37"/>
      <c r="L34" s="37"/>
      <c r="M34" s="37"/>
      <c r="N34" s="45"/>
    </row>
    <row r="35" spans="1:14">
      <c r="A35" s="43"/>
      <c r="B35" s="43"/>
      <c r="C35" s="43"/>
      <c r="D35" s="43"/>
      <c r="E35" s="44">
        <f>SUM(E4:E34)</f>
        <v>7300</v>
      </c>
      <c r="F35" s="44"/>
      <c r="G35" s="44">
        <f>SUM(G4:G34)</f>
        <v>668315</v>
      </c>
      <c r="H35" s="44">
        <f>SUM(H4:H34)</f>
        <v>280</v>
      </c>
      <c r="I35" s="44"/>
      <c r="J35" s="44">
        <f>SUM(J4:J34)</f>
        <v>29044.400000000001</v>
      </c>
      <c r="K35" s="44">
        <f>SUM(K4:K34)</f>
        <v>697359.4</v>
      </c>
      <c r="L35" s="44">
        <f>SUM(L4:L34)</f>
        <v>825898.19690000033</v>
      </c>
      <c r="M35" s="44"/>
      <c r="N35" s="44"/>
    </row>
  </sheetData>
  <mergeCells count="2">
    <mergeCell ref="A1:N1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30" activePane="bottomLeft" state="frozen"/>
      <selection pane="bottomLeft" activeCell="M34" sqref="M34"/>
    </sheetView>
  </sheetViews>
  <sheetFormatPr defaultColWidth="9.28515625" defaultRowHeight="15"/>
  <cols>
    <col min="1" max="1" width="5.42578125" style="52" bestFit="1" customWidth="1"/>
    <col min="2" max="2" width="11" style="52" bestFit="1" customWidth="1"/>
    <col min="3" max="3" width="7.140625" style="52" bestFit="1" customWidth="1"/>
    <col min="4" max="4" width="15.140625" style="52" bestFit="1" customWidth="1"/>
    <col min="5" max="5" width="9.28515625" style="52"/>
    <col min="6" max="6" width="9.85546875" style="52" bestFit="1" customWidth="1"/>
    <col min="7" max="7" width="10.42578125" style="52" bestFit="1" customWidth="1"/>
    <col min="8" max="8" width="9.28515625" style="52"/>
    <col min="9" max="9" width="7.140625" style="52" bestFit="1" customWidth="1"/>
    <col min="10" max="10" width="9.5703125" style="52" bestFit="1" customWidth="1"/>
    <col min="11" max="11" width="12.28515625" style="52" customWidth="1"/>
    <col min="12" max="12" width="11.7109375" style="52" bestFit="1" customWidth="1"/>
    <col min="13" max="13" width="11.7109375" style="52" customWidth="1"/>
    <col min="14" max="14" width="17.7109375" style="52" bestFit="1" customWidth="1"/>
    <col min="15" max="16384" width="9.28515625" style="52"/>
  </cols>
  <sheetData>
    <row r="1" spans="1:15" ht="15.75">
      <c r="A1" s="460" t="s">
        <v>40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</row>
    <row r="2" spans="1:15" ht="25.5">
      <c r="A2" s="88" t="s">
        <v>101</v>
      </c>
      <c r="B2" s="89" t="s">
        <v>155</v>
      </c>
      <c r="C2" s="89" t="s">
        <v>156</v>
      </c>
      <c r="D2" s="89" t="s">
        <v>157</v>
      </c>
      <c r="E2" s="89" t="s">
        <v>158</v>
      </c>
      <c r="F2" s="89" t="s">
        <v>159</v>
      </c>
      <c r="G2" s="89" t="s">
        <v>160</v>
      </c>
      <c r="H2" s="89" t="s">
        <v>161</v>
      </c>
      <c r="I2" s="89" t="s">
        <v>159</v>
      </c>
      <c r="J2" s="113" t="s">
        <v>160</v>
      </c>
      <c r="K2" s="115" t="s">
        <v>162</v>
      </c>
      <c r="L2" s="116" t="s">
        <v>163</v>
      </c>
      <c r="M2" s="117" t="s">
        <v>174</v>
      </c>
      <c r="N2" s="90" t="s">
        <v>165</v>
      </c>
      <c r="O2" s="33"/>
    </row>
    <row r="3" spans="1:15" ht="15.75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53">
        <v>219486.1</v>
      </c>
      <c r="L3" s="124"/>
      <c r="M3" s="121">
        <f>+K3</f>
        <v>219486.1</v>
      </c>
      <c r="N3" s="51"/>
    </row>
    <row r="4" spans="1:15" ht="15.75">
      <c r="A4" s="26">
        <v>1</v>
      </c>
      <c r="B4" s="27">
        <v>46054</v>
      </c>
      <c r="C4" s="119"/>
      <c r="D4" s="120"/>
      <c r="E4" s="80"/>
      <c r="F4" s="118"/>
      <c r="G4" s="118">
        <f>E4*F4</f>
        <v>0</v>
      </c>
      <c r="H4" s="118"/>
      <c r="I4" s="118"/>
      <c r="J4" s="118">
        <f>H4*I4</f>
        <v>0</v>
      </c>
      <c r="K4" s="118">
        <f>G4+J4</f>
        <v>0</v>
      </c>
      <c r="L4" s="118"/>
      <c r="M4" s="124">
        <f>M3+K4-L4</f>
        <v>219486.1</v>
      </c>
      <c r="N4" s="118"/>
    </row>
    <row r="5" spans="1:15" ht="15.75">
      <c r="A5" s="26">
        <v>2</v>
      </c>
      <c r="B5" s="27">
        <v>46055</v>
      </c>
      <c r="C5" s="23"/>
      <c r="D5" s="24"/>
      <c r="E5" s="80"/>
      <c r="F5" s="118"/>
      <c r="G5" s="118">
        <f t="shared" ref="G5:G33" si="0">E5*F5</f>
        <v>0</v>
      </c>
      <c r="H5" s="118"/>
      <c r="I5" s="118"/>
      <c r="J5" s="118">
        <f t="shared" ref="J5:J33" si="1">H5*I5</f>
        <v>0</v>
      </c>
      <c r="K5" s="118">
        <f t="shared" ref="K5:K33" si="2">G5+J5</f>
        <v>0</v>
      </c>
      <c r="L5" s="118">
        <v>219486</v>
      </c>
      <c r="M5" s="124">
        <f>M4+K5-L5</f>
        <v>0.10000000000582077</v>
      </c>
      <c r="N5" s="45"/>
    </row>
    <row r="6" spans="1:15" ht="18.75" customHeight="1">
      <c r="A6" s="26">
        <v>3</v>
      </c>
      <c r="B6" s="27">
        <v>46056</v>
      </c>
      <c r="C6" s="210"/>
      <c r="D6" s="191"/>
      <c r="E6" s="80"/>
      <c r="F6" s="118"/>
      <c r="G6" s="118">
        <f t="shared" ref="G6:G33" si="3">E6*F6</f>
        <v>0</v>
      </c>
      <c r="H6" s="118">
        <v>70</v>
      </c>
      <c r="I6" s="118">
        <v>104.13</v>
      </c>
      <c r="J6" s="118">
        <f t="shared" ref="J6:J33" si="4">H6*I6</f>
        <v>7289.0999999999995</v>
      </c>
      <c r="K6" s="118">
        <f t="shared" ref="K6:K33" si="5">G6+J6</f>
        <v>7289.0999999999995</v>
      </c>
      <c r="L6" s="118"/>
      <c r="M6" s="124">
        <f>M5+K6-L6</f>
        <v>7289.2000000000053</v>
      </c>
      <c r="N6" s="51"/>
    </row>
    <row r="7" spans="1:15" ht="15.75">
      <c r="A7" s="26">
        <v>4</v>
      </c>
      <c r="B7" s="27">
        <v>46057</v>
      </c>
      <c r="C7" s="208"/>
      <c r="D7" s="209"/>
      <c r="E7" s="80"/>
      <c r="F7" s="118"/>
      <c r="G7" s="118">
        <f t="shared" si="3"/>
        <v>0</v>
      </c>
      <c r="H7" s="118"/>
      <c r="I7" s="118"/>
      <c r="J7" s="118">
        <f t="shared" si="4"/>
        <v>0</v>
      </c>
      <c r="K7" s="118">
        <f t="shared" si="5"/>
        <v>0</v>
      </c>
      <c r="L7" s="118"/>
      <c r="M7" s="124">
        <f>M6+K7-L7</f>
        <v>7289.2000000000053</v>
      </c>
      <c r="N7" s="45"/>
    </row>
    <row r="8" spans="1:15" ht="15.75" customHeight="1">
      <c r="A8" s="26">
        <v>5</v>
      </c>
      <c r="B8" s="27">
        <v>46058</v>
      </c>
      <c r="C8" s="118"/>
      <c r="D8" s="118"/>
      <c r="E8" s="80"/>
      <c r="F8" s="118"/>
      <c r="G8" s="118">
        <f t="shared" si="3"/>
        <v>0</v>
      </c>
      <c r="H8" s="118"/>
      <c r="I8" s="118"/>
      <c r="J8" s="118">
        <f t="shared" si="4"/>
        <v>0</v>
      </c>
      <c r="K8" s="118">
        <f t="shared" si="5"/>
        <v>0</v>
      </c>
      <c r="L8" s="118"/>
      <c r="M8" s="124">
        <f t="shared" ref="M8:M34" si="6">M7+K8-L8</f>
        <v>7289.2000000000053</v>
      </c>
      <c r="N8" s="51"/>
    </row>
    <row r="9" spans="1:15" ht="15.75" customHeight="1">
      <c r="A9" s="26">
        <v>6</v>
      </c>
      <c r="B9" s="27">
        <v>46059</v>
      </c>
      <c r="C9" s="51"/>
      <c r="D9" s="118"/>
      <c r="E9" s="80"/>
      <c r="F9" s="118"/>
      <c r="G9" s="118">
        <f t="shared" si="3"/>
        <v>0</v>
      </c>
      <c r="H9" s="118"/>
      <c r="I9" s="118"/>
      <c r="J9" s="118">
        <f t="shared" si="4"/>
        <v>0</v>
      </c>
      <c r="K9" s="118">
        <f t="shared" si="5"/>
        <v>0</v>
      </c>
      <c r="L9" s="118"/>
      <c r="M9" s="124">
        <f t="shared" si="6"/>
        <v>7289.2000000000053</v>
      </c>
      <c r="N9" s="51"/>
    </row>
    <row r="10" spans="1:15" ht="15.75" customHeight="1">
      <c r="A10" s="26">
        <v>7</v>
      </c>
      <c r="B10" s="27">
        <v>46060</v>
      </c>
      <c r="C10" s="51"/>
      <c r="D10" s="118"/>
      <c r="E10" s="80">
        <v>2400</v>
      </c>
      <c r="F10" s="118">
        <v>92.26</v>
      </c>
      <c r="G10" s="118">
        <f t="shared" si="3"/>
        <v>221424</v>
      </c>
      <c r="H10" s="118">
        <v>35</v>
      </c>
      <c r="I10" s="118">
        <v>104.13</v>
      </c>
      <c r="J10" s="118">
        <f t="shared" si="4"/>
        <v>3644.5499999999997</v>
      </c>
      <c r="K10" s="118">
        <f t="shared" si="5"/>
        <v>225068.55</v>
      </c>
      <c r="L10" s="118"/>
      <c r="M10" s="124">
        <f t="shared" si="6"/>
        <v>232357.75</v>
      </c>
      <c r="N10" s="51"/>
    </row>
    <row r="11" spans="1:15" ht="15.75" customHeight="1">
      <c r="A11" s="26">
        <v>8</v>
      </c>
      <c r="B11" s="27">
        <v>46061</v>
      </c>
      <c r="C11" s="51"/>
      <c r="D11" s="118"/>
      <c r="E11" s="80"/>
      <c r="F11" s="118"/>
      <c r="G11" s="118">
        <f t="shared" si="3"/>
        <v>0</v>
      </c>
      <c r="H11" s="118"/>
      <c r="I11" s="118"/>
      <c r="J11" s="118">
        <f t="shared" si="4"/>
        <v>0</v>
      </c>
      <c r="K11" s="118">
        <f t="shared" si="5"/>
        <v>0</v>
      </c>
      <c r="L11" s="118"/>
      <c r="M11" s="124">
        <f t="shared" si="6"/>
        <v>232357.75</v>
      </c>
      <c r="N11" s="51"/>
    </row>
    <row r="12" spans="1:15" ht="15.75" customHeight="1">
      <c r="A12" s="26">
        <v>9</v>
      </c>
      <c r="B12" s="27">
        <v>46062</v>
      </c>
      <c r="C12" s="51"/>
      <c r="D12" s="118"/>
      <c r="E12" s="80"/>
      <c r="F12" s="118"/>
      <c r="G12" s="118">
        <f t="shared" si="3"/>
        <v>0</v>
      </c>
      <c r="H12" s="118"/>
      <c r="I12" s="118"/>
      <c r="J12" s="118">
        <f t="shared" si="4"/>
        <v>0</v>
      </c>
      <c r="K12" s="118">
        <f t="shared" si="5"/>
        <v>0</v>
      </c>
      <c r="L12" s="118"/>
      <c r="M12" s="124">
        <f t="shared" si="6"/>
        <v>232357.75</v>
      </c>
      <c r="N12" s="51"/>
    </row>
    <row r="13" spans="1:15" ht="15.75" customHeight="1">
      <c r="A13" s="26">
        <v>10</v>
      </c>
      <c r="B13" s="27">
        <v>46063</v>
      </c>
      <c r="C13" s="51"/>
      <c r="D13" s="118"/>
      <c r="E13" s="80"/>
      <c r="F13" s="118"/>
      <c r="G13" s="118">
        <f t="shared" si="3"/>
        <v>0</v>
      </c>
      <c r="H13" s="118"/>
      <c r="I13" s="118"/>
      <c r="J13" s="118">
        <f t="shared" si="4"/>
        <v>0</v>
      </c>
      <c r="K13" s="118">
        <f t="shared" si="5"/>
        <v>0</v>
      </c>
      <c r="L13" s="118"/>
      <c r="M13" s="124">
        <f t="shared" si="6"/>
        <v>232357.75</v>
      </c>
      <c r="N13" s="51"/>
    </row>
    <row r="14" spans="1:15" ht="15.75" customHeight="1">
      <c r="A14" s="26">
        <v>11</v>
      </c>
      <c r="B14" s="27">
        <v>46064</v>
      </c>
      <c r="C14" s="51"/>
      <c r="D14" s="118"/>
      <c r="E14" s="80"/>
      <c r="F14" s="118"/>
      <c r="G14" s="118">
        <f t="shared" si="3"/>
        <v>0</v>
      </c>
      <c r="H14" s="118"/>
      <c r="I14" s="118"/>
      <c r="J14" s="118">
        <f t="shared" si="4"/>
        <v>0</v>
      </c>
      <c r="K14" s="118">
        <f t="shared" si="5"/>
        <v>0</v>
      </c>
      <c r="L14" s="118"/>
      <c r="M14" s="124">
        <f t="shared" si="6"/>
        <v>232357.75</v>
      </c>
      <c r="N14" s="51"/>
    </row>
    <row r="15" spans="1:15" ht="15.75" customHeight="1">
      <c r="A15" s="26">
        <v>12</v>
      </c>
      <c r="B15" s="27">
        <v>46065</v>
      </c>
      <c r="C15" s="51"/>
      <c r="D15" s="118"/>
      <c r="E15" s="80"/>
      <c r="F15" s="118"/>
      <c r="G15" s="118">
        <f t="shared" si="3"/>
        <v>0</v>
      </c>
      <c r="H15" s="118"/>
      <c r="I15" s="118"/>
      <c r="J15" s="118">
        <f t="shared" si="4"/>
        <v>0</v>
      </c>
      <c r="K15" s="118">
        <f t="shared" si="5"/>
        <v>0</v>
      </c>
      <c r="L15" s="118"/>
      <c r="M15" s="124">
        <f t="shared" si="6"/>
        <v>232357.75</v>
      </c>
      <c r="N15" s="51"/>
    </row>
    <row r="16" spans="1:15" ht="15.75" customHeight="1">
      <c r="A16" s="26">
        <v>13</v>
      </c>
      <c r="B16" s="27">
        <v>46066</v>
      </c>
      <c r="C16" s="51"/>
      <c r="D16" s="118"/>
      <c r="E16" s="80"/>
      <c r="F16" s="118"/>
      <c r="G16" s="118">
        <f t="shared" si="3"/>
        <v>0</v>
      </c>
      <c r="H16" s="118"/>
      <c r="I16" s="118"/>
      <c r="J16" s="118">
        <f t="shared" si="4"/>
        <v>0</v>
      </c>
      <c r="K16" s="118">
        <f t="shared" si="5"/>
        <v>0</v>
      </c>
      <c r="L16" s="118"/>
      <c r="M16" s="124">
        <f t="shared" si="6"/>
        <v>232357.75</v>
      </c>
      <c r="N16" s="51"/>
    </row>
    <row r="17" spans="1:14" ht="15.75" customHeight="1">
      <c r="A17" s="26">
        <v>14</v>
      </c>
      <c r="B17" s="27">
        <v>46067</v>
      </c>
      <c r="C17" s="51"/>
      <c r="D17" s="118"/>
      <c r="E17" s="80"/>
      <c r="F17" s="118"/>
      <c r="G17" s="118">
        <f t="shared" si="3"/>
        <v>0</v>
      </c>
      <c r="H17" s="118">
        <v>70</v>
      </c>
      <c r="I17" s="118">
        <v>104.13</v>
      </c>
      <c r="J17" s="118">
        <f t="shared" si="4"/>
        <v>7289.0999999999995</v>
      </c>
      <c r="K17" s="118">
        <f t="shared" si="5"/>
        <v>7289.0999999999995</v>
      </c>
      <c r="L17" s="118"/>
      <c r="M17" s="124">
        <f t="shared" si="6"/>
        <v>239646.85</v>
      </c>
      <c r="N17" s="51"/>
    </row>
    <row r="18" spans="1:14" ht="15.75" customHeight="1">
      <c r="A18" s="26">
        <v>15</v>
      </c>
      <c r="B18" s="27">
        <v>46068</v>
      </c>
      <c r="C18" s="51"/>
      <c r="D18" s="118"/>
      <c r="E18" s="80"/>
      <c r="F18" s="118"/>
      <c r="G18" s="118">
        <f t="shared" si="3"/>
        <v>0</v>
      </c>
      <c r="H18" s="118"/>
      <c r="I18" s="118"/>
      <c r="J18" s="118">
        <f t="shared" si="4"/>
        <v>0</v>
      </c>
      <c r="K18" s="118">
        <f t="shared" si="5"/>
        <v>0</v>
      </c>
      <c r="L18" s="118"/>
      <c r="M18" s="124">
        <f t="shared" si="6"/>
        <v>239646.85</v>
      </c>
      <c r="N18" s="51"/>
    </row>
    <row r="19" spans="1:14" ht="15.75" customHeight="1">
      <c r="A19" s="26">
        <v>16</v>
      </c>
      <c r="B19" s="27">
        <v>46069</v>
      </c>
      <c r="C19" s="51"/>
      <c r="D19" s="118"/>
      <c r="E19" s="80"/>
      <c r="F19" s="118"/>
      <c r="G19" s="118">
        <f t="shared" si="3"/>
        <v>0</v>
      </c>
      <c r="H19" s="118"/>
      <c r="I19" s="118"/>
      <c r="J19" s="118">
        <f t="shared" si="4"/>
        <v>0</v>
      </c>
      <c r="K19" s="118">
        <f t="shared" si="5"/>
        <v>0</v>
      </c>
      <c r="L19" s="118"/>
      <c r="M19" s="124">
        <f t="shared" si="6"/>
        <v>239646.85</v>
      </c>
      <c r="N19" s="51"/>
    </row>
    <row r="20" spans="1:14" ht="15.75" customHeight="1">
      <c r="A20" s="26">
        <v>17</v>
      </c>
      <c r="B20" s="27">
        <v>46070</v>
      </c>
      <c r="C20" s="51"/>
      <c r="D20" s="118"/>
      <c r="E20" s="80"/>
      <c r="F20" s="118"/>
      <c r="G20" s="118">
        <f t="shared" si="3"/>
        <v>0</v>
      </c>
      <c r="H20" s="118"/>
      <c r="I20" s="118"/>
      <c r="J20" s="118">
        <f t="shared" si="4"/>
        <v>0</v>
      </c>
      <c r="K20" s="118">
        <f t="shared" si="5"/>
        <v>0</v>
      </c>
      <c r="L20" s="118"/>
      <c r="M20" s="124">
        <f t="shared" si="6"/>
        <v>239646.85</v>
      </c>
      <c r="N20" s="51"/>
    </row>
    <row r="21" spans="1:14" ht="15.75" customHeight="1">
      <c r="A21" s="26">
        <v>18</v>
      </c>
      <c r="B21" s="27">
        <v>46071</v>
      </c>
      <c r="C21" s="51"/>
      <c r="D21" s="118"/>
      <c r="E21" s="80"/>
      <c r="F21" s="118"/>
      <c r="G21" s="118">
        <f t="shared" si="3"/>
        <v>0</v>
      </c>
      <c r="H21" s="118"/>
      <c r="I21" s="118"/>
      <c r="J21" s="118">
        <f t="shared" si="4"/>
        <v>0</v>
      </c>
      <c r="K21" s="118">
        <f t="shared" si="5"/>
        <v>0</v>
      </c>
      <c r="L21" s="118"/>
      <c r="M21" s="124">
        <f t="shared" si="6"/>
        <v>239646.85</v>
      </c>
      <c r="N21" s="51"/>
    </row>
    <row r="22" spans="1:14" ht="15.75" customHeight="1">
      <c r="A22" s="26">
        <v>19</v>
      </c>
      <c r="B22" s="27">
        <v>46072</v>
      </c>
      <c r="C22" s="51"/>
      <c r="D22" s="118"/>
      <c r="E22" s="80"/>
      <c r="F22" s="118"/>
      <c r="G22" s="118">
        <f t="shared" si="3"/>
        <v>0</v>
      </c>
      <c r="H22" s="118"/>
      <c r="I22" s="118"/>
      <c r="J22" s="118">
        <f t="shared" si="4"/>
        <v>0</v>
      </c>
      <c r="K22" s="118">
        <f t="shared" si="5"/>
        <v>0</v>
      </c>
      <c r="L22" s="118"/>
      <c r="M22" s="124">
        <f t="shared" si="6"/>
        <v>239646.85</v>
      </c>
      <c r="N22" s="51"/>
    </row>
    <row r="23" spans="1:14" ht="15.75" customHeight="1">
      <c r="A23" s="26">
        <v>20</v>
      </c>
      <c r="B23" s="27">
        <v>46073</v>
      </c>
      <c r="C23" s="51"/>
      <c r="D23" s="118"/>
      <c r="E23" s="80"/>
      <c r="F23" s="118"/>
      <c r="G23" s="118">
        <f t="shared" si="3"/>
        <v>0</v>
      </c>
      <c r="H23" s="118"/>
      <c r="I23" s="118"/>
      <c r="J23" s="118">
        <f t="shared" si="4"/>
        <v>0</v>
      </c>
      <c r="K23" s="118">
        <f t="shared" si="5"/>
        <v>0</v>
      </c>
      <c r="L23" s="118"/>
      <c r="M23" s="124">
        <f t="shared" si="6"/>
        <v>239646.85</v>
      </c>
      <c r="N23" s="51"/>
    </row>
    <row r="24" spans="1:14" ht="15.75" customHeight="1">
      <c r="A24" s="26">
        <v>21</v>
      </c>
      <c r="B24" s="27">
        <v>46074</v>
      </c>
      <c r="C24" s="51"/>
      <c r="D24" s="118"/>
      <c r="E24" s="80"/>
      <c r="F24" s="118"/>
      <c r="G24" s="118">
        <f t="shared" si="3"/>
        <v>0</v>
      </c>
      <c r="H24" s="118"/>
      <c r="I24" s="118"/>
      <c r="J24" s="118">
        <f t="shared" si="4"/>
        <v>0</v>
      </c>
      <c r="K24" s="118">
        <f t="shared" si="5"/>
        <v>0</v>
      </c>
      <c r="L24" s="118"/>
      <c r="M24" s="124">
        <f t="shared" si="6"/>
        <v>239646.85</v>
      </c>
      <c r="N24" s="51"/>
    </row>
    <row r="25" spans="1:14" ht="15.75" customHeight="1">
      <c r="A25" s="26">
        <v>22</v>
      </c>
      <c r="B25" s="27">
        <v>46075</v>
      </c>
      <c r="C25" s="51"/>
      <c r="D25" s="118"/>
      <c r="E25" s="80"/>
      <c r="F25" s="118"/>
      <c r="G25" s="118">
        <f t="shared" si="3"/>
        <v>0</v>
      </c>
      <c r="H25" s="118"/>
      <c r="I25" s="118"/>
      <c r="J25" s="118">
        <f t="shared" si="4"/>
        <v>0</v>
      </c>
      <c r="K25" s="118">
        <f t="shared" si="5"/>
        <v>0</v>
      </c>
      <c r="L25" s="118"/>
      <c r="M25" s="124">
        <f t="shared" si="6"/>
        <v>239646.85</v>
      </c>
      <c r="N25" s="51"/>
    </row>
    <row r="26" spans="1:14" ht="15.75" customHeight="1">
      <c r="A26" s="26">
        <v>23</v>
      </c>
      <c r="B26" s="27">
        <v>46076</v>
      </c>
      <c r="C26" s="51"/>
      <c r="D26" s="118"/>
      <c r="E26" s="80"/>
      <c r="F26" s="118"/>
      <c r="G26" s="118">
        <f t="shared" si="3"/>
        <v>0</v>
      </c>
      <c r="H26" s="118">
        <v>70</v>
      </c>
      <c r="I26" s="118">
        <v>104.13</v>
      </c>
      <c r="J26" s="118">
        <f t="shared" si="4"/>
        <v>7289.0999999999995</v>
      </c>
      <c r="K26" s="118">
        <f t="shared" si="5"/>
        <v>7289.0999999999995</v>
      </c>
      <c r="L26" s="118"/>
      <c r="M26" s="124">
        <f t="shared" si="6"/>
        <v>246935.95</v>
      </c>
      <c r="N26" s="51"/>
    </row>
    <row r="27" spans="1:14" ht="15.75" customHeight="1">
      <c r="A27" s="26">
        <v>24</v>
      </c>
      <c r="B27" s="27">
        <v>46077</v>
      </c>
      <c r="C27" s="51"/>
      <c r="D27" s="118"/>
      <c r="E27" s="80"/>
      <c r="F27" s="118"/>
      <c r="G27" s="118">
        <f t="shared" si="3"/>
        <v>0</v>
      </c>
      <c r="H27" s="118"/>
      <c r="I27" s="118"/>
      <c r="J27" s="118">
        <f t="shared" si="4"/>
        <v>0</v>
      </c>
      <c r="K27" s="118">
        <f t="shared" si="5"/>
        <v>0</v>
      </c>
      <c r="L27" s="118"/>
      <c r="M27" s="124">
        <f t="shared" si="6"/>
        <v>246935.95</v>
      </c>
      <c r="N27" s="51"/>
    </row>
    <row r="28" spans="1:14" ht="15.75" customHeight="1">
      <c r="A28" s="26">
        <v>25</v>
      </c>
      <c r="B28" s="27">
        <v>46078</v>
      </c>
      <c r="C28" s="51"/>
      <c r="D28" s="118"/>
      <c r="E28" s="80"/>
      <c r="F28" s="118"/>
      <c r="G28" s="118">
        <f t="shared" si="3"/>
        <v>0</v>
      </c>
      <c r="H28" s="118"/>
      <c r="I28" s="118"/>
      <c r="J28" s="118">
        <f t="shared" si="4"/>
        <v>0</v>
      </c>
      <c r="K28" s="118">
        <f t="shared" si="5"/>
        <v>0</v>
      </c>
      <c r="L28" s="118"/>
      <c r="M28" s="124">
        <f t="shared" si="6"/>
        <v>246935.95</v>
      </c>
      <c r="N28" s="51"/>
    </row>
    <row r="29" spans="1:14" ht="15.75" customHeight="1">
      <c r="A29" s="26">
        <v>26</v>
      </c>
      <c r="B29" s="27">
        <v>46079</v>
      </c>
      <c r="C29" s="51"/>
      <c r="D29" s="118"/>
      <c r="E29" s="80"/>
      <c r="F29" s="118"/>
      <c r="G29" s="118">
        <f t="shared" si="3"/>
        <v>0</v>
      </c>
      <c r="H29" s="118"/>
      <c r="I29" s="118"/>
      <c r="J29" s="118">
        <f t="shared" si="4"/>
        <v>0</v>
      </c>
      <c r="K29" s="118">
        <f t="shared" si="5"/>
        <v>0</v>
      </c>
      <c r="L29" s="118"/>
      <c r="M29" s="124">
        <f t="shared" si="6"/>
        <v>246935.95</v>
      </c>
      <c r="N29" s="51"/>
    </row>
    <row r="30" spans="1:14" ht="15.75" customHeight="1">
      <c r="A30" s="26">
        <v>27</v>
      </c>
      <c r="B30" s="27">
        <v>46080</v>
      </c>
      <c r="C30" s="51"/>
      <c r="D30" s="118"/>
      <c r="E30" s="80"/>
      <c r="F30" s="118"/>
      <c r="G30" s="118">
        <f t="shared" si="3"/>
        <v>0</v>
      </c>
      <c r="H30" s="118"/>
      <c r="I30" s="118"/>
      <c r="J30" s="118">
        <f t="shared" si="4"/>
        <v>0</v>
      </c>
      <c r="K30" s="118">
        <f t="shared" si="5"/>
        <v>0</v>
      </c>
      <c r="L30" s="118">
        <v>240000</v>
      </c>
      <c r="M30" s="124">
        <f t="shared" si="6"/>
        <v>6935.9500000000116</v>
      </c>
      <c r="N30" s="51"/>
    </row>
    <row r="31" spans="1:14" ht="15.75" customHeight="1">
      <c r="A31" s="26">
        <v>28</v>
      </c>
      <c r="B31" s="27">
        <v>46081</v>
      </c>
      <c r="C31" s="51"/>
      <c r="D31" s="118"/>
      <c r="E31" s="80"/>
      <c r="F31" s="118"/>
      <c r="G31" s="118">
        <f t="shared" si="3"/>
        <v>0</v>
      </c>
      <c r="H31" s="118"/>
      <c r="I31" s="118"/>
      <c r="J31" s="118">
        <f t="shared" si="4"/>
        <v>0</v>
      </c>
      <c r="K31" s="118">
        <f t="shared" si="5"/>
        <v>0</v>
      </c>
      <c r="L31" s="118"/>
      <c r="M31" s="124">
        <f t="shared" si="6"/>
        <v>6935.9500000000116</v>
      </c>
      <c r="N31" s="51"/>
    </row>
    <row r="32" spans="1:14" ht="15.75" customHeight="1">
      <c r="A32" s="26">
        <v>29</v>
      </c>
      <c r="B32" s="27"/>
      <c r="C32" s="51"/>
      <c r="D32" s="118"/>
      <c r="E32" s="80"/>
      <c r="F32" s="118"/>
      <c r="G32" s="118">
        <f t="shared" si="3"/>
        <v>0</v>
      </c>
      <c r="H32" s="118"/>
      <c r="I32" s="118"/>
      <c r="J32" s="118">
        <f t="shared" si="4"/>
        <v>0</v>
      </c>
      <c r="K32" s="118">
        <f t="shared" si="5"/>
        <v>0</v>
      </c>
      <c r="L32" s="118"/>
      <c r="M32" s="124">
        <f t="shared" si="6"/>
        <v>6935.9500000000116</v>
      </c>
      <c r="N32" s="51"/>
    </row>
    <row r="33" spans="1:15" ht="15.75" customHeight="1">
      <c r="A33" s="26">
        <v>30</v>
      </c>
      <c r="B33" s="27"/>
      <c r="C33" s="51"/>
      <c r="D33" s="118"/>
      <c r="E33" s="80"/>
      <c r="F33" s="118"/>
      <c r="G33" s="118">
        <f t="shared" si="3"/>
        <v>0</v>
      </c>
      <c r="H33" s="118"/>
      <c r="I33" s="118"/>
      <c r="J33" s="118">
        <f t="shared" si="4"/>
        <v>0</v>
      </c>
      <c r="K33" s="118">
        <f t="shared" si="5"/>
        <v>0</v>
      </c>
      <c r="L33" s="118"/>
      <c r="M33" s="124">
        <f t="shared" si="6"/>
        <v>6935.9500000000116</v>
      </c>
      <c r="N33" s="51"/>
    </row>
    <row r="34" spans="1:15" ht="15.75" customHeight="1">
      <c r="A34" s="26">
        <v>31</v>
      </c>
      <c r="B34" s="27"/>
      <c r="C34" s="51"/>
      <c r="D34" s="118"/>
      <c r="E34" s="80"/>
      <c r="F34" s="118"/>
      <c r="G34" s="118">
        <f t="shared" ref="G34" si="7">E34*F34</f>
        <v>0</v>
      </c>
      <c r="H34" s="118"/>
      <c r="I34" s="118"/>
      <c r="J34" s="118">
        <f t="shared" ref="J34" si="8">H34*I34</f>
        <v>0</v>
      </c>
      <c r="K34" s="118">
        <f t="shared" ref="K34" si="9">G34+J34</f>
        <v>0</v>
      </c>
      <c r="L34" s="118"/>
      <c r="M34" s="124">
        <f t="shared" si="6"/>
        <v>6935.9500000000116</v>
      </c>
      <c r="N34" s="51"/>
    </row>
    <row r="35" spans="1:15">
      <c r="A35" s="43"/>
      <c r="B35" s="43"/>
      <c r="C35" s="43"/>
      <c r="D35" s="43"/>
      <c r="E35" s="44">
        <f>SUM(E4:E34)</f>
        <v>2400</v>
      </c>
      <c r="F35" s="44"/>
      <c r="G35" s="44">
        <f>SUM(G4:G34)</f>
        <v>221424</v>
      </c>
      <c r="H35" s="44">
        <f>SUM(H4:H34)</f>
        <v>245</v>
      </c>
      <c r="I35" s="44"/>
      <c r="J35" s="44">
        <f>SUM(J4:J34)</f>
        <v>25511.85</v>
      </c>
      <c r="K35" s="44">
        <f>SUM(K4:K34)</f>
        <v>246935.85</v>
      </c>
      <c r="L35" s="44">
        <f>SUM(L4:L34)</f>
        <v>459486</v>
      </c>
      <c r="M35" s="44"/>
      <c r="N35" s="44"/>
      <c r="O35" s="33"/>
    </row>
    <row r="37" spans="1:15">
      <c r="D37" s="46"/>
      <c r="E37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6"/>
  <sheetViews>
    <sheetView workbookViewId="0">
      <pane ySplit="2" topLeftCell="A21" activePane="bottomLeft" state="frozen"/>
      <selection pane="bottomLeft" activeCell="K3" sqref="K3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9.28515625" bestFit="1" customWidth="1"/>
    <col min="16" max="16" width="12" bestFit="1" customWidth="1"/>
    <col min="19" max="19" width="12" bestFit="1" customWidth="1"/>
  </cols>
  <sheetData>
    <row r="1" spans="1:15">
      <c r="A1" s="461" t="s">
        <v>218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3"/>
    </row>
    <row r="2" spans="1:15">
      <c r="A2" s="125" t="s">
        <v>101</v>
      </c>
      <c r="B2" s="126" t="s">
        <v>155</v>
      </c>
      <c r="C2" s="126" t="s">
        <v>156</v>
      </c>
      <c r="D2" s="126" t="s">
        <v>157</v>
      </c>
      <c r="E2" s="126" t="s">
        <v>158</v>
      </c>
      <c r="F2" s="126" t="s">
        <v>159</v>
      </c>
      <c r="G2" s="126" t="s">
        <v>160</v>
      </c>
      <c r="H2" s="126" t="s">
        <v>161</v>
      </c>
      <c r="I2" s="126" t="s">
        <v>159</v>
      </c>
      <c r="J2" s="127" t="s">
        <v>160</v>
      </c>
      <c r="K2" s="125" t="s">
        <v>162</v>
      </c>
      <c r="L2" s="128" t="s">
        <v>163</v>
      </c>
      <c r="M2" s="128" t="s">
        <v>174</v>
      </c>
      <c r="N2" s="126" t="s">
        <v>165</v>
      </c>
      <c r="O2" s="60"/>
    </row>
    <row r="3" spans="1:15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97">
        <v>213698.55969999993</v>
      </c>
      <c r="L3" s="41"/>
      <c r="M3" s="41">
        <f>+K3</f>
        <v>213698.55969999993</v>
      </c>
      <c r="N3" s="17"/>
      <c r="O3" s="60">
        <v>46138.763999999966</v>
      </c>
    </row>
    <row r="4" spans="1:15">
      <c r="A4" s="26">
        <v>1</v>
      </c>
      <c r="B4" s="27">
        <v>45689</v>
      </c>
      <c r="C4" s="129"/>
      <c r="D4" s="130"/>
      <c r="E4" s="94">
        <v>0</v>
      </c>
      <c r="F4" s="94">
        <v>0</v>
      </c>
      <c r="G4" s="19">
        <f>E4*F4</f>
        <v>0</v>
      </c>
      <c r="H4" s="94">
        <v>0</v>
      </c>
      <c r="I4" s="355">
        <v>0</v>
      </c>
      <c r="J4" s="19">
        <f>H4*I4</f>
        <v>0</v>
      </c>
      <c r="K4" s="19">
        <f>G4+J4</f>
        <v>0</v>
      </c>
      <c r="L4" s="131">
        <v>0</v>
      </c>
      <c r="M4" s="131">
        <f>M3+K4-L4</f>
        <v>213698.55969999993</v>
      </c>
      <c r="N4" s="45"/>
    </row>
    <row r="5" spans="1:15">
      <c r="A5" s="26">
        <v>2</v>
      </c>
      <c r="B5" s="27">
        <v>45690</v>
      </c>
      <c r="C5" s="129"/>
      <c r="D5" s="130"/>
      <c r="E5" s="94">
        <v>600</v>
      </c>
      <c r="F5" s="94">
        <v>92.17</v>
      </c>
      <c r="G5" s="19">
        <f t="shared" ref="G5:G35" si="0">E5*F5</f>
        <v>55302</v>
      </c>
      <c r="H5" s="94">
        <v>30</v>
      </c>
      <c r="I5" s="355">
        <v>104.03</v>
      </c>
      <c r="J5" s="19">
        <f t="shared" ref="J5:J35" si="1">H5*I5</f>
        <v>3120.9</v>
      </c>
      <c r="K5" s="19">
        <f t="shared" ref="K5:K35" si="2">G5+J5</f>
        <v>58422.9</v>
      </c>
      <c r="L5" s="131">
        <v>213689</v>
      </c>
      <c r="M5" s="131">
        <f>M4+K5-L5</f>
        <v>58432.459699999948</v>
      </c>
      <c r="N5" s="45"/>
    </row>
    <row r="6" spans="1:15">
      <c r="A6" s="26">
        <v>3</v>
      </c>
      <c r="B6" s="27">
        <v>45691</v>
      </c>
      <c r="C6" s="129"/>
      <c r="D6" s="130"/>
      <c r="E6" s="94">
        <v>0</v>
      </c>
      <c r="F6" s="94">
        <v>0</v>
      </c>
      <c r="G6" s="19">
        <f t="shared" si="0"/>
        <v>0</v>
      </c>
      <c r="H6" s="94">
        <v>0</v>
      </c>
      <c r="I6" s="355">
        <v>0</v>
      </c>
      <c r="J6" s="19">
        <f t="shared" si="1"/>
        <v>0</v>
      </c>
      <c r="K6" s="19">
        <f t="shared" si="2"/>
        <v>0</v>
      </c>
      <c r="L6" s="131">
        <v>0</v>
      </c>
      <c r="M6" s="131">
        <f>M5+K6-L6</f>
        <v>58432.459699999948</v>
      </c>
      <c r="N6" s="45"/>
    </row>
    <row r="7" spans="1:15">
      <c r="A7" s="26">
        <v>4</v>
      </c>
      <c r="B7" s="27">
        <v>45692</v>
      </c>
      <c r="C7" s="129"/>
      <c r="D7" s="130"/>
      <c r="E7" s="94">
        <v>0</v>
      </c>
      <c r="F7" s="94">
        <v>0</v>
      </c>
      <c r="G7" s="19">
        <f t="shared" si="0"/>
        <v>0</v>
      </c>
      <c r="H7" s="94">
        <v>0</v>
      </c>
      <c r="I7" s="355">
        <v>0</v>
      </c>
      <c r="J7" s="19">
        <f t="shared" si="1"/>
        <v>0</v>
      </c>
      <c r="K7" s="19">
        <f t="shared" si="2"/>
        <v>0</v>
      </c>
      <c r="L7" s="131">
        <v>0</v>
      </c>
      <c r="M7" s="131">
        <f>M6+K7-L7</f>
        <v>58432.459699999948</v>
      </c>
      <c r="N7" s="45"/>
    </row>
    <row r="8" spans="1:15">
      <c r="A8" s="26">
        <v>5</v>
      </c>
      <c r="B8" s="27">
        <v>45693</v>
      </c>
      <c r="C8" s="129"/>
      <c r="D8" s="130"/>
      <c r="E8" s="94">
        <v>0</v>
      </c>
      <c r="F8" s="94">
        <v>0</v>
      </c>
      <c r="G8" s="19">
        <f t="shared" si="0"/>
        <v>0</v>
      </c>
      <c r="H8" s="94">
        <v>0</v>
      </c>
      <c r="I8" s="355">
        <v>0</v>
      </c>
      <c r="J8" s="19">
        <f t="shared" si="1"/>
        <v>0</v>
      </c>
      <c r="K8" s="19">
        <f t="shared" si="2"/>
        <v>0</v>
      </c>
      <c r="L8" s="131">
        <v>0</v>
      </c>
      <c r="M8" s="131">
        <f t="shared" ref="M8:M36" si="3">M7+K8-L8</f>
        <v>58432.459699999948</v>
      </c>
      <c r="N8" s="45"/>
      <c r="O8" s="70"/>
    </row>
    <row r="9" spans="1:15">
      <c r="A9" s="26">
        <v>6</v>
      </c>
      <c r="B9" s="27">
        <v>45694</v>
      </c>
      <c r="C9" s="129"/>
      <c r="D9" s="130"/>
      <c r="E9" s="94">
        <v>0</v>
      </c>
      <c r="F9" s="94">
        <v>0</v>
      </c>
      <c r="G9" s="19">
        <f t="shared" si="0"/>
        <v>0</v>
      </c>
      <c r="H9" s="94">
        <v>0</v>
      </c>
      <c r="I9" s="355">
        <v>0</v>
      </c>
      <c r="J9" s="19">
        <f t="shared" si="1"/>
        <v>0</v>
      </c>
      <c r="K9" s="19">
        <f t="shared" si="2"/>
        <v>0</v>
      </c>
      <c r="L9" s="131">
        <v>0</v>
      </c>
      <c r="M9" s="131">
        <f t="shared" si="3"/>
        <v>58432.459699999948</v>
      </c>
      <c r="N9" s="45"/>
      <c r="O9" s="70"/>
    </row>
    <row r="10" spans="1:15">
      <c r="A10" s="26">
        <v>7</v>
      </c>
      <c r="B10" s="27">
        <v>45695</v>
      </c>
      <c r="C10" s="129"/>
      <c r="D10" s="130"/>
      <c r="E10" s="94">
        <v>600</v>
      </c>
      <c r="F10" s="94">
        <v>92.17</v>
      </c>
      <c r="G10" s="19">
        <f t="shared" si="0"/>
        <v>55302</v>
      </c>
      <c r="H10" s="94">
        <v>25</v>
      </c>
      <c r="I10" s="355">
        <v>104.03</v>
      </c>
      <c r="J10" s="19">
        <f t="shared" si="1"/>
        <v>2600.75</v>
      </c>
      <c r="K10" s="19">
        <f t="shared" si="2"/>
        <v>57902.75</v>
      </c>
      <c r="L10" s="131">
        <v>0</v>
      </c>
      <c r="M10" s="131">
        <f t="shared" si="3"/>
        <v>116335.20969999995</v>
      </c>
      <c r="N10" s="45"/>
      <c r="O10" s="70"/>
    </row>
    <row r="11" spans="1:15">
      <c r="A11" s="26">
        <v>8</v>
      </c>
      <c r="B11" s="27">
        <v>45696</v>
      </c>
      <c r="C11" s="129"/>
      <c r="D11" s="130"/>
      <c r="E11" s="94">
        <v>0</v>
      </c>
      <c r="F11" s="94">
        <v>0</v>
      </c>
      <c r="G11" s="19">
        <f t="shared" si="0"/>
        <v>0</v>
      </c>
      <c r="H11" s="94">
        <v>0</v>
      </c>
      <c r="I11" s="355">
        <v>0</v>
      </c>
      <c r="J11" s="19">
        <f t="shared" si="1"/>
        <v>0</v>
      </c>
      <c r="K11" s="19">
        <f t="shared" si="2"/>
        <v>0</v>
      </c>
      <c r="L11" s="131">
        <v>0</v>
      </c>
      <c r="M11" s="131">
        <f t="shared" si="3"/>
        <v>116335.20969999995</v>
      </c>
      <c r="N11" s="45"/>
      <c r="O11" s="70"/>
    </row>
    <row r="12" spans="1:15">
      <c r="A12" s="26">
        <v>9</v>
      </c>
      <c r="B12" s="27">
        <v>45697</v>
      </c>
      <c r="C12" s="129"/>
      <c r="D12" s="130"/>
      <c r="E12" s="94">
        <v>0</v>
      </c>
      <c r="F12" s="94">
        <v>0</v>
      </c>
      <c r="G12" s="19">
        <f t="shared" si="0"/>
        <v>0</v>
      </c>
      <c r="H12" s="94">
        <v>0</v>
      </c>
      <c r="I12" s="355">
        <v>0</v>
      </c>
      <c r="J12" s="19">
        <f t="shared" si="1"/>
        <v>0</v>
      </c>
      <c r="K12" s="19">
        <f t="shared" si="2"/>
        <v>0</v>
      </c>
      <c r="L12" s="131">
        <v>0</v>
      </c>
      <c r="M12" s="131">
        <f t="shared" si="3"/>
        <v>116335.20969999995</v>
      </c>
      <c r="N12" s="45"/>
      <c r="O12" s="70"/>
    </row>
    <row r="13" spans="1:15">
      <c r="A13" s="26">
        <v>10</v>
      </c>
      <c r="B13" s="27">
        <v>45698</v>
      </c>
      <c r="C13" s="129"/>
      <c r="D13" s="130"/>
      <c r="E13" s="94">
        <v>0</v>
      </c>
      <c r="F13" s="94">
        <v>0</v>
      </c>
      <c r="G13" s="19">
        <f t="shared" si="0"/>
        <v>0</v>
      </c>
      <c r="H13" s="94">
        <v>0</v>
      </c>
      <c r="I13" s="355">
        <v>0</v>
      </c>
      <c r="J13" s="19">
        <f t="shared" si="1"/>
        <v>0</v>
      </c>
      <c r="K13" s="19">
        <f t="shared" si="2"/>
        <v>0</v>
      </c>
      <c r="L13" s="131">
        <v>0</v>
      </c>
      <c r="M13" s="131">
        <f t="shared" si="3"/>
        <v>116335.20969999995</v>
      </c>
      <c r="N13" s="45"/>
      <c r="O13" s="70"/>
    </row>
    <row r="14" spans="1:15">
      <c r="A14" s="26">
        <v>11</v>
      </c>
      <c r="B14" s="27">
        <v>45699</v>
      </c>
      <c r="C14" s="129"/>
      <c r="D14" s="130"/>
      <c r="E14" s="94">
        <v>600</v>
      </c>
      <c r="F14" s="94">
        <v>92.17</v>
      </c>
      <c r="G14" s="19">
        <f t="shared" si="0"/>
        <v>55302</v>
      </c>
      <c r="H14" s="94">
        <v>35</v>
      </c>
      <c r="I14" s="355">
        <v>104.03</v>
      </c>
      <c r="J14" s="19">
        <f t="shared" si="1"/>
        <v>3641.05</v>
      </c>
      <c r="K14" s="19">
        <f t="shared" si="2"/>
        <v>58943.05</v>
      </c>
      <c r="L14" s="131">
        <v>0</v>
      </c>
      <c r="M14" s="131">
        <f t="shared" si="3"/>
        <v>175278.25969999994</v>
      </c>
      <c r="N14" s="45"/>
      <c r="O14" s="70"/>
    </row>
    <row r="15" spans="1:15">
      <c r="A15" s="26">
        <v>12</v>
      </c>
      <c r="B15" s="27">
        <v>45700</v>
      </c>
      <c r="C15" s="129"/>
      <c r="D15" s="130"/>
      <c r="E15" s="94">
        <v>0</v>
      </c>
      <c r="F15" s="94">
        <v>0</v>
      </c>
      <c r="G15" s="19">
        <f t="shared" si="0"/>
        <v>0</v>
      </c>
      <c r="H15" s="94">
        <v>0</v>
      </c>
      <c r="I15" s="355">
        <v>0</v>
      </c>
      <c r="J15" s="19">
        <f t="shared" si="1"/>
        <v>0</v>
      </c>
      <c r="K15" s="19">
        <f t="shared" si="2"/>
        <v>0</v>
      </c>
      <c r="L15" s="131">
        <v>0</v>
      </c>
      <c r="M15" s="131">
        <f t="shared" si="3"/>
        <v>175278.25969999994</v>
      </c>
      <c r="N15" s="45"/>
      <c r="O15" s="70"/>
    </row>
    <row r="16" spans="1:15">
      <c r="A16" s="26">
        <v>13</v>
      </c>
      <c r="B16" s="27">
        <v>45701</v>
      </c>
      <c r="C16" s="129"/>
      <c r="D16" s="130"/>
      <c r="E16" s="94">
        <v>0</v>
      </c>
      <c r="F16" s="94">
        <v>0</v>
      </c>
      <c r="G16" s="19">
        <f t="shared" si="0"/>
        <v>0</v>
      </c>
      <c r="H16" s="94">
        <v>0</v>
      </c>
      <c r="I16" s="355">
        <v>0</v>
      </c>
      <c r="J16" s="19">
        <f t="shared" si="1"/>
        <v>0</v>
      </c>
      <c r="K16" s="19">
        <f t="shared" si="2"/>
        <v>0</v>
      </c>
      <c r="L16" s="131">
        <v>0</v>
      </c>
      <c r="M16" s="131">
        <f t="shared" si="3"/>
        <v>175278.25969999994</v>
      </c>
      <c r="N16" s="45"/>
      <c r="O16" s="70"/>
    </row>
    <row r="17" spans="1:22">
      <c r="A17" s="26">
        <v>14</v>
      </c>
      <c r="B17" s="27">
        <v>45702</v>
      </c>
      <c r="C17" s="129"/>
      <c r="D17" s="130"/>
      <c r="E17" s="94">
        <v>600</v>
      </c>
      <c r="F17" s="94">
        <v>92.17</v>
      </c>
      <c r="G17" s="19">
        <f t="shared" si="0"/>
        <v>55302</v>
      </c>
      <c r="H17" s="94">
        <v>0</v>
      </c>
      <c r="I17" s="355">
        <v>0</v>
      </c>
      <c r="J17" s="19">
        <f t="shared" si="1"/>
        <v>0</v>
      </c>
      <c r="K17" s="19">
        <f t="shared" si="2"/>
        <v>55302</v>
      </c>
      <c r="L17" s="131">
        <v>0</v>
      </c>
      <c r="M17" s="131">
        <f t="shared" si="3"/>
        <v>230580.25969999994</v>
      </c>
      <c r="N17" s="45"/>
      <c r="O17" s="70"/>
    </row>
    <row r="18" spans="1:22">
      <c r="A18" s="26">
        <v>15</v>
      </c>
      <c r="B18" s="27">
        <v>45703</v>
      </c>
      <c r="C18" s="129"/>
      <c r="D18" s="130"/>
      <c r="E18" s="94">
        <v>0</v>
      </c>
      <c r="F18" s="94">
        <v>0</v>
      </c>
      <c r="G18" s="19">
        <f t="shared" si="0"/>
        <v>0</v>
      </c>
      <c r="H18" s="94">
        <v>0</v>
      </c>
      <c r="I18" s="355">
        <v>0</v>
      </c>
      <c r="J18" s="19">
        <f t="shared" si="1"/>
        <v>0</v>
      </c>
      <c r="K18" s="19">
        <f t="shared" si="2"/>
        <v>0</v>
      </c>
      <c r="L18" s="131">
        <v>0</v>
      </c>
      <c r="M18" s="131">
        <f t="shared" si="3"/>
        <v>230580.25969999994</v>
      </c>
      <c r="N18" s="45"/>
      <c r="O18" s="70"/>
      <c r="Q18" s="243">
        <v>2767.8</v>
      </c>
      <c r="S18" s="176">
        <f>Q18-M19</f>
        <v>-227812.45969999995</v>
      </c>
    </row>
    <row r="19" spans="1:22">
      <c r="A19" s="26">
        <v>16</v>
      </c>
      <c r="B19" s="27">
        <v>45704</v>
      </c>
      <c r="C19" s="129"/>
      <c r="D19" s="130"/>
      <c r="E19" s="94">
        <v>0</v>
      </c>
      <c r="F19" s="94">
        <v>0</v>
      </c>
      <c r="G19" s="19">
        <f t="shared" si="0"/>
        <v>0</v>
      </c>
      <c r="H19" s="94">
        <v>0</v>
      </c>
      <c r="I19" s="355">
        <v>0</v>
      </c>
      <c r="J19" s="19">
        <f t="shared" si="1"/>
        <v>0</v>
      </c>
      <c r="K19" s="19">
        <f t="shared" si="2"/>
        <v>0</v>
      </c>
      <c r="L19" s="131">
        <v>0</v>
      </c>
      <c r="M19" s="131">
        <f t="shared" si="3"/>
        <v>230580.25969999994</v>
      </c>
      <c r="N19" s="45"/>
      <c r="O19" s="70"/>
    </row>
    <row r="20" spans="1:22">
      <c r="A20" s="26">
        <v>17</v>
      </c>
      <c r="B20" s="27">
        <v>45705</v>
      </c>
      <c r="C20" s="129"/>
      <c r="D20" s="130"/>
      <c r="E20" s="94">
        <v>400</v>
      </c>
      <c r="F20" s="94">
        <v>92.17</v>
      </c>
      <c r="G20" s="19">
        <f t="shared" si="0"/>
        <v>36868</v>
      </c>
      <c r="H20" s="94">
        <v>35</v>
      </c>
      <c r="I20" s="355">
        <v>104.03</v>
      </c>
      <c r="J20" s="19">
        <f t="shared" si="1"/>
        <v>3641.05</v>
      </c>
      <c r="K20" s="19">
        <f t="shared" si="2"/>
        <v>40509.050000000003</v>
      </c>
      <c r="L20" s="131">
        <v>175000</v>
      </c>
      <c r="M20" s="131">
        <f t="shared" si="3"/>
        <v>96089.309699999925</v>
      </c>
      <c r="N20" s="45"/>
      <c r="O20" s="70"/>
    </row>
    <row r="21" spans="1:22">
      <c r="A21" s="26">
        <v>18</v>
      </c>
      <c r="B21" s="27">
        <v>45706</v>
      </c>
      <c r="C21" s="129"/>
      <c r="D21" s="130"/>
      <c r="E21" s="94">
        <v>0</v>
      </c>
      <c r="F21" s="94">
        <v>0</v>
      </c>
      <c r="G21" s="19">
        <f t="shared" si="0"/>
        <v>0</v>
      </c>
      <c r="H21" s="94">
        <v>0</v>
      </c>
      <c r="I21" s="355">
        <v>0</v>
      </c>
      <c r="J21" s="19">
        <f t="shared" si="1"/>
        <v>0</v>
      </c>
      <c r="K21" s="19">
        <f t="shared" si="2"/>
        <v>0</v>
      </c>
      <c r="L21" s="131">
        <v>0</v>
      </c>
      <c r="M21" s="131">
        <f t="shared" si="3"/>
        <v>96089.309699999925</v>
      </c>
      <c r="N21" s="45"/>
      <c r="O21" s="70"/>
      <c r="V21">
        <f>400*90.23</f>
        <v>36092</v>
      </c>
    </row>
    <row r="22" spans="1:22">
      <c r="A22" s="26">
        <v>19</v>
      </c>
      <c r="B22" s="27">
        <v>45707</v>
      </c>
      <c r="C22" s="129"/>
      <c r="D22" s="130"/>
      <c r="E22" s="94">
        <v>400</v>
      </c>
      <c r="F22" s="94">
        <v>92.17</v>
      </c>
      <c r="G22" s="19">
        <f t="shared" si="0"/>
        <v>36868</v>
      </c>
      <c r="H22" s="94">
        <v>0</v>
      </c>
      <c r="I22" s="355">
        <v>0</v>
      </c>
      <c r="J22" s="19">
        <f t="shared" si="1"/>
        <v>0</v>
      </c>
      <c r="K22" s="19">
        <f t="shared" si="2"/>
        <v>36868</v>
      </c>
      <c r="L22" s="131">
        <v>0</v>
      </c>
      <c r="M22" s="131">
        <f t="shared" si="3"/>
        <v>132957.30969999993</v>
      </c>
      <c r="N22" s="45"/>
      <c r="O22" s="70"/>
      <c r="V22">
        <f>35*104.14</f>
        <v>3644.9</v>
      </c>
    </row>
    <row r="23" spans="1:22">
      <c r="A23" s="26">
        <v>20</v>
      </c>
      <c r="B23" s="27">
        <v>45708</v>
      </c>
      <c r="C23" s="129"/>
      <c r="D23" s="130"/>
      <c r="E23" s="94">
        <v>0</v>
      </c>
      <c r="F23" s="94">
        <v>0</v>
      </c>
      <c r="G23" s="19">
        <f t="shared" si="0"/>
        <v>0</v>
      </c>
      <c r="H23" s="94">
        <v>0</v>
      </c>
      <c r="I23" s="355">
        <v>0</v>
      </c>
      <c r="J23" s="19">
        <f t="shared" si="1"/>
        <v>0</v>
      </c>
      <c r="K23" s="19">
        <f t="shared" si="2"/>
        <v>0</v>
      </c>
      <c r="L23" s="131">
        <v>0</v>
      </c>
      <c r="M23" s="131">
        <f t="shared" si="3"/>
        <v>132957.30969999993</v>
      </c>
      <c r="N23" s="45"/>
      <c r="O23" s="70"/>
    </row>
    <row r="24" spans="1:22">
      <c r="A24" s="26">
        <v>21</v>
      </c>
      <c r="B24" s="27">
        <v>45709</v>
      </c>
      <c r="C24" s="129"/>
      <c r="D24" s="130"/>
      <c r="E24" s="94">
        <v>0</v>
      </c>
      <c r="F24" s="94">
        <v>0</v>
      </c>
      <c r="G24" s="19">
        <f t="shared" si="0"/>
        <v>0</v>
      </c>
      <c r="H24" s="94">
        <v>0</v>
      </c>
      <c r="I24" s="355">
        <v>0</v>
      </c>
      <c r="J24" s="19">
        <f t="shared" si="1"/>
        <v>0</v>
      </c>
      <c r="K24" s="19">
        <f t="shared" si="2"/>
        <v>0</v>
      </c>
      <c r="L24" s="131">
        <v>0</v>
      </c>
      <c r="M24" s="131">
        <f t="shared" si="3"/>
        <v>132957.30969999993</v>
      </c>
      <c r="N24" s="256"/>
      <c r="O24" s="242"/>
    </row>
    <row r="25" spans="1:22">
      <c r="A25" s="26">
        <v>22</v>
      </c>
      <c r="B25" s="27">
        <v>45710</v>
      </c>
      <c r="C25" s="129"/>
      <c r="D25" s="130"/>
      <c r="E25" s="94">
        <v>400</v>
      </c>
      <c r="F25" s="94">
        <v>92.17</v>
      </c>
      <c r="G25" s="19">
        <f t="shared" si="0"/>
        <v>36868</v>
      </c>
      <c r="H25" s="94">
        <v>20</v>
      </c>
      <c r="I25" s="355">
        <v>104.03</v>
      </c>
      <c r="J25" s="19">
        <f t="shared" si="1"/>
        <v>2080.6</v>
      </c>
      <c r="K25" s="19">
        <f t="shared" si="2"/>
        <v>38948.6</v>
      </c>
      <c r="L25" s="131">
        <v>0</v>
      </c>
      <c r="M25" s="131">
        <f t="shared" si="3"/>
        <v>171905.90969999993</v>
      </c>
      <c r="N25" s="45"/>
      <c r="O25" s="70"/>
    </row>
    <row r="26" spans="1:22">
      <c r="A26" s="26">
        <v>23</v>
      </c>
      <c r="B26" s="27">
        <v>45711</v>
      </c>
      <c r="C26" s="129"/>
      <c r="D26" s="130"/>
      <c r="E26" s="94">
        <v>0</v>
      </c>
      <c r="F26" s="94">
        <v>0</v>
      </c>
      <c r="G26" s="19">
        <f t="shared" si="0"/>
        <v>0</v>
      </c>
      <c r="H26" s="94">
        <v>0</v>
      </c>
      <c r="I26" s="355">
        <v>0</v>
      </c>
      <c r="J26" s="19">
        <f t="shared" si="1"/>
        <v>0</v>
      </c>
      <c r="K26" s="19">
        <f t="shared" si="2"/>
        <v>0</v>
      </c>
      <c r="L26" s="131">
        <v>0</v>
      </c>
      <c r="M26" s="131">
        <f t="shared" si="3"/>
        <v>171905.90969999993</v>
      </c>
      <c r="N26" s="45"/>
      <c r="O26" s="70"/>
    </row>
    <row r="27" spans="1:22">
      <c r="A27" s="26">
        <v>24</v>
      </c>
      <c r="B27" s="27">
        <v>45712</v>
      </c>
      <c r="C27" s="129"/>
      <c r="D27" s="130"/>
      <c r="E27" s="94">
        <v>0</v>
      </c>
      <c r="F27" s="94">
        <v>0</v>
      </c>
      <c r="G27" s="19">
        <f t="shared" si="0"/>
        <v>0</v>
      </c>
      <c r="H27" s="94">
        <v>0</v>
      </c>
      <c r="I27" s="355">
        <v>0</v>
      </c>
      <c r="J27" s="19">
        <f t="shared" si="1"/>
        <v>0</v>
      </c>
      <c r="K27" s="19">
        <f t="shared" si="2"/>
        <v>0</v>
      </c>
      <c r="L27" s="131">
        <v>0</v>
      </c>
      <c r="M27" s="131">
        <f t="shared" si="3"/>
        <v>171905.90969999993</v>
      </c>
      <c r="N27" s="45"/>
      <c r="O27" s="70"/>
    </row>
    <row r="28" spans="1:22">
      <c r="A28" s="26">
        <v>25</v>
      </c>
      <c r="B28" s="27">
        <v>45713</v>
      </c>
      <c r="C28" s="129"/>
      <c r="D28" s="130"/>
      <c r="E28" s="94">
        <v>0</v>
      </c>
      <c r="F28" s="94">
        <v>0</v>
      </c>
      <c r="G28" s="19">
        <f t="shared" si="0"/>
        <v>0</v>
      </c>
      <c r="H28" s="94">
        <v>0</v>
      </c>
      <c r="I28" s="355">
        <v>0</v>
      </c>
      <c r="J28" s="19">
        <f t="shared" si="1"/>
        <v>0</v>
      </c>
      <c r="K28" s="19">
        <f t="shared" si="2"/>
        <v>0</v>
      </c>
      <c r="L28" s="131">
        <v>0</v>
      </c>
      <c r="M28" s="131">
        <f t="shared" si="3"/>
        <v>171905.90969999993</v>
      </c>
      <c r="N28" s="45"/>
      <c r="O28" s="70"/>
    </row>
    <row r="29" spans="1:22">
      <c r="A29" s="26">
        <v>26</v>
      </c>
      <c r="B29" s="27">
        <v>45714</v>
      </c>
      <c r="C29" s="129"/>
      <c r="D29" s="130"/>
      <c r="E29" s="94">
        <v>600</v>
      </c>
      <c r="F29" s="94">
        <v>92.17</v>
      </c>
      <c r="G29" s="19">
        <f t="shared" si="0"/>
        <v>55302</v>
      </c>
      <c r="H29" s="94">
        <v>35</v>
      </c>
      <c r="I29" s="355">
        <v>104.03</v>
      </c>
      <c r="J29" s="19">
        <f t="shared" si="1"/>
        <v>3641.05</v>
      </c>
      <c r="K29" s="19">
        <f t="shared" si="2"/>
        <v>58943.05</v>
      </c>
      <c r="L29" s="131">
        <v>171896</v>
      </c>
      <c r="M29" s="131">
        <f t="shared" si="3"/>
        <v>58952.959699999948</v>
      </c>
      <c r="N29" s="45"/>
      <c r="O29" s="70"/>
    </row>
    <row r="30" spans="1:22">
      <c r="A30" s="26">
        <v>27</v>
      </c>
      <c r="B30" s="27">
        <v>45715</v>
      </c>
      <c r="C30" s="129"/>
      <c r="D30" s="130"/>
      <c r="E30" s="94">
        <v>0</v>
      </c>
      <c r="F30" s="94">
        <v>0</v>
      </c>
      <c r="G30" s="19">
        <f t="shared" si="0"/>
        <v>0</v>
      </c>
      <c r="H30" s="94">
        <v>0</v>
      </c>
      <c r="I30" s="355">
        <v>0</v>
      </c>
      <c r="J30" s="19">
        <f t="shared" si="1"/>
        <v>0</v>
      </c>
      <c r="K30" s="19">
        <f t="shared" si="2"/>
        <v>0</v>
      </c>
      <c r="L30" s="131">
        <v>0</v>
      </c>
      <c r="M30" s="131">
        <f t="shared" si="3"/>
        <v>58952.959699999948</v>
      </c>
      <c r="N30" s="45"/>
      <c r="O30" s="70"/>
    </row>
    <row r="31" spans="1:22">
      <c r="A31" s="26">
        <v>28</v>
      </c>
      <c r="B31" s="27">
        <v>45716</v>
      </c>
      <c r="C31" s="129"/>
      <c r="D31" s="130"/>
      <c r="E31" s="94">
        <v>0</v>
      </c>
      <c r="F31" s="94">
        <v>0</v>
      </c>
      <c r="G31" s="19">
        <f t="shared" si="0"/>
        <v>0</v>
      </c>
      <c r="H31" s="94">
        <v>0</v>
      </c>
      <c r="I31" s="355">
        <v>0</v>
      </c>
      <c r="J31" s="19">
        <f t="shared" si="1"/>
        <v>0</v>
      </c>
      <c r="K31" s="19">
        <f t="shared" si="2"/>
        <v>0</v>
      </c>
      <c r="L31" s="131">
        <v>0</v>
      </c>
      <c r="M31" s="131">
        <f t="shared" si="3"/>
        <v>58952.959699999948</v>
      </c>
      <c r="N31" s="45"/>
      <c r="O31" s="70"/>
      <c r="P31" s="243">
        <v>29774.14</v>
      </c>
    </row>
    <row r="32" spans="1:22">
      <c r="A32" s="26">
        <v>29</v>
      </c>
      <c r="B32" s="27"/>
      <c r="C32" s="129"/>
      <c r="D32" s="130"/>
      <c r="E32" s="94">
        <v>0</v>
      </c>
      <c r="F32" s="94">
        <v>0</v>
      </c>
      <c r="G32" s="19">
        <f t="shared" si="0"/>
        <v>0</v>
      </c>
      <c r="H32" s="94">
        <v>0</v>
      </c>
      <c r="I32" s="355">
        <v>0</v>
      </c>
      <c r="J32" s="19">
        <f t="shared" si="1"/>
        <v>0</v>
      </c>
      <c r="K32" s="19">
        <f t="shared" si="2"/>
        <v>0</v>
      </c>
      <c r="L32" s="131">
        <v>0</v>
      </c>
      <c r="M32" s="131">
        <f t="shared" si="3"/>
        <v>58952.959699999948</v>
      </c>
      <c r="N32" s="45"/>
      <c r="O32" s="70"/>
      <c r="P32">
        <v>50000</v>
      </c>
    </row>
    <row r="33" spans="1:19">
      <c r="A33" s="26">
        <v>30</v>
      </c>
      <c r="B33" s="27"/>
      <c r="C33" s="129"/>
      <c r="D33" s="130"/>
      <c r="E33" s="94">
        <v>0</v>
      </c>
      <c r="F33" s="94">
        <v>0</v>
      </c>
      <c r="G33" s="19">
        <f t="shared" si="0"/>
        <v>0</v>
      </c>
      <c r="H33" s="94">
        <v>0</v>
      </c>
      <c r="I33" s="355">
        <v>0</v>
      </c>
      <c r="J33" s="19">
        <f t="shared" si="1"/>
        <v>0</v>
      </c>
      <c r="K33" s="19">
        <f t="shared" si="2"/>
        <v>0</v>
      </c>
      <c r="L33" s="131">
        <v>0</v>
      </c>
      <c r="M33" s="131">
        <f t="shared" si="3"/>
        <v>58952.959699999948</v>
      </c>
      <c r="N33" s="45"/>
      <c r="O33" s="70"/>
      <c r="P33" s="243">
        <f>SUM(P31:P32)</f>
        <v>79774.14</v>
      </c>
    </row>
    <row r="34" spans="1:19">
      <c r="A34" s="26">
        <v>31</v>
      </c>
      <c r="B34" s="27"/>
      <c r="C34" s="129"/>
      <c r="D34" s="130"/>
      <c r="E34" s="94">
        <v>0</v>
      </c>
      <c r="F34" s="94">
        <v>0</v>
      </c>
      <c r="G34" s="19">
        <f t="shared" si="0"/>
        <v>0</v>
      </c>
      <c r="H34" s="94">
        <v>0</v>
      </c>
      <c r="I34" s="355">
        <v>0</v>
      </c>
      <c r="J34" s="19">
        <f t="shared" si="1"/>
        <v>0</v>
      </c>
      <c r="K34" s="19">
        <f t="shared" si="2"/>
        <v>0</v>
      </c>
      <c r="L34" s="131">
        <v>0</v>
      </c>
      <c r="M34" s="131">
        <f t="shared" si="3"/>
        <v>58952.959699999948</v>
      </c>
      <c r="N34" s="45"/>
      <c r="O34" s="70"/>
    </row>
    <row r="35" spans="1:19">
      <c r="A35" s="26"/>
      <c r="B35" s="27"/>
      <c r="C35" s="129"/>
      <c r="D35" s="130"/>
      <c r="E35" s="94">
        <v>0</v>
      </c>
      <c r="F35" s="94">
        <v>0</v>
      </c>
      <c r="G35" s="19">
        <f t="shared" si="0"/>
        <v>0</v>
      </c>
      <c r="H35" s="94">
        <v>0</v>
      </c>
      <c r="I35" s="355">
        <v>0</v>
      </c>
      <c r="J35" s="19">
        <f t="shared" si="1"/>
        <v>0</v>
      </c>
      <c r="K35" s="19">
        <f t="shared" si="2"/>
        <v>0</v>
      </c>
      <c r="L35" s="131">
        <v>0</v>
      </c>
      <c r="M35" s="131">
        <f t="shared" si="3"/>
        <v>58952.959699999948</v>
      </c>
      <c r="N35" s="45"/>
      <c r="O35" s="70"/>
    </row>
    <row r="36" spans="1:19">
      <c r="A36" s="26"/>
      <c r="B36" s="27"/>
      <c r="C36" s="129"/>
      <c r="D36" s="130"/>
      <c r="E36" s="94">
        <v>0</v>
      </c>
      <c r="F36" s="94">
        <v>0</v>
      </c>
      <c r="G36" s="19">
        <f t="shared" ref="G36" si="4">E36*F36</f>
        <v>0</v>
      </c>
      <c r="H36" s="94">
        <v>0</v>
      </c>
      <c r="I36" s="94"/>
      <c r="J36" s="19">
        <f t="shared" ref="J36" si="5">H36*I36</f>
        <v>0</v>
      </c>
      <c r="K36" s="19">
        <f t="shared" ref="K36" si="6">G36+J36</f>
        <v>0</v>
      </c>
      <c r="L36" s="131">
        <v>0</v>
      </c>
      <c r="M36" s="131">
        <f t="shared" si="3"/>
        <v>58952.959699999948</v>
      </c>
      <c r="N36" s="45"/>
      <c r="O36" s="70"/>
    </row>
    <row r="37" spans="1:19">
      <c r="A37" s="43"/>
      <c r="B37" s="43"/>
      <c r="C37" s="43"/>
      <c r="D37" s="43"/>
      <c r="E37" s="44">
        <f>SUM(E4:E35)</f>
        <v>4200</v>
      </c>
      <c r="F37" s="44"/>
      <c r="G37" s="44">
        <f>SUM(G4:G35)</f>
        <v>387114</v>
      </c>
      <c r="H37" s="44">
        <f>SUM(H4:H35)</f>
        <v>180</v>
      </c>
      <c r="I37" s="44"/>
      <c r="J37" s="44">
        <f>SUM(J4:J35)</f>
        <v>18725.400000000001</v>
      </c>
      <c r="K37" s="44">
        <f>SUM(K4:K35)</f>
        <v>405839.39999999997</v>
      </c>
      <c r="L37" s="44">
        <f>SUM(L4:L35)</f>
        <v>560585</v>
      </c>
      <c r="M37" s="44"/>
      <c r="N37" s="44"/>
      <c r="O37" s="33"/>
    </row>
    <row r="38" spans="1:19">
      <c r="A38" s="73"/>
      <c r="B38" s="74"/>
      <c r="C38" s="73"/>
      <c r="D38" s="73"/>
      <c r="E38" s="75">
        <v>0</v>
      </c>
      <c r="F38" s="75"/>
      <c r="G38" s="75">
        <v>0</v>
      </c>
      <c r="H38" s="75">
        <v>0</v>
      </c>
      <c r="I38" s="75"/>
      <c r="J38" s="76">
        <v>0</v>
      </c>
      <c r="K38" s="76">
        <f>G38+J38</f>
        <v>0</v>
      </c>
      <c r="L38" s="76">
        <v>0</v>
      </c>
      <c r="M38" s="76"/>
      <c r="N38" s="75"/>
      <c r="O38" s="70"/>
    </row>
    <row r="39" spans="1:19">
      <c r="E39" s="136"/>
      <c r="F39" s="136"/>
      <c r="G39" s="136"/>
      <c r="H39" s="136"/>
      <c r="I39" s="136"/>
      <c r="J39" s="136"/>
      <c r="K39" s="136"/>
      <c r="L39" s="136"/>
      <c r="M39" s="243"/>
      <c r="O39" s="70"/>
    </row>
    <row r="40" spans="1:19">
      <c r="O40" s="70"/>
    </row>
    <row r="41" spans="1:19">
      <c r="M41" s="176"/>
      <c r="O41" s="70"/>
    </row>
    <row r="42" spans="1:19">
      <c r="O42" s="70"/>
    </row>
    <row r="43" spans="1:19">
      <c r="O43" s="70"/>
      <c r="S43">
        <v>9052944708</v>
      </c>
    </row>
    <row r="44" spans="1:19">
      <c r="A44" s="70"/>
      <c r="B44" s="60"/>
      <c r="C44" s="70"/>
      <c r="D44" s="70"/>
      <c r="E44" s="70"/>
      <c r="F44" s="70"/>
      <c r="G44" s="77"/>
      <c r="H44" s="70"/>
      <c r="I44" s="70"/>
      <c r="J44" s="60"/>
      <c r="K44" s="60"/>
      <c r="L44" s="60"/>
      <c r="M44" s="60"/>
      <c r="N44" s="70"/>
      <c r="O44" s="75"/>
    </row>
    <row r="45" spans="1:19">
      <c r="A45" s="70"/>
      <c r="B45" s="452"/>
      <c r="C45" s="452"/>
      <c r="D45" s="452"/>
      <c r="E45" s="452"/>
      <c r="F45" s="70"/>
      <c r="G45" s="70"/>
      <c r="H45" s="70"/>
      <c r="I45" s="452"/>
      <c r="J45" s="452"/>
      <c r="K45" s="452"/>
      <c r="L45" s="452"/>
      <c r="M45" s="452"/>
      <c r="N45" s="452"/>
      <c r="O45" s="75"/>
    </row>
    <row r="46" spans="1:19">
      <c r="A46" s="70"/>
      <c r="B46" s="60"/>
      <c r="C46" s="70"/>
      <c r="D46" s="70"/>
      <c r="E46" s="70"/>
      <c r="F46" s="70"/>
      <c r="G46" s="70"/>
      <c r="H46" s="70"/>
      <c r="I46" s="70"/>
      <c r="J46" s="60"/>
      <c r="K46" s="60"/>
      <c r="L46" s="60"/>
      <c r="M46" s="60"/>
      <c r="N46" s="70"/>
      <c r="O46" s="75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11" workbookViewId="0">
      <selection activeCell="M34" sqref="M34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</cols>
  <sheetData>
    <row r="1" spans="1:14" ht="15.75">
      <c r="A1" s="458" t="s">
        <v>219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25.5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07" t="s">
        <v>162</v>
      </c>
      <c r="L2" s="107" t="s">
        <v>163</v>
      </c>
      <c r="M2" s="107" t="s">
        <v>174</v>
      </c>
      <c r="N2" s="107" t="s">
        <v>165</v>
      </c>
    </row>
    <row r="3" spans="1:14">
      <c r="A3" s="462" t="s">
        <v>166</v>
      </c>
      <c r="B3" s="462"/>
      <c r="C3" s="462"/>
      <c r="D3" s="462"/>
      <c r="E3" s="462"/>
      <c r="F3" s="462"/>
      <c r="G3" s="462"/>
      <c r="H3" s="462"/>
      <c r="I3" s="462"/>
      <c r="J3" s="462"/>
      <c r="K3" s="96">
        <v>27990.595199999989</v>
      </c>
      <c r="L3" s="96">
        <v>27990.595199999989</v>
      </c>
      <c r="M3" s="96">
        <v>27990.595199999989</v>
      </c>
      <c r="N3" s="17"/>
    </row>
    <row r="4" spans="1:14">
      <c r="A4" s="26">
        <v>1</v>
      </c>
      <c r="B4" s="27">
        <v>46054</v>
      </c>
      <c r="C4" s="17"/>
      <c r="D4" s="17"/>
      <c r="E4" s="87"/>
      <c r="F4" s="87"/>
      <c r="G4" s="17">
        <f>E4*F4</f>
        <v>0</v>
      </c>
      <c r="H4" s="87"/>
      <c r="I4" s="87"/>
      <c r="J4" s="17">
        <f>H4*I4</f>
        <v>0</v>
      </c>
      <c r="K4" s="17">
        <f>G4+J4</f>
        <v>0</v>
      </c>
      <c r="L4" s="17">
        <f>K4</f>
        <v>0</v>
      </c>
      <c r="M4" s="17">
        <f>M3+K4-L4</f>
        <v>27990.595199999989</v>
      </c>
      <c r="N4" s="45"/>
    </row>
    <row r="5" spans="1:14">
      <c r="A5" s="26">
        <v>2</v>
      </c>
      <c r="B5" s="27">
        <v>46055</v>
      </c>
      <c r="C5" s="17"/>
      <c r="D5" s="17"/>
      <c r="E5" s="87">
        <v>200</v>
      </c>
      <c r="F5" s="87">
        <v>92.22</v>
      </c>
      <c r="G5" s="17">
        <f t="shared" ref="G5:G32" si="0">E5*F5</f>
        <v>18444</v>
      </c>
      <c r="H5" s="87">
        <v>20</v>
      </c>
      <c r="I5" s="87">
        <v>104.08</v>
      </c>
      <c r="J5" s="17">
        <f t="shared" ref="J5:J32" si="1">H5*I5</f>
        <v>2081.6</v>
      </c>
      <c r="K5" s="17">
        <f t="shared" ref="K5:K32" si="2">G5+J5</f>
        <v>20525.599999999999</v>
      </c>
      <c r="L5" s="17">
        <v>27990.58</v>
      </c>
      <c r="M5" s="17">
        <f t="shared" ref="M5:M34" si="3">M4+K5-L5</f>
        <v>20525.615199999986</v>
      </c>
      <c r="N5" s="45"/>
    </row>
    <row r="6" spans="1:14">
      <c r="A6" s="26">
        <v>3</v>
      </c>
      <c r="B6" s="27">
        <v>46056</v>
      </c>
      <c r="C6" s="17"/>
      <c r="D6" s="17"/>
      <c r="E6" s="87"/>
      <c r="F6" s="87"/>
      <c r="G6" s="17">
        <f t="shared" si="0"/>
        <v>0</v>
      </c>
      <c r="H6" s="87"/>
      <c r="I6" s="87"/>
      <c r="J6" s="17">
        <f t="shared" si="1"/>
        <v>0</v>
      </c>
      <c r="K6" s="17">
        <f t="shared" si="2"/>
        <v>0</v>
      </c>
      <c r="L6" s="17">
        <f t="shared" ref="L5:L30" si="4">K6</f>
        <v>0</v>
      </c>
      <c r="M6" s="17">
        <f t="shared" si="3"/>
        <v>20525.615199999986</v>
      </c>
      <c r="N6" s="45"/>
    </row>
    <row r="7" spans="1:14">
      <c r="A7" s="26">
        <v>4</v>
      </c>
      <c r="B7" s="27">
        <v>46057</v>
      </c>
      <c r="C7" s="17"/>
      <c r="D7" s="17"/>
      <c r="E7" s="87"/>
      <c r="F7" s="87"/>
      <c r="G7" s="17">
        <f t="shared" si="0"/>
        <v>0</v>
      </c>
      <c r="H7" s="87"/>
      <c r="I7" s="87"/>
      <c r="J7" s="17">
        <f t="shared" si="1"/>
        <v>0</v>
      </c>
      <c r="K7" s="17">
        <f t="shared" si="2"/>
        <v>0</v>
      </c>
      <c r="L7" s="17">
        <f t="shared" si="4"/>
        <v>0</v>
      </c>
      <c r="M7" s="17">
        <f t="shared" si="3"/>
        <v>20525.615199999986</v>
      </c>
      <c r="N7" s="45"/>
    </row>
    <row r="8" spans="1:14">
      <c r="A8" s="26">
        <v>5</v>
      </c>
      <c r="B8" s="27">
        <v>46058</v>
      </c>
      <c r="C8" s="17"/>
      <c r="D8" s="17"/>
      <c r="E8" s="87"/>
      <c r="F8" s="87"/>
      <c r="G8" s="17">
        <f t="shared" si="0"/>
        <v>0</v>
      </c>
      <c r="H8" s="87"/>
      <c r="I8" s="87"/>
      <c r="J8" s="17">
        <f t="shared" si="1"/>
        <v>0</v>
      </c>
      <c r="K8" s="17">
        <f t="shared" si="2"/>
        <v>0</v>
      </c>
      <c r="L8" s="17">
        <f t="shared" si="4"/>
        <v>0</v>
      </c>
      <c r="M8" s="17">
        <f t="shared" si="3"/>
        <v>20525.615199999986</v>
      </c>
      <c r="N8" s="45"/>
    </row>
    <row r="9" spans="1:14">
      <c r="A9" s="26">
        <v>6</v>
      </c>
      <c r="B9" s="27">
        <v>46059</v>
      </c>
      <c r="C9" s="17"/>
      <c r="D9" s="17"/>
      <c r="E9" s="87"/>
      <c r="F9" s="87"/>
      <c r="G9" s="17">
        <f t="shared" si="0"/>
        <v>0</v>
      </c>
      <c r="H9" s="87"/>
      <c r="I9" s="87"/>
      <c r="J9" s="17">
        <f t="shared" si="1"/>
        <v>0</v>
      </c>
      <c r="K9" s="17">
        <f t="shared" si="2"/>
        <v>0</v>
      </c>
      <c r="L9" s="17">
        <f t="shared" si="4"/>
        <v>0</v>
      </c>
      <c r="M9" s="17">
        <f t="shared" si="3"/>
        <v>20525.615199999986</v>
      </c>
      <c r="N9" s="45"/>
    </row>
    <row r="10" spans="1:14">
      <c r="A10" s="26">
        <v>7</v>
      </c>
      <c r="B10" s="27">
        <v>46060</v>
      </c>
      <c r="C10" s="17"/>
      <c r="D10" s="17"/>
      <c r="E10" s="87"/>
      <c r="F10" s="87"/>
      <c r="G10" s="17">
        <f t="shared" si="0"/>
        <v>0</v>
      </c>
      <c r="H10" s="87"/>
      <c r="I10" s="87"/>
      <c r="J10" s="17">
        <f t="shared" si="1"/>
        <v>0</v>
      </c>
      <c r="K10" s="17">
        <f t="shared" si="2"/>
        <v>0</v>
      </c>
      <c r="L10" s="17">
        <f t="shared" si="4"/>
        <v>0</v>
      </c>
      <c r="M10" s="17">
        <f t="shared" si="3"/>
        <v>20525.615199999986</v>
      </c>
      <c r="N10" s="45"/>
    </row>
    <row r="11" spans="1:14">
      <c r="A11" s="26">
        <v>8</v>
      </c>
      <c r="B11" s="27">
        <v>46061</v>
      </c>
      <c r="C11" s="17"/>
      <c r="D11" s="17"/>
      <c r="E11" s="87"/>
      <c r="F11" s="87"/>
      <c r="G11" s="17">
        <f t="shared" si="0"/>
        <v>0</v>
      </c>
      <c r="H11" s="87">
        <v>20</v>
      </c>
      <c r="I11" s="87">
        <v>104.08</v>
      </c>
      <c r="J11" s="17">
        <f t="shared" si="1"/>
        <v>2081.6</v>
      </c>
      <c r="K11" s="17">
        <f t="shared" si="2"/>
        <v>2081.6</v>
      </c>
      <c r="L11" s="17">
        <v>0</v>
      </c>
      <c r="M11" s="17">
        <f t="shared" si="3"/>
        <v>22607.215199999984</v>
      </c>
      <c r="N11" s="45"/>
    </row>
    <row r="12" spans="1:14">
      <c r="A12" s="26">
        <v>9</v>
      </c>
      <c r="B12" s="27">
        <v>46062</v>
      </c>
      <c r="C12" s="17"/>
      <c r="D12" s="17"/>
      <c r="E12" s="87"/>
      <c r="F12" s="87"/>
      <c r="G12" s="17">
        <f t="shared" si="0"/>
        <v>0</v>
      </c>
      <c r="H12" s="87"/>
      <c r="I12" s="87"/>
      <c r="J12" s="17">
        <f t="shared" si="1"/>
        <v>0</v>
      </c>
      <c r="K12" s="17">
        <f t="shared" si="2"/>
        <v>0</v>
      </c>
      <c r="L12" s="17">
        <f t="shared" si="4"/>
        <v>0</v>
      </c>
      <c r="M12" s="17">
        <f t="shared" si="3"/>
        <v>22607.215199999984</v>
      </c>
      <c r="N12" s="45"/>
    </row>
    <row r="13" spans="1:14">
      <c r="A13" s="26">
        <v>10</v>
      </c>
      <c r="B13" s="27">
        <v>46063</v>
      </c>
      <c r="C13" s="17"/>
      <c r="D13" s="17"/>
      <c r="E13" s="87"/>
      <c r="F13" s="87"/>
      <c r="G13" s="17">
        <f t="shared" si="0"/>
        <v>0</v>
      </c>
      <c r="H13" s="87"/>
      <c r="I13" s="87"/>
      <c r="J13" s="17">
        <f t="shared" si="1"/>
        <v>0</v>
      </c>
      <c r="K13" s="17">
        <f t="shared" si="2"/>
        <v>0</v>
      </c>
      <c r="L13" s="17">
        <f t="shared" si="4"/>
        <v>0</v>
      </c>
      <c r="M13" s="17">
        <f t="shared" si="3"/>
        <v>22607.215199999984</v>
      </c>
      <c r="N13" s="45"/>
    </row>
    <row r="14" spans="1:14">
      <c r="A14" s="26">
        <v>11</v>
      </c>
      <c r="B14" s="27">
        <v>46064</v>
      </c>
      <c r="C14" s="17"/>
      <c r="D14" s="17"/>
      <c r="E14" s="87"/>
      <c r="F14" s="87"/>
      <c r="G14" s="17">
        <f t="shared" si="0"/>
        <v>0</v>
      </c>
      <c r="H14" s="87"/>
      <c r="I14" s="87"/>
      <c r="J14" s="17">
        <f t="shared" si="1"/>
        <v>0</v>
      </c>
      <c r="K14" s="17">
        <f t="shared" si="2"/>
        <v>0</v>
      </c>
      <c r="L14" s="17">
        <f t="shared" si="4"/>
        <v>0</v>
      </c>
      <c r="M14" s="17">
        <f t="shared" si="3"/>
        <v>22607.215199999984</v>
      </c>
      <c r="N14" s="45"/>
    </row>
    <row r="15" spans="1:14">
      <c r="A15" s="26">
        <v>12</v>
      </c>
      <c r="B15" s="27">
        <v>46065</v>
      </c>
      <c r="C15" s="17"/>
      <c r="D15" s="17"/>
      <c r="E15" s="87"/>
      <c r="F15" s="87"/>
      <c r="G15" s="17">
        <f t="shared" si="0"/>
        <v>0</v>
      </c>
      <c r="H15" s="87"/>
      <c r="I15" s="87"/>
      <c r="J15" s="17">
        <f t="shared" si="1"/>
        <v>0</v>
      </c>
      <c r="K15" s="17">
        <f t="shared" si="2"/>
        <v>0</v>
      </c>
      <c r="L15" s="17">
        <f t="shared" si="4"/>
        <v>0</v>
      </c>
      <c r="M15" s="17">
        <f t="shared" si="3"/>
        <v>22607.215199999984</v>
      </c>
      <c r="N15" s="45"/>
    </row>
    <row r="16" spans="1:14">
      <c r="A16" s="26">
        <v>13</v>
      </c>
      <c r="B16" s="27">
        <v>46066</v>
      </c>
      <c r="C16" s="17"/>
      <c r="D16" s="17"/>
      <c r="E16" s="87"/>
      <c r="F16" s="87"/>
      <c r="G16" s="17">
        <f t="shared" si="0"/>
        <v>0</v>
      </c>
      <c r="H16" s="87"/>
      <c r="I16" s="87"/>
      <c r="J16" s="17">
        <f t="shared" si="1"/>
        <v>0</v>
      </c>
      <c r="K16" s="17">
        <f t="shared" si="2"/>
        <v>0</v>
      </c>
      <c r="L16" s="17">
        <f t="shared" si="4"/>
        <v>0</v>
      </c>
      <c r="M16" s="17">
        <f t="shared" si="3"/>
        <v>22607.215199999984</v>
      </c>
      <c r="N16" s="45"/>
    </row>
    <row r="17" spans="1:14">
      <c r="A17" s="26">
        <v>14</v>
      </c>
      <c r="B17" s="27">
        <v>46067</v>
      </c>
      <c r="C17" s="17"/>
      <c r="D17" s="17"/>
      <c r="E17" s="87">
        <v>200</v>
      </c>
      <c r="F17" s="87">
        <v>92.22</v>
      </c>
      <c r="G17" s="17">
        <f t="shared" si="0"/>
        <v>18444</v>
      </c>
      <c r="H17" s="87">
        <v>20</v>
      </c>
      <c r="I17" s="87">
        <v>104.08</v>
      </c>
      <c r="J17" s="17">
        <f t="shared" si="1"/>
        <v>2081.6</v>
      </c>
      <c r="K17" s="17">
        <f t="shared" si="2"/>
        <v>20525.599999999999</v>
      </c>
      <c r="L17" s="17">
        <v>0</v>
      </c>
      <c r="M17" s="17">
        <f t="shared" si="3"/>
        <v>43132.815199999983</v>
      </c>
      <c r="N17" s="45"/>
    </row>
    <row r="18" spans="1:14">
      <c r="A18" s="26">
        <v>15</v>
      </c>
      <c r="B18" s="27">
        <v>46068</v>
      </c>
      <c r="C18" s="17"/>
      <c r="D18" s="17"/>
      <c r="E18" s="87"/>
      <c r="F18" s="87"/>
      <c r="G18" s="17">
        <f t="shared" si="0"/>
        <v>0</v>
      </c>
      <c r="H18" s="87"/>
      <c r="I18" s="87"/>
      <c r="J18" s="17">
        <f t="shared" si="1"/>
        <v>0</v>
      </c>
      <c r="K18" s="17">
        <f t="shared" si="2"/>
        <v>0</v>
      </c>
      <c r="L18" s="17">
        <f t="shared" si="4"/>
        <v>0</v>
      </c>
      <c r="M18" s="17">
        <f t="shared" si="3"/>
        <v>43132.815199999983</v>
      </c>
      <c r="N18" s="45"/>
    </row>
    <row r="19" spans="1:14">
      <c r="A19" s="26">
        <v>16</v>
      </c>
      <c r="B19" s="27">
        <v>46069</v>
      </c>
      <c r="C19" s="17"/>
      <c r="D19" s="17"/>
      <c r="E19" s="87"/>
      <c r="F19" s="87"/>
      <c r="G19" s="17">
        <f t="shared" si="0"/>
        <v>0</v>
      </c>
      <c r="H19" s="87"/>
      <c r="I19" s="87"/>
      <c r="J19" s="17">
        <f t="shared" si="1"/>
        <v>0</v>
      </c>
      <c r="K19" s="17">
        <f t="shared" si="2"/>
        <v>0</v>
      </c>
      <c r="L19" s="17">
        <f t="shared" si="4"/>
        <v>0</v>
      </c>
      <c r="M19" s="17">
        <f t="shared" si="3"/>
        <v>43132.815199999983</v>
      </c>
      <c r="N19" s="45"/>
    </row>
    <row r="20" spans="1:14">
      <c r="A20" s="26">
        <v>17</v>
      </c>
      <c r="B20" s="27">
        <v>46070</v>
      </c>
      <c r="C20" s="17"/>
      <c r="D20" s="17"/>
      <c r="E20" s="87"/>
      <c r="F20" s="87"/>
      <c r="G20" s="17">
        <f t="shared" si="0"/>
        <v>0</v>
      </c>
      <c r="H20" s="87"/>
      <c r="I20" s="87"/>
      <c r="J20" s="17">
        <f t="shared" si="1"/>
        <v>0</v>
      </c>
      <c r="K20" s="17">
        <f t="shared" si="2"/>
        <v>0</v>
      </c>
      <c r="L20" s="17">
        <f t="shared" si="4"/>
        <v>0</v>
      </c>
      <c r="M20" s="17">
        <f t="shared" si="3"/>
        <v>43132.815199999983</v>
      </c>
      <c r="N20" s="45"/>
    </row>
    <row r="21" spans="1:14">
      <c r="A21" s="26">
        <v>18</v>
      </c>
      <c r="B21" s="27">
        <v>46071</v>
      </c>
      <c r="C21" s="17"/>
      <c r="D21" s="17"/>
      <c r="E21" s="87"/>
      <c r="F21" s="87"/>
      <c r="G21" s="17">
        <f t="shared" si="0"/>
        <v>0</v>
      </c>
      <c r="H21" s="87"/>
      <c r="I21" s="87"/>
      <c r="J21" s="17">
        <f t="shared" si="1"/>
        <v>0</v>
      </c>
      <c r="K21" s="17">
        <f t="shared" si="2"/>
        <v>0</v>
      </c>
      <c r="L21" s="17">
        <f t="shared" si="4"/>
        <v>0</v>
      </c>
      <c r="M21" s="17">
        <f t="shared" si="3"/>
        <v>43132.815199999983</v>
      </c>
      <c r="N21" s="45"/>
    </row>
    <row r="22" spans="1:14">
      <c r="A22" s="26">
        <v>19</v>
      </c>
      <c r="B22" s="27">
        <v>46072</v>
      </c>
      <c r="C22" s="17"/>
      <c r="D22" s="17"/>
      <c r="E22" s="87"/>
      <c r="F22" s="87"/>
      <c r="G22" s="17">
        <f t="shared" si="0"/>
        <v>0</v>
      </c>
      <c r="H22" s="87"/>
      <c r="I22" s="87"/>
      <c r="J22" s="17">
        <f t="shared" si="1"/>
        <v>0</v>
      </c>
      <c r="K22" s="17">
        <f t="shared" si="2"/>
        <v>0</v>
      </c>
      <c r="L22" s="17">
        <f t="shared" si="4"/>
        <v>0</v>
      </c>
      <c r="M22" s="17">
        <f t="shared" si="3"/>
        <v>43132.815199999983</v>
      </c>
      <c r="N22" s="45"/>
    </row>
    <row r="23" spans="1:14">
      <c r="A23" s="26">
        <v>20</v>
      </c>
      <c r="B23" s="27">
        <v>46073</v>
      </c>
      <c r="C23" s="17"/>
      <c r="D23" s="17"/>
      <c r="E23" s="87"/>
      <c r="F23" s="87"/>
      <c r="G23" s="17">
        <f t="shared" si="0"/>
        <v>0</v>
      </c>
      <c r="H23" s="87">
        <v>20</v>
      </c>
      <c r="I23" s="87">
        <v>104.08</v>
      </c>
      <c r="J23" s="17">
        <f t="shared" si="1"/>
        <v>2081.6</v>
      </c>
      <c r="K23" s="17">
        <f t="shared" si="2"/>
        <v>2081.6</v>
      </c>
      <c r="L23" s="17">
        <v>43132.800000000003</v>
      </c>
      <c r="M23" s="17">
        <f t="shared" si="3"/>
        <v>2081.6151999999784</v>
      </c>
      <c r="N23" s="45"/>
    </row>
    <row r="24" spans="1:14">
      <c r="A24" s="26">
        <v>21</v>
      </c>
      <c r="B24" s="27">
        <v>46074</v>
      </c>
      <c r="C24" s="17"/>
      <c r="D24" s="17"/>
      <c r="E24" s="87"/>
      <c r="F24" s="87"/>
      <c r="G24" s="17">
        <f t="shared" si="0"/>
        <v>0</v>
      </c>
      <c r="H24" s="87"/>
      <c r="I24" s="87"/>
      <c r="J24" s="17">
        <f t="shared" si="1"/>
        <v>0</v>
      </c>
      <c r="K24" s="17">
        <f t="shared" si="2"/>
        <v>0</v>
      </c>
      <c r="L24" s="17">
        <f t="shared" si="4"/>
        <v>0</v>
      </c>
      <c r="M24" s="17">
        <f t="shared" si="3"/>
        <v>2081.6151999999784</v>
      </c>
      <c r="N24" s="45"/>
    </row>
    <row r="25" spans="1:14">
      <c r="A25" s="26">
        <v>22</v>
      </c>
      <c r="B25" s="27">
        <v>46075</v>
      </c>
      <c r="C25" s="17"/>
      <c r="D25" s="17"/>
      <c r="E25" s="87"/>
      <c r="F25" s="87"/>
      <c r="G25" s="17">
        <f t="shared" si="0"/>
        <v>0</v>
      </c>
      <c r="H25" s="87"/>
      <c r="I25" s="87"/>
      <c r="J25" s="17">
        <f t="shared" si="1"/>
        <v>0</v>
      </c>
      <c r="K25" s="17">
        <f t="shared" si="2"/>
        <v>0</v>
      </c>
      <c r="L25" s="17">
        <f t="shared" si="4"/>
        <v>0</v>
      </c>
      <c r="M25" s="17">
        <f t="shared" si="3"/>
        <v>2081.6151999999784</v>
      </c>
      <c r="N25" s="45"/>
    </row>
    <row r="26" spans="1:14">
      <c r="A26" s="26">
        <v>23</v>
      </c>
      <c r="B26" s="27">
        <v>46076</v>
      </c>
      <c r="C26" s="17"/>
      <c r="D26" s="17"/>
      <c r="E26" s="87"/>
      <c r="F26" s="87"/>
      <c r="G26" s="17">
        <f t="shared" si="0"/>
        <v>0</v>
      </c>
      <c r="H26" s="87"/>
      <c r="I26" s="87"/>
      <c r="J26" s="17">
        <f t="shared" si="1"/>
        <v>0</v>
      </c>
      <c r="K26" s="17">
        <f t="shared" si="2"/>
        <v>0</v>
      </c>
      <c r="L26" s="17">
        <f t="shared" si="4"/>
        <v>0</v>
      </c>
      <c r="M26" s="17">
        <f t="shared" si="3"/>
        <v>2081.6151999999784</v>
      </c>
      <c r="N26" s="45"/>
    </row>
    <row r="27" spans="1:14">
      <c r="A27" s="26">
        <v>24</v>
      </c>
      <c r="B27" s="27">
        <v>46077</v>
      </c>
      <c r="C27" s="17"/>
      <c r="D27" s="17"/>
      <c r="E27" s="87"/>
      <c r="F27" s="87"/>
      <c r="G27" s="17">
        <f t="shared" si="0"/>
        <v>0</v>
      </c>
      <c r="H27" s="87"/>
      <c r="I27" s="87"/>
      <c r="J27" s="17">
        <f t="shared" si="1"/>
        <v>0</v>
      </c>
      <c r="K27" s="17">
        <f t="shared" si="2"/>
        <v>0</v>
      </c>
      <c r="L27" s="17">
        <f t="shared" si="4"/>
        <v>0</v>
      </c>
      <c r="M27" s="17">
        <f t="shared" si="3"/>
        <v>2081.6151999999784</v>
      </c>
      <c r="N27" s="45"/>
    </row>
    <row r="28" spans="1:14">
      <c r="A28" s="26">
        <v>25</v>
      </c>
      <c r="B28" s="27">
        <v>46078</v>
      </c>
      <c r="C28" s="17"/>
      <c r="D28" s="17"/>
      <c r="E28" s="87"/>
      <c r="F28" s="87"/>
      <c r="G28" s="17">
        <f t="shared" si="0"/>
        <v>0</v>
      </c>
      <c r="H28" s="87"/>
      <c r="I28" s="87"/>
      <c r="J28" s="17">
        <f t="shared" si="1"/>
        <v>0</v>
      </c>
      <c r="K28" s="17">
        <f t="shared" si="2"/>
        <v>0</v>
      </c>
      <c r="L28" s="17">
        <f t="shared" si="4"/>
        <v>0</v>
      </c>
      <c r="M28" s="17">
        <f t="shared" si="3"/>
        <v>2081.6151999999784</v>
      </c>
      <c r="N28" s="45"/>
    </row>
    <row r="29" spans="1:14">
      <c r="A29" s="26">
        <v>26</v>
      </c>
      <c r="B29" s="27">
        <v>46079</v>
      </c>
      <c r="C29" s="17"/>
      <c r="D29" s="17"/>
      <c r="E29" s="87"/>
      <c r="F29" s="87"/>
      <c r="G29" s="17">
        <f t="shared" si="0"/>
        <v>0</v>
      </c>
      <c r="H29" s="87"/>
      <c r="I29" s="87"/>
      <c r="J29" s="17">
        <f t="shared" si="1"/>
        <v>0</v>
      </c>
      <c r="K29" s="17">
        <f t="shared" si="2"/>
        <v>0</v>
      </c>
      <c r="L29" s="17">
        <f t="shared" si="4"/>
        <v>0</v>
      </c>
      <c r="M29" s="17">
        <f t="shared" si="3"/>
        <v>2081.6151999999784</v>
      </c>
      <c r="N29" s="45"/>
    </row>
    <row r="30" spans="1:14">
      <c r="A30" s="26">
        <v>27</v>
      </c>
      <c r="B30" s="27">
        <v>46080</v>
      </c>
      <c r="C30" s="17"/>
      <c r="D30" s="17"/>
      <c r="E30" s="87"/>
      <c r="F30" s="87"/>
      <c r="G30" s="17">
        <f t="shared" si="0"/>
        <v>0</v>
      </c>
      <c r="H30" s="87"/>
      <c r="I30" s="87"/>
      <c r="J30" s="17">
        <f t="shared" si="1"/>
        <v>0</v>
      </c>
      <c r="K30" s="17">
        <f t="shared" si="2"/>
        <v>0</v>
      </c>
      <c r="L30" s="17">
        <f t="shared" si="4"/>
        <v>0</v>
      </c>
      <c r="M30" s="17">
        <f t="shared" si="3"/>
        <v>2081.6151999999784</v>
      </c>
      <c r="N30" s="45"/>
    </row>
    <row r="31" spans="1:14">
      <c r="A31" s="26">
        <v>28</v>
      </c>
      <c r="B31" s="27">
        <v>46081</v>
      </c>
      <c r="C31" s="17"/>
      <c r="D31" s="17"/>
      <c r="E31" s="87">
        <v>200</v>
      </c>
      <c r="F31" s="87">
        <v>92.22</v>
      </c>
      <c r="G31" s="17">
        <f t="shared" si="0"/>
        <v>18444</v>
      </c>
      <c r="H31" s="87">
        <v>20</v>
      </c>
      <c r="I31" s="87">
        <v>104.08</v>
      </c>
      <c r="J31" s="17">
        <f t="shared" si="1"/>
        <v>2081.6</v>
      </c>
      <c r="K31" s="17">
        <f t="shared" si="2"/>
        <v>20525.599999999999</v>
      </c>
      <c r="L31" s="17">
        <v>0</v>
      </c>
      <c r="M31" s="17">
        <f t="shared" si="3"/>
        <v>22607.215199999977</v>
      </c>
      <c r="N31" s="45"/>
    </row>
    <row r="32" spans="1:14">
      <c r="A32" s="26">
        <v>29</v>
      </c>
      <c r="B32" s="27"/>
      <c r="C32" s="17"/>
      <c r="D32" s="17"/>
      <c r="E32" s="87"/>
      <c r="F32" s="87"/>
      <c r="G32" s="17">
        <f t="shared" si="0"/>
        <v>0</v>
      </c>
      <c r="H32" s="87"/>
      <c r="I32" s="87"/>
      <c r="J32" s="17">
        <f t="shared" si="1"/>
        <v>0</v>
      </c>
      <c r="K32" s="17">
        <f t="shared" si="2"/>
        <v>0</v>
      </c>
      <c r="L32" s="17">
        <f t="shared" ref="L5:L33" si="5">K32</f>
        <v>0</v>
      </c>
      <c r="M32" s="17">
        <f t="shared" si="3"/>
        <v>22607.215199999977</v>
      </c>
      <c r="N32" s="45"/>
    </row>
    <row r="33" spans="1:14">
      <c r="A33" s="26">
        <v>30</v>
      </c>
      <c r="B33" s="27"/>
      <c r="C33" s="17"/>
      <c r="D33" s="17"/>
      <c r="E33" s="87"/>
      <c r="F33" s="87"/>
      <c r="G33" s="17">
        <f t="shared" ref="G5:G34" si="6">E33*F33</f>
        <v>0</v>
      </c>
      <c r="H33" s="87"/>
      <c r="I33" s="87"/>
      <c r="J33" s="17">
        <f t="shared" ref="J5:J33" si="7">H33*I33</f>
        <v>0</v>
      </c>
      <c r="K33" s="17">
        <f t="shared" ref="K5:K34" si="8">G33+J33</f>
        <v>0</v>
      </c>
      <c r="L33" s="17">
        <f t="shared" ref="L33:L34" si="9">K33</f>
        <v>0</v>
      </c>
      <c r="M33" s="17">
        <f t="shared" si="3"/>
        <v>22607.215199999977</v>
      </c>
      <c r="N33" s="45"/>
    </row>
    <row r="34" spans="1:14">
      <c r="A34" s="26">
        <v>31</v>
      </c>
      <c r="B34" s="27"/>
      <c r="C34" s="17"/>
      <c r="D34" s="17"/>
      <c r="E34" s="87"/>
      <c r="F34" s="87"/>
      <c r="G34" s="17">
        <f t="shared" si="6"/>
        <v>0</v>
      </c>
      <c r="H34" s="87"/>
      <c r="I34" s="87"/>
      <c r="J34" s="17"/>
      <c r="K34" s="17">
        <f>G34+J34</f>
        <v>0</v>
      </c>
      <c r="L34" s="17">
        <v>0</v>
      </c>
      <c r="M34" s="17">
        <f t="shared" si="3"/>
        <v>22607.215199999977</v>
      </c>
      <c r="N34" s="45"/>
    </row>
    <row r="35" spans="1:14">
      <c r="A35" s="43"/>
      <c r="B35" s="43"/>
      <c r="C35" s="43"/>
      <c r="D35" s="43"/>
      <c r="E35" s="43">
        <f>SUM(E4:E34)</f>
        <v>600</v>
      </c>
      <c r="F35" s="43"/>
      <c r="G35" s="43">
        <f>SUM(G4:G34)</f>
        <v>55332</v>
      </c>
      <c r="H35" s="43">
        <f>SUM(H4:H34)</f>
        <v>100</v>
      </c>
      <c r="I35" s="43"/>
      <c r="J35" s="43">
        <f>SUM(J4:J34)</f>
        <v>10408</v>
      </c>
      <c r="K35" s="43">
        <f>SUM(K4:K34)</f>
        <v>65740</v>
      </c>
      <c r="L35" s="43">
        <f>SUM(L4:L34)</f>
        <v>71123.38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topLeftCell="A13" workbookViewId="0">
      <selection activeCell="M32" sqref="M32"/>
    </sheetView>
  </sheetViews>
  <sheetFormatPr defaultRowHeight="15"/>
  <cols>
    <col min="5" max="5" width="9.28515625" bestFit="1" customWidth="1"/>
    <col min="7" max="7" width="9.28515625" bestFit="1" customWidth="1"/>
    <col min="12" max="12" width="16.85546875" customWidth="1"/>
  </cols>
  <sheetData>
    <row r="1" spans="1:14" ht="15.75">
      <c r="A1" s="458" t="s">
        <v>220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25.5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07" t="s">
        <v>162</v>
      </c>
      <c r="L2" s="107" t="s">
        <v>163</v>
      </c>
      <c r="M2" s="107" t="s">
        <v>174</v>
      </c>
      <c r="N2" s="107" t="s">
        <v>165</v>
      </c>
    </row>
    <row r="3" spans="1:14">
      <c r="A3" s="462" t="s">
        <v>166</v>
      </c>
      <c r="B3" s="462"/>
      <c r="C3" s="462"/>
      <c r="D3" s="462"/>
      <c r="E3" s="462"/>
      <c r="F3" s="462"/>
      <c r="G3" s="462"/>
      <c r="H3" s="462"/>
      <c r="I3" s="462"/>
      <c r="J3" s="462"/>
      <c r="K3" s="96">
        <v>161104.96360000002</v>
      </c>
      <c r="L3" s="96">
        <v>161104.96360000002</v>
      </c>
      <c r="M3" s="96">
        <v>161104.96360000002</v>
      </c>
      <c r="N3" s="17"/>
    </row>
    <row r="4" spans="1:14">
      <c r="A4" s="26">
        <v>1</v>
      </c>
      <c r="B4" s="27">
        <v>46054</v>
      </c>
      <c r="C4" s="17"/>
      <c r="D4" s="17"/>
      <c r="E4" s="87">
        <v>0</v>
      </c>
      <c r="F4" s="87">
        <v>0</v>
      </c>
      <c r="G4" s="17">
        <v>0</v>
      </c>
      <c r="H4" s="87">
        <v>0</v>
      </c>
      <c r="I4" s="87">
        <v>0</v>
      </c>
      <c r="J4" s="17">
        <v>0</v>
      </c>
      <c r="K4" s="17">
        <f>G4+J4</f>
        <v>0</v>
      </c>
      <c r="L4" s="17"/>
      <c r="M4" s="17">
        <f>M3+K4-L4</f>
        <v>161104.96360000002</v>
      </c>
      <c r="N4" s="45"/>
    </row>
    <row r="5" spans="1:14">
      <c r="A5" s="26">
        <v>2</v>
      </c>
      <c r="B5" s="27">
        <v>46055</v>
      </c>
      <c r="C5" s="17"/>
      <c r="D5" s="17"/>
      <c r="E5" s="87">
        <v>0</v>
      </c>
      <c r="F5" s="87">
        <v>0</v>
      </c>
      <c r="G5" s="17">
        <v>0</v>
      </c>
      <c r="H5" s="87">
        <v>0</v>
      </c>
      <c r="I5" s="87">
        <v>0</v>
      </c>
      <c r="J5" s="17">
        <v>0</v>
      </c>
      <c r="K5" s="17">
        <f t="shared" ref="K5:K33" si="0">G5+J5</f>
        <v>0</v>
      </c>
      <c r="L5" s="17">
        <v>161105</v>
      </c>
      <c r="M5" s="17">
        <f t="shared" ref="M5:M33" si="1">M4+K5-L5</f>
        <v>-3.63999999826774E-2</v>
      </c>
      <c r="N5" s="45"/>
    </row>
    <row r="6" spans="1:14">
      <c r="A6" s="26">
        <v>3</v>
      </c>
      <c r="B6" s="27">
        <v>46056</v>
      </c>
      <c r="C6" s="17"/>
      <c r="D6" s="17"/>
      <c r="E6" s="87">
        <v>600</v>
      </c>
      <c r="F6" s="87">
        <v>92.23</v>
      </c>
      <c r="G6" s="17">
        <f>E6*F6</f>
        <v>55338</v>
      </c>
      <c r="H6" s="87">
        <v>35</v>
      </c>
      <c r="I6" s="87">
        <v>104.09</v>
      </c>
      <c r="J6" s="17">
        <f>H6*I6</f>
        <v>3643.15</v>
      </c>
      <c r="K6" s="17">
        <f t="shared" si="0"/>
        <v>58981.15</v>
      </c>
      <c r="L6" s="17"/>
      <c r="M6" s="17">
        <f t="shared" si="1"/>
        <v>58981.113600000019</v>
      </c>
      <c r="N6" s="45"/>
    </row>
    <row r="7" spans="1:14">
      <c r="A7" s="26">
        <v>4</v>
      </c>
      <c r="B7" s="27">
        <v>46057</v>
      </c>
      <c r="C7" s="17"/>
      <c r="D7" s="17"/>
      <c r="E7" s="87">
        <v>0</v>
      </c>
      <c r="F7" s="87">
        <v>0</v>
      </c>
      <c r="G7" s="17">
        <f>E7*F7</f>
        <v>0</v>
      </c>
      <c r="H7" s="87">
        <v>0</v>
      </c>
      <c r="I7" s="87">
        <v>0</v>
      </c>
      <c r="J7" s="17">
        <f t="shared" ref="J7:J8" si="2">H7*I7</f>
        <v>0</v>
      </c>
      <c r="K7" s="17">
        <f t="shared" si="0"/>
        <v>0</v>
      </c>
      <c r="L7" s="17"/>
      <c r="M7" s="17">
        <f t="shared" si="1"/>
        <v>58981.113600000019</v>
      </c>
      <c r="N7" s="45"/>
    </row>
    <row r="8" spans="1:14">
      <c r="A8" s="26">
        <v>5</v>
      </c>
      <c r="B8" s="27">
        <v>46058</v>
      </c>
      <c r="C8" s="17"/>
      <c r="D8" s="17"/>
      <c r="E8" s="87">
        <v>400</v>
      </c>
      <c r="F8" s="87">
        <v>92.23</v>
      </c>
      <c r="G8" s="17">
        <f>E8*F8</f>
        <v>36892</v>
      </c>
      <c r="H8" s="87">
        <v>25</v>
      </c>
      <c r="I8" s="87">
        <v>104.09</v>
      </c>
      <c r="J8" s="17">
        <f>H8*I8</f>
        <v>2602.25</v>
      </c>
      <c r="K8" s="17">
        <f t="shared" si="0"/>
        <v>39494.25</v>
      </c>
      <c r="L8" s="17"/>
      <c r="M8" s="17">
        <f t="shared" si="1"/>
        <v>98475.363600000012</v>
      </c>
      <c r="N8" s="45"/>
    </row>
    <row r="9" spans="1:14">
      <c r="A9" s="26">
        <v>6</v>
      </c>
      <c r="B9" s="27">
        <v>46059</v>
      </c>
      <c r="C9" s="17"/>
      <c r="D9" s="17"/>
      <c r="E9" s="87">
        <v>0</v>
      </c>
      <c r="F9" s="87">
        <v>0</v>
      </c>
      <c r="G9" s="17">
        <f t="shared" ref="G9:G31" si="3">E9*F9</f>
        <v>0</v>
      </c>
      <c r="H9" s="87">
        <v>0</v>
      </c>
      <c r="I9" s="87">
        <v>0</v>
      </c>
      <c r="J9" s="17">
        <f t="shared" ref="J9:J31" si="4">H9*I9</f>
        <v>0</v>
      </c>
      <c r="K9" s="17">
        <f t="shared" si="0"/>
        <v>0</v>
      </c>
      <c r="L9" s="17"/>
      <c r="M9" s="17">
        <f t="shared" si="1"/>
        <v>98475.363600000012</v>
      </c>
      <c r="N9" s="45"/>
    </row>
    <row r="10" spans="1:14">
      <c r="A10" s="26">
        <v>7</v>
      </c>
      <c r="B10" s="27">
        <v>46060</v>
      </c>
      <c r="C10" s="17"/>
      <c r="D10" s="17"/>
      <c r="E10" s="87">
        <v>0</v>
      </c>
      <c r="F10" s="87">
        <v>0</v>
      </c>
      <c r="G10" s="17">
        <f t="shared" si="3"/>
        <v>0</v>
      </c>
      <c r="H10" s="87">
        <v>0</v>
      </c>
      <c r="I10" s="87">
        <v>0</v>
      </c>
      <c r="J10" s="17">
        <f t="shared" si="4"/>
        <v>0</v>
      </c>
      <c r="K10" s="17">
        <f t="shared" si="0"/>
        <v>0</v>
      </c>
      <c r="L10" s="17"/>
      <c r="M10" s="17">
        <f t="shared" si="1"/>
        <v>98475.363600000012</v>
      </c>
      <c r="N10" s="45"/>
    </row>
    <row r="11" spans="1:14">
      <c r="A11" s="26">
        <v>8</v>
      </c>
      <c r="B11" s="27">
        <v>46061</v>
      </c>
      <c r="C11" s="17"/>
      <c r="D11" s="17"/>
      <c r="E11" s="87">
        <v>0</v>
      </c>
      <c r="F11" s="87">
        <v>0</v>
      </c>
      <c r="G11" s="17">
        <f t="shared" si="3"/>
        <v>0</v>
      </c>
      <c r="H11" s="87">
        <v>0</v>
      </c>
      <c r="I11" s="87">
        <v>0</v>
      </c>
      <c r="J11" s="17">
        <f t="shared" si="4"/>
        <v>0</v>
      </c>
      <c r="K11" s="17">
        <f t="shared" si="0"/>
        <v>0</v>
      </c>
      <c r="L11" s="17"/>
      <c r="M11" s="17">
        <f t="shared" si="1"/>
        <v>98475.363600000012</v>
      </c>
      <c r="N11" s="45"/>
    </row>
    <row r="12" spans="1:14">
      <c r="A12" s="26">
        <v>9</v>
      </c>
      <c r="B12" s="27">
        <v>46062</v>
      </c>
      <c r="C12" s="17"/>
      <c r="D12" s="17"/>
      <c r="E12" s="87">
        <v>600</v>
      </c>
      <c r="F12" s="87">
        <v>92.23</v>
      </c>
      <c r="G12" s="17">
        <f t="shared" si="3"/>
        <v>55338</v>
      </c>
      <c r="H12" s="87">
        <v>0</v>
      </c>
      <c r="I12" s="87">
        <v>0</v>
      </c>
      <c r="J12" s="17">
        <f t="shared" si="4"/>
        <v>0</v>
      </c>
      <c r="K12" s="17">
        <f t="shared" si="0"/>
        <v>55338</v>
      </c>
      <c r="L12" s="17"/>
      <c r="M12" s="17">
        <f t="shared" si="1"/>
        <v>153813.36360000001</v>
      </c>
      <c r="N12" s="45"/>
    </row>
    <row r="13" spans="1:14">
      <c r="A13" s="26">
        <v>10</v>
      </c>
      <c r="B13" s="27">
        <v>46063</v>
      </c>
      <c r="C13" s="17"/>
      <c r="D13" s="17"/>
      <c r="E13" s="87">
        <v>0</v>
      </c>
      <c r="F13" s="87">
        <v>0</v>
      </c>
      <c r="G13" s="17">
        <f t="shared" si="3"/>
        <v>0</v>
      </c>
      <c r="H13" s="87">
        <v>0</v>
      </c>
      <c r="I13" s="87">
        <v>0</v>
      </c>
      <c r="J13" s="17">
        <f t="shared" si="4"/>
        <v>0</v>
      </c>
      <c r="K13" s="17">
        <f t="shared" si="0"/>
        <v>0</v>
      </c>
      <c r="L13" s="17"/>
      <c r="M13" s="17">
        <f t="shared" si="1"/>
        <v>153813.36360000001</v>
      </c>
      <c r="N13" s="45"/>
    </row>
    <row r="14" spans="1:14">
      <c r="A14" s="26">
        <v>11</v>
      </c>
      <c r="B14" s="27">
        <v>46064</v>
      </c>
      <c r="C14" s="17"/>
      <c r="D14" s="17"/>
      <c r="E14" s="87">
        <v>0</v>
      </c>
      <c r="F14" s="87">
        <v>0</v>
      </c>
      <c r="G14" s="17">
        <f t="shared" si="3"/>
        <v>0</v>
      </c>
      <c r="H14" s="87">
        <v>0</v>
      </c>
      <c r="I14" s="87">
        <v>0</v>
      </c>
      <c r="J14" s="17">
        <f t="shared" si="4"/>
        <v>0</v>
      </c>
      <c r="K14" s="17">
        <f t="shared" si="0"/>
        <v>0</v>
      </c>
      <c r="L14" s="17"/>
      <c r="M14" s="17">
        <f t="shared" si="1"/>
        <v>153813.36360000001</v>
      </c>
      <c r="N14" s="45"/>
    </row>
    <row r="15" spans="1:14">
      <c r="A15" s="26">
        <v>12</v>
      </c>
      <c r="B15" s="27">
        <v>46065</v>
      </c>
      <c r="C15" s="17"/>
      <c r="D15" s="17"/>
      <c r="E15" s="87">
        <v>600</v>
      </c>
      <c r="F15" s="87">
        <v>92.23</v>
      </c>
      <c r="G15" s="17">
        <f t="shared" si="3"/>
        <v>55338</v>
      </c>
      <c r="H15" s="87">
        <v>35</v>
      </c>
      <c r="I15" s="87">
        <v>104.09</v>
      </c>
      <c r="J15" s="17">
        <f t="shared" si="4"/>
        <v>3643.15</v>
      </c>
      <c r="K15" s="17">
        <f t="shared" si="0"/>
        <v>58981.15</v>
      </c>
      <c r="L15" s="17"/>
      <c r="M15" s="17">
        <f t="shared" si="1"/>
        <v>212794.51360000001</v>
      </c>
      <c r="N15" s="45"/>
    </row>
    <row r="16" spans="1:14">
      <c r="A16" s="26">
        <v>13</v>
      </c>
      <c r="B16" s="27">
        <v>46066</v>
      </c>
      <c r="C16" s="17"/>
      <c r="D16" s="17"/>
      <c r="E16" s="87">
        <v>0</v>
      </c>
      <c r="F16" s="87">
        <v>0</v>
      </c>
      <c r="G16" s="17">
        <f t="shared" si="3"/>
        <v>0</v>
      </c>
      <c r="H16" s="87">
        <v>0</v>
      </c>
      <c r="I16" s="87">
        <v>0</v>
      </c>
      <c r="J16" s="17">
        <f t="shared" si="4"/>
        <v>0</v>
      </c>
      <c r="K16" s="17">
        <f t="shared" si="0"/>
        <v>0</v>
      </c>
      <c r="L16" s="17"/>
      <c r="M16" s="17">
        <f t="shared" si="1"/>
        <v>212794.51360000001</v>
      </c>
      <c r="N16" s="45"/>
    </row>
    <row r="17" spans="1:14">
      <c r="A17" s="26">
        <v>14</v>
      </c>
      <c r="B17" s="27">
        <v>46067</v>
      </c>
      <c r="C17" s="17"/>
      <c r="D17" s="17"/>
      <c r="E17" s="87">
        <v>0</v>
      </c>
      <c r="F17" s="87">
        <v>0</v>
      </c>
      <c r="G17" s="17">
        <f t="shared" si="3"/>
        <v>0</v>
      </c>
      <c r="H17" s="87">
        <v>0</v>
      </c>
      <c r="I17" s="87">
        <v>0</v>
      </c>
      <c r="J17" s="17">
        <f t="shared" si="4"/>
        <v>0</v>
      </c>
      <c r="K17" s="17">
        <f t="shared" si="0"/>
        <v>0</v>
      </c>
      <c r="L17" s="17"/>
      <c r="M17" s="17">
        <f t="shared" si="1"/>
        <v>212794.51360000001</v>
      </c>
      <c r="N17" s="45"/>
    </row>
    <row r="18" spans="1:14">
      <c r="A18" s="26">
        <v>15</v>
      </c>
      <c r="B18" s="27">
        <v>46068</v>
      </c>
      <c r="C18" s="17"/>
      <c r="D18" s="17"/>
      <c r="E18" s="87">
        <v>0</v>
      </c>
      <c r="F18" s="87">
        <v>0</v>
      </c>
      <c r="G18" s="17">
        <f t="shared" si="3"/>
        <v>0</v>
      </c>
      <c r="H18" s="87">
        <v>0</v>
      </c>
      <c r="I18" s="87">
        <v>0</v>
      </c>
      <c r="J18" s="17">
        <f t="shared" si="4"/>
        <v>0</v>
      </c>
      <c r="K18" s="17">
        <f t="shared" si="0"/>
        <v>0</v>
      </c>
      <c r="L18" s="17"/>
      <c r="M18" s="17">
        <f t="shared" si="1"/>
        <v>212794.51360000001</v>
      </c>
      <c r="N18" s="45"/>
    </row>
    <row r="19" spans="1:14">
      <c r="A19" s="26">
        <v>16</v>
      </c>
      <c r="B19" s="27">
        <v>46069</v>
      </c>
      <c r="C19" s="17"/>
      <c r="D19" s="17"/>
      <c r="E19" s="87">
        <v>600</v>
      </c>
      <c r="F19" s="87">
        <v>92.23</v>
      </c>
      <c r="G19" s="17">
        <f t="shared" si="3"/>
        <v>55338</v>
      </c>
      <c r="H19" s="87">
        <v>35</v>
      </c>
      <c r="I19" s="87">
        <v>104.09</v>
      </c>
      <c r="J19" s="17">
        <f t="shared" si="4"/>
        <v>3643.15</v>
      </c>
      <c r="K19" s="17">
        <f t="shared" si="0"/>
        <v>58981.15</v>
      </c>
      <c r="L19" s="17"/>
      <c r="M19" s="17">
        <f t="shared" si="1"/>
        <v>271775.66360000003</v>
      </c>
      <c r="N19" s="45"/>
    </row>
    <row r="20" spans="1:14">
      <c r="A20" s="26">
        <v>17</v>
      </c>
      <c r="B20" s="27">
        <v>46070</v>
      </c>
      <c r="C20" s="17"/>
      <c r="D20" s="17"/>
      <c r="E20" s="87">
        <v>0</v>
      </c>
      <c r="F20" s="87">
        <v>0</v>
      </c>
      <c r="G20" s="17">
        <f t="shared" si="3"/>
        <v>0</v>
      </c>
      <c r="H20" s="87">
        <v>0</v>
      </c>
      <c r="I20" s="87">
        <v>0</v>
      </c>
      <c r="J20" s="17">
        <f t="shared" si="4"/>
        <v>0</v>
      </c>
      <c r="K20" s="17">
        <f t="shared" si="0"/>
        <v>0</v>
      </c>
      <c r="L20" s="17"/>
      <c r="M20" s="17">
        <f t="shared" si="1"/>
        <v>271775.66360000003</v>
      </c>
      <c r="N20" s="45"/>
    </row>
    <row r="21" spans="1:14">
      <c r="A21" s="26">
        <v>18</v>
      </c>
      <c r="B21" s="27">
        <v>46071</v>
      </c>
      <c r="C21" s="17"/>
      <c r="D21" s="17"/>
      <c r="E21" s="87">
        <v>600</v>
      </c>
      <c r="F21" s="87">
        <v>92.23</v>
      </c>
      <c r="G21" s="17">
        <f t="shared" si="3"/>
        <v>55338</v>
      </c>
      <c r="H21" s="87">
        <v>0</v>
      </c>
      <c r="I21" s="87">
        <v>0</v>
      </c>
      <c r="J21" s="17">
        <f t="shared" si="4"/>
        <v>0</v>
      </c>
      <c r="K21" s="17">
        <f t="shared" si="0"/>
        <v>55338</v>
      </c>
      <c r="L21" s="17"/>
      <c r="M21" s="17">
        <f t="shared" si="1"/>
        <v>327113.66360000003</v>
      </c>
      <c r="N21" s="45"/>
    </row>
    <row r="22" spans="1:14">
      <c r="A22" s="26">
        <v>19</v>
      </c>
      <c r="B22" s="27">
        <v>46072</v>
      </c>
      <c r="C22" s="17"/>
      <c r="D22" s="17"/>
      <c r="E22" s="87">
        <v>0</v>
      </c>
      <c r="F22" s="87">
        <v>0</v>
      </c>
      <c r="G22" s="17">
        <f t="shared" si="3"/>
        <v>0</v>
      </c>
      <c r="H22" s="87">
        <v>0</v>
      </c>
      <c r="I22" s="87">
        <v>0</v>
      </c>
      <c r="J22" s="17">
        <f t="shared" si="4"/>
        <v>0</v>
      </c>
      <c r="K22" s="17">
        <f t="shared" si="0"/>
        <v>0</v>
      </c>
      <c r="L22" s="17"/>
      <c r="M22" s="17">
        <f t="shared" si="1"/>
        <v>327113.66360000003</v>
      </c>
      <c r="N22" s="45"/>
    </row>
    <row r="23" spans="1:14">
      <c r="A23" s="26">
        <v>20</v>
      </c>
      <c r="B23" s="27">
        <v>46073</v>
      </c>
      <c r="C23" s="17"/>
      <c r="D23" s="17"/>
      <c r="E23" s="87">
        <v>0</v>
      </c>
      <c r="F23" s="87">
        <v>0</v>
      </c>
      <c r="G23" s="17">
        <f t="shared" si="3"/>
        <v>0</v>
      </c>
      <c r="H23" s="87">
        <v>0</v>
      </c>
      <c r="I23" s="87">
        <v>0</v>
      </c>
      <c r="J23" s="17">
        <f t="shared" si="4"/>
        <v>0</v>
      </c>
      <c r="K23" s="17">
        <f t="shared" si="0"/>
        <v>0</v>
      </c>
      <c r="L23" s="17">
        <v>212795</v>
      </c>
      <c r="M23" s="17">
        <f t="shared" si="1"/>
        <v>114318.66360000003</v>
      </c>
      <c r="N23" s="45"/>
    </row>
    <row r="24" spans="1:14">
      <c r="A24" s="26">
        <v>21</v>
      </c>
      <c r="B24" s="27">
        <v>46074</v>
      </c>
      <c r="C24" s="17"/>
      <c r="D24" s="17"/>
      <c r="E24" s="87">
        <v>0</v>
      </c>
      <c r="F24" s="87">
        <v>0</v>
      </c>
      <c r="G24" s="17">
        <f t="shared" si="3"/>
        <v>0</v>
      </c>
      <c r="H24" s="87">
        <v>0</v>
      </c>
      <c r="I24" s="87">
        <v>0</v>
      </c>
      <c r="J24" s="17">
        <f t="shared" si="4"/>
        <v>0</v>
      </c>
      <c r="K24" s="17">
        <f t="shared" si="0"/>
        <v>0</v>
      </c>
      <c r="L24" s="17"/>
      <c r="M24" s="17">
        <f t="shared" si="1"/>
        <v>114318.66360000003</v>
      </c>
      <c r="N24" s="45"/>
    </row>
    <row r="25" spans="1:14">
      <c r="A25" s="26">
        <v>22</v>
      </c>
      <c r="B25" s="27">
        <v>46075</v>
      </c>
      <c r="C25" s="17"/>
      <c r="D25" s="17"/>
      <c r="E25" s="87">
        <v>0</v>
      </c>
      <c r="F25" s="87">
        <v>0</v>
      </c>
      <c r="G25" s="17">
        <f t="shared" si="3"/>
        <v>0</v>
      </c>
      <c r="H25" s="87">
        <v>0</v>
      </c>
      <c r="I25" s="87">
        <v>0</v>
      </c>
      <c r="J25" s="17">
        <f t="shared" si="4"/>
        <v>0</v>
      </c>
      <c r="K25" s="17">
        <f t="shared" si="0"/>
        <v>0</v>
      </c>
      <c r="L25" s="17"/>
      <c r="M25" s="17">
        <f t="shared" si="1"/>
        <v>114318.66360000003</v>
      </c>
      <c r="N25" s="45"/>
    </row>
    <row r="26" spans="1:14">
      <c r="A26" s="26">
        <v>23</v>
      </c>
      <c r="B26" s="27">
        <v>46076</v>
      </c>
      <c r="C26" s="17"/>
      <c r="D26" s="17"/>
      <c r="E26" s="87">
        <v>400</v>
      </c>
      <c r="F26" s="87">
        <v>92.23</v>
      </c>
      <c r="G26" s="17">
        <f t="shared" si="3"/>
        <v>36892</v>
      </c>
      <c r="H26" s="87">
        <v>35.04</v>
      </c>
      <c r="I26" s="87">
        <v>104.09</v>
      </c>
      <c r="J26" s="17">
        <f t="shared" si="4"/>
        <v>3647.3136</v>
      </c>
      <c r="K26" s="17">
        <f t="shared" si="0"/>
        <v>40539.313600000001</v>
      </c>
      <c r="L26" s="17"/>
      <c r="M26" s="17">
        <f t="shared" si="1"/>
        <v>154857.97720000002</v>
      </c>
      <c r="N26" s="45"/>
    </row>
    <row r="27" spans="1:14">
      <c r="A27" s="26">
        <v>24</v>
      </c>
      <c r="B27" s="27">
        <v>46077</v>
      </c>
      <c r="C27" s="17"/>
      <c r="D27" s="17"/>
      <c r="E27" s="87">
        <v>0</v>
      </c>
      <c r="F27" s="87">
        <v>0</v>
      </c>
      <c r="G27" s="17">
        <f t="shared" si="3"/>
        <v>0</v>
      </c>
      <c r="H27" s="87">
        <v>0</v>
      </c>
      <c r="I27" s="87">
        <v>0</v>
      </c>
      <c r="J27" s="17">
        <f t="shared" si="4"/>
        <v>0</v>
      </c>
      <c r="K27" s="17">
        <f t="shared" si="0"/>
        <v>0</v>
      </c>
      <c r="L27" s="17"/>
      <c r="M27" s="17">
        <f t="shared" si="1"/>
        <v>154857.97720000002</v>
      </c>
      <c r="N27" s="45"/>
    </row>
    <row r="28" spans="1:14">
      <c r="A28" s="26">
        <v>25</v>
      </c>
      <c r="B28" s="27">
        <v>46078</v>
      </c>
      <c r="C28" s="17"/>
      <c r="D28" s="17"/>
      <c r="E28" s="87">
        <v>0</v>
      </c>
      <c r="F28" s="87">
        <v>0</v>
      </c>
      <c r="G28" s="17">
        <f t="shared" si="3"/>
        <v>0</v>
      </c>
      <c r="H28" s="87">
        <v>0</v>
      </c>
      <c r="I28" s="87">
        <v>0</v>
      </c>
      <c r="J28" s="17">
        <f t="shared" si="4"/>
        <v>0</v>
      </c>
      <c r="K28" s="17">
        <f t="shared" si="0"/>
        <v>0</v>
      </c>
      <c r="L28" s="17"/>
      <c r="M28" s="17">
        <f t="shared" si="1"/>
        <v>154857.97720000002</v>
      </c>
      <c r="N28" s="45"/>
    </row>
    <row r="29" spans="1:14">
      <c r="A29" s="26">
        <v>26</v>
      </c>
      <c r="B29" s="27">
        <v>46079</v>
      </c>
      <c r="C29" s="17"/>
      <c r="D29" s="17"/>
      <c r="E29" s="87">
        <v>600</v>
      </c>
      <c r="F29" s="87">
        <v>92.23</v>
      </c>
      <c r="G29" s="17">
        <f t="shared" si="3"/>
        <v>55338</v>
      </c>
      <c r="H29" s="87">
        <v>0</v>
      </c>
      <c r="I29" s="87">
        <v>0</v>
      </c>
      <c r="J29" s="17">
        <f t="shared" si="4"/>
        <v>0</v>
      </c>
      <c r="K29" s="17">
        <f t="shared" si="0"/>
        <v>55338</v>
      </c>
      <c r="L29" s="17"/>
      <c r="M29" s="17">
        <f t="shared" si="1"/>
        <v>210195.97720000002</v>
      </c>
      <c r="N29" s="45"/>
    </row>
    <row r="30" spans="1:14">
      <c r="A30" s="26">
        <v>27</v>
      </c>
      <c r="B30" s="27">
        <v>46080</v>
      </c>
      <c r="C30" s="17"/>
      <c r="D30" s="17"/>
      <c r="E30" s="87">
        <v>0</v>
      </c>
      <c r="F30" s="87">
        <v>0</v>
      </c>
      <c r="G30" s="17">
        <f t="shared" si="3"/>
        <v>0</v>
      </c>
      <c r="H30" s="87">
        <v>0</v>
      </c>
      <c r="I30" s="87">
        <v>0</v>
      </c>
      <c r="J30" s="17">
        <f t="shared" si="4"/>
        <v>0</v>
      </c>
      <c r="K30" s="17">
        <f t="shared" si="0"/>
        <v>0</v>
      </c>
      <c r="L30" s="17"/>
      <c r="M30" s="17">
        <f t="shared" si="1"/>
        <v>210195.97720000002</v>
      </c>
      <c r="N30" s="45"/>
    </row>
    <row r="31" spans="1:14">
      <c r="A31" s="26">
        <v>28</v>
      </c>
      <c r="B31" s="27">
        <v>46081</v>
      </c>
      <c r="C31" s="17"/>
      <c r="D31" s="17"/>
      <c r="E31" s="87">
        <v>600</v>
      </c>
      <c r="F31" s="87">
        <v>92.23</v>
      </c>
      <c r="G31" s="17">
        <f t="shared" si="3"/>
        <v>55338</v>
      </c>
      <c r="H31" s="87">
        <v>30</v>
      </c>
      <c r="I31" s="87">
        <v>104.09</v>
      </c>
      <c r="J31" s="17">
        <f t="shared" si="4"/>
        <v>3122.7000000000003</v>
      </c>
      <c r="K31" s="17">
        <f t="shared" si="0"/>
        <v>58460.7</v>
      </c>
      <c r="L31" s="17"/>
      <c r="M31" s="17">
        <f t="shared" si="1"/>
        <v>268656.67720000003</v>
      </c>
      <c r="N31" s="45"/>
    </row>
    <row r="32" spans="1:14">
      <c r="A32" s="26">
        <v>29</v>
      </c>
      <c r="B32" s="27"/>
      <c r="C32" s="17"/>
      <c r="D32" s="17"/>
      <c r="E32" s="87">
        <v>0</v>
      </c>
      <c r="F32" s="87">
        <v>0</v>
      </c>
      <c r="G32" s="17">
        <v>0</v>
      </c>
      <c r="H32" s="87">
        <v>0</v>
      </c>
      <c r="I32" s="87">
        <v>0</v>
      </c>
      <c r="J32" s="17">
        <v>0</v>
      </c>
      <c r="K32" s="17">
        <f t="shared" si="0"/>
        <v>0</v>
      </c>
      <c r="L32" s="17"/>
      <c r="M32" s="17">
        <f t="shared" si="1"/>
        <v>268656.67720000003</v>
      </c>
      <c r="N32" s="45"/>
    </row>
    <row r="33" spans="1:14">
      <c r="A33" s="26">
        <v>30</v>
      </c>
      <c r="B33" s="27"/>
      <c r="C33" s="17"/>
      <c r="D33" s="17"/>
      <c r="E33" s="87">
        <v>0</v>
      </c>
      <c r="F33" s="87">
        <v>0</v>
      </c>
      <c r="G33" s="17">
        <v>0</v>
      </c>
      <c r="H33" s="87">
        <v>0</v>
      </c>
      <c r="I33" s="87">
        <v>0</v>
      </c>
      <c r="J33" s="17">
        <v>0</v>
      </c>
      <c r="K33" s="17">
        <f t="shared" si="0"/>
        <v>0</v>
      </c>
      <c r="L33" s="17"/>
      <c r="M33" s="17">
        <f t="shared" si="1"/>
        <v>268656.67720000003</v>
      </c>
      <c r="N33" s="45"/>
    </row>
    <row r="34" spans="1:14">
      <c r="A34" s="26">
        <v>31</v>
      </c>
      <c r="B34" s="27"/>
      <c r="C34" s="17"/>
      <c r="D34" s="17"/>
      <c r="E34" s="87"/>
      <c r="F34" s="87"/>
      <c r="G34" s="17"/>
      <c r="H34" s="87"/>
      <c r="I34" s="87"/>
      <c r="J34" s="17"/>
      <c r="K34" s="17"/>
      <c r="L34" s="17"/>
      <c r="M34" s="17"/>
      <c r="N34" s="45"/>
    </row>
    <row r="35" spans="1:14">
      <c r="A35" s="43"/>
      <c r="B35" s="43"/>
      <c r="C35" s="43"/>
      <c r="D35" s="43"/>
      <c r="E35" s="43">
        <f>SUM(E4:E34)</f>
        <v>5000</v>
      </c>
      <c r="F35" s="43"/>
      <c r="G35" s="43">
        <f>SUM(G4:G34)</f>
        <v>461150</v>
      </c>
      <c r="H35" s="43">
        <f>SUM(H4:H34)</f>
        <v>195.04</v>
      </c>
      <c r="I35" s="43"/>
      <c r="J35" s="43">
        <f>SUM(J4:J34)</f>
        <v>20301.713599999999</v>
      </c>
      <c r="K35" s="43">
        <f>SUM(K4:K34)</f>
        <v>481451.71360000002</v>
      </c>
      <c r="L35" s="43">
        <f>SUM(L4:L34)</f>
        <v>373900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5"/>
  <sheetViews>
    <sheetView workbookViewId="0">
      <selection activeCell="L29" sqref="L29"/>
    </sheetView>
  </sheetViews>
  <sheetFormatPr defaultRowHeight="15"/>
  <cols>
    <col min="2" max="2" width="10.140625" bestFit="1" customWidth="1"/>
    <col min="3" max="3" width="15.42578125" customWidth="1"/>
    <col min="4" max="4" width="19.140625" customWidth="1"/>
  </cols>
  <sheetData>
    <row r="1" spans="1:14" ht="15.75">
      <c r="A1" s="458" t="s">
        <v>221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27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07" t="s">
        <v>162</v>
      </c>
      <c r="L2" s="107" t="s">
        <v>163</v>
      </c>
      <c r="M2" s="107" t="s">
        <v>174</v>
      </c>
      <c r="N2" s="107" t="s">
        <v>165</v>
      </c>
    </row>
    <row r="3" spans="1:14">
      <c r="A3" s="462" t="s">
        <v>166</v>
      </c>
      <c r="B3" s="462"/>
      <c r="C3" s="462"/>
      <c r="D3" s="462"/>
      <c r="E3" s="462"/>
      <c r="F3" s="462"/>
      <c r="G3" s="462"/>
      <c r="H3" s="462"/>
      <c r="I3" s="462"/>
      <c r="J3" s="462"/>
      <c r="K3" s="96">
        <v>0</v>
      </c>
      <c r="L3" s="96">
        <v>0</v>
      </c>
      <c r="M3" s="96">
        <v>0</v>
      </c>
      <c r="N3" s="17"/>
    </row>
    <row r="4" spans="1:14">
      <c r="A4" s="26">
        <v>1</v>
      </c>
      <c r="B4" s="27">
        <v>46054</v>
      </c>
      <c r="C4" s="17"/>
      <c r="D4" s="17"/>
      <c r="E4" s="87"/>
      <c r="F4" s="87"/>
      <c r="G4" s="17">
        <f>E4*F4</f>
        <v>0</v>
      </c>
      <c r="H4" s="87"/>
      <c r="I4" s="87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5"/>
    </row>
    <row r="5" spans="1:14">
      <c r="A5" s="26">
        <v>2</v>
      </c>
      <c r="B5" s="27">
        <v>46055</v>
      </c>
      <c r="C5" s="17"/>
      <c r="D5" s="17"/>
      <c r="E5" s="87">
        <v>65</v>
      </c>
      <c r="F5" s="87">
        <v>92.23</v>
      </c>
      <c r="G5" s="17">
        <f t="shared" ref="G5:G34" si="0">E5*F5</f>
        <v>5994.95</v>
      </c>
      <c r="H5" s="87"/>
      <c r="I5" s="87"/>
      <c r="J5" s="17">
        <f t="shared" ref="J5:J34" si="1">H5*I5</f>
        <v>0</v>
      </c>
      <c r="K5" s="17">
        <f>G5+J5</f>
        <v>5994.95</v>
      </c>
      <c r="L5" s="17">
        <f t="shared" ref="L5:L34" si="2">K5</f>
        <v>5994.95</v>
      </c>
      <c r="M5" s="17">
        <f t="shared" ref="M5:M27" si="3">M4+K5-L5</f>
        <v>0</v>
      </c>
      <c r="N5" s="45"/>
    </row>
    <row r="6" spans="1:14">
      <c r="A6" s="26">
        <v>3</v>
      </c>
      <c r="B6" s="27">
        <v>46056</v>
      </c>
      <c r="C6" s="17"/>
      <c r="D6" s="17"/>
      <c r="E6" s="87"/>
      <c r="F6" s="87"/>
      <c r="G6" s="17">
        <f t="shared" si="0"/>
        <v>0</v>
      </c>
      <c r="H6" s="87"/>
      <c r="I6" s="87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5"/>
    </row>
    <row r="7" spans="1:14">
      <c r="A7" s="26">
        <v>4</v>
      </c>
      <c r="B7" s="27">
        <v>46057</v>
      </c>
      <c r="C7" s="17"/>
      <c r="D7" s="17"/>
      <c r="E7" s="87"/>
      <c r="F7" s="87"/>
      <c r="G7" s="17">
        <f t="shared" si="0"/>
        <v>0</v>
      </c>
      <c r="H7" s="87"/>
      <c r="I7" s="87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5"/>
    </row>
    <row r="8" spans="1:14">
      <c r="A8" s="26">
        <v>5</v>
      </c>
      <c r="B8" s="27">
        <v>46058</v>
      </c>
      <c r="C8" s="17"/>
      <c r="D8" s="17"/>
      <c r="E8" s="87">
        <v>55</v>
      </c>
      <c r="F8" s="87">
        <v>92.23</v>
      </c>
      <c r="G8" s="17">
        <f t="shared" si="0"/>
        <v>5072.6500000000005</v>
      </c>
      <c r="H8" s="87"/>
      <c r="I8" s="87"/>
      <c r="J8" s="17">
        <f t="shared" si="1"/>
        <v>0</v>
      </c>
      <c r="K8" s="17">
        <f t="shared" si="4"/>
        <v>5072.6500000000005</v>
      </c>
      <c r="L8" s="17">
        <f t="shared" si="2"/>
        <v>5072.6500000000005</v>
      </c>
      <c r="M8" s="17">
        <f t="shared" si="3"/>
        <v>0</v>
      </c>
      <c r="N8" s="45"/>
    </row>
    <row r="9" spans="1:14">
      <c r="A9" s="26">
        <v>6</v>
      </c>
      <c r="B9" s="27">
        <v>46059</v>
      </c>
      <c r="C9" s="17"/>
      <c r="D9" s="17"/>
      <c r="E9" s="87"/>
      <c r="F9" s="87"/>
      <c r="G9" s="17">
        <f t="shared" si="0"/>
        <v>0</v>
      </c>
      <c r="H9" s="87"/>
      <c r="I9" s="87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5"/>
    </row>
    <row r="10" spans="1:14">
      <c r="A10" s="26">
        <v>7</v>
      </c>
      <c r="B10" s="27">
        <v>46060</v>
      </c>
      <c r="C10" s="17"/>
      <c r="D10" s="17"/>
      <c r="E10" s="87"/>
      <c r="F10" s="87"/>
      <c r="G10" s="17">
        <f t="shared" si="0"/>
        <v>0</v>
      </c>
      <c r="H10" s="87"/>
      <c r="I10" s="87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5"/>
    </row>
    <row r="11" spans="1:14">
      <c r="A11" s="26">
        <v>8</v>
      </c>
      <c r="B11" s="27">
        <v>46061</v>
      </c>
      <c r="C11" s="17"/>
      <c r="D11" s="17"/>
      <c r="E11" s="87"/>
      <c r="F11" s="87"/>
      <c r="G11" s="17">
        <f t="shared" si="0"/>
        <v>0</v>
      </c>
      <c r="H11" s="87"/>
      <c r="I11" s="87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5"/>
    </row>
    <row r="12" spans="1:14">
      <c r="A12" s="26">
        <v>9</v>
      </c>
      <c r="B12" s="27">
        <v>46062</v>
      </c>
      <c r="C12" s="17"/>
      <c r="D12" s="17"/>
      <c r="E12" s="87"/>
      <c r="F12" s="87"/>
      <c r="G12" s="17">
        <f t="shared" si="0"/>
        <v>0</v>
      </c>
      <c r="H12" s="87"/>
      <c r="I12" s="87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5"/>
    </row>
    <row r="13" spans="1:14">
      <c r="A13" s="26">
        <v>10</v>
      </c>
      <c r="B13" s="27">
        <v>46063</v>
      </c>
      <c r="C13" s="17"/>
      <c r="D13" s="17"/>
      <c r="E13" s="87"/>
      <c r="F13" s="87"/>
      <c r="G13" s="17">
        <f t="shared" si="0"/>
        <v>0</v>
      </c>
      <c r="H13" s="87"/>
      <c r="I13" s="87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5"/>
    </row>
    <row r="14" spans="1:14">
      <c r="A14" s="26">
        <v>11</v>
      </c>
      <c r="B14" s="27">
        <v>46064</v>
      </c>
      <c r="C14" s="17"/>
      <c r="D14" s="17"/>
      <c r="E14" s="87"/>
      <c r="F14" s="87"/>
      <c r="G14" s="17">
        <f t="shared" si="0"/>
        <v>0</v>
      </c>
      <c r="H14" s="87"/>
      <c r="I14" s="87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5"/>
    </row>
    <row r="15" spans="1:14">
      <c r="A15" s="26">
        <v>12</v>
      </c>
      <c r="B15" s="27">
        <v>46065</v>
      </c>
      <c r="C15" s="17"/>
      <c r="D15" s="17"/>
      <c r="E15" s="87"/>
      <c r="F15" s="87"/>
      <c r="G15" s="17">
        <f t="shared" si="0"/>
        <v>0</v>
      </c>
      <c r="H15" s="87">
        <v>5</v>
      </c>
      <c r="I15" s="87">
        <v>104.09</v>
      </c>
      <c r="J15" s="17">
        <f t="shared" si="1"/>
        <v>520.45000000000005</v>
      </c>
      <c r="K15" s="17">
        <f t="shared" si="4"/>
        <v>520.45000000000005</v>
      </c>
      <c r="L15" s="17">
        <f t="shared" si="2"/>
        <v>520.45000000000005</v>
      </c>
      <c r="M15" s="17">
        <f t="shared" si="3"/>
        <v>0</v>
      </c>
      <c r="N15" s="45"/>
    </row>
    <row r="16" spans="1:14">
      <c r="A16" s="26">
        <v>13</v>
      </c>
      <c r="B16" s="27">
        <v>46066</v>
      </c>
      <c r="C16" s="17"/>
      <c r="D16" s="17"/>
      <c r="E16" s="87">
        <v>40</v>
      </c>
      <c r="F16" s="87">
        <v>92.23</v>
      </c>
      <c r="G16" s="17">
        <f t="shared" si="0"/>
        <v>3689.2000000000003</v>
      </c>
      <c r="H16" s="87">
        <v>5.04</v>
      </c>
      <c r="I16" s="87">
        <v>104.09</v>
      </c>
      <c r="J16" s="17">
        <f t="shared" si="1"/>
        <v>524.61360000000002</v>
      </c>
      <c r="K16" s="17">
        <f t="shared" si="4"/>
        <v>4213.8136000000004</v>
      </c>
      <c r="L16" s="17">
        <f t="shared" si="2"/>
        <v>4213.8136000000004</v>
      </c>
      <c r="M16" s="17">
        <f t="shared" si="3"/>
        <v>0</v>
      </c>
      <c r="N16" s="45"/>
    </row>
    <row r="17" spans="1:14">
      <c r="A17" s="26">
        <v>14</v>
      </c>
      <c r="B17" s="27">
        <v>46067</v>
      </c>
      <c r="C17" s="17"/>
      <c r="D17" s="17"/>
      <c r="E17" s="87"/>
      <c r="F17" s="87"/>
      <c r="G17" s="17">
        <f t="shared" si="0"/>
        <v>0</v>
      </c>
      <c r="H17" s="87"/>
      <c r="I17" s="87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5"/>
    </row>
    <row r="18" spans="1:14">
      <c r="A18" s="26">
        <v>15</v>
      </c>
      <c r="B18" s="27">
        <v>46068</v>
      </c>
      <c r="C18" s="17"/>
      <c r="D18" s="17"/>
      <c r="E18" s="87"/>
      <c r="F18" s="87"/>
      <c r="G18" s="17">
        <f t="shared" si="0"/>
        <v>0</v>
      </c>
      <c r="H18" s="87"/>
      <c r="I18" s="87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5"/>
    </row>
    <row r="19" spans="1:14">
      <c r="A19" s="26">
        <v>16</v>
      </c>
      <c r="B19" s="27">
        <v>46069</v>
      </c>
      <c r="C19" s="17"/>
      <c r="D19" s="17"/>
      <c r="E19" s="87"/>
      <c r="F19" s="87"/>
      <c r="G19" s="17">
        <f t="shared" si="0"/>
        <v>0</v>
      </c>
      <c r="H19" s="87"/>
      <c r="I19" s="87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5"/>
    </row>
    <row r="20" spans="1:14">
      <c r="A20" s="26">
        <v>17</v>
      </c>
      <c r="B20" s="27">
        <v>46070</v>
      </c>
      <c r="C20" s="17"/>
      <c r="D20" s="17"/>
      <c r="E20" s="87"/>
      <c r="F20" s="87"/>
      <c r="G20" s="17">
        <f t="shared" si="0"/>
        <v>0</v>
      </c>
      <c r="H20" s="87"/>
      <c r="I20" s="87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5"/>
    </row>
    <row r="21" spans="1:14">
      <c r="A21" s="26">
        <v>18</v>
      </c>
      <c r="B21" s="27">
        <v>46071</v>
      </c>
      <c r="C21" s="17"/>
      <c r="D21" s="17"/>
      <c r="E21" s="87"/>
      <c r="F21" s="87"/>
      <c r="G21" s="17">
        <f t="shared" si="0"/>
        <v>0</v>
      </c>
      <c r="H21" s="87"/>
      <c r="I21" s="87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5"/>
    </row>
    <row r="22" spans="1:14">
      <c r="A22" s="26">
        <v>19</v>
      </c>
      <c r="B22" s="27">
        <v>46072</v>
      </c>
      <c r="C22" s="17"/>
      <c r="D22" s="17"/>
      <c r="E22" s="87"/>
      <c r="F22" s="87"/>
      <c r="G22" s="17">
        <f t="shared" si="0"/>
        <v>0</v>
      </c>
      <c r="H22" s="87"/>
      <c r="I22" s="87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5"/>
    </row>
    <row r="23" spans="1:14">
      <c r="A23" s="26">
        <v>20</v>
      </c>
      <c r="B23" s="27">
        <v>46073</v>
      </c>
      <c r="C23" s="17"/>
      <c r="D23" s="17"/>
      <c r="E23" s="87"/>
      <c r="F23" s="87"/>
      <c r="G23" s="17">
        <f t="shared" si="0"/>
        <v>0</v>
      </c>
      <c r="H23" s="87"/>
      <c r="I23" s="87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5"/>
    </row>
    <row r="24" spans="1:14">
      <c r="A24" s="26">
        <v>21</v>
      </c>
      <c r="B24" s="27">
        <v>46074</v>
      </c>
      <c r="C24" s="17"/>
      <c r="D24" s="17"/>
      <c r="E24" s="87"/>
      <c r="F24" s="87"/>
      <c r="G24" s="17">
        <f t="shared" si="0"/>
        <v>0</v>
      </c>
      <c r="H24" s="87"/>
      <c r="I24" s="87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5"/>
    </row>
    <row r="25" spans="1:14">
      <c r="A25" s="26">
        <v>22</v>
      </c>
      <c r="B25" s="27">
        <v>46075</v>
      </c>
      <c r="C25" s="17"/>
      <c r="D25" s="17"/>
      <c r="E25" s="87"/>
      <c r="F25" s="87"/>
      <c r="G25" s="17">
        <f t="shared" si="0"/>
        <v>0</v>
      </c>
      <c r="H25" s="87"/>
      <c r="I25" s="87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5"/>
    </row>
    <row r="26" spans="1:14">
      <c r="A26" s="26">
        <v>23</v>
      </c>
      <c r="B26" s="27">
        <v>46076</v>
      </c>
      <c r="C26" s="17"/>
      <c r="D26" s="17"/>
      <c r="E26" s="87">
        <v>40.01</v>
      </c>
      <c r="F26" s="87">
        <v>92.23</v>
      </c>
      <c r="G26" s="17">
        <f t="shared" si="0"/>
        <v>3690.1223</v>
      </c>
      <c r="H26" s="87">
        <v>8</v>
      </c>
      <c r="I26" s="87">
        <v>104.09</v>
      </c>
      <c r="J26" s="17">
        <f t="shared" si="1"/>
        <v>832.72</v>
      </c>
      <c r="K26" s="17">
        <f t="shared" si="4"/>
        <v>4522.8423000000003</v>
      </c>
      <c r="L26" s="17">
        <f t="shared" si="2"/>
        <v>4522.8423000000003</v>
      </c>
      <c r="M26" s="17">
        <f t="shared" si="3"/>
        <v>0</v>
      </c>
      <c r="N26" s="45"/>
    </row>
    <row r="27" spans="1:14">
      <c r="A27" s="26">
        <v>24</v>
      </c>
      <c r="B27" s="27">
        <v>46077</v>
      </c>
      <c r="C27" s="17"/>
      <c r="D27" s="17"/>
      <c r="E27" s="87"/>
      <c r="F27" s="87"/>
      <c r="G27" s="17">
        <f t="shared" si="0"/>
        <v>0</v>
      </c>
      <c r="H27" s="87"/>
      <c r="I27" s="87"/>
      <c r="J27" s="17">
        <f t="shared" si="1"/>
        <v>0</v>
      </c>
      <c r="K27" s="17">
        <f t="shared" si="4"/>
        <v>0</v>
      </c>
      <c r="L27" s="17">
        <f t="shared" si="2"/>
        <v>0</v>
      </c>
      <c r="M27" s="17">
        <f t="shared" si="3"/>
        <v>0</v>
      </c>
      <c r="N27" s="45"/>
    </row>
    <row r="28" spans="1:14">
      <c r="A28" s="26">
        <v>25</v>
      </c>
      <c r="B28" s="27">
        <v>46078</v>
      </c>
      <c r="C28" s="17"/>
      <c r="D28" s="17"/>
      <c r="E28" s="87"/>
      <c r="F28" s="87"/>
      <c r="G28" s="17">
        <f t="shared" si="0"/>
        <v>0</v>
      </c>
      <c r="H28" s="87"/>
      <c r="I28" s="87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5"/>
    </row>
    <row r="29" spans="1:14">
      <c r="A29" s="26">
        <v>26</v>
      </c>
      <c r="B29" s="27">
        <v>46079</v>
      </c>
      <c r="C29" s="17"/>
      <c r="D29" s="17"/>
      <c r="E29" s="87">
        <v>210</v>
      </c>
      <c r="F29" s="87">
        <v>92.05</v>
      </c>
      <c r="G29" s="17">
        <f t="shared" si="0"/>
        <v>19330.5</v>
      </c>
      <c r="H29" s="87"/>
      <c r="I29" s="87"/>
      <c r="J29" s="17">
        <f t="shared" si="1"/>
        <v>0</v>
      </c>
      <c r="K29" s="17">
        <f t="shared" si="4"/>
        <v>19330.5</v>
      </c>
      <c r="L29" s="17">
        <f t="shared" si="2"/>
        <v>19330.5</v>
      </c>
      <c r="M29" s="17">
        <v>0</v>
      </c>
      <c r="N29" s="45"/>
    </row>
    <row r="30" spans="1:14">
      <c r="A30" s="26">
        <v>27</v>
      </c>
      <c r="B30" s="27">
        <v>46080</v>
      </c>
      <c r="C30" s="17"/>
      <c r="D30" s="17"/>
      <c r="E30" s="87"/>
      <c r="F30" s="87"/>
      <c r="G30" s="17">
        <f t="shared" si="0"/>
        <v>0</v>
      </c>
      <c r="H30" s="87"/>
      <c r="I30" s="87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5"/>
    </row>
    <row r="31" spans="1:14">
      <c r="A31" s="26">
        <v>28</v>
      </c>
      <c r="B31" s="27">
        <v>46081</v>
      </c>
      <c r="C31" s="17"/>
      <c r="D31" s="17"/>
      <c r="E31" s="87"/>
      <c r="F31" s="87"/>
      <c r="G31" s="17">
        <f t="shared" si="0"/>
        <v>0</v>
      </c>
      <c r="H31" s="87"/>
      <c r="I31" s="87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5"/>
    </row>
    <row r="32" spans="1:14">
      <c r="A32" s="26">
        <v>29</v>
      </c>
      <c r="B32" s="27">
        <v>46082</v>
      </c>
      <c r="C32" s="17"/>
      <c r="D32" s="17"/>
      <c r="E32" s="87"/>
      <c r="F32" s="87"/>
      <c r="G32" s="17">
        <f t="shared" si="0"/>
        <v>0</v>
      </c>
      <c r="H32" s="87"/>
      <c r="I32" s="87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5"/>
    </row>
    <row r="33" spans="1:14">
      <c r="A33" s="26">
        <v>30</v>
      </c>
      <c r="B33" s="27">
        <v>46083</v>
      </c>
      <c r="C33" s="17"/>
      <c r="D33" s="17"/>
      <c r="E33" s="87"/>
      <c r="F33" s="87"/>
      <c r="G33" s="17">
        <f t="shared" si="0"/>
        <v>0</v>
      </c>
      <c r="H33" s="87"/>
      <c r="I33" s="87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5"/>
    </row>
    <row r="34" spans="1:14">
      <c r="A34" s="26">
        <v>31</v>
      </c>
      <c r="B34" s="27">
        <v>46084</v>
      </c>
      <c r="C34" s="17"/>
      <c r="D34" s="17"/>
      <c r="E34" s="87"/>
      <c r="F34" s="87"/>
      <c r="G34" s="17">
        <f t="shared" si="0"/>
        <v>0</v>
      </c>
      <c r="H34" s="87"/>
      <c r="I34" s="87"/>
      <c r="J34" s="17">
        <f t="shared" si="1"/>
        <v>0</v>
      </c>
      <c r="K34" s="17">
        <f t="shared" si="4"/>
        <v>0</v>
      </c>
      <c r="L34" s="17">
        <f t="shared" si="2"/>
        <v>0</v>
      </c>
      <c r="M34" s="17"/>
      <c r="N34" s="45"/>
    </row>
    <row r="35" spans="1:14">
      <c r="A35" s="43"/>
      <c r="B35" s="43"/>
      <c r="C35" s="43"/>
      <c r="D35" s="43"/>
      <c r="E35" s="43">
        <f>SUM(E4:E34)</f>
        <v>410.01</v>
      </c>
      <c r="F35" s="43"/>
      <c r="G35" s="43">
        <f>SUM(G4:G34)</f>
        <v>37777.422300000006</v>
      </c>
      <c r="H35" s="43">
        <f>SUM(H4:H34)</f>
        <v>18.04</v>
      </c>
      <c r="I35" s="43"/>
      <c r="J35" s="43">
        <f>SUM(J4:J34)</f>
        <v>1877.7836</v>
      </c>
      <c r="K35" s="43">
        <f>SUM(K4:K34)</f>
        <v>39655.205900000001</v>
      </c>
      <c r="L35" s="43">
        <f>SUM(L4:L34)</f>
        <v>39655.205900000001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workbookViewId="0">
      <selection activeCell="U9" sqref="U9"/>
    </sheetView>
  </sheetViews>
  <sheetFormatPr defaultRowHeight="15"/>
  <cols>
    <col min="2" max="2" width="10.140625" bestFit="1" customWidth="1"/>
  </cols>
  <sheetData>
    <row r="1" spans="1:14" ht="15.75">
      <c r="A1" s="458" t="s">
        <v>222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27">
      <c r="A2" s="104" t="s">
        <v>101</v>
      </c>
      <c r="B2" s="107" t="s">
        <v>155</v>
      </c>
      <c r="C2" s="107" t="s">
        <v>156</v>
      </c>
      <c r="D2" s="107" t="s">
        <v>157</v>
      </c>
      <c r="E2" s="107" t="s">
        <v>158</v>
      </c>
      <c r="F2" s="107" t="s">
        <v>159</v>
      </c>
      <c r="G2" s="107" t="s">
        <v>160</v>
      </c>
      <c r="H2" s="107" t="s">
        <v>161</v>
      </c>
      <c r="I2" s="107" t="s">
        <v>159</v>
      </c>
      <c r="J2" s="107" t="s">
        <v>160</v>
      </c>
      <c r="K2" s="107" t="s">
        <v>162</v>
      </c>
      <c r="L2" s="107" t="s">
        <v>163</v>
      </c>
      <c r="M2" s="107" t="s">
        <v>174</v>
      </c>
      <c r="N2" s="107" t="s">
        <v>165</v>
      </c>
    </row>
    <row r="3" spans="1:14">
      <c r="A3" s="462" t="s">
        <v>166</v>
      </c>
      <c r="B3" s="462"/>
      <c r="C3" s="462"/>
      <c r="D3" s="462"/>
      <c r="E3" s="462"/>
      <c r="F3" s="462"/>
      <c r="G3" s="462"/>
      <c r="H3" s="462"/>
      <c r="I3" s="462"/>
      <c r="J3" s="462"/>
      <c r="K3" s="96">
        <v>0</v>
      </c>
      <c r="L3" s="96">
        <v>0</v>
      </c>
      <c r="M3" s="96">
        <f>+K3</f>
        <v>0</v>
      </c>
      <c r="N3" s="17"/>
    </row>
    <row r="4" spans="1:14">
      <c r="A4" s="26">
        <v>1</v>
      </c>
      <c r="B4" s="27">
        <v>46054</v>
      </c>
      <c r="C4" s="17"/>
      <c r="D4" s="17"/>
      <c r="E4" s="87"/>
      <c r="F4" s="87"/>
      <c r="G4" s="17">
        <f>E4*F4</f>
        <v>0</v>
      </c>
      <c r="H4" s="87"/>
      <c r="I4" s="87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5"/>
    </row>
    <row r="5" spans="1:14">
      <c r="A5" s="26">
        <v>2</v>
      </c>
      <c r="B5" s="27">
        <v>46055</v>
      </c>
      <c r="C5" s="17"/>
      <c r="D5" s="17"/>
      <c r="E5" s="87"/>
      <c r="F5" s="87"/>
      <c r="G5" s="17">
        <f t="shared" ref="G5:G34" si="0">E5*F5</f>
        <v>0</v>
      </c>
      <c r="H5" s="87"/>
      <c r="I5" s="87"/>
      <c r="J5" s="17">
        <f t="shared" ref="J5:J33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5" t="s">
        <v>167</v>
      </c>
    </row>
    <row r="6" spans="1:14">
      <c r="A6" s="26">
        <v>3</v>
      </c>
      <c r="B6" s="27">
        <v>46056</v>
      </c>
      <c r="C6" s="17"/>
      <c r="D6" s="17"/>
      <c r="E6" s="87">
        <v>0</v>
      </c>
      <c r="F6" s="87">
        <v>0</v>
      </c>
      <c r="G6" s="17">
        <f t="shared" si="0"/>
        <v>0</v>
      </c>
      <c r="H6" s="87">
        <v>24</v>
      </c>
      <c r="I6" s="87">
        <v>104.08</v>
      </c>
      <c r="J6" s="17">
        <f t="shared" si="1"/>
        <v>2497.92</v>
      </c>
      <c r="K6" s="17">
        <f t="shared" ref="K6:K34" si="4">G6+J6</f>
        <v>2497.92</v>
      </c>
      <c r="L6" s="17">
        <f t="shared" si="2"/>
        <v>2497.92</v>
      </c>
      <c r="M6" s="17">
        <f t="shared" si="3"/>
        <v>0</v>
      </c>
      <c r="N6" s="45"/>
    </row>
    <row r="7" spans="1:14">
      <c r="A7" s="26">
        <v>4</v>
      </c>
      <c r="B7" s="27">
        <v>46057</v>
      </c>
      <c r="C7" s="17"/>
      <c r="D7" s="17"/>
      <c r="E7" s="87"/>
      <c r="F7" s="87"/>
      <c r="G7" s="17">
        <f t="shared" si="0"/>
        <v>0</v>
      </c>
      <c r="H7" s="87"/>
      <c r="I7" s="87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5"/>
    </row>
    <row r="8" spans="1:14">
      <c r="A8" s="26">
        <v>5</v>
      </c>
      <c r="B8" s="27">
        <v>46058</v>
      </c>
      <c r="C8" s="17"/>
      <c r="D8" s="17"/>
      <c r="E8" s="87"/>
      <c r="F8" s="87"/>
      <c r="G8" s="17">
        <f t="shared" si="0"/>
        <v>0</v>
      </c>
      <c r="H8" s="87"/>
      <c r="I8" s="87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5" t="s">
        <v>167</v>
      </c>
    </row>
    <row r="9" spans="1:14">
      <c r="A9" s="26">
        <v>6</v>
      </c>
      <c r="B9" s="27">
        <v>46059</v>
      </c>
      <c r="C9" s="17"/>
      <c r="D9" s="17"/>
      <c r="E9" s="87"/>
      <c r="F9" s="87"/>
      <c r="G9" s="17">
        <f t="shared" si="0"/>
        <v>0</v>
      </c>
      <c r="H9" s="87"/>
      <c r="I9" s="87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5"/>
    </row>
    <row r="10" spans="1:14">
      <c r="A10" s="26">
        <v>7</v>
      </c>
      <c r="B10" s="27">
        <v>46060</v>
      </c>
      <c r="C10" s="17"/>
      <c r="D10" s="17"/>
      <c r="E10" s="87">
        <v>217.27</v>
      </c>
      <c r="F10" s="87">
        <v>92.05</v>
      </c>
      <c r="G10" s="17">
        <f t="shared" si="0"/>
        <v>19999.7035</v>
      </c>
      <c r="H10" s="87"/>
      <c r="I10" s="87"/>
      <c r="J10" s="17">
        <f t="shared" si="1"/>
        <v>0</v>
      </c>
      <c r="K10" s="17">
        <f t="shared" si="4"/>
        <v>19999.7035</v>
      </c>
      <c r="L10" s="17">
        <f t="shared" si="2"/>
        <v>19999.7035</v>
      </c>
      <c r="M10" s="17">
        <f t="shared" si="3"/>
        <v>0</v>
      </c>
      <c r="N10" s="45"/>
    </row>
    <row r="11" spans="1:14">
      <c r="A11" s="26">
        <v>8</v>
      </c>
      <c r="B11" s="27">
        <v>46061</v>
      </c>
      <c r="C11" s="17"/>
      <c r="D11" s="17"/>
      <c r="E11" s="87"/>
      <c r="F11" s="87"/>
      <c r="G11" s="17">
        <f t="shared" si="0"/>
        <v>0</v>
      </c>
      <c r="H11" s="87"/>
      <c r="I11" s="87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5"/>
    </row>
    <row r="12" spans="1:14">
      <c r="A12" s="26">
        <v>9</v>
      </c>
      <c r="B12" s="27">
        <v>46062</v>
      </c>
      <c r="C12" s="17"/>
      <c r="D12" s="17"/>
      <c r="E12" s="87"/>
      <c r="F12" s="87"/>
      <c r="G12" s="17">
        <f t="shared" si="0"/>
        <v>0</v>
      </c>
      <c r="H12" s="87"/>
      <c r="I12" s="87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5"/>
    </row>
    <row r="13" spans="1:14">
      <c r="A13" s="26">
        <v>10</v>
      </c>
      <c r="B13" s="27">
        <v>46063</v>
      </c>
      <c r="C13" s="17"/>
      <c r="D13" s="17"/>
      <c r="E13" s="87"/>
      <c r="F13" s="87"/>
      <c r="G13" s="17">
        <f t="shared" si="0"/>
        <v>0</v>
      </c>
      <c r="H13" s="87"/>
      <c r="I13" s="87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5"/>
    </row>
    <row r="14" spans="1:14">
      <c r="A14" s="26">
        <v>11</v>
      </c>
      <c r="B14" s="27">
        <v>46064</v>
      </c>
      <c r="C14" s="17"/>
      <c r="D14" s="17"/>
      <c r="E14" s="87"/>
      <c r="F14" s="87"/>
      <c r="G14" s="17">
        <f t="shared" si="0"/>
        <v>0</v>
      </c>
      <c r="H14" s="87"/>
      <c r="I14" s="87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5"/>
    </row>
    <row r="15" spans="1:14">
      <c r="A15" s="26">
        <v>12</v>
      </c>
      <c r="B15" s="27">
        <v>46065</v>
      </c>
      <c r="C15" s="17"/>
      <c r="D15" s="17"/>
      <c r="E15" s="87"/>
      <c r="F15" s="87"/>
      <c r="G15" s="17">
        <f t="shared" si="0"/>
        <v>0</v>
      </c>
      <c r="H15" s="87"/>
      <c r="I15" s="87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5"/>
    </row>
    <row r="16" spans="1:14">
      <c r="A16" s="26">
        <v>13</v>
      </c>
      <c r="B16" s="27">
        <v>46066</v>
      </c>
      <c r="C16" s="17"/>
      <c r="D16" s="17"/>
      <c r="E16" s="87"/>
      <c r="F16" s="87"/>
      <c r="G16" s="17">
        <f t="shared" si="0"/>
        <v>0</v>
      </c>
      <c r="H16" s="87">
        <v>24</v>
      </c>
      <c r="I16" s="87">
        <v>104.14</v>
      </c>
      <c r="J16" s="17">
        <f t="shared" si="1"/>
        <v>2499.36</v>
      </c>
      <c r="K16" s="17">
        <f t="shared" si="4"/>
        <v>2499.36</v>
      </c>
      <c r="L16" s="17">
        <f t="shared" si="2"/>
        <v>2499.36</v>
      </c>
      <c r="M16" s="17">
        <f t="shared" si="3"/>
        <v>0</v>
      </c>
      <c r="N16" s="45"/>
    </row>
    <row r="17" spans="1:14">
      <c r="A17" s="26">
        <v>14</v>
      </c>
      <c r="B17" s="27">
        <v>46067</v>
      </c>
      <c r="C17" s="17"/>
      <c r="D17" s="17"/>
      <c r="E17" s="87"/>
      <c r="F17" s="87"/>
      <c r="G17" s="17">
        <f t="shared" si="0"/>
        <v>0</v>
      </c>
      <c r="H17" s="87"/>
      <c r="I17" s="87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5"/>
    </row>
    <row r="18" spans="1:14">
      <c r="A18" s="26">
        <v>15</v>
      </c>
      <c r="B18" s="27">
        <v>46068</v>
      </c>
      <c r="C18" s="17"/>
      <c r="D18" s="17"/>
      <c r="E18" s="87"/>
      <c r="F18" s="87"/>
      <c r="G18" s="17">
        <f t="shared" si="0"/>
        <v>0</v>
      </c>
      <c r="H18" s="87"/>
      <c r="I18" s="87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5"/>
    </row>
    <row r="19" spans="1:14">
      <c r="A19" s="26">
        <v>16</v>
      </c>
      <c r="B19" s="27">
        <v>46069</v>
      </c>
      <c r="C19" s="17"/>
      <c r="D19" s="17"/>
      <c r="E19" s="87">
        <v>210</v>
      </c>
      <c r="F19" s="87">
        <v>92.05</v>
      </c>
      <c r="G19" s="17">
        <f t="shared" si="0"/>
        <v>19330.5</v>
      </c>
      <c r="H19" s="87"/>
      <c r="I19" s="337"/>
      <c r="J19" s="17">
        <f t="shared" si="1"/>
        <v>0</v>
      </c>
      <c r="K19" s="17">
        <f t="shared" si="4"/>
        <v>19330.5</v>
      </c>
      <c r="L19" s="17">
        <f t="shared" si="2"/>
        <v>19330.5</v>
      </c>
      <c r="M19" s="17">
        <f t="shared" si="3"/>
        <v>0</v>
      </c>
      <c r="N19" s="45"/>
    </row>
    <row r="20" spans="1:14">
      <c r="A20" s="26">
        <v>17</v>
      </c>
      <c r="B20" s="27">
        <v>46070</v>
      </c>
      <c r="C20" s="17"/>
      <c r="D20" s="17"/>
      <c r="E20" s="87"/>
      <c r="F20" s="87"/>
      <c r="G20" s="17">
        <f t="shared" si="0"/>
        <v>0</v>
      </c>
      <c r="H20" s="87"/>
      <c r="I20" s="337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5"/>
    </row>
    <row r="21" spans="1:14">
      <c r="A21" s="26">
        <v>18</v>
      </c>
      <c r="B21" s="27">
        <v>46071</v>
      </c>
      <c r="C21" s="17"/>
      <c r="D21" s="17"/>
      <c r="E21" s="87"/>
      <c r="F21" s="87"/>
      <c r="G21" s="17">
        <f t="shared" si="0"/>
        <v>0</v>
      </c>
      <c r="H21" s="87"/>
      <c r="I21" s="337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5"/>
    </row>
    <row r="22" spans="1:14">
      <c r="A22" s="26">
        <v>19</v>
      </c>
      <c r="B22" s="27">
        <v>46072</v>
      </c>
      <c r="C22" s="17"/>
      <c r="D22" s="17"/>
      <c r="E22" s="87"/>
      <c r="F22" s="87"/>
      <c r="G22" s="17">
        <f t="shared" si="0"/>
        <v>0</v>
      </c>
      <c r="H22" s="87"/>
      <c r="I22" s="337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5"/>
    </row>
    <row r="23" spans="1:14">
      <c r="A23" s="26">
        <v>20</v>
      </c>
      <c r="B23" s="27">
        <v>46073</v>
      </c>
      <c r="C23" s="17"/>
      <c r="D23" s="17"/>
      <c r="E23" s="87"/>
      <c r="F23" s="87"/>
      <c r="G23" s="17">
        <f t="shared" si="0"/>
        <v>0</v>
      </c>
      <c r="H23" s="87"/>
      <c r="I23" s="337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5"/>
    </row>
    <row r="24" spans="1:14">
      <c r="A24" s="26">
        <v>21</v>
      </c>
      <c r="B24" s="27">
        <v>46074</v>
      </c>
      <c r="C24" s="17"/>
      <c r="D24" s="17"/>
      <c r="E24" s="87"/>
      <c r="F24" s="87"/>
      <c r="G24" s="17">
        <f t="shared" si="0"/>
        <v>0</v>
      </c>
      <c r="H24" s="87"/>
      <c r="I24" s="337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5"/>
    </row>
    <row r="25" spans="1:14">
      <c r="A25" s="26">
        <v>22</v>
      </c>
      <c r="B25" s="27">
        <v>46075</v>
      </c>
      <c r="C25" s="17"/>
      <c r="D25" s="17"/>
      <c r="E25" s="87"/>
      <c r="F25" s="87"/>
      <c r="G25" s="17">
        <f t="shared" si="0"/>
        <v>0</v>
      </c>
      <c r="H25" s="87"/>
      <c r="I25" s="337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5"/>
    </row>
    <row r="26" spans="1:14">
      <c r="A26" s="26">
        <v>23</v>
      </c>
      <c r="B26" s="27">
        <v>46076</v>
      </c>
      <c r="C26" s="17"/>
      <c r="D26" s="17"/>
      <c r="E26" s="87"/>
      <c r="F26" s="87"/>
      <c r="G26" s="17">
        <f t="shared" si="0"/>
        <v>0</v>
      </c>
      <c r="H26" s="87"/>
      <c r="I26" s="337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5"/>
    </row>
    <row r="27" spans="1:14">
      <c r="A27" s="26">
        <v>24</v>
      </c>
      <c r="B27" s="27">
        <v>46077</v>
      </c>
      <c r="C27" s="17"/>
      <c r="D27" s="17"/>
      <c r="E27" s="87"/>
      <c r="F27" s="87"/>
      <c r="G27" s="17">
        <f t="shared" si="0"/>
        <v>0</v>
      </c>
      <c r="H27" s="87">
        <v>20</v>
      </c>
      <c r="I27" s="337">
        <v>104.08</v>
      </c>
      <c r="J27" s="17">
        <f t="shared" si="1"/>
        <v>2081.6</v>
      </c>
      <c r="K27" s="17">
        <f t="shared" si="4"/>
        <v>2081.6</v>
      </c>
      <c r="L27" s="17">
        <f t="shared" si="2"/>
        <v>2081.6</v>
      </c>
      <c r="M27" s="17">
        <f t="shared" si="3"/>
        <v>0</v>
      </c>
      <c r="N27" s="45"/>
    </row>
    <row r="28" spans="1:14">
      <c r="A28" s="26">
        <v>25</v>
      </c>
      <c r="B28" s="27">
        <v>46078</v>
      </c>
      <c r="C28" s="17"/>
      <c r="D28" s="17"/>
      <c r="E28" s="87"/>
      <c r="F28" s="87"/>
      <c r="G28" s="17">
        <f t="shared" si="0"/>
        <v>0</v>
      </c>
      <c r="H28" s="87"/>
      <c r="I28" s="337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5"/>
    </row>
    <row r="29" spans="1:14">
      <c r="A29" s="26">
        <v>26</v>
      </c>
      <c r="B29" s="27">
        <v>46079</v>
      </c>
      <c r="C29" s="17"/>
      <c r="D29" s="17"/>
      <c r="E29" s="87"/>
      <c r="F29" s="87"/>
      <c r="G29" s="17">
        <f t="shared" si="0"/>
        <v>0</v>
      </c>
      <c r="H29" s="87"/>
      <c r="I29" s="337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5"/>
    </row>
    <row r="30" spans="1:14">
      <c r="A30" s="26">
        <v>27</v>
      </c>
      <c r="B30" s="27">
        <v>46080</v>
      </c>
      <c r="C30" s="17"/>
      <c r="D30" s="17"/>
      <c r="E30" s="87"/>
      <c r="F30" s="87"/>
      <c r="G30" s="17">
        <f t="shared" si="0"/>
        <v>0</v>
      </c>
      <c r="H30" s="87"/>
      <c r="I30" s="337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5"/>
    </row>
    <row r="31" spans="1:14">
      <c r="A31" s="26">
        <v>28</v>
      </c>
      <c r="B31" s="27">
        <v>46081</v>
      </c>
      <c r="C31" s="17"/>
      <c r="D31" s="17"/>
      <c r="E31" s="87"/>
      <c r="F31" s="87"/>
      <c r="G31" s="17">
        <f t="shared" si="0"/>
        <v>0</v>
      </c>
      <c r="H31" s="87"/>
      <c r="I31" s="337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5"/>
    </row>
    <row r="32" spans="1:14">
      <c r="A32" s="26">
        <v>29</v>
      </c>
      <c r="B32" s="27">
        <v>46082</v>
      </c>
      <c r="C32" s="17"/>
      <c r="D32" s="17"/>
      <c r="E32" s="87"/>
      <c r="F32" s="87"/>
      <c r="G32" s="17">
        <f t="shared" si="0"/>
        <v>0</v>
      </c>
      <c r="H32" s="87"/>
      <c r="I32" s="337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5"/>
    </row>
    <row r="33" spans="1:14">
      <c r="A33" s="26">
        <v>30</v>
      </c>
      <c r="B33" s="27">
        <v>46083</v>
      </c>
      <c r="C33" s="17"/>
      <c r="D33" s="17"/>
      <c r="E33" s="87"/>
      <c r="F33" s="87"/>
      <c r="G33" s="17">
        <f t="shared" si="0"/>
        <v>0</v>
      </c>
      <c r="H33" s="87"/>
      <c r="I33" s="87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5"/>
    </row>
    <row r="34" spans="1:14">
      <c r="A34" s="26">
        <v>31</v>
      </c>
      <c r="B34" s="27">
        <v>46084</v>
      </c>
      <c r="C34" s="17"/>
      <c r="D34" s="17"/>
      <c r="E34" s="87"/>
      <c r="F34" s="87"/>
      <c r="G34" s="17">
        <f t="shared" si="0"/>
        <v>0</v>
      </c>
      <c r="H34" s="87"/>
      <c r="I34" s="87"/>
      <c r="J34" s="17"/>
      <c r="K34" s="17">
        <f t="shared" si="4"/>
        <v>0</v>
      </c>
      <c r="L34" s="17">
        <f t="shared" si="2"/>
        <v>0</v>
      </c>
      <c r="M34" s="17"/>
      <c r="N34" s="45"/>
    </row>
    <row r="35" spans="1:14">
      <c r="A35" s="43"/>
      <c r="B35" s="43"/>
      <c r="C35" s="43"/>
      <c r="D35" s="43"/>
      <c r="E35" s="43">
        <f>SUM(E4:E34)</f>
        <v>427.27</v>
      </c>
      <c r="F35" s="43"/>
      <c r="G35" s="43">
        <f>SUM(G4:G34)</f>
        <v>39330.203500000003</v>
      </c>
      <c r="H35" s="43">
        <f>SUM(H4:H34)</f>
        <v>68</v>
      </c>
      <c r="I35" s="43"/>
      <c r="J35" s="43">
        <f>SUM(J4:J34)</f>
        <v>7078.880000000001</v>
      </c>
      <c r="K35" s="43">
        <f>SUM(K4:K34)</f>
        <v>46409.083500000001</v>
      </c>
      <c r="L35" s="43">
        <f>SUM(L4:L34)</f>
        <v>46409.083500000001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8"/>
  <sheetViews>
    <sheetView topLeftCell="A15" workbookViewId="0">
      <selection activeCell="M34" sqref="M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63" t="s">
        <v>48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</row>
    <row r="2" spans="1:20">
      <c r="A2" s="125" t="s">
        <v>101</v>
      </c>
      <c r="B2" s="125" t="s">
        <v>155</v>
      </c>
      <c r="C2" s="125" t="s">
        <v>156</v>
      </c>
      <c r="D2" s="125" t="s">
        <v>157</v>
      </c>
      <c r="E2" s="177" t="s">
        <v>158</v>
      </c>
      <c r="F2" s="177" t="s">
        <v>159</v>
      </c>
      <c r="G2" s="177" t="s">
        <v>160</v>
      </c>
      <c r="H2" s="177" t="s">
        <v>161</v>
      </c>
      <c r="I2" s="177" t="s">
        <v>159</v>
      </c>
      <c r="J2" s="177" t="s">
        <v>160</v>
      </c>
      <c r="K2" s="177" t="s">
        <v>162</v>
      </c>
      <c r="L2" s="125" t="s">
        <v>223</v>
      </c>
      <c r="M2" s="128" t="s">
        <v>163</v>
      </c>
      <c r="N2" s="125" t="s">
        <v>165</v>
      </c>
    </row>
    <row r="3" spans="1:20">
      <c r="A3" s="17"/>
      <c r="B3" s="17"/>
      <c r="C3" s="17"/>
      <c r="D3" s="17" t="s">
        <v>166</v>
      </c>
      <c r="E3" s="17"/>
      <c r="F3" s="17"/>
      <c r="G3" s="17"/>
      <c r="H3" s="17"/>
      <c r="I3" s="17"/>
      <c r="J3" s="17"/>
      <c r="K3" s="181">
        <v>103942.74519999999</v>
      </c>
      <c r="L3" s="17"/>
      <c r="M3" s="181">
        <v>103942.74519999999</v>
      </c>
      <c r="N3" s="17"/>
    </row>
    <row r="4" spans="1:20">
      <c r="A4" s="26">
        <v>1</v>
      </c>
      <c r="B4" s="27">
        <v>46054</v>
      </c>
      <c r="C4" s="138"/>
      <c r="D4" s="138"/>
      <c r="E4" s="94"/>
      <c r="F4" s="94"/>
      <c r="G4" s="181">
        <f>F4*E4</f>
        <v>0</v>
      </c>
      <c r="H4" s="94"/>
      <c r="I4" s="94"/>
      <c r="J4" s="181">
        <f t="shared" ref="J4" si="0">H4*I4</f>
        <v>0</v>
      </c>
      <c r="K4" s="181">
        <f>G4+J4</f>
        <v>0</v>
      </c>
      <c r="L4" s="181"/>
      <c r="M4" s="181">
        <f>M3+K4-L4</f>
        <v>103942.74519999999</v>
      </c>
      <c r="N4" s="138"/>
    </row>
    <row r="5" spans="1:20">
      <c r="A5" s="26">
        <v>2</v>
      </c>
      <c r="B5" s="27">
        <v>46055</v>
      </c>
      <c r="C5" s="17"/>
      <c r="D5" s="138"/>
      <c r="E5" s="94"/>
      <c r="F5" s="94"/>
      <c r="G5" s="181">
        <f t="shared" ref="G5:G34" si="1">F5*E5</f>
        <v>0</v>
      </c>
      <c r="H5" s="94"/>
      <c r="I5" s="94"/>
      <c r="J5" s="181">
        <f t="shared" ref="J5:J34" si="2">H5*I5</f>
        <v>0</v>
      </c>
      <c r="K5" s="181">
        <f t="shared" ref="K5:K34" si="3">G5+J5</f>
        <v>0</v>
      </c>
      <c r="L5" s="181">
        <v>103905.34</v>
      </c>
      <c r="M5" s="181">
        <f t="shared" ref="M5:M34" si="4">M4+K5-L5</f>
        <v>37.405199999993783</v>
      </c>
      <c r="N5" s="17"/>
      <c r="S5">
        <v>90.88</v>
      </c>
      <c r="T5">
        <v>102.77</v>
      </c>
    </row>
    <row r="6" spans="1:20">
      <c r="A6" s="26">
        <v>3</v>
      </c>
      <c r="B6" s="27">
        <v>46056</v>
      </c>
      <c r="C6" s="17"/>
      <c r="D6" s="138"/>
      <c r="E6" s="94">
        <v>50</v>
      </c>
      <c r="F6" s="94">
        <v>90.88</v>
      </c>
      <c r="G6" s="181">
        <f t="shared" si="1"/>
        <v>4544</v>
      </c>
      <c r="H6" s="94">
        <v>5</v>
      </c>
      <c r="I6" s="94">
        <v>102.77</v>
      </c>
      <c r="J6" s="181">
        <f t="shared" si="2"/>
        <v>513.85</v>
      </c>
      <c r="K6" s="181">
        <f t="shared" si="3"/>
        <v>5057.8500000000004</v>
      </c>
      <c r="L6" s="181"/>
      <c r="M6" s="181">
        <f t="shared" si="4"/>
        <v>5095.2551999999941</v>
      </c>
      <c r="N6" s="17"/>
    </row>
    <row r="7" spans="1:20">
      <c r="A7" s="26">
        <v>4</v>
      </c>
      <c r="B7" s="27">
        <v>46057</v>
      </c>
      <c r="C7" s="17"/>
      <c r="D7" s="138"/>
      <c r="E7" s="94">
        <v>30</v>
      </c>
      <c r="F7" s="94">
        <v>90.88</v>
      </c>
      <c r="G7" s="181">
        <f t="shared" si="1"/>
        <v>2726.3999999999996</v>
      </c>
      <c r="H7" s="94"/>
      <c r="I7" s="94"/>
      <c r="J7" s="181">
        <f t="shared" si="2"/>
        <v>0</v>
      </c>
      <c r="K7" s="181">
        <f t="shared" si="3"/>
        <v>2726.3999999999996</v>
      </c>
      <c r="L7" s="181"/>
      <c r="M7" s="181">
        <f t="shared" si="4"/>
        <v>7821.6551999999938</v>
      </c>
      <c r="N7" s="17"/>
    </row>
    <row r="8" spans="1:20">
      <c r="A8" s="26">
        <v>5</v>
      </c>
      <c r="B8" s="27">
        <v>46058</v>
      </c>
      <c r="C8" s="17"/>
      <c r="D8" s="138"/>
      <c r="E8" s="94">
        <v>90</v>
      </c>
      <c r="F8" s="94">
        <v>90.88</v>
      </c>
      <c r="G8" s="181">
        <f t="shared" si="1"/>
        <v>8179.2</v>
      </c>
      <c r="H8" s="94">
        <v>10</v>
      </c>
      <c r="I8" s="94">
        <v>102.77</v>
      </c>
      <c r="J8" s="181">
        <f t="shared" si="2"/>
        <v>1027.7</v>
      </c>
      <c r="K8" s="181">
        <f t="shared" si="3"/>
        <v>9206.9</v>
      </c>
      <c r="L8" s="181"/>
      <c r="M8" s="181">
        <f t="shared" si="4"/>
        <v>17028.555199999995</v>
      </c>
      <c r="N8" s="17"/>
    </row>
    <row r="9" spans="1:20">
      <c r="A9" s="26">
        <v>6</v>
      </c>
      <c r="B9" s="27">
        <v>46059</v>
      </c>
      <c r="C9" s="17"/>
      <c r="D9" s="138"/>
      <c r="E9" s="94">
        <v>160</v>
      </c>
      <c r="F9" s="94">
        <v>90.88</v>
      </c>
      <c r="G9" s="181">
        <f t="shared" si="1"/>
        <v>14540.8</v>
      </c>
      <c r="H9" s="94"/>
      <c r="I9" s="94"/>
      <c r="J9" s="181">
        <f t="shared" si="2"/>
        <v>0</v>
      </c>
      <c r="K9" s="181">
        <f t="shared" si="3"/>
        <v>14540.8</v>
      </c>
      <c r="L9" s="181"/>
      <c r="M9" s="181">
        <f t="shared" si="4"/>
        <v>31569.355199999995</v>
      </c>
      <c r="N9" s="17"/>
    </row>
    <row r="10" spans="1:20">
      <c r="A10" s="26">
        <v>7</v>
      </c>
      <c r="B10" s="27">
        <v>46060</v>
      </c>
      <c r="C10" s="17"/>
      <c r="D10" s="138"/>
      <c r="E10" s="94">
        <v>10</v>
      </c>
      <c r="F10" s="94">
        <v>90.88</v>
      </c>
      <c r="G10" s="181">
        <f t="shared" si="1"/>
        <v>908.8</v>
      </c>
      <c r="H10" s="94">
        <v>5</v>
      </c>
      <c r="I10" s="94">
        <v>102.77</v>
      </c>
      <c r="J10" s="181">
        <f t="shared" si="2"/>
        <v>513.85</v>
      </c>
      <c r="K10" s="181">
        <f t="shared" si="3"/>
        <v>1422.65</v>
      </c>
      <c r="L10" s="181"/>
      <c r="M10" s="181">
        <f t="shared" si="4"/>
        <v>32992.005199999992</v>
      </c>
      <c r="N10" s="17"/>
    </row>
    <row r="11" spans="1:20">
      <c r="A11" s="26">
        <v>8</v>
      </c>
      <c r="B11" s="27">
        <v>46061</v>
      </c>
      <c r="C11" s="17"/>
      <c r="D11" s="138"/>
      <c r="E11" s="94">
        <v>135</v>
      </c>
      <c r="F11" s="94">
        <v>90.88</v>
      </c>
      <c r="G11" s="181">
        <f t="shared" si="1"/>
        <v>12268.8</v>
      </c>
      <c r="H11" s="94"/>
      <c r="I11" s="94"/>
      <c r="J11" s="181">
        <f t="shared" si="2"/>
        <v>0</v>
      </c>
      <c r="K11" s="181">
        <f t="shared" si="3"/>
        <v>12268.8</v>
      </c>
      <c r="L11" s="181"/>
      <c r="M11" s="181">
        <f t="shared" si="4"/>
        <v>45260.805199999988</v>
      </c>
      <c r="N11" s="17"/>
    </row>
    <row r="12" spans="1:20">
      <c r="A12" s="26">
        <v>9</v>
      </c>
      <c r="B12" s="27">
        <v>46062</v>
      </c>
      <c r="C12" s="17"/>
      <c r="D12" s="138"/>
      <c r="E12" s="94">
        <v>220</v>
      </c>
      <c r="F12" s="94">
        <v>90.88</v>
      </c>
      <c r="G12" s="181">
        <f t="shared" si="1"/>
        <v>19993.599999999999</v>
      </c>
      <c r="H12" s="94"/>
      <c r="I12" s="94"/>
      <c r="J12" s="181">
        <f t="shared" si="2"/>
        <v>0</v>
      </c>
      <c r="K12" s="181">
        <f t="shared" si="3"/>
        <v>19993.599999999999</v>
      </c>
      <c r="L12" s="181"/>
      <c r="M12" s="181">
        <f t="shared" si="4"/>
        <v>65254.405199999987</v>
      </c>
      <c r="N12" s="17"/>
    </row>
    <row r="13" spans="1:20">
      <c r="A13" s="26">
        <v>10</v>
      </c>
      <c r="B13" s="27">
        <v>46063</v>
      </c>
      <c r="C13" s="17"/>
      <c r="D13" s="138"/>
      <c r="E13" s="94">
        <v>110</v>
      </c>
      <c r="F13" s="94">
        <v>90.88</v>
      </c>
      <c r="G13" s="181">
        <f t="shared" si="1"/>
        <v>9996.7999999999993</v>
      </c>
      <c r="H13" s="94">
        <v>12.78</v>
      </c>
      <c r="I13" s="94">
        <v>102.77</v>
      </c>
      <c r="J13" s="181">
        <f t="shared" si="2"/>
        <v>1313.4005999999999</v>
      </c>
      <c r="K13" s="181">
        <f t="shared" si="3"/>
        <v>11310.2006</v>
      </c>
      <c r="L13" s="181"/>
      <c r="M13" s="181">
        <f>M12+K13-L13</f>
        <v>76564.60579999999</v>
      </c>
      <c r="N13" s="17"/>
    </row>
    <row r="14" spans="1:20">
      <c r="A14" s="26">
        <v>11</v>
      </c>
      <c r="B14" s="27">
        <v>46064</v>
      </c>
      <c r="C14" s="17"/>
      <c r="D14" s="138"/>
      <c r="E14" s="94"/>
      <c r="F14" s="94"/>
      <c r="G14" s="181">
        <f t="shared" si="1"/>
        <v>0</v>
      </c>
      <c r="H14" s="94">
        <v>5</v>
      </c>
      <c r="I14" s="94">
        <v>102.77</v>
      </c>
      <c r="J14" s="181">
        <f t="shared" si="2"/>
        <v>513.85</v>
      </c>
      <c r="K14" s="181">
        <f t="shared" si="3"/>
        <v>513.85</v>
      </c>
      <c r="L14" s="181"/>
      <c r="M14" s="181">
        <f t="shared" si="4"/>
        <v>77078.455799999996</v>
      </c>
      <c r="N14" s="17"/>
    </row>
    <row r="15" spans="1:20">
      <c r="A15" s="26">
        <v>12</v>
      </c>
      <c r="B15" s="27">
        <v>46065</v>
      </c>
      <c r="C15" s="17"/>
      <c r="D15" s="138"/>
      <c r="E15" s="94"/>
      <c r="F15" s="94"/>
      <c r="G15" s="181">
        <f t="shared" si="1"/>
        <v>0</v>
      </c>
      <c r="H15" s="94">
        <v>5</v>
      </c>
      <c r="I15" s="94">
        <v>102.77</v>
      </c>
      <c r="J15" s="181">
        <f t="shared" si="2"/>
        <v>513.85</v>
      </c>
      <c r="K15" s="181">
        <f t="shared" si="3"/>
        <v>513.85</v>
      </c>
      <c r="L15" s="181"/>
      <c r="M15" s="181">
        <f t="shared" si="4"/>
        <v>77592.305800000002</v>
      </c>
      <c r="N15" s="17"/>
    </row>
    <row r="16" spans="1:20">
      <c r="A16" s="26">
        <v>13</v>
      </c>
      <c r="B16" s="27">
        <v>46066</v>
      </c>
      <c r="C16" s="17"/>
      <c r="D16" s="138"/>
      <c r="E16" s="94"/>
      <c r="F16" s="94"/>
      <c r="G16" s="181">
        <f t="shared" si="1"/>
        <v>0</v>
      </c>
      <c r="H16" s="94">
        <v>5</v>
      </c>
      <c r="I16" s="94">
        <v>102.77</v>
      </c>
      <c r="J16" s="181">
        <f t="shared" si="2"/>
        <v>513.85</v>
      </c>
      <c r="K16" s="181">
        <f t="shared" si="3"/>
        <v>513.85</v>
      </c>
      <c r="L16" s="181"/>
      <c r="M16" s="181">
        <f t="shared" si="4"/>
        <v>78106.155800000008</v>
      </c>
      <c r="N16" s="17"/>
    </row>
    <row r="17" spans="1:15">
      <c r="A17" s="26">
        <v>14</v>
      </c>
      <c r="B17" s="27">
        <v>46067</v>
      </c>
      <c r="C17" s="17"/>
      <c r="D17" s="138"/>
      <c r="E17" s="94">
        <v>70</v>
      </c>
      <c r="F17" s="94">
        <v>90.88</v>
      </c>
      <c r="G17" s="181">
        <f t="shared" si="1"/>
        <v>6361.5999999999995</v>
      </c>
      <c r="H17" s="94">
        <v>2</v>
      </c>
      <c r="I17" s="94">
        <v>102.77</v>
      </c>
      <c r="J17" s="181">
        <f t="shared" si="2"/>
        <v>205.54</v>
      </c>
      <c r="K17" s="181">
        <f t="shared" si="3"/>
        <v>6567.1399999999994</v>
      </c>
      <c r="L17" s="181"/>
      <c r="M17" s="181">
        <f t="shared" si="4"/>
        <v>84673.295800000007</v>
      </c>
      <c r="N17" s="17"/>
    </row>
    <row r="18" spans="1:15">
      <c r="A18" s="26">
        <v>15</v>
      </c>
      <c r="B18" s="27">
        <v>46068</v>
      </c>
      <c r="C18" s="17"/>
      <c r="D18" s="138"/>
      <c r="E18" s="94"/>
      <c r="F18" s="94"/>
      <c r="G18" s="181">
        <f t="shared" si="1"/>
        <v>0</v>
      </c>
      <c r="H18" s="94"/>
      <c r="I18" s="94"/>
      <c r="J18" s="181">
        <f t="shared" si="2"/>
        <v>0</v>
      </c>
      <c r="K18" s="181">
        <f t="shared" si="3"/>
        <v>0</v>
      </c>
      <c r="L18" s="181"/>
      <c r="M18" s="181">
        <f>M17+K18-L18</f>
        <v>84673.295800000007</v>
      </c>
      <c r="N18" s="17"/>
    </row>
    <row r="19" spans="1:15">
      <c r="A19" s="26">
        <v>16</v>
      </c>
      <c r="B19" s="27">
        <v>46069</v>
      </c>
      <c r="C19" s="17"/>
      <c r="D19" s="138"/>
      <c r="E19" s="94">
        <v>120</v>
      </c>
      <c r="F19" s="94">
        <v>90.88</v>
      </c>
      <c r="G19" s="181">
        <f t="shared" si="1"/>
        <v>10905.599999999999</v>
      </c>
      <c r="H19" s="94">
        <v>5</v>
      </c>
      <c r="I19" s="94">
        <v>102.77</v>
      </c>
      <c r="J19" s="181">
        <f t="shared" si="2"/>
        <v>513.85</v>
      </c>
      <c r="K19" s="181">
        <f t="shared" si="3"/>
        <v>11419.449999999999</v>
      </c>
      <c r="L19" s="181"/>
      <c r="M19" s="181">
        <f t="shared" si="4"/>
        <v>96092.745800000004</v>
      </c>
      <c r="N19" s="17"/>
    </row>
    <row r="20" spans="1:15">
      <c r="A20" s="26">
        <v>17</v>
      </c>
      <c r="B20" s="27">
        <v>46070</v>
      </c>
      <c r="C20" s="17"/>
      <c r="D20" s="138"/>
      <c r="E20" s="94">
        <v>80</v>
      </c>
      <c r="F20" s="94">
        <v>90.88</v>
      </c>
      <c r="G20" s="181">
        <f t="shared" si="1"/>
        <v>7270.4</v>
      </c>
      <c r="H20" s="94"/>
      <c r="I20" s="94"/>
      <c r="J20" s="181">
        <f t="shared" si="2"/>
        <v>0</v>
      </c>
      <c r="K20" s="181">
        <f t="shared" si="3"/>
        <v>7270.4</v>
      </c>
      <c r="L20" s="181"/>
      <c r="M20" s="181">
        <f t="shared" si="4"/>
        <v>103363.1458</v>
      </c>
      <c r="N20" s="17"/>
      <c r="O20">
        <v>16.68</v>
      </c>
    </row>
    <row r="21" spans="1:15">
      <c r="A21" s="26">
        <v>18</v>
      </c>
      <c r="B21" s="27">
        <v>46071</v>
      </c>
      <c r="C21" s="17"/>
      <c r="D21" s="138"/>
      <c r="E21" s="94"/>
      <c r="F21" s="94"/>
      <c r="G21" s="181">
        <f t="shared" si="1"/>
        <v>0</v>
      </c>
      <c r="H21" s="94"/>
      <c r="I21" s="94"/>
      <c r="J21" s="181">
        <f t="shared" si="2"/>
        <v>0</v>
      </c>
      <c r="K21" s="181">
        <f t="shared" si="3"/>
        <v>0</v>
      </c>
      <c r="L21" s="181"/>
      <c r="M21" s="181">
        <f>M20+K21-L21</f>
        <v>103363.1458</v>
      </c>
      <c r="N21" s="17"/>
    </row>
    <row r="22" spans="1:15">
      <c r="A22" s="26">
        <v>19</v>
      </c>
      <c r="B22" s="27">
        <v>46072</v>
      </c>
      <c r="C22" s="17"/>
      <c r="D22" s="138"/>
      <c r="E22" s="94"/>
      <c r="F22" s="94"/>
      <c r="G22" s="181">
        <f t="shared" si="1"/>
        <v>0</v>
      </c>
      <c r="H22" s="94"/>
      <c r="I22" s="94"/>
      <c r="J22" s="181">
        <f t="shared" si="2"/>
        <v>0</v>
      </c>
      <c r="K22" s="181">
        <f t="shared" si="3"/>
        <v>0</v>
      </c>
      <c r="L22" s="181"/>
      <c r="M22" s="181">
        <f t="shared" si="4"/>
        <v>103363.1458</v>
      </c>
      <c r="N22" s="17"/>
    </row>
    <row r="23" spans="1:15">
      <c r="A23" s="26">
        <v>20</v>
      </c>
      <c r="B23" s="27">
        <v>46073</v>
      </c>
      <c r="C23" s="17"/>
      <c r="D23" s="138"/>
      <c r="E23" s="94"/>
      <c r="F23" s="94"/>
      <c r="G23" s="181">
        <f t="shared" si="1"/>
        <v>0</v>
      </c>
      <c r="H23" s="94"/>
      <c r="I23" s="94"/>
      <c r="J23" s="181">
        <f t="shared" si="2"/>
        <v>0</v>
      </c>
      <c r="K23" s="181">
        <f t="shared" si="3"/>
        <v>0</v>
      </c>
      <c r="L23" s="181">
        <v>100000</v>
      </c>
      <c r="M23" s="181">
        <f t="shared" si="4"/>
        <v>3363.1457999999984</v>
      </c>
      <c r="N23" s="17">
        <v>0</v>
      </c>
    </row>
    <row r="24" spans="1:15">
      <c r="A24" s="26">
        <v>21</v>
      </c>
      <c r="B24" s="27">
        <v>46074</v>
      </c>
      <c r="C24" s="17"/>
      <c r="D24" s="138"/>
      <c r="E24" s="94">
        <v>30</v>
      </c>
      <c r="F24" s="94">
        <v>90.88</v>
      </c>
      <c r="G24" s="181">
        <f t="shared" si="1"/>
        <v>2726.3999999999996</v>
      </c>
      <c r="H24" s="94"/>
      <c r="I24" s="94"/>
      <c r="J24" s="181">
        <f t="shared" si="2"/>
        <v>0</v>
      </c>
      <c r="K24" s="181">
        <f t="shared" si="3"/>
        <v>2726.3999999999996</v>
      </c>
      <c r="L24" s="181"/>
      <c r="M24" s="181">
        <f t="shared" si="4"/>
        <v>6089.5457999999981</v>
      </c>
      <c r="N24" s="17"/>
    </row>
    <row r="25" spans="1:15">
      <c r="A25" s="26">
        <v>22</v>
      </c>
      <c r="B25" s="27">
        <v>46075</v>
      </c>
      <c r="C25" s="17"/>
      <c r="D25" s="138"/>
      <c r="E25" s="94">
        <v>221.61</v>
      </c>
      <c r="F25" s="94">
        <v>90.88</v>
      </c>
      <c r="G25" s="181">
        <f t="shared" si="1"/>
        <v>20139.916799999999</v>
      </c>
      <c r="H25" s="94">
        <v>5</v>
      </c>
      <c r="I25" s="94">
        <v>102.77</v>
      </c>
      <c r="J25" s="181">
        <f t="shared" si="2"/>
        <v>513.85</v>
      </c>
      <c r="K25" s="181">
        <f t="shared" si="3"/>
        <v>20653.766799999998</v>
      </c>
      <c r="L25" s="181"/>
      <c r="M25" s="181">
        <f t="shared" si="4"/>
        <v>26743.312599999997</v>
      </c>
      <c r="N25" s="17"/>
    </row>
    <row r="26" spans="1:15">
      <c r="A26" s="26">
        <v>23</v>
      </c>
      <c r="B26" s="27">
        <v>46076</v>
      </c>
      <c r="C26" s="17"/>
      <c r="D26" s="138"/>
      <c r="E26" s="94">
        <v>60</v>
      </c>
      <c r="F26" s="94">
        <v>90.88</v>
      </c>
      <c r="G26" s="181">
        <f t="shared" si="1"/>
        <v>5452.7999999999993</v>
      </c>
      <c r="H26" s="94">
        <v>5</v>
      </c>
      <c r="I26" s="94">
        <v>102.77</v>
      </c>
      <c r="J26" s="181">
        <f t="shared" si="2"/>
        <v>513.85</v>
      </c>
      <c r="K26" s="181">
        <f t="shared" si="3"/>
        <v>5966.65</v>
      </c>
      <c r="L26" s="181"/>
      <c r="M26" s="181">
        <f t="shared" si="4"/>
        <v>32709.962599999999</v>
      </c>
      <c r="N26" s="17"/>
    </row>
    <row r="27" spans="1:15">
      <c r="A27" s="26">
        <v>24</v>
      </c>
      <c r="B27" s="27">
        <v>46077</v>
      </c>
      <c r="C27" s="17"/>
      <c r="D27" s="138"/>
      <c r="E27" s="94">
        <v>50</v>
      </c>
      <c r="F27" s="94">
        <v>90.88</v>
      </c>
      <c r="G27" s="181">
        <f t="shared" si="1"/>
        <v>4544</v>
      </c>
      <c r="H27" s="94">
        <v>10</v>
      </c>
      <c r="I27" s="94">
        <v>102.77</v>
      </c>
      <c r="J27" s="181">
        <f t="shared" si="2"/>
        <v>1027.7</v>
      </c>
      <c r="K27" s="181">
        <f t="shared" si="3"/>
        <v>5571.7</v>
      </c>
      <c r="L27" s="181"/>
      <c r="M27" s="181">
        <f t="shared" si="4"/>
        <v>38281.662599999996</v>
      </c>
      <c r="N27" s="17"/>
    </row>
    <row r="28" spans="1:15">
      <c r="A28" s="26">
        <v>25</v>
      </c>
      <c r="B28" s="27">
        <v>46078</v>
      </c>
      <c r="C28" s="17"/>
      <c r="D28" s="138"/>
      <c r="E28" s="94">
        <v>20</v>
      </c>
      <c r="F28" s="94">
        <v>90.88</v>
      </c>
      <c r="G28" s="181">
        <f t="shared" si="1"/>
        <v>1817.6</v>
      </c>
      <c r="H28" s="94"/>
      <c r="I28" s="94"/>
      <c r="J28" s="181">
        <f t="shared" si="2"/>
        <v>0</v>
      </c>
      <c r="K28" s="181">
        <f t="shared" si="3"/>
        <v>1817.6</v>
      </c>
      <c r="L28" s="181"/>
      <c r="M28" s="181">
        <f t="shared" si="4"/>
        <v>40099.262599999995</v>
      </c>
      <c r="N28" s="17"/>
    </row>
    <row r="29" spans="1:15">
      <c r="A29" s="26">
        <v>26</v>
      </c>
      <c r="B29" s="27">
        <v>46079</v>
      </c>
      <c r="C29" s="17"/>
      <c r="D29" s="138"/>
      <c r="E29" s="94">
        <v>40</v>
      </c>
      <c r="F29" s="94">
        <v>90.88</v>
      </c>
      <c r="G29" s="181">
        <f t="shared" si="1"/>
        <v>3635.2</v>
      </c>
      <c r="H29" s="94">
        <v>5</v>
      </c>
      <c r="I29" s="94">
        <v>102.77</v>
      </c>
      <c r="J29" s="181">
        <f t="shared" si="2"/>
        <v>513.85</v>
      </c>
      <c r="K29" s="181">
        <f t="shared" si="3"/>
        <v>4149.05</v>
      </c>
      <c r="L29" s="181"/>
      <c r="M29" s="181">
        <f t="shared" si="4"/>
        <v>44248.312599999997</v>
      </c>
      <c r="N29" s="17"/>
    </row>
    <row r="30" spans="1:15">
      <c r="A30" s="26">
        <v>27</v>
      </c>
      <c r="B30" s="27">
        <v>46080</v>
      </c>
      <c r="C30" s="17"/>
      <c r="D30" s="138"/>
      <c r="E30" s="94">
        <v>120</v>
      </c>
      <c r="F30" s="94">
        <v>90.88</v>
      </c>
      <c r="G30" s="181">
        <f t="shared" si="1"/>
        <v>10905.599999999999</v>
      </c>
      <c r="H30" s="94"/>
      <c r="I30" s="94"/>
      <c r="J30" s="181">
        <f t="shared" si="2"/>
        <v>0</v>
      </c>
      <c r="K30" s="181">
        <f t="shared" si="3"/>
        <v>10905.599999999999</v>
      </c>
      <c r="L30" s="181"/>
      <c r="M30" s="181">
        <f t="shared" si="4"/>
        <v>55153.912599999996</v>
      </c>
      <c r="N30" s="17"/>
    </row>
    <row r="31" spans="1:15">
      <c r="A31" s="26">
        <v>28</v>
      </c>
      <c r="B31" s="27">
        <v>46081</v>
      </c>
      <c r="C31" s="17"/>
      <c r="D31" s="138"/>
      <c r="E31" s="94">
        <v>150</v>
      </c>
      <c r="F31" s="94">
        <v>90.88</v>
      </c>
      <c r="G31" s="181">
        <f t="shared" si="1"/>
        <v>13632</v>
      </c>
      <c r="H31" s="94"/>
      <c r="I31" s="94"/>
      <c r="J31" s="181">
        <f t="shared" si="2"/>
        <v>0</v>
      </c>
      <c r="K31" s="181">
        <f t="shared" si="3"/>
        <v>13632</v>
      </c>
      <c r="L31" s="181"/>
      <c r="M31" s="181">
        <f t="shared" si="4"/>
        <v>68785.912599999996</v>
      </c>
      <c r="N31" s="17"/>
    </row>
    <row r="32" spans="1:15">
      <c r="A32" s="26">
        <v>29</v>
      </c>
      <c r="B32" s="27"/>
      <c r="C32" s="17"/>
      <c r="D32" s="138"/>
      <c r="E32" s="94"/>
      <c r="F32" s="94"/>
      <c r="G32" s="181">
        <f t="shared" si="1"/>
        <v>0</v>
      </c>
      <c r="H32" s="94"/>
      <c r="I32" s="94"/>
      <c r="J32" s="181">
        <f t="shared" si="2"/>
        <v>0</v>
      </c>
      <c r="K32" s="181">
        <f t="shared" si="3"/>
        <v>0</v>
      </c>
      <c r="L32" s="181"/>
      <c r="M32" s="181">
        <f t="shared" si="4"/>
        <v>68785.912599999996</v>
      </c>
      <c r="N32" s="17"/>
    </row>
    <row r="33" spans="1:14">
      <c r="A33" s="26">
        <v>30</v>
      </c>
      <c r="B33" s="27"/>
      <c r="C33" s="17"/>
      <c r="D33" s="138"/>
      <c r="E33" s="94"/>
      <c r="F33" s="94"/>
      <c r="G33" s="181">
        <f t="shared" si="1"/>
        <v>0</v>
      </c>
      <c r="H33" s="94"/>
      <c r="I33" s="94"/>
      <c r="J33" s="181">
        <f t="shared" si="2"/>
        <v>0</v>
      </c>
      <c r="K33" s="181">
        <f t="shared" si="3"/>
        <v>0</v>
      </c>
      <c r="L33" s="181"/>
      <c r="M33" s="181">
        <f t="shared" si="4"/>
        <v>68785.912599999996</v>
      </c>
      <c r="N33" s="17"/>
    </row>
    <row r="34" spans="1:14">
      <c r="A34" s="26">
        <v>31</v>
      </c>
      <c r="B34" s="27">
        <v>46084</v>
      </c>
      <c r="C34" s="17"/>
      <c r="D34" s="17"/>
      <c r="E34" s="94"/>
      <c r="F34" s="94"/>
      <c r="G34" s="181">
        <f t="shared" si="1"/>
        <v>0</v>
      </c>
      <c r="H34" s="94"/>
      <c r="I34" s="94"/>
      <c r="J34" s="181">
        <f t="shared" si="2"/>
        <v>0</v>
      </c>
      <c r="K34" s="181">
        <f t="shared" si="3"/>
        <v>0</v>
      </c>
      <c r="L34" s="138"/>
      <c r="M34" s="181">
        <f t="shared" si="4"/>
        <v>68785.912599999996</v>
      </c>
      <c r="N34" s="17"/>
    </row>
    <row r="35" spans="1:14">
      <c r="A35" s="43"/>
      <c r="B35" s="43"/>
      <c r="C35" s="43"/>
      <c r="D35" s="43"/>
      <c r="E35" s="43">
        <f>SUM(E4:E34)</f>
        <v>1766.6100000000001</v>
      </c>
      <c r="F35" s="43"/>
      <c r="G35" s="43">
        <f>SUM(G4:G34)</f>
        <v>160549.51680000001</v>
      </c>
      <c r="H35" s="43">
        <f>SUM(H4:H34)</f>
        <v>79.78</v>
      </c>
      <c r="I35" s="43"/>
      <c r="J35" s="43">
        <f>SUM(J4:J34)</f>
        <v>8198.990600000001</v>
      </c>
      <c r="K35" s="43">
        <f>SUM(K4:K34)</f>
        <v>168748.5074</v>
      </c>
      <c r="L35" s="43">
        <f>SUM(L4:L34)</f>
        <v>203905.34</v>
      </c>
      <c r="M35" s="43">
        <f>SUM(M4:M34)</f>
        <v>1715705.2523999996</v>
      </c>
      <c r="N35" s="43"/>
    </row>
    <row r="36" spans="1:14">
      <c r="E36">
        <v>1541.87</v>
      </c>
    </row>
    <row r="37" spans="1:14">
      <c r="E37">
        <v>1661</v>
      </c>
      <c r="H37">
        <v>43.92</v>
      </c>
      <c r="K37" s="22"/>
    </row>
    <row r="38" spans="1:14">
      <c r="E38">
        <f>E37-E36</f>
        <v>119.13000000000011</v>
      </c>
    </row>
  </sheetData>
  <mergeCells count="1">
    <mergeCell ref="A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workbookViewId="0">
      <selection activeCell="P3" sqref="P3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63" t="s">
        <v>50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93"/>
      <c r="P1" s="93"/>
      <c r="Q1" s="93"/>
    </row>
    <row r="2" spans="1:17">
      <c r="A2" s="65" t="s">
        <v>101</v>
      </c>
      <c r="B2" s="65" t="s">
        <v>155</v>
      </c>
      <c r="C2" s="65" t="s">
        <v>156</v>
      </c>
      <c r="D2" s="65" t="s">
        <v>157</v>
      </c>
      <c r="E2" s="92" t="s">
        <v>158</v>
      </c>
      <c r="F2" s="92" t="s">
        <v>159</v>
      </c>
      <c r="G2" s="92" t="s">
        <v>160</v>
      </c>
      <c r="H2" s="92" t="s">
        <v>161</v>
      </c>
      <c r="I2" s="92" t="s">
        <v>159</v>
      </c>
      <c r="J2" s="92" t="s">
        <v>160</v>
      </c>
      <c r="K2" s="92" t="s">
        <v>162</v>
      </c>
      <c r="L2" s="86" t="s">
        <v>163</v>
      </c>
      <c r="M2" s="86" t="s">
        <v>164</v>
      </c>
      <c r="N2" s="65" t="s">
        <v>165</v>
      </c>
    </row>
    <row r="3" spans="1:17">
      <c r="A3" s="17"/>
      <c r="B3" s="17"/>
      <c r="C3" s="17"/>
      <c r="D3" s="17" t="s">
        <v>166</v>
      </c>
      <c r="E3" s="17"/>
      <c r="F3" s="17"/>
      <c r="G3" s="17"/>
      <c r="H3" s="17"/>
      <c r="I3" s="17"/>
      <c r="J3" s="17"/>
      <c r="K3" s="41">
        <v>0</v>
      </c>
      <c r="L3" s="17"/>
      <c r="M3" s="41">
        <v>0</v>
      </c>
      <c r="N3" s="17"/>
      <c r="O3" s="41">
        <v>26506.399999999994</v>
      </c>
    </row>
    <row r="4" spans="1:17">
      <c r="A4" s="26">
        <v>1</v>
      </c>
      <c r="B4" s="27">
        <v>46054</v>
      </c>
      <c r="C4" s="17"/>
      <c r="D4" s="17"/>
      <c r="E4" s="94">
        <v>0</v>
      </c>
      <c r="F4" s="94">
        <v>0</v>
      </c>
      <c r="G4" s="41">
        <f>E4*F4</f>
        <v>0</v>
      </c>
      <c r="H4" s="45"/>
      <c r="I4" s="45"/>
      <c r="J4" s="41">
        <f>H4*I4</f>
        <v>0</v>
      </c>
      <c r="K4" s="41">
        <f>G4+J4</f>
        <v>0</v>
      </c>
      <c r="L4" s="41"/>
      <c r="M4" s="41">
        <v>0</v>
      </c>
      <c r="N4" s="17"/>
    </row>
    <row r="5" spans="1:17">
      <c r="A5" s="26">
        <v>2</v>
      </c>
      <c r="B5" s="27">
        <v>46055</v>
      </c>
      <c r="C5" s="17"/>
      <c r="D5" s="17"/>
      <c r="E5" s="94">
        <v>0</v>
      </c>
      <c r="F5" s="94">
        <v>0</v>
      </c>
      <c r="G5" s="41">
        <f t="shared" ref="G5:G7" si="0">E5*F5</f>
        <v>0</v>
      </c>
      <c r="H5" s="45"/>
      <c r="I5" s="45"/>
      <c r="J5" s="41">
        <f t="shared" ref="J5:J36" si="1">H5*I5</f>
        <v>0</v>
      </c>
      <c r="K5" s="41">
        <f t="shared" ref="K5:K36" si="2">G5+J5</f>
        <v>0</v>
      </c>
      <c r="L5" s="41"/>
      <c r="M5" s="41">
        <f>M4+K5-L5</f>
        <v>0</v>
      </c>
      <c r="N5" s="17"/>
    </row>
    <row r="6" spans="1:17">
      <c r="A6" s="26">
        <v>3</v>
      </c>
      <c r="B6" s="27">
        <v>46056</v>
      </c>
      <c r="C6" s="17"/>
      <c r="D6" s="17"/>
      <c r="E6" s="94">
        <v>0</v>
      </c>
      <c r="F6" s="94">
        <v>0</v>
      </c>
      <c r="G6" s="41">
        <f t="shared" si="0"/>
        <v>0</v>
      </c>
      <c r="H6" s="45"/>
      <c r="I6" s="45"/>
      <c r="J6" s="41">
        <f t="shared" si="1"/>
        <v>0</v>
      </c>
      <c r="K6" s="41">
        <f t="shared" si="2"/>
        <v>0</v>
      </c>
      <c r="L6" s="41"/>
      <c r="M6" s="41">
        <f>M5+K6-L6</f>
        <v>0</v>
      </c>
      <c r="N6" s="17"/>
    </row>
    <row r="7" spans="1:17">
      <c r="A7" s="26">
        <v>4</v>
      </c>
      <c r="B7" s="27">
        <v>46057</v>
      </c>
      <c r="C7" s="17"/>
      <c r="D7" s="17"/>
      <c r="E7" s="94">
        <v>0</v>
      </c>
      <c r="F7" s="94">
        <v>0</v>
      </c>
      <c r="G7" s="41">
        <f t="shared" si="0"/>
        <v>0</v>
      </c>
      <c r="H7" s="45"/>
      <c r="I7" s="45"/>
      <c r="J7" s="41">
        <f t="shared" si="1"/>
        <v>0</v>
      </c>
      <c r="K7" s="41">
        <f t="shared" si="2"/>
        <v>0</v>
      </c>
      <c r="L7" s="41"/>
      <c r="M7" s="41">
        <f>M6+K7-L7</f>
        <v>0</v>
      </c>
      <c r="N7" s="17"/>
    </row>
    <row r="8" spans="1:17">
      <c r="A8" s="26">
        <v>5</v>
      </c>
      <c r="B8" s="27">
        <v>46058</v>
      </c>
      <c r="C8" s="17"/>
      <c r="D8" s="17"/>
      <c r="E8" s="94">
        <v>0</v>
      </c>
      <c r="F8" s="94">
        <v>0</v>
      </c>
      <c r="G8" s="41">
        <f t="shared" ref="G5:G15" si="3">E8*F8</f>
        <v>0</v>
      </c>
      <c r="H8" s="45"/>
      <c r="I8" s="45"/>
      <c r="J8" s="41">
        <f t="shared" si="1"/>
        <v>0</v>
      </c>
      <c r="K8" s="41">
        <f t="shared" si="2"/>
        <v>0</v>
      </c>
      <c r="L8" s="41"/>
      <c r="M8" s="41">
        <f>M7+K8-L8</f>
        <v>0</v>
      </c>
      <c r="N8" s="17"/>
    </row>
    <row r="9" spans="1:17">
      <c r="A9" s="26">
        <v>6</v>
      </c>
      <c r="B9" s="27">
        <v>46059</v>
      </c>
      <c r="C9" s="17"/>
      <c r="D9" s="17"/>
      <c r="E9" s="94">
        <v>0</v>
      </c>
      <c r="F9" s="94">
        <v>0</v>
      </c>
      <c r="G9" s="41">
        <f t="shared" si="3"/>
        <v>0</v>
      </c>
      <c r="H9" s="45"/>
      <c r="I9" s="45"/>
      <c r="J9" s="41">
        <f t="shared" si="1"/>
        <v>0</v>
      </c>
      <c r="K9" s="41">
        <f t="shared" si="2"/>
        <v>0</v>
      </c>
      <c r="L9" s="41"/>
      <c r="M9" s="41">
        <f t="shared" ref="M9:M36" si="4">M8+K9-L9</f>
        <v>0</v>
      </c>
      <c r="N9" s="17"/>
    </row>
    <row r="10" spans="1:17">
      <c r="A10" s="26">
        <v>7</v>
      </c>
      <c r="B10" s="27">
        <v>46060</v>
      </c>
      <c r="C10" s="17"/>
      <c r="D10" s="17"/>
      <c r="E10" s="94">
        <v>0</v>
      </c>
      <c r="F10" s="94">
        <v>0</v>
      </c>
      <c r="G10" s="41">
        <f t="shared" si="3"/>
        <v>0</v>
      </c>
      <c r="H10" s="45"/>
      <c r="I10" s="45"/>
      <c r="J10" s="41">
        <f t="shared" si="1"/>
        <v>0</v>
      </c>
      <c r="K10" s="41">
        <f t="shared" si="2"/>
        <v>0</v>
      </c>
      <c r="L10" s="41"/>
      <c r="M10" s="41">
        <f t="shared" si="4"/>
        <v>0</v>
      </c>
      <c r="N10" s="17"/>
    </row>
    <row r="11" spans="1:17">
      <c r="A11" s="26">
        <v>8</v>
      </c>
      <c r="B11" s="27">
        <v>46061</v>
      </c>
      <c r="C11" s="17"/>
      <c r="D11" s="17"/>
      <c r="E11" s="94">
        <v>0</v>
      </c>
      <c r="F11" s="94">
        <v>0</v>
      </c>
      <c r="G11" s="41">
        <f t="shared" si="3"/>
        <v>0</v>
      </c>
      <c r="H11" s="45"/>
      <c r="I11" s="45"/>
      <c r="J11" s="41">
        <f t="shared" si="1"/>
        <v>0</v>
      </c>
      <c r="K11" s="41">
        <f t="shared" si="2"/>
        <v>0</v>
      </c>
      <c r="L11" s="41"/>
      <c r="M11" s="41">
        <f t="shared" si="4"/>
        <v>0</v>
      </c>
      <c r="N11" s="17"/>
    </row>
    <row r="12" spans="1:17">
      <c r="A12" s="26">
        <v>9</v>
      </c>
      <c r="B12" s="27">
        <v>46062</v>
      </c>
      <c r="C12" s="17"/>
      <c r="D12" s="17"/>
      <c r="E12" s="94">
        <v>0</v>
      </c>
      <c r="F12" s="94">
        <v>0</v>
      </c>
      <c r="G12" s="41">
        <f t="shared" si="3"/>
        <v>0</v>
      </c>
      <c r="H12" s="45"/>
      <c r="I12" s="45"/>
      <c r="J12" s="41">
        <f t="shared" si="1"/>
        <v>0</v>
      </c>
      <c r="K12" s="41">
        <f t="shared" si="2"/>
        <v>0</v>
      </c>
      <c r="L12" s="41"/>
      <c r="M12" s="41">
        <f>M11+K12-L12</f>
        <v>0</v>
      </c>
      <c r="N12" s="17"/>
    </row>
    <row r="13" spans="1:17">
      <c r="A13" s="26">
        <v>10</v>
      </c>
      <c r="B13" s="27">
        <v>46063</v>
      </c>
      <c r="C13" s="17"/>
      <c r="D13" s="17"/>
      <c r="E13" s="94">
        <v>0</v>
      </c>
      <c r="F13" s="94">
        <v>0</v>
      </c>
      <c r="G13" s="41">
        <f t="shared" si="3"/>
        <v>0</v>
      </c>
      <c r="H13" s="45"/>
      <c r="I13" s="45"/>
      <c r="J13" s="41">
        <f t="shared" si="1"/>
        <v>0</v>
      </c>
      <c r="K13" s="41">
        <f t="shared" si="2"/>
        <v>0</v>
      </c>
      <c r="L13" s="41"/>
      <c r="M13" s="41">
        <f t="shared" si="4"/>
        <v>0</v>
      </c>
      <c r="N13" s="17"/>
    </row>
    <row r="14" spans="1:17">
      <c r="A14" s="26">
        <v>11</v>
      </c>
      <c r="B14" s="27">
        <v>46064</v>
      </c>
      <c r="C14" s="17"/>
      <c r="D14" s="17"/>
      <c r="E14" s="94">
        <v>0</v>
      </c>
      <c r="F14" s="94">
        <v>0</v>
      </c>
      <c r="G14" s="41">
        <f t="shared" si="3"/>
        <v>0</v>
      </c>
      <c r="H14" s="45"/>
      <c r="I14" s="45"/>
      <c r="J14" s="41">
        <f t="shared" si="1"/>
        <v>0</v>
      </c>
      <c r="K14" s="41">
        <f t="shared" si="2"/>
        <v>0</v>
      </c>
      <c r="L14" s="41"/>
      <c r="M14" s="41">
        <f>M13+K14-L14</f>
        <v>0</v>
      </c>
      <c r="N14" s="17"/>
    </row>
    <row r="15" spans="1:17">
      <c r="A15" s="26">
        <v>12</v>
      </c>
      <c r="B15" s="27">
        <v>46065</v>
      </c>
      <c r="C15" s="17"/>
      <c r="D15" s="94"/>
      <c r="E15" s="94">
        <v>0</v>
      </c>
      <c r="F15" s="94">
        <v>0</v>
      </c>
      <c r="G15" s="41">
        <f t="shared" si="3"/>
        <v>0</v>
      </c>
      <c r="H15" s="45"/>
      <c r="I15" s="45"/>
      <c r="J15" s="41">
        <f t="shared" si="1"/>
        <v>0</v>
      </c>
      <c r="K15" s="41">
        <f t="shared" si="2"/>
        <v>0</v>
      </c>
      <c r="L15" s="41"/>
      <c r="M15" s="41">
        <f t="shared" si="4"/>
        <v>0</v>
      </c>
      <c r="N15" s="17"/>
    </row>
    <row r="16" spans="1:17">
      <c r="A16" s="26">
        <v>13</v>
      </c>
      <c r="B16" s="27">
        <v>46066</v>
      </c>
      <c r="C16" s="17"/>
      <c r="D16" s="17">
        <v>0</v>
      </c>
      <c r="E16" s="94"/>
      <c r="F16" s="94"/>
      <c r="G16" s="41">
        <f t="shared" ref="G5:G35" si="5">E16*F16</f>
        <v>0</v>
      </c>
      <c r="H16" s="45"/>
      <c r="I16" s="45"/>
      <c r="J16" s="41">
        <f t="shared" si="1"/>
        <v>0</v>
      </c>
      <c r="K16" s="41">
        <f t="shared" si="2"/>
        <v>0</v>
      </c>
      <c r="L16" s="41"/>
      <c r="M16" s="41">
        <f t="shared" si="4"/>
        <v>0</v>
      </c>
      <c r="N16" s="17"/>
      <c r="Q16" s="348"/>
    </row>
    <row r="17" spans="1:16">
      <c r="A17" s="26">
        <v>14</v>
      </c>
      <c r="B17" s="27">
        <v>46067</v>
      </c>
      <c r="C17" s="17"/>
      <c r="D17" s="17"/>
      <c r="E17" s="94"/>
      <c r="F17" s="94"/>
      <c r="G17" s="41">
        <f t="shared" si="5"/>
        <v>0</v>
      </c>
      <c r="H17" s="45"/>
      <c r="I17" s="45"/>
      <c r="J17" s="41">
        <f t="shared" si="1"/>
        <v>0</v>
      </c>
      <c r="K17" s="41">
        <f t="shared" si="2"/>
        <v>0</v>
      </c>
      <c r="L17" s="41"/>
      <c r="M17" s="41">
        <f t="shared" si="4"/>
        <v>0</v>
      </c>
      <c r="N17" s="17"/>
    </row>
    <row r="18" spans="1:16">
      <c r="A18" s="26">
        <v>15</v>
      </c>
      <c r="B18" s="27">
        <v>46068</v>
      </c>
      <c r="C18" s="17"/>
      <c r="D18" s="17"/>
      <c r="E18" s="94"/>
      <c r="F18" s="94"/>
      <c r="G18" s="41">
        <f t="shared" si="5"/>
        <v>0</v>
      </c>
      <c r="H18" s="45"/>
      <c r="I18" s="45"/>
      <c r="J18" s="41">
        <f t="shared" si="1"/>
        <v>0</v>
      </c>
      <c r="K18" s="41">
        <f t="shared" si="2"/>
        <v>0</v>
      </c>
      <c r="L18" s="41"/>
      <c r="M18" s="41">
        <f t="shared" si="4"/>
        <v>0</v>
      </c>
      <c r="N18" s="17"/>
    </row>
    <row r="19" spans="1:16">
      <c r="A19" s="26">
        <v>16</v>
      </c>
      <c r="B19" s="27">
        <v>46069</v>
      </c>
      <c r="C19" s="17"/>
      <c r="D19" s="17"/>
      <c r="E19" s="94"/>
      <c r="F19" s="94"/>
      <c r="G19" s="41">
        <f t="shared" si="5"/>
        <v>0</v>
      </c>
      <c r="H19" s="45"/>
      <c r="I19" s="45"/>
      <c r="J19" s="41">
        <f t="shared" si="1"/>
        <v>0</v>
      </c>
      <c r="K19" s="41">
        <f t="shared" si="2"/>
        <v>0</v>
      </c>
      <c r="L19" s="41"/>
      <c r="M19" s="41">
        <f t="shared" si="4"/>
        <v>0</v>
      </c>
      <c r="N19" s="17"/>
    </row>
    <row r="20" spans="1:16">
      <c r="A20" s="26">
        <v>17</v>
      </c>
      <c r="B20" s="27">
        <v>46070</v>
      </c>
      <c r="C20" s="17"/>
      <c r="D20" s="17"/>
      <c r="E20" s="94"/>
      <c r="F20" s="94"/>
      <c r="G20" s="41">
        <f t="shared" si="5"/>
        <v>0</v>
      </c>
      <c r="H20" s="45"/>
      <c r="I20" s="45"/>
      <c r="J20" s="41">
        <f t="shared" si="1"/>
        <v>0</v>
      </c>
      <c r="K20" s="41">
        <f t="shared" si="2"/>
        <v>0</v>
      </c>
      <c r="L20" s="41"/>
      <c r="M20" s="41">
        <f t="shared" si="4"/>
        <v>0</v>
      </c>
      <c r="N20" s="17"/>
    </row>
    <row r="21" spans="1:16">
      <c r="A21" s="26">
        <v>18</v>
      </c>
      <c r="B21" s="27">
        <v>46071</v>
      </c>
      <c r="C21" s="17"/>
      <c r="D21" s="17"/>
      <c r="E21" s="94"/>
      <c r="F21" s="94"/>
      <c r="G21" s="41">
        <f t="shared" si="5"/>
        <v>0</v>
      </c>
      <c r="H21" s="45"/>
      <c r="I21" s="45"/>
      <c r="J21" s="41">
        <f t="shared" si="1"/>
        <v>0</v>
      </c>
      <c r="K21" s="41">
        <f t="shared" si="2"/>
        <v>0</v>
      </c>
      <c r="L21" s="41"/>
      <c r="M21" s="41">
        <f t="shared" si="4"/>
        <v>0</v>
      </c>
      <c r="N21" s="17"/>
    </row>
    <row r="22" spans="1:16">
      <c r="A22" s="26">
        <v>19</v>
      </c>
      <c r="B22" s="27">
        <v>46072</v>
      </c>
      <c r="C22" s="17"/>
      <c r="D22" s="17"/>
      <c r="E22" s="94"/>
      <c r="F22" s="94"/>
      <c r="G22" s="41">
        <f t="shared" si="5"/>
        <v>0</v>
      </c>
      <c r="H22" s="45"/>
      <c r="I22" s="45"/>
      <c r="J22" s="41">
        <f t="shared" si="1"/>
        <v>0</v>
      </c>
      <c r="K22" s="41">
        <f t="shared" si="2"/>
        <v>0</v>
      </c>
      <c r="L22" s="41"/>
      <c r="M22" s="41">
        <f t="shared" si="4"/>
        <v>0</v>
      </c>
      <c r="N22" s="17"/>
    </row>
    <row r="23" spans="1:16">
      <c r="A23" s="26">
        <v>20</v>
      </c>
      <c r="B23" s="27">
        <v>46073</v>
      </c>
      <c r="C23" s="17"/>
      <c r="D23" s="17"/>
      <c r="E23" s="94"/>
      <c r="F23" s="94"/>
      <c r="G23" s="41">
        <f t="shared" si="5"/>
        <v>0</v>
      </c>
      <c r="H23" s="45"/>
      <c r="I23" s="45"/>
      <c r="J23" s="41">
        <f t="shared" si="1"/>
        <v>0</v>
      </c>
      <c r="K23" s="41">
        <f t="shared" si="2"/>
        <v>0</v>
      </c>
      <c r="L23" s="41"/>
      <c r="M23" s="41">
        <f t="shared" si="4"/>
        <v>0</v>
      </c>
      <c r="N23" s="17"/>
    </row>
    <row r="24" spans="1:16">
      <c r="A24" s="26">
        <v>21</v>
      </c>
      <c r="B24" s="27">
        <v>46074</v>
      </c>
      <c r="C24" s="17"/>
      <c r="D24" s="17"/>
      <c r="E24" s="94"/>
      <c r="F24" s="94"/>
      <c r="G24" s="41">
        <f t="shared" si="5"/>
        <v>0</v>
      </c>
      <c r="H24" s="45"/>
      <c r="I24" s="45"/>
      <c r="J24" s="41">
        <f t="shared" si="1"/>
        <v>0</v>
      </c>
      <c r="K24" s="41">
        <f t="shared" si="2"/>
        <v>0</v>
      </c>
      <c r="L24" s="41"/>
      <c r="M24" s="41">
        <f t="shared" si="4"/>
        <v>0</v>
      </c>
      <c r="N24" s="17"/>
    </row>
    <row r="25" spans="1:16">
      <c r="A25" s="26">
        <v>22</v>
      </c>
      <c r="B25" s="27">
        <v>46075</v>
      </c>
      <c r="C25" s="17"/>
      <c r="D25" s="17"/>
      <c r="E25" s="94"/>
      <c r="F25" s="94"/>
      <c r="G25" s="41">
        <f t="shared" si="5"/>
        <v>0</v>
      </c>
      <c r="H25" s="45"/>
      <c r="I25" s="45"/>
      <c r="J25" s="41">
        <f t="shared" si="1"/>
        <v>0</v>
      </c>
      <c r="K25" s="41">
        <f t="shared" si="2"/>
        <v>0</v>
      </c>
      <c r="L25" s="41"/>
      <c r="M25" s="41">
        <f t="shared" si="4"/>
        <v>0</v>
      </c>
      <c r="N25" s="17"/>
    </row>
    <row r="26" spans="1:16">
      <c r="A26" s="26">
        <v>23</v>
      </c>
      <c r="B26" s="27">
        <v>46076</v>
      </c>
      <c r="C26" s="17"/>
      <c r="D26" s="17"/>
      <c r="E26" s="94"/>
      <c r="F26" s="94"/>
      <c r="G26" s="41">
        <f t="shared" si="5"/>
        <v>0</v>
      </c>
      <c r="H26" s="45"/>
      <c r="I26" s="45"/>
      <c r="J26" s="41">
        <f t="shared" si="1"/>
        <v>0</v>
      </c>
      <c r="K26" s="41">
        <f t="shared" si="2"/>
        <v>0</v>
      </c>
      <c r="L26" s="41"/>
      <c r="M26" s="41">
        <f t="shared" si="4"/>
        <v>0</v>
      </c>
      <c r="N26" s="17"/>
    </row>
    <row r="27" spans="1:16">
      <c r="A27" s="26">
        <v>24</v>
      </c>
      <c r="B27" s="27">
        <v>46077</v>
      </c>
      <c r="C27" s="17"/>
      <c r="D27" s="17"/>
      <c r="E27" s="94"/>
      <c r="F27" s="94"/>
      <c r="G27" s="41">
        <f t="shared" si="5"/>
        <v>0</v>
      </c>
      <c r="H27" s="45"/>
      <c r="I27" s="45"/>
      <c r="J27" s="41">
        <f t="shared" si="1"/>
        <v>0</v>
      </c>
      <c r="K27" s="41">
        <f t="shared" si="2"/>
        <v>0</v>
      </c>
      <c r="L27" s="41"/>
      <c r="M27" s="41">
        <f t="shared" si="4"/>
        <v>0</v>
      </c>
      <c r="N27" s="17"/>
      <c r="P27" s="22"/>
    </row>
    <row r="28" spans="1:16">
      <c r="A28" s="26">
        <v>25</v>
      </c>
      <c r="B28" s="27">
        <v>46078</v>
      </c>
      <c r="C28" s="17"/>
      <c r="D28" s="17"/>
      <c r="E28" s="94"/>
      <c r="F28" s="94"/>
      <c r="G28" s="41">
        <f t="shared" si="5"/>
        <v>0</v>
      </c>
      <c r="H28" s="45"/>
      <c r="I28" s="45"/>
      <c r="J28" s="41">
        <f t="shared" si="1"/>
        <v>0</v>
      </c>
      <c r="K28" s="41">
        <f t="shared" si="2"/>
        <v>0</v>
      </c>
      <c r="L28" s="41"/>
      <c r="M28" s="41">
        <f t="shared" si="4"/>
        <v>0</v>
      </c>
      <c r="N28" s="17"/>
    </row>
    <row r="29" spans="1:16">
      <c r="A29" s="26">
        <v>26</v>
      </c>
      <c r="B29" s="27">
        <v>46079</v>
      </c>
      <c r="C29" s="17"/>
      <c r="D29" s="232"/>
      <c r="E29" s="94"/>
      <c r="F29" s="94"/>
      <c r="G29" s="41">
        <f t="shared" si="5"/>
        <v>0</v>
      </c>
      <c r="H29" s="45"/>
      <c r="I29" s="45"/>
      <c r="J29" s="41">
        <f t="shared" si="1"/>
        <v>0</v>
      </c>
      <c r="K29" s="41">
        <f t="shared" si="2"/>
        <v>0</v>
      </c>
      <c r="L29" s="41"/>
      <c r="M29" s="41">
        <f t="shared" si="4"/>
        <v>0</v>
      </c>
      <c r="N29" s="17"/>
    </row>
    <row r="30" spans="1:16">
      <c r="A30" s="26">
        <v>27</v>
      </c>
      <c r="B30" s="27">
        <v>46080</v>
      </c>
      <c r="C30" s="17"/>
      <c r="D30" s="17"/>
      <c r="E30" s="94"/>
      <c r="F30" s="94"/>
      <c r="G30" s="41">
        <f t="shared" si="5"/>
        <v>0</v>
      </c>
      <c r="H30" s="45"/>
      <c r="I30" s="45"/>
      <c r="J30" s="41">
        <f t="shared" si="1"/>
        <v>0</v>
      </c>
      <c r="K30" s="41">
        <f t="shared" si="2"/>
        <v>0</v>
      </c>
      <c r="L30" s="41"/>
      <c r="M30" s="41">
        <f t="shared" si="4"/>
        <v>0</v>
      </c>
      <c r="N30" s="17"/>
    </row>
    <row r="31" spans="1:16">
      <c r="A31" s="26">
        <v>28</v>
      </c>
      <c r="B31" s="27">
        <v>46081</v>
      </c>
      <c r="C31" s="17"/>
      <c r="D31" s="17"/>
      <c r="E31" s="94"/>
      <c r="F31" s="94"/>
      <c r="G31" s="41">
        <f t="shared" si="5"/>
        <v>0</v>
      </c>
      <c r="H31" s="45"/>
      <c r="I31" s="45"/>
      <c r="J31" s="41">
        <f t="shared" si="1"/>
        <v>0</v>
      </c>
      <c r="K31" s="41">
        <f t="shared" si="2"/>
        <v>0</v>
      </c>
      <c r="L31" s="41"/>
      <c r="M31" s="41">
        <f t="shared" si="4"/>
        <v>0</v>
      </c>
      <c r="N31" s="17"/>
    </row>
    <row r="32" spans="1:16">
      <c r="A32" s="26">
        <v>29</v>
      </c>
      <c r="B32" s="27">
        <v>46082</v>
      </c>
      <c r="C32" s="17"/>
      <c r="D32" s="17"/>
      <c r="E32" s="94"/>
      <c r="F32" s="94"/>
      <c r="G32" s="41">
        <f t="shared" si="5"/>
        <v>0</v>
      </c>
      <c r="H32" s="45"/>
      <c r="I32" s="45"/>
      <c r="J32" s="41">
        <f t="shared" si="1"/>
        <v>0</v>
      </c>
      <c r="K32" s="41">
        <f t="shared" si="2"/>
        <v>0</v>
      </c>
      <c r="L32" s="41"/>
      <c r="M32" s="41">
        <f t="shared" si="4"/>
        <v>0</v>
      </c>
      <c r="N32" s="17"/>
    </row>
    <row r="33" spans="1:17">
      <c r="A33" s="26">
        <v>30</v>
      </c>
      <c r="B33" s="27">
        <v>46083</v>
      </c>
      <c r="C33" s="17"/>
      <c r="D33" s="17"/>
      <c r="E33" s="94"/>
      <c r="F33" s="94"/>
      <c r="G33" s="41">
        <f t="shared" si="5"/>
        <v>0</v>
      </c>
      <c r="H33" s="45"/>
      <c r="I33" s="45"/>
      <c r="J33" s="41">
        <f t="shared" si="1"/>
        <v>0</v>
      </c>
      <c r="K33" s="41">
        <f t="shared" si="2"/>
        <v>0</v>
      </c>
      <c r="L33" s="41">
        <v>0</v>
      </c>
      <c r="M33" s="41">
        <f t="shared" si="4"/>
        <v>0</v>
      </c>
      <c r="N33" s="17"/>
    </row>
    <row r="34" spans="1:17">
      <c r="A34" s="26">
        <v>31</v>
      </c>
      <c r="B34" s="27"/>
      <c r="C34" s="17"/>
      <c r="D34" s="17"/>
      <c r="E34" s="94"/>
      <c r="F34" s="94"/>
      <c r="G34" s="41">
        <f t="shared" si="5"/>
        <v>0</v>
      </c>
      <c r="H34" s="45"/>
      <c r="I34" s="45"/>
      <c r="J34" s="41">
        <f t="shared" si="1"/>
        <v>0</v>
      </c>
      <c r="K34" s="41">
        <f t="shared" si="2"/>
        <v>0</v>
      </c>
      <c r="L34" s="41">
        <v>0</v>
      </c>
      <c r="M34" s="41">
        <f>M33+K34-L34</f>
        <v>0</v>
      </c>
      <c r="N34" s="17"/>
      <c r="Q34" s="243"/>
    </row>
    <row r="35" spans="1:17">
      <c r="A35" s="26">
        <v>32</v>
      </c>
      <c r="B35" s="27"/>
      <c r="C35" s="17"/>
      <c r="D35" s="17"/>
      <c r="E35" s="94"/>
      <c r="F35" s="94"/>
      <c r="G35" s="41">
        <f t="shared" si="5"/>
        <v>0</v>
      </c>
      <c r="H35" s="45"/>
      <c r="I35" s="45"/>
      <c r="J35" s="41">
        <f t="shared" si="1"/>
        <v>0</v>
      </c>
      <c r="K35" s="41">
        <f t="shared" si="2"/>
        <v>0</v>
      </c>
      <c r="L35" s="41">
        <v>0</v>
      </c>
      <c r="M35" s="41">
        <f t="shared" si="4"/>
        <v>0</v>
      </c>
      <c r="N35" s="17"/>
      <c r="Q35" s="243"/>
    </row>
    <row r="36" spans="1:17">
      <c r="A36" s="26">
        <v>33</v>
      </c>
      <c r="B36" s="27"/>
      <c r="C36" s="17"/>
      <c r="D36" s="17"/>
      <c r="E36" s="94"/>
      <c r="F36" s="94"/>
      <c r="G36" s="41">
        <f t="shared" ref="G5:G36" si="6">E36*F36</f>
        <v>0</v>
      </c>
      <c r="H36" s="45"/>
      <c r="I36" s="45"/>
      <c r="J36" s="41">
        <f t="shared" si="1"/>
        <v>0</v>
      </c>
      <c r="K36" s="41">
        <f t="shared" si="2"/>
        <v>0</v>
      </c>
      <c r="L36" s="41">
        <v>0</v>
      </c>
      <c r="M36" s="41">
        <f t="shared" si="4"/>
        <v>0</v>
      </c>
      <c r="N36" s="17"/>
      <c r="Q36" s="243"/>
    </row>
    <row r="37" spans="1:17">
      <c r="A37" s="43"/>
      <c r="B37" s="43"/>
      <c r="C37" s="43"/>
      <c r="D37" s="43"/>
      <c r="E37" s="43">
        <f>SUM(E4:E36)</f>
        <v>0</v>
      </c>
      <c r="F37" s="43"/>
      <c r="G37" s="43">
        <f>SUM(G4:G36)</f>
        <v>0</v>
      </c>
      <c r="H37" s="43">
        <f>SUM(H4:H36)</f>
        <v>0</v>
      </c>
      <c r="I37" s="43"/>
      <c r="J37" s="43">
        <f>SUM(J4:J36)</f>
        <v>0</v>
      </c>
      <c r="K37" s="43">
        <f>SUM(K4:K36)</f>
        <v>0</v>
      </c>
      <c r="L37" s="43">
        <f>SUM(L4:L36)</f>
        <v>0</v>
      </c>
      <c r="M37" s="43"/>
      <c r="N37" s="43"/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Q38"/>
  <sheetViews>
    <sheetView workbookViewId="0">
      <selection activeCell="S16" sqref="S16"/>
    </sheetView>
  </sheetViews>
  <sheetFormatPr defaultRowHeight="15"/>
  <cols>
    <col min="7" max="7" width="10.42578125" bestFit="1" customWidth="1"/>
    <col min="11" max="12" width="13.5703125" bestFit="1" customWidth="1"/>
    <col min="13" max="13" width="11.28515625" bestFit="1" customWidth="1"/>
  </cols>
  <sheetData>
    <row r="1" spans="1:17" ht="15.75">
      <c r="A1" s="463" t="s">
        <v>224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93"/>
      <c r="P1" s="93"/>
      <c r="Q1" s="93"/>
    </row>
    <row r="2" spans="1:17">
      <c r="A2" s="65" t="s">
        <v>101</v>
      </c>
      <c r="B2" s="65" t="s">
        <v>155</v>
      </c>
      <c r="C2" s="65" t="s">
        <v>156</v>
      </c>
      <c r="D2" s="65" t="s">
        <v>157</v>
      </c>
      <c r="E2" s="92" t="s">
        <v>158</v>
      </c>
      <c r="F2" s="92" t="s">
        <v>159</v>
      </c>
      <c r="G2" s="92" t="s">
        <v>160</v>
      </c>
      <c r="H2" s="92" t="s">
        <v>161</v>
      </c>
      <c r="I2" s="92" t="s">
        <v>159</v>
      </c>
      <c r="J2" s="92" t="s">
        <v>160</v>
      </c>
      <c r="K2" s="92" t="s">
        <v>162</v>
      </c>
      <c r="L2" s="86" t="s">
        <v>163</v>
      </c>
      <c r="M2" s="86" t="s">
        <v>164</v>
      </c>
      <c r="N2" s="65" t="s">
        <v>165</v>
      </c>
    </row>
    <row r="3" spans="1:17">
      <c r="A3" s="17"/>
      <c r="B3" s="17"/>
      <c r="C3" s="17"/>
      <c r="D3" s="17" t="s">
        <v>166</v>
      </c>
      <c r="E3" s="17"/>
      <c r="F3" s="17"/>
      <c r="G3" s="17"/>
      <c r="H3" s="17"/>
      <c r="I3" s="17"/>
      <c r="J3" s="17"/>
      <c r="K3" s="41">
        <v>0</v>
      </c>
      <c r="L3" s="17"/>
      <c r="M3" s="41">
        <v>343617.68000000005</v>
      </c>
      <c r="N3" s="17"/>
      <c r="O3" s="41">
        <v>26506.399999999994</v>
      </c>
    </row>
    <row r="4" spans="1:17">
      <c r="A4" s="26">
        <v>1</v>
      </c>
      <c r="B4" s="27">
        <v>46054</v>
      </c>
      <c r="C4" s="17"/>
      <c r="D4" s="17"/>
      <c r="E4" s="94"/>
      <c r="F4" s="94"/>
      <c r="G4" s="41"/>
      <c r="H4" s="45"/>
      <c r="I4" s="45"/>
      <c r="J4" s="41">
        <f>H4*I4</f>
        <v>0</v>
      </c>
      <c r="K4" s="41">
        <f>G4+J4</f>
        <v>0</v>
      </c>
      <c r="L4" s="41"/>
      <c r="M4" s="41">
        <f>M3+K4-L4</f>
        <v>343617.68000000005</v>
      </c>
      <c r="N4" s="17"/>
    </row>
    <row r="5" spans="1:17">
      <c r="A5" s="26">
        <v>2</v>
      </c>
      <c r="B5" s="27">
        <v>46055</v>
      </c>
      <c r="C5" s="366" t="s">
        <v>225</v>
      </c>
      <c r="D5" s="17"/>
      <c r="E5" s="415">
        <v>327.83300000000003</v>
      </c>
      <c r="F5" s="94">
        <v>91.51</v>
      </c>
      <c r="G5" s="41">
        <f t="shared" ref="G5:G37" si="0">E5*F5</f>
        <v>29999.997830000004</v>
      </c>
      <c r="H5" s="45"/>
      <c r="I5" s="45"/>
      <c r="J5" s="41">
        <f t="shared" ref="J5:J37" si="1">H5*I5</f>
        <v>0</v>
      </c>
      <c r="K5" s="41">
        <f t="shared" ref="K5:K37" si="2">G5+J5</f>
        <v>29999.997830000004</v>
      </c>
      <c r="L5" s="41">
        <v>30000</v>
      </c>
      <c r="M5" s="41">
        <f>M4+K5-L5</f>
        <v>343617.67783000006</v>
      </c>
      <c r="N5" s="17"/>
    </row>
    <row r="6" spans="1:17">
      <c r="A6" s="26">
        <v>3</v>
      </c>
      <c r="B6" s="27">
        <v>46056</v>
      </c>
      <c r="C6" s="17"/>
      <c r="D6" s="17"/>
      <c r="E6" s="415">
        <v>327.83300000000003</v>
      </c>
      <c r="F6" s="94">
        <v>91.51</v>
      </c>
      <c r="G6" s="41">
        <f t="shared" si="0"/>
        <v>29999.997830000004</v>
      </c>
      <c r="H6" s="45">
        <v>6</v>
      </c>
      <c r="I6" s="45">
        <v>103.48</v>
      </c>
      <c r="J6" s="41">
        <f t="shared" si="1"/>
        <v>620.88</v>
      </c>
      <c r="K6" s="41">
        <f t="shared" si="2"/>
        <v>30620.877830000005</v>
      </c>
      <c r="L6" s="41">
        <v>30620.880000000001</v>
      </c>
      <c r="M6" s="41">
        <f>M5+K6-L6</f>
        <v>343617.67566000007</v>
      </c>
      <c r="N6" s="17"/>
    </row>
    <row r="7" spans="1:17">
      <c r="A7" s="26">
        <v>4</v>
      </c>
      <c r="B7" s="27">
        <v>46057</v>
      </c>
      <c r="C7" s="17"/>
      <c r="D7" s="17"/>
      <c r="E7" s="94">
        <v>400</v>
      </c>
      <c r="F7" s="94">
        <v>91.54</v>
      </c>
      <c r="G7" s="41">
        <f t="shared" si="0"/>
        <v>36616</v>
      </c>
      <c r="H7" s="45">
        <v>12</v>
      </c>
      <c r="I7" s="45">
        <v>103.48</v>
      </c>
      <c r="J7" s="41">
        <f t="shared" si="1"/>
        <v>1241.76</v>
      </c>
      <c r="K7" s="41">
        <f t="shared" si="2"/>
        <v>37857.760000000002</v>
      </c>
      <c r="L7" s="41"/>
      <c r="M7" s="41">
        <f>M6+K7-L7</f>
        <v>381475.43566000008</v>
      </c>
      <c r="N7" s="17"/>
    </row>
    <row r="8" spans="1:17">
      <c r="A8" s="26">
        <v>5</v>
      </c>
      <c r="B8" s="27">
        <v>46058</v>
      </c>
      <c r="C8" s="17"/>
      <c r="D8" s="17"/>
      <c r="E8" s="94">
        <v>600</v>
      </c>
      <c r="F8" s="94">
        <v>91.54</v>
      </c>
      <c r="G8" s="41">
        <f t="shared" si="0"/>
        <v>54924.000000000007</v>
      </c>
      <c r="H8" s="45">
        <v>20</v>
      </c>
      <c r="I8" s="45">
        <v>103.48</v>
      </c>
      <c r="J8" s="41">
        <f t="shared" si="1"/>
        <v>2069.6</v>
      </c>
      <c r="K8" s="41">
        <f t="shared" si="2"/>
        <v>56993.600000000006</v>
      </c>
      <c r="L8" s="41">
        <v>343617.28000000003</v>
      </c>
      <c r="M8" s="41">
        <f>M7+K8-L8</f>
        <v>94851.755660000024</v>
      </c>
      <c r="N8" s="17"/>
    </row>
    <row r="9" spans="1:17">
      <c r="A9" s="26">
        <v>6</v>
      </c>
      <c r="B9" s="27">
        <v>46059</v>
      </c>
      <c r="C9" s="17"/>
      <c r="D9" s="17"/>
      <c r="E9" s="94">
        <v>950</v>
      </c>
      <c r="F9" s="94">
        <v>91.54</v>
      </c>
      <c r="G9" s="41">
        <f t="shared" si="0"/>
        <v>86963</v>
      </c>
      <c r="H9" s="45">
        <v>20</v>
      </c>
      <c r="I9" s="45">
        <v>103.48</v>
      </c>
      <c r="J9" s="41">
        <f t="shared" si="1"/>
        <v>2069.6</v>
      </c>
      <c r="K9" s="41">
        <f t="shared" si="2"/>
        <v>89032.6</v>
      </c>
      <c r="L9" s="41"/>
      <c r="M9" s="41">
        <f t="shared" ref="M9:M37" si="3">M8+K9-L9</f>
        <v>183884.35566000003</v>
      </c>
      <c r="N9" s="17"/>
    </row>
    <row r="10" spans="1:17">
      <c r="A10" s="26">
        <v>7</v>
      </c>
      <c r="B10" s="27">
        <v>46060</v>
      </c>
      <c r="C10" s="17"/>
      <c r="D10" s="17"/>
      <c r="E10" s="94">
        <v>800</v>
      </c>
      <c r="F10" s="94">
        <v>91.54</v>
      </c>
      <c r="G10" s="41">
        <f t="shared" si="0"/>
        <v>73232</v>
      </c>
      <c r="H10" s="45">
        <v>5</v>
      </c>
      <c r="I10" s="45">
        <v>103.48</v>
      </c>
      <c r="J10" s="41">
        <f t="shared" si="1"/>
        <v>517.4</v>
      </c>
      <c r="K10" s="41">
        <f t="shared" si="2"/>
        <v>73749.399999999994</v>
      </c>
      <c r="L10" s="41"/>
      <c r="M10" s="41">
        <f t="shared" si="3"/>
        <v>257633.75566000002</v>
      </c>
      <c r="N10" s="17"/>
    </row>
    <row r="11" spans="1:17">
      <c r="A11" s="26">
        <v>8</v>
      </c>
      <c r="B11" s="27">
        <v>46061</v>
      </c>
      <c r="C11" s="17"/>
      <c r="D11" s="17"/>
      <c r="E11" s="94"/>
      <c r="F11" s="94"/>
      <c r="G11" s="41">
        <f t="shared" si="0"/>
        <v>0</v>
      </c>
      <c r="H11" s="45"/>
      <c r="I11" s="45"/>
      <c r="J11" s="41">
        <f t="shared" si="1"/>
        <v>0</v>
      </c>
      <c r="K11" s="41">
        <f t="shared" si="2"/>
        <v>0</v>
      </c>
      <c r="L11" s="41"/>
      <c r="M11" s="41">
        <f t="shared" si="3"/>
        <v>257633.75566000002</v>
      </c>
      <c r="N11" s="17"/>
    </row>
    <row r="12" spans="1:17">
      <c r="A12" s="26">
        <v>9</v>
      </c>
      <c r="B12" s="27">
        <v>46062</v>
      </c>
      <c r="C12" s="17"/>
      <c r="D12" s="17"/>
      <c r="E12" s="94">
        <v>400</v>
      </c>
      <c r="F12" s="94">
        <v>91.54</v>
      </c>
      <c r="G12" s="41">
        <f t="shared" si="0"/>
        <v>36616</v>
      </c>
      <c r="H12" s="45">
        <v>20</v>
      </c>
      <c r="I12" s="45">
        <v>103.48</v>
      </c>
      <c r="J12" s="41">
        <f t="shared" si="1"/>
        <v>2069.6</v>
      </c>
      <c r="K12" s="41">
        <f t="shared" si="2"/>
        <v>38685.599999999999</v>
      </c>
      <c r="L12" s="41"/>
      <c r="M12" s="41">
        <f>M11+K12-L12</f>
        <v>296319.35566</v>
      </c>
      <c r="N12" s="17"/>
    </row>
    <row r="13" spans="1:17">
      <c r="A13" s="26">
        <v>10</v>
      </c>
      <c r="B13" s="27">
        <v>46063</v>
      </c>
      <c r="C13" s="17"/>
      <c r="D13" s="17"/>
      <c r="E13" s="94">
        <v>800</v>
      </c>
      <c r="F13" s="94">
        <v>91.54</v>
      </c>
      <c r="G13" s="41">
        <f t="shared" si="0"/>
        <v>73232</v>
      </c>
      <c r="H13" s="45">
        <v>20</v>
      </c>
      <c r="I13" s="45">
        <v>103.48</v>
      </c>
      <c r="J13" s="41">
        <f t="shared" si="1"/>
        <v>2069.6</v>
      </c>
      <c r="K13" s="41">
        <f t="shared" si="2"/>
        <v>75301.600000000006</v>
      </c>
      <c r="L13" s="41"/>
      <c r="M13" s="41">
        <f t="shared" si="3"/>
        <v>371620.95565999998</v>
      </c>
      <c r="N13" s="17"/>
    </row>
    <row r="14" spans="1:17">
      <c r="A14" s="26">
        <v>11</v>
      </c>
      <c r="B14" s="27">
        <v>46064</v>
      </c>
      <c r="C14" s="17"/>
      <c r="D14" s="17"/>
      <c r="E14" s="94"/>
      <c r="F14" s="94"/>
      <c r="G14" s="41">
        <f t="shared" si="0"/>
        <v>0</v>
      </c>
      <c r="H14" s="45"/>
      <c r="I14" s="45"/>
      <c r="J14" s="41">
        <f t="shared" si="1"/>
        <v>0</v>
      </c>
      <c r="K14" s="41">
        <f t="shared" si="2"/>
        <v>0</v>
      </c>
      <c r="L14" s="41"/>
      <c r="M14" s="41">
        <f>M13+K14-L14</f>
        <v>371620.95565999998</v>
      </c>
      <c r="N14" s="17"/>
    </row>
    <row r="15" spans="1:17">
      <c r="A15" s="26">
        <v>12</v>
      </c>
      <c r="B15" s="27">
        <v>46065</v>
      </c>
      <c r="C15" s="17"/>
      <c r="D15" s="94"/>
      <c r="E15" s="94">
        <v>800</v>
      </c>
      <c r="F15" s="94">
        <v>91.54</v>
      </c>
      <c r="G15" s="41">
        <f t="shared" si="0"/>
        <v>73232</v>
      </c>
      <c r="H15" s="45">
        <v>20</v>
      </c>
      <c r="I15" s="45">
        <v>103.48</v>
      </c>
      <c r="J15" s="41">
        <f t="shared" si="1"/>
        <v>2069.6</v>
      </c>
      <c r="K15" s="41">
        <f t="shared" si="2"/>
        <v>75301.600000000006</v>
      </c>
      <c r="L15" s="41"/>
      <c r="M15" s="41">
        <f t="shared" si="3"/>
        <v>446922.55565999995</v>
      </c>
      <c r="N15" s="17"/>
    </row>
    <row r="16" spans="1:17">
      <c r="A16" s="26">
        <v>13</v>
      </c>
      <c r="B16" s="27">
        <v>46066</v>
      </c>
      <c r="C16" s="17"/>
      <c r="D16" s="17">
        <v>0</v>
      </c>
      <c r="E16" s="94">
        <v>800</v>
      </c>
      <c r="F16" s="94">
        <v>91.54</v>
      </c>
      <c r="G16" s="41">
        <f t="shared" si="0"/>
        <v>73232</v>
      </c>
      <c r="H16" s="45"/>
      <c r="I16" s="45"/>
      <c r="J16" s="41">
        <f t="shared" si="1"/>
        <v>0</v>
      </c>
      <c r="K16" s="41">
        <f t="shared" si="2"/>
        <v>73232</v>
      </c>
      <c r="L16" s="41"/>
      <c r="M16" s="41">
        <f t="shared" si="3"/>
        <v>520154.55565999995</v>
      </c>
      <c r="N16" s="17"/>
      <c r="Q16" s="348"/>
    </row>
    <row r="17" spans="1:16">
      <c r="A17" s="26">
        <v>14</v>
      </c>
      <c r="B17" s="27">
        <v>46067</v>
      </c>
      <c r="C17" s="17"/>
      <c r="D17" s="17"/>
      <c r="E17" s="94">
        <v>400</v>
      </c>
      <c r="F17" s="94">
        <v>91.54</v>
      </c>
      <c r="G17" s="41">
        <f t="shared" si="0"/>
        <v>36616</v>
      </c>
      <c r="H17" s="45"/>
      <c r="I17" s="45"/>
      <c r="J17" s="41">
        <f t="shared" si="1"/>
        <v>0</v>
      </c>
      <c r="K17" s="41">
        <f t="shared" si="2"/>
        <v>36616</v>
      </c>
      <c r="L17" s="41"/>
      <c r="M17" s="41">
        <f t="shared" si="3"/>
        <v>556770.55565999995</v>
      </c>
      <c r="N17" s="17"/>
    </row>
    <row r="18" spans="1:16">
      <c r="A18" s="26">
        <v>15</v>
      </c>
      <c r="B18" s="27">
        <v>46068</v>
      </c>
      <c r="C18" s="17"/>
      <c r="D18" s="17"/>
      <c r="E18" s="94"/>
      <c r="F18" s="94"/>
      <c r="G18" s="41">
        <f t="shared" si="0"/>
        <v>0</v>
      </c>
      <c r="H18" s="45"/>
      <c r="I18" s="45"/>
      <c r="J18" s="41">
        <f t="shared" si="1"/>
        <v>0</v>
      </c>
      <c r="K18" s="41">
        <f t="shared" si="2"/>
        <v>0</v>
      </c>
      <c r="L18" s="41"/>
      <c r="M18" s="41">
        <f t="shared" si="3"/>
        <v>556770.55565999995</v>
      </c>
      <c r="N18" s="17"/>
    </row>
    <row r="19" spans="1:16">
      <c r="A19" s="26">
        <v>16</v>
      </c>
      <c r="B19" s="27">
        <v>46069</v>
      </c>
      <c r="C19" s="17"/>
      <c r="D19" s="17"/>
      <c r="E19" s="94">
        <v>1330</v>
      </c>
      <c r="F19" s="94">
        <v>91.54</v>
      </c>
      <c r="G19" s="41">
        <f t="shared" si="0"/>
        <v>121748.20000000001</v>
      </c>
      <c r="H19" s="45"/>
      <c r="I19" s="45"/>
      <c r="J19" s="41">
        <f t="shared" si="1"/>
        <v>0</v>
      </c>
      <c r="K19" s="41">
        <f t="shared" si="2"/>
        <v>121748.20000000001</v>
      </c>
      <c r="L19" s="41"/>
      <c r="M19" s="41">
        <f t="shared" si="3"/>
        <v>678518.75566000002</v>
      </c>
      <c r="N19" s="17"/>
    </row>
    <row r="20" spans="1:16">
      <c r="A20" s="26">
        <v>17</v>
      </c>
      <c r="B20" s="27">
        <v>46070</v>
      </c>
      <c r="C20" s="17"/>
      <c r="D20" s="17"/>
      <c r="E20" s="94">
        <v>837.01</v>
      </c>
      <c r="F20" s="94">
        <v>91.54</v>
      </c>
      <c r="G20" s="41">
        <f t="shared" si="0"/>
        <v>76619.895400000009</v>
      </c>
      <c r="H20" s="45">
        <v>26</v>
      </c>
      <c r="I20" s="45">
        <v>103.48</v>
      </c>
      <c r="J20" s="41">
        <f t="shared" si="1"/>
        <v>2690.48</v>
      </c>
      <c r="K20" s="41">
        <f t="shared" si="2"/>
        <v>79310.375400000004</v>
      </c>
      <c r="L20" s="41"/>
      <c r="M20" s="41">
        <f t="shared" si="3"/>
        <v>757829.13106000004</v>
      </c>
      <c r="N20" s="17"/>
    </row>
    <row r="21" spans="1:16">
      <c r="A21" s="26">
        <v>18</v>
      </c>
      <c r="B21" s="27">
        <v>46071</v>
      </c>
      <c r="C21" s="17"/>
      <c r="D21" s="17"/>
      <c r="E21" s="94"/>
      <c r="F21" s="94"/>
      <c r="G21" s="41">
        <f t="shared" si="0"/>
        <v>0</v>
      </c>
      <c r="H21" s="45">
        <v>5</v>
      </c>
      <c r="I21" s="45">
        <v>103.48</v>
      </c>
      <c r="J21" s="41">
        <f t="shared" si="1"/>
        <v>517.4</v>
      </c>
      <c r="K21" s="41">
        <f t="shared" si="2"/>
        <v>517.4</v>
      </c>
      <c r="L21" s="41"/>
      <c r="M21" s="41">
        <f t="shared" si="3"/>
        <v>758346.53106000007</v>
      </c>
      <c r="N21" s="17"/>
    </row>
    <row r="22" spans="1:16">
      <c r="A22" s="26">
        <v>19</v>
      </c>
      <c r="B22" s="27">
        <v>46072</v>
      </c>
      <c r="C22" s="17"/>
      <c r="D22" s="17"/>
      <c r="E22" s="94">
        <v>1700</v>
      </c>
      <c r="F22" s="94">
        <v>91.54</v>
      </c>
      <c r="G22" s="41">
        <f t="shared" si="0"/>
        <v>155618</v>
      </c>
      <c r="H22" s="45">
        <v>20</v>
      </c>
      <c r="I22" s="45">
        <v>103.48</v>
      </c>
      <c r="J22" s="41">
        <f t="shared" si="1"/>
        <v>2069.6</v>
      </c>
      <c r="K22" s="41">
        <f t="shared" si="2"/>
        <v>157687.6</v>
      </c>
      <c r="L22" s="41"/>
      <c r="M22" s="41">
        <f t="shared" si="3"/>
        <v>916034.13106000004</v>
      </c>
      <c r="N22" s="17"/>
    </row>
    <row r="23" spans="1:16">
      <c r="A23" s="26">
        <v>20</v>
      </c>
      <c r="B23" s="27">
        <v>46073</v>
      </c>
      <c r="C23" s="17"/>
      <c r="D23" s="17"/>
      <c r="E23" s="94">
        <v>500</v>
      </c>
      <c r="F23" s="94">
        <v>91.54</v>
      </c>
      <c r="G23" s="41">
        <f t="shared" si="0"/>
        <v>45770</v>
      </c>
      <c r="H23" s="45"/>
      <c r="I23" s="45"/>
      <c r="J23" s="41">
        <f t="shared" si="1"/>
        <v>0</v>
      </c>
      <c r="K23" s="41">
        <f t="shared" si="2"/>
        <v>45770</v>
      </c>
      <c r="L23" s="41">
        <v>500000</v>
      </c>
      <c r="M23" s="41">
        <f t="shared" si="3"/>
        <v>461804.13106000004</v>
      </c>
      <c r="N23" s="17"/>
    </row>
    <row r="24" spans="1:16">
      <c r="A24" s="26">
        <v>21</v>
      </c>
      <c r="B24" s="27">
        <v>46074</v>
      </c>
      <c r="C24" s="17"/>
      <c r="D24" s="17"/>
      <c r="E24" s="94">
        <v>1600</v>
      </c>
      <c r="F24" s="94">
        <v>91.54</v>
      </c>
      <c r="G24" s="41">
        <f t="shared" si="0"/>
        <v>146464</v>
      </c>
      <c r="H24" s="45">
        <v>6</v>
      </c>
      <c r="I24" s="45">
        <v>103.48</v>
      </c>
      <c r="J24" s="41">
        <f t="shared" si="1"/>
        <v>620.88</v>
      </c>
      <c r="K24" s="41">
        <f t="shared" si="2"/>
        <v>147084.88</v>
      </c>
      <c r="L24" s="41"/>
      <c r="M24" s="41">
        <f t="shared" si="3"/>
        <v>608889.01106000005</v>
      </c>
      <c r="N24" s="17"/>
    </row>
    <row r="25" spans="1:16">
      <c r="A25" s="26">
        <v>22</v>
      </c>
      <c r="B25" s="27">
        <v>46075</v>
      </c>
      <c r="C25" s="17"/>
      <c r="D25" s="17"/>
      <c r="E25" s="94">
        <v>700</v>
      </c>
      <c r="F25" s="94">
        <v>91.54</v>
      </c>
      <c r="G25" s="41">
        <f t="shared" si="0"/>
        <v>64078.000000000007</v>
      </c>
      <c r="H25" s="45"/>
      <c r="I25" s="45"/>
      <c r="J25" s="41">
        <f t="shared" si="1"/>
        <v>0</v>
      </c>
      <c r="K25" s="41">
        <f t="shared" si="2"/>
        <v>64078.000000000007</v>
      </c>
      <c r="L25" s="41"/>
      <c r="M25" s="41">
        <f t="shared" si="3"/>
        <v>672967.01106000005</v>
      </c>
      <c r="N25" s="17"/>
    </row>
    <row r="26" spans="1:16">
      <c r="A26" s="26">
        <v>23</v>
      </c>
      <c r="B26" s="27">
        <v>46076</v>
      </c>
      <c r="C26" s="17"/>
      <c r="D26" s="17"/>
      <c r="E26" s="94">
        <v>800</v>
      </c>
      <c r="F26" s="94">
        <v>91.54</v>
      </c>
      <c r="G26" s="41">
        <f t="shared" si="0"/>
        <v>73232</v>
      </c>
      <c r="H26" s="45">
        <v>30</v>
      </c>
      <c r="I26" s="45">
        <v>103.48</v>
      </c>
      <c r="J26" s="41">
        <f t="shared" si="1"/>
        <v>3104.4</v>
      </c>
      <c r="K26" s="41">
        <f t="shared" si="2"/>
        <v>76336.399999999994</v>
      </c>
      <c r="L26" s="41"/>
      <c r="M26" s="41">
        <f t="shared" si="3"/>
        <v>749303.41106000007</v>
      </c>
      <c r="N26" s="17"/>
    </row>
    <row r="27" spans="1:16">
      <c r="A27" s="26">
        <v>24</v>
      </c>
      <c r="B27" s="27">
        <v>46077</v>
      </c>
      <c r="C27" s="17"/>
      <c r="D27" s="17"/>
      <c r="E27" s="94">
        <v>1100</v>
      </c>
      <c r="F27" s="94">
        <v>91.54</v>
      </c>
      <c r="G27" s="41">
        <f t="shared" si="0"/>
        <v>100694</v>
      </c>
      <c r="H27" s="45">
        <v>6</v>
      </c>
      <c r="I27" s="45">
        <v>103.48</v>
      </c>
      <c r="J27" s="41">
        <f t="shared" si="1"/>
        <v>620.88</v>
      </c>
      <c r="K27" s="41">
        <f t="shared" si="2"/>
        <v>101314.88</v>
      </c>
      <c r="L27" s="41"/>
      <c r="M27" s="41">
        <f t="shared" si="3"/>
        <v>850618.29106000008</v>
      </c>
      <c r="N27" s="17"/>
      <c r="P27" s="22"/>
    </row>
    <row r="28" spans="1:16">
      <c r="A28" s="26">
        <v>25</v>
      </c>
      <c r="B28" s="27">
        <v>46078</v>
      </c>
      <c r="C28" s="17"/>
      <c r="D28" s="17"/>
      <c r="E28" s="94">
        <v>500</v>
      </c>
      <c r="F28" s="94">
        <v>91.54</v>
      </c>
      <c r="G28" s="41">
        <f t="shared" si="0"/>
        <v>45770</v>
      </c>
      <c r="H28" s="45"/>
      <c r="I28" s="45"/>
      <c r="J28" s="41">
        <f t="shared" si="1"/>
        <v>0</v>
      </c>
      <c r="K28" s="41">
        <f t="shared" si="2"/>
        <v>45770</v>
      </c>
      <c r="L28" s="41"/>
      <c r="M28" s="41">
        <f t="shared" si="3"/>
        <v>896388.29106000008</v>
      </c>
      <c r="N28" s="17"/>
    </row>
    <row r="29" spans="1:16">
      <c r="A29" s="26">
        <v>26</v>
      </c>
      <c r="B29" s="27">
        <v>46079</v>
      </c>
      <c r="C29" s="17"/>
      <c r="D29" s="232"/>
      <c r="E29" s="94">
        <v>800</v>
      </c>
      <c r="F29" s="94">
        <v>91.54</v>
      </c>
      <c r="G29" s="41">
        <f t="shared" si="0"/>
        <v>73232</v>
      </c>
      <c r="H29" s="45">
        <v>20</v>
      </c>
      <c r="I29" s="45">
        <v>111.24</v>
      </c>
      <c r="J29" s="41">
        <f t="shared" si="1"/>
        <v>2224.7999999999997</v>
      </c>
      <c r="K29" s="41">
        <f t="shared" si="2"/>
        <v>75456.800000000003</v>
      </c>
      <c r="L29" s="41">
        <v>300000</v>
      </c>
      <c r="M29" s="41">
        <f t="shared" si="3"/>
        <v>671845.09106000012</v>
      </c>
      <c r="N29" s="17"/>
    </row>
    <row r="30" spans="1:16">
      <c r="A30" s="26"/>
      <c r="B30" s="27">
        <v>46079</v>
      </c>
      <c r="C30" s="17"/>
      <c r="D30" s="232"/>
      <c r="E30" s="94"/>
      <c r="F30" s="94"/>
      <c r="G30" s="41">
        <f t="shared" si="0"/>
        <v>0</v>
      </c>
      <c r="H30" s="45">
        <v>5</v>
      </c>
      <c r="I30" s="45">
        <v>103.48</v>
      </c>
      <c r="J30" s="41">
        <f t="shared" si="1"/>
        <v>517.4</v>
      </c>
      <c r="K30" s="41">
        <f t="shared" si="2"/>
        <v>517.4</v>
      </c>
      <c r="L30" s="41"/>
      <c r="M30" s="41">
        <f t="shared" si="3"/>
        <v>672362.49106000015</v>
      </c>
      <c r="N30" s="17"/>
    </row>
    <row r="31" spans="1:16">
      <c r="A31" s="26">
        <v>27</v>
      </c>
      <c r="B31" s="27">
        <v>46080</v>
      </c>
      <c r="C31" s="17"/>
      <c r="D31" s="17"/>
      <c r="E31" s="94">
        <v>100</v>
      </c>
      <c r="F31" s="94">
        <v>91.54</v>
      </c>
      <c r="G31" s="41">
        <f t="shared" si="0"/>
        <v>9154</v>
      </c>
      <c r="H31" s="45"/>
      <c r="I31" s="45"/>
      <c r="J31" s="41">
        <f t="shared" si="1"/>
        <v>0</v>
      </c>
      <c r="K31" s="41">
        <f t="shared" si="2"/>
        <v>9154</v>
      </c>
      <c r="L31" s="41"/>
      <c r="M31" s="41">
        <f t="shared" si="3"/>
        <v>681516.49106000015</v>
      </c>
      <c r="N31" s="17"/>
    </row>
    <row r="32" spans="1:16">
      <c r="A32" s="26">
        <v>28</v>
      </c>
      <c r="B32" s="27">
        <v>46081</v>
      </c>
      <c r="C32" s="17"/>
      <c r="D32" s="17"/>
      <c r="E32" s="94">
        <v>600</v>
      </c>
      <c r="F32" s="94">
        <v>91.54</v>
      </c>
      <c r="G32" s="41">
        <f t="shared" si="0"/>
        <v>54924.000000000007</v>
      </c>
      <c r="H32" s="45">
        <v>20</v>
      </c>
      <c r="I32" s="45">
        <v>103.48</v>
      </c>
      <c r="J32" s="41">
        <f t="shared" si="1"/>
        <v>2069.6</v>
      </c>
      <c r="K32" s="41">
        <f t="shared" si="2"/>
        <v>56993.600000000006</v>
      </c>
      <c r="L32" s="41"/>
      <c r="M32" s="41">
        <f t="shared" si="3"/>
        <v>738510.09106000012</v>
      </c>
      <c r="N32" s="17"/>
    </row>
    <row r="33" spans="1:17">
      <c r="A33" s="26">
        <v>29</v>
      </c>
      <c r="B33" s="27"/>
      <c r="C33" s="17"/>
      <c r="D33" s="17"/>
      <c r="E33" s="94"/>
      <c r="F33" s="94"/>
      <c r="G33" s="41">
        <f t="shared" si="0"/>
        <v>0</v>
      </c>
      <c r="H33" s="45"/>
      <c r="I33" s="45"/>
      <c r="J33" s="41">
        <f t="shared" si="1"/>
        <v>0</v>
      </c>
      <c r="K33" s="41">
        <f t="shared" si="2"/>
        <v>0</v>
      </c>
      <c r="L33" s="41"/>
      <c r="M33" s="41">
        <f t="shared" si="3"/>
        <v>738510.09106000012</v>
      </c>
      <c r="N33" s="17"/>
    </row>
    <row r="34" spans="1:17">
      <c r="A34" s="26">
        <v>30</v>
      </c>
      <c r="B34" s="27"/>
      <c r="C34" s="17"/>
      <c r="D34" s="17"/>
      <c r="E34" s="94"/>
      <c r="F34" s="94"/>
      <c r="G34" s="41">
        <f t="shared" si="0"/>
        <v>0</v>
      </c>
      <c r="H34" s="45"/>
      <c r="I34" s="45"/>
      <c r="J34" s="41">
        <f t="shared" si="1"/>
        <v>0</v>
      </c>
      <c r="K34" s="41">
        <f t="shared" si="2"/>
        <v>0</v>
      </c>
      <c r="L34" s="41">
        <v>0</v>
      </c>
      <c r="M34" s="41">
        <f t="shared" si="3"/>
        <v>738510.09106000012</v>
      </c>
      <c r="N34" s="17"/>
    </row>
    <row r="35" spans="1:17">
      <c r="A35" s="26">
        <v>31</v>
      </c>
      <c r="B35" s="27"/>
      <c r="C35" s="17"/>
      <c r="D35" s="17"/>
      <c r="E35" s="94"/>
      <c r="F35" s="94"/>
      <c r="G35" s="41">
        <f t="shared" si="0"/>
        <v>0</v>
      </c>
      <c r="H35" s="45"/>
      <c r="I35" s="45"/>
      <c r="J35" s="41">
        <f t="shared" si="1"/>
        <v>0</v>
      </c>
      <c r="K35" s="41">
        <f t="shared" si="2"/>
        <v>0</v>
      </c>
      <c r="L35" s="41">
        <v>0</v>
      </c>
      <c r="M35" s="41">
        <f t="shared" si="3"/>
        <v>738510.09106000012</v>
      </c>
      <c r="N35" s="17"/>
      <c r="Q35" s="243"/>
    </row>
    <row r="36" spans="1:17">
      <c r="A36" s="26">
        <v>32</v>
      </c>
      <c r="B36" s="27"/>
      <c r="C36" s="17"/>
      <c r="D36" s="17"/>
      <c r="E36" s="94"/>
      <c r="F36" s="94"/>
      <c r="G36" s="41">
        <f t="shared" si="0"/>
        <v>0</v>
      </c>
      <c r="H36" s="45"/>
      <c r="I36" s="45"/>
      <c r="J36" s="41">
        <f t="shared" si="1"/>
        <v>0</v>
      </c>
      <c r="K36" s="41">
        <f t="shared" si="2"/>
        <v>0</v>
      </c>
      <c r="L36" s="41">
        <v>0</v>
      </c>
      <c r="M36" s="41">
        <f t="shared" si="3"/>
        <v>738510.09106000012</v>
      </c>
      <c r="N36" s="17"/>
      <c r="Q36" s="243"/>
    </row>
    <row r="37" spans="1:17">
      <c r="A37" s="26">
        <v>33</v>
      </c>
      <c r="B37" s="27"/>
      <c r="C37" s="17"/>
      <c r="D37" s="17"/>
      <c r="E37" s="94"/>
      <c r="F37" s="94"/>
      <c r="G37" s="41">
        <f t="shared" si="0"/>
        <v>0</v>
      </c>
      <c r="H37" s="45"/>
      <c r="I37" s="45"/>
      <c r="J37" s="41">
        <f t="shared" si="1"/>
        <v>0</v>
      </c>
      <c r="K37" s="41">
        <f t="shared" si="2"/>
        <v>0</v>
      </c>
      <c r="L37" s="41">
        <v>0</v>
      </c>
      <c r="M37" s="41">
        <f t="shared" si="3"/>
        <v>738510.09106000012</v>
      </c>
      <c r="N37" s="17"/>
      <c r="Q37" s="243"/>
    </row>
    <row r="38" spans="1:17">
      <c r="A38" s="43"/>
      <c r="B38" s="43"/>
      <c r="C38" s="43"/>
      <c r="D38" s="43"/>
      <c r="E38" s="43">
        <f>SUM(E4:E37)</f>
        <v>17172.675999999999</v>
      </c>
      <c r="F38" s="43"/>
      <c r="G38" s="43">
        <f>SUM(G4:G37)</f>
        <v>1571967.09106</v>
      </c>
      <c r="H38" s="43">
        <f>SUM(H4:H37)</f>
        <v>261</v>
      </c>
      <c r="I38" s="43"/>
      <c r="J38" s="43">
        <f>SUM(J4:J37)</f>
        <v>27163.480000000003</v>
      </c>
      <c r="K38" s="43">
        <f>SUM(K4:K37)</f>
        <v>1599130.5710599998</v>
      </c>
      <c r="L38" s="43">
        <f>SUM(L4:L37)</f>
        <v>1204238.1600000001</v>
      </c>
      <c r="M38" s="43"/>
      <c r="N38" s="43"/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19" activePane="bottomLeft" state="frozen"/>
      <selection pane="bottomLeft" activeCell="M32" sqref="M32"/>
    </sheetView>
  </sheetViews>
  <sheetFormatPr defaultRowHeight="15"/>
  <cols>
    <col min="1" max="1" width="5.140625" style="78" bestFit="1" customWidth="1"/>
    <col min="2" max="2" width="10.85546875" style="78" bestFit="1" customWidth="1"/>
    <col min="3" max="3" width="16" style="78" bestFit="1" customWidth="1"/>
    <col min="4" max="4" width="13.28515625" style="78" bestFit="1" customWidth="1"/>
    <col min="5" max="6" width="10.7109375" style="78" bestFit="1" customWidth="1"/>
    <col min="7" max="7" width="11.5703125" style="78" bestFit="1" customWidth="1"/>
    <col min="8" max="8" width="10.7109375" style="78" bestFit="1" customWidth="1"/>
    <col min="9" max="9" width="7.140625" style="78" bestFit="1" customWidth="1"/>
    <col min="10" max="10" width="9.7109375" style="78" bestFit="1" customWidth="1"/>
    <col min="11" max="11" width="13.5703125" style="78" bestFit="1" customWidth="1"/>
    <col min="12" max="12" width="13.5703125" style="254" bestFit="1" customWidth="1"/>
    <col min="13" max="13" width="15" style="78" customWidth="1"/>
    <col min="14" max="14" width="14.28515625" style="78" bestFit="1" customWidth="1"/>
    <col min="15" max="16384" width="9.140625" style="78"/>
  </cols>
  <sheetData>
    <row r="1" spans="1:15" ht="15.75">
      <c r="A1" s="436" t="s">
        <v>54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4"/>
    </row>
    <row r="2" spans="1:15" ht="30">
      <c r="A2" s="99" t="s">
        <v>101</v>
      </c>
      <c r="B2" s="100" t="s">
        <v>155</v>
      </c>
      <c r="C2" s="100" t="s">
        <v>156</v>
      </c>
      <c r="D2" s="100" t="s">
        <v>173</v>
      </c>
      <c r="E2" s="100" t="s">
        <v>158</v>
      </c>
      <c r="F2" s="100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229" t="s">
        <v>163</v>
      </c>
      <c r="M2" s="144" t="s">
        <v>174</v>
      </c>
      <c r="N2" s="102" t="s">
        <v>165</v>
      </c>
      <c r="O2" s="60"/>
    </row>
    <row r="3" spans="1:15">
      <c r="A3" s="465" t="s">
        <v>166</v>
      </c>
      <c r="B3" s="466"/>
      <c r="C3" s="466"/>
      <c r="D3" s="466"/>
      <c r="E3" s="466"/>
      <c r="F3" s="466"/>
      <c r="G3" s="466"/>
      <c r="H3" s="466"/>
      <c r="I3" s="466"/>
      <c r="J3" s="467"/>
      <c r="K3" s="211">
        <v>115310.9831</v>
      </c>
      <c r="L3" s="211"/>
      <c r="M3" s="211">
        <v>115310.9831</v>
      </c>
      <c r="N3" s="158"/>
      <c r="O3" s="8"/>
    </row>
    <row r="4" spans="1:15">
      <c r="A4" s="26">
        <v>1</v>
      </c>
      <c r="B4" s="27">
        <v>46054</v>
      </c>
      <c r="C4" s="25"/>
      <c r="D4" s="18"/>
      <c r="E4" s="48">
        <v>116.79</v>
      </c>
      <c r="F4" s="48">
        <v>91.77</v>
      </c>
      <c r="G4" s="8">
        <f>E4*F4</f>
        <v>10717.818300000001</v>
      </c>
      <c r="H4" s="48">
        <v>6</v>
      </c>
      <c r="I4" s="48">
        <v>103.73</v>
      </c>
      <c r="J4" s="8">
        <f>H4*I4</f>
        <v>622.38</v>
      </c>
      <c r="K4" s="8">
        <f>G4+J4</f>
        <v>11340.1983</v>
      </c>
      <c r="L4" s="252"/>
      <c r="M4" s="8">
        <f>M3+K4-L4</f>
        <v>126651.1814</v>
      </c>
      <c r="N4" s="8"/>
      <c r="O4" s="60"/>
    </row>
    <row r="5" spans="1:15">
      <c r="A5" s="26">
        <v>2</v>
      </c>
      <c r="B5" s="27">
        <v>46055</v>
      </c>
      <c r="C5" s="25"/>
      <c r="D5" s="18"/>
      <c r="E5" s="48"/>
      <c r="F5" s="48"/>
      <c r="G5" s="8">
        <f t="shared" ref="G5:G34" si="0">E5*F5</f>
        <v>0</v>
      </c>
      <c r="H5" s="48">
        <v>11</v>
      </c>
      <c r="I5" s="48">
        <v>103.73</v>
      </c>
      <c r="J5" s="8">
        <f t="shared" ref="J5:J34" si="1">H5*I5</f>
        <v>1141.03</v>
      </c>
      <c r="K5" s="8">
        <f t="shared" ref="K5:K34" si="2">G5+J5</f>
        <v>1141.03</v>
      </c>
      <c r="L5" s="252">
        <v>126000</v>
      </c>
      <c r="M5" s="8">
        <f t="shared" ref="M5:M15" si="3">M4+K5-L5</f>
        <v>1792.2114000000001</v>
      </c>
      <c r="N5" s="8"/>
      <c r="O5" s="60"/>
    </row>
    <row r="6" spans="1:15">
      <c r="A6" s="26">
        <v>3</v>
      </c>
      <c r="B6" s="27">
        <v>46056</v>
      </c>
      <c r="C6" s="25"/>
      <c r="D6" s="18"/>
      <c r="E6" s="48"/>
      <c r="F6" s="48"/>
      <c r="G6" s="8">
        <f t="shared" si="0"/>
        <v>0</v>
      </c>
      <c r="H6" s="48"/>
      <c r="I6" s="48"/>
      <c r="J6" s="8">
        <f t="shared" si="1"/>
        <v>0</v>
      </c>
      <c r="K6" s="8">
        <f t="shared" ref="K6:K33" si="4">G6+J6</f>
        <v>0</v>
      </c>
      <c r="L6" s="252"/>
      <c r="M6" s="8">
        <f t="shared" si="3"/>
        <v>1792.2114000000001</v>
      </c>
      <c r="N6" s="8"/>
      <c r="O6" s="60"/>
    </row>
    <row r="7" spans="1:15">
      <c r="A7" s="26">
        <v>4</v>
      </c>
      <c r="B7" s="27">
        <v>46057</v>
      </c>
      <c r="C7" s="25"/>
      <c r="D7" s="18"/>
      <c r="E7" s="48">
        <v>120</v>
      </c>
      <c r="F7" s="48">
        <v>91.77</v>
      </c>
      <c r="G7" s="8">
        <f t="shared" si="0"/>
        <v>11012.4</v>
      </c>
      <c r="H7" s="48">
        <v>10</v>
      </c>
      <c r="I7" s="48">
        <v>103.73</v>
      </c>
      <c r="J7" s="8">
        <f t="shared" si="1"/>
        <v>1037.3</v>
      </c>
      <c r="K7" s="8">
        <f t="shared" si="4"/>
        <v>12049.699999999999</v>
      </c>
      <c r="L7" s="252"/>
      <c r="M7" s="8">
        <f t="shared" si="3"/>
        <v>13841.911399999999</v>
      </c>
      <c r="N7" s="8"/>
      <c r="O7" s="60"/>
    </row>
    <row r="8" spans="1:15">
      <c r="A8" s="26">
        <v>5</v>
      </c>
      <c r="B8" s="27">
        <v>46058</v>
      </c>
      <c r="C8" s="25"/>
      <c r="D8" s="18"/>
      <c r="E8" s="48">
        <v>284.2</v>
      </c>
      <c r="F8" s="48">
        <v>91.77</v>
      </c>
      <c r="G8" s="8">
        <f t="shared" si="0"/>
        <v>26081.033999999996</v>
      </c>
      <c r="H8" s="48"/>
      <c r="I8" s="48"/>
      <c r="J8" s="8">
        <f t="shared" si="1"/>
        <v>0</v>
      </c>
      <c r="K8" s="8">
        <f t="shared" si="4"/>
        <v>26081.033999999996</v>
      </c>
      <c r="L8" s="252"/>
      <c r="M8" s="8">
        <f t="shared" si="3"/>
        <v>39922.945399999997</v>
      </c>
      <c r="N8" s="8"/>
      <c r="O8" s="60"/>
    </row>
    <row r="9" spans="1:15">
      <c r="A9" s="26">
        <v>6</v>
      </c>
      <c r="B9" s="27">
        <v>46059</v>
      </c>
      <c r="C9" s="25"/>
      <c r="D9" s="18"/>
      <c r="E9" s="48">
        <v>600</v>
      </c>
      <c r="F9" s="48">
        <v>91.77</v>
      </c>
      <c r="G9" s="8">
        <f t="shared" si="0"/>
        <v>55062</v>
      </c>
      <c r="H9" s="48">
        <v>5</v>
      </c>
      <c r="I9" s="48">
        <v>103.73</v>
      </c>
      <c r="J9" s="8">
        <f t="shared" si="1"/>
        <v>518.65</v>
      </c>
      <c r="K9" s="8">
        <f t="shared" si="4"/>
        <v>55580.65</v>
      </c>
      <c r="L9" s="252"/>
      <c r="M9" s="8">
        <f t="shared" si="3"/>
        <v>95503.595399999991</v>
      </c>
      <c r="N9" s="8"/>
      <c r="O9" s="60"/>
    </row>
    <row r="10" spans="1:15">
      <c r="A10" s="26">
        <v>7</v>
      </c>
      <c r="B10" s="27">
        <v>46060</v>
      </c>
      <c r="C10" s="25"/>
      <c r="D10" s="18"/>
      <c r="E10" s="48"/>
      <c r="F10" s="48"/>
      <c r="G10" s="8">
        <f t="shared" si="0"/>
        <v>0</v>
      </c>
      <c r="H10" s="270">
        <v>6</v>
      </c>
      <c r="I10" s="48">
        <v>103.73</v>
      </c>
      <c r="J10" s="8">
        <f t="shared" si="1"/>
        <v>622.38</v>
      </c>
      <c r="K10" s="8">
        <f t="shared" si="4"/>
        <v>622.38</v>
      </c>
      <c r="L10" s="252"/>
      <c r="M10" s="8">
        <f t="shared" si="3"/>
        <v>96125.975399999996</v>
      </c>
      <c r="N10" s="8"/>
      <c r="O10" s="60"/>
    </row>
    <row r="11" spans="1:15">
      <c r="A11" s="26">
        <v>8</v>
      </c>
      <c r="B11" s="27">
        <v>46061</v>
      </c>
      <c r="C11" s="25"/>
      <c r="D11" s="18"/>
      <c r="E11" s="48"/>
      <c r="F11" s="48"/>
      <c r="G11" s="8">
        <f t="shared" si="0"/>
        <v>0</v>
      </c>
      <c r="H11" s="270">
        <v>6</v>
      </c>
      <c r="I11" s="48">
        <v>103.73</v>
      </c>
      <c r="J11" s="8">
        <f t="shared" si="1"/>
        <v>622.38</v>
      </c>
      <c r="K11" s="8">
        <f t="shared" si="4"/>
        <v>622.38</v>
      </c>
      <c r="L11" s="252"/>
      <c r="M11" s="8">
        <f t="shared" si="3"/>
        <v>96748.3554</v>
      </c>
      <c r="N11" s="8"/>
      <c r="O11" s="60"/>
    </row>
    <row r="12" spans="1:15">
      <c r="A12" s="26">
        <v>9</v>
      </c>
      <c r="B12" s="27">
        <v>46062</v>
      </c>
      <c r="C12" s="25"/>
      <c r="D12" s="18"/>
      <c r="E12" s="48"/>
      <c r="F12" s="48"/>
      <c r="G12" s="8">
        <f t="shared" si="0"/>
        <v>0</v>
      </c>
      <c r="H12" s="48">
        <v>4.93</v>
      </c>
      <c r="I12" s="48">
        <v>103.73</v>
      </c>
      <c r="J12" s="8">
        <f t="shared" si="1"/>
        <v>511.38889999999998</v>
      </c>
      <c r="K12" s="8">
        <f t="shared" si="4"/>
        <v>511.38889999999998</v>
      </c>
      <c r="L12" s="252"/>
      <c r="M12" s="8">
        <f t="shared" si="3"/>
        <v>97259.744300000006</v>
      </c>
      <c r="N12" s="8"/>
      <c r="O12" s="60"/>
    </row>
    <row r="13" spans="1:15">
      <c r="A13" s="26">
        <v>10</v>
      </c>
      <c r="B13" s="27">
        <v>46063</v>
      </c>
      <c r="C13" s="25"/>
      <c r="D13" s="18"/>
      <c r="E13" s="48"/>
      <c r="F13" s="48"/>
      <c r="G13" s="8">
        <f t="shared" si="0"/>
        <v>0</v>
      </c>
      <c r="H13" s="48">
        <v>5</v>
      </c>
      <c r="I13" s="48">
        <v>103.73</v>
      </c>
      <c r="J13" s="8">
        <f t="shared" si="1"/>
        <v>518.65</v>
      </c>
      <c r="K13" s="8">
        <f t="shared" si="4"/>
        <v>518.65</v>
      </c>
      <c r="L13" s="252"/>
      <c r="M13" s="8">
        <f>M12+K13-L13</f>
        <v>97778.3943</v>
      </c>
      <c r="N13" s="19"/>
      <c r="O13" s="60"/>
    </row>
    <row r="14" spans="1:15">
      <c r="A14" s="26">
        <v>11</v>
      </c>
      <c r="B14" s="27">
        <v>46064</v>
      </c>
      <c r="C14" s="25"/>
      <c r="D14" s="18"/>
      <c r="E14" s="48"/>
      <c r="F14" s="48"/>
      <c r="G14" s="8">
        <f t="shared" si="0"/>
        <v>0</v>
      </c>
      <c r="H14" s="48">
        <v>5</v>
      </c>
      <c r="I14" s="48">
        <v>103.73</v>
      </c>
      <c r="J14" s="8">
        <f t="shared" si="1"/>
        <v>518.65</v>
      </c>
      <c r="K14" s="8">
        <f t="shared" si="4"/>
        <v>518.65</v>
      </c>
      <c r="L14" s="252"/>
      <c r="M14" s="8">
        <f>M13+K14-L14</f>
        <v>98297.044299999994</v>
      </c>
      <c r="N14" s="19"/>
      <c r="O14" s="60"/>
    </row>
    <row r="15" spans="1:15">
      <c r="A15" s="26">
        <v>12</v>
      </c>
      <c r="B15" s="27">
        <v>46065</v>
      </c>
      <c r="C15" s="25"/>
      <c r="D15" s="18"/>
      <c r="E15" s="48"/>
      <c r="F15" s="48"/>
      <c r="G15" s="8">
        <f t="shared" si="0"/>
        <v>0</v>
      </c>
      <c r="H15" s="48">
        <v>5</v>
      </c>
      <c r="I15" s="48">
        <v>103.73</v>
      </c>
      <c r="J15" s="8">
        <f t="shared" si="1"/>
        <v>518.65</v>
      </c>
      <c r="K15" s="8">
        <f t="shared" si="4"/>
        <v>518.65</v>
      </c>
      <c r="L15" s="252"/>
      <c r="M15" s="8">
        <f t="shared" si="3"/>
        <v>98815.694299999988</v>
      </c>
      <c r="N15" s="19"/>
      <c r="O15" s="60"/>
    </row>
    <row r="16" spans="1:15">
      <c r="A16" s="26">
        <v>13</v>
      </c>
      <c r="B16" s="27">
        <v>46066</v>
      </c>
      <c r="C16" s="25"/>
      <c r="D16" s="18"/>
      <c r="E16" s="48"/>
      <c r="F16" s="48"/>
      <c r="G16" s="8">
        <f t="shared" si="0"/>
        <v>0</v>
      </c>
      <c r="H16" s="48"/>
      <c r="I16" s="48"/>
      <c r="J16" s="8">
        <f t="shared" si="1"/>
        <v>0</v>
      </c>
      <c r="K16" s="8">
        <f t="shared" si="4"/>
        <v>0</v>
      </c>
      <c r="L16" s="252"/>
      <c r="M16" s="8">
        <f t="shared" ref="M16:M24" si="5">M15+K16-L16</f>
        <v>98815.694299999988</v>
      </c>
      <c r="N16" s="19"/>
      <c r="O16" s="60"/>
    </row>
    <row r="17" spans="1:18">
      <c r="A17" s="26">
        <v>14</v>
      </c>
      <c r="B17" s="27">
        <v>46067</v>
      </c>
      <c r="C17" s="25"/>
      <c r="D17" s="18"/>
      <c r="E17" s="48"/>
      <c r="F17" s="48"/>
      <c r="G17" s="8">
        <f t="shared" si="0"/>
        <v>0</v>
      </c>
      <c r="H17" s="48"/>
      <c r="I17" s="48"/>
      <c r="J17" s="8">
        <f t="shared" si="1"/>
        <v>0</v>
      </c>
      <c r="K17" s="8">
        <f t="shared" si="4"/>
        <v>0</v>
      </c>
      <c r="L17" s="252"/>
      <c r="M17" s="8">
        <f t="shared" si="5"/>
        <v>98815.694299999988</v>
      </c>
      <c r="N17" s="19"/>
      <c r="O17" s="60"/>
    </row>
    <row r="18" spans="1:18">
      <c r="A18" s="26">
        <v>15</v>
      </c>
      <c r="B18" s="27">
        <v>46068</v>
      </c>
      <c r="C18" s="25"/>
      <c r="D18" s="18"/>
      <c r="E18" s="48"/>
      <c r="F18" s="48"/>
      <c r="G18" s="8">
        <f t="shared" si="0"/>
        <v>0</v>
      </c>
      <c r="H18" s="48"/>
      <c r="I18" s="48"/>
      <c r="J18" s="8">
        <f t="shared" si="1"/>
        <v>0</v>
      </c>
      <c r="K18" s="8">
        <f t="shared" si="4"/>
        <v>0</v>
      </c>
      <c r="L18" s="252"/>
      <c r="M18" s="8">
        <f t="shared" si="5"/>
        <v>98815.694299999988</v>
      </c>
      <c r="N18" s="19"/>
      <c r="O18" s="60"/>
    </row>
    <row r="19" spans="1:18">
      <c r="A19" s="26">
        <v>16</v>
      </c>
      <c r="B19" s="27">
        <v>46069</v>
      </c>
      <c r="C19" s="25"/>
      <c r="D19" s="18"/>
      <c r="E19" s="48"/>
      <c r="F19" s="48"/>
      <c r="G19" s="8">
        <f t="shared" si="0"/>
        <v>0</v>
      </c>
      <c r="H19" s="270">
        <v>10</v>
      </c>
      <c r="I19" s="48">
        <v>103.73</v>
      </c>
      <c r="J19" s="8">
        <f>H19*I19</f>
        <v>1037.3</v>
      </c>
      <c r="K19" s="8">
        <f t="shared" si="4"/>
        <v>1037.3</v>
      </c>
      <c r="L19" s="252"/>
      <c r="M19" s="8">
        <f t="shared" si="5"/>
        <v>99852.994299999991</v>
      </c>
      <c r="N19" s="19"/>
      <c r="O19" s="60"/>
    </row>
    <row r="20" spans="1:18">
      <c r="A20" s="26">
        <v>17</v>
      </c>
      <c r="B20" s="27">
        <v>46070</v>
      </c>
      <c r="C20" s="25"/>
      <c r="D20" s="18"/>
      <c r="E20" s="48"/>
      <c r="F20" s="48"/>
      <c r="G20" s="8">
        <f t="shared" si="0"/>
        <v>0</v>
      </c>
      <c r="H20" s="270">
        <v>10</v>
      </c>
      <c r="I20" s="48">
        <v>103.73</v>
      </c>
      <c r="J20" s="8">
        <f t="shared" si="1"/>
        <v>1037.3</v>
      </c>
      <c r="K20" s="8">
        <f t="shared" si="4"/>
        <v>1037.3</v>
      </c>
      <c r="L20" s="252"/>
      <c r="M20" s="8">
        <f t="shared" si="5"/>
        <v>100890.29429999999</v>
      </c>
      <c r="N20" s="19"/>
      <c r="O20" s="60"/>
    </row>
    <row r="21" spans="1:18">
      <c r="A21" s="26">
        <v>18</v>
      </c>
      <c r="B21" s="27">
        <v>46071</v>
      </c>
      <c r="C21" s="25"/>
      <c r="D21" s="18"/>
      <c r="E21" s="48"/>
      <c r="F21" s="48"/>
      <c r="G21" s="8">
        <f t="shared" si="0"/>
        <v>0</v>
      </c>
      <c r="H21" s="48"/>
      <c r="I21" s="48"/>
      <c r="J21" s="8">
        <f t="shared" si="1"/>
        <v>0</v>
      </c>
      <c r="K21" s="8">
        <f t="shared" si="4"/>
        <v>0</v>
      </c>
      <c r="L21" s="252"/>
      <c r="M21" s="8">
        <f t="shared" si="5"/>
        <v>100890.29429999999</v>
      </c>
      <c r="N21" s="19"/>
      <c r="O21" s="60"/>
    </row>
    <row r="22" spans="1:18">
      <c r="A22" s="26">
        <v>19</v>
      </c>
      <c r="B22" s="27">
        <v>46072</v>
      </c>
      <c r="C22" s="25"/>
      <c r="D22" s="18"/>
      <c r="E22" s="48">
        <v>20</v>
      </c>
      <c r="F22" s="48">
        <v>91.77</v>
      </c>
      <c r="G22" s="8">
        <f t="shared" si="0"/>
        <v>1835.3999999999999</v>
      </c>
      <c r="H22" s="48"/>
      <c r="I22" s="48"/>
      <c r="J22" s="8">
        <f t="shared" si="1"/>
        <v>0</v>
      </c>
      <c r="K22" s="8">
        <f t="shared" si="4"/>
        <v>1835.3999999999999</v>
      </c>
      <c r="L22" s="252"/>
      <c r="M22" s="8">
        <f t="shared" si="5"/>
        <v>102725.69429999999</v>
      </c>
      <c r="N22" s="19"/>
      <c r="O22" s="60"/>
    </row>
    <row r="23" spans="1:18">
      <c r="A23" s="26">
        <v>20</v>
      </c>
      <c r="B23" s="27">
        <v>46073</v>
      </c>
      <c r="C23" s="25"/>
      <c r="D23" s="18"/>
      <c r="E23" s="48"/>
      <c r="F23" s="48"/>
      <c r="G23" s="8">
        <f t="shared" si="0"/>
        <v>0</v>
      </c>
      <c r="H23" s="48"/>
      <c r="I23" s="48"/>
      <c r="J23" s="8">
        <f t="shared" si="1"/>
        <v>0</v>
      </c>
      <c r="K23" s="8">
        <f t="shared" si="4"/>
        <v>0</v>
      </c>
      <c r="L23" s="252">
        <v>100000</v>
      </c>
      <c r="M23" s="8">
        <f t="shared" si="5"/>
        <v>2725.6942999999883</v>
      </c>
      <c r="N23" s="19"/>
      <c r="O23" s="60"/>
    </row>
    <row r="24" spans="1:18">
      <c r="A24" s="26">
        <v>21</v>
      </c>
      <c r="B24" s="27">
        <v>46074</v>
      </c>
      <c r="C24" s="25"/>
      <c r="D24" s="18"/>
      <c r="E24" s="48">
        <v>35</v>
      </c>
      <c r="F24" s="48">
        <v>91.77</v>
      </c>
      <c r="G24" s="8">
        <f t="shared" si="0"/>
        <v>3211.95</v>
      </c>
      <c r="H24" s="48">
        <v>5</v>
      </c>
      <c r="I24" s="48">
        <v>103.73</v>
      </c>
      <c r="J24" s="8">
        <f t="shared" si="1"/>
        <v>518.65</v>
      </c>
      <c r="K24" s="8">
        <f t="shared" si="4"/>
        <v>3730.6</v>
      </c>
      <c r="L24" s="252"/>
      <c r="M24" s="8">
        <f t="shared" si="5"/>
        <v>6456.2942999999887</v>
      </c>
      <c r="N24" s="19"/>
      <c r="O24" s="60"/>
    </row>
    <row r="25" spans="1:18">
      <c r="A25" s="26">
        <v>22</v>
      </c>
      <c r="B25" s="27">
        <v>46075</v>
      </c>
      <c r="C25" s="25"/>
      <c r="D25" s="18"/>
      <c r="E25" s="48"/>
      <c r="F25" s="48"/>
      <c r="G25" s="8">
        <f t="shared" si="0"/>
        <v>0</v>
      </c>
      <c r="H25" s="48">
        <v>12.8</v>
      </c>
      <c r="I25" s="48">
        <v>103.73</v>
      </c>
      <c r="J25" s="8">
        <f t="shared" si="1"/>
        <v>1327.7440000000001</v>
      </c>
      <c r="K25" s="8">
        <f t="shared" si="4"/>
        <v>1327.7440000000001</v>
      </c>
      <c r="L25" s="252"/>
      <c r="M25" s="8">
        <f t="shared" ref="M25:M34" si="6">M24+K25-L25</f>
        <v>7784.0382999999892</v>
      </c>
      <c r="N25" s="19"/>
      <c r="O25" s="60"/>
    </row>
    <row r="26" spans="1:18">
      <c r="A26" s="26">
        <v>23</v>
      </c>
      <c r="B26" s="27">
        <v>46076</v>
      </c>
      <c r="C26" s="25"/>
      <c r="D26" s="18"/>
      <c r="E26" s="48">
        <v>119.18</v>
      </c>
      <c r="F26" s="48">
        <v>91.77</v>
      </c>
      <c r="G26" s="8">
        <f t="shared" si="0"/>
        <v>10937.1486</v>
      </c>
      <c r="H26" s="48">
        <v>6</v>
      </c>
      <c r="I26" s="48">
        <v>103.73</v>
      </c>
      <c r="J26" s="8">
        <f t="shared" si="1"/>
        <v>622.38</v>
      </c>
      <c r="K26" s="8">
        <f t="shared" si="4"/>
        <v>11559.5286</v>
      </c>
      <c r="L26" s="252"/>
      <c r="M26" s="8">
        <f t="shared" si="6"/>
        <v>19343.566899999991</v>
      </c>
      <c r="N26" s="19"/>
      <c r="O26" s="60"/>
      <c r="Q26" s="78" t="s">
        <v>226</v>
      </c>
    </row>
    <row r="27" spans="1:18">
      <c r="A27" s="26">
        <v>24</v>
      </c>
      <c r="B27" s="27">
        <v>46077</v>
      </c>
      <c r="C27" s="25"/>
      <c r="D27" s="18"/>
      <c r="E27" s="48"/>
      <c r="F27" s="48"/>
      <c r="G27" s="8">
        <f t="shared" si="0"/>
        <v>0</v>
      </c>
      <c r="H27" s="48">
        <v>6</v>
      </c>
      <c r="I27" s="48">
        <v>103.73</v>
      </c>
      <c r="J27" s="8">
        <f t="shared" si="1"/>
        <v>622.38</v>
      </c>
      <c r="K27" s="8">
        <f t="shared" si="4"/>
        <v>622.38</v>
      </c>
      <c r="L27" s="252"/>
      <c r="M27" s="8">
        <f t="shared" si="6"/>
        <v>19965.946899999992</v>
      </c>
      <c r="N27" s="19"/>
      <c r="O27" s="60"/>
      <c r="Q27" s="78">
        <v>30</v>
      </c>
      <c r="R27" s="78">
        <v>50</v>
      </c>
    </row>
    <row r="28" spans="1:18">
      <c r="A28" s="26">
        <v>25</v>
      </c>
      <c r="B28" s="27">
        <v>46078</v>
      </c>
      <c r="C28" s="25"/>
      <c r="D28" s="18"/>
      <c r="E28" s="48"/>
      <c r="F28" s="48"/>
      <c r="G28" s="8">
        <f t="shared" si="0"/>
        <v>0</v>
      </c>
      <c r="H28" s="48"/>
      <c r="I28" s="48"/>
      <c r="J28" s="8">
        <f t="shared" si="1"/>
        <v>0</v>
      </c>
      <c r="K28" s="8">
        <f t="shared" si="4"/>
        <v>0</v>
      </c>
      <c r="L28" s="252"/>
      <c r="M28" s="8">
        <f t="shared" si="6"/>
        <v>19965.946899999992</v>
      </c>
      <c r="N28" s="19"/>
      <c r="O28" s="60"/>
      <c r="Q28" s="78">
        <v>50</v>
      </c>
      <c r="R28" s="78">
        <v>4.51</v>
      </c>
    </row>
    <row r="29" spans="1:18">
      <c r="A29" s="26">
        <v>26</v>
      </c>
      <c r="B29" s="27">
        <v>46079</v>
      </c>
      <c r="C29" s="25"/>
      <c r="D29" s="18"/>
      <c r="E29" s="48">
        <v>70</v>
      </c>
      <c r="F29" s="48">
        <v>91.77</v>
      </c>
      <c r="G29" s="8">
        <f t="shared" si="0"/>
        <v>6423.9</v>
      </c>
      <c r="H29" s="48"/>
      <c r="I29" s="48"/>
      <c r="J29" s="8">
        <f t="shared" si="1"/>
        <v>0</v>
      </c>
      <c r="K29" s="8">
        <f t="shared" si="4"/>
        <v>6423.9</v>
      </c>
      <c r="L29" s="252"/>
      <c r="M29" s="8">
        <f t="shared" si="6"/>
        <v>26389.84689999999</v>
      </c>
      <c r="N29" s="19"/>
      <c r="O29" s="60"/>
    </row>
    <row r="30" spans="1:18">
      <c r="A30" s="26">
        <v>27</v>
      </c>
      <c r="B30" s="27">
        <v>46080</v>
      </c>
      <c r="C30" s="25"/>
      <c r="D30" s="18"/>
      <c r="E30" s="48">
        <v>30</v>
      </c>
      <c r="F30" s="48">
        <v>91.77</v>
      </c>
      <c r="G30" s="8">
        <f t="shared" si="0"/>
        <v>2753.1</v>
      </c>
      <c r="H30" s="48">
        <v>4.01</v>
      </c>
      <c r="I30" s="48">
        <v>103.73</v>
      </c>
      <c r="J30" s="8">
        <f t="shared" si="1"/>
        <v>415.95729999999998</v>
      </c>
      <c r="K30" s="8">
        <f t="shared" si="4"/>
        <v>3169.0572999999999</v>
      </c>
      <c r="L30" s="252"/>
      <c r="M30" s="8">
        <f t="shared" si="6"/>
        <v>29558.90419999999</v>
      </c>
      <c r="N30" s="19"/>
      <c r="O30" s="60"/>
    </row>
    <row r="31" spans="1:18">
      <c r="A31" s="219">
        <v>28</v>
      </c>
      <c r="B31" s="27">
        <v>46081</v>
      </c>
      <c r="C31" s="25"/>
      <c r="D31" s="18"/>
      <c r="E31" s="48"/>
      <c r="F31" s="48"/>
      <c r="G31" s="8">
        <f t="shared" si="0"/>
        <v>0</v>
      </c>
      <c r="H31" s="48"/>
      <c r="I31" s="48"/>
      <c r="J31" s="8">
        <f t="shared" si="1"/>
        <v>0</v>
      </c>
      <c r="K31" s="8">
        <f t="shared" si="4"/>
        <v>0</v>
      </c>
      <c r="L31" s="252"/>
      <c r="M31" s="8">
        <f t="shared" si="6"/>
        <v>29558.90419999999</v>
      </c>
      <c r="N31" s="19"/>
      <c r="O31" s="60"/>
    </row>
    <row r="32" spans="1:18">
      <c r="A32" s="26">
        <v>29</v>
      </c>
      <c r="B32" s="27">
        <v>46082</v>
      </c>
      <c r="C32" s="25"/>
      <c r="D32" s="18"/>
      <c r="E32" s="48"/>
      <c r="F32" s="48"/>
      <c r="G32" s="8">
        <f t="shared" si="0"/>
        <v>0</v>
      </c>
      <c r="H32" s="48"/>
      <c r="I32" s="48"/>
      <c r="J32" s="8">
        <f t="shared" si="1"/>
        <v>0</v>
      </c>
      <c r="K32" s="8">
        <f t="shared" si="4"/>
        <v>0</v>
      </c>
      <c r="L32" s="252"/>
      <c r="M32" s="8">
        <f t="shared" si="6"/>
        <v>29558.90419999999</v>
      </c>
      <c r="N32" s="19"/>
      <c r="O32" s="60"/>
    </row>
    <row r="33" spans="1:15">
      <c r="A33" s="26">
        <v>30</v>
      </c>
      <c r="B33" s="27">
        <v>46083</v>
      </c>
      <c r="C33" s="25"/>
      <c r="D33" s="18"/>
      <c r="E33" s="48"/>
      <c r="F33" s="48"/>
      <c r="G33" s="8">
        <f t="shared" si="0"/>
        <v>0</v>
      </c>
      <c r="H33" s="48"/>
      <c r="I33" s="48"/>
      <c r="J33" s="8">
        <f t="shared" si="1"/>
        <v>0</v>
      </c>
      <c r="K33" s="8">
        <f t="shared" si="4"/>
        <v>0</v>
      </c>
      <c r="L33" s="252"/>
      <c r="M33" s="8">
        <f t="shared" si="6"/>
        <v>29558.90419999999</v>
      </c>
      <c r="N33" s="19"/>
      <c r="O33" s="60"/>
    </row>
    <row r="34" spans="1:15">
      <c r="A34" s="26">
        <v>31</v>
      </c>
      <c r="B34" s="27">
        <v>46084</v>
      </c>
      <c r="C34" s="25"/>
      <c r="D34" s="18"/>
      <c r="E34" s="48"/>
      <c r="F34" s="48"/>
      <c r="G34" s="8">
        <f t="shared" si="0"/>
        <v>0</v>
      </c>
      <c r="H34" s="48"/>
      <c r="I34" s="48"/>
      <c r="J34" s="8">
        <f t="shared" si="1"/>
        <v>0</v>
      </c>
      <c r="K34" s="8">
        <f t="shared" si="2"/>
        <v>0</v>
      </c>
      <c r="L34" s="252"/>
      <c r="M34" s="8">
        <f>M33+K34-L34</f>
        <v>29558.90419999999</v>
      </c>
      <c r="N34" s="19"/>
      <c r="O34" s="60"/>
    </row>
    <row r="35" spans="1:15">
      <c r="A35" s="162"/>
      <c r="B35" s="162"/>
      <c r="C35" s="162"/>
      <c r="D35" s="162"/>
      <c r="E35" s="163">
        <f>SUM(E4:E34)</f>
        <v>1395.17</v>
      </c>
      <c r="F35" s="163"/>
      <c r="G35" s="163">
        <f>SUM(G4:G34)</f>
        <v>128034.75089999998</v>
      </c>
      <c r="H35" s="163">
        <f>SUM(H4:H34)</f>
        <v>117.74000000000001</v>
      </c>
      <c r="I35" s="163"/>
      <c r="J35" s="163">
        <f>SUM(J4:J34)</f>
        <v>12213.170199999997</v>
      </c>
      <c r="K35" s="163">
        <f>SUM(K4:K34)</f>
        <v>140247.92110000001</v>
      </c>
      <c r="L35" s="163">
        <f>SUM(L4:L34)</f>
        <v>226000</v>
      </c>
      <c r="M35" s="163"/>
      <c r="N35" s="163"/>
      <c r="O35" s="60"/>
    </row>
    <row r="36" spans="1:15">
      <c r="A36" s="74"/>
      <c r="B36" s="74"/>
      <c r="C36" s="74"/>
      <c r="D36" s="74"/>
      <c r="E36" s="76"/>
      <c r="F36" s="76"/>
      <c r="G36" s="76"/>
      <c r="H36" s="76"/>
      <c r="I36" s="76"/>
      <c r="J36" s="76"/>
      <c r="K36" s="76"/>
      <c r="L36" s="253"/>
      <c r="M36" s="76"/>
      <c r="N36" s="76"/>
      <c r="O36" s="60"/>
    </row>
    <row r="37" spans="1:15">
      <c r="E37" s="257"/>
      <c r="F37" s="257"/>
      <c r="G37" s="257"/>
      <c r="H37" s="257"/>
      <c r="I37" s="257"/>
      <c r="J37" s="257"/>
      <c r="K37" s="257"/>
      <c r="L37" s="257"/>
      <c r="O37" s="60"/>
    </row>
    <row r="38" spans="1:15">
      <c r="O38" s="60"/>
    </row>
    <row r="39" spans="1:15">
      <c r="O39" s="60"/>
    </row>
    <row r="40" spans="1:15">
      <c r="O40" s="60"/>
    </row>
    <row r="41" spans="1:15">
      <c r="O41" s="60"/>
    </row>
    <row r="42" spans="1:15">
      <c r="A42" s="60"/>
      <c r="B42" s="60"/>
      <c r="C42" s="60"/>
      <c r="D42" s="60"/>
      <c r="E42" s="60"/>
      <c r="F42" s="60"/>
      <c r="G42" s="82"/>
      <c r="H42" s="60"/>
      <c r="I42" s="60"/>
      <c r="J42" s="60"/>
      <c r="K42" s="60"/>
      <c r="L42" s="74"/>
      <c r="M42" s="60"/>
      <c r="N42" s="60"/>
      <c r="O42" s="76"/>
    </row>
    <row r="43" spans="1:15">
      <c r="A43" s="60"/>
      <c r="B43" s="464"/>
      <c r="C43" s="464"/>
      <c r="D43" s="464"/>
      <c r="E43" s="464"/>
      <c r="F43" s="60"/>
      <c r="G43" s="60"/>
      <c r="H43" s="60"/>
      <c r="I43" s="464"/>
      <c r="J43" s="464"/>
      <c r="K43" s="464"/>
      <c r="L43" s="464"/>
      <c r="M43" s="464"/>
      <c r="N43" s="464"/>
      <c r="O43" s="76"/>
    </row>
    <row r="44" spans="1:1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74"/>
      <c r="M44" s="60"/>
      <c r="N44" s="60"/>
      <c r="O44" s="76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9" activePane="bottomLeft" state="frozen"/>
      <selection pane="bottomLeft" activeCell="M34" sqref="M34"/>
    </sheetView>
  </sheetViews>
  <sheetFormatPr defaultRowHeight="15"/>
  <cols>
    <col min="1" max="1" width="5.140625" style="70" bestFit="1" customWidth="1"/>
    <col min="2" max="2" width="10.85546875" style="70" bestFit="1" customWidth="1"/>
    <col min="3" max="3" width="8" style="70" bestFit="1" customWidth="1"/>
    <col min="4" max="4" width="16" style="70" bestFit="1" customWidth="1"/>
    <col min="5" max="5" width="10.7109375" style="70" bestFit="1" customWidth="1"/>
    <col min="6" max="6" width="14.5703125" style="70" bestFit="1" customWidth="1"/>
    <col min="7" max="7" width="11.85546875" style="70" bestFit="1" customWidth="1"/>
    <col min="8" max="8" width="10.7109375" style="70" bestFit="1" customWidth="1"/>
    <col min="9" max="9" width="7.28515625" style="70" bestFit="1" customWidth="1"/>
    <col min="10" max="10" width="10.85546875" style="70" bestFit="1" customWidth="1"/>
    <col min="11" max="11" width="14.5703125" style="70" bestFit="1" customWidth="1"/>
    <col min="12" max="12" width="13.5703125" style="70" bestFit="1" customWidth="1"/>
    <col min="13" max="13" width="13.5703125" style="70" customWidth="1"/>
    <col min="14" max="14" width="14.140625" style="70" bestFit="1" customWidth="1"/>
    <col min="15" max="15" width="11.28515625" style="70" customWidth="1"/>
    <col min="16" max="16" width="11.5703125" style="70" bestFit="1" customWidth="1"/>
    <col min="17" max="16384" width="9.140625" style="70"/>
  </cols>
  <sheetData>
    <row r="1" spans="1:17" ht="15.75">
      <c r="A1" s="458" t="s">
        <v>56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83"/>
    </row>
    <row r="2" spans="1:17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65" t="s">
        <v>162</v>
      </c>
      <c r="L2" s="86" t="s">
        <v>163</v>
      </c>
      <c r="M2" s="86" t="s">
        <v>174</v>
      </c>
      <c r="N2" s="84" t="s">
        <v>165</v>
      </c>
      <c r="O2" s="60"/>
    </row>
    <row r="3" spans="1:17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165">
        <v>151510.54690000007</v>
      </c>
      <c r="L3" s="68"/>
      <c r="M3" s="165">
        <v>151510.54690000007</v>
      </c>
      <c r="N3" s="68"/>
      <c r="O3" s="60">
        <v>235015.76</v>
      </c>
      <c r="P3" s="242">
        <f>O3-M3</f>
        <v>83505.213099999935</v>
      </c>
    </row>
    <row r="4" spans="1:17">
      <c r="A4" s="26">
        <v>1</v>
      </c>
      <c r="B4" s="27">
        <v>46054</v>
      </c>
      <c r="C4" s="68"/>
      <c r="D4" s="161"/>
      <c r="E4" s="166">
        <v>225</v>
      </c>
      <c r="F4" s="166">
        <v>91.93</v>
      </c>
      <c r="G4" s="8">
        <f>E4*F4</f>
        <v>20684.25</v>
      </c>
      <c r="H4" s="166">
        <v>20</v>
      </c>
      <c r="I4" s="166">
        <v>103.89</v>
      </c>
      <c r="J4" s="8">
        <f>H4*I4</f>
        <v>2077.8000000000002</v>
      </c>
      <c r="K4" s="8">
        <f>G4+J4</f>
        <v>22762.05</v>
      </c>
      <c r="L4" s="167">
        <v>0</v>
      </c>
      <c r="M4" s="167">
        <f t="shared" ref="M4:M20" si="0">M3+K4-L4</f>
        <v>174272.59690000006</v>
      </c>
      <c r="N4" s="42"/>
      <c r="Q4" s="70">
        <v>235410</v>
      </c>
    </row>
    <row r="5" spans="1:17">
      <c r="A5" s="26">
        <v>2</v>
      </c>
      <c r="B5" s="27">
        <v>46055</v>
      </c>
      <c r="C5" s="68"/>
      <c r="D5" s="161"/>
      <c r="E5" s="166">
        <v>0</v>
      </c>
      <c r="F5" s="166">
        <v>0</v>
      </c>
      <c r="G5" s="8">
        <f t="shared" ref="G5:G6" si="1">E5*F5</f>
        <v>0</v>
      </c>
      <c r="H5" s="166">
        <v>0</v>
      </c>
      <c r="I5" s="166">
        <v>0</v>
      </c>
      <c r="J5" s="8">
        <f t="shared" ref="J5:J34" si="2">H5*I5</f>
        <v>0</v>
      </c>
      <c r="K5" s="8">
        <f t="shared" ref="K5:K34" si="3">G5+J5</f>
        <v>0</v>
      </c>
      <c r="L5" s="167">
        <v>0</v>
      </c>
      <c r="M5" s="167">
        <f t="shared" si="0"/>
        <v>174272.59690000006</v>
      </c>
      <c r="N5" s="42"/>
    </row>
    <row r="6" spans="1:17">
      <c r="A6" s="26">
        <v>3</v>
      </c>
      <c r="B6" s="27">
        <v>46056</v>
      </c>
      <c r="C6" s="68"/>
      <c r="D6" s="161"/>
      <c r="E6" s="166">
        <v>74.849999999999994</v>
      </c>
      <c r="F6" s="8">
        <v>91.93</v>
      </c>
      <c r="G6" s="8">
        <f t="shared" si="1"/>
        <v>6880.9605000000001</v>
      </c>
      <c r="H6" s="166">
        <v>40</v>
      </c>
      <c r="I6" s="166">
        <v>103.89</v>
      </c>
      <c r="J6" s="8">
        <f t="shared" si="2"/>
        <v>4155.6000000000004</v>
      </c>
      <c r="K6" s="8">
        <f t="shared" si="3"/>
        <v>11036.5605</v>
      </c>
      <c r="L6" s="167">
        <v>0</v>
      </c>
      <c r="M6" s="167">
        <f t="shared" si="0"/>
        <v>185309.15740000005</v>
      </c>
      <c r="N6" s="42"/>
    </row>
    <row r="7" spans="1:17">
      <c r="A7" s="26">
        <v>4</v>
      </c>
      <c r="B7" s="27">
        <v>46057</v>
      </c>
      <c r="C7" s="68"/>
      <c r="D7" s="161"/>
      <c r="E7" s="166">
        <v>130</v>
      </c>
      <c r="F7" s="166">
        <v>91.93</v>
      </c>
      <c r="G7" s="8">
        <f t="shared" ref="G5:G34" si="4">E7*F7</f>
        <v>11950.900000000001</v>
      </c>
      <c r="H7" s="166">
        <v>0</v>
      </c>
      <c r="I7" s="166">
        <v>0</v>
      </c>
      <c r="J7" s="8">
        <f t="shared" si="2"/>
        <v>0</v>
      </c>
      <c r="K7" s="8">
        <f t="shared" si="3"/>
        <v>11950.900000000001</v>
      </c>
      <c r="L7" s="167">
        <v>0</v>
      </c>
      <c r="M7" s="167">
        <f t="shared" si="0"/>
        <v>197260.05740000005</v>
      </c>
      <c r="N7" s="42"/>
    </row>
    <row r="8" spans="1:17">
      <c r="A8" s="26">
        <v>5</v>
      </c>
      <c r="B8" s="27">
        <v>46058</v>
      </c>
      <c r="C8" s="68"/>
      <c r="D8" s="161"/>
      <c r="E8" s="166">
        <v>435</v>
      </c>
      <c r="F8" s="166">
        <v>91.93</v>
      </c>
      <c r="G8" s="8">
        <f t="shared" si="4"/>
        <v>39989.550000000003</v>
      </c>
      <c r="H8" s="166">
        <v>0</v>
      </c>
      <c r="I8" s="166">
        <v>0</v>
      </c>
      <c r="J8" s="8">
        <f t="shared" si="2"/>
        <v>0</v>
      </c>
      <c r="K8" s="8">
        <f t="shared" si="3"/>
        <v>39989.550000000003</v>
      </c>
      <c r="L8" s="167">
        <v>0</v>
      </c>
      <c r="M8" s="167">
        <f t="shared" si="0"/>
        <v>237249.60740000004</v>
      </c>
      <c r="N8" s="42"/>
      <c r="O8" s="70">
        <v>237248.96049999999</v>
      </c>
      <c r="P8" s="242">
        <f>O8-M8</f>
        <v>-0.64690000005066395</v>
      </c>
    </row>
    <row r="9" spans="1:17">
      <c r="A9" s="26">
        <v>6</v>
      </c>
      <c r="B9" s="27">
        <v>46059</v>
      </c>
      <c r="C9" s="68"/>
      <c r="D9" s="161"/>
      <c r="E9" s="166">
        <v>0</v>
      </c>
      <c r="F9" s="166">
        <v>0</v>
      </c>
      <c r="G9" s="8">
        <f t="shared" si="4"/>
        <v>0</v>
      </c>
      <c r="H9" s="166">
        <v>0</v>
      </c>
      <c r="I9" s="166">
        <v>0</v>
      </c>
      <c r="J9" s="8">
        <f t="shared" si="2"/>
        <v>0</v>
      </c>
      <c r="K9" s="8">
        <f t="shared" si="3"/>
        <v>0</v>
      </c>
      <c r="L9" s="167">
        <v>0</v>
      </c>
      <c r="M9" s="167">
        <f t="shared" si="0"/>
        <v>237249.60740000004</v>
      </c>
      <c r="N9" s="42"/>
    </row>
    <row r="10" spans="1:17">
      <c r="A10" s="26">
        <v>7</v>
      </c>
      <c r="B10" s="27">
        <v>46060</v>
      </c>
      <c r="C10" s="68"/>
      <c r="D10" s="161"/>
      <c r="E10" s="166">
        <v>187</v>
      </c>
      <c r="F10" s="166">
        <v>91.93</v>
      </c>
      <c r="G10" s="8">
        <f t="shared" si="4"/>
        <v>17190.91</v>
      </c>
      <c r="H10" s="166">
        <v>0</v>
      </c>
      <c r="I10" s="166">
        <v>0</v>
      </c>
      <c r="J10" s="8">
        <f t="shared" si="2"/>
        <v>0</v>
      </c>
      <c r="K10" s="8">
        <f t="shared" si="3"/>
        <v>17190.91</v>
      </c>
      <c r="L10" s="167">
        <v>0</v>
      </c>
      <c r="M10" s="167">
        <f t="shared" si="0"/>
        <v>254440.51740000004</v>
      </c>
      <c r="N10" s="42"/>
    </row>
    <row r="11" spans="1:17">
      <c r="A11" s="26">
        <v>8</v>
      </c>
      <c r="B11" s="27">
        <v>46061</v>
      </c>
      <c r="C11" s="68"/>
      <c r="D11" s="161"/>
      <c r="E11" s="166">
        <v>0</v>
      </c>
      <c r="F11" s="166">
        <v>0</v>
      </c>
      <c r="G11" s="8">
        <f t="shared" si="4"/>
        <v>0</v>
      </c>
      <c r="H11" s="166">
        <v>0</v>
      </c>
      <c r="I11" s="166">
        <v>0</v>
      </c>
      <c r="J11" s="8">
        <f t="shared" si="2"/>
        <v>0</v>
      </c>
      <c r="K11" s="8">
        <f t="shared" si="3"/>
        <v>0</v>
      </c>
      <c r="L11" s="167">
        <v>0</v>
      </c>
      <c r="M11" s="167">
        <f t="shared" si="0"/>
        <v>254440.51740000004</v>
      </c>
      <c r="N11" s="42" t="s">
        <v>212</v>
      </c>
      <c r="P11" s="241"/>
      <c r="Q11" s="242"/>
    </row>
    <row r="12" spans="1:17">
      <c r="A12" s="26">
        <v>9</v>
      </c>
      <c r="B12" s="27">
        <v>46062</v>
      </c>
      <c r="C12" s="68"/>
      <c r="D12" s="161"/>
      <c r="E12" s="166">
        <v>30</v>
      </c>
      <c r="F12" s="166">
        <v>91.93</v>
      </c>
      <c r="G12" s="8">
        <f t="shared" si="4"/>
        <v>2757.9</v>
      </c>
      <c r="H12" s="166">
        <v>34</v>
      </c>
      <c r="I12" s="166">
        <v>103.89</v>
      </c>
      <c r="J12" s="8">
        <f t="shared" si="2"/>
        <v>3532.26</v>
      </c>
      <c r="K12" s="8">
        <f t="shared" si="3"/>
        <v>6290.16</v>
      </c>
      <c r="L12" s="167">
        <v>0</v>
      </c>
      <c r="M12" s="167">
        <f t="shared" si="0"/>
        <v>260730.67740000004</v>
      </c>
      <c r="N12" s="42"/>
    </row>
    <row r="13" spans="1:17">
      <c r="A13" s="26">
        <v>10</v>
      </c>
      <c r="B13" s="27">
        <v>46063</v>
      </c>
      <c r="C13" s="68"/>
      <c r="D13" s="161"/>
      <c r="E13" s="166">
        <v>70</v>
      </c>
      <c r="F13" s="166">
        <v>91.93</v>
      </c>
      <c r="G13" s="8">
        <f t="shared" si="4"/>
        <v>6435.1</v>
      </c>
      <c r="H13" s="166">
        <v>0</v>
      </c>
      <c r="I13" s="166">
        <v>0</v>
      </c>
      <c r="J13" s="8">
        <f t="shared" si="2"/>
        <v>0</v>
      </c>
      <c r="K13" s="8">
        <f t="shared" si="3"/>
        <v>6435.1</v>
      </c>
      <c r="L13" s="167">
        <v>151000</v>
      </c>
      <c r="M13" s="167">
        <f t="shared" si="0"/>
        <v>116165.77740000002</v>
      </c>
      <c r="N13" s="42"/>
    </row>
    <row r="14" spans="1:17">
      <c r="A14" s="26">
        <v>11</v>
      </c>
      <c r="B14" s="27">
        <v>46064</v>
      </c>
      <c r="C14" s="68"/>
      <c r="D14" s="161"/>
      <c r="E14" s="166">
        <v>470</v>
      </c>
      <c r="F14" s="166">
        <v>91.93</v>
      </c>
      <c r="G14" s="8">
        <f t="shared" si="4"/>
        <v>43207.100000000006</v>
      </c>
      <c r="H14" s="166">
        <v>25</v>
      </c>
      <c r="I14" s="166">
        <v>103.89</v>
      </c>
      <c r="J14" s="8">
        <f t="shared" si="2"/>
        <v>2597.25</v>
      </c>
      <c r="K14" s="8">
        <f t="shared" si="3"/>
        <v>45804.350000000006</v>
      </c>
      <c r="L14" s="167">
        <v>0</v>
      </c>
      <c r="M14" s="167">
        <f t="shared" si="0"/>
        <v>161970.12740000003</v>
      </c>
      <c r="N14" s="42"/>
    </row>
    <row r="15" spans="1:17">
      <c r="A15" s="26">
        <v>12</v>
      </c>
      <c r="B15" s="27">
        <v>46065</v>
      </c>
      <c r="C15" s="68"/>
      <c r="D15" s="161"/>
      <c r="E15" s="166">
        <v>140</v>
      </c>
      <c r="F15" s="166">
        <v>91.93</v>
      </c>
      <c r="G15" s="8">
        <f t="shared" si="4"/>
        <v>12870.2</v>
      </c>
      <c r="H15" s="166">
        <v>0</v>
      </c>
      <c r="I15" s="166">
        <v>0</v>
      </c>
      <c r="J15" s="8">
        <f t="shared" si="2"/>
        <v>0</v>
      </c>
      <c r="K15" s="8">
        <f t="shared" si="3"/>
        <v>12870.2</v>
      </c>
      <c r="L15" s="167">
        <v>0</v>
      </c>
      <c r="M15" s="167">
        <f t="shared" si="0"/>
        <v>174840.32740000004</v>
      </c>
      <c r="N15" s="42"/>
    </row>
    <row r="16" spans="1:17">
      <c r="A16" s="26">
        <v>13</v>
      </c>
      <c r="B16" s="27">
        <v>46066</v>
      </c>
      <c r="C16" s="68"/>
      <c r="D16" s="161"/>
      <c r="E16" s="166">
        <v>135</v>
      </c>
      <c r="F16" s="166">
        <v>91.93</v>
      </c>
      <c r="G16" s="8">
        <f t="shared" si="4"/>
        <v>12410.550000000001</v>
      </c>
      <c r="H16" s="166">
        <v>0</v>
      </c>
      <c r="I16" s="166">
        <v>0</v>
      </c>
      <c r="J16" s="8">
        <f t="shared" si="2"/>
        <v>0</v>
      </c>
      <c r="K16" s="8">
        <f t="shared" si="3"/>
        <v>12410.550000000001</v>
      </c>
      <c r="L16" s="167">
        <v>0</v>
      </c>
      <c r="M16" s="167">
        <f t="shared" si="0"/>
        <v>187250.87740000003</v>
      </c>
      <c r="N16" s="42"/>
    </row>
    <row r="17" spans="1:14">
      <c r="A17" s="26">
        <v>14</v>
      </c>
      <c r="B17" s="27">
        <v>46067</v>
      </c>
      <c r="C17" s="68"/>
      <c r="D17" s="161"/>
      <c r="E17" s="166">
        <v>69.989999999999995</v>
      </c>
      <c r="F17" s="166">
        <v>91.93</v>
      </c>
      <c r="G17" s="8">
        <f t="shared" si="4"/>
        <v>6434.1806999999999</v>
      </c>
      <c r="H17" s="166">
        <v>30</v>
      </c>
      <c r="I17" s="166">
        <v>103.89</v>
      </c>
      <c r="J17" s="8">
        <f t="shared" si="2"/>
        <v>3116.7</v>
      </c>
      <c r="K17" s="8">
        <f t="shared" si="3"/>
        <v>9550.8806999999997</v>
      </c>
      <c r="L17" s="167">
        <v>0</v>
      </c>
      <c r="M17" s="167">
        <f t="shared" si="0"/>
        <v>196801.75810000004</v>
      </c>
      <c r="N17" s="42"/>
    </row>
    <row r="18" spans="1:14">
      <c r="A18" s="26">
        <v>15</v>
      </c>
      <c r="B18" s="27">
        <v>46068</v>
      </c>
      <c r="C18" s="68"/>
      <c r="D18" s="161"/>
      <c r="E18" s="166">
        <v>0</v>
      </c>
      <c r="F18" s="166">
        <v>0</v>
      </c>
      <c r="G18" s="8">
        <f t="shared" si="4"/>
        <v>0</v>
      </c>
      <c r="H18" s="166">
        <v>0</v>
      </c>
      <c r="I18" s="166">
        <v>0</v>
      </c>
      <c r="J18" s="8">
        <f t="shared" si="2"/>
        <v>0</v>
      </c>
      <c r="K18" s="8">
        <f t="shared" si="3"/>
        <v>0</v>
      </c>
      <c r="L18" s="167">
        <v>0</v>
      </c>
      <c r="M18" s="167">
        <f t="shared" si="0"/>
        <v>196801.75810000004</v>
      </c>
      <c r="N18" s="42"/>
    </row>
    <row r="19" spans="1:14">
      <c r="A19" s="26">
        <v>16</v>
      </c>
      <c r="B19" s="27">
        <v>46069</v>
      </c>
      <c r="C19" s="68"/>
      <c r="D19" s="161"/>
      <c r="E19" s="166">
        <v>435</v>
      </c>
      <c r="F19" s="166">
        <v>91.93</v>
      </c>
      <c r="G19" s="8">
        <f t="shared" si="4"/>
        <v>39989.550000000003</v>
      </c>
      <c r="H19" s="166">
        <v>40</v>
      </c>
      <c r="I19" s="166">
        <v>103.89</v>
      </c>
      <c r="J19" s="8">
        <f t="shared" si="2"/>
        <v>4155.6000000000004</v>
      </c>
      <c r="K19" s="8">
        <f t="shared" si="3"/>
        <v>44145.15</v>
      </c>
      <c r="L19" s="167">
        <v>0</v>
      </c>
      <c r="M19" s="167">
        <f t="shared" si="0"/>
        <v>240946.90810000003</v>
      </c>
      <c r="N19" s="42"/>
    </row>
    <row r="20" spans="1:14">
      <c r="A20" s="26">
        <v>17</v>
      </c>
      <c r="B20" s="27">
        <v>46070</v>
      </c>
      <c r="C20" s="68"/>
      <c r="D20" s="161"/>
      <c r="E20" s="166">
        <v>138</v>
      </c>
      <c r="F20" s="166">
        <v>91.93</v>
      </c>
      <c r="G20" s="8">
        <f t="shared" si="4"/>
        <v>12686.34</v>
      </c>
      <c r="H20" s="166">
        <v>0</v>
      </c>
      <c r="I20" s="166">
        <v>0</v>
      </c>
      <c r="J20" s="8">
        <f t="shared" si="2"/>
        <v>0</v>
      </c>
      <c r="K20" s="8">
        <f t="shared" si="3"/>
        <v>12686.34</v>
      </c>
      <c r="L20" s="167">
        <v>0</v>
      </c>
      <c r="M20" s="167">
        <f t="shared" si="0"/>
        <v>253633.24810000003</v>
      </c>
      <c r="N20" s="42"/>
    </row>
    <row r="21" spans="1:14">
      <c r="A21" s="26">
        <v>18</v>
      </c>
      <c r="B21" s="27">
        <v>46071</v>
      </c>
      <c r="C21" s="68"/>
      <c r="D21" s="161"/>
      <c r="E21" s="166">
        <v>60</v>
      </c>
      <c r="F21" s="166">
        <v>91.93</v>
      </c>
      <c r="G21" s="8">
        <f t="shared" si="4"/>
        <v>5515.8</v>
      </c>
      <c r="H21" s="166">
        <v>0</v>
      </c>
      <c r="I21" s="166">
        <v>0</v>
      </c>
      <c r="J21" s="8">
        <f t="shared" si="2"/>
        <v>0</v>
      </c>
      <c r="K21" s="8">
        <f t="shared" si="3"/>
        <v>5515.8</v>
      </c>
      <c r="L21" s="167">
        <v>0</v>
      </c>
      <c r="M21" s="167">
        <f t="shared" ref="M21:M34" si="5">M20+K21-L21</f>
        <v>259149.04810000001</v>
      </c>
      <c r="N21" s="42"/>
    </row>
    <row r="22" spans="1:14">
      <c r="A22" s="26">
        <v>19</v>
      </c>
      <c r="B22" s="27">
        <v>46072</v>
      </c>
      <c r="C22" s="68"/>
      <c r="D22" s="161"/>
      <c r="E22" s="166">
        <v>295</v>
      </c>
      <c r="F22" s="166">
        <v>91.93</v>
      </c>
      <c r="G22" s="8">
        <f t="shared" si="4"/>
        <v>27119.350000000002</v>
      </c>
      <c r="H22" s="166">
        <v>0</v>
      </c>
      <c r="I22" s="166">
        <v>0</v>
      </c>
      <c r="J22" s="8">
        <f t="shared" si="2"/>
        <v>0</v>
      </c>
      <c r="K22" s="8">
        <f t="shared" si="3"/>
        <v>27119.350000000002</v>
      </c>
      <c r="L22" s="167">
        <v>0</v>
      </c>
      <c r="M22" s="167">
        <f t="shared" si="5"/>
        <v>286268.39809999999</v>
      </c>
      <c r="N22" s="42"/>
    </row>
    <row r="23" spans="1:14">
      <c r="A23" s="26">
        <v>20</v>
      </c>
      <c r="B23" s="27">
        <v>46073</v>
      </c>
      <c r="C23" s="68"/>
      <c r="D23" s="161"/>
      <c r="E23" s="166">
        <v>55</v>
      </c>
      <c r="F23" s="166">
        <v>91.93</v>
      </c>
      <c r="G23" s="8">
        <f t="shared" si="4"/>
        <v>5056.1500000000005</v>
      </c>
      <c r="H23" s="166">
        <v>0</v>
      </c>
      <c r="I23" s="166">
        <v>0</v>
      </c>
      <c r="J23" s="8">
        <f t="shared" si="2"/>
        <v>0</v>
      </c>
      <c r="K23" s="8">
        <f t="shared" si="3"/>
        <v>5056.1500000000005</v>
      </c>
      <c r="L23" s="167">
        <v>0</v>
      </c>
      <c r="M23" s="167">
        <f t="shared" si="5"/>
        <v>291324.54810000001</v>
      </c>
      <c r="N23" s="42"/>
    </row>
    <row r="24" spans="1:14">
      <c r="A24" s="26">
        <v>21</v>
      </c>
      <c r="B24" s="27">
        <v>46074</v>
      </c>
      <c r="C24" s="68"/>
      <c r="D24" s="161"/>
      <c r="E24" s="166">
        <v>305</v>
      </c>
      <c r="F24" s="166">
        <v>91.93</v>
      </c>
      <c r="G24" s="8">
        <f t="shared" si="4"/>
        <v>28038.65</v>
      </c>
      <c r="H24" s="166">
        <v>40</v>
      </c>
      <c r="I24" s="166">
        <v>103.89</v>
      </c>
      <c r="J24" s="8">
        <f t="shared" si="2"/>
        <v>4155.6000000000004</v>
      </c>
      <c r="K24" s="8">
        <f t="shared" si="3"/>
        <v>32194.25</v>
      </c>
      <c r="L24" s="167">
        <v>0</v>
      </c>
      <c r="M24" s="167">
        <f t="shared" si="5"/>
        <v>323518.79810000001</v>
      </c>
      <c r="N24" s="42"/>
    </row>
    <row r="25" spans="1:14">
      <c r="A25" s="26">
        <v>22</v>
      </c>
      <c r="B25" s="27">
        <v>46075</v>
      </c>
      <c r="C25" s="68"/>
      <c r="D25" s="161"/>
      <c r="E25" s="166">
        <v>0</v>
      </c>
      <c r="F25" s="166">
        <v>0</v>
      </c>
      <c r="G25" s="8">
        <f t="shared" si="4"/>
        <v>0</v>
      </c>
      <c r="H25" s="166">
        <v>0</v>
      </c>
      <c r="I25" s="166">
        <v>0</v>
      </c>
      <c r="J25" s="8">
        <f t="shared" si="2"/>
        <v>0</v>
      </c>
      <c r="K25" s="8">
        <f t="shared" si="3"/>
        <v>0</v>
      </c>
      <c r="L25" s="167">
        <v>0</v>
      </c>
      <c r="M25" s="167">
        <f t="shared" si="5"/>
        <v>323518.79810000001</v>
      </c>
      <c r="N25" s="42"/>
    </row>
    <row r="26" spans="1:14">
      <c r="A26" s="26">
        <v>23</v>
      </c>
      <c r="B26" s="27">
        <v>46076</v>
      </c>
      <c r="C26" s="68"/>
      <c r="D26" s="161"/>
      <c r="E26" s="166">
        <v>235</v>
      </c>
      <c r="F26" s="166">
        <v>91.93</v>
      </c>
      <c r="G26" s="8">
        <f t="shared" si="4"/>
        <v>21603.550000000003</v>
      </c>
      <c r="H26" s="166">
        <v>0</v>
      </c>
      <c r="I26" s="166">
        <v>0</v>
      </c>
      <c r="J26" s="8">
        <f t="shared" si="2"/>
        <v>0</v>
      </c>
      <c r="K26" s="8">
        <f t="shared" si="3"/>
        <v>21603.550000000003</v>
      </c>
      <c r="L26" s="167">
        <v>0</v>
      </c>
      <c r="M26" s="167">
        <f t="shared" si="5"/>
        <v>345122.3481</v>
      </c>
      <c r="N26" s="42"/>
    </row>
    <row r="27" spans="1:14">
      <c r="A27" s="26">
        <v>24</v>
      </c>
      <c r="B27" s="27">
        <v>46077</v>
      </c>
      <c r="C27" s="68"/>
      <c r="D27" s="161"/>
      <c r="E27" s="166">
        <v>235</v>
      </c>
      <c r="F27" s="166">
        <v>91.93</v>
      </c>
      <c r="G27" s="8">
        <f t="shared" si="4"/>
        <v>21603.550000000003</v>
      </c>
      <c r="H27" s="166">
        <v>0</v>
      </c>
      <c r="I27" s="166">
        <v>0</v>
      </c>
      <c r="J27" s="8">
        <f t="shared" si="2"/>
        <v>0</v>
      </c>
      <c r="K27" s="8">
        <f t="shared" si="3"/>
        <v>21603.550000000003</v>
      </c>
      <c r="L27" s="167">
        <v>0</v>
      </c>
      <c r="M27" s="167">
        <f t="shared" si="5"/>
        <v>366725.89809999999</v>
      </c>
      <c r="N27" s="42"/>
    </row>
    <row r="28" spans="1:14">
      <c r="A28" s="26">
        <v>25</v>
      </c>
      <c r="B28" s="27">
        <v>46078</v>
      </c>
      <c r="C28" s="68"/>
      <c r="D28" s="161"/>
      <c r="E28" s="166">
        <v>0</v>
      </c>
      <c r="F28" s="166">
        <v>0</v>
      </c>
      <c r="G28" s="8">
        <f t="shared" si="4"/>
        <v>0</v>
      </c>
      <c r="H28" s="166">
        <v>0</v>
      </c>
      <c r="I28" s="166">
        <v>0</v>
      </c>
      <c r="J28" s="8">
        <f t="shared" si="2"/>
        <v>0</v>
      </c>
      <c r="K28" s="8">
        <f t="shared" si="3"/>
        <v>0</v>
      </c>
      <c r="L28" s="167">
        <v>0</v>
      </c>
      <c r="M28" s="167">
        <f t="shared" si="5"/>
        <v>366725.89809999999</v>
      </c>
      <c r="N28" s="42"/>
    </row>
    <row r="29" spans="1:14">
      <c r="A29" s="26">
        <v>26</v>
      </c>
      <c r="B29" s="27">
        <v>46079</v>
      </c>
      <c r="C29" s="197"/>
      <c r="D29" s="161"/>
      <c r="E29" s="166">
        <v>440</v>
      </c>
      <c r="F29" s="166">
        <v>91.93</v>
      </c>
      <c r="G29" s="8">
        <f t="shared" si="4"/>
        <v>40449.200000000004</v>
      </c>
      <c r="H29" s="166">
        <v>35</v>
      </c>
      <c r="I29" s="166">
        <v>103.89</v>
      </c>
      <c r="J29" s="8">
        <f t="shared" si="2"/>
        <v>3636.15</v>
      </c>
      <c r="K29" s="8">
        <f t="shared" si="3"/>
        <v>44085.350000000006</v>
      </c>
      <c r="L29" s="167">
        <v>200000</v>
      </c>
      <c r="M29" s="167">
        <f t="shared" si="5"/>
        <v>210811.24809999997</v>
      </c>
      <c r="N29" s="42"/>
    </row>
    <row r="30" spans="1:14">
      <c r="A30" s="26">
        <v>27</v>
      </c>
      <c r="B30" s="27">
        <v>46080</v>
      </c>
      <c r="C30" s="68"/>
      <c r="D30" s="161"/>
      <c r="E30" s="166">
        <v>50</v>
      </c>
      <c r="F30" s="166">
        <v>91.93</v>
      </c>
      <c r="G30" s="8">
        <f t="shared" si="4"/>
        <v>4596.5</v>
      </c>
      <c r="H30" s="166">
        <v>0</v>
      </c>
      <c r="I30" s="166">
        <v>0</v>
      </c>
      <c r="J30" s="8">
        <f t="shared" si="2"/>
        <v>0</v>
      </c>
      <c r="K30" s="8">
        <f t="shared" si="3"/>
        <v>4596.5</v>
      </c>
      <c r="L30" s="167">
        <v>0</v>
      </c>
      <c r="M30" s="167">
        <f t="shared" si="5"/>
        <v>215407.74809999997</v>
      </c>
      <c r="N30" s="42"/>
    </row>
    <row r="31" spans="1:14">
      <c r="A31" s="26">
        <v>28</v>
      </c>
      <c r="B31" s="27">
        <v>46081</v>
      </c>
      <c r="C31" s="68"/>
      <c r="D31" s="161"/>
      <c r="E31" s="166">
        <v>0</v>
      </c>
      <c r="F31" s="166">
        <v>0</v>
      </c>
      <c r="G31" s="8">
        <f t="shared" si="4"/>
        <v>0</v>
      </c>
      <c r="H31" s="166">
        <v>0</v>
      </c>
      <c r="I31" s="166">
        <v>0</v>
      </c>
      <c r="J31" s="8">
        <f t="shared" si="2"/>
        <v>0</v>
      </c>
      <c r="K31" s="8">
        <f t="shared" si="3"/>
        <v>0</v>
      </c>
      <c r="L31" s="167">
        <v>0</v>
      </c>
      <c r="M31" s="167">
        <f t="shared" si="5"/>
        <v>215407.74809999997</v>
      </c>
      <c r="N31" s="42"/>
    </row>
    <row r="32" spans="1:14">
      <c r="A32" s="26">
        <v>29</v>
      </c>
      <c r="B32" s="27"/>
      <c r="C32" s="68"/>
      <c r="D32" s="161"/>
      <c r="E32" s="166">
        <v>0</v>
      </c>
      <c r="F32" s="166">
        <v>0</v>
      </c>
      <c r="G32" s="8">
        <f t="shared" si="4"/>
        <v>0</v>
      </c>
      <c r="H32" s="166">
        <v>0</v>
      </c>
      <c r="I32" s="166">
        <v>0</v>
      </c>
      <c r="J32" s="8">
        <f t="shared" si="2"/>
        <v>0</v>
      </c>
      <c r="K32" s="8">
        <f t="shared" si="3"/>
        <v>0</v>
      </c>
      <c r="L32" s="167">
        <v>0</v>
      </c>
      <c r="M32" s="167">
        <f t="shared" si="5"/>
        <v>215407.74809999997</v>
      </c>
      <c r="N32" s="42"/>
    </row>
    <row r="33" spans="1:15">
      <c r="A33" s="26">
        <v>30</v>
      </c>
      <c r="B33" s="27"/>
      <c r="C33" s="68"/>
      <c r="D33" s="161"/>
      <c r="E33" s="166">
        <v>0</v>
      </c>
      <c r="F33" s="166">
        <v>0</v>
      </c>
      <c r="G33" s="8">
        <f t="shared" si="4"/>
        <v>0</v>
      </c>
      <c r="H33" s="166">
        <v>0</v>
      </c>
      <c r="I33" s="166">
        <v>0</v>
      </c>
      <c r="J33" s="8">
        <f t="shared" si="2"/>
        <v>0</v>
      </c>
      <c r="K33" s="8">
        <f t="shared" si="3"/>
        <v>0</v>
      </c>
      <c r="L33" s="167">
        <v>0</v>
      </c>
      <c r="M33" s="167">
        <f t="shared" si="5"/>
        <v>215407.74809999997</v>
      </c>
      <c r="N33" s="42"/>
    </row>
    <row r="34" spans="1:15">
      <c r="A34" s="26">
        <v>31</v>
      </c>
      <c r="B34" s="27"/>
      <c r="C34" s="68"/>
      <c r="D34" s="161"/>
      <c r="E34" s="166">
        <v>0</v>
      </c>
      <c r="F34" s="166">
        <v>0</v>
      </c>
      <c r="G34" s="8">
        <f t="shared" si="4"/>
        <v>0</v>
      </c>
      <c r="H34" s="166">
        <v>0</v>
      </c>
      <c r="I34" s="166">
        <v>0</v>
      </c>
      <c r="J34" s="8">
        <f t="shared" si="2"/>
        <v>0</v>
      </c>
      <c r="K34" s="8">
        <f t="shared" si="3"/>
        <v>0</v>
      </c>
      <c r="L34" s="167">
        <v>0</v>
      </c>
      <c r="M34" s="167">
        <f t="shared" si="5"/>
        <v>215407.74809999997</v>
      </c>
      <c r="N34" s="42"/>
    </row>
    <row r="35" spans="1:15">
      <c r="A35" s="162"/>
      <c r="B35" s="162"/>
      <c r="C35" s="162"/>
      <c r="D35" s="162"/>
      <c r="E35" s="163">
        <f>SUM(E4:E34)</f>
        <v>4214.84</v>
      </c>
      <c r="F35" s="163"/>
      <c r="G35" s="163">
        <f>SUM(G4:G34)</f>
        <v>387470.24120000005</v>
      </c>
      <c r="H35" s="163">
        <f>SUM(H4:H34)</f>
        <v>264</v>
      </c>
      <c r="I35" s="64"/>
      <c r="J35" s="163">
        <f>SUM(J4:J34)</f>
        <v>27426.959999999999</v>
      </c>
      <c r="K35" s="163">
        <f>SUM(K4:K34)</f>
        <v>414897.20120000001</v>
      </c>
      <c r="L35" s="163">
        <f>SUM(L4:L34)</f>
        <v>351000</v>
      </c>
      <c r="M35" s="64"/>
      <c r="N35" s="64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</row>
    <row r="42" spans="1:15">
      <c r="B42" s="60"/>
      <c r="G42" s="77"/>
      <c r="J42" s="60"/>
      <c r="K42" s="60"/>
      <c r="L42" s="60"/>
      <c r="M42" s="60"/>
      <c r="O42" s="75"/>
    </row>
    <row r="43" spans="1:15">
      <c r="B43" s="452"/>
      <c r="C43" s="452"/>
      <c r="D43" s="452"/>
      <c r="E43" s="452"/>
      <c r="I43" s="452"/>
      <c r="J43" s="452"/>
      <c r="K43" s="452"/>
      <c r="L43" s="452"/>
      <c r="M43" s="452"/>
      <c r="N43" s="452"/>
      <c r="O43" s="75"/>
    </row>
    <row r="44" spans="1:15">
      <c r="B44" s="60"/>
      <c r="J44" s="60"/>
      <c r="K44" s="60"/>
      <c r="L44" s="60"/>
      <c r="M44" s="60"/>
      <c r="O44" s="75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19" workbookViewId="0">
      <selection activeCell="L31" sqref="L31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36" t="s">
        <v>58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>
      <c r="A2" s="99" t="s">
        <v>101</v>
      </c>
      <c r="B2" s="100" t="s">
        <v>155</v>
      </c>
      <c r="C2" s="100" t="s">
        <v>156</v>
      </c>
      <c r="D2" s="100" t="s">
        <v>173</v>
      </c>
      <c r="E2" s="100" t="s">
        <v>158</v>
      </c>
      <c r="F2" s="100" t="s">
        <v>159</v>
      </c>
      <c r="G2" s="228" t="s">
        <v>160</v>
      </c>
      <c r="H2" s="228" t="s">
        <v>161</v>
      </c>
      <c r="I2" s="228" t="s">
        <v>159</v>
      </c>
      <c r="J2" s="228" t="s">
        <v>160</v>
      </c>
      <c r="K2" s="229" t="s">
        <v>162</v>
      </c>
      <c r="L2" s="229" t="s">
        <v>163</v>
      </c>
      <c r="M2" s="144" t="s">
        <v>174</v>
      </c>
      <c r="N2" s="102" t="s">
        <v>165</v>
      </c>
    </row>
    <row r="3" spans="1:14">
      <c r="A3" s="468" t="s">
        <v>166</v>
      </c>
      <c r="B3" s="469"/>
      <c r="C3" s="469"/>
      <c r="D3" s="469"/>
      <c r="E3" s="469"/>
      <c r="F3" s="469"/>
      <c r="G3" s="469"/>
      <c r="H3" s="469"/>
      <c r="I3" s="469"/>
      <c r="J3" s="470"/>
      <c r="K3" s="216">
        <v>0</v>
      </c>
      <c r="L3" s="216"/>
      <c r="M3" s="175">
        <f>+K3</f>
        <v>0</v>
      </c>
      <c r="N3" s="217"/>
    </row>
    <row r="4" spans="1:14">
      <c r="A4" s="26">
        <v>1</v>
      </c>
      <c r="B4" s="27">
        <v>46054</v>
      </c>
      <c r="C4" s="17"/>
      <c r="D4" s="17"/>
      <c r="E4" s="196"/>
      <c r="F4" s="196"/>
      <c r="G4" s="211">
        <f>E4*F4</f>
        <v>0</v>
      </c>
      <c r="H4" s="270"/>
      <c r="I4" s="211"/>
      <c r="J4" s="211">
        <f>H4*I4</f>
        <v>0</v>
      </c>
      <c r="K4" s="211">
        <f>G4+J4</f>
        <v>0</v>
      </c>
      <c r="L4" s="211">
        <f>+K4</f>
        <v>0</v>
      </c>
      <c r="M4" s="196"/>
      <c r="N4" s="17"/>
    </row>
    <row r="5" spans="1:14">
      <c r="A5" s="26">
        <v>2</v>
      </c>
      <c r="B5" s="27">
        <v>46055</v>
      </c>
      <c r="C5" s="17"/>
      <c r="D5" s="17"/>
      <c r="E5" s="196"/>
      <c r="F5" s="196"/>
      <c r="G5" s="211">
        <f t="shared" ref="G5:G32" si="0">E5*F5</f>
        <v>0</v>
      </c>
      <c r="H5" s="270"/>
      <c r="I5" s="211"/>
      <c r="J5" s="211">
        <f>H5*I5</f>
        <v>0</v>
      </c>
      <c r="K5" s="211">
        <f t="shared" ref="K5:K34" si="1">G5+J5</f>
        <v>0</v>
      </c>
      <c r="L5" s="211">
        <f t="shared" ref="L5:L33" si="2">+K5</f>
        <v>0</v>
      </c>
      <c r="M5" s="196"/>
      <c r="N5" s="17"/>
    </row>
    <row r="6" spans="1:14">
      <c r="A6" s="26">
        <v>3</v>
      </c>
      <c r="B6" s="27">
        <v>46056</v>
      </c>
      <c r="C6" s="17"/>
      <c r="D6" s="17"/>
      <c r="E6" s="196"/>
      <c r="F6" s="196"/>
      <c r="G6" s="211">
        <f t="shared" si="0"/>
        <v>0</v>
      </c>
      <c r="H6" s="270"/>
      <c r="I6" s="211"/>
      <c r="J6" s="211">
        <f t="shared" ref="J6:J34" si="3">H6*I6</f>
        <v>0</v>
      </c>
      <c r="K6" s="211">
        <f t="shared" si="1"/>
        <v>0</v>
      </c>
      <c r="L6" s="211">
        <f t="shared" si="2"/>
        <v>0</v>
      </c>
      <c r="M6" s="196"/>
      <c r="N6" s="17"/>
    </row>
    <row r="7" spans="1:14">
      <c r="A7" s="26">
        <v>4</v>
      </c>
      <c r="B7" s="27">
        <v>46057</v>
      </c>
      <c r="C7" s="17"/>
      <c r="D7" s="17"/>
      <c r="E7" s="196"/>
      <c r="F7" s="196"/>
      <c r="G7" s="211">
        <f t="shared" si="0"/>
        <v>0</v>
      </c>
      <c r="H7" s="270"/>
      <c r="I7" s="211"/>
      <c r="J7" s="211">
        <f t="shared" si="3"/>
        <v>0</v>
      </c>
      <c r="K7" s="211">
        <f t="shared" si="1"/>
        <v>0</v>
      </c>
      <c r="L7" s="211">
        <f t="shared" si="2"/>
        <v>0</v>
      </c>
      <c r="M7" s="196"/>
      <c r="N7" s="17"/>
    </row>
    <row r="8" spans="1:14">
      <c r="A8" s="26">
        <v>5</v>
      </c>
      <c r="B8" s="27">
        <v>46058</v>
      </c>
      <c r="C8" s="17"/>
      <c r="D8" s="17"/>
      <c r="E8" s="196"/>
      <c r="F8" s="196"/>
      <c r="G8" s="211">
        <f t="shared" si="0"/>
        <v>0</v>
      </c>
      <c r="H8" s="270"/>
      <c r="I8" s="211"/>
      <c r="J8" s="211">
        <f t="shared" si="3"/>
        <v>0</v>
      </c>
      <c r="K8" s="211">
        <f t="shared" si="1"/>
        <v>0</v>
      </c>
      <c r="L8" s="211">
        <f t="shared" si="2"/>
        <v>0</v>
      </c>
      <c r="M8" s="196"/>
      <c r="N8" s="17"/>
    </row>
    <row r="9" spans="1:14">
      <c r="A9" s="26">
        <v>6</v>
      </c>
      <c r="B9" s="27">
        <v>46059</v>
      </c>
      <c r="C9" s="17"/>
      <c r="D9" s="17"/>
      <c r="E9" s="196"/>
      <c r="F9" s="196"/>
      <c r="G9" s="211">
        <f t="shared" si="0"/>
        <v>0</v>
      </c>
      <c r="H9" s="270"/>
      <c r="I9" s="211"/>
      <c r="J9" s="211">
        <f t="shared" si="3"/>
        <v>0</v>
      </c>
      <c r="K9" s="211">
        <f t="shared" si="1"/>
        <v>0</v>
      </c>
      <c r="L9" s="211">
        <f t="shared" si="2"/>
        <v>0</v>
      </c>
      <c r="M9" s="196"/>
      <c r="N9" s="17"/>
    </row>
    <row r="10" spans="1:14">
      <c r="A10" s="26">
        <v>7</v>
      </c>
      <c r="B10" s="27">
        <v>46060</v>
      </c>
      <c r="C10" s="17"/>
      <c r="D10" s="17"/>
      <c r="E10" s="196"/>
      <c r="F10" s="196"/>
      <c r="G10" s="211">
        <f t="shared" si="0"/>
        <v>0</v>
      </c>
      <c r="H10" s="270"/>
      <c r="I10" s="211"/>
      <c r="J10" s="211">
        <f t="shared" si="3"/>
        <v>0</v>
      </c>
      <c r="K10" s="211">
        <f t="shared" si="1"/>
        <v>0</v>
      </c>
      <c r="L10" s="211">
        <f t="shared" si="2"/>
        <v>0</v>
      </c>
      <c r="M10" s="196"/>
      <c r="N10" s="17"/>
    </row>
    <row r="11" spans="1:14">
      <c r="A11" s="26">
        <v>8</v>
      </c>
      <c r="B11" s="27">
        <v>46061</v>
      </c>
      <c r="C11" s="17"/>
      <c r="D11" s="17"/>
      <c r="E11" s="196"/>
      <c r="F11" s="196">
        <v>16.11</v>
      </c>
      <c r="G11" s="211">
        <v>91.59</v>
      </c>
      <c r="H11" s="270"/>
      <c r="I11" s="211"/>
      <c r="J11" s="211">
        <f t="shared" si="3"/>
        <v>0</v>
      </c>
      <c r="K11" s="211">
        <f t="shared" si="1"/>
        <v>91.59</v>
      </c>
      <c r="L11" s="211">
        <f t="shared" si="2"/>
        <v>91.59</v>
      </c>
      <c r="M11" s="196"/>
      <c r="N11" s="17"/>
    </row>
    <row r="12" spans="1:14">
      <c r="A12" s="26">
        <v>9</v>
      </c>
      <c r="B12" s="27">
        <v>46062</v>
      </c>
      <c r="C12" s="17"/>
      <c r="D12" s="17"/>
      <c r="E12" s="196"/>
      <c r="F12" s="196"/>
      <c r="G12" s="211">
        <f t="shared" si="0"/>
        <v>0</v>
      </c>
      <c r="H12" s="270"/>
      <c r="I12" s="211"/>
      <c r="J12" s="211">
        <f t="shared" si="3"/>
        <v>0</v>
      </c>
      <c r="K12" s="211">
        <f t="shared" si="1"/>
        <v>0</v>
      </c>
      <c r="L12" s="211">
        <f t="shared" si="2"/>
        <v>0</v>
      </c>
      <c r="M12" s="196"/>
      <c r="N12" s="17"/>
    </row>
    <row r="13" spans="1:14">
      <c r="A13" s="26">
        <v>10</v>
      </c>
      <c r="B13" s="27">
        <v>46063</v>
      </c>
      <c r="C13" s="17"/>
      <c r="D13" s="17"/>
      <c r="E13" s="196">
        <v>20</v>
      </c>
      <c r="F13" s="196">
        <v>91.59</v>
      </c>
      <c r="G13" s="211">
        <f t="shared" si="0"/>
        <v>1831.8000000000002</v>
      </c>
      <c r="H13" s="270"/>
      <c r="I13" s="211"/>
      <c r="J13" s="211">
        <f t="shared" si="3"/>
        <v>0</v>
      </c>
      <c r="K13" s="211">
        <f t="shared" si="1"/>
        <v>1831.8000000000002</v>
      </c>
      <c r="L13" s="211">
        <f t="shared" si="2"/>
        <v>1831.8000000000002</v>
      </c>
      <c r="M13" s="196"/>
      <c r="N13" s="17"/>
    </row>
    <row r="14" spans="1:14">
      <c r="A14" s="26">
        <v>11</v>
      </c>
      <c r="B14" s="27">
        <v>46064</v>
      </c>
      <c r="C14" s="17"/>
      <c r="D14" s="17"/>
      <c r="E14" s="196">
        <v>66.010000000000005</v>
      </c>
      <c r="F14" s="196">
        <v>91.59</v>
      </c>
      <c r="G14" s="211">
        <f t="shared" si="0"/>
        <v>6045.8559000000005</v>
      </c>
      <c r="H14" s="270"/>
      <c r="I14" s="211"/>
      <c r="J14" s="211">
        <f t="shared" si="3"/>
        <v>0</v>
      </c>
      <c r="K14" s="211">
        <f t="shared" si="1"/>
        <v>6045.8559000000005</v>
      </c>
      <c r="L14" s="211">
        <f t="shared" si="2"/>
        <v>6045.8559000000005</v>
      </c>
      <c r="M14" s="196"/>
      <c r="N14" s="17"/>
    </row>
    <row r="15" spans="1:14">
      <c r="A15" s="26">
        <v>12</v>
      </c>
      <c r="B15" s="27">
        <v>46065</v>
      </c>
      <c r="C15" s="17"/>
      <c r="D15" s="17"/>
      <c r="E15" s="196"/>
      <c r="F15" s="196"/>
      <c r="G15" s="211">
        <f t="shared" si="0"/>
        <v>0</v>
      </c>
      <c r="H15" s="270"/>
      <c r="I15" s="211"/>
      <c r="J15" s="211">
        <f t="shared" si="3"/>
        <v>0</v>
      </c>
      <c r="K15" s="211">
        <f t="shared" si="1"/>
        <v>0</v>
      </c>
      <c r="L15" s="211">
        <f t="shared" si="2"/>
        <v>0</v>
      </c>
      <c r="M15" s="196"/>
      <c r="N15" s="17"/>
    </row>
    <row r="16" spans="1:14">
      <c r="A16" s="26">
        <v>13</v>
      </c>
      <c r="B16" s="27">
        <v>46066</v>
      </c>
      <c r="C16" s="17"/>
      <c r="D16" s="17"/>
      <c r="E16" s="196">
        <v>70</v>
      </c>
      <c r="F16" s="196">
        <v>91.59</v>
      </c>
      <c r="G16" s="211">
        <f t="shared" si="0"/>
        <v>6411.3</v>
      </c>
      <c r="H16" s="270"/>
      <c r="I16" s="211"/>
      <c r="J16" s="211">
        <f t="shared" si="3"/>
        <v>0</v>
      </c>
      <c r="K16" s="211">
        <f t="shared" si="1"/>
        <v>6411.3</v>
      </c>
      <c r="L16" s="211">
        <f t="shared" si="2"/>
        <v>6411.3</v>
      </c>
      <c r="M16" s="196"/>
      <c r="N16" s="17"/>
    </row>
    <row r="17" spans="1:15">
      <c r="A17" s="26">
        <v>14</v>
      </c>
      <c r="B17" s="27">
        <v>46067</v>
      </c>
      <c r="C17" s="17"/>
      <c r="D17" s="17"/>
      <c r="E17" s="196"/>
      <c r="F17" s="196"/>
      <c r="G17" s="211">
        <f t="shared" si="0"/>
        <v>0</v>
      </c>
      <c r="H17" s="270">
        <v>3.66</v>
      </c>
      <c r="I17" s="211">
        <v>103.53</v>
      </c>
      <c r="J17" s="211">
        <f t="shared" si="3"/>
        <v>378.91980000000001</v>
      </c>
      <c r="K17" s="211">
        <f t="shared" si="1"/>
        <v>378.91980000000001</v>
      </c>
      <c r="L17" s="211">
        <f t="shared" si="2"/>
        <v>378.91980000000001</v>
      </c>
      <c r="M17" s="196"/>
      <c r="N17" s="17"/>
    </row>
    <row r="18" spans="1:15">
      <c r="A18" s="26">
        <v>15</v>
      </c>
      <c r="B18" s="27">
        <v>46068</v>
      </c>
      <c r="C18" s="17"/>
      <c r="D18" s="17"/>
      <c r="E18" s="196"/>
      <c r="F18" s="196"/>
      <c r="G18" s="211">
        <f t="shared" si="0"/>
        <v>0</v>
      </c>
      <c r="H18" s="270"/>
      <c r="I18" s="211"/>
      <c r="J18" s="211">
        <f t="shared" si="3"/>
        <v>0</v>
      </c>
      <c r="K18" s="211">
        <f t="shared" si="1"/>
        <v>0</v>
      </c>
      <c r="L18" s="211">
        <f t="shared" si="2"/>
        <v>0</v>
      </c>
      <c r="M18" s="196"/>
      <c r="N18" s="17"/>
    </row>
    <row r="19" spans="1:15">
      <c r="A19" s="26">
        <v>16</v>
      </c>
      <c r="B19" s="27">
        <v>46069</v>
      </c>
      <c r="C19" s="17"/>
      <c r="D19" s="17"/>
      <c r="E19" s="196"/>
      <c r="F19" s="196"/>
      <c r="G19" s="211">
        <f t="shared" si="0"/>
        <v>0</v>
      </c>
      <c r="H19" s="270"/>
      <c r="I19" s="211"/>
      <c r="J19" s="211">
        <f t="shared" si="3"/>
        <v>0</v>
      </c>
      <c r="K19" s="211">
        <f t="shared" si="1"/>
        <v>0</v>
      </c>
      <c r="L19" s="211">
        <f t="shared" si="2"/>
        <v>0</v>
      </c>
      <c r="M19" s="196"/>
      <c r="N19" s="17"/>
    </row>
    <row r="20" spans="1:15">
      <c r="A20" s="26">
        <v>17</v>
      </c>
      <c r="B20" s="27">
        <v>46070</v>
      </c>
      <c r="C20" s="17"/>
      <c r="D20" s="17"/>
      <c r="E20" s="196"/>
      <c r="F20" s="196"/>
      <c r="G20" s="211">
        <f t="shared" si="0"/>
        <v>0</v>
      </c>
      <c r="H20" s="270"/>
      <c r="I20" s="211"/>
      <c r="J20" s="211">
        <f t="shared" si="3"/>
        <v>0</v>
      </c>
      <c r="K20" s="211">
        <f t="shared" si="1"/>
        <v>0</v>
      </c>
      <c r="L20" s="211">
        <f t="shared" si="2"/>
        <v>0</v>
      </c>
      <c r="M20" s="196"/>
      <c r="N20" s="17"/>
    </row>
    <row r="21" spans="1:15">
      <c r="A21" s="26">
        <v>18</v>
      </c>
      <c r="B21" s="27">
        <v>46071</v>
      </c>
      <c r="C21" s="17"/>
      <c r="D21" s="17"/>
      <c r="E21" s="196">
        <v>72.430000000000007</v>
      </c>
      <c r="F21" s="196">
        <v>91.6</v>
      </c>
      <c r="G21" s="211">
        <f t="shared" si="0"/>
        <v>6634.5880000000006</v>
      </c>
      <c r="H21" s="270"/>
      <c r="I21" s="211"/>
      <c r="J21" s="211">
        <f t="shared" si="3"/>
        <v>0</v>
      </c>
      <c r="K21" s="211">
        <f t="shared" si="1"/>
        <v>6634.5880000000006</v>
      </c>
      <c r="L21" s="211">
        <f t="shared" si="2"/>
        <v>6634.5880000000006</v>
      </c>
      <c r="M21" s="196"/>
    </row>
    <row r="22" spans="1:15">
      <c r="A22" s="26">
        <v>19</v>
      </c>
      <c r="B22" s="27">
        <v>46072</v>
      </c>
      <c r="C22" s="17"/>
      <c r="D22" s="17"/>
      <c r="E22" s="196"/>
      <c r="F22" s="196"/>
      <c r="G22" s="211">
        <f t="shared" si="0"/>
        <v>0</v>
      </c>
      <c r="H22" s="270"/>
      <c r="I22" s="211"/>
      <c r="J22" s="211">
        <f t="shared" si="3"/>
        <v>0</v>
      </c>
      <c r="K22" s="211">
        <f t="shared" si="1"/>
        <v>0</v>
      </c>
      <c r="L22" s="211">
        <f t="shared" si="2"/>
        <v>0</v>
      </c>
      <c r="M22" s="196"/>
      <c r="N22" s="17"/>
    </row>
    <row r="23" spans="1:15">
      <c r="A23" s="26">
        <v>20</v>
      </c>
      <c r="B23" s="27">
        <v>46073</v>
      </c>
      <c r="C23" s="17"/>
      <c r="D23" s="17"/>
      <c r="E23" s="196">
        <v>16</v>
      </c>
      <c r="F23" s="196">
        <v>91.59</v>
      </c>
      <c r="G23" s="211">
        <f t="shared" si="0"/>
        <v>1465.44</v>
      </c>
      <c r="H23" s="270"/>
      <c r="I23" s="211"/>
      <c r="J23" s="211">
        <f t="shared" si="3"/>
        <v>0</v>
      </c>
      <c r="K23" s="211">
        <f t="shared" si="1"/>
        <v>1465.44</v>
      </c>
      <c r="L23" s="211">
        <f t="shared" si="2"/>
        <v>1465.44</v>
      </c>
      <c r="M23" s="196"/>
      <c r="N23" s="17"/>
    </row>
    <row r="24" spans="1:15">
      <c r="A24" s="26">
        <v>21</v>
      </c>
      <c r="B24" s="27">
        <v>46074</v>
      </c>
      <c r="C24" s="17"/>
      <c r="D24" s="17"/>
      <c r="E24" s="196">
        <v>25</v>
      </c>
      <c r="F24" s="196">
        <v>91.59</v>
      </c>
      <c r="G24" s="211">
        <f t="shared" si="0"/>
        <v>2289.75</v>
      </c>
      <c r="H24" s="270"/>
      <c r="I24" s="211"/>
      <c r="J24" s="211">
        <f t="shared" si="3"/>
        <v>0</v>
      </c>
      <c r="K24" s="211">
        <f t="shared" si="1"/>
        <v>2289.75</v>
      </c>
      <c r="L24" s="211">
        <f t="shared" si="2"/>
        <v>2289.75</v>
      </c>
      <c r="M24" s="196"/>
      <c r="N24" s="17"/>
    </row>
    <row r="25" spans="1:15">
      <c r="A25" s="26">
        <v>22</v>
      </c>
      <c r="B25" s="27">
        <v>46075</v>
      </c>
      <c r="C25" s="17"/>
      <c r="D25" s="17"/>
      <c r="E25" s="196"/>
      <c r="F25" s="196"/>
      <c r="G25" s="211">
        <f t="shared" si="0"/>
        <v>0</v>
      </c>
      <c r="H25" s="270"/>
      <c r="I25" s="211"/>
      <c r="J25" s="211">
        <f t="shared" si="3"/>
        <v>0</v>
      </c>
      <c r="K25" s="211">
        <f t="shared" si="1"/>
        <v>0</v>
      </c>
      <c r="L25" s="211">
        <f t="shared" si="2"/>
        <v>0</v>
      </c>
      <c r="M25" s="196"/>
      <c r="N25" s="17"/>
    </row>
    <row r="26" spans="1:15">
      <c r="A26" s="26">
        <v>23</v>
      </c>
      <c r="B26" s="27">
        <v>46076</v>
      </c>
      <c r="C26" s="17"/>
      <c r="D26" s="17"/>
      <c r="E26" s="196">
        <v>25</v>
      </c>
      <c r="F26" s="196">
        <v>91.59</v>
      </c>
      <c r="G26" s="211">
        <f t="shared" si="0"/>
        <v>2289.75</v>
      </c>
      <c r="H26" s="270"/>
      <c r="I26" s="211"/>
      <c r="J26" s="211">
        <f t="shared" si="3"/>
        <v>0</v>
      </c>
      <c r="K26" s="211">
        <f t="shared" si="1"/>
        <v>2289.75</v>
      </c>
      <c r="L26" s="211">
        <f t="shared" si="2"/>
        <v>2289.75</v>
      </c>
      <c r="M26" s="196"/>
      <c r="N26" s="17"/>
    </row>
    <row r="27" spans="1:15">
      <c r="A27" s="26">
        <v>24</v>
      </c>
      <c r="B27" s="27">
        <v>46077</v>
      </c>
      <c r="C27" s="17"/>
      <c r="D27" s="17"/>
      <c r="E27" s="196"/>
      <c r="F27" s="196"/>
      <c r="G27" s="211">
        <f t="shared" si="0"/>
        <v>0</v>
      </c>
      <c r="H27" s="270"/>
      <c r="I27" s="211"/>
      <c r="J27" s="211">
        <f t="shared" si="3"/>
        <v>0</v>
      </c>
      <c r="K27" s="211">
        <f t="shared" ref="K27:K33" si="4">G27+J27</f>
        <v>0</v>
      </c>
      <c r="L27" s="211">
        <f t="shared" si="2"/>
        <v>0</v>
      </c>
      <c r="M27" s="196"/>
      <c r="N27" s="17"/>
      <c r="O27">
        <v>0</v>
      </c>
    </row>
    <row r="28" spans="1:15">
      <c r="A28" s="26">
        <v>25</v>
      </c>
      <c r="B28" s="27">
        <v>46078</v>
      </c>
      <c r="C28" s="17"/>
      <c r="D28" s="17"/>
      <c r="E28" s="196">
        <v>115</v>
      </c>
      <c r="F28" s="196">
        <v>91.59</v>
      </c>
      <c r="G28" s="211">
        <f t="shared" si="0"/>
        <v>10532.85</v>
      </c>
      <c r="H28" s="270"/>
      <c r="I28" s="211"/>
      <c r="J28" s="211">
        <f t="shared" si="3"/>
        <v>0</v>
      </c>
      <c r="K28" s="211">
        <f t="shared" si="4"/>
        <v>10532.85</v>
      </c>
      <c r="L28" s="211">
        <f t="shared" si="2"/>
        <v>10532.85</v>
      </c>
      <c r="M28" s="196"/>
      <c r="N28" s="17"/>
    </row>
    <row r="29" spans="1:15">
      <c r="A29" s="26">
        <v>26</v>
      </c>
      <c r="B29" s="27">
        <v>46079</v>
      </c>
      <c r="C29" s="17"/>
      <c r="D29" s="17"/>
      <c r="E29" s="196"/>
      <c r="F29" s="196"/>
      <c r="G29" s="211">
        <f t="shared" si="0"/>
        <v>0</v>
      </c>
      <c r="H29" s="270"/>
      <c r="I29" s="211"/>
      <c r="J29" s="211">
        <f t="shared" si="3"/>
        <v>0</v>
      </c>
      <c r="K29" s="211">
        <f t="shared" si="4"/>
        <v>0</v>
      </c>
      <c r="L29" s="211">
        <f t="shared" si="2"/>
        <v>0</v>
      </c>
      <c r="M29" s="196"/>
      <c r="N29" s="17"/>
    </row>
    <row r="30" spans="1:15">
      <c r="A30" s="26">
        <v>27</v>
      </c>
      <c r="B30" s="27">
        <v>46080</v>
      </c>
      <c r="C30" s="17"/>
      <c r="D30" s="17"/>
      <c r="E30" s="196">
        <v>25</v>
      </c>
      <c r="F30" s="196">
        <v>91.59</v>
      </c>
      <c r="G30" s="211">
        <f t="shared" si="0"/>
        <v>2289.75</v>
      </c>
      <c r="H30" s="270">
        <v>8</v>
      </c>
      <c r="I30" s="211">
        <v>103.53</v>
      </c>
      <c r="J30" s="211">
        <f t="shared" si="3"/>
        <v>828.24</v>
      </c>
      <c r="K30" s="211">
        <f t="shared" si="4"/>
        <v>3117.99</v>
      </c>
      <c r="L30" s="211">
        <f t="shared" si="2"/>
        <v>3117.99</v>
      </c>
      <c r="M30" s="196"/>
      <c r="N30" s="17"/>
    </row>
    <row r="31" spans="1:15">
      <c r="A31" s="219">
        <v>28</v>
      </c>
      <c r="B31" s="27">
        <v>46081</v>
      </c>
      <c r="C31" s="17"/>
      <c r="D31" s="17"/>
      <c r="E31" s="196">
        <v>10</v>
      </c>
      <c r="F31" s="196">
        <v>91.59</v>
      </c>
      <c r="G31" s="211">
        <f t="shared" si="0"/>
        <v>915.90000000000009</v>
      </c>
      <c r="H31" s="270"/>
      <c r="I31" s="211"/>
      <c r="J31" s="211">
        <f t="shared" si="3"/>
        <v>0</v>
      </c>
      <c r="K31" s="211">
        <f t="shared" si="4"/>
        <v>915.90000000000009</v>
      </c>
      <c r="L31" s="211">
        <f t="shared" si="2"/>
        <v>915.90000000000009</v>
      </c>
      <c r="M31" s="196"/>
      <c r="N31" s="95"/>
    </row>
    <row r="32" spans="1:15">
      <c r="A32" s="26">
        <v>29</v>
      </c>
      <c r="B32" s="27">
        <v>46082</v>
      </c>
      <c r="C32" s="17"/>
      <c r="D32" s="17"/>
      <c r="E32" s="196"/>
      <c r="F32" s="196"/>
      <c r="G32" s="211">
        <f t="shared" si="0"/>
        <v>0</v>
      </c>
      <c r="H32" s="270"/>
      <c r="I32" s="211"/>
      <c r="J32" s="211">
        <f t="shared" si="3"/>
        <v>0</v>
      </c>
      <c r="K32" s="211">
        <f t="shared" si="4"/>
        <v>0</v>
      </c>
      <c r="L32" s="211">
        <f t="shared" si="2"/>
        <v>0</v>
      </c>
      <c r="M32" s="196"/>
      <c r="N32" s="17"/>
    </row>
    <row r="33" spans="1:14">
      <c r="A33" s="26">
        <v>30</v>
      </c>
      <c r="B33" s="27">
        <v>46083</v>
      </c>
      <c r="C33" s="17"/>
      <c r="D33" s="17"/>
      <c r="E33" s="196"/>
      <c r="F33" s="196"/>
      <c r="G33" s="211">
        <f t="shared" ref="G33:G34" si="5">E33*F33</f>
        <v>0</v>
      </c>
      <c r="H33" s="270"/>
      <c r="I33" s="211"/>
      <c r="J33" s="211">
        <f t="shared" si="3"/>
        <v>0</v>
      </c>
      <c r="K33" s="211">
        <f t="shared" si="4"/>
        <v>0</v>
      </c>
      <c r="L33" s="211">
        <f t="shared" si="2"/>
        <v>0</v>
      </c>
      <c r="M33" s="196"/>
      <c r="N33" s="17"/>
    </row>
    <row r="34" spans="1:14">
      <c r="A34" s="26">
        <v>31</v>
      </c>
      <c r="B34" s="27"/>
      <c r="C34" s="17"/>
      <c r="D34" s="17"/>
      <c r="E34" s="196"/>
      <c r="F34" s="196"/>
      <c r="G34" s="211">
        <f t="shared" si="5"/>
        <v>0</v>
      </c>
      <c r="H34" s="211"/>
      <c r="I34" s="211"/>
      <c r="J34" s="211">
        <f t="shared" si="3"/>
        <v>0</v>
      </c>
      <c r="K34" s="211">
        <f t="shared" si="1"/>
        <v>0</v>
      </c>
      <c r="L34" s="211"/>
      <c r="M34" s="196"/>
      <c r="N34" s="17"/>
    </row>
    <row r="35" spans="1:14">
      <c r="A35" s="183"/>
      <c r="B35" s="183"/>
      <c r="C35" s="183"/>
      <c r="D35" s="183"/>
      <c r="E35" s="183">
        <f>SUM(E4:E34)</f>
        <v>444.44</v>
      </c>
      <c r="F35" s="183"/>
      <c r="G35" s="183">
        <f>SUM(G4:G34)</f>
        <v>40798.573900000003</v>
      </c>
      <c r="H35" s="183">
        <f>SUM(H4:H34)</f>
        <v>11.66</v>
      </c>
      <c r="I35" s="183"/>
      <c r="J35" s="183">
        <f>SUM(J4:J34)</f>
        <v>1207.1597999999999</v>
      </c>
      <c r="K35" s="183">
        <f>SUM(K4:K34)</f>
        <v>42005.733699999997</v>
      </c>
      <c r="L35" s="183">
        <f>SUM(L4:L34)</f>
        <v>42005.733699999997</v>
      </c>
      <c r="M35" s="183"/>
      <c r="N35" s="183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5"/>
  <sheetViews>
    <sheetView workbookViewId="0">
      <pane ySplit="2" topLeftCell="A20" activePane="bottomLeft" state="frozen"/>
      <selection pane="bottomLeft" activeCell="E35" sqref="E35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471" t="s">
        <v>60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</row>
    <row r="2" spans="1:18">
      <c r="A2" s="65" t="s">
        <v>101</v>
      </c>
      <c r="B2" s="65" t="s">
        <v>155</v>
      </c>
      <c r="C2" s="65" t="s">
        <v>156</v>
      </c>
      <c r="D2" s="65" t="s">
        <v>157</v>
      </c>
      <c r="E2" s="92" t="s">
        <v>158</v>
      </c>
      <c r="F2" s="92" t="s">
        <v>159</v>
      </c>
      <c r="G2" s="92" t="s">
        <v>160</v>
      </c>
      <c r="H2" s="92" t="s">
        <v>161</v>
      </c>
      <c r="I2" s="92" t="s">
        <v>159</v>
      </c>
      <c r="J2" s="92" t="s">
        <v>160</v>
      </c>
      <c r="K2" s="92" t="s">
        <v>162</v>
      </c>
      <c r="L2" s="86" t="s">
        <v>163</v>
      </c>
      <c r="M2" s="86" t="s">
        <v>174</v>
      </c>
      <c r="N2" s="65" t="s">
        <v>165</v>
      </c>
    </row>
    <row r="3" spans="1:18">
      <c r="A3" s="472" t="s">
        <v>166</v>
      </c>
      <c r="B3" s="472"/>
      <c r="C3" s="472"/>
      <c r="D3" s="472"/>
      <c r="E3" s="472"/>
      <c r="F3" s="472"/>
      <c r="G3" s="472"/>
      <c r="H3" s="472"/>
      <c r="I3" s="472"/>
      <c r="J3" s="472"/>
      <c r="K3" s="180">
        <v>0</v>
      </c>
      <c r="L3" s="103"/>
      <c r="M3" s="103">
        <f>+K3</f>
        <v>0</v>
      </c>
    </row>
    <row r="4" spans="1:18">
      <c r="A4" s="26">
        <v>1</v>
      </c>
      <c r="B4" s="27">
        <v>45689</v>
      </c>
      <c r="C4" s="6"/>
      <c r="D4" s="6"/>
      <c r="E4" s="269">
        <v>100</v>
      </c>
      <c r="F4" s="45">
        <v>91.97</v>
      </c>
      <c r="G4" s="67">
        <f>E4*F4</f>
        <v>9197</v>
      </c>
      <c r="H4" s="45"/>
      <c r="I4" s="45"/>
      <c r="J4" s="67">
        <f>H4*I4</f>
        <v>0</v>
      </c>
      <c r="K4" s="67">
        <f>G4+J4</f>
        <v>9197</v>
      </c>
      <c r="L4" s="67">
        <v>0</v>
      </c>
      <c r="M4" s="67">
        <f>M3+K4-L4</f>
        <v>9197</v>
      </c>
      <c r="N4" s="6"/>
    </row>
    <row r="5" spans="1:18">
      <c r="A5" s="26">
        <v>2</v>
      </c>
      <c r="B5" s="27">
        <v>45690</v>
      </c>
      <c r="C5" s="6"/>
      <c r="D5" s="6"/>
      <c r="E5" s="269">
        <v>0</v>
      </c>
      <c r="F5" s="45">
        <v>0</v>
      </c>
      <c r="G5" s="67">
        <f t="shared" ref="G5:G33" si="0">E5*F5</f>
        <v>0</v>
      </c>
      <c r="H5" s="45"/>
      <c r="I5" s="45"/>
      <c r="J5" s="67">
        <f t="shared" ref="J5:J33" si="1">H5*I5</f>
        <v>0</v>
      </c>
      <c r="K5" s="67">
        <f t="shared" ref="K5:K33" si="2">G5+J5</f>
        <v>0</v>
      </c>
      <c r="L5" s="67">
        <f t="shared" ref="L5:L33" si="3">+K5</f>
        <v>0</v>
      </c>
      <c r="M5" s="67">
        <f t="shared" ref="M5:M30" si="4">M4+K5-L5</f>
        <v>9197</v>
      </c>
      <c r="N5" s="6"/>
    </row>
    <row r="6" spans="1:18">
      <c r="A6" s="26">
        <v>3</v>
      </c>
      <c r="B6" s="27">
        <v>45691</v>
      </c>
      <c r="C6" s="6"/>
      <c r="D6" s="6"/>
      <c r="E6" s="269">
        <v>100</v>
      </c>
      <c r="F6" s="45">
        <v>91.97</v>
      </c>
      <c r="G6" s="67">
        <f t="shared" ref="G6:G34" si="5">E6*F6</f>
        <v>9197</v>
      </c>
      <c r="H6" s="45">
        <v>5</v>
      </c>
      <c r="I6" s="45">
        <v>104.01</v>
      </c>
      <c r="J6" s="67">
        <f t="shared" ref="J6:J34" si="6">H6*I6</f>
        <v>520.05000000000007</v>
      </c>
      <c r="K6" s="67">
        <f t="shared" si="2"/>
        <v>9717.0499999999993</v>
      </c>
      <c r="L6" s="67">
        <v>0</v>
      </c>
      <c r="M6" s="67">
        <f t="shared" si="4"/>
        <v>18914.05</v>
      </c>
      <c r="N6" s="6"/>
    </row>
    <row r="7" spans="1:18">
      <c r="A7" s="26">
        <v>4</v>
      </c>
      <c r="B7" s="27">
        <v>45692</v>
      </c>
      <c r="C7" s="6"/>
      <c r="D7" s="6"/>
      <c r="E7" s="269">
        <v>90</v>
      </c>
      <c r="F7" s="45">
        <v>91.97</v>
      </c>
      <c r="G7" s="67">
        <f t="shared" si="5"/>
        <v>8277.2999999999993</v>
      </c>
      <c r="H7" s="45">
        <v>10</v>
      </c>
      <c r="I7" s="45">
        <v>104.01</v>
      </c>
      <c r="J7" s="67">
        <f t="shared" si="6"/>
        <v>1040.1000000000001</v>
      </c>
      <c r="K7" s="67">
        <f t="shared" si="2"/>
        <v>9317.4</v>
      </c>
      <c r="L7" s="67">
        <v>0</v>
      </c>
      <c r="M7" s="67">
        <f t="shared" si="4"/>
        <v>28231.449999999997</v>
      </c>
      <c r="N7" s="6"/>
    </row>
    <row r="8" spans="1:18">
      <c r="A8" s="26">
        <v>5</v>
      </c>
      <c r="B8" s="27">
        <v>45693</v>
      </c>
      <c r="C8" s="6"/>
      <c r="D8" s="6"/>
      <c r="E8" s="269">
        <v>100</v>
      </c>
      <c r="F8" s="45">
        <v>91.97</v>
      </c>
      <c r="G8" s="67">
        <f t="shared" si="5"/>
        <v>9197</v>
      </c>
      <c r="H8" s="45"/>
      <c r="I8" s="45"/>
      <c r="J8" s="67">
        <f t="shared" si="6"/>
        <v>0</v>
      </c>
      <c r="K8" s="67">
        <f t="shared" si="2"/>
        <v>9197</v>
      </c>
      <c r="L8" s="67">
        <v>0</v>
      </c>
      <c r="M8" s="67">
        <f t="shared" si="4"/>
        <v>37428.449999999997</v>
      </c>
      <c r="N8" s="6"/>
    </row>
    <row r="9" spans="1:18">
      <c r="A9" s="26">
        <v>6</v>
      </c>
      <c r="B9" s="27">
        <v>45694</v>
      </c>
      <c r="C9" s="6"/>
      <c r="D9" s="6"/>
      <c r="E9" s="269">
        <v>0</v>
      </c>
      <c r="F9" s="45">
        <v>0</v>
      </c>
      <c r="G9" s="67">
        <f t="shared" si="5"/>
        <v>0</v>
      </c>
      <c r="H9" s="45"/>
      <c r="I9" s="45"/>
      <c r="J9" s="67">
        <f t="shared" si="6"/>
        <v>0</v>
      </c>
      <c r="K9" s="67">
        <f t="shared" si="2"/>
        <v>0</v>
      </c>
      <c r="L9" s="67">
        <f t="shared" si="3"/>
        <v>0</v>
      </c>
      <c r="M9" s="67">
        <f t="shared" si="4"/>
        <v>37428.449999999997</v>
      </c>
      <c r="N9" s="6"/>
      <c r="R9" s="45">
        <v>91.92</v>
      </c>
    </row>
    <row r="10" spans="1:18">
      <c r="A10" s="26">
        <v>7</v>
      </c>
      <c r="B10" s="27">
        <v>45695</v>
      </c>
      <c r="C10" s="6"/>
      <c r="D10" s="6"/>
      <c r="E10" s="269">
        <v>100</v>
      </c>
      <c r="F10" s="45">
        <v>91.97</v>
      </c>
      <c r="G10" s="67">
        <f t="shared" si="5"/>
        <v>9197</v>
      </c>
      <c r="H10" s="45">
        <v>10</v>
      </c>
      <c r="I10" s="45">
        <v>104.01</v>
      </c>
      <c r="J10" s="67">
        <f t="shared" si="6"/>
        <v>1040.1000000000001</v>
      </c>
      <c r="K10" s="67">
        <f t="shared" si="2"/>
        <v>10237.1</v>
      </c>
      <c r="L10" s="67">
        <v>0</v>
      </c>
      <c r="M10" s="67">
        <f t="shared" si="4"/>
        <v>47665.549999999996</v>
      </c>
      <c r="N10" s="6"/>
    </row>
    <row r="11" spans="1:18">
      <c r="A11" s="26">
        <v>8</v>
      </c>
      <c r="B11" s="27">
        <v>45696</v>
      </c>
      <c r="C11" s="6"/>
      <c r="D11" s="6"/>
      <c r="E11" s="269">
        <v>120</v>
      </c>
      <c r="F11" s="45">
        <v>91.97</v>
      </c>
      <c r="G11" s="67">
        <f t="shared" si="5"/>
        <v>11036.4</v>
      </c>
      <c r="H11" s="45"/>
      <c r="I11" s="45"/>
      <c r="J11" s="67">
        <f t="shared" si="6"/>
        <v>0</v>
      </c>
      <c r="K11" s="67">
        <f t="shared" si="2"/>
        <v>11036.4</v>
      </c>
      <c r="L11" s="67">
        <v>0</v>
      </c>
      <c r="M11" s="67">
        <f t="shared" si="4"/>
        <v>58701.95</v>
      </c>
      <c r="N11" s="6"/>
      <c r="R11" s="5">
        <f>6.5/675.74</f>
        <v>9.6190842631781459E-3</v>
      </c>
    </row>
    <row r="12" spans="1:18">
      <c r="A12" s="26">
        <v>9</v>
      </c>
      <c r="B12" s="27">
        <v>45697</v>
      </c>
      <c r="C12" s="6"/>
      <c r="D12" s="6"/>
      <c r="E12" s="269">
        <v>120</v>
      </c>
      <c r="F12" s="45">
        <v>91.97</v>
      </c>
      <c r="G12" s="67">
        <f t="shared" si="5"/>
        <v>11036.4</v>
      </c>
      <c r="H12" s="45">
        <v>5</v>
      </c>
      <c r="I12" s="45">
        <v>104.01</v>
      </c>
      <c r="J12" s="67">
        <f t="shared" si="6"/>
        <v>520.05000000000007</v>
      </c>
      <c r="K12" s="67">
        <f t="shared" si="2"/>
        <v>11556.449999999999</v>
      </c>
      <c r="L12" s="67">
        <v>0</v>
      </c>
      <c r="M12" s="67">
        <f t="shared" si="4"/>
        <v>70258.399999999994</v>
      </c>
      <c r="N12" s="6"/>
    </row>
    <row r="13" spans="1:18">
      <c r="A13" s="26">
        <v>10</v>
      </c>
      <c r="B13" s="27">
        <v>45698</v>
      </c>
      <c r="C13" s="6"/>
      <c r="D13" s="6"/>
      <c r="E13" s="269">
        <v>110</v>
      </c>
      <c r="F13" s="45">
        <v>91.97</v>
      </c>
      <c r="G13" s="67">
        <f t="shared" si="5"/>
        <v>10116.700000000001</v>
      </c>
      <c r="H13" s="45"/>
      <c r="I13" s="45"/>
      <c r="J13" s="67">
        <f t="shared" si="6"/>
        <v>0</v>
      </c>
      <c r="K13" s="67">
        <f t="shared" si="2"/>
        <v>10116.700000000001</v>
      </c>
      <c r="L13" s="67">
        <v>0</v>
      </c>
      <c r="M13" s="67">
        <f t="shared" si="4"/>
        <v>80375.099999999991</v>
      </c>
      <c r="N13" s="6"/>
      <c r="R13" s="5">
        <f>675.74/6.5</f>
        <v>103.96000000000001</v>
      </c>
    </row>
    <row r="14" spans="1:18">
      <c r="A14" s="26">
        <v>11</v>
      </c>
      <c r="B14" s="27">
        <v>45699</v>
      </c>
      <c r="C14" s="6"/>
      <c r="D14" s="6"/>
      <c r="E14" s="269">
        <v>120</v>
      </c>
      <c r="F14" s="45">
        <v>91.97</v>
      </c>
      <c r="G14" s="67">
        <f t="shared" si="5"/>
        <v>11036.4</v>
      </c>
      <c r="H14" s="45">
        <v>5</v>
      </c>
      <c r="I14" s="45">
        <v>104.01</v>
      </c>
      <c r="J14" s="67">
        <f t="shared" si="6"/>
        <v>520.05000000000007</v>
      </c>
      <c r="K14" s="67">
        <f t="shared" si="2"/>
        <v>11556.449999999999</v>
      </c>
      <c r="L14" s="67">
        <v>0</v>
      </c>
      <c r="M14" s="67">
        <f t="shared" si="4"/>
        <v>91931.549999999988</v>
      </c>
      <c r="N14" s="6"/>
    </row>
    <row r="15" spans="1:18">
      <c r="A15" s="26">
        <v>12</v>
      </c>
      <c r="B15" s="27">
        <v>45700</v>
      </c>
      <c r="C15" s="6"/>
      <c r="D15" s="6"/>
      <c r="E15" s="269">
        <v>90</v>
      </c>
      <c r="F15" s="45">
        <v>91.97</v>
      </c>
      <c r="G15" s="67">
        <f t="shared" si="5"/>
        <v>8277.2999999999993</v>
      </c>
      <c r="H15" s="45"/>
      <c r="I15" s="45"/>
      <c r="J15" s="67">
        <f t="shared" si="6"/>
        <v>0</v>
      </c>
      <c r="K15" s="67">
        <f t="shared" si="2"/>
        <v>8277.2999999999993</v>
      </c>
      <c r="L15" s="67">
        <v>0</v>
      </c>
      <c r="M15" s="67">
        <f t="shared" si="4"/>
        <v>100208.84999999999</v>
      </c>
      <c r="N15" s="6"/>
    </row>
    <row r="16" spans="1:18">
      <c r="A16" s="26">
        <v>13</v>
      </c>
      <c r="B16" s="27">
        <v>45701</v>
      </c>
      <c r="C16" s="6"/>
      <c r="D16" s="6"/>
      <c r="E16" s="269">
        <v>100</v>
      </c>
      <c r="F16" s="45">
        <v>91.97</v>
      </c>
      <c r="G16" s="67">
        <f t="shared" si="5"/>
        <v>9197</v>
      </c>
      <c r="H16" s="45">
        <v>5</v>
      </c>
      <c r="I16" s="45">
        <v>104.01</v>
      </c>
      <c r="J16" s="67">
        <f t="shared" si="6"/>
        <v>520.05000000000007</v>
      </c>
      <c r="K16" s="67">
        <f t="shared" si="2"/>
        <v>9717.0499999999993</v>
      </c>
      <c r="L16" s="67">
        <v>0</v>
      </c>
      <c r="M16" s="67">
        <f t="shared" si="4"/>
        <v>109925.9</v>
      </c>
      <c r="N16" s="6"/>
    </row>
    <row r="17" spans="1:14">
      <c r="A17" s="26">
        <v>14</v>
      </c>
      <c r="B17" s="27">
        <v>45702</v>
      </c>
      <c r="C17" s="179"/>
      <c r="D17" s="6"/>
      <c r="E17" s="269">
        <v>0</v>
      </c>
      <c r="F17" s="45">
        <v>0</v>
      </c>
      <c r="G17" s="67">
        <f t="shared" si="5"/>
        <v>0</v>
      </c>
      <c r="H17" s="45"/>
      <c r="I17" s="45"/>
      <c r="J17" s="67">
        <f t="shared" si="6"/>
        <v>0</v>
      </c>
      <c r="K17" s="67">
        <f t="shared" si="2"/>
        <v>0</v>
      </c>
      <c r="L17" s="67">
        <v>109925</v>
      </c>
      <c r="M17" s="67">
        <f t="shared" si="4"/>
        <v>0.89999999999417923</v>
      </c>
      <c r="N17" s="6"/>
    </row>
    <row r="18" spans="1:14">
      <c r="A18" s="26">
        <v>15</v>
      </c>
      <c r="B18" s="27">
        <v>45703</v>
      </c>
      <c r="C18" s="179"/>
      <c r="D18" s="6"/>
      <c r="E18" s="269">
        <v>0</v>
      </c>
      <c r="F18" s="45">
        <v>0</v>
      </c>
      <c r="G18" s="67">
        <f t="shared" si="5"/>
        <v>0</v>
      </c>
      <c r="H18" s="45">
        <v>5</v>
      </c>
      <c r="I18" s="45">
        <v>104.01</v>
      </c>
      <c r="J18" s="67">
        <f t="shared" si="6"/>
        <v>520.05000000000007</v>
      </c>
      <c r="K18" s="67">
        <f t="shared" si="2"/>
        <v>520.05000000000007</v>
      </c>
      <c r="L18" s="67">
        <v>0</v>
      </c>
      <c r="M18" s="67">
        <f t="shared" si="4"/>
        <v>520.94999999999425</v>
      </c>
      <c r="N18" s="6"/>
    </row>
    <row r="19" spans="1:14">
      <c r="A19" s="26">
        <v>16</v>
      </c>
      <c r="B19" s="27">
        <v>45704</v>
      </c>
      <c r="C19" s="179"/>
      <c r="D19" s="6"/>
      <c r="E19" s="269">
        <v>130</v>
      </c>
      <c r="F19" s="45">
        <v>91.97</v>
      </c>
      <c r="G19" s="67">
        <f t="shared" si="5"/>
        <v>11956.1</v>
      </c>
      <c r="H19" s="45">
        <v>5</v>
      </c>
      <c r="I19" s="45">
        <v>104.01</v>
      </c>
      <c r="J19" s="67">
        <f t="shared" si="6"/>
        <v>520.05000000000007</v>
      </c>
      <c r="K19" s="67">
        <f t="shared" si="2"/>
        <v>12476.15</v>
      </c>
      <c r="L19" s="67">
        <v>0</v>
      </c>
      <c r="M19" s="67">
        <f t="shared" si="4"/>
        <v>12997.099999999993</v>
      </c>
      <c r="N19" s="6"/>
    </row>
    <row r="20" spans="1:14">
      <c r="A20" s="26">
        <v>17</v>
      </c>
      <c r="B20" s="27">
        <v>45705</v>
      </c>
      <c r="C20" s="179"/>
      <c r="D20" s="6"/>
      <c r="E20" s="269">
        <v>80</v>
      </c>
      <c r="F20" s="45">
        <v>91.97</v>
      </c>
      <c r="G20" s="67">
        <f t="shared" si="5"/>
        <v>7357.6</v>
      </c>
      <c r="H20" s="45"/>
      <c r="I20" s="45"/>
      <c r="J20" s="67">
        <f t="shared" si="6"/>
        <v>0</v>
      </c>
      <c r="K20" s="67">
        <f t="shared" si="2"/>
        <v>7357.6</v>
      </c>
      <c r="L20" s="67">
        <v>0</v>
      </c>
      <c r="M20" s="67">
        <f t="shared" si="4"/>
        <v>20354.699999999993</v>
      </c>
      <c r="N20" s="6"/>
    </row>
    <row r="21" spans="1:14">
      <c r="A21" s="26">
        <v>18</v>
      </c>
      <c r="B21" s="27">
        <v>45706</v>
      </c>
      <c r="C21" s="179"/>
      <c r="D21" s="6"/>
      <c r="E21" s="269">
        <v>0</v>
      </c>
      <c r="F21" s="45">
        <v>0</v>
      </c>
      <c r="G21" s="67">
        <f t="shared" si="5"/>
        <v>0</v>
      </c>
      <c r="H21" s="45"/>
      <c r="I21" s="45"/>
      <c r="J21" s="67">
        <f t="shared" si="6"/>
        <v>0</v>
      </c>
      <c r="K21" s="67">
        <f t="shared" si="2"/>
        <v>0</v>
      </c>
      <c r="L21" s="67">
        <f t="shared" si="3"/>
        <v>0</v>
      </c>
      <c r="M21" s="67">
        <f t="shared" si="4"/>
        <v>20354.699999999993</v>
      </c>
      <c r="N21" s="6"/>
    </row>
    <row r="22" spans="1:14">
      <c r="A22" s="26">
        <v>19</v>
      </c>
      <c r="B22" s="27">
        <v>45707</v>
      </c>
      <c r="C22" s="179"/>
      <c r="D22" s="6"/>
      <c r="E22" s="269">
        <v>130</v>
      </c>
      <c r="F22" s="45">
        <v>91.97</v>
      </c>
      <c r="G22" s="67">
        <f t="shared" si="5"/>
        <v>11956.1</v>
      </c>
      <c r="H22" s="45">
        <v>5</v>
      </c>
      <c r="I22" s="45">
        <v>104.01</v>
      </c>
      <c r="J22" s="67">
        <f t="shared" si="6"/>
        <v>520.05000000000007</v>
      </c>
      <c r="K22" s="67">
        <f t="shared" si="2"/>
        <v>12476.15</v>
      </c>
      <c r="L22" s="67">
        <v>0</v>
      </c>
      <c r="M22" s="67">
        <f t="shared" si="4"/>
        <v>32830.849999999991</v>
      </c>
      <c r="N22" s="6"/>
    </row>
    <row r="23" spans="1:14">
      <c r="A23" s="26">
        <v>20</v>
      </c>
      <c r="B23" s="27">
        <v>45708</v>
      </c>
      <c r="C23" s="179"/>
      <c r="D23" s="6"/>
      <c r="E23" s="269">
        <v>100</v>
      </c>
      <c r="F23" s="45">
        <v>91.97</v>
      </c>
      <c r="G23" s="67">
        <f t="shared" si="5"/>
        <v>9197</v>
      </c>
      <c r="H23" s="45">
        <v>15</v>
      </c>
      <c r="I23" s="45">
        <v>104.01</v>
      </c>
      <c r="J23" s="67">
        <f t="shared" si="6"/>
        <v>1560.15</v>
      </c>
      <c r="K23" s="67">
        <f t="shared" si="2"/>
        <v>10757.15</v>
      </c>
      <c r="L23" s="67">
        <v>0</v>
      </c>
      <c r="M23" s="67">
        <f t="shared" si="4"/>
        <v>43587.999999999993</v>
      </c>
      <c r="N23" s="6"/>
    </row>
    <row r="24" spans="1:14">
      <c r="A24" s="26">
        <v>21</v>
      </c>
      <c r="B24" s="27">
        <v>45709</v>
      </c>
      <c r="C24" s="179"/>
      <c r="D24" s="6"/>
      <c r="E24" s="269">
        <v>100</v>
      </c>
      <c r="F24" s="45">
        <v>91.97</v>
      </c>
      <c r="G24" s="67">
        <f t="shared" si="5"/>
        <v>9197</v>
      </c>
      <c r="H24" s="45"/>
      <c r="I24" s="45"/>
      <c r="J24" s="67">
        <f t="shared" si="6"/>
        <v>0</v>
      </c>
      <c r="K24" s="67">
        <f t="shared" si="2"/>
        <v>9197</v>
      </c>
      <c r="L24" s="67">
        <v>0</v>
      </c>
      <c r="M24" s="67">
        <f t="shared" si="4"/>
        <v>52784.999999999993</v>
      </c>
      <c r="N24" s="6"/>
    </row>
    <row r="25" spans="1:14">
      <c r="A25" s="26">
        <v>22</v>
      </c>
      <c r="B25" s="27">
        <v>45710</v>
      </c>
      <c r="C25" s="179"/>
      <c r="D25" s="6"/>
      <c r="E25" s="269">
        <v>0</v>
      </c>
      <c r="F25" s="45">
        <v>0</v>
      </c>
      <c r="G25" s="67">
        <f t="shared" si="5"/>
        <v>0</v>
      </c>
      <c r="H25" s="45"/>
      <c r="I25" s="45"/>
      <c r="J25" s="67">
        <f t="shared" si="6"/>
        <v>0</v>
      </c>
      <c r="K25" s="67">
        <f t="shared" si="2"/>
        <v>0</v>
      </c>
      <c r="L25" s="67">
        <f t="shared" si="3"/>
        <v>0</v>
      </c>
      <c r="M25" s="67">
        <f t="shared" si="4"/>
        <v>52784.999999999993</v>
      </c>
      <c r="N25" s="6"/>
    </row>
    <row r="26" spans="1:14">
      <c r="A26" s="26">
        <v>23</v>
      </c>
      <c r="B26" s="27">
        <v>45711</v>
      </c>
      <c r="C26" s="179"/>
      <c r="D26" s="6"/>
      <c r="E26" s="269">
        <v>90</v>
      </c>
      <c r="F26" s="45">
        <v>91.97</v>
      </c>
      <c r="G26" s="67">
        <f t="shared" si="5"/>
        <v>8277.2999999999993</v>
      </c>
      <c r="H26" s="45">
        <v>10</v>
      </c>
      <c r="I26" s="45">
        <v>104.01</v>
      </c>
      <c r="J26" s="67">
        <f t="shared" si="6"/>
        <v>1040.1000000000001</v>
      </c>
      <c r="K26" s="67">
        <f t="shared" si="2"/>
        <v>9317.4</v>
      </c>
      <c r="L26" s="67">
        <v>0</v>
      </c>
      <c r="M26" s="67">
        <f t="shared" si="4"/>
        <v>62102.399999999994</v>
      </c>
      <c r="N26" s="6"/>
    </row>
    <row r="27" spans="1:14">
      <c r="A27" s="26">
        <v>24</v>
      </c>
      <c r="B27" s="27">
        <v>45712</v>
      </c>
      <c r="C27" s="179"/>
      <c r="D27" s="6"/>
      <c r="E27" s="269">
        <v>60</v>
      </c>
      <c r="F27" s="45">
        <v>91.97</v>
      </c>
      <c r="G27" s="67">
        <f t="shared" si="5"/>
        <v>5518.2</v>
      </c>
      <c r="H27" s="45"/>
      <c r="I27" s="45"/>
      <c r="J27" s="67">
        <f t="shared" si="6"/>
        <v>0</v>
      </c>
      <c r="K27" s="67">
        <f t="shared" si="2"/>
        <v>5518.2</v>
      </c>
      <c r="L27" s="67">
        <v>0</v>
      </c>
      <c r="M27" s="67">
        <f t="shared" si="4"/>
        <v>67620.599999999991</v>
      </c>
      <c r="N27" s="6"/>
    </row>
    <row r="28" spans="1:14">
      <c r="A28" s="26">
        <v>25</v>
      </c>
      <c r="B28" s="27">
        <v>45713</v>
      </c>
      <c r="C28" s="179"/>
      <c r="D28" s="6"/>
      <c r="E28" s="269">
        <v>0</v>
      </c>
      <c r="F28" s="45">
        <v>0</v>
      </c>
      <c r="G28" s="67">
        <f t="shared" si="5"/>
        <v>0</v>
      </c>
      <c r="H28" s="45"/>
      <c r="I28" s="45"/>
      <c r="J28" s="67">
        <f t="shared" si="6"/>
        <v>0</v>
      </c>
      <c r="K28" s="67">
        <f t="shared" si="2"/>
        <v>0</v>
      </c>
      <c r="L28" s="67">
        <f t="shared" si="3"/>
        <v>0</v>
      </c>
      <c r="M28" s="67">
        <f t="shared" si="4"/>
        <v>67620.599999999991</v>
      </c>
      <c r="N28" s="6"/>
    </row>
    <row r="29" spans="1:14">
      <c r="A29" s="26">
        <v>26</v>
      </c>
      <c r="B29" s="27">
        <v>45714</v>
      </c>
      <c r="C29" s="179"/>
      <c r="D29" s="6"/>
      <c r="E29" s="269">
        <v>100</v>
      </c>
      <c r="F29" s="45">
        <v>91.97</v>
      </c>
      <c r="G29" s="67">
        <f t="shared" si="5"/>
        <v>9197</v>
      </c>
      <c r="H29" s="45">
        <v>10</v>
      </c>
      <c r="I29" s="45">
        <v>104.01</v>
      </c>
      <c r="J29" s="67">
        <f t="shared" si="6"/>
        <v>1040.1000000000001</v>
      </c>
      <c r="K29" s="67">
        <f t="shared" si="2"/>
        <v>10237.1</v>
      </c>
      <c r="L29" s="67">
        <v>60000</v>
      </c>
      <c r="M29" s="67">
        <f t="shared" si="4"/>
        <v>17857.699999999997</v>
      </c>
      <c r="N29" s="6"/>
    </row>
    <row r="30" spans="1:14">
      <c r="A30" s="26">
        <v>27</v>
      </c>
      <c r="B30" s="27">
        <v>45715</v>
      </c>
      <c r="C30" s="179"/>
      <c r="D30" s="6"/>
      <c r="E30" s="269">
        <v>0</v>
      </c>
      <c r="F30" s="45">
        <v>0</v>
      </c>
      <c r="G30" s="67">
        <f t="shared" si="5"/>
        <v>0</v>
      </c>
      <c r="H30" s="45"/>
      <c r="I30" s="45"/>
      <c r="J30" s="67">
        <f t="shared" si="6"/>
        <v>0</v>
      </c>
      <c r="K30" s="67">
        <f t="shared" si="2"/>
        <v>0</v>
      </c>
      <c r="L30" s="67">
        <f t="shared" si="3"/>
        <v>0</v>
      </c>
      <c r="M30" s="67">
        <f t="shared" si="4"/>
        <v>17857.699999999997</v>
      </c>
      <c r="N30" s="6"/>
    </row>
    <row r="31" spans="1:14">
      <c r="A31" s="219">
        <v>28</v>
      </c>
      <c r="B31" s="27">
        <v>45716</v>
      </c>
      <c r="C31" s="179"/>
      <c r="D31" s="6"/>
      <c r="E31" s="269">
        <v>100</v>
      </c>
      <c r="F31" s="45">
        <v>91.97</v>
      </c>
      <c r="G31" s="67">
        <f t="shared" si="5"/>
        <v>9197</v>
      </c>
      <c r="H31" s="45"/>
      <c r="I31" s="45"/>
      <c r="J31" s="67">
        <f t="shared" si="6"/>
        <v>0</v>
      </c>
      <c r="K31" s="67">
        <f t="shared" si="2"/>
        <v>9197</v>
      </c>
      <c r="L31" s="67">
        <v>0</v>
      </c>
      <c r="M31" s="67">
        <f t="shared" ref="M31:M32" si="7">M30+K31-L31</f>
        <v>27054.699999999997</v>
      </c>
      <c r="N31" s="6"/>
    </row>
    <row r="32" spans="1:14">
      <c r="A32" s="26">
        <v>29</v>
      </c>
      <c r="B32" s="27">
        <v>45717</v>
      </c>
      <c r="C32" s="179"/>
      <c r="D32" s="6"/>
      <c r="E32" s="269">
        <v>0</v>
      </c>
      <c r="F32" s="45">
        <v>0</v>
      </c>
      <c r="G32" s="67">
        <f t="shared" si="5"/>
        <v>0</v>
      </c>
      <c r="H32" s="45"/>
      <c r="I32" s="45"/>
      <c r="J32" s="67">
        <f t="shared" si="6"/>
        <v>0</v>
      </c>
      <c r="K32" s="67">
        <f t="shared" si="2"/>
        <v>0</v>
      </c>
      <c r="L32" s="67">
        <f t="shared" si="3"/>
        <v>0</v>
      </c>
      <c r="M32" s="67">
        <f t="shared" si="7"/>
        <v>27054.699999999997</v>
      </c>
      <c r="N32" s="6"/>
    </row>
    <row r="33" spans="1:14">
      <c r="A33" s="26">
        <v>30</v>
      </c>
      <c r="B33" s="27">
        <v>45718</v>
      </c>
      <c r="C33" s="179"/>
      <c r="D33" s="6"/>
      <c r="E33" s="269">
        <v>0</v>
      </c>
      <c r="F33" s="45">
        <v>0</v>
      </c>
      <c r="G33" s="67">
        <f t="shared" si="5"/>
        <v>0</v>
      </c>
      <c r="H33" s="45"/>
      <c r="I33" s="45"/>
      <c r="J33" s="67">
        <f t="shared" si="6"/>
        <v>0</v>
      </c>
      <c r="K33" s="67">
        <f t="shared" si="2"/>
        <v>0</v>
      </c>
      <c r="L33" s="67">
        <f t="shared" si="3"/>
        <v>0</v>
      </c>
      <c r="M33" s="67">
        <f t="shared" ref="M33:M34" si="8">M32+K33-L33</f>
        <v>27054.699999999997</v>
      </c>
      <c r="N33" s="6"/>
    </row>
    <row r="34" spans="1:14">
      <c r="A34" s="26">
        <v>31</v>
      </c>
      <c r="B34" s="27">
        <v>45719</v>
      </c>
      <c r="C34" s="179"/>
      <c r="D34" s="6"/>
      <c r="E34" s="269">
        <v>0</v>
      </c>
      <c r="F34" s="45">
        <v>0</v>
      </c>
      <c r="G34" s="67">
        <f t="shared" si="5"/>
        <v>0</v>
      </c>
      <c r="H34" s="45"/>
      <c r="I34" s="45"/>
      <c r="J34" s="67">
        <f t="shared" si="6"/>
        <v>0</v>
      </c>
      <c r="K34" s="67">
        <f t="shared" ref="K34" si="9">G34+J34</f>
        <v>0</v>
      </c>
      <c r="L34" s="67">
        <f t="shared" ref="L34" si="10">+K34</f>
        <v>0</v>
      </c>
      <c r="M34" s="67">
        <f t="shared" si="8"/>
        <v>27054.699999999997</v>
      </c>
      <c r="N34" s="6"/>
    </row>
    <row r="35" spans="1:14">
      <c r="A35" s="43"/>
      <c r="B35" s="43"/>
      <c r="C35" s="43"/>
      <c r="D35" s="43"/>
      <c r="E35" s="43">
        <f>SUM(E4:E34)</f>
        <v>2040</v>
      </c>
      <c r="F35" s="43"/>
      <c r="G35" s="43">
        <f>SUM(G4:G34)</f>
        <v>187618.80000000002</v>
      </c>
      <c r="H35" s="43">
        <f>SUM(H4:H34)</f>
        <v>90</v>
      </c>
      <c r="I35" s="43"/>
      <c r="J35" s="43">
        <f>SUM(J4:J34)</f>
        <v>9360.9000000000015</v>
      </c>
      <c r="K35" s="43">
        <f>SUM(K4:K34)</f>
        <v>196979.7</v>
      </c>
      <c r="L35" s="43">
        <f>SUM(L4:L34)</f>
        <v>169925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4"/>
  <sheetViews>
    <sheetView workbookViewId="0">
      <pane ySplit="2" topLeftCell="A35" activePane="bottomLeft" state="frozen"/>
      <selection pane="bottomLeft" activeCell="M53" sqref="M53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0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473" t="s">
        <v>227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14" ht="30">
      <c r="A2" s="65" t="s">
        <v>101</v>
      </c>
      <c r="B2" s="84" t="s">
        <v>155</v>
      </c>
      <c r="C2" s="84" t="s">
        <v>156</v>
      </c>
      <c r="D2" s="84" t="s">
        <v>157</v>
      </c>
      <c r="E2" s="91" t="s">
        <v>158</v>
      </c>
      <c r="F2" s="91" t="s">
        <v>159</v>
      </c>
      <c r="G2" s="91" t="s">
        <v>160</v>
      </c>
      <c r="H2" s="91" t="s">
        <v>161</v>
      </c>
      <c r="I2" s="91" t="s">
        <v>159</v>
      </c>
      <c r="J2" s="91" t="s">
        <v>160</v>
      </c>
      <c r="K2" s="92" t="s">
        <v>162</v>
      </c>
      <c r="L2" s="86" t="s">
        <v>163</v>
      </c>
      <c r="M2" s="86" t="s">
        <v>174</v>
      </c>
      <c r="N2" s="126" t="s">
        <v>165</v>
      </c>
    </row>
    <row r="3" spans="1:14">
      <c r="A3" s="451" t="s">
        <v>166</v>
      </c>
      <c r="B3" s="451"/>
      <c r="C3" s="451"/>
      <c r="D3" s="451"/>
      <c r="E3" s="451"/>
      <c r="F3" s="451"/>
      <c r="G3" s="451"/>
      <c r="H3" s="451"/>
      <c r="I3" s="451"/>
      <c r="J3" s="455"/>
      <c r="K3" s="204">
        <v>1368586.4649</v>
      </c>
      <c r="M3" s="136">
        <f>+K3</f>
        <v>1368586.4649</v>
      </c>
      <c r="N3" s="95"/>
    </row>
    <row r="4" spans="1:14">
      <c r="A4" s="26">
        <v>1</v>
      </c>
      <c r="B4" s="27" t="s">
        <v>228</v>
      </c>
      <c r="C4" s="17"/>
      <c r="D4" s="17"/>
      <c r="E4" s="41">
        <v>1500</v>
      </c>
      <c r="F4" s="41">
        <v>91.71</v>
      </c>
      <c r="G4" s="41">
        <f>E4*F4</f>
        <v>137565</v>
      </c>
      <c r="H4" s="41"/>
      <c r="I4" s="41"/>
      <c r="J4" s="41">
        <f>H4*I4</f>
        <v>0</v>
      </c>
      <c r="K4" s="41">
        <f>G4+J4</f>
        <v>137565</v>
      </c>
      <c r="L4" s="41"/>
      <c r="M4" s="137">
        <f>M3+K4-L4</f>
        <v>1506151.4649</v>
      </c>
      <c r="N4" s="17"/>
    </row>
    <row r="5" spans="1:14">
      <c r="A5" s="26">
        <v>2</v>
      </c>
      <c r="B5" s="27" t="s">
        <v>229</v>
      </c>
      <c r="C5" s="17"/>
      <c r="D5" s="17"/>
      <c r="E5" s="41">
        <v>32.93</v>
      </c>
      <c r="F5" s="41">
        <v>91.09</v>
      </c>
      <c r="G5" s="41">
        <f t="shared" ref="G5:G38" si="0">E5*F5</f>
        <v>2999.5936999999999</v>
      </c>
      <c r="H5" s="41"/>
      <c r="I5" s="41"/>
      <c r="J5" s="41">
        <f t="shared" ref="J5:J38" si="1">H5*I5</f>
        <v>0</v>
      </c>
      <c r="K5" s="41">
        <f t="shared" ref="K5:K38" si="2">G5+J5</f>
        <v>2999.5936999999999</v>
      </c>
      <c r="L5" s="41">
        <v>1503000</v>
      </c>
      <c r="M5" s="137">
        <f t="shared" ref="M5:M53" si="3">M4+K5-L5</f>
        <v>6151.0586000001058</v>
      </c>
      <c r="N5" s="17"/>
    </row>
    <row r="6" spans="1:14">
      <c r="A6" s="26">
        <v>3</v>
      </c>
      <c r="B6" s="27" t="s">
        <v>230</v>
      </c>
      <c r="C6" s="17"/>
      <c r="D6" s="17"/>
      <c r="E6" s="41">
        <v>2900</v>
      </c>
      <c r="F6" s="41">
        <v>91.71</v>
      </c>
      <c r="G6" s="41">
        <f t="shared" si="0"/>
        <v>265959</v>
      </c>
      <c r="H6" s="41">
        <v>45</v>
      </c>
      <c r="I6" s="41">
        <v>105.19</v>
      </c>
      <c r="J6" s="41">
        <f t="shared" si="1"/>
        <v>4733.55</v>
      </c>
      <c r="K6" s="41">
        <f t="shared" si="2"/>
        <v>270692.55</v>
      </c>
      <c r="L6" s="41"/>
      <c r="M6" s="137">
        <f t="shared" si="3"/>
        <v>276843.60860000009</v>
      </c>
      <c r="N6" s="17"/>
    </row>
    <row r="7" spans="1:14">
      <c r="A7" s="26">
        <v>4</v>
      </c>
      <c r="B7" s="27" t="s">
        <v>230</v>
      </c>
      <c r="C7" s="17"/>
      <c r="D7" s="17" t="s">
        <v>231</v>
      </c>
      <c r="E7" s="41">
        <v>38.356000000000002</v>
      </c>
      <c r="F7" s="41">
        <v>91.25</v>
      </c>
      <c r="G7" s="41">
        <f t="shared" si="0"/>
        <v>3499.9850000000001</v>
      </c>
      <c r="H7" s="41"/>
      <c r="I7" s="41"/>
      <c r="J7" s="41">
        <f t="shared" si="1"/>
        <v>0</v>
      </c>
      <c r="K7" s="41">
        <f t="shared" si="2"/>
        <v>3499.9850000000001</v>
      </c>
      <c r="L7" s="41">
        <v>3499.99</v>
      </c>
      <c r="M7" s="137">
        <f t="shared" si="3"/>
        <v>276843.60360000009</v>
      </c>
      <c r="N7" s="17" t="s">
        <v>213</v>
      </c>
    </row>
    <row r="8" spans="1:14">
      <c r="A8" s="26">
        <v>5</v>
      </c>
      <c r="B8" s="27" t="s">
        <v>230</v>
      </c>
      <c r="C8" s="17"/>
      <c r="D8" s="17" t="s">
        <v>232</v>
      </c>
      <c r="E8" s="41">
        <v>40</v>
      </c>
      <c r="F8" s="41">
        <v>90.73</v>
      </c>
      <c r="G8" s="41">
        <f t="shared" si="0"/>
        <v>3629.2000000000003</v>
      </c>
      <c r="H8" s="41"/>
      <c r="I8" s="41"/>
      <c r="J8" s="41">
        <f t="shared" si="1"/>
        <v>0</v>
      </c>
      <c r="K8" s="41">
        <f t="shared" si="2"/>
        <v>3629.2000000000003</v>
      </c>
      <c r="L8" s="41">
        <v>3629.2</v>
      </c>
      <c r="M8" s="137">
        <f t="shared" si="3"/>
        <v>276843.60360000009</v>
      </c>
      <c r="N8" s="17" t="s">
        <v>167</v>
      </c>
    </row>
    <row r="9" spans="1:14">
      <c r="A9" s="26">
        <v>6</v>
      </c>
      <c r="B9" s="27" t="s">
        <v>233</v>
      </c>
      <c r="C9" s="17"/>
      <c r="D9" s="17"/>
      <c r="E9" s="41">
        <v>500</v>
      </c>
      <c r="F9" s="41">
        <v>91.71</v>
      </c>
      <c r="G9" s="41">
        <f t="shared" si="0"/>
        <v>45855</v>
      </c>
      <c r="H9" s="41"/>
      <c r="I9" s="41"/>
      <c r="J9" s="41">
        <f t="shared" si="1"/>
        <v>0</v>
      </c>
      <c r="K9" s="41">
        <f t="shared" si="2"/>
        <v>45855</v>
      </c>
      <c r="L9" s="41"/>
      <c r="M9" s="137">
        <f t="shared" si="3"/>
        <v>322698.60360000009</v>
      </c>
      <c r="N9" s="17"/>
    </row>
    <row r="10" spans="1:14">
      <c r="A10" s="26">
        <v>7</v>
      </c>
      <c r="B10" s="27" t="s">
        <v>234</v>
      </c>
      <c r="C10" s="17"/>
      <c r="D10" s="17"/>
      <c r="E10" s="41">
        <v>860</v>
      </c>
      <c r="F10" s="41">
        <v>91.71</v>
      </c>
      <c r="G10" s="41">
        <f t="shared" si="0"/>
        <v>78870.599999999991</v>
      </c>
      <c r="H10" s="41"/>
      <c r="I10" s="41"/>
      <c r="J10" s="41">
        <f t="shared" si="1"/>
        <v>0</v>
      </c>
      <c r="K10" s="41">
        <f t="shared" si="2"/>
        <v>78870.599999999991</v>
      </c>
      <c r="L10" s="41"/>
      <c r="M10" s="137">
        <f t="shared" si="3"/>
        <v>401569.20360000007</v>
      </c>
      <c r="N10" s="17"/>
    </row>
    <row r="11" spans="1:14">
      <c r="A11" s="26">
        <v>8</v>
      </c>
      <c r="B11" s="27" t="s">
        <v>235</v>
      </c>
      <c r="C11" s="17"/>
      <c r="D11" s="17"/>
      <c r="E11" s="41">
        <v>2000</v>
      </c>
      <c r="F11" s="41">
        <v>91.71</v>
      </c>
      <c r="G11" s="41">
        <f t="shared" si="0"/>
        <v>183420</v>
      </c>
      <c r="H11" s="41">
        <v>50</v>
      </c>
      <c r="I11" s="41">
        <v>105.19</v>
      </c>
      <c r="J11" s="41">
        <f t="shared" si="1"/>
        <v>5259.5</v>
      </c>
      <c r="K11" s="41">
        <f t="shared" si="2"/>
        <v>188679.5</v>
      </c>
      <c r="L11" s="41"/>
      <c r="M11" s="137">
        <f t="shared" si="3"/>
        <v>590248.70360000012</v>
      </c>
      <c r="N11" s="17"/>
    </row>
    <row r="12" spans="1:14">
      <c r="A12" s="26">
        <v>9</v>
      </c>
      <c r="B12" s="27" t="s">
        <v>236</v>
      </c>
      <c r="C12" s="17"/>
      <c r="D12" s="17"/>
      <c r="E12" s="41">
        <v>2500</v>
      </c>
      <c r="F12" s="41">
        <v>91.71</v>
      </c>
      <c r="G12" s="41">
        <f t="shared" si="0"/>
        <v>229274.99999999997</v>
      </c>
      <c r="H12" s="41"/>
      <c r="I12" s="41"/>
      <c r="J12" s="41">
        <f t="shared" si="1"/>
        <v>0</v>
      </c>
      <c r="K12" s="41">
        <f t="shared" si="2"/>
        <v>229274.99999999997</v>
      </c>
      <c r="L12" s="41"/>
      <c r="M12" s="137">
        <f t="shared" si="3"/>
        <v>819523.70360000012</v>
      </c>
      <c r="N12" s="17"/>
    </row>
    <row r="13" spans="1:14">
      <c r="A13" s="26">
        <v>10</v>
      </c>
      <c r="B13" s="27" t="s">
        <v>237</v>
      </c>
      <c r="C13" s="17"/>
      <c r="D13" s="17"/>
      <c r="E13" s="41">
        <v>2700</v>
      </c>
      <c r="F13" s="41">
        <v>91.71</v>
      </c>
      <c r="G13" s="41">
        <f t="shared" si="0"/>
        <v>247616.99999999997</v>
      </c>
      <c r="H13" s="41"/>
      <c r="I13" s="41"/>
      <c r="J13" s="41">
        <f t="shared" si="1"/>
        <v>0</v>
      </c>
      <c r="K13" s="41">
        <f t="shared" si="2"/>
        <v>247616.99999999997</v>
      </c>
      <c r="L13" s="41"/>
      <c r="M13" s="137">
        <f t="shared" si="3"/>
        <v>1067140.7036000001</v>
      </c>
      <c r="N13" s="45"/>
    </row>
    <row r="14" spans="1:14">
      <c r="A14" s="26">
        <v>11</v>
      </c>
      <c r="B14" s="27" t="s">
        <v>237</v>
      </c>
      <c r="C14" s="17"/>
      <c r="D14" s="17"/>
      <c r="E14" s="41">
        <v>400</v>
      </c>
      <c r="F14" s="41">
        <v>91.61</v>
      </c>
      <c r="G14" s="41">
        <f t="shared" si="0"/>
        <v>36644</v>
      </c>
      <c r="H14" s="41"/>
      <c r="I14" s="41"/>
      <c r="J14" s="41">
        <f t="shared" si="1"/>
        <v>0</v>
      </c>
      <c r="K14" s="41">
        <f t="shared" si="2"/>
        <v>36644</v>
      </c>
      <c r="L14" s="41"/>
      <c r="M14" s="137">
        <f t="shared" si="3"/>
        <v>1103784.7036000001</v>
      </c>
      <c r="N14" s="45"/>
    </row>
    <row r="15" spans="1:14">
      <c r="A15" s="26">
        <v>12</v>
      </c>
      <c r="B15" s="27" t="s">
        <v>238</v>
      </c>
      <c r="C15" s="17"/>
      <c r="D15" s="17"/>
      <c r="E15" s="41">
        <v>2500</v>
      </c>
      <c r="F15" s="41">
        <v>91.71</v>
      </c>
      <c r="G15" s="41">
        <f t="shared" si="0"/>
        <v>229274.99999999997</v>
      </c>
      <c r="H15" s="41">
        <v>45</v>
      </c>
      <c r="I15" s="41">
        <v>105.19</v>
      </c>
      <c r="J15" s="41">
        <f t="shared" si="1"/>
        <v>4733.55</v>
      </c>
      <c r="K15" s="41">
        <f t="shared" si="2"/>
        <v>234008.54999999996</v>
      </c>
      <c r="L15" s="41"/>
      <c r="M15" s="137">
        <f t="shared" si="3"/>
        <v>1337793.2536000002</v>
      </c>
      <c r="N15" s="45"/>
    </row>
    <row r="16" spans="1:14">
      <c r="A16" s="26">
        <v>13</v>
      </c>
      <c r="B16" s="27" t="s">
        <v>239</v>
      </c>
      <c r="C16" s="17"/>
      <c r="D16" s="17"/>
      <c r="E16" s="41"/>
      <c r="F16" s="41"/>
      <c r="G16" s="41">
        <f t="shared" si="0"/>
        <v>0</v>
      </c>
      <c r="H16" s="41"/>
      <c r="I16" s="41"/>
      <c r="J16" s="41">
        <f t="shared" si="1"/>
        <v>0</v>
      </c>
      <c r="K16" s="41">
        <f t="shared" si="2"/>
        <v>0</v>
      </c>
      <c r="L16" s="41">
        <v>1000000</v>
      </c>
      <c r="M16" s="137">
        <f t="shared" si="3"/>
        <v>337793.25360000017</v>
      </c>
      <c r="N16" s="45"/>
    </row>
    <row r="17" spans="1:16">
      <c r="A17" s="26">
        <v>14</v>
      </c>
      <c r="B17" s="27"/>
      <c r="C17" s="17"/>
      <c r="D17" s="17"/>
      <c r="E17" s="41"/>
      <c r="F17" s="41"/>
      <c r="G17" s="41">
        <f t="shared" si="0"/>
        <v>0</v>
      </c>
      <c r="H17" s="41"/>
      <c r="I17" s="41"/>
      <c r="J17" s="41">
        <f t="shared" si="1"/>
        <v>0</v>
      </c>
      <c r="K17" s="41">
        <f t="shared" si="2"/>
        <v>0</v>
      </c>
      <c r="L17" s="41"/>
      <c r="M17" s="137">
        <f t="shared" si="3"/>
        <v>337793.25360000017</v>
      </c>
      <c r="N17" s="45"/>
    </row>
    <row r="18" spans="1:16">
      <c r="A18" s="26">
        <v>15</v>
      </c>
      <c r="B18" s="27"/>
      <c r="C18" s="17"/>
      <c r="D18" s="17"/>
      <c r="E18" s="41"/>
      <c r="F18" s="41"/>
      <c r="G18" s="41">
        <f t="shared" si="0"/>
        <v>0</v>
      </c>
      <c r="H18" s="41"/>
      <c r="I18" s="41"/>
      <c r="J18" s="41">
        <f t="shared" si="1"/>
        <v>0</v>
      </c>
      <c r="K18" s="41">
        <f t="shared" si="2"/>
        <v>0</v>
      </c>
      <c r="L18" s="41"/>
      <c r="M18" s="137">
        <f t="shared" si="3"/>
        <v>337793.25360000017</v>
      </c>
      <c r="N18" s="45"/>
    </row>
    <row r="19" spans="1:16">
      <c r="A19" s="26">
        <v>16</v>
      </c>
      <c r="B19" s="27"/>
      <c r="C19" s="17"/>
      <c r="D19" s="17"/>
      <c r="E19" s="41"/>
      <c r="F19" s="41"/>
      <c r="G19" s="41">
        <f t="shared" si="0"/>
        <v>0</v>
      </c>
      <c r="H19" s="41"/>
      <c r="I19" s="41"/>
      <c r="J19" s="41">
        <f t="shared" si="1"/>
        <v>0</v>
      </c>
      <c r="K19" s="41">
        <f t="shared" si="2"/>
        <v>0</v>
      </c>
      <c r="L19" s="41"/>
      <c r="M19" s="137">
        <f t="shared" si="3"/>
        <v>337793.25360000017</v>
      </c>
      <c r="N19" s="45"/>
      <c r="P19" s="22"/>
    </row>
    <row r="20" spans="1:16">
      <c r="A20" s="26">
        <v>17</v>
      </c>
      <c r="B20" s="27"/>
      <c r="C20" s="17"/>
      <c r="D20" s="17"/>
      <c r="E20" s="41"/>
      <c r="F20" s="41"/>
      <c r="G20" s="41">
        <f t="shared" si="0"/>
        <v>0</v>
      </c>
      <c r="H20" s="41"/>
      <c r="I20" s="41"/>
      <c r="J20" s="41">
        <f t="shared" si="1"/>
        <v>0</v>
      </c>
      <c r="K20" s="41">
        <f t="shared" si="2"/>
        <v>0</v>
      </c>
      <c r="L20" s="41"/>
      <c r="M20" s="137">
        <f t="shared" si="3"/>
        <v>337793.25360000017</v>
      </c>
      <c r="N20" s="45"/>
      <c r="P20" s="22"/>
    </row>
    <row r="21" spans="1:16">
      <c r="A21" s="26">
        <v>18</v>
      </c>
      <c r="B21" s="27"/>
      <c r="C21" s="17"/>
      <c r="D21" s="17"/>
      <c r="E21" s="41"/>
      <c r="F21" s="41"/>
      <c r="G21" s="41">
        <f t="shared" si="0"/>
        <v>0</v>
      </c>
      <c r="H21" s="41"/>
      <c r="I21" s="41"/>
      <c r="J21" s="41">
        <f t="shared" si="1"/>
        <v>0</v>
      </c>
      <c r="K21" s="41">
        <f t="shared" si="2"/>
        <v>0</v>
      </c>
      <c r="L21" s="41"/>
      <c r="M21" s="137">
        <f t="shared" si="3"/>
        <v>337793.25360000017</v>
      </c>
      <c r="N21" s="45"/>
      <c r="P21" s="22"/>
    </row>
    <row r="22" spans="1:16">
      <c r="A22" s="26">
        <v>19</v>
      </c>
      <c r="B22" s="27"/>
      <c r="C22" s="17"/>
      <c r="D22" s="17"/>
      <c r="E22" s="41"/>
      <c r="F22" s="41"/>
      <c r="G22" s="41">
        <f t="shared" si="0"/>
        <v>0</v>
      </c>
      <c r="H22" s="41"/>
      <c r="I22" s="41"/>
      <c r="J22" s="41">
        <f t="shared" si="1"/>
        <v>0</v>
      </c>
      <c r="K22" s="41">
        <f t="shared" si="2"/>
        <v>0</v>
      </c>
      <c r="L22" s="41"/>
      <c r="M22" s="137">
        <f t="shared" si="3"/>
        <v>337793.25360000017</v>
      </c>
      <c r="N22" s="45"/>
      <c r="P22" s="22"/>
    </row>
    <row r="23" spans="1:16">
      <c r="A23" s="26">
        <v>20</v>
      </c>
      <c r="B23" s="27"/>
      <c r="C23" s="17"/>
      <c r="D23" s="17"/>
      <c r="E23" s="41"/>
      <c r="F23" s="41"/>
      <c r="G23" s="41">
        <f t="shared" si="0"/>
        <v>0</v>
      </c>
      <c r="H23" s="41"/>
      <c r="I23" s="41"/>
      <c r="J23" s="41">
        <f t="shared" si="1"/>
        <v>0</v>
      </c>
      <c r="K23" s="41">
        <f t="shared" si="2"/>
        <v>0</v>
      </c>
      <c r="L23" s="41"/>
      <c r="M23" s="137">
        <f t="shared" si="3"/>
        <v>337793.25360000017</v>
      </c>
      <c r="N23" s="45"/>
      <c r="P23" s="22"/>
    </row>
    <row r="24" spans="1:16">
      <c r="A24" s="26">
        <v>21</v>
      </c>
      <c r="B24" s="27"/>
      <c r="C24" s="17"/>
      <c r="D24" s="17"/>
      <c r="E24" s="41"/>
      <c r="F24" s="41"/>
      <c r="G24" s="41">
        <f t="shared" si="0"/>
        <v>0</v>
      </c>
      <c r="H24" s="41"/>
      <c r="I24" s="41"/>
      <c r="J24" s="41">
        <f t="shared" si="1"/>
        <v>0</v>
      </c>
      <c r="K24" s="41">
        <f t="shared" si="2"/>
        <v>0</v>
      </c>
      <c r="L24" s="41"/>
      <c r="M24" s="137">
        <f t="shared" si="3"/>
        <v>337793.25360000017</v>
      </c>
      <c r="N24" s="45"/>
      <c r="P24" s="22"/>
    </row>
    <row r="25" spans="1:16">
      <c r="A25" s="26">
        <v>22</v>
      </c>
      <c r="B25" s="27"/>
      <c r="C25" s="17"/>
      <c r="D25" s="17"/>
      <c r="E25" s="41"/>
      <c r="F25" s="41"/>
      <c r="G25" s="41">
        <f t="shared" si="0"/>
        <v>0</v>
      </c>
      <c r="H25" s="41"/>
      <c r="I25" s="41"/>
      <c r="J25" s="41">
        <f t="shared" si="1"/>
        <v>0</v>
      </c>
      <c r="K25" s="41">
        <f t="shared" si="2"/>
        <v>0</v>
      </c>
      <c r="L25" s="41"/>
      <c r="M25" s="137">
        <f t="shared" si="3"/>
        <v>337793.25360000017</v>
      </c>
      <c r="N25" s="45"/>
      <c r="P25" s="22"/>
    </row>
    <row r="26" spans="1:16">
      <c r="A26" s="26">
        <v>23</v>
      </c>
      <c r="B26" s="27"/>
      <c r="C26" s="17"/>
      <c r="D26" s="17"/>
      <c r="E26" s="41"/>
      <c r="F26" s="41"/>
      <c r="G26" s="41">
        <f t="shared" si="0"/>
        <v>0</v>
      </c>
      <c r="H26" s="41"/>
      <c r="I26" s="41"/>
      <c r="J26" s="41">
        <f t="shared" si="1"/>
        <v>0</v>
      </c>
      <c r="K26" s="41">
        <f t="shared" si="2"/>
        <v>0</v>
      </c>
      <c r="L26" s="41"/>
      <c r="M26" s="137">
        <f t="shared" si="3"/>
        <v>337793.25360000017</v>
      </c>
      <c r="N26" s="45"/>
      <c r="P26" s="22"/>
    </row>
    <row r="27" spans="1:16">
      <c r="A27" s="26">
        <v>24</v>
      </c>
      <c r="B27" s="27"/>
      <c r="C27" s="17"/>
      <c r="D27" s="17"/>
      <c r="E27" s="41"/>
      <c r="F27" s="41"/>
      <c r="G27" s="41">
        <f t="shared" si="0"/>
        <v>0</v>
      </c>
      <c r="H27" s="41"/>
      <c r="I27" s="41"/>
      <c r="J27" s="41">
        <f t="shared" si="1"/>
        <v>0</v>
      </c>
      <c r="K27" s="41">
        <f t="shared" si="2"/>
        <v>0</v>
      </c>
      <c r="L27" s="41"/>
      <c r="M27" s="137">
        <f t="shared" si="3"/>
        <v>337793.25360000017</v>
      </c>
      <c r="N27" s="45"/>
      <c r="P27" s="22"/>
    </row>
    <row r="28" spans="1:16">
      <c r="A28" s="26">
        <v>25</v>
      </c>
      <c r="B28" s="27"/>
      <c r="C28" s="17"/>
      <c r="D28" s="17"/>
      <c r="E28" s="41"/>
      <c r="F28" s="41"/>
      <c r="G28" s="41">
        <f t="shared" si="0"/>
        <v>0</v>
      </c>
      <c r="H28" s="41"/>
      <c r="I28" s="41"/>
      <c r="J28" s="41">
        <f t="shared" si="1"/>
        <v>0</v>
      </c>
      <c r="K28" s="41">
        <f t="shared" si="2"/>
        <v>0</v>
      </c>
      <c r="L28" s="41"/>
      <c r="M28" s="137">
        <f t="shared" si="3"/>
        <v>337793.25360000017</v>
      </c>
      <c r="N28" s="45"/>
    </row>
    <row r="29" spans="1:16">
      <c r="A29" s="26">
        <v>26</v>
      </c>
      <c r="B29" s="27"/>
      <c r="C29" s="17"/>
      <c r="D29" s="17"/>
      <c r="E29" s="41"/>
      <c r="F29" s="41"/>
      <c r="G29" s="41">
        <f t="shared" si="0"/>
        <v>0</v>
      </c>
      <c r="H29" s="41"/>
      <c r="I29" s="41"/>
      <c r="J29" s="41">
        <f t="shared" si="1"/>
        <v>0</v>
      </c>
      <c r="K29" s="41">
        <f t="shared" si="2"/>
        <v>0</v>
      </c>
      <c r="L29" s="41"/>
      <c r="M29" s="137">
        <f t="shared" si="3"/>
        <v>337793.25360000017</v>
      </c>
      <c r="N29" s="45"/>
    </row>
    <row r="30" spans="1:16">
      <c r="A30" s="26">
        <v>27</v>
      </c>
      <c r="B30" s="27"/>
      <c r="C30" s="17"/>
      <c r="D30" s="17"/>
      <c r="E30" s="41"/>
      <c r="F30" s="41"/>
      <c r="G30" s="41">
        <f t="shared" si="0"/>
        <v>0</v>
      </c>
      <c r="H30" s="41"/>
      <c r="I30" s="41"/>
      <c r="J30" s="41">
        <f t="shared" si="1"/>
        <v>0</v>
      </c>
      <c r="K30" s="41">
        <f t="shared" si="2"/>
        <v>0</v>
      </c>
      <c r="L30" s="41"/>
      <c r="M30" s="137">
        <f t="shared" si="3"/>
        <v>337793.25360000017</v>
      </c>
      <c r="N30" s="45"/>
    </row>
    <row r="31" spans="1:16">
      <c r="A31" s="26">
        <v>28</v>
      </c>
      <c r="B31" s="27"/>
      <c r="C31" s="17"/>
      <c r="D31" s="17"/>
      <c r="E31" s="41"/>
      <c r="F31" s="41"/>
      <c r="G31" s="41">
        <f t="shared" si="0"/>
        <v>0</v>
      </c>
      <c r="H31" s="41"/>
      <c r="I31" s="41"/>
      <c r="J31" s="41">
        <f t="shared" si="1"/>
        <v>0</v>
      </c>
      <c r="K31" s="41">
        <f t="shared" si="2"/>
        <v>0</v>
      </c>
      <c r="L31" s="41"/>
      <c r="M31" s="137">
        <f t="shared" si="3"/>
        <v>337793.25360000017</v>
      </c>
      <c r="N31" s="45"/>
    </row>
    <row r="32" spans="1:16">
      <c r="A32" s="26">
        <v>29</v>
      </c>
      <c r="B32" s="27"/>
      <c r="C32" s="17"/>
      <c r="D32" s="17"/>
      <c r="E32" s="41"/>
      <c r="F32" s="41"/>
      <c r="G32" s="41">
        <f t="shared" si="0"/>
        <v>0</v>
      </c>
      <c r="H32" s="41"/>
      <c r="I32" s="41"/>
      <c r="J32" s="41">
        <f t="shared" si="1"/>
        <v>0</v>
      </c>
      <c r="K32" s="41">
        <f t="shared" si="2"/>
        <v>0</v>
      </c>
      <c r="L32" s="41"/>
      <c r="M32" s="137">
        <f t="shared" si="3"/>
        <v>337793.25360000017</v>
      </c>
      <c r="N32" s="45"/>
    </row>
    <row r="33" spans="1:17">
      <c r="A33" s="26">
        <v>30</v>
      </c>
      <c r="B33" s="27"/>
      <c r="C33" s="17"/>
      <c r="D33" s="17"/>
      <c r="E33" s="41"/>
      <c r="F33" s="41"/>
      <c r="G33" s="41">
        <f t="shared" si="0"/>
        <v>0</v>
      </c>
      <c r="H33" s="41"/>
      <c r="I33" s="41"/>
      <c r="J33" s="41">
        <f t="shared" si="1"/>
        <v>0</v>
      </c>
      <c r="K33" s="41">
        <f t="shared" si="2"/>
        <v>0</v>
      </c>
      <c r="L33" s="41"/>
      <c r="M33" s="137">
        <f t="shared" si="3"/>
        <v>337793.25360000017</v>
      </c>
      <c r="N33" s="45"/>
    </row>
    <row r="34" spans="1:17">
      <c r="A34" s="26">
        <v>31</v>
      </c>
      <c r="B34" s="27"/>
      <c r="C34" s="17"/>
      <c r="D34" s="17"/>
      <c r="E34" s="41"/>
      <c r="F34" s="41"/>
      <c r="G34" s="41">
        <f t="shared" si="0"/>
        <v>0</v>
      </c>
      <c r="H34" s="41"/>
      <c r="I34" s="41"/>
      <c r="J34" s="41">
        <f t="shared" si="1"/>
        <v>0</v>
      </c>
      <c r="K34" s="41">
        <f t="shared" si="2"/>
        <v>0</v>
      </c>
      <c r="L34" s="41"/>
      <c r="M34" s="137">
        <f t="shared" si="3"/>
        <v>337793.25360000017</v>
      </c>
      <c r="N34" s="45"/>
    </row>
    <row r="35" spans="1:17">
      <c r="A35" s="26">
        <v>32</v>
      </c>
      <c r="B35" s="27"/>
      <c r="C35" s="17"/>
      <c r="D35" s="17"/>
      <c r="E35" s="41"/>
      <c r="F35" s="41"/>
      <c r="G35" s="41">
        <f t="shared" si="0"/>
        <v>0</v>
      </c>
      <c r="H35" s="41"/>
      <c r="I35" s="41"/>
      <c r="J35" s="41">
        <f t="shared" si="1"/>
        <v>0</v>
      </c>
      <c r="K35" s="41">
        <f t="shared" si="2"/>
        <v>0</v>
      </c>
      <c r="L35" s="41"/>
      <c r="M35" s="137">
        <f t="shared" si="3"/>
        <v>337793.25360000017</v>
      </c>
      <c r="N35" s="45"/>
    </row>
    <row r="36" spans="1:17">
      <c r="A36" s="26">
        <v>33</v>
      </c>
      <c r="B36" s="27"/>
      <c r="C36" s="17"/>
      <c r="D36" s="17"/>
      <c r="E36" s="41"/>
      <c r="F36" s="41"/>
      <c r="G36" s="41">
        <f t="shared" si="0"/>
        <v>0</v>
      </c>
      <c r="H36" s="41"/>
      <c r="I36" s="41"/>
      <c r="J36" s="41">
        <f t="shared" si="1"/>
        <v>0</v>
      </c>
      <c r="K36" s="41">
        <f t="shared" si="2"/>
        <v>0</v>
      </c>
      <c r="L36" s="41"/>
      <c r="M36" s="137">
        <f t="shared" si="3"/>
        <v>337793.25360000017</v>
      </c>
      <c r="N36" s="45"/>
    </row>
    <row r="37" spans="1:17">
      <c r="A37" s="26">
        <v>34</v>
      </c>
      <c r="B37" s="27"/>
      <c r="C37" s="17"/>
      <c r="D37" s="17"/>
      <c r="E37" s="41"/>
      <c r="F37" s="41"/>
      <c r="G37" s="41">
        <f t="shared" si="0"/>
        <v>0</v>
      </c>
      <c r="H37" s="41"/>
      <c r="I37" s="41"/>
      <c r="J37" s="41">
        <f t="shared" si="1"/>
        <v>0</v>
      </c>
      <c r="K37" s="41">
        <f t="shared" si="2"/>
        <v>0</v>
      </c>
      <c r="L37" s="41"/>
      <c r="M37" s="137">
        <f t="shared" si="3"/>
        <v>337793.25360000017</v>
      </c>
      <c r="N37" s="45"/>
      <c r="P37">
        <v>41</v>
      </c>
    </row>
    <row r="38" spans="1:17">
      <c r="A38" s="26">
        <v>35</v>
      </c>
      <c r="B38" s="27"/>
      <c r="C38" s="17"/>
      <c r="D38" s="17"/>
      <c r="E38" s="41"/>
      <c r="F38" s="41"/>
      <c r="G38" s="41">
        <f t="shared" si="0"/>
        <v>0</v>
      </c>
      <c r="H38" s="41"/>
      <c r="I38" s="41"/>
      <c r="J38" s="41">
        <f t="shared" si="1"/>
        <v>0</v>
      </c>
      <c r="K38" s="41">
        <f t="shared" si="2"/>
        <v>0</v>
      </c>
      <c r="L38" s="41"/>
      <c r="M38" s="137">
        <f t="shared" si="3"/>
        <v>337793.25360000017</v>
      </c>
      <c r="N38" s="45"/>
      <c r="P38">
        <v>40</v>
      </c>
      <c r="Q38">
        <v>5</v>
      </c>
    </row>
    <row r="39" spans="1:17">
      <c r="A39" s="26">
        <v>36</v>
      </c>
      <c r="B39" s="27"/>
      <c r="C39" s="17"/>
      <c r="D39" s="17"/>
      <c r="E39" s="41"/>
      <c r="F39" s="41"/>
      <c r="G39" s="41">
        <f t="shared" ref="G5:G52" si="4">E39*F39</f>
        <v>0</v>
      </c>
      <c r="H39" s="41"/>
      <c r="I39" s="41"/>
      <c r="J39" s="41">
        <f t="shared" ref="J5:J52" si="5">H39*I39</f>
        <v>0</v>
      </c>
      <c r="K39" s="41">
        <f t="shared" ref="K5:K52" si="6">G39+J39</f>
        <v>0</v>
      </c>
      <c r="L39" s="41"/>
      <c r="M39" s="137">
        <f t="shared" si="3"/>
        <v>337793.25360000017</v>
      </c>
      <c r="N39" s="45"/>
    </row>
    <row r="40" spans="1:17">
      <c r="A40" s="26">
        <v>37</v>
      </c>
      <c r="B40" s="27"/>
      <c r="C40" s="17"/>
      <c r="D40" s="17"/>
      <c r="E40" s="41"/>
      <c r="F40" s="41"/>
      <c r="G40" s="41">
        <f t="shared" si="4"/>
        <v>0</v>
      </c>
      <c r="H40" s="41"/>
      <c r="I40" s="41"/>
      <c r="J40" s="41">
        <f t="shared" si="5"/>
        <v>0</v>
      </c>
      <c r="K40" s="41">
        <f t="shared" si="6"/>
        <v>0</v>
      </c>
      <c r="L40" s="41"/>
      <c r="M40" s="137">
        <f t="shared" si="3"/>
        <v>337793.25360000017</v>
      </c>
      <c r="N40" s="45"/>
    </row>
    <row r="41" spans="1:17">
      <c r="A41" s="26">
        <v>38</v>
      </c>
      <c r="B41" s="27"/>
      <c r="C41" s="17"/>
      <c r="D41" s="17"/>
      <c r="E41" s="41"/>
      <c r="F41" s="41"/>
      <c r="G41" s="41">
        <f t="shared" si="4"/>
        <v>0</v>
      </c>
      <c r="H41" s="41"/>
      <c r="I41" s="41"/>
      <c r="J41" s="41">
        <f t="shared" si="5"/>
        <v>0</v>
      </c>
      <c r="K41" s="41">
        <f t="shared" si="6"/>
        <v>0</v>
      </c>
      <c r="L41" s="41"/>
      <c r="M41" s="137">
        <f t="shared" si="3"/>
        <v>337793.25360000017</v>
      </c>
      <c r="N41" s="45"/>
    </row>
    <row r="42" spans="1:17">
      <c r="A42" s="26">
        <v>39</v>
      </c>
      <c r="B42" s="27"/>
      <c r="C42" s="17"/>
      <c r="D42" s="17"/>
      <c r="E42" s="41"/>
      <c r="F42" s="41"/>
      <c r="G42" s="41">
        <f t="shared" si="4"/>
        <v>0</v>
      </c>
      <c r="H42" s="41"/>
      <c r="I42" s="41"/>
      <c r="J42" s="41">
        <f t="shared" si="5"/>
        <v>0</v>
      </c>
      <c r="K42" s="41">
        <f t="shared" si="6"/>
        <v>0</v>
      </c>
      <c r="L42" s="41"/>
      <c r="M42" s="137">
        <f t="shared" si="3"/>
        <v>337793.25360000017</v>
      </c>
      <c r="N42" s="45"/>
    </row>
    <row r="43" spans="1:17">
      <c r="A43" s="26">
        <v>40</v>
      </c>
      <c r="B43" s="27"/>
      <c r="C43" s="17"/>
      <c r="D43" s="17"/>
      <c r="E43" s="41"/>
      <c r="F43" s="41"/>
      <c r="G43" s="41">
        <f t="shared" si="4"/>
        <v>0</v>
      </c>
      <c r="H43" s="41"/>
      <c r="I43" s="41"/>
      <c r="J43" s="41">
        <f t="shared" si="5"/>
        <v>0</v>
      </c>
      <c r="K43" s="41">
        <f t="shared" si="6"/>
        <v>0</v>
      </c>
      <c r="L43" s="41"/>
      <c r="M43" s="137">
        <f t="shared" si="3"/>
        <v>337793.25360000017</v>
      </c>
      <c r="N43" s="45"/>
    </row>
    <row r="44" spans="1:17">
      <c r="A44" s="26">
        <v>41</v>
      </c>
      <c r="B44" s="27"/>
      <c r="C44" s="17"/>
      <c r="D44" s="17"/>
      <c r="E44" s="41"/>
      <c r="F44" s="41"/>
      <c r="G44" s="41">
        <f t="shared" si="4"/>
        <v>0</v>
      </c>
      <c r="H44" s="41"/>
      <c r="I44" s="41"/>
      <c r="J44" s="41">
        <f t="shared" si="5"/>
        <v>0</v>
      </c>
      <c r="K44" s="41">
        <f t="shared" si="6"/>
        <v>0</v>
      </c>
      <c r="L44" s="41"/>
      <c r="M44" s="137">
        <f t="shared" si="3"/>
        <v>337793.25360000017</v>
      </c>
      <c r="N44" s="45"/>
    </row>
    <row r="45" spans="1:17">
      <c r="A45" s="26">
        <v>42</v>
      </c>
      <c r="B45" s="27"/>
      <c r="C45" s="17"/>
      <c r="D45" s="17"/>
      <c r="E45" s="41"/>
      <c r="F45" s="41"/>
      <c r="G45" s="41">
        <f t="shared" si="4"/>
        <v>0</v>
      </c>
      <c r="H45" s="41"/>
      <c r="I45" s="41"/>
      <c r="J45" s="41">
        <f t="shared" si="5"/>
        <v>0</v>
      </c>
      <c r="K45" s="41">
        <f t="shared" si="6"/>
        <v>0</v>
      </c>
      <c r="L45" s="41"/>
      <c r="M45" s="137">
        <f t="shared" si="3"/>
        <v>337793.25360000017</v>
      </c>
      <c r="N45" s="45"/>
    </row>
    <row r="46" spans="1:17">
      <c r="A46" s="26">
        <v>43</v>
      </c>
      <c r="B46" s="27"/>
      <c r="C46" s="17"/>
      <c r="D46" s="17"/>
      <c r="E46" s="41"/>
      <c r="F46" s="41"/>
      <c r="G46" s="41">
        <f t="shared" si="4"/>
        <v>0</v>
      </c>
      <c r="H46" s="41"/>
      <c r="I46" s="41"/>
      <c r="J46" s="41">
        <f t="shared" si="5"/>
        <v>0</v>
      </c>
      <c r="K46" s="41">
        <f t="shared" si="6"/>
        <v>0</v>
      </c>
      <c r="L46" s="41"/>
      <c r="M46" s="137">
        <f t="shared" si="3"/>
        <v>337793.25360000017</v>
      </c>
      <c r="N46" s="45"/>
    </row>
    <row r="47" spans="1:17">
      <c r="A47" s="26">
        <v>44</v>
      </c>
      <c r="B47" s="27"/>
      <c r="C47" s="17"/>
      <c r="D47" s="17"/>
      <c r="E47" s="41"/>
      <c r="F47" s="41"/>
      <c r="G47" s="41">
        <f t="shared" si="4"/>
        <v>0</v>
      </c>
      <c r="H47" s="41"/>
      <c r="I47" s="41"/>
      <c r="J47" s="41">
        <f t="shared" si="5"/>
        <v>0</v>
      </c>
      <c r="K47" s="41">
        <f t="shared" si="6"/>
        <v>0</v>
      </c>
      <c r="L47" s="41"/>
      <c r="M47" s="137">
        <f t="shared" si="3"/>
        <v>337793.25360000017</v>
      </c>
      <c r="N47" s="45"/>
    </row>
    <row r="48" spans="1:17">
      <c r="A48" s="26">
        <v>45</v>
      </c>
      <c r="B48" s="27"/>
      <c r="C48" s="17"/>
      <c r="D48" s="17"/>
      <c r="E48" s="41"/>
      <c r="F48" s="41"/>
      <c r="G48" s="41">
        <f t="shared" si="4"/>
        <v>0</v>
      </c>
      <c r="H48" s="41"/>
      <c r="I48" s="41"/>
      <c r="J48" s="41">
        <f t="shared" si="5"/>
        <v>0</v>
      </c>
      <c r="K48" s="41">
        <f t="shared" si="6"/>
        <v>0</v>
      </c>
      <c r="L48" s="41"/>
      <c r="M48" s="137">
        <f t="shared" si="3"/>
        <v>337793.25360000017</v>
      </c>
      <c r="N48" s="45"/>
    </row>
    <row r="49" spans="1:16">
      <c r="A49" s="26">
        <v>46</v>
      </c>
      <c r="B49" s="27"/>
      <c r="C49" s="17"/>
      <c r="D49" s="17"/>
      <c r="E49" s="41"/>
      <c r="F49" s="41"/>
      <c r="G49" s="41">
        <f t="shared" si="4"/>
        <v>0</v>
      </c>
      <c r="H49" s="41"/>
      <c r="I49" s="41"/>
      <c r="J49" s="41">
        <f t="shared" si="5"/>
        <v>0</v>
      </c>
      <c r="K49" s="41">
        <f t="shared" si="6"/>
        <v>0</v>
      </c>
      <c r="L49" s="41"/>
      <c r="M49" s="137">
        <f t="shared" si="3"/>
        <v>337793.25360000017</v>
      </c>
      <c r="N49" s="45"/>
    </row>
    <row r="50" spans="1:16">
      <c r="A50" s="26">
        <v>47</v>
      </c>
      <c r="B50" s="27"/>
      <c r="C50" s="17"/>
      <c r="D50" s="17"/>
      <c r="E50" s="41"/>
      <c r="F50" s="41"/>
      <c r="G50" s="41">
        <f t="shared" si="4"/>
        <v>0</v>
      </c>
      <c r="H50" s="41"/>
      <c r="I50" s="41"/>
      <c r="J50" s="41">
        <f t="shared" si="5"/>
        <v>0</v>
      </c>
      <c r="K50" s="41">
        <f t="shared" si="6"/>
        <v>0</v>
      </c>
      <c r="L50" s="41">
        <v>0</v>
      </c>
      <c r="M50" s="137">
        <f t="shared" si="3"/>
        <v>337793.25360000017</v>
      </c>
      <c r="N50" s="45"/>
    </row>
    <row r="51" spans="1:16">
      <c r="A51" s="26">
        <v>48</v>
      </c>
      <c r="B51" s="27"/>
      <c r="C51" s="95"/>
      <c r="D51" s="95"/>
      <c r="E51" s="41"/>
      <c r="F51" s="41"/>
      <c r="G51" s="41">
        <f t="shared" si="4"/>
        <v>0</v>
      </c>
      <c r="H51" s="41"/>
      <c r="I51" s="41"/>
      <c r="J51" s="41">
        <f t="shared" si="5"/>
        <v>0</v>
      </c>
      <c r="K51" s="41">
        <f t="shared" si="6"/>
        <v>0</v>
      </c>
      <c r="L51" s="41">
        <v>0</v>
      </c>
      <c r="M51" s="137">
        <f t="shared" si="3"/>
        <v>337793.25360000017</v>
      </c>
      <c r="N51" s="226"/>
    </row>
    <row r="52" spans="1:16">
      <c r="A52" s="26">
        <v>49</v>
      </c>
      <c r="B52" s="27"/>
      <c r="C52" s="17"/>
      <c r="D52" s="17"/>
      <c r="E52" s="41"/>
      <c r="F52" s="41"/>
      <c r="G52" s="41">
        <f t="shared" si="4"/>
        <v>0</v>
      </c>
      <c r="H52" s="41"/>
      <c r="I52" s="41"/>
      <c r="J52" s="41">
        <f t="shared" si="5"/>
        <v>0</v>
      </c>
      <c r="K52" s="41">
        <f t="shared" si="6"/>
        <v>0</v>
      </c>
      <c r="L52" s="41">
        <v>0</v>
      </c>
      <c r="M52" s="137">
        <f t="shared" si="3"/>
        <v>337793.25360000017</v>
      </c>
      <c r="N52" s="45"/>
    </row>
    <row r="53" spans="1:16">
      <c r="A53" s="26">
        <v>50</v>
      </c>
      <c r="B53" s="27"/>
      <c r="C53" s="17"/>
      <c r="D53" s="17"/>
      <c r="E53" s="41"/>
      <c r="F53" s="41"/>
      <c r="G53" s="41">
        <f t="shared" ref="G53" si="7">E53*F53</f>
        <v>0</v>
      </c>
      <c r="H53" s="41"/>
      <c r="I53" s="41"/>
      <c r="J53" s="41">
        <f t="shared" ref="J53" si="8">H53*I53</f>
        <v>0</v>
      </c>
      <c r="K53" s="41">
        <f t="shared" ref="K53" si="9">G53+J53</f>
        <v>0</v>
      </c>
      <c r="L53" s="41">
        <v>0</v>
      </c>
      <c r="M53" s="137">
        <f t="shared" si="3"/>
        <v>337793.25360000017</v>
      </c>
      <c r="N53" s="45"/>
      <c r="O53">
        <v>1109792.2825999993</v>
      </c>
      <c r="P53" s="176">
        <f>M53-O53</f>
        <v>-771999.02899999917</v>
      </c>
    </row>
    <row r="54" spans="1:16">
      <c r="A54" s="183"/>
      <c r="B54" s="183"/>
      <c r="C54" s="183"/>
      <c r="D54" s="183"/>
      <c r="E54" s="183">
        <f>SUM(E4:E53)</f>
        <v>15971.286</v>
      </c>
      <c r="F54" s="183"/>
      <c r="G54" s="183">
        <f>SUM(G4:G53)</f>
        <v>1464609.3787</v>
      </c>
      <c r="H54" s="183">
        <f>SUM(H4:H53)</f>
        <v>140</v>
      </c>
      <c r="I54" s="183"/>
      <c r="J54" s="183">
        <f>SUM(J4:J53)</f>
        <v>14726.599999999999</v>
      </c>
      <c r="K54" s="183">
        <f>SUM(K4:K53)</f>
        <v>1479335.9787000001</v>
      </c>
      <c r="L54" s="183">
        <f>SUM(L4:L53)</f>
        <v>2510129.19</v>
      </c>
      <c r="M54" s="183"/>
      <c r="N54" s="183"/>
    </row>
  </sheetData>
  <mergeCells count="2">
    <mergeCell ref="A1:N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5"/>
  <sheetViews>
    <sheetView topLeftCell="A2" workbookViewId="0">
      <selection activeCell="S58" sqref="S58"/>
    </sheetView>
  </sheetViews>
  <sheetFormatPr defaultRowHeight="15"/>
  <cols>
    <col min="7" max="7" width="10.42578125" bestFit="1" customWidth="1"/>
    <col min="11" max="11" width="13.5703125" bestFit="1" customWidth="1"/>
    <col min="12" max="12" width="11.42578125" bestFit="1" customWidth="1"/>
    <col min="13" max="13" width="13.5703125" bestFit="1" customWidth="1"/>
  </cols>
  <sheetData>
    <row r="1" spans="1:14" ht="15.75">
      <c r="A1" s="473" t="s">
        <v>240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14" ht="30.75">
      <c r="A2" s="65" t="s">
        <v>101</v>
      </c>
      <c r="B2" s="84" t="s">
        <v>155</v>
      </c>
      <c r="C2" s="84" t="s">
        <v>156</v>
      </c>
      <c r="D2" s="84" t="s">
        <v>157</v>
      </c>
      <c r="E2" s="91" t="s">
        <v>158</v>
      </c>
      <c r="F2" s="91" t="s">
        <v>159</v>
      </c>
      <c r="G2" s="91" t="s">
        <v>160</v>
      </c>
      <c r="H2" s="91" t="s">
        <v>161</v>
      </c>
      <c r="I2" s="91" t="s">
        <v>159</v>
      </c>
      <c r="J2" s="91" t="s">
        <v>160</v>
      </c>
      <c r="K2" s="92" t="s">
        <v>162</v>
      </c>
      <c r="L2" s="86" t="s">
        <v>163</v>
      </c>
      <c r="M2" s="86" t="s">
        <v>174</v>
      </c>
      <c r="N2" s="126" t="s">
        <v>165</v>
      </c>
    </row>
    <row r="3" spans="1:14">
      <c r="A3" s="451" t="s">
        <v>166</v>
      </c>
      <c r="B3" s="451"/>
      <c r="C3" s="451"/>
      <c r="D3" s="451"/>
      <c r="E3" s="451"/>
      <c r="F3" s="451"/>
      <c r="G3" s="451"/>
      <c r="H3" s="451"/>
      <c r="I3" s="451"/>
      <c r="J3" s="455"/>
      <c r="K3" s="204">
        <v>0</v>
      </c>
      <c r="M3" s="136">
        <f>+K3</f>
        <v>0</v>
      </c>
      <c r="N3" s="95"/>
    </row>
    <row r="4" spans="1:14">
      <c r="A4" s="26">
        <v>1</v>
      </c>
      <c r="B4" s="27" t="s">
        <v>228</v>
      </c>
      <c r="C4" s="17"/>
      <c r="D4" s="17"/>
      <c r="E4" s="41">
        <v>0</v>
      </c>
      <c r="F4" s="41">
        <v>0</v>
      </c>
      <c r="G4" s="41">
        <f>E4*F4</f>
        <v>0</v>
      </c>
      <c r="H4" s="41"/>
      <c r="I4" s="41"/>
      <c r="J4" s="41">
        <f>H4*I4</f>
        <v>0</v>
      </c>
      <c r="K4" s="41">
        <f>G4+J4</f>
        <v>0</v>
      </c>
      <c r="L4" s="41"/>
      <c r="M4" s="137">
        <f>M3+K4-L4</f>
        <v>0</v>
      </c>
      <c r="N4" s="17"/>
    </row>
    <row r="5" spans="1:14">
      <c r="A5" s="26">
        <v>2</v>
      </c>
      <c r="B5" s="27" t="s">
        <v>229</v>
      </c>
      <c r="C5" s="17"/>
      <c r="D5" s="17"/>
      <c r="E5" s="41">
        <v>4000</v>
      </c>
      <c r="F5" s="41">
        <v>91.71</v>
      </c>
      <c r="G5" s="41">
        <f t="shared" ref="G5:G54" si="0">E5*F5</f>
        <v>366840</v>
      </c>
      <c r="H5" s="41"/>
      <c r="I5" s="41"/>
      <c r="J5" s="41">
        <f t="shared" ref="J5:J54" si="1">H5*I5</f>
        <v>0</v>
      </c>
      <c r="K5" s="41">
        <f>G5+J5</f>
        <v>366840</v>
      </c>
      <c r="L5" s="41"/>
      <c r="M5" s="137">
        <f t="shared" ref="M5:M54" si="2">M4+K5-L5</f>
        <v>366840</v>
      </c>
      <c r="N5" s="17"/>
    </row>
    <row r="6" spans="1:14">
      <c r="A6" s="26">
        <v>3</v>
      </c>
      <c r="B6" s="27" t="s">
        <v>241</v>
      </c>
      <c r="C6" s="17"/>
      <c r="D6" s="17"/>
      <c r="E6" s="41">
        <v>500</v>
      </c>
      <c r="F6" s="41">
        <v>91.71</v>
      </c>
      <c r="G6" s="41">
        <f t="shared" si="0"/>
        <v>45855</v>
      </c>
      <c r="H6" s="41"/>
      <c r="I6" s="41"/>
      <c r="J6" s="41">
        <f t="shared" si="1"/>
        <v>0</v>
      </c>
      <c r="K6" s="41">
        <f>G6+J6</f>
        <v>45855</v>
      </c>
      <c r="L6" s="41"/>
      <c r="M6" s="137">
        <f t="shared" si="2"/>
        <v>412695</v>
      </c>
      <c r="N6" s="17"/>
    </row>
    <row r="7" spans="1:14">
      <c r="A7" s="26">
        <v>4</v>
      </c>
      <c r="B7" s="27" t="s">
        <v>242</v>
      </c>
      <c r="C7" s="17"/>
      <c r="D7" s="17"/>
      <c r="E7" s="41">
        <v>400</v>
      </c>
      <c r="F7" s="41">
        <v>91.71</v>
      </c>
      <c r="G7" s="41">
        <f t="shared" si="0"/>
        <v>36684</v>
      </c>
      <c r="H7" s="41">
        <v>30</v>
      </c>
      <c r="I7" s="41">
        <v>105.44</v>
      </c>
      <c r="J7" s="41">
        <f t="shared" si="1"/>
        <v>3163.2</v>
      </c>
      <c r="K7" s="41">
        <f>G7+J7</f>
        <v>39847.199999999997</v>
      </c>
      <c r="L7" s="41"/>
      <c r="M7" s="137">
        <f t="shared" si="2"/>
        <v>452542.2</v>
      </c>
      <c r="N7" s="17"/>
    </row>
    <row r="8" spans="1:14">
      <c r="A8" s="26">
        <v>5</v>
      </c>
      <c r="B8" s="27" t="s">
        <v>243</v>
      </c>
      <c r="C8" s="17"/>
      <c r="D8" s="17"/>
      <c r="E8" s="41">
        <v>2000</v>
      </c>
      <c r="F8" s="41">
        <v>91.71</v>
      </c>
      <c r="G8" s="41">
        <f t="shared" si="0"/>
        <v>183420</v>
      </c>
      <c r="H8" s="41"/>
      <c r="I8" s="41"/>
      <c r="J8" s="41">
        <f t="shared" si="1"/>
        <v>0</v>
      </c>
      <c r="K8" s="41">
        <f>G8+J8</f>
        <v>183420</v>
      </c>
      <c r="L8" s="41"/>
      <c r="M8" s="137">
        <f t="shared" si="2"/>
        <v>635962.19999999995</v>
      </c>
      <c r="N8" s="17"/>
    </row>
    <row r="9" spans="1:14">
      <c r="A9" s="26">
        <v>6</v>
      </c>
      <c r="B9" s="27" t="s">
        <v>244</v>
      </c>
      <c r="C9" s="17"/>
      <c r="D9" s="17"/>
      <c r="E9" s="41">
        <v>2400</v>
      </c>
      <c r="F9" s="41">
        <v>91.71</v>
      </c>
      <c r="G9" s="41">
        <f t="shared" si="0"/>
        <v>220103.99999999997</v>
      </c>
      <c r="H9" s="41">
        <v>40</v>
      </c>
      <c r="I9" s="41">
        <v>105.44</v>
      </c>
      <c r="J9" s="41">
        <f t="shared" si="1"/>
        <v>4217.6000000000004</v>
      </c>
      <c r="K9" s="41">
        <f>G9+J9</f>
        <v>224321.59999999998</v>
      </c>
      <c r="L9" s="41"/>
      <c r="M9" s="137">
        <f t="shared" si="2"/>
        <v>860283.79999999993</v>
      </c>
      <c r="N9" s="17"/>
    </row>
    <row r="10" spans="1:14">
      <c r="A10" s="26"/>
      <c r="B10" s="27" t="s">
        <v>244</v>
      </c>
      <c r="C10" s="17"/>
      <c r="D10" s="17"/>
      <c r="E10" s="41"/>
      <c r="F10" s="41"/>
      <c r="G10" s="41"/>
      <c r="H10" s="41"/>
      <c r="I10" s="41"/>
      <c r="J10" s="41"/>
      <c r="K10" s="41"/>
      <c r="L10" s="41"/>
      <c r="M10" s="137"/>
      <c r="N10" s="17"/>
    </row>
    <row r="11" spans="1:14">
      <c r="A11" s="26">
        <v>7</v>
      </c>
      <c r="B11" s="27" t="s">
        <v>245</v>
      </c>
      <c r="C11" s="17"/>
      <c r="D11" s="17"/>
      <c r="E11" s="41">
        <v>900</v>
      </c>
      <c r="F11" s="41">
        <v>91.71</v>
      </c>
      <c r="G11" s="41">
        <f t="shared" si="0"/>
        <v>82539</v>
      </c>
      <c r="H11" s="41"/>
      <c r="I11" s="41"/>
      <c r="J11" s="41">
        <f t="shared" si="1"/>
        <v>0</v>
      </c>
      <c r="K11" s="41">
        <f>G11+J11</f>
        <v>82539</v>
      </c>
      <c r="L11" s="41"/>
      <c r="M11" s="137">
        <f>M9+K11-L11</f>
        <v>942822.79999999993</v>
      </c>
      <c r="N11" s="17"/>
    </row>
    <row r="12" spans="1:14">
      <c r="A12" s="26">
        <v>8</v>
      </c>
      <c r="B12" s="27" t="s">
        <v>246</v>
      </c>
      <c r="C12" s="17"/>
      <c r="D12" s="17"/>
      <c r="E12" s="41">
        <v>400</v>
      </c>
      <c r="F12" s="41">
        <v>91.71</v>
      </c>
      <c r="G12" s="41">
        <f t="shared" si="0"/>
        <v>36684</v>
      </c>
      <c r="H12" s="41"/>
      <c r="I12" s="41"/>
      <c r="J12" s="41">
        <f t="shared" si="1"/>
        <v>0</v>
      </c>
      <c r="K12" s="41">
        <f>G12+J12</f>
        <v>36684</v>
      </c>
      <c r="L12" s="41"/>
      <c r="M12" s="137">
        <f t="shared" si="2"/>
        <v>979506.79999999993</v>
      </c>
      <c r="N12" s="17"/>
    </row>
    <row r="13" spans="1:14">
      <c r="A13" s="26">
        <v>9</v>
      </c>
      <c r="B13" s="27" t="s">
        <v>247</v>
      </c>
      <c r="C13" s="17"/>
      <c r="D13" s="17"/>
      <c r="E13" s="41">
        <v>3230.42</v>
      </c>
      <c r="F13" s="41">
        <v>91.71</v>
      </c>
      <c r="G13" s="41">
        <f t="shared" si="0"/>
        <v>296261.81819999998</v>
      </c>
      <c r="H13" s="41">
        <v>35</v>
      </c>
      <c r="I13" s="41">
        <v>105.44</v>
      </c>
      <c r="J13" s="41">
        <f t="shared" si="1"/>
        <v>3690.4</v>
      </c>
      <c r="K13" s="41">
        <f>G13+J13</f>
        <v>299952.2182</v>
      </c>
      <c r="L13" s="41"/>
      <c r="M13" s="137">
        <f t="shared" si="2"/>
        <v>1279459.0181999998</v>
      </c>
      <c r="N13" s="17"/>
    </row>
    <row r="14" spans="1:14">
      <c r="A14" s="26">
        <v>10</v>
      </c>
      <c r="B14" s="27" t="s">
        <v>248</v>
      </c>
      <c r="C14" s="17"/>
      <c r="D14" s="17"/>
      <c r="E14" s="41">
        <v>400</v>
      </c>
      <c r="F14" s="41">
        <v>91.71</v>
      </c>
      <c r="G14" s="41">
        <f t="shared" si="0"/>
        <v>36684</v>
      </c>
      <c r="H14" s="41"/>
      <c r="I14" s="41"/>
      <c r="J14" s="41">
        <f t="shared" si="1"/>
        <v>0</v>
      </c>
      <c r="K14" s="41">
        <f>G14+J14</f>
        <v>36684</v>
      </c>
      <c r="L14" s="41"/>
      <c r="M14" s="137">
        <f t="shared" si="2"/>
        <v>1316143.0181999998</v>
      </c>
      <c r="N14" s="45"/>
    </row>
    <row r="15" spans="1:14">
      <c r="A15" s="26">
        <v>11</v>
      </c>
      <c r="B15" s="27" t="s">
        <v>230</v>
      </c>
      <c r="C15" s="17"/>
      <c r="D15" s="17"/>
      <c r="E15" s="41">
        <v>2000</v>
      </c>
      <c r="F15" s="41">
        <v>91.71</v>
      </c>
      <c r="G15" s="41">
        <f t="shared" si="0"/>
        <v>183420</v>
      </c>
      <c r="H15" s="41"/>
      <c r="I15" s="41"/>
      <c r="J15" s="41">
        <f t="shared" si="1"/>
        <v>0</v>
      </c>
      <c r="K15" s="41">
        <f>G15+J15</f>
        <v>183420</v>
      </c>
      <c r="L15" s="41"/>
      <c r="M15" s="137">
        <f t="shared" si="2"/>
        <v>1499563.0181999998</v>
      </c>
      <c r="N15" s="45"/>
    </row>
    <row r="16" spans="1:14">
      <c r="A16" s="26">
        <v>12</v>
      </c>
      <c r="B16" s="27" t="s">
        <v>249</v>
      </c>
      <c r="C16" s="17"/>
      <c r="D16" s="17"/>
      <c r="E16" s="41">
        <v>1100</v>
      </c>
      <c r="F16" s="41">
        <v>91.71</v>
      </c>
      <c r="G16" s="41">
        <f t="shared" si="0"/>
        <v>100881</v>
      </c>
      <c r="H16" s="41"/>
      <c r="I16" s="41"/>
      <c r="J16" s="41">
        <f t="shared" si="1"/>
        <v>0</v>
      </c>
      <c r="K16" s="41">
        <f>G16+J16</f>
        <v>100881</v>
      </c>
      <c r="L16" s="41"/>
      <c r="M16" s="137">
        <f t="shared" si="2"/>
        <v>1600444.0181999998</v>
      </c>
      <c r="N16" s="45"/>
    </row>
    <row r="17" spans="1:16">
      <c r="A17" s="26">
        <v>13</v>
      </c>
      <c r="B17" s="27" t="s">
        <v>250</v>
      </c>
      <c r="C17" s="17"/>
      <c r="D17" s="17"/>
      <c r="E17" s="41">
        <v>2500</v>
      </c>
      <c r="F17" s="41">
        <v>91.71</v>
      </c>
      <c r="G17" s="41">
        <f t="shared" si="0"/>
        <v>229274.99999999997</v>
      </c>
      <c r="H17" s="41">
        <v>15</v>
      </c>
      <c r="I17" s="41">
        <v>105.44</v>
      </c>
      <c r="J17" s="41">
        <f t="shared" si="1"/>
        <v>1581.6</v>
      </c>
      <c r="K17" s="41">
        <f>G17+J17</f>
        <v>230856.59999999998</v>
      </c>
      <c r="L17" s="41"/>
      <c r="M17" s="137">
        <f t="shared" si="2"/>
        <v>1831300.6181999999</v>
      </c>
      <c r="N17" s="45"/>
    </row>
    <row r="18" spans="1:16">
      <c r="A18" s="26">
        <v>14</v>
      </c>
      <c r="B18" s="27" t="s">
        <v>251</v>
      </c>
      <c r="C18" s="17"/>
      <c r="D18" s="17"/>
      <c r="E18" s="41">
        <v>2200</v>
      </c>
      <c r="F18" s="41">
        <v>91.71</v>
      </c>
      <c r="G18" s="41">
        <f t="shared" si="0"/>
        <v>201762</v>
      </c>
      <c r="H18" s="41"/>
      <c r="I18" s="41"/>
      <c r="J18" s="41">
        <f t="shared" si="1"/>
        <v>0</v>
      </c>
      <c r="K18" s="41">
        <f>G18+J18</f>
        <v>201762</v>
      </c>
      <c r="L18" s="41"/>
      <c r="M18" s="137">
        <f t="shared" si="2"/>
        <v>2033062.6181999999</v>
      </c>
      <c r="N18" s="45"/>
    </row>
    <row r="19" spans="1:16">
      <c r="A19" s="26">
        <v>15</v>
      </c>
      <c r="B19" s="27" t="s">
        <v>252</v>
      </c>
      <c r="C19" s="17"/>
      <c r="D19" s="17"/>
      <c r="E19" s="41">
        <v>2700</v>
      </c>
      <c r="F19" s="41">
        <v>91.71</v>
      </c>
      <c r="G19" s="41">
        <f t="shared" si="0"/>
        <v>247616.99999999997</v>
      </c>
      <c r="H19" s="41"/>
      <c r="I19" s="41"/>
      <c r="J19" s="41">
        <f t="shared" si="1"/>
        <v>0</v>
      </c>
      <c r="K19" s="41">
        <f>G19+J19</f>
        <v>247616.99999999997</v>
      </c>
      <c r="L19" s="41"/>
      <c r="M19" s="137">
        <f t="shared" si="2"/>
        <v>2280679.6181999999</v>
      </c>
      <c r="N19" s="45"/>
    </row>
    <row r="20" spans="1:16">
      <c r="A20" s="26">
        <v>16</v>
      </c>
      <c r="B20" s="27" t="s">
        <v>253</v>
      </c>
      <c r="C20" s="17"/>
      <c r="D20" s="17"/>
      <c r="E20" s="41">
        <v>2898</v>
      </c>
      <c r="F20" s="41">
        <v>91.71</v>
      </c>
      <c r="G20" s="41">
        <f t="shared" si="0"/>
        <v>265775.57999999996</v>
      </c>
      <c r="H20" s="41">
        <v>50</v>
      </c>
      <c r="I20" s="41">
        <v>105.44</v>
      </c>
      <c r="J20" s="41">
        <f t="shared" si="1"/>
        <v>5272</v>
      </c>
      <c r="K20" s="41">
        <f>G20+J20</f>
        <v>271047.57999999996</v>
      </c>
      <c r="L20" s="41"/>
      <c r="M20" s="137">
        <f t="shared" si="2"/>
        <v>2551727.1982</v>
      </c>
      <c r="N20" s="45"/>
      <c r="P20" s="22"/>
    </row>
    <row r="21" spans="1:16">
      <c r="A21" s="26">
        <v>17</v>
      </c>
      <c r="B21" s="27" t="s">
        <v>254</v>
      </c>
      <c r="C21" s="17"/>
      <c r="D21" s="17"/>
      <c r="E21" s="41">
        <v>2200</v>
      </c>
      <c r="F21" s="41">
        <v>91.71</v>
      </c>
      <c r="G21" s="41">
        <f t="shared" si="0"/>
        <v>201762</v>
      </c>
      <c r="H21" s="41"/>
      <c r="I21" s="41"/>
      <c r="J21" s="41">
        <f t="shared" si="1"/>
        <v>0</v>
      </c>
      <c r="K21" s="41">
        <f>G21+J21</f>
        <v>201762</v>
      </c>
      <c r="L21" s="41"/>
      <c r="M21" s="137">
        <f t="shared" si="2"/>
        <v>2753489.1982</v>
      </c>
      <c r="N21" s="45"/>
      <c r="P21" s="22"/>
    </row>
    <row r="22" spans="1:16">
      <c r="A22" s="26">
        <v>18</v>
      </c>
      <c r="B22" s="27" t="s">
        <v>255</v>
      </c>
      <c r="C22" s="17"/>
      <c r="D22" s="17"/>
      <c r="E22" s="41">
        <v>4700</v>
      </c>
      <c r="F22" s="41">
        <v>91.71</v>
      </c>
      <c r="G22" s="41">
        <f t="shared" si="0"/>
        <v>431036.99999999994</v>
      </c>
      <c r="H22" s="41">
        <v>45</v>
      </c>
      <c r="I22" s="41">
        <v>105.44</v>
      </c>
      <c r="J22" s="41">
        <f t="shared" si="1"/>
        <v>4744.8</v>
      </c>
      <c r="K22" s="41">
        <f>G22+J22</f>
        <v>435781.79999999993</v>
      </c>
      <c r="L22" s="41"/>
      <c r="M22" s="137">
        <f t="shared" si="2"/>
        <v>3189270.9981999998</v>
      </c>
      <c r="N22" s="45"/>
      <c r="P22" s="22"/>
    </row>
    <row r="23" spans="1:16">
      <c r="A23" s="26">
        <v>19</v>
      </c>
      <c r="B23" s="27" t="s">
        <v>239</v>
      </c>
      <c r="C23" s="17"/>
      <c r="D23" s="17"/>
      <c r="E23" s="41">
        <v>2200</v>
      </c>
      <c r="F23" s="41">
        <v>91.71</v>
      </c>
      <c r="G23" s="41">
        <f t="shared" si="0"/>
        <v>201762</v>
      </c>
      <c r="H23" s="41"/>
      <c r="I23" s="41"/>
      <c r="J23" s="41">
        <f t="shared" si="1"/>
        <v>0</v>
      </c>
      <c r="K23" s="41">
        <f>G23+J23</f>
        <v>201762</v>
      </c>
      <c r="L23" s="41">
        <v>1000000</v>
      </c>
      <c r="M23" s="137">
        <f t="shared" si="2"/>
        <v>2391032.9981999998</v>
      </c>
      <c r="N23" s="45"/>
      <c r="P23" s="22"/>
    </row>
    <row r="24" spans="1:16">
      <c r="A24" s="26">
        <v>20</v>
      </c>
      <c r="B24" s="27" t="s">
        <v>256</v>
      </c>
      <c r="C24" s="17"/>
      <c r="D24" s="17"/>
      <c r="E24" s="41">
        <v>911.8</v>
      </c>
      <c r="F24" s="41">
        <v>91.71</v>
      </c>
      <c r="G24" s="41">
        <f t="shared" si="0"/>
        <v>83621.177999999985</v>
      </c>
      <c r="H24" s="41"/>
      <c r="I24" s="41"/>
      <c r="J24" s="41">
        <f t="shared" si="1"/>
        <v>0</v>
      </c>
      <c r="K24" s="41">
        <f>G24+J24</f>
        <v>83621.177999999985</v>
      </c>
      <c r="L24" s="41"/>
      <c r="M24" s="137">
        <f t="shared" si="2"/>
        <v>2474654.1761999996</v>
      </c>
      <c r="N24" s="45"/>
      <c r="P24" s="22"/>
    </row>
    <row r="25" spans="1:16">
      <c r="A25" s="26">
        <v>21</v>
      </c>
      <c r="B25" s="27" t="s">
        <v>257</v>
      </c>
      <c r="C25" s="17"/>
      <c r="D25" s="17"/>
      <c r="E25" s="41">
        <v>5200</v>
      </c>
      <c r="F25" s="41">
        <v>91.71</v>
      </c>
      <c r="G25" s="41">
        <f t="shared" si="0"/>
        <v>476891.99999999994</v>
      </c>
      <c r="H25" s="41">
        <v>15</v>
      </c>
      <c r="I25" s="41">
        <v>105.44</v>
      </c>
      <c r="J25" s="41">
        <f t="shared" si="1"/>
        <v>1581.6</v>
      </c>
      <c r="K25" s="41">
        <f>G25+J25</f>
        <v>478473.59999999992</v>
      </c>
      <c r="L25" s="41"/>
      <c r="M25" s="137">
        <f t="shared" si="2"/>
        <v>2953127.7761999997</v>
      </c>
      <c r="N25" s="45"/>
      <c r="P25" s="22"/>
    </row>
    <row r="26" spans="1:16">
      <c r="A26" s="26">
        <v>22</v>
      </c>
      <c r="B26" s="27"/>
      <c r="C26" s="17"/>
      <c r="D26" s="17"/>
      <c r="E26" s="41"/>
      <c r="F26" s="41"/>
      <c r="G26" s="41">
        <f t="shared" si="0"/>
        <v>0</v>
      </c>
      <c r="H26" s="41"/>
      <c r="I26" s="41"/>
      <c r="J26" s="41">
        <f t="shared" si="1"/>
        <v>0</v>
      </c>
      <c r="K26" s="41">
        <f>G26+J26</f>
        <v>0</v>
      </c>
      <c r="L26" s="41"/>
      <c r="M26" s="137">
        <f t="shared" si="2"/>
        <v>2953127.7761999997</v>
      </c>
      <c r="N26" s="45"/>
      <c r="P26" s="22"/>
    </row>
    <row r="27" spans="1:16">
      <c r="A27" s="26">
        <v>23</v>
      </c>
      <c r="B27" s="27"/>
      <c r="C27" s="17"/>
      <c r="D27" s="17"/>
      <c r="E27" s="41"/>
      <c r="F27" s="41"/>
      <c r="G27" s="41">
        <f t="shared" si="0"/>
        <v>0</v>
      </c>
      <c r="H27" s="41"/>
      <c r="I27" s="41"/>
      <c r="J27" s="41">
        <f t="shared" si="1"/>
        <v>0</v>
      </c>
      <c r="K27" s="41">
        <f>G27+J27</f>
        <v>0</v>
      </c>
      <c r="L27" s="41"/>
      <c r="M27" s="137">
        <f t="shared" si="2"/>
        <v>2953127.7761999997</v>
      </c>
      <c r="N27" s="45"/>
      <c r="P27" s="22"/>
    </row>
    <row r="28" spans="1:16">
      <c r="A28" s="26">
        <v>24</v>
      </c>
      <c r="B28" s="27"/>
      <c r="C28" s="17"/>
      <c r="D28" s="17"/>
      <c r="E28" s="41"/>
      <c r="F28" s="41"/>
      <c r="G28" s="41">
        <f t="shared" si="0"/>
        <v>0</v>
      </c>
      <c r="H28" s="41"/>
      <c r="I28" s="41"/>
      <c r="J28" s="41">
        <f t="shared" si="1"/>
        <v>0</v>
      </c>
      <c r="K28" s="41">
        <f>G28+J28</f>
        <v>0</v>
      </c>
      <c r="L28" s="41"/>
      <c r="M28" s="137">
        <f t="shared" si="2"/>
        <v>2953127.7761999997</v>
      </c>
      <c r="N28" s="45"/>
      <c r="P28" s="22"/>
    </row>
    <row r="29" spans="1:16">
      <c r="A29" s="26">
        <v>25</v>
      </c>
      <c r="B29" s="27"/>
      <c r="C29" s="17"/>
      <c r="D29" s="17"/>
      <c r="E29" s="41"/>
      <c r="F29" s="41"/>
      <c r="G29" s="41">
        <f t="shared" si="0"/>
        <v>0</v>
      </c>
      <c r="H29" s="41"/>
      <c r="I29" s="41"/>
      <c r="J29" s="41">
        <f t="shared" si="1"/>
        <v>0</v>
      </c>
      <c r="K29" s="41">
        <f>G29+J29</f>
        <v>0</v>
      </c>
      <c r="L29" s="41"/>
      <c r="M29" s="137">
        <f t="shared" si="2"/>
        <v>2953127.7761999997</v>
      </c>
      <c r="N29" s="45"/>
    </row>
    <row r="30" spans="1:16">
      <c r="A30" s="26">
        <v>26</v>
      </c>
      <c r="B30" s="27"/>
      <c r="C30" s="17"/>
      <c r="D30" s="17"/>
      <c r="E30" s="41"/>
      <c r="F30" s="41"/>
      <c r="G30" s="41">
        <f t="shared" si="0"/>
        <v>0</v>
      </c>
      <c r="H30" s="41"/>
      <c r="I30" s="41"/>
      <c r="J30" s="41">
        <f t="shared" si="1"/>
        <v>0</v>
      </c>
      <c r="K30" s="41">
        <f>G30+J30</f>
        <v>0</v>
      </c>
      <c r="L30" s="41"/>
      <c r="M30" s="137">
        <f t="shared" si="2"/>
        <v>2953127.7761999997</v>
      </c>
      <c r="N30" s="45"/>
    </row>
    <row r="31" spans="1:16">
      <c r="A31" s="26">
        <v>27</v>
      </c>
      <c r="B31" s="27"/>
      <c r="C31" s="17"/>
      <c r="D31" s="17"/>
      <c r="E31" s="41"/>
      <c r="F31" s="41"/>
      <c r="G31" s="41">
        <f t="shared" si="0"/>
        <v>0</v>
      </c>
      <c r="H31" s="41"/>
      <c r="I31" s="41"/>
      <c r="J31" s="41">
        <f t="shared" si="1"/>
        <v>0</v>
      </c>
      <c r="K31" s="41">
        <f>G31+J31</f>
        <v>0</v>
      </c>
      <c r="L31" s="41"/>
      <c r="M31" s="137">
        <f t="shared" si="2"/>
        <v>2953127.7761999997</v>
      </c>
      <c r="N31" s="45"/>
    </row>
    <row r="32" spans="1:16">
      <c r="A32" s="26">
        <v>28</v>
      </c>
      <c r="B32" s="27"/>
      <c r="C32" s="17"/>
      <c r="D32" s="17"/>
      <c r="E32" s="41"/>
      <c r="F32" s="41"/>
      <c r="G32" s="41">
        <f t="shared" si="0"/>
        <v>0</v>
      </c>
      <c r="H32" s="41"/>
      <c r="I32" s="41"/>
      <c r="J32" s="41">
        <f t="shared" si="1"/>
        <v>0</v>
      </c>
      <c r="K32" s="41">
        <f>G32+J32</f>
        <v>0</v>
      </c>
      <c r="L32" s="41"/>
      <c r="M32" s="137">
        <f t="shared" si="2"/>
        <v>2953127.7761999997</v>
      </c>
      <c r="N32" s="45"/>
    </row>
    <row r="33" spans="1:17">
      <c r="A33" s="26">
        <v>29</v>
      </c>
      <c r="B33" s="27"/>
      <c r="C33" s="17"/>
      <c r="D33" s="17"/>
      <c r="E33" s="41"/>
      <c r="F33" s="41"/>
      <c r="G33" s="41">
        <f t="shared" si="0"/>
        <v>0</v>
      </c>
      <c r="H33" s="41"/>
      <c r="I33" s="41"/>
      <c r="J33" s="41">
        <f t="shared" si="1"/>
        <v>0</v>
      </c>
      <c r="K33" s="41">
        <f>G33+J33</f>
        <v>0</v>
      </c>
      <c r="L33" s="41"/>
      <c r="M33" s="137">
        <f t="shared" si="2"/>
        <v>2953127.7761999997</v>
      </c>
      <c r="N33" s="45"/>
    </row>
    <row r="34" spans="1:17">
      <c r="A34" s="26">
        <v>30</v>
      </c>
      <c r="B34" s="27"/>
      <c r="C34" s="17"/>
      <c r="D34" s="17"/>
      <c r="E34" s="41"/>
      <c r="F34" s="41"/>
      <c r="G34" s="41">
        <f t="shared" si="0"/>
        <v>0</v>
      </c>
      <c r="H34" s="41"/>
      <c r="I34" s="41"/>
      <c r="J34" s="41">
        <f t="shared" si="1"/>
        <v>0</v>
      </c>
      <c r="K34" s="41">
        <f>G34+J34</f>
        <v>0</v>
      </c>
      <c r="L34" s="41"/>
      <c r="M34" s="137">
        <f t="shared" si="2"/>
        <v>2953127.7761999997</v>
      </c>
      <c r="N34" s="45"/>
    </row>
    <row r="35" spans="1:17">
      <c r="A35" s="26">
        <v>31</v>
      </c>
      <c r="B35" s="27"/>
      <c r="C35" s="17"/>
      <c r="D35" s="17"/>
      <c r="E35" s="41"/>
      <c r="F35" s="41"/>
      <c r="G35" s="41">
        <f t="shared" si="0"/>
        <v>0</v>
      </c>
      <c r="H35" s="41"/>
      <c r="I35" s="41"/>
      <c r="J35" s="41">
        <f t="shared" si="1"/>
        <v>0</v>
      </c>
      <c r="K35" s="41">
        <f>G35+J35</f>
        <v>0</v>
      </c>
      <c r="L35" s="41"/>
      <c r="M35" s="137">
        <f t="shared" si="2"/>
        <v>2953127.7761999997</v>
      </c>
      <c r="N35" s="45"/>
    </row>
    <row r="36" spans="1:17">
      <c r="A36" s="26">
        <v>32</v>
      </c>
      <c r="B36" s="27"/>
      <c r="C36" s="17"/>
      <c r="D36" s="17"/>
      <c r="E36" s="41"/>
      <c r="F36" s="41"/>
      <c r="G36" s="41">
        <f t="shared" si="0"/>
        <v>0</v>
      </c>
      <c r="H36" s="41"/>
      <c r="I36" s="41"/>
      <c r="J36" s="41">
        <f t="shared" si="1"/>
        <v>0</v>
      </c>
      <c r="K36" s="41">
        <f>G36+J36</f>
        <v>0</v>
      </c>
      <c r="L36" s="41"/>
      <c r="M36" s="137">
        <f t="shared" si="2"/>
        <v>2953127.7761999997</v>
      </c>
      <c r="N36" s="45"/>
    </row>
    <row r="37" spans="1:17">
      <c r="A37" s="26">
        <v>33</v>
      </c>
      <c r="B37" s="27"/>
      <c r="C37" s="17"/>
      <c r="D37" s="17"/>
      <c r="E37" s="41"/>
      <c r="F37" s="41"/>
      <c r="G37" s="41">
        <f t="shared" si="0"/>
        <v>0</v>
      </c>
      <c r="H37" s="41"/>
      <c r="I37" s="41"/>
      <c r="J37" s="41">
        <f t="shared" si="1"/>
        <v>0</v>
      </c>
      <c r="K37" s="41">
        <f>G37+J37</f>
        <v>0</v>
      </c>
      <c r="L37" s="41"/>
      <c r="M37" s="137">
        <f t="shared" si="2"/>
        <v>2953127.7761999997</v>
      </c>
      <c r="N37" s="45"/>
    </row>
    <row r="38" spans="1:17">
      <c r="A38" s="26">
        <v>34</v>
      </c>
      <c r="B38" s="27"/>
      <c r="C38" s="17"/>
      <c r="D38" s="17"/>
      <c r="E38" s="41"/>
      <c r="F38" s="41"/>
      <c r="G38" s="41">
        <f t="shared" si="0"/>
        <v>0</v>
      </c>
      <c r="H38" s="41"/>
      <c r="I38" s="41"/>
      <c r="J38" s="41">
        <f t="shared" si="1"/>
        <v>0</v>
      </c>
      <c r="K38" s="41">
        <f>G38+J38</f>
        <v>0</v>
      </c>
      <c r="L38" s="41"/>
      <c r="M38" s="137">
        <f t="shared" si="2"/>
        <v>2953127.7761999997</v>
      </c>
      <c r="N38" s="45"/>
      <c r="P38">
        <v>41</v>
      </c>
    </row>
    <row r="39" spans="1:17">
      <c r="A39" s="26">
        <v>35</v>
      </c>
      <c r="B39" s="27"/>
      <c r="C39" s="17"/>
      <c r="D39" s="17"/>
      <c r="E39" s="41"/>
      <c r="F39" s="41"/>
      <c r="G39" s="41">
        <f t="shared" si="0"/>
        <v>0</v>
      </c>
      <c r="H39" s="41"/>
      <c r="I39" s="41"/>
      <c r="J39" s="41">
        <f t="shared" si="1"/>
        <v>0</v>
      </c>
      <c r="K39" s="41">
        <f>G39+J39</f>
        <v>0</v>
      </c>
      <c r="L39" s="41"/>
      <c r="M39" s="137">
        <f t="shared" si="2"/>
        <v>2953127.7761999997</v>
      </c>
      <c r="N39" s="45"/>
      <c r="P39">
        <v>40</v>
      </c>
      <c r="Q39">
        <v>5</v>
      </c>
    </row>
    <row r="40" spans="1:17">
      <c r="A40" s="26">
        <v>36</v>
      </c>
      <c r="B40" s="27"/>
      <c r="C40" s="17"/>
      <c r="D40" s="17"/>
      <c r="E40" s="41"/>
      <c r="F40" s="41"/>
      <c r="G40" s="41">
        <f t="shared" si="0"/>
        <v>0</v>
      </c>
      <c r="H40" s="41"/>
      <c r="I40" s="41"/>
      <c r="J40" s="41">
        <f t="shared" si="1"/>
        <v>0</v>
      </c>
      <c r="K40" s="41">
        <f>G40+J40</f>
        <v>0</v>
      </c>
      <c r="L40" s="41"/>
      <c r="M40" s="137">
        <f t="shared" si="2"/>
        <v>2953127.7761999997</v>
      </c>
      <c r="N40" s="45"/>
    </row>
    <row r="41" spans="1:17">
      <c r="A41" s="26">
        <v>37</v>
      </c>
      <c r="B41" s="27"/>
      <c r="C41" s="17"/>
      <c r="D41" s="17"/>
      <c r="E41" s="41"/>
      <c r="F41" s="41"/>
      <c r="G41" s="41">
        <f t="shared" si="0"/>
        <v>0</v>
      </c>
      <c r="H41" s="41"/>
      <c r="I41" s="41"/>
      <c r="J41" s="41">
        <f t="shared" si="1"/>
        <v>0</v>
      </c>
      <c r="K41" s="41">
        <f>G41+J41</f>
        <v>0</v>
      </c>
      <c r="L41" s="41"/>
      <c r="M41" s="137">
        <f t="shared" si="2"/>
        <v>2953127.7761999997</v>
      </c>
      <c r="N41" s="45"/>
    </row>
    <row r="42" spans="1:17">
      <c r="A42" s="26">
        <v>38</v>
      </c>
      <c r="B42" s="27"/>
      <c r="C42" s="17"/>
      <c r="D42" s="17"/>
      <c r="E42" s="41"/>
      <c r="F42" s="41"/>
      <c r="G42" s="41">
        <f t="shared" si="0"/>
        <v>0</v>
      </c>
      <c r="H42" s="41"/>
      <c r="I42" s="41"/>
      <c r="J42" s="41">
        <f t="shared" si="1"/>
        <v>0</v>
      </c>
      <c r="K42" s="41">
        <f>G42+J42</f>
        <v>0</v>
      </c>
      <c r="L42" s="41"/>
      <c r="M42" s="137">
        <f t="shared" si="2"/>
        <v>2953127.7761999997</v>
      </c>
      <c r="N42" s="45"/>
    </row>
    <row r="43" spans="1:17">
      <c r="A43" s="26">
        <v>39</v>
      </c>
      <c r="B43" s="27"/>
      <c r="C43" s="17"/>
      <c r="D43" s="17"/>
      <c r="E43" s="41"/>
      <c r="F43" s="41"/>
      <c r="G43" s="41">
        <f t="shared" si="0"/>
        <v>0</v>
      </c>
      <c r="H43" s="41"/>
      <c r="I43" s="41"/>
      <c r="J43" s="41">
        <f t="shared" si="1"/>
        <v>0</v>
      </c>
      <c r="K43" s="41">
        <f>G43+J43</f>
        <v>0</v>
      </c>
      <c r="L43" s="41"/>
      <c r="M43" s="137">
        <f t="shared" si="2"/>
        <v>2953127.7761999997</v>
      </c>
      <c r="N43" s="45"/>
    </row>
    <row r="44" spans="1:17">
      <c r="A44" s="26">
        <v>40</v>
      </c>
      <c r="B44" s="27"/>
      <c r="C44" s="17"/>
      <c r="D44" s="17"/>
      <c r="E44" s="41"/>
      <c r="F44" s="41"/>
      <c r="G44" s="41">
        <f t="shared" si="0"/>
        <v>0</v>
      </c>
      <c r="H44" s="41"/>
      <c r="I44" s="41"/>
      <c r="J44" s="41">
        <f t="shared" si="1"/>
        <v>0</v>
      </c>
      <c r="K44" s="41">
        <f>G44+J44</f>
        <v>0</v>
      </c>
      <c r="L44" s="41"/>
      <c r="M44" s="137">
        <f t="shared" si="2"/>
        <v>2953127.7761999997</v>
      </c>
      <c r="N44" s="45"/>
    </row>
    <row r="45" spans="1:17">
      <c r="A45" s="26">
        <v>41</v>
      </c>
      <c r="B45" s="27"/>
      <c r="C45" s="17"/>
      <c r="D45" s="17"/>
      <c r="E45" s="41"/>
      <c r="F45" s="41"/>
      <c r="G45" s="41">
        <f t="shared" si="0"/>
        <v>0</v>
      </c>
      <c r="H45" s="41"/>
      <c r="I45" s="41"/>
      <c r="J45" s="41">
        <f t="shared" si="1"/>
        <v>0</v>
      </c>
      <c r="K45" s="41">
        <f>G45+J45</f>
        <v>0</v>
      </c>
      <c r="L45" s="41"/>
      <c r="M45" s="137">
        <f t="shared" si="2"/>
        <v>2953127.7761999997</v>
      </c>
      <c r="N45" s="45"/>
    </row>
    <row r="46" spans="1:17">
      <c r="A46" s="26">
        <v>42</v>
      </c>
      <c r="B46" s="27"/>
      <c r="C46" s="17"/>
      <c r="D46" s="17"/>
      <c r="E46" s="41"/>
      <c r="F46" s="41"/>
      <c r="G46" s="41">
        <f t="shared" si="0"/>
        <v>0</v>
      </c>
      <c r="H46" s="41"/>
      <c r="I46" s="41"/>
      <c r="J46" s="41">
        <f t="shared" si="1"/>
        <v>0</v>
      </c>
      <c r="K46" s="41">
        <f>G46+J46</f>
        <v>0</v>
      </c>
      <c r="L46" s="41"/>
      <c r="M46" s="137">
        <f t="shared" si="2"/>
        <v>2953127.7761999997</v>
      </c>
      <c r="N46" s="45"/>
    </row>
    <row r="47" spans="1:17">
      <c r="A47" s="26">
        <v>43</v>
      </c>
      <c r="B47" s="27"/>
      <c r="C47" s="17"/>
      <c r="D47" s="17"/>
      <c r="E47" s="41"/>
      <c r="F47" s="41"/>
      <c r="G47" s="41">
        <f t="shared" si="0"/>
        <v>0</v>
      </c>
      <c r="H47" s="41"/>
      <c r="I47" s="41"/>
      <c r="J47" s="41">
        <f t="shared" si="1"/>
        <v>0</v>
      </c>
      <c r="K47" s="41">
        <f>G47+J47</f>
        <v>0</v>
      </c>
      <c r="L47" s="41"/>
      <c r="M47" s="137">
        <f t="shared" si="2"/>
        <v>2953127.7761999997</v>
      </c>
      <c r="N47" s="45"/>
    </row>
    <row r="48" spans="1:17">
      <c r="A48" s="26">
        <v>44</v>
      </c>
      <c r="B48" s="27"/>
      <c r="C48" s="17"/>
      <c r="D48" s="17"/>
      <c r="E48" s="41"/>
      <c r="F48" s="41"/>
      <c r="G48" s="41">
        <f t="shared" si="0"/>
        <v>0</v>
      </c>
      <c r="H48" s="41"/>
      <c r="I48" s="41"/>
      <c r="J48" s="41">
        <f t="shared" si="1"/>
        <v>0</v>
      </c>
      <c r="K48" s="41">
        <f>G48+J48</f>
        <v>0</v>
      </c>
      <c r="L48" s="41"/>
      <c r="M48" s="137">
        <f t="shared" si="2"/>
        <v>2953127.7761999997</v>
      </c>
      <c r="N48" s="45"/>
    </row>
    <row r="49" spans="1:16">
      <c r="A49" s="26">
        <v>45</v>
      </c>
      <c r="B49" s="27"/>
      <c r="C49" s="17"/>
      <c r="D49" s="17"/>
      <c r="E49" s="41"/>
      <c r="F49" s="41"/>
      <c r="G49" s="41">
        <f t="shared" si="0"/>
        <v>0</v>
      </c>
      <c r="H49" s="41"/>
      <c r="I49" s="41"/>
      <c r="J49" s="41">
        <f t="shared" si="1"/>
        <v>0</v>
      </c>
      <c r="K49" s="41">
        <f>G49+J49</f>
        <v>0</v>
      </c>
      <c r="L49" s="41"/>
      <c r="M49" s="137">
        <f t="shared" si="2"/>
        <v>2953127.7761999997</v>
      </c>
      <c r="N49" s="45"/>
    </row>
    <row r="50" spans="1:16">
      <c r="A50" s="26">
        <v>46</v>
      </c>
      <c r="B50" s="27"/>
      <c r="C50" s="17"/>
      <c r="D50" s="17"/>
      <c r="E50" s="41"/>
      <c r="F50" s="41"/>
      <c r="G50" s="41">
        <f t="shared" si="0"/>
        <v>0</v>
      </c>
      <c r="H50" s="41"/>
      <c r="I50" s="41"/>
      <c r="J50" s="41">
        <f t="shared" si="1"/>
        <v>0</v>
      </c>
      <c r="K50" s="41">
        <f>G50+J50</f>
        <v>0</v>
      </c>
      <c r="L50" s="41"/>
      <c r="M50" s="137">
        <f t="shared" si="2"/>
        <v>2953127.7761999997</v>
      </c>
      <c r="N50" s="45"/>
    </row>
    <row r="51" spans="1:16">
      <c r="A51" s="26">
        <v>47</v>
      </c>
      <c r="B51" s="27"/>
      <c r="C51" s="17"/>
      <c r="D51" s="17"/>
      <c r="E51" s="41"/>
      <c r="F51" s="41"/>
      <c r="G51" s="41">
        <f t="shared" si="0"/>
        <v>0</v>
      </c>
      <c r="H51" s="41"/>
      <c r="I51" s="41"/>
      <c r="J51" s="41">
        <f t="shared" si="1"/>
        <v>0</v>
      </c>
      <c r="K51" s="41">
        <f>G51+J51</f>
        <v>0</v>
      </c>
      <c r="L51" s="41">
        <v>0</v>
      </c>
      <c r="M51" s="137">
        <f t="shared" si="2"/>
        <v>2953127.7761999997</v>
      </c>
      <c r="N51" s="45"/>
    </row>
    <row r="52" spans="1:16">
      <c r="A52" s="26">
        <v>48</v>
      </c>
      <c r="B52" s="27"/>
      <c r="C52" s="95"/>
      <c r="D52" s="95"/>
      <c r="E52" s="41"/>
      <c r="F52" s="41"/>
      <c r="G52" s="41">
        <f t="shared" si="0"/>
        <v>0</v>
      </c>
      <c r="H52" s="41"/>
      <c r="I52" s="41"/>
      <c r="J52" s="41">
        <f t="shared" si="1"/>
        <v>0</v>
      </c>
      <c r="K52" s="41">
        <f>G52+J52</f>
        <v>0</v>
      </c>
      <c r="L52" s="41">
        <v>0</v>
      </c>
      <c r="M52" s="137">
        <f t="shared" si="2"/>
        <v>2953127.7761999997</v>
      </c>
      <c r="N52" s="226"/>
    </row>
    <row r="53" spans="1:16">
      <c r="A53" s="26">
        <v>49</v>
      </c>
      <c r="B53" s="27"/>
      <c r="C53" s="17"/>
      <c r="D53" s="17"/>
      <c r="E53" s="41"/>
      <c r="F53" s="41"/>
      <c r="G53" s="41">
        <f t="shared" si="0"/>
        <v>0</v>
      </c>
      <c r="H53" s="41"/>
      <c r="I53" s="41"/>
      <c r="J53" s="41">
        <f t="shared" si="1"/>
        <v>0</v>
      </c>
      <c r="K53" s="41">
        <f>G53+J53</f>
        <v>0</v>
      </c>
      <c r="L53" s="41">
        <v>0</v>
      </c>
      <c r="M53" s="137">
        <f t="shared" si="2"/>
        <v>2953127.7761999997</v>
      </c>
      <c r="N53" s="45"/>
    </row>
    <row r="54" spans="1:16">
      <c r="A54" s="26">
        <v>50</v>
      </c>
      <c r="B54" s="27"/>
      <c r="C54" s="17"/>
      <c r="D54" s="17"/>
      <c r="E54" s="41"/>
      <c r="F54" s="41"/>
      <c r="G54" s="41">
        <f t="shared" si="0"/>
        <v>0</v>
      </c>
      <c r="H54" s="41"/>
      <c r="I54" s="41"/>
      <c r="J54" s="41">
        <f t="shared" si="1"/>
        <v>0</v>
      </c>
      <c r="K54" s="41">
        <f>G54+J54</f>
        <v>0</v>
      </c>
      <c r="L54" s="41">
        <v>0</v>
      </c>
      <c r="M54" s="137">
        <f t="shared" si="2"/>
        <v>2953127.7761999997</v>
      </c>
      <c r="N54" s="45"/>
      <c r="O54">
        <v>1109792.2825999993</v>
      </c>
      <c r="P54" s="176">
        <f>M54-O54</f>
        <v>1843335.4936000004</v>
      </c>
    </row>
    <row r="55" spans="1:16">
      <c r="A55" s="183"/>
      <c r="B55" s="183"/>
      <c r="C55" s="183"/>
      <c r="D55" s="183"/>
      <c r="E55" s="183">
        <f>SUM(E4:E54)</f>
        <v>42840.22</v>
      </c>
      <c r="F55" s="183"/>
      <c r="G55" s="183">
        <f>SUM(G4:G54)</f>
        <v>3928876.5762</v>
      </c>
      <c r="H55" s="183">
        <f>SUM(H4:H54)</f>
        <v>230</v>
      </c>
      <c r="I55" s="183"/>
      <c r="J55" s="183">
        <f>SUM(J4:J54)</f>
        <v>24251.200000000001</v>
      </c>
      <c r="K55" s="183">
        <f>SUM(K4:K54)</f>
        <v>3953127.7761999997</v>
      </c>
      <c r="L55" s="183">
        <f>SUM(L4:L54)</f>
        <v>1000000</v>
      </c>
      <c r="M55" s="183"/>
      <c r="N55" s="183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1"/>
  <sheetViews>
    <sheetView tabSelected="1" workbookViewId="0">
      <pane ySplit="2" topLeftCell="A3" activePane="bottomLeft" state="frozen"/>
      <selection pane="bottomLeft" activeCell="G33" sqref="G33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436" t="s">
        <v>66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4"/>
    </row>
    <row r="2" spans="1:15" ht="30">
      <c r="A2" s="55" t="s">
        <v>101</v>
      </c>
      <c r="B2" s="56" t="s">
        <v>155</v>
      </c>
      <c r="C2" s="56" t="s">
        <v>156</v>
      </c>
      <c r="D2" s="56" t="s">
        <v>157</v>
      </c>
      <c r="E2" s="56" t="s">
        <v>158</v>
      </c>
      <c r="F2" s="56" t="s">
        <v>159</v>
      </c>
      <c r="G2" s="56" t="s">
        <v>160</v>
      </c>
      <c r="H2" s="56" t="s">
        <v>161</v>
      </c>
      <c r="I2" s="56" t="s">
        <v>159</v>
      </c>
      <c r="J2" s="57" t="s">
        <v>160</v>
      </c>
      <c r="K2" s="58" t="s">
        <v>162</v>
      </c>
      <c r="L2" s="59" t="s">
        <v>163</v>
      </c>
      <c r="M2" s="117" t="s">
        <v>174</v>
      </c>
      <c r="N2" s="102" t="s">
        <v>165</v>
      </c>
      <c r="O2" s="60"/>
    </row>
    <row r="3" spans="1:15">
      <c r="A3" s="133" t="s">
        <v>166</v>
      </c>
      <c r="B3" s="134"/>
      <c r="C3" s="134"/>
      <c r="D3" s="134"/>
      <c r="E3" s="134"/>
      <c r="F3" s="134"/>
      <c r="G3" s="134"/>
      <c r="H3" s="134"/>
      <c r="I3" s="134"/>
      <c r="J3" s="134"/>
      <c r="K3" s="265">
        <v>366041.64999999991</v>
      </c>
      <c r="L3" s="135"/>
      <c r="M3" s="266">
        <f>+K3</f>
        <v>366041.64999999991</v>
      </c>
      <c r="N3" s="17"/>
      <c r="O3" s="60">
        <v>1194596.9738</v>
      </c>
    </row>
    <row r="4" spans="1:15">
      <c r="A4" s="47">
        <v>1</v>
      </c>
      <c r="B4" s="203">
        <v>46054</v>
      </c>
      <c r="C4" s="10">
        <v>0</v>
      </c>
      <c r="D4" s="18"/>
      <c r="E4" s="8"/>
      <c r="F4" s="8"/>
      <c r="G4" s="16">
        <f>E4*F4</f>
        <v>0</v>
      </c>
      <c r="H4" s="7"/>
      <c r="I4" s="7"/>
      <c r="J4" s="21">
        <f>H4*I4</f>
        <v>0</v>
      </c>
      <c r="K4" s="8">
        <f>G4+J4</f>
        <v>0</v>
      </c>
      <c r="L4" s="8"/>
      <c r="M4" s="8">
        <f t="shared" ref="M4:M16" si="0">M3+K4-L4</f>
        <v>366041.64999999991</v>
      </c>
      <c r="N4" s="19"/>
      <c r="O4" s="1"/>
    </row>
    <row r="5" spans="1:15">
      <c r="A5" s="47">
        <v>2</v>
      </c>
      <c r="B5" s="203">
        <v>46055</v>
      </c>
      <c r="C5" s="10">
        <v>0</v>
      </c>
      <c r="D5" s="18"/>
      <c r="E5" s="8"/>
      <c r="F5" s="8"/>
      <c r="G5" s="16">
        <f>E5*F5</f>
        <v>0</v>
      </c>
      <c r="H5" s="7"/>
      <c r="I5" s="7"/>
      <c r="J5" s="21">
        <f t="shared" ref="J5" si="1">H5*I5</f>
        <v>0</v>
      </c>
      <c r="K5" s="8">
        <f t="shared" ref="K5:K6" si="2">G5+J5</f>
        <v>0</v>
      </c>
      <c r="L5" s="8"/>
      <c r="M5" s="8">
        <f t="shared" si="0"/>
        <v>366041.64999999991</v>
      </c>
      <c r="N5" s="8"/>
      <c r="O5" s="1"/>
    </row>
    <row r="6" spans="1:15">
      <c r="A6" s="47">
        <v>3</v>
      </c>
      <c r="B6" s="203">
        <v>46056</v>
      </c>
      <c r="C6" s="10">
        <v>0</v>
      </c>
      <c r="D6" s="18"/>
      <c r="E6" s="8"/>
      <c r="F6" s="8"/>
      <c r="G6" s="16">
        <f t="shared" ref="G6:G7" si="3">E6*F6</f>
        <v>0</v>
      </c>
      <c r="H6" s="7"/>
      <c r="I6" s="7"/>
      <c r="J6" s="21">
        <f>H6*I6</f>
        <v>0</v>
      </c>
      <c r="K6" s="8">
        <f t="shared" si="2"/>
        <v>0</v>
      </c>
      <c r="L6" s="8"/>
      <c r="M6" s="8">
        <f t="shared" si="0"/>
        <v>366041.64999999991</v>
      </c>
      <c r="N6" s="8"/>
      <c r="O6" s="1"/>
    </row>
    <row r="7" spans="1:15">
      <c r="A7" s="47">
        <v>4</v>
      </c>
      <c r="B7" s="203">
        <v>46057</v>
      </c>
      <c r="C7" s="10">
        <v>0</v>
      </c>
      <c r="D7" s="18"/>
      <c r="E7" s="8"/>
      <c r="F7" s="8"/>
      <c r="G7" s="16">
        <v>0</v>
      </c>
      <c r="H7" s="7"/>
      <c r="I7" s="347"/>
      <c r="J7" s="21">
        <v>0</v>
      </c>
      <c r="K7" s="8">
        <v>0</v>
      </c>
      <c r="L7" s="8"/>
      <c r="M7" s="8">
        <f t="shared" si="0"/>
        <v>366041.64999999991</v>
      </c>
      <c r="N7" s="8"/>
      <c r="O7" s="1"/>
    </row>
    <row r="8" spans="1:15">
      <c r="A8" s="47">
        <v>5</v>
      </c>
      <c r="B8" s="203">
        <v>46058</v>
      </c>
      <c r="C8" s="10">
        <v>0</v>
      </c>
      <c r="D8" s="18"/>
      <c r="E8" s="8">
        <v>3000</v>
      </c>
      <c r="F8" s="8">
        <v>91.14</v>
      </c>
      <c r="G8" s="16">
        <f t="shared" ref="G8:G37" si="4">E8*F8</f>
        <v>273420</v>
      </c>
      <c r="H8" s="7"/>
      <c r="I8" s="7"/>
      <c r="J8" s="21">
        <f t="shared" ref="J8:J37" si="5">H8*I8</f>
        <v>0</v>
      </c>
      <c r="K8" s="8">
        <f t="shared" ref="K8:K37" si="6">G8+J8</f>
        <v>273420</v>
      </c>
      <c r="L8" s="8"/>
      <c r="M8" s="8">
        <f t="shared" si="0"/>
        <v>639461.64999999991</v>
      </c>
      <c r="N8" s="8"/>
      <c r="O8" s="1"/>
    </row>
    <row r="9" spans="1:15">
      <c r="A9" s="47">
        <v>6</v>
      </c>
      <c r="B9" s="203">
        <v>46059</v>
      </c>
      <c r="C9" s="10">
        <v>0</v>
      </c>
      <c r="D9" s="18"/>
      <c r="E9" s="8"/>
      <c r="F9" s="8"/>
      <c r="G9" s="16">
        <f t="shared" ref="G9:G36" si="7">E9*F9</f>
        <v>0</v>
      </c>
      <c r="H9" s="7"/>
      <c r="I9" s="7"/>
      <c r="J9" s="21">
        <f t="shared" ref="J9:J36" si="8">H9*I9</f>
        <v>0</v>
      </c>
      <c r="K9" s="8">
        <f t="shared" ref="K9:K36" si="9">G9+J9</f>
        <v>0</v>
      </c>
      <c r="L9" s="8"/>
      <c r="M9" s="8">
        <f t="shared" si="0"/>
        <v>639461.64999999991</v>
      </c>
      <c r="N9" s="8"/>
      <c r="O9" s="1"/>
    </row>
    <row r="10" spans="1:15">
      <c r="A10" s="47">
        <v>7</v>
      </c>
      <c r="B10" s="203">
        <v>46060</v>
      </c>
      <c r="C10" s="10">
        <v>0</v>
      </c>
      <c r="D10" s="18"/>
      <c r="E10" s="8"/>
      <c r="F10" s="8"/>
      <c r="G10" s="16">
        <f t="shared" si="7"/>
        <v>0</v>
      </c>
      <c r="H10" s="7"/>
      <c r="I10" s="7"/>
      <c r="J10" s="21">
        <f t="shared" si="8"/>
        <v>0</v>
      </c>
      <c r="K10" s="8">
        <f t="shared" si="9"/>
        <v>0</v>
      </c>
      <c r="L10" s="8"/>
      <c r="M10" s="8">
        <f t="shared" si="0"/>
        <v>639461.64999999991</v>
      </c>
      <c r="N10" s="8"/>
      <c r="O10" s="1"/>
    </row>
    <row r="11" spans="1:15">
      <c r="A11" s="47">
        <v>8</v>
      </c>
      <c r="B11" s="203">
        <v>46061</v>
      </c>
      <c r="C11" s="10">
        <v>0</v>
      </c>
      <c r="D11" s="18"/>
      <c r="E11" s="8"/>
      <c r="F11" s="8"/>
      <c r="G11" s="16">
        <f t="shared" si="7"/>
        <v>0</v>
      </c>
      <c r="H11" s="7"/>
      <c r="I11" s="7"/>
      <c r="J11" s="21">
        <f t="shared" si="8"/>
        <v>0</v>
      </c>
      <c r="K11" s="8">
        <f t="shared" si="9"/>
        <v>0</v>
      </c>
      <c r="L11" s="8"/>
      <c r="M11" s="8">
        <f t="shared" si="0"/>
        <v>639461.64999999991</v>
      </c>
      <c r="N11" s="8"/>
      <c r="O11" s="1"/>
    </row>
    <row r="12" spans="1:15">
      <c r="A12" s="47">
        <v>9</v>
      </c>
      <c r="B12" s="203">
        <v>46062</v>
      </c>
      <c r="C12" s="10">
        <v>0</v>
      </c>
      <c r="D12" s="18"/>
      <c r="E12" s="8"/>
      <c r="F12" s="8"/>
      <c r="G12" s="16">
        <f t="shared" si="7"/>
        <v>0</v>
      </c>
      <c r="H12" s="7"/>
      <c r="I12" s="7"/>
      <c r="J12" s="21">
        <f t="shared" si="8"/>
        <v>0</v>
      </c>
      <c r="K12" s="8">
        <f t="shared" si="9"/>
        <v>0</v>
      </c>
      <c r="L12" s="8"/>
      <c r="M12" s="8">
        <f t="shared" si="0"/>
        <v>639461.64999999991</v>
      </c>
      <c r="N12" s="8"/>
      <c r="O12" s="1"/>
    </row>
    <row r="13" spans="1:15">
      <c r="A13" s="47">
        <v>10</v>
      </c>
      <c r="B13" s="203">
        <v>46063</v>
      </c>
      <c r="C13" s="10">
        <v>0</v>
      </c>
      <c r="D13" s="18"/>
      <c r="E13" s="8"/>
      <c r="F13" s="8"/>
      <c r="G13" s="16">
        <f t="shared" si="7"/>
        <v>0</v>
      </c>
      <c r="H13" s="7"/>
      <c r="I13" s="7"/>
      <c r="J13" s="21">
        <f t="shared" si="8"/>
        <v>0</v>
      </c>
      <c r="K13" s="8">
        <f t="shared" si="9"/>
        <v>0</v>
      </c>
      <c r="L13" s="8"/>
      <c r="M13" s="184">
        <f t="shared" si="0"/>
        <v>639461.64999999991</v>
      </c>
      <c r="N13" s="8"/>
      <c r="O13" s="1"/>
    </row>
    <row r="14" spans="1:15">
      <c r="A14" s="47">
        <v>11</v>
      </c>
      <c r="B14" s="203">
        <v>46064</v>
      </c>
      <c r="C14" s="10">
        <v>0</v>
      </c>
      <c r="D14" s="18"/>
      <c r="E14" s="8">
        <v>1000</v>
      </c>
      <c r="F14" s="8">
        <v>91.14</v>
      </c>
      <c r="G14" s="16">
        <f t="shared" si="7"/>
        <v>91140</v>
      </c>
      <c r="H14" s="7">
        <v>20</v>
      </c>
      <c r="I14" s="7">
        <v>104.6</v>
      </c>
      <c r="J14" s="21">
        <f t="shared" si="8"/>
        <v>2092</v>
      </c>
      <c r="K14" s="8">
        <f t="shared" si="9"/>
        <v>93232</v>
      </c>
      <c r="L14" s="8"/>
      <c r="M14" s="8">
        <f t="shared" si="0"/>
        <v>732693.64999999991</v>
      </c>
      <c r="N14" s="195"/>
      <c r="O14" s="1"/>
    </row>
    <row r="15" spans="1:15">
      <c r="A15" s="47">
        <v>12</v>
      </c>
      <c r="B15" s="203">
        <v>46065</v>
      </c>
      <c r="C15" s="10">
        <v>0</v>
      </c>
      <c r="D15" s="18"/>
      <c r="E15" s="8"/>
      <c r="F15" s="8"/>
      <c r="G15" s="16">
        <f t="shared" si="7"/>
        <v>0</v>
      </c>
      <c r="H15" s="7"/>
      <c r="I15" s="7"/>
      <c r="J15" s="21">
        <f t="shared" si="8"/>
        <v>0</v>
      </c>
      <c r="K15" s="8">
        <f t="shared" si="9"/>
        <v>0</v>
      </c>
      <c r="L15" s="8"/>
      <c r="M15" s="8">
        <f t="shared" si="0"/>
        <v>732693.64999999991</v>
      </c>
      <c r="N15" s="195"/>
      <c r="O15" s="1"/>
    </row>
    <row r="16" spans="1:15">
      <c r="A16" s="47">
        <v>13</v>
      </c>
      <c r="B16" s="203">
        <v>46066</v>
      </c>
      <c r="C16" s="10">
        <v>0</v>
      </c>
      <c r="D16" s="18"/>
      <c r="E16" s="8"/>
      <c r="F16" s="8"/>
      <c r="G16" s="16">
        <f t="shared" si="7"/>
        <v>0</v>
      </c>
      <c r="H16" s="7">
        <v>25</v>
      </c>
      <c r="I16" s="7">
        <v>104.6</v>
      </c>
      <c r="J16" s="21">
        <f t="shared" si="8"/>
        <v>2615</v>
      </c>
      <c r="K16" s="8">
        <f t="shared" si="9"/>
        <v>2615</v>
      </c>
      <c r="L16" s="8"/>
      <c r="M16" s="8">
        <f t="shared" si="0"/>
        <v>735308.64999999991</v>
      </c>
      <c r="N16" s="195"/>
      <c r="O16" s="1"/>
    </row>
    <row r="17" spans="1:17">
      <c r="A17" s="47">
        <v>14</v>
      </c>
      <c r="B17" s="203">
        <v>46067</v>
      </c>
      <c r="C17" s="10">
        <v>0</v>
      </c>
      <c r="D17" s="18"/>
      <c r="E17" s="8"/>
      <c r="F17" s="8"/>
      <c r="G17" s="16">
        <f t="shared" si="7"/>
        <v>0</v>
      </c>
      <c r="H17" s="7"/>
      <c r="I17" s="7"/>
      <c r="J17" s="21">
        <f t="shared" si="8"/>
        <v>0</v>
      </c>
      <c r="K17" s="8">
        <f t="shared" si="9"/>
        <v>0</v>
      </c>
      <c r="L17" s="8"/>
      <c r="M17" s="8">
        <f t="shared" ref="M17:M37" si="10">M16+K17-L17</f>
        <v>735308.64999999991</v>
      </c>
      <c r="N17" s="195"/>
      <c r="O17" s="1"/>
    </row>
    <row r="18" spans="1:17">
      <c r="A18" s="47">
        <v>15</v>
      </c>
      <c r="B18" s="203">
        <v>46068</v>
      </c>
      <c r="C18" s="10">
        <v>0</v>
      </c>
      <c r="D18" s="18"/>
      <c r="E18" s="8"/>
      <c r="F18" s="8"/>
      <c r="G18" s="16">
        <f t="shared" si="7"/>
        <v>0</v>
      </c>
      <c r="H18" s="7"/>
      <c r="I18" s="7"/>
      <c r="J18" s="21">
        <f t="shared" si="8"/>
        <v>0</v>
      </c>
      <c r="K18" s="8">
        <f t="shared" si="9"/>
        <v>0</v>
      </c>
      <c r="L18" s="8"/>
      <c r="M18" s="8">
        <f t="shared" si="10"/>
        <v>735308.64999999991</v>
      </c>
      <c r="N18" s="195"/>
      <c r="O18" s="1"/>
    </row>
    <row r="19" spans="1:17">
      <c r="A19" s="47">
        <v>16</v>
      </c>
      <c r="B19" s="203">
        <v>46069</v>
      </c>
      <c r="C19" s="10">
        <v>0</v>
      </c>
      <c r="D19" s="18"/>
      <c r="E19" s="8"/>
      <c r="F19" s="8"/>
      <c r="G19" s="16">
        <f t="shared" si="7"/>
        <v>0</v>
      </c>
      <c r="H19" s="7"/>
      <c r="I19" s="7"/>
      <c r="J19" s="21">
        <f t="shared" si="8"/>
        <v>0</v>
      </c>
      <c r="K19" s="8">
        <f t="shared" si="9"/>
        <v>0</v>
      </c>
      <c r="L19" s="8"/>
      <c r="M19" s="8">
        <f t="shared" si="10"/>
        <v>735308.64999999991</v>
      </c>
      <c r="N19" s="195"/>
      <c r="O19" s="1"/>
    </row>
    <row r="20" spans="1:17">
      <c r="A20" s="47">
        <v>17</v>
      </c>
      <c r="B20" s="203">
        <v>46070</v>
      </c>
      <c r="C20" s="10">
        <v>0</v>
      </c>
      <c r="D20" s="18"/>
      <c r="E20" s="8">
        <v>3000</v>
      </c>
      <c r="F20" s="8">
        <v>91.14</v>
      </c>
      <c r="G20" s="16">
        <f t="shared" si="7"/>
        <v>273420</v>
      </c>
      <c r="H20" s="7">
        <v>10</v>
      </c>
      <c r="I20" s="7">
        <v>104.6</v>
      </c>
      <c r="J20" s="21">
        <f t="shared" si="8"/>
        <v>1046</v>
      </c>
      <c r="K20" s="8">
        <f t="shared" si="9"/>
        <v>274466</v>
      </c>
      <c r="L20" s="8"/>
      <c r="M20" s="8">
        <f t="shared" si="10"/>
        <v>1009774.6499999999</v>
      </c>
      <c r="N20" s="195"/>
      <c r="O20" s="1"/>
    </row>
    <row r="21" spans="1:17">
      <c r="A21" s="47">
        <v>18</v>
      </c>
      <c r="B21" s="203">
        <v>46071</v>
      </c>
      <c r="C21" s="10">
        <v>0</v>
      </c>
      <c r="D21" s="18"/>
      <c r="E21" s="8"/>
      <c r="F21" s="8"/>
      <c r="G21" s="16">
        <f t="shared" si="7"/>
        <v>0</v>
      </c>
      <c r="H21" s="7"/>
      <c r="I21" s="7"/>
      <c r="J21" s="21">
        <f t="shared" si="8"/>
        <v>0</v>
      </c>
      <c r="K21" s="8">
        <f t="shared" si="9"/>
        <v>0</v>
      </c>
      <c r="L21" s="8"/>
      <c r="M21" s="8">
        <f t="shared" si="10"/>
        <v>1009774.6499999999</v>
      </c>
      <c r="N21" s="195"/>
      <c r="O21" s="1"/>
    </row>
    <row r="22" spans="1:17">
      <c r="A22" s="47">
        <v>19</v>
      </c>
      <c r="B22" s="203">
        <v>46072</v>
      </c>
      <c r="C22" s="10">
        <v>0</v>
      </c>
      <c r="D22" s="18"/>
      <c r="E22" s="8"/>
      <c r="F22" s="8"/>
      <c r="G22" s="16">
        <f t="shared" si="7"/>
        <v>0</v>
      </c>
      <c r="H22" s="7"/>
      <c r="I22" s="7"/>
      <c r="J22" s="21">
        <f t="shared" si="8"/>
        <v>0</v>
      </c>
      <c r="K22" s="8">
        <f t="shared" si="9"/>
        <v>0</v>
      </c>
      <c r="L22" s="8"/>
      <c r="M22" s="8">
        <f t="shared" si="10"/>
        <v>1009774.6499999999</v>
      </c>
      <c r="N22" s="195"/>
      <c r="O22" s="1"/>
      <c r="Q22" s="364"/>
    </row>
    <row r="23" spans="1:17">
      <c r="A23" s="47">
        <v>20</v>
      </c>
      <c r="B23" s="203">
        <v>46073</v>
      </c>
      <c r="C23" s="10"/>
      <c r="D23" s="18"/>
      <c r="E23" s="8"/>
      <c r="F23" s="8"/>
      <c r="G23" s="16"/>
      <c r="H23" s="7"/>
      <c r="I23" s="7"/>
      <c r="J23" s="21">
        <f>H23*I23</f>
        <v>0</v>
      </c>
      <c r="K23" s="8">
        <f t="shared" si="9"/>
        <v>0</v>
      </c>
      <c r="L23" s="8"/>
      <c r="M23" s="8">
        <f t="shared" si="10"/>
        <v>1009774.6499999999</v>
      </c>
      <c r="N23" s="195"/>
      <c r="O23" s="1" t="s">
        <v>258</v>
      </c>
    </row>
    <row r="24" spans="1:17">
      <c r="A24" s="47">
        <v>21</v>
      </c>
      <c r="B24" s="203">
        <v>46074</v>
      </c>
      <c r="C24" s="10">
        <v>0</v>
      </c>
      <c r="D24" s="18"/>
      <c r="E24" s="8"/>
      <c r="F24" s="8"/>
      <c r="G24" s="16">
        <f t="shared" si="7"/>
        <v>0</v>
      </c>
      <c r="H24" s="7"/>
      <c r="I24" s="7"/>
      <c r="J24" s="21">
        <f t="shared" si="8"/>
        <v>0</v>
      </c>
      <c r="K24" s="8">
        <f t="shared" si="9"/>
        <v>0</v>
      </c>
      <c r="L24" s="8"/>
      <c r="M24" s="8">
        <f t="shared" si="10"/>
        <v>1009774.6499999999</v>
      </c>
      <c r="N24" s="195"/>
      <c r="O24" s="1"/>
    </row>
    <row r="25" spans="1:17">
      <c r="A25" s="47">
        <v>22</v>
      </c>
      <c r="B25" s="203">
        <v>46075</v>
      </c>
      <c r="C25" s="10">
        <v>0</v>
      </c>
      <c r="D25" s="18"/>
      <c r="E25" s="8"/>
      <c r="F25" s="8"/>
      <c r="G25" s="16">
        <f t="shared" si="7"/>
        <v>0</v>
      </c>
      <c r="H25" s="7"/>
      <c r="I25" s="7"/>
      <c r="J25" s="21">
        <f t="shared" si="8"/>
        <v>0</v>
      </c>
      <c r="K25" s="8">
        <f t="shared" si="9"/>
        <v>0</v>
      </c>
      <c r="L25" s="8"/>
      <c r="M25" s="8">
        <f t="shared" si="10"/>
        <v>1009774.6499999999</v>
      </c>
      <c r="N25" s="195"/>
      <c r="O25" s="1"/>
    </row>
    <row r="26" spans="1:17">
      <c r="A26" s="47">
        <v>23</v>
      </c>
      <c r="B26" s="203">
        <v>46076</v>
      </c>
      <c r="C26" s="10">
        <v>0</v>
      </c>
      <c r="D26" s="18"/>
      <c r="E26" s="8"/>
      <c r="F26" s="8"/>
      <c r="G26" s="16">
        <f t="shared" si="7"/>
        <v>0</v>
      </c>
      <c r="H26" s="7"/>
      <c r="I26" s="7"/>
      <c r="J26" s="21">
        <f t="shared" si="8"/>
        <v>0</v>
      </c>
      <c r="K26" s="8">
        <f t="shared" si="9"/>
        <v>0</v>
      </c>
      <c r="L26" s="8"/>
      <c r="M26" s="8">
        <f t="shared" si="10"/>
        <v>1009774.6499999999</v>
      </c>
      <c r="N26" s="195"/>
      <c r="O26" s="1"/>
    </row>
    <row r="27" spans="1:17">
      <c r="A27" s="47">
        <v>24</v>
      </c>
      <c r="B27" s="203">
        <v>46077</v>
      </c>
      <c r="C27" s="10">
        <v>0</v>
      </c>
      <c r="D27" s="18"/>
      <c r="E27" s="8"/>
      <c r="F27" s="8"/>
      <c r="G27" s="16">
        <f t="shared" si="7"/>
        <v>0</v>
      </c>
      <c r="H27" s="7"/>
      <c r="I27" s="7"/>
      <c r="J27" s="21">
        <f t="shared" si="8"/>
        <v>0</v>
      </c>
      <c r="K27" s="8">
        <f t="shared" si="9"/>
        <v>0</v>
      </c>
      <c r="L27" s="8"/>
      <c r="M27" s="8">
        <f t="shared" si="10"/>
        <v>1009774.6499999999</v>
      </c>
      <c r="N27" s="195"/>
      <c r="O27" s="1"/>
    </row>
    <row r="28" spans="1:17">
      <c r="A28" s="47">
        <v>25</v>
      </c>
      <c r="B28" s="203">
        <v>46078</v>
      </c>
      <c r="C28" s="10">
        <v>0</v>
      </c>
      <c r="D28" s="18"/>
      <c r="E28" s="8">
        <v>1000</v>
      </c>
      <c r="F28" s="8">
        <v>91.14</v>
      </c>
      <c r="G28" s="16">
        <f t="shared" si="7"/>
        <v>91140</v>
      </c>
      <c r="H28" s="7">
        <v>20</v>
      </c>
      <c r="I28" s="7">
        <v>104.6</v>
      </c>
      <c r="J28" s="21">
        <f t="shared" si="8"/>
        <v>2092</v>
      </c>
      <c r="K28" s="8">
        <f t="shared" si="9"/>
        <v>93232</v>
      </c>
      <c r="L28" s="8"/>
      <c r="M28" s="8">
        <f t="shared" si="10"/>
        <v>1103006.6499999999</v>
      </c>
      <c r="N28" s="195"/>
      <c r="O28" s="1"/>
    </row>
    <row r="29" spans="1:17">
      <c r="A29" s="47">
        <v>26</v>
      </c>
      <c r="B29" s="203">
        <v>46079</v>
      </c>
      <c r="C29" s="10"/>
      <c r="D29" s="18"/>
      <c r="E29" s="8"/>
      <c r="F29" s="8"/>
      <c r="G29" s="16"/>
      <c r="H29" s="7"/>
      <c r="I29" s="7"/>
      <c r="J29" s="21">
        <f t="shared" si="8"/>
        <v>0</v>
      </c>
      <c r="K29" s="8">
        <f t="shared" si="9"/>
        <v>0</v>
      </c>
      <c r="L29" s="8">
        <v>1000000</v>
      </c>
      <c r="M29" s="8">
        <f t="shared" si="10"/>
        <v>103006.64999999991</v>
      </c>
      <c r="N29" s="195"/>
      <c r="O29" s="1"/>
    </row>
    <row r="30" spans="1:17">
      <c r="A30" s="47">
        <v>27</v>
      </c>
      <c r="B30" s="203">
        <v>46080</v>
      </c>
      <c r="C30" s="10">
        <v>0</v>
      </c>
      <c r="D30" s="18"/>
      <c r="E30" s="8"/>
      <c r="F30" s="8"/>
      <c r="G30" s="16">
        <f t="shared" si="7"/>
        <v>0</v>
      </c>
      <c r="H30" s="7"/>
      <c r="I30" s="7"/>
      <c r="J30" s="21">
        <f t="shared" si="8"/>
        <v>0</v>
      </c>
      <c r="K30" s="8">
        <f t="shared" si="9"/>
        <v>0</v>
      </c>
      <c r="L30" s="8"/>
      <c r="M30" s="8">
        <f t="shared" si="10"/>
        <v>103006.64999999991</v>
      </c>
      <c r="N30" s="195"/>
      <c r="O30" s="1"/>
    </row>
    <row r="31" spans="1:17">
      <c r="A31" s="47">
        <v>28</v>
      </c>
      <c r="B31" s="203">
        <v>46081</v>
      </c>
      <c r="C31" s="10">
        <v>0</v>
      </c>
      <c r="D31" s="18"/>
      <c r="E31" s="8"/>
      <c r="F31" s="8"/>
      <c r="G31" s="16">
        <f t="shared" si="7"/>
        <v>0</v>
      </c>
      <c r="H31" s="7"/>
      <c r="I31" s="7"/>
      <c r="J31" s="21">
        <f t="shared" si="8"/>
        <v>0</v>
      </c>
      <c r="K31" s="8">
        <f t="shared" si="9"/>
        <v>0</v>
      </c>
      <c r="L31" s="8"/>
      <c r="M31" s="8">
        <f t="shared" si="10"/>
        <v>103006.64999999991</v>
      </c>
      <c r="N31" s="195"/>
      <c r="O31" s="1"/>
    </row>
    <row r="32" spans="1:17">
      <c r="A32" s="47">
        <v>29</v>
      </c>
      <c r="B32" s="203"/>
      <c r="C32" s="10">
        <v>0</v>
      </c>
      <c r="D32" s="18"/>
      <c r="E32" s="8"/>
      <c r="F32" s="8"/>
      <c r="G32" s="16">
        <f t="shared" si="7"/>
        <v>0</v>
      </c>
      <c r="H32" s="7"/>
      <c r="I32" s="7"/>
      <c r="J32" s="21">
        <f t="shared" si="8"/>
        <v>0</v>
      </c>
      <c r="K32" s="8">
        <f t="shared" si="9"/>
        <v>0</v>
      </c>
      <c r="L32" s="8"/>
      <c r="M32" s="8">
        <f t="shared" si="10"/>
        <v>103006.64999999991</v>
      </c>
      <c r="N32" s="195"/>
      <c r="O32" s="1"/>
    </row>
    <row r="33" spans="1:17">
      <c r="A33" s="47">
        <v>30</v>
      </c>
      <c r="B33" s="203"/>
      <c r="C33" s="10">
        <v>0</v>
      </c>
      <c r="D33" s="18"/>
      <c r="E33" s="8"/>
      <c r="F33" s="8"/>
      <c r="G33" s="16">
        <f t="shared" si="7"/>
        <v>0</v>
      </c>
      <c r="H33" s="7"/>
      <c r="I33" s="7"/>
      <c r="J33" s="21">
        <f t="shared" si="8"/>
        <v>0</v>
      </c>
      <c r="K33" s="8">
        <f t="shared" si="9"/>
        <v>0</v>
      </c>
      <c r="L33" s="8"/>
      <c r="M33" s="8">
        <f t="shared" si="10"/>
        <v>103006.64999999991</v>
      </c>
      <c r="N33" s="195"/>
      <c r="O33" s="1"/>
    </row>
    <row r="34" spans="1:17">
      <c r="A34" s="47">
        <v>31</v>
      </c>
      <c r="B34" s="203"/>
      <c r="C34" s="10">
        <v>0</v>
      </c>
      <c r="D34" s="18"/>
      <c r="E34" s="8"/>
      <c r="F34" s="8"/>
      <c r="G34" s="16">
        <f t="shared" si="7"/>
        <v>0</v>
      </c>
      <c r="H34" s="7"/>
      <c r="I34" s="7"/>
      <c r="J34" s="21">
        <f t="shared" si="8"/>
        <v>0</v>
      </c>
      <c r="K34" s="8">
        <f t="shared" si="9"/>
        <v>0</v>
      </c>
      <c r="L34" s="8"/>
      <c r="M34" s="8">
        <f t="shared" si="10"/>
        <v>103006.64999999991</v>
      </c>
      <c r="N34" s="195"/>
      <c r="O34" s="1"/>
    </row>
    <row r="35" spans="1:17">
      <c r="A35" s="47">
        <v>32</v>
      </c>
      <c r="B35" s="203"/>
      <c r="C35" s="10">
        <v>0</v>
      </c>
      <c r="D35" s="18"/>
      <c r="E35" s="8"/>
      <c r="F35" s="8"/>
      <c r="G35" s="16">
        <f t="shared" si="7"/>
        <v>0</v>
      </c>
      <c r="H35" s="7"/>
      <c r="I35" s="7"/>
      <c r="J35" s="21">
        <f t="shared" si="8"/>
        <v>0</v>
      </c>
      <c r="K35" s="8">
        <f t="shared" si="9"/>
        <v>0</v>
      </c>
      <c r="L35" s="8"/>
      <c r="M35" s="8">
        <f t="shared" si="10"/>
        <v>103006.64999999991</v>
      </c>
      <c r="N35" s="195"/>
      <c r="O35" s="1"/>
    </row>
    <row r="36" spans="1:17">
      <c r="A36" s="47">
        <v>31</v>
      </c>
      <c r="B36" s="203"/>
      <c r="C36" s="250">
        <v>0</v>
      </c>
      <c r="D36" s="251"/>
      <c r="E36" s="8"/>
      <c r="F36" s="8"/>
      <c r="G36" s="16">
        <f t="shared" si="7"/>
        <v>0</v>
      </c>
      <c r="H36" s="7"/>
      <c r="I36" s="7"/>
      <c r="J36" s="21">
        <f t="shared" si="8"/>
        <v>0</v>
      </c>
      <c r="K36" s="8">
        <f t="shared" si="9"/>
        <v>0</v>
      </c>
      <c r="L36" s="8"/>
      <c r="M36" s="8">
        <f t="shared" si="10"/>
        <v>103006.64999999991</v>
      </c>
      <c r="N36" s="195"/>
      <c r="O36" s="1"/>
    </row>
    <row r="37" spans="1:17">
      <c r="A37" s="47">
        <v>32</v>
      </c>
      <c r="B37" s="203"/>
      <c r="C37" s="25"/>
      <c r="D37" s="18"/>
      <c r="E37" s="8">
        <v>0</v>
      </c>
      <c r="F37" s="8">
        <v>0</v>
      </c>
      <c r="G37" s="16">
        <f t="shared" si="4"/>
        <v>0</v>
      </c>
      <c r="H37" s="7"/>
      <c r="I37" s="7"/>
      <c r="J37" s="21">
        <f t="shared" si="5"/>
        <v>0</v>
      </c>
      <c r="K37" s="8">
        <f t="shared" si="6"/>
        <v>0</v>
      </c>
      <c r="L37" s="8"/>
      <c r="M37" s="8">
        <f t="shared" si="10"/>
        <v>103006.64999999991</v>
      </c>
      <c r="N37" s="195"/>
      <c r="O37" s="1"/>
      <c r="Q37" s="308"/>
    </row>
    <row r="38" spans="1:17">
      <c r="A38" s="162"/>
      <c r="B38" s="162"/>
      <c r="C38" s="162"/>
      <c r="D38" s="162"/>
      <c r="E38" s="163">
        <f>SUM(E4:E37)</f>
        <v>8000</v>
      </c>
      <c r="F38" s="163"/>
      <c r="G38" s="163">
        <f>SUM(G4:G37)</f>
        <v>729120</v>
      </c>
      <c r="H38" s="163">
        <f>SUM(H4:H37)</f>
        <v>75</v>
      </c>
      <c r="I38" s="163"/>
      <c r="J38" s="163">
        <f>SUM(J4:J37)</f>
        <v>7845</v>
      </c>
      <c r="K38" s="163">
        <f>SUM(K4:K37)</f>
        <v>736965</v>
      </c>
      <c r="L38" s="163">
        <f>SUM(L4:L37)</f>
        <v>1000000</v>
      </c>
      <c r="M38" s="163"/>
      <c r="N38" s="64"/>
      <c r="O38" s="60"/>
    </row>
    <row r="39" spans="1:17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</row>
    <row r="40" spans="1:17">
      <c r="A40" s="1"/>
      <c r="B40" s="435"/>
      <c r="C40" s="435"/>
      <c r="D40" s="435"/>
      <c r="E40" s="435"/>
      <c r="F40" s="1"/>
      <c r="G40" s="1"/>
      <c r="H40" s="1"/>
      <c r="I40" s="435"/>
      <c r="J40" s="435"/>
      <c r="K40" s="435"/>
      <c r="L40" s="435"/>
      <c r="M40" s="435"/>
      <c r="N40" s="435"/>
      <c r="O40" s="4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</sheetData>
  <mergeCells count="3">
    <mergeCell ref="B40:E40"/>
    <mergeCell ref="I40:N40"/>
    <mergeCell ref="A1:N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R51"/>
  <sheetViews>
    <sheetView workbookViewId="0">
      <selection activeCell="L23" sqref="L23"/>
    </sheetView>
  </sheetViews>
  <sheetFormatPr defaultRowHeight="15"/>
  <cols>
    <col min="7" max="7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48" t="s">
        <v>259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54"/>
    </row>
    <row r="2" spans="1:15" ht="30.75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65" t="s">
        <v>162</v>
      </c>
      <c r="L2" s="86" t="s">
        <v>163</v>
      </c>
      <c r="M2" s="168" t="s">
        <v>174</v>
      </c>
      <c r="N2" s="84" t="s">
        <v>165</v>
      </c>
      <c r="O2" s="60"/>
    </row>
    <row r="3" spans="1:15">
      <c r="A3" s="146"/>
      <c r="B3" s="147"/>
      <c r="C3" s="147"/>
      <c r="D3" s="133" t="s">
        <v>166</v>
      </c>
      <c r="E3" s="147"/>
      <c r="F3" s="147"/>
      <c r="G3" s="147"/>
      <c r="H3" s="147"/>
      <c r="I3" s="147"/>
      <c r="J3" s="148"/>
      <c r="K3" s="267"/>
      <c r="L3" s="233">
        <v>150830.73329999996</v>
      </c>
      <c r="M3" s="233">
        <v>150830.73329999996</v>
      </c>
      <c r="N3" s="147"/>
      <c r="O3" s="60"/>
    </row>
    <row r="4" spans="1:15">
      <c r="A4" s="47">
        <v>1</v>
      </c>
      <c r="B4" s="203">
        <v>46054</v>
      </c>
      <c r="C4" s="25"/>
      <c r="D4" s="25"/>
      <c r="E4" s="8">
        <v>85</v>
      </c>
      <c r="F4" s="8">
        <v>91.49</v>
      </c>
      <c r="G4" s="8">
        <f>E4*F4</f>
        <v>7776.65</v>
      </c>
      <c r="H4" s="9"/>
      <c r="I4" s="9"/>
      <c r="J4" s="8">
        <f>H4*I4</f>
        <v>0</v>
      </c>
      <c r="K4" s="8">
        <f>G4+J4</f>
        <v>7776.65</v>
      </c>
      <c r="L4" s="149">
        <v>0</v>
      </c>
      <c r="M4" s="8">
        <f>M3+K4-L4</f>
        <v>158607.38329999996</v>
      </c>
      <c r="N4" s="45"/>
      <c r="O4" s="1"/>
    </row>
    <row r="5" spans="1:15">
      <c r="A5" s="47">
        <v>2</v>
      </c>
      <c r="B5" s="203">
        <v>46055</v>
      </c>
      <c r="C5" s="25"/>
      <c r="D5" s="25"/>
      <c r="E5" s="8">
        <v>200</v>
      </c>
      <c r="F5" s="8">
        <v>91.49</v>
      </c>
      <c r="G5" s="8">
        <f t="shared" ref="G5:G35" si="0">E5*F5</f>
        <v>18298</v>
      </c>
      <c r="H5" s="9">
        <v>27.73</v>
      </c>
      <c r="I5" s="9">
        <v>103.43</v>
      </c>
      <c r="J5" s="8">
        <f t="shared" ref="J5:J35" si="1">H5*I5</f>
        <v>2868.1139000000003</v>
      </c>
      <c r="K5" s="8">
        <f t="shared" ref="K5:K35" si="2">G5+J5</f>
        <v>21166.1139</v>
      </c>
      <c r="L5" s="149">
        <v>158600</v>
      </c>
      <c r="M5" s="8">
        <f t="shared" ref="M5:M15" si="3">M4+K5-L5</f>
        <v>21173.497199999954</v>
      </c>
      <c r="N5" s="45"/>
      <c r="O5" s="1"/>
    </row>
    <row r="6" spans="1:15">
      <c r="A6" s="47">
        <v>3</v>
      </c>
      <c r="B6" s="203">
        <v>46056</v>
      </c>
      <c r="C6" s="25"/>
      <c r="D6" s="25"/>
      <c r="E6" s="8">
        <v>238.05</v>
      </c>
      <c r="F6" s="8">
        <v>91.49</v>
      </c>
      <c r="G6" s="8">
        <f t="shared" si="0"/>
        <v>21779.194500000001</v>
      </c>
      <c r="H6" s="9"/>
      <c r="I6" s="9"/>
      <c r="J6" s="8">
        <f t="shared" si="1"/>
        <v>0</v>
      </c>
      <c r="K6" s="8">
        <f t="shared" si="2"/>
        <v>21779.194500000001</v>
      </c>
      <c r="L6" s="149">
        <v>0</v>
      </c>
      <c r="M6" s="8">
        <f t="shared" si="3"/>
        <v>42952.691699999952</v>
      </c>
      <c r="N6" s="45"/>
      <c r="O6" s="1"/>
    </row>
    <row r="7" spans="1:15">
      <c r="A7" s="47">
        <v>4</v>
      </c>
      <c r="B7" s="203">
        <v>46057</v>
      </c>
      <c r="C7" s="25"/>
      <c r="D7" s="25"/>
      <c r="E7" s="8">
        <v>45</v>
      </c>
      <c r="F7" s="8">
        <v>91.49</v>
      </c>
      <c r="G7" s="8">
        <f t="shared" si="0"/>
        <v>4117.05</v>
      </c>
      <c r="H7" s="9"/>
      <c r="I7" s="9"/>
      <c r="J7" s="8">
        <f t="shared" si="1"/>
        <v>0</v>
      </c>
      <c r="K7" s="8">
        <f t="shared" si="2"/>
        <v>4117.05</v>
      </c>
      <c r="L7" s="149">
        <v>0</v>
      </c>
      <c r="M7" s="8">
        <f t="shared" si="3"/>
        <v>47069.741699999955</v>
      </c>
      <c r="N7" s="45"/>
      <c r="O7" s="1"/>
    </row>
    <row r="8" spans="1:15">
      <c r="A8" s="47">
        <v>5</v>
      </c>
      <c r="B8" s="203">
        <v>46058</v>
      </c>
      <c r="C8" s="25"/>
      <c r="D8" s="25"/>
      <c r="E8" s="8">
        <v>55</v>
      </c>
      <c r="F8" s="8">
        <v>91.49</v>
      </c>
      <c r="G8" s="8">
        <f t="shared" si="0"/>
        <v>5031.95</v>
      </c>
      <c r="H8" s="9"/>
      <c r="I8" s="9"/>
      <c r="J8" s="8">
        <f t="shared" si="1"/>
        <v>0</v>
      </c>
      <c r="K8" s="8">
        <f t="shared" si="2"/>
        <v>5031.95</v>
      </c>
      <c r="L8" s="149">
        <v>0</v>
      </c>
      <c r="M8" s="8">
        <f t="shared" si="3"/>
        <v>52101.691699999952</v>
      </c>
      <c r="N8" s="45"/>
      <c r="O8" s="1"/>
    </row>
    <row r="9" spans="1:15">
      <c r="A9" s="47">
        <v>6</v>
      </c>
      <c r="B9" s="203">
        <v>46059</v>
      </c>
      <c r="C9" s="25"/>
      <c r="D9" s="25"/>
      <c r="E9" s="8">
        <v>80</v>
      </c>
      <c r="F9" s="8">
        <v>91.49</v>
      </c>
      <c r="G9" s="8">
        <f t="shared" si="0"/>
        <v>7319.2</v>
      </c>
      <c r="H9" s="9">
        <v>15</v>
      </c>
      <c r="I9" s="9">
        <v>103.43</v>
      </c>
      <c r="J9" s="8">
        <f t="shared" si="1"/>
        <v>1551.45</v>
      </c>
      <c r="K9" s="8">
        <f t="shared" si="2"/>
        <v>8870.65</v>
      </c>
      <c r="L9" s="149">
        <v>0</v>
      </c>
      <c r="M9" s="8">
        <f t="shared" si="3"/>
        <v>60972.341699999954</v>
      </c>
      <c r="N9" s="45"/>
      <c r="O9" s="1"/>
    </row>
    <row r="10" spans="1:15">
      <c r="A10" s="47">
        <v>7</v>
      </c>
      <c r="B10" s="203">
        <v>46060</v>
      </c>
      <c r="C10" s="25"/>
      <c r="D10" s="25"/>
      <c r="E10" s="8">
        <v>36</v>
      </c>
      <c r="F10" s="8">
        <v>91.49</v>
      </c>
      <c r="G10" s="8">
        <f t="shared" si="0"/>
        <v>3293.64</v>
      </c>
      <c r="H10" s="9">
        <v>6</v>
      </c>
      <c r="I10" s="9">
        <v>103.43</v>
      </c>
      <c r="J10" s="8">
        <f t="shared" si="1"/>
        <v>620.58000000000004</v>
      </c>
      <c r="K10" s="8">
        <f t="shared" si="2"/>
        <v>3914.22</v>
      </c>
      <c r="L10" s="149">
        <v>0</v>
      </c>
      <c r="M10" s="8">
        <f t="shared" si="3"/>
        <v>64886.561699999955</v>
      </c>
      <c r="N10" s="45"/>
      <c r="O10" s="1"/>
    </row>
    <row r="11" spans="1:15">
      <c r="A11" s="47">
        <v>8</v>
      </c>
      <c r="B11" s="203">
        <v>46061</v>
      </c>
      <c r="C11" s="25"/>
      <c r="D11" s="25"/>
      <c r="E11" s="8">
        <v>29</v>
      </c>
      <c r="F11" s="8">
        <v>91.49</v>
      </c>
      <c r="G11" s="8">
        <f t="shared" si="0"/>
        <v>2653.21</v>
      </c>
      <c r="H11" s="9"/>
      <c r="I11" s="9"/>
      <c r="J11" s="8">
        <f t="shared" si="1"/>
        <v>0</v>
      </c>
      <c r="K11" s="8">
        <f t="shared" si="2"/>
        <v>2653.21</v>
      </c>
      <c r="L11" s="149">
        <v>0</v>
      </c>
      <c r="M11" s="8">
        <f t="shared" si="3"/>
        <v>67539.771699999954</v>
      </c>
      <c r="N11" s="45"/>
      <c r="O11" s="1"/>
    </row>
    <row r="12" spans="1:15">
      <c r="A12" s="47">
        <v>9</v>
      </c>
      <c r="B12" s="203">
        <v>46062</v>
      </c>
      <c r="C12" s="25"/>
      <c r="D12" s="25"/>
      <c r="E12" s="8">
        <v>30</v>
      </c>
      <c r="F12" s="8">
        <v>91.49</v>
      </c>
      <c r="G12" s="8">
        <f t="shared" si="0"/>
        <v>2744.7</v>
      </c>
      <c r="H12" s="9"/>
      <c r="I12" s="9"/>
      <c r="J12" s="8">
        <f t="shared" si="1"/>
        <v>0</v>
      </c>
      <c r="K12" s="8">
        <f t="shared" si="2"/>
        <v>2744.7</v>
      </c>
      <c r="L12" s="149">
        <v>0</v>
      </c>
      <c r="M12" s="8">
        <f t="shared" si="3"/>
        <v>70284.471699999951</v>
      </c>
      <c r="N12" s="45"/>
      <c r="O12" s="1" t="s">
        <v>260</v>
      </c>
    </row>
    <row r="13" spans="1:15">
      <c r="A13" s="47">
        <v>10</v>
      </c>
      <c r="B13" s="203">
        <v>46063</v>
      </c>
      <c r="C13" s="25"/>
      <c r="D13" s="25"/>
      <c r="E13" s="8">
        <v>298</v>
      </c>
      <c r="F13" s="8">
        <v>91.49</v>
      </c>
      <c r="G13" s="8">
        <f t="shared" si="0"/>
        <v>27264.019999999997</v>
      </c>
      <c r="H13" s="9">
        <v>5</v>
      </c>
      <c r="I13" s="9">
        <v>103.43</v>
      </c>
      <c r="J13" s="8">
        <f t="shared" si="1"/>
        <v>517.15000000000009</v>
      </c>
      <c r="K13" s="8">
        <f t="shared" si="2"/>
        <v>27781.17</v>
      </c>
      <c r="L13" s="149">
        <v>0</v>
      </c>
      <c r="M13" s="8">
        <f t="shared" si="3"/>
        <v>98065.641699999949</v>
      </c>
      <c r="N13" s="45"/>
      <c r="O13" s="1"/>
    </row>
    <row r="14" spans="1:15">
      <c r="A14" s="47">
        <v>11</v>
      </c>
      <c r="B14" s="203">
        <v>46064</v>
      </c>
      <c r="C14" s="25"/>
      <c r="D14" s="25"/>
      <c r="E14" s="8">
        <v>140</v>
      </c>
      <c r="F14" s="8">
        <v>91.49</v>
      </c>
      <c r="G14" s="8">
        <f t="shared" si="0"/>
        <v>12808.599999999999</v>
      </c>
      <c r="H14" s="9">
        <v>6</v>
      </c>
      <c r="I14" s="9">
        <v>103.43</v>
      </c>
      <c r="J14" s="8">
        <f t="shared" si="1"/>
        <v>620.58000000000004</v>
      </c>
      <c r="K14" s="8">
        <f t="shared" si="2"/>
        <v>13429.179999999998</v>
      </c>
      <c r="L14" s="149">
        <v>0</v>
      </c>
      <c r="M14" s="8">
        <f t="shared" si="3"/>
        <v>111494.82169999994</v>
      </c>
      <c r="N14" s="45"/>
      <c r="O14" s="1"/>
    </row>
    <row r="15" spans="1:15">
      <c r="A15" s="47">
        <v>12</v>
      </c>
      <c r="B15" s="203">
        <v>46065</v>
      </c>
      <c r="C15" s="25"/>
      <c r="D15" s="25"/>
      <c r="E15" s="8">
        <v>30</v>
      </c>
      <c r="F15" s="8">
        <v>91.49</v>
      </c>
      <c r="G15" s="8">
        <f t="shared" si="0"/>
        <v>2744.7</v>
      </c>
      <c r="H15" s="9"/>
      <c r="I15" s="9"/>
      <c r="J15" s="8">
        <f t="shared" si="1"/>
        <v>0</v>
      </c>
      <c r="K15" s="8">
        <f t="shared" si="2"/>
        <v>2744.7</v>
      </c>
      <c r="L15" s="149">
        <v>0</v>
      </c>
      <c r="M15" s="8">
        <f t="shared" si="3"/>
        <v>114239.52169999994</v>
      </c>
      <c r="N15" s="45"/>
      <c r="O15" s="1"/>
    </row>
    <row r="16" spans="1:15">
      <c r="A16" s="47">
        <v>13</v>
      </c>
      <c r="B16" s="203">
        <v>46066</v>
      </c>
      <c r="C16" s="25"/>
      <c r="D16" s="25"/>
      <c r="E16" s="8">
        <v>48</v>
      </c>
      <c r="F16" s="8">
        <v>91.49</v>
      </c>
      <c r="G16" s="8">
        <f t="shared" si="0"/>
        <v>4391.5199999999995</v>
      </c>
      <c r="H16" s="9"/>
      <c r="I16" s="9"/>
      <c r="J16" s="8">
        <f t="shared" si="1"/>
        <v>0</v>
      </c>
      <c r="K16" s="8">
        <f t="shared" si="2"/>
        <v>4391.5199999999995</v>
      </c>
      <c r="L16" s="149">
        <v>0</v>
      </c>
      <c r="M16" s="8">
        <f>M15+K16-L16</f>
        <v>118631.04169999994</v>
      </c>
      <c r="N16" s="45"/>
      <c r="O16" s="1"/>
    </row>
    <row r="17" spans="1:18">
      <c r="A17" s="47">
        <v>14</v>
      </c>
      <c r="B17" s="203">
        <v>46067</v>
      </c>
      <c r="C17" s="25"/>
      <c r="D17" s="25"/>
      <c r="E17" s="8">
        <v>75</v>
      </c>
      <c r="F17" s="8">
        <v>91.49</v>
      </c>
      <c r="G17" s="8">
        <f t="shared" si="0"/>
        <v>6861.75</v>
      </c>
      <c r="H17" s="9">
        <v>12</v>
      </c>
      <c r="I17" s="9">
        <v>103.43</v>
      </c>
      <c r="J17" s="8">
        <f t="shared" si="1"/>
        <v>1241.1600000000001</v>
      </c>
      <c r="K17" s="8">
        <f t="shared" si="2"/>
        <v>8102.91</v>
      </c>
      <c r="L17" s="149">
        <v>0</v>
      </c>
      <c r="M17" s="8">
        <f>M16+K17-L17</f>
        <v>126733.95169999995</v>
      </c>
      <c r="N17" s="45"/>
      <c r="O17" s="1"/>
    </row>
    <row r="18" spans="1:18">
      <c r="A18" s="47">
        <v>15</v>
      </c>
      <c r="B18" s="203">
        <v>46068</v>
      </c>
      <c r="C18" s="25"/>
      <c r="D18" s="25"/>
      <c r="E18" s="8">
        <v>179.1</v>
      </c>
      <c r="F18" s="8">
        <v>91.49</v>
      </c>
      <c r="G18" s="8">
        <f t="shared" si="0"/>
        <v>16385.859</v>
      </c>
      <c r="H18" s="9"/>
      <c r="I18" s="9"/>
      <c r="J18" s="8">
        <f t="shared" si="1"/>
        <v>0</v>
      </c>
      <c r="K18" s="8">
        <f t="shared" si="2"/>
        <v>16385.859</v>
      </c>
      <c r="L18" s="149">
        <v>0</v>
      </c>
      <c r="M18" s="8">
        <f t="shared" ref="M18:M36" si="4">M17+K18-L18</f>
        <v>143119.81069999994</v>
      </c>
      <c r="N18" s="45"/>
      <c r="O18" s="1"/>
    </row>
    <row r="19" spans="1:18">
      <c r="A19" s="47">
        <v>16</v>
      </c>
      <c r="B19" s="203">
        <v>46069</v>
      </c>
      <c r="C19" s="25"/>
      <c r="D19" s="25"/>
      <c r="E19" s="8"/>
      <c r="F19" s="8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49">
        <v>0</v>
      </c>
      <c r="M19" s="8">
        <f t="shared" si="4"/>
        <v>143119.81069999994</v>
      </c>
      <c r="N19" s="45"/>
      <c r="O19" s="1"/>
    </row>
    <row r="20" spans="1:18">
      <c r="A20" s="47">
        <v>17</v>
      </c>
      <c r="B20" s="203">
        <v>46070</v>
      </c>
      <c r="C20" s="25"/>
      <c r="D20" s="25"/>
      <c r="E20" s="8">
        <v>92.87</v>
      </c>
      <c r="F20" s="8">
        <v>91.49</v>
      </c>
      <c r="G20" s="8">
        <f t="shared" si="0"/>
        <v>8496.6762999999992</v>
      </c>
      <c r="H20" s="9">
        <v>6</v>
      </c>
      <c r="I20" s="9">
        <v>103.43</v>
      </c>
      <c r="J20" s="8">
        <f t="shared" si="1"/>
        <v>620.58000000000004</v>
      </c>
      <c r="K20" s="8">
        <f t="shared" si="2"/>
        <v>9117.2562999999991</v>
      </c>
      <c r="L20" s="149">
        <v>0</v>
      </c>
      <c r="M20" s="8">
        <f t="shared" si="4"/>
        <v>152237.06699999995</v>
      </c>
      <c r="N20" s="45"/>
      <c r="O20" s="1"/>
      <c r="R20">
        <v>141649</v>
      </c>
    </row>
    <row r="21" spans="1:18">
      <c r="A21" s="47">
        <v>18</v>
      </c>
      <c r="B21" s="203">
        <v>46071</v>
      </c>
      <c r="C21" s="25"/>
      <c r="D21" s="25"/>
      <c r="E21" s="8">
        <v>57</v>
      </c>
      <c r="F21" s="8">
        <v>91.49</v>
      </c>
      <c r="G21" s="8">
        <f t="shared" si="0"/>
        <v>5214.9299999999994</v>
      </c>
      <c r="H21" s="9">
        <v>6</v>
      </c>
      <c r="I21" s="9">
        <v>103.43</v>
      </c>
      <c r="J21" s="8">
        <f t="shared" si="1"/>
        <v>620.58000000000004</v>
      </c>
      <c r="K21" s="8">
        <f t="shared" si="2"/>
        <v>5835.5099999999993</v>
      </c>
      <c r="L21" s="149">
        <v>0</v>
      </c>
      <c r="M21" s="8">
        <f t="shared" si="4"/>
        <v>158072.57699999996</v>
      </c>
      <c r="N21" s="45"/>
      <c r="O21" s="1"/>
    </row>
    <row r="22" spans="1:18">
      <c r="A22" s="47">
        <v>19</v>
      </c>
      <c r="B22" s="203">
        <v>46072</v>
      </c>
      <c r="C22" s="25"/>
      <c r="D22" s="25"/>
      <c r="E22" s="8">
        <v>40</v>
      </c>
      <c r="F22" s="8">
        <v>91.49</v>
      </c>
      <c r="G22" s="8">
        <f t="shared" si="0"/>
        <v>3659.6</v>
      </c>
      <c r="H22" s="9"/>
      <c r="I22" s="9"/>
      <c r="J22" s="8">
        <f t="shared" si="1"/>
        <v>0</v>
      </c>
      <c r="K22" s="8">
        <f t="shared" si="2"/>
        <v>3659.6</v>
      </c>
      <c r="L22" s="149">
        <v>0</v>
      </c>
      <c r="M22" s="8">
        <f t="shared" si="4"/>
        <v>161732.17699999997</v>
      </c>
      <c r="N22" s="45"/>
      <c r="O22" s="1"/>
    </row>
    <row r="23" spans="1:18">
      <c r="A23" s="47">
        <v>20</v>
      </c>
      <c r="B23" s="203">
        <v>46073</v>
      </c>
      <c r="C23" s="25"/>
      <c r="D23" s="25"/>
      <c r="E23" s="8">
        <v>88</v>
      </c>
      <c r="F23" s="8">
        <v>91.49</v>
      </c>
      <c r="G23" s="8">
        <f t="shared" si="0"/>
        <v>8051.12</v>
      </c>
      <c r="H23" s="9"/>
      <c r="I23" s="9"/>
      <c r="J23" s="8">
        <f t="shared" si="1"/>
        <v>0</v>
      </c>
      <c r="K23" s="8">
        <f t="shared" si="2"/>
        <v>8051.12</v>
      </c>
      <c r="L23" s="149">
        <v>150000</v>
      </c>
      <c r="M23" s="8">
        <f t="shared" si="4"/>
        <v>19783.296999999962</v>
      </c>
      <c r="N23" s="45"/>
      <c r="O23" s="1"/>
    </row>
    <row r="24" spans="1:18">
      <c r="A24" s="47">
        <v>21</v>
      </c>
      <c r="B24" s="203">
        <v>46074</v>
      </c>
      <c r="C24" s="25"/>
      <c r="D24" s="25"/>
      <c r="E24" s="8"/>
      <c r="F24" s="8"/>
      <c r="G24" s="8">
        <f t="shared" si="0"/>
        <v>0</v>
      </c>
      <c r="H24" s="9">
        <v>5</v>
      </c>
      <c r="I24" s="9">
        <v>103.43</v>
      </c>
      <c r="J24" s="8">
        <f t="shared" si="1"/>
        <v>517.15000000000009</v>
      </c>
      <c r="K24" s="8">
        <f t="shared" si="2"/>
        <v>517.15000000000009</v>
      </c>
      <c r="L24" s="149">
        <v>0</v>
      </c>
      <c r="M24" s="8">
        <f t="shared" si="4"/>
        <v>20300.446999999964</v>
      </c>
      <c r="N24" s="45"/>
      <c r="O24" s="1"/>
    </row>
    <row r="25" spans="1:18">
      <c r="A25" s="47">
        <v>22</v>
      </c>
      <c r="B25" s="203">
        <v>46075</v>
      </c>
      <c r="C25" s="25"/>
      <c r="D25" s="25"/>
      <c r="E25" s="8">
        <v>30</v>
      </c>
      <c r="F25" s="8">
        <v>91.49</v>
      </c>
      <c r="G25" s="8">
        <f t="shared" si="0"/>
        <v>2744.7</v>
      </c>
      <c r="H25" s="9"/>
      <c r="I25" s="9"/>
      <c r="J25" s="8">
        <f t="shared" si="1"/>
        <v>0</v>
      </c>
      <c r="K25" s="8">
        <f t="shared" si="2"/>
        <v>2744.7</v>
      </c>
      <c r="L25" s="149">
        <v>0</v>
      </c>
      <c r="M25" s="8">
        <f t="shared" si="4"/>
        <v>23045.146999999964</v>
      </c>
      <c r="N25" s="45"/>
      <c r="O25" s="1"/>
    </row>
    <row r="26" spans="1:18">
      <c r="A26" s="47">
        <v>23</v>
      </c>
      <c r="B26" s="203">
        <v>46076</v>
      </c>
      <c r="C26" s="25"/>
      <c r="D26" s="25"/>
      <c r="E26" s="8">
        <v>286</v>
      </c>
      <c r="F26" s="8">
        <v>91.49</v>
      </c>
      <c r="G26" s="8">
        <f t="shared" si="0"/>
        <v>26166.14</v>
      </c>
      <c r="H26" s="9">
        <v>6</v>
      </c>
      <c r="I26" s="9">
        <v>103.43</v>
      </c>
      <c r="J26" s="8">
        <f t="shared" si="1"/>
        <v>620.58000000000004</v>
      </c>
      <c r="K26" s="8">
        <f t="shared" si="2"/>
        <v>26786.720000000001</v>
      </c>
      <c r="L26" s="149">
        <v>0</v>
      </c>
      <c r="M26" s="8">
        <f t="shared" si="4"/>
        <v>49831.866999999969</v>
      </c>
      <c r="N26" s="45"/>
      <c r="O26" s="1"/>
    </row>
    <row r="27" spans="1:18">
      <c r="A27" s="47">
        <v>24</v>
      </c>
      <c r="B27" s="203">
        <v>46077</v>
      </c>
      <c r="C27" s="25"/>
      <c r="D27" s="25"/>
      <c r="E27" s="8">
        <v>85</v>
      </c>
      <c r="F27" s="8">
        <v>91.49</v>
      </c>
      <c r="G27" s="8">
        <f t="shared" si="0"/>
        <v>7776.65</v>
      </c>
      <c r="H27" s="9"/>
      <c r="I27" s="9"/>
      <c r="J27" s="8">
        <f t="shared" si="1"/>
        <v>0</v>
      </c>
      <c r="K27" s="8">
        <f t="shared" si="2"/>
        <v>7776.65</v>
      </c>
      <c r="L27" s="149">
        <v>0</v>
      </c>
      <c r="M27" s="8">
        <f t="shared" si="4"/>
        <v>57608.516999999971</v>
      </c>
      <c r="N27" s="45"/>
      <c r="O27" s="1"/>
    </row>
    <row r="28" spans="1:18">
      <c r="A28" s="47">
        <v>25</v>
      </c>
      <c r="B28" s="203">
        <v>46078</v>
      </c>
      <c r="C28" s="25"/>
      <c r="D28" s="25"/>
      <c r="E28" s="8">
        <v>30</v>
      </c>
      <c r="F28" s="8">
        <v>91.49</v>
      </c>
      <c r="G28" s="8">
        <f t="shared" si="0"/>
        <v>2744.7</v>
      </c>
      <c r="H28" s="9"/>
      <c r="I28" s="9"/>
      <c r="J28" s="8">
        <f t="shared" si="1"/>
        <v>0</v>
      </c>
      <c r="K28" s="8">
        <f t="shared" si="2"/>
        <v>2744.7</v>
      </c>
      <c r="L28" s="149">
        <v>0</v>
      </c>
      <c r="M28" s="8">
        <f t="shared" si="4"/>
        <v>60353.216999999968</v>
      </c>
      <c r="N28" s="45"/>
      <c r="O28" s="1"/>
    </row>
    <row r="29" spans="1:18">
      <c r="A29" s="47">
        <v>26</v>
      </c>
      <c r="B29" s="203">
        <v>46079</v>
      </c>
      <c r="C29" s="25"/>
      <c r="D29" s="25"/>
      <c r="E29" s="8">
        <v>155</v>
      </c>
      <c r="F29" s="8">
        <v>91.49</v>
      </c>
      <c r="G29" s="8">
        <f t="shared" si="0"/>
        <v>14180.949999999999</v>
      </c>
      <c r="H29" s="9"/>
      <c r="I29" s="9"/>
      <c r="J29" s="8">
        <f t="shared" si="1"/>
        <v>0</v>
      </c>
      <c r="K29" s="8">
        <f t="shared" si="2"/>
        <v>14180.949999999999</v>
      </c>
      <c r="L29" s="149">
        <v>0</v>
      </c>
      <c r="M29" s="8">
        <f t="shared" si="4"/>
        <v>74534.166999999972</v>
      </c>
      <c r="N29" s="45"/>
      <c r="O29" s="1"/>
    </row>
    <row r="30" spans="1:18">
      <c r="A30" s="47">
        <v>27</v>
      </c>
      <c r="B30" s="203">
        <v>46080</v>
      </c>
      <c r="C30" s="25"/>
      <c r="D30" s="25"/>
      <c r="E30" s="8">
        <v>110</v>
      </c>
      <c r="F30" s="8">
        <v>91.49</v>
      </c>
      <c r="G30" s="8">
        <f t="shared" si="0"/>
        <v>10063.9</v>
      </c>
      <c r="H30" s="9">
        <v>13</v>
      </c>
      <c r="I30" s="9">
        <v>103.43</v>
      </c>
      <c r="J30" s="8">
        <f t="shared" si="1"/>
        <v>1344.5900000000001</v>
      </c>
      <c r="K30" s="8">
        <f t="shared" si="2"/>
        <v>11408.49</v>
      </c>
      <c r="L30" s="149">
        <v>0</v>
      </c>
      <c r="M30" s="8">
        <f t="shared" si="4"/>
        <v>85942.656999999977</v>
      </c>
      <c r="N30" s="45"/>
      <c r="O30" s="1"/>
    </row>
    <row r="31" spans="1:18">
      <c r="A31" s="47">
        <v>28</v>
      </c>
      <c r="B31" s="203">
        <v>46081</v>
      </c>
      <c r="C31" s="25"/>
      <c r="D31" s="25"/>
      <c r="E31" s="8">
        <v>48.82</v>
      </c>
      <c r="F31" s="8">
        <v>91.49</v>
      </c>
      <c r="G31" s="8">
        <f t="shared" si="0"/>
        <v>4466.5418</v>
      </c>
      <c r="H31" s="9"/>
      <c r="I31" s="9"/>
      <c r="J31" s="8">
        <f t="shared" si="1"/>
        <v>0</v>
      </c>
      <c r="K31" s="8">
        <f t="shared" si="2"/>
        <v>4466.5418</v>
      </c>
      <c r="L31" s="149">
        <v>0</v>
      </c>
      <c r="M31" s="8">
        <f t="shared" si="4"/>
        <v>90409.198799999984</v>
      </c>
      <c r="N31" s="45"/>
      <c r="O31" s="1"/>
      <c r="R31">
        <v>46.61</v>
      </c>
    </row>
    <row r="32" spans="1:18">
      <c r="A32" s="47">
        <v>29</v>
      </c>
      <c r="B32" s="203">
        <v>46082</v>
      </c>
      <c r="C32" s="25"/>
      <c r="D32" s="25"/>
      <c r="E32" s="8"/>
      <c r="F32" s="8"/>
      <c r="G32" s="8">
        <f t="shared" si="0"/>
        <v>0</v>
      </c>
      <c r="H32" s="9"/>
      <c r="I32" s="9"/>
      <c r="J32" s="8">
        <f t="shared" si="1"/>
        <v>0</v>
      </c>
      <c r="K32" s="8">
        <f t="shared" si="2"/>
        <v>0</v>
      </c>
      <c r="L32" s="149">
        <v>0</v>
      </c>
      <c r="M32" s="8">
        <f t="shared" si="4"/>
        <v>90409.198799999984</v>
      </c>
      <c r="N32" s="45"/>
      <c r="O32" s="1"/>
      <c r="R32">
        <v>100</v>
      </c>
    </row>
    <row r="33" spans="1:18">
      <c r="A33" s="47">
        <v>30</v>
      </c>
      <c r="B33" s="203">
        <v>46083</v>
      </c>
      <c r="C33" s="25"/>
      <c r="D33" s="25"/>
      <c r="E33" s="8"/>
      <c r="F33" s="8"/>
      <c r="G33" s="8">
        <f t="shared" si="0"/>
        <v>0</v>
      </c>
      <c r="H33" s="9"/>
      <c r="I33" s="9"/>
      <c r="J33" s="8">
        <f t="shared" si="1"/>
        <v>0</v>
      </c>
      <c r="K33" s="8">
        <f t="shared" si="2"/>
        <v>0</v>
      </c>
      <c r="L33" s="149">
        <v>0</v>
      </c>
      <c r="M33" s="8">
        <f t="shared" si="4"/>
        <v>90409.198799999984</v>
      </c>
      <c r="N33" s="45"/>
      <c r="O33" s="1"/>
      <c r="R33">
        <v>35</v>
      </c>
    </row>
    <row r="34" spans="1:18">
      <c r="A34" s="47">
        <v>31</v>
      </c>
      <c r="B34" s="203">
        <v>46084</v>
      </c>
      <c r="C34" s="25"/>
      <c r="D34" s="25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9">
        <v>0</v>
      </c>
      <c r="M34" s="8">
        <f t="shared" si="4"/>
        <v>90409.198799999984</v>
      </c>
      <c r="N34" s="45"/>
      <c r="O34" s="1"/>
    </row>
    <row r="35" spans="1:18">
      <c r="A35" s="47">
        <v>32</v>
      </c>
      <c r="B35" s="203">
        <v>46085</v>
      </c>
      <c r="C35" s="25"/>
      <c r="D35" s="25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9">
        <v>0</v>
      </c>
      <c r="M35" s="8">
        <f t="shared" si="4"/>
        <v>90409.198799999984</v>
      </c>
      <c r="N35" s="45"/>
      <c r="O35" s="1"/>
    </row>
    <row r="36" spans="1:18">
      <c r="A36" s="198"/>
      <c r="B36" s="203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49"/>
      <c r="M36" s="8">
        <f t="shared" si="4"/>
        <v>90409.198799999984</v>
      </c>
      <c r="N36" s="45"/>
      <c r="O36" s="1"/>
    </row>
    <row r="37" spans="1:18">
      <c r="A37" s="63"/>
      <c r="B37" s="63"/>
      <c r="C37" s="63"/>
      <c r="D37" s="63"/>
      <c r="E37" s="64">
        <f>SUM(E4:E35)</f>
        <v>2590.84</v>
      </c>
      <c r="F37" s="64"/>
      <c r="G37" s="64">
        <f>SUM(G4:G35)</f>
        <v>237035.95160000003</v>
      </c>
      <c r="H37" s="64">
        <f>SUM(H4:H35)</f>
        <v>107.73</v>
      </c>
      <c r="I37" s="64"/>
      <c r="J37" s="64">
        <f>SUM(J4:J35)</f>
        <v>11142.5139</v>
      </c>
      <c r="K37" s="64">
        <f>SUM(K4:K35)</f>
        <v>248178.46550000002</v>
      </c>
      <c r="L37" s="64">
        <f>SUM(L4:L35)</f>
        <v>308600</v>
      </c>
      <c r="M37" s="64"/>
      <c r="N37" s="64"/>
      <c r="O37" s="60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35"/>
      <c r="C40" s="435"/>
      <c r="D40" s="435"/>
      <c r="E40" s="435"/>
      <c r="F40" s="1"/>
      <c r="G40" s="1"/>
      <c r="H40" s="1"/>
      <c r="I40" s="474">
        <f>K25+L25</f>
        <v>2744.7</v>
      </c>
      <c r="J40" s="435"/>
      <c r="K40" s="435"/>
      <c r="L40" s="435"/>
      <c r="M40" s="435"/>
      <c r="N40" s="435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Q49"/>
  <sheetViews>
    <sheetView topLeftCell="A19" workbookViewId="0">
      <selection activeCell="M32" sqref="M32"/>
    </sheetView>
  </sheetViews>
  <sheetFormatPr defaultRowHeight="15"/>
  <cols>
    <col min="7" max="7" width="10.85546875" bestFit="1" customWidth="1"/>
    <col min="11" max="11" width="13.5703125" bestFit="1" customWidth="1"/>
    <col min="12" max="13" width="11.85546875" bestFit="1" customWidth="1"/>
  </cols>
  <sheetData>
    <row r="1" spans="1:15" ht="15.75">
      <c r="A1" s="448" t="s">
        <v>70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54"/>
    </row>
    <row r="2" spans="1:15" ht="30.75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65" t="s">
        <v>162</v>
      </c>
      <c r="L2" s="86" t="s">
        <v>163</v>
      </c>
      <c r="M2" s="168" t="s">
        <v>174</v>
      </c>
      <c r="N2" s="84" t="s">
        <v>165</v>
      </c>
      <c r="O2" s="60"/>
    </row>
    <row r="3" spans="1:15">
      <c r="A3" s="146"/>
      <c r="B3" s="147"/>
      <c r="C3" s="147"/>
      <c r="D3" s="133" t="s">
        <v>166</v>
      </c>
      <c r="E3" s="147"/>
      <c r="F3" s="147"/>
      <c r="G3" s="147"/>
      <c r="H3" s="147"/>
      <c r="I3" s="147"/>
      <c r="J3" s="148"/>
      <c r="K3" s="146">
        <v>0</v>
      </c>
      <c r="L3" s="149">
        <v>532276.87780000013</v>
      </c>
      <c r="M3" s="149">
        <v>532276.87780000013</v>
      </c>
      <c r="N3" s="147"/>
      <c r="O3" s="60"/>
    </row>
    <row r="4" spans="1:15">
      <c r="A4" s="47">
        <v>1</v>
      </c>
      <c r="B4" s="203">
        <v>45689</v>
      </c>
      <c r="C4" s="25"/>
      <c r="D4" s="25"/>
      <c r="E4" s="270">
        <v>230</v>
      </c>
      <c r="F4" s="270">
        <v>91.78</v>
      </c>
      <c r="G4" s="8">
        <f>E4*F4</f>
        <v>21109.4</v>
      </c>
      <c r="H4" s="9">
        <v>5</v>
      </c>
      <c r="I4" s="9">
        <v>103.74</v>
      </c>
      <c r="J4" s="8">
        <f>H4*I4</f>
        <v>518.69999999999993</v>
      </c>
      <c r="K4" s="8">
        <f>G4+J4</f>
        <v>21628.100000000002</v>
      </c>
      <c r="L4" s="149">
        <v>0</v>
      </c>
      <c r="M4" s="8">
        <f>M3+K4-L4</f>
        <v>553904.97780000011</v>
      </c>
      <c r="N4" s="45"/>
      <c r="O4" s="1"/>
    </row>
    <row r="5" spans="1:15">
      <c r="A5" s="47">
        <v>2</v>
      </c>
      <c r="B5" s="203">
        <v>45690</v>
      </c>
      <c r="C5" s="25"/>
      <c r="D5" s="25"/>
      <c r="E5" s="270">
        <v>450</v>
      </c>
      <c r="F5" s="270">
        <v>91.78</v>
      </c>
      <c r="G5" s="8">
        <f t="shared" ref="G5:G34" si="0">E5*F5</f>
        <v>41301</v>
      </c>
      <c r="H5" s="9">
        <v>5</v>
      </c>
      <c r="I5" s="9">
        <v>103.74</v>
      </c>
      <c r="J5" s="8">
        <f t="shared" ref="J5:J34" si="1">H5*I5</f>
        <v>518.69999999999993</v>
      </c>
      <c r="K5" s="8">
        <f t="shared" ref="K5:K34" si="2">G5+J5</f>
        <v>41819.699999999997</v>
      </c>
      <c r="L5" s="149">
        <v>553904</v>
      </c>
      <c r="M5" s="8">
        <f t="shared" ref="M5:M34" si="3">M4+K5-L5</f>
        <v>41820.677800000063</v>
      </c>
      <c r="N5" s="45"/>
      <c r="O5" s="1"/>
    </row>
    <row r="6" spans="1:15">
      <c r="A6" s="47">
        <v>3</v>
      </c>
      <c r="B6" s="203">
        <v>45691</v>
      </c>
      <c r="C6" s="25"/>
      <c r="D6" s="25"/>
      <c r="E6" s="270">
        <v>150</v>
      </c>
      <c r="F6" s="270">
        <v>91.78</v>
      </c>
      <c r="G6" s="8">
        <f t="shared" si="0"/>
        <v>13767</v>
      </c>
      <c r="H6" s="9">
        <v>10</v>
      </c>
      <c r="I6" s="9">
        <v>103.74</v>
      </c>
      <c r="J6" s="8">
        <f t="shared" si="1"/>
        <v>1037.3999999999999</v>
      </c>
      <c r="K6" s="8">
        <f t="shared" si="2"/>
        <v>14804.4</v>
      </c>
      <c r="L6" s="149"/>
      <c r="M6" s="8">
        <f t="shared" si="3"/>
        <v>56625.077800000065</v>
      </c>
      <c r="N6" s="45"/>
      <c r="O6" s="1"/>
    </row>
    <row r="7" spans="1:15">
      <c r="A7" s="47">
        <v>4</v>
      </c>
      <c r="B7" s="203">
        <v>45692</v>
      </c>
      <c r="C7" s="25"/>
      <c r="D7" s="25"/>
      <c r="E7" s="270">
        <v>60</v>
      </c>
      <c r="F7" s="270">
        <v>91.78</v>
      </c>
      <c r="G7" s="8">
        <f t="shared" si="0"/>
        <v>5506.8</v>
      </c>
      <c r="H7" s="9">
        <v>0</v>
      </c>
      <c r="I7" s="9">
        <v>0</v>
      </c>
      <c r="J7" s="8">
        <f t="shared" si="1"/>
        <v>0</v>
      </c>
      <c r="K7" s="8">
        <f t="shared" si="2"/>
        <v>5506.8</v>
      </c>
      <c r="L7" s="8"/>
      <c r="M7" s="8">
        <f t="shared" si="3"/>
        <v>62131.877800000068</v>
      </c>
      <c r="N7" s="45"/>
      <c r="O7" s="1"/>
    </row>
    <row r="8" spans="1:15">
      <c r="A8" s="47">
        <v>5</v>
      </c>
      <c r="B8" s="203">
        <v>45693</v>
      </c>
      <c r="C8" s="25"/>
      <c r="D8" s="25"/>
      <c r="E8" s="270">
        <v>255</v>
      </c>
      <c r="F8" s="270">
        <v>91.78</v>
      </c>
      <c r="G8" s="8">
        <f t="shared" si="0"/>
        <v>23403.9</v>
      </c>
      <c r="H8" s="9">
        <v>0</v>
      </c>
      <c r="I8" s="9">
        <v>0</v>
      </c>
      <c r="J8" s="8">
        <f t="shared" si="1"/>
        <v>0</v>
      </c>
      <c r="K8" s="8">
        <f t="shared" si="2"/>
        <v>23403.9</v>
      </c>
      <c r="L8" s="149"/>
      <c r="M8" s="8">
        <f t="shared" si="3"/>
        <v>85535.777800000069</v>
      </c>
      <c r="N8" s="45"/>
      <c r="O8" s="1"/>
    </row>
    <row r="9" spans="1:15">
      <c r="A9" s="47">
        <v>6</v>
      </c>
      <c r="B9" s="203">
        <v>45694</v>
      </c>
      <c r="C9" s="25"/>
      <c r="D9" s="25"/>
      <c r="E9" s="270">
        <v>428</v>
      </c>
      <c r="F9" s="270">
        <v>91.78</v>
      </c>
      <c r="G9" s="8">
        <f t="shared" si="0"/>
        <v>39281.840000000004</v>
      </c>
      <c r="H9" s="9">
        <v>15</v>
      </c>
      <c r="I9" s="9">
        <v>103.74</v>
      </c>
      <c r="J9" s="8">
        <f t="shared" si="1"/>
        <v>1556.1</v>
      </c>
      <c r="K9" s="8">
        <f t="shared" si="2"/>
        <v>40837.94</v>
      </c>
      <c r="L9" s="149"/>
      <c r="M9" s="8">
        <f t="shared" si="3"/>
        <v>126373.71780000007</v>
      </c>
      <c r="N9" s="45"/>
      <c r="O9" s="1"/>
    </row>
    <row r="10" spans="1:15">
      <c r="A10" s="47">
        <v>7</v>
      </c>
      <c r="B10" s="203">
        <v>45695</v>
      </c>
      <c r="C10" s="25"/>
      <c r="D10" s="25"/>
      <c r="E10" s="270">
        <v>330</v>
      </c>
      <c r="F10" s="270">
        <v>91.78</v>
      </c>
      <c r="G10" s="8">
        <f t="shared" si="0"/>
        <v>30287.4</v>
      </c>
      <c r="H10" s="9">
        <v>5</v>
      </c>
      <c r="I10" s="9">
        <v>103.74</v>
      </c>
      <c r="J10" s="8">
        <f t="shared" si="1"/>
        <v>518.69999999999993</v>
      </c>
      <c r="K10" s="8">
        <f t="shared" si="2"/>
        <v>30806.100000000002</v>
      </c>
      <c r="L10" s="149"/>
      <c r="M10" s="8">
        <f t="shared" si="3"/>
        <v>157179.81780000008</v>
      </c>
      <c r="N10" s="45"/>
      <c r="O10" s="1"/>
    </row>
    <row r="11" spans="1:15">
      <c r="A11" s="47">
        <v>8</v>
      </c>
      <c r="B11" s="203">
        <v>45696</v>
      </c>
      <c r="C11" s="25"/>
      <c r="D11" s="25"/>
      <c r="E11" s="270">
        <v>50</v>
      </c>
      <c r="F11" s="270">
        <v>91.78</v>
      </c>
      <c r="G11" s="8">
        <f t="shared" si="0"/>
        <v>4589</v>
      </c>
      <c r="H11" s="9">
        <v>0</v>
      </c>
      <c r="I11" s="9">
        <v>0</v>
      </c>
      <c r="J11" s="8">
        <f t="shared" si="1"/>
        <v>0</v>
      </c>
      <c r="K11" s="8">
        <f t="shared" si="2"/>
        <v>4589</v>
      </c>
      <c r="L11" s="149"/>
      <c r="M11" s="8">
        <f t="shared" si="3"/>
        <v>161768.81780000008</v>
      </c>
      <c r="N11" s="45"/>
      <c r="O11" s="1"/>
    </row>
    <row r="12" spans="1:15">
      <c r="A12" s="47">
        <v>9</v>
      </c>
      <c r="B12" s="203">
        <v>45697</v>
      </c>
      <c r="C12" s="25"/>
      <c r="D12" s="25"/>
      <c r="E12" s="270">
        <v>200</v>
      </c>
      <c r="F12" s="270">
        <v>91.78</v>
      </c>
      <c r="G12" s="8">
        <f t="shared" si="0"/>
        <v>18356</v>
      </c>
      <c r="H12" s="9">
        <v>5</v>
      </c>
      <c r="I12" s="9">
        <v>103.74</v>
      </c>
      <c r="J12" s="8">
        <f t="shared" si="1"/>
        <v>518.69999999999993</v>
      </c>
      <c r="K12" s="8">
        <f t="shared" si="2"/>
        <v>18874.7</v>
      </c>
      <c r="L12" s="149"/>
      <c r="M12" s="8">
        <f t="shared" si="3"/>
        <v>180643.51780000009</v>
      </c>
      <c r="N12" s="45"/>
      <c r="O12" s="1" t="s">
        <v>260</v>
      </c>
    </row>
    <row r="13" spans="1:15">
      <c r="A13" s="47">
        <v>10</v>
      </c>
      <c r="B13" s="203">
        <v>45698</v>
      </c>
      <c r="C13" s="25"/>
      <c r="D13" s="25"/>
      <c r="E13" s="270">
        <v>206</v>
      </c>
      <c r="F13" s="270">
        <v>91.78</v>
      </c>
      <c r="G13" s="8">
        <f t="shared" si="0"/>
        <v>18906.68</v>
      </c>
      <c r="H13" s="9">
        <v>0</v>
      </c>
      <c r="I13" s="9">
        <v>0</v>
      </c>
      <c r="J13" s="8">
        <f t="shared" si="1"/>
        <v>0</v>
      </c>
      <c r="K13" s="8">
        <f t="shared" si="2"/>
        <v>18906.68</v>
      </c>
      <c r="L13" s="149"/>
      <c r="M13" s="8">
        <f t="shared" si="3"/>
        <v>199550.19780000008</v>
      </c>
      <c r="N13" s="45"/>
      <c r="O13" s="1"/>
    </row>
    <row r="14" spans="1:15">
      <c r="A14" s="47">
        <v>11</v>
      </c>
      <c r="B14" s="203">
        <v>45699</v>
      </c>
      <c r="C14" s="25"/>
      <c r="D14" s="25"/>
      <c r="E14" s="270">
        <v>50</v>
      </c>
      <c r="F14" s="270">
        <v>91.78</v>
      </c>
      <c r="G14" s="8">
        <f t="shared" si="0"/>
        <v>4589</v>
      </c>
      <c r="H14" s="9">
        <v>15</v>
      </c>
      <c r="I14" s="9">
        <v>103.74</v>
      </c>
      <c r="J14" s="8">
        <f t="shared" si="1"/>
        <v>1556.1</v>
      </c>
      <c r="K14" s="8">
        <f t="shared" si="2"/>
        <v>6145.1</v>
      </c>
      <c r="L14" s="149"/>
      <c r="M14" s="8">
        <f t="shared" si="3"/>
        <v>205695.29780000009</v>
      </c>
      <c r="N14" s="45"/>
      <c r="O14" s="1"/>
    </row>
    <row r="15" spans="1:15">
      <c r="A15" s="47">
        <v>12</v>
      </c>
      <c r="B15" s="203">
        <v>45700</v>
      </c>
      <c r="C15" s="25"/>
      <c r="D15" s="25"/>
      <c r="E15" s="270">
        <v>0</v>
      </c>
      <c r="F15" s="270">
        <v>0</v>
      </c>
      <c r="G15" s="8">
        <f t="shared" si="0"/>
        <v>0</v>
      </c>
      <c r="H15" s="9">
        <v>5</v>
      </c>
      <c r="I15" s="9">
        <v>103.74</v>
      </c>
      <c r="J15" s="8">
        <f t="shared" si="1"/>
        <v>518.69999999999993</v>
      </c>
      <c r="K15" s="8">
        <f t="shared" si="2"/>
        <v>518.69999999999993</v>
      </c>
      <c r="L15" s="149"/>
      <c r="M15" s="8">
        <f t="shared" si="3"/>
        <v>206213.9978000001</v>
      </c>
      <c r="N15" s="45"/>
      <c r="O15" s="1"/>
    </row>
    <row r="16" spans="1:15">
      <c r="A16" s="47">
        <v>13</v>
      </c>
      <c r="B16" s="203">
        <v>45701</v>
      </c>
      <c r="C16" s="25"/>
      <c r="D16" s="25"/>
      <c r="E16" s="270">
        <v>188</v>
      </c>
      <c r="F16" s="270">
        <v>91.78</v>
      </c>
      <c r="G16" s="8">
        <f t="shared" si="0"/>
        <v>17254.64</v>
      </c>
      <c r="H16" s="9">
        <v>5</v>
      </c>
      <c r="I16" s="9">
        <v>103.74</v>
      </c>
      <c r="J16" s="8">
        <f t="shared" si="1"/>
        <v>518.69999999999993</v>
      </c>
      <c r="K16" s="8">
        <f t="shared" si="2"/>
        <v>17773.34</v>
      </c>
      <c r="L16" s="149"/>
      <c r="M16" s="8">
        <f t="shared" si="3"/>
        <v>223987.3378000001</v>
      </c>
      <c r="N16" s="45"/>
      <c r="O16" s="1"/>
    </row>
    <row r="17" spans="1:17">
      <c r="A17" s="47">
        <v>14</v>
      </c>
      <c r="B17" s="203">
        <v>45702</v>
      </c>
      <c r="C17" s="25"/>
      <c r="D17" s="25"/>
      <c r="E17" s="270">
        <v>175</v>
      </c>
      <c r="F17" s="270">
        <v>91.78</v>
      </c>
      <c r="G17" s="8">
        <f t="shared" si="0"/>
        <v>16061.5</v>
      </c>
      <c r="H17" s="9">
        <v>0</v>
      </c>
      <c r="I17" s="9">
        <v>0</v>
      </c>
      <c r="J17" s="8">
        <f t="shared" si="1"/>
        <v>0</v>
      </c>
      <c r="K17" s="8">
        <f t="shared" si="2"/>
        <v>16061.5</v>
      </c>
      <c r="L17" s="149"/>
      <c r="M17" s="8">
        <f t="shared" si="3"/>
        <v>240048.8378000001</v>
      </c>
      <c r="N17" s="45"/>
      <c r="O17" s="1"/>
    </row>
    <row r="18" spans="1:17">
      <c r="A18" s="47">
        <v>15</v>
      </c>
      <c r="B18" s="203">
        <v>45703</v>
      </c>
      <c r="C18" s="25"/>
      <c r="D18" s="25"/>
      <c r="E18" s="270">
        <v>350</v>
      </c>
      <c r="F18" s="270">
        <v>91.78</v>
      </c>
      <c r="G18" s="8">
        <f t="shared" si="0"/>
        <v>32123</v>
      </c>
      <c r="H18" s="9">
        <v>0</v>
      </c>
      <c r="I18" s="9">
        <v>0</v>
      </c>
      <c r="J18" s="8">
        <f t="shared" si="1"/>
        <v>0</v>
      </c>
      <c r="K18" s="8">
        <f t="shared" si="2"/>
        <v>32123</v>
      </c>
      <c r="L18" s="149"/>
      <c r="M18" s="8">
        <f t="shared" si="3"/>
        <v>272171.8378000001</v>
      </c>
      <c r="N18" s="45"/>
      <c r="O18" s="1"/>
    </row>
    <row r="19" spans="1:17">
      <c r="A19" s="47">
        <v>16</v>
      </c>
      <c r="B19" s="203">
        <v>45704</v>
      </c>
      <c r="C19" s="25"/>
      <c r="D19" s="25"/>
      <c r="E19" s="270">
        <v>188.6</v>
      </c>
      <c r="F19" s="270">
        <v>91.78</v>
      </c>
      <c r="G19" s="8">
        <f t="shared" si="0"/>
        <v>17309.707999999999</v>
      </c>
      <c r="H19" s="9">
        <v>15</v>
      </c>
      <c r="I19" s="9">
        <v>103.74</v>
      </c>
      <c r="J19" s="8">
        <f t="shared" si="1"/>
        <v>1556.1</v>
      </c>
      <c r="K19" s="8">
        <f t="shared" si="2"/>
        <v>18865.807999999997</v>
      </c>
      <c r="L19" s="149"/>
      <c r="M19" s="8">
        <f t="shared" si="3"/>
        <v>291037.64580000011</v>
      </c>
      <c r="N19" s="45"/>
      <c r="O19" s="1"/>
    </row>
    <row r="20" spans="1:17">
      <c r="A20" s="47">
        <v>17</v>
      </c>
      <c r="B20" s="203">
        <v>45705</v>
      </c>
      <c r="C20" s="25"/>
      <c r="D20" s="25"/>
      <c r="E20" s="270">
        <v>200</v>
      </c>
      <c r="F20" s="270">
        <v>91.78</v>
      </c>
      <c r="G20" s="8">
        <f t="shared" si="0"/>
        <v>18356</v>
      </c>
      <c r="H20" s="9">
        <v>5</v>
      </c>
      <c r="I20" s="9">
        <v>103.74</v>
      </c>
      <c r="J20" s="8">
        <f t="shared" si="1"/>
        <v>518.69999999999993</v>
      </c>
      <c r="K20" s="8">
        <f t="shared" si="2"/>
        <v>18874.7</v>
      </c>
      <c r="L20" s="149"/>
      <c r="M20" s="8">
        <f t="shared" si="3"/>
        <v>309912.34580000013</v>
      </c>
      <c r="N20" s="45"/>
      <c r="O20" s="1"/>
    </row>
    <row r="21" spans="1:17">
      <c r="A21" s="47">
        <v>18</v>
      </c>
      <c r="B21" s="203">
        <v>45706</v>
      </c>
      <c r="C21" s="25"/>
      <c r="D21" s="25"/>
      <c r="E21" s="270">
        <v>220</v>
      </c>
      <c r="F21" s="270">
        <v>91.78</v>
      </c>
      <c r="G21" s="8">
        <f t="shared" si="0"/>
        <v>20191.599999999999</v>
      </c>
      <c r="H21" s="9">
        <v>5</v>
      </c>
      <c r="I21" s="9">
        <v>103.74</v>
      </c>
      <c r="J21" s="8">
        <f t="shared" si="1"/>
        <v>518.69999999999993</v>
      </c>
      <c r="K21" s="8">
        <f t="shared" si="2"/>
        <v>20710.3</v>
      </c>
      <c r="L21" s="149"/>
      <c r="M21" s="8">
        <f t="shared" si="3"/>
        <v>330622.64580000011</v>
      </c>
      <c r="N21" s="45"/>
      <c r="O21" s="1"/>
    </row>
    <row r="22" spans="1:17">
      <c r="A22" s="47">
        <v>19</v>
      </c>
      <c r="B22" s="203">
        <v>45707</v>
      </c>
      <c r="C22" s="25"/>
      <c r="D22" s="25"/>
      <c r="E22" s="270">
        <v>190</v>
      </c>
      <c r="F22" s="270">
        <v>91.78</v>
      </c>
      <c r="G22" s="8">
        <f t="shared" si="0"/>
        <v>17438.2</v>
      </c>
      <c r="H22" s="9">
        <v>5</v>
      </c>
      <c r="I22" s="9">
        <v>103.74</v>
      </c>
      <c r="J22" s="8">
        <f t="shared" si="1"/>
        <v>518.69999999999993</v>
      </c>
      <c r="K22" s="8">
        <f t="shared" si="2"/>
        <v>17956.900000000001</v>
      </c>
      <c r="L22" s="149"/>
      <c r="M22" s="8">
        <f t="shared" si="3"/>
        <v>348579.54580000014</v>
      </c>
      <c r="N22" s="45"/>
      <c r="O22" s="1"/>
    </row>
    <row r="23" spans="1:17">
      <c r="A23" s="47">
        <v>20</v>
      </c>
      <c r="B23" s="203">
        <v>45708</v>
      </c>
      <c r="C23" s="25"/>
      <c r="D23" s="25"/>
      <c r="E23" s="270">
        <v>160</v>
      </c>
      <c r="F23" s="270">
        <v>91.78</v>
      </c>
      <c r="G23" s="8">
        <f t="shared" si="0"/>
        <v>14684.8</v>
      </c>
      <c r="H23" s="9">
        <v>5</v>
      </c>
      <c r="I23" s="9">
        <v>103.74</v>
      </c>
      <c r="J23" s="8">
        <f t="shared" si="1"/>
        <v>518.69999999999993</v>
      </c>
      <c r="K23" s="8">
        <f t="shared" si="2"/>
        <v>15203.5</v>
      </c>
      <c r="L23" s="149">
        <v>217000</v>
      </c>
      <c r="M23" s="8">
        <f t="shared" si="3"/>
        <v>146783.04580000014</v>
      </c>
      <c r="N23" s="45"/>
      <c r="O23" s="1"/>
    </row>
    <row r="24" spans="1:17">
      <c r="A24" s="47">
        <v>21</v>
      </c>
      <c r="B24" s="203">
        <v>45709</v>
      </c>
      <c r="C24" s="25"/>
      <c r="D24" s="25"/>
      <c r="E24" s="270">
        <v>100</v>
      </c>
      <c r="F24" s="270">
        <v>91.78</v>
      </c>
      <c r="G24" s="8">
        <f t="shared" si="0"/>
        <v>9178</v>
      </c>
      <c r="H24" s="9">
        <v>0</v>
      </c>
      <c r="I24" s="9">
        <v>0</v>
      </c>
      <c r="J24" s="8">
        <f t="shared" si="1"/>
        <v>0</v>
      </c>
      <c r="K24" s="8">
        <f t="shared" si="2"/>
        <v>9178</v>
      </c>
      <c r="L24" s="149"/>
      <c r="M24" s="8">
        <f t="shared" si="3"/>
        <v>155961.04580000014</v>
      </c>
      <c r="N24" s="45"/>
      <c r="O24" s="1"/>
    </row>
    <row r="25" spans="1:17">
      <c r="A25" s="47">
        <v>22</v>
      </c>
      <c r="B25" s="203">
        <v>45710</v>
      </c>
      <c r="C25" s="25"/>
      <c r="D25" s="25"/>
      <c r="E25" s="270">
        <v>240</v>
      </c>
      <c r="F25" s="270">
        <v>91.78</v>
      </c>
      <c r="G25" s="8">
        <f t="shared" si="0"/>
        <v>22027.200000000001</v>
      </c>
      <c r="H25" s="9">
        <v>0</v>
      </c>
      <c r="I25" s="9">
        <v>0</v>
      </c>
      <c r="J25" s="8">
        <f t="shared" si="1"/>
        <v>0</v>
      </c>
      <c r="K25" s="8">
        <f t="shared" si="2"/>
        <v>22027.200000000001</v>
      </c>
      <c r="L25" s="149"/>
      <c r="M25" s="8">
        <f t="shared" si="3"/>
        <v>177988.24580000015</v>
      </c>
      <c r="N25" s="45"/>
      <c r="O25" s="1"/>
    </row>
    <row r="26" spans="1:17">
      <c r="A26" s="47">
        <v>23</v>
      </c>
      <c r="B26" s="203">
        <v>45711</v>
      </c>
      <c r="C26" s="25"/>
      <c r="D26" s="25"/>
      <c r="E26" s="270">
        <v>225</v>
      </c>
      <c r="F26" s="270">
        <v>91.78</v>
      </c>
      <c r="G26" s="8">
        <f t="shared" si="0"/>
        <v>20650.5</v>
      </c>
      <c r="H26" s="9">
        <v>15</v>
      </c>
      <c r="I26" s="9">
        <v>103.74</v>
      </c>
      <c r="J26" s="8">
        <f t="shared" si="1"/>
        <v>1556.1</v>
      </c>
      <c r="K26" s="8">
        <f t="shared" si="2"/>
        <v>22206.6</v>
      </c>
      <c r="L26" s="149"/>
      <c r="M26" s="8">
        <f t="shared" si="3"/>
        <v>200194.84580000016</v>
      </c>
      <c r="N26" s="45"/>
      <c r="O26" s="1"/>
    </row>
    <row r="27" spans="1:17">
      <c r="A27" s="47">
        <v>24</v>
      </c>
      <c r="B27" s="203">
        <v>45712</v>
      </c>
      <c r="C27" s="25"/>
      <c r="D27" s="25"/>
      <c r="E27" s="270">
        <v>240</v>
      </c>
      <c r="F27" s="270">
        <v>91.78</v>
      </c>
      <c r="G27" s="8">
        <f t="shared" si="0"/>
        <v>22027.200000000001</v>
      </c>
      <c r="H27" s="9">
        <v>15</v>
      </c>
      <c r="I27" s="9">
        <v>103.74</v>
      </c>
      <c r="J27" s="8">
        <f t="shared" si="1"/>
        <v>1556.1</v>
      </c>
      <c r="K27" s="8">
        <f t="shared" si="2"/>
        <v>23583.3</v>
      </c>
      <c r="L27" s="149"/>
      <c r="M27" s="8">
        <f t="shared" si="3"/>
        <v>223778.14580000014</v>
      </c>
      <c r="N27" s="45"/>
      <c r="O27" s="1"/>
    </row>
    <row r="28" spans="1:17">
      <c r="A28" s="47">
        <v>25</v>
      </c>
      <c r="B28" s="203">
        <v>45713</v>
      </c>
      <c r="C28" s="25"/>
      <c r="D28" s="25"/>
      <c r="E28" s="270">
        <v>255</v>
      </c>
      <c r="F28" s="270">
        <v>91.78</v>
      </c>
      <c r="G28" s="8">
        <f t="shared" si="0"/>
        <v>23403.9</v>
      </c>
      <c r="H28" s="9">
        <v>0</v>
      </c>
      <c r="I28" s="9">
        <v>0</v>
      </c>
      <c r="J28" s="8">
        <f t="shared" si="1"/>
        <v>0</v>
      </c>
      <c r="K28" s="8">
        <f t="shared" si="2"/>
        <v>23403.9</v>
      </c>
      <c r="L28" s="149"/>
      <c r="M28" s="8">
        <f t="shared" si="3"/>
        <v>247182.04580000014</v>
      </c>
      <c r="N28" s="45"/>
      <c r="O28" s="1"/>
    </row>
    <row r="29" spans="1:17">
      <c r="A29" s="47">
        <v>26</v>
      </c>
      <c r="B29" s="203">
        <v>45714</v>
      </c>
      <c r="C29" s="25"/>
      <c r="D29" s="25"/>
      <c r="E29" s="270">
        <v>270</v>
      </c>
      <c r="F29" s="270">
        <v>91.78</v>
      </c>
      <c r="G29" s="8">
        <f t="shared" si="0"/>
        <v>24780.6</v>
      </c>
      <c r="H29" s="9">
        <v>10</v>
      </c>
      <c r="I29" s="9">
        <v>103.74</v>
      </c>
      <c r="J29" s="8">
        <f t="shared" si="1"/>
        <v>1037.3999999999999</v>
      </c>
      <c r="K29" s="8">
        <f t="shared" si="2"/>
        <v>25818</v>
      </c>
      <c r="L29" s="149">
        <v>200000</v>
      </c>
      <c r="M29" s="8">
        <f t="shared" si="3"/>
        <v>73000.045800000138</v>
      </c>
      <c r="N29" s="45"/>
      <c r="O29" s="1"/>
      <c r="Q29">
        <v>30</v>
      </c>
    </row>
    <row r="30" spans="1:17">
      <c r="A30" s="47">
        <v>27</v>
      </c>
      <c r="B30" s="203">
        <v>45715</v>
      </c>
      <c r="C30" s="25"/>
      <c r="D30" s="25"/>
      <c r="E30" s="270">
        <v>200</v>
      </c>
      <c r="F30" s="270">
        <v>91.78</v>
      </c>
      <c r="G30" s="8">
        <f t="shared" si="0"/>
        <v>18356</v>
      </c>
      <c r="H30" s="9">
        <v>15</v>
      </c>
      <c r="I30" s="9">
        <v>103.74</v>
      </c>
      <c r="J30" s="8">
        <f t="shared" si="1"/>
        <v>1556.1</v>
      </c>
      <c r="K30" s="8">
        <f t="shared" si="2"/>
        <v>19912.099999999999</v>
      </c>
      <c r="L30" s="149"/>
      <c r="M30" s="8">
        <f t="shared" si="3"/>
        <v>92912.145800000144</v>
      </c>
      <c r="N30" s="45"/>
      <c r="O30" s="1"/>
      <c r="Q30">
        <v>20.02</v>
      </c>
    </row>
    <row r="31" spans="1:17">
      <c r="A31" s="47">
        <v>28</v>
      </c>
      <c r="B31" s="203">
        <v>45716</v>
      </c>
      <c r="C31" s="25"/>
      <c r="D31" s="25"/>
      <c r="E31" s="270">
        <v>280</v>
      </c>
      <c r="F31" s="270">
        <v>91.78</v>
      </c>
      <c r="G31" s="8">
        <f t="shared" si="0"/>
        <v>25698.400000000001</v>
      </c>
      <c r="H31" s="9">
        <v>0</v>
      </c>
      <c r="I31" s="9">
        <v>0</v>
      </c>
      <c r="J31" s="8">
        <f t="shared" si="1"/>
        <v>0</v>
      </c>
      <c r="K31" s="8">
        <f t="shared" si="2"/>
        <v>25698.400000000001</v>
      </c>
      <c r="L31" s="149"/>
      <c r="M31" s="8">
        <f t="shared" si="3"/>
        <v>118610.54580000014</v>
      </c>
      <c r="N31" s="45"/>
      <c r="O31" s="1"/>
    </row>
    <row r="32" spans="1:17">
      <c r="A32" s="198">
        <v>29</v>
      </c>
      <c r="B32" s="203">
        <v>45717</v>
      </c>
      <c r="C32" s="25"/>
      <c r="D32" s="25"/>
      <c r="E32" s="270">
        <v>0</v>
      </c>
      <c r="F32" s="270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49"/>
      <c r="M32" s="8">
        <f t="shared" si="3"/>
        <v>118610.54580000014</v>
      </c>
      <c r="N32" s="45"/>
      <c r="O32" s="1"/>
    </row>
    <row r="33" spans="1:15">
      <c r="A33" s="198">
        <v>30</v>
      </c>
      <c r="B33" s="203">
        <v>45718</v>
      </c>
      <c r="C33" s="25"/>
      <c r="D33" s="25"/>
      <c r="E33" s="270">
        <v>0</v>
      </c>
      <c r="F33" s="270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49"/>
      <c r="M33" s="8">
        <f t="shared" si="3"/>
        <v>118610.54580000014</v>
      </c>
      <c r="N33" s="45"/>
      <c r="O33" s="1"/>
    </row>
    <row r="34" spans="1:15">
      <c r="A34" s="198">
        <v>31</v>
      </c>
      <c r="B34" s="203">
        <v>45719</v>
      </c>
      <c r="C34" s="25"/>
      <c r="D34" s="25"/>
      <c r="E34" s="270">
        <v>0</v>
      </c>
      <c r="F34" s="270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49">
        <v>0</v>
      </c>
      <c r="M34" s="8">
        <f t="shared" si="3"/>
        <v>118610.54580000014</v>
      </c>
      <c r="N34" s="45"/>
      <c r="O34" s="1"/>
    </row>
    <row r="35" spans="1:15">
      <c r="A35" s="63"/>
      <c r="B35" s="63"/>
      <c r="C35" s="63"/>
      <c r="D35" s="63"/>
      <c r="E35" s="64">
        <f>SUM(E4:E34)</f>
        <v>5890.6</v>
      </c>
      <c r="F35" s="64"/>
      <c r="G35" s="64">
        <f>SUM(G4:G34)</f>
        <v>540639.26799999992</v>
      </c>
      <c r="H35" s="64">
        <f>SUM(H4:H34)</f>
        <v>160</v>
      </c>
      <c r="I35" s="64"/>
      <c r="J35" s="64">
        <f>SUM(J4:J34)</f>
        <v>16598.400000000001</v>
      </c>
      <c r="K35" s="64">
        <f>SUM(K4:K34)</f>
        <v>557237.66800000006</v>
      </c>
      <c r="L35" s="64">
        <f>SUM(L4:L34)</f>
        <v>970904</v>
      </c>
      <c r="M35" s="64"/>
      <c r="N35" s="64"/>
      <c r="O35" s="60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35"/>
      <c r="C38" s="435"/>
      <c r="D38" s="435"/>
      <c r="E38" s="435"/>
      <c r="F38" s="1"/>
      <c r="G38" s="1"/>
      <c r="H38" s="1"/>
      <c r="I38" s="474">
        <f>K24+L24</f>
        <v>9178</v>
      </c>
      <c r="J38" s="435"/>
      <c r="K38" s="435"/>
      <c r="L38" s="435"/>
      <c r="M38" s="435"/>
      <c r="N38" s="435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workbookViewId="0">
      <selection activeCell="B4" sqref="B4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  <col min="17" max="17" width="12.140625" customWidth="1"/>
  </cols>
  <sheetData>
    <row r="1" spans="1:17" ht="15.75">
      <c r="A1" s="448" t="s">
        <v>261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54"/>
    </row>
    <row r="2" spans="1:17" ht="45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65" t="s">
        <v>162</v>
      </c>
      <c r="L2" s="86" t="s">
        <v>163</v>
      </c>
      <c r="M2" s="168" t="s">
        <v>174</v>
      </c>
      <c r="N2" s="84" t="s">
        <v>165</v>
      </c>
      <c r="O2" s="60"/>
    </row>
    <row r="3" spans="1:17">
      <c r="A3" s="146"/>
      <c r="B3" s="147"/>
      <c r="C3" s="147"/>
      <c r="D3" s="133" t="s">
        <v>166</v>
      </c>
      <c r="E3" s="147"/>
      <c r="F3" s="147"/>
      <c r="G3" s="147"/>
      <c r="H3" s="147"/>
      <c r="I3" s="147"/>
      <c r="J3" s="148"/>
      <c r="K3" s="146">
        <v>6442.7239999999874</v>
      </c>
      <c r="L3" s="149"/>
      <c r="M3" s="149">
        <v>6442.7239999999874</v>
      </c>
      <c r="N3" s="147"/>
      <c r="O3" s="60"/>
    </row>
    <row r="4" spans="1:17">
      <c r="A4" s="47">
        <v>1</v>
      </c>
      <c r="B4" s="203">
        <v>46054</v>
      </c>
      <c r="C4" s="25"/>
      <c r="D4" s="25"/>
      <c r="E4" s="8"/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49">
        <v>0</v>
      </c>
      <c r="M4" s="8">
        <f>M3+K4-L4</f>
        <v>6442.7239999999874</v>
      </c>
      <c r="N4" s="45"/>
      <c r="O4" s="1"/>
    </row>
    <row r="5" spans="1:17">
      <c r="A5" s="47">
        <v>2</v>
      </c>
      <c r="B5" s="203">
        <v>46055</v>
      </c>
      <c r="C5" s="25"/>
      <c r="D5" s="25"/>
      <c r="E5" s="8"/>
      <c r="F5" s="8">
        <v>0</v>
      </c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K33" si="2">G5+J5</f>
        <v>0</v>
      </c>
      <c r="L5" s="149">
        <v>0</v>
      </c>
      <c r="M5" s="8">
        <f t="shared" ref="M5:M23" si="3">M4+K5-L5</f>
        <v>6442.7239999999874</v>
      </c>
      <c r="N5" s="45"/>
      <c r="O5" s="1"/>
    </row>
    <row r="6" spans="1:17">
      <c r="A6" s="47">
        <v>3</v>
      </c>
      <c r="B6" s="203">
        <v>46056</v>
      </c>
      <c r="C6" s="25"/>
      <c r="D6" s="25"/>
      <c r="E6" s="8"/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49">
        <v>0</v>
      </c>
      <c r="M6" s="8">
        <f t="shared" si="3"/>
        <v>6442.7239999999874</v>
      </c>
      <c r="N6" s="45"/>
      <c r="O6" s="1"/>
    </row>
    <row r="7" spans="1:17">
      <c r="A7" s="47">
        <v>4</v>
      </c>
      <c r="B7" s="203">
        <v>46057</v>
      </c>
      <c r="C7" s="25"/>
      <c r="D7" s="25"/>
      <c r="E7" s="8"/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49">
        <v>0</v>
      </c>
      <c r="M7" s="8">
        <f t="shared" si="3"/>
        <v>6442.7239999999874</v>
      </c>
      <c r="N7" s="45"/>
      <c r="O7" s="1"/>
    </row>
    <row r="8" spans="1:17">
      <c r="A8" s="47">
        <v>5</v>
      </c>
      <c r="B8" s="203">
        <v>46058</v>
      </c>
      <c r="C8" s="25"/>
      <c r="D8" s="25"/>
      <c r="E8" s="8"/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49">
        <v>0</v>
      </c>
      <c r="M8" s="8">
        <f t="shared" si="3"/>
        <v>6442.7239999999874</v>
      </c>
      <c r="N8" s="45"/>
      <c r="O8" s="1"/>
    </row>
    <row r="9" spans="1:17">
      <c r="A9" s="47">
        <v>6</v>
      </c>
      <c r="B9" s="203">
        <v>46059</v>
      </c>
      <c r="C9" s="25"/>
      <c r="D9" s="25"/>
      <c r="E9" s="8"/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49">
        <v>0</v>
      </c>
      <c r="M9" s="8">
        <f t="shared" si="3"/>
        <v>6442.7239999999874</v>
      </c>
      <c r="N9" s="45"/>
      <c r="O9" s="1"/>
    </row>
    <row r="10" spans="1:17">
      <c r="A10" s="47">
        <v>7</v>
      </c>
      <c r="B10" s="203">
        <v>46060</v>
      </c>
      <c r="C10" s="25"/>
      <c r="D10" s="25"/>
      <c r="E10" s="8"/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49">
        <v>0</v>
      </c>
      <c r="M10" s="8">
        <f t="shared" si="3"/>
        <v>6442.7239999999874</v>
      </c>
      <c r="N10" s="45"/>
      <c r="O10" s="1"/>
    </row>
    <row r="11" spans="1:17">
      <c r="A11" s="47">
        <v>8</v>
      </c>
      <c r="B11" s="203">
        <v>46061</v>
      </c>
      <c r="C11" s="25"/>
      <c r="D11" s="25"/>
      <c r="E11" s="8"/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49">
        <v>0</v>
      </c>
      <c r="M11" s="8">
        <f t="shared" si="3"/>
        <v>6442.7239999999874</v>
      </c>
      <c r="N11" s="45"/>
      <c r="O11" s="1"/>
    </row>
    <row r="12" spans="1:17">
      <c r="A12" s="47">
        <v>9</v>
      </c>
      <c r="B12" s="203">
        <v>46062</v>
      </c>
      <c r="C12" s="25"/>
      <c r="D12" s="25"/>
      <c r="E12" s="8"/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49">
        <v>0</v>
      </c>
      <c r="M12" s="8">
        <f t="shared" si="3"/>
        <v>6442.7239999999874</v>
      </c>
      <c r="N12" s="45"/>
      <c r="O12" s="1" t="s">
        <v>260</v>
      </c>
    </row>
    <row r="13" spans="1:17">
      <c r="A13" s="47">
        <v>10</v>
      </c>
      <c r="B13" s="203">
        <v>46063</v>
      </c>
      <c r="C13" s="25"/>
      <c r="D13" s="25"/>
      <c r="E13" s="8"/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49">
        <v>0</v>
      </c>
      <c r="M13" s="8">
        <f t="shared" si="3"/>
        <v>6442.7239999999874</v>
      </c>
      <c r="N13" s="45"/>
      <c r="O13" s="1"/>
      <c r="Q13" s="149"/>
    </row>
    <row r="14" spans="1:17">
      <c r="A14" s="47">
        <v>11</v>
      </c>
      <c r="B14" s="203">
        <v>46064</v>
      </c>
      <c r="C14" s="25"/>
      <c r="D14" s="25"/>
      <c r="E14" s="8"/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49">
        <v>0</v>
      </c>
      <c r="M14" s="8">
        <f t="shared" si="3"/>
        <v>6442.7239999999874</v>
      </c>
      <c r="N14" s="45"/>
      <c r="O14" s="1"/>
    </row>
    <row r="15" spans="1:17">
      <c r="A15" s="47">
        <v>12</v>
      </c>
      <c r="B15" s="203">
        <v>46065</v>
      </c>
      <c r="C15" s="25"/>
      <c r="D15" s="25"/>
      <c r="E15" s="8"/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49">
        <v>0</v>
      </c>
      <c r="M15" s="8">
        <f t="shared" si="3"/>
        <v>6442.7239999999874</v>
      </c>
      <c r="N15" s="45"/>
      <c r="O15" s="1"/>
    </row>
    <row r="16" spans="1:17">
      <c r="A16" s="47">
        <v>13</v>
      </c>
      <c r="B16" s="203">
        <v>46066</v>
      </c>
      <c r="C16" s="25"/>
      <c r="D16" s="25"/>
      <c r="E16" s="8"/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49">
        <v>0</v>
      </c>
      <c r="M16" s="8">
        <f t="shared" si="3"/>
        <v>6442.7239999999874</v>
      </c>
      <c r="N16" s="45"/>
      <c r="O16" s="1"/>
    </row>
    <row r="17" spans="1:15">
      <c r="A17" s="47">
        <v>14</v>
      </c>
      <c r="B17" s="203">
        <v>46067</v>
      </c>
      <c r="C17" s="25"/>
      <c r="D17" s="25"/>
      <c r="E17" s="8"/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49">
        <v>0</v>
      </c>
      <c r="M17" s="8">
        <f t="shared" si="3"/>
        <v>6442.7239999999874</v>
      </c>
      <c r="N17" s="45"/>
      <c r="O17" s="1"/>
    </row>
    <row r="18" spans="1:15">
      <c r="A18" s="47">
        <v>15</v>
      </c>
      <c r="B18" s="203">
        <v>46068</v>
      </c>
      <c r="C18" s="25"/>
      <c r="D18" s="25"/>
      <c r="E18" s="8"/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49">
        <v>0</v>
      </c>
      <c r="M18" s="8">
        <f t="shared" si="3"/>
        <v>6442.7239999999874</v>
      </c>
      <c r="N18" s="45"/>
      <c r="O18" s="1"/>
    </row>
    <row r="19" spans="1:15">
      <c r="A19" s="47">
        <v>16</v>
      </c>
      <c r="B19" s="203">
        <v>46069</v>
      </c>
      <c r="C19" s="25"/>
      <c r="D19" s="25"/>
      <c r="E19" s="8"/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49">
        <v>0</v>
      </c>
      <c r="M19" s="8">
        <f t="shared" si="3"/>
        <v>6442.7239999999874</v>
      </c>
      <c r="N19" s="45"/>
      <c r="O19" s="1"/>
    </row>
    <row r="20" spans="1:15">
      <c r="A20" s="47">
        <v>17</v>
      </c>
      <c r="B20" s="203">
        <v>46070</v>
      </c>
      <c r="C20" s="25"/>
      <c r="D20" s="25"/>
      <c r="E20" s="8"/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49">
        <v>0</v>
      </c>
      <c r="M20" s="8">
        <f t="shared" si="3"/>
        <v>6442.7239999999874</v>
      </c>
      <c r="N20" s="45"/>
      <c r="O20" s="1"/>
    </row>
    <row r="21" spans="1:15">
      <c r="A21" s="47">
        <v>18</v>
      </c>
      <c r="B21" s="203">
        <v>46071</v>
      </c>
      <c r="C21" s="25"/>
      <c r="D21" s="25"/>
      <c r="E21" s="8"/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49">
        <v>0</v>
      </c>
      <c r="M21" s="8">
        <f t="shared" si="3"/>
        <v>6442.7239999999874</v>
      </c>
      <c r="N21" s="45"/>
      <c r="O21" s="1"/>
    </row>
    <row r="22" spans="1:15">
      <c r="A22" s="47">
        <v>19</v>
      </c>
      <c r="B22" s="203">
        <v>46072</v>
      </c>
      <c r="C22" s="25"/>
      <c r="D22" s="25"/>
      <c r="E22" s="8"/>
      <c r="F22" s="8"/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49">
        <v>0</v>
      </c>
      <c r="M22" s="8">
        <f t="shared" si="3"/>
        <v>6442.7239999999874</v>
      </c>
      <c r="N22" s="45"/>
      <c r="O22" s="1"/>
    </row>
    <row r="23" spans="1:15">
      <c r="A23" s="47">
        <v>20</v>
      </c>
      <c r="B23" s="203">
        <v>46073</v>
      </c>
      <c r="C23" s="25"/>
      <c r="D23" s="25"/>
      <c r="E23" s="8"/>
      <c r="F23" s="8"/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49">
        <v>0</v>
      </c>
      <c r="M23" s="8">
        <f t="shared" si="3"/>
        <v>6442.7239999999874</v>
      </c>
      <c r="N23" s="45"/>
      <c r="O23" s="1"/>
    </row>
    <row r="24" spans="1:15">
      <c r="A24" s="47">
        <v>21</v>
      </c>
      <c r="B24" s="203">
        <v>46074</v>
      </c>
      <c r="C24" s="25"/>
      <c r="D24" s="25"/>
      <c r="E24" s="8"/>
      <c r="F24" s="8"/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49">
        <v>0</v>
      </c>
      <c r="M24" s="8">
        <f t="shared" ref="M24:M34" si="4">M23+K24-L24</f>
        <v>6442.7239999999874</v>
      </c>
      <c r="N24" s="45"/>
      <c r="O24" s="1"/>
    </row>
    <row r="25" spans="1:15">
      <c r="A25" s="47">
        <v>22</v>
      </c>
      <c r="B25" s="203">
        <v>46075</v>
      </c>
      <c r="C25" s="25"/>
      <c r="D25" s="25"/>
      <c r="E25" s="8"/>
      <c r="F25" s="8"/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49">
        <v>0</v>
      </c>
      <c r="M25" s="8">
        <f t="shared" si="4"/>
        <v>6442.7239999999874</v>
      </c>
      <c r="N25" s="45"/>
      <c r="O25" s="1"/>
    </row>
    <row r="26" spans="1:15">
      <c r="A26" s="47">
        <v>23</v>
      </c>
      <c r="B26" s="203">
        <v>46076</v>
      </c>
      <c r="C26" s="25"/>
      <c r="D26" s="25"/>
      <c r="E26" s="8"/>
      <c r="F26" s="8"/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49">
        <v>0</v>
      </c>
      <c r="M26" s="8">
        <f t="shared" si="4"/>
        <v>6442.7239999999874</v>
      </c>
      <c r="N26" s="45"/>
      <c r="O26" s="1"/>
    </row>
    <row r="27" spans="1:15">
      <c r="A27" s="47">
        <v>24</v>
      </c>
      <c r="B27" s="203">
        <v>46077</v>
      </c>
      <c r="C27" s="25"/>
      <c r="D27" s="25"/>
      <c r="E27" s="8"/>
      <c r="F27" s="8"/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49">
        <v>0</v>
      </c>
      <c r="M27" s="8">
        <f t="shared" si="4"/>
        <v>6442.7239999999874</v>
      </c>
      <c r="N27" s="45"/>
      <c r="O27" s="1"/>
    </row>
    <row r="28" spans="1:15">
      <c r="A28" s="47">
        <v>25</v>
      </c>
      <c r="B28" s="203">
        <v>46078</v>
      </c>
      <c r="C28" s="25"/>
      <c r="D28" s="25"/>
      <c r="E28" s="8"/>
      <c r="F28" s="8"/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49">
        <v>0</v>
      </c>
      <c r="M28" s="8">
        <f t="shared" si="4"/>
        <v>6442.7239999999874</v>
      </c>
      <c r="N28" s="45"/>
      <c r="O28" s="1"/>
    </row>
    <row r="29" spans="1:15">
      <c r="A29" s="47">
        <v>26</v>
      </c>
      <c r="B29" s="203">
        <v>46079</v>
      </c>
      <c r="C29" s="25"/>
      <c r="D29" s="25"/>
      <c r="E29" s="8"/>
      <c r="F29" s="8"/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49">
        <v>0</v>
      </c>
      <c r="M29" s="8">
        <f t="shared" si="4"/>
        <v>6442.7239999999874</v>
      </c>
      <c r="N29" s="45"/>
      <c r="O29" s="1"/>
    </row>
    <row r="30" spans="1:15">
      <c r="A30" s="47">
        <v>27</v>
      </c>
      <c r="B30" s="203">
        <v>46080</v>
      </c>
      <c r="C30" s="25"/>
      <c r="D30" s="25"/>
      <c r="E30" s="8"/>
      <c r="F30" s="8"/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49">
        <v>0</v>
      </c>
      <c r="M30" s="8">
        <f t="shared" si="4"/>
        <v>6442.7239999999874</v>
      </c>
      <c r="N30" s="45"/>
      <c r="O30" s="1"/>
    </row>
    <row r="31" spans="1:15">
      <c r="A31" s="47">
        <v>28</v>
      </c>
      <c r="B31" s="203">
        <v>46081</v>
      </c>
      <c r="C31" s="25"/>
      <c r="D31" s="25"/>
      <c r="E31" s="8"/>
      <c r="F31" s="8"/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49">
        <v>0</v>
      </c>
      <c r="M31" s="8">
        <f t="shared" si="4"/>
        <v>6442.7239999999874</v>
      </c>
      <c r="N31" s="45"/>
      <c r="O31" s="1"/>
    </row>
    <row r="32" spans="1:15">
      <c r="A32" s="198">
        <v>29</v>
      </c>
      <c r="B32" s="203">
        <v>46082</v>
      </c>
      <c r="C32" s="25"/>
      <c r="D32" s="25"/>
      <c r="E32" s="8"/>
      <c r="F32" s="8"/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49">
        <v>0</v>
      </c>
      <c r="M32" s="8">
        <f t="shared" si="4"/>
        <v>6442.7239999999874</v>
      </c>
      <c r="N32" s="45"/>
      <c r="O32" s="1"/>
    </row>
    <row r="33" spans="1:17">
      <c r="A33" s="198">
        <v>30</v>
      </c>
      <c r="B33" s="203">
        <v>46083</v>
      </c>
      <c r="C33" s="25"/>
      <c r="D33" s="25"/>
      <c r="E33" s="8"/>
      <c r="F33" s="8"/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49">
        <v>0</v>
      </c>
      <c r="M33" s="8">
        <f t="shared" si="4"/>
        <v>6442.7239999999874</v>
      </c>
      <c r="N33" s="45"/>
      <c r="O33" s="1"/>
      <c r="Q33">
        <v>30</v>
      </c>
    </row>
    <row r="34" spans="1:17">
      <c r="A34" s="198">
        <v>31</v>
      </c>
      <c r="B34" s="203"/>
      <c r="C34" s="25"/>
      <c r="D34" s="25"/>
      <c r="E34" s="8">
        <v>0</v>
      </c>
      <c r="F34" s="8">
        <v>0</v>
      </c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49">
        <f t="shared" ref="L34" si="8">+K34</f>
        <v>0</v>
      </c>
      <c r="M34" s="8">
        <f t="shared" si="4"/>
        <v>6442.7239999999874</v>
      </c>
      <c r="N34" s="45"/>
      <c r="O34" s="1"/>
    </row>
    <row r="35" spans="1:17">
      <c r="A35" s="63"/>
      <c r="B35" s="63"/>
      <c r="C35" s="63"/>
      <c r="D35" s="63"/>
      <c r="E35" s="64">
        <f>SUM(E4:E34)</f>
        <v>0</v>
      </c>
      <c r="F35" s="64"/>
      <c r="G35" s="64">
        <f>SUM(G4:G34)</f>
        <v>0</v>
      </c>
      <c r="H35" s="64">
        <f>SUM(H4:H34)</f>
        <v>0</v>
      </c>
      <c r="I35" s="64"/>
      <c r="J35" s="64">
        <f>SUM(J4:J34)</f>
        <v>0</v>
      </c>
      <c r="K35" s="64">
        <f>SUM(K4:K34)</f>
        <v>0</v>
      </c>
      <c r="L35" s="64">
        <f>SUM(L4:L34)</f>
        <v>0</v>
      </c>
      <c r="M35" s="64"/>
      <c r="N35" s="64"/>
      <c r="O35" s="60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35"/>
      <c r="C38" s="435"/>
      <c r="D38" s="435"/>
      <c r="E38" s="435"/>
      <c r="F38" s="1"/>
      <c r="G38" s="1"/>
      <c r="H38" s="1"/>
      <c r="I38" s="474">
        <f>K24+L24</f>
        <v>0</v>
      </c>
      <c r="J38" s="435"/>
      <c r="K38" s="435"/>
      <c r="L38" s="435"/>
      <c r="M38" s="435"/>
      <c r="N38" s="435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R51"/>
  <sheetViews>
    <sheetView workbookViewId="0">
      <selection activeCell="I31" sqref="I31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48" t="s">
        <v>74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54"/>
    </row>
    <row r="2" spans="1:15" ht="30.75">
      <c r="A2" s="65" t="s">
        <v>101</v>
      </c>
      <c r="B2" s="84" t="s">
        <v>155</v>
      </c>
      <c r="C2" s="84" t="s">
        <v>156</v>
      </c>
      <c r="D2" s="84" t="s">
        <v>157</v>
      </c>
      <c r="E2" s="84" t="s">
        <v>158</v>
      </c>
      <c r="F2" s="84" t="s">
        <v>159</v>
      </c>
      <c r="G2" s="84" t="s">
        <v>160</v>
      </c>
      <c r="H2" s="84" t="s">
        <v>161</v>
      </c>
      <c r="I2" s="84" t="s">
        <v>159</v>
      </c>
      <c r="J2" s="85" t="s">
        <v>160</v>
      </c>
      <c r="K2" s="65" t="s">
        <v>162</v>
      </c>
      <c r="L2" s="86" t="s">
        <v>163</v>
      </c>
      <c r="M2" s="168" t="s">
        <v>174</v>
      </c>
      <c r="N2" s="84" t="s">
        <v>165</v>
      </c>
      <c r="O2" s="60"/>
    </row>
    <row r="3" spans="1:15">
      <c r="A3" s="146"/>
      <c r="B3" s="147"/>
      <c r="C3" s="147"/>
      <c r="D3" s="133" t="s">
        <v>166</v>
      </c>
      <c r="E3" s="147"/>
      <c r="F3" s="147"/>
      <c r="G3" s="147"/>
      <c r="H3" s="147"/>
      <c r="I3" s="147"/>
      <c r="J3" s="148"/>
      <c r="K3" s="267"/>
      <c r="L3" s="233">
        <v>162379.87650000004</v>
      </c>
      <c r="M3" s="233">
        <v>162379.87650000004</v>
      </c>
      <c r="N3" s="147"/>
      <c r="O3" s="60"/>
    </row>
    <row r="4" spans="1:15">
      <c r="A4" s="47">
        <v>1</v>
      </c>
      <c r="B4" s="203">
        <v>46054</v>
      </c>
      <c r="C4" s="25"/>
      <c r="D4" s="25"/>
      <c r="E4" s="8">
        <v>50</v>
      </c>
      <c r="F4" s="8">
        <v>91.89</v>
      </c>
      <c r="G4" s="8">
        <f>E4*F4</f>
        <v>4594.5</v>
      </c>
      <c r="H4" s="9">
        <v>0</v>
      </c>
      <c r="I4" s="9">
        <v>0</v>
      </c>
      <c r="J4" s="8">
        <f>H4*I4</f>
        <v>0</v>
      </c>
      <c r="K4" s="8">
        <f>G4+J4</f>
        <v>4594.5</v>
      </c>
      <c r="L4" s="149">
        <v>0</v>
      </c>
      <c r="M4" s="8">
        <f>M3+K4-L4</f>
        <v>166974.37650000004</v>
      </c>
      <c r="N4" s="45"/>
      <c r="O4" s="1"/>
    </row>
    <row r="5" spans="1:15">
      <c r="A5" s="47">
        <v>2</v>
      </c>
      <c r="B5" s="203">
        <v>46055</v>
      </c>
      <c r="C5" s="25"/>
      <c r="D5" s="25"/>
      <c r="E5" s="8">
        <v>100</v>
      </c>
      <c r="F5" s="8">
        <v>91.89</v>
      </c>
      <c r="G5" s="8">
        <f t="shared" ref="G5:G35" si="0">E5*F5</f>
        <v>9189</v>
      </c>
      <c r="H5" s="9">
        <v>10</v>
      </c>
      <c r="I5" s="9">
        <v>103.85</v>
      </c>
      <c r="J5" s="8">
        <f t="shared" ref="J5:J35" si="1">H5*I5</f>
        <v>1038.5</v>
      </c>
      <c r="K5" s="8">
        <f t="shared" ref="K5:K35" si="2">G5+J5</f>
        <v>10227.5</v>
      </c>
      <c r="L5" s="149">
        <v>166900</v>
      </c>
      <c r="M5" s="8">
        <f t="shared" ref="M5:M15" si="3">M4+K5-L5</f>
        <v>10301.876500000042</v>
      </c>
      <c r="N5" s="45"/>
      <c r="O5" s="1"/>
    </row>
    <row r="6" spans="1:15">
      <c r="A6" s="47">
        <v>3</v>
      </c>
      <c r="B6" s="203">
        <v>46055</v>
      </c>
      <c r="C6" s="25"/>
      <c r="D6" s="25"/>
      <c r="E6" s="8"/>
      <c r="F6" s="8"/>
      <c r="G6" s="8">
        <f t="shared" si="0"/>
        <v>0</v>
      </c>
      <c r="H6" s="9">
        <v>10</v>
      </c>
      <c r="I6" s="9">
        <v>111.62</v>
      </c>
      <c r="J6" s="8">
        <f t="shared" si="1"/>
        <v>1116.2</v>
      </c>
      <c r="K6" s="8">
        <f t="shared" si="2"/>
        <v>1116.2</v>
      </c>
      <c r="L6" s="149">
        <v>0</v>
      </c>
      <c r="M6" s="8">
        <f t="shared" si="3"/>
        <v>11418.076500000043</v>
      </c>
      <c r="N6" s="45"/>
      <c r="O6" s="1"/>
    </row>
    <row r="7" spans="1:15">
      <c r="A7" s="47">
        <v>4</v>
      </c>
      <c r="B7" s="203">
        <v>46056</v>
      </c>
      <c r="C7" s="25"/>
      <c r="D7" s="25"/>
      <c r="E7" s="8">
        <v>447</v>
      </c>
      <c r="F7" s="8">
        <v>91.89</v>
      </c>
      <c r="G7" s="8">
        <f t="shared" si="0"/>
        <v>41074.83</v>
      </c>
      <c r="H7" s="9">
        <v>0</v>
      </c>
      <c r="I7" s="9">
        <v>0</v>
      </c>
      <c r="J7" s="8">
        <f t="shared" si="1"/>
        <v>0</v>
      </c>
      <c r="K7" s="8">
        <f t="shared" si="2"/>
        <v>41074.83</v>
      </c>
      <c r="L7" s="149">
        <v>0</v>
      </c>
      <c r="M7" s="8">
        <f t="shared" si="3"/>
        <v>52492.906500000041</v>
      </c>
      <c r="N7" s="45"/>
      <c r="O7" s="1"/>
    </row>
    <row r="8" spans="1:15">
      <c r="A8" s="47">
        <v>5</v>
      </c>
      <c r="B8" s="203">
        <v>46057</v>
      </c>
      <c r="C8" s="25"/>
      <c r="D8" s="25"/>
      <c r="E8" s="8">
        <v>85</v>
      </c>
      <c r="F8" s="8">
        <v>91.89</v>
      </c>
      <c r="G8" s="8">
        <f t="shared" si="0"/>
        <v>7810.65</v>
      </c>
      <c r="H8" s="9">
        <v>0</v>
      </c>
      <c r="I8" s="9">
        <v>0</v>
      </c>
      <c r="J8" s="8">
        <f t="shared" si="1"/>
        <v>0</v>
      </c>
      <c r="K8" s="8">
        <f t="shared" si="2"/>
        <v>7810.65</v>
      </c>
      <c r="L8" s="149">
        <v>0</v>
      </c>
      <c r="M8" s="8">
        <f t="shared" si="3"/>
        <v>60303.556500000042</v>
      </c>
      <c r="N8" s="45"/>
      <c r="O8" s="1"/>
    </row>
    <row r="9" spans="1:15">
      <c r="A9" s="47">
        <v>6</v>
      </c>
      <c r="B9" s="203">
        <v>46058</v>
      </c>
      <c r="C9" s="25"/>
      <c r="D9" s="25"/>
      <c r="E9" s="8">
        <v>120</v>
      </c>
      <c r="F9" s="8">
        <v>91.89</v>
      </c>
      <c r="G9" s="8">
        <f t="shared" si="0"/>
        <v>11026.8</v>
      </c>
      <c r="H9" s="9">
        <v>6</v>
      </c>
      <c r="I9" s="9">
        <v>103.85</v>
      </c>
      <c r="J9" s="8">
        <f t="shared" si="1"/>
        <v>623.09999999999991</v>
      </c>
      <c r="K9" s="8">
        <f t="shared" si="2"/>
        <v>11649.9</v>
      </c>
      <c r="L9" s="149">
        <v>0</v>
      </c>
      <c r="M9" s="8">
        <f t="shared" si="3"/>
        <v>71953.456500000044</v>
      </c>
      <c r="N9" s="45"/>
      <c r="O9" s="1"/>
    </row>
    <row r="10" spans="1:15">
      <c r="A10" s="47">
        <v>7</v>
      </c>
      <c r="B10" s="203">
        <v>46059</v>
      </c>
      <c r="C10" s="25"/>
      <c r="D10" s="25"/>
      <c r="E10" s="8">
        <v>395.01</v>
      </c>
      <c r="F10" s="8">
        <v>91.89</v>
      </c>
      <c r="G10" s="8">
        <f t="shared" si="0"/>
        <v>36297.4689</v>
      </c>
      <c r="H10" s="9">
        <v>0</v>
      </c>
      <c r="I10" s="9">
        <v>0</v>
      </c>
      <c r="J10" s="8">
        <f t="shared" si="1"/>
        <v>0</v>
      </c>
      <c r="K10" s="8">
        <f t="shared" si="2"/>
        <v>36297.4689</v>
      </c>
      <c r="L10" s="149">
        <v>0</v>
      </c>
      <c r="M10" s="8">
        <f t="shared" si="3"/>
        <v>108250.92540000004</v>
      </c>
      <c r="N10" s="45"/>
      <c r="O10" s="1"/>
    </row>
    <row r="11" spans="1:15">
      <c r="A11" s="47">
        <v>8</v>
      </c>
      <c r="B11" s="203">
        <v>46060</v>
      </c>
      <c r="C11" s="25"/>
      <c r="D11" s="25"/>
      <c r="E11" s="8">
        <v>100</v>
      </c>
      <c r="F11" s="8">
        <v>91.89</v>
      </c>
      <c r="G11" s="8">
        <f t="shared" si="0"/>
        <v>9189</v>
      </c>
      <c r="H11" s="9">
        <v>0</v>
      </c>
      <c r="I11" s="9">
        <v>0</v>
      </c>
      <c r="J11" s="8">
        <f t="shared" si="1"/>
        <v>0</v>
      </c>
      <c r="K11" s="8">
        <f t="shared" si="2"/>
        <v>9189</v>
      </c>
      <c r="L11" s="149">
        <v>0</v>
      </c>
      <c r="M11" s="8">
        <f t="shared" si="3"/>
        <v>117439.92540000004</v>
      </c>
      <c r="N11" s="45"/>
      <c r="O11" s="1"/>
    </row>
    <row r="12" spans="1:15">
      <c r="A12" s="47">
        <v>9</v>
      </c>
      <c r="B12" s="203">
        <v>46061</v>
      </c>
      <c r="C12" s="25"/>
      <c r="D12" s="25"/>
      <c r="E12" s="8">
        <v>220</v>
      </c>
      <c r="F12" s="8">
        <v>91.89</v>
      </c>
      <c r="G12" s="8">
        <f t="shared" si="0"/>
        <v>20215.8</v>
      </c>
      <c r="H12" s="9">
        <v>0</v>
      </c>
      <c r="I12" s="9">
        <v>0</v>
      </c>
      <c r="J12" s="8">
        <f t="shared" si="1"/>
        <v>0</v>
      </c>
      <c r="K12" s="8">
        <f t="shared" si="2"/>
        <v>20215.8</v>
      </c>
      <c r="L12" s="149">
        <v>0</v>
      </c>
      <c r="M12" s="8">
        <f t="shared" si="3"/>
        <v>137655.72540000002</v>
      </c>
      <c r="N12" s="45"/>
      <c r="O12" s="1" t="s">
        <v>260</v>
      </c>
    </row>
    <row r="13" spans="1:15">
      <c r="A13" s="47">
        <v>10</v>
      </c>
      <c r="B13" s="203">
        <v>46062</v>
      </c>
      <c r="C13" s="25"/>
      <c r="D13" s="25"/>
      <c r="E13" s="8">
        <v>35</v>
      </c>
      <c r="F13" s="8">
        <v>91.89</v>
      </c>
      <c r="G13" s="8">
        <f t="shared" si="0"/>
        <v>3216.15</v>
      </c>
      <c r="H13" s="9">
        <v>5</v>
      </c>
      <c r="I13" s="9">
        <v>103.85</v>
      </c>
      <c r="J13" s="8">
        <f t="shared" si="1"/>
        <v>519.25</v>
      </c>
      <c r="K13" s="8">
        <f t="shared" si="2"/>
        <v>3735.4</v>
      </c>
      <c r="L13" s="149">
        <v>0</v>
      </c>
      <c r="M13" s="8">
        <f t="shared" si="3"/>
        <v>141391.12540000002</v>
      </c>
      <c r="N13" s="45"/>
      <c r="O13" s="1"/>
    </row>
    <row r="14" spans="1:15">
      <c r="A14" s="47">
        <v>11</v>
      </c>
      <c r="B14" s="203">
        <v>46063</v>
      </c>
      <c r="C14" s="25"/>
      <c r="D14" s="25"/>
      <c r="E14" s="8">
        <v>142</v>
      </c>
      <c r="F14" s="8">
        <v>91.89</v>
      </c>
      <c r="G14" s="8">
        <f t="shared" si="0"/>
        <v>13048.38</v>
      </c>
      <c r="H14" s="9">
        <v>5</v>
      </c>
      <c r="I14" s="9">
        <v>103.85</v>
      </c>
      <c r="J14" s="8">
        <f t="shared" si="1"/>
        <v>519.25</v>
      </c>
      <c r="K14" s="8">
        <f t="shared" si="2"/>
        <v>13567.63</v>
      </c>
      <c r="L14" s="149">
        <v>0</v>
      </c>
      <c r="M14" s="8">
        <f t="shared" si="3"/>
        <v>154958.75540000002</v>
      </c>
      <c r="N14" s="45"/>
      <c r="O14" s="1"/>
    </row>
    <row r="15" spans="1:15">
      <c r="A15" s="47">
        <v>12</v>
      </c>
      <c r="B15" s="203">
        <v>46064</v>
      </c>
      <c r="C15" s="25"/>
      <c r="D15" s="25"/>
      <c r="E15" s="8">
        <v>185</v>
      </c>
      <c r="F15" s="8">
        <v>91.89</v>
      </c>
      <c r="G15" s="8">
        <f t="shared" si="0"/>
        <v>16999.650000000001</v>
      </c>
      <c r="H15" s="9">
        <v>6</v>
      </c>
      <c r="I15" s="9">
        <v>103.85</v>
      </c>
      <c r="J15" s="8">
        <f t="shared" si="1"/>
        <v>623.09999999999991</v>
      </c>
      <c r="K15" s="8">
        <f t="shared" si="2"/>
        <v>17622.75</v>
      </c>
      <c r="L15" s="149">
        <v>0</v>
      </c>
      <c r="M15" s="8">
        <f t="shared" si="3"/>
        <v>172581.50540000002</v>
      </c>
      <c r="N15" s="45"/>
      <c r="O15" s="1"/>
    </row>
    <row r="16" spans="1:15">
      <c r="A16" s="47">
        <v>13</v>
      </c>
      <c r="B16" s="203">
        <v>46065</v>
      </c>
      <c r="C16" s="25"/>
      <c r="D16" s="25"/>
      <c r="E16" s="8">
        <v>85</v>
      </c>
      <c r="F16" s="8">
        <v>91.89</v>
      </c>
      <c r="G16" s="8">
        <f t="shared" si="0"/>
        <v>7810.65</v>
      </c>
      <c r="H16" s="9">
        <v>0</v>
      </c>
      <c r="I16" s="9">
        <v>0</v>
      </c>
      <c r="J16" s="8">
        <f t="shared" si="1"/>
        <v>0</v>
      </c>
      <c r="K16" s="8">
        <f t="shared" si="2"/>
        <v>7810.65</v>
      </c>
      <c r="L16" s="149">
        <v>0</v>
      </c>
      <c r="M16" s="8">
        <f>M15+K16-L16</f>
        <v>180392.15540000002</v>
      </c>
      <c r="N16" s="45"/>
      <c r="O16" s="1"/>
    </row>
    <row r="17" spans="1:18">
      <c r="A17" s="47">
        <v>14</v>
      </c>
      <c r="B17" s="203">
        <v>46067</v>
      </c>
      <c r="C17" s="25"/>
      <c r="D17" s="25"/>
      <c r="E17" s="8">
        <v>285</v>
      </c>
      <c r="F17" s="8">
        <v>91.89</v>
      </c>
      <c r="G17" s="8">
        <f t="shared" si="0"/>
        <v>26188.65</v>
      </c>
      <c r="H17" s="9">
        <v>15</v>
      </c>
      <c r="I17" s="9">
        <v>103.85</v>
      </c>
      <c r="J17" s="8">
        <f t="shared" si="1"/>
        <v>1557.75</v>
      </c>
      <c r="K17" s="8">
        <f t="shared" si="2"/>
        <v>27746.400000000001</v>
      </c>
      <c r="L17" s="149">
        <v>0</v>
      </c>
      <c r="M17" s="8">
        <f>M16+K17-L17</f>
        <v>208138.55540000001</v>
      </c>
      <c r="N17" s="45"/>
      <c r="O17" s="1"/>
    </row>
    <row r="18" spans="1:18">
      <c r="A18" s="47">
        <v>15</v>
      </c>
      <c r="B18" s="203">
        <v>46068</v>
      </c>
      <c r="C18" s="25"/>
      <c r="D18" s="25"/>
      <c r="E18" s="8"/>
      <c r="F18" s="8"/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49">
        <v>0</v>
      </c>
      <c r="M18" s="8">
        <f t="shared" ref="M18:M36" si="4">M17+K18-L18</f>
        <v>208138.55540000001</v>
      </c>
      <c r="N18" s="45"/>
      <c r="O18" s="1"/>
    </row>
    <row r="19" spans="1:18">
      <c r="A19" s="47">
        <v>16</v>
      </c>
      <c r="B19" s="203">
        <v>46069</v>
      </c>
      <c r="C19" s="25"/>
      <c r="D19" s="25"/>
      <c r="E19" s="8">
        <v>317</v>
      </c>
      <c r="F19" s="8">
        <v>91.89</v>
      </c>
      <c r="G19" s="8">
        <f t="shared" si="0"/>
        <v>29129.13</v>
      </c>
      <c r="H19" s="9">
        <v>16</v>
      </c>
      <c r="I19" s="9">
        <v>103.85</v>
      </c>
      <c r="J19" s="8">
        <f t="shared" si="1"/>
        <v>1661.6</v>
      </c>
      <c r="K19" s="8">
        <f t="shared" si="2"/>
        <v>30790.73</v>
      </c>
      <c r="L19" s="149">
        <v>0</v>
      </c>
      <c r="M19" s="8">
        <f t="shared" si="4"/>
        <v>238929.28540000002</v>
      </c>
      <c r="N19" s="45"/>
      <c r="O19" s="1"/>
    </row>
    <row r="20" spans="1:18">
      <c r="A20" s="47">
        <v>17</v>
      </c>
      <c r="B20" s="203">
        <v>46070</v>
      </c>
      <c r="C20" s="25"/>
      <c r="D20" s="25"/>
      <c r="E20" s="8">
        <v>35</v>
      </c>
      <c r="F20" s="8">
        <v>91.89</v>
      </c>
      <c r="G20" s="8">
        <f t="shared" ref="G20:G34" si="5">E20*F20</f>
        <v>3216.15</v>
      </c>
      <c r="H20" s="9">
        <v>0</v>
      </c>
      <c r="I20" s="9">
        <v>103.85</v>
      </c>
      <c r="J20" s="8">
        <f t="shared" ref="J20:J34" si="6">H20*I20</f>
        <v>0</v>
      </c>
      <c r="K20" s="8">
        <f t="shared" si="2"/>
        <v>3216.15</v>
      </c>
      <c r="L20" s="149">
        <v>0</v>
      </c>
      <c r="M20" s="8">
        <f t="shared" si="4"/>
        <v>242145.43540000002</v>
      </c>
      <c r="N20" s="45"/>
      <c r="O20" s="1"/>
    </row>
    <row r="21" spans="1:18">
      <c r="A21" s="47">
        <v>18</v>
      </c>
      <c r="B21" s="203">
        <v>46071</v>
      </c>
      <c r="C21" s="25"/>
      <c r="D21" s="25"/>
      <c r="E21" s="8">
        <v>210</v>
      </c>
      <c r="F21" s="8">
        <v>91.89</v>
      </c>
      <c r="G21" s="8">
        <f t="shared" si="5"/>
        <v>19296.900000000001</v>
      </c>
      <c r="H21" s="9">
        <v>5</v>
      </c>
      <c r="I21" s="9">
        <v>103.85</v>
      </c>
      <c r="J21" s="8">
        <f t="shared" si="6"/>
        <v>519.25</v>
      </c>
      <c r="K21" s="8">
        <f t="shared" si="2"/>
        <v>19816.150000000001</v>
      </c>
      <c r="L21" s="149">
        <v>0</v>
      </c>
      <c r="M21" s="8">
        <f t="shared" si="4"/>
        <v>261961.58540000001</v>
      </c>
      <c r="N21" s="45"/>
      <c r="O21" s="1"/>
    </row>
    <row r="22" spans="1:18">
      <c r="A22" s="47">
        <v>19</v>
      </c>
      <c r="B22" s="203">
        <v>46072</v>
      </c>
      <c r="C22" s="25"/>
      <c r="D22" s="25"/>
      <c r="E22" s="8"/>
      <c r="F22" s="8"/>
      <c r="G22" s="8">
        <f t="shared" si="5"/>
        <v>0</v>
      </c>
      <c r="H22" s="9">
        <v>0</v>
      </c>
      <c r="I22" s="9">
        <v>103.85</v>
      </c>
      <c r="J22" s="8">
        <f>H22*I22</f>
        <v>0</v>
      </c>
      <c r="K22" s="8">
        <f>G22+J22</f>
        <v>0</v>
      </c>
      <c r="L22" s="149">
        <v>200000</v>
      </c>
      <c r="M22" s="8">
        <f t="shared" si="4"/>
        <v>61961.585400000011</v>
      </c>
      <c r="N22" s="45"/>
      <c r="O22" s="1"/>
    </row>
    <row r="23" spans="1:18">
      <c r="A23" s="47">
        <v>20</v>
      </c>
      <c r="B23" s="203">
        <v>46073</v>
      </c>
      <c r="C23" s="25"/>
      <c r="D23" s="25"/>
      <c r="E23" s="8"/>
      <c r="F23" s="8"/>
      <c r="G23" s="8">
        <f t="shared" si="5"/>
        <v>0</v>
      </c>
      <c r="H23" s="9">
        <v>15</v>
      </c>
      <c r="I23" s="9">
        <v>103.85</v>
      </c>
      <c r="J23" s="8">
        <f>H23*I23</f>
        <v>1557.75</v>
      </c>
      <c r="K23" s="8">
        <f>G23+J23</f>
        <v>1557.75</v>
      </c>
      <c r="L23" s="149">
        <v>0</v>
      </c>
      <c r="M23" s="8">
        <f t="shared" si="4"/>
        <v>63519.335400000011</v>
      </c>
      <c r="N23" s="45"/>
      <c r="O23" s="1"/>
    </row>
    <row r="24" spans="1:18">
      <c r="A24" s="47">
        <v>21</v>
      </c>
      <c r="B24" s="203">
        <v>46074</v>
      </c>
      <c r="C24" s="25"/>
      <c r="D24" s="25"/>
      <c r="E24" s="8"/>
      <c r="F24" s="8"/>
      <c r="G24" s="8">
        <f t="shared" si="5"/>
        <v>0</v>
      </c>
      <c r="H24" s="9">
        <v>5</v>
      </c>
      <c r="I24" s="9">
        <v>103.85</v>
      </c>
      <c r="J24" s="8">
        <f>H24*I24</f>
        <v>519.25</v>
      </c>
      <c r="K24" s="8">
        <f>G24+J24</f>
        <v>519.25</v>
      </c>
      <c r="L24" s="149">
        <v>0</v>
      </c>
      <c r="M24" s="8">
        <f t="shared" si="4"/>
        <v>64038.585400000011</v>
      </c>
      <c r="N24" s="45"/>
      <c r="O24" s="1"/>
    </row>
    <row r="25" spans="1:18">
      <c r="A25" s="47">
        <v>22</v>
      </c>
      <c r="B25" s="203">
        <v>46075</v>
      </c>
      <c r="C25" s="25"/>
      <c r="D25" s="25"/>
      <c r="E25" s="8"/>
      <c r="F25" s="8"/>
      <c r="G25" s="8">
        <f t="shared" si="5"/>
        <v>0</v>
      </c>
      <c r="H25" s="9">
        <v>5</v>
      </c>
      <c r="I25" s="9">
        <v>103.85</v>
      </c>
      <c r="J25" s="8">
        <f>H25*I25</f>
        <v>519.25</v>
      </c>
      <c r="K25" s="8">
        <f>G25+J25</f>
        <v>519.25</v>
      </c>
      <c r="L25" s="149">
        <v>0</v>
      </c>
      <c r="M25" s="8">
        <f t="shared" si="4"/>
        <v>64557.835400000011</v>
      </c>
      <c r="N25" s="45"/>
      <c r="O25" s="1"/>
    </row>
    <row r="26" spans="1:18">
      <c r="A26" s="47">
        <v>23</v>
      </c>
      <c r="B26" s="203">
        <v>46076</v>
      </c>
      <c r="C26" s="25"/>
      <c r="D26" s="25"/>
      <c r="E26" s="8">
        <v>135.1</v>
      </c>
      <c r="F26" s="8">
        <v>91.89</v>
      </c>
      <c r="G26" s="8">
        <f t="shared" si="5"/>
        <v>12414.339</v>
      </c>
      <c r="H26" s="9">
        <v>0</v>
      </c>
      <c r="I26" s="9">
        <v>0</v>
      </c>
      <c r="J26" s="8">
        <f t="shared" si="6"/>
        <v>0</v>
      </c>
      <c r="K26" s="8">
        <f>G26+J26</f>
        <v>12414.339</v>
      </c>
      <c r="L26" s="149">
        <v>0</v>
      </c>
      <c r="M26" s="8">
        <f t="shared" si="4"/>
        <v>76972.174400000018</v>
      </c>
      <c r="N26" s="45"/>
      <c r="O26" s="1"/>
    </row>
    <row r="27" spans="1:18">
      <c r="A27" s="47">
        <v>24</v>
      </c>
      <c r="B27" s="203">
        <v>46077</v>
      </c>
      <c r="C27" s="25"/>
      <c r="D27" s="25"/>
      <c r="E27" s="8">
        <v>100</v>
      </c>
      <c r="F27" s="8">
        <v>91.89</v>
      </c>
      <c r="G27" s="8">
        <f t="shared" si="5"/>
        <v>9189</v>
      </c>
      <c r="H27" s="9">
        <v>5</v>
      </c>
      <c r="I27" s="9">
        <v>103.85</v>
      </c>
      <c r="J27" s="8">
        <f t="shared" si="6"/>
        <v>519.25</v>
      </c>
      <c r="K27" s="8">
        <f>G27+J27</f>
        <v>9708.25</v>
      </c>
      <c r="L27" s="149">
        <v>0</v>
      </c>
      <c r="M27" s="8">
        <f t="shared" si="4"/>
        <v>86680.424400000018</v>
      </c>
      <c r="N27" s="45"/>
      <c r="O27" s="1"/>
    </row>
    <row r="28" spans="1:18">
      <c r="A28" s="47">
        <v>25</v>
      </c>
      <c r="B28" s="203">
        <v>46078</v>
      </c>
      <c r="C28" s="25"/>
      <c r="D28" s="25"/>
      <c r="E28" s="8"/>
      <c r="F28" s="8"/>
      <c r="G28" s="8">
        <f t="shared" si="5"/>
        <v>0</v>
      </c>
      <c r="H28" s="9">
        <v>0</v>
      </c>
      <c r="I28" s="9">
        <v>103.85</v>
      </c>
      <c r="J28" s="8">
        <f t="shared" si="6"/>
        <v>0</v>
      </c>
      <c r="K28" s="8">
        <f t="shared" si="2"/>
        <v>0</v>
      </c>
      <c r="L28" s="149">
        <v>0</v>
      </c>
      <c r="M28" s="8">
        <f t="shared" si="4"/>
        <v>86680.424400000018</v>
      </c>
      <c r="N28" s="45"/>
      <c r="O28" s="1"/>
    </row>
    <row r="29" spans="1:18">
      <c r="A29" s="47">
        <v>26</v>
      </c>
      <c r="B29" s="203">
        <v>46079</v>
      </c>
      <c r="C29" s="25"/>
      <c r="D29" s="25"/>
      <c r="E29" s="8">
        <v>70</v>
      </c>
      <c r="F29" s="8">
        <v>91.89</v>
      </c>
      <c r="G29" s="8">
        <f t="shared" ref="G29" si="7">E29*F29</f>
        <v>6432.3</v>
      </c>
      <c r="H29" s="9">
        <v>11</v>
      </c>
      <c r="I29" s="9">
        <v>103.85</v>
      </c>
      <c r="J29" s="8">
        <f t="shared" ref="J29" si="8">H29*I29</f>
        <v>1142.3499999999999</v>
      </c>
      <c r="K29" s="8">
        <f t="shared" ref="K29" si="9">G29+J29</f>
        <v>7574.65</v>
      </c>
      <c r="L29" s="149">
        <v>0</v>
      </c>
      <c r="M29" s="8">
        <f t="shared" si="4"/>
        <v>94255.074400000012</v>
      </c>
      <c r="N29" s="45"/>
      <c r="O29" s="1"/>
    </row>
    <row r="30" spans="1:18">
      <c r="A30" s="47">
        <v>27</v>
      </c>
      <c r="B30" s="203">
        <v>46080</v>
      </c>
      <c r="C30" s="25"/>
      <c r="D30" s="25"/>
      <c r="E30" s="8">
        <v>390</v>
      </c>
      <c r="F30" s="8">
        <v>91.89</v>
      </c>
      <c r="G30" s="8">
        <f t="shared" si="5"/>
        <v>35837.1</v>
      </c>
      <c r="H30" s="9">
        <v>5</v>
      </c>
      <c r="I30" s="9">
        <v>103.85</v>
      </c>
      <c r="J30" s="8">
        <f t="shared" si="6"/>
        <v>519.25</v>
      </c>
      <c r="K30" s="8">
        <f t="shared" si="2"/>
        <v>36356.35</v>
      </c>
      <c r="L30" s="149">
        <v>0</v>
      </c>
      <c r="M30" s="8">
        <f t="shared" si="4"/>
        <v>130611.42440000002</v>
      </c>
      <c r="N30" s="45"/>
      <c r="O30" s="1"/>
    </row>
    <row r="31" spans="1:18">
      <c r="A31" s="47">
        <v>28</v>
      </c>
      <c r="B31" s="203">
        <v>46081</v>
      </c>
      <c r="C31" s="25"/>
      <c r="D31" s="25"/>
      <c r="E31" s="8">
        <v>200</v>
      </c>
      <c r="F31" s="8">
        <v>91.89</v>
      </c>
      <c r="G31" s="8">
        <f t="shared" si="5"/>
        <v>18378</v>
      </c>
      <c r="H31" s="9">
        <v>5</v>
      </c>
      <c r="I31" s="9">
        <v>103.85</v>
      </c>
      <c r="J31" s="8">
        <f t="shared" si="6"/>
        <v>519.25</v>
      </c>
      <c r="K31" s="8">
        <f t="shared" si="2"/>
        <v>18897.25</v>
      </c>
      <c r="L31" s="149">
        <v>0</v>
      </c>
      <c r="M31" s="8">
        <f t="shared" si="4"/>
        <v>149508.67440000002</v>
      </c>
      <c r="N31" s="45"/>
      <c r="O31" s="1"/>
      <c r="R31">
        <v>46.61</v>
      </c>
    </row>
    <row r="32" spans="1:18">
      <c r="A32" s="47">
        <v>29</v>
      </c>
      <c r="B32" s="203">
        <v>46082</v>
      </c>
      <c r="C32" s="25"/>
      <c r="D32" s="25"/>
      <c r="E32" s="8"/>
      <c r="F32" s="8"/>
      <c r="G32" s="8">
        <f t="shared" si="5"/>
        <v>0</v>
      </c>
      <c r="H32" s="9">
        <v>0</v>
      </c>
      <c r="I32" s="9">
        <v>0</v>
      </c>
      <c r="J32" s="8">
        <f t="shared" si="6"/>
        <v>0</v>
      </c>
      <c r="K32" s="8">
        <f t="shared" si="2"/>
        <v>0</v>
      </c>
      <c r="L32" s="149">
        <v>0</v>
      </c>
      <c r="M32" s="8">
        <f t="shared" si="4"/>
        <v>149508.67440000002</v>
      </c>
      <c r="N32" s="45"/>
      <c r="O32" s="1"/>
      <c r="R32">
        <v>100</v>
      </c>
    </row>
    <row r="33" spans="1:18">
      <c r="A33" s="47">
        <v>30</v>
      </c>
      <c r="B33" s="203">
        <v>46083</v>
      </c>
      <c r="C33" s="25"/>
      <c r="D33" s="25"/>
      <c r="E33" s="8"/>
      <c r="F33" s="8"/>
      <c r="G33" s="8">
        <f t="shared" si="5"/>
        <v>0</v>
      </c>
      <c r="H33" s="9">
        <v>0</v>
      </c>
      <c r="I33" s="9">
        <v>0</v>
      </c>
      <c r="J33" s="8">
        <f t="shared" si="6"/>
        <v>0</v>
      </c>
      <c r="K33" s="8">
        <f t="shared" si="2"/>
        <v>0</v>
      </c>
      <c r="L33" s="149">
        <v>0</v>
      </c>
      <c r="M33" s="8">
        <f t="shared" si="4"/>
        <v>149508.67440000002</v>
      </c>
      <c r="N33" s="45"/>
      <c r="O33" s="1"/>
      <c r="R33">
        <v>35</v>
      </c>
    </row>
    <row r="34" spans="1:18">
      <c r="A34" s="47">
        <v>31</v>
      </c>
      <c r="B34" s="203">
        <v>46084</v>
      </c>
      <c r="C34" s="25"/>
      <c r="D34" s="25"/>
      <c r="E34" s="8"/>
      <c r="F34" s="8"/>
      <c r="G34" s="8">
        <f t="shared" si="5"/>
        <v>0</v>
      </c>
      <c r="H34" s="9">
        <v>0</v>
      </c>
      <c r="I34" s="9">
        <v>0</v>
      </c>
      <c r="J34" s="8">
        <f t="shared" si="6"/>
        <v>0</v>
      </c>
      <c r="K34" s="8">
        <f t="shared" si="2"/>
        <v>0</v>
      </c>
      <c r="L34" s="149">
        <v>0</v>
      </c>
      <c r="M34" s="8">
        <f t="shared" si="4"/>
        <v>149508.67440000002</v>
      </c>
      <c r="N34" s="45"/>
      <c r="O34" s="1"/>
    </row>
    <row r="35" spans="1:18">
      <c r="A35" s="47">
        <v>32</v>
      </c>
      <c r="B35" s="203">
        <v>46085</v>
      </c>
      <c r="C35" s="25"/>
      <c r="D35" s="25"/>
      <c r="E35" s="8"/>
      <c r="F35" s="8"/>
      <c r="G35" s="8">
        <f t="shared" si="0"/>
        <v>0</v>
      </c>
      <c r="H35" s="9">
        <v>0</v>
      </c>
      <c r="I35" s="9">
        <v>0</v>
      </c>
      <c r="J35" s="8">
        <f t="shared" si="1"/>
        <v>0</v>
      </c>
      <c r="K35" s="8">
        <f t="shared" si="2"/>
        <v>0</v>
      </c>
      <c r="L35" s="149">
        <v>0</v>
      </c>
      <c r="M35" s="8">
        <f t="shared" si="4"/>
        <v>149508.67440000002</v>
      </c>
      <c r="N35" s="45"/>
      <c r="O35" s="1"/>
    </row>
    <row r="36" spans="1:18">
      <c r="A36" s="198"/>
      <c r="B36" s="203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49"/>
      <c r="M36" s="8">
        <f t="shared" si="4"/>
        <v>149508.67440000002</v>
      </c>
      <c r="N36" s="45"/>
      <c r="O36" s="1"/>
    </row>
    <row r="37" spans="1:18">
      <c r="A37" s="63"/>
      <c r="B37" s="63"/>
      <c r="C37" s="63"/>
      <c r="D37" s="63"/>
      <c r="E37" s="64">
        <f>SUM(E4:E35)</f>
        <v>3706.11</v>
      </c>
      <c r="F37" s="64"/>
      <c r="G37" s="64">
        <f>SUM(G4:G35)</f>
        <v>340554.44789999991</v>
      </c>
      <c r="H37" s="64">
        <f>SUM(H4:H35)</f>
        <v>129</v>
      </c>
      <c r="I37" s="64"/>
      <c r="J37" s="64">
        <f>SUM(J4:J35)</f>
        <v>13474.35</v>
      </c>
      <c r="K37" s="64">
        <f>SUM(K4:K35)</f>
        <v>354028.79789999995</v>
      </c>
      <c r="L37" s="64">
        <f>SUM(L4:L35)</f>
        <v>366900</v>
      </c>
      <c r="M37" s="64"/>
      <c r="N37" s="64"/>
      <c r="O37" s="60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35"/>
      <c r="C40" s="435"/>
      <c r="D40" s="435"/>
      <c r="E40" s="435"/>
      <c r="F40" s="1"/>
      <c r="G40" s="1"/>
      <c r="H40" s="1"/>
      <c r="I40" s="474">
        <f>K25+L25</f>
        <v>519.25</v>
      </c>
      <c r="J40" s="435"/>
      <c r="K40" s="435"/>
      <c r="L40" s="435"/>
      <c r="M40" s="435"/>
      <c r="N40" s="435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U3" activePane="bottomLeft" state="frozen"/>
      <selection pane="bottomLeft" activeCell="M31" sqref="M31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44" t="s">
        <v>76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83"/>
    </row>
    <row r="2" spans="1:16">
      <c r="A2" s="99" t="s">
        <v>101</v>
      </c>
      <c r="B2" s="100" t="s">
        <v>155</v>
      </c>
      <c r="C2" s="100" t="s">
        <v>156</v>
      </c>
      <c r="D2" s="100" t="s">
        <v>173</v>
      </c>
      <c r="E2" s="100" t="s">
        <v>158</v>
      </c>
      <c r="F2" s="100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6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7"/>
      <c r="K3" s="165">
        <v>10249.401500000007</v>
      </c>
      <c r="L3" s="17"/>
      <c r="M3" s="106">
        <v>10249.401500000007</v>
      </c>
      <c r="N3" s="17"/>
      <c r="O3" s="60"/>
    </row>
    <row r="4" spans="1:16">
      <c r="A4" s="47">
        <v>1</v>
      </c>
      <c r="B4" s="203">
        <v>46054</v>
      </c>
      <c r="C4" s="153"/>
      <c r="D4" s="154"/>
      <c r="E4" s="155">
        <v>0</v>
      </c>
      <c r="F4" s="155">
        <v>0</v>
      </c>
      <c r="G4" s="141">
        <f>E4*F4</f>
        <v>0</v>
      </c>
      <c r="H4" s="155">
        <v>0</v>
      </c>
      <c r="I4" s="156">
        <v>103.8</v>
      </c>
      <c r="J4" s="20">
        <f>H4*I4</f>
        <v>0</v>
      </c>
      <c r="K4" s="20">
        <f>G4+J4</f>
        <v>0</v>
      </c>
      <c r="L4" s="142"/>
      <c r="M4" s="142">
        <f t="shared" ref="M4:M21" si="0">M3+K4-L4</f>
        <v>10249.401500000007</v>
      </c>
      <c r="N4" s="143"/>
    </row>
    <row r="5" spans="1:16">
      <c r="A5" s="47">
        <v>2</v>
      </c>
      <c r="B5" s="203">
        <v>46055</v>
      </c>
      <c r="C5" s="11"/>
      <c r="D5" s="11"/>
      <c r="E5" s="155">
        <v>0</v>
      </c>
      <c r="F5" s="155">
        <v>0</v>
      </c>
      <c r="G5" s="141">
        <f t="shared" ref="G5:G34" si="1">E5*F5</f>
        <v>0</v>
      </c>
      <c r="H5" s="155">
        <v>5</v>
      </c>
      <c r="I5" s="156">
        <v>103.8</v>
      </c>
      <c r="J5" s="20">
        <f t="shared" ref="J5:J34" si="2">H5*I5</f>
        <v>519</v>
      </c>
      <c r="K5" s="20">
        <f t="shared" ref="K5:K34" si="3">G5+J5</f>
        <v>519</v>
      </c>
      <c r="L5" s="142">
        <v>10288.040000000001</v>
      </c>
      <c r="M5" s="14">
        <f t="shared" si="0"/>
        <v>480.36150000000634</v>
      </c>
      <c r="N5" s="12"/>
    </row>
    <row r="6" spans="1:16">
      <c r="A6" s="47">
        <v>3</v>
      </c>
      <c r="B6" s="203">
        <v>46056</v>
      </c>
      <c r="C6" s="11"/>
      <c r="D6" s="11"/>
      <c r="E6" s="155">
        <v>0</v>
      </c>
      <c r="F6" s="155">
        <v>0</v>
      </c>
      <c r="G6" s="141">
        <f t="shared" si="1"/>
        <v>0</v>
      </c>
      <c r="H6" s="155">
        <v>0</v>
      </c>
      <c r="I6" s="156">
        <v>0</v>
      </c>
      <c r="J6" s="20">
        <f t="shared" si="2"/>
        <v>0</v>
      </c>
      <c r="K6" s="20">
        <f t="shared" si="3"/>
        <v>0</v>
      </c>
      <c r="L6" s="142"/>
      <c r="M6" s="14">
        <f t="shared" si="0"/>
        <v>480.36150000000634</v>
      </c>
      <c r="N6" s="13"/>
    </row>
    <row r="7" spans="1:16">
      <c r="A7" s="47">
        <v>4</v>
      </c>
      <c r="B7" s="203">
        <v>46057</v>
      </c>
      <c r="C7" s="71"/>
      <c r="D7" s="72"/>
      <c r="E7" s="155">
        <v>130</v>
      </c>
      <c r="F7" s="155">
        <v>91.83</v>
      </c>
      <c r="G7" s="141">
        <f t="shared" si="1"/>
        <v>11937.9</v>
      </c>
      <c r="H7" s="155">
        <v>0</v>
      </c>
      <c r="I7" s="156">
        <v>0</v>
      </c>
      <c r="J7" s="20">
        <f t="shared" si="2"/>
        <v>0</v>
      </c>
      <c r="K7" s="20">
        <f t="shared" si="3"/>
        <v>11937.9</v>
      </c>
      <c r="L7" s="142"/>
      <c r="M7" s="14">
        <f t="shared" si="0"/>
        <v>12418.261500000006</v>
      </c>
      <c r="N7" s="42"/>
    </row>
    <row r="8" spans="1:16">
      <c r="A8" s="47">
        <v>5</v>
      </c>
      <c r="B8" s="203">
        <v>46058</v>
      </c>
      <c r="C8" s="71"/>
      <c r="D8" s="72"/>
      <c r="E8" s="155">
        <v>50</v>
      </c>
      <c r="F8" s="155">
        <v>91.83</v>
      </c>
      <c r="G8" s="141">
        <f t="shared" ref="G8:G34" si="4">E8*F8</f>
        <v>4591.5</v>
      </c>
      <c r="H8" s="155">
        <v>5</v>
      </c>
      <c r="I8" s="156">
        <v>103.8</v>
      </c>
      <c r="J8" s="20">
        <f t="shared" si="2"/>
        <v>519</v>
      </c>
      <c r="K8" s="20">
        <f t="shared" si="3"/>
        <v>5110.5</v>
      </c>
      <c r="L8" s="142"/>
      <c r="M8" s="14">
        <f t="shared" si="0"/>
        <v>17528.761500000008</v>
      </c>
      <c r="N8" s="42"/>
      <c r="O8" s="245">
        <v>8497892194</v>
      </c>
      <c r="P8" s="246" t="s">
        <v>262</v>
      </c>
    </row>
    <row r="9" spans="1:16">
      <c r="A9" s="47">
        <v>6</v>
      </c>
      <c r="B9" s="203">
        <v>46059</v>
      </c>
      <c r="C9" s="71"/>
      <c r="D9" s="72"/>
      <c r="E9" s="155">
        <v>0</v>
      </c>
      <c r="F9" s="155">
        <v>0</v>
      </c>
      <c r="G9" s="141">
        <f t="shared" si="4"/>
        <v>0</v>
      </c>
      <c r="H9" s="155">
        <v>10</v>
      </c>
      <c r="I9" s="156">
        <v>103.8</v>
      </c>
      <c r="J9" s="20">
        <f t="shared" si="2"/>
        <v>1038</v>
      </c>
      <c r="K9" s="20">
        <f t="shared" si="3"/>
        <v>1038</v>
      </c>
      <c r="L9" s="142"/>
      <c r="M9" s="14">
        <f t="shared" si="0"/>
        <v>18566.761500000008</v>
      </c>
      <c r="N9" s="42"/>
      <c r="O9" s="70"/>
    </row>
    <row r="10" spans="1:16">
      <c r="A10" s="47">
        <v>7</v>
      </c>
      <c r="B10" s="203">
        <v>46060</v>
      </c>
      <c r="C10" s="71"/>
      <c r="D10" s="72"/>
      <c r="E10" s="155">
        <v>0</v>
      </c>
      <c r="F10" s="155">
        <v>0</v>
      </c>
      <c r="G10" s="141">
        <f t="shared" si="4"/>
        <v>0</v>
      </c>
      <c r="H10" s="155">
        <v>5</v>
      </c>
      <c r="I10" s="156">
        <v>103.8</v>
      </c>
      <c r="J10" s="20">
        <f t="shared" si="2"/>
        <v>519</v>
      </c>
      <c r="K10" s="20">
        <f t="shared" si="3"/>
        <v>519</v>
      </c>
      <c r="L10" s="142"/>
      <c r="M10" s="14">
        <f t="shared" si="0"/>
        <v>19085.761500000008</v>
      </c>
      <c r="N10" s="42"/>
      <c r="O10" s="70"/>
    </row>
    <row r="11" spans="1:16">
      <c r="A11" s="47">
        <v>8</v>
      </c>
      <c r="B11" s="203">
        <v>46061</v>
      </c>
      <c r="C11" s="71"/>
      <c r="D11" s="72"/>
      <c r="E11" s="155">
        <v>80</v>
      </c>
      <c r="F11" s="155">
        <v>91.83</v>
      </c>
      <c r="G11" s="141">
        <f t="shared" si="4"/>
        <v>7346.4</v>
      </c>
      <c r="H11" s="155">
        <v>0</v>
      </c>
      <c r="I11" s="156">
        <v>0</v>
      </c>
      <c r="J11" s="20">
        <f t="shared" si="2"/>
        <v>0</v>
      </c>
      <c r="K11" s="20">
        <f t="shared" si="3"/>
        <v>7346.4</v>
      </c>
      <c r="L11" s="142"/>
      <c r="M11" s="14">
        <f t="shared" si="0"/>
        <v>26432.161500000009</v>
      </c>
      <c r="N11" s="42"/>
      <c r="O11" s="70"/>
    </row>
    <row r="12" spans="1:16">
      <c r="A12" s="47">
        <v>9</v>
      </c>
      <c r="B12" s="203">
        <v>46062</v>
      </c>
      <c r="C12" s="71"/>
      <c r="D12" s="72"/>
      <c r="E12" s="155">
        <v>30</v>
      </c>
      <c r="F12" s="155">
        <v>91.83</v>
      </c>
      <c r="G12" s="141">
        <f t="shared" si="4"/>
        <v>2754.9</v>
      </c>
      <c r="H12" s="155">
        <v>0</v>
      </c>
      <c r="I12" s="156">
        <v>0</v>
      </c>
      <c r="J12" s="20">
        <f t="shared" si="2"/>
        <v>0</v>
      </c>
      <c r="K12" s="20">
        <f t="shared" si="3"/>
        <v>2754.9</v>
      </c>
      <c r="L12" s="142"/>
      <c r="M12" s="14">
        <f t="shared" si="0"/>
        <v>29187.061500000011</v>
      </c>
      <c r="N12" s="42"/>
      <c r="O12" s="70"/>
    </row>
    <row r="13" spans="1:16">
      <c r="A13" s="47">
        <v>10</v>
      </c>
      <c r="B13" s="203">
        <v>46063</v>
      </c>
      <c r="C13" s="71"/>
      <c r="D13" s="72"/>
      <c r="E13" s="155">
        <v>30</v>
      </c>
      <c r="F13" s="155">
        <v>91.83</v>
      </c>
      <c r="G13" s="141">
        <f t="shared" si="4"/>
        <v>2754.9</v>
      </c>
      <c r="H13" s="155">
        <v>10</v>
      </c>
      <c r="I13" s="156">
        <v>103.8</v>
      </c>
      <c r="J13" s="20">
        <f t="shared" si="2"/>
        <v>1038</v>
      </c>
      <c r="K13" s="20">
        <f t="shared" si="3"/>
        <v>3792.9</v>
      </c>
      <c r="L13" s="142"/>
      <c r="M13" s="14">
        <f t="shared" si="0"/>
        <v>32979.961500000012</v>
      </c>
      <c r="N13" s="42"/>
      <c r="O13" s="70"/>
    </row>
    <row r="14" spans="1:16">
      <c r="A14" s="47">
        <v>11</v>
      </c>
      <c r="B14" s="203">
        <v>46064</v>
      </c>
      <c r="C14" s="71"/>
      <c r="D14" s="72"/>
      <c r="E14" s="155">
        <v>0</v>
      </c>
      <c r="F14" s="155">
        <v>0</v>
      </c>
      <c r="G14" s="141">
        <f t="shared" si="4"/>
        <v>0</v>
      </c>
      <c r="H14" s="155">
        <v>0</v>
      </c>
      <c r="I14" s="156">
        <v>0</v>
      </c>
      <c r="J14" s="20">
        <f t="shared" si="2"/>
        <v>0</v>
      </c>
      <c r="K14" s="20">
        <f t="shared" si="3"/>
        <v>0</v>
      </c>
      <c r="L14" s="142"/>
      <c r="M14" s="14">
        <f t="shared" si="0"/>
        <v>32979.961500000012</v>
      </c>
      <c r="N14" s="42"/>
      <c r="O14" s="70"/>
    </row>
    <row r="15" spans="1:16">
      <c r="A15" s="47">
        <v>12</v>
      </c>
      <c r="B15" s="203">
        <v>46065</v>
      </c>
      <c r="C15" s="71"/>
      <c r="D15" s="72"/>
      <c r="E15" s="155">
        <v>98</v>
      </c>
      <c r="F15" s="155">
        <v>91.83</v>
      </c>
      <c r="G15" s="141">
        <f t="shared" si="4"/>
        <v>8999.34</v>
      </c>
      <c r="H15" s="155">
        <v>10</v>
      </c>
      <c r="I15" s="156">
        <v>103.8</v>
      </c>
      <c r="J15" s="20">
        <f t="shared" si="2"/>
        <v>1038</v>
      </c>
      <c r="K15" s="20">
        <f t="shared" si="3"/>
        <v>10037.34</v>
      </c>
      <c r="L15" s="142"/>
      <c r="M15" s="14">
        <f t="shared" si="0"/>
        <v>43017.301500000016</v>
      </c>
      <c r="N15" s="42"/>
      <c r="O15" s="70"/>
    </row>
    <row r="16" spans="1:16">
      <c r="A16" s="47">
        <v>13</v>
      </c>
      <c r="B16" s="203">
        <v>46066</v>
      </c>
      <c r="C16" s="71"/>
      <c r="D16" s="72"/>
      <c r="E16" s="155">
        <v>100</v>
      </c>
      <c r="F16" s="155">
        <v>91.83</v>
      </c>
      <c r="G16" s="141">
        <f t="shared" si="4"/>
        <v>9183</v>
      </c>
      <c r="H16" s="155">
        <v>0</v>
      </c>
      <c r="I16" s="156">
        <v>0</v>
      </c>
      <c r="J16" s="20">
        <f t="shared" si="2"/>
        <v>0</v>
      </c>
      <c r="K16" s="20">
        <f t="shared" si="3"/>
        <v>9183</v>
      </c>
      <c r="L16" s="142"/>
      <c r="M16" s="244">
        <f t="shared" si="0"/>
        <v>52200.301500000016</v>
      </c>
      <c r="N16" s="42"/>
      <c r="O16" s="70"/>
    </row>
    <row r="17" spans="1:18">
      <c r="A17" s="47">
        <v>14</v>
      </c>
      <c r="B17" s="203">
        <v>46067</v>
      </c>
      <c r="C17" s="71"/>
      <c r="D17" s="72"/>
      <c r="E17" s="155">
        <v>0</v>
      </c>
      <c r="F17" s="155">
        <v>0</v>
      </c>
      <c r="G17" s="141">
        <f t="shared" si="4"/>
        <v>0</v>
      </c>
      <c r="H17" s="155">
        <v>5</v>
      </c>
      <c r="I17" s="156">
        <v>103.8</v>
      </c>
      <c r="J17" s="20">
        <f t="shared" si="2"/>
        <v>519</v>
      </c>
      <c r="K17" s="20">
        <f t="shared" si="3"/>
        <v>519</v>
      </c>
      <c r="L17" s="142"/>
      <c r="M17" s="14">
        <f t="shared" si="0"/>
        <v>52719.301500000016</v>
      </c>
      <c r="N17" s="42"/>
      <c r="O17" s="70"/>
    </row>
    <row r="18" spans="1:18">
      <c r="A18" s="47">
        <v>15</v>
      </c>
      <c r="B18" s="203">
        <v>46068</v>
      </c>
      <c r="C18" s="71"/>
      <c r="D18" s="72"/>
      <c r="E18" s="155">
        <v>0</v>
      </c>
      <c r="F18" s="155">
        <v>0</v>
      </c>
      <c r="G18" s="141">
        <f t="shared" si="4"/>
        <v>0</v>
      </c>
      <c r="H18" s="155">
        <v>0</v>
      </c>
      <c r="I18" s="156">
        <v>0</v>
      </c>
      <c r="J18" s="20">
        <f t="shared" si="2"/>
        <v>0</v>
      </c>
      <c r="K18" s="20">
        <f t="shared" si="3"/>
        <v>0</v>
      </c>
      <c r="L18" s="142"/>
      <c r="M18" s="14">
        <f t="shared" si="0"/>
        <v>52719.301500000016</v>
      </c>
      <c r="N18" s="42"/>
      <c r="O18" s="70"/>
    </row>
    <row r="19" spans="1:18">
      <c r="A19" s="47">
        <v>16</v>
      </c>
      <c r="B19" s="203">
        <v>46069</v>
      </c>
      <c r="C19" s="192"/>
      <c r="D19" s="193"/>
      <c r="E19" s="155">
        <v>50</v>
      </c>
      <c r="F19" s="155">
        <v>91.83</v>
      </c>
      <c r="G19" s="141">
        <f t="shared" si="4"/>
        <v>4591.5</v>
      </c>
      <c r="H19" s="155">
        <v>5</v>
      </c>
      <c r="I19" s="156">
        <v>103.8</v>
      </c>
      <c r="J19" s="20">
        <f t="shared" si="2"/>
        <v>519</v>
      </c>
      <c r="K19" s="20">
        <f t="shared" si="3"/>
        <v>5110.5</v>
      </c>
      <c r="L19" s="142"/>
      <c r="M19" s="15">
        <f t="shared" si="0"/>
        <v>57829.801500000016</v>
      </c>
      <c r="N19" s="194"/>
      <c r="O19" s="70"/>
    </row>
    <row r="20" spans="1:18">
      <c r="A20" s="47">
        <v>17</v>
      </c>
      <c r="B20" s="203">
        <v>46070</v>
      </c>
      <c r="C20" s="68"/>
      <c r="D20" s="72"/>
      <c r="E20" s="155">
        <v>90</v>
      </c>
      <c r="F20" s="155">
        <v>91.83</v>
      </c>
      <c r="G20" s="141">
        <f t="shared" si="4"/>
        <v>8264.7000000000007</v>
      </c>
      <c r="H20" s="155">
        <v>10</v>
      </c>
      <c r="I20" s="156">
        <v>103.8</v>
      </c>
      <c r="J20" s="20">
        <f t="shared" si="2"/>
        <v>1038</v>
      </c>
      <c r="K20" s="20">
        <f t="shared" si="3"/>
        <v>9302.7000000000007</v>
      </c>
      <c r="L20" s="142"/>
      <c r="M20" s="15">
        <f t="shared" si="0"/>
        <v>67132.501500000013</v>
      </c>
      <c r="N20" s="42"/>
      <c r="O20" s="70"/>
    </row>
    <row r="21" spans="1:18">
      <c r="A21" s="47">
        <v>18</v>
      </c>
      <c r="B21" s="203">
        <v>46071</v>
      </c>
      <c r="C21" s="68"/>
      <c r="D21" s="72"/>
      <c r="E21" s="155">
        <v>50</v>
      </c>
      <c r="F21" s="155">
        <v>91.83</v>
      </c>
      <c r="G21" s="141">
        <f t="shared" si="4"/>
        <v>4591.5</v>
      </c>
      <c r="H21" s="155">
        <v>0</v>
      </c>
      <c r="I21" s="156">
        <v>0</v>
      </c>
      <c r="J21" s="20">
        <f t="shared" si="2"/>
        <v>0</v>
      </c>
      <c r="K21" s="20">
        <f t="shared" si="3"/>
        <v>4591.5</v>
      </c>
      <c r="L21" s="142"/>
      <c r="M21" s="15">
        <f t="shared" si="0"/>
        <v>71724.001500000013</v>
      </c>
      <c r="N21" s="42"/>
      <c r="O21" s="70"/>
    </row>
    <row r="22" spans="1:18">
      <c r="A22" s="47">
        <v>19</v>
      </c>
      <c r="B22" s="203">
        <v>46072</v>
      </c>
      <c r="C22" s="68"/>
      <c r="D22" s="72"/>
      <c r="E22" s="155">
        <v>30</v>
      </c>
      <c r="F22" s="155">
        <v>91.83</v>
      </c>
      <c r="G22" s="141">
        <f t="shared" si="4"/>
        <v>2754.9</v>
      </c>
      <c r="H22" s="155">
        <v>5</v>
      </c>
      <c r="I22" s="156">
        <v>103.8</v>
      </c>
      <c r="J22" s="20">
        <f t="shared" si="2"/>
        <v>519</v>
      </c>
      <c r="K22" s="20">
        <f t="shared" si="3"/>
        <v>3273.9</v>
      </c>
      <c r="L22" s="142"/>
      <c r="M22" s="15">
        <f t="shared" ref="M22:M30" si="5">M21+K22-L22</f>
        <v>74997.901500000007</v>
      </c>
      <c r="N22" s="42"/>
      <c r="O22" s="70"/>
    </row>
    <row r="23" spans="1:18">
      <c r="A23" s="47">
        <v>20</v>
      </c>
      <c r="B23" s="203">
        <v>46073</v>
      </c>
      <c r="C23" s="68"/>
      <c r="D23" s="72"/>
      <c r="E23" s="155">
        <v>0</v>
      </c>
      <c r="F23" s="155">
        <v>0</v>
      </c>
      <c r="G23" s="141">
        <f t="shared" si="4"/>
        <v>0</v>
      </c>
      <c r="H23" s="155">
        <v>5</v>
      </c>
      <c r="I23" s="156">
        <v>103.8</v>
      </c>
      <c r="J23" s="20">
        <f t="shared" si="2"/>
        <v>519</v>
      </c>
      <c r="K23" s="20">
        <f t="shared" si="3"/>
        <v>519</v>
      </c>
      <c r="L23" s="142"/>
      <c r="M23" s="15">
        <f t="shared" si="5"/>
        <v>75516.901500000007</v>
      </c>
      <c r="N23" s="42"/>
      <c r="O23" s="70"/>
    </row>
    <row r="24" spans="1:18">
      <c r="A24" s="47">
        <v>21</v>
      </c>
      <c r="B24" s="203">
        <v>46074</v>
      </c>
      <c r="C24" s="68"/>
      <c r="D24" s="72"/>
      <c r="E24" s="155">
        <v>150</v>
      </c>
      <c r="F24" s="155">
        <v>91.83</v>
      </c>
      <c r="G24" s="141">
        <f t="shared" si="4"/>
        <v>13774.5</v>
      </c>
      <c r="H24" s="155">
        <v>0</v>
      </c>
      <c r="I24" s="156">
        <v>0</v>
      </c>
      <c r="J24" s="20">
        <f t="shared" si="2"/>
        <v>0</v>
      </c>
      <c r="K24" s="20">
        <f t="shared" si="3"/>
        <v>13774.5</v>
      </c>
      <c r="L24" s="142"/>
      <c r="M24" s="15">
        <f t="shared" si="5"/>
        <v>89291.401500000007</v>
      </c>
      <c r="N24" s="42"/>
      <c r="O24" s="70"/>
    </row>
    <row r="25" spans="1:18">
      <c r="A25" s="47">
        <v>22</v>
      </c>
      <c r="B25" s="203">
        <v>46075</v>
      </c>
      <c r="C25" s="68"/>
      <c r="D25" s="72"/>
      <c r="E25" s="155">
        <v>0</v>
      </c>
      <c r="F25" s="155">
        <v>0</v>
      </c>
      <c r="G25" s="141">
        <f t="shared" si="4"/>
        <v>0</v>
      </c>
      <c r="H25" s="155">
        <v>5</v>
      </c>
      <c r="I25" s="156">
        <v>103.8</v>
      </c>
      <c r="J25" s="20">
        <f t="shared" si="2"/>
        <v>519</v>
      </c>
      <c r="K25" s="20">
        <f t="shared" si="3"/>
        <v>519</v>
      </c>
      <c r="L25" s="142"/>
      <c r="M25" s="15">
        <f t="shared" si="5"/>
        <v>89810.401500000007</v>
      </c>
      <c r="N25" s="42"/>
      <c r="O25" s="70"/>
    </row>
    <row r="26" spans="1:18">
      <c r="A26" s="47">
        <v>23</v>
      </c>
      <c r="B26" s="203">
        <v>46076</v>
      </c>
      <c r="C26" s="68"/>
      <c r="D26" s="72"/>
      <c r="E26" s="155">
        <v>100</v>
      </c>
      <c r="F26" s="155">
        <v>91.83</v>
      </c>
      <c r="G26" s="141">
        <f t="shared" si="4"/>
        <v>9183</v>
      </c>
      <c r="H26" s="155">
        <v>0</v>
      </c>
      <c r="I26" s="156">
        <v>0</v>
      </c>
      <c r="J26" s="20">
        <f t="shared" si="2"/>
        <v>0</v>
      </c>
      <c r="K26" s="20">
        <f t="shared" si="3"/>
        <v>9183</v>
      </c>
      <c r="L26" s="142"/>
      <c r="M26" s="15">
        <f t="shared" si="5"/>
        <v>98993.401500000007</v>
      </c>
      <c r="N26" s="42"/>
      <c r="O26" s="70"/>
    </row>
    <row r="27" spans="1:18">
      <c r="A27" s="47">
        <v>24</v>
      </c>
      <c r="B27" s="203">
        <v>46077</v>
      </c>
      <c r="C27" s="68"/>
      <c r="D27" s="72"/>
      <c r="E27" s="155">
        <v>30</v>
      </c>
      <c r="F27" s="155">
        <v>91.83</v>
      </c>
      <c r="G27" s="141">
        <f t="shared" si="4"/>
        <v>2754.9</v>
      </c>
      <c r="H27" s="155">
        <v>15</v>
      </c>
      <c r="I27" s="156">
        <v>103.8</v>
      </c>
      <c r="J27" s="20">
        <f t="shared" si="2"/>
        <v>1557</v>
      </c>
      <c r="K27" s="20">
        <f t="shared" si="3"/>
        <v>4311.8999999999996</v>
      </c>
      <c r="L27" s="142"/>
      <c r="M27" s="15">
        <f t="shared" si="5"/>
        <v>103305.3015</v>
      </c>
      <c r="N27" s="42"/>
      <c r="O27" s="70"/>
      <c r="R27">
        <v>66742</v>
      </c>
    </row>
    <row r="28" spans="1:18">
      <c r="A28" s="220">
        <v>25</v>
      </c>
      <c r="B28" s="203">
        <v>46078</v>
      </c>
      <c r="C28" s="197"/>
      <c r="D28" s="193"/>
      <c r="E28" s="155">
        <v>0</v>
      </c>
      <c r="F28" s="155">
        <v>0</v>
      </c>
      <c r="G28" s="141">
        <f t="shared" si="4"/>
        <v>0</v>
      </c>
      <c r="H28" s="155">
        <v>10</v>
      </c>
      <c r="I28" s="156">
        <v>103.8</v>
      </c>
      <c r="J28" s="20">
        <f t="shared" si="2"/>
        <v>1038</v>
      </c>
      <c r="K28" s="20">
        <f t="shared" si="3"/>
        <v>1038</v>
      </c>
      <c r="L28" s="142"/>
      <c r="M28" s="15">
        <f t="shared" si="5"/>
        <v>104343.3015</v>
      </c>
      <c r="N28" s="194"/>
      <c r="O28" s="70"/>
    </row>
    <row r="29" spans="1:18">
      <c r="A29" s="47">
        <v>26</v>
      </c>
      <c r="B29" s="203">
        <v>46079</v>
      </c>
      <c r="C29" s="68"/>
      <c r="D29" s="72"/>
      <c r="E29" s="155">
        <v>210</v>
      </c>
      <c r="F29" s="155">
        <v>91.83</v>
      </c>
      <c r="G29" s="141">
        <f t="shared" si="4"/>
        <v>19284.3</v>
      </c>
      <c r="H29" s="155">
        <v>5</v>
      </c>
      <c r="I29" s="156">
        <v>103.8</v>
      </c>
      <c r="J29" s="20">
        <f t="shared" si="2"/>
        <v>519</v>
      </c>
      <c r="K29" s="20">
        <f t="shared" si="3"/>
        <v>19803.3</v>
      </c>
      <c r="L29" s="142"/>
      <c r="M29" s="15">
        <f t="shared" si="5"/>
        <v>124146.6015</v>
      </c>
      <c r="N29" s="42"/>
      <c r="O29" s="70"/>
    </row>
    <row r="30" spans="1:18">
      <c r="A30" s="47">
        <v>27</v>
      </c>
      <c r="B30" s="203">
        <v>46080</v>
      </c>
      <c r="C30" s="68"/>
      <c r="D30" s="72"/>
      <c r="E30" s="155">
        <v>10</v>
      </c>
      <c r="F30" s="155">
        <v>91.83</v>
      </c>
      <c r="G30" s="141">
        <f t="shared" si="4"/>
        <v>918.3</v>
      </c>
      <c r="H30" s="155">
        <v>10</v>
      </c>
      <c r="I30" s="156">
        <v>103.8</v>
      </c>
      <c r="J30" s="20">
        <f t="shared" si="2"/>
        <v>1038</v>
      </c>
      <c r="K30" s="20">
        <f t="shared" si="3"/>
        <v>1956.3</v>
      </c>
      <c r="L30" s="142"/>
      <c r="M30" s="15">
        <f t="shared" si="5"/>
        <v>126102.90150000001</v>
      </c>
      <c r="N30" s="42"/>
      <c r="O30" s="70"/>
    </row>
    <row r="31" spans="1:18">
      <c r="A31" s="47">
        <v>28</v>
      </c>
      <c r="B31" s="203">
        <v>46081</v>
      </c>
      <c r="C31" s="68"/>
      <c r="D31" s="72"/>
      <c r="E31" s="155">
        <v>0</v>
      </c>
      <c r="F31" s="155">
        <v>0</v>
      </c>
      <c r="G31" s="141">
        <f t="shared" si="4"/>
        <v>0</v>
      </c>
      <c r="H31" s="155">
        <v>0</v>
      </c>
      <c r="I31" s="156">
        <v>0</v>
      </c>
      <c r="J31" s="20">
        <f t="shared" si="2"/>
        <v>0</v>
      </c>
      <c r="K31" s="20">
        <f t="shared" si="3"/>
        <v>0</v>
      </c>
      <c r="L31" s="142"/>
      <c r="M31" s="15">
        <f>M30+K31-L31</f>
        <v>126102.90150000001</v>
      </c>
      <c r="N31" s="42"/>
      <c r="O31" s="70"/>
    </row>
    <row r="32" spans="1:18">
      <c r="A32" s="47">
        <v>29</v>
      </c>
      <c r="B32" s="203">
        <v>46082</v>
      </c>
      <c r="C32" s="68"/>
      <c r="D32" s="72"/>
      <c r="E32" s="155">
        <v>0</v>
      </c>
      <c r="F32" s="155">
        <v>0</v>
      </c>
      <c r="G32" s="141">
        <f t="shared" si="4"/>
        <v>0</v>
      </c>
      <c r="H32" s="155">
        <v>0</v>
      </c>
      <c r="I32" s="156">
        <v>0</v>
      </c>
      <c r="J32" s="20">
        <f t="shared" si="2"/>
        <v>0</v>
      </c>
      <c r="K32" s="20">
        <f t="shared" si="3"/>
        <v>0</v>
      </c>
      <c r="L32" s="142"/>
      <c r="M32" s="15">
        <f>M31+K32-L32</f>
        <v>126102.90150000001</v>
      </c>
      <c r="N32" s="42"/>
      <c r="O32" s="70"/>
    </row>
    <row r="33" spans="1:15">
      <c r="A33" s="47">
        <v>30</v>
      </c>
      <c r="B33" s="203">
        <v>46083</v>
      </c>
      <c r="C33" s="68"/>
      <c r="D33" s="72"/>
      <c r="E33" s="155">
        <v>0</v>
      </c>
      <c r="F33" s="155">
        <v>0</v>
      </c>
      <c r="G33" s="141">
        <f t="shared" si="4"/>
        <v>0</v>
      </c>
      <c r="H33" s="155">
        <v>0</v>
      </c>
      <c r="I33" s="156">
        <v>0</v>
      </c>
      <c r="J33" s="20">
        <f t="shared" si="2"/>
        <v>0</v>
      </c>
      <c r="K33" s="20">
        <f t="shared" si="3"/>
        <v>0</v>
      </c>
      <c r="L33" s="142"/>
      <c r="M33" s="15">
        <f>M32+K33-L33</f>
        <v>126102.90150000001</v>
      </c>
      <c r="N33" s="42"/>
      <c r="O33" s="70"/>
    </row>
    <row r="34" spans="1:15">
      <c r="A34" s="47">
        <v>31</v>
      </c>
      <c r="B34" s="203">
        <v>46084</v>
      </c>
      <c r="C34" s="68"/>
      <c r="D34" s="72"/>
      <c r="E34" s="155">
        <v>0</v>
      </c>
      <c r="F34" s="155">
        <v>0</v>
      </c>
      <c r="G34" s="141">
        <f t="shared" si="4"/>
        <v>0</v>
      </c>
      <c r="H34" s="155">
        <v>0</v>
      </c>
      <c r="I34" s="156">
        <v>0</v>
      </c>
      <c r="J34" s="20">
        <f t="shared" si="2"/>
        <v>0</v>
      </c>
      <c r="K34" s="20">
        <f t="shared" si="3"/>
        <v>0</v>
      </c>
      <c r="L34" s="142"/>
      <c r="M34" s="15">
        <f>M33+K34-L34</f>
        <v>126102.90150000001</v>
      </c>
      <c r="N34" s="42"/>
      <c r="O34" s="70"/>
    </row>
    <row r="35" spans="1:15">
      <c r="A35" s="162"/>
      <c r="B35" s="162"/>
      <c r="C35" s="162"/>
      <c r="D35" s="162"/>
      <c r="E35" s="163">
        <f>SUM(E4:E34)</f>
        <v>1238</v>
      </c>
      <c r="F35" s="163"/>
      <c r="G35" s="163">
        <f>SUM(G4:G34)</f>
        <v>113685.54</v>
      </c>
      <c r="H35" s="163">
        <f>SUM(H4:H34)</f>
        <v>120</v>
      </c>
      <c r="I35" s="163"/>
      <c r="J35" s="163">
        <f>SUM(J4:J34)</f>
        <v>12456</v>
      </c>
      <c r="K35" s="163">
        <f>SUM(K4:K34)</f>
        <v>126141.54</v>
      </c>
      <c r="L35" s="163">
        <f>SUM(L4:L34)</f>
        <v>10288.040000000001</v>
      </c>
      <c r="M35" s="163"/>
      <c r="N35" s="163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  <row r="37" spans="1:15">
      <c r="O37" s="70"/>
    </row>
    <row r="38" spans="1:15">
      <c r="O38" s="70"/>
    </row>
    <row r="39" spans="1:15">
      <c r="O39" s="70"/>
    </row>
    <row r="40" spans="1:15">
      <c r="O40" s="70"/>
    </row>
    <row r="41" spans="1:15">
      <c r="O41" s="70"/>
    </row>
    <row r="42" spans="1:15">
      <c r="A42" s="70"/>
      <c r="B42" s="60"/>
      <c r="C42" s="70"/>
      <c r="D42" s="70"/>
      <c r="E42" s="70"/>
      <c r="F42" s="70"/>
      <c r="G42" s="77"/>
      <c r="H42" s="70"/>
      <c r="I42" s="70"/>
      <c r="J42" s="60"/>
      <c r="K42" s="60"/>
      <c r="L42" s="60"/>
      <c r="M42" s="60"/>
      <c r="N42" s="70"/>
      <c r="O42" s="75"/>
    </row>
    <row r="43" spans="1:15">
      <c r="A43" s="70"/>
      <c r="B43" s="452"/>
      <c r="C43" s="452"/>
      <c r="D43" s="452"/>
      <c r="E43" s="452"/>
      <c r="F43" s="70"/>
      <c r="G43" s="70"/>
      <c r="H43" s="70"/>
      <c r="I43" s="452"/>
      <c r="J43" s="452"/>
      <c r="K43" s="452"/>
      <c r="L43" s="452"/>
      <c r="M43" s="452"/>
      <c r="N43" s="452"/>
      <c r="O43" s="75"/>
    </row>
    <row r="44" spans="1:15">
      <c r="A44" s="70"/>
      <c r="B44" s="60"/>
      <c r="C44" s="70"/>
      <c r="D44" s="70"/>
      <c r="E44" s="70"/>
      <c r="F44" s="70"/>
      <c r="G44" s="70"/>
      <c r="H44" s="70"/>
      <c r="I44" s="70"/>
      <c r="J44" s="60"/>
      <c r="K44" s="60"/>
      <c r="L44" s="60"/>
      <c r="M44" s="60"/>
      <c r="N44" s="70"/>
      <c r="O44" s="75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Q41"/>
  <sheetViews>
    <sheetView workbookViewId="0">
      <selection activeCell="M39" sqref="M39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7" ht="15.75">
      <c r="A1" s="436" t="s">
        <v>78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7" ht="30">
      <c r="A2" s="99" t="s">
        <v>101</v>
      </c>
      <c r="B2" s="100" t="s">
        <v>155</v>
      </c>
      <c r="C2" s="100" t="s">
        <v>156</v>
      </c>
      <c r="D2" s="100" t="s">
        <v>157</v>
      </c>
      <c r="E2" s="100" t="s">
        <v>158</v>
      </c>
      <c r="F2" s="100" t="s">
        <v>159</v>
      </c>
      <c r="G2" s="185" t="s">
        <v>160</v>
      </c>
      <c r="H2" s="100" t="s">
        <v>161</v>
      </c>
      <c r="I2" s="100" t="s">
        <v>159</v>
      </c>
      <c r="J2" s="188" t="s">
        <v>160</v>
      </c>
      <c r="K2" s="101" t="s">
        <v>162</v>
      </c>
      <c r="L2" s="140" t="s">
        <v>163</v>
      </c>
      <c r="M2" s="309" t="s">
        <v>174</v>
      </c>
      <c r="N2" s="102" t="s">
        <v>165</v>
      </c>
    </row>
    <row r="3" spans="1:17">
      <c r="A3" s="157"/>
      <c r="B3" s="17"/>
      <c r="C3" s="17"/>
      <c r="D3" s="222" t="s">
        <v>166</v>
      </c>
      <c r="E3" s="17"/>
      <c r="F3" s="17"/>
      <c r="G3" s="186"/>
      <c r="H3" s="17"/>
      <c r="I3" s="17"/>
      <c r="J3" s="186"/>
      <c r="K3" s="323">
        <v>437987.29220000107</v>
      </c>
      <c r="L3" s="17"/>
      <c r="M3" s="41">
        <v>437987.29220000107</v>
      </c>
      <c r="N3" s="17">
        <v>0</v>
      </c>
      <c r="O3">
        <v>0</v>
      </c>
      <c r="P3" s="22">
        <v>0</v>
      </c>
    </row>
    <row r="4" spans="1:17">
      <c r="A4" s="198">
        <v>1</v>
      </c>
      <c r="B4" s="221">
        <v>46054</v>
      </c>
      <c r="C4" s="138"/>
      <c r="D4" s="138"/>
      <c r="E4" s="247"/>
      <c r="F4" s="304"/>
      <c r="G4" s="255">
        <f t="shared" ref="G4:G36" si="0">E4*F4</f>
        <v>0</v>
      </c>
      <c r="H4" s="247"/>
      <c r="I4" s="255"/>
      <c r="J4" s="247">
        <f>H4*I4</f>
        <v>0</v>
      </c>
      <c r="K4" s="255">
        <f>G4+J4</f>
        <v>0</v>
      </c>
      <c r="L4" s="138"/>
      <c r="M4" s="310">
        <f>M3+K4-L4</f>
        <v>437987.29220000107</v>
      </c>
      <c r="N4" s="138"/>
      <c r="O4" s="22"/>
    </row>
    <row r="5" spans="1:17">
      <c r="A5" s="47">
        <v>2</v>
      </c>
      <c r="B5" s="221">
        <v>46055</v>
      </c>
      <c r="C5" s="17"/>
      <c r="D5" s="17"/>
      <c r="E5" s="247">
        <v>110.66</v>
      </c>
      <c r="F5" s="304">
        <v>91.48</v>
      </c>
      <c r="G5" s="255">
        <f>E5*F5</f>
        <v>10123.176799999999</v>
      </c>
      <c r="H5" s="247">
        <v>27</v>
      </c>
      <c r="I5" s="255">
        <v>103.41</v>
      </c>
      <c r="J5" s="247">
        <f t="shared" ref="J5:J36" si="1">H5*I5</f>
        <v>2792.0699999999997</v>
      </c>
      <c r="K5" s="255">
        <f t="shared" ref="K5:K39" si="2">G5+J5</f>
        <v>12915.246799999999</v>
      </c>
      <c r="L5" s="138">
        <v>438028</v>
      </c>
      <c r="M5" s="310">
        <f t="shared" ref="M5:M39" si="3">M4+K5-L5</f>
        <v>12874.539000001096</v>
      </c>
      <c r="N5" s="17"/>
      <c r="Q5">
        <v>437979</v>
      </c>
    </row>
    <row r="6" spans="1:17">
      <c r="A6" s="47">
        <v>3</v>
      </c>
      <c r="B6" s="221">
        <v>46056</v>
      </c>
      <c r="C6" s="17"/>
      <c r="D6" s="17"/>
      <c r="E6" s="247">
        <v>420.29</v>
      </c>
      <c r="F6" s="304">
        <v>91.48</v>
      </c>
      <c r="G6" s="255">
        <f t="shared" si="0"/>
        <v>38448.129200000003</v>
      </c>
      <c r="H6" s="247">
        <v>35</v>
      </c>
      <c r="I6" s="255">
        <v>103.41</v>
      </c>
      <c r="J6" s="247">
        <f t="shared" si="1"/>
        <v>3619.35</v>
      </c>
      <c r="K6" s="255">
        <f t="shared" si="2"/>
        <v>42067.479200000002</v>
      </c>
      <c r="L6" s="138"/>
      <c r="M6" s="310">
        <f t="shared" si="3"/>
        <v>54942.018200001097</v>
      </c>
      <c r="N6" s="17"/>
    </row>
    <row r="7" spans="1:17">
      <c r="A7" s="198">
        <v>4</v>
      </c>
      <c r="B7" s="221">
        <v>46057</v>
      </c>
      <c r="C7" s="17"/>
      <c r="D7" s="17"/>
      <c r="E7" s="247">
        <v>458.6</v>
      </c>
      <c r="F7" s="304">
        <v>91.48</v>
      </c>
      <c r="G7" s="255">
        <f t="shared" si="0"/>
        <v>41952.728000000003</v>
      </c>
      <c r="H7" s="247">
        <v>12</v>
      </c>
      <c r="I7" s="255">
        <v>103.41</v>
      </c>
      <c r="J7" s="247">
        <f t="shared" si="1"/>
        <v>1240.92</v>
      </c>
      <c r="K7" s="255">
        <f t="shared" si="2"/>
        <v>43193.648000000001</v>
      </c>
      <c r="L7" s="138"/>
      <c r="M7" s="310">
        <f t="shared" si="3"/>
        <v>98135.666200001098</v>
      </c>
      <c r="N7" s="17"/>
    </row>
    <row r="8" spans="1:17">
      <c r="A8" s="47">
        <v>5</v>
      </c>
      <c r="B8" s="221">
        <v>46058</v>
      </c>
      <c r="C8" s="17"/>
      <c r="D8" s="17"/>
      <c r="E8" s="247">
        <v>232.73</v>
      </c>
      <c r="F8" s="304">
        <v>91.48</v>
      </c>
      <c r="G8" s="255">
        <f t="shared" si="0"/>
        <v>21290.1404</v>
      </c>
      <c r="H8" s="247">
        <v>6</v>
      </c>
      <c r="I8" s="255">
        <v>103.41</v>
      </c>
      <c r="J8" s="247">
        <f t="shared" si="1"/>
        <v>620.46</v>
      </c>
      <c r="K8" s="255">
        <f t="shared" si="2"/>
        <v>21910.600399999999</v>
      </c>
      <c r="L8" s="138"/>
      <c r="M8" s="310">
        <f t="shared" si="3"/>
        <v>120046.26660000109</v>
      </c>
      <c r="N8" s="17"/>
    </row>
    <row r="9" spans="1:17">
      <c r="A9" s="47">
        <v>6</v>
      </c>
      <c r="B9" s="221">
        <v>46059</v>
      </c>
      <c r="C9" s="17"/>
      <c r="D9" s="17"/>
      <c r="E9" s="247">
        <v>525.79999999999995</v>
      </c>
      <c r="F9" s="304">
        <v>91.48</v>
      </c>
      <c r="G9" s="255">
        <f t="shared" si="0"/>
        <v>48100.184000000001</v>
      </c>
      <c r="H9" s="247"/>
      <c r="I9" s="247"/>
      <c r="J9" s="247">
        <f t="shared" si="1"/>
        <v>0</v>
      </c>
      <c r="K9" s="255">
        <f t="shared" si="2"/>
        <v>48100.184000000001</v>
      </c>
      <c r="L9" s="138"/>
      <c r="M9" s="310">
        <f t="shared" si="3"/>
        <v>168146.45060000109</v>
      </c>
      <c r="N9" s="17"/>
    </row>
    <row r="10" spans="1:17">
      <c r="A10" s="198">
        <v>7</v>
      </c>
      <c r="B10" s="221">
        <v>46060</v>
      </c>
      <c r="C10" s="17"/>
      <c r="D10" s="17"/>
      <c r="E10" s="247">
        <v>158.55000000000001</v>
      </c>
      <c r="F10" s="304">
        <v>91.48</v>
      </c>
      <c r="G10" s="255">
        <f t="shared" si="0"/>
        <v>14504.154000000002</v>
      </c>
      <c r="H10" s="247">
        <v>26</v>
      </c>
      <c r="I10" s="247">
        <v>103.41</v>
      </c>
      <c r="J10" s="247">
        <f t="shared" si="1"/>
        <v>2688.66</v>
      </c>
      <c r="K10" s="255">
        <f t="shared" si="2"/>
        <v>17192.814000000002</v>
      </c>
      <c r="L10" s="138"/>
      <c r="M10" s="310">
        <f t="shared" si="3"/>
        <v>185339.2646000011</v>
      </c>
      <c r="N10" s="17"/>
    </row>
    <row r="11" spans="1:17">
      <c r="A11" s="47">
        <v>8</v>
      </c>
      <c r="B11" s="221">
        <v>46061</v>
      </c>
      <c r="C11" s="17"/>
      <c r="D11" s="17"/>
      <c r="E11" s="247">
        <v>85.96</v>
      </c>
      <c r="F11" s="304">
        <v>91.48</v>
      </c>
      <c r="G11" s="255">
        <f t="shared" si="0"/>
        <v>7863.6207999999997</v>
      </c>
      <c r="H11" s="247"/>
      <c r="I11" s="247"/>
      <c r="J11" s="247">
        <f t="shared" si="1"/>
        <v>0</v>
      </c>
      <c r="K11" s="255">
        <f t="shared" si="2"/>
        <v>7863.6207999999997</v>
      </c>
      <c r="L11" s="138"/>
      <c r="M11" s="310">
        <f t="shared" si="3"/>
        <v>193202.88540000111</v>
      </c>
      <c r="N11" s="17"/>
    </row>
    <row r="12" spans="1:17">
      <c r="A12" s="47">
        <v>9</v>
      </c>
      <c r="B12" s="221">
        <v>46062</v>
      </c>
      <c r="C12" s="17"/>
      <c r="D12" s="17"/>
      <c r="E12" s="247">
        <v>1552.32</v>
      </c>
      <c r="F12" s="304">
        <v>91.48</v>
      </c>
      <c r="G12" s="255">
        <f t="shared" si="0"/>
        <v>142006.23360000001</v>
      </c>
      <c r="H12" s="247">
        <v>6</v>
      </c>
      <c r="I12" s="247">
        <v>103.41</v>
      </c>
      <c r="J12" s="247">
        <f t="shared" si="1"/>
        <v>620.46</v>
      </c>
      <c r="K12" s="255">
        <f t="shared" si="2"/>
        <v>142626.6936</v>
      </c>
      <c r="L12" s="138"/>
      <c r="M12" s="310">
        <f t="shared" si="3"/>
        <v>335829.57900000107</v>
      </c>
      <c r="N12" s="17"/>
      <c r="O12">
        <v>1032881</v>
      </c>
      <c r="P12" s="22">
        <f>M12-O12</f>
        <v>-697051.42099999893</v>
      </c>
    </row>
    <row r="13" spans="1:17">
      <c r="A13" s="198">
        <v>10</v>
      </c>
      <c r="B13" s="221">
        <v>46063</v>
      </c>
      <c r="C13" s="17"/>
      <c r="D13" s="17"/>
      <c r="E13" s="247">
        <v>455.3</v>
      </c>
      <c r="F13" s="304">
        <v>91.48</v>
      </c>
      <c r="G13" s="255">
        <f t="shared" si="0"/>
        <v>41650.844000000005</v>
      </c>
      <c r="H13" s="247"/>
      <c r="I13" s="247"/>
      <c r="J13" s="247">
        <f t="shared" si="1"/>
        <v>0</v>
      </c>
      <c r="K13" s="255">
        <f t="shared" si="2"/>
        <v>41650.844000000005</v>
      </c>
      <c r="L13" s="138"/>
      <c r="M13" s="310">
        <f t="shared" si="3"/>
        <v>377480.42300000106</v>
      </c>
      <c r="N13" s="17"/>
    </row>
    <row r="14" spans="1:17">
      <c r="A14" s="47">
        <v>11</v>
      </c>
      <c r="B14" s="221">
        <v>46064</v>
      </c>
      <c r="C14" s="17"/>
      <c r="D14" s="17"/>
      <c r="E14" s="247">
        <v>398.21</v>
      </c>
      <c r="F14" s="304">
        <v>91.48</v>
      </c>
      <c r="G14" s="255">
        <f t="shared" si="0"/>
        <v>36428.250800000002</v>
      </c>
      <c r="H14" s="247"/>
      <c r="I14" s="247"/>
      <c r="J14" s="247">
        <f t="shared" si="1"/>
        <v>0</v>
      </c>
      <c r="K14" s="255">
        <f t="shared" si="2"/>
        <v>36428.250800000002</v>
      </c>
      <c r="L14" s="138"/>
      <c r="M14" s="310">
        <f t="shared" si="3"/>
        <v>413908.67380000104</v>
      </c>
      <c r="N14" s="17"/>
    </row>
    <row r="15" spans="1:17">
      <c r="A15" s="47">
        <v>12</v>
      </c>
      <c r="B15" s="221">
        <v>46065</v>
      </c>
      <c r="C15" s="17"/>
      <c r="D15" s="17"/>
      <c r="E15" s="247">
        <v>780.55</v>
      </c>
      <c r="F15" s="304">
        <v>91.48</v>
      </c>
      <c r="G15" s="255">
        <f t="shared" si="0"/>
        <v>71404.713999999993</v>
      </c>
      <c r="H15" s="247">
        <v>20</v>
      </c>
      <c r="I15" s="247">
        <v>103.41</v>
      </c>
      <c r="J15" s="247">
        <f t="shared" si="1"/>
        <v>2068.1999999999998</v>
      </c>
      <c r="K15" s="255">
        <f t="shared" si="2"/>
        <v>73472.91399999999</v>
      </c>
      <c r="L15" s="138"/>
      <c r="M15" s="310">
        <f t="shared" si="3"/>
        <v>487381.58780000103</v>
      </c>
      <c r="N15" s="17"/>
    </row>
    <row r="16" spans="1:17">
      <c r="A16" s="198">
        <v>13</v>
      </c>
      <c r="B16" s="221">
        <v>46066</v>
      </c>
      <c r="C16" s="17"/>
      <c r="D16" s="17"/>
      <c r="E16" s="247">
        <v>457.75</v>
      </c>
      <c r="F16" s="304">
        <v>91.48</v>
      </c>
      <c r="G16" s="255">
        <f t="shared" si="0"/>
        <v>41874.97</v>
      </c>
      <c r="H16" s="247">
        <v>21</v>
      </c>
      <c r="I16" s="247">
        <v>103.41</v>
      </c>
      <c r="J16" s="247">
        <f t="shared" si="1"/>
        <v>2171.61</v>
      </c>
      <c r="K16" s="255">
        <f t="shared" si="2"/>
        <v>44046.58</v>
      </c>
      <c r="L16" s="138"/>
      <c r="M16" s="310">
        <f t="shared" si="3"/>
        <v>531428.16780000099</v>
      </c>
      <c r="N16" s="17"/>
    </row>
    <row r="17" spans="1:16">
      <c r="A17" s="47">
        <v>14</v>
      </c>
      <c r="B17" s="221">
        <v>46067</v>
      </c>
      <c r="C17" s="17"/>
      <c r="D17" s="17"/>
      <c r="E17" s="247">
        <v>462.05</v>
      </c>
      <c r="F17" s="304">
        <v>91.48</v>
      </c>
      <c r="G17" s="255">
        <f t="shared" si="0"/>
        <v>42268.334000000003</v>
      </c>
      <c r="H17" s="247"/>
      <c r="I17" s="247"/>
      <c r="J17" s="247">
        <f t="shared" si="1"/>
        <v>0</v>
      </c>
      <c r="K17" s="255">
        <f t="shared" si="2"/>
        <v>42268.334000000003</v>
      </c>
      <c r="L17" s="138"/>
      <c r="M17" s="310">
        <f t="shared" si="3"/>
        <v>573696.50180000102</v>
      </c>
      <c r="N17" s="17"/>
      <c r="P17" s="268"/>
    </row>
    <row r="18" spans="1:16">
      <c r="A18" s="47">
        <v>15</v>
      </c>
      <c r="B18" s="221">
        <v>46068</v>
      </c>
      <c r="C18" s="17"/>
      <c r="D18" s="17"/>
      <c r="E18" s="247">
        <v>358.69</v>
      </c>
      <c r="F18" s="304">
        <v>91.48</v>
      </c>
      <c r="G18" s="255">
        <f t="shared" si="0"/>
        <v>32812.961199999998</v>
      </c>
      <c r="H18" s="247"/>
      <c r="I18" s="247"/>
      <c r="J18" s="247">
        <f t="shared" si="1"/>
        <v>0</v>
      </c>
      <c r="K18" s="255">
        <f t="shared" si="2"/>
        <v>32812.961199999998</v>
      </c>
      <c r="L18" s="138"/>
      <c r="M18" s="310">
        <f t="shared" si="3"/>
        <v>606509.46300000104</v>
      </c>
      <c r="N18" s="17"/>
    </row>
    <row r="19" spans="1:16">
      <c r="A19" s="198">
        <v>16</v>
      </c>
      <c r="B19" s="221">
        <v>46069</v>
      </c>
      <c r="C19" s="17"/>
      <c r="D19" s="17"/>
      <c r="E19" s="247">
        <v>305.3</v>
      </c>
      <c r="F19" s="304">
        <v>91.48</v>
      </c>
      <c r="G19" s="255">
        <f t="shared" si="0"/>
        <v>27928.844000000001</v>
      </c>
      <c r="H19" s="247">
        <v>17</v>
      </c>
      <c r="I19" s="247">
        <v>103.41</v>
      </c>
      <c r="J19" s="247">
        <f t="shared" si="1"/>
        <v>1757.97</v>
      </c>
      <c r="K19" s="255">
        <f t="shared" si="2"/>
        <v>29686.814000000002</v>
      </c>
      <c r="L19" s="138"/>
      <c r="M19" s="310">
        <f t="shared" si="3"/>
        <v>636196.27700000105</v>
      </c>
      <c r="N19" s="17"/>
      <c r="P19" s="22">
        <f>M19-O19</f>
        <v>636196.27700000105</v>
      </c>
    </row>
    <row r="20" spans="1:16">
      <c r="A20" s="47">
        <v>17</v>
      </c>
      <c r="B20" s="221">
        <v>46070</v>
      </c>
      <c r="C20" s="17"/>
      <c r="D20" s="17"/>
      <c r="E20" s="247">
        <v>145.49</v>
      </c>
      <c r="F20" s="304">
        <v>91.48</v>
      </c>
      <c r="G20" s="255">
        <f t="shared" si="0"/>
        <v>13309.425200000001</v>
      </c>
      <c r="H20" s="247">
        <v>6</v>
      </c>
      <c r="I20" s="247">
        <v>103.41</v>
      </c>
      <c r="J20" s="247">
        <f t="shared" si="1"/>
        <v>620.46</v>
      </c>
      <c r="K20" s="255">
        <f t="shared" si="2"/>
        <v>13929.885200000001</v>
      </c>
      <c r="L20" s="138"/>
      <c r="M20" s="310">
        <f t="shared" si="3"/>
        <v>650126.16220000107</v>
      </c>
      <c r="N20" s="17"/>
    </row>
    <row r="21" spans="1:16">
      <c r="A21" s="47">
        <v>18</v>
      </c>
      <c r="B21" s="221">
        <v>46071</v>
      </c>
      <c r="C21" s="17"/>
      <c r="D21" s="17"/>
      <c r="E21" s="247">
        <v>292.99</v>
      </c>
      <c r="F21" s="304">
        <v>91.48</v>
      </c>
      <c r="G21" s="255">
        <f t="shared" si="0"/>
        <v>26802.725200000001</v>
      </c>
      <c r="H21" s="247">
        <v>12</v>
      </c>
      <c r="I21" s="247">
        <v>103.41</v>
      </c>
      <c r="J21" s="247">
        <f t="shared" si="1"/>
        <v>1240.92</v>
      </c>
      <c r="K21" s="255">
        <f t="shared" si="2"/>
        <v>28043.645199999999</v>
      </c>
      <c r="L21" s="138"/>
      <c r="M21" s="310">
        <f t="shared" si="3"/>
        <v>678169.8074000011</v>
      </c>
      <c r="N21" s="17"/>
    </row>
    <row r="22" spans="1:16">
      <c r="A22" s="198">
        <v>19</v>
      </c>
      <c r="B22" s="221">
        <v>46072</v>
      </c>
      <c r="C22" s="17"/>
      <c r="D22" s="17"/>
      <c r="E22" s="247">
        <v>385.24</v>
      </c>
      <c r="F22" s="304">
        <v>91.48</v>
      </c>
      <c r="G22" s="255">
        <f t="shared" si="0"/>
        <v>35241.7552</v>
      </c>
      <c r="H22" s="247"/>
      <c r="I22" s="247"/>
      <c r="J22" s="247">
        <f t="shared" si="1"/>
        <v>0</v>
      </c>
      <c r="K22" s="255">
        <f t="shared" si="2"/>
        <v>35241.7552</v>
      </c>
      <c r="L22" s="138"/>
      <c r="M22" s="310">
        <f t="shared" si="3"/>
        <v>713411.56260000111</v>
      </c>
      <c r="N22" s="17"/>
    </row>
    <row r="23" spans="1:16">
      <c r="A23" s="47">
        <v>20</v>
      </c>
      <c r="B23" s="221">
        <v>46073</v>
      </c>
      <c r="C23" s="17"/>
      <c r="D23" s="17"/>
      <c r="E23" s="247">
        <v>262</v>
      </c>
      <c r="F23" s="304">
        <v>91.48</v>
      </c>
      <c r="G23" s="255">
        <f t="shared" si="0"/>
        <v>23967.760000000002</v>
      </c>
      <c r="H23" s="247">
        <v>12</v>
      </c>
      <c r="I23" s="247">
        <v>103.41</v>
      </c>
      <c r="J23" s="247">
        <f t="shared" si="1"/>
        <v>1240.92</v>
      </c>
      <c r="K23" s="255">
        <f t="shared" si="2"/>
        <v>25208.68</v>
      </c>
      <c r="L23" s="138"/>
      <c r="M23" s="310">
        <f t="shared" si="3"/>
        <v>738620.24260000116</v>
      </c>
      <c r="N23" s="17"/>
    </row>
    <row r="24" spans="1:16">
      <c r="A24" s="47">
        <v>21</v>
      </c>
      <c r="B24" s="221">
        <v>46074</v>
      </c>
      <c r="C24" s="17"/>
      <c r="D24" s="17"/>
      <c r="E24" s="247">
        <v>759.99</v>
      </c>
      <c r="F24" s="304">
        <v>91.48</v>
      </c>
      <c r="G24" s="255">
        <f t="shared" si="0"/>
        <v>69523.885200000004</v>
      </c>
      <c r="H24" s="247">
        <v>6</v>
      </c>
      <c r="I24" s="247">
        <v>103.41</v>
      </c>
      <c r="J24" s="247">
        <f t="shared" si="1"/>
        <v>620.46</v>
      </c>
      <c r="K24" s="255">
        <f t="shared" si="2"/>
        <v>70144.345200000011</v>
      </c>
      <c r="L24" s="138"/>
      <c r="M24" s="310">
        <f t="shared" si="3"/>
        <v>808764.58780000114</v>
      </c>
      <c r="N24" s="17"/>
    </row>
    <row r="25" spans="1:16">
      <c r="A25" s="198">
        <v>22</v>
      </c>
      <c r="B25" s="221">
        <v>46075</v>
      </c>
      <c r="C25" s="17"/>
      <c r="D25" s="17"/>
      <c r="E25" s="247"/>
      <c r="F25" s="304"/>
      <c r="G25" s="255">
        <f t="shared" si="0"/>
        <v>0</v>
      </c>
      <c r="H25" s="247">
        <v>22</v>
      </c>
      <c r="I25" s="247">
        <v>103.41</v>
      </c>
      <c r="J25" s="247">
        <f t="shared" si="1"/>
        <v>2275.02</v>
      </c>
      <c r="K25" s="255">
        <f t="shared" si="2"/>
        <v>2275.02</v>
      </c>
      <c r="L25" s="138"/>
      <c r="M25" s="310">
        <f t="shared" si="3"/>
        <v>811039.60780000116</v>
      </c>
      <c r="N25" s="17"/>
    </row>
    <row r="26" spans="1:16">
      <c r="A26" s="47">
        <v>23</v>
      </c>
      <c r="B26" s="221">
        <v>46076</v>
      </c>
      <c r="C26" s="17"/>
      <c r="D26" s="17"/>
      <c r="E26" s="247">
        <v>133</v>
      </c>
      <c r="F26" s="304">
        <v>91.48</v>
      </c>
      <c r="G26" s="255">
        <f t="shared" si="0"/>
        <v>12166.84</v>
      </c>
      <c r="H26" s="247">
        <v>12</v>
      </c>
      <c r="I26" s="247">
        <v>103.41</v>
      </c>
      <c r="J26" s="247">
        <f t="shared" si="1"/>
        <v>1240.92</v>
      </c>
      <c r="K26" s="255">
        <f t="shared" si="2"/>
        <v>13407.76</v>
      </c>
      <c r="L26" s="138"/>
      <c r="M26" s="310">
        <f t="shared" si="3"/>
        <v>824447.36780000117</v>
      </c>
      <c r="N26" s="17"/>
    </row>
    <row r="27" spans="1:16">
      <c r="A27" s="47">
        <v>24</v>
      </c>
      <c r="B27" s="221">
        <v>46077</v>
      </c>
      <c r="C27" s="17"/>
      <c r="D27" s="17"/>
      <c r="E27" s="247">
        <v>37.82</v>
      </c>
      <c r="F27" s="304">
        <v>91.48</v>
      </c>
      <c r="G27" s="255">
        <f t="shared" si="0"/>
        <v>3459.7736</v>
      </c>
      <c r="H27" s="247">
        <v>9</v>
      </c>
      <c r="I27" s="247">
        <v>103.41</v>
      </c>
      <c r="J27" s="247">
        <f t="shared" si="1"/>
        <v>930.68999999999994</v>
      </c>
      <c r="K27" s="255">
        <f t="shared" si="2"/>
        <v>4390.4636</v>
      </c>
      <c r="L27" s="138"/>
      <c r="M27" s="310">
        <f t="shared" si="3"/>
        <v>828837.83140000119</v>
      </c>
      <c r="N27" s="17"/>
    </row>
    <row r="28" spans="1:16">
      <c r="A28" s="198">
        <v>25</v>
      </c>
      <c r="B28" s="221">
        <v>46078</v>
      </c>
      <c r="C28" s="17"/>
      <c r="D28" s="17"/>
      <c r="E28" s="247">
        <v>202.65</v>
      </c>
      <c r="F28" s="304">
        <v>91.48</v>
      </c>
      <c r="G28" s="255">
        <f t="shared" si="0"/>
        <v>18538.422000000002</v>
      </c>
      <c r="H28" s="247">
        <v>6</v>
      </c>
      <c r="I28" s="247">
        <v>103.41</v>
      </c>
      <c r="J28" s="247">
        <f t="shared" si="1"/>
        <v>620.46</v>
      </c>
      <c r="K28" s="255">
        <f t="shared" si="2"/>
        <v>19158.882000000001</v>
      </c>
      <c r="L28" s="138"/>
      <c r="M28" s="310">
        <f t="shared" si="3"/>
        <v>847996.71340000117</v>
      </c>
      <c r="N28" s="17"/>
    </row>
    <row r="29" spans="1:16">
      <c r="A29" s="47">
        <v>26</v>
      </c>
      <c r="B29" s="221">
        <v>46079</v>
      </c>
      <c r="C29" s="17"/>
      <c r="D29" s="17"/>
      <c r="E29" s="247">
        <v>734.07</v>
      </c>
      <c r="F29" s="304">
        <v>91.48</v>
      </c>
      <c r="G29" s="255">
        <f t="shared" si="0"/>
        <v>67152.723600000012</v>
      </c>
      <c r="H29" s="247">
        <v>6</v>
      </c>
      <c r="I29" s="247">
        <v>103.41</v>
      </c>
      <c r="J29" s="247">
        <f t="shared" si="1"/>
        <v>620.46</v>
      </c>
      <c r="K29" s="255">
        <f t="shared" si="2"/>
        <v>67773.183600000018</v>
      </c>
      <c r="L29" s="138">
        <v>750000</v>
      </c>
      <c r="M29" s="310">
        <f t="shared" si="3"/>
        <v>165769.89700000116</v>
      </c>
      <c r="N29" s="17"/>
    </row>
    <row r="30" spans="1:16">
      <c r="A30" s="47">
        <v>27</v>
      </c>
      <c r="B30" s="221">
        <v>46080</v>
      </c>
      <c r="C30" s="17"/>
      <c r="D30" s="17"/>
      <c r="E30" s="247">
        <v>203.88</v>
      </c>
      <c r="F30" s="304">
        <v>91.48</v>
      </c>
      <c r="G30" s="255">
        <f t="shared" si="0"/>
        <v>18650.9424</v>
      </c>
      <c r="H30" s="247">
        <v>22</v>
      </c>
      <c r="I30" s="247">
        <v>103.41</v>
      </c>
      <c r="J30" s="247">
        <f t="shared" si="1"/>
        <v>2275.02</v>
      </c>
      <c r="K30" s="255">
        <f t="shared" si="2"/>
        <v>20925.9624</v>
      </c>
      <c r="L30" s="138"/>
      <c r="M30" s="310">
        <f t="shared" si="3"/>
        <v>186695.85940000115</v>
      </c>
      <c r="N30" s="17"/>
    </row>
    <row r="31" spans="1:16">
      <c r="A31" s="198">
        <v>28</v>
      </c>
      <c r="B31" s="221">
        <v>46081</v>
      </c>
      <c r="C31" s="95"/>
      <c r="D31" s="95"/>
      <c r="E31" s="247">
        <v>442</v>
      </c>
      <c r="F31" s="304">
        <v>91.48</v>
      </c>
      <c r="G31" s="255">
        <f t="shared" si="0"/>
        <v>40434.160000000003</v>
      </c>
      <c r="H31" s="247">
        <v>6</v>
      </c>
      <c r="I31" s="247">
        <v>103.41</v>
      </c>
      <c r="J31" s="247">
        <f t="shared" si="1"/>
        <v>620.46</v>
      </c>
      <c r="K31" s="255">
        <f t="shared" si="2"/>
        <v>41054.620000000003</v>
      </c>
      <c r="L31" s="138"/>
      <c r="M31" s="310">
        <f t="shared" si="3"/>
        <v>227750.47940000115</v>
      </c>
      <c r="N31" s="95"/>
    </row>
    <row r="32" spans="1:16">
      <c r="A32" s="47">
        <v>29</v>
      </c>
      <c r="B32" s="221">
        <v>46082</v>
      </c>
      <c r="C32" s="17"/>
      <c r="D32" s="17"/>
      <c r="E32" s="247"/>
      <c r="F32" s="304"/>
      <c r="G32" s="255">
        <f t="shared" si="0"/>
        <v>0</v>
      </c>
      <c r="H32" s="247"/>
      <c r="I32" s="247"/>
      <c r="J32" s="247">
        <f t="shared" si="1"/>
        <v>0</v>
      </c>
      <c r="K32" s="255">
        <f t="shared" si="2"/>
        <v>0</v>
      </c>
      <c r="L32" s="138"/>
      <c r="M32" s="310">
        <f t="shared" si="3"/>
        <v>227750.47940000115</v>
      </c>
      <c r="N32" s="17"/>
    </row>
    <row r="33" spans="1:16">
      <c r="A33" s="47">
        <v>30</v>
      </c>
      <c r="B33" s="221">
        <v>46083</v>
      </c>
      <c r="C33" s="17"/>
      <c r="D33" s="17"/>
      <c r="E33" s="247"/>
      <c r="F33" s="304"/>
      <c r="G33" s="255">
        <f t="shared" si="0"/>
        <v>0</v>
      </c>
      <c r="H33" s="247"/>
      <c r="I33" s="247"/>
      <c r="J33" s="247">
        <f t="shared" si="1"/>
        <v>0</v>
      </c>
      <c r="K33" s="255">
        <f t="shared" si="2"/>
        <v>0</v>
      </c>
      <c r="L33" s="138"/>
      <c r="M33" s="310">
        <f t="shared" si="3"/>
        <v>227750.47940000115</v>
      </c>
      <c r="N33" s="17"/>
    </row>
    <row r="34" spans="1:16">
      <c r="A34" s="198">
        <v>31</v>
      </c>
      <c r="B34" s="221">
        <v>46084</v>
      </c>
      <c r="C34" s="17"/>
      <c r="D34" s="17"/>
      <c r="E34" s="247"/>
      <c r="F34" s="304"/>
      <c r="G34" s="255">
        <f t="shared" si="0"/>
        <v>0</v>
      </c>
      <c r="H34" s="247"/>
      <c r="I34" s="247"/>
      <c r="J34" s="247">
        <f t="shared" si="1"/>
        <v>0</v>
      </c>
      <c r="K34" s="255">
        <f t="shared" si="2"/>
        <v>0</v>
      </c>
      <c r="L34" s="138"/>
      <c r="M34" s="310">
        <f t="shared" si="3"/>
        <v>227750.47940000115</v>
      </c>
      <c r="N34" s="17"/>
    </row>
    <row r="35" spans="1:16">
      <c r="A35" s="47">
        <v>32</v>
      </c>
      <c r="B35" s="221"/>
      <c r="C35" s="17"/>
      <c r="D35" s="17"/>
      <c r="E35" s="247"/>
      <c r="F35" s="304"/>
      <c r="G35" s="255">
        <f t="shared" si="0"/>
        <v>0</v>
      </c>
      <c r="H35" s="247"/>
      <c r="I35" s="247"/>
      <c r="J35" s="247">
        <f t="shared" si="1"/>
        <v>0</v>
      </c>
      <c r="K35" s="255">
        <f t="shared" si="2"/>
        <v>0</v>
      </c>
      <c r="L35" s="138"/>
      <c r="M35" s="310">
        <f t="shared" si="3"/>
        <v>227750.47940000115</v>
      </c>
      <c r="N35" s="17"/>
    </row>
    <row r="36" spans="1:16">
      <c r="A36" s="47">
        <v>33</v>
      </c>
      <c r="B36" s="221"/>
      <c r="C36" s="17"/>
      <c r="D36" s="17"/>
      <c r="E36" s="247"/>
      <c r="F36" s="304"/>
      <c r="G36" s="255">
        <f t="shared" si="0"/>
        <v>0</v>
      </c>
      <c r="H36" s="247"/>
      <c r="I36" s="247"/>
      <c r="J36" s="247">
        <f t="shared" si="1"/>
        <v>0</v>
      </c>
      <c r="K36" s="255">
        <f t="shared" si="2"/>
        <v>0</v>
      </c>
      <c r="L36" s="138"/>
      <c r="M36" s="310">
        <f t="shared" si="3"/>
        <v>227750.47940000115</v>
      </c>
      <c r="N36" s="17"/>
    </row>
    <row r="37" spans="1:16">
      <c r="A37" s="198">
        <v>34</v>
      </c>
      <c r="B37" s="221"/>
      <c r="C37" s="17"/>
      <c r="D37" s="17"/>
      <c r="E37" s="247"/>
      <c r="F37" s="247"/>
      <c r="G37" s="255">
        <f t="shared" ref="G5:G39" si="4">E37*F37</f>
        <v>0</v>
      </c>
      <c r="H37" s="247"/>
      <c r="I37" s="247"/>
      <c r="J37" s="247">
        <f t="shared" ref="J5:J39" si="5">H37*I37</f>
        <v>0</v>
      </c>
      <c r="K37" s="255">
        <f t="shared" si="2"/>
        <v>0</v>
      </c>
      <c r="L37" s="138"/>
      <c r="M37" s="310">
        <f t="shared" si="3"/>
        <v>227750.47940000115</v>
      </c>
      <c r="N37" s="95"/>
    </row>
    <row r="38" spans="1:16">
      <c r="A38" s="47">
        <v>35</v>
      </c>
      <c r="B38" s="221"/>
      <c r="C38" s="17"/>
      <c r="D38" s="17"/>
      <c r="E38" s="247"/>
      <c r="F38" s="247"/>
      <c r="G38" s="255">
        <f t="shared" si="4"/>
        <v>0</v>
      </c>
      <c r="H38" s="247"/>
      <c r="I38" s="247"/>
      <c r="J38" s="247">
        <f t="shared" si="5"/>
        <v>0</v>
      </c>
      <c r="K38" s="255">
        <f t="shared" si="2"/>
        <v>0</v>
      </c>
      <c r="L38" s="138"/>
      <c r="M38" s="310">
        <f t="shared" si="3"/>
        <v>227750.47940000115</v>
      </c>
      <c r="N38" s="17"/>
      <c r="P38" s="22"/>
    </row>
    <row r="39" spans="1:16">
      <c r="A39" s="46"/>
      <c r="B39" s="221"/>
      <c r="C39" s="17"/>
      <c r="D39" s="17"/>
      <c r="E39" s="247">
        <v>0</v>
      </c>
      <c r="F39" s="247">
        <v>0</v>
      </c>
      <c r="G39" s="255">
        <f t="shared" si="4"/>
        <v>0</v>
      </c>
      <c r="H39" s="247"/>
      <c r="I39" s="247"/>
      <c r="J39" s="247">
        <f t="shared" si="5"/>
        <v>0</v>
      </c>
      <c r="K39" s="255">
        <f t="shared" si="2"/>
        <v>0</v>
      </c>
      <c r="L39" s="138"/>
      <c r="M39" s="310">
        <f t="shared" si="3"/>
        <v>227750.47940000115</v>
      </c>
      <c r="N39" s="17"/>
      <c r="P39" s="22"/>
    </row>
    <row r="40" spans="1:16">
      <c r="A40" s="183"/>
      <c r="B40" s="183"/>
      <c r="C40" s="183"/>
      <c r="D40" s="183"/>
      <c r="E40" s="183">
        <f>SUM(E4:E37)</f>
        <v>10361.889999999998</v>
      </c>
      <c r="F40" s="183"/>
      <c r="G40" s="183">
        <f>SUM(G4:G37)</f>
        <v>947905.69720000017</v>
      </c>
      <c r="H40" s="183">
        <f>SUM(H4:H37)</f>
        <v>289</v>
      </c>
      <c r="I40" s="183"/>
      <c r="J40" s="183">
        <f>SUM(J4:J37)</f>
        <v>29885.489999999998</v>
      </c>
      <c r="K40" s="183">
        <f>SUM(K4:K37)</f>
        <v>977791.18720000004</v>
      </c>
      <c r="L40" s="183">
        <f>SUM(L4:L37)</f>
        <v>1188028</v>
      </c>
      <c r="M40" s="183"/>
      <c r="N40" s="183"/>
    </row>
    <row r="41" spans="1:16">
      <c r="P41" s="22"/>
    </row>
  </sheetData>
  <mergeCells count="1">
    <mergeCell ref="A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workbookViewId="0">
      <selection activeCell="M34" sqref="M34"/>
    </sheetView>
  </sheetViews>
  <sheetFormatPr defaultRowHeight="15"/>
  <cols>
    <col min="2" max="2" width="10.1406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475" t="s">
        <v>263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7"/>
    </row>
    <row r="2" spans="1:16" ht="45" customHeight="1">
      <c r="A2" s="125" t="s">
        <v>101</v>
      </c>
      <c r="B2" s="215" t="s">
        <v>155</v>
      </c>
      <c r="C2" s="215" t="s">
        <v>156</v>
      </c>
      <c r="D2" s="215" t="s">
        <v>173</v>
      </c>
      <c r="E2" s="215" t="s">
        <v>158</v>
      </c>
      <c r="F2" s="215" t="s">
        <v>159</v>
      </c>
      <c r="G2" s="215" t="s">
        <v>160</v>
      </c>
      <c r="H2" s="215" t="s">
        <v>161</v>
      </c>
      <c r="I2" s="215" t="s">
        <v>159</v>
      </c>
      <c r="J2" s="215" t="s">
        <v>160</v>
      </c>
      <c r="K2" s="177" t="s">
        <v>162</v>
      </c>
      <c r="L2" s="177" t="s">
        <v>163</v>
      </c>
      <c r="M2" s="177" t="s">
        <v>174</v>
      </c>
      <c r="N2" s="215" t="s">
        <v>165</v>
      </c>
    </row>
    <row r="3" spans="1:16">
      <c r="A3" s="478" t="s">
        <v>166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80"/>
      <c r="M3" s="478">
        <v>306662.50849999988</v>
      </c>
      <c r="N3" s="480"/>
    </row>
    <row r="4" spans="1:16">
      <c r="A4" s="198">
        <v>1</v>
      </c>
      <c r="B4" s="221">
        <v>46054</v>
      </c>
      <c r="C4" s="41">
        <v>0</v>
      </c>
      <c r="D4" s="41"/>
      <c r="E4" s="270"/>
      <c r="F4" s="304"/>
      <c r="G4" s="41">
        <f>E4*F4</f>
        <v>0</v>
      </c>
      <c r="H4" s="41"/>
      <c r="I4" s="41"/>
      <c r="J4" s="41">
        <f>H4*I4</f>
        <v>0</v>
      </c>
      <c r="K4" s="41">
        <f>G4+J4</f>
        <v>0</v>
      </c>
      <c r="L4" s="41">
        <v>0</v>
      </c>
      <c r="M4" s="41">
        <f>M3+K4-L4</f>
        <v>306662.50849999988</v>
      </c>
      <c r="N4" s="41"/>
    </row>
    <row r="5" spans="1:16">
      <c r="A5" s="47">
        <v>2</v>
      </c>
      <c r="B5" s="221">
        <v>46055</v>
      </c>
      <c r="C5" s="41">
        <v>0</v>
      </c>
      <c r="D5" s="41"/>
      <c r="E5" s="270">
        <v>40</v>
      </c>
      <c r="F5" s="304">
        <v>91.31</v>
      </c>
      <c r="G5" s="41">
        <f t="shared" ref="G5:G34" si="0">E5*F5</f>
        <v>3652.4</v>
      </c>
      <c r="H5" s="41">
        <v>0</v>
      </c>
      <c r="I5" s="41">
        <v>103.23</v>
      </c>
      <c r="J5" s="41">
        <f t="shared" ref="J5:J34" si="1">H5*I5</f>
        <v>0</v>
      </c>
      <c r="K5" s="41">
        <f t="shared" ref="K5:K34" si="2">G5+J5</f>
        <v>3652.4</v>
      </c>
      <c r="L5" s="41">
        <v>306663</v>
      </c>
      <c r="M5" s="41">
        <f t="shared" ref="M5:M34" si="3">M4+K5-L5</f>
        <v>3651.9084999999031</v>
      </c>
      <c r="N5" s="41"/>
    </row>
    <row r="6" spans="1:16">
      <c r="A6" s="47">
        <v>3</v>
      </c>
      <c r="B6" s="221">
        <v>46056</v>
      </c>
      <c r="C6" s="41">
        <v>0</v>
      </c>
      <c r="D6" s="41"/>
      <c r="E6" s="304"/>
      <c r="F6" s="41"/>
      <c r="G6" s="41">
        <f t="shared" si="0"/>
        <v>0</v>
      </c>
      <c r="H6" s="41">
        <v>28</v>
      </c>
      <c r="I6" s="41">
        <v>103.23</v>
      </c>
      <c r="J6" s="41">
        <f t="shared" si="1"/>
        <v>2890.44</v>
      </c>
      <c r="K6" s="41">
        <f t="shared" si="2"/>
        <v>2890.44</v>
      </c>
      <c r="L6" s="41">
        <v>0</v>
      </c>
      <c r="M6" s="41">
        <f t="shared" si="3"/>
        <v>6542.3484999999037</v>
      </c>
      <c r="N6" s="41"/>
    </row>
    <row r="7" spans="1:16">
      <c r="A7" s="47">
        <v>4</v>
      </c>
      <c r="B7" s="221">
        <v>46057</v>
      </c>
      <c r="C7" s="41">
        <v>0</v>
      </c>
      <c r="D7" s="41"/>
      <c r="E7" s="270"/>
      <c r="F7" s="304"/>
      <c r="G7" s="41">
        <f t="shared" si="0"/>
        <v>0</v>
      </c>
      <c r="H7" s="41"/>
      <c r="I7" s="41"/>
      <c r="J7" s="41">
        <f t="shared" si="1"/>
        <v>0</v>
      </c>
      <c r="K7" s="41">
        <f t="shared" si="2"/>
        <v>0</v>
      </c>
      <c r="L7" s="41">
        <v>0</v>
      </c>
      <c r="M7" s="41">
        <f t="shared" si="3"/>
        <v>6542.3484999999037</v>
      </c>
      <c r="N7" s="41"/>
    </row>
    <row r="8" spans="1:16">
      <c r="A8" s="47">
        <v>5</v>
      </c>
      <c r="B8" s="221">
        <v>46058</v>
      </c>
      <c r="C8" s="41">
        <v>0</v>
      </c>
      <c r="D8" s="41"/>
      <c r="E8" s="270">
        <v>20</v>
      </c>
      <c r="F8" s="41">
        <v>91.31</v>
      </c>
      <c r="G8" s="41">
        <f t="shared" si="0"/>
        <v>1826.2</v>
      </c>
      <c r="H8" s="41"/>
      <c r="I8" s="41"/>
      <c r="J8" s="41">
        <f t="shared" si="1"/>
        <v>0</v>
      </c>
      <c r="K8" s="41">
        <f t="shared" si="2"/>
        <v>1826.2</v>
      </c>
      <c r="L8" s="41"/>
      <c r="M8" s="41">
        <f t="shared" si="3"/>
        <v>8368.5484999999044</v>
      </c>
      <c r="N8" s="41"/>
    </row>
    <row r="9" spans="1:16">
      <c r="A9" s="47">
        <v>6</v>
      </c>
      <c r="B9" s="221">
        <v>46059</v>
      </c>
      <c r="C9" s="41">
        <v>0</v>
      </c>
      <c r="D9" s="41"/>
      <c r="E9" s="270">
        <v>477</v>
      </c>
      <c r="F9" s="41">
        <v>91.31</v>
      </c>
      <c r="G9" s="41">
        <f t="shared" si="0"/>
        <v>43554.87</v>
      </c>
      <c r="H9" s="41">
        <v>6</v>
      </c>
      <c r="I9" s="41">
        <v>103.23</v>
      </c>
      <c r="J9" s="41">
        <f t="shared" si="1"/>
        <v>619.38</v>
      </c>
      <c r="K9" s="41">
        <f t="shared" si="2"/>
        <v>44174.25</v>
      </c>
      <c r="L9" s="41"/>
      <c r="M9" s="41">
        <f t="shared" si="3"/>
        <v>52542.798499999903</v>
      </c>
      <c r="N9" s="41"/>
    </row>
    <row r="10" spans="1:16">
      <c r="A10" s="47">
        <v>7</v>
      </c>
      <c r="B10" s="221">
        <v>46060</v>
      </c>
      <c r="C10" s="41">
        <v>0</v>
      </c>
      <c r="D10" s="41"/>
      <c r="E10" s="270">
        <v>400</v>
      </c>
      <c r="F10" s="41">
        <v>91.31</v>
      </c>
      <c r="G10" s="41">
        <f t="shared" si="0"/>
        <v>36524</v>
      </c>
      <c r="H10" s="41"/>
      <c r="I10" s="41"/>
      <c r="J10" s="41">
        <f t="shared" si="1"/>
        <v>0</v>
      </c>
      <c r="K10" s="41">
        <f t="shared" si="2"/>
        <v>36524</v>
      </c>
      <c r="L10" s="41"/>
      <c r="M10" s="41">
        <f t="shared" si="3"/>
        <v>89066.798499999903</v>
      </c>
      <c r="N10" s="41"/>
    </row>
    <row r="11" spans="1:16">
      <c r="A11" s="47">
        <v>8</v>
      </c>
      <c r="B11" s="221">
        <v>46061</v>
      </c>
      <c r="C11" s="41">
        <v>0</v>
      </c>
      <c r="D11" s="41"/>
      <c r="E11" s="270"/>
      <c r="F11" s="304"/>
      <c r="G11" s="41">
        <f t="shared" si="0"/>
        <v>0</v>
      </c>
      <c r="H11" s="41"/>
      <c r="I11" s="41"/>
      <c r="J11" s="41">
        <f t="shared" si="1"/>
        <v>0</v>
      </c>
      <c r="K11" s="41">
        <f t="shared" si="2"/>
        <v>0</v>
      </c>
      <c r="L11" s="41"/>
      <c r="M11" s="41">
        <f t="shared" si="3"/>
        <v>89066.798499999903</v>
      </c>
      <c r="N11" s="41"/>
      <c r="P11" s="22"/>
    </row>
    <row r="12" spans="1:16">
      <c r="A12" s="47">
        <v>9</v>
      </c>
      <c r="B12" s="221">
        <v>46062</v>
      </c>
      <c r="C12" s="41">
        <v>0</v>
      </c>
      <c r="D12" s="41"/>
      <c r="E12" s="270"/>
      <c r="F12" s="304"/>
      <c r="G12" s="41">
        <f t="shared" si="0"/>
        <v>0</v>
      </c>
      <c r="H12" s="41">
        <v>6</v>
      </c>
      <c r="I12" s="41">
        <v>103.23</v>
      </c>
      <c r="J12" s="41">
        <f t="shared" si="1"/>
        <v>619.38</v>
      </c>
      <c r="K12" s="41">
        <f t="shared" si="2"/>
        <v>619.38</v>
      </c>
      <c r="L12" s="41"/>
      <c r="M12" s="41">
        <f t="shared" si="3"/>
        <v>89686.178499999907</v>
      </c>
      <c r="N12" s="41"/>
    </row>
    <row r="13" spans="1:16">
      <c r="A13" s="47">
        <v>10</v>
      </c>
      <c r="B13" s="221">
        <v>46063</v>
      </c>
      <c r="C13" s="41">
        <v>0</v>
      </c>
      <c r="D13" s="41"/>
      <c r="E13" s="270">
        <v>40</v>
      </c>
      <c r="F13" s="304">
        <v>91.31</v>
      </c>
      <c r="G13" s="41">
        <f t="shared" si="0"/>
        <v>3652.4</v>
      </c>
      <c r="H13" s="41">
        <v>11</v>
      </c>
      <c r="I13" s="41">
        <v>103.23</v>
      </c>
      <c r="J13" s="41">
        <f t="shared" si="1"/>
        <v>1135.53</v>
      </c>
      <c r="K13" s="41">
        <f t="shared" si="2"/>
        <v>4787.93</v>
      </c>
      <c r="L13" s="41"/>
      <c r="M13" s="41">
        <f t="shared" si="3"/>
        <v>94474.108499999915</v>
      </c>
      <c r="N13" s="41"/>
    </row>
    <row r="14" spans="1:16">
      <c r="A14" s="47">
        <v>11</v>
      </c>
      <c r="B14" s="221">
        <v>46064</v>
      </c>
      <c r="C14" s="41">
        <v>0</v>
      </c>
      <c r="D14" s="41"/>
      <c r="E14" s="270">
        <v>1043.06</v>
      </c>
      <c r="F14" s="304">
        <v>91.31</v>
      </c>
      <c r="G14" s="41">
        <f t="shared" si="0"/>
        <v>95241.808600000004</v>
      </c>
      <c r="H14" s="41">
        <v>6</v>
      </c>
      <c r="I14" s="41">
        <v>103.23</v>
      </c>
      <c r="J14" s="41">
        <f t="shared" si="1"/>
        <v>619.38</v>
      </c>
      <c r="K14" s="41">
        <f t="shared" si="2"/>
        <v>95861.188600000009</v>
      </c>
      <c r="L14" s="41"/>
      <c r="M14" s="41">
        <f t="shared" si="3"/>
        <v>190335.29709999991</v>
      </c>
      <c r="N14" s="41"/>
    </row>
    <row r="15" spans="1:16">
      <c r="A15" s="47">
        <v>12</v>
      </c>
      <c r="B15" s="221">
        <v>46065</v>
      </c>
      <c r="C15" s="41">
        <v>0</v>
      </c>
      <c r="D15" s="41"/>
      <c r="E15" s="270">
        <v>40</v>
      </c>
      <c r="F15" s="304">
        <v>91.31</v>
      </c>
      <c r="G15" s="41">
        <f t="shared" si="0"/>
        <v>3652.4</v>
      </c>
      <c r="H15" s="41">
        <v>6</v>
      </c>
      <c r="I15" s="41">
        <v>103.23</v>
      </c>
      <c r="J15" s="41">
        <f t="shared" si="1"/>
        <v>619.38</v>
      </c>
      <c r="K15" s="41">
        <f t="shared" si="2"/>
        <v>4271.78</v>
      </c>
      <c r="L15" s="41"/>
      <c r="M15" s="41">
        <f t="shared" si="3"/>
        <v>194607.07709999991</v>
      </c>
      <c r="N15" s="41"/>
    </row>
    <row r="16" spans="1:16">
      <c r="A16" s="47">
        <v>13</v>
      </c>
      <c r="B16" s="221">
        <v>46066</v>
      </c>
      <c r="C16" s="41">
        <v>0</v>
      </c>
      <c r="D16" s="41"/>
      <c r="E16" s="270">
        <v>0</v>
      </c>
      <c r="F16" s="304">
        <v>91.31</v>
      </c>
      <c r="G16" s="41">
        <f t="shared" si="0"/>
        <v>0</v>
      </c>
      <c r="H16" s="41">
        <v>0</v>
      </c>
      <c r="I16" s="41">
        <v>103.23</v>
      </c>
      <c r="J16" s="41">
        <f t="shared" si="1"/>
        <v>0</v>
      </c>
      <c r="K16" s="41">
        <f t="shared" si="2"/>
        <v>0</v>
      </c>
      <c r="L16" s="41"/>
      <c r="M16" s="41">
        <f>M15+K16-L16</f>
        <v>194607.07709999991</v>
      </c>
      <c r="N16" s="41"/>
    </row>
    <row r="17" spans="1:14">
      <c r="A17" s="47">
        <v>14</v>
      </c>
      <c r="B17" s="221">
        <v>46067</v>
      </c>
      <c r="C17" s="41">
        <v>0</v>
      </c>
      <c r="D17" s="41"/>
      <c r="E17" s="270">
        <v>525.29</v>
      </c>
      <c r="F17" s="304">
        <v>91.31</v>
      </c>
      <c r="G17" s="41">
        <f t="shared" si="0"/>
        <v>47964.229899999998</v>
      </c>
      <c r="H17" s="41">
        <v>6</v>
      </c>
      <c r="I17" s="41">
        <v>103.23</v>
      </c>
      <c r="J17" s="41">
        <f t="shared" si="1"/>
        <v>619.38</v>
      </c>
      <c r="K17" s="41">
        <f t="shared" si="2"/>
        <v>48583.609899999996</v>
      </c>
      <c r="L17" s="41"/>
      <c r="M17" s="41">
        <f t="shared" si="3"/>
        <v>243190.68699999992</v>
      </c>
      <c r="N17" s="41"/>
    </row>
    <row r="18" spans="1:14">
      <c r="A18" s="47">
        <v>15</v>
      </c>
      <c r="B18" s="221">
        <v>46068</v>
      </c>
      <c r="C18" s="41">
        <v>0</v>
      </c>
      <c r="D18" s="41"/>
      <c r="E18" s="270">
        <v>0</v>
      </c>
      <c r="F18" s="304">
        <v>91.31</v>
      </c>
      <c r="G18" s="41">
        <f t="shared" si="0"/>
        <v>0</v>
      </c>
      <c r="H18" s="41"/>
      <c r="I18" s="41"/>
      <c r="J18" s="41">
        <f t="shared" si="1"/>
        <v>0</v>
      </c>
      <c r="K18" s="41">
        <f t="shared" si="2"/>
        <v>0</v>
      </c>
      <c r="L18" s="41"/>
      <c r="M18" s="41">
        <f t="shared" si="3"/>
        <v>243190.68699999992</v>
      </c>
      <c r="N18" s="41"/>
    </row>
    <row r="19" spans="1:14">
      <c r="A19" s="47">
        <v>16</v>
      </c>
      <c r="B19" s="221">
        <v>46069</v>
      </c>
      <c r="C19" s="41">
        <v>0</v>
      </c>
      <c r="D19" s="41"/>
      <c r="E19" s="270">
        <v>400</v>
      </c>
      <c r="F19" s="304">
        <v>91.31</v>
      </c>
      <c r="G19" s="41">
        <f t="shared" si="0"/>
        <v>36524</v>
      </c>
      <c r="H19" s="41"/>
      <c r="I19" s="41"/>
      <c r="J19" s="41">
        <f t="shared" si="1"/>
        <v>0</v>
      </c>
      <c r="K19" s="41">
        <f t="shared" si="2"/>
        <v>36524</v>
      </c>
      <c r="L19" s="41"/>
      <c r="M19" s="41">
        <f t="shared" si="3"/>
        <v>279714.68699999992</v>
      </c>
      <c r="N19" s="41"/>
    </row>
    <row r="20" spans="1:14">
      <c r="A20" s="47">
        <v>17</v>
      </c>
      <c r="B20" s="221">
        <v>46070</v>
      </c>
      <c r="C20" s="41">
        <v>0</v>
      </c>
      <c r="D20" s="41"/>
      <c r="E20" s="270">
        <v>40</v>
      </c>
      <c r="F20" s="304">
        <v>91.31</v>
      </c>
      <c r="G20" s="41">
        <f t="shared" si="0"/>
        <v>3652.4</v>
      </c>
      <c r="H20" s="41">
        <v>5</v>
      </c>
      <c r="I20" s="41">
        <v>103.23</v>
      </c>
      <c r="J20" s="41">
        <f t="shared" si="1"/>
        <v>516.15</v>
      </c>
      <c r="K20" s="41">
        <f t="shared" si="2"/>
        <v>4168.55</v>
      </c>
      <c r="L20" s="41"/>
      <c r="M20" s="41">
        <f t="shared" si="3"/>
        <v>283883.23699999991</v>
      </c>
      <c r="N20" s="41"/>
    </row>
    <row r="21" spans="1:14">
      <c r="A21" s="47">
        <v>18</v>
      </c>
      <c r="B21" s="221">
        <v>46071</v>
      </c>
      <c r="C21" s="41">
        <v>0</v>
      </c>
      <c r="D21" s="41"/>
      <c r="E21" s="270">
        <v>400</v>
      </c>
      <c r="F21" s="304">
        <v>91.31</v>
      </c>
      <c r="G21" s="41">
        <f t="shared" si="0"/>
        <v>36524</v>
      </c>
      <c r="H21" s="41"/>
      <c r="I21" s="41"/>
      <c r="J21" s="41">
        <f t="shared" si="1"/>
        <v>0</v>
      </c>
      <c r="K21" s="41">
        <f t="shared" si="2"/>
        <v>36524</v>
      </c>
      <c r="L21" s="41"/>
      <c r="M21" s="41">
        <f>M20+K21-L21</f>
        <v>320407.23699999991</v>
      </c>
      <c r="N21" s="41"/>
    </row>
    <row r="22" spans="1:14">
      <c r="A22" s="47">
        <v>19</v>
      </c>
      <c r="B22" s="221">
        <v>46072</v>
      </c>
      <c r="C22" s="41">
        <v>0</v>
      </c>
      <c r="D22" s="41"/>
      <c r="E22" s="270">
        <v>53.74</v>
      </c>
      <c r="F22" s="304">
        <v>91.31</v>
      </c>
      <c r="G22" s="41">
        <f t="shared" si="0"/>
        <v>4906.9994000000006</v>
      </c>
      <c r="H22" s="41"/>
      <c r="I22" s="41"/>
      <c r="J22" s="41">
        <f t="shared" si="1"/>
        <v>0</v>
      </c>
      <c r="K22" s="41">
        <f t="shared" si="2"/>
        <v>4906.9994000000006</v>
      </c>
      <c r="L22" s="41"/>
      <c r="M22" s="41">
        <f t="shared" si="3"/>
        <v>325314.23639999994</v>
      </c>
      <c r="N22" s="41"/>
    </row>
    <row r="23" spans="1:14">
      <c r="A23" s="47">
        <v>20</v>
      </c>
      <c r="B23" s="221">
        <v>46073</v>
      </c>
      <c r="C23" s="41">
        <v>0</v>
      </c>
      <c r="D23" s="41"/>
      <c r="E23" s="270">
        <v>90</v>
      </c>
      <c r="F23" s="304">
        <v>91.31</v>
      </c>
      <c r="G23" s="41">
        <f t="shared" si="0"/>
        <v>8217.9</v>
      </c>
      <c r="H23" s="41">
        <v>22</v>
      </c>
      <c r="I23" s="41">
        <v>103.23</v>
      </c>
      <c r="J23" s="41">
        <f t="shared" si="1"/>
        <v>2271.06</v>
      </c>
      <c r="K23" s="41">
        <f t="shared" si="2"/>
        <v>10488.96</v>
      </c>
      <c r="L23" s="41"/>
      <c r="M23" s="41">
        <f t="shared" si="3"/>
        <v>335803.19639999996</v>
      </c>
      <c r="N23" s="41"/>
    </row>
    <row r="24" spans="1:14">
      <c r="A24" s="47">
        <v>21</v>
      </c>
      <c r="B24" s="221">
        <v>46074</v>
      </c>
      <c r="C24" s="41">
        <v>0</v>
      </c>
      <c r="D24" s="41"/>
      <c r="E24" s="270"/>
      <c r="F24" s="304"/>
      <c r="G24" s="41">
        <f t="shared" si="0"/>
        <v>0</v>
      </c>
      <c r="H24" s="41"/>
      <c r="I24" s="41"/>
      <c r="J24" s="41">
        <f t="shared" si="1"/>
        <v>0</v>
      </c>
      <c r="K24" s="41">
        <f t="shared" si="2"/>
        <v>0</v>
      </c>
      <c r="L24" s="41"/>
      <c r="M24" s="41">
        <f t="shared" si="3"/>
        <v>335803.19639999996</v>
      </c>
      <c r="N24" s="41"/>
    </row>
    <row r="25" spans="1:14">
      <c r="A25" s="47">
        <v>22</v>
      </c>
      <c r="B25" s="221">
        <v>46075</v>
      </c>
      <c r="C25" s="41">
        <v>0</v>
      </c>
      <c r="D25" s="41"/>
      <c r="E25" s="270"/>
      <c r="F25" s="304"/>
      <c r="G25" s="41">
        <f t="shared" si="0"/>
        <v>0</v>
      </c>
      <c r="H25" s="41"/>
      <c r="I25" s="41"/>
      <c r="J25" s="41">
        <f t="shared" si="1"/>
        <v>0</v>
      </c>
      <c r="K25" s="41">
        <f t="shared" si="2"/>
        <v>0</v>
      </c>
      <c r="L25" s="41"/>
      <c r="M25" s="41">
        <f t="shared" si="3"/>
        <v>335803.19639999996</v>
      </c>
      <c r="N25" s="41"/>
    </row>
    <row r="26" spans="1:14">
      <c r="A26" s="47">
        <v>23</v>
      </c>
      <c r="B26" s="221">
        <v>46076</v>
      </c>
      <c r="C26" s="41">
        <v>0</v>
      </c>
      <c r="D26" s="41"/>
      <c r="E26" s="270"/>
      <c r="F26" s="304"/>
      <c r="G26" s="41">
        <f t="shared" si="0"/>
        <v>0</v>
      </c>
      <c r="H26" s="41"/>
      <c r="I26" s="41"/>
      <c r="J26" s="41">
        <f t="shared" si="1"/>
        <v>0</v>
      </c>
      <c r="K26" s="41">
        <f t="shared" si="2"/>
        <v>0</v>
      </c>
      <c r="L26" s="41"/>
      <c r="M26" s="41">
        <f t="shared" si="3"/>
        <v>335803.19639999996</v>
      </c>
      <c r="N26" s="41"/>
    </row>
    <row r="27" spans="1:14">
      <c r="A27" s="47">
        <v>24</v>
      </c>
      <c r="B27" s="221">
        <v>46077</v>
      </c>
      <c r="C27" s="41">
        <v>0</v>
      </c>
      <c r="D27" s="41"/>
      <c r="E27" s="270"/>
      <c r="F27" s="304"/>
      <c r="G27" s="41">
        <f t="shared" si="0"/>
        <v>0</v>
      </c>
      <c r="H27" s="41"/>
      <c r="I27" s="41"/>
      <c r="J27" s="41">
        <f t="shared" si="1"/>
        <v>0</v>
      </c>
      <c r="K27" s="41">
        <f t="shared" si="2"/>
        <v>0</v>
      </c>
      <c r="L27" s="41"/>
      <c r="M27" s="41">
        <f t="shared" si="3"/>
        <v>335803.19639999996</v>
      </c>
      <c r="N27" s="41"/>
    </row>
    <row r="28" spans="1:14">
      <c r="A28" s="223">
        <v>25</v>
      </c>
      <c r="B28" s="221">
        <v>46078</v>
      </c>
      <c r="C28" s="41">
        <v>0</v>
      </c>
      <c r="D28" s="41"/>
      <c r="E28" s="270">
        <v>40</v>
      </c>
      <c r="F28" s="304">
        <v>91.31</v>
      </c>
      <c r="G28" s="41">
        <f t="shared" si="0"/>
        <v>3652.4</v>
      </c>
      <c r="H28" s="41"/>
      <c r="I28" s="41"/>
      <c r="J28" s="41">
        <f t="shared" si="1"/>
        <v>0</v>
      </c>
      <c r="K28" s="41">
        <f t="shared" si="2"/>
        <v>3652.4</v>
      </c>
      <c r="L28" s="41"/>
      <c r="M28" s="41">
        <f t="shared" si="3"/>
        <v>339455.59639999998</v>
      </c>
      <c r="N28" s="41"/>
    </row>
    <row r="29" spans="1:14">
      <c r="A29" s="223">
        <v>26</v>
      </c>
      <c r="B29" s="221">
        <v>46079</v>
      </c>
      <c r="C29" s="41">
        <v>0</v>
      </c>
      <c r="D29" s="41"/>
      <c r="E29" s="270"/>
      <c r="F29" s="304"/>
      <c r="G29" s="41">
        <f t="shared" si="0"/>
        <v>0</v>
      </c>
      <c r="H29" s="41"/>
      <c r="I29" s="41"/>
      <c r="J29" s="41">
        <f t="shared" si="1"/>
        <v>0</v>
      </c>
      <c r="K29" s="41">
        <f t="shared" si="2"/>
        <v>0</v>
      </c>
      <c r="L29" s="41">
        <v>300000</v>
      </c>
      <c r="M29" s="41">
        <f t="shared" si="3"/>
        <v>39455.59639999998</v>
      </c>
      <c r="N29" s="41"/>
    </row>
    <row r="30" spans="1:14">
      <c r="A30" s="223">
        <v>27</v>
      </c>
      <c r="B30" s="221">
        <v>46080</v>
      </c>
      <c r="C30" s="41">
        <v>0</v>
      </c>
      <c r="D30" s="41"/>
      <c r="E30" s="270"/>
      <c r="F30" s="304"/>
      <c r="G30" s="41">
        <f t="shared" si="0"/>
        <v>0</v>
      </c>
      <c r="H30" s="41">
        <v>6</v>
      </c>
      <c r="I30" s="41">
        <v>103.23</v>
      </c>
      <c r="J30" s="41">
        <f t="shared" si="1"/>
        <v>619.38</v>
      </c>
      <c r="K30" s="41">
        <f t="shared" si="2"/>
        <v>619.38</v>
      </c>
      <c r="L30" s="41"/>
      <c r="M30" s="41">
        <f t="shared" si="3"/>
        <v>40074.976399999978</v>
      </c>
      <c r="N30" s="41"/>
    </row>
    <row r="31" spans="1:14">
      <c r="A31" s="223">
        <v>28</v>
      </c>
      <c r="B31" s="221">
        <v>46081</v>
      </c>
      <c r="C31" s="41">
        <v>0</v>
      </c>
      <c r="D31" s="41"/>
      <c r="E31" s="270">
        <v>600</v>
      </c>
      <c r="F31" s="304">
        <v>91.31</v>
      </c>
      <c r="G31" s="41">
        <f t="shared" si="0"/>
        <v>54786</v>
      </c>
      <c r="H31" s="41"/>
      <c r="I31" s="41"/>
      <c r="J31" s="41">
        <f t="shared" si="1"/>
        <v>0</v>
      </c>
      <c r="K31" s="41">
        <f t="shared" si="2"/>
        <v>54786</v>
      </c>
      <c r="L31" s="41"/>
      <c r="M31" s="41">
        <f t="shared" si="3"/>
        <v>94860.976399999985</v>
      </c>
      <c r="N31" s="41"/>
    </row>
    <row r="32" spans="1:14">
      <c r="A32" s="224">
        <v>29</v>
      </c>
      <c r="B32" s="221">
        <v>46082</v>
      </c>
      <c r="C32" s="41">
        <v>0</v>
      </c>
      <c r="D32" s="41"/>
      <c r="E32" s="270"/>
      <c r="F32" s="304"/>
      <c r="G32" s="41">
        <f t="shared" si="0"/>
        <v>0</v>
      </c>
      <c r="H32" s="41"/>
      <c r="I32" s="41"/>
      <c r="J32" s="41">
        <f t="shared" si="1"/>
        <v>0</v>
      </c>
      <c r="K32" s="41">
        <f t="shared" si="2"/>
        <v>0</v>
      </c>
      <c r="L32" s="41"/>
      <c r="M32" s="41">
        <f t="shared" si="3"/>
        <v>94860.976399999985</v>
      </c>
      <c r="N32" s="41"/>
    </row>
    <row r="33" spans="1:14">
      <c r="A33" s="224">
        <v>30</v>
      </c>
      <c r="B33" s="221">
        <v>46083</v>
      </c>
      <c r="C33" s="41">
        <v>0</v>
      </c>
      <c r="D33" s="41"/>
      <c r="E33" s="270"/>
      <c r="F33" s="304"/>
      <c r="G33" s="41">
        <f t="shared" si="0"/>
        <v>0</v>
      </c>
      <c r="H33" s="41"/>
      <c r="I33" s="41"/>
      <c r="J33" s="41">
        <f t="shared" si="1"/>
        <v>0</v>
      </c>
      <c r="K33" s="41">
        <f t="shared" si="2"/>
        <v>0</v>
      </c>
      <c r="L33" s="41">
        <v>0</v>
      </c>
      <c r="M33" s="41">
        <f t="shared" si="3"/>
        <v>94860.976399999985</v>
      </c>
      <c r="N33" s="41"/>
    </row>
    <row r="34" spans="1:14">
      <c r="A34" s="224">
        <v>31</v>
      </c>
      <c r="B34" s="221">
        <v>46084</v>
      </c>
      <c r="C34" s="41">
        <v>0</v>
      </c>
      <c r="D34" s="41"/>
      <c r="E34" s="270"/>
      <c r="F34" s="304"/>
      <c r="G34" s="41">
        <f t="shared" si="0"/>
        <v>0</v>
      </c>
      <c r="H34" s="41"/>
      <c r="I34" s="41"/>
      <c r="J34" s="41">
        <f t="shared" si="1"/>
        <v>0</v>
      </c>
      <c r="K34" s="41">
        <f t="shared" si="2"/>
        <v>0</v>
      </c>
      <c r="L34" s="41">
        <v>0</v>
      </c>
      <c r="M34" s="41">
        <f t="shared" si="3"/>
        <v>94860.976399999985</v>
      </c>
      <c r="N34" s="41"/>
    </row>
    <row r="35" spans="1:14">
      <c r="A35" s="183"/>
      <c r="B35" s="183"/>
      <c r="C35" s="183"/>
      <c r="D35" s="183"/>
      <c r="E35" s="183">
        <f>SUM(E4:E34)</f>
        <v>4209.09</v>
      </c>
      <c r="F35" s="183"/>
      <c r="G35" s="183">
        <f>SUM(G4:G34)</f>
        <v>384332.00790000008</v>
      </c>
      <c r="H35" s="183">
        <f>SUM(H4:H34)</f>
        <v>102</v>
      </c>
      <c r="I35" s="183"/>
      <c r="J35" s="183">
        <f>SUM(J4:J34)</f>
        <v>10529.46</v>
      </c>
      <c r="K35" s="183">
        <f>SUM(K4:K34)</f>
        <v>394861.46790000011</v>
      </c>
      <c r="L35" s="183">
        <f>SUM(L4:L34)</f>
        <v>606663</v>
      </c>
      <c r="M35" s="183"/>
      <c r="N35" s="183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topLeftCell="A18" workbookViewId="0">
      <selection activeCell="I16" sqref="I16"/>
    </sheetView>
  </sheetViews>
  <sheetFormatPr defaultRowHeight="15"/>
  <cols>
    <col min="7" max="7" width="10.42578125" bestFit="1" customWidth="1"/>
    <col min="11" max="11" width="13.5703125" bestFit="1" customWidth="1"/>
    <col min="12" max="12" width="10.42578125" bestFit="1" customWidth="1"/>
    <col min="13" max="13" width="10.5703125" bestFit="1" customWidth="1"/>
  </cols>
  <sheetData>
    <row r="1" spans="1:16" ht="15.75">
      <c r="A1" s="475" t="s">
        <v>264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7"/>
    </row>
    <row r="2" spans="1:16" ht="30.75">
      <c r="A2" s="125" t="s">
        <v>101</v>
      </c>
      <c r="B2" s="215" t="s">
        <v>155</v>
      </c>
      <c r="C2" s="215" t="s">
        <v>156</v>
      </c>
      <c r="D2" s="215" t="s">
        <v>173</v>
      </c>
      <c r="E2" s="215" t="s">
        <v>158</v>
      </c>
      <c r="F2" s="215" t="s">
        <v>159</v>
      </c>
      <c r="G2" s="215" t="s">
        <v>160</v>
      </c>
      <c r="H2" s="215" t="s">
        <v>161</v>
      </c>
      <c r="I2" s="215" t="s">
        <v>159</v>
      </c>
      <c r="J2" s="215" t="s">
        <v>160</v>
      </c>
      <c r="K2" s="177" t="s">
        <v>162</v>
      </c>
      <c r="L2" s="177" t="s">
        <v>163</v>
      </c>
      <c r="M2" s="177" t="s">
        <v>174</v>
      </c>
      <c r="N2" s="215" t="s">
        <v>165</v>
      </c>
    </row>
    <row r="3" spans="1:16">
      <c r="A3" s="478" t="s">
        <v>166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80"/>
      <c r="M3" s="478">
        <v>647689.79239999992</v>
      </c>
      <c r="N3" s="480"/>
    </row>
    <row r="4" spans="1:16">
      <c r="A4" s="198">
        <v>1</v>
      </c>
      <c r="B4" s="221">
        <v>46054</v>
      </c>
      <c r="C4" s="41">
        <v>0</v>
      </c>
      <c r="D4" s="41"/>
      <c r="E4" s="270">
        <v>0</v>
      </c>
      <c r="F4" s="304">
        <v>0</v>
      </c>
      <c r="G4" s="41">
        <f>E4*F4</f>
        <v>0</v>
      </c>
      <c r="H4" s="41"/>
      <c r="I4" s="41"/>
      <c r="J4" s="41">
        <f>H4*I4</f>
        <v>0</v>
      </c>
      <c r="K4" s="41">
        <f>G4+J4</f>
        <v>0</v>
      </c>
      <c r="L4" s="41">
        <v>0</v>
      </c>
      <c r="M4" s="41">
        <f>M3+K4-L4</f>
        <v>647689.79239999992</v>
      </c>
      <c r="N4" s="41"/>
    </row>
    <row r="5" spans="1:16">
      <c r="A5" s="47">
        <v>2</v>
      </c>
      <c r="B5" s="221">
        <v>46055</v>
      </c>
      <c r="C5" s="41">
        <v>0</v>
      </c>
      <c r="D5" s="41"/>
      <c r="E5" s="270">
        <v>753</v>
      </c>
      <c r="F5" s="304">
        <v>91.32</v>
      </c>
      <c r="G5" s="41">
        <f t="shared" ref="G5:G34" si="0">E5*F5</f>
        <v>68763.959999999992</v>
      </c>
      <c r="H5" s="41"/>
      <c r="I5" s="41"/>
      <c r="J5" s="41">
        <f t="shared" ref="J5:J34" si="1">H5*I5</f>
        <v>0</v>
      </c>
      <c r="K5" s="41">
        <f t="shared" ref="K5:K34" si="2">G5+J5</f>
        <v>68763.959999999992</v>
      </c>
      <c r="L5" s="41">
        <v>647689</v>
      </c>
      <c r="M5" s="41">
        <f t="shared" ref="M5:M34" si="3">M4+K5-L5</f>
        <v>68764.752399999881</v>
      </c>
      <c r="N5" s="41"/>
    </row>
    <row r="6" spans="1:16">
      <c r="A6" s="47">
        <v>3</v>
      </c>
      <c r="B6" s="221">
        <v>46056</v>
      </c>
      <c r="C6" s="41">
        <v>0</v>
      </c>
      <c r="D6" s="41"/>
      <c r="E6" s="270">
        <v>0</v>
      </c>
      <c r="F6" s="304">
        <v>0</v>
      </c>
      <c r="G6" s="41">
        <f t="shared" si="0"/>
        <v>0</v>
      </c>
      <c r="H6" s="41"/>
      <c r="I6" s="41"/>
      <c r="J6" s="41">
        <f t="shared" si="1"/>
        <v>0</v>
      </c>
      <c r="K6" s="41">
        <f t="shared" si="2"/>
        <v>0</v>
      </c>
      <c r="L6" s="41">
        <v>0</v>
      </c>
      <c r="M6" s="41">
        <f t="shared" si="3"/>
        <v>68764.752399999881</v>
      </c>
      <c r="N6" s="41"/>
    </row>
    <row r="7" spans="1:16">
      <c r="A7" s="47">
        <v>4</v>
      </c>
      <c r="B7" s="221">
        <v>46057</v>
      </c>
      <c r="C7" s="41">
        <v>0</v>
      </c>
      <c r="D7" s="41"/>
      <c r="E7" s="270">
        <v>0</v>
      </c>
      <c r="F7" s="304">
        <v>0</v>
      </c>
      <c r="G7" s="41">
        <f t="shared" si="0"/>
        <v>0</v>
      </c>
      <c r="H7" s="41"/>
      <c r="I7" s="41"/>
      <c r="J7" s="41">
        <f t="shared" si="1"/>
        <v>0</v>
      </c>
      <c r="K7" s="41">
        <f t="shared" si="2"/>
        <v>0</v>
      </c>
      <c r="L7" s="41">
        <v>0</v>
      </c>
      <c r="M7" s="41">
        <f t="shared" si="3"/>
        <v>68764.752399999881</v>
      </c>
      <c r="N7" s="41"/>
    </row>
    <row r="8" spans="1:16">
      <c r="A8" s="47">
        <v>5</v>
      </c>
      <c r="B8" s="221">
        <v>46058</v>
      </c>
      <c r="C8" s="41">
        <v>0</v>
      </c>
      <c r="D8" s="41"/>
      <c r="E8" s="270">
        <v>0</v>
      </c>
      <c r="F8" s="304">
        <v>0</v>
      </c>
      <c r="G8" s="41">
        <f t="shared" si="0"/>
        <v>0</v>
      </c>
      <c r="H8" s="41"/>
      <c r="I8" s="41"/>
      <c r="J8" s="41">
        <f t="shared" si="1"/>
        <v>0</v>
      </c>
      <c r="K8" s="41">
        <f t="shared" si="2"/>
        <v>0</v>
      </c>
      <c r="L8" s="41">
        <v>0</v>
      </c>
      <c r="M8" s="41">
        <f t="shared" si="3"/>
        <v>68764.752399999881</v>
      </c>
      <c r="N8" s="41"/>
    </row>
    <row r="9" spans="1:16">
      <c r="A9" s="47">
        <v>6</v>
      </c>
      <c r="B9" s="221">
        <v>46059</v>
      </c>
      <c r="C9" s="41">
        <v>0</v>
      </c>
      <c r="D9" s="41"/>
      <c r="E9" s="270">
        <v>441.4</v>
      </c>
      <c r="F9" s="304">
        <v>91.32</v>
      </c>
      <c r="G9" s="41">
        <f t="shared" si="0"/>
        <v>40308.647999999994</v>
      </c>
      <c r="H9" s="41"/>
      <c r="I9" s="41"/>
      <c r="J9" s="41">
        <f t="shared" si="1"/>
        <v>0</v>
      </c>
      <c r="K9" s="41">
        <f t="shared" si="2"/>
        <v>40308.647999999994</v>
      </c>
      <c r="L9" s="41">
        <v>0</v>
      </c>
      <c r="M9" s="41">
        <f t="shared" si="3"/>
        <v>109073.40039999987</v>
      </c>
      <c r="N9" s="41"/>
    </row>
    <row r="10" spans="1:16">
      <c r="A10" s="47">
        <v>7</v>
      </c>
      <c r="B10" s="221">
        <v>46060</v>
      </c>
      <c r="C10" s="41">
        <v>0</v>
      </c>
      <c r="D10" s="41"/>
      <c r="E10" s="270">
        <v>400</v>
      </c>
      <c r="F10" s="304">
        <v>91.32</v>
      </c>
      <c r="G10" s="41">
        <f t="shared" si="0"/>
        <v>36528</v>
      </c>
      <c r="H10" s="41"/>
      <c r="I10" s="41"/>
      <c r="J10" s="41">
        <f t="shared" si="1"/>
        <v>0</v>
      </c>
      <c r="K10" s="41">
        <f t="shared" si="2"/>
        <v>36528</v>
      </c>
      <c r="L10" s="41">
        <v>0</v>
      </c>
      <c r="M10" s="41">
        <f t="shared" si="3"/>
        <v>145601.40039999987</v>
      </c>
      <c r="N10" s="41"/>
    </row>
    <row r="11" spans="1:16">
      <c r="A11" s="47">
        <v>8</v>
      </c>
      <c r="B11" s="221">
        <v>46061</v>
      </c>
      <c r="C11" s="41">
        <v>0</v>
      </c>
      <c r="D11" s="41"/>
      <c r="E11" s="270">
        <v>0</v>
      </c>
      <c r="F11" s="304">
        <v>0</v>
      </c>
      <c r="G11" s="41">
        <f t="shared" si="0"/>
        <v>0</v>
      </c>
      <c r="H11" s="41"/>
      <c r="I11" s="41"/>
      <c r="J11" s="41">
        <f t="shared" si="1"/>
        <v>0</v>
      </c>
      <c r="K11" s="41">
        <f t="shared" si="2"/>
        <v>0</v>
      </c>
      <c r="L11" s="41">
        <v>0</v>
      </c>
      <c r="M11" s="41">
        <f t="shared" si="3"/>
        <v>145601.40039999987</v>
      </c>
      <c r="N11" s="41"/>
      <c r="P11" s="22"/>
    </row>
    <row r="12" spans="1:16">
      <c r="A12" s="47">
        <v>9</v>
      </c>
      <c r="B12" s="221">
        <v>46062</v>
      </c>
      <c r="C12" s="41">
        <v>0</v>
      </c>
      <c r="D12" s="41"/>
      <c r="E12" s="270">
        <v>0</v>
      </c>
      <c r="F12" s="304">
        <v>0</v>
      </c>
      <c r="G12" s="41">
        <f t="shared" si="0"/>
        <v>0</v>
      </c>
      <c r="H12" s="41"/>
      <c r="I12" s="41"/>
      <c r="J12" s="41">
        <f t="shared" si="1"/>
        <v>0</v>
      </c>
      <c r="K12" s="41">
        <f t="shared" si="2"/>
        <v>0</v>
      </c>
      <c r="L12" s="41">
        <v>0</v>
      </c>
      <c r="M12" s="41">
        <f t="shared" si="3"/>
        <v>145601.40039999987</v>
      </c>
      <c r="N12" s="41"/>
    </row>
    <row r="13" spans="1:16">
      <c r="A13" s="47">
        <v>10</v>
      </c>
      <c r="B13" s="221">
        <v>46063</v>
      </c>
      <c r="C13" s="41">
        <v>0</v>
      </c>
      <c r="D13" s="41"/>
      <c r="E13" s="270">
        <v>0</v>
      </c>
      <c r="F13" s="304">
        <v>0</v>
      </c>
      <c r="G13" s="41">
        <f t="shared" si="0"/>
        <v>0</v>
      </c>
      <c r="H13" s="41"/>
      <c r="I13" s="41"/>
      <c r="J13" s="41">
        <f t="shared" si="1"/>
        <v>0</v>
      </c>
      <c r="K13" s="41">
        <f t="shared" si="2"/>
        <v>0</v>
      </c>
      <c r="L13" s="41">
        <v>0</v>
      </c>
      <c r="M13" s="41">
        <f t="shared" si="3"/>
        <v>145601.40039999987</v>
      </c>
      <c r="N13" s="41"/>
    </row>
    <row r="14" spans="1:16">
      <c r="A14" s="47">
        <v>11</v>
      </c>
      <c r="B14" s="221">
        <v>46064</v>
      </c>
      <c r="C14" s="41">
        <v>0</v>
      </c>
      <c r="D14" s="41"/>
      <c r="E14" s="270">
        <v>238.82</v>
      </c>
      <c r="F14" s="304">
        <v>91.32</v>
      </c>
      <c r="G14" s="41">
        <f t="shared" si="0"/>
        <v>21809.042399999998</v>
      </c>
      <c r="H14" s="41"/>
      <c r="I14" s="41"/>
      <c r="J14" s="41">
        <f t="shared" si="1"/>
        <v>0</v>
      </c>
      <c r="K14" s="41">
        <f t="shared" si="2"/>
        <v>21809.042399999998</v>
      </c>
      <c r="L14" s="41">
        <v>0</v>
      </c>
      <c r="M14" s="41">
        <f t="shared" si="3"/>
        <v>167410.44279999987</v>
      </c>
      <c r="N14" s="41"/>
    </row>
    <row r="15" spans="1:16">
      <c r="A15" s="47">
        <v>12</v>
      </c>
      <c r="B15" s="221">
        <v>46065</v>
      </c>
      <c r="C15" s="41">
        <v>0</v>
      </c>
      <c r="D15" s="378" t="s">
        <v>225</v>
      </c>
      <c r="E15" s="270">
        <v>600</v>
      </c>
      <c r="F15" s="304">
        <v>91.32</v>
      </c>
      <c r="G15" s="41">
        <f t="shared" si="0"/>
        <v>54791.999999999993</v>
      </c>
      <c r="H15" s="41"/>
      <c r="I15" s="41"/>
      <c r="J15" s="41">
        <f t="shared" si="1"/>
        <v>0</v>
      </c>
      <c r="K15" s="41">
        <f t="shared" si="2"/>
        <v>54791.999999999993</v>
      </c>
      <c r="L15" s="41">
        <v>0</v>
      </c>
      <c r="M15" s="41">
        <f t="shared" si="3"/>
        <v>222202.44279999987</v>
      </c>
      <c r="N15" s="41"/>
    </row>
    <row r="16" spans="1:16">
      <c r="A16" s="47">
        <v>13</v>
      </c>
      <c r="B16" s="221">
        <v>46066</v>
      </c>
      <c r="C16" s="41">
        <v>0</v>
      </c>
      <c r="D16" s="41"/>
      <c r="E16" s="270">
        <v>1162.02</v>
      </c>
      <c r="F16" s="304">
        <v>91.32</v>
      </c>
      <c r="G16" s="41">
        <f t="shared" si="0"/>
        <v>106115.66639999999</v>
      </c>
      <c r="H16" s="41">
        <v>6</v>
      </c>
      <c r="I16" s="41">
        <v>103.23</v>
      </c>
      <c r="J16" s="41">
        <f t="shared" si="1"/>
        <v>619.38</v>
      </c>
      <c r="K16" s="41">
        <f t="shared" si="2"/>
        <v>106735.04639999999</v>
      </c>
      <c r="L16" s="41">
        <v>0</v>
      </c>
      <c r="M16" s="41">
        <f>M15+K16-L16</f>
        <v>328937.48919999984</v>
      </c>
      <c r="N16" s="41"/>
    </row>
    <row r="17" spans="1:14">
      <c r="A17" s="47">
        <v>14</v>
      </c>
      <c r="B17" s="221">
        <v>46067</v>
      </c>
      <c r="C17" s="41">
        <v>0</v>
      </c>
      <c r="D17" s="41"/>
      <c r="E17" s="270">
        <v>0</v>
      </c>
      <c r="F17" s="304">
        <v>0</v>
      </c>
      <c r="G17" s="41">
        <f t="shared" si="0"/>
        <v>0</v>
      </c>
      <c r="H17" s="41"/>
      <c r="I17" s="41"/>
      <c r="J17" s="41">
        <f t="shared" si="1"/>
        <v>0</v>
      </c>
      <c r="K17" s="41">
        <f t="shared" si="2"/>
        <v>0</v>
      </c>
      <c r="L17" s="41">
        <v>0</v>
      </c>
      <c r="M17" s="41">
        <f t="shared" si="3"/>
        <v>328937.48919999984</v>
      </c>
      <c r="N17" s="41"/>
    </row>
    <row r="18" spans="1:14">
      <c r="A18" s="47">
        <v>15</v>
      </c>
      <c r="B18" s="221">
        <v>46068</v>
      </c>
      <c r="C18" s="41">
        <v>0</v>
      </c>
      <c r="D18" s="41"/>
      <c r="E18" s="270">
        <v>0</v>
      </c>
      <c r="F18" s="304">
        <v>0</v>
      </c>
      <c r="G18" s="41">
        <f t="shared" si="0"/>
        <v>0</v>
      </c>
      <c r="H18" s="41"/>
      <c r="I18" s="41"/>
      <c r="J18" s="41">
        <f t="shared" si="1"/>
        <v>0</v>
      </c>
      <c r="K18" s="41">
        <f t="shared" si="2"/>
        <v>0</v>
      </c>
      <c r="L18" s="41">
        <v>0</v>
      </c>
      <c r="M18" s="41">
        <f t="shared" si="3"/>
        <v>328937.48919999984</v>
      </c>
      <c r="N18" s="41"/>
    </row>
    <row r="19" spans="1:14">
      <c r="A19" s="47">
        <v>16</v>
      </c>
      <c r="B19" s="221">
        <v>46069</v>
      </c>
      <c r="C19" s="41">
        <v>0</v>
      </c>
      <c r="D19" s="41"/>
      <c r="E19" s="270">
        <v>600</v>
      </c>
      <c r="F19" s="304">
        <v>91.32</v>
      </c>
      <c r="G19" s="41">
        <f t="shared" si="0"/>
        <v>54791.999999999993</v>
      </c>
      <c r="H19" s="41"/>
      <c r="I19" s="41"/>
      <c r="J19" s="41">
        <f t="shared" si="1"/>
        <v>0</v>
      </c>
      <c r="K19" s="41">
        <f t="shared" si="2"/>
        <v>54791.999999999993</v>
      </c>
      <c r="L19" s="41">
        <v>0</v>
      </c>
      <c r="M19" s="41">
        <f t="shared" si="3"/>
        <v>383729.48919999984</v>
      </c>
      <c r="N19" s="41"/>
    </row>
    <row r="20" spans="1:14">
      <c r="A20" s="47">
        <v>17</v>
      </c>
      <c r="B20" s="221">
        <v>46070</v>
      </c>
      <c r="C20" s="41">
        <v>0</v>
      </c>
      <c r="D20" s="41"/>
      <c r="E20" s="270">
        <v>434.14</v>
      </c>
      <c r="F20" s="304">
        <v>91.32</v>
      </c>
      <c r="G20" s="41">
        <f t="shared" si="0"/>
        <v>39645.664799999999</v>
      </c>
      <c r="H20" s="41"/>
      <c r="I20" s="41"/>
      <c r="J20" s="41">
        <f t="shared" si="1"/>
        <v>0</v>
      </c>
      <c r="K20" s="41">
        <f t="shared" si="2"/>
        <v>39645.664799999999</v>
      </c>
      <c r="L20" s="41">
        <v>0</v>
      </c>
      <c r="M20" s="41">
        <f t="shared" si="3"/>
        <v>423375.15399999986</v>
      </c>
      <c r="N20" s="41"/>
    </row>
    <row r="21" spans="1:14">
      <c r="A21" s="47">
        <v>18</v>
      </c>
      <c r="B21" s="221">
        <v>46071</v>
      </c>
      <c r="C21" s="41">
        <v>0</v>
      </c>
      <c r="D21" s="41"/>
      <c r="E21" s="270">
        <v>245.2</v>
      </c>
      <c r="F21" s="304">
        <v>91.32</v>
      </c>
      <c r="G21" s="41">
        <f t="shared" si="0"/>
        <v>22391.663999999997</v>
      </c>
      <c r="H21" s="41"/>
      <c r="I21" s="41"/>
      <c r="J21" s="41">
        <f t="shared" si="1"/>
        <v>0</v>
      </c>
      <c r="K21" s="41">
        <f t="shared" si="2"/>
        <v>22391.663999999997</v>
      </c>
      <c r="L21" s="41">
        <v>0</v>
      </c>
      <c r="M21" s="41">
        <f>M20+K21-L21</f>
        <v>445766.81799999985</v>
      </c>
      <c r="N21" s="41"/>
    </row>
    <row r="22" spans="1:14">
      <c r="A22" s="47">
        <v>19</v>
      </c>
      <c r="B22" s="221">
        <v>46072</v>
      </c>
      <c r="C22" s="41">
        <v>0</v>
      </c>
      <c r="D22" s="41"/>
      <c r="E22" s="270">
        <v>38.39</v>
      </c>
      <c r="F22" s="304">
        <v>91.32</v>
      </c>
      <c r="G22" s="41">
        <f t="shared" si="0"/>
        <v>3505.7747999999997</v>
      </c>
      <c r="H22" s="41"/>
      <c r="I22" s="41"/>
      <c r="J22" s="41">
        <f t="shared" si="1"/>
        <v>0</v>
      </c>
      <c r="K22" s="41">
        <f t="shared" si="2"/>
        <v>3505.7747999999997</v>
      </c>
      <c r="L22" s="41">
        <v>0</v>
      </c>
      <c r="M22" s="41">
        <f t="shared" si="3"/>
        <v>449272.59279999987</v>
      </c>
      <c r="N22" s="41"/>
    </row>
    <row r="23" spans="1:14">
      <c r="A23" s="47">
        <v>20</v>
      </c>
      <c r="B23" s="221">
        <v>46073</v>
      </c>
      <c r="C23" s="41">
        <v>0</v>
      </c>
      <c r="D23" s="41"/>
      <c r="E23" s="270">
        <v>1000</v>
      </c>
      <c r="F23" s="304">
        <v>91.32</v>
      </c>
      <c r="G23" s="41">
        <f t="shared" si="0"/>
        <v>91320</v>
      </c>
      <c r="H23" s="41"/>
      <c r="I23" s="41"/>
      <c r="J23" s="41">
        <f t="shared" si="1"/>
        <v>0</v>
      </c>
      <c r="K23" s="41">
        <f t="shared" si="2"/>
        <v>91320</v>
      </c>
      <c r="L23" s="41">
        <v>0</v>
      </c>
      <c r="M23" s="41">
        <f t="shared" si="3"/>
        <v>540592.59279999987</v>
      </c>
      <c r="N23" s="41"/>
    </row>
    <row r="24" spans="1:14">
      <c r="A24" s="47">
        <v>21</v>
      </c>
      <c r="B24" s="221">
        <v>46074</v>
      </c>
      <c r="C24" s="41">
        <v>0</v>
      </c>
      <c r="D24" s="41"/>
      <c r="E24" s="270">
        <v>800</v>
      </c>
      <c r="F24" s="304">
        <v>91.32</v>
      </c>
      <c r="G24" s="41">
        <f t="shared" si="0"/>
        <v>73056</v>
      </c>
      <c r="H24" s="41"/>
      <c r="I24" s="41"/>
      <c r="J24" s="41">
        <f t="shared" si="1"/>
        <v>0</v>
      </c>
      <c r="K24" s="41">
        <f t="shared" si="2"/>
        <v>73056</v>
      </c>
      <c r="L24" s="41">
        <v>0</v>
      </c>
      <c r="M24" s="41">
        <f t="shared" si="3"/>
        <v>613648.59279999987</v>
      </c>
      <c r="N24" s="41"/>
    </row>
    <row r="25" spans="1:14">
      <c r="A25" s="47">
        <v>22</v>
      </c>
      <c r="B25" s="221">
        <v>46075</v>
      </c>
      <c r="C25" s="41">
        <v>0</v>
      </c>
      <c r="D25" s="41"/>
      <c r="E25" s="270">
        <v>0</v>
      </c>
      <c r="F25" s="304">
        <v>91.32</v>
      </c>
      <c r="G25" s="41">
        <f t="shared" si="0"/>
        <v>0</v>
      </c>
      <c r="H25" s="41"/>
      <c r="I25" s="41"/>
      <c r="J25" s="41">
        <f t="shared" si="1"/>
        <v>0</v>
      </c>
      <c r="K25" s="41">
        <f t="shared" si="2"/>
        <v>0</v>
      </c>
      <c r="L25" s="41">
        <v>0</v>
      </c>
      <c r="M25" s="41">
        <f t="shared" si="3"/>
        <v>613648.59279999987</v>
      </c>
      <c r="N25" s="41"/>
    </row>
    <row r="26" spans="1:14">
      <c r="A26" s="47">
        <v>23</v>
      </c>
      <c r="B26" s="221">
        <v>46076</v>
      </c>
      <c r="C26" s="41">
        <v>0</v>
      </c>
      <c r="D26" s="41"/>
      <c r="E26" s="270">
        <v>445.82</v>
      </c>
      <c r="F26" s="304">
        <v>91.32</v>
      </c>
      <c r="G26" s="41">
        <f t="shared" si="0"/>
        <v>40712.282399999996</v>
      </c>
      <c r="H26" s="41"/>
      <c r="I26" s="41"/>
      <c r="J26" s="41">
        <f t="shared" si="1"/>
        <v>0</v>
      </c>
      <c r="K26" s="41">
        <f t="shared" si="2"/>
        <v>40712.282399999996</v>
      </c>
      <c r="L26" s="41">
        <v>0</v>
      </c>
      <c r="M26" s="41">
        <f t="shared" si="3"/>
        <v>654360.87519999989</v>
      </c>
      <c r="N26" s="41"/>
    </row>
    <row r="27" spans="1:14">
      <c r="A27" s="47">
        <v>24</v>
      </c>
      <c r="B27" s="221">
        <v>46077</v>
      </c>
      <c r="C27" s="41">
        <v>0</v>
      </c>
      <c r="D27" s="41"/>
      <c r="E27" s="270">
        <v>288.24</v>
      </c>
      <c r="F27" s="304">
        <v>91.32</v>
      </c>
      <c r="G27" s="41">
        <f t="shared" si="0"/>
        <v>26322.076799999999</v>
      </c>
      <c r="H27" s="41"/>
      <c r="I27" s="41"/>
      <c r="J27" s="41">
        <f t="shared" si="1"/>
        <v>0</v>
      </c>
      <c r="K27" s="41">
        <f t="shared" si="2"/>
        <v>26322.076799999999</v>
      </c>
      <c r="L27" s="41">
        <v>0</v>
      </c>
      <c r="M27" s="41">
        <f t="shared" si="3"/>
        <v>680682.95199999993</v>
      </c>
      <c r="N27" s="41"/>
    </row>
    <row r="28" spans="1:14">
      <c r="A28" s="223">
        <v>25</v>
      </c>
      <c r="B28" s="221">
        <v>46078</v>
      </c>
      <c r="C28" s="41">
        <v>0</v>
      </c>
      <c r="D28" s="41"/>
      <c r="E28" s="270">
        <v>1263.29</v>
      </c>
      <c r="F28" s="304">
        <v>91.32</v>
      </c>
      <c r="G28" s="41">
        <f t="shared" si="0"/>
        <v>115363.64279999999</v>
      </c>
      <c r="H28" s="41"/>
      <c r="I28" s="41"/>
      <c r="J28" s="41">
        <f t="shared" si="1"/>
        <v>0</v>
      </c>
      <c r="K28" s="41">
        <f t="shared" si="2"/>
        <v>115363.64279999999</v>
      </c>
      <c r="L28" s="41">
        <v>0</v>
      </c>
      <c r="M28" s="41">
        <f t="shared" si="3"/>
        <v>796046.59479999996</v>
      </c>
      <c r="N28" s="41"/>
    </row>
    <row r="29" spans="1:14">
      <c r="A29" s="223">
        <v>26</v>
      </c>
      <c r="B29" s="221">
        <v>46079</v>
      </c>
      <c r="C29" s="41">
        <v>0</v>
      </c>
      <c r="D29" s="41"/>
      <c r="E29" s="270">
        <v>400</v>
      </c>
      <c r="F29" s="304">
        <v>91.32</v>
      </c>
      <c r="G29" s="41">
        <f t="shared" si="0"/>
        <v>36528</v>
      </c>
      <c r="H29" s="41"/>
      <c r="I29" s="41"/>
      <c r="J29" s="41">
        <f t="shared" si="1"/>
        <v>0</v>
      </c>
      <c r="K29" s="41">
        <f t="shared" si="2"/>
        <v>36528</v>
      </c>
      <c r="L29" s="41">
        <v>600000</v>
      </c>
      <c r="M29" s="41">
        <f t="shared" si="3"/>
        <v>232574.59479999996</v>
      </c>
      <c r="N29" s="41"/>
    </row>
    <row r="30" spans="1:14">
      <c r="A30" s="223">
        <v>27</v>
      </c>
      <c r="B30" s="221">
        <v>46080</v>
      </c>
      <c r="C30" s="41">
        <v>0</v>
      </c>
      <c r="D30" s="41"/>
      <c r="E30" s="270">
        <v>40.799999999999997</v>
      </c>
      <c r="F30" s="304">
        <v>91.32</v>
      </c>
      <c r="G30" s="41">
        <f t="shared" si="0"/>
        <v>3725.8559999999993</v>
      </c>
      <c r="H30" s="41"/>
      <c r="I30" s="41"/>
      <c r="J30" s="41">
        <f t="shared" si="1"/>
        <v>0</v>
      </c>
      <c r="K30" s="41">
        <f t="shared" si="2"/>
        <v>3725.8559999999993</v>
      </c>
      <c r="L30" s="41">
        <v>0</v>
      </c>
      <c r="M30" s="41">
        <f t="shared" si="3"/>
        <v>236300.45079999996</v>
      </c>
      <c r="N30" s="41"/>
    </row>
    <row r="31" spans="1:14">
      <c r="A31" s="223">
        <v>28</v>
      </c>
      <c r="B31" s="221">
        <v>46081</v>
      </c>
      <c r="C31" s="41">
        <v>0</v>
      </c>
      <c r="D31" s="41"/>
      <c r="E31" s="270">
        <v>710.63</v>
      </c>
      <c r="F31" s="304">
        <v>91.32</v>
      </c>
      <c r="G31" s="41">
        <f t="shared" si="0"/>
        <v>64894.731599999992</v>
      </c>
      <c r="H31" s="41">
        <v>6.02</v>
      </c>
      <c r="I31" s="41">
        <v>103.24</v>
      </c>
      <c r="J31" s="41">
        <f t="shared" si="1"/>
        <v>621.50479999999993</v>
      </c>
      <c r="K31" s="41">
        <f t="shared" si="2"/>
        <v>65516.236399999994</v>
      </c>
      <c r="L31" s="41">
        <v>0</v>
      </c>
      <c r="M31" s="41">
        <f t="shared" si="3"/>
        <v>301816.68719999993</v>
      </c>
      <c r="N31" s="41"/>
    </row>
    <row r="32" spans="1:14">
      <c r="A32" s="224">
        <v>29</v>
      </c>
      <c r="B32" s="221">
        <v>46082</v>
      </c>
      <c r="C32" s="41">
        <v>0</v>
      </c>
      <c r="D32" s="41"/>
      <c r="E32" s="270">
        <v>0</v>
      </c>
      <c r="F32" s="304">
        <v>0</v>
      </c>
      <c r="G32" s="41">
        <f t="shared" si="0"/>
        <v>0</v>
      </c>
      <c r="H32" s="41"/>
      <c r="I32" s="41"/>
      <c r="J32" s="41">
        <f t="shared" si="1"/>
        <v>0</v>
      </c>
      <c r="K32" s="41">
        <f t="shared" si="2"/>
        <v>0</v>
      </c>
      <c r="L32" s="41">
        <v>0</v>
      </c>
      <c r="M32" s="41">
        <f t="shared" si="3"/>
        <v>301816.68719999993</v>
      </c>
      <c r="N32" s="41"/>
    </row>
    <row r="33" spans="1:14">
      <c r="A33" s="224">
        <v>30</v>
      </c>
      <c r="B33" s="221">
        <v>46083</v>
      </c>
      <c r="C33" s="41">
        <v>0</v>
      </c>
      <c r="D33" s="41"/>
      <c r="E33" s="270">
        <v>0</v>
      </c>
      <c r="F33" s="304">
        <v>0</v>
      </c>
      <c r="G33" s="41">
        <f t="shared" si="0"/>
        <v>0</v>
      </c>
      <c r="H33" s="41"/>
      <c r="I33" s="41"/>
      <c r="J33" s="41">
        <f t="shared" si="1"/>
        <v>0</v>
      </c>
      <c r="K33" s="41">
        <f t="shared" si="2"/>
        <v>0</v>
      </c>
      <c r="L33" s="41">
        <v>0</v>
      </c>
      <c r="M33" s="41">
        <f t="shared" si="3"/>
        <v>301816.68719999993</v>
      </c>
      <c r="N33" s="41"/>
    </row>
    <row r="34" spans="1:14">
      <c r="A34" s="224">
        <v>31</v>
      </c>
      <c r="B34" s="221">
        <v>46084</v>
      </c>
      <c r="C34" s="41">
        <v>0</v>
      </c>
      <c r="D34" s="41"/>
      <c r="E34" s="270">
        <v>0</v>
      </c>
      <c r="F34" s="304">
        <v>0</v>
      </c>
      <c r="G34" s="41">
        <f t="shared" si="0"/>
        <v>0</v>
      </c>
      <c r="H34" s="41"/>
      <c r="I34" s="41"/>
      <c r="J34" s="41">
        <f t="shared" si="1"/>
        <v>0</v>
      </c>
      <c r="K34" s="41">
        <f t="shared" si="2"/>
        <v>0</v>
      </c>
      <c r="L34" s="41">
        <v>0</v>
      </c>
      <c r="M34" s="41">
        <f t="shared" si="3"/>
        <v>301816.68719999993</v>
      </c>
      <c r="N34" s="41"/>
    </row>
    <row r="35" spans="1:14">
      <c r="A35" s="183"/>
      <c r="B35" s="183"/>
      <c r="C35" s="183"/>
      <c r="D35" s="183"/>
      <c r="E35" s="183">
        <f>SUM(E4:E34)</f>
        <v>9861.7499999999982</v>
      </c>
      <c r="F35" s="183"/>
      <c r="G35" s="183">
        <f>SUM(G4:G34)</f>
        <v>900575.01</v>
      </c>
      <c r="H35" s="183">
        <f>SUM(H4:H34)</f>
        <v>12.02</v>
      </c>
      <c r="I35" s="183"/>
      <c r="J35" s="183">
        <f>SUM(J4:J34)</f>
        <v>1240.8847999999998</v>
      </c>
      <c r="K35" s="183">
        <f>SUM(K4:K34)</f>
        <v>901815.89480000013</v>
      </c>
      <c r="L35" s="183">
        <f>SUM(L4:L34)</f>
        <v>1247689</v>
      </c>
      <c r="M35" s="183"/>
      <c r="N35" s="183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workbookViewId="0">
      <selection activeCell="E30" sqref="E30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481" t="s">
        <v>265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4" ht="45">
      <c r="A2" s="125" t="s">
        <v>101</v>
      </c>
      <c r="B2" s="215" t="s">
        <v>155</v>
      </c>
      <c r="C2" s="215" t="s">
        <v>156</v>
      </c>
      <c r="D2" s="215" t="s">
        <v>173</v>
      </c>
      <c r="E2" s="215" t="s">
        <v>158</v>
      </c>
      <c r="F2" s="215" t="s">
        <v>159</v>
      </c>
      <c r="G2" s="215" t="s">
        <v>160</v>
      </c>
      <c r="H2" s="215" t="s">
        <v>161</v>
      </c>
      <c r="I2" s="215" t="s">
        <v>159</v>
      </c>
      <c r="J2" s="215" t="s">
        <v>160</v>
      </c>
      <c r="K2" s="177" t="s">
        <v>162</v>
      </c>
      <c r="L2" s="177" t="s">
        <v>163</v>
      </c>
      <c r="M2" s="177" t="s">
        <v>174</v>
      </c>
      <c r="N2" s="215" t="s">
        <v>165</v>
      </c>
    </row>
    <row r="3" spans="1:14">
      <c r="A3" s="482" t="s">
        <v>166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>
        <v>0</v>
      </c>
      <c r="N3" s="482"/>
    </row>
    <row r="4" spans="1:14">
      <c r="A4" s="198">
        <v>1</v>
      </c>
      <c r="B4" s="221">
        <v>46054</v>
      </c>
      <c r="C4" s="41">
        <v>0</v>
      </c>
      <c r="D4" s="41"/>
      <c r="E4" s="41"/>
      <c r="F4" s="41"/>
      <c r="G4" s="41">
        <f>E4*F4</f>
        <v>0</v>
      </c>
      <c r="H4" s="41"/>
      <c r="I4" s="41"/>
      <c r="J4" s="41">
        <f>H4*I4</f>
        <v>0</v>
      </c>
      <c r="K4" s="41">
        <f>G4+J4</f>
        <v>0</v>
      </c>
      <c r="L4" s="41">
        <f>+K4</f>
        <v>0</v>
      </c>
      <c r="M4" s="41">
        <f>M3+K4-L4</f>
        <v>0</v>
      </c>
      <c r="N4" s="41"/>
    </row>
    <row r="5" spans="1:14">
      <c r="A5" s="47">
        <v>2</v>
      </c>
      <c r="B5" s="221">
        <v>46055</v>
      </c>
      <c r="C5" s="41">
        <v>0</v>
      </c>
      <c r="D5" s="41"/>
      <c r="E5" s="41">
        <v>30</v>
      </c>
      <c r="F5" s="41">
        <v>91.3</v>
      </c>
      <c r="G5" s="41">
        <f t="shared" ref="G5:G34" si="0">E5*F5</f>
        <v>2739</v>
      </c>
      <c r="H5" s="41">
        <v>6</v>
      </c>
      <c r="I5" s="41">
        <v>103.22</v>
      </c>
      <c r="J5" s="41">
        <f t="shared" ref="J5:J34" si="1">H5*I5</f>
        <v>619.31999999999994</v>
      </c>
      <c r="K5" s="41">
        <f t="shared" ref="K5:K34" si="2">G5+J5</f>
        <v>3358.3199999999997</v>
      </c>
      <c r="L5" s="41">
        <f t="shared" ref="L5:L32" si="3">+K5</f>
        <v>3358.3199999999997</v>
      </c>
      <c r="M5" s="41">
        <f t="shared" ref="M5:M34" si="4">M4+K5-L5</f>
        <v>0</v>
      </c>
      <c r="N5" s="41"/>
    </row>
    <row r="6" spans="1:14">
      <c r="A6" s="47">
        <v>3</v>
      </c>
      <c r="B6" s="221">
        <v>46056</v>
      </c>
      <c r="C6" s="41">
        <v>0</v>
      </c>
      <c r="D6" s="41"/>
      <c r="E6" s="41"/>
      <c r="F6" s="41"/>
      <c r="G6" s="41">
        <f t="shared" si="0"/>
        <v>0</v>
      </c>
      <c r="H6" s="41"/>
      <c r="I6" s="41"/>
      <c r="J6" s="41">
        <f t="shared" si="1"/>
        <v>0</v>
      </c>
      <c r="K6" s="41">
        <f t="shared" si="2"/>
        <v>0</v>
      </c>
      <c r="L6" s="41">
        <f t="shared" si="3"/>
        <v>0</v>
      </c>
      <c r="M6" s="41">
        <f t="shared" si="4"/>
        <v>0</v>
      </c>
      <c r="N6" s="41"/>
    </row>
    <row r="7" spans="1:14">
      <c r="A7" s="47">
        <v>4</v>
      </c>
      <c r="B7" s="221">
        <v>46057</v>
      </c>
      <c r="C7" s="41">
        <v>0</v>
      </c>
      <c r="D7" s="41"/>
      <c r="E7" s="41">
        <v>30</v>
      </c>
      <c r="F7" s="41">
        <v>91.3</v>
      </c>
      <c r="G7" s="41">
        <f t="shared" si="0"/>
        <v>2739</v>
      </c>
      <c r="H7" s="41">
        <v>6</v>
      </c>
      <c r="I7" s="41">
        <v>103.22</v>
      </c>
      <c r="J7" s="41">
        <f t="shared" si="1"/>
        <v>619.31999999999994</v>
      </c>
      <c r="K7" s="41">
        <f t="shared" si="2"/>
        <v>3358.3199999999997</v>
      </c>
      <c r="L7" s="41">
        <f t="shared" si="3"/>
        <v>3358.3199999999997</v>
      </c>
      <c r="M7" s="41">
        <f t="shared" si="4"/>
        <v>0</v>
      </c>
      <c r="N7" s="41"/>
    </row>
    <row r="8" spans="1:14">
      <c r="A8" s="47">
        <v>5</v>
      </c>
      <c r="B8" s="221">
        <v>46058</v>
      </c>
      <c r="C8" s="41">
        <v>0</v>
      </c>
      <c r="D8" s="41"/>
      <c r="E8" s="41">
        <v>30</v>
      </c>
      <c r="F8" s="41">
        <v>91.3</v>
      </c>
      <c r="G8" s="41">
        <f t="shared" si="0"/>
        <v>2739</v>
      </c>
      <c r="H8" s="41"/>
      <c r="I8" s="41"/>
      <c r="J8" s="41">
        <f t="shared" si="1"/>
        <v>0</v>
      </c>
      <c r="K8" s="41">
        <f t="shared" si="2"/>
        <v>2739</v>
      </c>
      <c r="L8" s="41">
        <f t="shared" si="3"/>
        <v>2739</v>
      </c>
      <c r="M8" s="41">
        <f t="shared" si="4"/>
        <v>0</v>
      </c>
      <c r="N8" s="41"/>
    </row>
    <row r="9" spans="1:14">
      <c r="A9" s="47">
        <v>6</v>
      </c>
      <c r="B9" s="221">
        <v>46059</v>
      </c>
      <c r="C9" s="41">
        <v>0</v>
      </c>
      <c r="D9" s="41"/>
      <c r="E9" s="41"/>
      <c r="F9" s="41"/>
      <c r="G9" s="41">
        <f t="shared" si="0"/>
        <v>0</v>
      </c>
      <c r="H9" s="41"/>
      <c r="I9" s="41"/>
      <c r="J9" s="41">
        <f t="shared" si="1"/>
        <v>0</v>
      </c>
      <c r="K9" s="41">
        <f t="shared" si="2"/>
        <v>0</v>
      </c>
      <c r="L9" s="41">
        <f t="shared" si="3"/>
        <v>0</v>
      </c>
      <c r="M9" s="41">
        <f t="shared" si="4"/>
        <v>0</v>
      </c>
      <c r="N9" s="41"/>
    </row>
    <row r="10" spans="1:14">
      <c r="A10" s="47">
        <v>7</v>
      </c>
      <c r="B10" s="221">
        <v>46060</v>
      </c>
      <c r="C10" s="41">
        <v>0</v>
      </c>
      <c r="D10" s="41"/>
      <c r="E10" s="41">
        <v>80</v>
      </c>
      <c r="F10" s="41">
        <v>91.3</v>
      </c>
      <c r="G10" s="41">
        <f t="shared" si="0"/>
        <v>7304</v>
      </c>
      <c r="H10" s="41">
        <v>16</v>
      </c>
      <c r="I10" s="41">
        <v>103.22</v>
      </c>
      <c r="J10" s="41">
        <f t="shared" si="1"/>
        <v>1651.52</v>
      </c>
      <c r="K10" s="41">
        <f t="shared" si="2"/>
        <v>8955.52</v>
      </c>
      <c r="L10" s="41">
        <f t="shared" si="3"/>
        <v>8955.52</v>
      </c>
      <c r="M10" s="41">
        <f t="shared" si="4"/>
        <v>0</v>
      </c>
      <c r="N10" s="41"/>
    </row>
    <row r="11" spans="1:14">
      <c r="A11" s="47">
        <v>8</v>
      </c>
      <c r="B11" s="221">
        <v>46061</v>
      </c>
      <c r="C11" s="41">
        <v>0</v>
      </c>
      <c r="D11" s="41"/>
      <c r="E11" s="41"/>
      <c r="F11" s="41"/>
      <c r="G11" s="41">
        <f t="shared" si="0"/>
        <v>0</v>
      </c>
      <c r="H11" s="41"/>
      <c r="I11" s="41"/>
      <c r="J11" s="41">
        <f t="shared" si="1"/>
        <v>0</v>
      </c>
      <c r="K11" s="41">
        <f t="shared" si="2"/>
        <v>0</v>
      </c>
      <c r="L11" s="41">
        <f t="shared" si="3"/>
        <v>0</v>
      </c>
      <c r="M11" s="41">
        <f t="shared" si="4"/>
        <v>0</v>
      </c>
      <c r="N11" s="41"/>
    </row>
    <row r="12" spans="1:14">
      <c r="A12" s="47">
        <v>9</v>
      </c>
      <c r="B12" s="221">
        <v>46062</v>
      </c>
      <c r="C12" s="41">
        <v>0</v>
      </c>
      <c r="D12" s="41"/>
      <c r="E12" s="41">
        <v>30</v>
      </c>
      <c r="F12" s="41">
        <v>91.3</v>
      </c>
      <c r="G12" s="41">
        <f t="shared" si="0"/>
        <v>2739</v>
      </c>
      <c r="H12" s="41">
        <v>10</v>
      </c>
      <c r="I12" s="41">
        <v>103.22</v>
      </c>
      <c r="J12" s="41">
        <f t="shared" si="1"/>
        <v>1032.2</v>
      </c>
      <c r="K12" s="41">
        <f t="shared" si="2"/>
        <v>3771.2</v>
      </c>
      <c r="L12" s="41">
        <f t="shared" si="3"/>
        <v>3771.2</v>
      </c>
      <c r="M12" s="41">
        <f t="shared" si="4"/>
        <v>0</v>
      </c>
      <c r="N12" s="41"/>
    </row>
    <row r="13" spans="1:14">
      <c r="A13" s="47">
        <v>10</v>
      </c>
      <c r="B13" s="221">
        <v>46063</v>
      </c>
      <c r="C13" s="41">
        <v>0</v>
      </c>
      <c r="D13" s="41"/>
      <c r="E13" s="41">
        <v>50</v>
      </c>
      <c r="F13" s="41">
        <v>91.3</v>
      </c>
      <c r="G13" s="41">
        <f t="shared" si="0"/>
        <v>4565</v>
      </c>
      <c r="H13" s="41"/>
      <c r="I13" s="41"/>
      <c r="J13" s="41">
        <f t="shared" si="1"/>
        <v>0</v>
      </c>
      <c r="K13" s="41">
        <f t="shared" si="2"/>
        <v>4565</v>
      </c>
      <c r="L13" s="41">
        <f t="shared" si="3"/>
        <v>4565</v>
      </c>
      <c r="M13" s="41">
        <f t="shared" si="4"/>
        <v>0</v>
      </c>
      <c r="N13" s="41"/>
    </row>
    <row r="14" spans="1:14">
      <c r="A14" s="47">
        <v>11</v>
      </c>
      <c r="B14" s="221">
        <v>46064</v>
      </c>
      <c r="C14" s="41">
        <v>0</v>
      </c>
      <c r="D14" s="41"/>
      <c r="E14" s="41">
        <v>30</v>
      </c>
      <c r="F14" s="41">
        <v>91.3</v>
      </c>
      <c r="G14" s="41">
        <f t="shared" si="0"/>
        <v>2739</v>
      </c>
      <c r="H14" s="41"/>
      <c r="I14" s="41"/>
      <c r="J14" s="41">
        <f t="shared" si="1"/>
        <v>0</v>
      </c>
      <c r="K14" s="41">
        <f t="shared" si="2"/>
        <v>2739</v>
      </c>
      <c r="L14" s="41">
        <f t="shared" si="3"/>
        <v>2739</v>
      </c>
      <c r="M14" s="41">
        <f t="shared" si="4"/>
        <v>0</v>
      </c>
      <c r="N14" s="41"/>
    </row>
    <row r="15" spans="1:14">
      <c r="A15" s="47">
        <v>12</v>
      </c>
      <c r="B15" s="221">
        <v>46065</v>
      </c>
      <c r="C15" s="41">
        <v>0</v>
      </c>
      <c r="D15" s="41"/>
      <c r="E15" s="41">
        <v>30</v>
      </c>
      <c r="F15" s="41">
        <v>91.3</v>
      </c>
      <c r="G15" s="41">
        <f t="shared" si="0"/>
        <v>2739</v>
      </c>
      <c r="H15" s="41"/>
      <c r="I15" s="41"/>
      <c r="J15" s="41">
        <f t="shared" si="1"/>
        <v>0</v>
      </c>
      <c r="K15" s="41">
        <f t="shared" si="2"/>
        <v>2739</v>
      </c>
      <c r="L15" s="41">
        <f t="shared" si="3"/>
        <v>2739</v>
      </c>
      <c r="M15" s="41">
        <f t="shared" si="4"/>
        <v>0</v>
      </c>
      <c r="N15" s="41"/>
    </row>
    <row r="16" spans="1:14">
      <c r="A16" s="47">
        <v>13</v>
      </c>
      <c r="B16" s="221">
        <v>46066</v>
      </c>
      <c r="C16" s="41">
        <v>0</v>
      </c>
      <c r="D16" s="41"/>
      <c r="E16" s="41">
        <v>50</v>
      </c>
      <c r="F16" s="41">
        <v>91.3</v>
      </c>
      <c r="G16" s="41">
        <f t="shared" si="0"/>
        <v>4565</v>
      </c>
      <c r="H16" s="41">
        <v>10</v>
      </c>
      <c r="I16" s="41">
        <v>103.22</v>
      </c>
      <c r="J16" s="41">
        <f t="shared" si="1"/>
        <v>1032.2</v>
      </c>
      <c r="K16" s="41">
        <f t="shared" si="2"/>
        <v>5597.2</v>
      </c>
      <c r="L16" s="41">
        <f t="shared" si="3"/>
        <v>5597.2</v>
      </c>
      <c r="M16" s="41">
        <f t="shared" si="4"/>
        <v>0</v>
      </c>
      <c r="N16" s="41"/>
    </row>
    <row r="17" spans="1:14">
      <c r="A17" s="47">
        <v>14</v>
      </c>
      <c r="B17" s="221">
        <v>46067</v>
      </c>
      <c r="C17" s="41">
        <v>0</v>
      </c>
      <c r="D17" s="41"/>
      <c r="E17" s="41">
        <v>35</v>
      </c>
      <c r="F17" s="41">
        <v>91.3</v>
      </c>
      <c r="G17" s="41">
        <f t="shared" si="0"/>
        <v>3195.5</v>
      </c>
      <c r="H17" s="41"/>
      <c r="I17" s="41"/>
      <c r="J17" s="41">
        <f t="shared" si="1"/>
        <v>0</v>
      </c>
      <c r="K17" s="41">
        <f t="shared" si="2"/>
        <v>3195.5</v>
      </c>
      <c r="L17" s="41">
        <f t="shared" si="3"/>
        <v>3195.5</v>
      </c>
      <c r="M17" s="41">
        <f t="shared" si="4"/>
        <v>0</v>
      </c>
      <c r="N17" s="41"/>
    </row>
    <row r="18" spans="1:14">
      <c r="A18" s="47">
        <v>15</v>
      </c>
      <c r="B18" s="221">
        <v>46068</v>
      </c>
      <c r="C18" s="41">
        <v>0</v>
      </c>
      <c r="D18" s="41"/>
      <c r="E18" s="41"/>
      <c r="F18" s="41"/>
      <c r="G18" s="41">
        <f t="shared" si="0"/>
        <v>0</v>
      </c>
      <c r="H18" s="41"/>
      <c r="I18" s="41"/>
      <c r="J18" s="41">
        <f t="shared" si="1"/>
        <v>0</v>
      </c>
      <c r="K18" s="41">
        <f t="shared" si="2"/>
        <v>0</v>
      </c>
      <c r="L18" s="41">
        <f t="shared" si="3"/>
        <v>0</v>
      </c>
      <c r="M18" s="41">
        <f t="shared" si="4"/>
        <v>0</v>
      </c>
      <c r="N18" s="41"/>
    </row>
    <row r="19" spans="1:14">
      <c r="A19" s="47">
        <v>16</v>
      </c>
      <c r="B19" s="221">
        <v>46069</v>
      </c>
      <c r="C19" s="41">
        <v>0</v>
      </c>
      <c r="D19" s="41"/>
      <c r="E19" s="41">
        <v>80</v>
      </c>
      <c r="F19" s="41">
        <v>91.3</v>
      </c>
      <c r="G19" s="41">
        <f t="shared" si="0"/>
        <v>7304</v>
      </c>
      <c r="H19" s="41"/>
      <c r="I19" s="41"/>
      <c r="J19" s="41">
        <f t="shared" si="1"/>
        <v>0</v>
      </c>
      <c r="K19" s="41">
        <f t="shared" si="2"/>
        <v>7304</v>
      </c>
      <c r="L19" s="41">
        <f t="shared" si="3"/>
        <v>7304</v>
      </c>
      <c r="M19" s="41">
        <f t="shared" si="4"/>
        <v>0</v>
      </c>
      <c r="N19" s="41"/>
    </row>
    <row r="20" spans="1:14">
      <c r="A20" s="47">
        <v>17</v>
      </c>
      <c r="B20" s="221">
        <v>46070</v>
      </c>
      <c r="C20" s="41">
        <v>0</v>
      </c>
      <c r="D20" s="41"/>
      <c r="E20" s="41">
        <v>5.04</v>
      </c>
      <c r="F20" s="41">
        <v>91.3</v>
      </c>
      <c r="G20" s="41">
        <f t="shared" si="0"/>
        <v>460.15199999999999</v>
      </c>
      <c r="H20" s="41">
        <v>6</v>
      </c>
      <c r="I20" s="41">
        <v>103.22</v>
      </c>
      <c r="J20" s="41">
        <f t="shared" si="1"/>
        <v>619.31999999999994</v>
      </c>
      <c r="K20" s="41">
        <f t="shared" si="2"/>
        <v>1079.472</v>
      </c>
      <c r="L20" s="41">
        <f t="shared" si="3"/>
        <v>1079.472</v>
      </c>
      <c r="M20" s="41">
        <f t="shared" si="4"/>
        <v>0</v>
      </c>
      <c r="N20" s="41"/>
    </row>
    <row r="21" spans="1:14">
      <c r="A21" s="47">
        <v>18</v>
      </c>
      <c r="B21" s="221">
        <v>46071</v>
      </c>
      <c r="C21" s="41">
        <v>0</v>
      </c>
      <c r="D21" s="41"/>
      <c r="E21" s="41">
        <v>25</v>
      </c>
      <c r="F21" s="41">
        <v>91.31</v>
      </c>
      <c r="G21" s="41">
        <f t="shared" si="0"/>
        <v>2282.75</v>
      </c>
      <c r="H21" s="41"/>
      <c r="I21" s="41"/>
      <c r="J21" s="41">
        <f t="shared" si="1"/>
        <v>0</v>
      </c>
      <c r="K21" s="41">
        <f t="shared" si="2"/>
        <v>2282.75</v>
      </c>
      <c r="L21" s="41">
        <f t="shared" si="3"/>
        <v>2282.75</v>
      </c>
      <c r="M21" s="41">
        <f t="shared" si="4"/>
        <v>0</v>
      </c>
      <c r="N21" s="41"/>
    </row>
    <row r="22" spans="1:14">
      <c r="A22" s="47">
        <v>19</v>
      </c>
      <c r="B22" s="221">
        <v>46072</v>
      </c>
      <c r="C22" s="41">
        <v>0</v>
      </c>
      <c r="D22" s="41"/>
      <c r="E22" s="41">
        <v>35</v>
      </c>
      <c r="F22" s="41">
        <v>91.31</v>
      </c>
      <c r="G22" s="41">
        <f t="shared" si="0"/>
        <v>3195.85</v>
      </c>
      <c r="H22" s="41"/>
      <c r="I22" s="41"/>
      <c r="J22" s="41">
        <f t="shared" si="1"/>
        <v>0</v>
      </c>
      <c r="K22" s="41">
        <f t="shared" si="2"/>
        <v>3195.85</v>
      </c>
      <c r="L22" s="41">
        <f t="shared" si="3"/>
        <v>3195.85</v>
      </c>
      <c r="M22" s="41">
        <f t="shared" si="4"/>
        <v>0</v>
      </c>
      <c r="N22" s="41"/>
    </row>
    <row r="23" spans="1:14">
      <c r="A23" s="47">
        <v>20</v>
      </c>
      <c r="B23" s="221">
        <v>46073</v>
      </c>
      <c r="C23" s="41">
        <v>0</v>
      </c>
      <c r="D23" s="41"/>
      <c r="E23" s="41"/>
      <c r="F23" s="41"/>
      <c r="G23" s="41">
        <f t="shared" si="0"/>
        <v>0</v>
      </c>
      <c r="H23" s="41"/>
      <c r="I23" s="41"/>
      <c r="J23" s="41">
        <f t="shared" si="1"/>
        <v>0</v>
      </c>
      <c r="K23" s="41">
        <f t="shared" si="2"/>
        <v>0</v>
      </c>
      <c r="L23" s="41">
        <f t="shared" si="3"/>
        <v>0</v>
      </c>
      <c r="M23" s="41">
        <f t="shared" si="4"/>
        <v>0</v>
      </c>
      <c r="N23" s="41"/>
    </row>
    <row r="24" spans="1:14">
      <c r="A24" s="47">
        <v>21</v>
      </c>
      <c r="B24" s="221">
        <v>46074</v>
      </c>
      <c r="C24" s="41">
        <v>0</v>
      </c>
      <c r="D24" s="41"/>
      <c r="E24" s="41">
        <v>50</v>
      </c>
      <c r="F24" s="41">
        <v>91.31</v>
      </c>
      <c r="G24" s="41">
        <f t="shared" si="0"/>
        <v>4565.5</v>
      </c>
      <c r="H24" s="41">
        <v>5</v>
      </c>
      <c r="I24" s="41">
        <v>103.22</v>
      </c>
      <c r="J24" s="41">
        <f t="shared" si="1"/>
        <v>516.1</v>
      </c>
      <c r="K24" s="41">
        <f t="shared" si="2"/>
        <v>5081.6000000000004</v>
      </c>
      <c r="L24" s="41">
        <f t="shared" si="3"/>
        <v>5081.6000000000004</v>
      </c>
      <c r="M24" s="41">
        <f t="shared" si="4"/>
        <v>0</v>
      </c>
      <c r="N24" s="41"/>
    </row>
    <row r="25" spans="1:14">
      <c r="A25" s="47">
        <v>22</v>
      </c>
      <c r="B25" s="221">
        <v>46075</v>
      </c>
      <c r="C25" s="41">
        <v>0</v>
      </c>
      <c r="D25" s="41"/>
      <c r="E25" s="41"/>
      <c r="F25" s="41"/>
      <c r="G25" s="41">
        <f t="shared" si="0"/>
        <v>0</v>
      </c>
      <c r="H25" s="41"/>
      <c r="I25" s="41"/>
      <c r="J25" s="41">
        <f t="shared" si="1"/>
        <v>0</v>
      </c>
      <c r="K25" s="41">
        <f t="shared" si="2"/>
        <v>0</v>
      </c>
      <c r="L25" s="41">
        <f t="shared" si="3"/>
        <v>0</v>
      </c>
      <c r="M25" s="41">
        <f t="shared" si="4"/>
        <v>0</v>
      </c>
      <c r="N25" s="41"/>
    </row>
    <row r="26" spans="1:14">
      <c r="A26" s="47">
        <v>23</v>
      </c>
      <c r="B26" s="221">
        <v>46076</v>
      </c>
      <c r="C26" s="41">
        <v>0</v>
      </c>
      <c r="D26" s="41"/>
      <c r="E26" s="41"/>
      <c r="F26" s="41"/>
      <c r="G26" s="41">
        <f t="shared" si="0"/>
        <v>0</v>
      </c>
      <c r="H26" s="41"/>
      <c r="I26" s="41"/>
      <c r="J26" s="41">
        <f t="shared" si="1"/>
        <v>0</v>
      </c>
      <c r="K26" s="41">
        <f t="shared" si="2"/>
        <v>0</v>
      </c>
      <c r="L26" s="41">
        <f t="shared" si="3"/>
        <v>0</v>
      </c>
      <c r="M26" s="41">
        <f t="shared" si="4"/>
        <v>0</v>
      </c>
      <c r="N26" s="41"/>
    </row>
    <row r="27" spans="1:14">
      <c r="A27" s="47">
        <v>24</v>
      </c>
      <c r="B27" s="221">
        <v>46077</v>
      </c>
      <c r="C27" s="41">
        <v>0</v>
      </c>
      <c r="D27" s="41"/>
      <c r="E27" s="41"/>
      <c r="F27" s="41"/>
      <c r="G27" s="41">
        <f t="shared" si="0"/>
        <v>0</v>
      </c>
      <c r="H27" s="41">
        <v>6</v>
      </c>
      <c r="I27" s="41">
        <v>103.22</v>
      </c>
      <c r="J27" s="41">
        <f t="shared" si="1"/>
        <v>619.31999999999994</v>
      </c>
      <c r="K27" s="41">
        <f t="shared" si="2"/>
        <v>619.31999999999994</v>
      </c>
      <c r="L27" s="41">
        <f t="shared" si="3"/>
        <v>619.31999999999994</v>
      </c>
      <c r="M27" s="41">
        <f t="shared" si="4"/>
        <v>0</v>
      </c>
      <c r="N27" s="41"/>
    </row>
    <row r="28" spans="1:14">
      <c r="A28" s="223">
        <v>25</v>
      </c>
      <c r="B28" s="221">
        <v>46078</v>
      </c>
      <c r="C28" s="41">
        <v>0</v>
      </c>
      <c r="D28" s="41"/>
      <c r="E28" s="41"/>
      <c r="F28" s="41"/>
      <c r="G28" s="41">
        <f t="shared" si="0"/>
        <v>0</v>
      </c>
      <c r="H28" s="41"/>
      <c r="I28" s="41"/>
      <c r="J28" s="41">
        <f t="shared" si="1"/>
        <v>0</v>
      </c>
      <c r="K28" s="41">
        <f t="shared" si="2"/>
        <v>0</v>
      </c>
      <c r="L28" s="41">
        <f t="shared" si="3"/>
        <v>0</v>
      </c>
      <c r="M28" s="41">
        <f t="shared" si="4"/>
        <v>0</v>
      </c>
      <c r="N28" s="41"/>
    </row>
    <row r="29" spans="1:14">
      <c r="A29" s="223">
        <v>26</v>
      </c>
      <c r="B29" s="221">
        <v>46079</v>
      </c>
      <c r="C29" s="41">
        <v>0</v>
      </c>
      <c r="D29" s="41"/>
      <c r="E29" s="41"/>
      <c r="F29" s="41"/>
      <c r="G29" s="41">
        <f t="shared" si="0"/>
        <v>0</v>
      </c>
      <c r="H29" s="41"/>
      <c r="I29" s="41"/>
      <c r="J29" s="41">
        <f t="shared" si="1"/>
        <v>0</v>
      </c>
      <c r="K29" s="41">
        <f t="shared" si="2"/>
        <v>0</v>
      </c>
      <c r="L29" s="41">
        <f t="shared" si="3"/>
        <v>0</v>
      </c>
      <c r="M29" s="41">
        <f t="shared" si="4"/>
        <v>0</v>
      </c>
      <c r="N29" s="41"/>
    </row>
    <row r="30" spans="1:14">
      <c r="A30" s="223">
        <v>27</v>
      </c>
      <c r="B30" s="221">
        <v>46080</v>
      </c>
      <c r="C30" s="41">
        <v>0</v>
      </c>
      <c r="D30" s="41"/>
      <c r="E30" s="41"/>
      <c r="F30" s="41"/>
      <c r="G30" s="41">
        <f t="shared" si="0"/>
        <v>0</v>
      </c>
      <c r="H30" s="41">
        <v>70</v>
      </c>
      <c r="I30" s="41">
        <v>103.22</v>
      </c>
      <c r="J30" s="41">
        <f t="shared" si="1"/>
        <v>7225.4</v>
      </c>
      <c r="K30" s="41">
        <f t="shared" si="2"/>
        <v>7225.4</v>
      </c>
      <c r="L30" s="41">
        <f t="shared" si="3"/>
        <v>7225.4</v>
      </c>
      <c r="M30" s="41">
        <f t="shared" si="4"/>
        <v>0</v>
      </c>
      <c r="N30" s="41"/>
    </row>
    <row r="31" spans="1:14">
      <c r="A31" s="223">
        <v>28</v>
      </c>
      <c r="B31" s="221">
        <v>46081</v>
      </c>
      <c r="C31" s="41">
        <v>0</v>
      </c>
      <c r="D31" s="41"/>
      <c r="E31" s="41"/>
      <c r="F31" s="41"/>
      <c r="G31" s="41">
        <f t="shared" si="0"/>
        <v>0</v>
      </c>
      <c r="H31" s="41"/>
      <c r="I31" s="41"/>
      <c r="J31" s="41">
        <f t="shared" si="1"/>
        <v>0</v>
      </c>
      <c r="K31" s="41">
        <f t="shared" si="2"/>
        <v>0</v>
      </c>
      <c r="L31" s="41">
        <f t="shared" si="3"/>
        <v>0</v>
      </c>
      <c r="M31" s="41">
        <f t="shared" si="4"/>
        <v>0</v>
      </c>
      <c r="N31" s="41"/>
    </row>
    <row r="32" spans="1:14">
      <c r="A32" s="224">
        <v>29</v>
      </c>
      <c r="B32" s="221">
        <v>46082</v>
      </c>
      <c r="C32" s="41">
        <v>0</v>
      </c>
      <c r="D32" s="41"/>
      <c r="E32" s="41"/>
      <c r="F32" s="41"/>
      <c r="G32" s="41">
        <f t="shared" si="0"/>
        <v>0</v>
      </c>
      <c r="H32" s="41"/>
      <c r="I32" s="41"/>
      <c r="J32" s="41">
        <f t="shared" si="1"/>
        <v>0</v>
      </c>
      <c r="K32" s="41">
        <f t="shared" si="2"/>
        <v>0</v>
      </c>
      <c r="L32" s="41">
        <f t="shared" si="3"/>
        <v>0</v>
      </c>
      <c r="M32" s="41">
        <f t="shared" si="4"/>
        <v>0</v>
      </c>
      <c r="N32" s="41"/>
    </row>
    <row r="33" spans="1:14">
      <c r="A33" s="224">
        <v>30</v>
      </c>
      <c r="B33" s="221">
        <v>46083</v>
      </c>
      <c r="C33" s="41">
        <v>0</v>
      </c>
      <c r="D33" s="41"/>
      <c r="E33" s="41"/>
      <c r="F33" s="41"/>
      <c r="G33" s="41">
        <f t="shared" si="0"/>
        <v>0</v>
      </c>
      <c r="H33" s="41"/>
      <c r="I33" s="41"/>
      <c r="J33" s="41">
        <f t="shared" si="1"/>
        <v>0</v>
      </c>
      <c r="K33" s="41">
        <f t="shared" si="2"/>
        <v>0</v>
      </c>
      <c r="L33" s="41">
        <f t="shared" ref="L33:L34" si="5">+K33</f>
        <v>0</v>
      </c>
      <c r="M33" s="41">
        <f t="shared" si="4"/>
        <v>0</v>
      </c>
      <c r="N33" s="41"/>
    </row>
    <row r="34" spans="1:14">
      <c r="A34" s="224">
        <v>31</v>
      </c>
      <c r="B34" s="221">
        <v>46084</v>
      </c>
      <c r="C34" s="41">
        <v>0</v>
      </c>
      <c r="D34" s="41"/>
      <c r="E34" s="41"/>
      <c r="F34" s="41"/>
      <c r="G34" s="41">
        <f t="shared" si="0"/>
        <v>0</v>
      </c>
      <c r="H34" s="41"/>
      <c r="I34" s="41"/>
      <c r="J34" s="41">
        <f t="shared" si="1"/>
        <v>0</v>
      </c>
      <c r="K34" s="41">
        <f t="shared" si="2"/>
        <v>0</v>
      </c>
      <c r="L34" s="41">
        <f t="shared" si="5"/>
        <v>0</v>
      </c>
      <c r="M34" s="41">
        <f t="shared" si="4"/>
        <v>0</v>
      </c>
      <c r="N34" s="41"/>
    </row>
    <row r="35" spans="1:14">
      <c r="A35" s="183"/>
      <c r="B35" s="183"/>
      <c r="C35" s="183"/>
      <c r="D35" s="183"/>
      <c r="E35" s="183">
        <f>SUM(E4:E34)</f>
        <v>590.04</v>
      </c>
      <c r="F35" s="183"/>
      <c r="G35" s="183">
        <f>SUM(G4:G34)</f>
        <v>53871.752</v>
      </c>
      <c r="H35" s="183">
        <f>SUM(H4:H34)</f>
        <v>135</v>
      </c>
      <c r="I35" s="183"/>
      <c r="J35" s="183">
        <f>SUM(J4:J34)</f>
        <v>13934.699999999999</v>
      </c>
      <c r="K35" s="183">
        <f>SUM(K4:K34)</f>
        <v>67806.45199999999</v>
      </c>
      <c r="L35" s="183">
        <f>SUM(L4:L34)</f>
        <v>67806.45199999999</v>
      </c>
      <c r="M35" s="183"/>
      <c r="N35" s="183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A33" activePane="bottomLeft" state="frozen"/>
      <selection pane="bottomLeft" activeCell="L22" sqref="L22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3" bestFit="1" customWidth="1"/>
    <col min="8" max="8" width="11.140625" style="5" customWidth="1"/>
    <col min="9" max="9" width="9.140625" style="5"/>
    <col min="10" max="10" width="10.85546875" style="103" bestFit="1" customWidth="1"/>
    <col min="11" max="11" width="12.85546875" style="5" customWidth="1"/>
    <col min="12" max="12" width="13.5703125" style="103" bestFit="1" customWidth="1"/>
    <col min="13" max="13" width="13.5703125" style="103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58" t="s">
        <v>86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4" ht="18" customHeight="1">
      <c r="A2" s="65" t="s">
        <v>101</v>
      </c>
      <c r="B2" s="84" t="s">
        <v>155</v>
      </c>
      <c r="C2" s="84" t="s">
        <v>156</v>
      </c>
      <c r="D2" s="84" t="s">
        <v>173</v>
      </c>
      <c r="E2" s="84" t="s">
        <v>158</v>
      </c>
      <c r="F2" s="84" t="s">
        <v>159</v>
      </c>
      <c r="G2" s="91" t="s">
        <v>160</v>
      </c>
      <c r="H2" s="84" t="s">
        <v>161</v>
      </c>
      <c r="I2" s="84" t="s">
        <v>159</v>
      </c>
      <c r="J2" s="91" t="s">
        <v>160</v>
      </c>
      <c r="K2" s="65" t="s">
        <v>162</v>
      </c>
      <c r="L2" s="92" t="s">
        <v>163</v>
      </c>
      <c r="M2" s="128" t="s">
        <v>174</v>
      </c>
      <c r="N2" s="84" t="s">
        <v>165</v>
      </c>
    </row>
    <row r="3" spans="1:14" ht="18" customHeight="1">
      <c r="A3" s="483" t="s">
        <v>166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301"/>
      <c r="N3" s="300">
        <v>27659.594699999983</v>
      </c>
    </row>
    <row r="4" spans="1:14">
      <c r="A4" s="6">
        <v>1</v>
      </c>
      <c r="B4" s="79" t="s">
        <v>266</v>
      </c>
      <c r="C4" s="6"/>
      <c r="D4" s="6"/>
      <c r="E4" s="66">
        <v>41.78</v>
      </c>
      <c r="F4" s="6">
        <v>91.5</v>
      </c>
      <c r="G4" s="67">
        <f>E4*F4</f>
        <v>3822.87</v>
      </c>
      <c r="H4" s="66"/>
      <c r="I4" s="336"/>
      <c r="J4" s="67">
        <f>H4*I4</f>
        <v>0</v>
      </c>
      <c r="K4" s="67">
        <f>G4+J4</f>
        <v>3822.87</v>
      </c>
      <c r="L4" s="67"/>
      <c r="M4" s="302">
        <f>N3+K4-L4</f>
        <v>31482.464699999982</v>
      </c>
      <c r="N4" s="47" t="s">
        <v>267</v>
      </c>
    </row>
    <row r="5" spans="1:14">
      <c r="A5" s="6">
        <v>2</v>
      </c>
      <c r="B5" s="79" t="s">
        <v>268</v>
      </c>
      <c r="C5" s="6"/>
      <c r="D5" s="6"/>
      <c r="E5" s="66"/>
      <c r="F5" s="6"/>
      <c r="G5" s="67">
        <f t="shared" ref="G5:G44" si="0">E5*F5</f>
        <v>0</v>
      </c>
      <c r="H5" s="66">
        <v>4.83</v>
      </c>
      <c r="I5" s="336">
        <v>103.44</v>
      </c>
      <c r="J5" s="67">
        <f t="shared" ref="J5:J44" si="1">H5*I5</f>
        <v>499.61520000000002</v>
      </c>
      <c r="K5" s="67">
        <f t="shared" ref="K5:K44" si="2">G5+J5</f>
        <v>499.61520000000002</v>
      </c>
      <c r="L5" s="67">
        <v>31475</v>
      </c>
      <c r="M5" s="150">
        <f>M4+K5-L5</f>
        <v>507.07989999998244</v>
      </c>
      <c r="N5" s="47" t="s">
        <v>267</v>
      </c>
    </row>
    <row r="6" spans="1:14">
      <c r="A6" s="6">
        <v>3</v>
      </c>
      <c r="B6" s="79" t="s">
        <v>269</v>
      </c>
      <c r="C6" s="6"/>
      <c r="D6" s="6"/>
      <c r="E6" s="66">
        <v>42.15</v>
      </c>
      <c r="F6" s="6">
        <v>91.5</v>
      </c>
      <c r="G6" s="67">
        <f t="shared" si="0"/>
        <v>3856.7249999999999</v>
      </c>
      <c r="H6" s="66">
        <v>3</v>
      </c>
      <c r="I6" s="336">
        <v>103.44</v>
      </c>
      <c r="J6" s="67">
        <f t="shared" si="1"/>
        <v>310.32</v>
      </c>
      <c r="K6" s="67">
        <f t="shared" si="2"/>
        <v>4167.0450000000001</v>
      </c>
      <c r="L6" s="67"/>
      <c r="M6" s="150">
        <f t="shared" ref="M5:M45" si="3">M5+K6-L6</f>
        <v>4674.1248999999825</v>
      </c>
      <c r="N6" s="47" t="s">
        <v>267</v>
      </c>
    </row>
    <row r="7" spans="1:14">
      <c r="A7" s="6">
        <v>4</v>
      </c>
      <c r="B7" s="79" t="s">
        <v>270</v>
      </c>
      <c r="C7" s="6"/>
      <c r="D7" s="6"/>
      <c r="E7" s="66"/>
      <c r="F7" s="6"/>
      <c r="G7" s="67">
        <f t="shared" si="0"/>
        <v>0</v>
      </c>
      <c r="H7" s="66">
        <v>7.83</v>
      </c>
      <c r="I7" s="336">
        <v>103.44</v>
      </c>
      <c r="J7" s="67">
        <f t="shared" si="1"/>
        <v>809.93520000000001</v>
      </c>
      <c r="K7" s="67">
        <f t="shared" si="2"/>
        <v>809.93520000000001</v>
      </c>
      <c r="L7" s="67"/>
      <c r="M7" s="150">
        <f t="shared" si="3"/>
        <v>5484.0600999999824</v>
      </c>
      <c r="N7" s="47" t="s">
        <v>267</v>
      </c>
    </row>
    <row r="8" spans="1:14">
      <c r="A8" s="6">
        <v>5</v>
      </c>
      <c r="B8" s="79" t="s">
        <v>271</v>
      </c>
      <c r="C8" s="6"/>
      <c r="D8" s="6"/>
      <c r="E8" s="66">
        <v>10</v>
      </c>
      <c r="F8" s="6">
        <v>91.5</v>
      </c>
      <c r="G8" s="67">
        <f t="shared" si="0"/>
        <v>915</v>
      </c>
      <c r="H8" s="66">
        <v>4.83</v>
      </c>
      <c r="I8" s="336">
        <v>103.44</v>
      </c>
      <c r="J8" s="67">
        <f t="shared" si="1"/>
        <v>499.61520000000002</v>
      </c>
      <c r="K8" s="67">
        <f t="shared" si="2"/>
        <v>1414.6152</v>
      </c>
      <c r="L8" s="67"/>
      <c r="M8" s="150">
        <f>M7+K8-L8</f>
        <v>6898.6752999999826</v>
      </c>
      <c r="N8" s="47" t="s">
        <v>267</v>
      </c>
    </row>
    <row r="9" spans="1:14">
      <c r="A9" s="6">
        <v>6</v>
      </c>
      <c r="B9" s="79" t="s">
        <v>195</v>
      </c>
      <c r="C9" s="6"/>
      <c r="D9" s="6"/>
      <c r="E9" s="66">
        <v>39.6</v>
      </c>
      <c r="F9" s="6">
        <v>91.5</v>
      </c>
      <c r="G9" s="67">
        <f t="shared" si="0"/>
        <v>3623.4</v>
      </c>
      <c r="H9" s="66"/>
      <c r="I9" s="336"/>
      <c r="J9" s="67">
        <f t="shared" si="1"/>
        <v>0</v>
      </c>
      <c r="K9" s="67">
        <f t="shared" si="2"/>
        <v>3623.4</v>
      </c>
      <c r="L9" s="67"/>
      <c r="M9" s="150">
        <f t="shared" ref="M9:M45" si="4">M8+K9-L9</f>
        <v>10522.075299999982</v>
      </c>
      <c r="N9" s="47" t="s">
        <v>267</v>
      </c>
    </row>
    <row r="10" spans="1:14">
      <c r="A10" s="6">
        <v>7</v>
      </c>
      <c r="B10" s="79" t="s">
        <v>272</v>
      </c>
      <c r="C10" s="6"/>
      <c r="D10" s="6"/>
      <c r="E10" s="66">
        <v>45.81</v>
      </c>
      <c r="F10" s="6">
        <v>91.5</v>
      </c>
      <c r="G10" s="67">
        <f t="shared" si="0"/>
        <v>4191.6149999999998</v>
      </c>
      <c r="H10" s="66">
        <v>0</v>
      </c>
      <c r="I10" s="336">
        <v>103.44</v>
      </c>
      <c r="J10" s="67">
        <f t="shared" si="1"/>
        <v>0</v>
      </c>
      <c r="K10" s="67">
        <f t="shared" si="2"/>
        <v>4191.6149999999998</v>
      </c>
      <c r="L10" s="67"/>
      <c r="M10" s="150">
        <f t="shared" si="4"/>
        <v>14713.690299999982</v>
      </c>
      <c r="N10" s="47" t="s">
        <v>267</v>
      </c>
    </row>
    <row r="11" spans="1:14">
      <c r="A11" s="6">
        <v>8</v>
      </c>
      <c r="B11" s="79" t="s">
        <v>273</v>
      </c>
      <c r="C11" s="6"/>
      <c r="D11" s="6"/>
      <c r="E11" s="66"/>
      <c r="F11" s="6"/>
      <c r="G11" s="67">
        <f t="shared" si="0"/>
        <v>0</v>
      </c>
      <c r="H11" s="66">
        <v>11.59</v>
      </c>
      <c r="I11" s="336">
        <v>103.44</v>
      </c>
      <c r="J11" s="67">
        <f t="shared" si="1"/>
        <v>1198.8696</v>
      </c>
      <c r="K11" s="67">
        <f t="shared" si="2"/>
        <v>1198.8696</v>
      </c>
      <c r="L11" s="67"/>
      <c r="M11" s="150">
        <f t="shared" si="4"/>
        <v>15912.559899999982</v>
      </c>
      <c r="N11" s="47" t="s">
        <v>267</v>
      </c>
    </row>
    <row r="12" spans="1:14">
      <c r="A12" s="6">
        <v>9</v>
      </c>
      <c r="B12" s="79" t="s">
        <v>274</v>
      </c>
      <c r="C12" s="6"/>
      <c r="D12" s="6"/>
      <c r="E12" s="66"/>
      <c r="F12" s="6"/>
      <c r="G12" s="67">
        <f t="shared" si="0"/>
        <v>0</v>
      </c>
      <c r="H12" s="66">
        <v>6.38</v>
      </c>
      <c r="I12" s="336">
        <v>103.44</v>
      </c>
      <c r="J12" s="67">
        <f t="shared" si="1"/>
        <v>659.94719999999995</v>
      </c>
      <c r="K12" s="67">
        <f t="shared" si="2"/>
        <v>659.94719999999995</v>
      </c>
      <c r="L12" s="67"/>
      <c r="M12" s="150">
        <f t="shared" si="4"/>
        <v>16572.507099999981</v>
      </c>
      <c r="N12" s="47" t="s">
        <v>267</v>
      </c>
    </row>
    <row r="13" spans="1:14">
      <c r="A13" s="6">
        <v>10</v>
      </c>
      <c r="B13" s="79" t="s">
        <v>199</v>
      </c>
      <c r="C13" s="6"/>
      <c r="D13" s="6"/>
      <c r="E13" s="66">
        <v>28.23</v>
      </c>
      <c r="F13" s="6">
        <v>91.5</v>
      </c>
      <c r="G13" s="67">
        <f t="shared" si="0"/>
        <v>2583.0450000000001</v>
      </c>
      <c r="H13" s="66"/>
      <c r="I13" s="336"/>
      <c r="J13" s="67">
        <f t="shared" si="1"/>
        <v>0</v>
      </c>
      <c r="K13" s="67">
        <f t="shared" si="2"/>
        <v>2583.0450000000001</v>
      </c>
      <c r="L13" s="67"/>
      <c r="M13" s="150">
        <f t="shared" si="4"/>
        <v>19155.552099999979</v>
      </c>
      <c r="N13" s="47" t="s">
        <v>267</v>
      </c>
    </row>
    <row r="14" spans="1:14">
      <c r="A14" s="6">
        <v>11</v>
      </c>
      <c r="B14" s="79" t="s">
        <v>200</v>
      </c>
      <c r="C14" s="6"/>
      <c r="D14" s="6"/>
      <c r="E14" s="66">
        <v>34.47</v>
      </c>
      <c r="F14" s="6">
        <v>91.5</v>
      </c>
      <c r="G14" s="67">
        <f t="shared" si="0"/>
        <v>3154.0050000000001</v>
      </c>
      <c r="H14" s="66">
        <v>13.5</v>
      </c>
      <c r="I14" s="336">
        <v>103.44</v>
      </c>
      <c r="J14" s="67">
        <f t="shared" si="1"/>
        <v>1396.44</v>
      </c>
      <c r="K14" s="67">
        <f t="shared" si="2"/>
        <v>4550.4449999999997</v>
      </c>
      <c r="L14" s="67"/>
      <c r="M14" s="150">
        <f t="shared" si="4"/>
        <v>23705.997099999979</v>
      </c>
      <c r="N14" s="47" t="s">
        <v>267</v>
      </c>
    </row>
    <row r="15" spans="1:14">
      <c r="A15" s="6">
        <v>12</v>
      </c>
      <c r="B15" s="79" t="s">
        <v>201</v>
      </c>
      <c r="C15" s="6"/>
      <c r="D15" s="6"/>
      <c r="E15" s="66"/>
      <c r="F15" s="6"/>
      <c r="G15" s="67">
        <f t="shared" si="0"/>
        <v>0</v>
      </c>
      <c r="H15" s="66">
        <v>7</v>
      </c>
      <c r="I15" s="336">
        <v>103.44</v>
      </c>
      <c r="J15" s="67">
        <f t="shared" si="1"/>
        <v>724.07999999999993</v>
      </c>
      <c r="K15" s="67">
        <f t="shared" si="2"/>
        <v>724.07999999999993</v>
      </c>
      <c r="L15" s="67"/>
      <c r="M15" s="150">
        <f t="shared" si="4"/>
        <v>24430.07709999998</v>
      </c>
      <c r="N15" s="47" t="s">
        <v>267</v>
      </c>
    </row>
    <row r="16" spans="1:14">
      <c r="A16" s="6">
        <v>13</v>
      </c>
      <c r="B16" s="79" t="s">
        <v>205</v>
      </c>
      <c r="C16" s="6"/>
      <c r="D16" s="6"/>
      <c r="E16" s="66">
        <v>5</v>
      </c>
      <c r="F16" s="6">
        <v>91.5</v>
      </c>
      <c r="G16" s="67">
        <f t="shared" si="0"/>
        <v>457.5</v>
      </c>
      <c r="H16" s="66"/>
      <c r="I16" s="336"/>
      <c r="J16" s="67">
        <f t="shared" si="1"/>
        <v>0</v>
      </c>
      <c r="K16" s="67">
        <f t="shared" si="2"/>
        <v>457.5</v>
      </c>
      <c r="L16" s="67"/>
      <c r="M16" s="150">
        <f t="shared" si="4"/>
        <v>24887.57709999998</v>
      </c>
      <c r="N16" s="47" t="s">
        <v>267</v>
      </c>
    </row>
    <row r="17" spans="1:14">
      <c r="A17" s="6">
        <v>14</v>
      </c>
      <c r="B17" s="79" t="s">
        <v>275</v>
      </c>
      <c r="C17" s="6"/>
      <c r="D17" s="6"/>
      <c r="E17" s="66"/>
      <c r="F17" s="6"/>
      <c r="G17" s="67">
        <f t="shared" si="0"/>
        <v>0</v>
      </c>
      <c r="H17" s="66">
        <v>4</v>
      </c>
      <c r="I17" s="336">
        <v>103.44</v>
      </c>
      <c r="J17" s="67">
        <f t="shared" si="1"/>
        <v>413.76</v>
      </c>
      <c r="K17" s="67">
        <f t="shared" si="2"/>
        <v>413.76</v>
      </c>
      <c r="L17" s="67"/>
      <c r="M17" s="150">
        <f t="shared" si="4"/>
        <v>25301.337099999979</v>
      </c>
      <c r="N17" s="47" t="s">
        <v>267</v>
      </c>
    </row>
    <row r="18" spans="1:14">
      <c r="A18" s="6">
        <v>15</v>
      </c>
      <c r="B18" s="79" t="s">
        <v>276</v>
      </c>
      <c r="C18" s="6"/>
      <c r="D18" s="6"/>
      <c r="E18" s="66">
        <v>71.84</v>
      </c>
      <c r="F18" s="6">
        <v>91.5</v>
      </c>
      <c r="G18" s="67">
        <f t="shared" si="0"/>
        <v>6573.3600000000006</v>
      </c>
      <c r="H18" s="66"/>
      <c r="I18" s="336"/>
      <c r="J18" s="67">
        <f t="shared" si="1"/>
        <v>0</v>
      </c>
      <c r="K18" s="67">
        <f t="shared" si="2"/>
        <v>6573.3600000000006</v>
      </c>
      <c r="L18" s="67">
        <v>0</v>
      </c>
      <c r="M18" s="150">
        <f t="shared" si="4"/>
        <v>31874.697099999979</v>
      </c>
      <c r="N18" s="47" t="s">
        <v>267</v>
      </c>
    </row>
    <row r="19" spans="1:14">
      <c r="A19" s="6">
        <v>16</v>
      </c>
      <c r="B19" s="79" t="s">
        <v>209</v>
      </c>
      <c r="C19" s="6"/>
      <c r="D19" s="6"/>
      <c r="E19" s="66"/>
      <c r="F19" s="6"/>
      <c r="G19" s="67">
        <f t="shared" si="0"/>
        <v>0</v>
      </c>
      <c r="H19" s="66"/>
      <c r="I19" s="336"/>
      <c r="J19" s="67">
        <f t="shared" si="1"/>
        <v>0</v>
      </c>
      <c r="K19" s="67">
        <f t="shared" si="2"/>
        <v>0</v>
      </c>
      <c r="L19" s="67">
        <v>30000</v>
      </c>
      <c r="M19" s="150">
        <f t="shared" si="4"/>
        <v>1874.6970999999794</v>
      </c>
      <c r="N19" s="47" t="s">
        <v>267</v>
      </c>
    </row>
    <row r="20" spans="1:14">
      <c r="A20" s="6">
        <v>17</v>
      </c>
      <c r="B20" s="79" t="s">
        <v>277</v>
      </c>
      <c r="C20" s="6"/>
      <c r="D20" s="6"/>
      <c r="E20" s="66"/>
      <c r="F20" s="6"/>
      <c r="G20" s="67">
        <f t="shared" si="0"/>
        <v>0</v>
      </c>
      <c r="H20" s="66">
        <v>5.31</v>
      </c>
      <c r="I20" s="336">
        <v>103.44</v>
      </c>
      <c r="J20" s="67">
        <f t="shared" si="1"/>
        <v>549.26639999999998</v>
      </c>
      <c r="K20" s="67">
        <f t="shared" si="2"/>
        <v>549.26639999999998</v>
      </c>
      <c r="L20" s="67"/>
      <c r="M20" s="150">
        <f t="shared" si="4"/>
        <v>2423.9634999999794</v>
      </c>
      <c r="N20" s="47" t="s">
        <v>267</v>
      </c>
    </row>
    <row r="21" spans="1:14">
      <c r="A21" s="6">
        <v>18</v>
      </c>
      <c r="B21" s="79" t="s">
        <v>211</v>
      </c>
      <c r="C21" s="6"/>
      <c r="D21" s="6"/>
      <c r="E21" s="66"/>
      <c r="F21" s="6"/>
      <c r="G21" s="67">
        <f t="shared" si="0"/>
        <v>0</v>
      </c>
      <c r="H21" s="66"/>
      <c r="I21" s="336"/>
      <c r="J21" s="67">
        <f t="shared" si="1"/>
        <v>0</v>
      </c>
      <c r="K21" s="67">
        <f t="shared" si="2"/>
        <v>0</v>
      </c>
      <c r="L21" s="67"/>
      <c r="M21" s="150">
        <f t="shared" si="4"/>
        <v>2423.9634999999794</v>
      </c>
      <c r="N21" s="47" t="s">
        <v>267</v>
      </c>
    </row>
    <row r="22" spans="1:14">
      <c r="A22" s="6">
        <v>19</v>
      </c>
      <c r="B22" s="79"/>
      <c r="C22" s="6"/>
      <c r="D22" s="6"/>
      <c r="E22" s="66"/>
      <c r="F22" s="6"/>
      <c r="G22" s="67">
        <f t="shared" si="0"/>
        <v>0</v>
      </c>
      <c r="H22" s="66"/>
      <c r="I22" s="336"/>
      <c r="J22" s="67">
        <f t="shared" si="1"/>
        <v>0</v>
      </c>
      <c r="K22" s="67">
        <f t="shared" si="2"/>
        <v>0</v>
      </c>
      <c r="L22" s="67"/>
      <c r="M22" s="150">
        <f t="shared" si="4"/>
        <v>2423.9634999999794</v>
      </c>
      <c r="N22" s="47" t="s">
        <v>267</v>
      </c>
    </row>
    <row r="23" spans="1:14">
      <c r="A23" s="6">
        <v>20</v>
      </c>
      <c r="B23" s="79"/>
      <c r="C23" s="6"/>
      <c r="D23" s="6"/>
      <c r="E23" s="66"/>
      <c r="F23" s="6"/>
      <c r="G23" s="67">
        <f t="shared" si="0"/>
        <v>0</v>
      </c>
      <c r="H23" s="66"/>
      <c r="I23" s="336"/>
      <c r="J23" s="67">
        <f t="shared" si="1"/>
        <v>0</v>
      </c>
      <c r="K23" s="67">
        <f t="shared" si="2"/>
        <v>0</v>
      </c>
      <c r="L23" s="67"/>
      <c r="M23" s="150">
        <f t="shared" si="4"/>
        <v>2423.9634999999794</v>
      </c>
      <c r="N23" s="47" t="s">
        <v>267</v>
      </c>
    </row>
    <row r="24" spans="1:14">
      <c r="A24" s="6">
        <v>21</v>
      </c>
      <c r="B24" s="79"/>
      <c r="C24" s="6"/>
      <c r="D24" s="6"/>
      <c r="E24" s="66"/>
      <c r="F24" s="6"/>
      <c r="G24" s="67">
        <f t="shared" si="0"/>
        <v>0</v>
      </c>
      <c r="H24" s="66"/>
      <c r="I24" s="336"/>
      <c r="J24" s="67">
        <f t="shared" si="1"/>
        <v>0</v>
      </c>
      <c r="K24" s="67">
        <f t="shared" si="2"/>
        <v>0</v>
      </c>
      <c r="L24" s="67"/>
      <c r="M24" s="150">
        <f t="shared" si="4"/>
        <v>2423.9634999999794</v>
      </c>
      <c r="N24" s="47" t="s">
        <v>267</v>
      </c>
    </row>
    <row r="25" spans="1:14">
      <c r="A25" s="6">
        <v>22</v>
      </c>
      <c r="B25" s="79"/>
      <c r="C25" s="6"/>
      <c r="D25" s="6"/>
      <c r="E25" s="66"/>
      <c r="F25" s="6"/>
      <c r="G25" s="67">
        <f t="shared" si="0"/>
        <v>0</v>
      </c>
      <c r="H25" s="66"/>
      <c r="I25" s="336"/>
      <c r="J25" s="67">
        <f t="shared" si="1"/>
        <v>0</v>
      </c>
      <c r="K25" s="67">
        <f t="shared" si="2"/>
        <v>0</v>
      </c>
      <c r="L25" s="67"/>
      <c r="M25" s="150">
        <f t="shared" si="4"/>
        <v>2423.9634999999794</v>
      </c>
      <c r="N25" s="47" t="s">
        <v>267</v>
      </c>
    </row>
    <row r="26" spans="1:14">
      <c r="A26" s="6">
        <v>23</v>
      </c>
      <c r="B26" s="79"/>
      <c r="C26" s="6"/>
      <c r="D26" s="6"/>
      <c r="E26" s="66"/>
      <c r="F26" s="6"/>
      <c r="G26" s="67">
        <f t="shared" si="0"/>
        <v>0</v>
      </c>
      <c r="H26" s="66"/>
      <c r="I26" s="336"/>
      <c r="J26" s="67">
        <f t="shared" si="1"/>
        <v>0</v>
      </c>
      <c r="K26" s="67">
        <f t="shared" si="2"/>
        <v>0</v>
      </c>
      <c r="L26" s="67"/>
      <c r="M26" s="150">
        <f t="shared" si="4"/>
        <v>2423.9634999999794</v>
      </c>
      <c r="N26" s="47" t="s">
        <v>267</v>
      </c>
    </row>
    <row r="27" spans="1:14">
      <c r="A27" s="6">
        <v>24</v>
      </c>
      <c r="B27" s="79"/>
      <c r="C27" s="6"/>
      <c r="D27" s="6"/>
      <c r="E27" s="66"/>
      <c r="F27" s="6"/>
      <c r="G27" s="67">
        <f t="shared" si="0"/>
        <v>0</v>
      </c>
      <c r="H27" s="66"/>
      <c r="I27" s="336"/>
      <c r="J27" s="67">
        <f t="shared" si="1"/>
        <v>0</v>
      </c>
      <c r="K27" s="67">
        <f t="shared" si="2"/>
        <v>0</v>
      </c>
      <c r="L27" s="67"/>
      <c r="M27" s="150">
        <f t="shared" si="4"/>
        <v>2423.9634999999794</v>
      </c>
      <c r="N27" s="47" t="s">
        <v>267</v>
      </c>
    </row>
    <row r="28" spans="1:14">
      <c r="A28" s="6">
        <v>25</v>
      </c>
      <c r="B28" s="79"/>
      <c r="C28" s="6"/>
      <c r="D28" s="6"/>
      <c r="E28" s="66"/>
      <c r="F28" s="6"/>
      <c r="G28" s="67">
        <f t="shared" si="0"/>
        <v>0</v>
      </c>
      <c r="H28" s="66"/>
      <c r="I28" s="336"/>
      <c r="J28" s="67">
        <f t="shared" si="1"/>
        <v>0</v>
      </c>
      <c r="K28" s="67">
        <f t="shared" si="2"/>
        <v>0</v>
      </c>
      <c r="L28" s="67"/>
      <c r="M28" s="150">
        <f t="shared" si="4"/>
        <v>2423.9634999999794</v>
      </c>
      <c r="N28" s="47" t="s">
        <v>267</v>
      </c>
    </row>
    <row r="29" spans="1:14">
      <c r="A29" s="6">
        <v>26</v>
      </c>
      <c r="B29" s="79"/>
      <c r="C29" s="6"/>
      <c r="D29" s="6"/>
      <c r="E29" s="66"/>
      <c r="F29" s="6"/>
      <c r="G29" s="67">
        <f t="shared" si="0"/>
        <v>0</v>
      </c>
      <c r="H29" s="66"/>
      <c r="I29" s="6"/>
      <c r="J29" s="67">
        <f t="shared" si="1"/>
        <v>0</v>
      </c>
      <c r="K29" s="67">
        <f t="shared" si="2"/>
        <v>0</v>
      </c>
      <c r="L29" s="67"/>
      <c r="M29" s="150">
        <f t="shared" si="4"/>
        <v>2423.9634999999794</v>
      </c>
      <c r="N29" s="47" t="s">
        <v>267</v>
      </c>
    </row>
    <row r="30" spans="1:14">
      <c r="A30" s="6">
        <v>27</v>
      </c>
      <c r="B30" s="79"/>
      <c r="C30" s="6"/>
      <c r="D30" s="6"/>
      <c r="E30" s="66"/>
      <c r="F30" s="6"/>
      <c r="G30" s="67">
        <f t="shared" si="0"/>
        <v>0</v>
      </c>
      <c r="H30" s="66"/>
      <c r="I30" s="6"/>
      <c r="J30" s="67">
        <f t="shared" si="1"/>
        <v>0</v>
      </c>
      <c r="K30" s="67">
        <f t="shared" si="2"/>
        <v>0</v>
      </c>
      <c r="L30" s="67"/>
      <c r="M30" s="150">
        <f t="shared" si="4"/>
        <v>2423.9634999999794</v>
      </c>
      <c r="N30" s="47" t="s">
        <v>267</v>
      </c>
    </row>
    <row r="31" spans="1:14">
      <c r="A31" s="6">
        <v>28</v>
      </c>
      <c r="B31" s="79"/>
      <c r="C31" s="6"/>
      <c r="D31" s="6"/>
      <c r="E31" s="66"/>
      <c r="F31" s="6"/>
      <c r="G31" s="67">
        <f t="shared" si="0"/>
        <v>0</v>
      </c>
      <c r="H31" s="66"/>
      <c r="I31" s="6"/>
      <c r="J31" s="67">
        <f t="shared" si="1"/>
        <v>0</v>
      </c>
      <c r="K31" s="67">
        <f t="shared" si="2"/>
        <v>0</v>
      </c>
      <c r="L31" s="67"/>
      <c r="M31" s="150">
        <f t="shared" si="4"/>
        <v>2423.9634999999794</v>
      </c>
      <c r="N31" s="47" t="s">
        <v>267</v>
      </c>
    </row>
    <row r="32" spans="1:14">
      <c r="A32" s="6">
        <v>29</v>
      </c>
      <c r="B32" s="79"/>
      <c r="C32" s="6"/>
      <c r="D32" s="6"/>
      <c r="E32" s="66"/>
      <c r="F32" s="6"/>
      <c r="G32" s="67">
        <f t="shared" si="0"/>
        <v>0</v>
      </c>
      <c r="H32" s="66"/>
      <c r="I32" s="6"/>
      <c r="J32" s="67">
        <f t="shared" si="1"/>
        <v>0</v>
      </c>
      <c r="K32" s="67">
        <f t="shared" si="2"/>
        <v>0</v>
      </c>
      <c r="L32" s="67"/>
      <c r="M32" s="150">
        <f t="shared" si="4"/>
        <v>2423.9634999999794</v>
      </c>
      <c r="N32" s="47" t="s">
        <v>267</v>
      </c>
    </row>
    <row r="33" spans="1:15">
      <c r="A33" s="6">
        <v>30</v>
      </c>
      <c r="B33" s="79"/>
      <c r="C33" s="6"/>
      <c r="D33" s="6"/>
      <c r="E33" s="66"/>
      <c r="F33" s="6"/>
      <c r="G33" s="67">
        <f t="shared" si="0"/>
        <v>0</v>
      </c>
      <c r="H33" s="66"/>
      <c r="I33" s="6"/>
      <c r="J33" s="67">
        <f t="shared" si="1"/>
        <v>0</v>
      </c>
      <c r="K33" s="67">
        <f t="shared" si="2"/>
        <v>0</v>
      </c>
      <c r="L33" s="67"/>
      <c r="M33" s="150">
        <f t="shared" si="4"/>
        <v>2423.9634999999794</v>
      </c>
      <c r="N33" s="47" t="s">
        <v>267</v>
      </c>
    </row>
    <row r="34" spans="1:15">
      <c r="A34" s="6">
        <v>31</v>
      </c>
      <c r="B34" s="79"/>
      <c r="C34" s="6"/>
      <c r="D34" s="6"/>
      <c r="E34" s="66"/>
      <c r="F34" s="6"/>
      <c r="G34" s="67">
        <f t="shared" si="0"/>
        <v>0</v>
      </c>
      <c r="H34" s="66"/>
      <c r="I34" s="6"/>
      <c r="J34" s="67">
        <f t="shared" si="1"/>
        <v>0</v>
      </c>
      <c r="K34" s="67">
        <f t="shared" si="2"/>
        <v>0</v>
      </c>
      <c r="L34" s="67"/>
      <c r="M34" s="150">
        <f t="shared" si="4"/>
        <v>2423.9634999999794</v>
      </c>
      <c r="N34" s="47" t="s">
        <v>267</v>
      </c>
    </row>
    <row r="35" spans="1:15">
      <c r="A35" s="6">
        <v>32</v>
      </c>
      <c r="B35" s="79"/>
      <c r="C35" s="6"/>
      <c r="D35" s="6"/>
      <c r="E35" s="66"/>
      <c r="F35" s="6"/>
      <c r="G35" s="67">
        <f t="shared" si="0"/>
        <v>0</v>
      </c>
      <c r="H35" s="66"/>
      <c r="I35" s="6"/>
      <c r="J35" s="67">
        <f t="shared" si="1"/>
        <v>0</v>
      </c>
      <c r="K35" s="67">
        <f t="shared" si="2"/>
        <v>0</v>
      </c>
      <c r="L35" s="67"/>
      <c r="M35" s="150">
        <f t="shared" si="4"/>
        <v>2423.9634999999794</v>
      </c>
      <c r="N35" s="47" t="s">
        <v>267</v>
      </c>
    </row>
    <row r="36" spans="1:15">
      <c r="A36" s="6">
        <v>33</v>
      </c>
      <c r="B36" s="79"/>
      <c r="C36" s="6"/>
      <c r="D36" s="6"/>
      <c r="E36" s="66"/>
      <c r="F36" s="6"/>
      <c r="G36" s="67">
        <f t="shared" si="0"/>
        <v>0</v>
      </c>
      <c r="H36" s="66"/>
      <c r="I36" s="6"/>
      <c r="J36" s="67">
        <f t="shared" si="1"/>
        <v>0</v>
      </c>
      <c r="K36" s="67">
        <f t="shared" si="2"/>
        <v>0</v>
      </c>
      <c r="L36" s="67"/>
      <c r="M36" s="150">
        <f t="shared" si="4"/>
        <v>2423.9634999999794</v>
      </c>
      <c r="N36" s="47" t="s">
        <v>267</v>
      </c>
    </row>
    <row r="37" spans="1:15">
      <c r="A37" s="6">
        <v>34</v>
      </c>
      <c r="B37" s="79"/>
      <c r="C37" s="6"/>
      <c r="D37" s="6"/>
      <c r="E37" s="66"/>
      <c r="F37" s="6"/>
      <c r="G37" s="67">
        <f t="shared" si="0"/>
        <v>0</v>
      </c>
      <c r="H37" s="66"/>
      <c r="I37" s="6"/>
      <c r="J37" s="67">
        <f t="shared" si="1"/>
        <v>0</v>
      </c>
      <c r="K37" s="67">
        <f t="shared" si="2"/>
        <v>0</v>
      </c>
      <c r="L37" s="67"/>
      <c r="M37" s="150">
        <f t="shared" si="4"/>
        <v>2423.9634999999794</v>
      </c>
      <c r="N37" s="47" t="s">
        <v>267</v>
      </c>
    </row>
    <row r="38" spans="1:15">
      <c r="A38" s="6">
        <v>35</v>
      </c>
      <c r="B38" s="79"/>
      <c r="C38" s="6"/>
      <c r="D38" s="6"/>
      <c r="E38" s="66"/>
      <c r="F38" s="6"/>
      <c r="G38" s="67">
        <f t="shared" si="0"/>
        <v>0</v>
      </c>
      <c r="H38" s="66"/>
      <c r="I38" s="6"/>
      <c r="J38" s="67">
        <f t="shared" si="1"/>
        <v>0</v>
      </c>
      <c r="K38" s="67">
        <f t="shared" si="2"/>
        <v>0</v>
      </c>
      <c r="L38" s="67"/>
      <c r="M38" s="150">
        <f t="shared" si="4"/>
        <v>2423.9634999999794</v>
      </c>
      <c r="N38" s="47" t="s">
        <v>267</v>
      </c>
    </row>
    <row r="39" spans="1:15">
      <c r="A39" s="6">
        <v>36</v>
      </c>
      <c r="B39" s="79"/>
      <c r="C39" s="6"/>
      <c r="D39" s="6"/>
      <c r="E39" s="66"/>
      <c r="F39" s="6"/>
      <c r="G39" s="67">
        <f t="shared" si="0"/>
        <v>0</v>
      </c>
      <c r="H39" s="66"/>
      <c r="I39" s="6"/>
      <c r="J39" s="67">
        <f t="shared" si="1"/>
        <v>0</v>
      </c>
      <c r="K39" s="67">
        <f t="shared" si="2"/>
        <v>0</v>
      </c>
      <c r="L39" s="67"/>
      <c r="M39" s="150">
        <f t="shared" si="4"/>
        <v>2423.9634999999794</v>
      </c>
      <c r="N39" s="47" t="s">
        <v>267</v>
      </c>
    </row>
    <row r="40" spans="1:15">
      <c r="A40" s="6">
        <v>37</v>
      </c>
      <c r="B40" s="79"/>
      <c r="C40" s="6"/>
      <c r="D40" s="6"/>
      <c r="E40" s="66"/>
      <c r="F40" s="6"/>
      <c r="G40" s="67">
        <f t="shared" si="0"/>
        <v>0</v>
      </c>
      <c r="H40" s="66"/>
      <c r="I40" s="6"/>
      <c r="J40" s="67">
        <f t="shared" si="1"/>
        <v>0</v>
      </c>
      <c r="K40" s="67">
        <f t="shared" si="2"/>
        <v>0</v>
      </c>
      <c r="L40" s="67"/>
      <c r="M40" s="150">
        <f t="shared" si="4"/>
        <v>2423.9634999999794</v>
      </c>
      <c r="N40" s="47" t="s">
        <v>267</v>
      </c>
    </row>
    <row r="41" spans="1:15">
      <c r="A41" s="6">
        <v>38</v>
      </c>
      <c r="B41" s="79"/>
      <c r="C41" s="6"/>
      <c r="D41" s="6"/>
      <c r="E41" s="66"/>
      <c r="F41" s="6"/>
      <c r="G41" s="67">
        <f t="shared" si="0"/>
        <v>0</v>
      </c>
      <c r="H41" s="66"/>
      <c r="I41" s="6"/>
      <c r="J41" s="67">
        <f t="shared" si="1"/>
        <v>0</v>
      </c>
      <c r="K41" s="67">
        <f t="shared" si="2"/>
        <v>0</v>
      </c>
      <c r="L41" s="67"/>
      <c r="M41" s="150">
        <f t="shared" si="4"/>
        <v>2423.9634999999794</v>
      </c>
      <c r="N41" s="47" t="s">
        <v>267</v>
      </c>
    </row>
    <row r="42" spans="1:15">
      <c r="A42" s="6">
        <v>39</v>
      </c>
      <c r="B42" s="172"/>
      <c r="C42" s="171"/>
      <c r="D42" s="6"/>
      <c r="E42" s="66"/>
      <c r="F42" s="6"/>
      <c r="G42" s="67">
        <f t="shared" si="0"/>
        <v>0</v>
      </c>
      <c r="H42" s="66"/>
      <c r="I42" s="6"/>
      <c r="J42" s="67">
        <f t="shared" si="1"/>
        <v>0</v>
      </c>
      <c r="K42" s="67">
        <f t="shared" si="2"/>
        <v>0</v>
      </c>
      <c r="L42" s="67"/>
      <c r="M42" s="150">
        <f t="shared" si="4"/>
        <v>2423.9634999999794</v>
      </c>
      <c r="N42" s="47" t="s">
        <v>267</v>
      </c>
    </row>
    <row r="43" spans="1:15">
      <c r="A43" s="6">
        <v>40</v>
      </c>
      <c r="B43" s="6"/>
      <c r="C43" s="6"/>
      <c r="D43" s="6"/>
      <c r="E43" s="66"/>
      <c r="F43" s="6"/>
      <c r="G43" s="67">
        <f t="shared" si="0"/>
        <v>0</v>
      </c>
      <c r="H43" s="66"/>
      <c r="I43" s="6"/>
      <c r="J43" s="67">
        <f t="shared" si="1"/>
        <v>0</v>
      </c>
      <c r="K43" s="67">
        <f t="shared" si="2"/>
        <v>0</v>
      </c>
      <c r="L43" s="67"/>
      <c r="M43" s="150">
        <f t="shared" si="4"/>
        <v>2423.9634999999794</v>
      </c>
      <c r="N43" s="47" t="s">
        <v>267</v>
      </c>
    </row>
    <row r="44" spans="1:15">
      <c r="A44" s="6">
        <v>41</v>
      </c>
      <c r="B44" s="171"/>
      <c r="C44" s="171"/>
      <c r="D44" s="6"/>
      <c r="E44" s="66"/>
      <c r="F44" s="6"/>
      <c r="G44" s="67">
        <f t="shared" si="0"/>
        <v>0</v>
      </c>
      <c r="H44" s="66"/>
      <c r="I44" s="6"/>
      <c r="J44" s="67">
        <f t="shared" si="1"/>
        <v>0</v>
      </c>
      <c r="K44" s="67">
        <f t="shared" si="2"/>
        <v>0</v>
      </c>
      <c r="L44" s="67"/>
      <c r="M44" s="150">
        <f t="shared" si="4"/>
        <v>2423.9634999999794</v>
      </c>
      <c r="N44" s="47" t="s">
        <v>267</v>
      </c>
    </row>
    <row r="45" spans="1:15">
      <c r="A45" s="6">
        <v>42</v>
      </c>
      <c r="B45" s="171"/>
      <c r="C45" s="171"/>
      <c r="D45" s="6"/>
      <c r="E45" s="66"/>
      <c r="F45" s="6"/>
      <c r="G45" s="67">
        <f t="shared" ref="G45" si="5">E45*F45</f>
        <v>0</v>
      </c>
      <c r="H45" s="66"/>
      <c r="I45" s="6"/>
      <c r="J45" s="67">
        <f>H45*I45</f>
        <v>0</v>
      </c>
      <c r="K45" s="67">
        <f t="shared" ref="K45" si="6">G45+J45</f>
        <v>0</v>
      </c>
      <c r="L45" s="164"/>
      <c r="M45" s="150">
        <f t="shared" si="4"/>
        <v>2423.9634999999794</v>
      </c>
      <c r="N45" s="47" t="s">
        <v>267</v>
      </c>
    </row>
    <row r="46" spans="1:15">
      <c r="A46" s="63"/>
      <c r="B46" s="63"/>
      <c r="C46" s="63"/>
      <c r="D46" s="63"/>
      <c r="E46" s="64">
        <f>SUM(E4:E45)</f>
        <v>318.88</v>
      </c>
      <c r="F46" s="64"/>
      <c r="G46" s="64">
        <f>SUM(G4:G45)</f>
        <v>29177.52</v>
      </c>
      <c r="H46" s="64">
        <f>SUM(H4:H45)</f>
        <v>68.27</v>
      </c>
      <c r="I46" s="64"/>
      <c r="J46" s="64">
        <f>SUM(J4:J45)</f>
        <v>7061.8487999999998</v>
      </c>
      <c r="K46" s="64">
        <f>SUM(K4:K45)</f>
        <v>36239.368800000004</v>
      </c>
      <c r="L46" s="64">
        <f>SUM(L4:L45)</f>
        <v>61475</v>
      </c>
      <c r="M46" s="64"/>
      <c r="N46" s="64"/>
      <c r="O46" s="60"/>
    </row>
  </sheetData>
  <mergeCells count="2">
    <mergeCell ref="A1:N1"/>
    <mergeCell ref="A3:L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5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36" t="s">
        <v>88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54"/>
    </row>
    <row r="2" spans="1:15">
      <c r="A2" s="99" t="s">
        <v>101</v>
      </c>
      <c r="B2" s="100" t="s">
        <v>155</v>
      </c>
      <c r="C2" s="100" t="s">
        <v>156</v>
      </c>
      <c r="D2" s="100" t="s">
        <v>173</v>
      </c>
      <c r="E2" s="100" t="s">
        <v>158</v>
      </c>
      <c r="F2" s="100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5">
      <c r="A3" s="157"/>
      <c r="B3" s="17" t="s">
        <v>166</v>
      </c>
      <c r="C3" s="158"/>
      <c r="D3" s="158"/>
      <c r="E3" s="158"/>
      <c r="F3" s="158"/>
      <c r="G3" s="158"/>
      <c r="H3" s="158"/>
      <c r="I3" s="158"/>
      <c r="J3" s="159"/>
      <c r="K3" s="69">
        <v>86951.114100000108</v>
      </c>
      <c r="L3" s="160"/>
      <c r="M3" s="81">
        <f>+K3</f>
        <v>86951.114100000108</v>
      </c>
      <c r="N3" s="158"/>
      <c r="O3" s="60">
        <v>86559.56660000002</v>
      </c>
    </row>
    <row r="4" spans="1:15">
      <c r="A4" s="198">
        <v>1</v>
      </c>
      <c r="B4" s="221">
        <v>46054</v>
      </c>
      <c r="C4" s="68"/>
      <c r="D4" s="161"/>
      <c r="E4" s="66">
        <v>20</v>
      </c>
      <c r="F4" s="6">
        <v>91.23</v>
      </c>
      <c r="G4" s="8">
        <f>E4*F4</f>
        <v>1824.6000000000001</v>
      </c>
      <c r="H4" s="66">
        <v>7.19</v>
      </c>
      <c r="I4" s="6">
        <v>103.16</v>
      </c>
      <c r="J4" s="8">
        <f>H4*I4</f>
        <v>741.72040000000004</v>
      </c>
      <c r="K4" s="8">
        <f>G4+J4</f>
        <v>2566.3204000000001</v>
      </c>
      <c r="L4" s="69"/>
      <c r="M4" s="69">
        <f>M3+K4-L4</f>
        <v>89517.434500000105</v>
      </c>
      <c r="N4" s="42"/>
      <c r="O4" s="70"/>
    </row>
    <row r="5" spans="1:15">
      <c r="A5" s="47">
        <v>2</v>
      </c>
      <c r="B5" s="221">
        <v>46055</v>
      </c>
      <c r="C5" s="68"/>
      <c r="D5" s="72"/>
      <c r="E5" s="66"/>
      <c r="F5" s="6"/>
      <c r="G5" s="8">
        <f t="shared" ref="G5:G34" si="0">E5*F5</f>
        <v>0</v>
      </c>
      <c r="H5" s="66"/>
      <c r="I5" s="6"/>
      <c r="J5" s="8">
        <f t="shared" ref="J5:J34" si="1">H5*I5</f>
        <v>0</v>
      </c>
      <c r="K5" s="8">
        <f t="shared" ref="K5:K34" si="2">G5+J5</f>
        <v>0</v>
      </c>
      <c r="L5" s="69">
        <v>89512</v>
      </c>
      <c r="M5" s="69">
        <f t="shared" ref="M5:M19" si="3">M4+K5-L5</f>
        <v>5.4345000001048902</v>
      </c>
      <c r="N5" s="42"/>
      <c r="O5" s="70"/>
    </row>
    <row r="6" spans="1:15">
      <c r="A6" s="47">
        <v>3</v>
      </c>
      <c r="B6" s="221">
        <v>46056</v>
      </c>
      <c r="C6" s="68"/>
      <c r="D6" s="72"/>
      <c r="E6" s="322">
        <v>100</v>
      </c>
      <c r="F6" s="336">
        <v>91.23</v>
      </c>
      <c r="G6" s="8">
        <f t="shared" si="0"/>
        <v>9123</v>
      </c>
      <c r="H6" s="66">
        <v>5</v>
      </c>
      <c r="I6" s="6">
        <v>103.16</v>
      </c>
      <c r="J6" s="8">
        <f t="shared" si="1"/>
        <v>515.79999999999995</v>
      </c>
      <c r="K6" s="8">
        <f t="shared" si="2"/>
        <v>9638.7999999999993</v>
      </c>
      <c r="L6" s="69"/>
      <c r="M6" s="69">
        <f t="shared" si="3"/>
        <v>9644.2345000001042</v>
      </c>
      <c r="N6" s="42"/>
      <c r="O6" s="70"/>
    </row>
    <row r="7" spans="1:15">
      <c r="A7" s="47">
        <v>4</v>
      </c>
      <c r="B7" s="221">
        <v>46057</v>
      </c>
      <c r="C7" s="68"/>
      <c r="D7" s="72"/>
      <c r="E7" s="66">
        <v>109.60000000000001</v>
      </c>
      <c r="F7" s="6">
        <v>91.23</v>
      </c>
      <c r="G7" s="8">
        <f t="shared" si="0"/>
        <v>9998.8080000000009</v>
      </c>
      <c r="H7" s="66"/>
      <c r="I7" s="6"/>
      <c r="J7" s="8">
        <f t="shared" si="1"/>
        <v>0</v>
      </c>
      <c r="K7" s="8">
        <f t="shared" si="2"/>
        <v>9998.8080000000009</v>
      </c>
      <c r="L7" s="69"/>
      <c r="M7" s="69">
        <f t="shared" si="3"/>
        <v>19643.042500000105</v>
      </c>
      <c r="N7" s="42"/>
      <c r="O7" s="70"/>
    </row>
    <row r="8" spans="1:15">
      <c r="A8" s="47">
        <v>5</v>
      </c>
      <c r="B8" s="221">
        <v>46058</v>
      </c>
      <c r="C8" s="68"/>
      <c r="D8" s="72"/>
      <c r="E8" s="66">
        <v>83.039999999999992</v>
      </c>
      <c r="F8" s="6">
        <v>91.23</v>
      </c>
      <c r="G8" s="8">
        <f t="shared" si="0"/>
        <v>7575.7392</v>
      </c>
      <c r="H8" s="66">
        <v>2</v>
      </c>
      <c r="I8" s="6">
        <v>103.16</v>
      </c>
      <c r="J8" s="8">
        <f t="shared" si="1"/>
        <v>206.32</v>
      </c>
      <c r="K8" s="8">
        <f t="shared" si="2"/>
        <v>7782.0591999999997</v>
      </c>
      <c r="L8" s="69"/>
      <c r="M8" s="69">
        <f t="shared" si="3"/>
        <v>27425.101700000105</v>
      </c>
      <c r="N8" s="42"/>
      <c r="O8" s="70"/>
    </row>
    <row r="9" spans="1:15">
      <c r="A9" s="47">
        <v>6</v>
      </c>
      <c r="B9" s="221">
        <v>46059</v>
      </c>
      <c r="C9" s="68"/>
      <c r="D9" s="72"/>
      <c r="E9" s="66">
        <v>0</v>
      </c>
      <c r="F9" s="6">
        <v>0</v>
      </c>
      <c r="G9" s="67">
        <f t="shared" si="0"/>
        <v>0</v>
      </c>
      <c r="H9" s="66"/>
      <c r="I9" s="336"/>
      <c r="J9" s="8">
        <f t="shared" si="1"/>
        <v>0</v>
      </c>
      <c r="K9" s="8">
        <f t="shared" si="2"/>
        <v>0</v>
      </c>
      <c r="L9" s="69"/>
      <c r="M9" s="69">
        <f t="shared" si="3"/>
        <v>27425.101700000105</v>
      </c>
      <c r="N9" s="42"/>
      <c r="O9" s="70"/>
    </row>
    <row r="10" spans="1:15">
      <c r="A10" s="47">
        <v>7</v>
      </c>
      <c r="B10" s="221">
        <v>46060</v>
      </c>
      <c r="C10" s="68"/>
      <c r="D10" s="72"/>
      <c r="E10" s="66">
        <v>113.83</v>
      </c>
      <c r="F10" s="6">
        <v>91.23</v>
      </c>
      <c r="G10" s="67">
        <f t="shared" ref="G10:G11" si="4">E10*F10</f>
        <v>10384.7109</v>
      </c>
      <c r="H10" s="66"/>
      <c r="I10" s="336"/>
      <c r="J10" s="8">
        <f t="shared" ref="J10:J11" si="5">H10*I10</f>
        <v>0</v>
      </c>
      <c r="K10" s="8">
        <f t="shared" ref="K10:K11" si="6">G10+J10</f>
        <v>10384.7109</v>
      </c>
      <c r="L10" s="69"/>
      <c r="M10" s="69">
        <f t="shared" si="3"/>
        <v>37809.812600000107</v>
      </c>
      <c r="N10" s="42"/>
      <c r="O10" s="70"/>
    </row>
    <row r="11" spans="1:15">
      <c r="A11" s="47">
        <v>8</v>
      </c>
      <c r="B11" s="221">
        <v>46061</v>
      </c>
      <c r="C11" s="68"/>
      <c r="D11" s="72"/>
      <c r="E11" s="66"/>
      <c r="F11" s="6"/>
      <c r="G11" s="67">
        <f t="shared" si="4"/>
        <v>0</v>
      </c>
      <c r="H11" s="66">
        <v>6.51</v>
      </c>
      <c r="I11" s="6">
        <v>103.16</v>
      </c>
      <c r="J11" s="8">
        <f t="shared" si="5"/>
        <v>671.57159999999999</v>
      </c>
      <c r="K11" s="8">
        <f t="shared" si="6"/>
        <v>671.57159999999999</v>
      </c>
      <c r="L11" s="69"/>
      <c r="M11" s="69">
        <f t="shared" si="3"/>
        <v>38481.38420000011</v>
      </c>
      <c r="N11" s="42"/>
      <c r="O11" s="70"/>
    </row>
    <row r="12" spans="1:15">
      <c r="A12" s="47">
        <v>9</v>
      </c>
      <c r="B12" s="221">
        <v>46062</v>
      </c>
      <c r="C12" s="68"/>
      <c r="D12" s="72"/>
      <c r="E12" s="66">
        <v>5</v>
      </c>
      <c r="F12" s="6">
        <v>91.23</v>
      </c>
      <c r="G12" s="8">
        <f t="shared" si="0"/>
        <v>456.15000000000003</v>
      </c>
      <c r="H12" s="66"/>
      <c r="I12" s="6"/>
      <c r="J12" s="8">
        <f t="shared" si="1"/>
        <v>0</v>
      </c>
      <c r="K12" s="8">
        <f t="shared" si="2"/>
        <v>456.15000000000003</v>
      </c>
      <c r="L12" s="69"/>
      <c r="M12" s="69">
        <f t="shared" si="3"/>
        <v>38937.534200000111</v>
      </c>
      <c r="N12" s="42"/>
      <c r="O12" s="70"/>
    </row>
    <row r="13" spans="1:15">
      <c r="A13" s="47">
        <v>10</v>
      </c>
      <c r="B13" s="221">
        <v>46063</v>
      </c>
      <c r="C13" s="189"/>
      <c r="D13" s="190"/>
      <c r="E13" s="66">
        <v>44.54</v>
      </c>
      <c r="F13" s="6">
        <v>91.23</v>
      </c>
      <c r="G13" s="8">
        <f t="shared" si="0"/>
        <v>4063.3842</v>
      </c>
      <c r="H13" s="66">
        <v>5</v>
      </c>
      <c r="I13" s="6">
        <v>103.16</v>
      </c>
      <c r="J13" s="8">
        <f t="shared" si="1"/>
        <v>515.79999999999995</v>
      </c>
      <c r="K13" s="8">
        <f t="shared" si="2"/>
        <v>4579.1841999999997</v>
      </c>
      <c r="L13" s="69"/>
      <c r="M13" s="69">
        <f>M12+K13-L13</f>
        <v>43516.718400000114</v>
      </c>
      <c r="N13" s="42"/>
      <c r="O13" s="70"/>
    </row>
    <row r="14" spans="1:15">
      <c r="A14" s="47">
        <v>11</v>
      </c>
      <c r="B14" s="221">
        <v>46064</v>
      </c>
      <c r="C14" s="178"/>
      <c r="D14" s="178"/>
      <c r="E14" s="66">
        <v>21.59</v>
      </c>
      <c r="F14" s="6">
        <v>91.23</v>
      </c>
      <c r="G14" s="8">
        <f t="shared" si="0"/>
        <v>1969.6557</v>
      </c>
      <c r="H14" s="66"/>
      <c r="I14" s="6"/>
      <c r="J14" s="8">
        <f t="shared" si="1"/>
        <v>0</v>
      </c>
      <c r="K14" s="8">
        <f t="shared" si="2"/>
        <v>1969.6557</v>
      </c>
      <c r="L14" s="69"/>
      <c r="M14" s="69">
        <f t="shared" si="3"/>
        <v>45486.374100000117</v>
      </c>
      <c r="N14" s="42"/>
      <c r="O14" s="70"/>
    </row>
    <row r="15" spans="1:15">
      <c r="A15" s="47">
        <v>12</v>
      </c>
      <c r="B15" s="221">
        <v>46065</v>
      </c>
      <c r="C15" s="178"/>
      <c r="D15" s="178"/>
      <c r="E15" s="66">
        <v>33.06</v>
      </c>
      <c r="F15" s="6">
        <v>91.23</v>
      </c>
      <c r="G15" s="8">
        <f t="shared" si="0"/>
        <v>3016.0638000000004</v>
      </c>
      <c r="H15" s="66">
        <v>5</v>
      </c>
      <c r="I15" s="6">
        <v>103.16</v>
      </c>
      <c r="J15" s="8">
        <f t="shared" si="1"/>
        <v>515.79999999999995</v>
      </c>
      <c r="K15" s="8">
        <f t="shared" si="2"/>
        <v>3531.8638000000001</v>
      </c>
      <c r="L15" s="69"/>
      <c r="M15" s="69">
        <f>M14+K15-L15</f>
        <v>49018.237900000116</v>
      </c>
      <c r="N15" s="42"/>
      <c r="O15" s="70"/>
    </row>
    <row r="16" spans="1:15">
      <c r="A16" s="47">
        <v>13</v>
      </c>
      <c r="B16" s="221">
        <v>46066</v>
      </c>
      <c r="C16" s="178"/>
      <c r="D16" s="178"/>
      <c r="E16" s="66">
        <v>33.57</v>
      </c>
      <c r="F16" s="6">
        <v>91.23</v>
      </c>
      <c r="G16" s="8">
        <f t="shared" si="0"/>
        <v>3062.5911000000001</v>
      </c>
      <c r="H16" s="66"/>
      <c r="I16" s="6"/>
      <c r="J16" s="8">
        <f t="shared" si="1"/>
        <v>0</v>
      </c>
      <c r="K16" s="8">
        <f t="shared" si="2"/>
        <v>3062.5911000000001</v>
      </c>
      <c r="L16" s="69"/>
      <c r="M16" s="69">
        <f t="shared" si="3"/>
        <v>52080.829000000114</v>
      </c>
      <c r="N16" s="42"/>
      <c r="O16" s="70"/>
    </row>
    <row r="17" spans="1:15">
      <c r="A17" s="47">
        <v>14</v>
      </c>
      <c r="B17" s="221">
        <v>46067</v>
      </c>
      <c r="C17" s="178"/>
      <c r="D17" s="178"/>
      <c r="E17" s="66"/>
      <c r="F17" s="6"/>
      <c r="G17" s="8">
        <f t="shared" si="0"/>
        <v>0</v>
      </c>
      <c r="H17" s="66"/>
      <c r="I17" s="6"/>
      <c r="J17" s="8">
        <f t="shared" si="1"/>
        <v>0</v>
      </c>
      <c r="K17" s="8">
        <f t="shared" si="2"/>
        <v>0</v>
      </c>
      <c r="L17" s="69"/>
      <c r="M17" s="69">
        <f t="shared" si="3"/>
        <v>52080.829000000114</v>
      </c>
      <c r="N17" s="42"/>
      <c r="O17" s="70"/>
    </row>
    <row r="18" spans="1:15">
      <c r="A18" s="47">
        <v>15</v>
      </c>
      <c r="B18" s="221">
        <v>46068</v>
      </c>
      <c r="C18" s="178"/>
      <c r="D18" s="178"/>
      <c r="E18" s="66"/>
      <c r="F18" s="6"/>
      <c r="G18" s="8">
        <f t="shared" si="0"/>
        <v>0</v>
      </c>
      <c r="H18" s="66"/>
      <c r="I18" s="6"/>
      <c r="J18" s="8">
        <f t="shared" si="1"/>
        <v>0</v>
      </c>
      <c r="K18" s="8">
        <f t="shared" si="2"/>
        <v>0</v>
      </c>
      <c r="L18" s="69"/>
      <c r="M18" s="69">
        <f t="shared" si="3"/>
        <v>52080.829000000114</v>
      </c>
      <c r="N18" s="42"/>
      <c r="O18" s="70"/>
    </row>
    <row r="19" spans="1:15">
      <c r="A19" s="47">
        <v>16</v>
      </c>
      <c r="B19" s="221">
        <v>46069</v>
      </c>
      <c r="C19" s="178"/>
      <c r="D19" s="178"/>
      <c r="E19" s="66">
        <v>70.19</v>
      </c>
      <c r="F19" s="6">
        <v>91.23</v>
      </c>
      <c r="G19" s="8">
        <f t="shared" si="0"/>
        <v>6403.4337000000005</v>
      </c>
      <c r="H19" s="66">
        <v>10</v>
      </c>
      <c r="I19" s="6">
        <v>103.16</v>
      </c>
      <c r="J19" s="8">
        <f t="shared" si="1"/>
        <v>1031.5999999999999</v>
      </c>
      <c r="K19" s="8">
        <f t="shared" si="2"/>
        <v>7435.0337</v>
      </c>
      <c r="L19" s="69"/>
      <c r="M19" s="69">
        <f t="shared" si="3"/>
        <v>59515.862700000114</v>
      </c>
      <c r="N19" s="42"/>
      <c r="O19" s="70"/>
    </row>
    <row r="20" spans="1:15">
      <c r="A20" s="47">
        <v>17</v>
      </c>
      <c r="B20" s="221">
        <v>46070</v>
      </c>
      <c r="C20" s="178"/>
      <c r="D20" s="178"/>
      <c r="E20" s="66">
        <v>39.19</v>
      </c>
      <c r="F20" s="6">
        <v>91.23</v>
      </c>
      <c r="G20" s="8">
        <f t="shared" si="0"/>
        <v>3575.3036999999999</v>
      </c>
      <c r="H20" s="66"/>
      <c r="I20" s="6"/>
      <c r="J20" s="8">
        <f t="shared" si="1"/>
        <v>0</v>
      </c>
      <c r="K20" s="8">
        <f t="shared" si="2"/>
        <v>3575.3036999999999</v>
      </c>
      <c r="L20" s="69"/>
      <c r="M20" s="69">
        <f t="shared" ref="M20:M34" si="7">M19+K20-L20</f>
        <v>63091.166400000111</v>
      </c>
      <c r="N20" s="42"/>
      <c r="O20" s="70"/>
    </row>
    <row r="21" spans="1:15">
      <c r="A21" s="47">
        <v>18</v>
      </c>
      <c r="B21" s="221">
        <v>46071</v>
      </c>
      <c r="C21" s="178"/>
      <c r="D21" s="178"/>
      <c r="E21" s="66"/>
      <c r="F21" s="6"/>
      <c r="G21" s="8">
        <f t="shared" si="0"/>
        <v>0</v>
      </c>
      <c r="H21" s="66">
        <v>9.6199999999999992</v>
      </c>
      <c r="I21" s="6">
        <v>103.16</v>
      </c>
      <c r="J21" s="8">
        <f t="shared" si="1"/>
        <v>992.39919999999984</v>
      </c>
      <c r="K21" s="8">
        <f t="shared" si="2"/>
        <v>992.39919999999984</v>
      </c>
      <c r="L21" s="69"/>
      <c r="M21" s="69">
        <f t="shared" si="7"/>
        <v>64083.565600000111</v>
      </c>
      <c r="N21" s="42"/>
      <c r="O21" s="70"/>
    </row>
    <row r="22" spans="1:15">
      <c r="A22" s="47">
        <v>19</v>
      </c>
      <c r="B22" s="221">
        <v>46072</v>
      </c>
      <c r="C22" s="178"/>
      <c r="D22" s="178"/>
      <c r="E22" s="66">
        <v>106.65</v>
      </c>
      <c r="F22" s="6">
        <v>91.23</v>
      </c>
      <c r="G22" s="8">
        <f t="shared" ref="G22" si="8">E22*F22</f>
        <v>9729.6795000000002</v>
      </c>
      <c r="H22" s="66">
        <v>1.95</v>
      </c>
      <c r="I22" s="6">
        <v>103.16</v>
      </c>
      <c r="J22" s="8">
        <f t="shared" ref="J22" si="9">H22*I22</f>
        <v>201.16199999999998</v>
      </c>
      <c r="K22" s="8">
        <f t="shared" ref="K22" si="10">G22+J22</f>
        <v>9930.8415000000005</v>
      </c>
      <c r="L22" s="69"/>
      <c r="M22" s="69">
        <f t="shared" si="7"/>
        <v>74014.407100000113</v>
      </c>
      <c r="N22" s="42"/>
      <c r="O22" s="70"/>
    </row>
    <row r="23" spans="1:15">
      <c r="A23" s="47">
        <v>20</v>
      </c>
      <c r="B23" s="221">
        <v>46073</v>
      </c>
      <c r="C23" s="178"/>
      <c r="D23" s="178"/>
      <c r="E23" s="66">
        <v>50</v>
      </c>
      <c r="F23" s="6">
        <v>91.23</v>
      </c>
      <c r="G23" s="8">
        <f t="shared" si="0"/>
        <v>4561.5</v>
      </c>
      <c r="H23" s="66">
        <v>8</v>
      </c>
      <c r="I23" s="6">
        <v>103.16</v>
      </c>
      <c r="J23" s="8">
        <f t="shared" si="1"/>
        <v>825.28</v>
      </c>
      <c r="K23" s="8">
        <f t="shared" si="2"/>
        <v>5386.78</v>
      </c>
      <c r="L23" s="69"/>
      <c r="M23" s="69">
        <f t="shared" si="7"/>
        <v>79401.187100000112</v>
      </c>
      <c r="N23" s="42"/>
      <c r="O23" s="70"/>
    </row>
    <row r="24" spans="1:15">
      <c r="A24" s="47">
        <v>21</v>
      </c>
      <c r="B24" s="221">
        <v>46074</v>
      </c>
      <c r="C24" s="178"/>
      <c r="D24" s="178"/>
      <c r="E24" s="66">
        <v>100.58</v>
      </c>
      <c r="F24" s="6">
        <v>91.23</v>
      </c>
      <c r="G24" s="8">
        <f t="shared" si="0"/>
        <v>9175.9133999999995</v>
      </c>
      <c r="H24" s="66"/>
      <c r="I24" s="6"/>
      <c r="J24" s="8">
        <f t="shared" si="1"/>
        <v>0</v>
      </c>
      <c r="K24" s="8">
        <f t="shared" si="2"/>
        <v>9175.9133999999995</v>
      </c>
      <c r="L24" s="69"/>
      <c r="M24" s="69">
        <f t="shared" si="7"/>
        <v>88577.100500000117</v>
      </c>
      <c r="N24" s="42"/>
      <c r="O24" s="70"/>
    </row>
    <row r="25" spans="1:15">
      <c r="A25" s="47">
        <v>22</v>
      </c>
      <c r="B25" s="221">
        <v>46075</v>
      </c>
      <c r="C25" s="178"/>
      <c r="D25" s="178"/>
      <c r="E25" s="66">
        <v>75.87</v>
      </c>
      <c r="F25" s="6">
        <v>91.23</v>
      </c>
      <c r="G25" s="8">
        <f t="shared" si="0"/>
        <v>6921.620100000001</v>
      </c>
      <c r="H25" s="66"/>
      <c r="I25" s="6"/>
      <c r="J25" s="8">
        <f t="shared" si="1"/>
        <v>0</v>
      </c>
      <c r="K25" s="8">
        <f t="shared" si="2"/>
        <v>6921.620100000001</v>
      </c>
      <c r="L25" s="69"/>
      <c r="M25" s="69">
        <f t="shared" si="7"/>
        <v>95498.720600000117</v>
      </c>
      <c r="N25" s="42"/>
      <c r="O25" s="70"/>
    </row>
    <row r="26" spans="1:15">
      <c r="A26" s="47">
        <v>23</v>
      </c>
      <c r="B26" s="221">
        <v>46076</v>
      </c>
      <c r="C26" s="212"/>
      <c r="D26" s="212"/>
      <c r="E26" s="66">
        <v>20</v>
      </c>
      <c r="F26" s="6">
        <v>91.23</v>
      </c>
      <c r="G26" s="8">
        <f t="shared" si="0"/>
        <v>1824.6000000000001</v>
      </c>
      <c r="H26" s="66">
        <v>3.96</v>
      </c>
      <c r="I26" s="6">
        <v>103.16</v>
      </c>
      <c r="J26" s="8">
        <f t="shared" si="1"/>
        <v>408.5136</v>
      </c>
      <c r="K26" s="8">
        <f t="shared" si="2"/>
        <v>2233.1136000000001</v>
      </c>
      <c r="L26" s="69"/>
      <c r="M26" s="69">
        <f t="shared" si="7"/>
        <v>97731.834200000114</v>
      </c>
      <c r="N26" s="213"/>
      <c r="O26" s="70">
        <v>51702</v>
      </c>
    </row>
    <row r="27" spans="1:15">
      <c r="A27" s="47">
        <v>24</v>
      </c>
      <c r="B27" s="221">
        <v>46077</v>
      </c>
      <c r="C27" s="212"/>
      <c r="D27" s="212"/>
      <c r="E27" s="322">
        <v>42.53</v>
      </c>
      <c r="F27" s="6">
        <v>91.23</v>
      </c>
      <c r="G27" s="8">
        <f t="shared" si="0"/>
        <v>3880.0119000000004</v>
      </c>
      <c r="H27" s="66">
        <v>3.78</v>
      </c>
      <c r="I27" s="6">
        <v>103.16</v>
      </c>
      <c r="J27" s="8">
        <f t="shared" si="1"/>
        <v>389.94479999999999</v>
      </c>
      <c r="K27" s="8">
        <f t="shared" si="2"/>
        <v>4269.9567000000006</v>
      </c>
      <c r="L27" s="69"/>
      <c r="M27" s="69">
        <f t="shared" si="7"/>
        <v>102001.79090000011</v>
      </c>
      <c r="N27" s="213"/>
      <c r="O27" s="70"/>
    </row>
    <row r="28" spans="1:15">
      <c r="A28" s="223">
        <v>25</v>
      </c>
      <c r="B28" s="221">
        <v>46078</v>
      </c>
      <c r="C28" s="212"/>
      <c r="D28" s="212"/>
      <c r="E28" s="66">
        <v>157.26999999999998</v>
      </c>
      <c r="F28" s="6">
        <v>91.23</v>
      </c>
      <c r="G28" s="8">
        <f t="shared" si="0"/>
        <v>14347.742099999999</v>
      </c>
      <c r="H28" s="66"/>
      <c r="I28" s="6"/>
      <c r="J28" s="8">
        <f t="shared" si="1"/>
        <v>0</v>
      </c>
      <c r="K28" s="8">
        <f t="shared" si="2"/>
        <v>14347.742099999999</v>
      </c>
      <c r="L28" s="69"/>
      <c r="M28" s="69">
        <f>M27+K28-L28</f>
        <v>116349.53300000011</v>
      </c>
      <c r="N28" s="213"/>
      <c r="O28" s="70"/>
    </row>
    <row r="29" spans="1:15">
      <c r="A29" s="223">
        <v>26</v>
      </c>
      <c r="B29" s="221">
        <v>46079</v>
      </c>
      <c r="C29" s="212"/>
      <c r="D29" s="212"/>
      <c r="E29" s="66">
        <v>20</v>
      </c>
      <c r="F29" s="6">
        <v>91.23</v>
      </c>
      <c r="G29" s="8">
        <f t="shared" si="0"/>
        <v>1824.6000000000001</v>
      </c>
      <c r="H29" s="66">
        <v>2</v>
      </c>
      <c r="I29" s="6">
        <v>103.16</v>
      </c>
      <c r="J29" s="8">
        <f t="shared" si="1"/>
        <v>206.32</v>
      </c>
      <c r="K29" s="8">
        <f t="shared" si="2"/>
        <v>2030.92</v>
      </c>
      <c r="L29" s="69"/>
      <c r="M29" s="69">
        <f t="shared" si="7"/>
        <v>118380.45300000011</v>
      </c>
      <c r="N29" s="213"/>
      <c r="O29" s="70"/>
    </row>
    <row r="30" spans="1:15">
      <c r="A30" s="223">
        <v>27</v>
      </c>
      <c r="B30" s="221">
        <v>46080</v>
      </c>
      <c r="C30" s="212"/>
      <c r="D30" s="212"/>
      <c r="E30" s="66">
        <v>41.16</v>
      </c>
      <c r="F30" s="6">
        <v>91.23</v>
      </c>
      <c r="G30" s="8">
        <f t="shared" si="0"/>
        <v>3755.0267999999996</v>
      </c>
      <c r="H30" s="66">
        <v>2</v>
      </c>
      <c r="I30" s="6">
        <v>103.16</v>
      </c>
      <c r="J30" s="8">
        <f t="shared" si="1"/>
        <v>206.32</v>
      </c>
      <c r="K30" s="8">
        <f t="shared" si="2"/>
        <v>3961.3467999999998</v>
      </c>
      <c r="L30" s="69"/>
      <c r="M30" s="69">
        <f t="shared" si="7"/>
        <v>122341.79980000011</v>
      </c>
      <c r="N30" s="213"/>
      <c r="O30" s="70"/>
    </row>
    <row r="31" spans="1:15">
      <c r="A31" s="223">
        <v>28</v>
      </c>
      <c r="B31" s="221">
        <v>46081</v>
      </c>
      <c r="C31" s="212"/>
      <c r="D31" s="212"/>
      <c r="E31" s="66">
        <v>35.31</v>
      </c>
      <c r="F31" s="6">
        <v>91.23</v>
      </c>
      <c r="G31" s="8">
        <f t="shared" si="0"/>
        <v>3221.3313000000003</v>
      </c>
      <c r="H31" s="66">
        <v>7.58</v>
      </c>
      <c r="I31" s="6">
        <v>103.16</v>
      </c>
      <c r="J31" s="8">
        <f t="shared" si="1"/>
        <v>781.95280000000002</v>
      </c>
      <c r="K31" s="8">
        <f t="shared" si="2"/>
        <v>4003.2841000000003</v>
      </c>
      <c r="L31" s="69"/>
      <c r="M31" s="69">
        <f t="shared" si="7"/>
        <v>126345.08390000011</v>
      </c>
      <c r="N31" s="213"/>
      <c r="O31" s="70"/>
    </row>
    <row r="32" spans="1:15">
      <c r="A32" s="224">
        <v>29</v>
      </c>
      <c r="B32" s="221">
        <v>46082</v>
      </c>
      <c r="C32" s="212"/>
      <c r="D32" s="212"/>
      <c r="E32" s="66"/>
      <c r="F32" s="6"/>
      <c r="G32" s="8">
        <f t="shared" si="0"/>
        <v>0</v>
      </c>
      <c r="H32" s="66"/>
      <c r="I32" s="6"/>
      <c r="J32" s="8">
        <f t="shared" si="1"/>
        <v>0</v>
      </c>
      <c r="K32" s="8">
        <f t="shared" si="2"/>
        <v>0</v>
      </c>
      <c r="L32" s="69"/>
      <c r="M32" s="69">
        <f t="shared" si="7"/>
        <v>126345.08390000011</v>
      </c>
      <c r="N32" s="213"/>
      <c r="O32" s="70"/>
    </row>
    <row r="33" spans="1:15">
      <c r="A33" s="224">
        <v>30</v>
      </c>
      <c r="B33" s="221">
        <v>46083</v>
      </c>
      <c r="C33" s="212"/>
      <c r="D33" s="212"/>
      <c r="E33" s="66"/>
      <c r="F33" s="6"/>
      <c r="G33" s="8">
        <f t="shared" si="0"/>
        <v>0</v>
      </c>
      <c r="H33" s="66"/>
      <c r="I33" s="6"/>
      <c r="J33" s="8">
        <f t="shared" si="1"/>
        <v>0</v>
      </c>
      <c r="K33" s="8">
        <f t="shared" si="2"/>
        <v>0</v>
      </c>
      <c r="L33" s="69"/>
      <c r="M33" s="69">
        <f t="shared" si="7"/>
        <v>126345.08390000011</v>
      </c>
      <c r="N33" s="213"/>
      <c r="O33" s="70"/>
    </row>
    <row r="34" spans="1:15">
      <c r="A34" s="224">
        <v>31</v>
      </c>
      <c r="B34" s="221">
        <v>46084</v>
      </c>
      <c r="C34" s="212"/>
      <c r="D34" s="212"/>
      <c r="E34" s="66">
        <v>0</v>
      </c>
      <c r="F34" s="6">
        <v>0</v>
      </c>
      <c r="G34" s="8">
        <f t="shared" si="0"/>
        <v>0</v>
      </c>
      <c r="H34" s="66"/>
      <c r="I34" s="6"/>
      <c r="J34" s="8">
        <f t="shared" si="1"/>
        <v>0</v>
      </c>
      <c r="K34" s="8">
        <f t="shared" si="2"/>
        <v>0</v>
      </c>
      <c r="L34" s="69"/>
      <c r="M34" s="69">
        <f t="shared" si="7"/>
        <v>126345.08390000011</v>
      </c>
      <c r="N34" s="213"/>
      <c r="O34" s="70"/>
    </row>
    <row r="35" spans="1:15">
      <c r="A35" s="162"/>
      <c r="B35" s="162"/>
      <c r="C35" s="162"/>
      <c r="D35" s="162"/>
      <c r="E35" s="163">
        <f>SUM(E4:E34)</f>
        <v>1322.98</v>
      </c>
      <c r="F35" s="163"/>
      <c r="G35" s="163">
        <f>SUM(G4:G34)</f>
        <v>120695.46540000003</v>
      </c>
      <c r="H35" s="163">
        <f>SUM(H4:H34)</f>
        <v>79.59</v>
      </c>
      <c r="I35" s="163"/>
      <c r="J35" s="163">
        <f>SUM(J4:J34)</f>
        <v>8210.504399999998</v>
      </c>
      <c r="K35" s="163">
        <f>SUM(K4:K34)</f>
        <v>128905.96980000001</v>
      </c>
      <c r="L35" s="163">
        <f>SUM(L4:L34)</f>
        <v>89512</v>
      </c>
      <c r="M35" s="163"/>
      <c r="N35" s="163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</sheetData>
  <mergeCells count="1">
    <mergeCell ref="A1:N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topLeftCell="A10" workbookViewId="0">
      <selection activeCell="L15" sqref="L15:M15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58" t="s">
        <v>90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5"/>
    </row>
    <row r="2" spans="1:16" ht="30">
      <c r="A2" s="65" t="s">
        <v>101</v>
      </c>
      <c r="B2" s="84" t="s">
        <v>155</v>
      </c>
      <c r="C2" s="84" t="s">
        <v>156</v>
      </c>
      <c r="D2" s="84" t="s">
        <v>173</v>
      </c>
      <c r="E2" s="84" t="s">
        <v>158</v>
      </c>
      <c r="F2" s="84" t="s">
        <v>159</v>
      </c>
      <c r="G2" s="91" t="s">
        <v>160</v>
      </c>
      <c r="H2" s="84" t="s">
        <v>161</v>
      </c>
      <c r="I2" s="84" t="s">
        <v>159</v>
      </c>
      <c r="J2" s="91" t="s">
        <v>160</v>
      </c>
      <c r="K2" s="65" t="s">
        <v>162</v>
      </c>
      <c r="L2" s="92" t="s">
        <v>163</v>
      </c>
      <c r="M2" s="86" t="s">
        <v>174</v>
      </c>
      <c r="N2" s="84" t="s">
        <v>165</v>
      </c>
      <c r="O2" s="5"/>
    </row>
    <row r="3" spans="1:16">
      <c r="A3" s="483" t="s">
        <v>166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5"/>
      <c r="M3" s="486">
        <v>4187.2387000000017</v>
      </c>
      <c r="N3" s="487"/>
      <c r="O3" s="5"/>
    </row>
    <row r="4" spans="1:16">
      <c r="A4" s="198">
        <v>1</v>
      </c>
      <c r="B4" s="221" t="s">
        <v>179</v>
      </c>
      <c r="C4" s="6"/>
      <c r="D4" s="6"/>
      <c r="E4" s="66">
        <v>34.92</v>
      </c>
      <c r="F4" s="6">
        <v>91.23</v>
      </c>
      <c r="G4" s="67">
        <f>E4*F4</f>
        <v>3185.7516000000005</v>
      </c>
      <c r="H4" s="66">
        <v>0</v>
      </c>
      <c r="I4" s="6">
        <v>0</v>
      </c>
      <c r="J4" s="67">
        <f>H4*I4</f>
        <v>0</v>
      </c>
      <c r="K4" s="67">
        <f>G4+J4</f>
        <v>3185.7516000000005</v>
      </c>
      <c r="L4" s="164">
        <v>0</v>
      </c>
      <c r="M4" s="150">
        <f>M3+K4-L4</f>
        <v>7372.9903000000022</v>
      </c>
      <c r="N4" s="47"/>
      <c r="O4" s="5">
        <v>908.20409999999981</v>
      </c>
    </row>
    <row r="5" spans="1:16">
      <c r="A5" s="47">
        <v>2</v>
      </c>
      <c r="B5" s="221" t="s">
        <v>278</v>
      </c>
      <c r="C5" s="6"/>
      <c r="D5" s="6"/>
      <c r="E5" s="66">
        <v>92.99</v>
      </c>
      <c r="F5" s="6">
        <v>91.23</v>
      </c>
      <c r="G5" s="67">
        <f t="shared" ref="G5:G42" si="0">E5*F5</f>
        <v>8483.4776999999995</v>
      </c>
      <c r="H5" s="66">
        <v>0</v>
      </c>
      <c r="I5" s="6">
        <v>0</v>
      </c>
      <c r="J5" s="67">
        <f t="shared" ref="J5:J42" si="1">H5*I5</f>
        <v>0</v>
      </c>
      <c r="K5" s="67">
        <f t="shared" ref="K5:K42" si="2">G5+J5</f>
        <v>8483.4776999999995</v>
      </c>
      <c r="L5" s="164">
        <v>0</v>
      </c>
      <c r="M5" s="150">
        <f t="shared" ref="M5:M43" si="3">M4+K5-L5</f>
        <v>15856.468000000001</v>
      </c>
      <c r="N5" s="47"/>
      <c r="O5" s="5"/>
    </row>
    <row r="6" spans="1:16">
      <c r="A6" s="47">
        <v>3</v>
      </c>
      <c r="B6" s="221" t="s">
        <v>279</v>
      </c>
      <c r="C6" s="6"/>
      <c r="D6" s="6"/>
      <c r="E6" s="66">
        <v>0</v>
      </c>
      <c r="F6" s="6">
        <v>0</v>
      </c>
      <c r="G6" s="67">
        <f t="shared" si="0"/>
        <v>0</v>
      </c>
      <c r="H6" s="66">
        <v>0</v>
      </c>
      <c r="I6" s="6">
        <v>0</v>
      </c>
      <c r="J6" s="67">
        <f t="shared" si="1"/>
        <v>0</v>
      </c>
      <c r="K6" s="67">
        <f t="shared" si="2"/>
        <v>0</v>
      </c>
      <c r="L6" s="164">
        <v>7300</v>
      </c>
      <c r="M6" s="150">
        <f t="shared" si="3"/>
        <v>8556.4680000000008</v>
      </c>
      <c r="N6" s="47"/>
      <c r="O6" s="5"/>
    </row>
    <row r="7" spans="1:16">
      <c r="A7" s="47">
        <v>4</v>
      </c>
      <c r="B7" s="221" t="s">
        <v>280</v>
      </c>
      <c r="C7" s="6"/>
      <c r="D7" s="6"/>
      <c r="E7" s="66">
        <v>50</v>
      </c>
      <c r="F7" s="6">
        <v>91.23</v>
      </c>
      <c r="G7" s="67">
        <f t="shared" si="0"/>
        <v>4561.5</v>
      </c>
      <c r="H7" s="66">
        <v>5</v>
      </c>
      <c r="I7" s="6">
        <v>103.15</v>
      </c>
      <c r="J7" s="67">
        <f t="shared" si="1"/>
        <v>515.75</v>
      </c>
      <c r="K7" s="67">
        <f t="shared" si="2"/>
        <v>5077.25</v>
      </c>
      <c r="L7" s="164">
        <v>0</v>
      </c>
      <c r="M7" s="150">
        <f t="shared" si="3"/>
        <v>13633.718000000001</v>
      </c>
      <c r="N7" s="47"/>
      <c r="O7" s="5"/>
    </row>
    <row r="8" spans="1:16">
      <c r="A8" s="47">
        <v>5</v>
      </c>
      <c r="B8" s="221" t="s">
        <v>195</v>
      </c>
      <c r="C8" s="6"/>
      <c r="D8" s="6"/>
      <c r="E8" s="66">
        <v>106.03</v>
      </c>
      <c r="F8" s="6">
        <v>91.23</v>
      </c>
      <c r="G8" s="67">
        <f t="shared" si="0"/>
        <v>9673.1169000000009</v>
      </c>
      <c r="H8" s="66">
        <v>0</v>
      </c>
      <c r="I8" s="6">
        <v>0</v>
      </c>
      <c r="J8" s="67">
        <f t="shared" si="1"/>
        <v>0</v>
      </c>
      <c r="K8" s="67">
        <f t="shared" si="2"/>
        <v>9673.1169000000009</v>
      </c>
      <c r="L8" s="164">
        <v>0</v>
      </c>
      <c r="M8" s="150">
        <f t="shared" si="3"/>
        <v>23306.834900000002</v>
      </c>
      <c r="N8" s="47"/>
      <c r="O8" s="5"/>
    </row>
    <row r="9" spans="1:16">
      <c r="A9" s="47">
        <v>6</v>
      </c>
      <c r="B9" s="221" t="s">
        <v>273</v>
      </c>
      <c r="C9" s="6"/>
      <c r="D9" s="6"/>
      <c r="E9" s="66">
        <v>50</v>
      </c>
      <c r="F9" s="6">
        <v>91.23</v>
      </c>
      <c r="G9" s="67">
        <f t="shared" si="0"/>
        <v>4561.5</v>
      </c>
      <c r="H9" s="66">
        <v>0</v>
      </c>
      <c r="I9" s="6">
        <v>0</v>
      </c>
      <c r="J9" s="67">
        <f t="shared" si="1"/>
        <v>0</v>
      </c>
      <c r="K9" s="67">
        <f t="shared" si="2"/>
        <v>4561.5</v>
      </c>
      <c r="L9" s="164">
        <v>0</v>
      </c>
      <c r="M9" s="150">
        <f t="shared" si="3"/>
        <v>27868.334900000002</v>
      </c>
      <c r="N9" s="47"/>
      <c r="O9" s="5"/>
    </row>
    <row r="10" spans="1:16">
      <c r="A10" s="47">
        <v>7</v>
      </c>
      <c r="B10" s="221" t="s">
        <v>274</v>
      </c>
      <c r="C10" s="6"/>
      <c r="D10" s="6"/>
      <c r="E10" s="66">
        <v>108</v>
      </c>
      <c r="F10" s="6">
        <v>91.23</v>
      </c>
      <c r="G10" s="67">
        <f t="shared" si="0"/>
        <v>9852.84</v>
      </c>
      <c r="H10" s="66">
        <v>0</v>
      </c>
      <c r="I10" s="6">
        <v>0</v>
      </c>
      <c r="J10" s="67">
        <f t="shared" si="1"/>
        <v>0</v>
      </c>
      <c r="K10" s="67">
        <f t="shared" si="2"/>
        <v>9852.84</v>
      </c>
      <c r="L10" s="164">
        <v>0</v>
      </c>
      <c r="M10" s="150">
        <f t="shared" si="3"/>
        <v>37721.174899999998</v>
      </c>
      <c r="N10" s="47"/>
      <c r="O10" s="5"/>
    </row>
    <row r="11" spans="1:16">
      <c r="A11" s="47">
        <v>8</v>
      </c>
      <c r="B11" s="221" t="s">
        <v>202</v>
      </c>
      <c r="C11" s="6"/>
      <c r="D11" s="6"/>
      <c r="E11" s="66">
        <v>0</v>
      </c>
      <c r="F11" s="6">
        <v>0</v>
      </c>
      <c r="G11" s="67">
        <f t="shared" si="0"/>
        <v>0</v>
      </c>
      <c r="H11" s="66">
        <v>0</v>
      </c>
      <c r="I11" s="6">
        <v>0</v>
      </c>
      <c r="J11" s="67">
        <f t="shared" si="1"/>
        <v>0</v>
      </c>
      <c r="K11" s="67">
        <f t="shared" si="2"/>
        <v>0</v>
      </c>
      <c r="L11" s="164">
        <v>37700</v>
      </c>
      <c r="M11" s="150">
        <f t="shared" si="3"/>
        <v>21.174899999998161</v>
      </c>
      <c r="N11" s="47"/>
      <c r="O11" s="5"/>
      <c r="P11" s="69">
        <f>P10+N11-O11</f>
        <v>0</v>
      </c>
    </row>
    <row r="12" spans="1:16">
      <c r="A12" s="47">
        <v>9</v>
      </c>
      <c r="B12" s="221" t="s">
        <v>205</v>
      </c>
      <c r="C12" s="6"/>
      <c r="D12" s="6"/>
      <c r="E12" s="66">
        <v>95</v>
      </c>
      <c r="F12" s="6">
        <v>91.23</v>
      </c>
      <c r="G12" s="67">
        <f t="shared" si="0"/>
        <v>8666.85</v>
      </c>
      <c r="H12" s="66">
        <v>0</v>
      </c>
      <c r="I12" s="6">
        <v>0</v>
      </c>
      <c r="J12" s="67">
        <f t="shared" si="1"/>
        <v>0</v>
      </c>
      <c r="K12" s="67">
        <f t="shared" si="2"/>
        <v>8666.85</v>
      </c>
      <c r="L12" s="164">
        <v>0</v>
      </c>
      <c r="M12" s="150">
        <f t="shared" si="3"/>
        <v>8688.0248999999985</v>
      </c>
      <c r="N12" s="47"/>
      <c r="O12" s="5"/>
    </row>
    <row r="13" spans="1:16">
      <c r="A13" s="47">
        <v>10</v>
      </c>
      <c r="B13" s="221" t="s">
        <v>281</v>
      </c>
      <c r="C13" s="6"/>
      <c r="D13" s="6"/>
      <c r="E13" s="66">
        <v>0</v>
      </c>
      <c r="F13" s="6">
        <v>0</v>
      </c>
      <c r="G13" s="67">
        <f t="shared" si="0"/>
        <v>0</v>
      </c>
      <c r="H13" s="66">
        <v>5</v>
      </c>
      <c r="I13" s="6">
        <v>110.47</v>
      </c>
      <c r="J13" s="67">
        <f t="shared" si="1"/>
        <v>552.35</v>
      </c>
      <c r="K13" s="67">
        <f t="shared" si="2"/>
        <v>552.35</v>
      </c>
      <c r="L13" s="164">
        <v>0</v>
      </c>
      <c r="M13" s="150">
        <f t="shared" si="3"/>
        <v>9240.3748999999989</v>
      </c>
      <c r="N13" s="47"/>
      <c r="O13" s="5"/>
    </row>
    <row r="14" spans="1:16">
      <c r="A14" s="47">
        <v>11</v>
      </c>
      <c r="B14" s="221" t="s">
        <v>208</v>
      </c>
      <c r="C14" s="6"/>
      <c r="D14" s="6"/>
      <c r="E14" s="66">
        <v>120.01</v>
      </c>
      <c r="F14" s="6">
        <v>91.23</v>
      </c>
      <c r="G14" s="67">
        <f t="shared" si="0"/>
        <v>10948.5123</v>
      </c>
      <c r="H14" s="66">
        <v>0</v>
      </c>
      <c r="I14" s="6">
        <v>0</v>
      </c>
      <c r="J14" s="67">
        <f t="shared" si="1"/>
        <v>0</v>
      </c>
      <c r="K14" s="67">
        <f t="shared" si="2"/>
        <v>10948.5123</v>
      </c>
      <c r="L14" s="164">
        <v>0</v>
      </c>
      <c r="M14" s="150">
        <f t="shared" si="3"/>
        <v>20188.887199999997</v>
      </c>
      <c r="N14" s="47"/>
      <c r="O14" s="5"/>
    </row>
    <row r="15" spans="1:16">
      <c r="A15" s="47">
        <v>12</v>
      </c>
      <c r="B15" s="221" t="s">
        <v>209</v>
      </c>
      <c r="C15" s="6"/>
      <c r="D15" s="6"/>
      <c r="E15" s="66">
        <v>50</v>
      </c>
      <c r="F15" s="6">
        <v>91.23</v>
      </c>
      <c r="G15" s="67">
        <f t="shared" si="0"/>
        <v>4561.5</v>
      </c>
      <c r="H15" s="66">
        <v>0</v>
      </c>
      <c r="I15" s="6">
        <v>0</v>
      </c>
      <c r="J15" s="67">
        <f t="shared" si="1"/>
        <v>0</v>
      </c>
      <c r="K15" s="67">
        <f t="shared" si="2"/>
        <v>4561.5</v>
      </c>
      <c r="L15" s="164">
        <v>20000</v>
      </c>
      <c r="M15" s="150">
        <f t="shared" si="3"/>
        <v>4750.3871999999974</v>
      </c>
      <c r="N15" s="47"/>
      <c r="O15" s="5"/>
    </row>
    <row r="16" spans="1:16">
      <c r="A16" s="47">
        <v>13</v>
      </c>
      <c r="B16" s="221"/>
      <c r="C16" s="6"/>
      <c r="D16" s="6"/>
      <c r="E16" s="66">
        <v>0</v>
      </c>
      <c r="F16" s="6">
        <v>0</v>
      </c>
      <c r="G16" s="67">
        <f t="shared" si="0"/>
        <v>0</v>
      </c>
      <c r="H16" s="66">
        <v>0</v>
      </c>
      <c r="I16" s="6">
        <v>0</v>
      </c>
      <c r="J16" s="67">
        <f t="shared" si="1"/>
        <v>0</v>
      </c>
      <c r="K16" s="67">
        <f t="shared" si="2"/>
        <v>0</v>
      </c>
      <c r="L16" s="164">
        <v>0</v>
      </c>
      <c r="M16" s="150">
        <f t="shared" si="3"/>
        <v>4750.3871999999974</v>
      </c>
      <c r="N16" s="47"/>
      <c r="O16" s="5"/>
    </row>
    <row r="17" spans="1:15">
      <c r="A17" s="47">
        <v>14</v>
      </c>
      <c r="B17" s="221"/>
      <c r="C17" s="6"/>
      <c r="D17" s="6"/>
      <c r="E17" s="66">
        <v>0</v>
      </c>
      <c r="F17" s="6">
        <v>0</v>
      </c>
      <c r="G17" s="67">
        <f t="shared" si="0"/>
        <v>0</v>
      </c>
      <c r="H17" s="66">
        <v>0</v>
      </c>
      <c r="I17" s="6">
        <v>0</v>
      </c>
      <c r="J17" s="67">
        <f t="shared" si="1"/>
        <v>0</v>
      </c>
      <c r="K17" s="67">
        <f t="shared" si="2"/>
        <v>0</v>
      </c>
      <c r="L17" s="164">
        <v>0</v>
      </c>
      <c r="M17" s="150">
        <f t="shared" si="3"/>
        <v>4750.3871999999974</v>
      </c>
      <c r="N17" s="47"/>
      <c r="O17" s="5"/>
    </row>
    <row r="18" spans="1:15">
      <c r="A18" s="47">
        <v>15</v>
      </c>
      <c r="B18" s="221"/>
      <c r="C18" s="6"/>
      <c r="D18" s="6"/>
      <c r="E18" s="66">
        <v>0</v>
      </c>
      <c r="F18" s="6">
        <v>0</v>
      </c>
      <c r="G18" s="67">
        <f t="shared" si="0"/>
        <v>0</v>
      </c>
      <c r="H18" s="66">
        <v>0</v>
      </c>
      <c r="I18" s="6">
        <v>0</v>
      </c>
      <c r="J18" s="67">
        <f t="shared" si="1"/>
        <v>0</v>
      </c>
      <c r="K18" s="67">
        <f t="shared" si="2"/>
        <v>0</v>
      </c>
      <c r="L18" s="164">
        <v>0</v>
      </c>
      <c r="M18" s="150">
        <f>M17+K18-L18</f>
        <v>4750.3871999999974</v>
      </c>
      <c r="N18" s="47"/>
      <c r="O18" s="5"/>
    </row>
    <row r="19" spans="1:15">
      <c r="A19" s="47">
        <v>16</v>
      </c>
      <c r="B19" s="221"/>
      <c r="C19" s="6"/>
      <c r="D19" s="6"/>
      <c r="E19" s="66">
        <v>0</v>
      </c>
      <c r="F19" s="6">
        <v>0</v>
      </c>
      <c r="G19" s="67">
        <f t="shared" si="0"/>
        <v>0</v>
      </c>
      <c r="H19" s="66">
        <v>0</v>
      </c>
      <c r="I19" s="6">
        <v>0</v>
      </c>
      <c r="J19" s="67">
        <f t="shared" si="1"/>
        <v>0</v>
      </c>
      <c r="K19" s="67">
        <f t="shared" si="2"/>
        <v>0</v>
      </c>
      <c r="L19" s="164">
        <v>0</v>
      </c>
      <c r="M19" s="150">
        <f t="shared" si="3"/>
        <v>4750.3871999999974</v>
      </c>
      <c r="N19" s="47"/>
      <c r="O19" s="5"/>
    </row>
    <row r="20" spans="1:15">
      <c r="A20" s="47">
        <v>17</v>
      </c>
      <c r="B20" s="221"/>
      <c r="C20" s="6"/>
      <c r="D20" s="6"/>
      <c r="E20" s="66">
        <v>0</v>
      </c>
      <c r="F20" s="6">
        <v>0</v>
      </c>
      <c r="G20" s="67">
        <f>E20*F20</f>
        <v>0</v>
      </c>
      <c r="H20" s="66">
        <v>0</v>
      </c>
      <c r="I20" s="6">
        <v>0</v>
      </c>
      <c r="J20" s="67">
        <f t="shared" si="1"/>
        <v>0</v>
      </c>
      <c r="K20" s="67">
        <f t="shared" si="2"/>
        <v>0</v>
      </c>
      <c r="L20" s="164">
        <v>0</v>
      </c>
      <c r="M20" s="150">
        <f t="shared" si="3"/>
        <v>4750.3871999999974</v>
      </c>
      <c r="N20" s="47"/>
      <c r="O20" s="5"/>
    </row>
    <row r="21" spans="1:15">
      <c r="A21" s="47">
        <v>18</v>
      </c>
      <c r="B21" s="221"/>
      <c r="C21" s="6"/>
      <c r="D21" s="6"/>
      <c r="E21" s="66">
        <v>0</v>
      </c>
      <c r="F21" s="6">
        <v>0</v>
      </c>
      <c r="G21" s="67">
        <f t="shared" si="0"/>
        <v>0</v>
      </c>
      <c r="H21" s="66">
        <v>0</v>
      </c>
      <c r="I21" s="6">
        <v>0</v>
      </c>
      <c r="J21" s="67">
        <f t="shared" si="1"/>
        <v>0</v>
      </c>
      <c r="K21" s="67">
        <f t="shared" si="2"/>
        <v>0</v>
      </c>
      <c r="L21" s="164">
        <v>0</v>
      </c>
      <c r="M21" s="150">
        <f t="shared" si="3"/>
        <v>4750.3871999999974</v>
      </c>
      <c r="N21" s="47"/>
      <c r="O21" s="5"/>
    </row>
    <row r="22" spans="1:15">
      <c r="A22" s="47">
        <v>19</v>
      </c>
      <c r="B22" s="221"/>
      <c r="C22" s="6"/>
      <c r="D22" s="6"/>
      <c r="E22" s="66">
        <v>0</v>
      </c>
      <c r="F22" s="6">
        <v>0</v>
      </c>
      <c r="G22" s="67">
        <f t="shared" si="0"/>
        <v>0</v>
      </c>
      <c r="H22" s="66">
        <v>0</v>
      </c>
      <c r="I22" s="6">
        <v>0</v>
      </c>
      <c r="J22" s="67">
        <f t="shared" si="1"/>
        <v>0</v>
      </c>
      <c r="K22" s="67">
        <f t="shared" si="2"/>
        <v>0</v>
      </c>
      <c r="L22" s="164">
        <v>0</v>
      </c>
      <c r="M22" s="150">
        <f t="shared" si="3"/>
        <v>4750.3871999999974</v>
      </c>
      <c r="N22" s="47"/>
      <c r="O22" s="5"/>
    </row>
    <row r="23" spans="1:15">
      <c r="A23" s="47">
        <v>20</v>
      </c>
      <c r="B23" s="221"/>
      <c r="C23" s="6"/>
      <c r="D23" s="6"/>
      <c r="E23" s="66">
        <v>0</v>
      </c>
      <c r="F23" s="6">
        <v>0</v>
      </c>
      <c r="G23" s="67">
        <f t="shared" si="0"/>
        <v>0</v>
      </c>
      <c r="H23" s="66">
        <v>0</v>
      </c>
      <c r="I23" s="6">
        <v>0</v>
      </c>
      <c r="J23" s="67">
        <f t="shared" si="1"/>
        <v>0</v>
      </c>
      <c r="K23" s="67">
        <f t="shared" si="2"/>
        <v>0</v>
      </c>
      <c r="L23" s="164">
        <v>0</v>
      </c>
      <c r="M23" s="150">
        <f t="shared" si="3"/>
        <v>4750.3871999999974</v>
      </c>
      <c r="N23" s="47"/>
      <c r="O23" s="5"/>
    </row>
    <row r="24" spans="1:15">
      <c r="A24" s="47">
        <v>21</v>
      </c>
      <c r="B24" s="221"/>
      <c r="C24" s="6"/>
      <c r="D24" s="6"/>
      <c r="E24" s="66">
        <v>0</v>
      </c>
      <c r="F24" s="6">
        <v>0</v>
      </c>
      <c r="G24" s="67">
        <f t="shared" si="0"/>
        <v>0</v>
      </c>
      <c r="H24" s="66">
        <v>0</v>
      </c>
      <c r="I24" s="6">
        <v>0</v>
      </c>
      <c r="J24" s="67">
        <f t="shared" si="1"/>
        <v>0</v>
      </c>
      <c r="K24" s="67">
        <f t="shared" si="2"/>
        <v>0</v>
      </c>
      <c r="L24" s="164">
        <v>0</v>
      </c>
      <c r="M24" s="150">
        <f t="shared" si="3"/>
        <v>4750.3871999999974</v>
      </c>
      <c r="N24" s="47"/>
      <c r="O24" s="5"/>
    </row>
    <row r="25" spans="1:15">
      <c r="A25" s="47">
        <v>22</v>
      </c>
      <c r="B25" s="221"/>
      <c r="C25" s="6"/>
      <c r="D25" s="6"/>
      <c r="E25" s="66">
        <v>0</v>
      </c>
      <c r="F25" s="6">
        <v>0</v>
      </c>
      <c r="G25" s="67">
        <f t="shared" si="0"/>
        <v>0</v>
      </c>
      <c r="H25" s="66">
        <v>0</v>
      </c>
      <c r="I25" s="6">
        <v>0</v>
      </c>
      <c r="J25" s="67">
        <f t="shared" si="1"/>
        <v>0</v>
      </c>
      <c r="K25" s="67">
        <f t="shared" si="2"/>
        <v>0</v>
      </c>
      <c r="L25" s="164">
        <v>0</v>
      </c>
      <c r="M25" s="150">
        <f t="shared" si="3"/>
        <v>4750.3871999999974</v>
      </c>
      <c r="N25" s="47"/>
      <c r="O25" s="5"/>
    </row>
    <row r="26" spans="1:15">
      <c r="A26" s="47">
        <v>23</v>
      </c>
      <c r="B26" s="221"/>
      <c r="C26" s="6"/>
      <c r="D26" s="6"/>
      <c r="E26" s="66">
        <v>0</v>
      </c>
      <c r="F26" s="6">
        <v>0</v>
      </c>
      <c r="G26" s="67">
        <f t="shared" si="0"/>
        <v>0</v>
      </c>
      <c r="H26" s="66">
        <v>0</v>
      </c>
      <c r="I26" s="6">
        <v>0</v>
      </c>
      <c r="J26" s="67">
        <f t="shared" si="1"/>
        <v>0</v>
      </c>
      <c r="K26" s="67">
        <f t="shared" si="2"/>
        <v>0</v>
      </c>
      <c r="L26" s="164">
        <v>0</v>
      </c>
      <c r="M26" s="150">
        <f t="shared" si="3"/>
        <v>4750.3871999999974</v>
      </c>
      <c r="N26" s="47"/>
      <c r="O26" s="5"/>
    </row>
    <row r="27" spans="1:15">
      <c r="A27" s="47">
        <v>24</v>
      </c>
      <c r="B27" s="221"/>
      <c r="C27" s="6"/>
      <c r="D27" s="6"/>
      <c r="E27" s="66">
        <v>0</v>
      </c>
      <c r="F27" s="6">
        <v>0</v>
      </c>
      <c r="G27" s="67">
        <f t="shared" si="0"/>
        <v>0</v>
      </c>
      <c r="H27" s="66">
        <v>0</v>
      </c>
      <c r="I27" s="6">
        <v>0</v>
      </c>
      <c r="J27" s="67">
        <f t="shared" si="1"/>
        <v>0</v>
      </c>
      <c r="K27" s="67">
        <f t="shared" si="2"/>
        <v>0</v>
      </c>
      <c r="L27" s="164">
        <v>0</v>
      </c>
      <c r="M27" s="150">
        <f t="shared" si="3"/>
        <v>4750.3871999999974</v>
      </c>
      <c r="N27" s="6"/>
      <c r="O27" s="5"/>
    </row>
    <row r="28" spans="1:15">
      <c r="A28" s="223">
        <v>25</v>
      </c>
      <c r="B28" s="221"/>
      <c r="C28" s="6"/>
      <c r="D28" s="6"/>
      <c r="E28" s="66">
        <v>0</v>
      </c>
      <c r="F28" s="6">
        <v>0</v>
      </c>
      <c r="G28" s="67">
        <f t="shared" si="0"/>
        <v>0</v>
      </c>
      <c r="H28" s="66">
        <v>0</v>
      </c>
      <c r="I28" s="6">
        <v>0</v>
      </c>
      <c r="J28" s="67">
        <f t="shared" si="1"/>
        <v>0</v>
      </c>
      <c r="K28" s="67">
        <f t="shared" si="2"/>
        <v>0</v>
      </c>
      <c r="L28" s="164">
        <v>0</v>
      </c>
      <c r="M28" s="150">
        <f t="shared" si="3"/>
        <v>4750.3871999999974</v>
      </c>
      <c r="N28" s="6"/>
      <c r="O28" s="5"/>
    </row>
    <row r="29" spans="1:15">
      <c r="A29" s="223">
        <v>26</v>
      </c>
      <c r="B29" s="221"/>
      <c r="C29" s="6"/>
      <c r="D29" s="6"/>
      <c r="E29" s="66">
        <v>0</v>
      </c>
      <c r="F29" s="6">
        <v>0</v>
      </c>
      <c r="G29" s="67">
        <f t="shared" si="0"/>
        <v>0</v>
      </c>
      <c r="H29" s="66">
        <v>0</v>
      </c>
      <c r="I29" s="6">
        <v>0</v>
      </c>
      <c r="J29" s="67">
        <f t="shared" si="1"/>
        <v>0</v>
      </c>
      <c r="K29" s="67">
        <f t="shared" si="2"/>
        <v>0</v>
      </c>
      <c r="L29" s="164">
        <v>0</v>
      </c>
      <c r="M29" s="150">
        <f t="shared" si="3"/>
        <v>4750.3871999999974</v>
      </c>
      <c r="N29" s="6"/>
      <c r="O29" s="5"/>
    </row>
    <row r="30" spans="1:15">
      <c r="A30" s="223">
        <v>27</v>
      </c>
      <c r="B30" s="221"/>
      <c r="C30" s="6"/>
      <c r="D30" s="6"/>
      <c r="E30" s="66">
        <v>0</v>
      </c>
      <c r="F30" s="6">
        <v>0</v>
      </c>
      <c r="G30" s="67">
        <f t="shared" si="0"/>
        <v>0</v>
      </c>
      <c r="H30" s="66">
        <v>0</v>
      </c>
      <c r="I30" s="6">
        <v>0</v>
      </c>
      <c r="J30" s="67">
        <f t="shared" si="1"/>
        <v>0</v>
      </c>
      <c r="K30" s="67">
        <f t="shared" si="2"/>
        <v>0</v>
      </c>
      <c r="L30" s="164">
        <v>0</v>
      </c>
      <c r="M30" s="150">
        <f t="shared" si="3"/>
        <v>4750.3871999999974</v>
      </c>
      <c r="N30" s="6"/>
      <c r="O30" s="5"/>
    </row>
    <row r="31" spans="1:15">
      <c r="A31" s="223">
        <v>28</v>
      </c>
      <c r="B31" s="221"/>
      <c r="C31" s="6"/>
      <c r="D31" s="6"/>
      <c r="E31" s="66">
        <v>0</v>
      </c>
      <c r="F31" s="6">
        <v>0</v>
      </c>
      <c r="G31" s="67">
        <f t="shared" si="0"/>
        <v>0</v>
      </c>
      <c r="H31" s="66">
        <v>0</v>
      </c>
      <c r="I31" s="6">
        <v>0</v>
      </c>
      <c r="J31" s="67">
        <f t="shared" si="1"/>
        <v>0</v>
      </c>
      <c r="K31" s="67">
        <f t="shared" si="2"/>
        <v>0</v>
      </c>
      <c r="L31" s="164">
        <v>0</v>
      </c>
      <c r="M31" s="150">
        <f t="shared" si="3"/>
        <v>4750.3871999999974</v>
      </c>
      <c r="N31" s="6"/>
      <c r="O31" s="5"/>
    </row>
    <row r="32" spans="1:15">
      <c r="A32" s="224">
        <v>29</v>
      </c>
      <c r="B32" s="221"/>
      <c r="C32" s="6"/>
      <c r="D32" s="6"/>
      <c r="E32" s="66">
        <v>0</v>
      </c>
      <c r="F32" s="6">
        <v>0</v>
      </c>
      <c r="G32" s="67">
        <f t="shared" si="0"/>
        <v>0</v>
      </c>
      <c r="H32" s="66">
        <v>0</v>
      </c>
      <c r="I32" s="6">
        <v>0</v>
      </c>
      <c r="J32" s="67">
        <f t="shared" si="1"/>
        <v>0</v>
      </c>
      <c r="K32" s="67">
        <f t="shared" si="2"/>
        <v>0</v>
      </c>
      <c r="L32" s="164">
        <v>0</v>
      </c>
      <c r="M32" s="150">
        <f t="shared" si="3"/>
        <v>4750.3871999999974</v>
      </c>
      <c r="N32" s="6"/>
      <c r="O32" s="5"/>
    </row>
    <row r="33" spans="1:15">
      <c r="A33" s="224">
        <v>30</v>
      </c>
      <c r="B33" s="221"/>
      <c r="C33" s="6"/>
      <c r="D33" s="6"/>
      <c r="E33" s="66">
        <v>0</v>
      </c>
      <c r="F33" s="6">
        <v>0</v>
      </c>
      <c r="G33" s="67">
        <f t="shared" si="0"/>
        <v>0</v>
      </c>
      <c r="H33" s="66">
        <v>0</v>
      </c>
      <c r="I33" s="6">
        <v>0</v>
      </c>
      <c r="J33" s="67">
        <f t="shared" si="1"/>
        <v>0</v>
      </c>
      <c r="K33" s="67">
        <f t="shared" si="2"/>
        <v>0</v>
      </c>
      <c r="L33" s="164">
        <v>0</v>
      </c>
      <c r="M33" s="150">
        <f t="shared" si="3"/>
        <v>4750.3871999999974</v>
      </c>
      <c r="N33" s="6"/>
      <c r="O33" s="5"/>
    </row>
    <row r="34" spans="1:15">
      <c r="A34" s="224">
        <v>31</v>
      </c>
      <c r="B34" s="221"/>
      <c r="C34" s="6"/>
      <c r="D34" s="6"/>
      <c r="E34" s="66">
        <v>0</v>
      </c>
      <c r="F34" s="6">
        <v>0</v>
      </c>
      <c r="G34" s="67">
        <f t="shared" si="0"/>
        <v>0</v>
      </c>
      <c r="H34" s="66">
        <v>0</v>
      </c>
      <c r="I34" s="6">
        <v>0</v>
      </c>
      <c r="J34" s="67">
        <f t="shared" si="1"/>
        <v>0</v>
      </c>
      <c r="K34" s="67">
        <f t="shared" si="2"/>
        <v>0</v>
      </c>
      <c r="L34" s="164">
        <v>0</v>
      </c>
      <c r="M34" s="150">
        <f t="shared" si="3"/>
        <v>4750.3871999999974</v>
      </c>
      <c r="N34" s="6"/>
      <c r="O34" s="5"/>
    </row>
    <row r="35" spans="1:15">
      <c r="A35" s="6">
        <v>34</v>
      </c>
      <c r="B35" s="221"/>
      <c r="C35" s="6"/>
      <c r="D35" s="6"/>
      <c r="E35" s="66">
        <v>0</v>
      </c>
      <c r="F35" s="6">
        <v>0</v>
      </c>
      <c r="G35" s="67">
        <f t="shared" si="0"/>
        <v>0</v>
      </c>
      <c r="H35" s="66">
        <v>0</v>
      </c>
      <c r="I35" s="6">
        <v>0</v>
      </c>
      <c r="J35" s="67">
        <f t="shared" si="1"/>
        <v>0</v>
      </c>
      <c r="K35" s="67">
        <f t="shared" si="2"/>
        <v>0</v>
      </c>
      <c r="L35" s="164">
        <v>0</v>
      </c>
      <c r="M35" s="150">
        <f t="shared" si="3"/>
        <v>4750.3871999999974</v>
      </c>
      <c r="N35" s="6"/>
      <c r="O35" s="5"/>
    </row>
    <row r="36" spans="1:15">
      <c r="A36" s="6">
        <v>35</v>
      </c>
      <c r="B36" s="221"/>
      <c r="C36" s="6"/>
      <c r="D36" s="6"/>
      <c r="E36" s="66">
        <v>0</v>
      </c>
      <c r="F36" s="6">
        <v>0</v>
      </c>
      <c r="G36" s="67">
        <f t="shared" si="0"/>
        <v>0</v>
      </c>
      <c r="H36" s="66">
        <v>0</v>
      </c>
      <c r="I36" s="6">
        <v>0</v>
      </c>
      <c r="J36" s="67">
        <f t="shared" si="1"/>
        <v>0</v>
      </c>
      <c r="K36" s="67">
        <f t="shared" si="2"/>
        <v>0</v>
      </c>
      <c r="L36" s="164">
        <v>0</v>
      </c>
      <c r="M36" s="150">
        <f t="shared" si="3"/>
        <v>4750.3871999999974</v>
      </c>
      <c r="N36" s="6"/>
      <c r="O36" s="5"/>
    </row>
    <row r="37" spans="1:15">
      <c r="A37" s="6">
        <v>36</v>
      </c>
      <c r="B37" s="221"/>
      <c r="C37" s="6"/>
      <c r="D37" s="6"/>
      <c r="E37" s="66">
        <v>0</v>
      </c>
      <c r="F37" s="6">
        <v>0</v>
      </c>
      <c r="G37" s="67">
        <f t="shared" si="0"/>
        <v>0</v>
      </c>
      <c r="H37" s="66">
        <v>0</v>
      </c>
      <c r="I37" s="6">
        <v>0</v>
      </c>
      <c r="J37" s="67">
        <f t="shared" si="1"/>
        <v>0</v>
      </c>
      <c r="K37" s="67">
        <f t="shared" si="2"/>
        <v>0</v>
      </c>
      <c r="L37" s="164">
        <v>0</v>
      </c>
      <c r="M37" s="150">
        <f t="shared" si="3"/>
        <v>4750.3871999999974</v>
      </c>
      <c r="N37" s="6"/>
      <c r="O37" s="5"/>
    </row>
    <row r="38" spans="1:15">
      <c r="A38" s="6">
        <v>37</v>
      </c>
      <c r="B38" s="221"/>
      <c r="C38" s="6"/>
      <c r="D38" s="6"/>
      <c r="E38" s="66">
        <v>0</v>
      </c>
      <c r="F38" s="6">
        <v>0</v>
      </c>
      <c r="G38" s="67">
        <f t="shared" si="0"/>
        <v>0</v>
      </c>
      <c r="H38" s="66">
        <v>0</v>
      </c>
      <c r="I38" s="6">
        <v>0</v>
      </c>
      <c r="J38" s="67">
        <f t="shared" si="1"/>
        <v>0</v>
      </c>
      <c r="K38" s="67">
        <f t="shared" si="2"/>
        <v>0</v>
      </c>
      <c r="L38" s="164">
        <v>0</v>
      </c>
      <c r="M38" s="150">
        <f t="shared" si="3"/>
        <v>4750.3871999999974</v>
      </c>
      <c r="N38" s="6"/>
      <c r="O38" s="5"/>
    </row>
    <row r="39" spans="1:15">
      <c r="A39" s="6">
        <v>38</v>
      </c>
      <c r="B39" s="221"/>
      <c r="C39" s="6"/>
      <c r="D39" s="6"/>
      <c r="E39" s="66">
        <v>0</v>
      </c>
      <c r="F39" s="6">
        <v>0</v>
      </c>
      <c r="G39" s="67">
        <f t="shared" si="0"/>
        <v>0</v>
      </c>
      <c r="H39" s="66">
        <v>0</v>
      </c>
      <c r="I39" s="6">
        <v>0</v>
      </c>
      <c r="J39" s="67">
        <f t="shared" si="1"/>
        <v>0</v>
      </c>
      <c r="K39" s="67">
        <f t="shared" si="2"/>
        <v>0</v>
      </c>
      <c r="L39" s="164">
        <v>0</v>
      </c>
      <c r="M39" s="150">
        <f t="shared" si="3"/>
        <v>4750.3871999999974</v>
      </c>
      <c r="N39" s="6"/>
      <c r="O39" s="5"/>
    </row>
    <row r="40" spans="1:15">
      <c r="A40" s="171">
        <v>39</v>
      </c>
      <c r="B40" s="221"/>
      <c r="C40" s="6"/>
      <c r="D40" s="6"/>
      <c r="E40" s="66">
        <v>0</v>
      </c>
      <c r="F40" s="6">
        <v>0</v>
      </c>
      <c r="G40" s="67">
        <f t="shared" si="0"/>
        <v>0</v>
      </c>
      <c r="H40" s="66">
        <v>0</v>
      </c>
      <c r="I40" s="6">
        <v>0</v>
      </c>
      <c r="J40" s="67">
        <f t="shared" si="1"/>
        <v>0</v>
      </c>
      <c r="K40" s="67">
        <f t="shared" si="2"/>
        <v>0</v>
      </c>
      <c r="L40" s="164">
        <v>0</v>
      </c>
      <c r="M40" s="150">
        <f t="shared" si="3"/>
        <v>4750.3871999999974</v>
      </c>
      <c r="N40" s="171"/>
      <c r="O40" s="5"/>
    </row>
    <row r="41" spans="1:15">
      <c r="A41" s="6">
        <v>40</v>
      </c>
      <c r="B41" s="6"/>
      <c r="C41" s="6"/>
      <c r="D41" s="6"/>
      <c r="E41" s="66">
        <v>0</v>
      </c>
      <c r="F41" s="6">
        <v>0</v>
      </c>
      <c r="G41" s="67">
        <f t="shared" si="0"/>
        <v>0</v>
      </c>
      <c r="H41" s="66">
        <v>0</v>
      </c>
      <c r="I41" s="6">
        <v>0</v>
      </c>
      <c r="J41" s="67">
        <f t="shared" si="1"/>
        <v>0</v>
      </c>
      <c r="K41" s="67">
        <f t="shared" si="2"/>
        <v>0</v>
      </c>
      <c r="L41" s="164">
        <v>0</v>
      </c>
      <c r="M41" s="150">
        <f t="shared" si="3"/>
        <v>4750.3871999999974</v>
      </c>
      <c r="N41" s="6"/>
      <c r="O41" s="5"/>
    </row>
    <row r="42" spans="1:15">
      <c r="A42" s="171">
        <v>41</v>
      </c>
      <c r="B42" s="171"/>
      <c r="C42" s="171"/>
      <c r="D42" s="6"/>
      <c r="E42" s="66">
        <v>0</v>
      </c>
      <c r="F42" s="6">
        <v>0</v>
      </c>
      <c r="G42" s="67">
        <f t="shared" si="0"/>
        <v>0</v>
      </c>
      <c r="H42" s="66">
        <v>0</v>
      </c>
      <c r="I42" s="6">
        <v>0</v>
      </c>
      <c r="J42" s="67">
        <f t="shared" si="1"/>
        <v>0</v>
      </c>
      <c r="K42" s="67">
        <f t="shared" si="2"/>
        <v>0</v>
      </c>
      <c r="L42" s="164">
        <v>0</v>
      </c>
      <c r="M42" s="150">
        <f t="shared" si="3"/>
        <v>4750.3871999999974</v>
      </c>
      <c r="N42" s="171"/>
      <c r="O42" s="5"/>
    </row>
    <row r="43" spans="1:15">
      <c r="A43" s="171">
        <v>42</v>
      </c>
      <c r="B43" s="171"/>
      <c r="C43" s="171"/>
      <c r="D43" s="6"/>
      <c r="E43" s="66">
        <v>0</v>
      </c>
      <c r="F43" s="6">
        <v>0</v>
      </c>
      <c r="G43" s="67">
        <f t="shared" ref="G43" si="4">E43*F43</f>
        <v>0</v>
      </c>
      <c r="H43" s="66">
        <v>0</v>
      </c>
      <c r="I43" s="6">
        <v>0</v>
      </c>
      <c r="J43" s="67">
        <f t="shared" ref="J43" si="5">H43*I43</f>
        <v>0</v>
      </c>
      <c r="K43" s="67">
        <f t="shared" ref="K43" si="6">G43+J43</f>
        <v>0</v>
      </c>
      <c r="L43" s="164">
        <v>0</v>
      </c>
      <c r="M43" s="150">
        <f t="shared" si="3"/>
        <v>4750.3871999999974</v>
      </c>
      <c r="N43" s="171"/>
      <c r="O43" s="5"/>
    </row>
    <row r="44" spans="1:15">
      <c r="A44" s="63"/>
      <c r="B44" s="63"/>
      <c r="C44" s="63"/>
      <c r="D44" s="63"/>
      <c r="E44" s="64">
        <f>SUM(E4:E43)</f>
        <v>706.95</v>
      </c>
      <c r="F44" s="64"/>
      <c r="G44" s="64">
        <f>SUM(G4:G43)</f>
        <v>64495.048499999997</v>
      </c>
      <c r="H44" s="64">
        <f>SUM(H4:H43)</f>
        <v>10</v>
      </c>
      <c r="I44" s="64"/>
      <c r="J44" s="64">
        <f>SUM(J4:J43)</f>
        <v>1068.0999999999999</v>
      </c>
      <c r="K44" s="64">
        <f>SUM(K4:K43)</f>
        <v>65563.148499999996</v>
      </c>
      <c r="L44" s="64">
        <f>SUM(L4:L43)</f>
        <v>65000</v>
      </c>
      <c r="M44" s="64"/>
      <c r="N44" s="64"/>
      <c r="O44" s="60"/>
    </row>
    <row r="45" spans="1:15">
      <c r="A45" s="5"/>
      <c r="B45" s="5"/>
      <c r="C45" s="5"/>
      <c r="D45" s="5"/>
      <c r="E45" s="5"/>
      <c r="F45" s="5"/>
      <c r="G45" s="103"/>
      <c r="H45" s="5"/>
      <c r="I45" s="5"/>
      <c r="J45" s="103"/>
      <c r="K45" s="5"/>
      <c r="L45" s="103"/>
      <c r="M45" s="103"/>
      <c r="N45" s="5"/>
      <c r="O45" s="5"/>
    </row>
    <row r="46" spans="1:15">
      <c r="A46" s="5"/>
      <c r="B46" s="5"/>
      <c r="C46" s="5"/>
      <c r="D46" s="5"/>
      <c r="E46" s="5"/>
      <c r="F46" s="5"/>
      <c r="G46" s="103"/>
      <c r="H46" s="5"/>
      <c r="I46" s="5"/>
      <c r="J46" s="103"/>
      <c r="K46" s="5"/>
      <c r="L46" s="103"/>
      <c r="M46" s="103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0"/>
  <sheetViews>
    <sheetView workbookViewId="0">
      <selection activeCell="P5" sqref="P5"/>
    </sheetView>
  </sheetViews>
  <sheetFormatPr defaultRowHeight="15"/>
  <cols>
    <col min="2" max="2" width="10.85546875" bestFit="1" customWidth="1"/>
    <col min="7" max="7" width="10.570312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458" t="s">
        <v>92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5"/>
    </row>
    <row r="2" spans="1:15" ht="45">
      <c r="A2" s="65" t="s">
        <v>101</v>
      </c>
      <c r="B2" s="84" t="s">
        <v>155</v>
      </c>
      <c r="C2" s="84" t="s">
        <v>156</v>
      </c>
      <c r="D2" s="84" t="s">
        <v>173</v>
      </c>
      <c r="E2" s="84" t="s">
        <v>158</v>
      </c>
      <c r="F2" s="84" t="s">
        <v>159</v>
      </c>
      <c r="G2" s="91" t="s">
        <v>160</v>
      </c>
      <c r="H2" s="84" t="s">
        <v>161</v>
      </c>
      <c r="I2" s="84" t="s">
        <v>159</v>
      </c>
      <c r="J2" s="91" t="s">
        <v>160</v>
      </c>
      <c r="K2" s="65" t="s">
        <v>162</v>
      </c>
      <c r="L2" s="92" t="s">
        <v>163</v>
      </c>
      <c r="M2" s="86" t="s">
        <v>174</v>
      </c>
      <c r="N2" s="84" t="s">
        <v>165</v>
      </c>
      <c r="O2" s="5"/>
    </row>
    <row r="3" spans="1:15">
      <c r="A3" s="483" t="s">
        <v>166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5"/>
      <c r="M3" s="486">
        <v>81899.45</v>
      </c>
      <c r="N3" s="487"/>
      <c r="O3" s="5"/>
    </row>
    <row r="4" spans="1:15">
      <c r="A4" s="198">
        <v>1</v>
      </c>
      <c r="B4" s="221" t="s">
        <v>179</v>
      </c>
      <c r="C4" s="6"/>
      <c r="D4" s="6"/>
      <c r="E4" s="66">
        <v>54.5</v>
      </c>
      <c r="F4" s="6">
        <v>91.42</v>
      </c>
      <c r="G4" s="67">
        <f>E4*F4</f>
        <v>4982.3900000000003</v>
      </c>
      <c r="H4" s="66"/>
      <c r="I4" s="6"/>
      <c r="J4" s="67">
        <f>H4*I4</f>
        <v>0</v>
      </c>
      <c r="K4" s="67">
        <f>G4+J4</f>
        <v>4982.3900000000003</v>
      </c>
      <c r="L4" s="303">
        <v>0</v>
      </c>
      <c r="M4" s="150">
        <f>M3+K4-L4</f>
        <v>86881.84</v>
      </c>
      <c r="N4" s="47" t="s">
        <v>267</v>
      </c>
      <c r="O4" s="5"/>
    </row>
    <row r="5" spans="1:15">
      <c r="A5" s="47">
        <v>2</v>
      </c>
      <c r="B5" s="221" t="s">
        <v>282</v>
      </c>
      <c r="C5" s="6"/>
      <c r="D5" s="6"/>
      <c r="E5" s="66"/>
      <c r="F5" s="6"/>
      <c r="G5" s="67">
        <f t="shared" ref="G5:G39" si="0">E5*F5</f>
        <v>0</v>
      </c>
      <c r="H5" s="66">
        <v>10</v>
      </c>
      <c r="I5" s="6">
        <v>103.35</v>
      </c>
      <c r="J5" s="67">
        <f t="shared" ref="J5:J39" si="1">H5*I5</f>
        <v>1033.5</v>
      </c>
      <c r="K5" s="67">
        <f t="shared" ref="K5:K39" si="2">G5+J5</f>
        <v>1033.5</v>
      </c>
      <c r="L5" s="303">
        <v>0</v>
      </c>
      <c r="M5" s="150">
        <f t="shared" ref="M5:M47" si="3">M4+K5-L5</f>
        <v>87915.34</v>
      </c>
      <c r="N5" s="47" t="s">
        <v>267</v>
      </c>
      <c r="O5" s="5"/>
    </row>
    <row r="6" spans="1:15">
      <c r="A6" s="47">
        <v>3</v>
      </c>
      <c r="B6" s="221" t="s">
        <v>283</v>
      </c>
      <c r="C6" s="6"/>
      <c r="D6" s="6" t="s">
        <v>284</v>
      </c>
      <c r="E6" s="66">
        <v>25.66</v>
      </c>
      <c r="F6" s="6">
        <v>91.42</v>
      </c>
      <c r="G6" s="67">
        <f t="shared" si="0"/>
        <v>2345.8371999999999</v>
      </c>
      <c r="H6" s="66"/>
      <c r="I6" s="6"/>
      <c r="J6" s="67">
        <f t="shared" si="1"/>
        <v>0</v>
      </c>
      <c r="K6" s="67">
        <f t="shared" si="2"/>
        <v>2345.8371999999999</v>
      </c>
      <c r="L6" s="303">
        <v>0</v>
      </c>
      <c r="M6" s="150">
        <f t="shared" si="3"/>
        <v>90261.177199999991</v>
      </c>
      <c r="N6" s="47" t="s">
        <v>267</v>
      </c>
      <c r="O6" s="5"/>
    </row>
    <row r="7" spans="1:15">
      <c r="A7" s="198">
        <v>4</v>
      </c>
      <c r="B7" s="221" t="s">
        <v>285</v>
      </c>
      <c r="C7" s="6"/>
      <c r="D7" s="6"/>
      <c r="E7" s="66">
        <v>171.94</v>
      </c>
      <c r="F7" s="6">
        <v>91.42</v>
      </c>
      <c r="G7" s="67">
        <f t="shared" si="0"/>
        <v>15718.754800000001</v>
      </c>
      <c r="H7" s="66"/>
      <c r="I7" s="6"/>
      <c r="J7" s="67">
        <f t="shared" si="1"/>
        <v>0</v>
      </c>
      <c r="K7" s="67">
        <f t="shared" si="2"/>
        <v>15718.754800000001</v>
      </c>
      <c r="L7" s="303"/>
      <c r="M7" s="150">
        <f t="shared" si="3"/>
        <v>105979.93199999999</v>
      </c>
      <c r="N7" s="47" t="s">
        <v>267</v>
      </c>
      <c r="O7" s="5"/>
    </row>
    <row r="8" spans="1:15">
      <c r="A8" s="47">
        <v>5</v>
      </c>
      <c r="B8" s="221" t="s">
        <v>278</v>
      </c>
      <c r="C8" s="6"/>
      <c r="D8" s="6"/>
      <c r="E8" s="66">
        <v>182</v>
      </c>
      <c r="F8" s="6">
        <v>91.42</v>
      </c>
      <c r="G8" s="67">
        <f t="shared" si="0"/>
        <v>16638.439999999999</v>
      </c>
      <c r="H8" s="66"/>
      <c r="I8" s="6"/>
      <c r="J8" s="67">
        <f t="shared" si="1"/>
        <v>0</v>
      </c>
      <c r="K8" s="67">
        <f t="shared" si="2"/>
        <v>16638.439999999999</v>
      </c>
      <c r="L8" s="303"/>
      <c r="M8" s="150">
        <f t="shared" si="3"/>
        <v>122618.37199999999</v>
      </c>
      <c r="N8" s="47" t="s">
        <v>267</v>
      </c>
      <c r="O8" s="5"/>
    </row>
    <row r="9" spans="1:15">
      <c r="A9" s="47">
        <v>6</v>
      </c>
      <c r="B9" s="221" t="s">
        <v>191</v>
      </c>
      <c r="C9" s="6"/>
      <c r="D9" s="6"/>
      <c r="E9" s="66">
        <v>20</v>
      </c>
      <c r="F9" s="6">
        <v>91.42</v>
      </c>
      <c r="G9" s="67">
        <f t="shared" si="0"/>
        <v>1828.4</v>
      </c>
      <c r="H9" s="66"/>
      <c r="I9" s="6"/>
      <c r="J9" s="67">
        <f t="shared" si="1"/>
        <v>0</v>
      </c>
      <c r="K9" s="67">
        <f t="shared" si="2"/>
        <v>1828.4</v>
      </c>
      <c r="L9" s="303"/>
      <c r="M9" s="150">
        <f t="shared" si="3"/>
        <v>124446.77199999998</v>
      </c>
      <c r="N9" s="47" t="s">
        <v>267</v>
      </c>
      <c r="O9" s="5"/>
    </row>
    <row r="10" spans="1:15">
      <c r="A10" s="198"/>
      <c r="B10" s="221" t="s">
        <v>280</v>
      </c>
      <c r="C10" s="6"/>
      <c r="D10" s="6"/>
      <c r="E10" s="66">
        <v>64.56</v>
      </c>
      <c r="F10" s="6">
        <v>91.42</v>
      </c>
      <c r="G10" s="67">
        <f t="shared" si="0"/>
        <v>5902.0752000000002</v>
      </c>
      <c r="H10" s="66"/>
      <c r="I10" s="6"/>
      <c r="J10" s="67">
        <f t="shared" si="1"/>
        <v>0</v>
      </c>
      <c r="K10" s="67">
        <f t="shared" si="2"/>
        <v>5902.0752000000002</v>
      </c>
      <c r="L10" s="303"/>
      <c r="M10" s="150">
        <f t="shared" si="3"/>
        <v>130348.84719999999</v>
      </c>
      <c r="N10" s="47" t="s">
        <v>267</v>
      </c>
      <c r="O10" s="5"/>
    </row>
    <row r="11" spans="1:15">
      <c r="A11" s="198">
        <v>7</v>
      </c>
      <c r="B11" s="221" t="s">
        <v>192</v>
      </c>
      <c r="C11" s="6"/>
      <c r="D11" s="6"/>
      <c r="E11" s="66"/>
      <c r="F11" s="6"/>
      <c r="G11" s="67">
        <f t="shared" si="0"/>
        <v>0</v>
      </c>
      <c r="H11" s="66">
        <v>5</v>
      </c>
      <c r="I11" s="6">
        <v>103.35</v>
      </c>
      <c r="J11" s="67">
        <f t="shared" si="1"/>
        <v>516.75</v>
      </c>
      <c r="K11" s="67">
        <f t="shared" si="2"/>
        <v>516.75</v>
      </c>
      <c r="L11" s="303"/>
      <c r="M11" s="150">
        <f t="shared" si="3"/>
        <v>130865.59719999999</v>
      </c>
      <c r="N11" s="47" t="s">
        <v>267</v>
      </c>
      <c r="O11" s="5"/>
    </row>
    <row r="12" spans="1:15">
      <c r="A12" s="47">
        <v>8</v>
      </c>
      <c r="B12" s="221" t="s">
        <v>195</v>
      </c>
      <c r="C12" s="6"/>
      <c r="D12" s="6"/>
      <c r="E12" s="66">
        <v>102.93</v>
      </c>
      <c r="F12" s="6">
        <v>91.42</v>
      </c>
      <c r="G12" s="67">
        <f t="shared" si="0"/>
        <v>9409.8606</v>
      </c>
      <c r="H12" s="66">
        <v>5</v>
      </c>
      <c r="I12" s="6">
        <v>103.35</v>
      </c>
      <c r="J12" s="67">
        <f t="shared" si="1"/>
        <v>516.75</v>
      </c>
      <c r="K12" s="67">
        <f t="shared" si="2"/>
        <v>9926.6106</v>
      </c>
      <c r="L12" s="303"/>
      <c r="M12" s="150">
        <f t="shared" si="3"/>
        <v>140792.20779999997</v>
      </c>
      <c r="N12" s="47" t="s">
        <v>267</v>
      </c>
      <c r="O12" s="5"/>
    </row>
    <row r="13" spans="1:15">
      <c r="A13" s="47">
        <v>9</v>
      </c>
      <c r="B13" s="221" t="s">
        <v>272</v>
      </c>
      <c r="C13" s="6"/>
      <c r="D13" s="6"/>
      <c r="E13" s="66"/>
      <c r="F13" s="6"/>
      <c r="G13" s="67">
        <f>E13*F13</f>
        <v>0</v>
      </c>
      <c r="H13" s="66">
        <v>0</v>
      </c>
      <c r="I13" s="6">
        <v>103.35</v>
      </c>
      <c r="J13" s="67">
        <f t="shared" si="1"/>
        <v>0</v>
      </c>
      <c r="K13" s="67">
        <f t="shared" si="2"/>
        <v>0</v>
      </c>
      <c r="L13" s="303"/>
      <c r="M13" s="150">
        <f t="shared" si="3"/>
        <v>140792.20779999997</v>
      </c>
      <c r="N13" s="47" t="s">
        <v>267</v>
      </c>
      <c r="O13" s="5"/>
    </row>
    <row r="14" spans="1:15">
      <c r="A14" s="198">
        <v>10</v>
      </c>
      <c r="B14" s="221" t="s">
        <v>273</v>
      </c>
      <c r="C14" s="6"/>
      <c r="D14" s="6"/>
      <c r="E14" s="66">
        <v>0</v>
      </c>
      <c r="F14" s="6">
        <v>0</v>
      </c>
      <c r="G14" s="67">
        <f>E14*F14</f>
        <v>0</v>
      </c>
      <c r="H14" s="66">
        <v>0</v>
      </c>
      <c r="I14" s="6">
        <v>103.35</v>
      </c>
      <c r="J14" s="67">
        <f t="shared" si="1"/>
        <v>0</v>
      </c>
      <c r="K14" s="67">
        <f t="shared" si="2"/>
        <v>0</v>
      </c>
      <c r="L14" s="303">
        <v>100000</v>
      </c>
      <c r="M14" s="150">
        <f t="shared" si="3"/>
        <v>40792.207799999975</v>
      </c>
      <c r="N14" s="47" t="s">
        <v>267</v>
      </c>
      <c r="O14" s="5"/>
    </row>
    <row r="15" spans="1:15">
      <c r="A15" s="47">
        <v>11</v>
      </c>
      <c r="B15" s="221" t="s">
        <v>201</v>
      </c>
      <c r="C15" s="6"/>
      <c r="D15" s="6"/>
      <c r="E15" s="66">
        <v>54.61</v>
      </c>
      <c r="F15" s="6">
        <v>91.42</v>
      </c>
      <c r="G15" s="67">
        <f t="shared" si="0"/>
        <v>4992.4462000000003</v>
      </c>
      <c r="H15" s="66"/>
      <c r="I15" s="6"/>
      <c r="J15" s="67">
        <f t="shared" si="1"/>
        <v>0</v>
      </c>
      <c r="K15" s="67">
        <f t="shared" si="2"/>
        <v>4992.4462000000003</v>
      </c>
      <c r="L15" s="303"/>
      <c r="M15" s="150">
        <f t="shared" si="3"/>
        <v>45784.653999999973</v>
      </c>
      <c r="N15" s="47" t="s">
        <v>267</v>
      </c>
      <c r="O15" s="5"/>
    </row>
    <row r="16" spans="1:15">
      <c r="A16" s="47">
        <v>12</v>
      </c>
      <c r="B16" s="221" t="s">
        <v>202</v>
      </c>
      <c r="C16" s="6"/>
      <c r="D16" s="6"/>
      <c r="E16" s="66">
        <v>134.5</v>
      </c>
      <c r="F16" s="6">
        <v>91.42</v>
      </c>
      <c r="G16" s="67">
        <f t="shared" si="0"/>
        <v>12295.99</v>
      </c>
      <c r="H16" s="66"/>
      <c r="I16" s="6"/>
      <c r="J16" s="67">
        <f t="shared" si="1"/>
        <v>0</v>
      </c>
      <c r="K16" s="67">
        <f t="shared" si="2"/>
        <v>12295.99</v>
      </c>
      <c r="L16" s="303"/>
      <c r="M16" s="150">
        <f t="shared" si="3"/>
        <v>58080.643999999971</v>
      </c>
      <c r="N16" s="47" t="s">
        <v>267</v>
      </c>
      <c r="O16" s="5"/>
    </row>
    <row r="17" spans="1:15">
      <c r="A17" s="198">
        <v>13</v>
      </c>
      <c r="B17" s="221" t="s">
        <v>205</v>
      </c>
      <c r="C17" s="6"/>
      <c r="D17" s="6"/>
      <c r="E17" s="66">
        <v>36.64</v>
      </c>
      <c r="F17" s="6">
        <v>91.42</v>
      </c>
      <c r="G17" s="67">
        <f t="shared" si="0"/>
        <v>3349.6288</v>
      </c>
      <c r="H17" s="66">
        <v>0</v>
      </c>
      <c r="I17" s="6">
        <v>103.35</v>
      </c>
      <c r="J17" s="67">
        <f t="shared" si="1"/>
        <v>0</v>
      </c>
      <c r="K17" s="67">
        <f t="shared" si="2"/>
        <v>3349.6288</v>
      </c>
      <c r="L17" s="303"/>
      <c r="M17" s="150">
        <f t="shared" si="3"/>
        <v>61430.27279999997</v>
      </c>
      <c r="N17" s="47" t="s">
        <v>267</v>
      </c>
      <c r="O17" s="5"/>
    </row>
    <row r="18" spans="1:15">
      <c r="A18" s="47">
        <v>14</v>
      </c>
      <c r="B18" s="221" t="s">
        <v>275</v>
      </c>
      <c r="C18" s="6"/>
      <c r="D18" s="6"/>
      <c r="E18" s="66"/>
      <c r="F18" s="6"/>
      <c r="G18" s="67">
        <f t="shared" si="0"/>
        <v>0</v>
      </c>
      <c r="H18" s="66">
        <v>0</v>
      </c>
      <c r="I18" s="6">
        <v>103.35</v>
      </c>
      <c r="J18" s="67">
        <f t="shared" si="1"/>
        <v>0</v>
      </c>
      <c r="K18" s="67">
        <f t="shared" si="2"/>
        <v>0</v>
      </c>
      <c r="L18" s="303"/>
      <c r="M18" s="150">
        <f t="shared" si="3"/>
        <v>61430.27279999997</v>
      </c>
      <c r="N18" s="47" t="s">
        <v>267</v>
      </c>
      <c r="O18" s="5"/>
    </row>
    <row r="19" spans="1:15">
      <c r="A19" s="47">
        <v>15</v>
      </c>
      <c r="B19" s="221" t="s">
        <v>275</v>
      </c>
      <c r="C19" s="6"/>
      <c r="D19" s="6"/>
      <c r="E19" s="66">
        <v>0</v>
      </c>
      <c r="F19" s="6">
        <v>91.42</v>
      </c>
      <c r="G19" s="67">
        <f t="shared" si="0"/>
        <v>0</v>
      </c>
      <c r="H19" s="66">
        <v>5</v>
      </c>
      <c r="I19" s="6">
        <v>103.35</v>
      </c>
      <c r="J19" s="67">
        <f t="shared" si="1"/>
        <v>516.75</v>
      </c>
      <c r="K19" s="67">
        <f t="shared" si="2"/>
        <v>516.75</v>
      </c>
      <c r="L19" s="303"/>
      <c r="M19" s="150">
        <f t="shared" si="3"/>
        <v>61947.02279999997</v>
      </c>
      <c r="N19" s="47" t="s">
        <v>267</v>
      </c>
      <c r="O19" s="5"/>
    </row>
    <row r="20" spans="1:15">
      <c r="A20" s="198">
        <v>16</v>
      </c>
      <c r="B20" s="221" t="s">
        <v>281</v>
      </c>
      <c r="C20" s="6"/>
      <c r="D20" s="6"/>
      <c r="E20" s="66">
        <v>30</v>
      </c>
      <c r="F20" s="6">
        <v>91.42</v>
      </c>
      <c r="G20" s="67">
        <f t="shared" si="0"/>
        <v>2742.6</v>
      </c>
      <c r="H20" s="66">
        <v>10</v>
      </c>
      <c r="I20" s="6">
        <v>103.35</v>
      </c>
      <c r="J20" s="67">
        <f t="shared" si="1"/>
        <v>1033.5</v>
      </c>
      <c r="K20" s="67">
        <f t="shared" si="2"/>
        <v>3776.1</v>
      </c>
      <c r="L20" s="303"/>
      <c r="M20" s="150">
        <f t="shared" si="3"/>
        <v>65723.122799999968</v>
      </c>
      <c r="N20" s="47" t="s">
        <v>267</v>
      </c>
      <c r="O20" s="5"/>
    </row>
    <row r="21" spans="1:15">
      <c r="A21" s="47">
        <v>17</v>
      </c>
      <c r="B21" s="221" t="s">
        <v>276</v>
      </c>
      <c r="C21" s="6"/>
      <c r="D21" s="6"/>
      <c r="E21" s="66">
        <v>44.7</v>
      </c>
      <c r="F21" s="6">
        <v>91.42</v>
      </c>
      <c r="G21" s="67">
        <f t="shared" si="0"/>
        <v>4086.4740000000002</v>
      </c>
      <c r="H21" s="66"/>
      <c r="I21" s="6"/>
      <c r="J21" s="67">
        <f t="shared" si="1"/>
        <v>0</v>
      </c>
      <c r="K21" s="67">
        <f t="shared" si="2"/>
        <v>4086.4740000000002</v>
      </c>
      <c r="L21" s="303"/>
      <c r="M21" s="150">
        <f t="shared" si="3"/>
        <v>69809.59679999997</v>
      </c>
      <c r="N21" s="47" t="s">
        <v>267</v>
      </c>
      <c r="O21" s="5"/>
    </row>
    <row r="22" spans="1:15">
      <c r="A22" s="47">
        <v>18</v>
      </c>
      <c r="B22" s="221" t="s">
        <v>208</v>
      </c>
      <c r="C22" s="6"/>
      <c r="D22" s="6"/>
      <c r="E22" s="66"/>
      <c r="F22" s="6"/>
      <c r="G22" s="67">
        <f t="shared" si="0"/>
        <v>0</v>
      </c>
      <c r="H22" s="66"/>
      <c r="I22" s="6"/>
      <c r="J22" s="67">
        <f t="shared" si="1"/>
        <v>0</v>
      </c>
      <c r="K22" s="67">
        <f t="shared" si="2"/>
        <v>0</v>
      </c>
      <c r="L22" s="303"/>
      <c r="M22" s="150">
        <f t="shared" si="3"/>
        <v>69809.59679999997</v>
      </c>
      <c r="N22" s="47" t="s">
        <v>267</v>
      </c>
      <c r="O22" s="5"/>
    </row>
    <row r="23" spans="1:15">
      <c r="A23" s="198">
        <v>19</v>
      </c>
      <c r="B23" s="221" t="s">
        <v>209</v>
      </c>
      <c r="C23" s="6"/>
      <c r="D23" s="6"/>
      <c r="E23" s="66">
        <v>164.15</v>
      </c>
      <c r="F23" s="6">
        <v>91.42</v>
      </c>
      <c r="G23" s="67">
        <f t="shared" si="0"/>
        <v>15006.593000000001</v>
      </c>
      <c r="H23" s="66"/>
      <c r="I23" s="6"/>
      <c r="J23" s="67">
        <f t="shared" si="1"/>
        <v>0</v>
      </c>
      <c r="K23" s="67">
        <f t="shared" si="2"/>
        <v>15006.593000000001</v>
      </c>
      <c r="L23" s="303"/>
      <c r="M23" s="150">
        <f t="shared" si="3"/>
        <v>84816.189799999964</v>
      </c>
      <c r="N23" s="47" t="s">
        <v>267</v>
      </c>
      <c r="O23" s="5"/>
    </row>
    <row r="24" spans="1:15">
      <c r="A24" s="47">
        <v>20</v>
      </c>
      <c r="B24" s="221" t="s">
        <v>277</v>
      </c>
      <c r="C24" s="6"/>
      <c r="D24" s="6"/>
      <c r="E24" s="66"/>
      <c r="F24" s="6"/>
      <c r="G24" s="67">
        <f t="shared" si="0"/>
        <v>0</v>
      </c>
      <c r="H24" s="66"/>
      <c r="I24" s="6"/>
      <c r="J24" s="67">
        <f t="shared" si="1"/>
        <v>0</v>
      </c>
      <c r="K24" s="67">
        <f t="shared" si="2"/>
        <v>0</v>
      </c>
      <c r="L24" s="303"/>
      <c r="M24" s="150">
        <f t="shared" si="3"/>
        <v>84816.189799999964</v>
      </c>
      <c r="N24" s="47" t="s">
        <v>267</v>
      </c>
      <c r="O24" s="5"/>
    </row>
    <row r="25" spans="1:15">
      <c r="A25" s="47">
        <v>21</v>
      </c>
      <c r="B25" s="221" t="s">
        <v>211</v>
      </c>
      <c r="C25" s="6"/>
      <c r="D25" s="6"/>
      <c r="E25" s="66">
        <v>30</v>
      </c>
      <c r="F25" s="6">
        <v>91.42</v>
      </c>
      <c r="G25" s="67">
        <f t="shared" si="0"/>
        <v>2742.6</v>
      </c>
      <c r="H25" s="66"/>
      <c r="I25" s="6"/>
      <c r="J25" s="67">
        <f t="shared" si="1"/>
        <v>0</v>
      </c>
      <c r="K25" s="67">
        <f t="shared" si="2"/>
        <v>2742.6</v>
      </c>
      <c r="L25" s="303"/>
      <c r="M25" s="150">
        <f t="shared" si="3"/>
        <v>87558.78979999997</v>
      </c>
      <c r="N25" s="47" t="s">
        <v>267</v>
      </c>
      <c r="O25" s="5"/>
    </row>
    <row r="26" spans="1:15">
      <c r="A26" s="198">
        <v>22</v>
      </c>
      <c r="B26" s="221"/>
      <c r="C26" s="6"/>
      <c r="D26" s="6"/>
      <c r="E26" s="66"/>
      <c r="F26" s="6"/>
      <c r="G26" s="67">
        <f t="shared" si="0"/>
        <v>0</v>
      </c>
      <c r="H26" s="66"/>
      <c r="I26" s="6"/>
      <c r="J26" s="67">
        <f t="shared" si="1"/>
        <v>0</v>
      </c>
      <c r="K26" s="67">
        <f t="shared" si="2"/>
        <v>0</v>
      </c>
      <c r="L26" s="303"/>
      <c r="M26" s="150">
        <f t="shared" si="3"/>
        <v>87558.78979999997</v>
      </c>
      <c r="N26" s="47" t="s">
        <v>267</v>
      </c>
      <c r="O26" s="5"/>
    </row>
    <row r="27" spans="1:15">
      <c r="A27" s="47">
        <v>23</v>
      </c>
      <c r="B27" s="221"/>
      <c r="C27" s="6"/>
      <c r="D27" s="6"/>
      <c r="E27" s="66"/>
      <c r="F27" s="6"/>
      <c r="G27" s="67">
        <f t="shared" si="0"/>
        <v>0</v>
      </c>
      <c r="H27" s="66"/>
      <c r="I27" s="6"/>
      <c r="J27" s="67">
        <f t="shared" si="1"/>
        <v>0</v>
      </c>
      <c r="K27" s="67">
        <f t="shared" si="2"/>
        <v>0</v>
      </c>
      <c r="L27" s="303"/>
      <c r="M27" s="150">
        <f t="shared" si="3"/>
        <v>87558.78979999997</v>
      </c>
      <c r="N27" s="47" t="s">
        <v>267</v>
      </c>
      <c r="O27" s="5"/>
    </row>
    <row r="28" spans="1:15">
      <c r="A28" s="47">
        <v>24</v>
      </c>
      <c r="B28" s="221"/>
      <c r="C28" s="6"/>
      <c r="D28" s="6"/>
      <c r="E28" s="66"/>
      <c r="F28" s="6"/>
      <c r="G28" s="67">
        <f t="shared" si="0"/>
        <v>0</v>
      </c>
      <c r="H28" s="66"/>
      <c r="I28" s="6"/>
      <c r="J28" s="67">
        <f t="shared" si="1"/>
        <v>0</v>
      </c>
      <c r="K28" s="67">
        <f t="shared" si="2"/>
        <v>0</v>
      </c>
      <c r="L28" s="303"/>
      <c r="M28" s="150">
        <f t="shared" si="3"/>
        <v>87558.78979999997</v>
      </c>
      <c r="N28" s="47" t="s">
        <v>267</v>
      </c>
      <c r="O28" s="5"/>
    </row>
    <row r="29" spans="1:15">
      <c r="A29" s="198">
        <v>25</v>
      </c>
      <c r="B29" s="221"/>
      <c r="C29" s="6"/>
      <c r="D29" s="6"/>
      <c r="E29" s="66"/>
      <c r="F29" s="6"/>
      <c r="G29" s="67">
        <f t="shared" si="0"/>
        <v>0</v>
      </c>
      <c r="H29" s="66"/>
      <c r="I29" s="6"/>
      <c r="J29" s="67">
        <f t="shared" si="1"/>
        <v>0</v>
      </c>
      <c r="K29" s="67">
        <f t="shared" si="2"/>
        <v>0</v>
      </c>
      <c r="L29" s="303"/>
      <c r="M29" s="150">
        <f t="shared" si="3"/>
        <v>87558.78979999997</v>
      </c>
      <c r="N29" s="47" t="s">
        <v>267</v>
      </c>
      <c r="O29" s="5"/>
    </row>
    <row r="30" spans="1:15">
      <c r="A30" s="47">
        <v>26</v>
      </c>
      <c r="B30" s="221"/>
      <c r="C30" s="6"/>
      <c r="D30" s="6"/>
      <c r="E30" s="66"/>
      <c r="F30" s="6"/>
      <c r="G30" s="67">
        <f t="shared" si="0"/>
        <v>0</v>
      </c>
      <c r="H30" s="66"/>
      <c r="I30" s="6"/>
      <c r="J30" s="67">
        <f t="shared" si="1"/>
        <v>0</v>
      </c>
      <c r="K30" s="67">
        <f t="shared" si="2"/>
        <v>0</v>
      </c>
      <c r="L30" s="303"/>
      <c r="M30" s="150">
        <f t="shared" si="3"/>
        <v>87558.78979999997</v>
      </c>
      <c r="N30" s="47" t="s">
        <v>267</v>
      </c>
      <c r="O30" s="5"/>
    </row>
    <row r="31" spans="1:15">
      <c r="A31" s="47">
        <v>27</v>
      </c>
      <c r="B31" s="221"/>
      <c r="C31" s="6"/>
      <c r="D31" s="6"/>
      <c r="E31" s="66"/>
      <c r="F31" s="6"/>
      <c r="G31" s="67">
        <f t="shared" si="0"/>
        <v>0</v>
      </c>
      <c r="H31" s="66"/>
      <c r="I31" s="6"/>
      <c r="J31" s="67">
        <f t="shared" si="1"/>
        <v>0</v>
      </c>
      <c r="K31" s="67">
        <f t="shared" si="2"/>
        <v>0</v>
      </c>
      <c r="L31" s="303">
        <v>0</v>
      </c>
      <c r="M31" s="150">
        <f t="shared" si="3"/>
        <v>87558.78979999997</v>
      </c>
      <c r="N31" s="47" t="s">
        <v>267</v>
      </c>
      <c r="O31" s="5"/>
    </row>
    <row r="32" spans="1:15">
      <c r="A32" s="198">
        <v>28</v>
      </c>
      <c r="B32" s="221"/>
      <c r="C32" s="6"/>
      <c r="D32" s="6"/>
      <c r="E32" s="66"/>
      <c r="F32" s="6"/>
      <c r="G32" s="67">
        <f t="shared" si="0"/>
        <v>0</v>
      </c>
      <c r="H32" s="66"/>
      <c r="I32" s="6"/>
      <c r="J32" s="67">
        <f t="shared" si="1"/>
        <v>0</v>
      </c>
      <c r="K32" s="67">
        <f t="shared" si="2"/>
        <v>0</v>
      </c>
      <c r="L32" s="303">
        <v>0</v>
      </c>
      <c r="M32" s="150">
        <f t="shared" si="3"/>
        <v>87558.78979999997</v>
      </c>
      <c r="N32" s="47" t="s">
        <v>267</v>
      </c>
      <c r="O32" s="5"/>
    </row>
    <row r="33" spans="1:15">
      <c r="A33" s="47">
        <v>29</v>
      </c>
      <c r="B33" s="221"/>
      <c r="C33" s="6"/>
      <c r="D33" s="6"/>
      <c r="E33" s="66"/>
      <c r="F33" s="6"/>
      <c r="G33" s="67">
        <f t="shared" si="0"/>
        <v>0</v>
      </c>
      <c r="H33" s="66"/>
      <c r="I33" s="6"/>
      <c r="J33" s="67">
        <f t="shared" si="1"/>
        <v>0</v>
      </c>
      <c r="K33" s="67">
        <f t="shared" si="2"/>
        <v>0</v>
      </c>
      <c r="L33" s="303">
        <v>0</v>
      </c>
      <c r="M33" s="150">
        <f t="shared" si="3"/>
        <v>87558.78979999997</v>
      </c>
      <c r="N33" s="47" t="s">
        <v>267</v>
      </c>
      <c r="O33" s="5"/>
    </row>
    <row r="34" spans="1:15">
      <c r="A34" s="47">
        <v>30</v>
      </c>
      <c r="B34" s="221"/>
      <c r="C34" s="6"/>
      <c r="D34" s="6"/>
      <c r="E34" s="66"/>
      <c r="F34" s="6"/>
      <c r="G34" s="67">
        <f t="shared" si="0"/>
        <v>0</v>
      </c>
      <c r="H34" s="66"/>
      <c r="I34" s="6"/>
      <c r="J34" s="67">
        <f t="shared" si="1"/>
        <v>0</v>
      </c>
      <c r="K34" s="67">
        <f t="shared" si="2"/>
        <v>0</v>
      </c>
      <c r="L34" s="303">
        <v>0</v>
      </c>
      <c r="M34" s="150">
        <f t="shared" si="3"/>
        <v>87558.78979999997</v>
      </c>
      <c r="N34" s="47" t="s">
        <v>267</v>
      </c>
      <c r="O34" s="5"/>
    </row>
    <row r="35" spans="1:15">
      <c r="A35" s="198">
        <v>31</v>
      </c>
      <c r="B35" s="221"/>
      <c r="C35" s="6"/>
      <c r="D35" s="6"/>
      <c r="E35" s="66"/>
      <c r="F35" s="6"/>
      <c r="G35" s="67">
        <f t="shared" si="0"/>
        <v>0</v>
      </c>
      <c r="H35" s="66"/>
      <c r="I35" s="6"/>
      <c r="J35" s="67">
        <f t="shared" si="1"/>
        <v>0</v>
      </c>
      <c r="K35" s="67">
        <f t="shared" si="2"/>
        <v>0</v>
      </c>
      <c r="L35" s="303">
        <v>0</v>
      </c>
      <c r="M35" s="150">
        <f t="shared" si="3"/>
        <v>87558.78979999997</v>
      </c>
      <c r="N35" s="47" t="s">
        <v>267</v>
      </c>
      <c r="O35" s="5"/>
    </row>
    <row r="36" spans="1:15">
      <c r="A36" s="47">
        <v>32</v>
      </c>
      <c r="B36" s="221"/>
      <c r="C36" s="6"/>
      <c r="D36" s="6"/>
      <c r="E36" s="66"/>
      <c r="F36" s="6"/>
      <c r="G36" s="67">
        <f t="shared" si="0"/>
        <v>0</v>
      </c>
      <c r="H36" s="66"/>
      <c r="I36" s="6"/>
      <c r="J36" s="67">
        <f t="shared" si="1"/>
        <v>0</v>
      </c>
      <c r="K36" s="67">
        <f t="shared" si="2"/>
        <v>0</v>
      </c>
      <c r="L36" s="303">
        <v>0</v>
      </c>
      <c r="M36" s="150">
        <f t="shared" si="3"/>
        <v>87558.78979999997</v>
      </c>
      <c r="N36" s="47" t="s">
        <v>267</v>
      </c>
      <c r="O36" s="5"/>
    </row>
    <row r="37" spans="1:15">
      <c r="A37" s="47">
        <v>33</v>
      </c>
      <c r="B37" s="221"/>
      <c r="C37" s="6"/>
      <c r="D37" s="6"/>
      <c r="E37" s="66"/>
      <c r="F37" s="6"/>
      <c r="G37" s="67">
        <f t="shared" si="0"/>
        <v>0</v>
      </c>
      <c r="H37" s="66"/>
      <c r="I37" s="6"/>
      <c r="J37" s="67">
        <f t="shared" si="1"/>
        <v>0</v>
      </c>
      <c r="K37" s="67">
        <f t="shared" si="2"/>
        <v>0</v>
      </c>
      <c r="L37" s="303">
        <v>0</v>
      </c>
      <c r="M37" s="150">
        <f t="shared" si="3"/>
        <v>87558.78979999997</v>
      </c>
      <c r="N37" s="47" t="s">
        <v>267</v>
      </c>
      <c r="O37" s="5"/>
    </row>
    <row r="38" spans="1:15">
      <c r="A38" s="198">
        <v>34</v>
      </c>
      <c r="B38" s="221"/>
      <c r="C38" s="6"/>
      <c r="D38" s="6"/>
      <c r="E38" s="66"/>
      <c r="F38" s="6"/>
      <c r="G38" s="67">
        <f t="shared" si="0"/>
        <v>0</v>
      </c>
      <c r="H38" s="66"/>
      <c r="I38" s="6"/>
      <c r="J38" s="67">
        <f t="shared" si="1"/>
        <v>0</v>
      </c>
      <c r="K38" s="67">
        <f t="shared" si="2"/>
        <v>0</v>
      </c>
      <c r="L38" s="303">
        <v>0</v>
      </c>
      <c r="M38" s="150">
        <f t="shared" si="3"/>
        <v>87558.78979999997</v>
      </c>
      <c r="N38" s="47" t="s">
        <v>267</v>
      </c>
      <c r="O38" s="5"/>
    </row>
    <row r="39" spans="1:15">
      <c r="A39" s="47">
        <v>35</v>
      </c>
      <c r="B39" s="221"/>
      <c r="C39" s="6"/>
      <c r="D39" s="6"/>
      <c r="E39" s="66"/>
      <c r="F39" s="6"/>
      <c r="G39" s="67">
        <f t="shared" si="0"/>
        <v>0</v>
      </c>
      <c r="H39" s="66"/>
      <c r="I39" s="6"/>
      <c r="J39" s="67">
        <f t="shared" si="1"/>
        <v>0</v>
      </c>
      <c r="K39" s="67">
        <f t="shared" si="2"/>
        <v>0</v>
      </c>
      <c r="L39" s="303">
        <v>0</v>
      </c>
      <c r="M39" s="150">
        <f t="shared" si="3"/>
        <v>87558.78979999997</v>
      </c>
      <c r="N39" s="6"/>
      <c r="O39" s="5"/>
    </row>
    <row r="40" spans="1:15">
      <c r="A40" s="47">
        <v>36</v>
      </c>
      <c r="B40" s="221"/>
      <c r="C40" s="6"/>
      <c r="D40" s="6"/>
      <c r="E40" s="66"/>
      <c r="F40" s="6"/>
      <c r="G40" s="67">
        <f t="shared" ref="G23:G47" si="4">E40*F40</f>
        <v>0</v>
      </c>
      <c r="H40" s="66"/>
      <c r="I40" s="6"/>
      <c r="J40" s="67">
        <f t="shared" ref="J23:J47" si="5">H40*I40</f>
        <v>0</v>
      </c>
      <c r="K40" s="67">
        <f t="shared" ref="K5:K47" si="6">G40+J40</f>
        <v>0</v>
      </c>
      <c r="L40" s="303">
        <v>0</v>
      </c>
      <c r="M40" s="150">
        <f t="shared" si="3"/>
        <v>87558.78979999997</v>
      </c>
      <c r="N40" s="6"/>
      <c r="O40" s="5"/>
    </row>
    <row r="41" spans="1:15">
      <c r="A41" s="198">
        <v>37</v>
      </c>
      <c r="B41" s="221"/>
      <c r="C41" s="6"/>
      <c r="D41" s="6"/>
      <c r="E41" s="66"/>
      <c r="F41" s="6"/>
      <c r="G41" s="67">
        <f t="shared" si="4"/>
        <v>0</v>
      </c>
      <c r="H41" s="66"/>
      <c r="I41" s="6"/>
      <c r="J41" s="67">
        <f t="shared" si="5"/>
        <v>0</v>
      </c>
      <c r="K41" s="67">
        <f t="shared" si="6"/>
        <v>0</v>
      </c>
      <c r="L41" s="303">
        <v>0</v>
      </c>
      <c r="M41" s="150">
        <f t="shared" si="3"/>
        <v>87558.78979999997</v>
      </c>
      <c r="N41" s="6"/>
      <c r="O41" s="5"/>
    </row>
    <row r="42" spans="1:15">
      <c r="A42" s="47">
        <v>38</v>
      </c>
      <c r="B42" s="221"/>
      <c r="C42" s="6"/>
      <c r="D42" s="6"/>
      <c r="E42" s="66"/>
      <c r="F42" s="6"/>
      <c r="G42" s="67">
        <f t="shared" si="4"/>
        <v>0</v>
      </c>
      <c r="H42" s="66"/>
      <c r="I42" s="6"/>
      <c r="J42" s="67">
        <f t="shared" si="5"/>
        <v>0</v>
      </c>
      <c r="K42" s="67">
        <f t="shared" si="6"/>
        <v>0</v>
      </c>
      <c r="L42" s="303">
        <v>0</v>
      </c>
      <c r="M42" s="150">
        <f t="shared" si="3"/>
        <v>87558.78979999997</v>
      </c>
      <c r="N42" s="6"/>
      <c r="O42" s="5"/>
    </row>
    <row r="43" spans="1:15">
      <c r="A43" s="47">
        <v>39</v>
      </c>
      <c r="B43" s="221"/>
      <c r="C43" s="6"/>
      <c r="D43" s="6"/>
      <c r="E43" s="66"/>
      <c r="F43" s="6"/>
      <c r="G43" s="67">
        <f t="shared" si="4"/>
        <v>0</v>
      </c>
      <c r="H43" s="66"/>
      <c r="I43" s="6"/>
      <c r="J43" s="67">
        <f t="shared" si="5"/>
        <v>0</v>
      </c>
      <c r="K43" s="67">
        <f t="shared" si="6"/>
        <v>0</v>
      </c>
      <c r="L43" s="303">
        <v>0</v>
      </c>
      <c r="M43" s="150">
        <f t="shared" si="3"/>
        <v>87558.78979999997</v>
      </c>
      <c r="N43" s="6"/>
      <c r="O43" s="5"/>
    </row>
    <row r="44" spans="1:15">
      <c r="A44" s="198">
        <v>40</v>
      </c>
      <c r="B44" s="172"/>
      <c r="C44" s="171"/>
      <c r="D44" s="6"/>
      <c r="E44" s="66"/>
      <c r="F44" s="6"/>
      <c r="G44" s="67">
        <f t="shared" si="4"/>
        <v>0</v>
      </c>
      <c r="H44" s="66"/>
      <c r="I44" s="6"/>
      <c r="J44" s="67">
        <f t="shared" si="5"/>
        <v>0</v>
      </c>
      <c r="K44" s="67">
        <f t="shared" si="6"/>
        <v>0</v>
      </c>
      <c r="L44" s="303">
        <v>0</v>
      </c>
      <c r="M44" s="150">
        <f t="shared" si="3"/>
        <v>87558.78979999997</v>
      </c>
      <c r="N44" s="171"/>
      <c r="O44" s="5"/>
    </row>
    <row r="45" spans="1:15">
      <c r="A45" s="47">
        <v>41</v>
      </c>
      <c r="B45" s="6"/>
      <c r="C45" s="6"/>
      <c r="D45" s="6"/>
      <c r="E45" s="66"/>
      <c r="F45" s="6"/>
      <c r="G45" s="67">
        <f t="shared" si="4"/>
        <v>0</v>
      </c>
      <c r="H45" s="66"/>
      <c r="I45" s="6"/>
      <c r="J45" s="67">
        <f t="shared" si="5"/>
        <v>0</v>
      </c>
      <c r="K45" s="67">
        <f t="shared" si="6"/>
        <v>0</v>
      </c>
      <c r="L45" s="303">
        <v>0</v>
      </c>
      <c r="M45" s="150">
        <f t="shared" si="3"/>
        <v>87558.78979999997</v>
      </c>
      <c r="N45" s="6"/>
      <c r="O45" s="5"/>
    </row>
    <row r="46" spans="1:15">
      <c r="A46" s="47">
        <v>42</v>
      </c>
      <c r="B46" s="171"/>
      <c r="C46" s="171"/>
      <c r="D46" s="6"/>
      <c r="E46" s="66"/>
      <c r="F46" s="6"/>
      <c r="G46" s="67">
        <f t="shared" si="4"/>
        <v>0</v>
      </c>
      <c r="H46" s="66"/>
      <c r="I46" s="6"/>
      <c r="J46" s="67">
        <f t="shared" si="5"/>
        <v>0</v>
      </c>
      <c r="K46" s="173">
        <f t="shared" si="6"/>
        <v>0</v>
      </c>
      <c r="L46" s="164">
        <f t="shared" ref="L46:L47" si="7">+K46</f>
        <v>0</v>
      </c>
      <c r="M46" s="150">
        <f t="shared" si="3"/>
        <v>87558.78979999997</v>
      </c>
      <c r="N46" s="171"/>
      <c r="O46" s="5"/>
    </row>
    <row r="47" spans="1:15">
      <c r="A47" s="47"/>
      <c r="B47" s="171"/>
      <c r="C47" s="171"/>
      <c r="D47" s="6"/>
      <c r="E47" s="66"/>
      <c r="F47" s="6"/>
      <c r="G47" s="67">
        <f t="shared" si="4"/>
        <v>0</v>
      </c>
      <c r="H47" s="66"/>
      <c r="I47" s="6"/>
      <c r="J47" s="67">
        <f t="shared" si="5"/>
        <v>0</v>
      </c>
      <c r="K47" s="173">
        <f t="shared" si="6"/>
        <v>0</v>
      </c>
      <c r="L47" s="174">
        <f t="shared" si="7"/>
        <v>0</v>
      </c>
      <c r="M47" s="150">
        <f t="shared" si="3"/>
        <v>87558.78979999997</v>
      </c>
      <c r="N47" s="171"/>
      <c r="O47" s="5"/>
    </row>
    <row r="48" spans="1:15">
      <c r="A48" s="63"/>
      <c r="B48" s="63"/>
      <c r="C48" s="63"/>
      <c r="D48" s="63"/>
      <c r="E48" s="64">
        <f>SUM(E4:E47)</f>
        <v>1116.1900000000003</v>
      </c>
      <c r="F48" s="64"/>
      <c r="G48" s="64">
        <f>SUM(G4:G47)</f>
        <v>102042.08980000002</v>
      </c>
      <c r="H48" s="64">
        <f>SUM(H4:H47)</f>
        <v>35</v>
      </c>
      <c r="I48" s="64"/>
      <c r="J48" s="64">
        <f>SUM(J4:J47)</f>
        <v>3617.25</v>
      </c>
      <c r="K48" s="64">
        <f>SUM(K4:K47)</f>
        <v>105659.33980000002</v>
      </c>
      <c r="L48" s="64">
        <f>SUM(L4:L47)</f>
        <v>100000</v>
      </c>
      <c r="M48" s="64"/>
      <c r="N48" s="64"/>
      <c r="O48" s="60"/>
    </row>
    <row r="49" spans="1:15">
      <c r="A49" s="5"/>
      <c r="B49" s="5"/>
      <c r="C49" s="5"/>
      <c r="D49" s="5"/>
      <c r="E49" s="5"/>
      <c r="F49" s="5"/>
      <c r="G49" s="103"/>
      <c r="H49" s="5"/>
      <c r="I49" s="5"/>
      <c r="J49" s="103"/>
      <c r="K49" s="5"/>
      <c r="L49" s="103"/>
      <c r="M49" s="103"/>
      <c r="N49" s="5"/>
      <c r="O49" s="5"/>
    </row>
    <row r="50" spans="1:15">
      <c r="A50" s="5"/>
      <c r="B50" s="5"/>
      <c r="C50" s="5"/>
      <c r="D50" s="5"/>
      <c r="E50" s="5"/>
      <c r="F50" s="5"/>
      <c r="G50" s="103"/>
      <c r="H50" s="5"/>
      <c r="I50" s="5"/>
      <c r="J50" s="103"/>
      <c r="K50" s="5"/>
      <c r="L50" s="103"/>
      <c r="M50" s="103"/>
      <c r="N50" s="5"/>
      <c r="O50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21" workbookViewId="0">
      <selection activeCell="C25" sqref="C25"/>
    </sheetView>
  </sheetViews>
  <sheetFormatPr defaultRowHeight="15"/>
  <cols>
    <col min="1" max="1" width="6.140625" customWidth="1"/>
    <col min="2" max="2" width="11.1406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58" t="s">
        <v>94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5"/>
    </row>
    <row r="2" spans="1:15" ht="45">
      <c r="A2" s="65" t="s">
        <v>101</v>
      </c>
      <c r="B2" s="84" t="s">
        <v>155</v>
      </c>
      <c r="C2" s="84" t="s">
        <v>156</v>
      </c>
      <c r="D2" s="84" t="s">
        <v>173</v>
      </c>
      <c r="E2" s="84" t="s">
        <v>158</v>
      </c>
      <c r="F2" s="84" t="s">
        <v>159</v>
      </c>
      <c r="G2" s="91" t="s">
        <v>160</v>
      </c>
      <c r="H2" s="84" t="s">
        <v>161</v>
      </c>
      <c r="I2" s="84" t="s">
        <v>159</v>
      </c>
      <c r="J2" s="91" t="s">
        <v>160</v>
      </c>
      <c r="K2" s="65" t="s">
        <v>162</v>
      </c>
      <c r="L2" s="92" t="s">
        <v>163</v>
      </c>
      <c r="M2" s="86" t="s">
        <v>174</v>
      </c>
      <c r="N2" s="84" t="s">
        <v>165</v>
      </c>
      <c r="O2" s="5"/>
    </row>
    <row r="3" spans="1:15">
      <c r="A3" s="483" t="s">
        <v>166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5"/>
      <c r="M3" s="486">
        <v>52390.800700000007</v>
      </c>
      <c r="N3" s="487"/>
      <c r="O3" s="5"/>
    </row>
    <row r="4" spans="1:15">
      <c r="A4" s="198">
        <v>1</v>
      </c>
      <c r="B4" s="361" t="s">
        <v>179</v>
      </c>
      <c r="C4" s="6"/>
      <c r="D4" s="6"/>
      <c r="E4" s="66"/>
      <c r="F4" s="6"/>
      <c r="G4" s="67">
        <v>0</v>
      </c>
      <c r="H4" s="66"/>
      <c r="I4" s="6"/>
      <c r="J4" s="67">
        <f>H4*I4</f>
        <v>0</v>
      </c>
      <c r="K4" s="67">
        <f>G4+J4</f>
        <v>0</v>
      </c>
      <c r="L4" s="164">
        <v>0</v>
      </c>
      <c r="M4" s="306">
        <f>M3+K4-L4</f>
        <v>52390.800700000007</v>
      </c>
      <c r="N4" s="47" t="s">
        <v>267</v>
      </c>
      <c r="O4" s="5"/>
    </row>
    <row r="5" spans="1:15">
      <c r="A5" s="47">
        <v>2</v>
      </c>
      <c r="B5" s="361" t="s">
        <v>183</v>
      </c>
      <c r="C5" s="6"/>
      <c r="D5" s="6"/>
      <c r="E5" s="66">
        <v>5</v>
      </c>
      <c r="F5" s="6">
        <v>91.46</v>
      </c>
      <c r="G5" s="67">
        <f>E5*F5</f>
        <v>457.29999999999995</v>
      </c>
      <c r="H5" s="66">
        <v>0</v>
      </c>
      <c r="I5" s="6">
        <v>0</v>
      </c>
      <c r="J5" s="67">
        <f t="shared" ref="J5:J41" si="0">H5*I5</f>
        <v>0</v>
      </c>
      <c r="K5" s="67">
        <f t="shared" ref="K5:K41" si="1">G5+J5</f>
        <v>457.29999999999995</v>
      </c>
      <c r="L5" s="164">
        <v>52000</v>
      </c>
      <c r="M5" s="306">
        <f t="shared" ref="M5:M18" si="2">M4+K5-L5</f>
        <v>848.10070000000997</v>
      </c>
      <c r="N5" s="47" t="s">
        <v>267</v>
      </c>
      <c r="O5" s="5"/>
    </row>
    <row r="6" spans="1:15">
      <c r="A6" s="47">
        <v>3</v>
      </c>
      <c r="B6" s="361" t="s">
        <v>282</v>
      </c>
      <c r="C6" s="6"/>
      <c r="D6" s="6"/>
      <c r="E6" s="66">
        <v>142.32</v>
      </c>
      <c r="F6" s="6">
        <v>91.46</v>
      </c>
      <c r="G6" s="67">
        <f>E6*F6</f>
        <v>13016.587199999998</v>
      </c>
      <c r="H6" s="66">
        <v>5</v>
      </c>
      <c r="I6" s="6">
        <v>103.4</v>
      </c>
      <c r="J6" s="67">
        <f t="shared" si="0"/>
        <v>517</v>
      </c>
      <c r="K6" s="67">
        <f t="shared" si="1"/>
        <v>13533.587199999998</v>
      </c>
      <c r="L6" s="164">
        <v>0</v>
      </c>
      <c r="M6" s="306">
        <f t="shared" si="2"/>
        <v>14381.687900000008</v>
      </c>
      <c r="N6" s="47" t="s">
        <v>267</v>
      </c>
      <c r="O6" s="5"/>
    </row>
    <row r="7" spans="1:15">
      <c r="A7" s="47">
        <v>4</v>
      </c>
      <c r="B7" s="361" t="s">
        <v>186</v>
      </c>
      <c r="C7" s="171"/>
      <c r="D7" s="171"/>
      <c r="E7" s="66">
        <v>5</v>
      </c>
      <c r="F7" s="6">
        <v>91.46</v>
      </c>
      <c r="G7" s="67">
        <f t="shared" ref="G7:G30" si="3">E7*F7</f>
        <v>457.29999999999995</v>
      </c>
      <c r="H7" s="66">
        <v>5</v>
      </c>
      <c r="I7" s="6">
        <v>103.4</v>
      </c>
      <c r="J7" s="67">
        <f t="shared" si="0"/>
        <v>517</v>
      </c>
      <c r="K7" s="67">
        <f t="shared" si="1"/>
        <v>974.3</v>
      </c>
      <c r="L7" s="164">
        <v>0</v>
      </c>
      <c r="M7" s="306">
        <f t="shared" si="2"/>
        <v>15355.987900000007</v>
      </c>
      <c r="N7" s="47" t="s">
        <v>267</v>
      </c>
      <c r="O7" s="5"/>
    </row>
    <row r="8" spans="1:15">
      <c r="A8" s="223">
        <v>5</v>
      </c>
      <c r="B8" s="361" t="s">
        <v>285</v>
      </c>
      <c r="C8" s="6"/>
      <c r="D8" s="6"/>
      <c r="E8" s="66">
        <v>30</v>
      </c>
      <c r="F8" s="6">
        <v>91.46</v>
      </c>
      <c r="G8" s="67">
        <f t="shared" si="3"/>
        <v>2743.7999999999997</v>
      </c>
      <c r="H8" s="66">
        <v>5</v>
      </c>
      <c r="I8" s="6">
        <v>103.4</v>
      </c>
      <c r="J8" s="67">
        <f t="shared" si="0"/>
        <v>517</v>
      </c>
      <c r="K8" s="67">
        <f t="shared" si="1"/>
        <v>3260.7999999999997</v>
      </c>
      <c r="L8" s="164">
        <v>0</v>
      </c>
      <c r="M8" s="306">
        <f t="shared" si="2"/>
        <v>18616.787900000007</v>
      </c>
      <c r="N8" s="47" t="s">
        <v>267</v>
      </c>
      <c r="O8" s="5"/>
    </row>
    <row r="9" spans="1:15">
      <c r="A9" s="223">
        <v>6</v>
      </c>
      <c r="B9" s="361" t="s">
        <v>278</v>
      </c>
      <c r="C9" s="6"/>
      <c r="D9" s="6"/>
      <c r="E9" s="66">
        <v>43.46</v>
      </c>
      <c r="F9" s="6">
        <v>91.46</v>
      </c>
      <c r="G9" s="67">
        <f t="shared" si="3"/>
        <v>3974.8516</v>
      </c>
      <c r="H9" s="66">
        <v>6.67</v>
      </c>
      <c r="I9" s="6">
        <v>103.4</v>
      </c>
      <c r="J9" s="67">
        <f t="shared" si="0"/>
        <v>689.678</v>
      </c>
      <c r="K9" s="67">
        <f t="shared" si="1"/>
        <v>4664.5295999999998</v>
      </c>
      <c r="L9" s="164">
        <v>0</v>
      </c>
      <c r="M9" s="306">
        <f t="shared" si="2"/>
        <v>23281.317500000005</v>
      </c>
      <c r="N9" s="47" t="s">
        <v>267</v>
      </c>
      <c r="O9" s="5"/>
    </row>
    <row r="10" spans="1:15">
      <c r="A10" s="223">
        <v>7</v>
      </c>
      <c r="B10" s="361" t="s">
        <v>280</v>
      </c>
      <c r="C10" s="6"/>
      <c r="D10" s="6"/>
      <c r="E10" s="66">
        <v>60</v>
      </c>
      <c r="F10" s="6">
        <v>91.46</v>
      </c>
      <c r="G10" s="67">
        <f t="shared" si="3"/>
        <v>5487.5999999999995</v>
      </c>
      <c r="H10" s="66"/>
      <c r="I10" s="6"/>
      <c r="J10" s="67">
        <f t="shared" si="0"/>
        <v>0</v>
      </c>
      <c r="K10" s="67">
        <f t="shared" si="1"/>
        <v>5487.5999999999995</v>
      </c>
      <c r="L10" s="164">
        <v>0</v>
      </c>
      <c r="M10" s="306">
        <f t="shared" si="2"/>
        <v>28768.917500000003</v>
      </c>
      <c r="N10" s="47" t="s">
        <v>267</v>
      </c>
      <c r="O10" s="5"/>
    </row>
    <row r="11" spans="1:15">
      <c r="A11" s="223">
        <v>8</v>
      </c>
      <c r="B11" s="361" t="s">
        <v>192</v>
      </c>
      <c r="C11" s="6"/>
      <c r="D11" s="6"/>
      <c r="E11" s="66">
        <v>58.12</v>
      </c>
      <c r="F11" s="6">
        <v>91.46</v>
      </c>
      <c r="G11" s="67">
        <f t="shared" si="3"/>
        <v>5315.6551999999992</v>
      </c>
      <c r="H11" s="66">
        <v>5</v>
      </c>
      <c r="I11" s="6">
        <v>103.4</v>
      </c>
      <c r="J11" s="67">
        <f t="shared" si="0"/>
        <v>517</v>
      </c>
      <c r="K11" s="67">
        <f>G11+J11</f>
        <v>5832.6551999999992</v>
      </c>
      <c r="L11" s="164">
        <v>0</v>
      </c>
      <c r="M11" s="306">
        <f t="shared" si="2"/>
        <v>34601.572700000004</v>
      </c>
      <c r="N11" s="47" t="s">
        <v>267</v>
      </c>
      <c r="O11" s="5"/>
    </row>
    <row r="12" spans="1:15">
      <c r="A12" s="223">
        <v>9</v>
      </c>
      <c r="B12" s="361" t="s">
        <v>272</v>
      </c>
      <c r="C12" s="6"/>
      <c r="D12" s="6"/>
      <c r="E12" s="66"/>
      <c r="F12" s="6"/>
      <c r="G12" s="67">
        <f t="shared" si="3"/>
        <v>0</v>
      </c>
      <c r="H12" s="66">
        <v>10</v>
      </c>
      <c r="I12" s="6">
        <v>103.4</v>
      </c>
      <c r="J12" s="67">
        <f t="shared" si="0"/>
        <v>1034</v>
      </c>
      <c r="K12" s="67">
        <f>G12+J12</f>
        <v>1034</v>
      </c>
      <c r="L12" s="164">
        <v>0</v>
      </c>
      <c r="M12" s="306">
        <f t="shared" si="2"/>
        <v>35635.572700000004</v>
      </c>
      <c r="N12" s="47" t="s">
        <v>267</v>
      </c>
      <c r="O12" s="5"/>
    </row>
    <row r="13" spans="1:15">
      <c r="A13" s="223">
        <v>10</v>
      </c>
      <c r="B13" s="361" t="s">
        <v>273</v>
      </c>
      <c r="C13" s="6"/>
      <c r="D13" s="6"/>
      <c r="E13" s="66">
        <v>36.01</v>
      </c>
      <c r="F13" s="6">
        <v>91.46</v>
      </c>
      <c r="G13" s="67">
        <f t="shared" si="3"/>
        <v>3293.4745999999996</v>
      </c>
      <c r="H13" s="66">
        <v>5</v>
      </c>
      <c r="I13" s="6">
        <v>103.4</v>
      </c>
      <c r="J13" s="67">
        <f t="shared" si="0"/>
        <v>517</v>
      </c>
      <c r="K13" s="67">
        <f>G13+J13</f>
        <v>3810.4745999999996</v>
      </c>
      <c r="L13" s="164">
        <v>0</v>
      </c>
      <c r="M13" s="306">
        <f t="shared" si="2"/>
        <v>39446.047300000006</v>
      </c>
      <c r="N13" s="47" t="s">
        <v>267</v>
      </c>
      <c r="O13" s="5"/>
    </row>
    <row r="14" spans="1:15">
      <c r="A14" s="223">
        <v>11</v>
      </c>
      <c r="B14" s="361" t="s">
        <v>274</v>
      </c>
      <c r="C14" s="6"/>
      <c r="D14" s="6"/>
      <c r="E14" s="66">
        <v>101.62</v>
      </c>
      <c r="F14" s="6">
        <v>91.46</v>
      </c>
      <c r="G14" s="67">
        <f t="shared" si="3"/>
        <v>9294.1651999999995</v>
      </c>
      <c r="H14" s="66">
        <v>5</v>
      </c>
      <c r="I14" s="6">
        <v>103.4</v>
      </c>
      <c r="J14" s="67">
        <f t="shared" si="0"/>
        <v>517</v>
      </c>
      <c r="K14" s="67">
        <f t="shared" si="1"/>
        <v>9811.1651999999995</v>
      </c>
      <c r="L14" s="164">
        <v>0</v>
      </c>
      <c r="M14" s="306">
        <f t="shared" si="2"/>
        <v>49257.212500000009</v>
      </c>
      <c r="N14" s="47" t="s">
        <v>267</v>
      </c>
      <c r="O14" s="5"/>
    </row>
    <row r="15" spans="1:15">
      <c r="A15" s="223">
        <v>12</v>
      </c>
      <c r="B15" s="361" t="s">
        <v>199</v>
      </c>
      <c r="C15" s="6"/>
      <c r="D15" s="6"/>
      <c r="E15" s="66">
        <v>155</v>
      </c>
      <c r="F15" s="6">
        <v>91.46</v>
      </c>
      <c r="G15" s="67">
        <f t="shared" si="3"/>
        <v>14176.3</v>
      </c>
      <c r="H15" s="66">
        <v>5</v>
      </c>
      <c r="I15" s="6">
        <v>103.4</v>
      </c>
      <c r="J15" s="67">
        <f t="shared" si="0"/>
        <v>517</v>
      </c>
      <c r="K15" s="67">
        <f t="shared" si="1"/>
        <v>14693.3</v>
      </c>
      <c r="L15" s="164">
        <v>0</v>
      </c>
      <c r="M15" s="306">
        <f t="shared" si="2"/>
        <v>63950.512500000012</v>
      </c>
      <c r="N15" s="47" t="s">
        <v>267</v>
      </c>
      <c r="O15" s="5"/>
    </row>
    <row r="16" spans="1:15">
      <c r="A16" s="223">
        <v>13</v>
      </c>
      <c r="B16" s="361" t="s">
        <v>200</v>
      </c>
      <c r="C16" s="6"/>
      <c r="D16" s="6"/>
      <c r="E16" s="66">
        <v>65.45</v>
      </c>
      <c r="F16" s="6">
        <v>91.46</v>
      </c>
      <c r="G16" s="67">
        <f t="shared" si="3"/>
        <v>5986.0569999999998</v>
      </c>
      <c r="H16" s="66">
        <v>5</v>
      </c>
      <c r="I16" s="6">
        <v>103.4</v>
      </c>
      <c r="J16" s="67">
        <f t="shared" si="0"/>
        <v>517</v>
      </c>
      <c r="K16" s="67">
        <f t="shared" si="1"/>
        <v>6503.0569999999998</v>
      </c>
      <c r="L16" s="164">
        <v>0</v>
      </c>
      <c r="M16" s="306">
        <f t="shared" si="2"/>
        <v>70453.569500000012</v>
      </c>
      <c r="N16" s="47" t="s">
        <v>267</v>
      </c>
      <c r="O16" s="5"/>
    </row>
    <row r="17" spans="1:15">
      <c r="A17" s="223">
        <v>14</v>
      </c>
      <c r="B17" s="361" t="s">
        <v>201</v>
      </c>
      <c r="C17" s="6"/>
      <c r="D17" s="6"/>
      <c r="E17" s="66">
        <v>84.66</v>
      </c>
      <c r="F17" s="6">
        <v>91.46</v>
      </c>
      <c r="G17" s="67">
        <f t="shared" si="3"/>
        <v>7743.0035999999991</v>
      </c>
      <c r="H17" s="66">
        <v>5</v>
      </c>
      <c r="I17" s="6">
        <v>103.4</v>
      </c>
      <c r="J17" s="67">
        <f t="shared" si="0"/>
        <v>517</v>
      </c>
      <c r="K17" s="67">
        <f t="shared" si="1"/>
        <v>8260.0036</v>
      </c>
      <c r="L17" s="164">
        <v>0</v>
      </c>
      <c r="M17" s="306">
        <f t="shared" si="2"/>
        <v>78713.573100000009</v>
      </c>
      <c r="N17" s="47" t="s">
        <v>267</v>
      </c>
      <c r="O17" s="5"/>
    </row>
    <row r="18" spans="1:15">
      <c r="A18" s="223">
        <v>15</v>
      </c>
      <c r="B18" s="361" t="s">
        <v>205</v>
      </c>
      <c r="C18" s="6"/>
      <c r="D18" s="6"/>
      <c r="E18" s="66"/>
      <c r="F18" s="6"/>
      <c r="G18" s="67">
        <f t="shared" si="3"/>
        <v>0</v>
      </c>
      <c r="H18" s="66">
        <v>1</v>
      </c>
      <c r="I18" s="6">
        <v>103.4</v>
      </c>
      <c r="J18" s="67">
        <f t="shared" si="0"/>
        <v>103.4</v>
      </c>
      <c r="K18" s="67">
        <f t="shared" si="1"/>
        <v>103.4</v>
      </c>
      <c r="L18" s="164">
        <v>0</v>
      </c>
      <c r="M18" s="306">
        <f t="shared" si="2"/>
        <v>78816.973100000003</v>
      </c>
      <c r="N18" s="47" t="s">
        <v>267</v>
      </c>
      <c r="O18" s="5"/>
    </row>
    <row r="19" spans="1:15">
      <c r="A19" s="223">
        <v>16</v>
      </c>
      <c r="B19" s="361" t="s">
        <v>275</v>
      </c>
      <c r="C19" s="6"/>
      <c r="D19" s="6"/>
      <c r="E19" s="66">
        <v>30</v>
      </c>
      <c r="F19" s="6">
        <v>91.46</v>
      </c>
      <c r="G19" s="67">
        <f t="shared" si="3"/>
        <v>2743.7999999999997</v>
      </c>
      <c r="H19" s="66"/>
      <c r="I19" s="6"/>
      <c r="J19" s="67">
        <f t="shared" si="0"/>
        <v>0</v>
      </c>
      <c r="K19" s="67">
        <f t="shared" si="1"/>
        <v>2743.7999999999997</v>
      </c>
      <c r="L19" s="164">
        <v>0</v>
      </c>
      <c r="M19" s="307">
        <f t="shared" ref="M15:M42" si="4">M18+K19-L19</f>
        <v>81560.773100000006</v>
      </c>
      <c r="N19" s="47" t="s">
        <v>267</v>
      </c>
      <c r="O19" s="5"/>
    </row>
    <row r="20" spans="1:15">
      <c r="A20" s="223">
        <v>17</v>
      </c>
      <c r="B20" s="361" t="s">
        <v>281</v>
      </c>
      <c r="C20" s="6"/>
      <c r="D20" s="6"/>
      <c r="E20" s="66">
        <v>104.52000000000001</v>
      </c>
      <c r="F20" s="6">
        <v>91.46</v>
      </c>
      <c r="G20" s="67">
        <f t="shared" si="3"/>
        <v>9559.3991999999998</v>
      </c>
      <c r="H20" s="66">
        <v>5</v>
      </c>
      <c r="I20" s="6">
        <v>103.4</v>
      </c>
      <c r="J20" s="67">
        <f t="shared" si="0"/>
        <v>517</v>
      </c>
      <c r="K20" s="67">
        <f t="shared" si="1"/>
        <v>10076.3992</v>
      </c>
      <c r="L20" s="164">
        <v>0</v>
      </c>
      <c r="M20" s="307">
        <f t="shared" si="4"/>
        <v>91637.172300000006</v>
      </c>
      <c r="N20" s="47" t="s">
        <v>267</v>
      </c>
      <c r="O20" s="5"/>
    </row>
    <row r="21" spans="1:15">
      <c r="A21" s="223">
        <v>18</v>
      </c>
      <c r="B21" s="361" t="s">
        <v>276</v>
      </c>
      <c r="C21" s="6"/>
      <c r="D21" s="6"/>
      <c r="E21" s="66">
        <v>145.82</v>
      </c>
      <c r="F21" s="6">
        <v>91.46</v>
      </c>
      <c r="G21" s="67">
        <f t="shared" si="3"/>
        <v>13336.697199999999</v>
      </c>
      <c r="H21" s="66">
        <v>19.490000000000002</v>
      </c>
      <c r="I21" s="6">
        <v>103.4</v>
      </c>
      <c r="J21" s="67">
        <f t="shared" si="0"/>
        <v>2015.2660000000003</v>
      </c>
      <c r="K21" s="67">
        <f t="shared" si="1"/>
        <v>15351.963199999998</v>
      </c>
      <c r="L21" s="164">
        <v>0</v>
      </c>
      <c r="M21" s="307">
        <f t="shared" si="4"/>
        <v>106989.1355</v>
      </c>
      <c r="N21" s="47" t="s">
        <v>267</v>
      </c>
      <c r="O21" s="5"/>
    </row>
    <row r="22" spans="1:15">
      <c r="A22" s="223">
        <v>19</v>
      </c>
      <c r="B22" s="361" t="s">
        <v>208</v>
      </c>
      <c r="C22" s="6"/>
      <c r="D22" s="6"/>
      <c r="E22" s="66">
        <v>10</v>
      </c>
      <c r="F22" s="6">
        <v>91.46</v>
      </c>
      <c r="G22" s="67">
        <f t="shared" si="3"/>
        <v>914.59999999999991</v>
      </c>
      <c r="H22" s="66"/>
      <c r="I22" s="6"/>
      <c r="J22" s="67">
        <f t="shared" si="0"/>
        <v>0</v>
      </c>
      <c r="K22" s="67">
        <f t="shared" si="1"/>
        <v>914.59999999999991</v>
      </c>
      <c r="L22" s="164">
        <v>0</v>
      </c>
      <c r="M22" s="307">
        <f t="shared" si="4"/>
        <v>107903.73550000001</v>
      </c>
      <c r="N22" s="47" t="s">
        <v>267</v>
      </c>
      <c r="O22" s="5"/>
    </row>
    <row r="23" spans="1:15">
      <c r="A23" s="223">
        <v>20</v>
      </c>
      <c r="B23" s="361" t="s">
        <v>209</v>
      </c>
      <c r="C23" s="6"/>
      <c r="D23" s="6"/>
      <c r="E23" s="66">
        <v>38.270000000000003</v>
      </c>
      <c r="F23" s="6">
        <v>91.46</v>
      </c>
      <c r="G23" s="67">
        <f t="shared" si="3"/>
        <v>3500.1741999999999</v>
      </c>
      <c r="H23" s="66">
        <v>9.02</v>
      </c>
      <c r="I23" s="6">
        <v>103.4</v>
      </c>
      <c r="J23" s="67">
        <f t="shared" si="0"/>
        <v>932.66800000000001</v>
      </c>
      <c r="K23" s="67">
        <f t="shared" si="1"/>
        <v>4432.8422</v>
      </c>
      <c r="L23" s="164">
        <v>70000</v>
      </c>
      <c r="M23" s="307">
        <f t="shared" si="4"/>
        <v>42336.577700000009</v>
      </c>
      <c r="N23" s="47"/>
      <c r="O23" s="5"/>
    </row>
    <row r="24" spans="1:15">
      <c r="A24" s="223">
        <v>21</v>
      </c>
      <c r="B24" s="361" t="s">
        <v>277</v>
      </c>
      <c r="C24" s="6"/>
      <c r="D24" s="6"/>
      <c r="E24" s="66">
        <v>121.02000000000001</v>
      </c>
      <c r="F24" s="6">
        <v>91.46</v>
      </c>
      <c r="G24" s="67">
        <f t="shared" si="3"/>
        <v>11068.4892</v>
      </c>
      <c r="H24" s="66">
        <v>5</v>
      </c>
      <c r="I24" s="6">
        <v>103.4</v>
      </c>
      <c r="J24" s="67">
        <f t="shared" si="0"/>
        <v>517</v>
      </c>
      <c r="K24" s="67">
        <f t="shared" si="1"/>
        <v>11585.4892</v>
      </c>
      <c r="L24" s="164">
        <v>0</v>
      </c>
      <c r="M24" s="307">
        <f t="shared" si="4"/>
        <v>53922.066900000005</v>
      </c>
      <c r="N24" s="47"/>
      <c r="O24" s="5"/>
    </row>
    <row r="25" spans="1:15">
      <c r="A25" s="47">
        <v>22</v>
      </c>
      <c r="B25" s="361" t="s">
        <v>211</v>
      </c>
      <c r="C25" s="346"/>
      <c r="D25" s="346"/>
      <c r="E25" s="66">
        <v>35</v>
      </c>
      <c r="F25" s="6">
        <v>91.46</v>
      </c>
      <c r="G25" s="67">
        <f t="shared" si="3"/>
        <v>3201.1</v>
      </c>
      <c r="H25" s="66"/>
      <c r="I25" s="6"/>
      <c r="J25" s="67">
        <f t="shared" si="0"/>
        <v>0</v>
      </c>
      <c r="K25" s="67">
        <f t="shared" si="1"/>
        <v>3201.1</v>
      </c>
      <c r="L25" s="164">
        <v>0</v>
      </c>
      <c r="M25" s="261">
        <f t="shared" si="4"/>
        <v>57123.166900000004</v>
      </c>
      <c r="N25" s="47"/>
      <c r="O25" s="5"/>
    </row>
    <row r="26" spans="1:15">
      <c r="A26" s="47">
        <v>23</v>
      </c>
      <c r="B26" s="345"/>
      <c r="C26" s="6"/>
      <c r="D26" s="6"/>
      <c r="E26" s="66"/>
      <c r="F26" s="6"/>
      <c r="G26" s="67">
        <f t="shared" si="3"/>
        <v>0</v>
      </c>
      <c r="H26" s="66"/>
      <c r="I26" s="6"/>
      <c r="J26" s="67">
        <f t="shared" si="0"/>
        <v>0</v>
      </c>
      <c r="K26" s="67">
        <f t="shared" si="1"/>
        <v>0</v>
      </c>
      <c r="L26" s="164">
        <v>0</v>
      </c>
      <c r="M26" s="261">
        <f t="shared" si="4"/>
        <v>57123.166900000004</v>
      </c>
      <c r="N26" s="6"/>
      <c r="O26" s="5"/>
    </row>
    <row r="27" spans="1:15">
      <c r="A27" s="47">
        <v>24</v>
      </c>
      <c r="B27" s="345"/>
      <c r="C27" s="6"/>
      <c r="D27" s="6"/>
      <c r="E27" s="66"/>
      <c r="F27" s="6"/>
      <c r="G27" s="67">
        <f t="shared" si="3"/>
        <v>0</v>
      </c>
      <c r="H27" s="66"/>
      <c r="I27" s="6"/>
      <c r="J27" s="67">
        <f t="shared" si="0"/>
        <v>0</v>
      </c>
      <c r="K27" s="67">
        <f t="shared" si="1"/>
        <v>0</v>
      </c>
      <c r="L27" s="164">
        <v>0</v>
      </c>
      <c r="M27" s="261">
        <f t="shared" si="4"/>
        <v>57123.166900000004</v>
      </c>
      <c r="N27" s="6"/>
      <c r="O27" s="5"/>
    </row>
    <row r="28" spans="1:15">
      <c r="A28" s="223">
        <v>25</v>
      </c>
      <c r="B28" s="345"/>
      <c r="C28" s="6"/>
      <c r="D28" s="6"/>
      <c r="E28" s="66"/>
      <c r="F28" s="6"/>
      <c r="G28" s="67">
        <f t="shared" si="3"/>
        <v>0</v>
      </c>
      <c r="H28" s="66"/>
      <c r="I28" s="6"/>
      <c r="J28" s="67">
        <f t="shared" si="0"/>
        <v>0</v>
      </c>
      <c r="K28" s="67">
        <f t="shared" si="1"/>
        <v>0</v>
      </c>
      <c r="L28" s="164">
        <v>0</v>
      </c>
      <c r="M28" s="261">
        <f t="shared" si="4"/>
        <v>57123.166900000004</v>
      </c>
      <c r="N28" s="6"/>
      <c r="O28" s="5"/>
    </row>
    <row r="29" spans="1:15">
      <c r="A29" s="223">
        <v>26</v>
      </c>
      <c r="B29" s="221"/>
      <c r="C29" s="6"/>
      <c r="D29" s="6"/>
      <c r="E29" s="66"/>
      <c r="F29" s="6"/>
      <c r="G29" s="67">
        <f t="shared" si="3"/>
        <v>0</v>
      </c>
      <c r="H29" s="66"/>
      <c r="I29" s="6"/>
      <c r="J29" s="67">
        <f t="shared" si="0"/>
        <v>0</v>
      </c>
      <c r="K29" s="67">
        <f t="shared" si="1"/>
        <v>0</v>
      </c>
      <c r="L29" s="164">
        <v>0</v>
      </c>
      <c r="M29" s="261">
        <f t="shared" si="4"/>
        <v>57123.166900000004</v>
      </c>
      <c r="N29" s="6"/>
      <c r="O29" s="5"/>
    </row>
    <row r="30" spans="1:15">
      <c r="A30" s="223">
        <v>27</v>
      </c>
      <c r="B30" s="221"/>
      <c r="C30" s="6"/>
      <c r="D30" s="6"/>
      <c r="E30" s="66"/>
      <c r="F30" s="6"/>
      <c r="G30" s="67">
        <f t="shared" si="3"/>
        <v>0</v>
      </c>
      <c r="H30" s="66"/>
      <c r="I30" s="6"/>
      <c r="J30" s="67">
        <f t="shared" si="0"/>
        <v>0</v>
      </c>
      <c r="K30" s="67">
        <f t="shared" si="1"/>
        <v>0</v>
      </c>
      <c r="L30" s="164">
        <v>0</v>
      </c>
      <c r="M30" s="261">
        <f t="shared" si="4"/>
        <v>57123.166900000004</v>
      </c>
      <c r="N30" s="6"/>
      <c r="O30" s="5"/>
    </row>
    <row r="31" spans="1:15">
      <c r="A31" s="223">
        <v>28</v>
      </c>
      <c r="B31" s="221"/>
      <c r="C31" s="6"/>
      <c r="D31" s="6"/>
      <c r="E31" s="66"/>
      <c r="F31" s="6"/>
      <c r="G31" s="67">
        <v>0</v>
      </c>
      <c r="H31" s="66"/>
      <c r="I31" s="6"/>
      <c r="J31" s="67">
        <f t="shared" si="0"/>
        <v>0</v>
      </c>
      <c r="K31" s="67">
        <f t="shared" si="1"/>
        <v>0</v>
      </c>
      <c r="L31" s="164">
        <v>0</v>
      </c>
      <c r="M31" s="261">
        <f t="shared" si="4"/>
        <v>57123.166900000004</v>
      </c>
      <c r="N31" s="6"/>
      <c r="O31" s="5"/>
    </row>
    <row r="32" spans="1:15">
      <c r="A32" s="224">
        <v>29</v>
      </c>
      <c r="B32" s="221"/>
      <c r="C32" s="6"/>
      <c r="D32" s="6"/>
      <c r="E32" s="66"/>
      <c r="F32" s="6"/>
      <c r="G32" s="67">
        <v>0</v>
      </c>
      <c r="H32" s="66"/>
      <c r="I32" s="6"/>
      <c r="J32" s="67">
        <f t="shared" si="0"/>
        <v>0</v>
      </c>
      <c r="K32" s="67">
        <f t="shared" si="1"/>
        <v>0</v>
      </c>
      <c r="L32" s="164">
        <v>0</v>
      </c>
      <c r="M32" s="261">
        <f t="shared" si="4"/>
        <v>57123.166900000004</v>
      </c>
      <c r="N32" s="6"/>
      <c r="O32" s="5"/>
    </row>
    <row r="33" spans="1:15">
      <c r="A33" s="224">
        <v>30</v>
      </c>
      <c r="B33" s="221"/>
      <c r="C33" s="6"/>
      <c r="D33" s="6"/>
      <c r="E33" s="66"/>
      <c r="F33" s="6"/>
      <c r="G33" s="67">
        <v>0</v>
      </c>
      <c r="H33" s="66"/>
      <c r="I33" s="6"/>
      <c r="J33" s="67">
        <f t="shared" si="0"/>
        <v>0</v>
      </c>
      <c r="K33" s="67">
        <f t="shared" si="1"/>
        <v>0</v>
      </c>
      <c r="L33" s="164">
        <v>0</v>
      </c>
      <c r="M33" s="261">
        <f t="shared" si="4"/>
        <v>57123.166900000004</v>
      </c>
      <c r="N33" s="6"/>
      <c r="O33" s="5"/>
    </row>
    <row r="34" spans="1:15">
      <c r="A34" s="224">
        <v>31</v>
      </c>
      <c r="B34" s="221"/>
      <c r="C34" s="6"/>
      <c r="D34" s="6"/>
      <c r="E34" s="66"/>
      <c r="F34" s="6"/>
      <c r="G34" s="67">
        <v>0</v>
      </c>
      <c r="H34" s="66"/>
      <c r="I34" s="6"/>
      <c r="J34" s="67">
        <f t="shared" si="0"/>
        <v>0</v>
      </c>
      <c r="K34" s="67">
        <f t="shared" si="1"/>
        <v>0</v>
      </c>
      <c r="L34" s="164">
        <v>0</v>
      </c>
      <c r="M34" s="261">
        <f t="shared" si="4"/>
        <v>57123.166900000004</v>
      </c>
      <c r="N34" s="6"/>
      <c r="O34" s="5"/>
    </row>
    <row r="35" spans="1:15">
      <c r="A35" s="6">
        <v>35</v>
      </c>
      <c r="B35" s="79"/>
      <c r="C35" s="6"/>
      <c r="D35" s="6"/>
      <c r="E35" s="66"/>
      <c r="F35" s="6"/>
      <c r="G35" s="67">
        <v>0</v>
      </c>
      <c r="H35" s="66"/>
      <c r="I35" s="6"/>
      <c r="J35" s="67">
        <f t="shared" si="0"/>
        <v>0</v>
      </c>
      <c r="K35" s="67">
        <f t="shared" si="1"/>
        <v>0</v>
      </c>
      <c r="L35" s="164">
        <v>0</v>
      </c>
      <c r="M35" s="261">
        <f t="shared" si="4"/>
        <v>57123.166900000004</v>
      </c>
      <c r="N35" s="6"/>
      <c r="O35" s="5"/>
    </row>
    <row r="36" spans="1:15">
      <c r="A36" s="6">
        <v>36</v>
      </c>
      <c r="B36" s="79"/>
      <c r="C36" s="6"/>
      <c r="D36" s="6"/>
      <c r="E36" s="66"/>
      <c r="F36" s="6"/>
      <c r="G36" s="67">
        <v>0</v>
      </c>
      <c r="H36" s="66"/>
      <c r="I36" s="6"/>
      <c r="J36" s="67">
        <f t="shared" si="0"/>
        <v>0</v>
      </c>
      <c r="K36" s="67">
        <f t="shared" si="1"/>
        <v>0</v>
      </c>
      <c r="L36" s="164">
        <v>0</v>
      </c>
      <c r="M36" s="261">
        <f t="shared" si="4"/>
        <v>57123.166900000004</v>
      </c>
      <c r="N36" s="6"/>
      <c r="O36" s="5"/>
    </row>
    <row r="37" spans="1:15">
      <c r="A37" s="6">
        <v>37</v>
      </c>
      <c r="B37" s="79"/>
      <c r="C37" s="6"/>
      <c r="D37" s="6"/>
      <c r="E37" s="66"/>
      <c r="F37" s="6"/>
      <c r="G37" s="67">
        <v>0</v>
      </c>
      <c r="H37" s="66"/>
      <c r="I37" s="6"/>
      <c r="J37" s="67">
        <f t="shared" si="0"/>
        <v>0</v>
      </c>
      <c r="K37" s="67">
        <f t="shared" si="1"/>
        <v>0</v>
      </c>
      <c r="L37" s="164">
        <v>0</v>
      </c>
      <c r="M37" s="261">
        <f t="shared" si="4"/>
        <v>57123.166900000004</v>
      </c>
      <c r="N37" s="6"/>
      <c r="O37" s="5"/>
    </row>
    <row r="38" spans="1:15">
      <c r="A38" s="6">
        <v>38</v>
      </c>
      <c r="B38" s="79"/>
      <c r="C38" s="6"/>
      <c r="D38" s="6"/>
      <c r="E38" s="66"/>
      <c r="F38" s="6"/>
      <c r="G38" s="67">
        <v>0</v>
      </c>
      <c r="H38" s="66"/>
      <c r="I38" s="6"/>
      <c r="J38" s="67">
        <f t="shared" si="0"/>
        <v>0</v>
      </c>
      <c r="K38" s="67">
        <f t="shared" si="1"/>
        <v>0</v>
      </c>
      <c r="L38" s="164">
        <v>0</v>
      </c>
      <c r="M38" s="261">
        <f t="shared" si="4"/>
        <v>57123.166900000004</v>
      </c>
      <c r="N38" s="6"/>
      <c r="O38" s="5"/>
    </row>
    <row r="39" spans="1:15">
      <c r="A39" s="171">
        <v>39</v>
      </c>
      <c r="B39" s="172"/>
      <c r="C39" s="171"/>
      <c r="D39" s="6"/>
      <c r="E39" s="66"/>
      <c r="F39" s="6"/>
      <c r="G39" s="67">
        <v>0</v>
      </c>
      <c r="H39" s="66"/>
      <c r="I39" s="6"/>
      <c r="J39" s="67">
        <f t="shared" si="0"/>
        <v>0</v>
      </c>
      <c r="K39" s="67">
        <f t="shared" si="1"/>
        <v>0</v>
      </c>
      <c r="L39" s="164">
        <v>0</v>
      </c>
      <c r="M39" s="261">
        <f t="shared" si="4"/>
        <v>57123.166900000004</v>
      </c>
      <c r="N39" s="171"/>
      <c r="O39" s="5"/>
    </row>
    <row r="40" spans="1:15">
      <c r="A40" s="6">
        <v>40</v>
      </c>
      <c r="B40" s="6"/>
      <c r="C40" s="6"/>
      <c r="D40" s="6"/>
      <c r="E40" s="66"/>
      <c r="F40" s="6"/>
      <c r="G40" s="67">
        <v>0</v>
      </c>
      <c r="H40" s="66"/>
      <c r="I40" s="6"/>
      <c r="J40" s="67">
        <f t="shared" si="0"/>
        <v>0</v>
      </c>
      <c r="K40" s="67">
        <f t="shared" si="1"/>
        <v>0</v>
      </c>
      <c r="L40" s="164">
        <v>0</v>
      </c>
      <c r="M40" s="261">
        <f t="shared" si="4"/>
        <v>57123.166900000004</v>
      </c>
      <c r="N40" s="6"/>
      <c r="O40" s="5"/>
    </row>
    <row r="41" spans="1:15">
      <c r="A41" s="171">
        <v>41</v>
      </c>
      <c r="B41" s="171"/>
      <c r="C41" s="171"/>
      <c r="D41" s="6"/>
      <c r="E41" s="66"/>
      <c r="F41" s="6"/>
      <c r="G41" s="67">
        <v>0</v>
      </c>
      <c r="H41" s="66"/>
      <c r="I41" s="6"/>
      <c r="J41" s="67">
        <f t="shared" si="0"/>
        <v>0</v>
      </c>
      <c r="K41" s="67">
        <f t="shared" si="1"/>
        <v>0</v>
      </c>
      <c r="L41" s="164">
        <v>0</v>
      </c>
      <c r="M41" s="261">
        <f t="shared" si="4"/>
        <v>57123.166900000004</v>
      </c>
      <c r="N41" s="171"/>
      <c r="O41" s="5"/>
    </row>
    <row r="42" spans="1:15">
      <c r="A42" s="171">
        <v>42</v>
      </c>
      <c r="B42" s="171"/>
      <c r="C42" s="171"/>
      <c r="D42" s="6"/>
      <c r="E42" s="66"/>
      <c r="F42" s="6"/>
      <c r="G42" s="67">
        <f t="shared" ref="G42" si="5">E42*F42</f>
        <v>0</v>
      </c>
      <c r="H42" s="66"/>
      <c r="I42" s="6"/>
      <c r="J42" s="67">
        <f t="shared" ref="J42" si="6">H42*I42</f>
        <v>0</v>
      </c>
      <c r="K42" s="173">
        <f t="shared" ref="K42" si="7">G42+J42</f>
        <v>0</v>
      </c>
      <c r="L42" s="174">
        <f t="shared" ref="L42" si="8">+K42</f>
        <v>0</v>
      </c>
      <c r="M42" s="261">
        <f t="shared" si="4"/>
        <v>57123.166900000004</v>
      </c>
      <c r="N42" s="171"/>
      <c r="O42" s="5"/>
    </row>
    <row r="43" spans="1:15">
      <c r="A43" s="63"/>
      <c r="B43" s="63"/>
      <c r="C43" s="63"/>
      <c r="D43" s="63"/>
      <c r="E43" s="64">
        <f>SUM(E4:E42)</f>
        <v>1271.27</v>
      </c>
      <c r="F43" s="64"/>
      <c r="G43" s="64">
        <f>SUM(G4:G42)</f>
        <v>116270.3542</v>
      </c>
      <c r="H43" s="64">
        <f>SUM(H4:H42)</f>
        <v>101.17999999999999</v>
      </c>
      <c r="I43" s="64"/>
      <c r="J43" s="64">
        <f>SUM(J4:J42)</f>
        <v>10462.011999999999</v>
      </c>
      <c r="K43" s="64">
        <f>SUM(K4:K42)</f>
        <v>126732.3662</v>
      </c>
      <c r="L43" s="64">
        <f>SUM(L4:L42)</f>
        <v>122000</v>
      </c>
      <c r="M43" s="64"/>
      <c r="N43" s="64"/>
      <c r="O43" s="60"/>
    </row>
    <row r="44" spans="1:15">
      <c r="A44" s="5"/>
      <c r="B44" s="5"/>
      <c r="C44" s="5"/>
      <c r="D44" s="5"/>
      <c r="E44" s="5"/>
      <c r="F44" s="5"/>
      <c r="G44" s="103"/>
      <c r="H44" s="5"/>
      <c r="I44" s="5"/>
      <c r="J44" s="103"/>
      <c r="K44" s="5"/>
      <c r="L44" s="103"/>
      <c r="M44" s="103"/>
      <c r="N44" s="5"/>
      <c r="O44" s="5"/>
    </row>
    <row r="45" spans="1:15">
      <c r="A45" s="5"/>
      <c r="B45" s="5"/>
      <c r="C45" s="5"/>
      <c r="D45" s="5"/>
      <c r="E45" s="5"/>
      <c r="F45" s="5"/>
      <c r="G45" s="103"/>
      <c r="H45" s="5"/>
      <c r="I45" s="5"/>
      <c r="J45" s="103"/>
      <c r="K45" s="5"/>
      <c r="L45" s="103"/>
      <c r="M45" s="103"/>
      <c r="N45" s="5"/>
      <c r="O45" s="5"/>
    </row>
    <row r="46" spans="1:15">
      <c r="L46">
        <v>41648.541499999999</v>
      </c>
    </row>
    <row r="47" spans="1:15">
      <c r="L47" s="176">
        <f>L43+L46</f>
        <v>163648.54149999999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3" workbookViewId="0">
      <selection activeCell="Q31" sqref="Q31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58" t="s">
        <v>96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spans="1:18" ht="45">
      <c r="A2" s="65" t="s">
        <v>101</v>
      </c>
      <c r="B2" s="84" t="s">
        <v>155</v>
      </c>
      <c r="C2" s="84" t="s">
        <v>156</v>
      </c>
      <c r="D2" s="84" t="s">
        <v>173</v>
      </c>
      <c r="E2" s="84" t="s">
        <v>158</v>
      </c>
      <c r="F2" s="84" t="s">
        <v>159</v>
      </c>
      <c r="G2" s="91" t="s">
        <v>160</v>
      </c>
      <c r="H2" s="84" t="s">
        <v>161</v>
      </c>
      <c r="I2" s="84" t="s">
        <v>159</v>
      </c>
      <c r="J2" s="91" t="s">
        <v>160</v>
      </c>
      <c r="K2" s="65" t="s">
        <v>162</v>
      </c>
      <c r="L2" s="92" t="s">
        <v>163</v>
      </c>
      <c r="M2" s="86" t="s">
        <v>174</v>
      </c>
      <c r="N2" s="84" t="s">
        <v>165</v>
      </c>
    </row>
    <row r="3" spans="1:18">
      <c r="A3" s="483" t="s">
        <v>166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5"/>
      <c r="M3" s="486">
        <v>59168.120460000035</v>
      </c>
      <c r="N3" s="487"/>
    </row>
    <row r="4" spans="1:18">
      <c r="A4" s="198">
        <v>1</v>
      </c>
      <c r="B4" s="221">
        <v>46054</v>
      </c>
      <c r="C4" s="6"/>
      <c r="D4" s="6"/>
      <c r="E4" s="66"/>
      <c r="F4" s="322"/>
      <c r="G4" s="67">
        <f>E4*F4</f>
        <v>0</v>
      </c>
      <c r="H4" s="66"/>
      <c r="I4" s="6"/>
      <c r="J4" s="67">
        <f>H4*I4</f>
        <v>0</v>
      </c>
      <c r="K4" s="67">
        <f>G4+J4</f>
        <v>0</v>
      </c>
      <c r="L4" s="164">
        <v>0</v>
      </c>
      <c r="M4" s="150">
        <f>M3+K4-L4</f>
        <v>59168.120460000035</v>
      </c>
      <c r="N4" s="47" t="s">
        <v>267</v>
      </c>
    </row>
    <row r="5" spans="1:18">
      <c r="A5" s="47">
        <v>2</v>
      </c>
      <c r="B5" s="221">
        <v>46055</v>
      </c>
      <c r="C5" s="6"/>
      <c r="D5" s="6"/>
      <c r="E5" s="66"/>
      <c r="F5" s="322"/>
      <c r="G5" s="67">
        <f t="shared" ref="G5:G40" si="0">E5*F5</f>
        <v>0</v>
      </c>
      <c r="H5" s="66"/>
      <c r="I5" s="6"/>
      <c r="J5" s="67">
        <f t="shared" ref="J5:J40" si="1">H5*I5</f>
        <v>0</v>
      </c>
      <c r="K5" s="67">
        <f t="shared" ref="K5:K40" si="2">G5+J5</f>
        <v>0</v>
      </c>
      <c r="L5" s="164">
        <v>50000</v>
      </c>
      <c r="M5" s="150">
        <f t="shared" ref="M5:M33" si="3">M4+K5-L5</f>
        <v>9168.1204600000347</v>
      </c>
      <c r="N5" s="47" t="s">
        <v>267</v>
      </c>
    </row>
    <row r="6" spans="1:18">
      <c r="A6" s="47">
        <v>3</v>
      </c>
      <c r="B6" s="221">
        <v>46056</v>
      </c>
      <c r="C6" s="6"/>
      <c r="D6" s="6"/>
      <c r="E6" s="66">
        <v>28.77</v>
      </c>
      <c r="F6" s="322">
        <v>91.62</v>
      </c>
      <c r="G6" s="67">
        <f t="shared" si="0"/>
        <v>2635.9074000000001</v>
      </c>
      <c r="H6" s="66">
        <v>4.83</v>
      </c>
      <c r="I6" s="6">
        <v>103.57</v>
      </c>
      <c r="J6" s="67">
        <f t="shared" si="1"/>
        <v>500.24309999999997</v>
      </c>
      <c r="K6" s="67">
        <f t="shared" si="2"/>
        <v>3136.1505000000002</v>
      </c>
      <c r="L6" s="164">
        <v>0</v>
      </c>
      <c r="M6" s="150">
        <f t="shared" si="3"/>
        <v>12304.270960000034</v>
      </c>
      <c r="N6" s="47" t="s">
        <v>267</v>
      </c>
    </row>
    <row r="7" spans="1:18">
      <c r="A7" s="47">
        <v>4</v>
      </c>
      <c r="B7" s="221">
        <v>46057</v>
      </c>
      <c r="C7" s="6"/>
      <c r="D7" s="6"/>
      <c r="E7" s="66"/>
      <c r="F7" s="322"/>
      <c r="G7" s="67">
        <f t="shared" si="0"/>
        <v>0</v>
      </c>
      <c r="H7" s="66"/>
      <c r="I7" s="6"/>
      <c r="J7" s="67">
        <f t="shared" si="1"/>
        <v>0</v>
      </c>
      <c r="K7" s="67">
        <f t="shared" si="2"/>
        <v>0</v>
      </c>
      <c r="L7" s="164">
        <v>0</v>
      </c>
      <c r="M7" s="150">
        <f>M6+K7-L7</f>
        <v>12304.270960000034</v>
      </c>
      <c r="N7" s="47" t="s">
        <v>267</v>
      </c>
    </row>
    <row r="8" spans="1:18">
      <c r="A8" s="47">
        <v>5</v>
      </c>
      <c r="B8" s="221">
        <v>46058</v>
      </c>
      <c r="C8" s="6"/>
      <c r="D8" s="6"/>
      <c r="E8" s="66">
        <v>162.72999999999999</v>
      </c>
      <c r="F8" s="322">
        <v>91.62</v>
      </c>
      <c r="G8" s="67">
        <f t="shared" si="0"/>
        <v>14909.3226</v>
      </c>
      <c r="H8" s="66">
        <v>4.83</v>
      </c>
      <c r="I8" s="6">
        <v>103.57</v>
      </c>
      <c r="J8" s="67">
        <f t="shared" si="1"/>
        <v>500.24309999999997</v>
      </c>
      <c r="K8" s="67">
        <f t="shared" si="2"/>
        <v>15409.565699999999</v>
      </c>
      <c r="L8" s="164">
        <v>0</v>
      </c>
      <c r="M8" s="150">
        <f t="shared" si="3"/>
        <v>27713.836660000034</v>
      </c>
      <c r="N8" s="47" t="s">
        <v>267</v>
      </c>
    </row>
    <row r="9" spans="1:18">
      <c r="A9" s="47">
        <v>6</v>
      </c>
      <c r="B9" s="221">
        <v>46059</v>
      </c>
      <c r="C9" s="6"/>
      <c r="D9" s="6"/>
      <c r="E9" s="66">
        <v>34.700000000000003</v>
      </c>
      <c r="F9" s="322">
        <v>91.62</v>
      </c>
      <c r="G9" s="67">
        <f t="shared" si="0"/>
        <v>3179.2140000000004</v>
      </c>
      <c r="H9" s="66"/>
      <c r="I9" s="6"/>
      <c r="J9" s="67">
        <f t="shared" si="1"/>
        <v>0</v>
      </c>
      <c r="K9" s="67">
        <f t="shared" si="2"/>
        <v>3179.2140000000004</v>
      </c>
      <c r="L9" s="164">
        <v>0</v>
      </c>
      <c r="M9" s="150">
        <f t="shared" si="3"/>
        <v>30893.050660000034</v>
      </c>
      <c r="N9" s="47" t="s">
        <v>267</v>
      </c>
    </row>
    <row r="10" spans="1:18">
      <c r="A10" s="47">
        <v>7</v>
      </c>
      <c r="B10" s="221">
        <v>46060</v>
      </c>
      <c r="C10" s="6"/>
      <c r="D10" s="6"/>
      <c r="E10" s="66">
        <v>143.37</v>
      </c>
      <c r="F10" s="322">
        <v>91.62</v>
      </c>
      <c r="G10" s="67">
        <f t="shared" si="0"/>
        <v>13135.559400000002</v>
      </c>
      <c r="H10" s="66"/>
      <c r="I10" s="6"/>
      <c r="J10" s="67">
        <f t="shared" si="1"/>
        <v>0</v>
      </c>
      <c r="K10" s="67">
        <f t="shared" si="2"/>
        <v>13135.559400000002</v>
      </c>
      <c r="L10" s="164">
        <v>0</v>
      </c>
      <c r="M10" s="150">
        <f t="shared" si="3"/>
        <v>44028.610060000035</v>
      </c>
      <c r="N10" s="47" t="s">
        <v>267</v>
      </c>
    </row>
    <row r="11" spans="1:18">
      <c r="A11" s="47">
        <v>8</v>
      </c>
      <c r="B11" s="221">
        <v>46061</v>
      </c>
      <c r="C11" s="6"/>
      <c r="D11" s="6"/>
      <c r="E11" s="66">
        <v>60.03</v>
      </c>
      <c r="F11" s="322">
        <v>91.62</v>
      </c>
      <c r="G11" s="67">
        <f t="shared" si="0"/>
        <v>5499.9486000000006</v>
      </c>
      <c r="H11" s="66"/>
      <c r="I11" s="6"/>
      <c r="J11" s="67">
        <f t="shared" si="1"/>
        <v>0</v>
      </c>
      <c r="K11" s="67">
        <f t="shared" si="2"/>
        <v>5499.9486000000006</v>
      </c>
      <c r="L11" s="164">
        <v>0</v>
      </c>
      <c r="M11" s="150">
        <f t="shared" si="3"/>
        <v>49528.558660000039</v>
      </c>
      <c r="N11" s="47" t="s">
        <v>267</v>
      </c>
    </row>
    <row r="12" spans="1:18">
      <c r="A12" s="47">
        <v>9</v>
      </c>
      <c r="B12" s="221">
        <v>46062</v>
      </c>
      <c r="C12" s="6"/>
      <c r="D12" s="6"/>
      <c r="E12" s="66">
        <v>92.19</v>
      </c>
      <c r="F12" s="322">
        <v>91.62</v>
      </c>
      <c r="G12" s="67">
        <f t="shared" si="0"/>
        <v>8446.4477999999999</v>
      </c>
      <c r="H12" s="66">
        <v>4.83</v>
      </c>
      <c r="I12" s="6">
        <v>103.57</v>
      </c>
      <c r="J12" s="67">
        <f t="shared" si="1"/>
        <v>500.24309999999997</v>
      </c>
      <c r="K12" s="67">
        <f t="shared" si="2"/>
        <v>8946.6908999999996</v>
      </c>
      <c r="L12" s="164">
        <v>0</v>
      </c>
      <c r="M12" s="150">
        <f t="shared" si="3"/>
        <v>58475.24956000004</v>
      </c>
      <c r="N12" s="47" t="s">
        <v>267</v>
      </c>
      <c r="R12" s="240"/>
    </row>
    <row r="13" spans="1:18">
      <c r="A13" s="47">
        <v>10</v>
      </c>
      <c r="B13" s="221">
        <v>46063</v>
      </c>
      <c r="C13" s="6"/>
      <c r="D13" s="6"/>
      <c r="E13" s="66">
        <v>102.49</v>
      </c>
      <c r="F13" s="322">
        <v>91.62</v>
      </c>
      <c r="G13" s="67">
        <f t="shared" si="0"/>
        <v>9390.1337999999996</v>
      </c>
      <c r="H13" s="66"/>
      <c r="I13" s="6"/>
      <c r="J13" s="67">
        <f t="shared" si="1"/>
        <v>0</v>
      </c>
      <c r="K13" s="67">
        <f t="shared" si="2"/>
        <v>9390.1337999999996</v>
      </c>
      <c r="L13" s="164">
        <v>0</v>
      </c>
      <c r="M13" s="150">
        <f t="shared" si="3"/>
        <v>67865.383360000036</v>
      </c>
      <c r="N13" s="47" t="s">
        <v>267</v>
      </c>
    </row>
    <row r="14" spans="1:18">
      <c r="A14" s="47">
        <v>11</v>
      </c>
      <c r="B14" s="221">
        <v>46064</v>
      </c>
      <c r="C14" s="6"/>
      <c r="D14" s="6"/>
      <c r="E14" s="66"/>
      <c r="F14" s="322"/>
      <c r="G14" s="67">
        <f t="shared" si="0"/>
        <v>0</v>
      </c>
      <c r="H14" s="66"/>
      <c r="I14" s="6"/>
      <c r="J14" s="67">
        <f t="shared" si="1"/>
        <v>0</v>
      </c>
      <c r="K14" s="67">
        <f t="shared" si="2"/>
        <v>0</v>
      </c>
      <c r="L14" s="164">
        <v>0</v>
      </c>
      <c r="M14" s="150">
        <f t="shared" si="3"/>
        <v>67865.383360000036</v>
      </c>
      <c r="N14" s="47" t="s">
        <v>267</v>
      </c>
    </row>
    <row r="15" spans="1:18">
      <c r="A15" s="47">
        <v>12</v>
      </c>
      <c r="B15" s="221">
        <v>46065</v>
      </c>
      <c r="C15" s="6"/>
      <c r="D15" s="6"/>
      <c r="E15" s="66">
        <v>65.489999999999995</v>
      </c>
      <c r="F15" s="322">
        <v>91.62</v>
      </c>
      <c r="G15" s="67">
        <f t="shared" si="0"/>
        <v>6000.1938</v>
      </c>
      <c r="H15" s="66"/>
      <c r="I15" s="6"/>
      <c r="J15" s="67">
        <f t="shared" si="1"/>
        <v>0</v>
      </c>
      <c r="K15" s="67">
        <f t="shared" si="2"/>
        <v>6000.1938</v>
      </c>
      <c r="L15" s="164">
        <v>0</v>
      </c>
      <c r="M15" s="150">
        <f t="shared" si="3"/>
        <v>73865.57716000003</v>
      </c>
      <c r="N15" s="47" t="s">
        <v>267</v>
      </c>
    </row>
    <row r="16" spans="1:18">
      <c r="A16" s="47">
        <v>13</v>
      </c>
      <c r="B16" s="221">
        <v>46066</v>
      </c>
      <c r="C16" s="6"/>
      <c r="D16" s="6"/>
      <c r="E16" s="66">
        <v>56.2</v>
      </c>
      <c r="F16" s="322">
        <v>91.62</v>
      </c>
      <c r="G16" s="67">
        <f t="shared" si="0"/>
        <v>5149.0440000000008</v>
      </c>
      <c r="H16" s="66"/>
      <c r="I16" s="6"/>
      <c r="J16" s="67">
        <f t="shared" si="1"/>
        <v>0</v>
      </c>
      <c r="K16" s="67">
        <f t="shared" si="2"/>
        <v>5149.0440000000008</v>
      </c>
      <c r="L16" s="164">
        <v>0</v>
      </c>
      <c r="M16" s="150">
        <f t="shared" si="3"/>
        <v>79014.621160000024</v>
      </c>
      <c r="N16" s="47" t="s">
        <v>267</v>
      </c>
    </row>
    <row r="17" spans="1:14">
      <c r="A17" s="47">
        <v>14</v>
      </c>
      <c r="B17" s="221">
        <v>46067</v>
      </c>
      <c r="C17" s="6"/>
      <c r="D17" s="6"/>
      <c r="E17" s="66">
        <v>60.03</v>
      </c>
      <c r="F17" s="322">
        <v>91.62</v>
      </c>
      <c r="G17" s="67">
        <f t="shared" si="0"/>
        <v>5499.9486000000006</v>
      </c>
      <c r="H17" s="66"/>
      <c r="I17" s="6"/>
      <c r="J17" s="67">
        <f t="shared" si="1"/>
        <v>0</v>
      </c>
      <c r="K17" s="67">
        <f t="shared" si="2"/>
        <v>5499.9486000000006</v>
      </c>
      <c r="L17" s="164">
        <v>0</v>
      </c>
      <c r="M17" s="150">
        <f t="shared" si="3"/>
        <v>84514.569760000028</v>
      </c>
      <c r="N17" s="47" t="s">
        <v>267</v>
      </c>
    </row>
    <row r="18" spans="1:14">
      <c r="A18" s="47">
        <v>15</v>
      </c>
      <c r="B18" s="221">
        <v>46068</v>
      </c>
      <c r="C18" s="6"/>
      <c r="D18" s="6"/>
      <c r="E18" s="66"/>
      <c r="F18" s="322"/>
      <c r="G18" s="67">
        <f t="shared" si="0"/>
        <v>0</v>
      </c>
      <c r="H18" s="66"/>
      <c r="I18" s="6"/>
      <c r="J18" s="67">
        <f t="shared" si="1"/>
        <v>0</v>
      </c>
      <c r="K18" s="67">
        <f t="shared" si="2"/>
        <v>0</v>
      </c>
      <c r="L18" s="164">
        <v>0</v>
      </c>
      <c r="M18" s="150">
        <f t="shared" si="3"/>
        <v>84514.569760000028</v>
      </c>
      <c r="N18" s="47" t="s">
        <v>267</v>
      </c>
    </row>
    <row r="19" spans="1:14">
      <c r="A19" s="47">
        <v>16</v>
      </c>
      <c r="B19" s="221">
        <v>46069</v>
      </c>
      <c r="C19" s="6"/>
      <c r="D19" s="6"/>
      <c r="E19" s="66">
        <v>86.87</v>
      </c>
      <c r="F19" s="322">
        <v>91.62</v>
      </c>
      <c r="G19" s="67">
        <f t="shared" si="0"/>
        <v>7959.0294000000013</v>
      </c>
      <c r="H19" s="66"/>
      <c r="I19" s="6"/>
      <c r="J19" s="67">
        <f t="shared" si="1"/>
        <v>0</v>
      </c>
      <c r="K19" s="67">
        <f t="shared" si="2"/>
        <v>7959.0294000000013</v>
      </c>
      <c r="L19" s="164">
        <v>0</v>
      </c>
      <c r="M19" s="150">
        <f t="shared" si="3"/>
        <v>92473.599160000027</v>
      </c>
      <c r="N19" s="47" t="s">
        <v>267</v>
      </c>
    </row>
    <row r="20" spans="1:14">
      <c r="A20" s="47">
        <v>17</v>
      </c>
      <c r="B20" s="221">
        <v>46070</v>
      </c>
      <c r="C20" s="6"/>
      <c r="D20" s="6"/>
      <c r="E20" s="66"/>
      <c r="F20" s="322"/>
      <c r="G20" s="67">
        <f t="shared" si="0"/>
        <v>0</v>
      </c>
      <c r="H20" s="66">
        <v>6.94</v>
      </c>
      <c r="I20" s="6">
        <v>103.57</v>
      </c>
      <c r="J20" s="67">
        <f t="shared" si="1"/>
        <v>718.7758</v>
      </c>
      <c r="K20" s="67">
        <f t="shared" si="2"/>
        <v>718.7758</v>
      </c>
      <c r="L20" s="164">
        <v>0</v>
      </c>
      <c r="M20" s="150">
        <f t="shared" si="3"/>
        <v>93192.37496000003</v>
      </c>
      <c r="N20" s="47" t="s">
        <v>267</v>
      </c>
    </row>
    <row r="21" spans="1:14">
      <c r="A21" s="47">
        <v>18</v>
      </c>
      <c r="B21" s="221">
        <v>46071</v>
      </c>
      <c r="C21" s="6"/>
      <c r="D21" s="6"/>
      <c r="E21" s="66">
        <v>82.94</v>
      </c>
      <c r="F21" s="322">
        <v>91.62</v>
      </c>
      <c r="G21" s="67">
        <f t="shared" si="0"/>
        <v>7598.9628000000002</v>
      </c>
      <c r="H21" s="66"/>
      <c r="I21" s="6"/>
      <c r="J21" s="67">
        <f t="shared" si="1"/>
        <v>0</v>
      </c>
      <c r="K21" s="67">
        <f t="shared" si="2"/>
        <v>7598.9628000000002</v>
      </c>
      <c r="L21" s="164">
        <v>0</v>
      </c>
      <c r="M21" s="150">
        <f t="shared" si="3"/>
        <v>100791.33776000002</v>
      </c>
      <c r="N21" s="47" t="s">
        <v>267</v>
      </c>
    </row>
    <row r="22" spans="1:14">
      <c r="A22" s="47">
        <v>19</v>
      </c>
      <c r="B22" s="221">
        <v>46072</v>
      </c>
      <c r="C22" s="6"/>
      <c r="D22" s="6"/>
      <c r="E22" s="66">
        <v>53.75</v>
      </c>
      <c r="F22" s="322">
        <v>91.62</v>
      </c>
      <c r="G22" s="67">
        <f t="shared" si="0"/>
        <v>4924.5749999999998</v>
      </c>
      <c r="H22" s="66"/>
      <c r="I22" s="6"/>
      <c r="J22" s="67">
        <f t="shared" si="1"/>
        <v>0</v>
      </c>
      <c r="K22" s="67">
        <f t="shared" si="2"/>
        <v>4924.5749999999998</v>
      </c>
      <c r="L22" s="164">
        <v>0</v>
      </c>
      <c r="M22" s="150">
        <f t="shared" si="3"/>
        <v>105715.91276000002</v>
      </c>
      <c r="N22" s="47" t="s">
        <v>267</v>
      </c>
    </row>
    <row r="23" spans="1:14">
      <c r="A23" s="47">
        <v>20</v>
      </c>
      <c r="B23" s="221">
        <v>46073</v>
      </c>
      <c r="C23" s="6"/>
      <c r="D23" s="6"/>
      <c r="E23" s="66"/>
      <c r="F23" s="322"/>
      <c r="G23" s="67">
        <f t="shared" si="0"/>
        <v>0</v>
      </c>
      <c r="H23" s="66"/>
      <c r="I23" s="6"/>
      <c r="J23" s="67">
        <f t="shared" si="1"/>
        <v>0</v>
      </c>
      <c r="K23" s="67">
        <f t="shared" si="2"/>
        <v>0</v>
      </c>
      <c r="L23" s="164">
        <v>0</v>
      </c>
      <c r="M23" s="150">
        <f t="shared" si="3"/>
        <v>105715.91276000002</v>
      </c>
      <c r="N23" s="47"/>
    </row>
    <row r="24" spans="1:14">
      <c r="A24" s="47">
        <v>21</v>
      </c>
      <c r="B24" s="221">
        <v>46074</v>
      </c>
      <c r="C24" s="6"/>
      <c r="D24" s="6"/>
      <c r="E24" s="66"/>
      <c r="F24" s="322"/>
      <c r="G24" s="67">
        <f t="shared" si="0"/>
        <v>0</v>
      </c>
      <c r="H24" s="66"/>
      <c r="I24" s="6"/>
      <c r="J24" s="67">
        <f t="shared" si="1"/>
        <v>0</v>
      </c>
      <c r="K24" s="67">
        <f t="shared" si="2"/>
        <v>0</v>
      </c>
      <c r="L24" s="164">
        <v>0</v>
      </c>
      <c r="M24" s="150">
        <f>M23+K24-L24</f>
        <v>105715.91276000002</v>
      </c>
      <c r="N24" s="47"/>
    </row>
    <row r="25" spans="1:14">
      <c r="A25" s="47">
        <v>22</v>
      </c>
      <c r="B25" s="221">
        <v>46075</v>
      </c>
      <c r="C25" s="6"/>
      <c r="D25" s="6"/>
      <c r="E25" s="66"/>
      <c r="F25" s="322"/>
      <c r="G25" s="67">
        <f t="shared" si="0"/>
        <v>0</v>
      </c>
      <c r="H25" s="66"/>
      <c r="I25" s="6"/>
      <c r="J25" s="67">
        <f t="shared" si="1"/>
        <v>0</v>
      </c>
      <c r="K25" s="67">
        <f t="shared" si="2"/>
        <v>0</v>
      </c>
      <c r="L25" s="164">
        <v>0</v>
      </c>
      <c r="M25" s="150">
        <f t="shared" si="3"/>
        <v>105715.91276000002</v>
      </c>
      <c r="N25" s="47"/>
    </row>
    <row r="26" spans="1:14">
      <c r="A26" s="47">
        <v>23</v>
      </c>
      <c r="B26" s="221">
        <v>46076</v>
      </c>
      <c r="C26" s="6"/>
      <c r="D26" s="6"/>
      <c r="E26" s="66"/>
      <c r="F26" s="322"/>
      <c r="G26" s="67">
        <f t="shared" si="0"/>
        <v>0</v>
      </c>
      <c r="H26" s="66"/>
      <c r="I26" s="6"/>
      <c r="J26" s="67">
        <f t="shared" si="1"/>
        <v>0</v>
      </c>
      <c r="K26" s="67">
        <f t="shared" si="2"/>
        <v>0</v>
      </c>
      <c r="L26" s="164">
        <v>0</v>
      </c>
      <c r="M26" s="150">
        <f t="shared" si="3"/>
        <v>105715.91276000002</v>
      </c>
      <c r="N26" s="6"/>
    </row>
    <row r="27" spans="1:14">
      <c r="A27" s="47">
        <v>24</v>
      </c>
      <c r="B27" s="221">
        <v>46077</v>
      </c>
      <c r="C27" s="6"/>
      <c r="D27" s="6"/>
      <c r="E27" s="66"/>
      <c r="F27" s="322"/>
      <c r="G27" s="67">
        <f t="shared" si="0"/>
        <v>0</v>
      </c>
      <c r="H27" s="66"/>
      <c r="I27" s="6"/>
      <c r="J27" s="67">
        <f t="shared" si="1"/>
        <v>0</v>
      </c>
      <c r="K27" s="67">
        <f t="shared" si="2"/>
        <v>0</v>
      </c>
      <c r="L27" s="164">
        <v>0</v>
      </c>
      <c r="M27" s="150">
        <f t="shared" si="3"/>
        <v>105715.91276000002</v>
      </c>
      <c r="N27" s="6"/>
    </row>
    <row r="28" spans="1:14">
      <c r="A28" s="223">
        <v>25</v>
      </c>
      <c r="B28" s="221">
        <v>46078</v>
      </c>
      <c r="C28" s="6"/>
      <c r="D28" s="6"/>
      <c r="E28" s="66"/>
      <c r="F28" s="322"/>
      <c r="G28" s="67">
        <f t="shared" si="0"/>
        <v>0</v>
      </c>
      <c r="H28" s="66"/>
      <c r="I28" s="6"/>
      <c r="J28" s="67">
        <f t="shared" si="1"/>
        <v>0</v>
      </c>
      <c r="K28" s="67">
        <f t="shared" si="2"/>
        <v>0</v>
      </c>
      <c r="L28" s="164">
        <v>0</v>
      </c>
      <c r="M28" s="150">
        <f t="shared" si="3"/>
        <v>105715.91276000002</v>
      </c>
      <c r="N28" s="6"/>
    </row>
    <row r="29" spans="1:14">
      <c r="A29" s="223">
        <v>26</v>
      </c>
      <c r="B29" s="221">
        <v>46079</v>
      </c>
      <c r="C29" s="6"/>
      <c r="D29" s="6"/>
      <c r="E29" s="66">
        <v>26.45</v>
      </c>
      <c r="F29" s="322">
        <v>91.62</v>
      </c>
      <c r="G29" s="67">
        <f t="shared" si="0"/>
        <v>2423.3490000000002</v>
      </c>
      <c r="H29" s="66">
        <v>4.83</v>
      </c>
      <c r="I29" s="6">
        <v>103.57</v>
      </c>
      <c r="J29" s="67">
        <f t="shared" si="1"/>
        <v>500.24309999999997</v>
      </c>
      <c r="K29" s="67">
        <f t="shared" si="2"/>
        <v>2923.5921000000003</v>
      </c>
      <c r="L29" s="164">
        <v>70000</v>
      </c>
      <c r="M29" s="150">
        <f t="shared" si="3"/>
        <v>38639.504860000015</v>
      </c>
      <c r="N29" s="6"/>
    </row>
    <row r="30" spans="1:14">
      <c r="A30" s="223">
        <v>27</v>
      </c>
      <c r="B30" s="221">
        <v>46080</v>
      </c>
      <c r="C30" s="6"/>
      <c r="D30" s="6"/>
      <c r="E30" s="66"/>
      <c r="F30" s="322"/>
      <c r="G30" s="67">
        <f t="shared" si="0"/>
        <v>0</v>
      </c>
      <c r="H30" s="66">
        <v>4.83</v>
      </c>
      <c r="I30" s="6">
        <v>103.57</v>
      </c>
      <c r="J30" s="67">
        <f t="shared" si="1"/>
        <v>500.24309999999997</v>
      </c>
      <c r="K30" s="67">
        <f t="shared" si="2"/>
        <v>500.24309999999997</v>
      </c>
      <c r="L30" s="164">
        <v>0</v>
      </c>
      <c r="M30" s="150">
        <f t="shared" si="3"/>
        <v>39139.747960000015</v>
      </c>
      <c r="N30" s="6"/>
    </row>
    <row r="31" spans="1:14">
      <c r="A31" s="223">
        <v>28</v>
      </c>
      <c r="B31" s="221">
        <v>46081</v>
      </c>
      <c r="C31" s="6"/>
      <c r="D31" s="6"/>
      <c r="E31" s="66"/>
      <c r="F31" s="322"/>
      <c r="G31" s="67">
        <f t="shared" si="0"/>
        <v>0</v>
      </c>
      <c r="H31" s="66"/>
      <c r="I31" s="6"/>
      <c r="J31" s="67">
        <f t="shared" si="1"/>
        <v>0</v>
      </c>
      <c r="K31" s="67">
        <f t="shared" si="2"/>
        <v>0</v>
      </c>
      <c r="L31" s="164">
        <v>0</v>
      </c>
      <c r="M31" s="150">
        <f t="shared" si="3"/>
        <v>39139.747960000015</v>
      </c>
      <c r="N31" s="6"/>
    </row>
    <row r="32" spans="1:14">
      <c r="A32" s="224">
        <v>29</v>
      </c>
      <c r="B32" s="221"/>
      <c r="C32" s="6"/>
      <c r="D32" s="6"/>
      <c r="E32" s="66"/>
      <c r="F32" s="322"/>
      <c r="G32" s="67">
        <f t="shared" si="0"/>
        <v>0</v>
      </c>
      <c r="H32" s="66"/>
      <c r="I32" s="6"/>
      <c r="J32" s="67">
        <f t="shared" si="1"/>
        <v>0</v>
      </c>
      <c r="K32" s="67">
        <f t="shared" si="2"/>
        <v>0</v>
      </c>
      <c r="L32" s="164">
        <v>0</v>
      </c>
      <c r="M32" s="150">
        <f t="shared" si="3"/>
        <v>39139.747960000015</v>
      </c>
      <c r="N32" s="6"/>
    </row>
    <row r="33" spans="1:17">
      <c r="A33" s="224">
        <v>30</v>
      </c>
      <c r="B33" s="221"/>
      <c r="C33" s="6"/>
      <c r="D33" s="6"/>
      <c r="E33" s="66"/>
      <c r="F33" s="322"/>
      <c r="G33" s="67">
        <f t="shared" si="0"/>
        <v>0</v>
      </c>
      <c r="H33" s="66"/>
      <c r="I33" s="6"/>
      <c r="J33" s="67">
        <f t="shared" si="1"/>
        <v>0</v>
      </c>
      <c r="K33" s="67">
        <f t="shared" si="2"/>
        <v>0</v>
      </c>
      <c r="L33" s="164">
        <v>0</v>
      </c>
      <c r="M33" s="150">
        <f t="shared" si="3"/>
        <v>39139.747960000015</v>
      </c>
      <c r="N33" s="6"/>
    </row>
    <row r="34" spans="1:17">
      <c r="A34" s="224">
        <v>31</v>
      </c>
      <c r="B34" s="221"/>
      <c r="C34" s="6"/>
      <c r="D34" s="6"/>
      <c r="E34" s="66"/>
      <c r="F34" s="322"/>
      <c r="G34" s="67">
        <f t="shared" si="0"/>
        <v>0</v>
      </c>
      <c r="H34" s="66"/>
      <c r="I34" s="6"/>
      <c r="J34" s="67">
        <f t="shared" si="1"/>
        <v>0</v>
      </c>
      <c r="K34" s="67">
        <f t="shared" si="2"/>
        <v>0</v>
      </c>
      <c r="L34" s="164">
        <v>0</v>
      </c>
      <c r="M34" s="150">
        <f t="shared" ref="M34:M39" si="4">M33+K34-L34</f>
        <v>39139.747960000015</v>
      </c>
      <c r="N34" s="6"/>
    </row>
    <row r="35" spans="1:17">
      <c r="A35" s="6">
        <v>35</v>
      </c>
      <c r="B35" s="79"/>
      <c r="C35" s="6"/>
      <c r="D35" s="6"/>
      <c r="E35" s="66"/>
      <c r="F35" s="322"/>
      <c r="G35" s="67">
        <f t="shared" si="0"/>
        <v>0</v>
      </c>
      <c r="H35" s="66"/>
      <c r="I35" s="6"/>
      <c r="J35" s="67">
        <f t="shared" si="1"/>
        <v>0</v>
      </c>
      <c r="K35" s="67">
        <f t="shared" si="2"/>
        <v>0</v>
      </c>
      <c r="L35" s="164">
        <v>0</v>
      </c>
      <c r="M35" s="150">
        <f t="shared" si="4"/>
        <v>39139.747960000015</v>
      </c>
      <c r="N35" s="6"/>
    </row>
    <row r="36" spans="1:17">
      <c r="A36" s="6">
        <v>36</v>
      </c>
      <c r="B36" s="79"/>
      <c r="C36" s="6"/>
      <c r="D36" s="6"/>
      <c r="E36" s="66"/>
      <c r="F36" s="322"/>
      <c r="G36" s="67">
        <f t="shared" si="0"/>
        <v>0</v>
      </c>
      <c r="H36" s="66"/>
      <c r="I36" s="6"/>
      <c r="J36" s="67">
        <f t="shared" si="1"/>
        <v>0</v>
      </c>
      <c r="K36" s="67">
        <f t="shared" si="2"/>
        <v>0</v>
      </c>
      <c r="L36" s="164">
        <v>0</v>
      </c>
      <c r="M36" s="150">
        <f t="shared" si="4"/>
        <v>39139.747960000015</v>
      </c>
      <c r="N36" s="6"/>
    </row>
    <row r="37" spans="1:17">
      <c r="A37" s="6">
        <v>37</v>
      </c>
      <c r="B37" s="79"/>
      <c r="C37" s="6"/>
      <c r="D37" s="6"/>
      <c r="E37" s="66"/>
      <c r="F37" s="322"/>
      <c r="G37" s="67">
        <f t="shared" si="0"/>
        <v>0</v>
      </c>
      <c r="H37" s="66"/>
      <c r="I37" s="6"/>
      <c r="J37" s="67">
        <f t="shared" si="1"/>
        <v>0</v>
      </c>
      <c r="K37" s="67">
        <f t="shared" si="2"/>
        <v>0</v>
      </c>
      <c r="L37" s="164">
        <v>0</v>
      </c>
      <c r="M37" s="150">
        <f t="shared" si="4"/>
        <v>39139.747960000015</v>
      </c>
      <c r="N37" s="6"/>
    </row>
    <row r="38" spans="1:17">
      <c r="A38" s="6">
        <v>38</v>
      </c>
      <c r="B38" s="79"/>
      <c r="C38" s="6"/>
      <c r="D38" s="6"/>
      <c r="E38" s="66"/>
      <c r="F38" s="322"/>
      <c r="G38" s="67">
        <f t="shared" si="0"/>
        <v>0</v>
      </c>
      <c r="H38" s="66"/>
      <c r="I38" s="6"/>
      <c r="J38" s="67">
        <f t="shared" si="1"/>
        <v>0</v>
      </c>
      <c r="K38" s="67">
        <f t="shared" si="2"/>
        <v>0</v>
      </c>
      <c r="L38" s="164">
        <v>0</v>
      </c>
      <c r="M38" s="150">
        <f t="shared" si="4"/>
        <v>39139.747960000015</v>
      </c>
      <c r="N38" s="6"/>
    </row>
    <row r="39" spans="1:17">
      <c r="A39" s="171">
        <v>39</v>
      </c>
      <c r="B39" s="172"/>
      <c r="C39" s="171"/>
      <c r="D39" s="6"/>
      <c r="E39" s="66"/>
      <c r="F39" s="322"/>
      <c r="G39" s="67">
        <f t="shared" si="0"/>
        <v>0</v>
      </c>
      <c r="H39" s="66"/>
      <c r="I39" s="6"/>
      <c r="J39" s="67">
        <f t="shared" si="1"/>
        <v>0</v>
      </c>
      <c r="K39" s="67">
        <f t="shared" si="2"/>
        <v>0</v>
      </c>
      <c r="L39" s="164">
        <v>0</v>
      </c>
      <c r="M39" s="150">
        <f t="shared" si="4"/>
        <v>39139.747960000015</v>
      </c>
      <c r="N39" s="171"/>
    </row>
    <row r="40" spans="1:17">
      <c r="A40" s="6">
        <v>40</v>
      </c>
      <c r="B40" s="6"/>
      <c r="C40" s="6"/>
      <c r="D40" s="6"/>
      <c r="E40" s="66"/>
      <c r="F40" s="322"/>
      <c r="G40" s="67">
        <f t="shared" si="0"/>
        <v>0</v>
      </c>
      <c r="H40" s="66"/>
      <c r="I40" s="6"/>
      <c r="J40" s="67">
        <f t="shared" si="1"/>
        <v>0</v>
      </c>
      <c r="K40" s="67">
        <f t="shared" si="2"/>
        <v>0</v>
      </c>
      <c r="L40" s="164">
        <v>0</v>
      </c>
      <c r="M40" s="150">
        <v>0</v>
      </c>
      <c r="N40" s="6"/>
    </row>
    <row r="41" spans="1:17">
      <c r="A41" s="171">
        <v>41</v>
      </c>
      <c r="B41" s="171"/>
      <c r="C41" s="171"/>
      <c r="D41" s="6"/>
      <c r="E41" s="66">
        <v>0</v>
      </c>
      <c r="F41" s="322">
        <v>0</v>
      </c>
      <c r="G41" s="67">
        <f t="shared" ref="G5:G41" si="5">E41*F41</f>
        <v>0</v>
      </c>
      <c r="H41" s="66">
        <v>0</v>
      </c>
      <c r="I41" s="6">
        <v>0</v>
      </c>
      <c r="J41" s="67">
        <f t="shared" ref="J5:J41" si="6">H41*I41</f>
        <v>0</v>
      </c>
      <c r="K41" s="67">
        <f t="shared" ref="K5:K41" si="7">G41+J41</f>
        <v>0</v>
      </c>
      <c r="L41" s="164">
        <v>0</v>
      </c>
      <c r="M41" s="175">
        <v>0</v>
      </c>
      <c r="N41" s="171"/>
    </row>
    <row r="42" spans="1:17">
      <c r="A42" s="171">
        <v>42</v>
      </c>
      <c r="B42" s="171"/>
      <c r="C42" s="171"/>
      <c r="D42" s="6"/>
      <c r="E42" s="66">
        <v>0</v>
      </c>
      <c r="F42" s="6">
        <v>0</v>
      </c>
      <c r="G42" s="67">
        <f t="shared" ref="G42" si="8">E42*F42</f>
        <v>0</v>
      </c>
      <c r="H42" s="66">
        <v>0</v>
      </c>
      <c r="I42" s="6">
        <v>0</v>
      </c>
      <c r="J42" s="67">
        <f t="shared" ref="J42" si="9">H42*I42</f>
        <v>0</v>
      </c>
      <c r="K42" s="173">
        <f t="shared" ref="K42" si="10">G42+J42</f>
        <v>0</v>
      </c>
      <c r="L42" s="174">
        <f t="shared" ref="L42" si="11">+K42</f>
        <v>0</v>
      </c>
      <c r="M42" s="175">
        <v>0</v>
      </c>
      <c r="N42" s="171"/>
    </row>
    <row r="43" spans="1:17">
      <c r="A43" s="63"/>
      <c r="B43" s="63"/>
      <c r="C43" s="63"/>
      <c r="D43" s="63"/>
      <c r="E43" s="64">
        <f>SUM(E4:E42)</f>
        <v>1056.01</v>
      </c>
      <c r="F43" s="64"/>
      <c r="G43" s="64">
        <f>SUM(G4:G42)</f>
        <v>96751.636200000008</v>
      </c>
      <c r="H43" s="64">
        <f>SUM(H4:H42)</f>
        <v>31.089999999999996</v>
      </c>
      <c r="I43" s="64"/>
      <c r="J43" s="64">
        <f>SUM(J4:J42)</f>
        <v>3219.9913000000001</v>
      </c>
      <c r="K43" s="64">
        <f>SUM(K4:K42)</f>
        <v>99971.627500000002</v>
      </c>
      <c r="L43" s="64">
        <f>SUM(L4:L42)</f>
        <v>120000</v>
      </c>
      <c r="M43" s="64"/>
      <c r="N43" s="64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Z44"/>
  <sheetViews>
    <sheetView workbookViewId="0">
      <pane ySplit="2" topLeftCell="A3" activePane="bottomLeft" state="frozen"/>
      <selection pane="bottomLeft" activeCell="L24" sqref="L24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44" t="s">
        <v>98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83"/>
    </row>
    <row r="2" spans="1:15" ht="16.5" customHeight="1">
      <c r="A2" s="99" t="s">
        <v>101</v>
      </c>
      <c r="B2" s="100" t="s">
        <v>155</v>
      </c>
      <c r="C2" s="100" t="s">
        <v>156</v>
      </c>
      <c r="D2" s="100" t="s">
        <v>173</v>
      </c>
      <c r="E2" s="100" t="s">
        <v>158</v>
      </c>
      <c r="F2" s="100" t="s">
        <v>159</v>
      </c>
      <c r="G2" s="100" t="s">
        <v>160</v>
      </c>
      <c r="H2" s="100" t="s">
        <v>161</v>
      </c>
      <c r="I2" s="100" t="s">
        <v>159</v>
      </c>
      <c r="J2" s="139" t="s">
        <v>160</v>
      </c>
      <c r="K2" s="101" t="s">
        <v>162</v>
      </c>
      <c r="L2" s="140" t="s">
        <v>163</v>
      </c>
      <c r="M2" s="144" t="s">
        <v>174</v>
      </c>
      <c r="N2" s="102" t="s">
        <v>165</v>
      </c>
      <c r="O2" s="60"/>
    </row>
    <row r="3" spans="1:15" ht="16.5" customHeight="1">
      <c r="A3" s="445" t="s">
        <v>166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7"/>
      <c r="M3" s="149">
        <v>0</v>
      </c>
      <c r="N3" s="158"/>
      <c r="O3" s="60"/>
    </row>
    <row r="4" spans="1:15">
      <c r="A4" s="198">
        <v>1</v>
      </c>
      <c r="B4" s="221">
        <v>46054</v>
      </c>
      <c r="C4" s="68"/>
      <c r="D4" s="161"/>
      <c r="E4" s="66">
        <v>0</v>
      </c>
      <c r="F4" s="66">
        <v>0</v>
      </c>
      <c r="G4" s="8">
        <f>E4*F4</f>
        <v>0</v>
      </c>
      <c r="H4" s="66">
        <v>0</v>
      </c>
      <c r="I4" s="67">
        <v>0</v>
      </c>
      <c r="J4" s="8">
        <f>H4*I4</f>
        <v>0</v>
      </c>
      <c r="K4" s="8">
        <f>G4+J4</f>
        <v>0</v>
      </c>
      <c r="L4" s="69">
        <f>+K4</f>
        <v>0</v>
      </c>
      <c r="M4" s="69">
        <v>0</v>
      </c>
      <c r="N4" s="8"/>
    </row>
    <row r="5" spans="1:15">
      <c r="A5" s="47">
        <v>2</v>
      </c>
      <c r="B5" s="221">
        <v>46055</v>
      </c>
      <c r="C5" s="68"/>
      <c r="D5" s="161"/>
      <c r="E5" s="66">
        <v>0</v>
      </c>
      <c r="F5" s="66">
        <v>0</v>
      </c>
      <c r="G5" s="8">
        <f t="shared" ref="G5:G34" si="0">E5*F5</f>
        <v>0</v>
      </c>
      <c r="H5" s="66">
        <v>0</v>
      </c>
      <c r="I5" s="67">
        <v>0</v>
      </c>
      <c r="J5" s="8">
        <f t="shared" ref="J5:J8" si="1">H5*I5</f>
        <v>0</v>
      </c>
      <c r="K5" s="8">
        <f t="shared" ref="K5:K33" si="2">G5+J5</f>
        <v>0</v>
      </c>
      <c r="L5" s="69">
        <f t="shared" ref="L5:L33" si="3">+K5</f>
        <v>0</v>
      </c>
      <c r="M5" s="69">
        <v>0</v>
      </c>
      <c r="N5" s="8"/>
    </row>
    <row r="6" spans="1:15">
      <c r="A6" s="47">
        <v>3</v>
      </c>
      <c r="B6" s="221">
        <v>46056</v>
      </c>
      <c r="C6" s="68"/>
      <c r="D6" s="161"/>
      <c r="E6" s="66">
        <v>0</v>
      </c>
      <c r="F6" s="66">
        <v>0</v>
      </c>
      <c r="G6" s="8">
        <f t="shared" si="0"/>
        <v>0</v>
      </c>
      <c r="H6" s="66">
        <v>0</v>
      </c>
      <c r="I6" s="67">
        <v>0</v>
      </c>
      <c r="J6" s="8">
        <f t="shared" si="1"/>
        <v>0</v>
      </c>
      <c r="K6" s="8">
        <f t="shared" si="2"/>
        <v>0</v>
      </c>
      <c r="L6" s="69">
        <f t="shared" si="3"/>
        <v>0</v>
      </c>
      <c r="M6" s="69">
        <v>0</v>
      </c>
      <c r="N6" s="8"/>
    </row>
    <row r="7" spans="1:15">
      <c r="A7" s="47">
        <v>4</v>
      </c>
      <c r="B7" s="221">
        <v>46057</v>
      </c>
      <c r="C7" s="68"/>
      <c r="D7" s="161"/>
      <c r="E7" s="66">
        <v>0</v>
      </c>
      <c r="F7" s="66">
        <v>0</v>
      </c>
      <c r="G7" s="8">
        <f t="shared" si="0"/>
        <v>0</v>
      </c>
      <c r="H7" s="66">
        <v>0</v>
      </c>
      <c r="I7" s="67">
        <v>0</v>
      </c>
      <c r="J7" s="8">
        <f t="shared" ref="J7" si="4">H7*I7</f>
        <v>0</v>
      </c>
      <c r="K7" s="8">
        <f t="shared" si="2"/>
        <v>0</v>
      </c>
      <c r="L7" s="69">
        <f t="shared" si="3"/>
        <v>0</v>
      </c>
      <c r="M7" s="69">
        <v>0</v>
      </c>
      <c r="N7" s="8"/>
    </row>
    <row r="8" spans="1:15">
      <c r="A8" s="47">
        <v>5</v>
      </c>
      <c r="B8" s="221">
        <v>46058</v>
      </c>
      <c r="C8" s="68"/>
      <c r="D8" s="161"/>
      <c r="E8" s="66">
        <v>0</v>
      </c>
      <c r="F8" s="66">
        <v>0</v>
      </c>
      <c r="G8" s="8">
        <f t="shared" si="0"/>
        <v>0</v>
      </c>
      <c r="H8" s="66">
        <v>0</v>
      </c>
      <c r="I8" s="67">
        <v>0</v>
      </c>
      <c r="J8" s="8">
        <f t="shared" si="1"/>
        <v>0</v>
      </c>
      <c r="K8" s="8">
        <f t="shared" si="2"/>
        <v>0</v>
      </c>
      <c r="L8" s="69">
        <f t="shared" si="3"/>
        <v>0</v>
      </c>
      <c r="M8" s="69">
        <v>0</v>
      </c>
      <c r="N8" s="8"/>
      <c r="O8" s="70"/>
    </row>
    <row r="9" spans="1:15">
      <c r="A9" s="47">
        <v>6</v>
      </c>
      <c r="B9" s="221">
        <v>46059</v>
      </c>
      <c r="C9" s="68"/>
      <c r="D9" s="161"/>
      <c r="E9" s="66">
        <v>0</v>
      </c>
      <c r="F9" s="66">
        <v>0</v>
      </c>
      <c r="G9" s="8">
        <f t="shared" si="0"/>
        <v>0</v>
      </c>
      <c r="H9" s="66">
        <v>0</v>
      </c>
      <c r="I9" s="67">
        <v>0</v>
      </c>
      <c r="J9" s="8">
        <f t="shared" ref="J9:J34" si="5">H9*I9</f>
        <v>0</v>
      </c>
      <c r="K9" s="8">
        <f t="shared" si="2"/>
        <v>0</v>
      </c>
      <c r="L9" s="69">
        <f t="shared" si="3"/>
        <v>0</v>
      </c>
      <c r="M9" s="69">
        <v>0</v>
      </c>
      <c r="N9" s="8"/>
      <c r="O9" s="70"/>
    </row>
    <row r="10" spans="1:15">
      <c r="A10" s="47">
        <v>7</v>
      </c>
      <c r="B10" s="221">
        <v>46060</v>
      </c>
      <c r="C10" s="68"/>
      <c r="D10" s="161"/>
      <c r="E10" s="66">
        <v>0</v>
      </c>
      <c r="F10" s="66">
        <v>0</v>
      </c>
      <c r="G10" s="8">
        <f t="shared" si="0"/>
        <v>0</v>
      </c>
      <c r="H10" s="66">
        <v>0</v>
      </c>
      <c r="I10" s="67">
        <v>0</v>
      </c>
      <c r="J10" s="8">
        <f t="shared" si="5"/>
        <v>0</v>
      </c>
      <c r="K10" s="8">
        <f t="shared" si="2"/>
        <v>0</v>
      </c>
      <c r="L10" s="69">
        <f t="shared" si="3"/>
        <v>0</v>
      </c>
      <c r="M10" s="69">
        <v>0</v>
      </c>
      <c r="N10" s="8"/>
      <c r="O10" s="70"/>
    </row>
    <row r="11" spans="1:15">
      <c r="A11" s="47">
        <v>8</v>
      </c>
      <c r="B11" s="221">
        <v>46061</v>
      </c>
      <c r="C11" s="68"/>
      <c r="D11" s="161"/>
      <c r="E11" s="66">
        <v>0</v>
      </c>
      <c r="F11" s="66">
        <v>0</v>
      </c>
      <c r="G11" s="8">
        <f t="shared" si="0"/>
        <v>0</v>
      </c>
      <c r="H11" s="66">
        <v>0</v>
      </c>
      <c r="I11" s="67">
        <v>0</v>
      </c>
      <c r="J11" s="8">
        <f t="shared" si="5"/>
        <v>0</v>
      </c>
      <c r="K11" s="8">
        <f t="shared" si="2"/>
        <v>0</v>
      </c>
      <c r="L11" s="69">
        <f t="shared" si="3"/>
        <v>0</v>
      </c>
      <c r="M11" s="69">
        <v>0</v>
      </c>
      <c r="N11" s="8"/>
      <c r="O11" s="70"/>
    </row>
    <row r="12" spans="1:15">
      <c r="A12" s="47">
        <v>9</v>
      </c>
      <c r="B12" s="221">
        <v>46062</v>
      </c>
      <c r="C12" s="68"/>
      <c r="D12" s="161"/>
      <c r="E12" s="66">
        <v>0</v>
      </c>
      <c r="F12" s="66">
        <v>0</v>
      </c>
      <c r="G12" s="8">
        <f t="shared" si="0"/>
        <v>0</v>
      </c>
      <c r="H12" s="66">
        <v>0</v>
      </c>
      <c r="I12" s="67">
        <v>0</v>
      </c>
      <c r="J12" s="8">
        <f t="shared" si="5"/>
        <v>0</v>
      </c>
      <c r="K12" s="8">
        <f t="shared" si="2"/>
        <v>0</v>
      </c>
      <c r="L12" s="69">
        <f t="shared" si="3"/>
        <v>0</v>
      </c>
      <c r="M12" s="69">
        <v>0</v>
      </c>
      <c r="N12" s="8"/>
      <c r="O12" s="70"/>
    </row>
    <row r="13" spans="1:15">
      <c r="A13" s="47">
        <v>10</v>
      </c>
      <c r="B13" s="221">
        <v>46063</v>
      </c>
      <c r="C13" s="68"/>
      <c r="D13" s="161"/>
      <c r="E13" s="66">
        <v>0</v>
      </c>
      <c r="F13" s="66">
        <v>0</v>
      </c>
      <c r="G13" s="8">
        <f t="shared" si="0"/>
        <v>0</v>
      </c>
      <c r="H13" s="66">
        <v>0</v>
      </c>
      <c r="I13" s="67">
        <v>0</v>
      </c>
      <c r="J13" s="8">
        <f t="shared" si="5"/>
        <v>0</v>
      </c>
      <c r="K13" s="8">
        <f t="shared" si="2"/>
        <v>0</v>
      </c>
      <c r="L13" s="69">
        <f t="shared" si="3"/>
        <v>0</v>
      </c>
      <c r="M13" s="69">
        <v>0</v>
      </c>
      <c r="N13" s="8"/>
      <c r="O13" s="70"/>
    </row>
    <row r="14" spans="1:15">
      <c r="A14" s="47">
        <v>11</v>
      </c>
      <c r="B14" s="221">
        <v>46064</v>
      </c>
      <c r="C14" s="68"/>
      <c r="D14" s="161"/>
      <c r="E14" s="66">
        <v>0</v>
      </c>
      <c r="F14" s="66">
        <v>0</v>
      </c>
      <c r="G14" s="8">
        <f t="shared" si="0"/>
        <v>0</v>
      </c>
      <c r="H14" s="66">
        <v>0</v>
      </c>
      <c r="I14" s="67">
        <v>0</v>
      </c>
      <c r="J14" s="8">
        <f t="shared" si="5"/>
        <v>0</v>
      </c>
      <c r="K14" s="8">
        <f t="shared" si="2"/>
        <v>0</v>
      </c>
      <c r="L14" s="69">
        <f t="shared" si="3"/>
        <v>0</v>
      </c>
      <c r="M14" s="69">
        <v>0</v>
      </c>
      <c r="N14" s="8"/>
      <c r="O14" s="70"/>
    </row>
    <row r="15" spans="1:15">
      <c r="A15" s="47">
        <v>12</v>
      </c>
      <c r="B15" s="221">
        <v>46065</v>
      </c>
      <c r="C15" s="68"/>
      <c r="D15" s="161"/>
      <c r="E15" s="66">
        <v>0</v>
      </c>
      <c r="F15" s="66">
        <v>0</v>
      </c>
      <c r="G15" s="8">
        <f t="shared" si="0"/>
        <v>0</v>
      </c>
      <c r="H15" s="66">
        <v>0</v>
      </c>
      <c r="I15" s="67">
        <v>0</v>
      </c>
      <c r="J15" s="8">
        <f t="shared" si="5"/>
        <v>0</v>
      </c>
      <c r="K15" s="8">
        <f t="shared" si="2"/>
        <v>0</v>
      </c>
      <c r="L15" s="69">
        <f t="shared" si="3"/>
        <v>0</v>
      </c>
      <c r="M15" s="69">
        <v>0</v>
      </c>
      <c r="N15" s="8"/>
      <c r="O15" s="70"/>
    </row>
    <row r="16" spans="1:15">
      <c r="A16" s="47">
        <v>13</v>
      </c>
      <c r="B16" s="221">
        <v>46066</v>
      </c>
      <c r="C16" s="68"/>
      <c r="D16" s="161"/>
      <c r="E16" s="66">
        <v>0</v>
      </c>
      <c r="F16" s="66">
        <v>0</v>
      </c>
      <c r="G16" s="8">
        <f t="shared" si="0"/>
        <v>0</v>
      </c>
      <c r="H16" s="66">
        <v>0</v>
      </c>
      <c r="I16" s="67">
        <v>0</v>
      </c>
      <c r="J16" s="8">
        <f t="shared" si="5"/>
        <v>0</v>
      </c>
      <c r="K16" s="8">
        <f t="shared" si="2"/>
        <v>0</v>
      </c>
      <c r="L16" s="69">
        <f t="shared" si="3"/>
        <v>0</v>
      </c>
      <c r="M16" s="69">
        <v>0</v>
      </c>
      <c r="N16" s="8"/>
      <c r="O16" s="70"/>
    </row>
    <row r="17" spans="1:26">
      <c r="A17" s="47">
        <v>14</v>
      </c>
      <c r="B17" s="221">
        <v>46067</v>
      </c>
      <c r="C17" s="68"/>
      <c r="D17" s="161"/>
      <c r="E17" s="66">
        <v>0</v>
      </c>
      <c r="F17" s="66">
        <v>0</v>
      </c>
      <c r="G17" s="8">
        <f t="shared" si="0"/>
        <v>0</v>
      </c>
      <c r="H17" s="66">
        <v>0</v>
      </c>
      <c r="I17" s="67">
        <v>0</v>
      </c>
      <c r="J17" s="8">
        <f t="shared" si="5"/>
        <v>0</v>
      </c>
      <c r="K17" s="8">
        <f t="shared" si="2"/>
        <v>0</v>
      </c>
      <c r="L17" s="69">
        <f t="shared" si="3"/>
        <v>0</v>
      </c>
      <c r="M17" s="69">
        <v>0</v>
      </c>
      <c r="N17" s="8"/>
      <c r="O17" s="70"/>
    </row>
    <row r="18" spans="1:26">
      <c r="A18" s="47">
        <v>15</v>
      </c>
      <c r="B18" s="221">
        <v>46068</v>
      </c>
      <c r="C18" s="68"/>
      <c r="D18" s="161"/>
      <c r="E18" s="66">
        <v>0</v>
      </c>
      <c r="F18" s="66">
        <v>0</v>
      </c>
      <c r="G18" s="8">
        <f t="shared" si="0"/>
        <v>0</v>
      </c>
      <c r="H18" s="66">
        <v>0</v>
      </c>
      <c r="I18" s="67">
        <v>0</v>
      </c>
      <c r="J18" s="8">
        <f t="shared" si="5"/>
        <v>0</v>
      </c>
      <c r="K18" s="8">
        <f t="shared" si="2"/>
        <v>0</v>
      </c>
      <c r="L18" s="69">
        <f t="shared" si="3"/>
        <v>0</v>
      </c>
      <c r="M18" s="69">
        <v>0</v>
      </c>
      <c r="N18" s="8"/>
      <c r="O18" s="70"/>
    </row>
    <row r="19" spans="1:26">
      <c r="A19" s="47">
        <v>16</v>
      </c>
      <c r="B19" s="221">
        <v>46069</v>
      </c>
      <c r="C19" s="68"/>
      <c r="D19" s="161"/>
      <c r="E19" s="66">
        <v>0</v>
      </c>
      <c r="F19" s="66">
        <v>0</v>
      </c>
      <c r="G19" s="8">
        <f t="shared" si="0"/>
        <v>0</v>
      </c>
      <c r="H19" s="66">
        <v>0</v>
      </c>
      <c r="I19" s="67">
        <v>0</v>
      </c>
      <c r="J19" s="8">
        <f t="shared" si="5"/>
        <v>0</v>
      </c>
      <c r="K19" s="8">
        <f t="shared" si="2"/>
        <v>0</v>
      </c>
      <c r="L19" s="69">
        <f>+K19</f>
        <v>0</v>
      </c>
      <c r="M19" s="69">
        <v>0</v>
      </c>
      <c r="N19" s="8"/>
      <c r="O19" s="70"/>
    </row>
    <row r="20" spans="1:26">
      <c r="A20" s="47">
        <v>17</v>
      </c>
      <c r="B20" s="221">
        <v>46070</v>
      </c>
      <c r="C20" s="68"/>
      <c r="D20" s="161"/>
      <c r="E20" s="66">
        <v>0</v>
      </c>
      <c r="F20" s="66">
        <v>0</v>
      </c>
      <c r="G20" s="8">
        <f t="shared" si="0"/>
        <v>0</v>
      </c>
      <c r="H20" s="66">
        <v>9.76</v>
      </c>
      <c r="I20" s="67">
        <v>102.46</v>
      </c>
      <c r="J20" s="8">
        <f t="shared" si="5"/>
        <v>1000.0095999999999</v>
      </c>
      <c r="K20" s="8">
        <f t="shared" si="2"/>
        <v>1000.0095999999999</v>
      </c>
      <c r="L20" s="69">
        <f t="shared" si="3"/>
        <v>1000.0095999999999</v>
      </c>
      <c r="M20" s="69">
        <v>0</v>
      </c>
      <c r="N20" s="8"/>
      <c r="O20" s="70"/>
    </row>
    <row r="21" spans="1:26">
      <c r="A21" s="47">
        <v>18</v>
      </c>
      <c r="B21" s="221">
        <v>46071</v>
      </c>
      <c r="C21" s="68"/>
      <c r="D21" s="161"/>
      <c r="E21" s="66">
        <v>0</v>
      </c>
      <c r="F21" s="66">
        <v>0</v>
      </c>
      <c r="G21" s="8">
        <f t="shared" si="0"/>
        <v>0</v>
      </c>
      <c r="H21" s="66">
        <v>0</v>
      </c>
      <c r="I21" s="67">
        <v>0</v>
      </c>
      <c r="J21" s="8">
        <f t="shared" si="5"/>
        <v>0</v>
      </c>
      <c r="K21" s="8">
        <f t="shared" si="2"/>
        <v>0</v>
      </c>
      <c r="L21" s="69">
        <f t="shared" si="3"/>
        <v>0</v>
      </c>
      <c r="M21" s="69">
        <v>0</v>
      </c>
      <c r="N21" s="8"/>
      <c r="O21" s="70"/>
      <c r="Q21">
        <v>18</v>
      </c>
      <c r="R21">
        <v>335.74</v>
      </c>
      <c r="S21">
        <v>97.43</v>
      </c>
      <c r="T21">
        <f>R21*S21</f>
        <v>32711.148200000003</v>
      </c>
      <c r="V21">
        <v>5.56</v>
      </c>
      <c r="W21">
        <v>109.61</v>
      </c>
      <c r="X21">
        <f>V21*W21</f>
        <v>609.4316</v>
      </c>
      <c r="Y21">
        <f>T21+X21</f>
        <v>33320.579800000007</v>
      </c>
      <c r="Z21" t="s">
        <v>286</v>
      </c>
    </row>
    <row r="22" spans="1:26">
      <c r="A22" s="47">
        <v>19</v>
      </c>
      <c r="B22" s="221">
        <v>46072</v>
      </c>
      <c r="C22" s="68"/>
      <c r="D22" s="161"/>
      <c r="E22" s="66">
        <v>0</v>
      </c>
      <c r="F22" s="66">
        <v>0</v>
      </c>
      <c r="G22" s="8">
        <f t="shared" si="0"/>
        <v>0</v>
      </c>
      <c r="H22" s="66">
        <v>9.76</v>
      </c>
      <c r="I22" s="67">
        <v>102.46</v>
      </c>
      <c r="J22" s="8">
        <f t="shared" si="5"/>
        <v>1000.0095999999999</v>
      </c>
      <c r="K22" s="8">
        <f t="shared" si="2"/>
        <v>1000.0095999999999</v>
      </c>
      <c r="L22" s="69">
        <f t="shared" si="3"/>
        <v>1000.0095999999999</v>
      </c>
      <c r="M22" s="69">
        <v>0</v>
      </c>
      <c r="N22" s="8"/>
      <c r="O22" s="70"/>
      <c r="Q22">
        <v>19</v>
      </c>
      <c r="R22">
        <v>0</v>
      </c>
      <c r="T22">
        <f>R22*S22</f>
        <v>0</v>
      </c>
      <c r="V22">
        <v>0</v>
      </c>
      <c r="X22">
        <f t="shared" ref="X22:X25" si="6">V22*W22</f>
        <v>0</v>
      </c>
      <c r="Y22">
        <f t="shared" ref="Y22:Y24" si="7">T22+X22</f>
        <v>0</v>
      </c>
      <c r="Z22" t="s">
        <v>286</v>
      </c>
    </row>
    <row r="23" spans="1:26">
      <c r="A23" s="47">
        <v>20</v>
      </c>
      <c r="B23" s="221">
        <v>46073</v>
      </c>
      <c r="C23" s="68"/>
      <c r="D23" s="161"/>
      <c r="E23" s="66">
        <v>0</v>
      </c>
      <c r="F23" s="66">
        <v>0</v>
      </c>
      <c r="G23" s="8">
        <f t="shared" si="0"/>
        <v>0</v>
      </c>
      <c r="H23" s="66">
        <v>0</v>
      </c>
      <c r="I23" s="67">
        <v>0</v>
      </c>
      <c r="J23" s="8">
        <f t="shared" si="5"/>
        <v>0</v>
      </c>
      <c r="K23" s="8">
        <f t="shared" si="2"/>
        <v>0</v>
      </c>
      <c r="L23" s="69">
        <f t="shared" si="3"/>
        <v>0</v>
      </c>
      <c r="M23" s="69">
        <v>0</v>
      </c>
      <c r="N23" s="8"/>
      <c r="O23" s="70"/>
      <c r="Q23">
        <v>20</v>
      </c>
      <c r="R23">
        <v>61.58</v>
      </c>
      <c r="S23">
        <v>97.43</v>
      </c>
      <c r="T23">
        <f t="shared" ref="T23:T25" si="8">R23*S23</f>
        <v>5999.7394000000004</v>
      </c>
      <c r="X23">
        <f t="shared" si="6"/>
        <v>0</v>
      </c>
      <c r="Y23">
        <f t="shared" si="7"/>
        <v>5999.7394000000004</v>
      </c>
      <c r="Z23" t="s">
        <v>286</v>
      </c>
    </row>
    <row r="24" spans="1:26">
      <c r="A24" s="47">
        <v>21</v>
      </c>
      <c r="B24" s="221">
        <v>46074</v>
      </c>
      <c r="C24" s="68"/>
      <c r="D24" s="161"/>
      <c r="E24" s="66">
        <v>25.65</v>
      </c>
      <c r="F24" s="66">
        <v>97.43</v>
      </c>
      <c r="G24" s="8">
        <f t="shared" si="0"/>
        <v>2499.0794999999998</v>
      </c>
      <c r="H24" s="66">
        <v>0</v>
      </c>
      <c r="I24" s="67">
        <v>0</v>
      </c>
      <c r="J24" s="8">
        <f t="shared" si="5"/>
        <v>0</v>
      </c>
      <c r="K24" s="8">
        <f t="shared" si="2"/>
        <v>2499.0794999999998</v>
      </c>
      <c r="L24" s="69">
        <f t="shared" si="3"/>
        <v>2499.0794999999998</v>
      </c>
      <c r="M24" s="69">
        <v>0</v>
      </c>
      <c r="N24" s="8"/>
      <c r="O24" s="70"/>
      <c r="Q24">
        <v>23</v>
      </c>
      <c r="R24">
        <v>200</v>
      </c>
      <c r="S24">
        <v>97.76</v>
      </c>
      <c r="T24">
        <f t="shared" si="8"/>
        <v>19552</v>
      </c>
      <c r="X24">
        <f t="shared" si="6"/>
        <v>0</v>
      </c>
      <c r="Y24">
        <f t="shared" si="7"/>
        <v>19552</v>
      </c>
      <c r="Z24" t="s">
        <v>287</v>
      </c>
    </row>
    <row r="25" spans="1:26">
      <c r="A25" s="47">
        <v>22</v>
      </c>
      <c r="B25" s="221">
        <v>46075</v>
      </c>
      <c r="C25" s="68"/>
      <c r="D25" s="161"/>
      <c r="E25" s="66">
        <v>0</v>
      </c>
      <c r="F25" s="66">
        <v>0</v>
      </c>
      <c r="G25" s="8">
        <f t="shared" si="0"/>
        <v>0</v>
      </c>
      <c r="H25" s="66">
        <v>0</v>
      </c>
      <c r="I25" s="67">
        <v>0</v>
      </c>
      <c r="J25" s="8">
        <f t="shared" si="5"/>
        <v>0</v>
      </c>
      <c r="K25" s="8">
        <f t="shared" si="2"/>
        <v>0</v>
      </c>
      <c r="L25" s="69">
        <f t="shared" si="3"/>
        <v>0</v>
      </c>
      <c r="M25" s="69">
        <v>0</v>
      </c>
      <c r="N25" s="8"/>
      <c r="O25" s="70"/>
      <c r="Q25">
        <v>24</v>
      </c>
      <c r="R25">
        <v>98.62</v>
      </c>
      <c r="S25">
        <v>97.43</v>
      </c>
      <c r="T25">
        <f t="shared" si="8"/>
        <v>9608.5466000000015</v>
      </c>
      <c r="V25">
        <v>5.83</v>
      </c>
      <c r="W25">
        <v>109.61</v>
      </c>
      <c r="X25">
        <f t="shared" si="6"/>
        <v>639.02629999999999</v>
      </c>
      <c r="Y25">
        <f>T25+X25</f>
        <v>10247.572900000001</v>
      </c>
    </row>
    <row r="26" spans="1:26">
      <c r="A26" s="47">
        <v>23</v>
      </c>
      <c r="B26" s="221">
        <v>46076</v>
      </c>
      <c r="C26" s="68"/>
      <c r="D26" s="161"/>
      <c r="E26" s="66">
        <v>0</v>
      </c>
      <c r="F26" s="66">
        <v>0</v>
      </c>
      <c r="G26" s="8">
        <f t="shared" si="0"/>
        <v>0</v>
      </c>
      <c r="H26" s="66">
        <v>0</v>
      </c>
      <c r="I26" s="67">
        <v>0</v>
      </c>
      <c r="J26" s="8">
        <f t="shared" si="5"/>
        <v>0</v>
      </c>
      <c r="K26" s="8">
        <f t="shared" si="2"/>
        <v>0</v>
      </c>
      <c r="L26" s="69">
        <f t="shared" si="3"/>
        <v>0</v>
      </c>
      <c r="M26" s="69">
        <v>0</v>
      </c>
      <c r="N26" s="8"/>
      <c r="O26" s="70"/>
    </row>
    <row r="27" spans="1:26">
      <c r="A27" s="47">
        <v>24</v>
      </c>
      <c r="B27" s="221">
        <v>46077</v>
      </c>
      <c r="C27" s="68"/>
      <c r="D27" s="161"/>
      <c r="E27" s="66">
        <v>0</v>
      </c>
      <c r="F27" s="66">
        <v>0</v>
      </c>
      <c r="G27" s="8">
        <f t="shared" si="0"/>
        <v>0</v>
      </c>
      <c r="H27" s="66">
        <v>0</v>
      </c>
      <c r="I27" s="67">
        <v>0</v>
      </c>
      <c r="J27" s="8">
        <f t="shared" si="5"/>
        <v>0</v>
      </c>
      <c r="K27" s="8">
        <f t="shared" si="2"/>
        <v>0</v>
      </c>
      <c r="L27" s="69">
        <f t="shared" si="3"/>
        <v>0</v>
      </c>
      <c r="M27" s="69">
        <v>0</v>
      </c>
      <c r="N27" s="8"/>
      <c r="O27" s="70"/>
    </row>
    <row r="28" spans="1:26">
      <c r="A28" s="223">
        <v>25</v>
      </c>
      <c r="B28" s="221">
        <v>46078</v>
      </c>
      <c r="C28" s="68"/>
      <c r="D28" s="161"/>
      <c r="E28" s="66">
        <v>0</v>
      </c>
      <c r="F28" s="66">
        <v>0</v>
      </c>
      <c r="G28" s="8">
        <f t="shared" si="0"/>
        <v>0</v>
      </c>
      <c r="H28" s="66">
        <v>0</v>
      </c>
      <c r="I28" s="67">
        <v>0</v>
      </c>
      <c r="J28" s="8">
        <f t="shared" si="5"/>
        <v>0</v>
      </c>
      <c r="K28" s="8">
        <f t="shared" si="2"/>
        <v>0</v>
      </c>
      <c r="L28" s="69">
        <f t="shared" si="3"/>
        <v>0</v>
      </c>
      <c r="M28" s="69">
        <v>0</v>
      </c>
      <c r="N28" s="8"/>
      <c r="O28" s="70"/>
    </row>
    <row r="29" spans="1:26">
      <c r="A29" s="223">
        <v>26</v>
      </c>
      <c r="B29" s="221">
        <v>46079</v>
      </c>
      <c r="C29" s="68"/>
      <c r="D29" s="161"/>
      <c r="E29" s="66">
        <v>0</v>
      </c>
      <c r="F29" s="66">
        <v>0</v>
      </c>
      <c r="G29" s="8">
        <f t="shared" si="0"/>
        <v>0</v>
      </c>
      <c r="H29" s="66">
        <v>0</v>
      </c>
      <c r="I29" s="67">
        <v>0</v>
      </c>
      <c r="J29" s="8">
        <f t="shared" si="5"/>
        <v>0</v>
      </c>
      <c r="K29" s="8">
        <f t="shared" si="2"/>
        <v>0</v>
      </c>
      <c r="L29" s="69">
        <f t="shared" si="3"/>
        <v>0</v>
      </c>
      <c r="M29" s="69">
        <v>0</v>
      </c>
      <c r="N29" s="8"/>
      <c r="O29" s="70"/>
    </row>
    <row r="30" spans="1:26">
      <c r="A30" s="223">
        <v>27</v>
      </c>
      <c r="B30" s="221">
        <v>46080</v>
      </c>
      <c r="C30" s="68"/>
      <c r="D30" s="161"/>
      <c r="E30" s="66">
        <v>0</v>
      </c>
      <c r="F30" s="66">
        <v>0</v>
      </c>
      <c r="G30" s="8">
        <f t="shared" si="0"/>
        <v>0</v>
      </c>
      <c r="H30" s="66">
        <v>0</v>
      </c>
      <c r="I30" s="67">
        <v>0</v>
      </c>
      <c r="J30" s="8">
        <f t="shared" si="5"/>
        <v>0</v>
      </c>
      <c r="K30" s="8">
        <f t="shared" si="2"/>
        <v>0</v>
      </c>
      <c r="L30" s="69">
        <f t="shared" si="3"/>
        <v>0</v>
      </c>
      <c r="M30" s="69">
        <v>0</v>
      </c>
      <c r="N30" s="8"/>
      <c r="O30" s="70"/>
    </row>
    <row r="31" spans="1:26">
      <c r="A31" s="223">
        <v>28</v>
      </c>
      <c r="B31" s="221">
        <v>46081</v>
      </c>
      <c r="C31" s="68"/>
      <c r="D31" s="161"/>
      <c r="E31" s="66">
        <v>0</v>
      </c>
      <c r="F31" s="66">
        <v>0</v>
      </c>
      <c r="G31" s="8">
        <f t="shared" si="0"/>
        <v>0</v>
      </c>
      <c r="H31" s="66">
        <v>0</v>
      </c>
      <c r="I31" s="67">
        <v>0</v>
      </c>
      <c r="J31" s="8">
        <f t="shared" si="5"/>
        <v>0</v>
      </c>
      <c r="K31" s="8">
        <f t="shared" si="2"/>
        <v>0</v>
      </c>
      <c r="L31" s="69">
        <f t="shared" si="3"/>
        <v>0</v>
      </c>
      <c r="M31" s="69">
        <v>0</v>
      </c>
      <c r="N31" s="8"/>
      <c r="O31" s="70"/>
    </row>
    <row r="32" spans="1:26">
      <c r="A32" s="224">
        <v>29</v>
      </c>
      <c r="B32" s="221">
        <v>46082</v>
      </c>
      <c r="C32" s="68"/>
      <c r="D32" s="161"/>
      <c r="E32" s="66">
        <v>0</v>
      </c>
      <c r="F32" s="66">
        <v>0</v>
      </c>
      <c r="G32" s="8">
        <f t="shared" ref="G32:G33" si="9">E32*F32</f>
        <v>0</v>
      </c>
      <c r="H32" s="66">
        <v>0</v>
      </c>
      <c r="I32" s="67">
        <v>0</v>
      </c>
      <c r="J32" s="8">
        <f t="shared" si="5"/>
        <v>0</v>
      </c>
      <c r="K32" s="8">
        <f t="shared" si="2"/>
        <v>0</v>
      </c>
      <c r="L32" s="69">
        <f t="shared" si="3"/>
        <v>0</v>
      </c>
      <c r="M32" s="69">
        <v>0</v>
      </c>
      <c r="N32" s="8"/>
      <c r="O32" s="70"/>
    </row>
    <row r="33" spans="1:15">
      <c r="A33" s="224">
        <v>30</v>
      </c>
      <c r="B33" s="221">
        <v>46083</v>
      </c>
      <c r="C33" s="68"/>
      <c r="D33" s="161"/>
      <c r="E33" s="66">
        <v>0</v>
      </c>
      <c r="F33" s="66">
        <v>0</v>
      </c>
      <c r="G33" s="8">
        <f t="shared" si="9"/>
        <v>0</v>
      </c>
      <c r="H33" s="66">
        <v>0</v>
      </c>
      <c r="I33" s="67">
        <v>0</v>
      </c>
      <c r="J33" s="8">
        <f t="shared" si="5"/>
        <v>0</v>
      </c>
      <c r="K33" s="8">
        <f t="shared" si="2"/>
        <v>0</v>
      </c>
      <c r="L33" s="69">
        <f t="shared" si="3"/>
        <v>0</v>
      </c>
      <c r="M33" s="69">
        <v>0</v>
      </c>
      <c r="N33" s="8"/>
      <c r="O33" s="70"/>
    </row>
    <row r="34" spans="1:15">
      <c r="A34" s="224">
        <v>31</v>
      </c>
      <c r="B34" s="221">
        <v>46084</v>
      </c>
      <c r="C34" s="68"/>
      <c r="D34" s="161"/>
      <c r="E34" s="66">
        <v>0</v>
      </c>
      <c r="F34" s="66">
        <v>0</v>
      </c>
      <c r="G34" s="8">
        <f t="shared" si="0"/>
        <v>0</v>
      </c>
      <c r="H34" s="66">
        <v>0</v>
      </c>
      <c r="I34" s="67">
        <v>0</v>
      </c>
      <c r="J34" s="8">
        <f t="shared" si="5"/>
        <v>0</v>
      </c>
      <c r="K34" s="8">
        <f t="shared" ref="K34" si="10">G34+J34</f>
        <v>0</v>
      </c>
      <c r="L34" s="69">
        <f t="shared" ref="L34" si="11">+K34</f>
        <v>0</v>
      </c>
      <c r="M34" s="69">
        <v>0</v>
      </c>
      <c r="N34" s="8"/>
      <c r="O34" s="70"/>
    </row>
    <row r="35" spans="1:15">
      <c r="A35" s="63"/>
      <c r="B35" s="63"/>
      <c r="C35" s="63"/>
      <c r="D35" s="63"/>
      <c r="E35" s="64">
        <f>SUM(E4:E34)</f>
        <v>25.65</v>
      </c>
      <c r="F35" s="64"/>
      <c r="G35" s="64">
        <f>SUM(G4:G34)</f>
        <v>2499.0794999999998</v>
      </c>
      <c r="H35" s="64">
        <f>SUM(H4:H34)</f>
        <v>19.52</v>
      </c>
      <c r="I35" s="64"/>
      <c r="J35" s="64">
        <f>SUM(J4:J34)</f>
        <v>2000.0191999999997</v>
      </c>
      <c r="K35" s="64">
        <f>SUM(K4:K34)</f>
        <v>4499.0986999999996</v>
      </c>
      <c r="L35" s="64">
        <f>SUM(L4:L34)</f>
        <v>4499.0986999999996</v>
      </c>
      <c r="M35" s="64"/>
      <c r="N35" s="64"/>
      <c r="O35" s="60"/>
    </row>
    <row r="36" spans="1:15">
      <c r="A36" s="73"/>
      <c r="B36" s="74"/>
      <c r="C36" s="73"/>
      <c r="D36" s="73"/>
      <c r="E36" s="75"/>
      <c r="F36" s="75"/>
      <c r="G36" s="75"/>
      <c r="H36" s="75"/>
      <c r="I36" s="75"/>
      <c r="J36" s="76"/>
      <c r="K36" s="76"/>
      <c r="L36" s="76"/>
      <c r="M36" s="76"/>
      <c r="N36" s="75"/>
      <c r="O36" s="70"/>
    </row>
    <row r="37" spans="1:15">
      <c r="O37" s="70"/>
    </row>
    <row r="38" spans="1:15">
      <c r="O38" s="70"/>
    </row>
    <row r="39" spans="1:15">
      <c r="O39" s="70"/>
    </row>
    <row r="40" spans="1:15">
      <c r="O40" s="70"/>
    </row>
    <row r="41" spans="1:15">
      <c r="O41" s="70"/>
    </row>
    <row r="42" spans="1:15">
      <c r="A42" s="70"/>
      <c r="B42" s="60"/>
      <c r="C42" s="70"/>
      <c r="D42" s="70"/>
      <c r="E42" s="70"/>
      <c r="F42" s="70"/>
      <c r="G42" s="77"/>
      <c r="H42" s="70"/>
      <c r="I42" s="70"/>
      <c r="J42" s="60"/>
      <c r="K42" s="60"/>
      <c r="L42" s="60"/>
      <c r="M42" s="60"/>
      <c r="N42" s="70"/>
      <c r="O42" s="75"/>
    </row>
    <row r="43" spans="1:15">
      <c r="A43" s="70"/>
      <c r="B43" s="452"/>
      <c r="C43" s="452"/>
      <c r="D43" s="452"/>
      <c r="E43" s="452"/>
      <c r="F43" s="70"/>
      <c r="G43" s="70"/>
      <c r="H43" s="70"/>
      <c r="I43" s="452"/>
      <c r="J43" s="452"/>
      <c r="K43" s="452"/>
      <c r="L43" s="452"/>
      <c r="M43" s="452"/>
      <c r="N43" s="452"/>
      <c r="O43" s="75"/>
    </row>
    <row r="44" spans="1:15">
      <c r="A44" s="70"/>
      <c r="B44" s="60"/>
      <c r="C44" s="70"/>
      <c r="D44" s="70"/>
      <c r="E44" s="70"/>
      <c r="F44" s="70"/>
      <c r="G44" s="70"/>
      <c r="H44" s="70"/>
      <c r="I44" s="70"/>
      <c r="J44" s="60"/>
      <c r="K44" s="60"/>
      <c r="L44" s="60"/>
      <c r="M44" s="60"/>
      <c r="N44" s="70"/>
      <c r="O44" s="75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89"/>
  <sheetViews>
    <sheetView workbookViewId="0">
      <pane ySplit="4" topLeftCell="A45" activePane="bottomLeft" state="frozen"/>
      <selection pane="bottomLeft" activeCell="A17" sqref="A17"/>
    </sheetView>
  </sheetViews>
  <sheetFormatPr defaultRowHeight="15"/>
  <cols>
    <col min="1" max="1" width="13.7109375" customWidth="1"/>
    <col min="2" max="2" width="14.42578125" customWidth="1"/>
    <col min="3" max="3" width="63.5703125" bestFit="1" customWidth="1"/>
    <col min="4" max="4" width="15.5703125" customWidth="1"/>
    <col min="5" max="5" width="12.28515625" style="187" customWidth="1"/>
    <col min="6" max="6" width="12.85546875" style="187" customWidth="1"/>
    <col min="7" max="7" width="12.5703125" style="187" bestFit="1" customWidth="1"/>
    <col min="8" max="8" width="12.5703125" style="187" customWidth="1"/>
    <col min="9" max="10" width="9.140625" style="187"/>
    <col min="11" max="11" width="18.7109375" style="187" customWidth="1"/>
    <col min="12" max="12" width="24.140625" style="187" customWidth="1"/>
    <col min="13" max="13" width="16.5703125" style="187" customWidth="1"/>
    <col min="14" max="14" width="19.85546875" style="187" customWidth="1"/>
    <col min="15" max="15" width="13.42578125" style="187" customWidth="1"/>
    <col min="16" max="21" width="9.140625" style="187"/>
  </cols>
  <sheetData>
    <row r="1" spans="1:15" ht="15.75">
      <c r="A1" s="248" t="s">
        <v>288</v>
      </c>
      <c r="B1" s="248"/>
      <c r="C1" s="248"/>
      <c r="D1" s="248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</row>
    <row r="2" spans="1:15" ht="26.25" customHeight="1">
      <c r="A2" s="65" t="s">
        <v>101</v>
      </c>
      <c r="B2" s="84" t="s">
        <v>155</v>
      </c>
      <c r="C2" s="84" t="s">
        <v>289</v>
      </c>
      <c r="D2" s="84" t="s">
        <v>290</v>
      </c>
      <c r="E2" s="286" t="s">
        <v>158</v>
      </c>
      <c r="F2" s="286" t="s">
        <v>159</v>
      </c>
      <c r="G2" s="287" t="s">
        <v>160</v>
      </c>
      <c r="H2" s="286" t="s">
        <v>161</v>
      </c>
      <c r="I2" s="286" t="s">
        <v>159</v>
      </c>
      <c r="J2" s="287" t="s">
        <v>160</v>
      </c>
      <c r="K2" s="288" t="s">
        <v>162</v>
      </c>
      <c r="L2" s="289" t="s">
        <v>291</v>
      </c>
      <c r="M2" s="290" t="s">
        <v>174</v>
      </c>
      <c r="N2" s="286" t="s">
        <v>165</v>
      </c>
      <c r="O2" s="286" t="s">
        <v>292</v>
      </c>
    </row>
    <row r="3" spans="1:15" ht="15.75">
      <c r="A3" s="249" t="s">
        <v>166</v>
      </c>
      <c r="B3" s="249"/>
      <c r="C3" s="249"/>
      <c r="D3" s="249"/>
      <c r="E3" s="291"/>
      <c r="F3" s="291"/>
      <c r="G3" s="291"/>
      <c r="H3" s="291"/>
      <c r="I3" s="291"/>
      <c r="J3" s="291"/>
      <c r="K3" s="314">
        <v>149052.97</v>
      </c>
      <c r="L3" s="314"/>
      <c r="M3" s="314"/>
      <c r="N3" s="292"/>
      <c r="O3" s="293"/>
    </row>
    <row r="4" spans="1:15">
      <c r="A4" s="312"/>
      <c r="B4" s="339"/>
      <c r="C4" s="105"/>
      <c r="D4" s="105"/>
      <c r="E4" s="294"/>
      <c r="F4" s="294"/>
      <c r="G4" s="294">
        <f>E4*F4</f>
        <v>0</v>
      </c>
      <c r="H4" s="105"/>
      <c r="I4" s="105"/>
      <c r="J4" s="294"/>
      <c r="K4" s="294">
        <f t="shared" ref="K4:K73" si="0">G4+J4</f>
        <v>0</v>
      </c>
      <c r="L4" s="295"/>
      <c r="M4" s="311">
        <f>K3+L4-K4</f>
        <v>149052.97</v>
      </c>
      <c r="N4" s="311"/>
      <c r="O4" s="295"/>
    </row>
    <row r="5" spans="1:15">
      <c r="A5" s="98">
        <v>1</v>
      </c>
      <c r="B5" s="339" t="s">
        <v>179</v>
      </c>
      <c r="C5" s="105" t="s">
        <v>293</v>
      </c>
      <c r="D5" s="105" t="s">
        <v>294</v>
      </c>
      <c r="E5" s="105">
        <v>20.63</v>
      </c>
      <c r="F5" s="105">
        <v>97.28</v>
      </c>
      <c r="G5" s="294">
        <f t="shared" ref="G5:G67" si="1">E5*F5</f>
        <v>2006.8863999999999</v>
      </c>
      <c r="H5" s="105"/>
      <c r="I5" s="105"/>
      <c r="J5" s="294">
        <f>H5*I5</f>
        <v>0</v>
      </c>
      <c r="K5" s="294">
        <f t="shared" si="0"/>
        <v>2006.8863999999999</v>
      </c>
      <c r="L5" s="295"/>
      <c r="M5" s="297">
        <f>M4+L5-K5</f>
        <v>147046.08360000001</v>
      </c>
      <c r="N5" s="297"/>
      <c r="O5" s="294"/>
    </row>
    <row r="6" spans="1:15">
      <c r="A6" s="98">
        <v>2</v>
      </c>
      <c r="B6" s="339" t="s">
        <v>179</v>
      </c>
      <c r="C6" s="169" t="s">
        <v>295</v>
      </c>
      <c r="D6" s="105" t="s">
        <v>153</v>
      </c>
      <c r="E6" s="186">
        <v>35</v>
      </c>
      <c r="F6" s="186">
        <v>91.17</v>
      </c>
      <c r="G6" s="294">
        <f t="shared" si="1"/>
        <v>3190.9500000000003</v>
      </c>
      <c r="H6" s="105"/>
      <c r="I6" s="105"/>
      <c r="J6" s="294">
        <f t="shared" ref="J6:J39" si="2">H6*I6</f>
        <v>0</v>
      </c>
      <c r="K6" s="294">
        <f t="shared" si="0"/>
        <v>3190.9500000000003</v>
      </c>
      <c r="L6" s="295"/>
      <c r="M6" s="297">
        <f>M5+L6-K6</f>
        <v>143855.1336</v>
      </c>
      <c r="N6" s="297"/>
      <c r="O6" s="294"/>
    </row>
    <row r="7" spans="1:15">
      <c r="A7" s="312">
        <v>3</v>
      </c>
      <c r="B7" s="339" t="s">
        <v>183</v>
      </c>
      <c r="C7" s="17" t="s">
        <v>296</v>
      </c>
      <c r="D7" s="105" t="s">
        <v>294</v>
      </c>
      <c r="E7" s="186">
        <v>46.14</v>
      </c>
      <c r="F7" s="186">
        <v>96.74</v>
      </c>
      <c r="G7" s="294">
        <f t="shared" si="1"/>
        <v>4463.5835999999999</v>
      </c>
      <c r="H7" s="294">
        <v>5</v>
      </c>
      <c r="I7" s="105">
        <v>108.86</v>
      </c>
      <c r="J7" s="294">
        <f t="shared" si="2"/>
        <v>544.29999999999995</v>
      </c>
      <c r="K7" s="294">
        <f t="shared" si="0"/>
        <v>5007.8836000000001</v>
      </c>
      <c r="L7" s="295">
        <v>1850000</v>
      </c>
      <c r="M7" s="297">
        <f t="shared" ref="M7:M71" si="3">M6+L7-K7</f>
        <v>1988847.25</v>
      </c>
      <c r="N7" s="297"/>
      <c r="O7" s="294"/>
    </row>
    <row r="8" spans="1:15">
      <c r="A8" s="98">
        <v>4</v>
      </c>
      <c r="B8" s="339" t="s">
        <v>183</v>
      </c>
      <c r="C8" s="169" t="s">
        <v>297</v>
      </c>
      <c r="D8" s="105" t="s">
        <v>298</v>
      </c>
      <c r="E8" s="186">
        <v>1731.99</v>
      </c>
      <c r="F8" s="186">
        <v>91.49</v>
      </c>
      <c r="G8" s="294">
        <f t="shared" si="1"/>
        <v>158459.76509999999</v>
      </c>
      <c r="H8" s="294"/>
      <c r="I8" s="105"/>
      <c r="J8" s="294">
        <f t="shared" si="2"/>
        <v>0</v>
      </c>
      <c r="K8" s="294">
        <f t="shared" si="0"/>
        <v>158459.76509999999</v>
      </c>
      <c r="L8" s="295"/>
      <c r="M8" s="297">
        <f t="shared" si="3"/>
        <v>1830387.4849</v>
      </c>
      <c r="N8" s="297"/>
      <c r="O8" s="294"/>
    </row>
    <row r="9" spans="1:15">
      <c r="A9" s="98">
        <v>5</v>
      </c>
      <c r="B9" s="339" t="s">
        <v>183</v>
      </c>
      <c r="C9" s="169" t="s">
        <v>299</v>
      </c>
      <c r="D9" s="105" t="s">
        <v>298</v>
      </c>
      <c r="E9" s="294">
        <v>270</v>
      </c>
      <c r="F9" s="294">
        <v>92.22</v>
      </c>
      <c r="G9" s="294">
        <f t="shared" si="1"/>
        <v>24899.4</v>
      </c>
      <c r="H9" s="105">
        <v>29.7</v>
      </c>
      <c r="I9" s="105">
        <v>104.08</v>
      </c>
      <c r="J9" s="294">
        <f t="shared" si="2"/>
        <v>3091.1759999999999</v>
      </c>
      <c r="K9" s="294">
        <f t="shared" si="0"/>
        <v>27990.576000000001</v>
      </c>
      <c r="L9" s="295"/>
      <c r="M9" s="297">
        <f t="shared" si="3"/>
        <v>1802396.9089000002</v>
      </c>
      <c r="N9" s="297"/>
      <c r="O9" s="294"/>
    </row>
    <row r="10" spans="1:15">
      <c r="A10" s="312">
        <v>6</v>
      </c>
      <c r="B10" s="339" t="s">
        <v>183</v>
      </c>
      <c r="C10" s="169" t="s">
        <v>300</v>
      </c>
      <c r="D10" s="105" t="s">
        <v>298</v>
      </c>
      <c r="E10" s="294">
        <v>1746.76</v>
      </c>
      <c r="F10" s="294">
        <v>92.23</v>
      </c>
      <c r="G10" s="294">
        <f t="shared" si="1"/>
        <v>161103.67480000001</v>
      </c>
      <c r="H10" s="105"/>
      <c r="I10" s="105"/>
      <c r="J10" s="294">
        <f t="shared" si="2"/>
        <v>0</v>
      </c>
      <c r="K10" s="294">
        <f t="shared" si="0"/>
        <v>161103.67480000001</v>
      </c>
      <c r="L10" s="295"/>
      <c r="M10" s="297">
        <f t="shared" si="3"/>
        <v>1641293.2341000002</v>
      </c>
      <c r="N10" s="318"/>
      <c r="O10" s="296"/>
    </row>
    <row r="11" spans="1:15">
      <c r="A11" s="98">
        <v>7</v>
      </c>
      <c r="B11" s="339" t="s">
        <v>183</v>
      </c>
      <c r="C11" s="320" t="s">
        <v>300</v>
      </c>
      <c r="D11" s="316" t="s">
        <v>301</v>
      </c>
      <c r="E11" s="105">
        <v>65</v>
      </c>
      <c r="F11" s="105">
        <v>92.23</v>
      </c>
      <c r="G11" s="294">
        <f t="shared" si="1"/>
        <v>5994.95</v>
      </c>
      <c r="H11" s="105"/>
      <c r="I11" s="105"/>
      <c r="J11" s="294">
        <f t="shared" si="2"/>
        <v>0</v>
      </c>
      <c r="K11" s="294">
        <f t="shared" si="0"/>
        <v>5994.95</v>
      </c>
      <c r="L11" s="295"/>
      <c r="M11" s="297">
        <f t="shared" si="3"/>
        <v>1635298.2841000003</v>
      </c>
      <c r="N11" s="318"/>
      <c r="O11" s="296"/>
    </row>
    <row r="12" spans="1:15">
      <c r="A12" s="98">
        <v>8</v>
      </c>
      <c r="B12" s="339" t="s">
        <v>183</v>
      </c>
      <c r="C12" s="349" t="s">
        <v>302</v>
      </c>
      <c r="D12" s="105" t="s">
        <v>298</v>
      </c>
      <c r="E12" s="319">
        <v>2318.42</v>
      </c>
      <c r="F12" s="105">
        <v>92.17</v>
      </c>
      <c r="G12" s="294">
        <f t="shared" si="1"/>
        <v>213688.7714</v>
      </c>
      <c r="H12" s="316"/>
      <c r="I12" s="316"/>
      <c r="J12" s="294">
        <f t="shared" si="2"/>
        <v>0</v>
      </c>
      <c r="K12" s="294">
        <f t="shared" si="0"/>
        <v>213688.7714</v>
      </c>
      <c r="L12" s="295"/>
      <c r="M12" s="297">
        <f t="shared" si="3"/>
        <v>1421609.5127000003</v>
      </c>
      <c r="N12" s="318"/>
      <c r="O12" s="296"/>
    </row>
    <row r="13" spans="1:15">
      <c r="A13" s="312">
        <v>9</v>
      </c>
      <c r="B13" s="339" t="s">
        <v>183</v>
      </c>
      <c r="C13" s="105" t="s">
        <v>303</v>
      </c>
      <c r="D13" s="169" t="s">
        <v>304</v>
      </c>
      <c r="E13" s="319">
        <v>7092.52</v>
      </c>
      <c r="F13" s="105">
        <v>91.32</v>
      </c>
      <c r="G13" s="416">
        <f t="shared" si="1"/>
        <v>647688.9264</v>
      </c>
      <c r="H13" s="105"/>
      <c r="I13" s="105"/>
      <c r="J13" s="294">
        <f t="shared" si="2"/>
        <v>0</v>
      </c>
      <c r="K13" s="294">
        <f t="shared" si="0"/>
        <v>647688.9264</v>
      </c>
      <c r="L13" s="295"/>
      <c r="M13" s="297">
        <f t="shared" si="3"/>
        <v>773920.58630000032</v>
      </c>
      <c r="N13" s="297"/>
      <c r="O13" s="294"/>
    </row>
    <row r="14" spans="1:15">
      <c r="A14" s="98">
        <v>10</v>
      </c>
      <c r="B14" s="339" t="s">
        <v>183</v>
      </c>
      <c r="C14" s="105" t="s">
        <v>305</v>
      </c>
      <c r="D14" s="105" t="s">
        <v>306</v>
      </c>
      <c r="E14" s="297">
        <v>1143.73</v>
      </c>
      <c r="F14" s="294">
        <v>90.88</v>
      </c>
      <c r="G14" s="416">
        <f t="shared" si="1"/>
        <v>103942.18239999999</v>
      </c>
      <c r="H14" s="105"/>
      <c r="I14" s="105"/>
      <c r="J14" s="294">
        <f t="shared" si="2"/>
        <v>0</v>
      </c>
      <c r="K14" s="294">
        <f t="shared" si="0"/>
        <v>103942.18239999999</v>
      </c>
      <c r="L14" s="295"/>
      <c r="M14" s="297">
        <f t="shared" si="3"/>
        <v>669978.40390000027</v>
      </c>
      <c r="N14" s="297"/>
      <c r="O14" s="294"/>
    </row>
    <row r="15" spans="1:15">
      <c r="A15" s="98">
        <v>11</v>
      </c>
      <c r="B15" s="339" t="s">
        <v>282</v>
      </c>
      <c r="C15" s="105" t="s">
        <v>307</v>
      </c>
      <c r="D15" s="316" t="s">
        <v>153</v>
      </c>
      <c r="E15" s="318">
        <v>40</v>
      </c>
      <c r="F15" s="296">
        <v>91.8</v>
      </c>
      <c r="G15" s="417">
        <f t="shared" si="1"/>
        <v>3672</v>
      </c>
      <c r="H15" s="105"/>
      <c r="I15" s="105"/>
      <c r="J15" s="294">
        <f t="shared" si="2"/>
        <v>0</v>
      </c>
      <c r="K15" s="294">
        <f t="shared" si="0"/>
        <v>3672</v>
      </c>
      <c r="L15" s="295"/>
      <c r="M15" s="297">
        <f t="shared" si="3"/>
        <v>666306.40390000027</v>
      </c>
      <c r="N15" s="297"/>
      <c r="O15" s="294"/>
    </row>
    <row r="16" spans="1:15">
      <c r="A16" s="312">
        <v>12</v>
      </c>
      <c r="B16" s="339" t="s">
        <v>283</v>
      </c>
      <c r="C16" s="383" t="s">
        <v>308</v>
      </c>
      <c r="D16" s="105" t="s">
        <v>146</v>
      </c>
      <c r="E16" s="105">
        <v>34.270000000000003</v>
      </c>
      <c r="F16" s="105">
        <v>95.7</v>
      </c>
      <c r="G16" s="294">
        <f t="shared" si="1"/>
        <v>3279.6390000000006</v>
      </c>
      <c r="H16" s="319"/>
      <c r="I16" s="105"/>
      <c r="J16" s="294">
        <f t="shared" si="2"/>
        <v>0</v>
      </c>
      <c r="K16" s="294">
        <f t="shared" si="0"/>
        <v>3279.6390000000006</v>
      </c>
      <c r="L16" s="295"/>
      <c r="M16" s="297">
        <f t="shared" si="3"/>
        <v>663026.7649000003</v>
      </c>
      <c r="N16" s="297"/>
      <c r="O16" s="294"/>
    </row>
    <row r="17" spans="1:15">
      <c r="A17" s="98">
        <v>13</v>
      </c>
      <c r="B17" s="339" t="s">
        <v>283</v>
      </c>
      <c r="C17" s="384" t="s">
        <v>309</v>
      </c>
      <c r="D17" s="169" t="s">
        <v>298</v>
      </c>
      <c r="E17" s="105">
        <v>50.1</v>
      </c>
      <c r="F17" s="105">
        <v>95.94</v>
      </c>
      <c r="G17" s="294">
        <f t="shared" si="1"/>
        <v>4806.5940000000001</v>
      </c>
      <c r="H17" s="338"/>
      <c r="I17" s="313"/>
      <c r="J17" s="294">
        <f t="shared" si="2"/>
        <v>0</v>
      </c>
      <c r="K17" s="294">
        <f t="shared" si="0"/>
        <v>4806.5940000000001</v>
      </c>
      <c r="L17" s="295"/>
      <c r="M17" s="297">
        <f t="shared" si="3"/>
        <v>658220.17090000026</v>
      </c>
      <c r="N17" s="297"/>
      <c r="O17" s="294"/>
    </row>
    <row r="18" spans="1:15">
      <c r="A18" s="98">
        <v>14</v>
      </c>
      <c r="B18" s="339" t="s">
        <v>283</v>
      </c>
      <c r="C18" s="95" t="s">
        <v>310</v>
      </c>
      <c r="D18" s="321" t="s">
        <v>140</v>
      </c>
      <c r="E18" s="418"/>
      <c r="F18" s="419"/>
      <c r="G18" s="298">
        <f t="shared" si="1"/>
        <v>0</v>
      </c>
      <c r="H18" s="105">
        <v>4.51</v>
      </c>
      <c r="I18" s="105">
        <v>107.46</v>
      </c>
      <c r="J18" s="294">
        <f t="shared" si="2"/>
        <v>484.64459999999997</v>
      </c>
      <c r="K18" s="294">
        <f t="shared" si="0"/>
        <v>484.64459999999997</v>
      </c>
      <c r="L18" s="295"/>
      <c r="M18" s="297">
        <f t="shared" si="3"/>
        <v>657735.52630000026</v>
      </c>
      <c r="N18" s="297"/>
      <c r="O18" s="294"/>
    </row>
    <row r="19" spans="1:15">
      <c r="A19" s="312">
        <v>15</v>
      </c>
      <c r="B19" s="339" t="s">
        <v>186</v>
      </c>
      <c r="C19" s="105" t="s">
        <v>310</v>
      </c>
      <c r="D19" s="420" t="s">
        <v>140</v>
      </c>
      <c r="E19" s="105">
        <v>68.97</v>
      </c>
      <c r="F19" s="105">
        <v>95.7</v>
      </c>
      <c r="G19" s="297">
        <f t="shared" si="1"/>
        <v>6600.4290000000001</v>
      </c>
      <c r="H19" s="105"/>
      <c r="I19" s="105"/>
      <c r="J19" s="294">
        <f t="shared" si="2"/>
        <v>0</v>
      </c>
      <c r="K19" s="294">
        <f t="shared" si="0"/>
        <v>6600.4290000000001</v>
      </c>
      <c r="L19" s="295"/>
      <c r="M19" s="297">
        <f t="shared" si="3"/>
        <v>651135.09730000026</v>
      </c>
      <c r="N19" s="318"/>
      <c r="O19" s="296"/>
    </row>
    <row r="20" spans="1:15">
      <c r="A20" s="98">
        <v>16</v>
      </c>
      <c r="B20" s="339" t="s">
        <v>186</v>
      </c>
      <c r="C20" s="105" t="s">
        <v>311</v>
      </c>
      <c r="D20" s="421" t="s">
        <v>294</v>
      </c>
      <c r="E20" s="105">
        <v>46.69</v>
      </c>
      <c r="F20" s="105">
        <v>86.75</v>
      </c>
      <c r="G20" s="297">
        <f t="shared" si="1"/>
        <v>4050.3574999999996</v>
      </c>
      <c r="H20" s="105"/>
      <c r="I20" s="105"/>
      <c r="J20" s="294">
        <f t="shared" si="2"/>
        <v>0</v>
      </c>
      <c r="K20" s="294">
        <f t="shared" si="0"/>
        <v>4050.3574999999996</v>
      </c>
      <c r="L20" s="295"/>
      <c r="M20" s="297">
        <f t="shared" si="3"/>
        <v>647084.73980000021</v>
      </c>
      <c r="N20" s="297"/>
      <c r="O20" s="294"/>
    </row>
    <row r="21" spans="1:15">
      <c r="A21" s="98">
        <v>17</v>
      </c>
      <c r="B21" s="339" t="s">
        <v>186</v>
      </c>
      <c r="C21" s="105" t="s">
        <v>300</v>
      </c>
      <c r="D21" s="403" t="s">
        <v>301</v>
      </c>
      <c r="E21" s="105">
        <v>55</v>
      </c>
      <c r="F21" s="105">
        <v>92.23</v>
      </c>
      <c r="G21" s="297">
        <f t="shared" si="1"/>
        <v>5072.6500000000005</v>
      </c>
      <c r="H21" s="105"/>
      <c r="I21" s="105"/>
      <c r="J21" s="294">
        <f t="shared" si="2"/>
        <v>0</v>
      </c>
      <c r="K21" s="294">
        <f t="shared" si="0"/>
        <v>5072.6500000000005</v>
      </c>
      <c r="L21" s="295"/>
      <c r="M21" s="297">
        <f t="shared" si="3"/>
        <v>642012.08980000019</v>
      </c>
      <c r="N21" s="297"/>
      <c r="O21" s="294"/>
    </row>
    <row r="22" spans="1:15">
      <c r="A22" s="312">
        <v>18</v>
      </c>
      <c r="B22" s="339" t="s">
        <v>285</v>
      </c>
      <c r="C22" s="321" t="s">
        <v>310</v>
      </c>
      <c r="D22" s="105" t="s">
        <v>298</v>
      </c>
      <c r="E22" s="298">
        <v>35</v>
      </c>
      <c r="F22" s="298">
        <v>95.7</v>
      </c>
      <c r="G22" s="294">
        <f t="shared" si="1"/>
        <v>3349.5</v>
      </c>
      <c r="H22" s="105"/>
      <c r="I22" s="105"/>
      <c r="J22" s="294">
        <f t="shared" si="2"/>
        <v>0</v>
      </c>
      <c r="K22" s="294">
        <f t="shared" si="0"/>
        <v>3349.5</v>
      </c>
      <c r="L22" s="295"/>
      <c r="M22" s="297">
        <f t="shared" si="3"/>
        <v>638662.58980000019</v>
      </c>
      <c r="N22" s="318"/>
      <c r="O22" s="296"/>
    </row>
    <row r="23" spans="1:15">
      <c r="A23" s="98">
        <v>19</v>
      </c>
      <c r="B23" s="339" t="s">
        <v>285</v>
      </c>
      <c r="C23" s="169" t="s">
        <v>307</v>
      </c>
      <c r="D23" s="105" t="s">
        <v>153</v>
      </c>
      <c r="E23" s="294">
        <v>45</v>
      </c>
      <c r="F23" s="294">
        <v>91.8</v>
      </c>
      <c r="G23" s="294">
        <f t="shared" si="1"/>
        <v>4131</v>
      </c>
      <c r="H23" s="105"/>
      <c r="I23" s="105"/>
      <c r="J23" s="294">
        <f t="shared" si="2"/>
        <v>0</v>
      </c>
      <c r="K23" s="294">
        <f t="shared" si="0"/>
        <v>4131</v>
      </c>
      <c r="L23" s="295"/>
      <c r="M23" s="297">
        <f t="shared" si="3"/>
        <v>634531.58980000019</v>
      </c>
      <c r="N23" s="297"/>
      <c r="O23" s="294"/>
    </row>
    <row r="24" spans="1:15">
      <c r="A24" s="98">
        <v>20</v>
      </c>
      <c r="B24" s="339" t="s">
        <v>279</v>
      </c>
      <c r="C24" s="169" t="s">
        <v>312</v>
      </c>
      <c r="D24" s="105" t="s">
        <v>140</v>
      </c>
      <c r="E24" s="294"/>
      <c r="F24" s="294"/>
      <c r="G24" s="294">
        <f t="shared" si="1"/>
        <v>0</v>
      </c>
      <c r="H24" s="105">
        <v>4.13</v>
      </c>
      <c r="I24" s="105">
        <v>107.46</v>
      </c>
      <c r="J24" s="294">
        <f t="shared" si="2"/>
        <v>443.80979999999994</v>
      </c>
      <c r="K24" s="294">
        <f t="shared" si="0"/>
        <v>443.80979999999994</v>
      </c>
      <c r="L24" s="295"/>
      <c r="M24" s="297">
        <f t="shared" si="3"/>
        <v>634087.78000000014</v>
      </c>
      <c r="N24" s="318"/>
      <c r="O24" s="296"/>
    </row>
    <row r="25" spans="1:15">
      <c r="A25" s="312">
        <v>21</v>
      </c>
      <c r="B25" s="339" t="s">
        <v>191</v>
      </c>
      <c r="C25" s="105" t="s">
        <v>307</v>
      </c>
      <c r="D25" s="316" t="s">
        <v>153</v>
      </c>
      <c r="E25" s="294">
        <v>40</v>
      </c>
      <c r="F25" s="294">
        <v>91.8</v>
      </c>
      <c r="G25" s="294">
        <f t="shared" si="1"/>
        <v>3672</v>
      </c>
      <c r="H25" s="105"/>
      <c r="I25" s="105"/>
      <c r="J25" s="294">
        <f t="shared" si="2"/>
        <v>0</v>
      </c>
      <c r="K25" s="294">
        <f t="shared" si="0"/>
        <v>3672</v>
      </c>
      <c r="L25" s="295"/>
      <c r="M25" s="297">
        <f t="shared" si="3"/>
        <v>630415.78000000014</v>
      </c>
      <c r="N25" s="318"/>
      <c r="O25" s="296"/>
    </row>
    <row r="26" spans="1:15">
      <c r="A26" s="98">
        <v>22</v>
      </c>
      <c r="B26" s="423" t="s">
        <v>191</v>
      </c>
      <c r="C26" s="424" t="s">
        <v>311</v>
      </c>
      <c r="D26" s="105" t="s">
        <v>294</v>
      </c>
      <c r="E26" s="297">
        <v>47.7</v>
      </c>
      <c r="F26" s="294">
        <v>86.75</v>
      </c>
      <c r="G26" s="294">
        <f t="shared" si="1"/>
        <v>4137.9750000000004</v>
      </c>
      <c r="H26" s="105">
        <v>10</v>
      </c>
      <c r="I26" s="105">
        <v>96.91</v>
      </c>
      <c r="J26" s="294">
        <f t="shared" si="2"/>
        <v>969.09999999999991</v>
      </c>
      <c r="K26" s="294">
        <f t="shared" si="0"/>
        <v>5107.0750000000007</v>
      </c>
      <c r="L26" s="295"/>
      <c r="M26" s="297">
        <f t="shared" si="3"/>
        <v>625308.70500000019</v>
      </c>
      <c r="N26" s="294"/>
      <c r="O26" s="294"/>
    </row>
    <row r="27" spans="1:15">
      <c r="A27" s="98">
        <v>23</v>
      </c>
      <c r="B27" s="225" t="s">
        <v>280</v>
      </c>
      <c r="C27" s="383" t="s">
        <v>307</v>
      </c>
      <c r="D27" s="105" t="s">
        <v>153</v>
      </c>
      <c r="E27" s="319">
        <v>30</v>
      </c>
      <c r="F27" s="294">
        <v>91.8</v>
      </c>
      <c r="G27" s="294">
        <f t="shared" si="1"/>
        <v>2754</v>
      </c>
      <c r="H27" s="105"/>
      <c r="I27" s="105"/>
      <c r="J27" s="294">
        <f t="shared" si="2"/>
        <v>0</v>
      </c>
      <c r="K27" s="294">
        <f t="shared" si="0"/>
        <v>2754</v>
      </c>
      <c r="L27" s="295"/>
      <c r="M27" s="297">
        <f t="shared" si="3"/>
        <v>622554.70500000019</v>
      </c>
      <c r="N27" s="294"/>
      <c r="O27" s="294"/>
    </row>
    <row r="28" spans="1:15">
      <c r="A28" s="312">
        <v>24</v>
      </c>
      <c r="B28" s="225" t="s">
        <v>280</v>
      </c>
      <c r="C28" s="383" t="s">
        <v>313</v>
      </c>
      <c r="D28" s="105" t="s">
        <v>148</v>
      </c>
      <c r="E28" s="319">
        <v>52.8</v>
      </c>
      <c r="F28" s="105">
        <v>97.37</v>
      </c>
      <c r="G28" s="294">
        <f t="shared" si="1"/>
        <v>5141.1359999999995</v>
      </c>
      <c r="H28" s="105"/>
      <c r="I28" s="105"/>
      <c r="J28" s="294">
        <f t="shared" si="2"/>
        <v>0</v>
      </c>
      <c r="K28" s="294">
        <f t="shared" si="0"/>
        <v>5141.1359999999995</v>
      </c>
      <c r="L28" s="295"/>
      <c r="M28" s="297">
        <f t="shared" si="3"/>
        <v>617413.56900000013</v>
      </c>
      <c r="N28" s="294"/>
      <c r="O28" s="294"/>
    </row>
    <row r="29" spans="1:15" ht="14.25" customHeight="1">
      <c r="A29" s="98">
        <v>25</v>
      </c>
      <c r="B29" s="225" t="s">
        <v>280</v>
      </c>
      <c r="C29" s="383" t="s">
        <v>314</v>
      </c>
      <c r="D29" s="105" t="s">
        <v>298</v>
      </c>
      <c r="E29" s="297">
        <v>1642.56</v>
      </c>
      <c r="F29" s="294">
        <v>91.93</v>
      </c>
      <c r="G29" s="294">
        <f t="shared" si="1"/>
        <v>151000.54080000002</v>
      </c>
      <c r="H29" s="105"/>
      <c r="I29" s="105"/>
      <c r="J29" s="294">
        <f t="shared" si="2"/>
        <v>0</v>
      </c>
      <c r="K29" s="294">
        <f t="shared" si="0"/>
        <v>151000.54080000002</v>
      </c>
      <c r="L29" s="295"/>
      <c r="M29" s="297">
        <f t="shared" si="3"/>
        <v>466413.02820000012</v>
      </c>
      <c r="N29" s="294"/>
      <c r="O29" s="294"/>
    </row>
    <row r="30" spans="1:15">
      <c r="A30" s="98">
        <v>26</v>
      </c>
      <c r="B30" s="225" t="s">
        <v>192</v>
      </c>
      <c r="C30" s="313" t="s">
        <v>315</v>
      </c>
      <c r="D30" s="313" t="s">
        <v>151</v>
      </c>
      <c r="E30" s="105">
        <v>113</v>
      </c>
      <c r="F30" s="105">
        <v>92.25</v>
      </c>
      <c r="G30" s="294">
        <f t="shared" si="1"/>
        <v>10424.25</v>
      </c>
      <c r="H30" s="105">
        <v>4</v>
      </c>
      <c r="I30" s="105">
        <v>107.46</v>
      </c>
      <c r="J30" s="294">
        <f t="shared" si="2"/>
        <v>429.84</v>
      </c>
      <c r="K30" s="294">
        <f t="shared" si="0"/>
        <v>10854.09</v>
      </c>
      <c r="L30" s="295"/>
      <c r="M30" s="297">
        <f t="shared" si="3"/>
        <v>455558.93820000009</v>
      </c>
      <c r="N30" s="294"/>
      <c r="O30" s="294"/>
    </row>
    <row r="31" spans="1:15">
      <c r="A31" s="312">
        <v>27</v>
      </c>
      <c r="B31" s="225" t="s">
        <v>192</v>
      </c>
      <c r="C31" s="105" t="s">
        <v>316</v>
      </c>
      <c r="D31" s="105" t="s">
        <v>294</v>
      </c>
      <c r="E31" s="105">
        <v>44.61</v>
      </c>
      <c r="F31" s="105">
        <v>86.75</v>
      </c>
      <c r="G31" s="294">
        <f t="shared" si="1"/>
        <v>3869.9175</v>
      </c>
      <c r="H31" s="105"/>
      <c r="I31" s="105"/>
      <c r="J31" s="294">
        <f t="shared" si="2"/>
        <v>0</v>
      </c>
      <c r="K31" s="294">
        <f t="shared" si="0"/>
        <v>3869.9175</v>
      </c>
      <c r="L31" s="295"/>
      <c r="M31" s="297">
        <f t="shared" si="3"/>
        <v>451689.02070000011</v>
      </c>
      <c r="N31" s="294"/>
      <c r="O31" s="294"/>
    </row>
    <row r="32" spans="1:15">
      <c r="A32" s="98">
        <v>28</v>
      </c>
      <c r="B32" s="225" t="s">
        <v>195</v>
      </c>
      <c r="C32" s="105" t="s">
        <v>300</v>
      </c>
      <c r="D32" s="329" t="s">
        <v>301</v>
      </c>
      <c r="E32" s="105"/>
      <c r="F32" s="105"/>
      <c r="G32" s="294">
        <f t="shared" si="1"/>
        <v>0</v>
      </c>
      <c r="H32" s="105">
        <v>5</v>
      </c>
      <c r="I32" s="105">
        <v>104.09</v>
      </c>
      <c r="J32" s="294">
        <f t="shared" si="2"/>
        <v>520.45000000000005</v>
      </c>
      <c r="K32" s="294">
        <f t="shared" si="0"/>
        <v>520.45000000000005</v>
      </c>
      <c r="L32" s="295"/>
      <c r="M32" s="297">
        <f t="shared" si="3"/>
        <v>451168.5707000001</v>
      </c>
      <c r="N32" s="298"/>
      <c r="O32" s="298"/>
    </row>
    <row r="33" spans="1:15">
      <c r="A33" s="98">
        <v>29</v>
      </c>
      <c r="B33" s="225" t="s">
        <v>195</v>
      </c>
      <c r="C33" s="169" t="s">
        <v>317</v>
      </c>
      <c r="D33" s="329" t="s">
        <v>294</v>
      </c>
      <c r="E33" s="294">
        <v>23.19</v>
      </c>
      <c r="F33" s="294">
        <v>96.74</v>
      </c>
      <c r="G33" s="294">
        <f t="shared" si="1"/>
        <v>2243.4005999999999</v>
      </c>
      <c r="H33" s="105">
        <v>10</v>
      </c>
      <c r="I33" s="105">
        <v>109.94</v>
      </c>
      <c r="J33" s="294">
        <f t="shared" si="2"/>
        <v>1099.4000000000001</v>
      </c>
      <c r="K33" s="294">
        <f t="shared" si="0"/>
        <v>3342.8006</v>
      </c>
      <c r="L33" s="295"/>
      <c r="M33" s="297">
        <f t="shared" si="3"/>
        <v>447825.77010000008</v>
      </c>
      <c r="N33" s="296"/>
      <c r="O33" s="296"/>
    </row>
    <row r="34" spans="1:15">
      <c r="A34" s="312">
        <v>30</v>
      </c>
      <c r="B34" s="225" t="s">
        <v>272</v>
      </c>
      <c r="C34" s="105" t="s">
        <v>307</v>
      </c>
      <c r="D34" s="329" t="s">
        <v>153</v>
      </c>
      <c r="E34" s="294">
        <v>30</v>
      </c>
      <c r="F34" s="294">
        <v>91.8</v>
      </c>
      <c r="G34" s="294">
        <f t="shared" si="1"/>
        <v>2754</v>
      </c>
      <c r="H34" s="105"/>
      <c r="I34" s="105"/>
      <c r="J34" s="294">
        <f t="shared" si="2"/>
        <v>0</v>
      </c>
      <c r="K34" s="294">
        <f t="shared" si="0"/>
        <v>2754</v>
      </c>
      <c r="L34" s="295"/>
      <c r="M34" s="297">
        <f t="shared" si="3"/>
        <v>445071.77010000008</v>
      </c>
      <c r="N34" s="296"/>
      <c r="O34" s="296"/>
    </row>
    <row r="35" spans="1:15">
      <c r="A35" s="98">
        <v>31</v>
      </c>
      <c r="B35" s="225" t="s">
        <v>272</v>
      </c>
      <c r="C35" s="105" t="s">
        <v>300</v>
      </c>
      <c r="D35" s="105" t="s">
        <v>301</v>
      </c>
      <c r="E35" s="105">
        <v>40</v>
      </c>
      <c r="F35" s="105">
        <v>92.23</v>
      </c>
      <c r="G35" s="294">
        <f t="shared" si="1"/>
        <v>3689.2000000000003</v>
      </c>
      <c r="H35" s="105">
        <v>5.04</v>
      </c>
      <c r="I35" s="105">
        <v>104.09</v>
      </c>
      <c r="J35" s="294">
        <f t="shared" si="2"/>
        <v>524.61360000000002</v>
      </c>
      <c r="K35" s="294">
        <f t="shared" si="0"/>
        <v>4213.8136000000004</v>
      </c>
      <c r="L35" s="295"/>
      <c r="M35" s="297">
        <f t="shared" si="3"/>
        <v>440857.95650000009</v>
      </c>
      <c r="N35" s="296"/>
      <c r="O35" s="296"/>
    </row>
    <row r="36" spans="1:15">
      <c r="A36" s="98">
        <v>32</v>
      </c>
      <c r="B36" s="225" t="s">
        <v>273</v>
      </c>
      <c r="C36" s="169" t="s">
        <v>310</v>
      </c>
      <c r="D36" s="105" t="s">
        <v>140</v>
      </c>
      <c r="E36" s="105"/>
      <c r="F36" s="105"/>
      <c r="G36" s="294">
        <f t="shared" si="1"/>
        <v>0</v>
      </c>
      <c r="H36" s="105">
        <v>4.3899999999999997</v>
      </c>
      <c r="I36" s="105">
        <v>107.46</v>
      </c>
      <c r="J36" s="294">
        <f t="shared" si="2"/>
        <v>471.74939999999992</v>
      </c>
      <c r="K36" s="294">
        <f t="shared" si="0"/>
        <v>471.74939999999992</v>
      </c>
      <c r="L36" s="295"/>
      <c r="M36" s="297">
        <f t="shared" si="3"/>
        <v>440386.20710000012</v>
      </c>
      <c r="N36" s="296"/>
      <c r="O36" s="296"/>
    </row>
    <row r="37" spans="1:15">
      <c r="A37" s="312">
        <v>33</v>
      </c>
      <c r="B37" s="225" t="s">
        <v>273</v>
      </c>
      <c r="C37" s="169" t="s">
        <v>318</v>
      </c>
      <c r="D37" s="329" t="s">
        <v>298</v>
      </c>
      <c r="E37" s="105">
        <v>1193.23</v>
      </c>
      <c r="F37" s="105">
        <v>91.97</v>
      </c>
      <c r="G37" s="294">
        <f t="shared" si="1"/>
        <v>109741.3631</v>
      </c>
      <c r="H37" s="105"/>
      <c r="I37" s="105"/>
      <c r="J37" s="294">
        <f t="shared" si="2"/>
        <v>0</v>
      </c>
      <c r="K37" s="294">
        <f t="shared" si="0"/>
        <v>109741.3631</v>
      </c>
      <c r="L37" s="295"/>
      <c r="M37" s="297">
        <f t="shared" si="3"/>
        <v>330644.8440000001</v>
      </c>
      <c r="N37" s="296"/>
      <c r="O37" s="296"/>
    </row>
    <row r="38" spans="1:15">
      <c r="A38" s="98">
        <v>34</v>
      </c>
      <c r="B38" s="225" t="s">
        <v>273</v>
      </c>
      <c r="C38" s="105" t="s">
        <v>319</v>
      </c>
      <c r="D38" s="329" t="s">
        <v>298</v>
      </c>
      <c r="E38" s="105">
        <v>1093.8499999999999</v>
      </c>
      <c r="F38" s="105">
        <v>91.42</v>
      </c>
      <c r="G38" s="294">
        <f t="shared" si="1"/>
        <v>99999.766999999993</v>
      </c>
      <c r="H38" s="105"/>
      <c r="I38" s="105"/>
      <c r="J38" s="294">
        <f t="shared" si="2"/>
        <v>0</v>
      </c>
      <c r="K38" s="294">
        <f t="shared" si="0"/>
        <v>99999.766999999993</v>
      </c>
      <c r="L38" s="295"/>
      <c r="M38" s="297">
        <f t="shared" si="3"/>
        <v>230645.07700000011</v>
      </c>
      <c r="N38" s="296"/>
      <c r="O38" s="296"/>
    </row>
    <row r="39" spans="1:15">
      <c r="A39" s="98">
        <v>35</v>
      </c>
      <c r="B39" s="225" t="s">
        <v>198</v>
      </c>
      <c r="C39" s="316" t="s">
        <v>296</v>
      </c>
      <c r="D39" s="329" t="s">
        <v>294</v>
      </c>
      <c r="E39" s="316">
        <v>158.78</v>
      </c>
      <c r="F39" s="316">
        <v>96.74</v>
      </c>
      <c r="G39" s="296">
        <f t="shared" si="1"/>
        <v>15360.377199999999</v>
      </c>
      <c r="H39" s="316">
        <v>5</v>
      </c>
      <c r="I39" s="316">
        <v>108.86</v>
      </c>
      <c r="J39" s="294">
        <f t="shared" si="2"/>
        <v>544.29999999999995</v>
      </c>
      <c r="K39" s="294">
        <f t="shared" si="0"/>
        <v>15904.677199999998</v>
      </c>
      <c r="L39" s="295"/>
      <c r="M39" s="297">
        <f t="shared" si="3"/>
        <v>214740.3998000001</v>
      </c>
      <c r="N39" s="296"/>
      <c r="O39" s="296"/>
    </row>
    <row r="40" spans="1:15">
      <c r="A40" s="312">
        <v>36</v>
      </c>
      <c r="B40" s="225" t="s">
        <v>274</v>
      </c>
      <c r="C40" s="105" t="s">
        <v>320</v>
      </c>
      <c r="D40" s="319" t="s">
        <v>153</v>
      </c>
      <c r="E40" s="105">
        <v>32.520000000000003</v>
      </c>
      <c r="F40" s="105">
        <v>92.25</v>
      </c>
      <c r="G40" s="294">
        <f t="shared" si="1"/>
        <v>2999.9700000000003</v>
      </c>
      <c r="H40" s="105"/>
      <c r="I40" s="105"/>
      <c r="J40" s="294"/>
      <c r="K40" s="294">
        <f t="shared" si="0"/>
        <v>2999.9700000000003</v>
      </c>
      <c r="L40" s="295"/>
      <c r="M40" s="297">
        <f t="shared" si="3"/>
        <v>211740.4298000001</v>
      </c>
      <c r="N40" s="294"/>
      <c r="O40" s="294"/>
    </row>
    <row r="41" spans="1:15">
      <c r="A41" s="98">
        <v>37</v>
      </c>
      <c r="B41" s="225" t="s">
        <v>274</v>
      </c>
      <c r="C41" s="105" t="s">
        <v>307</v>
      </c>
      <c r="D41" s="319" t="s">
        <v>153</v>
      </c>
      <c r="E41" s="105">
        <v>10.89</v>
      </c>
      <c r="F41" s="105">
        <v>91.8</v>
      </c>
      <c r="G41" s="294">
        <f t="shared" si="1"/>
        <v>999.702</v>
      </c>
      <c r="H41" s="105"/>
      <c r="I41" s="105"/>
      <c r="J41" s="294"/>
      <c r="K41" s="294">
        <f t="shared" si="0"/>
        <v>999.702</v>
      </c>
      <c r="L41" s="295"/>
      <c r="M41" s="297">
        <f t="shared" si="3"/>
        <v>210740.72780000011</v>
      </c>
      <c r="N41" s="294"/>
      <c r="O41" s="294"/>
    </row>
    <row r="42" spans="1:15">
      <c r="A42" s="98">
        <v>38</v>
      </c>
      <c r="B42" s="225" t="s">
        <v>199</v>
      </c>
      <c r="C42" s="105" t="s">
        <v>296</v>
      </c>
      <c r="D42" s="319" t="s">
        <v>294</v>
      </c>
      <c r="E42" s="294">
        <v>42.83</v>
      </c>
      <c r="F42" s="294">
        <v>96.74</v>
      </c>
      <c r="G42" s="294">
        <f t="shared" si="1"/>
        <v>4143.3741999999993</v>
      </c>
      <c r="H42" s="105"/>
      <c r="I42" s="105"/>
      <c r="J42" s="294"/>
      <c r="K42" s="294">
        <f t="shared" si="0"/>
        <v>4143.3741999999993</v>
      </c>
      <c r="L42" s="295"/>
      <c r="M42" s="297">
        <f t="shared" si="3"/>
        <v>206597.35360000012</v>
      </c>
      <c r="N42" s="294"/>
      <c r="O42" s="294"/>
    </row>
    <row r="43" spans="1:15">
      <c r="A43" s="312">
        <v>39</v>
      </c>
      <c r="B43" s="225" t="s">
        <v>199</v>
      </c>
      <c r="C43" s="105" t="s">
        <v>302</v>
      </c>
      <c r="D43" s="319" t="s">
        <v>298</v>
      </c>
      <c r="E43" s="294">
        <v>1898.66</v>
      </c>
      <c r="F43" s="294">
        <v>92.17</v>
      </c>
      <c r="G43" s="294">
        <f t="shared" si="1"/>
        <v>174999.49220000001</v>
      </c>
      <c r="H43" s="105"/>
      <c r="I43" s="105"/>
      <c r="J43" s="294"/>
      <c r="K43" s="294">
        <f t="shared" si="0"/>
        <v>174999.49220000001</v>
      </c>
      <c r="L43" s="295"/>
      <c r="M43" s="297">
        <f t="shared" si="3"/>
        <v>31597.861400000111</v>
      </c>
      <c r="N43" s="294">
        <v>625308.19999999995</v>
      </c>
      <c r="O43" s="294"/>
    </row>
    <row r="44" spans="1:15">
      <c r="A44" s="98">
        <v>40</v>
      </c>
      <c r="B44" s="225" t="s">
        <v>199</v>
      </c>
      <c r="C44" s="313" t="s">
        <v>310</v>
      </c>
      <c r="D44" s="313" t="s">
        <v>140</v>
      </c>
      <c r="E44" s="298">
        <v>4.1900000000000004</v>
      </c>
      <c r="F44" s="298">
        <v>107.46</v>
      </c>
      <c r="G44" s="294">
        <f t="shared" si="1"/>
        <v>450.25740000000002</v>
      </c>
      <c r="H44" s="313"/>
      <c r="I44" s="313"/>
      <c r="J44" s="294"/>
      <c r="K44" s="294">
        <f t="shared" si="0"/>
        <v>450.25740000000002</v>
      </c>
      <c r="L44" s="295"/>
      <c r="M44" s="297">
        <f t="shared" si="3"/>
        <v>31147.604000000112</v>
      </c>
      <c r="N44" s="294"/>
      <c r="O44" s="294">
        <f>M43-N43</f>
        <v>-593710.3385999999</v>
      </c>
    </row>
    <row r="45" spans="1:15">
      <c r="A45" s="98">
        <v>41</v>
      </c>
      <c r="B45" s="225" t="s">
        <v>199</v>
      </c>
      <c r="C45" s="105" t="s">
        <v>307</v>
      </c>
      <c r="D45" s="329" t="s">
        <v>153</v>
      </c>
      <c r="E45" s="294">
        <v>40</v>
      </c>
      <c r="F45" s="294">
        <v>91.8</v>
      </c>
      <c r="G45" s="294">
        <f t="shared" si="1"/>
        <v>3672</v>
      </c>
      <c r="H45" s="105"/>
      <c r="I45" s="105"/>
      <c r="J45" s="294"/>
      <c r="K45" s="294">
        <f t="shared" si="0"/>
        <v>3672</v>
      </c>
      <c r="L45" s="295"/>
      <c r="M45" s="297">
        <f t="shared" si="3"/>
        <v>27475.604000000112</v>
      </c>
      <c r="N45" s="294"/>
      <c r="O45" s="294"/>
    </row>
    <row r="46" spans="1:15">
      <c r="A46" s="312">
        <v>42</v>
      </c>
      <c r="B46" s="225" t="s">
        <v>199</v>
      </c>
      <c r="C46" s="105" t="s">
        <v>300</v>
      </c>
      <c r="D46" s="329" t="s">
        <v>301</v>
      </c>
      <c r="E46" s="294">
        <v>40.01</v>
      </c>
      <c r="F46" s="294">
        <v>92.23</v>
      </c>
      <c r="G46" s="294">
        <f t="shared" si="1"/>
        <v>3690.1223</v>
      </c>
      <c r="H46" s="105">
        <v>4.01</v>
      </c>
      <c r="I46" s="105">
        <v>104.09</v>
      </c>
      <c r="J46" s="294">
        <f t="shared" ref="J46:J67" si="4">H46*I46</f>
        <v>417.40089999999998</v>
      </c>
      <c r="K46" s="294">
        <f t="shared" si="0"/>
        <v>4107.5231999999996</v>
      </c>
      <c r="L46" s="295"/>
      <c r="M46" s="297">
        <f t="shared" si="3"/>
        <v>23368.080800000113</v>
      </c>
      <c r="N46" s="294"/>
      <c r="O46" s="294"/>
    </row>
    <row r="47" spans="1:15">
      <c r="A47" s="98">
        <v>43</v>
      </c>
      <c r="B47" s="225" t="s">
        <v>200</v>
      </c>
      <c r="C47" s="329" t="s">
        <v>310</v>
      </c>
      <c r="D47" s="313" t="s">
        <v>146</v>
      </c>
      <c r="E47" s="294">
        <v>34.479999999999997</v>
      </c>
      <c r="F47" s="294">
        <v>95.7</v>
      </c>
      <c r="G47" s="294">
        <f t="shared" si="1"/>
        <v>3299.7359999999999</v>
      </c>
      <c r="H47" s="105"/>
      <c r="I47" s="105"/>
      <c r="J47" s="294">
        <f t="shared" si="4"/>
        <v>0</v>
      </c>
      <c r="K47" s="294">
        <f t="shared" si="0"/>
        <v>3299.7359999999999</v>
      </c>
      <c r="L47" s="295"/>
      <c r="M47" s="297">
        <f t="shared" si="3"/>
        <v>20068.344800000112</v>
      </c>
      <c r="N47" s="294"/>
      <c r="O47" s="294"/>
    </row>
    <row r="48" spans="1:15">
      <c r="A48" s="98">
        <v>44</v>
      </c>
      <c r="B48" s="225" t="s">
        <v>200</v>
      </c>
      <c r="C48" s="329" t="s">
        <v>317</v>
      </c>
      <c r="D48" s="105" t="s">
        <v>294</v>
      </c>
      <c r="E48" s="105">
        <v>0</v>
      </c>
      <c r="F48" s="105">
        <v>0</v>
      </c>
      <c r="G48" s="294">
        <f t="shared" si="1"/>
        <v>0</v>
      </c>
      <c r="H48" s="105">
        <v>40.869999999999997</v>
      </c>
      <c r="I48" s="105">
        <v>109.94</v>
      </c>
      <c r="J48" s="294">
        <f t="shared" si="4"/>
        <v>4493.2477999999992</v>
      </c>
      <c r="K48" s="294">
        <f t="shared" si="0"/>
        <v>4493.2477999999992</v>
      </c>
      <c r="L48" s="295"/>
      <c r="M48" s="297">
        <f t="shared" si="3"/>
        <v>15575.097000000113</v>
      </c>
      <c r="N48" s="294"/>
      <c r="O48" s="294"/>
    </row>
    <row r="49" spans="1:15">
      <c r="A49" s="312">
        <v>45</v>
      </c>
      <c r="B49" s="225" t="s">
        <v>200</v>
      </c>
      <c r="C49" s="329" t="s">
        <v>321</v>
      </c>
      <c r="D49" s="105" t="s">
        <v>153</v>
      </c>
      <c r="E49" s="105">
        <v>32.92</v>
      </c>
      <c r="F49" s="105">
        <v>91.13</v>
      </c>
      <c r="G49" s="294">
        <f t="shared" si="1"/>
        <v>2999.9996000000001</v>
      </c>
      <c r="H49" s="105"/>
      <c r="I49" s="105"/>
      <c r="J49" s="294">
        <f t="shared" si="4"/>
        <v>0</v>
      </c>
      <c r="K49" s="294">
        <f t="shared" si="0"/>
        <v>2999.9996000000001</v>
      </c>
      <c r="L49" s="295"/>
      <c r="M49" s="297">
        <f t="shared" si="3"/>
        <v>12575.097400000112</v>
      </c>
      <c r="N49" s="294"/>
      <c r="O49" s="294"/>
    </row>
    <row r="50" spans="1:15">
      <c r="A50" s="98">
        <v>46</v>
      </c>
      <c r="B50" s="225" t="s">
        <v>201</v>
      </c>
      <c r="C50" s="105" t="s">
        <v>296</v>
      </c>
      <c r="D50" s="105" t="s">
        <v>294</v>
      </c>
      <c r="E50" s="105">
        <v>0</v>
      </c>
      <c r="F50" s="105">
        <v>0</v>
      </c>
      <c r="G50" s="294">
        <f t="shared" si="1"/>
        <v>0</v>
      </c>
      <c r="H50" s="105">
        <v>10</v>
      </c>
      <c r="I50" s="105">
        <v>108.86</v>
      </c>
      <c r="J50" s="294">
        <f t="shared" si="4"/>
        <v>1088.5999999999999</v>
      </c>
      <c r="K50" s="294">
        <f t="shared" si="0"/>
        <v>1088.5999999999999</v>
      </c>
      <c r="L50" s="295"/>
      <c r="M50" s="297">
        <f t="shared" si="3"/>
        <v>11486.497400000111</v>
      </c>
      <c r="N50" s="294"/>
      <c r="O50" s="294"/>
    </row>
    <row r="51" spans="1:15">
      <c r="A51" s="98">
        <v>47</v>
      </c>
      <c r="B51" s="225" t="s">
        <v>201</v>
      </c>
      <c r="C51" s="105" t="s">
        <v>322</v>
      </c>
      <c r="D51" s="313" t="s">
        <v>140</v>
      </c>
      <c r="E51" s="105">
        <v>0</v>
      </c>
      <c r="F51" s="105">
        <v>0</v>
      </c>
      <c r="G51" s="294">
        <f t="shared" si="1"/>
        <v>0</v>
      </c>
      <c r="H51" s="105">
        <v>3.72</v>
      </c>
      <c r="I51" s="105">
        <v>107.46</v>
      </c>
      <c r="J51" s="294">
        <f t="shared" si="4"/>
        <v>399.75119999999998</v>
      </c>
      <c r="K51" s="294">
        <f t="shared" si="0"/>
        <v>399.75119999999998</v>
      </c>
      <c r="L51" s="295"/>
      <c r="M51" s="297">
        <f t="shared" si="3"/>
        <v>11086.746200000111</v>
      </c>
      <c r="N51" s="318"/>
      <c r="O51" s="296"/>
    </row>
    <row r="52" spans="1:15">
      <c r="A52" s="312">
        <v>48</v>
      </c>
      <c r="B52" s="377" t="s">
        <v>202</v>
      </c>
      <c r="C52" s="169" t="s">
        <v>307</v>
      </c>
      <c r="D52" s="105" t="s">
        <v>153</v>
      </c>
      <c r="E52" s="105">
        <v>21.79</v>
      </c>
      <c r="F52" s="105">
        <v>91.8</v>
      </c>
      <c r="G52" s="294">
        <f t="shared" si="1"/>
        <v>2000.3219999999999</v>
      </c>
      <c r="H52" s="105"/>
      <c r="I52" s="105"/>
      <c r="J52" s="294">
        <f t="shared" si="4"/>
        <v>0</v>
      </c>
      <c r="K52" s="294">
        <f t="shared" si="0"/>
        <v>2000.3219999999999</v>
      </c>
      <c r="L52" s="295">
        <v>706000</v>
      </c>
      <c r="M52" s="297">
        <f t="shared" si="3"/>
        <v>715086.42420000012</v>
      </c>
      <c r="N52" s="318"/>
      <c r="O52" s="296"/>
    </row>
    <row r="53" spans="1:15">
      <c r="A53" s="98">
        <v>49</v>
      </c>
      <c r="B53" s="377" t="s">
        <v>202</v>
      </c>
      <c r="C53" s="169" t="s">
        <v>305</v>
      </c>
      <c r="D53" s="316" t="s">
        <v>306</v>
      </c>
      <c r="E53" s="105">
        <v>1100.3599999999999</v>
      </c>
      <c r="F53" s="105">
        <v>90.88</v>
      </c>
      <c r="G53" s="294">
        <f t="shared" si="1"/>
        <v>100000.71679999998</v>
      </c>
      <c r="H53" s="105"/>
      <c r="I53" s="105"/>
      <c r="J53" s="294">
        <f t="shared" si="4"/>
        <v>0</v>
      </c>
      <c r="K53" s="294">
        <f t="shared" si="0"/>
        <v>100000.71679999998</v>
      </c>
      <c r="L53" s="295"/>
      <c r="M53" s="297">
        <f t="shared" si="3"/>
        <v>615085.70740000019</v>
      </c>
      <c r="N53" s="318"/>
      <c r="O53" s="296"/>
    </row>
    <row r="54" spans="1:15">
      <c r="A54" s="98">
        <v>50</v>
      </c>
      <c r="B54" s="377" t="s">
        <v>202</v>
      </c>
      <c r="C54" s="384" t="s">
        <v>297</v>
      </c>
      <c r="D54" s="105" t="s">
        <v>298</v>
      </c>
      <c r="E54" s="297">
        <v>1639.53</v>
      </c>
      <c r="F54" s="294">
        <v>91.49</v>
      </c>
      <c r="G54" s="294">
        <f t="shared" si="1"/>
        <v>150000.59969999999</v>
      </c>
      <c r="H54" s="105"/>
      <c r="I54" s="105"/>
      <c r="J54" s="294">
        <f t="shared" si="4"/>
        <v>0</v>
      </c>
      <c r="K54" s="294">
        <f t="shared" si="0"/>
        <v>150000.59969999999</v>
      </c>
      <c r="L54" s="295"/>
      <c r="M54" s="297">
        <f t="shared" si="3"/>
        <v>465085.10770000017</v>
      </c>
      <c r="N54" s="297"/>
      <c r="O54" s="294"/>
    </row>
    <row r="55" spans="1:15">
      <c r="A55" s="312">
        <v>51</v>
      </c>
      <c r="B55" s="377" t="s">
        <v>202</v>
      </c>
      <c r="C55" s="383" t="s">
        <v>300</v>
      </c>
      <c r="D55" s="105" t="s">
        <v>298</v>
      </c>
      <c r="E55" s="319">
        <v>2307.21</v>
      </c>
      <c r="F55" s="105">
        <v>92.23</v>
      </c>
      <c r="G55" s="294">
        <f t="shared" si="1"/>
        <v>212793.97830000002</v>
      </c>
      <c r="H55" s="105"/>
      <c r="I55" s="105"/>
      <c r="J55" s="294">
        <f t="shared" si="4"/>
        <v>0</v>
      </c>
      <c r="K55" s="294">
        <f t="shared" si="0"/>
        <v>212793.97830000002</v>
      </c>
      <c r="L55" s="295"/>
      <c r="M55" s="297">
        <f t="shared" si="3"/>
        <v>252291.12940000015</v>
      </c>
      <c r="N55" s="294"/>
      <c r="O55" s="294"/>
    </row>
    <row r="56" spans="1:15">
      <c r="A56" s="98">
        <v>52</v>
      </c>
      <c r="B56" s="377" t="s">
        <v>202</v>
      </c>
      <c r="C56" s="385" t="s">
        <v>299</v>
      </c>
      <c r="D56" s="105" t="s">
        <v>298</v>
      </c>
      <c r="E56" s="338">
        <v>400</v>
      </c>
      <c r="F56" s="313">
        <v>92.22</v>
      </c>
      <c r="G56" s="294">
        <f t="shared" si="1"/>
        <v>36888</v>
      </c>
      <c r="H56" s="313">
        <v>60</v>
      </c>
      <c r="I56" s="313">
        <v>104.08</v>
      </c>
      <c r="J56" s="294">
        <f t="shared" si="4"/>
        <v>6244.8</v>
      </c>
      <c r="K56" s="294">
        <f t="shared" si="0"/>
        <v>43132.800000000003</v>
      </c>
      <c r="L56" s="350"/>
      <c r="M56" s="297">
        <f t="shared" si="3"/>
        <v>209158.32940000016</v>
      </c>
      <c r="N56" s="294"/>
      <c r="O56" s="294"/>
    </row>
    <row r="57" spans="1:15">
      <c r="A57" s="98">
        <v>53</v>
      </c>
      <c r="B57" s="377" t="s">
        <v>202</v>
      </c>
      <c r="C57" s="169" t="s">
        <v>203</v>
      </c>
      <c r="D57" s="351" t="s">
        <v>294</v>
      </c>
      <c r="E57" s="329">
        <v>37.369999999999997</v>
      </c>
      <c r="F57" s="298">
        <v>96.88</v>
      </c>
      <c r="G57" s="294">
        <f t="shared" si="1"/>
        <v>3620.4055999999996</v>
      </c>
      <c r="H57" s="313"/>
      <c r="I57" s="313"/>
      <c r="J57" s="294">
        <f t="shared" si="4"/>
        <v>0</v>
      </c>
      <c r="K57" s="294">
        <f t="shared" si="0"/>
        <v>3620.4055999999996</v>
      </c>
      <c r="L57" s="295"/>
      <c r="M57" s="297">
        <f t="shared" si="3"/>
        <v>205537.92380000016</v>
      </c>
      <c r="N57" s="294"/>
      <c r="O57" s="294"/>
    </row>
    <row r="58" spans="1:15">
      <c r="A58" s="312">
        <v>54</v>
      </c>
      <c r="B58" s="377" t="s">
        <v>205</v>
      </c>
      <c r="C58" s="169" t="s">
        <v>323</v>
      </c>
      <c r="D58" s="319" t="s">
        <v>294</v>
      </c>
      <c r="E58" s="297">
        <v>0</v>
      </c>
      <c r="F58" s="294">
        <v>0</v>
      </c>
      <c r="G58" s="294">
        <f t="shared" si="1"/>
        <v>0</v>
      </c>
      <c r="H58" s="105">
        <v>15</v>
      </c>
      <c r="I58" s="105">
        <v>109.68</v>
      </c>
      <c r="J58" s="294">
        <f t="shared" si="4"/>
        <v>1645.2</v>
      </c>
      <c r="K58" s="294">
        <f t="shared" si="0"/>
        <v>1645.2</v>
      </c>
      <c r="L58" s="295"/>
      <c r="M58" s="297">
        <f t="shared" si="3"/>
        <v>203892.72380000015</v>
      </c>
      <c r="N58" s="296"/>
      <c r="O58" s="296"/>
    </row>
    <row r="59" spans="1:15">
      <c r="A59" s="98">
        <v>55</v>
      </c>
      <c r="B59" s="377" t="s">
        <v>205</v>
      </c>
      <c r="C59" s="169" t="s">
        <v>324</v>
      </c>
      <c r="D59" s="319" t="s">
        <v>153</v>
      </c>
      <c r="E59" s="297">
        <v>40</v>
      </c>
      <c r="F59" s="294">
        <v>92.35</v>
      </c>
      <c r="G59" s="294">
        <f t="shared" si="1"/>
        <v>3694</v>
      </c>
      <c r="H59" s="105">
        <v>0</v>
      </c>
      <c r="I59" s="105">
        <v>0</v>
      </c>
      <c r="J59" s="294">
        <f t="shared" si="4"/>
        <v>0</v>
      </c>
      <c r="K59" s="294">
        <f t="shared" si="0"/>
        <v>3694</v>
      </c>
      <c r="L59" s="295"/>
      <c r="M59" s="297">
        <f t="shared" si="3"/>
        <v>200198.72380000015</v>
      </c>
      <c r="N59" s="294"/>
      <c r="O59" s="294"/>
    </row>
    <row r="60" spans="1:15">
      <c r="A60" s="98">
        <v>56</v>
      </c>
      <c r="B60" s="377" t="s">
        <v>275</v>
      </c>
      <c r="C60" s="321" t="s">
        <v>307</v>
      </c>
      <c r="D60" s="319" t="s">
        <v>153</v>
      </c>
      <c r="E60" s="297">
        <v>21.79</v>
      </c>
      <c r="F60" s="294">
        <v>91.8</v>
      </c>
      <c r="G60" s="294">
        <f t="shared" si="1"/>
        <v>2000.3219999999999</v>
      </c>
      <c r="H60" s="105">
        <v>0</v>
      </c>
      <c r="I60" s="105">
        <v>0</v>
      </c>
      <c r="J60" s="294">
        <f t="shared" si="4"/>
        <v>0</v>
      </c>
      <c r="K60" s="294">
        <f t="shared" si="0"/>
        <v>2000.3219999999999</v>
      </c>
      <c r="L60" s="295"/>
      <c r="M60" s="297">
        <f t="shared" si="3"/>
        <v>198198.40180000017</v>
      </c>
      <c r="N60" s="296"/>
      <c r="O60" s="296"/>
    </row>
    <row r="61" spans="1:15">
      <c r="A61" s="312">
        <v>57</v>
      </c>
      <c r="B61" s="377" t="s">
        <v>275</v>
      </c>
      <c r="C61" s="169" t="s">
        <v>325</v>
      </c>
      <c r="D61" s="105" t="s">
        <v>146</v>
      </c>
      <c r="E61" s="297">
        <v>32.119999999999997</v>
      </c>
      <c r="F61" s="294">
        <v>95.7</v>
      </c>
      <c r="G61" s="294">
        <f t="shared" si="1"/>
        <v>3073.884</v>
      </c>
      <c r="H61" s="105">
        <v>0</v>
      </c>
      <c r="I61" s="105">
        <v>0</v>
      </c>
      <c r="J61" s="294">
        <f t="shared" si="4"/>
        <v>0</v>
      </c>
      <c r="K61" s="294">
        <f t="shared" si="0"/>
        <v>3073.884</v>
      </c>
      <c r="L61" s="295"/>
      <c r="M61" s="297">
        <f t="shared" si="3"/>
        <v>195124.51780000018</v>
      </c>
      <c r="N61" s="294"/>
      <c r="O61" s="294"/>
    </row>
    <row r="62" spans="1:15">
      <c r="A62" s="98">
        <v>58</v>
      </c>
      <c r="B62" s="377" t="s">
        <v>281</v>
      </c>
      <c r="C62" s="169" t="s">
        <v>326</v>
      </c>
      <c r="D62" s="105" t="s">
        <v>153</v>
      </c>
      <c r="E62" s="297">
        <v>37</v>
      </c>
      <c r="F62" s="294">
        <v>91.13</v>
      </c>
      <c r="G62" s="294">
        <f t="shared" si="1"/>
        <v>3371.81</v>
      </c>
      <c r="H62" s="105">
        <v>0</v>
      </c>
      <c r="I62" s="105">
        <v>0</v>
      </c>
      <c r="J62" s="294">
        <f t="shared" si="4"/>
        <v>0</v>
      </c>
      <c r="K62" s="294">
        <f t="shared" si="0"/>
        <v>3371.81</v>
      </c>
      <c r="L62" s="295"/>
      <c r="M62" s="297">
        <f t="shared" si="3"/>
        <v>191752.70780000018</v>
      </c>
      <c r="N62" s="294"/>
      <c r="O62" s="294"/>
    </row>
    <row r="63" spans="1:15">
      <c r="A63" s="98">
        <v>59</v>
      </c>
      <c r="B63" s="377" t="s">
        <v>281</v>
      </c>
      <c r="C63" s="169" t="s">
        <v>300</v>
      </c>
      <c r="D63" s="169" t="s">
        <v>301</v>
      </c>
      <c r="E63" s="297">
        <v>40.01</v>
      </c>
      <c r="F63" s="294">
        <v>92.23</v>
      </c>
      <c r="G63" s="294">
        <f t="shared" si="1"/>
        <v>3690.1223</v>
      </c>
      <c r="H63" s="105">
        <v>8</v>
      </c>
      <c r="I63" s="105">
        <v>104.09</v>
      </c>
      <c r="J63" s="294">
        <f t="shared" si="4"/>
        <v>832.72</v>
      </c>
      <c r="K63" s="294">
        <f t="shared" si="0"/>
        <v>4522.8423000000003</v>
      </c>
      <c r="L63" s="295"/>
      <c r="M63" s="297">
        <f t="shared" si="3"/>
        <v>187229.86550000019</v>
      </c>
      <c r="N63" s="294"/>
      <c r="O63" s="294"/>
    </row>
    <row r="64" spans="1:15">
      <c r="A64" s="312">
        <v>60</v>
      </c>
      <c r="B64" s="377" t="s">
        <v>276</v>
      </c>
      <c r="C64" s="320" t="s">
        <v>310</v>
      </c>
      <c r="D64" s="169" t="s">
        <v>144</v>
      </c>
      <c r="E64" s="294">
        <v>28.23</v>
      </c>
      <c r="F64" s="294">
        <v>95.7</v>
      </c>
      <c r="G64" s="294">
        <f t="shared" si="1"/>
        <v>2701.6110000000003</v>
      </c>
      <c r="H64" s="105">
        <v>0</v>
      </c>
      <c r="I64" s="105">
        <v>0</v>
      </c>
      <c r="J64" s="294">
        <f t="shared" si="4"/>
        <v>0</v>
      </c>
      <c r="K64" s="294">
        <f t="shared" si="0"/>
        <v>2701.6110000000003</v>
      </c>
      <c r="L64" s="295"/>
      <c r="M64" s="297">
        <f t="shared" si="3"/>
        <v>184528.25450000018</v>
      </c>
      <c r="N64" s="294"/>
      <c r="O64" s="294"/>
    </row>
    <row r="65" spans="1:15">
      <c r="A65" s="98">
        <v>61</v>
      </c>
      <c r="B65" s="377" t="s">
        <v>276</v>
      </c>
      <c r="C65" s="320" t="s">
        <v>310</v>
      </c>
      <c r="D65" s="320" t="s">
        <v>140</v>
      </c>
      <c r="E65" s="296">
        <v>0</v>
      </c>
      <c r="F65" s="296">
        <v>0</v>
      </c>
      <c r="G65" s="294">
        <f t="shared" si="1"/>
        <v>0</v>
      </c>
      <c r="H65" s="316">
        <v>4.5</v>
      </c>
      <c r="I65" s="316">
        <v>107.46</v>
      </c>
      <c r="J65" s="294">
        <f t="shared" si="4"/>
        <v>483.57</v>
      </c>
      <c r="K65" s="294">
        <f t="shared" si="0"/>
        <v>483.57</v>
      </c>
      <c r="L65" s="330"/>
      <c r="M65" s="297">
        <f t="shared" si="3"/>
        <v>184044.68450000018</v>
      </c>
      <c r="N65" s="404">
        <v>204965.24</v>
      </c>
      <c r="O65" s="294">
        <f>M65-N65</f>
        <v>-20920.555499999813</v>
      </c>
    </row>
    <row r="66" spans="1:15">
      <c r="A66" s="98">
        <v>62</v>
      </c>
      <c r="B66" s="377" t="s">
        <v>208</v>
      </c>
      <c r="C66" s="105" t="s">
        <v>293</v>
      </c>
      <c r="D66" s="169" t="s">
        <v>294</v>
      </c>
      <c r="E66" s="105">
        <v>45.1</v>
      </c>
      <c r="F66" s="105">
        <v>97.28</v>
      </c>
      <c r="G66" s="294">
        <f t="shared" si="1"/>
        <v>4387.3280000000004</v>
      </c>
      <c r="H66" s="105">
        <v>15</v>
      </c>
      <c r="I66" s="105">
        <v>109.47</v>
      </c>
      <c r="J66" s="294">
        <f t="shared" si="4"/>
        <v>1642.05</v>
      </c>
      <c r="K66" s="294">
        <f t="shared" si="0"/>
        <v>6029.3780000000006</v>
      </c>
      <c r="L66" s="295"/>
      <c r="M66" s="297">
        <f t="shared" si="3"/>
        <v>178015.30650000018</v>
      </c>
      <c r="N66" s="332"/>
      <c r="O66" s="186"/>
    </row>
    <row r="67" spans="1:15">
      <c r="A67" s="312">
        <v>63</v>
      </c>
      <c r="B67" s="377" t="s">
        <v>208</v>
      </c>
      <c r="C67" s="316" t="s">
        <v>312</v>
      </c>
      <c r="D67" s="319" t="s">
        <v>148</v>
      </c>
      <c r="E67" s="105">
        <v>53.85</v>
      </c>
      <c r="F67" s="105">
        <v>95.7</v>
      </c>
      <c r="G67" s="294">
        <f t="shared" si="1"/>
        <v>5153.4450000000006</v>
      </c>
      <c r="H67" s="105">
        <v>0</v>
      </c>
      <c r="I67" s="105">
        <v>108.86</v>
      </c>
      <c r="J67" s="294">
        <f t="shared" si="4"/>
        <v>0</v>
      </c>
      <c r="K67" s="294">
        <f t="shared" si="0"/>
        <v>5153.4450000000006</v>
      </c>
      <c r="L67" s="295"/>
      <c r="M67" s="297">
        <f t="shared" si="3"/>
        <v>172861.86150000017</v>
      </c>
      <c r="N67" s="332"/>
      <c r="O67" s="186"/>
    </row>
    <row r="68" spans="1:15">
      <c r="A68" s="98">
        <v>64</v>
      </c>
      <c r="B68" s="377" t="s">
        <v>208</v>
      </c>
      <c r="C68" s="105" t="s">
        <v>296</v>
      </c>
      <c r="D68" s="362" t="s">
        <v>294</v>
      </c>
      <c r="E68" s="105">
        <v>0</v>
      </c>
      <c r="F68" s="105">
        <v>0</v>
      </c>
      <c r="G68" s="294">
        <f t="shared" ref="G68:G83" si="5">E68*F68</f>
        <v>0</v>
      </c>
      <c r="H68" s="105">
        <v>5</v>
      </c>
      <c r="I68" s="105">
        <v>108.86</v>
      </c>
      <c r="J68" s="294">
        <f t="shared" ref="J68:J81" si="6">H68*I68</f>
        <v>544.29999999999995</v>
      </c>
      <c r="K68" s="294">
        <f t="shared" si="0"/>
        <v>544.29999999999995</v>
      </c>
      <c r="L68" s="295"/>
      <c r="M68" s="297">
        <f t="shared" si="3"/>
        <v>172317.56150000019</v>
      </c>
      <c r="N68" s="332"/>
      <c r="O68" s="186"/>
    </row>
    <row r="69" spans="1:15">
      <c r="A69" s="98">
        <v>65</v>
      </c>
      <c r="B69" s="377" t="s">
        <v>209</v>
      </c>
      <c r="C69" s="105" t="s">
        <v>327</v>
      </c>
      <c r="D69" s="362" t="s">
        <v>328</v>
      </c>
      <c r="E69" s="105">
        <v>9885.8799999999992</v>
      </c>
      <c r="F69" s="105">
        <v>91.14</v>
      </c>
      <c r="G69" s="294">
        <f t="shared" si="5"/>
        <v>900999.1031999999</v>
      </c>
      <c r="H69" s="294">
        <v>946.46</v>
      </c>
      <c r="I69" s="294">
        <v>104.6</v>
      </c>
      <c r="J69" s="294">
        <f t="shared" si="6"/>
        <v>98999.716</v>
      </c>
      <c r="K69" s="294">
        <f t="shared" si="0"/>
        <v>999998.81919999991</v>
      </c>
      <c r="L69" s="295">
        <v>2171000</v>
      </c>
      <c r="M69" s="297">
        <f t="shared" si="3"/>
        <v>1343318.7423000005</v>
      </c>
      <c r="N69" s="333"/>
      <c r="O69" s="299"/>
    </row>
    <row r="70" spans="1:15">
      <c r="A70" s="312">
        <v>66</v>
      </c>
      <c r="B70" s="377" t="s">
        <v>209</v>
      </c>
      <c r="C70" s="105" t="s">
        <v>300</v>
      </c>
      <c r="D70" s="351" t="s">
        <v>301</v>
      </c>
      <c r="E70" s="298">
        <v>35</v>
      </c>
      <c r="F70" s="298">
        <v>92.23</v>
      </c>
      <c r="G70" s="294">
        <f t="shared" si="5"/>
        <v>3228.05</v>
      </c>
      <c r="H70" s="298">
        <v>5</v>
      </c>
      <c r="I70" s="298">
        <v>104.09</v>
      </c>
      <c r="J70" s="294">
        <f t="shared" si="6"/>
        <v>520.45000000000005</v>
      </c>
      <c r="K70" s="294">
        <f t="shared" si="0"/>
        <v>3748.5</v>
      </c>
      <c r="L70" s="315"/>
      <c r="M70" s="297">
        <f t="shared" si="3"/>
        <v>1339570.2423000005</v>
      </c>
      <c r="N70" s="186"/>
      <c r="O70" s="186"/>
    </row>
    <row r="71" spans="1:15">
      <c r="A71" s="98">
        <v>67</v>
      </c>
      <c r="B71" s="377" t="s">
        <v>209</v>
      </c>
      <c r="C71" s="105" t="s">
        <v>307</v>
      </c>
      <c r="D71" s="169" t="s">
        <v>153</v>
      </c>
      <c r="E71" s="294">
        <v>30</v>
      </c>
      <c r="F71" s="294">
        <v>91.8</v>
      </c>
      <c r="G71" s="294">
        <f t="shared" si="5"/>
        <v>2754</v>
      </c>
      <c r="H71" s="294">
        <v>0</v>
      </c>
      <c r="I71" s="294">
        <v>0</v>
      </c>
      <c r="J71" s="294">
        <f t="shared" si="6"/>
        <v>0</v>
      </c>
      <c r="K71" s="294">
        <f t="shared" si="0"/>
        <v>2754</v>
      </c>
      <c r="L71" s="295"/>
      <c r="M71" s="297">
        <f t="shared" si="3"/>
        <v>1336816.2423000005</v>
      </c>
      <c r="N71" s="186"/>
      <c r="O71" s="186"/>
    </row>
    <row r="72" spans="1:15">
      <c r="A72" s="98">
        <v>68</v>
      </c>
      <c r="B72" s="377" t="s">
        <v>209</v>
      </c>
      <c r="C72" s="169" t="s">
        <v>303</v>
      </c>
      <c r="D72" s="169" t="s">
        <v>304</v>
      </c>
      <c r="E72" s="294">
        <v>6570.3</v>
      </c>
      <c r="F72" s="294">
        <v>91.32</v>
      </c>
      <c r="G72" s="294">
        <f t="shared" si="5"/>
        <v>599999.79599999997</v>
      </c>
      <c r="H72" s="294">
        <v>0</v>
      </c>
      <c r="I72" s="294">
        <v>0</v>
      </c>
      <c r="J72" s="294">
        <f t="shared" si="6"/>
        <v>0</v>
      </c>
      <c r="K72" s="294">
        <f t="shared" si="0"/>
        <v>599999.79599999997</v>
      </c>
      <c r="L72" s="295"/>
      <c r="M72" s="297">
        <f t="shared" ref="M72:M83" si="7">M71+L72-K72</f>
        <v>736816.44630000053</v>
      </c>
      <c r="N72" s="299"/>
      <c r="O72" s="299"/>
    </row>
    <row r="73" spans="1:15">
      <c r="A73" s="312">
        <v>69</v>
      </c>
      <c r="B73" s="377" t="s">
        <v>209</v>
      </c>
      <c r="C73" s="105" t="s">
        <v>314</v>
      </c>
      <c r="D73" s="169" t="s">
        <v>298</v>
      </c>
      <c r="E73" s="294">
        <v>2175.58</v>
      </c>
      <c r="F73" s="294">
        <v>91.93</v>
      </c>
      <c r="G73" s="294">
        <f t="shared" si="5"/>
        <v>200001.06940000001</v>
      </c>
      <c r="H73" s="294">
        <v>0</v>
      </c>
      <c r="I73" s="294">
        <v>0</v>
      </c>
      <c r="J73" s="294">
        <f t="shared" si="6"/>
        <v>0</v>
      </c>
      <c r="K73" s="294">
        <f t="shared" si="0"/>
        <v>200001.06940000001</v>
      </c>
      <c r="L73" s="295"/>
      <c r="M73" s="297">
        <f t="shared" si="7"/>
        <v>536815.3769000005</v>
      </c>
      <c r="N73" s="186"/>
      <c r="O73" s="186"/>
    </row>
    <row r="74" spans="1:15">
      <c r="A74" s="98">
        <v>70</v>
      </c>
      <c r="B74" s="377" t="s">
        <v>209</v>
      </c>
      <c r="C74" s="313" t="s">
        <v>302</v>
      </c>
      <c r="D74" s="169" t="s">
        <v>298</v>
      </c>
      <c r="E74" s="294">
        <v>1864.99</v>
      </c>
      <c r="F74" s="294">
        <v>92.17</v>
      </c>
      <c r="G74" s="294">
        <f t="shared" si="5"/>
        <v>171896.12830000001</v>
      </c>
      <c r="H74" s="294">
        <v>0</v>
      </c>
      <c r="I74" s="294">
        <v>0</v>
      </c>
      <c r="J74" s="294">
        <f t="shared" si="6"/>
        <v>0</v>
      </c>
      <c r="K74" s="294">
        <f t="shared" ref="K74:K83" si="8">G74+J74</f>
        <v>171896.12830000001</v>
      </c>
      <c r="L74" s="295"/>
      <c r="M74" s="297">
        <f t="shared" si="7"/>
        <v>364919.24860000052</v>
      </c>
      <c r="N74" s="299"/>
      <c r="O74" s="299"/>
    </row>
    <row r="75" spans="1:15">
      <c r="A75" s="98">
        <v>71</v>
      </c>
      <c r="B75" s="377" t="s">
        <v>209</v>
      </c>
      <c r="C75" s="329" t="s">
        <v>318</v>
      </c>
      <c r="D75" s="169" t="s">
        <v>298</v>
      </c>
      <c r="E75" s="294">
        <v>652.39</v>
      </c>
      <c r="F75" s="294">
        <v>91.97</v>
      </c>
      <c r="G75" s="294">
        <f t="shared" si="5"/>
        <v>60000.308299999997</v>
      </c>
      <c r="H75" s="294">
        <v>0</v>
      </c>
      <c r="I75" s="294">
        <v>0</v>
      </c>
      <c r="J75" s="294">
        <f t="shared" si="6"/>
        <v>0</v>
      </c>
      <c r="K75" s="294">
        <f t="shared" si="8"/>
        <v>60000.308299999997</v>
      </c>
      <c r="L75" s="295"/>
      <c r="M75" s="297">
        <f t="shared" si="7"/>
        <v>304918.94030000054</v>
      </c>
      <c r="N75" s="299"/>
      <c r="O75" s="299"/>
    </row>
    <row r="76" spans="1:15">
      <c r="A76" s="312">
        <v>72</v>
      </c>
      <c r="B76" s="377" t="s">
        <v>209</v>
      </c>
      <c r="C76" s="169" t="s">
        <v>329</v>
      </c>
      <c r="D76" s="169" t="s">
        <v>294</v>
      </c>
      <c r="E76" s="294">
        <v>0</v>
      </c>
      <c r="F76" s="294">
        <v>0</v>
      </c>
      <c r="G76" s="294">
        <f t="shared" si="5"/>
        <v>0</v>
      </c>
      <c r="H76" s="329">
        <v>5</v>
      </c>
      <c r="I76" s="329">
        <v>109.94</v>
      </c>
      <c r="J76" s="294">
        <f t="shared" si="6"/>
        <v>549.70000000000005</v>
      </c>
      <c r="K76" s="294">
        <f t="shared" si="8"/>
        <v>549.70000000000005</v>
      </c>
      <c r="L76" s="295"/>
      <c r="M76" s="297">
        <f t="shared" si="7"/>
        <v>304369.24030000053</v>
      </c>
      <c r="N76" s="186"/>
      <c r="O76" s="186"/>
    </row>
    <row r="77" spans="1:15">
      <c r="A77" s="98">
        <v>73</v>
      </c>
      <c r="B77" s="377" t="s">
        <v>277</v>
      </c>
      <c r="C77" s="169" t="s">
        <v>310</v>
      </c>
      <c r="D77" s="329" t="s">
        <v>140</v>
      </c>
      <c r="E77" s="294">
        <v>30</v>
      </c>
      <c r="F77" s="294">
        <v>95.7</v>
      </c>
      <c r="G77" s="294">
        <f t="shared" si="5"/>
        <v>2871</v>
      </c>
      <c r="H77" s="294">
        <v>3.2</v>
      </c>
      <c r="I77" s="294">
        <v>107.46</v>
      </c>
      <c r="J77" s="294">
        <f t="shared" si="6"/>
        <v>343.87200000000001</v>
      </c>
      <c r="K77" s="294">
        <f t="shared" si="8"/>
        <v>3214.8719999999998</v>
      </c>
      <c r="L77" s="295"/>
      <c r="M77" s="297">
        <f t="shared" si="7"/>
        <v>301154.36830000055</v>
      </c>
      <c r="N77" s="299"/>
      <c r="O77" s="299"/>
    </row>
    <row r="78" spans="1:15">
      <c r="A78" s="98">
        <v>74</v>
      </c>
      <c r="B78" s="377" t="s">
        <v>277</v>
      </c>
      <c r="C78" s="169" t="s">
        <v>307</v>
      </c>
      <c r="D78" s="329" t="s">
        <v>153</v>
      </c>
      <c r="E78" s="294">
        <v>32.01</v>
      </c>
      <c r="F78" s="294">
        <v>91.8</v>
      </c>
      <c r="G78" s="294">
        <f t="shared" si="5"/>
        <v>2938.5179999999996</v>
      </c>
      <c r="H78" s="294">
        <v>0</v>
      </c>
      <c r="I78" s="294">
        <v>0</v>
      </c>
      <c r="J78" s="294">
        <f t="shared" si="6"/>
        <v>0</v>
      </c>
      <c r="K78" s="294">
        <f t="shared" si="8"/>
        <v>2938.5179999999996</v>
      </c>
      <c r="L78" s="295"/>
      <c r="M78" s="297">
        <f t="shared" si="7"/>
        <v>298215.85030000057</v>
      </c>
      <c r="N78" s="186"/>
      <c r="O78" s="186"/>
    </row>
    <row r="79" spans="1:15">
      <c r="A79" s="312">
        <v>75</v>
      </c>
      <c r="B79" s="377" t="s">
        <v>211</v>
      </c>
      <c r="C79" s="169" t="s">
        <v>296</v>
      </c>
      <c r="D79" s="169" t="s">
        <v>294</v>
      </c>
      <c r="E79" s="294">
        <v>37.659999999999997</v>
      </c>
      <c r="F79" s="294">
        <v>96.74</v>
      </c>
      <c r="G79" s="294">
        <f t="shared" si="5"/>
        <v>3643.2283999999995</v>
      </c>
      <c r="H79" s="294">
        <v>0</v>
      </c>
      <c r="I79" s="294">
        <v>0</v>
      </c>
      <c r="J79" s="294">
        <f t="shared" si="6"/>
        <v>0</v>
      </c>
      <c r="K79" s="294">
        <f t="shared" si="8"/>
        <v>3643.2283999999995</v>
      </c>
      <c r="L79" s="294"/>
      <c r="M79" s="297">
        <f t="shared" si="7"/>
        <v>294572.62190000055</v>
      </c>
      <c r="N79" s="186"/>
      <c r="O79" s="186"/>
    </row>
    <row r="80" spans="1:15">
      <c r="A80" s="98">
        <v>76</v>
      </c>
      <c r="B80" s="377" t="s">
        <v>211</v>
      </c>
      <c r="C80" s="169" t="s">
        <v>296</v>
      </c>
      <c r="D80" s="169" t="s">
        <v>294</v>
      </c>
      <c r="E80" s="294">
        <v>0</v>
      </c>
      <c r="F80" s="294">
        <v>0</v>
      </c>
      <c r="G80" s="294">
        <f t="shared" si="5"/>
        <v>0</v>
      </c>
      <c r="H80" s="294">
        <v>5</v>
      </c>
      <c r="I80" s="294">
        <v>108.86</v>
      </c>
      <c r="J80" s="294">
        <f t="shared" si="6"/>
        <v>544.29999999999995</v>
      </c>
      <c r="K80" s="294">
        <f t="shared" si="8"/>
        <v>544.29999999999995</v>
      </c>
      <c r="L80" s="294"/>
      <c r="M80" s="297">
        <f t="shared" si="7"/>
        <v>294028.32190000056</v>
      </c>
      <c r="N80" s="186"/>
      <c r="O80" s="186"/>
    </row>
    <row r="81" spans="1:15">
      <c r="A81" s="98">
        <v>77</v>
      </c>
      <c r="B81" s="377" t="s">
        <v>211</v>
      </c>
      <c r="C81" s="169" t="s">
        <v>296</v>
      </c>
      <c r="D81" s="169" t="s">
        <v>294</v>
      </c>
      <c r="E81" s="294">
        <v>0</v>
      </c>
      <c r="F81" s="294">
        <v>0</v>
      </c>
      <c r="G81" s="294">
        <f t="shared" si="5"/>
        <v>0</v>
      </c>
      <c r="H81" s="294">
        <v>5</v>
      </c>
      <c r="I81" s="294">
        <v>116.14</v>
      </c>
      <c r="J81" s="294">
        <f t="shared" si="6"/>
        <v>580.70000000000005</v>
      </c>
      <c r="K81" s="294">
        <f t="shared" si="8"/>
        <v>580.70000000000005</v>
      </c>
      <c r="L81" s="294"/>
      <c r="M81" s="297">
        <f t="shared" si="7"/>
        <v>293447.62190000055</v>
      </c>
      <c r="N81" s="186"/>
      <c r="O81" s="186"/>
    </row>
    <row r="82" spans="1:15">
      <c r="A82" s="312">
        <v>78</v>
      </c>
      <c r="B82" s="377" t="s">
        <v>211</v>
      </c>
      <c r="C82" s="169" t="s">
        <v>300</v>
      </c>
      <c r="D82" s="169" t="s">
        <v>301</v>
      </c>
      <c r="E82" s="294">
        <v>45</v>
      </c>
      <c r="F82" s="294">
        <v>92.23</v>
      </c>
      <c r="G82" s="294">
        <f t="shared" si="5"/>
        <v>4150.3500000000004</v>
      </c>
      <c r="H82" s="294">
        <v>0</v>
      </c>
      <c r="I82" s="294">
        <v>0</v>
      </c>
      <c r="J82" s="294">
        <v>0</v>
      </c>
      <c r="K82" s="294">
        <f t="shared" si="8"/>
        <v>4150.3500000000004</v>
      </c>
      <c r="L82" s="294"/>
      <c r="M82" s="297">
        <f t="shared" si="7"/>
        <v>289297.27190000057</v>
      </c>
      <c r="N82" s="186"/>
      <c r="O82" s="186"/>
    </row>
    <row r="83" spans="1:15">
      <c r="A83" s="98">
        <v>79</v>
      </c>
      <c r="B83" s="377" t="s">
        <v>211</v>
      </c>
      <c r="C83" s="329" t="s">
        <v>315</v>
      </c>
      <c r="D83" s="169" t="s">
        <v>151</v>
      </c>
      <c r="E83" s="294">
        <v>81</v>
      </c>
      <c r="F83" s="294">
        <v>92.25</v>
      </c>
      <c r="G83" s="294">
        <f t="shared" si="5"/>
        <v>7472.25</v>
      </c>
      <c r="H83" s="294">
        <v>0</v>
      </c>
      <c r="I83" s="294">
        <v>0</v>
      </c>
      <c r="J83" s="294">
        <v>0</v>
      </c>
      <c r="K83" s="294">
        <f t="shared" si="8"/>
        <v>7472.25</v>
      </c>
      <c r="L83" s="294"/>
      <c r="M83" s="297">
        <f t="shared" si="7"/>
        <v>281825.02190000057</v>
      </c>
      <c r="N83" s="186">
        <v>281642.49</v>
      </c>
      <c r="O83" s="294">
        <f>M83-N83</f>
        <v>182.53190000058385</v>
      </c>
    </row>
    <row r="89" spans="1:15">
      <c r="N89" s="187" t="s">
        <v>212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P36"/>
  <sheetViews>
    <sheetView topLeftCell="A18" workbookViewId="0">
      <selection activeCell="C44" sqref="C44"/>
    </sheetView>
  </sheetViews>
  <sheetFormatPr defaultRowHeight="15"/>
  <cols>
    <col min="1" max="1" width="9.140625" style="5"/>
    <col min="2" max="2" width="11.5703125" style="5" customWidth="1"/>
    <col min="3" max="3" width="46" style="5" bestFit="1" customWidth="1"/>
    <col min="4" max="4" width="34.5703125" style="5" customWidth="1"/>
    <col min="5" max="5" width="40.85546875" style="5" bestFit="1" customWidth="1"/>
    <col min="6" max="6" width="15.7109375" style="5" customWidth="1"/>
    <col min="7" max="7" width="9.140625" style="5"/>
    <col min="8" max="8" width="22.42578125" style="5" customWidth="1"/>
    <col min="9" max="9" width="22.140625" style="5" customWidth="1"/>
    <col min="10" max="10" width="17.7109375" style="5" bestFit="1" customWidth="1"/>
    <col min="11" max="11" width="10.42578125" style="5" bestFit="1" customWidth="1"/>
    <col min="12" max="12" width="15.42578125" style="5" customWidth="1"/>
    <col min="13" max="13" width="17.7109375" style="5" customWidth="1"/>
    <col min="14" max="14" width="12.7109375" style="5" customWidth="1"/>
    <col min="15" max="15" width="15.140625" style="5" customWidth="1"/>
    <col min="16" max="16" width="20.5703125" style="5" customWidth="1"/>
    <col min="17" max="16384" width="9.140625" style="5"/>
  </cols>
  <sheetData>
    <row r="1" spans="1:16" ht="15.75">
      <c r="A1" s="458" t="s">
        <v>330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</row>
    <row r="2" spans="1:16">
      <c r="A2" s="65" t="s">
        <v>101</v>
      </c>
      <c r="B2" s="84" t="s">
        <v>155</v>
      </c>
      <c r="C2" s="84" t="s">
        <v>289</v>
      </c>
      <c r="D2" s="84"/>
      <c r="E2" s="84" t="s">
        <v>290</v>
      </c>
      <c r="F2" s="84" t="s">
        <v>158</v>
      </c>
      <c r="G2" s="84" t="s">
        <v>159</v>
      </c>
      <c r="H2" s="91" t="s">
        <v>160</v>
      </c>
      <c r="I2" s="84" t="s">
        <v>161</v>
      </c>
      <c r="J2" s="84" t="s">
        <v>159</v>
      </c>
      <c r="K2" s="91" t="s">
        <v>160</v>
      </c>
      <c r="L2" s="65" t="s">
        <v>162</v>
      </c>
      <c r="M2" s="92" t="s">
        <v>291</v>
      </c>
      <c r="N2" s="86" t="s">
        <v>174</v>
      </c>
      <c r="O2" s="84" t="s">
        <v>165</v>
      </c>
      <c r="P2" s="84" t="s">
        <v>292</v>
      </c>
    </row>
    <row r="3" spans="1:16">
      <c r="A3" s="488" t="s">
        <v>166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103">
        <v>287170.86999999918</v>
      </c>
      <c r="M3" s="226"/>
      <c r="N3" s="405">
        <f>+L3</f>
        <v>287170.86999999918</v>
      </c>
      <c r="O3" s="171"/>
      <c r="P3" s="171"/>
    </row>
    <row r="4" spans="1:16">
      <c r="A4" s="406">
        <v>1</v>
      </c>
      <c r="B4" s="47" t="s">
        <v>183</v>
      </c>
      <c r="C4" s="6" t="s">
        <v>331</v>
      </c>
      <c r="D4" s="6"/>
      <c r="E4" s="407" t="s">
        <v>332</v>
      </c>
      <c r="F4" s="67">
        <v>4788.26</v>
      </c>
      <c r="G4" s="67">
        <v>91.48</v>
      </c>
      <c r="H4" s="67">
        <v>438028</v>
      </c>
      <c r="I4" s="67"/>
      <c r="J4" s="67"/>
      <c r="K4" s="67"/>
      <c r="L4" s="67">
        <f>H4+K4</f>
        <v>438028</v>
      </c>
      <c r="M4" s="45">
        <v>5230000</v>
      </c>
      <c r="N4" s="408">
        <f>SUM(N3+M4-L4)</f>
        <v>5079142.8699999992</v>
      </c>
      <c r="O4" s="171"/>
      <c r="P4" s="171"/>
    </row>
    <row r="5" spans="1:16">
      <c r="A5" s="406">
        <v>2</v>
      </c>
      <c r="B5" s="47" t="s">
        <v>183</v>
      </c>
      <c r="C5" s="6" t="s">
        <v>333</v>
      </c>
      <c r="D5" s="6" t="s">
        <v>46</v>
      </c>
      <c r="E5" s="407" t="s">
        <v>332</v>
      </c>
      <c r="F5" s="67">
        <v>0</v>
      </c>
      <c r="G5" s="67">
        <v>0</v>
      </c>
      <c r="H5" s="67">
        <v>0</v>
      </c>
      <c r="I5" s="67">
        <v>24</v>
      </c>
      <c r="J5" s="67">
        <v>104.08</v>
      </c>
      <c r="K5" s="67">
        <f>I5*J5</f>
        <v>2497.92</v>
      </c>
      <c r="L5" s="67">
        <f>H5+K5</f>
        <v>2497.92</v>
      </c>
      <c r="M5" s="45"/>
      <c r="N5" s="408">
        <f t="shared" ref="N5:N34" si="0">SUM(N4+M5-L5)</f>
        <v>5076644.9499999993</v>
      </c>
      <c r="O5" s="171"/>
      <c r="P5" s="171"/>
    </row>
    <row r="6" spans="1:16">
      <c r="A6" s="406">
        <v>3</v>
      </c>
      <c r="B6" s="47" t="s">
        <v>183</v>
      </c>
      <c r="C6" s="6" t="s">
        <v>334</v>
      </c>
      <c r="D6" s="6"/>
      <c r="E6" s="407" t="s">
        <v>335</v>
      </c>
      <c r="F6" s="67">
        <v>6035.15</v>
      </c>
      <c r="G6" s="67">
        <v>91.78</v>
      </c>
      <c r="H6" s="67">
        <v>553904</v>
      </c>
      <c r="I6" s="67"/>
      <c r="J6" s="67"/>
      <c r="K6" s="67"/>
      <c r="L6" s="67">
        <f>H6+K6</f>
        <v>553904</v>
      </c>
      <c r="M6" s="45"/>
      <c r="N6" s="408">
        <f t="shared" si="0"/>
        <v>4522740.9499999993</v>
      </c>
      <c r="O6" s="171"/>
      <c r="P6" s="171"/>
    </row>
    <row r="7" spans="1:16">
      <c r="A7" s="406">
        <v>4</v>
      </c>
      <c r="B7" s="47" t="s">
        <v>183</v>
      </c>
      <c r="C7" s="6" t="s">
        <v>336</v>
      </c>
      <c r="D7" s="6"/>
      <c r="E7" s="407" t="s">
        <v>337</v>
      </c>
      <c r="F7" s="67">
        <v>1816.31</v>
      </c>
      <c r="G7" s="67">
        <v>91.89</v>
      </c>
      <c r="H7" s="67">
        <v>166900</v>
      </c>
      <c r="I7" s="67"/>
      <c r="J7" s="67"/>
      <c r="K7" s="67"/>
      <c r="L7" s="67">
        <f>H7+K7</f>
        <v>166900</v>
      </c>
      <c r="M7" s="45"/>
      <c r="N7" s="408">
        <f t="shared" si="0"/>
        <v>4355840.9499999993</v>
      </c>
      <c r="O7" s="6"/>
      <c r="P7" s="6"/>
    </row>
    <row r="8" spans="1:16">
      <c r="A8" s="406">
        <v>5</v>
      </c>
      <c r="B8" s="47" t="s">
        <v>183</v>
      </c>
      <c r="C8" s="6" t="s">
        <v>338</v>
      </c>
      <c r="D8" s="6"/>
      <c r="E8" s="407" t="s">
        <v>339</v>
      </c>
      <c r="F8" s="67">
        <v>5237.47</v>
      </c>
      <c r="G8" s="67">
        <v>91.33</v>
      </c>
      <c r="H8" s="67">
        <v>478337</v>
      </c>
      <c r="I8" s="67"/>
      <c r="J8" s="67"/>
      <c r="K8" s="67"/>
      <c r="L8" s="67">
        <f>H8+K8</f>
        <v>478337</v>
      </c>
      <c r="M8" s="45"/>
      <c r="N8" s="408">
        <f t="shared" si="0"/>
        <v>3877503.9499999993</v>
      </c>
      <c r="O8" s="6"/>
      <c r="P8" s="6"/>
    </row>
    <row r="9" spans="1:16">
      <c r="A9" s="406">
        <v>6</v>
      </c>
      <c r="B9" s="47" t="s">
        <v>183</v>
      </c>
      <c r="C9" s="6" t="s">
        <v>340</v>
      </c>
      <c r="D9" s="6" t="s">
        <v>341</v>
      </c>
      <c r="E9" s="407" t="s">
        <v>342</v>
      </c>
      <c r="F9" s="67">
        <v>327.83</v>
      </c>
      <c r="G9" s="67">
        <v>91.51</v>
      </c>
      <c r="H9" s="67">
        <v>30000</v>
      </c>
      <c r="I9" s="67"/>
      <c r="J9" s="67"/>
      <c r="K9" s="67"/>
      <c r="L9" s="67">
        <f>H9+K9</f>
        <v>30000</v>
      </c>
      <c r="M9" s="45"/>
      <c r="N9" s="408">
        <f t="shared" si="0"/>
        <v>3847503.9499999993</v>
      </c>
      <c r="O9" s="6"/>
      <c r="P9" s="6"/>
    </row>
    <row r="10" spans="1:16">
      <c r="A10" s="406">
        <v>7</v>
      </c>
      <c r="B10" s="47" t="s">
        <v>183</v>
      </c>
      <c r="C10" s="6" t="s">
        <v>343</v>
      </c>
      <c r="D10" s="6"/>
      <c r="E10" s="407" t="s">
        <v>344</v>
      </c>
      <c r="F10" s="67">
        <v>31314.04</v>
      </c>
      <c r="G10" s="67">
        <v>95.68</v>
      </c>
      <c r="H10" s="67">
        <v>2998712</v>
      </c>
      <c r="I10" s="67"/>
      <c r="J10" s="67"/>
      <c r="K10" s="67"/>
      <c r="L10" s="67">
        <f>H10+K10</f>
        <v>2998712</v>
      </c>
      <c r="M10" s="45"/>
      <c r="N10" s="408">
        <f t="shared" si="0"/>
        <v>848791.94999999925</v>
      </c>
      <c r="O10" s="6"/>
      <c r="P10" s="6"/>
    </row>
    <row r="11" spans="1:16">
      <c r="A11" s="406">
        <v>8</v>
      </c>
      <c r="B11" s="47" t="s">
        <v>282</v>
      </c>
      <c r="C11" s="6" t="s">
        <v>340</v>
      </c>
      <c r="D11" s="6" t="s">
        <v>341</v>
      </c>
      <c r="E11" s="407" t="s">
        <v>342</v>
      </c>
      <c r="F11" s="67">
        <v>334.61</v>
      </c>
      <c r="G11" s="67">
        <v>91.51</v>
      </c>
      <c r="H11" s="67">
        <v>30620.639999999999</v>
      </c>
      <c r="I11" s="67"/>
      <c r="J11" s="67"/>
      <c r="K11" s="67"/>
      <c r="L11" s="67">
        <f t="shared" ref="L11:L34" si="1">H11+K11</f>
        <v>30620.639999999999</v>
      </c>
      <c r="M11" s="409"/>
      <c r="N11" s="408">
        <f t="shared" si="0"/>
        <v>818171.30999999924</v>
      </c>
      <c r="O11" s="6"/>
      <c r="P11" s="6"/>
    </row>
    <row r="12" spans="1:16">
      <c r="A12" s="406">
        <v>9</v>
      </c>
      <c r="B12" s="47" t="s">
        <v>283</v>
      </c>
      <c r="C12" s="6" t="s">
        <v>345</v>
      </c>
      <c r="D12" s="6" t="s">
        <v>143</v>
      </c>
      <c r="E12" s="407" t="s">
        <v>346</v>
      </c>
      <c r="F12" s="67">
        <v>55.14</v>
      </c>
      <c r="G12" s="67">
        <v>95.64</v>
      </c>
      <c r="H12" s="67">
        <v>5273.58</v>
      </c>
      <c r="I12" s="67"/>
      <c r="J12" s="67"/>
      <c r="K12" s="67"/>
      <c r="L12" s="67">
        <f t="shared" si="1"/>
        <v>5273.58</v>
      </c>
      <c r="M12" s="409"/>
      <c r="N12" s="408">
        <f t="shared" si="0"/>
        <v>812897.72999999928</v>
      </c>
      <c r="O12" s="6"/>
      <c r="P12" s="6"/>
    </row>
    <row r="13" spans="1:16">
      <c r="A13" s="406">
        <v>10</v>
      </c>
      <c r="B13" s="47" t="s">
        <v>283</v>
      </c>
      <c r="C13" s="6" t="s">
        <v>340</v>
      </c>
      <c r="D13" s="6" t="s">
        <v>341</v>
      </c>
      <c r="E13" s="407" t="s">
        <v>342</v>
      </c>
      <c r="F13" s="422">
        <v>6.79</v>
      </c>
      <c r="G13" s="67">
        <v>91.51</v>
      </c>
      <c r="H13" s="67">
        <v>621</v>
      </c>
      <c r="I13" s="67"/>
      <c r="J13" s="67"/>
      <c r="K13" s="67"/>
      <c r="L13" s="67">
        <f t="shared" si="1"/>
        <v>621</v>
      </c>
      <c r="M13" s="409"/>
      <c r="N13" s="408">
        <f t="shared" si="0"/>
        <v>812276.72999999928</v>
      </c>
      <c r="O13" s="6"/>
      <c r="P13" s="6"/>
    </row>
    <row r="14" spans="1:16">
      <c r="A14" s="406">
        <v>11</v>
      </c>
      <c r="B14" s="47" t="s">
        <v>186</v>
      </c>
      <c r="C14" s="6" t="s">
        <v>347</v>
      </c>
      <c r="D14" s="6"/>
      <c r="E14" s="407" t="s">
        <v>342</v>
      </c>
      <c r="F14" s="67">
        <v>3753.54</v>
      </c>
      <c r="G14" s="67">
        <v>91.54</v>
      </c>
      <c r="H14" s="67">
        <v>343617.28000000003</v>
      </c>
      <c r="I14" s="67"/>
      <c r="J14" s="67"/>
      <c r="K14" s="67"/>
      <c r="L14" s="67">
        <f t="shared" si="1"/>
        <v>343617.28000000003</v>
      </c>
      <c r="M14" s="409"/>
      <c r="N14" s="408">
        <f t="shared" si="0"/>
        <v>468659.44999999925</v>
      </c>
      <c r="O14" s="6"/>
      <c r="P14" s="6"/>
    </row>
    <row r="15" spans="1:16">
      <c r="A15" s="406">
        <v>12</v>
      </c>
      <c r="B15" s="47" t="s">
        <v>186</v>
      </c>
      <c r="C15" s="410" t="s">
        <v>348</v>
      </c>
      <c r="D15" s="410"/>
      <c r="E15" s="407" t="s">
        <v>332</v>
      </c>
      <c r="F15" s="67">
        <v>200</v>
      </c>
      <c r="G15" s="67">
        <v>97.79</v>
      </c>
      <c r="H15" s="67">
        <v>19558</v>
      </c>
      <c r="I15" s="67"/>
      <c r="J15" s="67"/>
      <c r="K15" s="67"/>
      <c r="L15" s="67">
        <f t="shared" si="1"/>
        <v>19558</v>
      </c>
      <c r="M15" s="6"/>
      <c r="N15" s="408">
        <f t="shared" si="0"/>
        <v>449101.44999999925</v>
      </c>
      <c r="O15" s="6"/>
      <c r="P15" s="6"/>
    </row>
    <row r="16" spans="1:16">
      <c r="A16" s="406">
        <v>13</v>
      </c>
      <c r="B16" s="47" t="s">
        <v>278</v>
      </c>
      <c r="C16" s="6" t="s">
        <v>333</v>
      </c>
      <c r="D16" s="6"/>
      <c r="E16" s="407" t="s">
        <v>332</v>
      </c>
      <c r="F16" s="67">
        <v>217.27</v>
      </c>
      <c r="G16" s="67">
        <v>92.05</v>
      </c>
      <c r="H16" s="67">
        <v>20000</v>
      </c>
      <c r="I16" s="67"/>
      <c r="J16" s="67"/>
      <c r="K16" s="67"/>
      <c r="L16" s="67">
        <f t="shared" si="1"/>
        <v>20000</v>
      </c>
      <c r="M16" s="45"/>
      <c r="N16" s="408">
        <f t="shared" si="0"/>
        <v>429101.44999999925</v>
      </c>
      <c r="O16" s="6"/>
      <c r="P16" s="6"/>
    </row>
    <row r="17" spans="1:16">
      <c r="A17" s="406">
        <v>14</v>
      </c>
      <c r="B17" s="47" t="s">
        <v>278</v>
      </c>
      <c r="C17" s="6" t="s">
        <v>349</v>
      </c>
      <c r="D17" s="6"/>
      <c r="E17" s="407" t="s">
        <v>332</v>
      </c>
      <c r="F17" s="67">
        <v>64.540000000000006</v>
      </c>
      <c r="G17" s="67">
        <v>91.5</v>
      </c>
      <c r="H17" s="67">
        <v>5905</v>
      </c>
      <c r="I17" s="67"/>
      <c r="J17" s="67"/>
      <c r="K17" s="67"/>
      <c r="L17" s="67">
        <f t="shared" si="1"/>
        <v>5905</v>
      </c>
      <c r="M17" s="45"/>
      <c r="N17" s="408">
        <f t="shared" si="0"/>
        <v>423196.44999999925</v>
      </c>
      <c r="O17" s="6"/>
      <c r="P17" s="6"/>
    </row>
    <row r="18" spans="1:16">
      <c r="A18" s="406">
        <v>15</v>
      </c>
      <c r="B18" s="47" t="s">
        <v>278</v>
      </c>
      <c r="C18" s="6" t="s">
        <v>345</v>
      </c>
      <c r="D18" s="6"/>
      <c r="E18" s="407" t="s">
        <v>346</v>
      </c>
      <c r="F18" s="67">
        <v>20.91</v>
      </c>
      <c r="G18" s="67">
        <v>95.64</v>
      </c>
      <c r="H18" s="67">
        <v>2000</v>
      </c>
      <c r="I18" s="67"/>
      <c r="J18" s="67"/>
      <c r="K18" s="67"/>
      <c r="L18" s="67">
        <f t="shared" si="1"/>
        <v>2000</v>
      </c>
      <c r="M18" s="45"/>
      <c r="N18" s="408">
        <f t="shared" si="0"/>
        <v>421196.44999999925</v>
      </c>
      <c r="O18" s="6"/>
      <c r="P18" s="6"/>
    </row>
    <row r="19" spans="1:16">
      <c r="A19" s="406">
        <v>16</v>
      </c>
      <c r="B19" s="47" t="s">
        <v>280</v>
      </c>
      <c r="C19" s="6" t="s">
        <v>350</v>
      </c>
      <c r="D19" s="6" t="s">
        <v>24</v>
      </c>
      <c r="E19" s="407" t="s">
        <v>332</v>
      </c>
      <c r="F19" s="67">
        <v>39.479999999999997</v>
      </c>
      <c r="G19" s="67">
        <v>96.01</v>
      </c>
      <c r="H19" s="67">
        <v>3790.47</v>
      </c>
      <c r="I19" s="67"/>
      <c r="J19" s="67"/>
      <c r="K19" s="67"/>
      <c r="L19" s="67">
        <f t="shared" si="1"/>
        <v>3790.47</v>
      </c>
      <c r="M19" s="226"/>
      <c r="N19" s="408">
        <f t="shared" si="0"/>
        <v>417405.97999999928</v>
      </c>
      <c r="O19" s="171"/>
      <c r="P19" s="171"/>
    </row>
    <row r="20" spans="1:16">
      <c r="A20" s="406">
        <v>17</v>
      </c>
      <c r="B20" s="47" t="s">
        <v>195</v>
      </c>
      <c r="C20" s="6" t="s">
        <v>351</v>
      </c>
      <c r="D20" s="171" t="s">
        <v>352</v>
      </c>
      <c r="E20" s="407" t="s">
        <v>332</v>
      </c>
      <c r="F20" s="67">
        <v>40</v>
      </c>
      <c r="G20" s="67">
        <v>90.73</v>
      </c>
      <c r="H20" s="67">
        <v>3629.2</v>
      </c>
      <c r="I20" s="67"/>
      <c r="J20" s="67"/>
      <c r="K20" s="67"/>
      <c r="L20" s="67">
        <f t="shared" si="1"/>
        <v>3629.2</v>
      </c>
      <c r="M20" s="45"/>
      <c r="N20" s="408">
        <f t="shared" si="0"/>
        <v>413776.77999999927</v>
      </c>
      <c r="O20" s="411"/>
      <c r="P20" s="171"/>
    </row>
    <row r="21" spans="1:16">
      <c r="A21" s="406">
        <v>18</v>
      </c>
      <c r="B21" s="47" t="s">
        <v>272</v>
      </c>
      <c r="C21" s="5" t="s">
        <v>353</v>
      </c>
      <c r="D21" s="6"/>
      <c r="E21" s="426" t="s">
        <v>332</v>
      </c>
      <c r="F21" s="67">
        <v>33</v>
      </c>
      <c r="G21" s="67">
        <v>95.81</v>
      </c>
      <c r="H21" s="67">
        <v>3161.73</v>
      </c>
      <c r="I21" s="67"/>
      <c r="J21" s="67"/>
      <c r="K21" s="67"/>
      <c r="L21" s="67">
        <f t="shared" si="1"/>
        <v>3161.73</v>
      </c>
      <c r="M21" s="45"/>
      <c r="N21" s="408">
        <f t="shared" si="0"/>
        <v>410615.04999999929</v>
      </c>
      <c r="O21" s="411"/>
      <c r="P21" s="171"/>
    </row>
    <row r="22" spans="1:16">
      <c r="A22" s="406">
        <v>19</v>
      </c>
      <c r="B22" s="47" t="s">
        <v>274</v>
      </c>
      <c r="C22" s="410" t="s">
        <v>333</v>
      </c>
      <c r="D22" s="427" t="s">
        <v>46</v>
      </c>
      <c r="E22" s="426" t="s">
        <v>332</v>
      </c>
      <c r="F22" s="67">
        <v>210</v>
      </c>
      <c r="G22" s="67">
        <v>92.05</v>
      </c>
      <c r="H22" s="67">
        <v>19330.5</v>
      </c>
      <c r="I22" s="67"/>
      <c r="J22" s="67"/>
      <c r="K22" s="67"/>
      <c r="L22" s="67">
        <f t="shared" si="1"/>
        <v>19330.5</v>
      </c>
      <c r="M22" s="45"/>
      <c r="N22" s="408">
        <f t="shared" si="0"/>
        <v>391284.54999999929</v>
      </c>
      <c r="O22" s="411"/>
      <c r="P22" s="171"/>
    </row>
    <row r="23" spans="1:16">
      <c r="A23" s="406">
        <v>20</v>
      </c>
      <c r="B23" s="47" t="s">
        <v>202</v>
      </c>
      <c r="C23" s="410" t="s">
        <v>336</v>
      </c>
      <c r="D23" s="410"/>
      <c r="E23" s="407" t="s">
        <v>337</v>
      </c>
      <c r="F23" s="67">
        <v>2178.5300000000002</v>
      </c>
      <c r="G23" s="67">
        <v>91.89</v>
      </c>
      <c r="H23" s="173">
        <v>200000</v>
      </c>
      <c r="I23" s="67"/>
      <c r="J23" s="67"/>
      <c r="K23" s="67"/>
      <c r="L23" s="67">
        <f t="shared" si="1"/>
        <v>200000</v>
      </c>
      <c r="M23" s="80">
        <v>1117000</v>
      </c>
      <c r="N23" s="408">
        <f t="shared" si="0"/>
        <v>1308284.5499999993</v>
      </c>
      <c r="O23" s="6"/>
      <c r="P23" s="6"/>
    </row>
    <row r="24" spans="1:16">
      <c r="A24" s="406">
        <v>21</v>
      </c>
      <c r="B24" s="47" t="s">
        <v>202</v>
      </c>
      <c r="C24" s="412" t="s">
        <v>334</v>
      </c>
      <c r="D24" s="412" t="s">
        <v>354</v>
      </c>
      <c r="E24" s="407" t="s">
        <v>335</v>
      </c>
      <c r="F24" s="173">
        <v>2364</v>
      </c>
      <c r="G24" s="173">
        <v>91.78</v>
      </c>
      <c r="H24" s="173">
        <v>217000</v>
      </c>
      <c r="I24" s="67"/>
      <c r="J24" s="67"/>
      <c r="K24" s="67"/>
      <c r="L24" s="67">
        <f t="shared" si="1"/>
        <v>217000</v>
      </c>
      <c r="M24" s="48"/>
      <c r="N24" s="408">
        <f t="shared" si="0"/>
        <v>1091284.5499999993</v>
      </c>
      <c r="O24" s="6"/>
      <c r="P24" s="6"/>
    </row>
    <row r="25" spans="1:16">
      <c r="A25" s="406">
        <v>22</v>
      </c>
      <c r="B25" s="47" t="s">
        <v>202</v>
      </c>
      <c r="C25" s="413" t="s">
        <v>338</v>
      </c>
      <c r="D25" s="413" t="s">
        <v>355</v>
      </c>
      <c r="E25" s="407" t="s">
        <v>339</v>
      </c>
      <c r="F25" s="173">
        <v>5474.67</v>
      </c>
      <c r="G25" s="173">
        <v>91.33</v>
      </c>
      <c r="H25" s="67">
        <v>500000</v>
      </c>
      <c r="I25" s="67"/>
      <c r="J25" s="67"/>
      <c r="K25" s="67"/>
      <c r="L25" s="67">
        <f t="shared" si="1"/>
        <v>500000</v>
      </c>
      <c r="M25" s="48"/>
      <c r="N25" s="408">
        <f t="shared" si="0"/>
        <v>591284.54999999935</v>
      </c>
      <c r="O25" s="6"/>
      <c r="P25" s="6"/>
    </row>
    <row r="26" spans="1:16">
      <c r="A26" s="406">
        <v>23</v>
      </c>
      <c r="B26" s="47" t="s">
        <v>205</v>
      </c>
      <c r="C26" s="410" t="s">
        <v>347</v>
      </c>
      <c r="D26" s="410" t="s">
        <v>356</v>
      </c>
      <c r="E26" s="407" t="s">
        <v>342</v>
      </c>
      <c r="F26" s="67">
        <v>5467.09</v>
      </c>
      <c r="G26" s="67">
        <v>91.54</v>
      </c>
      <c r="H26" s="67">
        <v>500000</v>
      </c>
      <c r="I26" s="67"/>
      <c r="J26" s="67"/>
      <c r="K26" s="67"/>
      <c r="L26" s="67">
        <f t="shared" si="1"/>
        <v>500000</v>
      </c>
      <c r="M26" s="48"/>
      <c r="N26" s="408">
        <f t="shared" si="0"/>
        <v>91284.549999999348</v>
      </c>
      <c r="O26" s="6"/>
      <c r="P26" s="6"/>
    </row>
    <row r="27" spans="1:16">
      <c r="A27" s="406">
        <v>24</v>
      </c>
      <c r="B27" s="220" t="s">
        <v>281</v>
      </c>
      <c r="C27" s="171" t="s">
        <v>357</v>
      </c>
      <c r="D27" s="171" t="s">
        <v>358</v>
      </c>
      <c r="E27" s="429" t="s">
        <v>332</v>
      </c>
      <c r="F27" s="171">
        <v>30</v>
      </c>
      <c r="G27" s="171">
        <v>92.01</v>
      </c>
      <c r="H27" s="171">
        <v>2760.3</v>
      </c>
      <c r="I27" s="171"/>
      <c r="J27" s="171"/>
      <c r="K27" s="171"/>
      <c r="L27" s="173">
        <f t="shared" si="1"/>
        <v>2760.3</v>
      </c>
      <c r="M27" s="406"/>
      <c r="N27" s="408">
        <f t="shared" si="0"/>
        <v>88524.249999999345</v>
      </c>
      <c r="O27" s="411"/>
      <c r="P27" s="171"/>
    </row>
    <row r="28" spans="1:16">
      <c r="A28" s="6">
        <v>25</v>
      </c>
      <c r="B28" s="220" t="s">
        <v>276</v>
      </c>
      <c r="C28" s="410" t="s">
        <v>359</v>
      </c>
      <c r="D28" s="410" t="s">
        <v>360</v>
      </c>
      <c r="E28" s="429" t="s">
        <v>332</v>
      </c>
      <c r="F28" s="6">
        <v>30</v>
      </c>
      <c r="G28" s="6">
        <v>90.78</v>
      </c>
      <c r="H28" s="6">
        <v>2723.4</v>
      </c>
      <c r="I28" s="6">
        <v>0</v>
      </c>
      <c r="J28" s="6"/>
      <c r="K28" s="6"/>
      <c r="L28" s="173">
        <f t="shared" si="1"/>
        <v>2723.4</v>
      </c>
      <c r="M28" s="6"/>
      <c r="N28" s="408">
        <f t="shared" si="0"/>
        <v>85800.849999999351</v>
      </c>
      <c r="O28" s="6"/>
      <c r="P28" s="6"/>
    </row>
    <row r="29" spans="1:16">
      <c r="A29" s="6">
        <v>26</v>
      </c>
      <c r="B29" s="220" t="s">
        <v>276</v>
      </c>
      <c r="C29" s="6" t="s">
        <v>333</v>
      </c>
      <c r="D29" s="6" t="s">
        <v>46</v>
      </c>
      <c r="E29" s="429" t="s">
        <v>332</v>
      </c>
      <c r="F29" s="6">
        <v>0</v>
      </c>
      <c r="G29" s="6">
        <v>0</v>
      </c>
      <c r="H29" s="6">
        <v>0</v>
      </c>
      <c r="I29" s="6">
        <v>20</v>
      </c>
      <c r="J29" s="6">
        <v>104.08</v>
      </c>
      <c r="K29" s="6">
        <v>2081.6</v>
      </c>
      <c r="L29" s="173">
        <f t="shared" si="1"/>
        <v>2081.6</v>
      </c>
      <c r="M29" s="6"/>
      <c r="N29" s="408">
        <f t="shared" si="0"/>
        <v>83719.249999999345</v>
      </c>
      <c r="O29" s="6"/>
      <c r="P29" s="6"/>
    </row>
    <row r="30" spans="1:16">
      <c r="A30" s="6"/>
      <c r="B30" s="220" t="s">
        <v>209</v>
      </c>
      <c r="C30" s="6" t="s">
        <v>347</v>
      </c>
      <c r="D30" s="410" t="s">
        <v>356</v>
      </c>
      <c r="E30" s="407" t="s">
        <v>342</v>
      </c>
      <c r="F30" s="6">
        <v>3277.26</v>
      </c>
      <c r="G30" s="6">
        <v>91.54</v>
      </c>
      <c r="H30" s="6">
        <v>300000</v>
      </c>
      <c r="I30" s="6"/>
      <c r="J30" s="6"/>
      <c r="K30" s="6"/>
      <c r="L30" s="173">
        <f t="shared" si="1"/>
        <v>300000</v>
      </c>
      <c r="M30" s="6">
        <v>1420000</v>
      </c>
      <c r="N30" s="408">
        <f t="shared" si="0"/>
        <v>1203719.2499999993</v>
      </c>
      <c r="O30" s="6"/>
      <c r="P30" s="6"/>
    </row>
    <row r="31" spans="1:16">
      <c r="A31" s="6"/>
      <c r="B31" s="220" t="s">
        <v>209</v>
      </c>
      <c r="C31" s="6" t="s">
        <v>338</v>
      </c>
      <c r="D31" s="413" t="s">
        <v>355</v>
      </c>
      <c r="E31" s="407" t="s">
        <v>339</v>
      </c>
      <c r="F31" s="6">
        <v>1642.4</v>
      </c>
      <c r="G31" s="6">
        <v>91.33</v>
      </c>
      <c r="H31" s="6">
        <v>150000</v>
      </c>
      <c r="I31" s="6"/>
      <c r="J31" s="6"/>
      <c r="K31" s="6"/>
      <c r="L31" s="173">
        <f t="shared" si="1"/>
        <v>150000</v>
      </c>
      <c r="M31" s="6">
        <v>1000000</v>
      </c>
      <c r="N31" s="408">
        <f t="shared" si="0"/>
        <v>2053719.2499999991</v>
      </c>
      <c r="O31" s="6"/>
      <c r="P31" s="6"/>
    </row>
    <row r="32" spans="1:16">
      <c r="A32" s="6"/>
      <c r="B32" s="220" t="s">
        <v>209</v>
      </c>
      <c r="C32" s="6" t="s">
        <v>334</v>
      </c>
      <c r="D32" s="412" t="s">
        <v>354</v>
      </c>
      <c r="E32" s="407" t="s">
        <v>335</v>
      </c>
      <c r="F32" s="6">
        <v>2179.13</v>
      </c>
      <c r="G32" s="6">
        <v>9178</v>
      </c>
      <c r="H32" s="6">
        <v>200000</v>
      </c>
      <c r="I32" s="6"/>
      <c r="J32" s="6"/>
      <c r="K32" s="6"/>
      <c r="L32" s="173">
        <f t="shared" si="1"/>
        <v>200000</v>
      </c>
      <c r="M32" s="6"/>
      <c r="N32" s="408">
        <f t="shared" si="0"/>
        <v>1853719.2499999991</v>
      </c>
      <c r="O32" s="6"/>
      <c r="P32" s="6"/>
    </row>
    <row r="33" spans="1:16">
      <c r="A33" s="6"/>
      <c r="B33" s="220" t="s">
        <v>209</v>
      </c>
      <c r="C33" s="410" t="s">
        <v>333</v>
      </c>
      <c r="D33" s="427" t="s">
        <v>46</v>
      </c>
      <c r="E33" s="426" t="s">
        <v>332</v>
      </c>
      <c r="F33" s="6">
        <v>210</v>
      </c>
      <c r="G33" s="6">
        <v>92.05</v>
      </c>
      <c r="H33" s="6">
        <v>19330.5</v>
      </c>
      <c r="I33" s="6"/>
      <c r="J33" s="6"/>
      <c r="K33" s="6"/>
      <c r="L33" s="173">
        <f t="shared" si="1"/>
        <v>19330.5</v>
      </c>
      <c r="M33" s="6"/>
      <c r="N33" s="408">
        <f t="shared" si="0"/>
        <v>1834388.7499999991</v>
      </c>
      <c r="O33" s="6"/>
      <c r="P33" s="6"/>
    </row>
    <row r="34" spans="1:16">
      <c r="A34" s="6"/>
      <c r="B34" s="220" t="s">
        <v>209</v>
      </c>
      <c r="C34" s="6" t="s">
        <v>331</v>
      </c>
      <c r="D34" s="6" t="s">
        <v>361</v>
      </c>
      <c r="E34" s="426" t="s">
        <v>332</v>
      </c>
      <c r="F34" s="6">
        <v>8198.5499999999993</v>
      </c>
      <c r="G34" s="6">
        <v>91.48</v>
      </c>
      <c r="H34" s="6">
        <v>750000</v>
      </c>
      <c r="I34" s="6"/>
      <c r="J34" s="6"/>
      <c r="K34" s="6"/>
      <c r="L34" s="173">
        <f t="shared" si="1"/>
        <v>750000</v>
      </c>
      <c r="M34" s="6"/>
      <c r="N34" s="408">
        <f t="shared" si="0"/>
        <v>1084388.7499999991</v>
      </c>
      <c r="O34" s="6"/>
      <c r="P34" s="6"/>
    </row>
    <row r="35" spans="1:16">
      <c r="A35" s="6"/>
      <c r="B35" s="6"/>
      <c r="C35" s="6"/>
      <c r="D35" s="6"/>
      <c r="E35" s="407"/>
      <c r="F35" s="6"/>
      <c r="G35" s="6"/>
      <c r="H35" s="6"/>
      <c r="I35" s="6"/>
      <c r="J35" s="6"/>
      <c r="K35" s="6"/>
      <c r="L35" s="67"/>
      <c r="M35" s="6"/>
      <c r="N35" s="428"/>
      <c r="O35" s="6"/>
      <c r="P35" s="6"/>
    </row>
    <row r="36" spans="1:16">
      <c r="A36" s="430"/>
      <c r="J36" s="414"/>
    </row>
  </sheetData>
  <mergeCells count="2">
    <mergeCell ref="A1:P1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2026-10-07T04:40:25Z</dcterms:modified>
  <cp:category/>
  <cp:contentStatus/>
</cp:coreProperties>
</file>