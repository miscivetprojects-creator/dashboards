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4.xml" ContentType="application/vnd.openxmlformats-officedocument.spreadsheetml.worksheet+xml"/>
  <Override PartName="/xl/worksheets/sheet56.xml" ContentType="application/vnd.openxmlformats-officedocument.spreadsheetml.worksheet+xml"/>
  <Override PartName="/xl/worksheets/sheet8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3.xml" ContentType="application/vnd.openxmlformats-officedocument.spreadsheetml.worksheet+xml"/>
  <Override PartName="/xl/worksheets/sheet95.xml" ContentType="application/vnd.openxmlformats-officedocument.spreadsheetml.worksheet+xml"/>
  <Override PartName="/xl/worksheets/sheet7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3.xml" ContentType="application/vnd.openxmlformats-officedocument.spreadsheetml.worksheet+xml"/>
  <Override PartName="/xl/worksheets/sheet98.xml" ContentType="application/vnd.openxmlformats-officedocument.spreadsheetml.worksheet+xml"/>
  <Override PartName="/xl/worksheets/sheet58.xml" ContentType="application/vnd.openxmlformats-officedocument.spreadsheetml.worksheet+xml"/>
  <Override PartName="/xl/worksheets/sheet65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11.xml" ContentType="application/vnd.openxmlformats-officedocument.spreadsheetml.worksheet+xml"/>
  <Override PartName="/xl/worksheets/sheet71.xml" ContentType="application/vnd.openxmlformats-officedocument.spreadsheetml.worksheet+xml"/>
  <Override PartName="/xl/worksheets/sheet7.xml" ContentType="application/vnd.openxmlformats-officedocument.spreadsheetml.worksheet+xml"/>
  <Override PartName="/xl/worksheets/sheet6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52.xml" ContentType="application/vnd.openxmlformats-officedocument.spreadsheetml.worksheet+xml"/>
  <Override PartName="/xl/worksheets/sheet3.xml" ContentType="application/vnd.openxmlformats-officedocument.spreadsheetml.worksheet+xml"/>
  <Override PartName="/xl/worksheets/sheet16.xml" ContentType="application/vnd.openxmlformats-officedocument.spreadsheetml.worksheet+xml"/>
  <Override PartName="/xl/worksheets/sheet63.xml" ContentType="application/vnd.openxmlformats-officedocument.spreadsheetml.worksheet+xml"/>
  <Override PartName="/xl/worksheets/sheet68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24.xml" ContentType="application/vnd.openxmlformats-officedocument.spreadsheetml.worksheet+xml"/>
  <Override PartName="/xl/worksheets/sheet80.xml" ContentType="application/vnd.openxmlformats-officedocument.spreadsheetml.worksheet+xml"/>
  <Override PartName="/xl/worksheets/sheet9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1.xml" ContentType="application/vnd.openxmlformats-officedocument.spreadsheetml.worksheet+xml"/>
  <Override PartName="/xl/worksheets/sheet40.xml" ContentType="application/vnd.openxmlformats-officedocument.spreadsheetml.worksheet+xml"/>
  <Override PartName="/xl/worksheets/sheet25.xml" ContentType="application/vnd.openxmlformats-officedocument.spreadsheetml.worksheet+xml"/>
  <Override PartName="/xl/worksheets/sheet85.xml" ContentType="application/vnd.openxmlformats-officedocument.spreadsheetml.worksheet+xml"/>
  <Override PartName="/xl/worksheets/sheet1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9.xml" ContentType="application/vnd.openxmlformats-officedocument.spreadsheetml.worksheet+xml"/>
  <Override PartName="/xl/worksheets/sheet76.xml" ContentType="application/vnd.openxmlformats-officedocument.spreadsheetml.worksheet+xml"/>
  <Override PartName="/xl/worksheets/sheet12.xml" ContentType="application/vnd.openxmlformats-officedocument.spreadsheetml.worksheet+xml"/>
  <Override PartName="/xl/worksheets/sheet41.xml" ContentType="application/vnd.openxmlformats-officedocument.spreadsheetml.worksheet+xml"/>
  <Override PartName="/xl/worksheets/sheet60.xml" ContentType="application/vnd.openxmlformats-officedocument.spreadsheetml.worksheet+xml"/>
  <Override PartName="/xl/worksheets/sheet83.xml" ContentType="application/vnd.openxmlformats-officedocument.spreadsheetml.worksheet+xml"/>
  <Override PartName="/xl/worksheets/sheet100.xml" ContentType="application/vnd.openxmlformats-officedocument.spreadsheetml.worksheet+xml"/>
  <Override PartName="/xl/worksheets/sheet57.xml" ContentType="application/vnd.openxmlformats-officedocument.spreadsheetml.worksheet+xml"/>
  <Override PartName="/xl/worksheets/sheet26.xml" ContentType="application/vnd.openxmlformats-officedocument.spreadsheetml.worksheet+xml"/>
  <Override PartName="/xl/worksheets/sheet9.xml" ContentType="application/vnd.openxmlformats-officedocument.spreadsheetml.worksheet+xml"/>
  <Override PartName="/xl/worksheets/sheet33.xml" ContentType="application/vnd.openxmlformats-officedocument.spreadsheetml.worksheet+xml"/>
  <Override PartName="/xl/worksheets/sheet69.xml" ContentType="application/vnd.openxmlformats-officedocument.spreadsheetml.worksheet+xml"/>
  <Override PartName="/xl/worksheets/sheet35.xml" ContentType="application/vnd.openxmlformats-officedocument.spreadsheetml.worksheet+xml"/>
  <Override PartName="/xl/worksheets/sheet51.xml" ContentType="application/vnd.openxmlformats-officedocument.spreadsheetml.worksheet+xml"/>
  <Override PartName="/xl/worksheets/sheet19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8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60" yWindow="-60" windowWidth="15480" windowHeight="11640" firstSheet="48" activeTab="25"/>
  </bookViews>
  <sheets>
    <sheet sheetId="84" name=" MIs" state="hidden" r:id="rId4"/>
    <sheet sheetId="56" name="OCT-26" state="visible" r:id="rId5"/>
    <sheet sheetId="81" name="HO(DG)" state="visible" r:id="rId6"/>
    <sheet sheetId="50" name="Khammam-1" state="visible" r:id="rId7"/>
    <sheet sheetId="47" name="Khammam-2" state="visible" r:id="rId8"/>
    <sheet sheetId="109" name="Khammam-4" state="visible" r:id="rId9"/>
    <sheet sheetId="110" name=" Khammam-5" state="visible" r:id="rId10"/>
    <sheet sheetId="113" name=" Khammam-6" state="visible" r:id="rId11"/>
    <sheet sheetId="95" name=" Khammam&amp;Cash" state="visible" r:id="rId12"/>
    <sheet sheetId="78" name="Jadcherla-4" state="visible" r:id="rId13"/>
    <sheet sheetId="89" name=" Sangareddy-2" state="visible" r:id="rId14"/>
    <sheet sheetId="93" name=" Sangareddy-3" state="visible" r:id="rId15"/>
    <sheet sheetId="98" name="Narayankhed" state="visible" r:id="rId16"/>
    <sheet sheetId="58" name="Dindi" state="visible" r:id="rId17"/>
    <sheet sheetId="65" name="Multiple bunks(KKD)" state="visible" r:id="rId18"/>
    <sheet sheetId="105" name=" Pitapram(KKD)" state="visible" r:id="rId19"/>
    <sheet sheetId="104" name="Yeleshwaram(KKD)" state="visible" r:id="rId20"/>
    <sheet sheetId="106" name="Amalapuram(KKD)" state="visible" r:id="rId21"/>
    <sheet sheetId="107" name=" Solasa Krishna OIl" state="visible" r:id="rId22"/>
    <sheet sheetId="108" name="Sri Venkateshwara Services" state="visible" r:id="rId23"/>
    <sheet sheetId="111" name="Raja Filling Station" state="visible" r:id="rId24"/>
    <sheet sheetId="71" name="Madana palli" state="visible" r:id="rId25"/>
    <sheet sheetId="7" name="Kadur" state="visible" r:id="rId26"/>
    <sheet sheetId="62" name="YG Gudda" state="visible" r:id="rId27"/>
    <sheet sheetId="103" name=" YG Gudda-2" state="visible" r:id="rId28"/>
    <sheet sheetId="52" name="Hosadurga -2" state="visible" r:id="rId29"/>
    <sheet sheetId="3" name="Hiriyur(VJNL)" state="visible" r:id="rId30"/>
    <sheet sheetId="16" name="Malebenur(KUWSDB)" state="visible" r:id="rId31"/>
    <sheet sheetId="63" name="Molakamuru" state="visible" r:id="rId32"/>
    <sheet sheetId="68" name="Chellakere -1" state="visible" r:id="rId33"/>
    <sheet sheetId="73" name=" Chellakere-PKG-9" state="visible" r:id="rId34"/>
    <sheet sheetId="74" name=" Chennagiri" state="visible" r:id="rId35"/>
    <sheet sheetId="24" name="Khanapur" state="visible" r:id="rId36"/>
    <sheet sheetId="80" name="Munavali-2" state="visible" r:id="rId37"/>
    <sheet sheetId="99" name=" Munavali" state="visible" r:id="rId38"/>
    <sheet sheetId="11" name="Ugar,Khagwad,Kudichi" state="visible" r:id="rId39"/>
    <sheet sheetId="101" name="shedbal" state="visible" r:id="rId40"/>
    <sheet sheetId="40" name="Kabbur" state="visible" r:id="rId41"/>
    <sheet sheetId="25" name="kumta" state="visible" r:id="rId42"/>
    <sheet sheetId="85" name="Jalgoan-2" state="visible" r:id="rId43"/>
    <sheet sheetId="14" name="MKBD" state="visible" r:id="rId44"/>
    <sheet sheetId="75" name=" Haveri-2" state="visible" r:id="rId45"/>
    <sheet sheetId="79" name=" Guttal-2" state="visible" r:id="rId46"/>
    <sheet sheetId="76" name="Rattihali-2" state="visible" r:id="rId47"/>
    <sheet sheetId="12" name="Gajendragada" state="visible" r:id="rId48"/>
    <sheet sheetId="41" name="Gokak Dharwad PKG 3" state="visible" r:id="rId49"/>
    <sheet sheetId="60" name="Ankalgi" state="visible" r:id="rId50"/>
    <sheet sheetId="83" name=" TR Associates" state="visible" r:id="rId51"/>
    <sheet sheetId="100" name="SHRI DESHPANDE" state="visible" r:id="rId52"/>
    <sheet sheetId="57" name=" Shankeshwar" state="visible" r:id="rId53"/>
    <sheet sheetId="26" name=" Talikote" state="visible" r:id="rId54"/>
    <sheet sheetId="9" name="Chadchan" state="visible" r:id="rId55"/>
    <sheet sheetId="33" name="Sindagi" state="visible" r:id="rId56"/>
    <sheet sheetId="69" name="Muddebhihal-2" state="visible" r:id="rId57"/>
    <sheet sheetId="35" name="Alemela" state="visible" r:id="rId58"/>
    <sheet sheetId="51" name="Nalatwad" state="visible" r:id="rId59"/>
    <sheet sheetId="19" name="Srirangapatna" state="visible" r:id="rId60"/>
    <sheet sheetId="44" name="BPCL Oct-26" state="visible" r:id="rId61"/>
    <sheet sheetId="45" name=" HPCL Oct-26" state="visible" r:id="rId62"/>
    <sheet sheetId="86" name="Sheet1" state="visible" r:id="rId63"/>
  </sheets>
  <definedNames>
    <definedName name="_xlnm._FilterDatabase">'BPCL Oct-26'!$A$4:$U$4</definedName>
  </definedNames>
  <calcPr calcId="171027"/>
</workbook>
</file>

<file path=xl/sharedStrings.xml><?xml version="1.0" encoding="utf-8"?>
<sst xmlns="http://schemas.openxmlformats.org/spreadsheetml/2006/main" count="1693" uniqueCount="233">
  <si>
    <t>S.No</t>
  </si>
  <si>
    <t>NAme</t>
  </si>
  <si>
    <t>Lacation</t>
  </si>
  <si>
    <t>Card Number</t>
  </si>
  <si>
    <t>Category</t>
  </si>
  <si>
    <t>1st Jan</t>
  </si>
  <si>
    <t>2nd Jan</t>
  </si>
  <si>
    <t>3rd Jan</t>
  </si>
  <si>
    <t>4th Jan</t>
  </si>
  <si>
    <t>5th Jan</t>
  </si>
  <si>
    <t>6th Jan</t>
  </si>
  <si>
    <t>7th Jan</t>
  </si>
  <si>
    <t>8th Jan</t>
  </si>
  <si>
    <t>9th Jan</t>
  </si>
  <si>
    <t>10th Jan</t>
  </si>
  <si>
    <t>11th Jan</t>
  </si>
  <si>
    <t>12th Jan</t>
  </si>
  <si>
    <t>13th Jan</t>
  </si>
  <si>
    <t>14th Jan</t>
  </si>
  <si>
    <t>15th Jan</t>
  </si>
  <si>
    <t>16th Jan</t>
  </si>
  <si>
    <t>17th Jan</t>
  </si>
  <si>
    <t>18th Jan</t>
  </si>
  <si>
    <t>19th Jan</t>
  </si>
  <si>
    <t>20th Jan</t>
  </si>
  <si>
    <t>21st Jan</t>
  </si>
  <si>
    <t>22nd Jan</t>
  </si>
  <si>
    <t>23rd Jan</t>
  </si>
  <si>
    <t>24th Jan</t>
  </si>
  <si>
    <t>25th Jan</t>
  </si>
  <si>
    <t>26th Jan</t>
  </si>
  <si>
    <t>27th Jan</t>
  </si>
  <si>
    <t>28th Jan</t>
  </si>
  <si>
    <t>29th Jan</t>
  </si>
  <si>
    <t>30th Jan</t>
  </si>
  <si>
    <t>31st Jan</t>
  </si>
  <si>
    <t>Total</t>
  </si>
  <si>
    <t>Diesel</t>
  </si>
  <si>
    <t>Rambabu</t>
  </si>
  <si>
    <t>HO(Two Wheeler)</t>
  </si>
  <si>
    <t>FC3450563999</t>
  </si>
  <si>
    <t>Petrol</t>
  </si>
  <si>
    <t>Hanumanth Rao</t>
  </si>
  <si>
    <t>HO</t>
  </si>
  <si>
    <t>FC3450676131</t>
  </si>
  <si>
    <t>Radhakrishna</t>
  </si>
  <si>
    <t>FC8000207658</t>
  </si>
  <si>
    <t>VIjay</t>
  </si>
  <si>
    <t>FC3450698859</t>
  </si>
  <si>
    <t>Client</t>
  </si>
  <si>
    <t>Hiriyur</t>
  </si>
  <si>
    <t>FC3450698864</t>
  </si>
  <si>
    <t>Hosadurga</t>
  </si>
  <si>
    <t>FC3450698865</t>
  </si>
  <si>
    <t>Diesel Price</t>
  </si>
  <si>
    <t>S.no</t>
  </si>
  <si>
    <t>Site Name</t>
  </si>
  <si>
    <t xml:space="preserve">Bunk Name </t>
  </si>
  <si>
    <t>Diesel(Liters)</t>
  </si>
  <si>
    <t>Diesel Amount</t>
  </si>
  <si>
    <t>Petrol(Liters)</t>
  </si>
  <si>
    <t>Petrol Amount</t>
  </si>
  <si>
    <t>Total Amount</t>
  </si>
  <si>
    <t>Opening Blance</t>
  </si>
  <si>
    <t>Amount Paid</t>
  </si>
  <si>
    <t>Closing Balances</t>
  </si>
  <si>
    <t>Khammam-1</t>
  </si>
  <si>
    <t xml:space="preserve">Divya laxmi ganapathi </t>
  </si>
  <si>
    <t>Khammam-2</t>
  </si>
  <si>
    <t>Jayasai union bunk</t>
  </si>
  <si>
    <t>Khammam</t>
  </si>
  <si>
    <t>Sai Madeana Filling Station</t>
  </si>
  <si>
    <t>Vajra mahalakshmi filling station</t>
  </si>
  <si>
    <t>Khammam-Cash&amp;Carry</t>
  </si>
  <si>
    <t xml:space="preserve">NA </t>
  </si>
  <si>
    <t>Jadcherla-2</t>
  </si>
  <si>
    <t>Shree Poornima F/S</t>
  </si>
  <si>
    <t>Sangareddy-2</t>
  </si>
  <si>
    <t>Durga Bhavani F/S</t>
  </si>
  <si>
    <t>Sangareddy-3</t>
  </si>
  <si>
    <t xml:space="preserve">Shiva Parvathi Filling Station </t>
  </si>
  <si>
    <t>NarayanaKhed</t>
  </si>
  <si>
    <t xml:space="preserve">Sai Shiva Filling Station </t>
  </si>
  <si>
    <t>Dindi</t>
  </si>
  <si>
    <t>Akarapu Balakistamma Fillling</t>
  </si>
  <si>
    <t>Madanapalli</t>
  </si>
  <si>
    <t>NA</t>
  </si>
  <si>
    <t>Kovvur</t>
  </si>
  <si>
    <t>Sri Venkateshwara Services</t>
  </si>
  <si>
    <t>Jangareddygudem</t>
  </si>
  <si>
    <t>Solasa Krishna Oil Company</t>
  </si>
  <si>
    <t xml:space="preserve">Amalapuram  </t>
  </si>
  <si>
    <t>Royal Fill 'N' Fly</t>
  </si>
  <si>
    <t>Yeleshwaram</t>
  </si>
  <si>
    <t>Sri sathya Filling Station</t>
  </si>
  <si>
    <t>Pitapuam</t>
  </si>
  <si>
    <t>Satya Siva Durga Agencies, Chebrolu</t>
  </si>
  <si>
    <t>Kakinada</t>
  </si>
  <si>
    <t>Multiple bunks</t>
  </si>
  <si>
    <t>YG Gudda-2</t>
  </si>
  <si>
    <t>Pankaja HP Fuel Center</t>
  </si>
  <si>
    <t xml:space="preserve">One stop </t>
  </si>
  <si>
    <t>Hosadurga-2</t>
  </si>
  <si>
    <t>Shree Veeraprathap Fuel</t>
  </si>
  <si>
    <t>Malebennuru(KUWSDB)</t>
  </si>
  <si>
    <t>Sri Ramanjuneya Service Station</t>
  </si>
  <si>
    <t>kadur</t>
  </si>
  <si>
    <t>Vishal Service Station</t>
  </si>
  <si>
    <t>Hiriyur(VJNL)</t>
  </si>
  <si>
    <t>Sri Balaji Agencies</t>
  </si>
  <si>
    <t>Chellakere(KUWSDB)</t>
  </si>
  <si>
    <t>Shivaganga Service Station</t>
  </si>
  <si>
    <t>Chellakere(KUWSDB)-09</t>
  </si>
  <si>
    <t>Molakalmuru</t>
  </si>
  <si>
    <t>Sri Lakshmi Venkateshwara Filling Station</t>
  </si>
  <si>
    <t>Chennagiri</t>
  </si>
  <si>
    <t>Khanapur(PKG-3)</t>
  </si>
  <si>
    <t>V.V.Varde</t>
  </si>
  <si>
    <t>Munavalli(PKG-3)</t>
  </si>
  <si>
    <t>Shre Shiva Petroleum</t>
  </si>
  <si>
    <t>Daneshwari Petroleum</t>
  </si>
  <si>
    <t>Ugar,Kudichi(PKG-3)</t>
  </si>
  <si>
    <t>Shiri Bhrhmanath Petrolium</t>
  </si>
  <si>
    <t>Shedbal</t>
  </si>
  <si>
    <t xml:space="preserve">Varad Petroluem </t>
  </si>
  <si>
    <t>Kabbur(PKG-3)</t>
  </si>
  <si>
    <t>Shri Jai Hanuman Petrolium</t>
  </si>
  <si>
    <t>Kumta (PKG-1)</t>
  </si>
  <si>
    <t xml:space="preserve">V.M.Mirjankar (Kumta) Bharat </t>
  </si>
  <si>
    <t>Jalgaon-2</t>
  </si>
  <si>
    <t>Nayara</t>
  </si>
  <si>
    <t>MKBD</t>
  </si>
  <si>
    <t>Shree Sai Samarth Petroleum</t>
  </si>
  <si>
    <t>Haveri</t>
  </si>
  <si>
    <t>M/s Magavi City Fuels</t>
  </si>
  <si>
    <t>Guttal-2</t>
  </si>
  <si>
    <t>Himagiri Petroleum</t>
  </si>
  <si>
    <t>Rattihali-2</t>
  </si>
  <si>
    <t>Shiva Oil Traders</t>
  </si>
  <si>
    <t>Gajendragada</t>
  </si>
  <si>
    <t>Vanasri Petrol Pump</t>
  </si>
  <si>
    <t>Gokak(PKG-3)</t>
  </si>
  <si>
    <t>AJ Petrolinks</t>
  </si>
  <si>
    <t>Hukkere</t>
  </si>
  <si>
    <t>TR Assocites</t>
  </si>
  <si>
    <t>Ankaligi</t>
  </si>
  <si>
    <t>Shivaganga</t>
  </si>
  <si>
    <t>Ghattaprabha</t>
  </si>
  <si>
    <t>Shri Deshpande</t>
  </si>
  <si>
    <t>ShankeshWAR</t>
  </si>
  <si>
    <t>SR Patil</t>
  </si>
  <si>
    <t>Talikote(PKG-1)</t>
  </si>
  <si>
    <t>Raykar Oil Agencies</t>
  </si>
  <si>
    <t>Chadchan(PKG-1)</t>
  </si>
  <si>
    <t>Khavekar Petrolium</t>
  </si>
  <si>
    <t>Sindagi</t>
  </si>
  <si>
    <t>G.P.PORWAL</t>
  </si>
  <si>
    <t>Muddebihal(PKG-1)2</t>
  </si>
  <si>
    <t xml:space="preserve">PS NAGATHAN PETROLIUM </t>
  </si>
  <si>
    <t>Almela(PKG-1)</t>
  </si>
  <si>
    <t>Shiddeshwar Petroleums</t>
  </si>
  <si>
    <t>Nalatwad(PKG-1)</t>
  </si>
  <si>
    <t>Shri Pawad Basaweshwar Petroleums</t>
  </si>
  <si>
    <t>Srirangapatna</t>
  </si>
  <si>
    <t>Anupama F/S</t>
  </si>
  <si>
    <t>HO(DG)</t>
  </si>
  <si>
    <t xml:space="preserve"> </t>
  </si>
  <si>
    <t>Date</t>
  </si>
  <si>
    <t>GRN No</t>
  </si>
  <si>
    <t>Ind No/Bill No</t>
  </si>
  <si>
    <t>Diesel (Lts)</t>
  </si>
  <si>
    <t>Price</t>
  </si>
  <si>
    <t xml:space="preserve">Amount </t>
  </si>
  <si>
    <t>Petrol (Lts)</t>
  </si>
  <si>
    <t xml:space="preserve">Total amount </t>
  </si>
  <si>
    <t>Amount paid</t>
  </si>
  <si>
    <t>As on date</t>
  </si>
  <si>
    <t>Remarks</t>
  </si>
  <si>
    <t>Opening Balance</t>
  </si>
  <si>
    <t xml:space="preserve">                 -  </t>
  </si>
  <si>
    <t xml:space="preserve"> </t>
  </si>
  <si>
    <t xml:space="preserve">             -  </t>
  </si>
  <si>
    <t xml:space="preserve">                   -  </t>
  </si>
  <si>
    <t xml:space="preserve">                    -  </t>
  </si>
  <si>
    <t>As 0n Date</t>
  </si>
  <si>
    <t>HPCL Card</t>
  </si>
  <si>
    <t xml:space="preserve"> Vajra mahalakshmi filling station</t>
  </si>
  <si>
    <t>Jai Sreeram</t>
  </si>
  <si>
    <t xml:space="preserve"> Cash &amp;Carry</t>
  </si>
  <si>
    <t>Ind no/Bill No</t>
  </si>
  <si>
    <t>As on Date</t>
  </si>
  <si>
    <t>SHIVA PARVATHI FILLING STATION SADASHIVPET</t>
  </si>
  <si>
    <t>BPCL</t>
  </si>
  <si>
    <t>HPCL</t>
  </si>
  <si>
    <t>SATYA SIVA DURGA AGENCIES, CHEBROLU (BPCL)</t>
  </si>
  <si>
    <t>SRI SATYA FILLING STATION, YELESWARAM (BPCL)</t>
  </si>
  <si>
    <t>ROYAL FILL 'N' FLY, AMALAPURAM(HPCL)</t>
  </si>
  <si>
    <t>SOLASA KRISHNA OIL COMPANY</t>
  </si>
  <si>
    <t>Raja Filling Station</t>
  </si>
  <si>
    <t>One Stop</t>
  </si>
  <si>
    <t>Sree Veerabhadreshwara Service Station</t>
  </si>
  <si>
    <t>Priyanka Petroleum</t>
  </si>
  <si>
    <t>Shivaganga Service Station (BPCL)</t>
  </si>
  <si>
    <t>Chellakere-PKG-09</t>
  </si>
  <si>
    <t>Date of payment</t>
  </si>
  <si>
    <t>Shiri Shiva Petroluem</t>
  </si>
  <si>
    <t>DANESHWARI  PETROLIUM(YERRAGATTI)</t>
  </si>
  <si>
    <t xml:space="preserve"> BHAVANI PETROLEUMS</t>
  </si>
  <si>
    <t>VARAD PETROLEUM SHEDBAL</t>
  </si>
  <si>
    <t xml:space="preserve">V.M.MIRJANKAR (KUMTA) BHARAT </t>
  </si>
  <si>
    <t>Kumta</t>
  </si>
  <si>
    <t>V.M.Mirjankar</t>
  </si>
  <si>
    <t>Month</t>
  </si>
  <si>
    <t>Disel In Litters</t>
  </si>
  <si>
    <t>Petrol In Litters</t>
  </si>
  <si>
    <t>Feb'-26</t>
  </si>
  <si>
    <t>March'-26</t>
  </si>
  <si>
    <t>April'-26</t>
  </si>
  <si>
    <t>May'-26</t>
  </si>
  <si>
    <t xml:space="preserve"> Nayara</t>
  </si>
  <si>
    <t xml:space="preserve"> Magavi fuel F/S</t>
  </si>
  <si>
    <t>raja bhakshi</t>
  </si>
  <si>
    <t>Shiva ganga</t>
  </si>
  <si>
    <t xml:space="preserve">  TR Associates</t>
  </si>
  <si>
    <t xml:space="preserve"> S R PATIL</t>
  </si>
  <si>
    <t>Talikote</t>
  </si>
  <si>
    <t>`</t>
  </si>
  <si>
    <t>BPCL Card Ledger</t>
  </si>
  <si>
    <t>Petrol Bunk Name</t>
  </si>
  <si>
    <t>Card No</t>
  </si>
  <si>
    <t>Recharge Amount</t>
  </si>
  <si>
    <t>Redeem</t>
  </si>
  <si>
    <t>HPCL Card Ledger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</si>
</sst>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164" formatCode="0.0"/>
    <numFmt numFmtId="165" formatCode="_(* #,##0.00_);_(* (#,##0.00);_(* &quot;-&quot;??_);_(@_)"/>
    <numFmt numFmtId="166" formatCode="[$-409]d-mmm-yy;@"/>
    <numFmt numFmtId="167" formatCode="0.00_ "/>
    <numFmt numFmtId="168" formatCode="_ * #,##0.00_ ;_ * -#,##0.00_ ;_ * &quot;-&quot;??_ ;_ @_ "/>
    <numFmt numFmtId="169" formatCode="dd/mm/yyyy"/>
    <numFmt numFmtId="170" formatCode="_ * #,##0_ ;_ * -#,##0_ ;_ * &quot;-&quot;??_ ;_ @_ "/>
    <numFmt numFmtId="171" formatCode="_ * #,##0.0_ ;_ * -#,##0.0_ ;_ * &quot;-&quot;??_ ;_ @_ "/>
    <numFmt numFmtId="172" formatCode="[$-409]d-mmm-yyyy;@"/>
    <numFmt numFmtId="173" formatCode="_(* #,##0_);_(* (#,##0);_(* &quot;-&quot;??_);_(@_)"/>
    <numFmt numFmtId="174" formatCode="[$-409]h:mm AM/PM;@"/>
  </numFmts>
  <fonts count="49" x14ac:knownFonts="1">
    <font>
      <color theme="1"/>
      <family val="2"/>
      <scheme val="minor"/>
      <sz val="11"/>
      <name val="Calibri"/>
    </font>
    <font>
      <b/>
      <color theme="0"/>
      <family val="2"/>
      <sz val="11"/>
      <name val="Calibri"/>
    </font>
    <font>
      <b/>
      <color theme="0"/>
      <sz val="11"/>
      <name val="Calibri"/>
    </font>
    <font>
      <color theme="1"/>
      <family val="2"/>
      <scheme val="minor"/>
      <sz val="12"/>
      <name val="Aptos Narrow"/>
    </font>
    <font>
      <b/>
      <color theme="1"/>
      <family val="2"/>
      <scheme val="minor"/>
      <sz val="12"/>
      <name val="Aptos Narrow"/>
    </font>
    <font>
      <color rgb="FF000000"/>
      <family val="2"/>
      <sz val="11"/>
      <name val="Calibri"/>
    </font>
    <font>
      <color theme="1"/>
      <sz val="12"/>
      <name val="Calibri"/>
    </font>
    <font>
      <b/>
      <color theme="0"/>
      <sz val="12"/>
      <name val="Calibri"/>
    </font>
    <font>
      <color theme="1"/>
      <sz val="11"/>
      <name val="Calibri"/>
    </font>
    <font>
      <b/>
      <color theme="1"/>
      <sz val="12"/>
      <name val="Calibri"/>
    </font>
    <font>
      <color rgb="FFFFFFFF"/>
      <sz val="12"/>
      <name val="Calibri"/>
    </font>
    <font>
      <color rgb="FFFFFFFF"/>
      <sz val="10"/>
      <name val="Calibri"/>
    </font>
    <font>
      <b/>
      <color rgb="FF000000"/>
      <family val="2"/>
      <sz val="11"/>
      <name val="Calibri"/>
    </font>
    <font>
      <b/>
      <color rgb="FF000000"/>
      <sz val="10"/>
      <name val="Calibri"/>
    </font>
    <font>
      <color rgb="FF000000"/>
      <sz val="11"/>
      <name val="Calibri"/>
    </font>
    <font>
      <color rgb="FF000000"/>
      <sz val="10"/>
      <name val="Calibri"/>
    </font>
    <font>
      <color theme="0"/>
      <sz val="12"/>
      <name val="Calibri"/>
    </font>
    <font>
      <color theme="0"/>
      <sz val="11"/>
      <name val="Calibri"/>
    </font>
    <font>
      <b/>
      <color theme="1"/>
      <family val="2"/>
      <scheme val="minor"/>
      <sz val="11"/>
      <name val="Calibri"/>
    </font>
    <font>
      <b/>
      <color theme="1"/>
      <sz val="10"/>
      <name val="Calibri"/>
    </font>
    <font>
      <color theme="1"/>
      <family val="1"/>
      <sz val="10"/>
      <name val="Cambria"/>
    </font>
    <font>
      <charset val="134"/>
      <color theme="1"/>
      <sz val="11"/>
      <name val="Cambria"/>
    </font>
    <font>
      <color rgb="FFFF0000"/>
      <family val="2"/>
      <scheme val="minor"/>
      <sz val="11"/>
      <name val="Calibri"/>
    </font>
    <font>
      <color theme="0"/>
      <sz val="10"/>
      <name val="Calibri"/>
    </font>
    <font>
      <color theme="1"/>
      <sz val="10"/>
      <name val="Calibri"/>
    </font>
    <font>
      <b/>
      <color theme="1"/>
      <sz val="11"/>
      <name val="Calibri"/>
    </font>
    <font>
      <color theme="1"/>
      <family val="2"/>
      <sz val="11"/>
      <name val="Calibri"/>
    </font>
    <font>
      <color rgb="FF000000"/>
      <family val="2"/>
      <scheme val="minor"/>
      <sz val="11"/>
      <name val="Calibri"/>
    </font>
    <font>
      <charset val="1"/>
      <color rgb="FF242424"/>
      <sz val="11"/>
      <name val="Aptos Narrow"/>
    </font>
    <font>
      <color rgb="FF242424"/>
      <family val="3"/>
      <sz val="11"/>
      <name val="Consolas"/>
    </font>
    <font>
      <b/>
      <color theme="0"/>
      <sz val="10"/>
      <name val="Calibri"/>
    </font>
    <font>
      <color theme="0"/>
      <family val="2"/>
      <scheme val="minor"/>
      <sz val="12"/>
      <name val="Calibri"/>
    </font>
    <font>
      <color rgb="FF000000"/>
      <sz val="12"/>
      <name val="Calibri"/>
    </font>
    <font>
      <color rgb="FF000000"/>
      <family val="1"/>
      <sz val="12"/>
      <name val="Book Antiqua"/>
    </font>
    <font>
      <color rgb="FF000000"/>
      <family val="1"/>
      <sz val="11"/>
      <name val="Cambria"/>
    </font>
    <font>
      <color rgb="FF000000"/>
      <family val="2"/>
      <sz val="11"/>
      <name val="Aptos Narrow"/>
    </font>
    <font>
      <color rgb="FF000000"/>
      <family val="2"/>
      <scheme val="minor"/>
      <sz val="11"/>
      <name val="Aptos Narrow"/>
    </font>
    <font>
      <color theme="1"/>
      <family val="2"/>
      <scheme val="minor"/>
      <sz val="12"/>
      <name val="Calibri"/>
    </font>
    <font>
      <color theme="1"/>
      <family val="1"/>
      <sz val="11"/>
      <name val="Cambria"/>
    </font>
    <font>
      <b/>
      <charset val="1"/>
      <color rgb="FF242424"/>
      <sz val="11"/>
      <name val="Aptos Narrow"/>
    </font>
    <font>
      <charset val="134"/>
      <color theme="1"/>
      <sz val="11"/>
      <name val="Calibri"/>
    </font>
    <font>
      <charset val="134"/>
      <color theme="1"/>
      <sz val="12"/>
      <name val="Calibri"/>
    </font>
    <font>
      <b/>
      <color theme="1"/>
      <family val="2"/>
      <scheme val="minor"/>
      <sz val="12"/>
      <name val="Calibri"/>
    </font>
    <font>
      <b/>
      <color rgb="FF000000"/>
      <sz val="12"/>
      <name val="Calibri"/>
    </font>
    <font>
      <color theme="1"/>
      <scheme val="minor"/>
      <sz val="11"/>
      <name val="Calibri"/>
    </font>
    <font>
      <color rgb="FF000000"/>
      <scheme val="minor"/>
      <sz val="12"/>
      <name val="Calibri"/>
    </font>
    <font>
      <color theme="1"/>
      <scheme val="minor"/>
      <sz val="12"/>
      <name val="Calibri"/>
    </font>
    <font>
      <color rgb="FF000000"/>
      <sz val="8"/>
      <name val="Calibri"/>
    </font>
    <font>
      <color rgb="FF000000"/>
      <scheme val="minor"/>
      <sz val="11"/>
      <name val="Calibri"/>
    </font>
  </fonts>
  <fills count="17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3C0C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0.5999938962981048"/>
        <bgColor indexed="64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/>
      <right/>
      <top style="thin"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/>
      <right/>
      <top/>
      <bottom style="thin"/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/>
      <top style="thin"/>
      <bottom style="thin"/>
      <diagonal/>
    </border>
    <border>
      <left style="medium">
        <color indexed="64"/>
      </left>
      <right style="thin"/>
      <top style="thin"/>
      <bottom/>
      <diagonal/>
    </border>
    <border>
      <left style="thin"/>
      <right style="thin"/>
      <top style="thin"/>
      <bottom/>
      <diagonal/>
    </border>
    <border>
      <left style="thin"/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thin">
        <color rgb="FF000000"/>
      </left>
      <right/>
      <top/>
      <bottom/>
      <diagonal/>
    </border>
    <border>
      <left/>
      <right style="thin"/>
      <top style="thin">
        <color rgb="FF000000"/>
      </top>
      <bottom style="thin">
        <color rgb="FF000000"/>
      </bottom>
      <diagonal/>
    </border>
    <border>
      <left style="thin"/>
      <right style="thin"/>
      <top/>
      <bottom style="thin"/>
      <diagonal/>
    </border>
    <border>
      <left style="thin"/>
      <right style="thin"/>
      <top/>
      <bottom/>
      <diagonal/>
    </border>
    <border>
      <left/>
      <right style="thin">
        <color rgb="FF757171"/>
      </right>
      <top/>
      <bottom style="thin">
        <color rgb="FF757171"/>
      </bottom>
      <diagonal/>
    </border>
    <border>
      <left style="medium">
        <color indexed="64"/>
      </left>
      <right style="thin"/>
      <top style="thin"/>
      <bottom style="thin"/>
      <diagonal/>
    </border>
    <border>
      <left style="thin">
        <color rgb="FF000000"/>
      </left>
      <right/>
      <top style="thin"/>
      <bottom/>
      <diagonal/>
    </border>
    <border>
      <left/>
      <right/>
      <top style="thin"/>
      <bottom/>
      <diagonal/>
    </border>
    <border>
      <left style="thin"/>
      <right/>
      <top style="medium"/>
      <bottom style="thin"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6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left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0" fillId="3" borderId="0" xfId="0" applyFill="1"/>
    <xf numFmtId="0" fontId="1" fillId="3" borderId="1" xfId="0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left" vertical="center" wrapText="1"/>
    </xf>
    <xf numFmtId="2" fontId="1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4" fillId="4" borderId="1" xfId="0" applyFont="1" applyFill="1" applyBorder="1"/>
    <xf numFmtId="164" fontId="0" fillId="0" borderId="1" xfId="0" applyNumberFormat="1" applyBorder="1"/>
    <xf numFmtId="0" fontId="4" fillId="5" borderId="1" xfId="0" applyFont="1" applyFill="1" applyBorder="1"/>
    <xf numFmtId="164" fontId="5" fillId="0" borderId="1" xfId="0" applyNumberFormat="1" applyFont="1" applyBorder="1"/>
    <xf numFmtId="0" fontId="4" fillId="6" borderId="1" xfId="0" applyFont="1" applyFill="1" applyBorder="1"/>
    <xf numFmtId="0" fontId="6" fillId="0" borderId="0" xfId="0" applyFont="1"/>
    <xf numFmtId="0" fontId="7" fillId="7" borderId="2" xfId="0" applyFont="1" applyFill="1" applyBorder="1"/>
    <xf numFmtId="0" fontId="7" fillId="7" borderId="3" xfId="0" applyFont="1" applyFill="1" applyBorder="1"/>
    <xf numFmtId="2" fontId="7" fillId="7" borderId="3" xfId="0" applyNumberFormat="1" applyFont="1" applyFill="1" applyBorder="1"/>
    <xf numFmtId="2" fontId="7" fillId="7" borderId="4" xfId="0" applyNumberFormat="1" applyFont="1" applyFill="1" applyBorder="1"/>
    <xf numFmtId="0" fontId="6" fillId="0" borderId="5" xfId="0" applyFont="1" applyBorder="1" applyAlignment="1">
      <alignment horizontal="center"/>
    </xf>
    <xf numFmtId="0" fontId="6" fillId="0" borderId="1" xfId="0" applyFont="1" applyBorder="1"/>
    <xf numFmtId="1" fontId="6" fillId="3" borderId="1" xfId="0" applyNumberFormat="1" applyFont="1" applyFill="1" applyBorder="1"/>
    <xf numFmtId="1" fontId="6" fillId="3" borderId="6" xfId="0" applyNumberFormat="1" applyFont="1" applyFill="1" applyBorder="1"/>
    <xf numFmtId="0" fontId="8" fillId="3" borderId="1" xfId="0" applyFont="1" applyFill="1" applyBorder="1"/>
    <xf numFmtId="1" fontId="6" fillId="3" borderId="7" xfId="0" applyNumberFormat="1" applyFont="1" applyFill="1" applyBorder="1"/>
    <xf numFmtId="0" fontId="6" fillId="0" borderId="8" xfId="0" applyFont="1" applyBorder="1"/>
    <xf numFmtId="1" fontId="6" fillId="3" borderId="8" xfId="0" applyNumberFormat="1" applyFont="1" applyFill="1" applyBorder="1"/>
    <xf numFmtId="1" fontId="6" fillId="3" borderId="9" xfId="0" applyNumberFormat="1" applyFont="1" applyFill="1" applyBorder="1"/>
    <xf numFmtId="0" fontId="6" fillId="0" borderId="10" xfId="0" applyFont="1" applyBorder="1"/>
    <xf numFmtId="1" fontId="6" fillId="3" borderId="10" xfId="0" applyNumberFormat="1" applyFont="1" applyFill="1" applyBorder="1"/>
    <xf numFmtId="0" fontId="0" fillId="0" borderId="1" xfId="0" applyBorder="1"/>
    <xf numFmtId="0" fontId="6" fillId="0" borderId="11" xfId="0" applyFont="1" applyBorder="1"/>
    <xf numFmtId="1" fontId="6" fillId="3" borderId="11" xfId="0" applyNumberFormat="1" applyFont="1" applyFill="1" applyBorder="1"/>
    <xf numFmtId="1" fontId="6" fillId="3" borderId="12" xfId="0" applyNumberFormat="1" applyFont="1" applyFill="1" applyBorder="1"/>
    <xf numFmtId="0" fontId="6" fillId="0" borderId="1" xfId="0" applyFont="1" applyBorder="1" applyAlignment="1">
      <alignment wrapText="1"/>
    </xf>
    <xf numFmtId="1" fontId="6" fillId="3" borderId="13" xfId="0" applyNumberFormat="1" applyFont="1" applyFill="1" applyBorder="1"/>
    <xf numFmtId="0" fontId="8" fillId="3" borderId="5" xfId="0" applyFont="1" applyFill="1" applyBorder="1"/>
    <xf numFmtId="0" fontId="8" fillId="3" borderId="14" xfId="0" applyFont="1" applyFill="1" applyBorder="1"/>
    <xf numFmtId="2" fontId="6" fillId="0" borderId="1" xfId="0" applyNumberFormat="1" applyFont="1" applyBorder="1"/>
    <xf numFmtId="1" fontId="6" fillId="3" borderId="15" xfId="0" applyNumberFormat="1" applyFont="1" applyFill="1" applyBorder="1" applyAlignment="1">
      <alignment vertical="center"/>
    </xf>
    <xf numFmtId="1" fontId="6" fillId="0" borderId="0" xfId="0" applyNumberFormat="1" applyFont="1"/>
    <xf numFmtId="1" fontId="6" fillId="3" borderId="1" xfId="0" applyNumberFormat="1" applyFont="1" applyFill="1" applyBorder="1" applyAlignment="1">
      <alignment vertical="center"/>
    </xf>
    <xf numFmtId="1" fontId="6" fillId="3" borderId="14" xfId="0" applyNumberFormat="1" applyFont="1" applyFill="1" applyBorder="1"/>
    <xf numFmtId="1" fontId="6" fillId="3" borderId="0" xfId="0" applyNumberFormat="1" applyFont="1" applyFill="1" applyAlignment="1">
      <alignment vertical="center"/>
    </xf>
    <xf numFmtId="1" fontId="6" fillId="3" borderId="11" xfId="0" applyNumberFormat="1" applyFont="1" applyFill="1" applyBorder="1" applyAlignment="1">
      <alignment vertical="center"/>
    </xf>
    <xf numFmtId="0" fontId="9" fillId="6" borderId="16" xfId="0" applyFont="1" applyFill="1" applyBorder="1" applyAlignment="1">
      <alignment horizontal="center"/>
    </xf>
    <xf numFmtId="0" fontId="9" fillId="6" borderId="17" xfId="0" applyFont="1" applyFill="1" applyBorder="1" applyAlignment="1">
      <alignment horizontal="center"/>
    </xf>
    <xf numFmtId="0" fontId="9" fillId="6" borderId="18" xfId="0" applyFont="1" applyFill="1" applyBorder="1" applyAlignment="1">
      <alignment horizontal="center"/>
    </xf>
    <xf numFmtId="1" fontId="6" fillId="6" borderId="19" xfId="0" applyNumberFormat="1" applyFont="1" applyFill="1" applyBorder="1"/>
    <xf numFmtId="1" fontId="6" fillId="6" borderId="20" xfId="0" applyNumberFormat="1" applyFont="1" applyFill="1" applyBorder="1"/>
    <xf numFmtId="2" fontId="6" fillId="0" borderId="0" xfId="0" applyNumberFormat="1" applyFont="1"/>
    <xf numFmtId="0" fontId="7" fillId="7" borderId="1" xfId="0" applyFont="1" applyFill="1" applyBorder="1"/>
    <xf numFmtId="2" fontId="7" fillId="7" borderId="1" xfId="0" applyNumberFormat="1" applyFont="1" applyFill="1" applyBorder="1"/>
    <xf numFmtId="0" fontId="6" fillId="8" borderId="1" xfId="0" applyFont="1" applyFill="1" applyBorder="1"/>
    <xf numFmtId="0" fontId="8" fillId="0" borderId="1" xfId="0" applyFont="1" applyBorder="1"/>
    <xf numFmtId="0" fontId="6" fillId="3" borderId="0" xfId="0" applyFont="1" applyFill="1"/>
    <xf numFmtId="0" fontId="10" fillId="9" borderId="21" xfId="0" applyFont="1" applyFill="1" applyBorder="1"/>
    <xf numFmtId="0" fontId="5" fillId="0" borderId="0" xfId="0" applyFont="1"/>
    <xf numFmtId="0" fontId="11" fillId="10" borderId="1" xfId="0" applyFont="1" applyFill="1" applyBorder="1"/>
    <xf numFmtId="0" fontId="11" fillId="10" borderId="14" xfId="0" applyFont="1" applyFill="1" applyBorder="1" applyAlignment="1">
      <alignment wrapText="1"/>
    </xf>
    <xf numFmtId="0" fontId="11" fillId="10" borderId="22" xfId="0" applyFont="1" applyFill="1" applyBorder="1" applyAlignment="1">
      <alignment wrapText="1"/>
    </xf>
    <xf numFmtId="0" fontId="12" fillId="0" borderId="10" xfId="0" applyFont="1" applyBorder="1"/>
    <xf numFmtId="0" fontId="12" fillId="0" borderId="23" xfId="0" applyFont="1" applyBorder="1"/>
    <xf numFmtId="0" fontId="12" fillId="0" borderId="14" xfId="0" applyFont="1" applyBorder="1"/>
    <xf numFmtId="0" fontId="13" fillId="0" borderId="14" xfId="0" applyFont="1" applyBorder="1"/>
    <xf numFmtId="0" fontId="13" fillId="0" borderId="23" xfId="0" applyFont="1" applyBorder="1"/>
    <xf numFmtId="0" fontId="5" fillId="0" borderId="24" xfId="0" applyFont="1" applyBorder="1"/>
    <xf numFmtId="0" fontId="14" fillId="0" borderId="11" xfId="0" applyFont="1" applyBorder="1"/>
    <xf numFmtId="15" fontId="14" fillId="0" borderId="24" xfId="0" applyNumberFormat="1" applyFont="1" applyBorder="1"/>
    <xf numFmtId="0" fontId="15" fillId="0" borderId="24" xfId="0" applyFont="1" applyBorder="1"/>
    <xf numFmtId="0" fontId="15" fillId="0" borderId="24" xfId="0" applyFont="1" applyBorder="1" applyAlignment="1">
      <alignment wrapText="1"/>
    </xf>
    <xf numFmtId="0" fontId="15" fillId="11" borderId="24" xfId="0" applyFont="1" applyFill="1" applyBorder="1"/>
    <xf numFmtId="0" fontId="15" fillId="0" borderId="25" xfId="0" applyFont="1" applyBorder="1"/>
    <xf numFmtId="0" fontId="15" fillId="0" borderId="1" xfId="0" applyFont="1" applyBorder="1"/>
    <xf numFmtId="0" fontId="15" fillId="0" borderId="26" xfId="0" applyFont="1" applyBorder="1"/>
    <xf numFmtId="0" fontId="15" fillId="0" borderId="11" xfId="0" applyFont="1" applyBorder="1"/>
    <xf numFmtId="0" fontId="15" fillId="0" borderId="27" xfId="0" applyFont="1" applyBorder="1"/>
    <xf numFmtId="4" fontId="15" fillId="0" borderId="24" xfId="0" applyNumberFormat="1" applyFont="1" applyBorder="1"/>
    <xf numFmtId="0" fontId="15" fillId="0" borderId="14" xfId="0" applyFont="1" applyBorder="1"/>
    <xf numFmtId="0" fontId="15" fillId="0" borderId="28" xfId="0" applyFont="1" applyBorder="1"/>
    <xf numFmtId="0" fontId="15" fillId="0" borderId="11" xfId="0" applyFont="1" applyBorder="1" applyAlignment="1">
      <alignment wrapText="1"/>
    </xf>
    <xf numFmtId="0" fontId="15" fillId="0" borderId="29" xfId="0" applyFont="1" applyBorder="1"/>
    <xf numFmtId="0" fontId="15" fillId="0" borderId="30" xfId="0" applyFont="1" applyBorder="1"/>
    <xf numFmtId="0" fontId="15" fillId="0" borderId="15" xfId="0" applyFont="1" applyBorder="1"/>
    <xf numFmtId="0" fontId="15" fillId="0" borderId="31" xfId="0" applyFont="1" applyBorder="1"/>
    <xf numFmtId="0" fontId="15" fillId="0" borderId="22" xfId="0" applyFont="1" applyBorder="1"/>
    <xf numFmtId="0" fontId="14" fillId="0" borderId="24" xfId="0" applyFont="1" applyBorder="1"/>
    <xf numFmtId="4" fontId="5" fillId="0" borderId="0" xfId="0" applyNumberFormat="1" applyFont="1"/>
    <xf numFmtId="0" fontId="14" fillId="0" borderId="0" xfId="0" applyFont="1"/>
    <xf numFmtId="0" fontId="15" fillId="0" borderId="0" xfId="0" applyFont="1"/>
    <xf numFmtId="0" fontId="15" fillId="0" borderId="0" xfId="0" applyFont="1" applyAlignment="1">
      <alignment wrapText="1"/>
    </xf>
    <xf numFmtId="0" fontId="13" fillId="12" borderId="32" xfId="0" applyFont="1" applyFill="1" applyBorder="1"/>
    <xf numFmtId="0" fontId="13" fillId="12" borderId="33" xfId="0" applyFont="1" applyFill="1" applyBorder="1"/>
    <xf numFmtId="0" fontId="13" fillId="12" borderId="34" xfId="0" applyFont="1" applyFill="1" applyBorder="1"/>
    <xf numFmtId="4" fontId="13" fillId="12" borderId="34" xfId="0" applyNumberFormat="1" applyFont="1" applyFill="1" applyBorder="1"/>
    <xf numFmtId="0" fontId="13" fillId="12" borderId="35" xfId="0" applyFont="1" applyFill="1" applyBorder="1"/>
    <xf numFmtId="0" fontId="13" fillId="12" borderId="36" xfId="0" applyFont="1" applyFill="1" applyBorder="1"/>
    <xf numFmtId="0" fontId="12" fillId="0" borderId="0" xfId="0" applyFont="1"/>
    <xf numFmtId="0" fontId="16" fillId="13" borderId="1" xfId="0" applyFont="1" applyFill="1" applyBorder="1" applyAlignment="1">
      <alignment horizontal="center"/>
    </xf>
    <xf numFmtId="0" fontId="17" fillId="14" borderId="8" xfId="0" applyFont="1" applyFill="1" applyBorder="1" applyAlignment="1">
      <alignment horizontal="center" vertical="center"/>
    </xf>
    <xf numFmtId="0" fontId="17" fillId="14" borderId="8" xfId="0" applyFont="1" applyFill="1" applyBorder="1" applyAlignment="1">
      <alignment horizontal="center" vertical="center" wrapText="1"/>
    </xf>
    <xf numFmtId="165" fontId="17" fillId="14" borderId="8" xfId="0" applyNumberFormat="1" applyFont="1" applyFill="1" applyBorder="1" applyAlignment="1">
      <alignment horizontal="center" vertical="center" wrapText="1"/>
    </xf>
    <xf numFmtId="165" fontId="17" fillId="14" borderId="8" xfId="0" applyNumberFormat="1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/>
    </xf>
    <xf numFmtId="2" fontId="0" fillId="0" borderId="8" xfId="0" applyNumberFormat="1" applyBorder="1"/>
    <xf numFmtId="0" fontId="18" fillId="0" borderId="8" xfId="0" applyFont="1" applyBorder="1"/>
    <xf numFmtId="0" fontId="0" fillId="0" borderId="8" xfId="0" applyBorder="1"/>
    <xf numFmtId="2" fontId="0" fillId="0" borderId="0" xfId="0" applyNumberFormat="1"/>
    <xf numFmtId="1" fontId="8" fillId="0" borderId="1" xfId="0" applyNumberFormat="1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2" fontId="0" fillId="0" borderId="1" xfId="0" applyNumberFormat="1" applyBorder="1"/>
    <xf numFmtId="2" fontId="0" fillId="0" borderId="1" xfId="0" applyNumberFormat="1" applyBorder="1" applyAlignment="1">
      <alignment horizontal="left"/>
    </xf>
    <xf numFmtId="1" fontId="0" fillId="0" borderId="1" xfId="0" applyNumberFormat="1" applyBorder="1"/>
    <xf numFmtId="2" fontId="19" fillId="15" borderId="1" xfId="0" applyNumberFormat="1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 wrapText="1"/>
    </xf>
    <xf numFmtId="165" fontId="17" fillId="14" borderId="1" xfId="0" applyNumberFormat="1" applyFont="1" applyFill="1" applyBorder="1" applyAlignment="1">
      <alignment horizontal="center" vertical="center" wrapText="1"/>
    </xf>
    <xf numFmtId="0" fontId="18" fillId="0" borderId="9" xfId="0" applyFont="1" applyBorder="1" applyAlignment="1">
      <alignment horizontal="center"/>
    </xf>
    <xf numFmtId="0" fontId="18" fillId="0" borderId="37" xfId="0" applyFont="1" applyBorder="1" applyAlignment="1">
      <alignment horizontal="center"/>
    </xf>
    <xf numFmtId="1" fontId="0" fillId="0" borderId="0" xfId="0" applyNumberFormat="1"/>
    <xf numFmtId="0" fontId="20" fillId="0" borderId="14" xfId="0" applyFont="1" applyBorder="1" applyAlignment="1">
      <alignment horizontal="center" vertical="center"/>
    </xf>
    <xf numFmtId="167" fontId="21" fillId="0" borderId="1" xfId="0" applyNumberFormat="1" applyFont="1" applyBorder="1" applyAlignment="1">
      <alignment horizontal="center" vertical="center"/>
    </xf>
    <xf numFmtId="168" fontId="21" fillId="0" borderId="1" xfId="0" applyNumberFormat="1" applyFont="1" applyBorder="1" applyAlignment="1">
      <alignment vertical="center"/>
    </xf>
    <xf numFmtId="167" fontId="20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1" fontId="0" fillId="0" borderId="10" xfId="0" applyNumberFormat="1" applyBorder="1"/>
    <xf numFmtId="0" fontId="0" fillId="0" borderId="14" xfId="0" applyBorder="1"/>
    <xf numFmtId="2" fontId="0" fillId="0" borderId="11" xfId="0" applyNumberFormat="1" applyBorder="1"/>
    <xf numFmtId="168" fontId="19" fillId="15" borderId="1" xfId="0" applyNumberFormat="1" applyFont="1" applyFill="1" applyBorder="1" applyAlignment="1">
      <alignment horizontal="center" vertical="center"/>
    </xf>
    <xf numFmtId="0" fontId="22" fillId="0" borderId="0" xfId="0" applyFont="1"/>
    <xf numFmtId="1" fontId="21" fillId="0" borderId="1" xfId="0" applyNumberFormat="1" applyFont="1" applyBorder="1" applyAlignment="1">
      <alignment horizontal="center" vertical="center"/>
    </xf>
    <xf numFmtId="3" fontId="0" fillId="0" borderId="0" xfId="0" applyNumberFormat="1"/>
    <xf numFmtId="0" fontId="0" fillId="0" borderId="1" xfId="0" applyBorder="1" applyAlignment="1">
      <alignment horizontal="right"/>
    </xf>
    <xf numFmtId="169" fontId="21" fillId="0" borderId="14" xfId="0" applyNumberFormat="1" applyFont="1" applyBorder="1" applyAlignment="1">
      <alignment horizontal="left" vertical="center" wrapText="1"/>
    </xf>
    <xf numFmtId="167" fontId="21" fillId="0" borderId="1" xfId="0" applyNumberFormat="1" applyFont="1" applyBorder="1" applyAlignment="1">
      <alignment horizontal="right" vertical="center"/>
    </xf>
    <xf numFmtId="168" fontId="21" fillId="0" borderId="1" xfId="0" applyNumberFormat="1" applyFont="1" applyBorder="1" applyAlignment="1">
      <alignment horizontal="right" vertical="center"/>
    </xf>
    <xf numFmtId="0" fontId="16" fillId="13" borderId="25" xfId="0" applyFont="1" applyFill="1" applyBorder="1" applyAlignment="1">
      <alignment horizontal="center" vertical="center"/>
    </xf>
    <xf numFmtId="0" fontId="23" fillId="14" borderId="1" xfId="0" applyFont="1" applyFill="1" applyBorder="1" applyAlignment="1">
      <alignment horizontal="center" vertical="center"/>
    </xf>
    <xf numFmtId="0" fontId="23" fillId="14" borderId="1" xfId="0" applyFont="1" applyFill="1" applyBorder="1" applyAlignment="1">
      <alignment horizontal="center" vertical="center" wrapText="1"/>
    </xf>
    <xf numFmtId="0" fontId="23" fillId="14" borderId="8" xfId="0" applyFont="1" applyFill="1" applyBorder="1" applyAlignment="1">
      <alignment horizontal="center" vertical="center" wrapText="1"/>
    </xf>
    <xf numFmtId="0" fontId="18" fillId="0" borderId="10" xfId="0" applyFont="1" applyBorder="1" applyAlignment="1">
      <alignment horizontal="center"/>
    </xf>
    <xf numFmtId="0" fontId="18" fillId="0" borderId="2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168" fontId="19" fillId="0" borderId="1" xfId="0" applyNumberFormat="1" applyFont="1" applyBorder="1" applyAlignment="1">
      <alignment vertical="center"/>
    </xf>
    <xf numFmtId="168" fontId="19" fillId="0" borderId="10" xfId="0" applyNumberFormat="1" applyFont="1" applyBorder="1" applyAlignment="1">
      <alignment vertical="center"/>
    </xf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168" fontId="24" fillId="0" borderId="1" xfId="0" applyNumberFormat="1" applyFont="1" applyBorder="1" applyAlignment="1">
      <alignment horizontal="center" vertical="center"/>
    </xf>
    <xf numFmtId="168" fontId="24" fillId="3" borderId="1" xfId="0" applyNumberFormat="1" applyFont="1" applyFill="1" applyBorder="1" applyAlignment="1">
      <alignment horizontal="center" vertical="center"/>
    </xf>
    <xf numFmtId="168" fontId="24" fillId="0" borderId="10" xfId="0" applyNumberFormat="1" applyFont="1" applyBorder="1" applyAlignment="1">
      <alignment horizontal="center" vertical="center"/>
    </xf>
    <xf numFmtId="168" fontId="24" fillId="0" borderId="26" xfId="0" applyNumberFormat="1" applyFont="1" applyBorder="1" applyAlignment="1">
      <alignment horizontal="center" vertical="center"/>
    </xf>
    <xf numFmtId="168" fontId="24" fillId="0" borderId="38" xfId="0" applyNumberFormat="1" applyFont="1" applyBorder="1" applyAlignment="1">
      <alignment horizontal="center" vertical="center"/>
    </xf>
    <xf numFmtId="168" fontId="24" fillId="0" borderId="27" xfId="0" applyNumberFormat="1" applyFont="1" applyBorder="1" applyAlignment="1">
      <alignment horizontal="center" vertical="center"/>
    </xf>
    <xf numFmtId="168" fontId="24" fillId="0" borderId="14" xfId="0" applyNumberFormat="1" applyFont="1" applyBorder="1" applyAlignment="1">
      <alignment horizontal="center" vertical="center"/>
    </xf>
    <xf numFmtId="0" fontId="24" fillId="0" borderId="28" xfId="0" applyFont="1" applyBorder="1" applyAlignment="1">
      <alignment horizontal="center" vertical="center"/>
    </xf>
    <xf numFmtId="0" fontId="24" fillId="0" borderId="15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167" fontId="8" fillId="0" borderId="1" xfId="0" applyNumberFormat="1" applyFont="1" applyBorder="1"/>
    <xf numFmtId="168" fontId="8" fillId="0" borderId="1" xfId="0" applyNumberFormat="1" applyFont="1" applyBorder="1" applyAlignment="1">
      <alignment horizontal="center" vertical="center"/>
    </xf>
    <xf numFmtId="167" fontId="8" fillId="0" borderId="1" xfId="0" applyNumberFormat="1" applyFont="1" applyBorder="1" applyAlignment="1">
      <alignment horizontal="center"/>
    </xf>
    <xf numFmtId="2" fontId="8" fillId="0" borderId="1" xfId="0" applyNumberFormat="1" applyFont="1" applyBorder="1"/>
    <xf numFmtId="2" fontId="25" fillId="15" borderId="1" xfId="0" applyNumberFormat="1" applyFont="1" applyFill="1" applyBorder="1" applyAlignment="1">
      <alignment horizontal="center" vertical="center"/>
    </xf>
    <xf numFmtId="168" fontId="25" fillId="15" borderId="1" xfId="0" applyNumberFormat="1" applyFont="1" applyFill="1" applyBorder="1" applyAlignment="1">
      <alignment vertical="center"/>
    </xf>
    <xf numFmtId="168" fontId="25" fillId="15" borderId="1" xfId="0" applyNumberFormat="1" applyFont="1" applyFill="1" applyBorder="1" applyAlignment="1">
      <alignment horizontal="center" vertical="center"/>
    </xf>
    <xf numFmtId="0" fontId="16" fillId="13" borderId="21" xfId="0" applyFont="1" applyFill="1" applyBorder="1" applyAlignment="1">
      <alignment horizontal="center" vertical="center"/>
    </xf>
    <xf numFmtId="0" fontId="17" fillId="14" borderId="39" xfId="0" applyFont="1" applyFill="1" applyBorder="1" applyAlignment="1">
      <alignment horizontal="center" vertical="center"/>
    </xf>
    <xf numFmtId="0" fontId="17" fillId="14" borderId="40" xfId="0" applyFont="1" applyFill="1" applyBorder="1" applyAlignment="1">
      <alignment horizontal="center" vertical="center" wrapText="1"/>
    </xf>
    <xf numFmtId="0" fontId="17" fillId="14" borderId="40" xfId="0" applyFont="1" applyFill="1" applyBorder="1" applyAlignment="1">
      <alignment vertical="center" wrapText="1"/>
    </xf>
    <xf numFmtId="165" fontId="17" fillId="14" borderId="40" xfId="0" applyNumberFormat="1" applyFont="1" applyFill="1" applyBorder="1" applyAlignment="1">
      <alignment horizontal="center" vertical="center" wrapText="1"/>
    </xf>
    <xf numFmtId="0" fontId="17" fillId="14" borderId="40" xfId="0" applyFont="1" applyFill="1" applyBorder="1" applyAlignment="1">
      <alignment horizontal="center" vertical="center"/>
    </xf>
    <xf numFmtId="165" fontId="17" fillId="14" borderId="40" xfId="0" applyNumberFormat="1" applyFont="1" applyFill="1" applyBorder="1" applyAlignment="1">
      <alignment horizontal="center" vertical="center"/>
    </xf>
    <xf numFmtId="165" fontId="17" fillId="14" borderId="15" xfId="0" applyNumberFormat="1" applyFont="1" applyFill="1" applyBorder="1" applyAlignment="1">
      <alignment horizontal="center" vertical="center"/>
    </xf>
    <xf numFmtId="0" fontId="17" fillId="14" borderId="41" xfId="0" applyFont="1" applyFill="1" applyBorder="1" applyAlignment="1">
      <alignment horizontal="center" vertical="center" wrapText="1"/>
    </xf>
    <xf numFmtId="165" fontId="8" fillId="3" borderId="1" xfId="0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8" fillId="0" borderId="11" xfId="0" applyFont="1" applyBorder="1" applyAlignment="1">
      <alignment horizontal="center"/>
    </xf>
    <xf numFmtId="166" fontId="8" fillId="0" borderId="12" xfId="0" applyNumberFormat="1" applyFont="1" applyBorder="1" applyAlignment="1">
      <alignment horizontal="center"/>
    </xf>
    <xf numFmtId="0" fontId="8" fillId="0" borderId="1" xfId="0" applyFont="1" applyBorder="1" applyAlignment="1">
      <alignment vertical="center"/>
    </xf>
    <xf numFmtId="168" fontId="8" fillId="0" borderId="1" xfId="0" applyNumberFormat="1" applyFont="1" applyBorder="1" applyAlignment="1">
      <alignment vertical="center"/>
    </xf>
    <xf numFmtId="167" fontId="26" fillId="0" borderId="1" xfId="0" applyNumberFormat="1" applyFont="1" applyBorder="1" applyAlignment="1">
      <alignment horizontal="center"/>
    </xf>
    <xf numFmtId="168" fontId="8" fillId="0" borderId="1" xfId="0" applyNumberFormat="1" applyFont="1" applyBorder="1" applyAlignment="1">
      <alignment horizontal="center" vertical="top"/>
    </xf>
    <xf numFmtId="0" fontId="8" fillId="0" borderId="1" xfId="0" applyFont="1" applyBorder="1" applyAlignment="1">
      <alignment horizontal="center"/>
    </xf>
    <xf numFmtId="167" fontId="8" fillId="0" borderId="1" xfId="0" applyNumberFormat="1" applyFont="1" applyBorder="1" applyAlignment="1">
      <alignment horizontal="right"/>
    </xf>
    <xf numFmtId="0" fontId="8" fillId="0" borderId="10" xfId="0" applyFont="1" applyBorder="1" applyAlignment="1">
      <alignment horizontal="center"/>
    </xf>
    <xf numFmtId="2" fontId="27" fillId="0" borderId="1" xfId="0" applyNumberFormat="1" applyFont="1" applyBorder="1"/>
    <xf numFmtId="0" fontId="8" fillId="0" borderId="12" xfId="0" applyFont="1" applyBorder="1" applyAlignment="1">
      <alignment horizontal="center"/>
    </xf>
    <xf numFmtId="2" fontId="26" fillId="0" borderId="1" xfId="0" applyNumberFormat="1" applyFont="1" applyBorder="1" applyAlignment="1">
      <alignment horizontal="center" vertical="center"/>
    </xf>
    <xf numFmtId="0" fontId="26" fillId="0" borderId="1" xfId="0" applyFont="1" applyBorder="1"/>
    <xf numFmtId="0" fontId="26" fillId="0" borderId="1" xfId="0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167" fontId="26" fillId="0" borderId="8" xfId="0" applyNumberFormat="1" applyFont="1" applyBorder="1" applyAlignment="1">
      <alignment horizontal="center"/>
    </xf>
    <xf numFmtId="170" fontId="8" fillId="0" borderId="1" xfId="0" applyNumberFormat="1" applyFont="1" applyBorder="1" applyAlignment="1">
      <alignment horizontal="center" vertical="center"/>
    </xf>
    <xf numFmtId="171" fontId="8" fillId="0" borderId="1" xfId="0" applyNumberFormat="1" applyFont="1" applyBorder="1" applyAlignment="1">
      <alignment horizontal="center" vertical="center"/>
    </xf>
    <xf numFmtId="168" fontId="8" fillId="0" borderId="8" xfId="0" applyNumberFormat="1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26" fillId="0" borderId="14" xfId="0" applyFont="1" applyBorder="1" applyAlignment="1">
      <alignment horizontal="center" vertical="center"/>
    </xf>
    <xf numFmtId="167" fontId="8" fillId="0" borderId="14" xfId="0" applyNumberFormat="1" applyFont="1" applyBorder="1"/>
    <xf numFmtId="168" fontId="8" fillId="0" borderId="11" xfId="0" applyNumberFormat="1" applyFont="1" applyBorder="1" applyAlignment="1">
      <alignment vertical="center"/>
    </xf>
    <xf numFmtId="167" fontId="8" fillId="0" borderId="11" xfId="0" applyNumberFormat="1" applyFont="1" applyBorder="1"/>
    <xf numFmtId="0" fontId="1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28" fillId="0" borderId="0" xfId="0" applyFont="1"/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0" fontId="18" fillId="0" borderId="22" xfId="0" applyFont="1" applyBorder="1" applyAlignment="1">
      <alignment horizontal="center"/>
    </xf>
    <xf numFmtId="165" fontId="8" fillId="3" borderId="8" xfId="0" applyNumberFormat="1" applyFont="1" applyFill="1" applyBorder="1" applyAlignment="1">
      <alignment horizontal="center" vertical="center"/>
    </xf>
    <xf numFmtId="0" fontId="17" fillId="3" borderId="8" xfId="0" applyFont="1" applyFill="1" applyBorder="1" applyAlignment="1">
      <alignment horizontal="center" vertical="center" wrapText="1"/>
    </xf>
    <xf numFmtId="172" fontId="26" fillId="3" borderId="42" xfId="0" applyNumberFormat="1" applyFont="1" applyFill="1" applyBorder="1" applyAlignment="1">
      <alignment horizontal="center" vertical="center"/>
    </xf>
    <xf numFmtId="0" fontId="26" fillId="3" borderId="42" xfId="0" applyFont="1" applyFill="1" applyBorder="1"/>
    <xf numFmtId="0" fontId="26" fillId="3" borderId="42" xfId="0" applyFont="1" applyFill="1" applyBorder="1" applyAlignment="1">
      <alignment horizontal="center"/>
    </xf>
    <xf numFmtId="167" fontId="26" fillId="3" borderId="42" xfId="0" applyNumberFormat="1" applyFont="1" applyFill="1" applyBorder="1"/>
    <xf numFmtId="168" fontId="26" fillId="3" borderId="42" xfId="0" applyNumberFormat="1" applyFont="1" applyFill="1" applyBorder="1" applyAlignment="1">
      <alignment horizontal="center"/>
    </xf>
    <xf numFmtId="167" fontId="26" fillId="3" borderId="42" xfId="0" applyNumberFormat="1" applyFont="1" applyFill="1" applyBorder="1" applyAlignment="1">
      <alignment horizontal="center"/>
    </xf>
    <xf numFmtId="168" fontId="26" fillId="3" borderId="42" xfId="0" applyNumberFormat="1" applyFont="1" applyFill="1" applyBorder="1"/>
    <xf numFmtId="168" fontId="29" fillId="3" borderId="42" xfId="0" applyNumberFormat="1" applyFont="1" applyFill="1" applyBorder="1"/>
    <xf numFmtId="0" fontId="0" fillId="3" borderId="42" xfId="0" applyFill="1" applyBorder="1"/>
    <xf numFmtId="0" fontId="26" fillId="0" borderId="42" xfId="0" applyFont="1" applyBorder="1"/>
    <xf numFmtId="167" fontId="26" fillId="0" borderId="42" xfId="0" applyNumberFormat="1" applyFont="1" applyBorder="1"/>
    <xf numFmtId="167" fontId="26" fillId="0" borderId="42" xfId="0" applyNumberFormat="1" applyFont="1" applyBorder="1" applyAlignment="1">
      <alignment horizontal="center"/>
    </xf>
    <xf numFmtId="168" fontId="26" fillId="0" borderId="42" xfId="0" applyNumberFormat="1" applyFont="1" applyBorder="1"/>
    <xf numFmtId="168" fontId="29" fillId="0" borderId="42" xfId="0" applyNumberFormat="1" applyFont="1" applyBorder="1"/>
    <xf numFmtId="172" fontId="26" fillId="3" borderId="42" xfId="0" applyNumberFormat="1" applyFont="1" applyFill="1" applyBorder="1" applyAlignment="1">
      <alignment horizontal="center"/>
    </xf>
    <xf numFmtId="0" fontId="26" fillId="0" borderId="42" xfId="0" applyFont="1" applyBorder="1" applyAlignment="1">
      <alignment horizontal="center"/>
    </xf>
    <xf numFmtId="172" fontId="26" fillId="0" borderId="42" xfId="0" applyNumberFormat="1" applyFont="1" applyBorder="1" applyAlignment="1">
      <alignment horizontal="center" vertical="center"/>
    </xf>
    <xf numFmtId="0" fontId="0" fillId="0" borderId="42" xfId="0" applyBorder="1"/>
    <xf numFmtId="168" fontId="26" fillId="0" borderId="42" xfId="0" applyNumberFormat="1" applyFont="1" applyBorder="1" applyAlignment="1">
      <alignment horizontal="center"/>
    </xf>
    <xf numFmtId="168" fontId="0" fillId="3" borderId="42" xfId="0" applyNumberFormat="1" applyFill="1" applyBorder="1"/>
    <xf numFmtId="168" fontId="8" fillId="3" borderId="42" xfId="0" applyNumberFormat="1" applyFont="1" applyFill="1" applyBorder="1" applyAlignment="1">
      <alignment horizontal="center"/>
    </xf>
    <xf numFmtId="168" fontId="8" fillId="3" borderId="42" xfId="0" applyNumberFormat="1" applyFont="1" applyFill="1" applyBorder="1"/>
    <xf numFmtId="166" fontId="5" fillId="0" borderId="42" xfId="0" applyNumberFormat="1" applyFont="1" applyBorder="1" applyAlignment="1">
      <alignment horizontal="center" vertical="center"/>
    </xf>
    <xf numFmtId="0" fontId="8" fillId="0" borderId="43" xfId="0" applyFont="1" applyBorder="1" applyAlignment="1">
      <alignment horizontal="center"/>
    </xf>
    <xf numFmtId="166" fontId="5" fillId="0" borderId="40" xfId="0" applyNumberFormat="1" applyFont="1" applyBorder="1" applyAlignment="1">
      <alignment horizontal="center" vertical="center"/>
    </xf>
    <xf numFmtId="0" fontId="26" fillId="0" borderId="40" xfId="0" applyFont="1" applyBorder="1"/>
    <xf numFmtId="0" fontId="26" fillId="0" borderId="40" xfId="0" applyFont="1" applyBorder="1" applyAlignment="1">
      <alignment horizontal="center"/>
    </xf>
    <xf numFmtId="167" fontId="26" fillId="3" borderId="40" xfId="0" applyNumberFormat="1" applyFont="1" applyFill="1" applyBorder="1"/>
    <xf numFmtId="167" fontId="26" fillId="0" borderId="40" xfId="0" applyNumberFormat="1" applyFont="1" applyBorder="1"/>
    <xf numFmtId="168" fontId="26" fillId="0" borderId="40" xfId="0" applyNumberFormat="1" applyFont="1" applyBorder="1" applyAlignment="1">
      <alignment horizontal="center"/>
    </xf>
    <xf numFmtId="167" fontId="26" fillId="3" borderId="40" xfId="0" applyNumberFormat="1" applyFont="1" applyFill="1" applyBorder="1" applyAlignment="1">
      <alignment horizontal="center"/>
    </xf>
    <xf numFmtId="167" fontId="26" fillId="0" borderId="40" xfId="0" applyNumberFormat="1" applyFont="1" applyBorder="1" applyAlignment="1">
      <alignment horizontal="center"/>
    </xf>
    <xf numFmtId="168" fontId="26" fillId="0" borderId="40" xfId="0" applyNumberFormat="1" applyFont="1" applyBorder="1"/>
    <xf numFmtId="4" fontId="5" fillId="0" borderId="22" xfId="0" applyNumberFormat="1" applyFont="1" applyBorder="1"/>
    <xf numFmtId="168" fontId="8" fillId="0" borderId="8" xfId="0" applyNumberFormat="1" applyFont="1" applyBorder="1" applyAlignment="1">
      <alignment horizontal="center" vertical="top"/>
    </xf>
    <xf numFmtId="168" fontId="8" fillId="0" borderId="8" xfId="0" applyNumberFormat="1" applyFont="1" applyBorder="1" applyAlignment="1">
      <alignment horizontal="center" vertical="center"/>
    </xf>
    <xf numFmtId="0" fontId="18" fillId="16" borderId="1" xfId="0" applyFont="1" applyFill="1" applyBorder="1"/>
    <xf numFmtId="167" fontId="18" fillId="16" borderId="1" xfId="0" applyNumberFormat="1" applyFont="1" applyFill="1" applyBorder="1"/>
    <xf numFmtId="168" fontId="0" fillId="0" borderId="1" xfId="0" applyNumberFormat="1" applyBorder="1" applyAlignment="1">
      <alignment vertical="center"/>
    </xf>
    <xf numFmtId="168" fontId="8" fillId="0" borderId="14" xfId="0" applyNumberFormat="1" applyFont="1" applyBorder="1" applyAlignment="1">
      <alignment horizontal="center" vertical="top"/>
    </xf>
    <xf numFmtId="165" fontId="0" fillId="0" borderId="0" xfId="0" applyNumberFormat="1"/>
    <xf numFmtId="168" fontId="8" fillId="0" borderId="14" xfId="0" applyNumberFormat="1" applyFont="1" applyBorder="1" applyAlignment="1">
      <alignment horizontal="center" vertical="center"/>
    </xf>
    <xf numFmtId="0" fontId="8" fillId="0" borderId="11" xfId="0" applyFont="1" applyBorder="1" applyAlignment="1">
      <alignment vertical="center"/>
    </xf>
    <xf numFmtId="0" fontId="0" fillId="0" borderId="11" xfId="0" applyBorder="1"/>
    <xf numFmtId="168" fontId="8" fillId="0" borderId="11" xfId="0" applyNumberFormat="1" applyFont="1" applyBorder="1" applyAlignment="1">
      <alignment horizontal="center" vertical="center"/>
    </xf>
    <xf numFmtId="167" fontId="8" fillId="0" borderId="11" xfId="0" applyNumberFormat="1" applyFont="1" applyBorder="1" applyAlignment="1">
      <alignment horizontal="center"/>
    </xf>
    <xf numFmtId="2" fontId="8" fillId="0" borderId="11" xfId="0" applyNumberFormat="1" applyFont="1" applyBorder="1"/>
    <xf numFmtId="168" fontId="8" fillId="0" borderId="22" xfId="0" applyNumberFormat="1" applyFont="1" applyBorder="1" applyAlignment="1">
      <alignment horizontal="center" vertical="top"/>
    </xf>
    <xf numFmtId="168" fontId="8" fillId="0" borderId="24" xfId="0" applyNumberFormat="1" applyFont="1" applyBorder="1" applyAlignment="1">
      <alignment horizontal="center" vertical="top"/>
    </xf>
    <xf numFmtId="167" fontId="8" fillId="0" borderId="8" xfId="0" applyNumberFormat="1" applyFont="1" applyBorder="1" applyAlignment="1">
      <alignment horizontal="center"/>
    </xf>
    <xf numFmtId="2" fontId="8" fillId="0" borderId="8" xfId="0" applyNumberFormat="1" applyFont="1" applyBorder="1"/>
    <xf numFmtId="168" fontId="8" fillId="0" borderId="10" xfId="0" applyNumberFormat="1" applyFont="1" applyBorder="1" applyAlignment="1">
      <alignment horizontal="center" vertical="center"/>
    </xf>
    <xf numFmtId="168" fontId="0" fillId="3" borderId="1" xfId="0" applyNumberFormat="1" applyFill="1" applyBorder="1" applyAlignment="1">
      <alignment horizontal="right" vertical="center"/>
    </xf>
    <xf numFmtId="168" fontId="0" fillId="0" borderId="1" xfId="0" applyNumberFormat="1" applyBorder="1" applyAlignment="1">
      <alignment horizontal="right" vertical="center"/>
    </xf>
    <xf numFmtId="2" fontId="8" fillId="0" borderId="1" xfId="0" applyNumberFormat="1" applyFont="1" applyBorder="1" applyAlignment="1">
      <alignment horizontal="right"/>
    </xf>
    <xf numFmtId="168" fontId="8" fillId="0" borderId="12" xfId="0" applyNumberFormat="1" applyFont="1" applyBorder="1" applyAlignment="1">
      <alignment horizontal="center" vertical="center"/>
    </xf>
    <xf numFmtId="168" fontId="8" fillId="0" borderId="24" xfId="0" applyNumberFormat="1" applyFont="1" applyBorder="1" applyAlignment="1">
      <alignment horizontal="center" vertical="center"/>
    </xf>
    <xf numFmtId="167" fontId="8" fillId="0" borderId="8" xfId="0" applyNumberFormat="1" applyFont="1" applyBorder="1"/>
    <xf numFmtId="168" fontId="8" fillId="0" borderId="9" xfId="0" applyNumberFormat="1" applyFont="1" applyBorder="1" applyAlignment="1">
      <alignment horizontal="center" vertical="center"/>
    </xf>
    <xf numFmtId="168" fontId="8" fillId="0" borderId="22" xfId="0" applyNumberFormat="1" applyFont="1" applyBorder="1" applyAlignment="1">
      <alignment horizontal="center" vertical="center"/>
    </xf>
    <xf numFmtId="168" fontId="8" fillId="0" borderId="10" xfId="0" applyNumberFormat="1" applyFont="1" applyBorder="1" applyAlignment="1">
      <alignment vertical="center"/>
    </xf>
    <xf numFmtId="168" fontId="8" fillId="0" borderId="11" xfId="0" applyNumberFormat="1" applyFont="1" applyBorder="1" applyAlignment="1">
      <alignment horizontal="center" vertical="top"/>
    </xf>
    <xf numFmtId="167" fontId="8" fillId="0" borderId="11" xfId="0" applyNumberFormat="1" applyFont="1" applyBorder="1" applyAlignment="1">
      <alignment horizontal="right"/>
    </xf>
    <xf numFmtId="2" fontId="8" fillId="0" borderId="11" xfId="0" applyNumberFormat="1" applyFont="1" applyBorder="1" applyAlignment="1">
      <alignment horizontal="right"/>
    </xf>
    <xf numFmtId="0" fontId="18" fillId="0" borderId="1" xfId="0" applyFont="1" applyBorder="1" applyAlignment="1">
      <alignment horizontal="center"/>
    </xf>
    <xf numFmtId="165" fontId="8" fillId="3" borderId="14" xfId="0" applyNumberFormat="1" applyFont="1" applyFill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/>
    </xf>
    <xf numFmtId="168" fontId="0" fillId="0" borderId="11" xfId="0" applyNumberFormat="1" applyBorder="1" applyAlignment="1">
      <alignment horizontal="right" vertical="center"/>
    </xf>
    <xf numFmtId="0" fontId="16" fillId="13" borderId="21" xfId="0" applyFont="1" applyFill="1" applyBorder="1" applyAlignment="1">
      <alignment horizontal="center"/>
    </xf>
    <xf numFmtId="0" fontId="23" fillId="14" borderId="39" xfId="0" applyFont="1" applyFill="1" applyBorder="1" applyAlignment="1">
      <alignment horizontal="center" vertical="center"/>
    </xf>
    <xf numFmtId="0" fontId="23" fillId="14" borderId="40" xfId="0" applyFont="1" applyFill="1" applyBorder="1" applyAlignment="1">
      <alignment horizontal="center" vertical="center" wrapText="1"/>
    </xf>
    <xf numFmtId="165" fontId="23" fillId="14" borderId="40" xfId="0" applyNumberFormat="1" applyFont="1" applyFill="1" applyBorder="1" applyAlignment="1">
      <alignment horizontal="center" vertical="center" wrapText="1"/>
    </xf>
    <xf numFmtId="0" fontId="23" fillId="14" borderId="40" xfId="0" applyFont="1" applyFill="1" applyBorder="1" applyAlignment="1">
      <alignment horizontal="center" vertical="center"/>
    </xf>
    <xf numFmtId="165" fontId="23" fillId="14" borderId="40" xfId="0" applyNumberFormat="1" applyFont="1" applyFill="1" applyBorder="1" applyAlignment="1">
      <alignment horizontal="center" vertical="center"/>
    </xf>
    <xf numFmtId="165" fontId="23" fillId="14" borderId="15" xfId="0" applyNumberFormat="1" applyFont="1" applyFill="1" applyBorder="1" applyAlignment="1">
      <alignment horizontal="center" vertical="center"/>
    </xf>
    <xf numFmtId="0" fontId="23" fillId="14" borderId="41" xfId="0" applyFont="1" applyFill="1" applyBorder="1" applyAlignment="1">
      <alignment horizontal="center" vertical="center" wrapText="1"/>
    </xf>
    <xf numFmtId="168" fontId="24" fillId="0" borderId="1" xfId="0" applyNumberFormat="1" applyFont="1" applyBorder="1" applyAlignment="1">
      <alignment horizontal="left" vertical="top"/>
    </xf>
    <xf numFmtId="0" fontId="24" fillId="0" borderId="8" xfId="0" applyFont="1" applyBorder="1"/>
    <xf numFmtId="168" fontId="24" fillId="0" borderId="1" xfId="0" applyNumberFormat="1" applyFont="1" applyBorder="1" applyAlignment="1">
      <alignment horizontal="right" vertical="center"/>
    </xf>
    <xf numFmtId="168" fontId="24" fillId="0" borderId="11" xfId="0" applyNumberFormat="1" applyFont="1" applyBorder="1" applyAlignment="1">
      <alignment horizontal="center" vertical="center"/>
    </xf>
    <xf numFmtId="2" fontId="19" fillId="15" borderId="11" xfId="0" applyNumberFormat="1" applyFont="1" applyFill="1" applyBorder="1" applyAlignment="1">
      <alignment horizontal="center" vertical="center"/>
    </xf>
    <xf numFmtId="168" fontId="19" fillId="15" borderId="11" xfId="0" applyNumberFormat="1" applyFont="1" applyFill="1" applyBorder="1" applyAlignment="1">
      <alignment horizontal="center" vertical="center"/>
    </xf>
    <xf numFmtId="168" fontId="8" fillId="0" borderId="10" xfId="0" applyNumberFormat="1" applyFont="1" applyBorder="1" applyAlignment="1">
      <alignment horizontal="center" vertical="top"/>
    </xf>
    <xf numFmtId="0" fontId="24" fillId="0" borderId="0" xfId="0" applyFont="1"/>
    <xf numFmtId="0" fontId="15" fillId="0" borderId="0" xfId="0" applyFont="1" applyAlignment="1">
      <alignment horizontal="center"/>
    </xf>
    <xf numFmtId="0" fontId="24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2" fontId="19" fillId="0" borderId="0" xfId="0" applyNumberFormat="1" applyFont="1" applyAlignment="1">
      <alignment horizontal="center" vertical="center"/>
    </xf>
    <xf numFmtId="168" fontId="19" fillId="0" borderId="0" xfId="0" applyNumberFormat="1" applyFont="1" applyAlignment="1">
      <alignment horizontal="center" vertical="center"/>
    </xf>
    <xf numFmtId="0" fontId="17" fillId="13" borderId="21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30" fillId="14" borderId="39" xfId="0" applyFont="1" applyFill="1" applyBorder="1" applyAlignment="1">
      <alignment horizontal="center" vertical="center"/>
    </xf>
    <xf numFmtId="0" fontId="30" fillId="14" borderId="40" xfId="0" applyFont="1" applyFill="1" applyBorder="1" applyAlignment="1">
      <alignment horizontal="center" vertical="center" wrapText="1"/>
    </xf>
    <xf numFmtId="165" fontId="30" fillId="14" borderId="40" xfId="0" applyNumberFormat="1" applyFont="1" applyFill="1" applyBorder="1" applyAlignment="1">
      <alignment horizontal="center" vertical="center" wrapText="1"/>
    </xf>
    <xf numFmtId="165" fontId="30" fillId="14" borderId="15" xfId="0" applyNumberFormat="1" applyFont="1" applyFill="1" applyBorder="1" applyAlignment="1">
      <alignment horizontal="center" vertical="center" wrapText="1"/>
    </xf>
    <xf numFmtId="0" fontId="30" fillId="14" borderId="41" xfId="0" applyFont="1" applyFill="1" applyBorder="1" applyAlignment="1">
      <alignment horizontal="center" vertical="center" wrapText="1"/>
    </xf>
    <xf numFmtId="0" fontId="18" fillId="0" borderId="44" xfId="0" applyFont="1" applyBorder="1" applyAlignment="1">
      <alignment horizontal="center"/>
    </xf>
    <xf numFmtId="168" fontId="19" fillId="0" borderId="42" xfId="0" applyNumberFormat="1" applyFont="1" applyBorder="1" applyAlignment="1">
      <alignment horizontal="center" vertical="center"/>
    </xf>
    <xf numFmtId="168" fontId="8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 wrapText="1"/>
    </xf>
    <xf numFmtId="165" fontId="8" fillId="0" borderId="1" xfId="0" applyNumberFormat="1" applyFont="1" applyBorder="1" applyAlignment="1">
      <alignment horizontal="center"/>
    </xf>
    <xf numFmtId="0" fontId="5" fillId="0" borderId="1" xfId="0" applyFont="1" applyBorder="1"/>
    <xf numFmtId="168" fontId="8" fillId="0" borderId="27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/>
    </xf>
    <xf numFmtId="165" fontId="8" fillId="0" borderId="10" xfId="0" applyNumberFormat="1" applyFont="1" applyBorder="1" applyAlignment="1">
      <alignment horizontal="center"/>
    </xf>
    <xf numFmtId="165" fontId="23" fillId="14" borderId="15" xfId="0" applyNumberFormat="1" applyFont="1" applyFill="1" applyBorder="1" applyAlignment="1">
      <alignment horizontal="center" vertical="center" wrapText="1"/>
    </xf>
    <xf numFmtId="0" fontId="16" fillId="13" borderId="1" xfId="0" applyFont="1" applyFill="1" applyBorder="1" applyAlignment="1">
      <alignment horizontal="center" vertical="center"/>
    </xf>
    <xf numFmtId="2" fontId="24" fillId="0" borderId="1" xfId="0" applyNumberFormat="1" applyFont="1" applyBorder="1" applyAlignment="1">
      <alignment horizontal="center" vertical="center"/>
    </xf>
    <xf numFmtId="1" fontId="24" fillId="0" borderId="1" xfId="0" applyNumberFormat="1" applyFont="1" applyBorder="1" applyAlignment="1">
      <alignment horizontal="center" vertical="center"/>
    </xf>
    <xf numFmtId="0" fontId="14" fillId="0" borderId="1" xfId="0" applyFont="1" applyBorder="1"/>
    <xf numFmtId="0" fontId="27" fillId="0" borderId="0" xfId="0" applyFont="1" applyAlignment="1">
      <alignment horizontal="center"/>
    </xf>
    <xf numFmtId="0" fontId="31" fillId="13" borderId="21" xfId="0" applyFont="1" applyFill="1" applyBorder="1" applyAlignment="1">
      <alignment horizontal="center"/>
    </xf>
    <xf numFmtId="4" fontId="32" fillId="0" borderId="1" xfId="0" applyNumberFormat="1" applyFont="1" applyBorder="1" applyAlignment="1">
      <alignment horizontal="center"/>
    </xf>
    <xf numFmtId="4" fontId="27" fillId="0" borderId="11" xfId="0" applyNumberFormat="1" applyFont="1" applyBorder="1" applyAlignment="1">
      <alignment horizontal="center"/>
    </xf>
    <xf numFmtId="4" fontId="27" fillId="0" borderId="1" xfId="0" applyNumberFormat="1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32" fillId="0" borderId="45" xfId="0" applyFont="1" applyBorder="1" applyAlignment="1">
      <alignment horizontal="center" vertical="center"/>
    </xf>
    <xf numFmtId="0" fontId="14" fillId="0" borderId="46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/>
    </xf>
    <xf numFmtId="0" fontId="27" fillId="0" borderId="11" xfId="0" applyFont="1" applyBorder="1" applyAlignment="1">
      <alignment horizontal="center"/>
    </xf>
    <xf numFmtId="0" fontId="33" fillId="0" borderId="42" xfId="0" applyFont="1" applyBorder="1" applyAlignment="1">
      <alignment horizontal="center" vertical="center"/>
    </xf>
    <xf numFmtId="0" fontId="34" fillId="0" borderId="40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/>
    </xf>
    <xf numFmtId="2" fontId="18" fillId="0" borderId="1" xfId="0" applyNumberFormat="1" applyFont="1" applyBorder="1"/>
    <xf numFmtId="0" fontId="35" fillId="0" borderId="1" xfId="0" applyFont="1" applyBorder="1"/>
    <xf numFmtId="4" fontId="0" fillId="0" borderId="0" xfId="0" applyNumberFormat="1"/>
    <xf numFmtId="165" fontId="8" fillId="0" borderId="0" xfId="0" applyNumberFormat="1" applyFont="1" applyAlignment="1">
      <alignment vertical="center"/>
    </xf>
    <xf numFmtId="170" fontId="8" fillId="0" borderId="11" xfId="0" applyNumberFormat="1" applyFont="1" applyBorder="1" applyAlignment="1">
      <alignment horizontal="center" vertical="center"/>
    </xf>
    <xf numFmtId="168" fontId="36" fillId="0" borderId="1" xfId="0" applyNumberFormat="1" applyFont="1" applyBorder="1" applyAlignment="1">
      <alignment horizontal="center" vertical="center"/>
    </xf>
    <xf numFmtId="168" fontId="0" fillId="0" borderId="0" xfId="0" applyNumberFormat="1"/>
    <xf numFmtId="0" fontId="18" fillId="0" borderId="1" xfId="0" applyFont="1" applyBorder="1"/>
    <xf numFmtId="0" fontId="0" fillId="0" borderId="1" xfId="0" applyBorder="1" applyAlignment="1">
      <alignment horizontal="center" vertical="center"/>
    </xf>
    <xf numFmtId="0" fontId="14" fillId="0" borderId="8" xfId="0" applyFont="1" applyBorder="1"/>
    <xf numFmtId="0" fontId="0" fillId="0" borderId="10" xfId="0" applyBorder="1"/>
    <xf numFmtId="2" fontId="0" fillId="0" borderId="10" xfId="0" applyNumberFormat="1" applyBorder="1"/>
    <xf numFmtId="1" fontId="18" fillId="0" borderId="1" xfId="0" applyNumberFormat="1" applyFont="1" applyBorder="1"/>
    <xf numFmtId="0" fontId="5" fillId="0" borderId="47" xfId="0" applyFont="1" applyBorder="1"/>
    <xf numFmtId="2" fontId="8" fillId="3" borderId="1" xfId="0" applyNumberFormat="1" applyFont="1" applyFill="1" applyBorder="1"/>
    <xf numFmtId="0" fontId="5" fillId="0" borderId="42" xfId="0" applyFont="1" applyBorder="1"/>
    <xf numFmtId="1" fontId="0" fillId="16" borderId="1" xfId="0" applyNumberFormat="1" applyFill="1" applyBorder="1"/>
    <xf numFmtId="0" fontId="16" fillId="13" borderId="1" xfId="0" applyFont="1" applyFill="1" applyBorder="1" applyAlignment="1">
      <alignment horizontal="center" wrapText="1"/>
    </xf>
    <xf numFmtId="2" fontId="17" fillId="14" borderId="8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2" fontId="17" fillId="14" borderId="1" xfId="0" applyNumberFormat="1" applyFont="1" applyFill="1" applyBorder="1" applyAlignment="1">
      <alignment horizontal="center" vertical="center"/>
    </xf>
    <xf numFmtId="165" fontId="17" fillId="14" borderId="1" xfId="0" applyNumberFormat="1" applyFont="1" applyFill="1" applyBorder="1" applyAlignment="1">
      <alignment horizontal="center" vertical="center"/>
    </xf>
    <xf numFmtId="164" fontId="14" fillId="0" borderId="11" xfId="0" applyNumberFormat="1" applyFont="1" applyBorder="1"/>
    <xf numFmtId="16" fontId="0" fillId="0" borderId="0" xfId="0" applyNumberFormat="1"/>
    <xf numFmtId="0" fontId="27" fillId="0" borderId="1" xfId="0" applyFont="1" applyBorder="1" applyAlignment="1">
      <alignment horizontal="center" vertical="top"/>
    </xf>
    <xf numFmtId="0" fontId="27" fillId="0" borderId="11" xfId="0" applyFont="1" applyBorder="1" applyAlignment="1">
      <alignment horizontal="center" vertical="top"/>
    </xf>
    <xf numFmtId="168" fontId="25" fillId="0" borderId="1" xfId="0" applyNumberFormat="1" applyFont="1" applyBorder="1" applyAlignment="1">
      <alignment horizontal="center" vertical="center" indent="1"/>
    </xf>
    <xf numFmtId="0" fontId="14" fillId="0" borderId="1" xfId="0" applyFont="1" applyBorder="1" applyAlignment="1">
      <alignment vertical="center"/>
    </xf>
    <xf numFmtId="4" fontId="8" fillId="0" borderId="0" xfId="0" applyNumberFormat="1" applyFont="1" applyAlignment="1">
      <alignment vertical="center" wrapText="1"/>
    </xf>
    <xf numFmtId="167" fontId="37" fillId="0" borderId="42" xfId="0" applyNumberFormat="1" applyFont="1" applyBorder="1" applyAlignment="1">
      <alignment horizontal="center"/>
    </xf>
    <xf numFmtId="0" fontId="37" fillId="0" borderId="42" xfId="0" applyFont="1" applyBorder="1"/>
    <xf numFmtId="0" fontId="8" fillId="0" borderId="8" xfId="0" applyFont="1" applyBorder="1" applyAlignment="1">
      <alignment vertical="center"/>
    </xf>
    <xf numFmtId="2" fontId="25" fillId="15" borderId="11" xfId="0" applyNumberFormat="1" applyFont="1" applyFill="1" applyBorder="1" applyAlignment="1">
      <alignment horizontal="center" vertical="center"/>
    </xf>
    <xf numFmtId="168" fontId="25" fillId="15" borderId="1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17" fillId="14" borderId="4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38" fillId="0" borderId="42" xfId="0" applyFont="1" applyBorder="1"/>
    <xf numFmtId="2" fontId="8" fillId="0" borderId="1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167" fontId="38" fillId="3" borderId="42" xfId="0" applyNumberFormat="1" applyFont="1" applyFill="1" applyBorder="1" applyAlignment="1">
      <alignment horizontal="center"/>
    </xf>
    <xf numFmtId="0" fontId="38" fillId="3" borderId="42" xfId="0" applyFont="1" applyFill="1" applyBorder="1"/>
    <xf numFmtId="167" fontId="38" fillId="0" borderId="42" xfId="0" applyNumberFormat="1" applyFont="1" applyBorder="1" applyAlignment="1">
      <alignment horizontal="center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17" fillId="14" borderId="40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22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165" fontId="14" fillId="3" borderId="8" xfId="0" applyNumberFormat="1" applyFon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1" fontId="8" fillId="0" borderId="8" xfId="0" applyNumberFormat="1" applyFont="1" applyBorder="1" applyAlignment="1">
      <alignment horizontal="center" vertical="center"/>
    </xf>
    <xf numFmtId="2" fontId="19" fillId="15" borderId="32" xfId="0" applyNumberFormat="1" applyFont="1" applyFill="1" applyBorder="1" applyAlignment="1">
      <alignment horizontal="center" vertical="center"/>
    </xf>
    <xf numFmtId="0" fontId="8" fillId="0" borderId="0" xfId="0" applyFont="1"/>
    <xf numFmtId="0" fontId="16" fillId="13" borderId="0" xfId="0" applyFont="1" applyFill="1" applyAlignment="1">
      <alignment horizontal="center" wrapText="1"/>
    </xf>
    <xf numFmtId="0" fontId="25" fillId="0" borderId="23" xfId="0" applyFont="1" applyBorder="1" applyAlignment="1">
      <alignment horizontal="center"/>
    </xf>
    <xf numFmtId="2" fontId="25" fillId="0" borderId="0" xfId="0" applyNumberFormat="1" applyFont="1"/>
    <xf numFmtId="2" fontId="8" fillId="0" borderId="0" xfId="0" applyNumberFormat="1" applyFont="1"/>
    <xf numFmtId="167" fontId="38" fillId="0" borderId="8" xfId="0" applyNumberFormat="1" applyFont="1" applyBorder="1" applyAlignment="1">
      <alignment horizontal="left"/>
    </xf>
    <xf numFmtId="0" fontId="38" fillId="0" borderId="8" xfId="0" applyFont="1" applyBorder="1" applyAlignment="1">
      <alignment horizontal="left"/>
    </xf>
    <xf numFmtId="0" fontId="8" fillId="0" borderId="14" xfId="0" applyFont="1" applyBorder="1"/>
    <xf numFmtId="0" fontId="25" fillId="0" borderId="1" xfId="0" applyFont="1" applyBorder="1" applyAlignment="1">
      <alignment horizontal="center"/>
    </xf>
    <xf numFmtId="0" fontId="25" fillId="0" borderId="1" xfId="0" applyFont="1" applyBorder="1"/>
    <xf numFmtId="167" fontId="38" fillId="0" borderId="1" xfId="0" applyNumberFormat="1" applyFont="1" applyBorder="1" applyAlignment="1">
      <alignment horizontal="center"/>
    </xf>
    <xf numFmtId="0" fontId="34" fillId="0" borderId="1" xfId="0" applyFont="1" applyBorder="1"/>
    <xf numFmtId="0" fontId="16" fillId="13" borderId="0" xfId="0" applyFont="1" applyFill="1" applyAlignment="1">
      <alignment horizontal="center"/>
    </xf>
    <xf numFmtId="2" fontId="17" fillId="14" borderId="1" xfId="0" applyNumberFormat="1" applyFont="1" applyFill="1" applyBorder="1" applyAlignment="1">
      <alignment horizontal="center" vertical="center" wrapText="1"/>
    </xf>
    <xf numFmtId="168" fontId="19" fillId="0" borderId="8" xfId="0" applyNumberFormat="1" applyFont="1" applyBorder="1" applyAlignment="1">
      <alignment horizontal="center" vertical="center"/>
    </xf>
    <xf numFmtId="165" fontId="0" fillId="0" borderId="1" xfId="0" applyNumberFormat="1" applyBorder="1"/>
    <xf numFmtId="0" fontId="14" fillId="0" borderId="0" xfId="0" applyFont="1" applyAlignment="1">
      <alignment horizontal="center"/>
    </xf>
    <xf numFmtId="0" fontId="17" fillId="14" borderId="48" xfId="0" applyFont="1" applyFill="1" applyBorder="1" applyAlignment="1">
      <alignment horizontal="center" vertical="center"/>
    </xf>
    <xf numFmtId="0" fontId="17" fillId="14" borderId="42" xfId="0" applyFont="1" applyFill="1" applyBorder="1" applyAlignment="1">
      <alignment horizontal="center" vertical="center" wrapText="1"/>
    </xf>
    <xf numFmtId="165" fontId="17" fillId="14" borderId="42" xfId="0" applyNumberFormat="1" applyFont="1" applyFill="1" applyBorder="1" applyAlignment="1">
      <alignment horizontal="center" vertical="center" wrapText="1"/>
    </xf>
    <xf numFmtId="0" fontId="17" fillId="14" borderId="42" xfId="0" applyFont="1" applyFill="1" applyBorder="1" applyAlignment="1">
      <alignment horizontal="center" vertical="center"/>
    </xf>
    <xf numFmtId="165" fontId="17" fillId="14" borderId="42" xfId="0" applyNumberFormat="1" applyFont="1" applyFill="1" applyBorder="1" applyAlignment="1">
      <alignment horizontal="center" vertical="center"/>
    </xf>
    <xf numFmtId="0" fontId="18" fillId="0" borderId="49" xfId="0" applyFont="1" applyBorder="1" applyAlignment="1">
      <alignment vertical="center"/>
    </xf>
    <xf numFmtId="0" fontId="18" fillId="0" borderId="50" xfId="0" applyFont="1" applyBorder="1" applyAlignment="1">
      <alignment vertical="center"/>
    </xf>
    <xf numFmtId="0" fontId="39" fillId="0" borderId="0" xfId="0" applyFont="1"/>
    <xf numFmtId="1" fontId="18" fillId="0" borderId="27" xfId="0" applyNumberFormat="1" applyFont="1" applyBorder="1" applyAlignment="1">
      <alignment vertical="center"/>
    </xf>
    <xf numFmtId="168" fontId="40" fillId="0" borderId="51" xfId="0" applyNumberFormat="1" applyFont="1" applyBorder="1" applyAlignment="1">
      <alignment horizontal="center"/>
    </xf>
    <xf numFmtId="166" fontId="8" fillId="0" borderId="10" xfId="0" applyNumberFormat="1" applyFont="1" applyBorder="1" applyAlignment="1">
      <alignment horizontal="center"/>
    </xf>
    <xf numFmtId="0" fontId="8" fillId="0" borderId="28" xfId="0" applyFont="1" applyBorder="1" applyAlignment="1">
      <alignment horizontal="center" vertical="center"/>
    </xf>
    <xf numFmtId="168" fontId="8" fillId="0" borderId="38" xfId="0" applyNumberFormat="1" applyFont="1" applyBorder="1" applyAlignment="1">
      <alignment horizontal="center" vertical="center"/>
    </xf>
    <xf numFmtId="168" fontId="8" fillId="0" borderId="42" xfId="0" applyNumberFormat="1" applyFont="1" applyBorder="1" applyAlignment="1">
      <alignment horizontal="center" vertical="center"/>
    </xf>
    <xf numFmtId="168" fontId="8" fillId="0" borderId="28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168" fontId="41" fillId="3" borderId="1" xfId="0" applyNumberFormat="1" applyFont="1" applyFill="1" applyBorder="1"/>
    <xf numFmtId="168" fontId="41" fillId="3" borderId="45" xfId="0" applyNumberFormat="1" applyFont="1" applyFill="1" applyBorder="1"/>
    <xf numFmtId="164" fontId="0" fillId="0" borderId="0" xfId="0" applyNumberFormat="1"/>
    <xf numFmtId="168" fontId="40" fillId="0" borderId="42" xfId="0" applyNumberFormat="1" applyFont="1" applyBorder="1" applyAlignment="1">
      <alignment horizontal="center"/>
    </xf>
    <xf numFmtId="0" fontId="8" fillId="0" borderId="15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165" fontId="22" fillId="0" borderId="0" xfId="0" applyNumberFormat="1" applyFont="1"/>
    <xf numFmtId="2" fontId="25" fillId="0" borderId="0" xfId="0" applyNumberFormat="1" applyFont="1" applyAlignment="1">
      <alignment horizontal="center" vertical="center"/>
    </xf>
    <xf numFmtId="168" fontId="25" fillId="0" borderId="0" xfId="0" applyNumberFormat="1" applyFont="1" applyAlignment="1">
      <alignment horizontal="center" vertical="center"/>
    </xf>
    <xf numFmtId="165" fontId="23" fillId="14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65" fontId="8" fillId="3" borderId="1" xfId="0" applyNumberFormat="1" applyFont="1" applyFill="1" applyBorder="1" applyAlignment="1">
      <alignment horizontal="center" vertical="center" wrapText="1"/>
    </xf>
    <xf numFmtId="1" fontId="8" fillId="3" borderId="1" xfId="0" applyNumberFormat="1" applyFont="1" applyFill="1" applyBorder="1" applyAlignment="1">
      <alignment horizontal="center" vertical="center"/>
    </xf>
    <xf numFmtId="168" fontId="8" fillId="3" borderId="1" xfId="0" applyNumberFormat="1" applyFont="1" applyFill="1" applyBorder="1" applyAlignment="1">
      <alignment horizontal="center" vertical="center"/>
    </xf>
    <xf numFmtId="168" fontId="8" fillId="0" borderId="1" xfId="0" applyNumberFormat="1" applyFont="1" applyBorder="1" applyAlignment="1">
      <alignment horizontal="right" vertical="center"/>
    </xf>
    <xf numFmtId="167" fontId="26" fillId="0" borderId="11" xfId="0" applyNumberFormat="1" applyFont="1" applyBorder="1" applyAlignment="1">
      <alignment horizontal="left" indent="1"/>
    </xf>
    <xf numFmtId="167" fontId="26" fillId="0" borderId="1" xfId="0" applyNumberFormat="1" applyFont="1" applyBorder="1" applyAlignment="1">
      <alignment horizontal="left" indent="1"/>
    </xf>
    <xf numFmtId="167" fontId="40" fillId="0" borderId="11" xfId="0" applyNumberFormat="1" applyFont="1" applyBorder="1" applyAlignment="1">
      <alignment horizontal="center"/>
    </xf>
    <xf numFmtId="167" fontId="40" fillId="0" borderId="1" xfId="0" applyNumberFormat="1" applyFont="1" applyBorder="1" applyAlignment="1">
      <alignment horizontal="left" indent="1"/>
    </xf>
    <xf numFmtId="2" fontId="40" fillId="0" borderId="1" xfId="0" applyNumberFormat="1" applyFont="1" applyBorder="1" applyAlignment="1">
      <alignment horizontal="left" indent="1"/>
    </xf>
    <xf numFmtId="167" fontId="40" fillId="3" borderId="1" xfId="0" applyNumberFormat="1" applyFont="1" applyFill="1" applyBorder="1" applyAlignment="1">
      <alignment horizontal="center"/>
    </xf>
    <xf numFmtId="167" fontId="40" fillId="0" borderId="1" xfId="0" applyNumberFormat="1" applyFont="1" applyBorder="1" applyAlignment="1">
      <alignment horizontal="center"/>
    </xf>
    <xf numFmtId="165" fontId="25" fillId="0" borderId="0" xfId="0" applyNumberFormat="1" applyFont="1" applyAlignment="1">
      <alignment horizontal="center" vertical="center"/>
    </xf>
    <xf numFmtId="167" fontId="40" fillId="0" borderId="1" xfId="0" applyNumberFormat="1" applyFont="1" applyBorder="1" applyAlignment="1">
      <alignment horizontal="center" indent="1"/>
    </xf>
    <xf numFmtId="2" fontId="26" fillId="0" borderId="1" xfId="0" applyNumberFormat="1" applyFont="1" applyBorder="1"/>
    <xf numFmtId="167" fontId="26" fillId="0" borderId="1" xfId="0" applyNumberFormat="1" applyFont="1" applyBorder="1" applyAlignment="1">
      <alignment horizontal="center" indent="1"/>
    </xf>
    <xf numFmtId="2" fontId="40" fillId="0" borderId="1" xfId="0" applyNumberFormat="1" applyFont="1" applyBorder="1"/>
    <xf numFmtId="167" fontId="40" fillId="0" borderId="8" xfId="0" applyNumberFormat="1" applyFont="1" applyBorder="1" applyAlignment="1">
      <alignment horizontal="center" indent="1"/>
    </xf>
    <xf numFmtId="167" fontId="40" fillId="0" borderId="14" xfId="0" applyNumberFormat="1" applyFont="1" applyBorder="1" applyAlignment="1">
      <alignment horizontal="center"/>
    </xf>
    <xf numFmtId="165" fontId="23" fillId="14" borderId="8" xfId="0" applyNumberFormat="1" applyFont="1" applyFill="1" applyBorder="1" applyAlignment="1">
      <alignment horizontal="center" vertical="center"/>
    </xf>
    <xf numFmtId="165" fontId="8" fillId="3" borderId="10" xfId="0" applyNumberFormat="1" applyFont="1" applyFill="1" applyBorder="1" applyAlignment="1">
      <alignment horizontal="center" vertical="center" wrapText="1"/>
    </xf>
    <xf numFmtId="0" fontId="8" fillId="3" borderId="14" xfId="0" applyFont="1" applyFill="1" applyBorder="1" applyAlignment="1">
      <alignment horizontal="center" vertical="center" wrapText="1"/>
    </xf>
    <xf numFmtId="0" fontId="14" fillId="0" borderId="14" xfId="0" applyFont="1" applyBorder="1"/>
    <xf numFmtId="165" fontId="8" fillId="3" borderId="11" xfId="0" applyNumberFormat="1" applyFont="1" applyFill="1" applyBorder="1" applyAlignment="1">
      <alignment horizontal="center" vertical="center"/>
    </xf>
    <xf numFmtId="168" fontId="8" fillId="0" borderId="26" xfId="0" applyNumberFormat="1" applyFont="1" applyBorder="1" applyAlignment="1">
      <alignment vertical="center"/>
    </xf>
    <xf numFmtId="168" fontId="8" fillId="0" borderId="38" xfId="0" applyNumberFormat="1" applyFont="1" applyBorder="1" applyAlignment="1">
      <alignment vertical="center"/>
    </xf>
    <xf numFmtId="168" fontId="8" fillId="0" borderId="27" xfId="0" applyNumberFormat="1" applyFont="1" applyBorder="1" applyAlignment="1">
      <alignment vertical="center"/>
    </xf>
    <xf numFmtId="0" fontId="8" fillId="0" borderId="1" xfId="0" applyFont="1" applyBorder="1" applyAlignment="1">
      <alignment vertical="center" wrapText="1"/>
    </xf>
    <xf numFmtId="168" fontId="8" fillId="0" borderId="14" xfId="0" applyNumberFormat="1" applyFont="1" applyBorder="1" applyAlignment="1">
      <alignment vertical="center"/>
    </xf>
    <xf numFmtId="0" fontId="25" fillId="4" borderId="0" xfId="0" applyFont="1" applyFill="1" applyAlignment="1">
      <alignment vertical="center"/>
    </xf>
    <xf numFmtId="0" fontId="18" fillId="4" borderId="0" xfId="0" applyFont="1" applyFill="1"/>
    <xf numFmtId="0" fontId="8" fillId="0" borderId="29" xfId="0" applyFont="1" applyBorder="1" applyAlignment="1">
      <alignment vertical="center"/>
    </xf>
    <xf numFmtId="0" fontId="8" fillId="0" borderId="11" xfId="0" applyFont="1" applyBorder="1" applyAlignment="1">
      <alignment vertical="center" wrapText="1"/>
    </xf>
    <xf numFmtId="168" fontId="8" fillId="0" borderId="26" xfId="0" applyNumberFormat="1" applyFont="1" applyBorder="1" applyAlignment="1">
      <alignment horizontal="center" vertical="center"/>
    </xf>
    <xf numFmtId="168" fontId="8" fillId="0" borderId="45" xfId="0" applyNumberFormat="1" applyFont="1" applyBorder="1" applyAlignment="1">
      <alignment horizontal="center" vertical="center"/>
    </xf>
    <xf numFmtId="168" fontId="8" fillId="0" borderId="45" xfId="0" applyNumberFormat="1" applyFont="1" applyBorder="1" applyAlignment="1">
      <alignment horizontal="center" vertical="top"/>
    </xf>
    <xf numFmtId="0" fontId="8" fillId="0" borderId="28" xfId="0" applyFont="1" applyBorder="1" applyAlignment="1">
      <alignment vertical="center"/>
    </xf>
    <xf numFmtId="168" fontId="8" fillId="0" borderId="42" xfId="0" applyNumberFormat="1" applyFont="1" applyBorder="1" applyAlignment="1">
      <alignment horizontal="center" vertical="top"/>
    </xf>
    <xf numFmtId="171" fontId="8" fillId="0" borderId="42" xfId="0" applyNumberFormat="1" applyFont="1" applyBorder="1" applyAlignment="1">
      <alignment horizontal="center" vertical="top"/>
    </xf>
    <xf numFmtId="0" fontId="8" fillId="0" borderId="15" xfId="0" applyFont="1" applyBorder="1" applyAlignment="1">
      <alignment vertical="center"/>
    </xf>
    <xf numFmtId="0" fontId="8" fillId="0" borderId="8" xfId="0" applyFont="1" applyBorder="1" applyAlignment="1">
      <alignment vertical="center" wrapText="1"/>
    </xf>
    <xf numFmtId="168" fontId="8" fillId="0" borderId="40" xfId="0" applyNumberFormat="1" applyFont="1" applyBorder="1" applyAlignment="1">
      <alignment horizontal="center" vertical="top"/>
    </xf>
    <xf numFmtId="168" fontId="8" fillId="0" borderId="46" xfId="0" applyNumberFormat="1" applyFont="1" applyBorder="1" applyAlignment="1">
      <alignment horizontal="center" vertical="center"/>
    </xf>
    <xf numFmtId="168" fontId="8" fillId="0" borderId="46" xfId="0" applyNumberFormat="1" applyFont="1" applyBorder="1" applyAlignment="1">
      <alignment horizontal="center" vertical="top"/>
    </xf>
    <xf numFmtId="168" fontId="8" fillId="0" borderId="29" xfId="0" applyNumberFormat="1" applyFont="1" applyBorder="1" applyAlignment="1">
      <alignment horizontal="center" vertical="center"/>
    </xf>
    <xf numFmtId="0" fontId="8" fillId="0" borderId="8" xfId="0" applyFont="1" applyBorder="1" applyAlignment="1">
      <alignment horizontal="center"/>
    </xf>
    <xf numFmtId="168" fontId="25" fillId="15" borderId="12" xfId="0" applyNumberFormat="1" applyFont="1" applyFill="1" applyBorder="1" applyAlignment="1">
      <alignment horizontal="center" vertical="center"/>
    </xf>
    <xf numFmtId="168" fontId="25" fillId="15" borderId="24" xfId="0" applyNumberFormat="1" applyFont="1" applyFill="1" applyBorder="1" applyAlignment="1">
      <alignment horizontal="center" vertical="center"/>
    </xf>
    <xf numFmtId="0" fontId="17" fillId="14" borderId="40" xfId="0" applyFont="1" applyFill="1" applyBorder="1" applyAlignment="1">
      <alignment horizontal="right" vertical="center" wrapText="1"/>
    </xf>
    <xf numFmtId="0" fontId="17" fillId="14" borderId="15" xfId="0" applyFont="1" applyFill="1" applyBorder="1" applyAlignment="1">
      <alignment horizontal="center" vertical="center" wrapText="1"/>
    </xf>
    <xf numFmtId="165" fontId="17" fillId="14" borderId="1" xfId="0" applyNumberFormat="1" applyFont="1" applyFill="1" applyBorder="1" applyAlignment="1">
      <alignment horizontal="right" vertical="center" wrapText="1"/>
    </xf>
    <xf numFmtId="2" fontId="17" fillId="14" borderId="50" xfId="0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2" fontId="26" fillId="3" borderId="1" xfId="0" applyNumberFormat="1" applyFont="1" applyFill="1" applyBorder="1" applyAlignment="1">
      <alignment horizontal="center"/>
    </xf>
    <xf numFmtId="0" fontId="26" fillId="3" borderId="1" xfId="0" applyFont="1" applyFill="1" applyBorder="1"/>
    <xf numFmtId="2" fontId="0" fillId="0" borderId="11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4" xfId="0" applyNumberFormat="1" applyBorder="1"/>
    <xf numFmtId="170" fontId="0" fillId="0" borderId="0" xfId="0" applyNumberFormat="1"/>
    <xf numFmtId="2" fontId="26" fillId="3" borderId="42" xfId="0" applyNumberFormat="1" applyFont="1" applyFill="1" applyBorder="1" applyAlignment="1">
      <alignment horizontal="center" vertical="center"/>
    </xf>
    <xf numFmtId="2" fontId="16" fillId="13" borderId="10" xfId="0" applyNumberFormat="1" applyFont="1" applyFill="1" applyBorder="1" applyAlignment="1">
      <alignment horizontal="center" vertical="center"/>
    </xf>
    <xf numFmtId="2" fontId="16" fillId="13" borderId="23" xfId="0" applyNumberFormat="1" applyFont="1" applyFill="1" applyBorder="1" applyAlignment="1">
      <alignment horizontal="center" vertical="center"/>
    </xf>
    <xf numFmtId="2" fontId="16" fillId="13" borderId="14" xfId="0" applyNumberFormat="1" applyFont="1" applyFill="1" applyBorder="1" applyAlignment="1">
      <alignment horizontal="center" vertical="center"/>
    </xf>
    <xf numFmtId="2" fontId="17" fillId="14" borderId="8" xfId="0" applyNumberFormat="1" applyFont="1" applyFill="1" applyBorder="1" applyAlignment="1">
      <alignment horizontal="center" vertical="center" wrapText="1"/>
    </xf>
    <xf numFmtId="2" fontId="25" fillId="3" borderId="10" xfId="0" applyNumberFormat="1" applyFont="1" applyFill="1" applyBorder="1" applyAlignment="1">
      <alignment horizontal="center" vertical="center"/>
    </xf>
    <xf numFmtId="2" fontId="25" fillId="3" borderId="23" xfId="0" applyNumberFormat="1" applyFont="1" applyFill="1" applyBorder="1" applyAlignment="1">
      <alignment horizontal="center" vertical="center"/>
    </xf>
    <xf numFmtId="2" fontId="25" fillId="3" borderId="14" xfId="0" applyNumberFormat="1" applyFont="1" applyFill="1" applyBorder="1" applyAlignment="1">
      <alignment horizontal="center" vertical="center"/>
    </xf>
    <xf numFmtId="167" fontId="26" fillId="3" borderId="1" xfId="0" applyNumberFormat="1" applyFont="1" applyFill="1" applyBorder="1" applyAlignment="1">
      <alignment horizontal="center"/>
    </xf>
    <xf numFmtId="2" fontId="26" fillId="0" borderId="1" xfId="0" applyNumberFormat="1" applyFont="1" applyBorder="1" applyAlignment="1">
      <alignment horizontal="center"/>
    </xf>
    <xf numFmtId="167" fontId="0" fillId="3" borderId="1" xfId="0" applyNumberFormat="1" applyFill="1" applyBorder="1" applyAlignment="1">
      <alignment horizontal="center"/>
    </xf>
    <xf numFmtId="2" fontId="19" fillId="15" borderId="52" xfId="0" applyNumberFormat="1" applyFont="1" applyFill="1" applyBorder="1" applyAlignment="1">
      <alignment horizontal="center" vertical="center"/>
    </xf>
    <xf numFmtId="2" fontId="19" fillId="15" borderId="53" xfId="0" applyNumberFormat="1" applyFont="1" applyFill="1" applyBorder="1" applyAlignment="1">
      <alignment horizontal="center" vertical="center"/>
    </xf>
    <xf numFmtId="2" fontId="19" fillId="15" borderId="54" xfId="0" applyNumberFormat="1" applyFont="1" applyFill="1" applyBorder="1" applyAlignment="1">
      <alignment horizontal="center" vertical="center"/>
    </xf>
    <xf numFmtId="2" fontId="16" fillId="13" borderId="1" xfId="0" applyNumberFormat="1" applyFont="1" applyFill="1" applyBorder="1" applyAlignment="1">
      <alignment horizontal="center" vertical="center"/>
    </xf>
    <xf numFmtId="2" fontId="25" fillId="3" borderId="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vertical="center"/>
    </xf>
    <xf numFmtId="0" fontId="25" fillId="3" borderId="10" xfId="0" applyFont="1" applyFill="1" applyBorder="1" applyAlignment="1">
      <alignment horizontal="center" vertical="center"/>
    </xf>
    <xf numFmtId="0" fontId="25" fillId="3" borderId="23" xfId="0" applyFont="1" applyFill="1" applyBorder="1" applyAlignment="1">
      <alignment horizontal="center" vertical="center"/>
    </xf>
    <xf numFmtId="2" fontId="25" fillId="3" borderId="1" xfId="0" applyNumberFormat="1" applyFont="1" applyFill="1" applyBorder="1" applyAlignment="1">
      <alignment vertical="center"/>
    </xf>
    <xf numFmtId="167" fontId="21" fillId="0" borderId="1" xfId="0" applyNumberFormat="1" applyFont="1" applyBorder="1" applyAlignment="1">
      <alignment horizontal="center"/>
    </xf>
    <xf numFmtId="0" fontId="21" fillId="0" borderId="1" xfId="0" applyFont="1" applyBorder="1"/>
    <xf numFmtId="165" fontId="14" fillId="3" borderId="1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8" fillId="0" borderId="8" xfId="0" applyNumberFormat="1" applyFont="1" applyBorder="1" applyAlignment="1">
      <alignment horizontal="center"/>
    </xf>
    <xf numFmtId="0" fontId="8" fillId="0" borderId="8" xfId="0" applyFont="1" applyBorder="1"/>
    <xf numFmtId="165" fontId="8" fillId="0" borderId="0" xfId="0" applyNumberFormat="1" applyFont="1"/>
    <xf numFmtId="165" fontId="17" fillId="3" borderId="1" xfId="0" applyNumberFormat="1" applyFont="1" applyFill="1" applyBorder="1" applyAlignment="1">
      <alignment horizontal="center" vertical="center" wrapText="1"/>
    </xf>
    <xf numFmtId="168" fontId="8" fillId="0" borderId="1" xfId="0" applyNumberFormat="1" applyFont="1" applyBorder="1" applyAlignment="1">
      <alignment horizontal="center" indent="1"/>
    </xf>
    <xf numFmtId="165" fontId="17" fillId="3" borderId="1" xfId="0" applyNumberFormat="1" applyFont="1" applyFill="1" applyBorder="1" applyAlignment="1">
      <alignment horizontal="center" vertical="center"/>
    </xf>
    <xf numFmtId="3" fontId="8" fillId="0" borderId="1" xfId="0" applyNumberFormat="1" applyFont="1" applyBorder="1" applyAlignment="1">
      <alignment vertical="center"/>
    </xf>
    <xf numFmtId="0" fontId="16" fillId="13" borderId="8" xfId="0" applyFont="1" applyFill="1" applyBorder="1" applyAlignment="1">
      <alignment horizontal="center" vertical="center"/>
    </xf>
    <xf numFmtId="2" fontId="17" fillId="14" borderId="10" xfId="0" applyNumberFormat="1" applyFont="1" applyFill="1" applyBorder="1" applyAlignment="1">
      <alignment horizontal="center" vertical="center"/>
    </xf>
    <xf numFmtId="165" fontId="25" fillId="3" borderId="1" xfId="0" applyNumberFormat="1" applyFont="1" applyFill="1" applyBorder="1" applyAlignment="1">
      <alignment horizontal="center" vertical="center"/>
    </xf>
    <xf numFmtId="2" fontId="8" fillId="0" borderId="10" xfId="0" applyNumberFormat="1" applyFont="1" applyBorder="1" applyAlignment="1">
      <alignment horizontal="right"/>
    </xf>
    <xf numFmtId="0" fontId="25" fillId="3" borderId="14" xfId="0" applyFont="1" applyFill="1" applyBorder="1" applyAlignment="1">
      <alignment horizontal="center" vertical="center"/>
    </xf>
    <xf numFmtId="165" fontId="25" fillId="3" borderId="10" xfId="0" applyNumberFormat="1" applyFont="1" applyFill="1" applyBorder="1" applyAlignment="1">
      <alignment horizontal="center" vertical="center"/>
    </xf>
    <xf numFmtId="165" fontId="25" fillId="3" borderId="14" xfId="0" applyNumberFormat="1" applyFont="1" applyFill="1" applyBorder="1" applyAlignment="1">
      <alignment horizontal="center" vertical="center"/>
    </xf>
    <xf numFmtId="168" fontId="21" fillId="0" borderId="1" xfId="0" applyNumberFormat="1" applyFont="1" applyBorder="1"/>
    <xf numFmtId="2" fontId="8" fillId="0" borderId="8" xfId="0" applyNumberFormat="1" applyFont="1" applyBorder="1" applyAlignment="1">
      <alignment horizontal="right"/>
    </xf>
    <xf numFmtId="165" fontId="25" fillId="3" borderId="10" xfId="0" applyNumberFormat="1" applyFont="1" applyFill="1" applyBorder="1" applyAlignment="1">
      <alignment vertical="center"/>
    </xf>
    <xf numFmtId="165" fontId="25" fillId="3" borderId="14" xfId="0" applyNumberFormat="1" applyFont="1" applyFill="1" applyBorder="1" applyAlignment="1">
      <alignment vertical="center"/>
    </xf>
    <xf numFmtId="173" fontId="14" fillId="3" borderId="1" xfId="0" applyNumberFormat="1" applyFont="1" applyFill="1" applyBorder="1" applyAlignment="1">
      <alignment horizontal="center" vertical="center"/>
    </xf>
    <xf numFmtId="173" fontId="8" fillId="0" borderId="0" xfId="0" applyNumberFormat="1" applyFont="1"/>
    <xf numFmtId="173" fontId="0" fillId="0" borderId="14" xfId="0" applyNumberFormat="1" applyBorder="1"/>
    <xf numFmtId="0" fontId="8" fillId="0" borderId="11" xfId="0" applyFont="1" applyBorder="1"/>
    <xf numFmtId="170" fontId="0" fillId="0" borderId="14" xfId="0" applyNumberFormat="1" applyBorder="1"/>
    <xf numFmtId="0" fontId="21" fillId="0" borderId="1" xfId="0" applyFont="1" applyBorder="1" applyAlignment="1">
      <alignment horizontal="center"/>
    </xf>
    <xf numFmtId="174" fontId="0" fillId="0" borderId="0" xfId="0" applyNumberFormat="1"/>
    <xf numFmtId="170" fontId="8" fillId="0" borderId="1" xfId="0" applyNumberFormat="1" applyFont="1" applyBorder="1" applyAlignment="1">
      <alignment horizontal="center" vertical="top"/>
    </xf>
    <xf numFmtId="0" fontId="0" fillId="0" borderId="0" xfId="0" applyAlignment="1">
      <alignment horizontal="right"/>
    </xf>
    <xf numFmtId="0" fontId="16" fillId="13" borderId="1" xfId="0" applyFont="1" applyFill="1" applyBorder="1" applyAlignment="1">
      <alignment horizontal="right" vertical="center"/>
    </xf>
    <xf numFmtId="0" fontId="17" fillId="14" borderId="1" xfId="0" applyFont="1" applyFill="1" applyBorder="1" applyAlignment="1">
      <alignment horizontal="right" vertical="center" wrapText="1"/>
    </xf>
    <xf numFmtId="2" fontId="17" fillId="14" borderId="1" xfId="0" applyNumberFormat="1" applyFont="1" applyFill="1" applyBorder="1" applyAlignment="1">
      <alignment horizontal="right" vertical="center" wrapText="1"/>
    </xf>
    <xf numFmtId="0" fontId="17" fillId="14" borderId="1" xfId="0" applyFont="1" applyFill="1" applyBorder="1" applyAlignment="1">
      <alignment horizontal="right" vertical="center"/>
    </xf>
    <xf numFmtId="2" fontId="17" fillId="14" borderId="1" xfId="0" applyNumberFormat="1" applyFont="1" applyFill="1" applyBorder="1" applyAlignment="1">
      <alignment horizontal="right" vertical="center"/>
    </xf>
    <xf numFmtId="165" fontId="17" fillId="14" borderId="1" xfId="0" applyNumberFormat="1" applyFont="1" applyFill="1" applyBorder="1" applyAlignment="1">
      <alignment horizontal="right" vertical="center"/>
    </xf>
    <xf numFmtId="0" fontId="42" fillId="5" borderId="8" xfId="0" applyFont="1" applyFill="1" applyBorder="1" applyAlignment="1">
      <alignment horizontal="center"/>
    </xf>
    <xf numFmtId="0" fontId="42" fillId="5" borderId="8" xfId="0" applyFont="1" applyFill="1" applyBorder="1" applyAlignment="1">
      <alignment horizontal="right"/>
    </xf>
    <xf numFmtId="2" fontId="43" fillId="5" borderId="37" xfId="0" applyNumberFormat="1" applyFont="1" applyFill="1" applyBorder="1" applyAlignment="1">
      <alignment horizontal="right"/>
    </xf>
    <xf numFmtId="2" fontId="43" fillId="5" borderId="22" xfId="0" applyNumberFormat="1" applyFont="1" applyFill="1" applyBorder="1" applyAlignment="1">
      <alignment horizontal="right"/>
    </xf>
    <xf numFmtId="0" fontId="0" fillId="3" borderId="1" xfId="0" applyFill="1" applyBorder="1"/>
    <xf numFmtId="15" fontId="5" fillId="3" borderId="1" xfId="0" applyNumberFormat="1" applyFont="1" applyFill="1" applyBorder="1"/>
    <xf numFmtId="2" fontId="0" fillId="0" borderId="1" xfId="0" applyNumberFormat="1" applyBorder="1" applyAlignment="1">
      <alignment horizontal="right"/>
    </xf>
    <xf numFmtId="2" fontId="0" fillId="3" borderId="1" xfId="0" applyNumberFormat="1" applyFill="1" applyBorder="1" applyAlignment="1">
      <alignment horizontal="right"/>
    </xf>
    <xf numFmtId="0" fontId="14" fillId="0" borderId="42" xfId="0" applyFont="1" applyBorder="1"/>
    <xf numFmtId="15" fontId="5" fillId="3" borderId="8" xfId="0" applyNumberFormat="1" applyFont="1" applyFill="1" applyBorder="1"/>
    <xf numFmtId="2" fontId="0" fillId="0" borderId="22" xfId="0" applyNumberFormat="1" applyBorder="1" applyAlignment="1">
      <alignment horizontal="right"/>
    </xf>
    <xf numFmtId="2" fontId="0" fillId="0" borderId="8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5" fillId="0" borderId="37" xfId="0" applyFont="1" applyBorder="1"/>
    <xf numFmtId="0" fontId="0" fillId="3" borderId="10" xfId="0" applyFill="1" applyBorder="1"/>
    <xf numFmtId="0" fontId="5" fillId="0" borderId="14" xfId="0" applyFont="1" applyBorder="1"/>
    <xf numFmtId="0" fontId="5" fillId="0" borderId="8" xfId="0" applyFont="1" applyBorder="1"/>
    <xf numFmtId="2" fontId="0" fillId="0" borderId="24" xfId="0" applyNumberFormat="1" applyBorder="1" applyAlignment="1">
      <alignment horizontal="right"/>
    </xf>
    <xf numFmtId="0" fontId="5" fillId="0" borderId="11" xfId="0" applyFont="1" applyBorder="1"/>
    <xf numFmtId="0" fontId="14" fillId="0" borderId="55" xfId="0" applyFont="1" applyBorder="1"/>
    <xf numFmtId="0" fontId="0" fillId="3" borderId="9" xfId="0" applyFill="1" applyBorder="1"/>
    <xf numFmtId="15" fontId="5" fillId="3" borderId="9" xfId="0" applyNumberFormat="1" applyFont="1" applyFill="1" applyBorder="1"/>
    <xf numFmtId="2" fontId="0" fillId="3" borderId="22" xfId="0" applyNumberFormat="1" applyFill="1" applyBorder="1" applyAlignment="1">
      <alignment horizontal="right"/>
    </xf>
    <xf numFmtId="15" fontId="5" fillId="3" borderId="10" xfId="0" applyNumberFormat="1" applyFont="1" applyFill="1" applyBorder="1"/>
    <xf numFmtId="2" fontId="0" fillId="3" borderId="14" xfId="0" applyNumberFormat="1" applyFill="1" applyBorder="1" applyAlignment="1">
      <alignment horizontal="right"/>
    </xf>
    <xf numFmtId="2" fontId="0" fillId="0" borderId="14" xfId="0" applyNumberFormat="1" applyBorder="1" applyAlignment="1">
      <alignment horizontal="right"/>
    </xf>
    <xf numFmtId="0" fontId="0" fillId="0" borderId="12" xfId="0" applyBorder="1"/>
    <xf numFmtId="15" fontId="5" fillId="3" borderId="12" xfId="0" applyNumberFormat="1" applyFont="1" applyFill="1" applyBorder="1"/>
    <xf numFmtId="2" fontId="0" fillId="3" borderId="24" xfId="0" applyNumberFormat="1" applyFill="1" applyBorder="1" applyAlignment="1">
      <alignment horizontal="right"/>
    </xf>
    <xf numFmtId="0" fontId="5" fillId="0" borderId="55" xfId="0" applyFont="1" applyBorder="1"/>
    <xf numFmtId="2" fontId="0" fillId="0" borderId="11" xfId="0" applyNumberFormat="1" applyBorder="1" applyAlignment="1">
      <alignment horizontal="right"/>
    </xf>
    <xf numFmtId="2" fontId="0" fillId="0" borderId="23" xfId="0" applyNumberFormat="1" applyBorder="1" applyAlignment="1">
      <alignment horizontal="right"/>
    </xf>
    <xf numFmtId="0" fontId="5" fillId="0" borderId="9" xfId="0" applyFont="1" applyBorder="1"/>
    <xf numFmtId="4" fontId="0" fillId="0" borderId="1" xfId="0" applyNumberFormat="1" applyBorder="1" applyAlignment="1">
      <alignment horizontal="right"/>
    </xf>
    <xf numFmtId="0" fontId="5" fillId="0" borderId="22" xfId="0" applyFont="1" applyBorder="1"/>
    <xf numFmtId="0" fontId="5" fillId="0" borderId="23" xfId="0" applyFont="1" applyBorder="1"/>
    <xf numFmtId="0" fontId="0" fillId="0" borderId="9" xfId="0" applyBorder="1"/>
    <xf numFmtId="0" fontId="5" fillId="0" borderId="31" xfId="0" applyFont="1" applyBorder="1"/>
    <xf numFmtId="2" fontId="0" fillId="3" borderId="8" xfId="0" applyNumberFormat="1" applyFill="1" applyBorder="1" applyAlignment="1">
      <alignment horizontal="right"/>
    </xf>
    <xf numFmtId="15" fontId="5" fillId="3" borderId="11" xfId="0" applyNumberFormat="1" applyFont="1" applyFill="1" applyBorder="1"/>
    <xf numFmtId="0" fontId="5" fillId="3" borderId="11" xfId="0" applyFont="1" applyFill="1" applyBorder="1"/>
    <xf numFmtId="2" fontId="0" fillId="3" borderId="11" xfId="0" applyNumberFormat="1" applyFill="1" applyBorder="1" applyAlignment="1">
      <alignment horizontal="right"/>
    </xf>
    <xf numFmtId="0" fontId="5" fillId="3" borderId="1" xfId="0" applyFont="1" applyFill="1" applyBorder="1"/>
    <xf numFmtId="2" fontId="0" fillId="0" borderId="10" xfId="0" applyNumberFormat="1" applyBorder="1" applyAlignment="1">
      <alignment horizontal="right"/>
    </xf>
    <xf numFmtId="0" fontId="5" fillId="3" borderId="55" xfId="0" applyFont="1" applyFill="1" applyBorder="1"/>
    <xf numFmtId="2" fontId="0" fillId="0" borderId="12" xfId="0" applyNumberFormat="1" applyBorder="1" applyAlignment="1">
      <alignment horizontal="right"/>
    </xf>
    <xf numFmtId="0" fontId="0" fillId="0" borderId="11" xfId="0" applyBorder="1" applyAlignment="1">
      <alignment horizontal="right"/>
    </xf>
    <xf numFmtId="0" fontId="5" fillId="3" borderId="8" xfId="0" applyFont="1" applyFill="1" applyBorder="1"/>
    <xf numFmtId="4" fontId="0" fillId="0" borderId="8" xfId="0" applyNumberFormat="1" applyBorder="1" applyAlignment="1">
      <alignment horizontal="right"/>
    </xf>
    <xf numFmtId="0" fontId="0" fillId="3" borderId="8" xfId="0" applyFill="1" applyBorder="1"/>
    <xf numFmtId="15" fontId="0" fillId="0" borderId="8" xfId="0" applyNumberFormat="1" applyBorder="1"/>
    <xf numFmtId="0" fontId="0" fillId="0" borderId="8" xfId="0" applyBorder="1" applyAlignment="1">
      <alignment horizontal="right"/>
    </xf>
    <xf numFmtId="15" fontId="0" fillId="0" borderId="1" xfId="0" applyNumberFormat="1" applyBorder="1"/>
    <xf numFmtId="0" fontId="25" fillId="0" borderId="8" xfId="0" applyFont="1" applyBorder="1" applyAlignment="1">
      <alignment horizontal="center"/>
    </xf>
    <xf numFmtId="0" fontId="32" fillId="0" borderId="1" xfId="0" applyFont="1" applyBorder="1"/>
    <xf numFmtId="0" fontId="44" fillId="0" borderId="1" xfId="0" applyFont="1" applyBorder="1" applyAlignment="1">
      <alignment horizontal="left" wrapText="1"/>
    </xf>
    <xf numFmtId="0" fontId="45" fillId="0" borderId="1" xfId="0" applyFont="1" applyBorder="1"/>
    <xf numFmtId="2" fontId="46" fillId="0" borderId="1" xfId="0" applyNumberFormat="1" applyFont="1" applyBorder="1"/>
    <xf numFmtId="2" fontId="32" fillId="0" borderId="1" xfId="0" applyNumberFormat="1" applyFont="1" applyBorder="1"/>
    <xf numFmtId="2" fontId="44" fillId="0" borderId="1" xfId="0" applyNumberFormat="1" applyFont="1" applyBorder="1"/>
    <xf numFmtId="0" fontId="32" fillId="0" borderId="8" xfId="0" applyFont="1" applyBorder="1"/>
    <xf numFmtId="0" fontId="47" fillId="0" borderId="1" xfId="0" applyFont="1" applyBorder="1"/>
    <xf numFmtId="0" fontId="32" fillId="0" borderId="10" xfId="0" applyFont="1" applyBorder="1"/>
    <xf numFmtId="0" fontId="32" fillId="0" borderId="11" xfId="0" applyFont="1" applyBorder="1"/>
    <xf numFmtId="0" fontId="48" fillId="0" borderId="1" xfId="0" applyFont="1" applyBorder="1"/>
    <xf numFmtId="0" fontId="44" fillId="0" borderId="1" xfId="0" applyFont="1" applyBorder="1"/>
    <xf numFmtId="14" fontId="8" fillId="0" borderId="8" xfId="0" applyNumberFormat="1" applyFont="1" applyBorder="1"/>
    <xf numFmtId="0" fontId="44" fillId="0" borderId="8" xfId="0" applyFont="1" applyBorder="1"/>
    <xf numFmtId="14" fontId="8" fillId="0" borderId="1" xfId="0" applyNumberFormat="1" applyFont="1" applyBorder="1"/>
  </cellXfs>
  <cellStyles count="1">
    <cellStyle name="Normal" xfId="0" builtinId="0"/>
  </cellStyles>
  <dxfs count="12">
    <dxf>
      <font>
        <color rgb="FF9C0006"/>
      </font>
      <fill>
        <patternFill patternType="solid">
          <bgColor theme="5" tint="0.5999938962981048"/>
        </patternFill>
      </fill>
    </dxf>
    <dxf>
      <font>
        <color rgb="FF9C0006"/>
      </font>
      <fill>
        <patternFill patternType="solid">
          <bgColor theme="5" tint="0.5999938962981048"/>
        </patternFill>
      </fill>
    </dxf>
    <dxf>
      <font>
        <color rgb="FF9C0006"/>
      </font>
      <fill>
        <patternFill patternType="solid">
          <bgColor theme="5" tint="0.5999938962981048"/>
        </patternFill>
      </fill>
    </dxf>
    <dxf>
      <font>
        <color rgb="FF9C0006"/>
      </font>
      <fill>
        <patternFill patternType="solid">
          <bgColor theme="5" tint="0.5999938962981048"/>
        </patternFill>
      </fill>
    </dxf>
    <dxf>
      <font>
        <color rgb="FF9C0006"/>
      </font>
      <fill>
        <patternFill patternType="solid">
          <bgColor theme="5" tint="0.5999938962981048"/>
        </patternFill>
      </fill>
    </dxf>
    <dxf>
      <font>
        <color rgb="FF9C0006"/>
      </font>
      <fill>
        <patternFill patternType="solid">
          <bgColor theme="5" tint="0.599993896298104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4.xml"/><Relationship Id="rId5" Type="http://schemas.openxmlformats.org/officeDocument/2006/relationships/worksheet" Target="worksheets/sheet56.xml"/><Relationship Id="rId6" Type="http://schemas.openxmlformats.org/officeDocument/2006/relationships/worksheet" Target="worksheets/sheet81.xml"/><Relationship Id="rId7" Type="http://schemas.openxmlformats.org/officeDocument/2006/relationships/worksheet" Target="worksheets/sheet50.xml"/><Relationship Id="rId8" Type="http://schemas.openxmlformats.org/officeDocument/2006/relationships/worksheet" Target="worksheets/sheet47.xml"/><Relationship Id="rId9" Type="http://schemas.openxmlformats.org/officeDocument/2006/relationships/worksheet" Target="worksheets/sheet109.xml"/><Relationship Id="rId10" Type="http://schemas.openxmlformats.org/officeDocument/2006/relationships/worksheet" Target="worksheets/sheet110.xml"/><Relationship Id="rId11" Type="http://schemas.openxmlformats.org/officeDocument/2006/relationships/worksheet" Target="worksheets/sheet113.xml"/><Relationship Id="rId12" Type="http://schemas.openxmlformats.org/officeDocument/2006/relationships/worksheet" Target="worksheets/sheet95.xml"/><Relationship Id="rId13" Type="http://schemas.openxmlformats.org/officeDocument/2006/relationships/worksheet" Target="worksheets/sheet78.xml"/><Relationship Id="rId14" Type="http://schemas.openxmlformats.org/officeDocument/2006/relationships/worksheet" Target="worksheets/sheet89.xml"/><Relationship Id="rId15" Type="http://schemas.openxmlformats.org/officeDocument/2006/relationships/worksheet" Target="worksheets/sheet93.xml"/><Relationship Id="rId16" Type="http://schemas.openxmlformats.org/officeDocument/2006/relationships/worksheet" Target="worksheets/sheet98.xml"/><Relationship Id="rId17" Type="http://schemas.openxmlformats.org/officeDocument/2006/relationships/worksheet" Target="worksheets/sheet58.xml"/><Relationship Id="rId18" Type="http://schemas.openxmlformats.org/officeDocument/2006/relationships/worksheet" Target="worksheets/sheet65.xml"/><Relationship Id="rId19" Type="http://schemas.openxmlformats.org/officeDocument/2006/relationships/worksheet" Target="worksheets/sheet105.xml"/><Relationship Id="rId20" Type="http://schemas.openxmlformats.org/officeDocument/2006/relationships/worksheet" Target="worksheets/sheet104.xml"/><Relationship Id="rId21" Type="http://schemas.openxmlformats.org/officeDocument/2006/relationships/worksheet" Target="worksheets/sheet106.xml"/><Relationship Id="rId22" Type="http://schemas.openxmlformats.org/officeDocument/2006/relationships/worksheet" Target="worksheets/sheet107.xml"/><Relationship Id="rId23" Type="http://schemas.openxmlformats.org/officeDocument/2006/relationships/worksheet" Target="worksheets/sheet108.xml"/><Relationship Id="rId24" Type="http://schemas.openxmlformats.org/officeDocument/2006/relationships/worksheet" Target="worksheets/sheet111.xml"/><Relationship Id="rId25" Type="http://schemas.openxmlformats.org/officeDocument/2006/relationships/worksheet" Target="worksheets/sheet71.xml"/><Relationship Id="rId26" Type="http://schemas.openxmlformats.org/officeDocument/2006/relationships/worksheet" Target="worksheets/sheet7.xml"/><Relationship Id="rId27" Type="http://schemas.openxmlformats.org/officeDocument/2006/relationships/worksheet" Target="worksheets/sheet62.xml"/><Relationship Id="rId28" Type="http://schemas.openxmlformats.org/officeDocument/2006/relationships/worksheet" Target="worksheets/sheet103.xml"/><Relationship Id="rId29" Type="http://schemas.openxmlformats.org/officeDocument/2006/relationships/worksheet" Target="worksheets/sheet52.xml"/><Relationship Id="rId30" Type="http://schemas.openxmlformats.org/officeDocument/2006/relationships/worksheet" Target="worksheets/sheet3.xml"/><Relationship Id="rId31" Type="http://schemas.openxmlformats.org/officeDocument/2006/relationships/worksheet" Target="worksheets/sheet16.xml"/><Relationship Id="rId32" Type="http://schemas.openxmlformats.org/officeDocument/2006/relationships/worksheet" Target="worksheets/sheet63.xml"/><Relationship Id="rId33" Type="http://schemas.openxmlformats.org/officeDocument/2006/relationships/worksheet" Target="worksheets/sheet68.xml"/><Relationship Id="rId34" Type="http://schemas.openxmlformats.org/officeDocument/2006/relationships/worksheet" Target="worksheets/sheet73.xml"/><Relationship Id="rId35" Type="http://schemas.openxmlformats.org/officeDocument/2006/relationships/worksheet" Target="worksheets/sheet74.xml"/><Relationship Id="rId36" Type="http://schemas.openxmlformats.org/officeDocument/2006/relationships/worksheet" Target="worksheets/sheet24.xml"/><Relationship Id="rId37" Type="http://schemas.openxmlformats.org/officeDocument/2006/relationships/worksheet" Target="worksheets/sheet80.xml"/><Relationship Id="rId38" Type="http://schemas.openxmlformats.org/officeDocument/2006/relationships/worksheet" Target="worksheets/sheet99.xml"/><Relationship Id="rId39" Type="http://schemas.openxmlformats.org/officeDocument/2006/relationships/worksheet" Target="worksheets/sheet11.xml"/><Relationship Id="rId40" Type="http://schemas.openxmlformats.org/officeDocument/2006/relationships/worksheet" Target="worksheets/sheet101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25.xml"/><Relationship Id="rId43" Type="http://schemas.openxmlformats.org/officeDocument/2006/relationships/worksheet" Target="worksheets/sheet85.xml"/><Relationship Id="rId44" Type="http://schemas.openxmlformats.org/officeDocument/2006/relationships/worksheet" Target="worksheets/sheet14.xml"/><Relationship Id="rId45" Type="http://schemas.openxmlformats.org/officeDocument/2006/relationships/worksheet" Target="worksheets/sheet75.xml"/><Relationship Id="rId46" Type="http://schemas.openxmlformats.org/officeDocument/2006/relationships/worksheet" Target="worksheets/sheet79.xml"/><Relationship Id="rId47" Type="http://schemas.openxmlformats.org/officeDocument/2006/relationships/worksheet" Target="worksheets/sheet76.xml"/><Relationship Id="rId48" Type="http://schemas.openxmlformats.org/officeDocument/2006/relationships/worksheet" Target="worksheets/sheet12.xml"/><Relationship Id="rId49" Type="http://schemas.openxmlformats.org/officeDocument/2006/relationships/worksheet" Target="worksheets/sheet41.xml"/><Relationship Id="rId50" Type="http://schemas.openxmlformats.org/officeDocument/2006/relationships/worksheet" Target="worksheets/sheet60.xml"/><Relationship Id="rId51" Type="http://schemas.openxmlformats.org/officeDocument/2006/relationships/worksheet" Target="worksheets/sheet83.xml"/><Relationship Id="rId52" Type="http://schemas.openxmlformats.org/officeDocument/2006/relationships/worksheet" Target="worksheets/sheet100.xml"/><Relationship Id="rId53" Type="http://schemas.openxmlformats.org/officeDocument/2006/relationships/worksheet" Target="worksheets/sheet57.xml"/><Relationship Id="rId54" Type="http://schemas.openxmlformats.org/officeDocument/2006/relationships/worksheet" Target="worksheets/sheet26.xml"/><Relationship Id="rId55" Type="http://schemas.openxmlformats.org/officeDocument/2006/relationships/worksheet" Target="worksheets/sheet9.xml"/><Relationship Id="rId56" Type="http://schemas.openxmlformats.org/officeDocument/2006/relationships/worksheet" Target="worksheets/sheet33.xml"/><Relationship Id="rId57" Type="http://schemas.openxmlformats.org/officeDocument/2006/relationships/worksheet" Target="worksheets/sheet69.xml"/><Relationship Id="rId58" Type="http://schemas.openxmlformats.org/officeDocument/2006/relationships/worksheet" Target="worksheets/sheet35.xml"/><Relationship Id="rId59" Type="http://schemas.openxmlformats.org/officeDocument/2006/relationships/worksheet" Target="worksheets/sheet51.xml"/><Relationship Id="rId60" Type="http://schemas.openxmlformats.org/officeDocument/2006/relationships/worksheet" Target="worksheets/sheet19.xml"/><Relationship Id="rId61" Type="http://schemas.openxmlformats.org/officeDocument/2006/relationships/worksheet" Target="worksheets/sheet44.xml"/><Relationship Id="rId62" Type="http://schemas.openxmlformats.org/officeDocument/2006/relationships/worksheet" Target="worksheets/sheet45.xml"/><Relationship Id="rId63" Type="http://schemas.openxmlformats.org/officeDocument/2006/relationships/worksheet" Target="worksheets/sheet8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"/>
  <sheetViews>
    <sheetView workbookViewId="0" zoomScale="100" zoomScaleNormal="100">
      <pane ySplit="3" topLeftCell="A4" activePane="bottomLeft" state="frozen"/>
      <selection pane="bottomLeft" activeCell="Q19" sqref="Q19"/>
    </sheetView>
  </sheetViews>
  <sheetFormatPr defaultRowHeight="15" outlineLevelRow="0" outlineLevelCol="0" x14ac:dyDescent="0" defaultColWidth="9.28515625"/>
  <cols>
    <col min="1" max="1" width="5.42578125" style="329" customWidth="1"/>
    <col min="2" max="2" width="11" style="329" customWidth="1"/>
    <col min="3" max="3" width="7.140625" style="329" customWidth="1"/>
    <col min="4" max="4" width="15.140625" style="329" customWidth="1"/>
    <col min="5" max="5" width="9.28515625" style="329" customWidth="1"/>
    <col min="6" max="6" width="9.85546875" style="329" customWidth="1"/>
    <col min="7" max="7" width="10.42578125" style="329" customWidth="1"/>
    <col min="8" max="8" width="9.28515625" style="329" customWidth="1"/>
    <col min="9" max="9" width="11.7109375" style="329" customWidth="1"/>
    <col min="10" max="10" width="9.5703125" style="329" customWidth="1"/>
    <col min="11" max="11" width="12.28515625" style="329" customWidth="1"/>
    <col min="12" max="13" width="11.7109375" style="329" customWidth="1"/>
    <col min="14" max="14" width="17.7109375" style="329" customWidth="1"/>
    <col min="15" max="16384" width="9.28515625" style="329" customWidth="1"/>
  </cols>
  <sheetData>
    <row r="1" ht="15.75" customHeight="1" spans="1:14" x14ac:dyDescent="0.25">
      <c r="A1" s="330" t="s">
        <v>109</v>
      </c>
      <c r="B1" s="330"/>
      <c r="C1" s="330"/>
      <c r="D1" s="330"/>
      <c r="E1" s="330"/>
      <c r="F1" s="330"/>
      <c r="G1" s="330"/>
      <c r="H1" s="330"/>
      <c r="I1" s="330"/>
      <c r="J1" s="330"/>
      <c r="K1" s="330"/>
      <c r="L1" s="330"/>
      <c r="M1" s="330"/>
      <c r="N1" s="330"/>
    </row>
    <row r="2" ht="25.5" customHeight="1" spans="1:15" x14ac:dyDescent="0.25">
      <c r="A2" s="287" t="s">
        <v>0</v>
      </c>
      <c r="B2" s="288" t="s">
        <v>167</v>
      </c>
      <c r="C2" s="288" t="s">
        <v>168</v>
      </c>
      <c r="D2" s="288" t="s">
        <v>169</v>
      </c>
      <c r="E2" s="288" t="s">
        <v>170</v>
      </c>
      <c r="F2" s="288" t="s">
        <v>171</v>
      </c>
      <c r="G2" s="288" t="s">
        <v>172</v>
      </c>
      <c r="H2" s="288" t="s">
        <v>173</v>
      </c>
      <c r="I2" s="288" t="s">
        <v>171</v>
      </c>
      <c r="J2" s="289" t="s">
        <v>172</v>
      </c>
      <c r="K2" s="290" t="s">
        <v>174</v>
      </c>
      <c r="L2" s="291" t="s">
        <v>175</v>
      </c>
      <c r="M2" s="292" t="s">
        <v>190</v>
      </c>
      <c r="N2" s="293" t="s">
        <v>177</v>
      </c>
      <c r="O2" s="303"/>
    </row>
    <row r="3" ht="15.75" customHeight="1" spans="1:14" x14ac:dyDescent="0.25">
      <c r="A3" s="148" t="s">
        <v>178</v>
      </c>
      <c r="B3" s="149"/>
      <c r="C3" s="149"/>
      <c r="D3" s="149"/>
      <c r="E3" s="149"/>
      <c r="F3" s="149"/>
      <c r="G3" s="149"/>
      <c r="H3" s="149"/>
      <c r="I3" s="149"/>
      <c r="J3" s="150"/>
      <c r="K3" s="331">
        <v>212444.10000000006</v>
      </c>
      <c r="L3" s="332"/>
      <c r="M3" s="333">
        <v>212444.10000000006</v>
      </c>
      <c r="N3" s="334"/>
    </row>
    <row r="4" ht="15.75" customHeight="1" spans="1:14" x14ac:dyDescent="0.25">
      <c r="A4" s="115">
        <v>1</v>
      </c>
      <c r="B4" s="116">
        <v>46296</v>
      </c>
      <c r="C4" s="335"/>
      <c r="D4" s="336"/>
      <c r="E4" s="337"/>
      <c r="F4" s="338"/>
      <c r="G4" s="338">
        <f>E4*F4</f>
        <v>0</v>
      </c>
      <c r="H4" s="338"/>
      <c r="I4" s="338"/>
      <c r="J4" s="338">
        <f>H4*I4</f>
        <v>0</v>
      </c>
      <c r="K4" s="338">
        <f>G4+J4</f>
        <v>0</v>
      </c>
      <c r="L4" s="338"/>
      <c r="M4" s="332">
        <f>M3+K4-L4</f>
        <v>212444.10000000006</v>
      </c>
      <c r="N4" s="338"/>
    </row>
    <row r="5" ht="15.75" customHeight="1" spans="1:14" x14ac:dyDescent="0.25">
      <c r="A5" s="115">
        <v>2</v>
      </c>
      <c r="B5" s="116">
        <v>46297</v>
      </c>
      <c r="C5" s="339"/>
      <c r="D5" s="340"/>
      <c r="E5" s="337"/>
      <c r="F5" s="338"/>
      <c r="G5" s="338">
        <f t="shared" ref="G5:G33" si="0">E5*F5</f>
        <v>0</v>
      </c>
      <c r="H5" s="338"/>
      <c r="I5" s="338"/>
      <c r="J5" s="338">
        <f t="shared" ref="J5:J33" si="1">H5*I5</f>
        <v>0</v>
      </c>
      <c r="K5" s="338">
        <f t="shared" ref="K5:K33" si="2">G5+J5</f>
        <v>0</v>
      </c>
      <c r="L5" s="338"/>
      <c r="M5" s="332">
        <f>M4+K5-L5</f>
        <v>212444.10000000006</v>
      </c>
      <c r="N5" s="328"/>
    </row>
    <row r="6" ht="18.75" customHeight="1" spans="1:14" x14ac:dyDescent="0.25">
      <c r="A6" s="115">
        <v>3</v>
      </c>
      <c r="B6" s="116">
        <v>46298</v>
      </c>
      <c r="C6" s="341"/>
      <c r="D6" s="342"/>
      <c r="E6" s="337">
        <v>300</v>
      </c>
      <c r="F6" s="338">
        <v>100.07</v>
      </c>
      <c r="G6" s="338">
        <f t="shared" si="0"/>
        <v>30020.999999999996</v>
      </c>
      <c r="H6" s="338"/>
      <c r="I6" s="338"/>
      <c r="J6" s="338">
        <f t="shared" si="1"/>
        <v>0</v>
      </c>
      <c r="K6" s="338">
        <f t="shared" si="2"/>
        <v>30020.999999999996</v>
      </c>
      <c r="L6" s="338"/>
      <c r="M6" s="332">
        <f>M5+K6-L6</f>
        <v>242465.10000000006</v>
      </c>
      <c r="N6" s="334"/>
    </row>
    <row r="7" ht="15.75" customHeight="1" spans="1:14" x14ac:dyDescent="0.25">
      <c r="A7" s="115">
        <v>4</v>
      </c>
      <c r="B7" s="116">
        <v>46299</v>
      </c>
      <c r="C7" s="343"/>
      <c r="D7" s="344"/>
      <c r="E7" s="337"/>
      <c r="F7" s="338"/>
      <c r="G7" s="338">
        <f t="shared" si="0"/>
        <v>0</v>
      </c>
      <c r="H7" s="338"/>
      <c r="I7" s="338"/>
      <c r="J7" s="338">
        <f t="shared" si="1"/>
        <v>0</v>
      </c>
      <c r="K7" s="338">
        <f t="shared" si="2"/>
        <v>0</v>
      </c>
      <c r="L7" s="338"/>
      <c r="M7" s="332">
        <f>M6+K7-L7</f>
        <v>242465.10000000006</v>
      </c>
      <c r="N7" s="328"/>
    </row>
    <row r="8" ht="15.75" customHeight="1" spans="1:14" x14ac:dyDescent="0.25">
      <c r="A8" s="115">
        <v>5</v>
      </c>
      <c r="B8" s="116">
        <v>46300</v>
      </c>
      <c r="C8" s="338"/>
      <c r="D8" s="338"/>
      <c r="E8" s="337"/>
      <c r="F8" s="338"/>
      <c r="G8" s="338">
        <f t="shared" si="0"/>
        <v>0</v>
      </c>
      <c r="H8" s="338"/>
      <c r="I8" s="338"/>
      <c r="J8" s="338">
        <f t="shared" si="1"/>
        <v>0</v>
      </c>
      <c r="K8" s="338">
        <f t="shared" si="2"/>
        <v>0</v>
      </c>
      <c r="L8" s="338"/>
      <c r="M8" s="332">
        <f t="shared" ref="M8:M34" si="3">M7+K8-L8</f>
        <v>242465.10000000006</v>
      </c>
      <c r="N8" s="334"/>
    </row>
    <row r="9" ht="15.75" customHeight="1" spans="1:14" x14ac:dyDescent="0.25">
      <c r="A9" s="115">
        <v>6</v>
      </c>
      <c r="B9" s="116">
        <v>46301</v>
      </c>
      <c r="C9" s="334"/>
      <c r="D9" s="338"/>
      <c r="E9" s="337"/>
      <c r="F9" s="338"/>
      <c r="G9" s="338">
        <f t="shared" si="0"/>
        <v>0</v>
      </c>
      <c r="H9" s="338"/>
      <c r="I9" s="338"/>
      <c r="J9" s="338">
        <f t="shared" si="1"/>
        <v>0</v>
      </c>
      <c r="K9" s="338">
        <f t="shared" si="2"/>
        <v>0</v>
      </c>
      <c r="L9" s="338"/>
      <c r="M9" s="332">
        <f t="shared" si="3"/>
        <v>242465.10000000006</v>
      </c>
      <c r="N9" s="334"/>
    </row>
    <row r="10" ht="15.75" customHeight="1" spans="1:14" x14ac:dyDescent="0.25">
      <c r="A10" s="115">
        <v>7</v>
      </c>
      <c r="B10" s="116">
        <v>46302</v>
      </c>
      <c r="C10" s="334"/>
      <c r="D10" s="338"/>
      <c r="E10" s="337"/>
      <c r="F10" s="338"/>
      <c r="G10" s="338">
        <f t="shared" si="0"/>
        <v>0</v>
      </c>
      <c r="H10" s="338"/>
      <c r="I10" s="338"/>
      <c r="J10" s="338">
        <f t="shared" si="1"/>
        <v>0</v>
      </c>
      <c r="K10" s="338">
        <f t="shared" si="2"/>
        <v>0</v>
      </c>
      <c r="L10" s="338"/>
      <c r="M10" s="332">
        <f t="shared" si="3"/>
        <v>242465.10000000006</v>
      </c>
      <c r="N10" s="334"/>
    </row>
    <row r="11" ht="15.75" customHeight="1" spans="1:14" x14ac:dyDescent="0.25">
      <c r="A11" s="115">
        <v>8</v>
      </c>
      <c r="B11" s="116">
        <v>46303</v>
      </c>
      <c r="C11" s="334"/>
      <c r="D11" s="338"/>
      <c r="E11" s="337"/>
      <c r="F11" s="338"/>
      <c r="G11" s="338">
        <f t="shared" si="0"/>
        <v>0</v>
      </c>
      <c r="H11" s="338"/>
      <c r="I11" s="338"/>
      <c r="J11" s="338">
        <f t="shared" si="1"/>
        <v>0</v>
      </c>
      <c r="K11" s="338">
        <f t="shared" si="2"/>
        <v>0</v>
      </c>
      <c r="L11" s="338"/>
      <c r="M11" s="332">
        <f t="shared" si="3"/>
        <v>242465.10000000006</v>
      </c>
      <c r="N11" s="334"/>
    </row>
    <row r="12" ht="15.75" customHeight="1" spans="1:14" x14ac:dyDescent="0.25">
      <c r="A12" s="115">
        <v>9</v>
      </c>
      <c r="B12" s="116">
        <v>46304</v>
      </c>
      <c r="C12" s="334"/>
      <c r="D12" s="338"/>
      <c r="E12" s="337">
        <v>300</v>
      </c>
      <c r="F12" s="338">
        <v>100.07</v>
      </c>
      <c r="G12" s="338">
        <f t="shared" si="0"/>
        <v>30020.999999999996</v>
      </c>
      <c r="H12" s="338">
        <v>50</v>
      </c>
      <c r="I12" s="338">
        <v>112.09</v>
      </c>
      <c r="J12" s="338">
        <f t="shared" si="1"/>
        <v>5604.5</v>
      </c>
      <c r="K12" s="338">
        <f t="shared" si="2"/>
        <v>35625.5</v>
      </c>
      <c r="L12" s="338">
        <v>150000</v>
      </c>
      <c r="M12" s="332">
        <f t="shared" si="3"/>
        <v>128090.6000000001</v>
      </c>
      <c r="N12" s="334"/>
    </row>
    <row r="13" ht="15.75" customHeight="1" spans="1:14" x14ac:dyDescent="0.25">
      <c r="A13" s="115">
        <v>10</v>
      </c>
      <c r="B13" s="116">
        <v>46305</v>
      </c>
      <c r="C13" s="334"/>
      <c r="D13" s="338"/>
      <c r="E13" s="337"/>
      <c r="F13" s="338"/>
      <c r="G13" s="338">
        <f t="shared" si="0"/>
        <v>0</v>
      </c>
      <c r="H13" s="338"/>
      <c r="I13" s="338"/>
      <c r="J13" s="338">
        <f t="shared" si="1"/>
        <v>0</v>
      </c>
      <c r="K13" s="338">
        <f t="shared" si="2"/>
        <v>0</v>
      </c>
      <c r="L13" s="338"/>
      <c r="M13" s="332">
        <f t="shared" si="3"/>
        <v>128090.6000000001</v>
      </c>
      <c r="N13" s="334"/>
    </row>
    <row r="14" ht="15.75" customHeight="1" spans="1:14" x14ac:dyDescent="0.25">
      <c r="A14" s="115">
        <v>11</v>
      </c>
      <c r="B14" s="116">
        <v>46306</v>
      </c>
      <c r="C14" s="334"/>
      <c r="D14" s="338"/>
      <c r="E14" s="337"/>
      <c r="F14" s="338"/>
      <c r="G14" s="338">
        <f>E14*F14</f>
        <v>0</v>
      </c>
      <c r="H14" s="338"/>
      <c r="I14" s="338"/>
      <c r="J14" s="338">
        <f t="shared" si="1"/>
        <v>0</v>
      </c>
      <c r="K14" s="338">
        <f t="shared" si="2"/>
        <v>0</v>
      </c>
      <c r="L14" s="338"/>
      <c r="M14" s="332">
        <f t="shared" si="3"/>
        <v>128090.6000000001</v>
      </c>
      <c r="N14" s="334"/>
    </row>
    <row r="15" ht="15.75" customHeight="1" spans="1:14" x14ac:dyDescent="0.25">
      <c r="A15" s="115">
        <v>12</v>
      </c>
      <c r="B15" s="116">
        <v>46307</v>
      </c>
      <c r="C15" s="334"/>
      <c r="D15" s="338"/>
      <c r="E15" s="337"/>
      <c r="F15" s="338"/>
      <c r="G15" s="338">
        <f t="shared" si="0"/>
        <v>0</v>
      </c>
      <c r="H15" s="338"/>
      <c r="I15" s="338"/>
      <c r="J15" s="338">
        <f t="shared" si="1"/>
        <v>0</v>
      </c>
      <c r="K15" s="338">
        <f t="shared" si="2"/>
        <v>0</v>
      </c>
      <c r="L15" s="338"/>
      <c r="M15" s="332">
        <f t="shared" si="3"/>
        <v>128090.6000000001</v>
      </c>
      <c r="N15" s="334"/>
    </row>
    <row r="16" ht="15.75" customHeight="1" spans="1:14" x14ac:dyDescent="0.25">
      <c r="A16" s="115">
        <v>13</v>
      </c>
      <c r="B16" s="116">
        <v>46308</v>
      </c>
      <c r="C16" s="334"/>
      <c r="D16" s="338"/>
      <c r="E16" s="337"/>
      <c r="F16" s="338"/>
      <c r="G16" s="338">
        <f t="shared" si="0"/>
        <v>0</v>
      </c>
      <c r="H16" s="338"/>
      <c r="I16" s="338"/>
      <c r="J16" s="338">
        <f t="shared" si="1"/>
        <v>0</v>
      </c>
      <c r="K16" s="338">
        <f t="shared" si="2"/>
        <v>0</v>
      </c>
      <c r="L16" s="338"/>
      <c r="M16" s="332">
        <f t="shared" si="3"/>
        <v>128090.6000000001</v>
      </c>
      <c r="N16" s="334"/>
    </row>
    <row r="17" ht="15.75" customHeight="1" spans="1:14" x14ac:dyDescent="0.25">
      <c r="A17" s="115">
        <v>14</v>
      </c>
      <c r="B17" s="116">
        <v>46309</v>
      </c>
      <c r="C17" s="334"/>
      <c r="D17" s="338"/>
      <c r="E17" s="337"/>
      <c r="F17" s="338"/>
      <c r="G17" s="338">
        <f t="shared" si="0"/>
        <v>0</v>
      </c>
      <c r="H17" s="338"/>
      <c r="I17" s="338"/>
      <c r="J17" s="338">
        <f t="shared" si="1"/>
        <v>0</v>
      </c>
      <c r="K17" s="338">
        <f t="shared" si="2"/>
        <v>0</v>
      </c>
      <c r="L17" s="338"/>
      <c r="M17" s="332">
        <f t="shared" si="3"/>
        <v>128090.6000000001</v>
      </c>
      <c r="N17" s="334"/>
    </row>
    <row r="18" ht="15.75" customHeight="1" spans="1:14" x14ac:dyDescent="0.25">
      <c r="A18" s="115">
        <v>15</v>
      </c>
      <c r="B18" s="116">
        <v>46310</v>
      </c>
      <c r="C18" s="334"/>
      <c r="D18" s="338"/>
      <c r="E18" s="337">
        <v>2000</v>
      </c>
      <c r="F18" s="338">
        <v>100.07</v>
      </c>
      <c r="G18" s="338">
        <f t="shared" si="0"/>
        <v>200140</v>
      </c>
      <c r="H18" s="338">
        <v>70</v>
      </c>
      <c r="I18" s="338">
        <v>112.09</v>
      </c>
      <c r="J18" s="338">
        <f t="shared" si="1"/>
        <v>7846.3</v>
      </c>
      <c r="K18" s="338">
        <f t="shared" si="2"/>
        <v>207986.3</v>
      </c>
      <c r="L18" s="338">
        <v>128000</v>
      </c>
      <c r="M18" s="332">
        <f t="shared" si="3"/>
        <v>208076.90000000008</v>
      </c>
      <c r="N18" s="334"/>
    </row>
    <row r="19" ht="15.75" customHeight="1" spans="1:14" x14ac:dyDescent="0.25">
      <c r="A19" s="115">
        <v>16</v>
      </c>
      <c r="B19" s="116">
        <v>46311</v>
      </c>
      <c r="C19" s="334"/>
      <c r="D19" s="338"/>
      <c r="E19" s="337"/>
      <c r="F19" s="338"/>
      <c r="G19" s="338">
        <f>E19*F19</f>
        <v>0</v>
      </c>
      <c r="H19" s="338"/>
      <c r="I19" s="338"/>
      <c r="J19" s="338">
        <f t="shared" si="1"/>
        <v>0</v>
      </c>
      <c r="K19" s="338">
        <f t="shared" si="2"/>
        <v>0</v>
      </c>
      <c r="L19" s="338"/>
      <c r="M19" s="332">
        <f t="shared" si="3"/>
        <v>208076.90000000008</v>
      </c>
      <c r="N19" s="334"/>
    </row>
    <row r="20" ht="15.75" customHeight="1" spans="1:14" x14ac:dyDescent="0.25">
      <c r="A20" s="115">
        <v>17</v>
      </c>
      <c r="B20" s="116">
        <v>46312</v>
      </c>
      <c r="C20" s="334"/>
      <c r="D20" s="338"/>
      <c r="E20" s="337"/>
      <c r="F20" s="338"/>
      <c r="G20" s="338">
        <f t="shared" si="0"/>
        <v>0</v>
      </c>
      <c r="H20" s="338"/>
      <c r="I20" s="338"/>
      <c r="J20" s="338">
        <f t="shared" si="1"/>
        <v>0</v>
      </c>
      <c r="K20" s="338">
        <f t="shared" si="2"/>
        <v>0</v>
      </c>
      <c r="L20" s="338"/>
      <c r="M20" s="332">
        <f t="shared" si="3"/>
        <v>208076.90000000008</v>
      </c>
      <c r="N20" s="334"/>
    </row>
    <row r="21" ht="15.75" customHeight="1" spans="1:14" x14ac:dyDescent="0.25">
      <c r="A21" s="115">
        <v>18</v>
      </c>
      <c r="B21" s="116">
        <v>46313</v>
      </c>
      <c r="C21" s="334"/>
      <c r="D21" s="338"/>
      <c r="E21" s="337"/>
      <c r="F21" s="338"/>
      <c r="G21" s="338">
        <f t="shared" si="0"/>
        <v>0</v>
      </c>
      <c r="H21" s="338"/>
      <c r="I21" s="338"/>
      <c r="J21" s="338">
        <f t="shared" si="1"/>
        <v>0</v>
      </c>
      <c r="K21" s="338">
        <f t="shared" si="2"/>
        <v>0</v>
      </c>
      <c r="L21" s="338"/>
      <c r="M21" s="332">
        <f t="shared" si="3"/>
        <v>208076.90000000008</v>
      </c>
      <c r="N21" s="334"/>
    </row>
    <row r="22" ht="15.75" customHeight="1" spans="1:14" x14ac:dyDescent="0.25">
      <c r="A22" s="115">
        <v>19</v>
      </c>
      <c r="B22" s="116">
        <v>46314</v>
      </c>
      <c r="C22" s="334"/>
      <c r="D22" s="338"/>
      <c r="E22" s="337"/>
      <c r="F22" s="338"/>
      <c r="G22" s="338">
        <f t="shared" si="0"/>
        <v>0</v>
      </c>
      <c r="H22" s="338"/>
      <c r="I22" s="338"/>
      <c r="J22" s="338">
        <f t="shared" si="1"/>
        <v>0</v>
      </c>
      <c r="K22" s="338">
        <f t="shared" si="2"/>
        <v>0</v>
      </c>
      <c r="L22" s="338"/>
      <c r="M22" s="332">
        <f t="shared" si="3"/>
        <v>208076.90000000008</v>
      </c>
      <c r="N22" s="334"/>
    </row>
    <row r="23" ht="15.75" customHeight="1" spans="1:14" x14ac:dyDescent="0.25">
      <c r="A23" s="115">
        <v>20</v>
      </c>
      <c r="B23" s="116">
        <v>46315</v>
      </c>
      <c r="C23" s="334"/>
      <c r="D23" s="338"/>
      <c r="E23" s="337"/>
      <c r="F23" s="338"/>
      <c r="G23" s="338">
        <f t="shared" si="0"/>
        <v>0</v>
      </c>
      <c r="H23" s="338"/>
      <c r="I23" s="338"/>
      <c r="J23" s="338">
        <f t="shared" si="1"/>
        <v>0</v>
      </c>
      <c r="K23" s="338">
        <f t="shared" si="2"/>
        <v>0</v>
      </c>
      <c r="L23" s="338"/>
      <c r="M23" s="332">
        <f t="shared" si="3"/>
        <v>208076.90000000008</v>
      </c>
      <c r="N23" s="334"/>
    </row>
    <row r="24" ht="15.75" customHeight="1" spans="1:14" x14ac:dyDescent="0.25">
      <c r="A24" s="115">
        <v>21</v>
      </c>
      <c r="B24" s="116">
        <v>46316</v>
      </c>
      <c r="C24" s="334"/>
      <c r="D24" s="338"/>
      <c r="E24" s="337"/>
      <c r="F24" s="338"/>
      <c r="G24" s="338">
        <f t="shared" si="0"/>
        <v>0</v>
      </c>
      <c r="H24" s="338"/>
      <c r="I24" s="338"/>
      <c r="J24" s="338">
        <f t="shared" si="1"/>
        <v>0</v>
      </c>
      <c r="K24" s="338">
        <f t="shared" si="2"/>
        <v>0</v>
      </c>
      <c r="L24" s="338"/>
      <c r="M24" s="332">
        <f t="shared" si="3"/>
        <v>208076.90000000008</v>
      </c>
      <c r="N24" s="334"/>
    </row>
    <row r="25" ht="15.75" customHeight="1" spans="1:14" x14ac:dyDescent="0.25">
      <c r="A25" s="115">
        <v>22</v>
      </c>
      <c r="B25" s="116">
        <v>46317</v>
      </c>
      <c r="C25" s="334"/>
      <c r="D25" s="338"/>
      <c r="E25" s="337"/>
      <c r="F25" s="338"/>
      <c r="G25" s="338">
        <f t="shared" si="0"/>
        <v>0</v>
      </c>
      <c r="H25" s="338"/>
      <c r="I25" s="338"/>
      <c r="J25" s="338">
        <f t="shared" si="1"/>
        <v>0</v>
      </c>
      <c r="K25" s="338">
        <f t="shared" si="2"/>
        <v>0</v>
      </c>
      <c r="L25" s="338"/>
      <c r="M25" s="332">
        <f t="shared" si="3"/>
        <v>208076.90000000008</v>
      </c>
      <c r="N25" s="334"/>
    </row>
    <row r="26" ht="15.75" customHeight="1" spans="1:14" x14ac:dyDescent="0.25">
      <c r="A26" s="115">
        <v>23</v>
      </c>
      <c r="B26" s="116">
        <v>46318</v>
      </c>
      <c r="C26" s="334"/>
      <c r="D26" s="338"/>
      <c r="E26" s="337"/>
      <c r="F26" s="338"/>
      <c r="G26" s="338">
        <f t="shared" si="0"/>
        <v>0</v>
      </c>
      <c r="H26" s="338"/>
      <c r="I26" s="338"/>
      <c r="J26" s="338">
        <f t="shared" si="1"/>
        <v>0</v>
      </c>
      <c r="K26" s="338">
        <f t="shared" si="2"/>
        <v>0</v>
      </c>
      <c r="L26" s="338"/>
      <c r="M26" s="332">
        <f t="shared" si="3"/>
        <v>208076.90000000008</v>
      </c>
      <c r="N26" s="334"/>
    </row>
    <row r="27" ht="15.75" customHeight="1" spans="1:14" x14ac:dyDescent="0.25">
      <c r="A27" s="115">
        <v>24</v>
      </c>
      <c r="B27" s="116">
        <v>46319</v>
      </c>
      <c r="C27" s="334"/>
      <c r="D27" s="338"/>
      <c r="E27" s="337"/>
      <c r="F27" s="338"/>
      <c r="G27" s="338">
        <f t="shared" si="0"/>
        <v>0</v>
      </c>
      <c r="H27" s="338"/>
      <c r="I27" s="338"/>
      <c r="J27" s="338">
        <f t="shared" si="1"/>
        <v>0</v>
      </c>
      <c r="K27" s="338">
        <f t="shared" si="2"/>
        <v>0</v>
      </c>
      <c r="L27" s="338"/>
      <c r="M27" s="332">
        <f t="shared" si="3"/>
        <v>208076.90000000008</v>
      </c>
      <c r="N27" s="334"/>
    </row>
    <row r="28" ht="15.75" customHeight="1" spans="1:14" x14ac:dyDescent="0.25">
      <c r="A28" s="115">
        <v>25</v>
      </c>
      <c r="B28" s="116">
        <v>46320</v>
      </c>
      <c r="C28" s="334"/>
      <c r="D28" s="338"/>
      <c r="E28" s="337"/>
      <c r="F28" s="338"/>
      <c r="G28" s="338">
        <f t="shared" si="0"/>
        <v>0</v>
      </c>
      <c r="H28" s="338"/>
      <c r="I28" s="338"/>
      <c r="J28" s="338">
        <f t="shared" si="1"/>
        <v>0</v>
      </c>
      <c r="K28" s="338">
        <f t="shared" si="2"/>
        <v>0</v>
      </c>
      <c r="L28" s="338"/>
      <c r="M28" s="332">
        <f t="shared" si="3"/>
        <v>208076.90000000008</v>
      </c>
      <c r="N28" s="334"/>
    </row>
    <row r="29" ht="15.75" customHeight="1" spans="1:14" x14ac:dyDescent="0.25">
      <c r="A29" s="115">
        <v>26</v>
      </c>
      <c r="B29" s="116">
        <v>46321</v>
      </c>
      <c r="C29" s="334"/>
      <c r="D29" s="338"/>
      <c r="E29" s="337"/>
      <c r="F29" s="338"/>
      <c r="G29" s="338">
        <f t="shared" si="0"/>
        <v>0</v>
      </c>
      <c r="H29" s="338"/>
      <c r="I29" s="338"/>
      <c r="J29" s="338">
        <f t="shared" si="1"/>
        <v>0</v>
      </c>
      <c r="K29" s="338">
        <f t="shared" si="2"/>
        <v>0</v>
      </c>
      <c r="L29" s="338"/>
      <c r="M29" s="332">
        <f t="shared" si="3"/>
        <v>208076.90000000008</v>
      </c>
      <c r="N29" s="334"/>
    </row>
    <row r="30" ht="15.75" customHeight="1" spans="1:14" x14ac:dyDescent="0.25">
      <c r="A30" s="115">
        <v>27</v>
      </c>
      <c r="B30" s="116">
        <v>46322</v>
      </c>
      <c r="C30" s="334"/>
      <c r="D30" s="338"/>
      <c r="E30" s="337"/>
      <c r="F30" s="338"/>
      <c r="G30" s="338">
        <f t="shared" si="0"/>
        <v>0</v>
      </c>
      <c r="H30" s="338"/>
      <c r="I30" s="338"/>
      <c r="J30" s="338">
        <f t="shared" si="1"/>
        <v>0</v>
      </c>
      <c r="K30" s="338">
        <f t="shared" si="2"/>
        <v>0</v>
      </c>
      <c r="L30" s="338"/>
      <c r="M30" s="332">
        <f t="shared" si="3"/>
        <v>208076.90000000008</v>
      </c>
      <c r="N30" s="334"/>
    </row>
    <row r="31" ht="15.75" customHeight="1" spans="1:14" x14ac:dyDescent="0.25">
      <c r="A31" s="115">
        <v>28</v>
      </c>
      <c r="B31" s="116">
        <v>46323</v>
      </c>
      <c r="C31" s="334"/>
      <c r="D31" s="338"/>
      <c r="E31" s="337"/>
      <c r="F31" s="338"/>
      <c r="G31" s="338">
        <f t="shared" si="0"/>
        <v>0</v>
      </c>
      <c r="H31" s="338"/>
      <c r="I31" s="338"/>
      <c r="J31" s="338">
        <f t="shared" si="1"/>
        <v>0</v>
      </c>
      <c r="K31" s="338">
        <f t="shared" si="2"/>
        <v>0</v>
      </c>
      <c r="L31" s="338"/>
      <c r="M31" s="332">
        <f t="shared" si="3"/>
        <v>208076.90000000008</v>
      </c>
      <c r="N31" s="334"/>
    </row>
    <row r="32" ht="15.75" customHeight="1" spans="1:14" x14ac:dyDescent="0.25">
      <c r="A32" s="115">
        <v>29</v>
      </c>
      <c r="B32" s="116">
        <v>46324</v>
      </c>
      <c r="C32" s="334"/>
      <c r="D32" s="338"/>
      <c r="E32" s="337"/>
      <c r="F32" s="338"/>
      <c r="G32" s="338">
        <f t="shared" si="0"/>
        <v>0</v>
      </c>
      <c r="H32" s="338"/>
      <c r="I32" s="338"/>
      <c r="J32" s="338">
        <f t="shared" si="1"/>
        <v>0</v>
      </c>
      <c r="K32" s="338">
        <f t="shared" si="2"/>
        <v>0</v>
      </c>
      <c r="L32" s="338"/>
      <c r="M32" s="332">
        <f t="shared" si="3"/>
        <v>208076.90000000008</v>
      </c>
      <c r="N32" s="334"/>
    </row>
    <row r="33" ht="15.75" customHeight="1" spans="1:14" x14ac:dyDescent="0.25">
      <c r="A33" s="115">
        <v>30</v>
      </c>
      <c r="B33" s="116">
        <v>46325</v>
      </c>
      <c r="C33" s="334"/>
      <c r="D33" s="338"/>
      <c r="E33" s="337"/>
      <c r="F33" s="338"/>
      <c r="G33" s="338">
        <f t="shared" si="0"/>
        <v>0</v>
      </c>
      <c r="H33" s="338"/>
      <c r="I33" s="338"/>
      <c r="J33" s="338">
        <f t="shared" si="1"/>
        <v>0</v>
      </c>
      <c r="K33" s="338">
        <f t="shared" si="2"/>
        <v>0</v>
      </c>
      <c r="L33" s="338"/>
      <c r="M33" s="332">
        <f t="shared" si="3"/>
        <v>208076.90000000008</v>
      </c>
      <c r="N33" s="334"/>
    </row>
    <row r="34" ht="15.75" customHeight="1" spans="1:14" x14ac:dyDescent="0.25">
      <c r="A34" s="115">
        <v>31</v>
      </c>
      <c r="B34" s="116">
        <v>46326</v>
      </c>
      <c r="C34" s="334"/>
      <c r="D34" s="338"/>
      <c r="E34" s="337"/>
      <c r="F34" s="338"/>
      <c r="G34" s="338">
        <f t="shared" ref="G34" si="4">E34*F34</f>
        <v>0</v>
      </c>
      <c r="H34" s="338"/>
      <c r="I34" s="338"/>
      <c r="J34" s="338">
        <f t="shared" ref="J34" si="5">H34*I34</f>
        <v>0</v>
      </c>
      <c r="K34" s="338">
        <f t="shared" ref="K34" si="6">G34+J34</f>
        <v>0</v>
      </c>
      <c r="L34" s="338"/>
      <c r="M34" s="332">
        <f t="shared" si="3"/>
        <v>208076.90000000008</v>
      </c>
      <c r="N34" s="334"/>
    </row>
    <row r="35" spans="1:15" x14ac:dyDescent="0.25">
      <c r="A35" s="121"/>
      <c r="B35" s="121"/>
      <c r="C35" s="121"/>
      <c r="D35" s="121"/>
      <c r="E35" s="136">
        <f>SUM(E4:E34)</f>
        <v>2600</v>
      </c>
      <c r="F35" s="136"/>
      <c r="G35" s="136">
        <f>SUM(G4:G34)</f>
        <v>260182</v>
      </c>
      <c r="H35" s="136">
        <f>SUM(H4:H34)</f>
        <v>120</v>
      </c>
      <c r="I35" s="136"/>
      <c r="J35" s="136">
        <f>SUM(J4:J34)</f>
        <v>13450.8</v>
      </c>
      <c r="K35" s="136">
        <f>SUM(K4:K34)</f>
        <v>273632.8</v>
      </c>
      <c r="L35" s="136">
        <f>SUM(L4:L34)</f>
        <v>278000</v>
      </c>
      <c r="M35" s="136"/>
      <c r="N35" s="136"/>
      <c r="O35" s="303"/>
    </row>
    <row r="37" spans="4:5" x14ac:dyDescent="0.25">
      <c r="D37" s="308"/>
      <c r="E37" s="308"/>
    </row>
  </sheetData>
  <mergeCells count="2">
    <mergeCell ref="A1:N1"/>
    <mergeCell ref="A3:J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9"/>
  <sheetViews>
    <sheetView workbookViewId="0" zoomScale="100" zoomScaleNormal="100">
      <pane ySplit="3" topLeftCell="A4" activePane="bottomLeft" state="frozen"/>
      <selection pane="bottomLeft" activeCell="M13" sqref="M13"/>
    </sheetView>
  </sheetViews>
  <sheetFormatPr defaultRowHeight="12.75" outlineLevelRow="0" outlineLevelCol="0" x14ac:dyDescent="0" defaultColWidth="12.28515625" customHeight="1"/>
  <cols>
    <col min="1" max="1" width="8.42578125" style="301" customWidth="1"/>
    <col min="2" max="3" width="12.28515625" style="301" customWidth="1"/>
    <col min="4" max="4" width="13.5703125" style="301" customWidth="1"/>
    <col min="5" max="5" width="12.28515625" style="301" customWidth="1"/>
    <col min="6" max="6" width="13.7109375" style="301" customWidth="1"/>
    <col min="7" max="16384" width="12.28515625" style="301" customWidth="1"/>
  </cols>
  <sheetData>
    <row r="1" ht="15.75" customHeight="1" spans="1:15" x14ac:dyDescent="0.25">
      <c r="A1" s="286" t="s">
        <v>107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302"/>
    </row>
    <row r="2" ht="15.75" customHeight="1" spans="1:15" x14ac:dyDescent="0.25">
      <c r="A2" s="287" t="s">
        <v>0</v>
      </c>
      <c r="B2" s="288" t="s">
        <v>167</v>
      </c>
      <c r="C2" s="288" t="s">
        <v>168</v>
      </c>
      <c r="D2" s="288" t="s">
        <v>169</v>
      </c>
      <c r="E2" s="288" t="s">
        <v>170</v>
      </c>
      <c r="F2" s="288" t="s">
        <v>171</v>
      </c>
      <c r="G2" s="288" t="s">
        <v>172</v>
      </c>
      <c r="H2" s="288" t="s">
        <v>173</v>
      </c>
      <c r="I2" s="288" t="s">
        <v>171</v>
      </c>
      <c r="J2" s="289" t="s">
        <v>172</v>
      </c>
      <c r="K2" s="290" t="s">
        <v>174</v>
      </c>
      <c r="L2" s="291" t="s">
        <v>175</v>
      </c>
      <c r="M2" s="292" t="s">
        <v>190</v>
      </c>
      <c r="N2" s="293" t="s">
        <v>177</v>
      </c>
      <c r="O2" s="303"/>
    </row>
    <row r="3" ht="15.75" customHeight="1" spans="1:15" x14ac:dyDescent="0.25">
      <c r="A3" s="148" t="s">
        <v>178</v>
      </c>
      <c r="B3" s="149"/>
      <c r="C3" s="126"/>
      <c r="D3" s="126"/>
      <c r="E3" s="126"/>
      <c r="F3" s="126"/>
      <c r="G3" s="126"/>
      <c r="H3" s="126"/>
      <c r="I3" s="126"/>
      <c r="J3" s="215"/>
      <c r="K3" s="294">
        <v>175658</v>
      </c>
      <c r="L3" s="295"/>
      <c r="M3" s="294">
        <v>175658</v>
      </c>
      <c r="N3" s="295"/>
      <c r="O3" s="303"/>
    </row>
    <row r="4" ht="15" customHeight="1" spans="1:15" x14ac:dyDescent="0.25">
      <c r="A4" s="115">
        <v>1</v>
      </c>
      <c r="B4" s="116">
        <v>46296</v>
      </c>
      <c r="C4" s="153"/>
      <c r="D4" s="153"/>
      <c r="E4" s="155"/>
      <c r="F4" s="155"/>
      <c r="G4" s="155">
        <f>E4*F4</f>
        <v>0</v>
      </c>
      <c r="H4" s="296"/>
      <c r="I4" s="296"/>
      <c r="J4" s="155">
        <f>H4*I4</f>
        <v>0</v>
      </c>
      <c r="K4" s="155">
        <f>G4+J4</f>
        <v>0</v>
      </c>
      <c r="L4" s="295"/>
      <c r="M4" s="294">
        <f>M3+K4-L4</f>
        <v>175658</v>
      </c>
      <c r="N4" s="155"/>
      <c r="O4" s="304"/>
    </row>
    <row r="5" ht="15" customHeight="1" spans="1:15" x14ac:dyDescent="0.25">
      <c r="A5" s="115">
        <v>2</v>
      </c>
      <c r="B5" s="116">
        <v>46297</v>
      </c>
      <c r="C5" s="153"/>
      <c r="D5" s="153"/>
      <c r="E5" s="155"/>
      <c r="F5" s="155"/>
      <c r="G5" s="155">
        <f t="shared" ref="G5:G33" si="0">E5*F5</f>
        <v>0</v>
      </c>
      <c r="H5" s="296"/>
      <c r="I5" s="296"/>
      <c r="J5" s="155">
        <f t="shared" ref="J5:J33" si="1">H5*I5</f>
        <v>0</v>
      </c>
      <c r="K5" s="155">
        <f t="shared" ref="K5:K33" si="2">G5+J5</f>
        <v>0</v>
      </c>
      <c r="L5" s="295"/>
      <c r="M5" s="294">
        <f>M4+K5-L5</f>
        <v>175658</v>
      </c>
      <c r="N5" s="155"/>
      <c r="O5" s="304"/>
    </row>
    <row r="6" ht="15" customHeight="1" spans="1:15" x14ac:dyDescent="0.25">
      <c r="A6" s="115">
        <v>3</v>
      </c>
      <c r="B6" s="116">
        <v>46298</v>
      </c>
      <c r="C6" s="153"/>
      <c r="D6" s="153"/>
      <c r="E6" s="155"/>
      <c r="F6" s="155"/>
      <c r="G6" s="155">
        <f t="shared" si="0"/>
        <v>0</v>
      </c>
      <c r="H6" s="296"/>
      <c r="I6" s="296"/>
      <c r="J6" s="155">
        <f t="shared" si="1"/>
        <v>0</v>
      </c>
      <c r="K6" s="155">
        <f t="shared" si="2"/>
        <v>0</v>
      </c>
      <c r="L6" s="295"/>
      <c r="M6" s="294">
        <f>M5+K6-L6</f>
        <v>175658</v>
      </c>
      <c r="N6" s="155"/>
      <c r="O6" s="304"/>
    </row>
    <row r="7" ht="15" customHeight="1" spans="1:15" x14ac:dyDescent="0.25">
      <c r="A7" s="115">
        <v>4</v>
      </c>
      <c r="B7" s="116">
        <v>46299</v>
      </c>
      <c r="C7" s="153"/>
      <c r="D7" s="153"/>
      <c r="E7" s="155"/>
      <c r="F7" s="155"/>
      <c r="G7" s="155">
        <f t="shared" si="0"/>
        <v>0</v>
      </c>
      <c r="H7" s="296"/>
      <c r="I7" s="296"/>
      <c r="J7" s="155">
        <f t="shared" si="1"/>
        <v>0</v>
      </c>
      <c r="K7" s="155">
        <f t="shared" si="2"/>
        <v>0</v>
      </c>
      <c r="L7" s="295"/>
      <c r="M7" s="294">
        <f>M6+K7-L7</f>
        <v>175658</v>
      </c>
      <c r="N7" s="155"/>
      <c r="O7" s="304"/>
    </row>
    <row r="8" ht="15" customHeight="1" spans="1:15" x14ac:dyDescent="0.25">
      <c r="A8" s="115">
        <v>5</v>
      </c>
      <c r="B8" s="116">
        <v>46300</v>
      </c>
      <c r="C8" s="153"/>
      <c r="D8" s="153"/>
      <c r="E8" s="155"/>
      <c r="F8" s="155"/>
      <c r="G8" s="155">
        <f t="shared" si="0"/>
        <v>0</v>
      </c>
      <c r="H8" s="296"/>
      <c r="I8" s="296"/>
      <c r="J8" s="155">
        <f t="shared" si="1"/>
        <v>0</v>
      </c>
      <c r="K8" s="155">
        <f t="shared" si="2"/>
        <v>0</v>
      </c>
      <c r="L8" s="295"/>
      <c r="M8" s="294">
        <f>M7+K8-L8</f>
        <v>175658</v>
      </c>
      <c r="N8" s="155"/>
      <c r="O8" s="304"/>
    </row>
    <row r="9" ht="15" customHeight="1" spans="1:15" x14ac:dyDescent="0.25">
      <c r="A9" s="115">
        <v>6</v>
      </c>
      <c r="B9" s="116">
        <v>46301</v>
      </c>
      <c r="C9" s="153"/>
      <c r="D9" s="153"/>
      <c r="E9" s="155"/>
      <c r="F9" s="155"/>
      <c r="G9" s="155">
        <f t="shared" ref="G9:G18" si="3">E9*F9</f>
        <v>0</v>
      </c>
      <c r="H9" s="296"/>
      <c r="I9" s="296"/>
      <c r="J9" s="155">
        <f t="shared" si="1"/>
        <v>0</v>
      </c>
      <c r="K9" s="155">
        <f t="shared" si="2"/>
        <v>0</v>
      </c>
      <c r="L9" s="295"/>
      <c r="M9" s="294">
        <f t="shared" ref="M9:M33" si="4">M8+K9-L9</f>
        <v>175658</v>
      </c>
      <c r="N9" s="155"/>
      <c r="O9" s="304"/>
    </row>
    <row r="10" ht="15" customHeight="1" spans="1:15" x14ac:dyDescent="0.25">
      <c r="A10" s="115">
        <v>7</v>
      </c>
      <c r="B10" s="116">
        <v>46302</v>
      </c>
      <c r="C10" s="153"/>
      <c r="D10" s="153"/>
      <c r="E10" s="155"/>
      <c r="F10" s="155"/>
      <c r="G10" s="155">
        <f t="shared" si="3"/>
        <v>0</v>
      </c>
      <c r="H10" s="296"/>
      <c r="I10" s="296"/>
      <c r="J10" s="155">
        <f t="shared" ref="J10:J17" si="5">H10*I10</f>
        <v>0</v>
      </c>
      <c r="K10" s="155">
        <f t="shared" ref="K10:K17" si="6">G10+J10</f>
        <v>0</v>
      </c>
      <c r="L10" s="295"/>
      <c r="M10" s="294">
        <f t="shared" si="4"/>
        <v>175658</v>
      </c>
      <c r="N10" s="155"/>
      <c r="O10" s="304"/>
    </row>
    <row r="11" ht="15" customHeight="1" spans="1:15" x14ac:dyDescent="0.25">
      <c r="A11" s="115">
        <v>8</v>
      </c>
      <c r="B11" s="116">
        <v>46303</v>
      </c>
      <c r="C11" s="153"/>
      <c r="D11" s="153"/>
      <c r="E11" s="155"/>
      <c r="F11" s="155"/>
      <c r="G11" s="155">
        <f t="shared" si="3"/>
        <v>0</v>
      </c>
      <c r="H11" s="296"/>
      <c r="I11" s="296"/>
      <c r="J11" s="155">
        <f t="shared" si="5"/>
        <v>0</v>
      </c>
      <c r="K11" s="155">
        <f t="shared" si="6"/>
        <v>0</v>
      </c>
      <c r="L11" s="295"/>
      <c r="M11" s="294">
        <f t="shared" si="4"/>
        <v>175658</v>
      </c>
      <c r="N11" s="155"/>
      <c r="O11" s="304"/>
    </row>
    <row r="12" ht="15" customHeight="1" spans="1:15" x14ac:dyDescent="0.25">
      <c r="A12" s="115">
        <v>9</v>
      </c>
      <c r="B12" s="116">
        <v>46304</v>
      </c>
      <c r="C12" s="153"/>
      <c r="D12" s="153"/>
      <c r="E12" s="155"/>
      <c r="F12" s="155"/>
      <c r="G12" s="155">
        <f t="shared" si="3"/>
        <v>0</v>
      </c>
      <c r="H12" s="296"/>
      <c r="I12" s="296"/>
      <c r="J12" s="155">
        <f t="shared" si="5"/>
        <v>0</v>
      </c>
      <c r="K12" s="155">
        <f t="shared" si="6"/>
        <v>0</v>
      </c>
      <c r="L12" s="295"/>
      <c r="M12" s="294">
        <f t="shared" si="4"/>
        <v>175658</v>
      </c>
      <c r="N12" s="155"/>
      <c r="O12" s="304"/>
    </row>
    <row r="13" ht="15" customHeight="1" spans="1:15" x14ac:dyDescent="0.25">
      <c r="A13" s="115">
        <v>10</v>
      </c>
      <c r="B13" s="116">
        <v>46305</v>
      </c>
      <c r="C13" s="153"/>
      <c r="D13" s="153"/>
      <c r="E13" s="155"/>
      <c r="F13" s="155"/>
      <c r="G13" s="155">
        <f t="shared" si="3"/>
        <v>0</v>
      </c>
      <c r="H13" s="296"/>
      <c r="I13" s="296"/>
      <c r="J13" s="155">
        <f t="shared" si="5"/>
        <v>0</v>
      </c>
      <c r="K13" s="155">
        <f t="shared" si="6"/>
        <v>0</v>
      </c>
      <c r="L13" s="295">
        <v>100000</v>
      </c>
      <c r="M13" s="294">
        <f t="shared" si="4"/>
        <v>75658</v>
      </c>
      <c r="N13" s="155"/>
      <c r="O13" s="304"/>
    </row>
    <row r="14" ht="15" customHeight="1" spans="1:15" x14ac:dyDescent="0.25">
      <c r="A14" s="115">
        <v>11</v>
      </c>
      <c r="B14" s="116">
        <v>46306</v>
      </c>
      <c r="C14" s="153"/>
      <c r="D14" s="153"/>
      <c r="E14" s="155"/>
      <c r="F14" s="155"/>
      <c r="G14" s="155">
        <f t="shared" si="3"/>
        <v>0</v>
      </c>
      <c r="H14" s="296"/>
      <c r="I14" s="296"/>
      <c r="J14" s="155">
        <f t="shared" si="5"/>
        <v>0</v>
      </c>
      <c r="K14" s="155">
        <f t="shared" si="6"/>
        <v>0</v>
      </c>
      <c r="L14" s="295"/>
      <c r="M14" s="294">
        <f t="shared" si="4"/>
        <v>75658</v>
      </c>
      <c r="N14" s="155"/>
      <c r="O14" s="304"/>
    </row>
    <row r="15" ht="15" customHeight="1" spans="1:15" x14ac:dyDescent="0.25">
      <c r="A15" s="115">
        <v>12</v>
      </c>
      <c r="B15" s="116">
        <v>46307</v>
      </c>
      <c r="C15" s="153"/>
      <c r="D15" s="153"/>
      <c r="E15" s="155"/>
      <c r="F15" s="155"/>
      <c r="G15" s="155">
        <f t="shared" si="3"/>
        <v>0</v>
      </c>
      <c r="H15" s="296"/>
      <c r="I15" s="296"/>
      <c r="J15" s="155">
        <f t="shared" si="5"/>
        <v>0</v>
      </c>
      <c r="K15" s="155">
        <f t="shared" si="6"/>
        <v>0</v>
      </c>
      <c r="L15" s="295"/>
      <c r="M15" s="294">
        <f t="shared" si="4"/>
        <v>75658</v>
      </c>
      <c r="N15" s="155"/>
      <c r="O15" s="304"/>
    </row>
    <row r="16" ht="15" customHeight="1" spans="1:15" x14ac:dyDescent="0.25">
      <c r="A16" s="115">
        <v>13</v>
      </c>
      <c r="B16" s="116">
        <v>46308</v>
      </c>
      <c r="C16" s="153"/>
      <c r="D16" s="153"/>
      <c r="E16" s="155"/>
      <c r="F16" s="155"/>
      <c r="G16" s="155">
        <f t="shared" si="3"/>
        <v>0</v>
      </c>
      <c r="H16" s="296"/>
      <c r="I16" s="296"/>
      <c r="J16" s="155">
        <f t="shared" si="5"/>
        <v>0</v>
      </c>
      <c r="K16" s="155">
        <f t="shared" si="6"/>
        <v>0</v>
      </c>
      <c r="L16" s="295"/>
      <c r="M16" s="294">
        <f t="shared" si="4"/>
        <v>75658</v>
      </c>
      <c r="N16" s="155"/>
      <c r="O16" s="304"/>
    </row>
    <row r="17" ht="15" customHeight="1" spans="1:15" x14ac:dyDescent="0.25">
      <c r="A17" s="115">
        <v>14</v>
      </c>
      <c r="B17" s="116">
        <v>46309</v>
      </c>
      <c r="C17" s="153"/>
      <c r="D17" s="153"/>
      <c r="E17" s="155"/>
      <c r="F17" s="155"/>
      <c r="G17" s="155">
        <f t="shared" si="3"/>
        <v>0</v>
      </c>
      <c r="H17" s="296"/>
      <c r="I17" s="296"/>
      <c r="J17" s="155">
        <f t="shared" si="5"/>
        <v>0</v>
      </c>
      <c r="K17" s="155">
        <f t="shared" si="6"/>
        <v>0</v>
      </c>
      <c r="L17" s="295"/>
      <c r="M17" s="294">
        <f t="shared" si="4"/>
        <v>75658</v>
      </c>
      <c r="N17" s="155"/>
      <c r="O17" s="304"/>
    </row>
    <row r="18" ht="15" customHeight="1" spans="1:15" x14ac:dyDescent="0.25">
      <c r="A18" s="115">
        <v>15</v>
      </c>
      <c r="B18" s="116">
        <v>46310</v>
      </c>
      <c r="C18" s="153"/>
      <c r="D18" s="153"/>
      <c r="E18" s="155"/>
      <c r="F18" s="155"/>
      <c r="G18" s="155">
        <f t="shared" si="3"/>
        <v>0</v>
      </c>
      <c r="H18" s="296"/>
      <c r="I18" s="296"/>
      <c r="J18" s="155">
        <f t="shared" si="1"/>
        <v>0</v>
      </c>
      <c r="K18" s="155">
        <f t="shared" si="2"/>
        <v>0</v>
      </c>
      <c r="L18" s="295"/>
      <c r="M18" s="294">
        <f t="shared" si="4"/>
        <v>75658</v>
      </c>
      <c r="N18" s="155"/>
      <c r="O18" s="304"/>
    </row>
    <row r="19" ht="15" customHeight="1" spans="1:15" x14ac:dyDescent="0.25">
      <c r="A19" s="115">
        <v>16</v>
      </c>
      <c r="B19" s="116">
        <v>46311</v>
      </c>
      <c r="C19" s="153"/>
      <c r="D19" s="153"/>
      <c r="E19" s="155"/>
      <c r="F19" s="155"/>
      <c r="G19" s="155">
        <f t="shared" si="0"/>
        <v>0</v>
      </c>
      <c r="H19" s="296"/>
      <c r="I19" s="296"/>
      <c r="J19" s="155">
        <f t="shared" si="1"/>
        <v>0</v>
      </c>
      <c r="K19" s="155">
        <f t="shared" si="2"/>
        <v>0</v>
      </c>
      <c r="L19" s="295"/>
      <c r="M19" s="294">
        <f t="shared" si="4"/>
        <v>75658</v>
      </c>
      <c r="N19" s="155"/>
      <c r="O19" s="304"/>
    </row>
    <row r="20" ht="15" customHeight="1" spans="1:15" x14ac:dyDescent="0.25">
      <c r="A20" s="115">
        <v>17</v>
      </c>
      <c r="B20" s="116">
        <v>46312</v>
      </c>
      <c r="C20" s="153"/>
      <c r="D20" s="153"/>
      <c r="E20" s="155"/>
      <c r="F20" s="155"/>
      <c r="G20" s="155">
        <f t="shared" si="0"/>
        <v>0</v>
      </c>
      <c r="H20" s="296"/>
      <c r="I20" s="296"/>
      <c r="J20" s="155">
        <f t="shared" si="1"/>
        <v>0</v>
      </c>
      <c r="K20" s="155">
        <f t="shared" si="2"/>
        <v>0</v>
      </c>
      <c r="L20" s="295"/>
      <c r="M20" s="294">
        <f t="shared" si="4"/>
        <v>75658</v>
      </c>
      <c r="N20" s="155"/>
      <c r="O20" s="304"/>
    </row>
    <row r="21" ht="15" customHeight="1" spans="1:15" x14ac:dyDescent="0.25">
      <c r="A21" s="115">
        <v>18</v>
      </c>
      <c r="B21" s="116">
        <v>46313</v>
      </c>
      <c r="C21" s="153"/>
      <c r="D21" s="153"/>
      <c r="E21" s="155"/>
      <c r="F21" s="155"/>
      <c r="G21" s="155">
        <f t="shared" si="0"/>
        <v>0</v>
      </c>
      <c r="H21" s="296"/>
      <c r="I21" s="296"/>
      <c r="J21" s="155">
        <f t="shared" si="1"/>
        <v>0</v>
      </c>
      <c r="K21" s="155">
        <f t="shared" si="2"/>
        <v>0</v>
      </c>
      <c r="L21" s="295"/>
      <c r="M21" s="294">
        <f t="shared" si="4"/>
        <v>75658</v>
      </c>
      <c r="N21" s="155"/>
      <c r="O21" s="304"/>
    </row>
    <row r="22" ht="15" customHeight="1" spans="1:15" x14ac:dyDescent="0.25">
      <c r="A22" s="115">
        <v>19</v>
      </c>
      <c r="B22" s="116">
        <v>46314</v>
      </c>
      <c r="C22" s="153"/>
      <c r="D22" s="153"/>
      <c r="E22" s="155"/>
      <c r="F22" s="155"/>
      <c r="G22" s="155"/>
      <c r="H22" s="296">
        <v>0</v>
      </c>
      <c r="I22" s="296">
        <v>0</v>
      </c>
      <c r="J22" s="155">
        <f t="shared" si="1"/>
        <v>0</v>
      </c>
      <c r="K22" s="155">
        <f t="shared" si="2"/>
        <v>0</v>
      </c>
      <c r="L22" s="295"/>
      <c r="M22" s="294">
        <f t="shared" si="4"/>
        <v>75658</v>
      </c>
      <c r="N22" s="155"/>
      <c r="O22" s="304"/>
    </row>
    <row r="23" ht="15" customHeight="1" spans="1:15" x14ac:dyDescent="0.25">
      <c r="A23" s="115">
        <v>20</v>
      </c>
      <c r="B23" s="116">
        <v>46315</v>
      </c>
      <c r="C23" s="153"/>
      <c r="D23" s="153"/>
      <c r="E23" s="155"/>
      <c r="F23" s="155"/>
      <c r="G23" s="155"/>
      <c r="H23" s="296">
        <v>0</v>
      </c>
      <c r="I23" s="296">
        <v>0</v>
      </c>
      <c r="J23" s="155">
        <f t="shared" ref="J23:J32" si="7">H23*I23</f>
        <v>0</v>
      </c>
      <c r="K23" s="155">
        <f t="shared" ref="K23:K32" si="8">G23+J23</f>
        <v>0</v>
      </c>
      <c r="L23" s="295"/>
      <c r="M23" s="294">
        <f t="shared" si="4"/>
        <v>75658</v>
      </c>
      <c r="N23" s="155"/>
      <c r="O23" s="304"/>
    </row>
    <row r="24" ht="15" customHeight="1" spans="1:15" x14ac:dyDescent="0.25">
      <c r="A24" s="115">
        <v>21</v>
      </c>
      <c r="B24" s="116">
        <v>46316</v>
      </c>
      <c r="C24" s="153"/>
      <c r="D24" s="153"/>
      <c r="E24" s="155"/>
      <c r="F24" s="155"/>
      <c r="G24" s="155"/>
      <c r="H24" s="296"/>
      <c r="I24" s="296"/>
      <c r="J24" s="155">
        <f t="shared" si="7"/>
        <v>0</v>
      </c>
      <c r="K24" s="155">
        <f t="shared" si="8"/>
        <v>0</v>
      </c>
      <c r="L24" s="295"/>
      <c r="M24" s="294">
        <f t="shared" si="4"/>
        <v>75658</v>
      </c>
      <c r="N24" s="155"/>
      <c r="O24" s="304"/>
    </row>
    <row r="25" ht="15" customHeight="1" spans="1:15" x14ac:dyDescent="0.25">
      <c r="A25" s="115">
        <v>22</v>
      </c>
      <c r="B25" s="116">
        <v>46317</v>
      </c>
      <c r="C25" s="153"/>
      <c r="D25" s="153"/>
      <c r="E25" s="155"/>
      <c r="F25" s="155"/>
      <c r="G25" s="155"/>
      <c r="H25" s="296"/>
      <c r="I25" s="296"/>
      <c r="J25" s="155">
        <f t="shared" si="7"/>
        <v>0</v>
      </c>
      <c r="K25" s="155">
        <f t="shared" si="8"/>
        <v>0</v>
      </c>
      <c r="L25" s="295"/>
      <c r="M25" s="294">
        <f t="shared" si="4"/>
        <v>75658</v>
      </c>
      <c r="N25" s="155"/>
      <c r="O25" s="304"/>
    </row>
    <row r="26" ht="15" customHeight="1" spans="1:15" x14ac:dyDescent="0.25">
      <c r="A26" s="115">
        <v>23</v>
      </c>
      <c r="B26" s="116">
        <v>46318</v>
      </c>
      <c r="C26" s="153"/>
      <c r="D26" s="153"/>
      <c r="E26" s="155"/>
      <c r="F26" s="155"/>
      <c r="G26" s="155"/>
      <c r="H26" s="296"/>
      <c r="I26" s="296"/>
      <c r="J26" s="155">
        <f t="shared" si="7"/>
        <v>0</v>
      </c>
      <c r="K26" s="155">
        <f t="shared" si="8"/>
        <v>0</v>
      </c>
      <c r="L26" s="295"/>
      <c r="M26" s="294">
        <f t="shared" si="4"/>
        <v>75658</v>
      </c>
      <c r="N26" s="155"/>
      <c r="O26" s="304"/>
    </row>
    <row r="27" ht="15" customHeight="1" spans="1:15" x14ac:dyDescent="0.25">
      <c r="A27" s="115">
        <v>24</v>
      </c>
      <c r="B27" s="116">
        <v>46319</v>
      </c>
      <c r="C27" s="153"/>
      <c r="D27" s="153"/>
      <c r="E27" s="155"/>
      <c r="F27" s="155"/>
      <c r="G27" s="155"/>
      <c r="H27" s="296"/>
      <c r="I27" s="296"/>
      <c r="J27" s="155">
        <f t="shared" si="7"/>
        <v>0</v>
      </c>
      <c r="K27" s="155">
        <f t="shared" si="8"/>
        <v>0</v>
      </c>
      <c r="L27" s="295"/>
      <c r="M27" s="294">
        <f t="shared" si="4"/>
        <v>75658</v>
      </c>
      <c r="N27" s="155"/>
      <c r="O27" s="304"/>
    </row>
    <row r="28" ht="15" customHeight="1" spans="1:15" x14ac:dyDescent="0.25">
      <c r="A28" s="115">
        <v>25</v>
      </c>
      <c r="B28" s="116">
        <v>46320</v>
      </c>
      <c r="C28" s="153"/>
      <c r="D28" s="153"/>
      <c r="E28" s="155"/>
      <c r="F28" s="155"/>
      <c r="G28" s="155"/>
      <c r="H28" s="296"/>
      <c r="I28" s="296"/>
      <c r="J28" s="155">
        <f t="shared" si="7"/>
        <v>0</v>
      </c>
      <c r="K28" s="155">
        <f t="shared" si="8"/>
        <v>0</v>
      </c>
      <c r="L28" s="295"/>
      <c r="M28" s="294">
        <f>M27+K28-L28</f>
        <v>75658</v>
      </c>
      <c r="N28" s="155"/>
      <c r="O28" s="304"/>
    </row>
    <row r="29" ht="15" customHeight="1" spans="1:15" x14ac:dyDescent="0.25">
      <c r="A29" s="115">
        <v>26</v>
      </c>
      <c r="B29" s="116">
        <v>46321</v>
      </c>
      <c r="C29" s="153"/>
      <c r="D29" s="153"/>
      <c r="E29" s="155"/>
      <c r="F29" s="155"/>
      <c r="G29" s="155"/>
      <c r="H29" s="296"/>
      <c r="I29" s="296"/>
      <c r="J29" s="155">
        <f t="shared" si="7"/>
        <v>0</v>
      </c>
      <c r="K29" s="155">
        <f t="shared" si="8"/>
        <v>0</v>
      </c>
      <c r="L29" s="295"/>
      <c r="M29" s="294">
        <f t="shared" si="4"/>
        <v>75658</v>
      </c>
      <c r="N29" s="155"/>
      <c r="O29" s="304"/>
    </row>
    <row r="30" ht="15" customHeight="1" spans="1:15" x14ac:dyDescent="0.25">
      <c r="A30" s="115">
        <v>27</v>
      </c>
      <c r="B30" s="116">
        <v>46322</v>
      </c>
      <c r="C30" s="153"/>
      <c r="D30" s="153"/>
      <c r="E30" s="155"/>
      <c r="F30" s="155"/>
      <c r="G30" s="155"/>
      <c r="H30" s="296"/>
      <c r="I30" s="296"/>
      <c r="J30" s="155">
        <f t="shared" si="7"/>
        <v>0</v>
      </c>
      <c r="K30" s="155">
        <f t="shared" si="8"/>
        <v>0</v>
      </c>
      <c r="L30" s="295"/>
      <c r="M30" s="294">
        <f t="shared" si="4"/>
        <v>75658</v>
      </c>
      <c r="N30" s="155"/>
      <c r="O30" s="304"/>
    </row>
    <row r="31" ht="15" customHeight="1" spans="1:15" x14ac:dyDescent="0.25">
      <c r="A31" s="115">
        <v>28</v>
      </c>
      <c r="B31" s="116">
        <v>46323</v>
      </c>
      <c r="C31" s="153"/>
      <c r="D31" s="153"/>
      <c r="E31" s="155"/>
      <c r="F31" s="155"/>
      <c r="G31" s="155"/>
      <c r="H31" s="296"/>
      <c r="I31" s="296"/>
      <c r="J31" s="155">
        <f t="shared" si="7"/>
        <v>0</v>
      </c>
      <c r="K31" s="155">
        <f t="shared" si="8"/>
        <v>0</v>
      </c>
      <c r="L31" s="295"/>
      <c r="M31" s="294">
        <f t="shared" si="4"/>
        <v>75658</v>
      </c>
      <c r="N31" s="155"/>
      <c r="O31" s="304"/>
    </row>
    <row r="32" ht="15" customHeight="1" spans="1:15" x14ac:dyDescent="0.25">
      <c r="A32" s="115">
        <v>29</v>
      </c>
      <c r="B32" s="116">
        <v>46324</v>
      </c>
      <c r="C32" s="153"/>
      <c r="D32" s="153"/>
      <c r="E32" s="155"/>
      <c r="F32" s="155"/>
      <c r="G32" s="155">
        <f t="shared" ref="G32" si="9">E32*F32</f>
        <v>0</v>
      </c>
      <c r="H32" s="296">
        <v>0</v>
      </c>
      <c r="I32" s="296">
        <v>0</v>
      </c>
      <c r="J32" s="155">
        <f t="shared" si="7"/>
        <v>0</v>
      </c>
      <c r="K32" s="155">
        <f t="shared" si="8"/>
        <v>0</v>
      </c>
      <c r="L32" s="295"/>
      <c r="M32" s="294">
        <f t="shared" si="4"/>
        <v>75658</v>
      </c>
      <c r="N32" s="297"/>
      <c r="O32" s="304"/>
    </row>
    <row r="33" ht="15" customHeight="1" spans="1:15" x14ac:dyDescent="0.25">
      <c r="A33" s="115">
        <v>30</v>
      </c>
      <c r="B33" s="116">
        <v>46325</v>
      </c>
      <c r="C33" s="153"/>
      <c r="D33" s="153"/>
      <c r="E33" s="155"/>
      <c r="F33" s="155">
        <v>0</v>
      </c>
      <c r="G33" s="155">
        <f t="shared" si="0"/>
        <v>0</v>
      </c>
      <c r="H33" s="296">
        <v>0</v>
      </c>
      <c r="I33" s="296">
        <v>0</v>
      </c>
      <c r="J33" s="155">
        <f t="shared" si="1"/>
        <v>0</v>
      </c>
      <c r="K33" s="155">
        <f t="shared" si="2"/>
        <v>0</v>
      </c>
      <c r="L33" s="295"/>
      <c r="M33" s="294">
        <f t="shared" si="4"/>
        <v>75658</v>
      </c>
      <c r="N33" s="297"/>
      <c r="O33" s="304"/>
    </row>
    <row r="34" ht="15" customHeight="1" spans="1:15" x14ac:dyDescent="0.25">
      <c r="A34" s="115">
        <v>31</v>
      </c>
      <c r="B34" s="116">
        <v>46326</v>
      </c>
      <c r="C34" s="153"/>
      <c r="D34" s="153"/>
      <c r="E34" s="155"/>
      <c r="F34" s="155">
        <v>0</v>
      </c>
      <c r="G34" s="155">
        <f t="shared" ref="G34" si="10">E34*F34</f>
        <v>0</v>
      </c>
      <c r="H34" s="296"/>
      <c r="I34" s="296"/>
      <c r="J34" s="155">
        <f t="shared" ref="J34" si="11">H34*I34</f>
        <v>0</v>
      </c>
      <c r="K34" s="155">
        <f t="shared" ref="K34" si="12">G34+J34</f>
        <v>0</v>
      </c>
      <c r="L34" s="295"/>
      <c r="M34" s="297"/>
      <c r="N34" s="297"/>
      <c r="O34" s="304"/>
    </row>
    <row r="35" spans="1:15" x14ac:dyDescent="0.25">
      <c r="A35" s="121"/>
      <c r="B35" s="121"/>
      <c r="C35" s="298"/>
      <c r="D35" s="298"/>
      <c r="E35" s="299">
        <f>SUM(E4:E34)</f>
        <v>0</v>
      </c>
      <c r="F35" s="299"/>
      <c r="G35" s="299">
        <f>SUM(G4:G34)</f>
        <v>0</v>
      </c>
      <c r="H35" s="299">
        <f>SUM(H4:H34)</f>
        <v>0</v>
      </c>
      <c r="I35" s="299"/>
      <c r="J35" s="299">
        <f>SUM(J4:J34)</f>
        <v>0</v>
      </c>
      <c r="K35" s="299">
        <f>SUM(K4:K34)</f>
        <v>0</v>
      </c>
      <c r="L35" s="299">
        <f>SUM(L4:L31)</f>
        <v>100000</v>
      </c>
      <c r="M35" s="299"/>
      <c r="N35" s="299"/>
      <c r="O35" s="303"/>
    </row>
    <row r="36" spans="1:15" x14ac:dyDescent="0.25">
      <c r="A36" s="305"/>
      <c r="B36" s="305"/>
      <c r="C36" s="305"/>
      <c r="D36" s="305"/>
      <c r="E36" s="306"/>
      <c r="F36" s="306"/>
      <c r="G36" s="306"/>
      <c r="H36" s="306"/>
      <c r="I36" s="306"/>
      <c r="J36" s="306"/>
      <c r="K36" s="306"/>
      <c r="L36" s="306"/>
      <c r="M36" s="306"/>
      <c r="N36" s="306"/>
      <c r="O36" s="304"/>
    </row>
    <row r="37" spans="1:15" x14ac:dyDescent="0.25">
      <c r="A37" s="304"/>
      <c r="B37" s="304"/>
      <c r="C37" s="304"/>
      <c r="D37" s="304"/>
      <c r="E37" s="304"/>
      <c r="F37" s="304"/>
      <c r="G37" s="306"/>
      <c r="H37" s="304"/>
      <c r="I37" s="304"/>
      <c r="J37" s="304"/>
      <c r="K37" s="304"/>
      <c r="L37" s="304"/>
      <c r="M37" s="304"/>
      <c r="N37" s="304"/>
      <c r="O37" s="306"/>
    </row>
    <row r="38" spans="1:15" x14ac:dyDescent="0.25">
      <c r="A38" s="304"/>
      <c r="B38" s="304"/>
      <c r="C38" s="304"/>
      <c r="D38" s="304"/>
      <c r="E38" s="304"/>
      <c r="F38" s="304"/>
      <c r="G38" s="304"/>
      <c r="H38" s="304"/>
      <c r="I38" s="304"/>
      <c r="J38" s="304"/>
      <c r="K38" s="304"/>
      <c r="L38" s="304"/>
      <c r="M38" s="304"/>
      <c r="N38" s="304"/>
      <c r="O38" s="306"/>
    </row>
    <row r="39" spans="1:15" x14ac:dyDescent="0.25">
      <c r="A39" s="304"/>
      <c r="B39" s="304"/>
      <c r="C39" s="304"/>
      <c r="D39" s="304"/>
      <c r="E39" s="304"/>
      <c r="F39" s="304"/>
      <c r="G39" s="304"/>
      <c r="H39" s="304"/>
      <c r="I39" s="304"/>
      <c r="J39" s="304"/>
      <c r="K39" s="304"/>
      <c r="L39" s="304"/>
      <c r="M39" s="304"/>
      <c r="N39" s="304"/>
      <c r="O39" s="306"/>
    </row>
  </sheetData>
  <mergeCells count="4">
    <mergeCell ref="A1:N1"/>
    <mergeCell ref="A3:J3"/>
    <mergeCell ref="B38:E38"/>
    <mergeCell ref="I38:N3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P36"/>
  <sheetViews>
    <sheetView workbookViewId="0" zoomScale="100" zoomScaleNormal="100">
      <pane ySplit="3" topLeftCell="A9" activePane="bottomLeft" state="frozen"/>
      <selection pane="bottomLeft" activeCell="M17" sqref="M17"/>
    </sheetView>
  </sheetViews>
  <sheetFormatPr defaultRowHeight="15" outlineLevelRow="0" outlineLevelCol="0" x14ac:dyDescent="0"/>
  <cols>
    <col min="1" max="1" width="5.28515625" style="405" customWidth="1"/>
    <col min="2" max="2" width="16" style="405" customWidth="1"/>
    <col min="3" max="3" width="8.140625" style="405" customWidth="1"/>
    <col min="4" max="4" width="13.7109375" style="405" customWidth="1"/>
    <col min="5" max="5" width="10.85546875" style="405" customWidth="1"/>
    <col min="6" max="6" width="12.28515625" style="405" customWidth="1"/>
    <col min="7" max="7" width="14.42578125" style="405" customWidth="1"/>
    <col min="8" max="8" width="10.85546875" style="405" customWidth="1"/>
    <col min="9" max="9" width="14.7109375" style="405" customWidth="1"/>
    <col min="10" max="10" width="10.85546875" style="405" customWidth="1"/>
    <col min="11" max="11" width="13.5703125" style="405" customWidth="1"/>
    <col min="12" max="12" width="12.7109375" style="405" customWidth="1"/>
    <col min="13" max="13" width="14.42578125" style="405" customWidth="1"/>
    <col min="14" max="14" width="17.28515625" style="405" customWidth="1"/>
    <col min="15" max="16" width="9.140625" style="405" customWidth="1"/>
    <col min="17" max="17" width="13.5703125" style="405" customWidth="1"/>
    <col min="18" max="16384" width="9.140625" style="405" customWidth="1"/>
  </cols>
  <sheetData>
    <row r="1" ht="15.75" customHeight="1" spans="1:14" x14ac:dyDescent="0.25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</row>
    <row r="2" spans="1:14" x14ac:dyDescent="0.25">
      <c r="A2" s="173" t="s">
        <v>0</v>
      </c>
      <c r="B2" s="174" t="s">
        <v>167</v>
      </c>
      <c r="C2" s="174" t="s">
        <v>168</v>
      </c>
      <c r="D2" s="174" t="s">
        <v>189</v>
      </c>
      <c r="E2" s="174" t="s">
        <v>170</v>
      </c>
      <c r="F2" s="174" t="s">
        <v>171</v>
      </c>
      <c r="G2" s="174" t="s">
        <v>172</v>
      </c>
      <c r="H2" s="174" t="s">
        <v>173</v>
      </c>
      <c r="I2" s="174" t="s">
        <v>171</v>
      </c>
      <c r="J2" s="176" t="s">
        <v>172</v>
      </c>
      <c r="K2" s="177" t="s">
        <v>174</v>
      </c>
      <c r="L2" s="178" t="s">
        <v>175</v>
      </c>
      <c r="M2" s="179" t="s">
        <v>190</v>
      </c>
      <c r="N2" s="180" t="s">
        <v>177</v>
      </c>
    </row>
    <row r="3" spans="1:14" x14ac:dyDescent="0.25">
      <c r="A3" s="500"/>
      <c r="C3" s="148" t="s">
        <v>178</v>
      </c>
      <c r="D3" s="150"/>
      <c r="E3" s="182"/>
      <c r="F3" s="182"/>
      <c r="G3" s="182"/>
      <c r="H3" s="182"/>
      <c r="I3" s="182"/>
      <c r="J3" s="536"/>
      <c r="K3" s="537">
        <v>124570.70960000006</v>
      </c>
      <c r="L3" s="538"/>
      <c r="M3" s="537">
        <v>124570.70960000006</v>
      </c>
      <c r="N3" s="182"/>
    </row>
    <row r="4" spans="1:14" x14ac:dyDescent="0.25">
      <c r="A4" s="183">
        <v>1</v>
      </c>
      <c r="B4" s="184">
        <v>46296</v>
      </c>
      <c r="C4" s="185"/>
      <c r="D4" s="186"/>
      <c r="E4" s="167">
        <v>70</v>
      </c>
      <c r="F4" s="61">
        <v>99.12</v>
      </c>
      <c r="G4" s="166">
        <f>E4*F4</f>
        <v>6938.400000000001</v>
      </c>
      <c r="H4" s="167"/>
      <c r="I4" s="61"/>
      <c r="J4" s="166">
        <f>H4*I4</f>
        <v>0</v>
      </c>
      <c r="K4" s="166">
        <f>G4+J4</f>
        <v>6938.400000000001</v>
      </c>
      <c r="L4" s="188"/>
      <c r="M4" s="188">
        <f>M3+K4-L4</f>
        <v>131509.10960000005</v>
      </c>
      <c r="N4" s="186"/>
    </row>
    <row r="5" spans="1:14" x14ac:dyDescent="0.25">
      <c r="A5" s="189">
        <v>2</v>
      </c>
      <c r="B5" s="184">
        <v>46297</v>
      </c>
      <c r="C5" s="185"/>
      <c r="D5" s="475"/>
      <c r="E5" s="167"/>
      <c r="F5" s="61"/>
      <c r="G5" s="166">
        <f t="shared" ref="G5:G34" si="0">E5*F5</f>
        <v>0</v>
      </c>
      <c r="H5" s="167">
        <v>10</v>
      </c>
      <c r="I5" s="61">
        <v>111.19</v>
      </c>
      <c r="J5" s="166">
        <f t="shared" ref="J5:J34" si="1">H5*I5</f>
        <v>1111.9</v>
      </c>
      <c r="K5" s="166">
        <f t="shared" ref="K5:K34" si="2">G5+J5</f>
        <v>1111.9</v>
      </c>
      <c r="L5" s="188"/>
      <c r="M5" s="188">
        <f t="shared" ref="M5:M19" si="3">M4+K5-L5</f>
        <v>132621.00960000005</v>
      </c>
      <c r="N5" s="186"/>
    </row>
    <row r="6" spans="1:14" x14ac:dyDescent="0.25">
      <c r="A6" s="189">
        <v>3</v>
      </c>
      <c r="B6" s="184">
        <v>46298</v>
      </c>
      <c r="C6" s="185"/>
      <c r="D6" s="475"/>
      <c r="E6" s="167"/>
      <c r="F6" s="61"/>
      <c r="G6" s="166">
        <f t="shared" si="0"/>
        <v>0</v>
      </c>
      <c r="H6" s="167">
        <v>7.82</v>
      </c>
      <c r="I6" s="61">
        <v>111.19</v>
      </c>
      <c r="J6" s="166">
        <f t="shared" si="1"/>
        <v>869.5058</v>
      </c>
      <c r="K6" s="166">
        <f t="shared" si="2"/>
        <v>869.5058</v>
      </c>
      <c r="L6" s="188"/>
      <c r="M6" s="188">
        <f t="shared" si="3"/>
        <v>133490.51540000006</v>
      </c>
      <c r="N6" s="186"/>
    </row>
    <row r="7" spans="1:14" x14ac:dyDescent="0.25">
      <c r="A7" s="189">
        <v>4</v>
      </c>
      <c r="B7" s="184">
        <v>46299</v>
      </c>
      <c r="C7" s="185"/>
      <c r="D7" s="475"/>
      <c r="E7" s="167"/>
      <c r="F7" s="61"/>
      <c r="G7" s="166">
        <f t="shared" si="0"/>
        <v>0</v>
      </c>
      <c r="H7" s="167"/>
      <c r="I7" s="61"/>
      <c r="J7" s="166">
        <f t="shared" si="1"/>
        <v>0</v>
      </c>
      <c r="K7" s="166">
        <f t="shared" si="2"/>
        <v>0</v>
      </c>
      <c r="L7" s="188"/>
      <c r="M7" s="188">
        <f t="shared" si="3"/>
        <v>133490.51540000006</v>
      </c>
      <c r="N7" s="186"/>
    </row>
    <row r="8" spans="1:14" x14ac:dyDescent="0.25">
      <c r="A8" s="189">
        <v>5</v>
      </c>
      <c r="B8" s="184">
        <v>46300</v>
      </c>
      <c r="C8" s="185"/>
      <c r="D8" s="475"/>
      <c r="E8" s="167">
        <v>132.33</v>
      </c>
      <c r="F8" s="61">
        <v>99.12</v>
      </c>
      <c r="G8" s="166">
        <f t="shared" si="0"/>
        <v>13116.549600000002</v>
      </c>
      <c r="H8" s="167">
        <v>2</v>
      </c>
      <c r="I8" s="529">
        <v>111.19</v>
      </c>
      <c r="J8" s="166">
        <f t="shared" si="1"/>
        <v>222.38</v>
      </c>
      <c r="K8" s="166">
        <f t="shared" si="2"/>
        <v>13338.929600000001</v>
      </c>
      <c r="L8" s="188"/>
      <c r="M8" s="188">
        <f t="shared" si="3"/>
        <v>146829.44500000007</v>
      </c>
      <c r="N8" s="186"/>
    </row>
    <row r="9" spans="1:14" x14ac:dyDescent="0.25">
      <c r="A9" s="189">
        <v>6</v>
      </c>
      <c r="B9" s="184">
        <v>46301</v>
      </c>
      <c r="C9" s="185"/>
      <c r="D9" s="475"/>
      <c r="E9" s="167">
        <v>55.94</v>
      </c>
      <c r="F9" s="61">
        <v>99.12</v>
      </c>
      <c r="G9" s="166">
        <f t="shared" si="0"/>
        <v>5544.7728</v>
      </c>
      <c r="H9" s="167"/>
      <c r="I9" s="529"/>
      <c r="J9" s="166">
        <f t="shared" si="1"/>
        <v>0</v>
      </c>
      <c r="K9" s="166">
        <f t="shared" si="2"/>
        <v>5544.7728</v>
      </c>
      <c r="L9" s="188"/>
      <c r="M9" s="188">
        <f t="shared" si="3"/>
        <v>152374.21780000007</v>
      </c>
      <c r="N9" s="186"/>
    </row>
    <row r="10" spans="1:14" x14ac:dyDescent="0.25">
      <c r="A10" s="189">
        <v>7</v>
      </c>
      <c r="B10" s="184">
        <v>46302</v>
      </c>
      <c r="C10" s="185"/>
      <c r="D10" s="475"/>
      <c r="E10" s="167"/>
      <c r="F10" s="61"/>
      <c r="G10" s="166">
        <f t="shared" si="0"/>
        <v>0</v>
      </c>
      <c r="H10" s="167">
        <v>10</v>
      </c>
      <c r="I10" s="61">
        <v>111.19</v>
      </c>
      <c r="J10" s="166">
        <f t="shared" si="1"/>
        <v>1111.9</v>
      </c>
      <c r="K10" s="166">
        <f t="shared" ref="K10:K11" si="4">G10+J10</f>
        <v>1111.9</v>
      </c>
      <c r="L10" s="188"/>
      <c r="M10" s="188">
        <f t="shared" si="3"/>
        <v>153486.11780000007</v>
      </c>
      <c r="N10" s="186"/>
    </row>
    <row r="11" spans="1:14" x14ac:dyDescent="0.25">
      <c r="A11" s="189">
        <v>8</v>
      </c>
      <c r="B11" s="184">
        <v>46303</v>
      </c>
      <c r="C11" s="185"/>
      <c r="D11" s="475"/>
      <c r="E11" s="167">
        <v>20</v>
      </c>
      <c r="F11" s="61">
        <v>99.12</v>
      </c>
      <c r="G11" s="166">
        <f t="shared" ref="G11" si="5">E11*F11</f>
        <v>1982.4</v>
      </c>
      <c r="H11" s="167">
        <v>3</v>
      </c>
      <c r="I11" s="61">
        <v>111.19</v>
      </c>
      <c r="J11" s="166">
        <f t="shared" si="1"/>
        <v>333.57</v>
      </c>
      <c r="K11" s="166">
        <f t="shared" si="4"/>
        <v>2315.9700000000003</v>
      </c>
      <c r="L11" s="188"/>
      <c r="M11" s="188">
        <f t="shared" si="3"/>
        <v>155802.08780000007</v>
      </c>
      <c r="N11" s="186"/>
    </row>
    <row r="12" spans="1:14" x14ac:dyDescent="0.25">
      <c r="A12" s="189">
        <v>9</v>
      </c>
      <c r="B12" s="184">
        <v>46304</v>
      </c>
      <c r="C12" s="185"/>
      <c r="D12" s="475"/>
      <c r="E12" s="167"/>
      <c r="F12" s="61"/>
      <c r="G12" s="166">
        <f t="shared" si="0"/>
        <v>0</v>
      </c>
      <c r="H12" s="167"/>
      <c r="I12" s="61"/>
      <c r="J12" s="166">
        <f t="shared" si="1"/>
        <v>0</v>
      </c>
      <c r="K12" s="166">
        <f t="shared" si="2"/>
        <v>0</v>
      </c>
      <c r="L12" s="188"/>
      <c r="M12" s="188">
        <f t="shared" si="3"/>
        <v>155802.08780000007</v>
      </c>
      <c r="N12" s="186"/>
    </row>
    <row r="13" spans="1:14" x14ac:dyDescent="0.25">
      <c r="A13" s="189">
        <v>10</v>
      </c>
      <c r="B13" s="184">
        <v>46305</v>
      </c>
      <c r="C13" s="185"/>
      <c r="D13" s="539"/>
      <c r="E13" s="167">
        <v>35.37</v>
      </c>
      <c r="F13" s="61">
        <v>99.12</v>
      </c>
      <c r="G13" s="166">
        <f t="shared" si="0"/>
        <v>3505.8743999999997</v>
      </c>
      <c r="H13" s="167">
        <v>10</v>
      </c>
      <c r="I13" s="61">
        <v>111.19</v>
      </c>
      <c r="J13" s="166">
        <f t="shared" si="1"/>
        <v>1111.9</v>
      </c>
      <c r="K13" s="166">
        <f t="shared" si="2"/>
        <v>4617.7744</v>
      </c>
      <c r="L13" s="188"/>
      <c r="M13" s="188">
        <f>M12+K13-L13</f>
        <v>160419.86220000006</v>
      </c>
      <c r="N13" s="186"/>
    </row>
    <row r="14" spans="1:14" x14ac:dyDescent="0.25">
      <c r="A14" s="189">
        <v>11</v>
      </c>
      <c r="B14" s="184">
        <v>46306</v>
      </c>
      <c r="C14" s="185"/>
      <c r="D14" s="185"/>
      <c r="E14" s="528">
        <v>41.78</v>
      </c>
      <c r="F14" s="529">
        <v>102.12</v>
      </c>
      <c r="G14" s="166">
        <f t="shared" si="0"/>
        <v>4266.573600000001</v>
      </c>
      <c r="H14" s="167"/>
      <c r="I14" s="61"/>
      <c r="J14" s="166">
        <f t="shared" si="1"/>
        <v>0</v>
      </c>
      <c r="K14" s="166">
        <f t="shared" si="2"/>
        <v>4266.573600000001</v>
      </c>
      <c r="L14" s="188"/>
      <c r="M14" s="188">
        <f t="shared" si="3"/>
        <v>164686.43580000006</v>
      </c>
      <c r="N14" s="186"/>
    </row>
    <row r="15" spans="1:14" x14ac:dyDescent="0.25">
      <c r="A15" s="189">
        <v>12</v>
      </c>
      <c r="B15" s="184">
        <v>46307</v>
      </c>
      <c r="C15" s="185"/>
      <c r="D15" s="185"/>
      <c r="E15" s="528"/>
      <c r="F15" s="529"/>
      <c r="G15" s="166">
        <f t="shared" si="0"/>
        <v>0</v>
      </c>
      <c r="H15" s="167"/>
      <c r="I15" s="61"/>
      <c r="J15" s="166">
        <f t="shared" si="1"/>
        <v>0</v>
      </c>
      <c r="K15" s="166">
        <f t="shared" si="2"/>
        <v>0</v>
      </c>
      <c r="L15" s="188"/>
      <c r="M15" s="188">
        <f>M14+K15-L15</f>
        <v>164686.43580000006</v>
      </c>
      <c r="N15" s="186"/>
    </row>
    <row r="16" spans="1:14" x14ac:dyDescent="0.25">
      <c r="A16" s="189">
        <v>13</v>
      </c>
      <c r="B16" s="184">
        <v>46308</v>
      </c>
      <c r="C16" s="185"/>
      <c r="D16" s="185"/>
      <c r="E16" s="167"/>
      <c r="F16" s="61"/>
      <c r="G16" s="166">
        <f t="shared" si="0"/>
        <v>0</v>
      </c>
      <c r="H16" s="167">
        <v>8.15</v>
      </c>
      <c r="I16" s="61">
        <v>116.19</v>
      </c>
      <c r="J16" s="166">
        <f t="shared" si="1"/>
        <v>946.9485</v>
      </c>
      <c r="K16" s="166">
        <f t="shared" si="2"/>
        <v>946.9485</v>
      </c>
      <c r="L16" s="188"/>
      <c r="M16" s="188">
        <f t="shared" si="3"/>
        <v>165633.38430000006</v>
      </c>
      <c r="N16" s="186"/>
    </row>
    <row r="17" spans="1:14" x14ac:dyDescent="0.25">
      <c r="A17" s="189">
        <v>14</v>
      </c>
      <c r="B17" s="184">
        <v>46309</v>
      </c>
      <c r="C17" s="185"/>
      <c r="D17" s="185"/>
      <c r="E17" s="167"/>
      <c r="F17" s="61"/>
      <c r="G17" s="166">
        <f t="shared" si="0"/>
        <v>0</v>
      </c>
      <c r="H17" s="528"/>
      <c r="I17" s="61"/>
      <c r="J17" s="166">
        <f t="shared" si="1"/>
        <v>0</v>
      </c>
      <c r="K17" s="166">
        <f t="shared" si="2"/>
        <v>0</v>
      </c>
      <c r="L17" s="188"/>
      <c r="M17" s="188">
        <f t="shared" si="3"/>
        <v>165633.38430000006</v>
      </c>
      <c r="N17" s="186"/>
    </row>
    <row r="18" spans="1:14" x14ac:dyDescent="0.25">
      <c r="A18" s="189">
        <v>15</v>
      </c>
      <c r="B18" s="184">
        <v>46310</v>
      </c>
      <c r="C18" s="185"/>
      <c r="D18" s="185"/>
      <c r="E18" s="167">
        <v>50.44</v>
      </c>
      <c r="F18" s="61">
        <v>99.12</v>
      </c>
      <c r="G18" s="166">
        <f t="shared" si="0"/>
        <v>4999.6128</v>
      </c>
      <c r="H18" s="167"/>
      <c r="I18" s="61"/>
      <c r="J18" s="166">
        <f t="shared" si="1"/>
        <v>0</v>
      </c>
      <c r="K18" s="166">
        <f t="shared" si="2"/>
        <v>4999.6128</v>
      </c>
      <c r="L18" s="188"/>
      <c r="M18" s="188">
        <f t="shared" si="3"/>
        <v>170632.99710000007</v>
      </c>
      <c r="N18" s="186"/>
    </row>
    <row r="19" spans="1:14" x14ac:dyDescent="0.25">
      <c r="A19" s="189">
        <v>16</v>
      </c>
      <c r="B19" s="184">
        <v>46311</v>
      </c>
      <c r="C19" s="185"/>
      <c r="D19" s="185"/>
      <c r="E19" s="167"/>
      <c r="F19" s="61"/>
      <c r="G19" s="166">
        <f t="shared" si="0"/>
        <v>0</v>
      </c>
      <c r="H19" s="167"/>
      <c r="I19" s="61"/>
      <c r="J19" s="166">
        <f t="shared" si="1"/>
        <v>0</v>
      </c>
      <c r="K19" s="166">
        <f t="shared" si="2"/>
        <v>0</v>
      </c>
      <c r="L19" s="188"/>
      <c r="M19" s="188">
        <f t="shared" si="3"/>
        <v>170632.99710000007</v>
      </c>
      <c r="N19" s="186"/>
    </row>
    <row r="20" spans="1:14" x14ac:dyDescent="0.25">
      <c r="A20" s="189">
        <v>17</v>
      </c>
      <c r="B20" s="184">
        <v>46312</v>
      </c>
      <c r="C20" s="185"/>
      <c r="D20" s="185"/>
      <c r="E20" s="167"/>
      <c r="F20" s="61"/>
      <c r="G20" s="166">
        <f t="shared" si="0"/>
        <v>0</v>
      </c>
      <c r="H20" s="167"/>
      <c r="I20" s="61"/>
      <c r="J20" s="166">
        <f t="shared" si="1"/>
        <v>0</v>
      </c>
      <c r="K20" s="166">
        <f t="shared" si="2"/>
        <v>0</v>
      </c>
      <c r="L20" s="188"/>
      <c r="M20" s="188">
        <f t="shared" ref="M20:M34" si="6">M19+K20-L20</f>
        <v>170632.99710000007</v>
      </c>
      <c r="N20" s="186"/>
    </row>
    <row r="21" spans="1:14" x14ac:dyDescent="0.25">
      <c r="A21" s="189">
        <v>18</v>
      </c>
      <c r="B21" s="184">
        <v>46313</v>
      </c>
      <c r="C21" s="185"/>
      <c r="D21" s="185"/>
      <c r="E21" s="167"/>
      <c r="F21" s="61"/>
      <c r="G21" s="166">
        <f t="shared" si="0"/>
        <v>0</v>
      </c>
      <c r="H21" s="167"/>
      <c r="I21" s="61"/>
      <c r="J21" s="166">
        <f t="shared" si="1"/>
        <v>0</v>
      </c>
      <c r="K21" s="166">
        <f t="shared" si="2"/>
        <v>0</v>
      </c>
      <c r="L21" s="188"/>
      <c r="M21" s="188">
        <f t="shared" si="6"/>
        <v>170632.99710000007</v>
      </c>
      <c r="N21" s="186"/>
    </row>
    <row r="22" spans="1:14" x14ac:dyDescent="0.25">
      <c r="A22" s="189">
        <v>19</v>
      </c>
      <c r="B22" s="184">
        <v>46314</v>
      </c>
      <c r="C22" s="185"/>
      <c r="D22" s="185"/>
      <c r="E22" s="167"/>
      <c r="F22" s="61"/>
      <c r="G22" s="166">
        <f t="shared" si="0"/>
        <v>0</v>
      </c>
      <c r="H22" s="167"/>
      <c r="I22" s="61"/>
      <c r="J22" s="166">
        <f t="shared" si="1"/>
        <v>0</v>
      </c>
      <c r="K22" s="166">
        <f t="shared" ref="K22" si="7">G22+J22</f>
        <v>0</v>
      </c>
      <c r="L22" s="188"/>
      <c r="M22" s="188">
        <f t="shared" si="6"/>
        <v>170632.99710000007</v>
      </c>
      <c r="N22" s="186"/>
    </row>
    <row r="23" spans="1:14" x14ac:dyDescent="0.25">
      <c r="A23" s="189">
        <v>20</v>
      </c>
      <c r="B23" s="184">
        <v>46315</v>
      </c>
      <c r="C23" s="185"/>
      <c r="D23" s="185"/>
      <c r="E23" s="167"/>
      <c r="F23" s="61"/>
      <c r="G23" s="166">
        <f t="shared" si="0"/>
        <v>0</v>
      </c>
      <c r="H23" s="167"/>
      <c r="I23" s="61"/>
      <c r="J23" s="166">
        <f t="shared" si="1"/>
        <v>0</v>
      </c>
      <c r="K23" s="166">
        <f t="shared" si="2"/>
        <v>0</v>
      </c>
      <c r="L23" s="188"/>
      <c r="M23" s="188">
        <f t="shared" si="6"/>
        <v>170632.99710000007</v>
      </c>
      <c r="N23" s="186"/>
    </row>
    <row r="24" spans="1:14" x14ac:dyDescent="0.25">
      <c r="A24" s="189">
        <v>21</v>
      </c>
      <c r="B24" s="184">
        <v>46316</v>
      </c>
      <c r="C24" s="185"/>
      <c r="D24" s="185"/>
      <c r="E24" s="167"/>
      <c r="F24" s="61"/>
      <c r="G24" s="166">
        <f t="shared" si="0"/>
        <v>0</v>
      </c>
      <c r="H24" s="167"/>
      <c r="I24" s="61"/>
      <c r="J24" s="166">
        <f t="shared" si="1"/>
        <v>0</v>
      </c>
      <c r="K24" s="166">
        <f t="shared" si="2"/>
        <v>0</v>
      </c>
      <c r="L24" s="188"/>
      <c r="M24" s="188">
        <f t="shared" si="6"/>
        <v>170632.99710000007</v>
      </c>
      <c r="N24" s="186"/>
    </row>
    <row r="25" spans="1:14" x14ac:dyDescent="0.25">
      <c r="A25" s="189">
        <v>22</v>
      </c>
      <c r="B25" s="184">
        <v>46317</v>
      </c>
      <c r="C25" s="185"/>
      <c r="D25" s="185"/>
      <c r="E25" s="167"/>
      <c r="F25" s="61"/>
      <c r="G25" s="166">
        <f t="shared" si="0"/>
        <v>0</v>
      </c>
      <c r="H25" s="167"/>
      <c r="I25" s="61"/>
      <c r="J25" s="166">
        <f t="shared" si="1"/>
        <v>0</v>
      </c>
      <c r="K25" s="166">
        <f t="shared" si="2"/>
        <v>0</v>
      </c>
      <c r="L25" s="188"/>
      <c r="M25" s="188">
        <f t="shared" si="6"/>
        <v>170632.99710000007</v>
      </c>
      <c r="N25" s="186"/>
    </row>
    <row r="26" spans="1:14" x14ac:dyDescent="0.25">
      <c r="A26" s="189">
        <v>23</v>
      </c>
      <c r="B26" s="184">
        <v>46318</v>
      </c>
      <c r="C26" s="260"/>
      <c r="D26" s="260"/>
      <c r="E26" s="167"/>
      <c r="F26" s="61"/>
      <c r="G26" s="166">
        <f t="shared" si="0"/>
        <v>0</v>
      </c>
      <c r="H26" s="167"/>
      <c r="I26" s="61"/>
      <c r="J26" s="166">
        <f t="shared" si="1"/>
        <v>0</v>
      </c>
      <c r="K26" s="166">
        <f t="shared" si="2"/>
        <v>0</v>
      </c>
      <c r="L26" s="188"/>
      <c r="M26" s="188">
        <f t="shared" si="6"/>
        <v>170632.99710000007</v>
      </c>
      <c r="N26" s="205"/>
    </row>
    <row r="27" spans="1:14" x14ac:dyDescent="0.25">
      <c r="A27" s="189">
        <v>24</v>
      </c>
      <c r="B27" s="184">
        <v>46319</v>
      </c>
      <c r="C27" s="260"/>
      <c r="D27" s="260"/>
      <c r="E27" s="167"/>
      <c r="F27" s="61"/>
      <c r="G27" s="166">
        <f t="shared" si="0"/>
        <v>0</v>
      </c>
      <c r="H27" s="167"/>
      <c r="I27" s="61"/>
      <c r="J27" s="166">
        <f t="shared" si="1"/>
        <v>0</v>
      </c>
      <c r="K27" s="166">
        <f t="shared" si="2"/>
        <v>0</v>
      </c>
      <c r="L27" s="188"/>
      <c r="M27" s="188">
        <f t="shared" si="6"/>
        <v>170632.99710000007</v>
      </c>
      <c r="N27" s="205"/>
    </row>
    <row r="28" spans="1:14" x14ac:dyDescent="0.25">
      <c r="A28" s="191">
        <v>25</v>
      </c>
      <c r="B28" s="184">
        <v>46320</v>
      </c>
      <c r="C28" s="260"/>
      <c r="D28" s="260"/>
      <c r="E28" s="528"/>
      <c r="F28" s="529"/>
      <c r="G28" s="166">
        <f t="shared" si="0"/>
        <v>0</v>
      </c>
      <c r="H28" s="167"/>
      <c r="I28" s="61"/>
      <c r="J28" s="166">
        <f t="shared" si="1"/>
        <v>0</v>
      </c>
      <c r="K28" s="166">
        <f t="shared" si="2"/>
        <v>0</v>
      </c>
      <c r="L28" s="188"/>
      <c r="M28" s="188">
        <f>M27+K28-L28</f>
        <v>170632.99710000007</v>
      </c>
      <c r="N28" s="205"/>
    </row>
    <row r="29" spans="1:14" x14ac:dyDescent="0.25">
      <c r="A29" s="191">
        <v>26</v>
      </c>
      <c r="B29" s="184">
        <v>46321</v>
      </c>
      <c r="C29" s="260"/>
      <c r="D29" s="260"/>
      <c r="E29" s="528"/>
      <c r="F29" s="529"/>
      <c r="G29" s="166">
        <f t="shared" si="0"/>
        <v>0</v>
      </c>
      <c r="H29" s="167"/>
      <c r="I29" s="61"/>
      <c r="J29" s="166">
        <f t="shared" si="1"/>
        <v>0</v>
      </c>
      <c r="K29" s="166">
        <f t="shared" si="2"/>
        <v>0</v>
      </c>
      <c r="L29" s="188"/>
      <c r="M29" s="188">
        <f t="shared" si="6"/>
        <v>170632.99710000007</v>
      </c>
      <c r="N29" s="205"/>
    </row>
    <row r="30" spans="1:14" x14ac:dyDescent="0.25">
      <c r="A30" s="191">
        <v>27</v>
      </c>
      <c r="B30" s="184">
        <v>46322</v>
      </c>
      <c r="C30" s="260"/>
      <c r="D30" s="260"/>
      <c r="E30" s="528"/>
      <c r="F30" s="529"/>
      <c r="G30" s="166">
        <f t="shared" si="0"/>
        <v>0</v>
      </c>
      <c r="H30" s="167"/>
      <c r="I30" s="61"/>
      <c r="J30" s="166">
        <f t="shared" si="1"/>
        <v>0</v>
      </c>
      <c r="K30" s="166">
        <f t="shared" si="2"/>
        <v>0</v>
      </c>
      <c r="L30" s="188"/>
      <c r="M30" s="188">
        <f t="shared" si="6"/>
        <v>170632.99710000007</v>
      </c>
      <c r="N30" s="205"/>
    </row>
    <row r="31" spans="1:14" x14ac:dyDescent="0.25">
      <c r="A31" s="191">
        <v>28</v>
      </c>
      <c r="B31" s="184">
        <v>46323</v>
      </c>
      <c r="C31" s="260"/>
      <c r="D31" s="260"/>
      <c r="E31" s="118"/>
      <c r="F31" s="529"/>
      <c r="G31" s="166">
        <f t="shared" si="0"/>
        <v>0</v>
      </c>
      <c r="H31" s="167"/>
      <c r="I31" s="61"/>
      <c r="J31" s="166">
        <f t="shared" si="1"/>
        <v>0</v>
      </c>
      <c r="K31" s="166">
        <f t="shared" si="2"/>
        <v>0</v>
      </c>
      <c r="L31" s="188"/>
      <c r="M31" s="188">
        <f t="shared" si="6"/>
        <v>170632.99710000007</v>
      </c>
      <c r="N31" s="205"/>
    </row>
    <row r="32" spans="1:14" x14ac:dyDescent="0.25">
      <c r="A32" s="193">
        <v>29</v>
      </c>
      <c r="B32" s="184">
        <v>46324</v>
      </c>
      <c r="C32" s="260"/>
      <c r="D32" s="260"/>
      <c r="E32" s="167"/>
      <c r="F32" s="61"/>
      <c r="G32" s="166">
        <f t="shared" si="0"/>
        <v>0</v>
      </c>
      <c r="H32" s="167"/>
      <c r="I32" s="61"/>
      <c r="J32" s="166">
        <f t="shared" si="1"/>
        <v>0</v>
      </c>
      <c r="K32" s="166">
        <f t="shared" si="2"/>
        <v>0</v>
      </c>
      <c r="L32" s="188"/>
      <c r="M32" s="188">
        <f t="shared" si="6"/>
        <v>170632.99710000007</v>
      </c>
      <c r="N32" s="205"/>
    </row>
    <row r="33" spans="1:14" x14ac:dyDescent="0.25">
      <c r="A33" s="193">
        <v>30</v>
      </c>
      <c r="B33" s="184">
        <v>46325</v>
      </c>
      <c r="C33" s="260"/>
      <c r="D33" s="260"/>
      <c r="E33" s="167"/>
      <c r="F33" s="61"/>
      <c r="G33" s="166">
        <f t="shared" si="0"/>
        <v>0</v>
      </c>
      <c r="H33" s="167"/>
      <c r="I33" s="61"/>
      <c r="J33" s="166">
        <f t="shared" si="1"/>
        <v>0</v>
      </c>
      <c r="K33" s="166">
        <f t="shared" si="2"/>
        <v>0</v>
      </c>
      <c r="L33" s="188"/>
      <c r="M33" s="188">
        <f t="shared" si="6"/>
        <v>170632.99710000007</v>
      </c>
      <c r="N33" s="205"/>
    </row>
    <row r="34" spans="1:14" x14ac:dyDescent="0.25">
      <c r="A34" s="193">
        <v>31</v>
      </c>
      <c r="B34" s="184">
        <v>46326</v>
      </c>
      <c r="C34" s="260"/>
      <c r="D34" s="260"/>
      <c r="E34" s="167"/>
      <c r="F34" s="61"/>
      <c r="G34" s="166">
        <f t="shared" si="0"/>
        <v>0</v>
      </c>
      <c r="H34" s="167"/>
      <c r="I34" s="61"/>
      <c r="J34" s="166">
        <f t="shared" si="1"/>
        <v>0</v>
      </c>
      <c r="K34" s="166">
        <f t="shared" si="2"/>
        <v>0</v>
      </c>
      <c r="L34" s="188"/>
      <c r="M34" s="188">
        <f t="shared" si="6"/>
        <v>170632.99710000007</v>
      </c>
      <c r="N34" s="205"/>
    </row>
    <row r="35" spans="1:14" x14ac:dyDescent="0.25">
      <c r="A35" s="378"/>
      <c r="B35" s="378"/>
      <c r="C35" s="378"/>
      <c r="D35" s="378"/>
      <c r="E35" s="379">
        <f>SUM(E4:E34)</f>
        <v>405.85999999999996</v>
      </c>
      <c r="F35" s="379"/>
      <c r="G35" s="379">
        <f>SUM(G4:G34)</f>
        <v>40354.18320000001</v>
      </c>
      <c r="H35" s="379">
        <f>SUM(H4:H34)</f>
        <v>50.97</v>
      </c>
      <c r="I35" s="379"/>
      <c r="J35" s="379">
        <f>SUM(J4:J34)</f>
        <v>5708.104300000001</v>
      </c>
      <c r="K35" s="379">
        <f>SUM(K4:K34)</f>
        <v>46062.28750000001</v>
      </c>
      <c r="L35" s="379">
        <f>SUM(L4:L34)</f>
        <v>0</v>
      </c>
      <c r="M35" s="379"/>
      <c r="N35" s="379"/>
    </row>
    <row r="36" spans="1:16" x14ac:dyDescent="0.25">
      <c r="A36" s="211"/>
      <c r="B36" s="212"/>
      <c r="C36" s="211"/>
      <c r="D36" s="211"/>
      <c r="E36" s="213"/>
      <c r="F36" s="213"/>
      <c r="G36" s="213"/>
      <c r="H36" s="213"/>
      <c r="I36" s="213"/>
      <c r="J36" s="214"/>
      <c r="K36" s="214"/>
      <c r="L36" s="214"/>
      <c r="M36" s="214"/>
      <c r="N36" s="213"/>
      <c r="P36" s="188">
        <f t="shared" ref="P36" si="8">P35+N36-O36</f>
        <v>0</v>
      </c>
    </row>
  </sheetData>
  <mergeCells count="2">
    <mergeCell ref="A1:N1"/>
    <mergeCell ref="C3:D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7"/>
  <sheetViews>
    <sheetView workbookViewId="0" zoomScale="100" zoomScaleNormal="100">
      <pane ySplit="3" topLeftCell="A10" activePane="bottomLeft" state="frozen"/>
      <selection pane="bottomLeft" activeCell="L19" sqref="L19"/>
    </sheetView>
  </sheetViews>
  <sheetFormatPr defaultRowHeight="15" outlineLevelRow="0" outlineLevelCol="0" x14ac:dyDescent="0"/>
  <cols>
    <col min="1" max="1" width="5.140625" style="209" customWidth="1"/>
    <col min="2" max="2" width="10.85546875" style="209" customWidth="1"/>
    <col min="3" max="3" width="8" style="209" customWidth="1"/>
    <col min="4" max="4" width="16" style="209" customWidth="1"/>
    <col min="5" max="5" width="10.7109375" style="209" customWidth="1"/>
    <col min="6" max="6" width="14.5703125" style="209" customWidth="1"/>
    <col min="7" max="7" width="18.28515625" style="209" customWidth="1"/>
    <col min="8" max="8" width="10.7109375" style="209" customWidth="1"/>
    <col min="9" max="9" width="15.5703125" style="209" customWidth="1"/>
    <col min="10" max="10" width="10.85546875" style="209" customWidth="1"/>
    <col min="11" max="11" width="14.5703125" style="209" customWidth="1"/>
    <col min="12" max="13" width="13.5703125" style="209" customWidth="1"/>
    <col min="14" max="14" width="23.5703125" style="209" customWidth="1"/>
    <col min="15" max="15" width="11.28515625" style="209" customWidth="1"/>
    <col min="16" max="16" width="11.5703125" style="209" customWidth="1"/>
    <col min="17" max="16384" width="9.140625" style="209" customWidth="1"/>
  </cols>
  <sheetData>
    <row r="1" ht="15.75" customHeight="1" spans="1:15" x14ac:dyDescent="0.25">
      <c r="A1" s="325" t="s">
        <v>122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207"/>
    </row>
    <row r="2" spans="1:15" x14ac:dyDescent="0.25">
      <c r="A2" s="122" t="s">
        <v>0</v>
      </c>
      <c r="B2" s="123" t="s">
        <v>167</v>
      </c>
      <c r="C2" s="123" t="s">
        <v>168</v>
      </c>
      <c r="D2" s="123" t="s">
        <v>169</v>
      </c>
      <c r="E2" s="123" t="s">
        <v>170</v>
      </c>
      <c r="F2" s="123" t="s">
        <v>171</v>
      </c>
      <c r="G2" s="123" t="s">
        <v>172</v>
      </c>
      <c r="H2" s="123" t="s">
        <v>173</v>
      </c>
      <c r="I2" s="123" t="s">
        <v>171</v>
      </c>
      <c r="J2" s="124" t="s">
        <v>172</v>
      </c>
      <c r="K2" s="122" t="s">
        <v>174</v>
      </c>
      <c r="L2" s="367" t="s">
        <v>175</v>
      </c>
      <c r="M2" s="367" t="s">
        <v>190</v>
      </c>
      <c r="N2" s="123" t="s">
        <v>177</v>
      </c>
      <c r="O2" s="208"/>
    </row>
    <row r="3" spans="1:16" x14ac:dyDescent="0.25">
      <c r="A3" s="148" t="s">
        <v>178</v>
      </c>
      <c r="B3" s="149"/>
      <c r="C3" s="149"/>
      <c r="D3" s="149"/>
      <c r="E3" s="149"/>
      <c r="F3" s="149"/>
      <c r="G3" s="149"/>
      <c r="H3" s="149"/>
      <c r="I3" s="149"/>
      <c r="J3" s="150"/>
      <c r="K3" s="372">
        <v>300655.80450000026</v>
      </c>
      <c r="L3" s="185"/>
      <c r="M3" s="372">
        <v>300655.80450000026</v>
      </c>
      <c r="N3" s="185"/>
      <c r="O3" s="208"/>
      <c r="P3" s="349"/>
    </row>
    <row r="4" spans="1:14" x14ac:dyDescent="0.25">
      <c r="A4" s="115">
        <v>1</v>
      </c>
      <c r="B4" s="116">
        <v>46296</v>
      </c>
      <c r="C4" s="185"/>
      <c r="D4" s="186"/>
      <c r="E4" s="373">
        <v>650</v>
      </c>
      <c r="F4" s="373">
        <v>99.74</v>
      </c>
      <c r="G4" s="166">
        <f>E4*F4</f>
        <v>64831</v>
      </c>
      <c r="H4" s="373">
        <v>55</v>
      </c>
      <c r="I4" s="373">
        <v>111.85</v>
      </c>
      <c r="J4" s="166">
        <f>H4*I4</f>
        <v>6151.75</v>
      </c>
      <c r="K4" s="166">
        <f>G4+J4</f>
        <v>70982.75</v>
      </c>
      <c r="L4" s="166"/>
      <c r="M4" s="166">
        <f t="shared" ref="M4:M36" si="0">M3+K4-L4</f>
        <v>371638.55450000026</v>
      </c>
      <c r="N4" s="186"/>
    </row>
    <row r="5" spans="1:14" x14ac:dyDescent="0.25">
      <c r="A5" s="115">
        <v>2</v>
      </c>
      <c r="B5" s="116">
        <v>46297</v>
      </c>
      <c r="C5" s="185"/>
      <c r="D5" s="186"/>
      <c r="E5" s="373">
        <v>50</v>
      </c>
      <c r="F5" s="373">
        <v>99.74</v>
      </c>
      <c r="G5" s="166">
        <f t="shared" ref="G5:G37" si="1">E5*F5</f>
        <v>4987</v>
      </c>
      <c r="H5" s="373"/>
      <c r="I5" s="373"/>
      <c r="J5" s="166">
        <f t="shared" ref="J5:J37" si="2">H5*I5</f>
        <v>0</v>
      </c>
      <c r="K5" s="166">
        <f t="shared" ref="K5:K37" si="3">G5+J5</f>
        <v>4987</v>
      </c>
      <c r="L5" s="166"/>
      <c r="M5" s="166">
        <f t="shared" si="0"/>
        <v>376625.55450000026</v>
      </c>
      <c r="N5" s="186"/>
    </row>
    <row r="6" spans="1:14" x14ac:dyDescent="0.25">
      <c r="A6" s="115">
        <v>3</v>
      </c>
      <c r="B6" s="116">
        <v>46298</v>
      </c>
      <c r="C6" s="185"/>
      <c r="D6" s="186"/>
      <c r="E6" s="373">
        <v>200</v>
      </c>
      <c r="F6" s="373">
        <v>99.74</v>
      </c>
      <c r="G6" s="166">
        <f t="shared" si="1"/>
        <v>19948</v>
      </c>
      <c r="H6" s="373">
        <v>45</v>
      </c>
      <c r="I6" s="373">
        <v>111.85</v>
      </c>
      <c r="J6" s="166">
        <f t="shared" si="2"/>
        <v>5033.25</v>
      </c>
      <c r="K6" s="166">
        <f t="shared" si="3"/>
        <v>24981.25</v>
      </c>
      <c r="L6" s="166"/>
      <c r="M6" s="166">
        <f t="shared" si="0"/>
        <v>401606.80450000026</v>
      </c>
      <c r="N6" s="186"/>
    </row>
    <row r="7" spans="1:14" x14ac:dyDescent="0.25">
      <c r="A7" s="115">
        <v>4</v>
      </c>
      <c r="B7" s="116">
        <v>46299</v>
      </c>
      <c r="C7" s="185"/>
      <c r="D7" s="186"/>
      <c r="E7" s="373">
        <v>28</v>
      </c>
      <c r="F7" s="373">
        <v>99.74</v>
      </c>
      <c r="G7" s="166">
        <f t="shared" si="1"/>
        <v>2792.72</v>
      </c>
      <c r="H7" s="373"/>
      <c r="I7" s="373"/>
      <c r="J7" s="166">
        <f t="shared" si="2"/>
        <v>0</v>
      </c>
      <c r="K7" s="166">
        <f t="shared" si="3"/>
        <v>2792.72</v>
      </c>
      <c r="L7" s="166"/>
      <c r="M7" s="166">
        <f t="shared" si="0"/>
        <v>404399.52450000023</v>
      </c>
      <c r="N7" s="186"/>
    </row>
    <row r="8" spans="1:16" x14ac:dyDescent="0.25">
      <c r="A8" s="115">
        <v>5</v>
      </c>
      <c r="B8" s="116">
        <v>46300</v>
      </c>
      <c r="C8" s="185"/>
      <c r="D8" s="186"/>
      <c r="E8" s="373"/>
      <c r="F8" s="373"/>
      <c r="G8" s="166">
        <f t="shared" si="1"/>
        <v>0</v>
      </c>
      <c r="H8" s="373"/>
      <c r="I8" s="373"/>
      <c r="J8" s="166">
        <f t="shared" si="2"/>
        <v>0</v>
      </c>
      <c r="K8" s="166">
        <f t="shared" si="3"/>
        <v>0</v>
      </c>
      <c r="L8" s="166"/>
      <c r="M8" s="166">
        <f t="shared" si="0"/>
        <v>404399.52450000023</v>
      </c>
      <c r="N8" s="186"/>
      <c r="P8" s="349"/>
    </row>
    <row r="9" spans="1:14" x14ac:dyDescent="0.25">
      <c r="A9" s="115">
        <v>6</v>
      </c>
      <c r="B9" s="116">
        <v>46301</v>
      </c>
      <c r="C9" s="185"/>
      <c r="D9" s="186"/>
      <c r="E9" s="373">
        <v>70</v>
      </c>
      <c r="F9" s="373">
        <v>99.74</v>
      </c>
      <c r="G9" s="166">
        <f t="shared" si="1"/>
        <v>6981.799999999999</v>
      </c>
      <c r="H9" s="373"/>
      <c r="I9" s="373"/>
      <c r="J9" s="166">
        <f t="shared" si="2"/>
        <v>0</v>
      </c>
      <c r="K9" s="166">
        <f t="shared" si="3"/>
        <v>6981.799999999999</v>
      </c>
      <c r="L9" s="166"/>
      <c r="M9" s="166">
        <f t="shared" si="0"/>
        <v>411381.3245000002</v>
      </c>
      <c r="N9" s="186"/>
    </row>
    <row r="10" spans="1:14" x14ac:dyDescent="0.25">
      <c r="A10" s="115">
        <v>7</v>
      </c>
      <c r="B10" s="116">
        <v>46302</v>
      </c>
      <c r="C10" s="185"/>
      <c r="D10" s="186"/>
      <c r="E10" s="373">
        <v>435</v>
      </c>
      <c r="F10" s="373">
        <v>99.74</v>
      </c>
      <c r="G10" s="166">
        <f t="shared" si="1"/>
        <v>43386.899999999994</v>
      </c>
      <c r="H10" s="373">
        <v>35</v>
      </c>
      <c r="I10" s="373">
        <v>111.86</v>
      </c>
      <c r="J10" s="166">
        <f t="shared" si="2"/>
        <v>3915.1</v>
      </c>
      <c r="K10" s="166">
        <f t="shared" si="3"/>
        <v>47301.99999999999</v>
      </c>
      <c r="L10" s="166"/>
      <c r="M10" s="166">
        <f t="shared" si="0"/>
        <v>458683.3245000002</v>
      </c>
      <c r="N10" s="186"/>
    </row>
    <row r="11" spans="1:17" x14ac:dyDescent="0.25">
      <c r="A11" s="115">
        <v>8</v>
      </c>
      <c r="B11" s="116">
        <v>46303</v>
      </c>
      <c r="C11" s="185"/>
      <c r="D11" s="186"/>
      <c r="E11" s="373">
        <v>44.21</v>
      </c>
      <c r="F11" s="373">
        <v>98.95</v>
      </c>
      <c r="G11" s="166">
        <f t="shared" si="1"/>
        <v>4374.5795</v>
      </c>
      <c r="H11" s="373"/>
      <c r="I11" s="373"/>
      <c r="J11" s="166">
        <f t="shared" si="2"/>
        <v>0</v>
      </c>
      <c r="K11" s="166">
        <f t="shared" si="3"/>
        <v>4374.5795</v>
      </c>
      <c r="L11" s="166">
        <v>4374.5795</v>
      </c>
      <c r="M11" s="166">
        <f t="shared" si="0"/>
        <v>458683.3245000002</v>
      </c>
      <c r="N11" s="186" t="s">
        <v>207</v>
      </c>
      <c r="P11" s="374"/>
      <c r="Q11" s="349"/>
    </row>
    <row r="12" spans="1:17" x14ac:dyDescent="0.25">
      <c r="A12" s="115"/>
      <c r="B12" s="116">
        <v>46303</v>
      </c>
      <c r="C12" s="185"/>
      <c r="D12" s="186"/>
      <c r="E12" s="373">
        <v>500</v>
      </c>
      <c r="F12" s="373">
        <v>99.74</v>
      </c>
      <c r="G12" s="166">
        <f t="shared" si="1"/>
        <v>49870</v>
      </c>
      <c r="H12" s="373">
        <v>35</v>
      </c>
      <c r="I12" s="373">
        <v>111.86</v>
      </c>
      <c r="J12" s="166">
        <f t="shared" si="2"/>
        <v>3915.1</v>
      </c>
      <c r="K12" s="166">
        <f t="shared" si="3"/>
        <v>53785.1</v>
      </c>
      <c r="L12" s="166"/>
      <c r="M12" s="166">
        <f t="shared" si="0"/>
        <v>512468.4245000002</v>
      </c>
      <c r="N12" s="186"/>
      <c r="P12" s="374"/>
      <c r="Q12" s="349"/>
    </row>
    <row r="13" spans="1:14" x14ac:dyDescent="0.25">
      <c r="A13" s="115">
        <v>9</v>
      </c>
      <c r="B13" s="116">
        <v>46304</v>
      </c>
      <c r="C13" s="185"/>
      <c r="D13" s="186"/>
      <c r="E13" s="373">
        <v>430.24</v>
      </c>
      <c r="F13" s="373">
        <v>99.74</v>
      </c>
      <c r="G13" s="166">
        <f t="shared" si="1"/>
        <v>42912.1376</v>
      </c>
      <c r="H13" s="373">
        <v>35</v>
      </c>
      <c r="I13" s="373">
        <v>111.86</v>
      </c>
      <c r="J13" s="166">
        <f t="shared" si="2"/>
        <v>3915.1</v>
      </c>
      <c r="K13" s="166">
        <f t="shared" si="3"/>
        <v>46827.2376</v>
      </c>
      <c r="L13" s="166"/>
      <c r="M13" s="166">
        <f t="shared" si="0"/>
        <v>559295.6621000002</v>
      </c>
      <c r="N13" s="186"/>
    </row>
    <row r="14" spans="1:14" x14ac:dyDescent="0.25">
      <c r="A14" s="115">
        <v>10</v>
      </c>
      <c r="B14" s="116">
        <v>46305</v>
      </c>
      <c r="C14" s="185"/>
      <c r="D14" s="186"/>
      <c r="E14" s="373">
        <v>15</v>
      </c>
      <c r="F14" s="373">
        <v>99.74</v>
      </c>
      <c r="G14" s="166">
        <f t="shared" si="1"/>
        <v>1496.1</v>
      </c>
      <c r="H14" s="373"/>
      <c r="I14" s="373"/>
      <c r="J14" s="166">
        <f t="shared" si="2"/>
        <v>0</v>
      </c>
      <c r="K14" s="166">
        <f t="shared" si="3"/>
        <v>1496.1</v>
      </c>
      <c r="L14" s="166"/>
      <c r="M14" s="166">
        <f t="shared" si="0"/>
        <v>560791.7621000002</v>
      </c>
      <c r="N14" s="186"/>
    </row>
    <row r="15" spans="1:14" x14ac:dyDescent="0.25">
      <c r="A15" s="115">
        <v>11</v>
      </c>
      <c r="B15" s="116">
        <v>46306</v>
      </c>
      <c r="C15" s="185"/>
      <c r="D15" s="186"/>
      <c r="E15" s="373"/>
      <c r="F15" s="373"/>
      <c r="G15" s="166">
        <f t="shared" si="1"/>
        <v>0</v>
      </c>
      <c r="H15" s="373">
        <v>5</v>
      </c>
      <c r="I15" s="373">
        <v>111.85</v>
      </c>
      <c r="J15" s="166">
        <f t="shared" si="2"/>
        <v>559.25</v>
      </c>
      <c r="K15" s="166">
        <f t="shared" si="3"/>
        <v>559.25</v>
      </c>
      <c r="L15" s="166"/>
      <c r="M15" s="166">
        <f t="shared" si="0"/>
        <v>561351.0121000002</v>
      </c>
      <c r="N15" s="186"/>
    </row>
    <row r="16" ht="15.75" customHeight="1" spans="1:14" x14ac:dyDescent="0.25">
      <c r="A16" s="115">
        <v>12</v>
      </c>
      <c r="B16" s="116">
        <v>46307</v>
      </c>
      <c r="C16" s="185"/>
      <c r="D16" s="186"/>
      <c r="E16" s="375"/>
      <c r="F16" s="376"/>
      <c r="G16" s="166">
        <f t="shared" si="1"/>
        <v>0</v>
      </c>
      <c r="H16" s="373"/>
      <c r="I16" s="373"/>
      <c r="J16" s="166">
        <f t="shared" si="2"/>
        <v>0</v>
      </c>
      <c r="K16" s="166">
        <f t="shared" si="3"/>
        <v>0</v>
      </c>
      <c r="L16" s="166"/>
      <c r="M16" s="166">
        <f t="shared" si="0"/>
        <v>561351.0121000002</v>
      </c>
      <c r="N16" s="186"/>
    </row>
    <row r="17" ht="15.75" customHeight="1" spans="1:14" x14ac:dyDescent="0.25">
      <c r="A17" s="115">
        <v>13</v>
      </c>
      <c r="B17" s="116">
        <v>46308</v>
      </c>
      <c r="C17" s="185"/>
      <c r="D17" s="186"/>
      <c r="E17" s="375">
        <v>70</v>
      </c>
      <c r="F17" s="376">
        <v>99.74</v>
      </c>
      <c r="G17" s="166">
        <f t="shared" si="1"/>
        <v>6981.799999999999</v>
      </c>
      <c r="H17" s="373">
        <v>5</v>
      </c>
      <c r="I17" s="373">
        <v>111.85</v>
      </c>
      <c r="J17" s="166">
        <f t="shared" si="2"/>
        <v>559.25</v>
      </c>
      <c r="K17" s="166">
        <f t="shared" si="3"/>
        <v>7541.049999999999</v>
      </c>
      <c r="L17" s="166"/>
      <c r="M17" s="166">
        <f t="shared" si="0"/>
        <v>568892.0621000002</v>
      </c>
      <c r="N17" s="186"/>
    </row>
    <row r="18" spans="1:14" x14ac:dyDescent="0.25">
      <c r="A18" s="115">
        <v>14</v>
      </c>
      <c r="B18" s="116">
        <v>46309</v>
      </c>
      <c r="C18" s="185"/>
      <c r="D18" s="186"/>
      <c r="E18" s="373">
        <v>190</v>
      </c>
      <c r="F18" s="373">
        <v>99.74</v>
      </c>
      <c r="G18" s="166">
        <f t="shared" si="1"/>
        <v>18950.6</v>
      </c>
      <c r="H18" s="373"/>
      <c r="I18" s="373"/>
      <c r="J18" s="166">
        <f t="shared" si="2"/>
        <v>0</v>
      </c>
      <c r="K18" s="166">
        <f t="shared" si="3"/>
        <v>18950.6</v>
      </c>
      <c r="L18" s="166">
        <v>157060.91</v>
      </c>
      <c r="M18" s="166">
        <f t="shared" si="0"/>
        <v>430781.75210000016</v>
      </c>
      <c r="N18" s="186"/>
    </row>
    <row r="19" spans="1:14" x14ac:dyDescent="0.25">
      <c r="A19" s="115">
        <v>15</v>
      </c>
      <c r="B19" s="116">
        <v>46310</v>
      </c>
      <c r="C19" s="185"/>
      <c r="D19" s="186"/>
      <c r="E19" s="373">
        <v>40</v>
      </c>
      <c r="F19" s="373">
        <v>99.74</v>
      </c>
      <c r="G19" s="166">
        <f t="shared" si="1"/>
        <v>3989.6</v>
      </c>
      <c r="H19" s="373"/>
      <c r="I19" s="373"/>
      <c r="J19" s="166">
        <f t="shared" si="2"/>
        <v>0</v>
      </c>
      <c r="K19" s="166">
        <f t="shared" si="3"/>
        <v>3989.6</v>
      </c>
      <c r="L19" s="166"/>
      <c r="M19" s="166">
        <f t="shared" si="0"/>
        <v>434771.35210000013</v>
      </c>
      <c r="N19" s="186"/>
    </row>
    <row r="20" spans="1:17" x14ac:dyDescent="0.25">
      <c r="A20" s="115">
        <v>16</v>
      </c>
      <c r="B20" s="116">
        <v>46311</v>
      </c>
      <c r="C20" s="185"/>
      <c r="D20" s="186"/>
      <c r="E20" s="373"/>
      <c r="F20" s="373"/>
      <c r="G20" s="166">
        <f t="shared" si="1"/>
        <v>0</v>
      </c>
      <c r="H20" s="373"/>
      <c r="I20" s="373"/>
      <c r="J20" s="166">
        <f t="shared" si="2"/>
        <v>0</v>
      </c>
      <c r="K20" s="166">
        <f t="shared" si="3"/>
        <v>0</v>
      </c>
      <c r="L20" s="166"/>
      <c r="M20" s="166">
        <f t="shared" si="0"/>
        <v>434771.35210000013</v>
      </c>
      <c r="N20" s="186"/>
      <c r="Q20" s="349"/>
    </row>
    <row r="21" spans="1:14" x14ac:dyDescent="0.25">
      <c r="A21" s="115">
        <v>17</v>
      </c>
      <c r="B21" s="116">
        <v>46312</v>
      </c>
      <c r="C21" s="185"/>
      <c r="D21" s="186"/>
      <c r="E21" s="373"/>
      <c r="F21" s="373"/>
      <c r="G21" s="166">
        <f t="shared" si="1"/>
        <v>0</v>
      </c>
      <c r="H21" s="373"/>
      <c r="I21" s="373"/>
      <c r="J21" s="166">
        <f t="shared" si="2"/>
        <v>0</v>
      </c>
      <c r="K21" s="166">
        <f t="shared" si="3"/>
        <v>0</v>
      </c>
      <c r="L21" s="166"/>
      <c r="M21" s="166">
        <f t="shared" si="0"/>
        <v>434771.35210000013</v>
      </c>
      <c r="N21" s="186"/>
    </row>
    <row r="22" spans="1:14" x14ac:dyDescent="0.25">
      <c r="A22" s="115">
        <v>18</v>
      </c>
      <c r="B22" s="116">
        <v>46313</v>
      </c>
      <c r="C22" s="185"/>
      <c r="D22" s="186"/>
      <c r="E22" s="373"/>
      <c r="F22" s="373"/>
      <c r="G22" s="166">
        <f t="shared" si="1"/>
        <v>0</v>
      </c>
      <c r="H22" s="373"/>
      <c r="I22" s="373"/>
      <c r="J22" s="166">
        <f t="shared" si="2"/>
        <v>0</v>
      </c>
      <c r="K22" s="166">
        <f t="shared" si="3"/>
        <v>0</v>
      </c>
      <c r="L22" s="166"/>
      <c r="M22" s="166">
        <f t="shared" si="0"/>
        <v>434771.35210000013</v>
      </c>
      <c r="N22" s="186"/>
    </row>
    <row r="23" ht="15.75" customHeight="1" spans="1:14" x14ac:dyDescent="0.25">
      <c r="A23" s="115">
        <v>19</v>
      </c>
      <c r="B23" s="116">
        <v>46314</v>
      </c>
      <c r="C23" s="185"/>
      <c r="D23" s="186"/>
      <c r="E23" s="375"/>
      <c r="F23" s="376"/>
      <c r="G23" s="166">
        <f t="shared" si="1"/>
        <v>0</v>
      </c>
      <c r="H23" s="373"/>
      <c r="I23" s="373"/>
      <c r="J23" s="166">
        <f t="shared" si="2"/>
        <v>0</v>
      </c>
      <c r="K23" s="166">
        <f t="shared" si="3"/>
        <v>0</v>
      </c>
      <c r="L23" s="166"/>
      <c r="M23" s="166">
        <f t="shared" si="0"/>
        <v>434771.35210000013</v>
      </c>
      <c r="N23" s="186"/>
    </row>
    <row r="24" ht="15.75" customHeight="1" spans="1:14" x14ac:dyDescent="0.25">
      <c r="A24" s="115">
        <v>20</v>
      </c>
      <c r="B24" s="116">
        <v>46315</v>
      </c>
      <c r="C24" s="185"/>
      <c r="D24" s="186"/>
      <c r="E24" s="375"/>
      <c r="F24" s="376"/>
      <c r="G24" s="166">
        <f t="shared" si="1"/>
        <v>0</v>
      </c>
      <c r="H24" s="373"/>
      <c r="I24" s="373"/>
      <c r="J24" s="166">
        <f t="shared" si="2"/>
        <v>0</v>
      </c>
      <c r="K24" s="166">
        <f t="shared" si="3"/>
        <v>0</v>
      </c>
      <c r="L24" s="166"/>
      <c r="M24" s="166">
        <f t="shared" si="0"/>
        <v>434771.35210000013</v>
      </c>
      <c r="N24" s="186"/>
    </row>
    <row r="25" spans="1:14" x14ac:dyDescent="0.25">
      <c r="A25" s="115">
        <v>21</v>
      </c>
      <c r="B25" s="116">
        <v>46316</v>
      </c>
      <c r="C25" s="185"/>
      <c r="D25" s="186"/>
      <c r="E25" s="373"/>
      <c r="F25" s="373"/>
      <c r="G25" s="166">
        <f t="shared" si="1"/>
        <v>0</v>
      </c>
      <c r="H25" s="373"/>
      <c r="I25" s="373"/>
      <c r="J25" s="166">
        <f t="shared" si="2"/>
        <v>0</v>
      </c>
      <c r="K25" s="166">
        <f t="shared" si="3"/>
        <v>0</v>
      </c>
      <c r="L25" s="166"/>
      <c r="M25" s="166">
        <f t="shared" si="0"/>
        <v>434771.35210000013</v>
      </c>
      <c r="N25" s="186"/>
    </row>
    <row r="26" ht="15.75" customHeight="1" spans="1:14" x14ac:dyDescent="0.25">
      <c r="A26" s="115">
        <v>22</v>
      </c>
      <c r="B26" s="116">
        <v>46317</v>
      </c>
      <c r="C26" s="185"/>
      <c r="D26" s="186"/>
      <c r="E26" s="375"/>
      <c r="F26" s="373"/>
      <c r="G26" s="166">
        <f t="shared" si="1"/>
        <v>0</v>
      </c>
      <c r="H26" s="373"/>
      <c r="I26" s="373"/>
      <c r="J26" s="166">
        <f t="shared" si="2"/>
        <v>0</v>
      </c>
      <c r="K26" s="166">
        <f t="shared" si="3"/>
        <v>0</v>
      </c>
      <c r="L26" s="166"/>
      <c r="M26" s="166">
        <f t="shared" si="0"/>
        <v>434771.35210000013</v>
      </c>
      <c r="N26" s="186"/>
    </row>
    <row r="27" spans="1:14" x14ac:dyDescent="0.25">
      <c r="A27" s="115">
        <v>23</v>
      </c>
      <c r="B27" s="116">
        <v>46318</v>
      </c>
      <c r="C27" s="185"/>
      <c r="D27" s="186"/>
      <c r="E27" s="373"/>
      <c r="F27" s="373"/>
      <c r="G27" s="166">
        <f t="shared" si="1"/>
        <v>0</v>
      </c>
      <c r="H27" s="373"/>
      <c r="I27" s="373"/>
      <c r="J27" s="166">
        <f t="shared" si="2"/>
        <v>0</v>
      </c>
      <c r="K27" s="166">
        <f t="shared" si="3"/>
        <v>0</v>
      </c>
      <c r="L27" s="166"/>
      <c r="M27" s="166">
        <f t="shared" si="0"/>
        <v>434771.35210000013</v>
      </c>
      <c r="N27" s="186"/>
    </row>
    <row r="28" spans="1:14" x14ac:dyDescent="0.25">
      <c r="A28" s="115">
        <v>24</v>
      </c>
      <c r="B28" s="116">
        <v>46319</v>
      </c>
      <c r="C28" s="185"/>
      <c r="D28" s="186"/>
      <c r="E28" s="373"/>
      <c r="F28" s="373"/>
      <c r="G28" s="166">
        <f t="shared" si="1"/>
        <v>0</v>
      </c>
      <c r="H28" s="373"/>
      <c r="I28" s="373"/>
      <c r="J28" s="166">
        <f t="shared" si="2"/>
        <v>0</v>
      </c>
      <c r="K28" s="166">
        <f t="shared" si="3"/>
        <v>0</v>
      </c>
      <c r="L28" s="166"/>
      <c r="M28" s="166">
        <f t="shared" si="0"/>
        <v>434771.35210000013</v>
      </c>
      <c r="N28" s="186"/>
    </row>
    <row r="29" spans="1:14" x14ac:dyDescent="0.25">
      <c r="A29" s="115">
        <v>25</v>
      </c>
      <c r="B29" s="116">
        <v>46320</v>
      </c>
      <c r="C29" s="185"/>
      <c r="D29" s="186"/>
      <c r="E29" s="373"/>
      <c r="F29" s="373"/>
      <c r="G29" s="166">
        <f t="shared" si="1"/>
        <v>0</v>
      </c>
      <c r="H29" s="373"/>
      <c r="I29" s="373"/>
      <c r="J29" s="166">
        <f t="shared" si="2"/>
        <v>0</v>
      </c>
      <c r="K29" s="166">
        <f t="shared" si="3"/>
        <v>0</v>
      </c>
      <c r="L29" s="166"/>
      <c r="M29" s="166">
        <f t="shared" si="0"/>
        <v>434771.35210000013</v>
      </c>
      <c r="N29" s="186"/>
    </row>
    <row r="30" ht="15.75" customHeight="1" spans="1:14" x14ac:dyDescent="0.25">
      <c r="A30" s="115">
        <v>26</v>
      </c>
      <c r="B30" s="116">
        <v>46321</v>
      </c>
      <c r="C30" s="185"/>
      <c r="D30" s="186"/>
      <c r="E30" s="375"/>
      <c r="F30" s="376"/>
      <c r="G30" s="166">
        <f t="shared" si="1"/>
        <v>0</v>
      </c>
      <c r="H30" s="373"/>
      <c r="I30" s="373"/>
      <c r="J30" s="166">
        <f t="shared" si="2"/>
        <v>0</v>
      </c>
      <c r="K30" s="166">
        <f t="shared" si="3"/>
        <v>0</v>
      </c>
      <c r="L30" s="166"/>
      <c r="M30" s="166">
        <f t="shared" si="0"/>
        <v>434771.35210000013</v>
      </c>
      <c r="N30" s="186"/>
    </row>
    <row r="31" ht="15.75" customHeight="1" spans="1:14" x14ac:dyDescent="0.25">
      <c r="A31" s="115">
        <v>27</v>
      </c>
      <c r="B31" s="116">
        <v>46322</v>
      </c>
      <c r="C31" s="185"/>
      <c r="D31" s="186"/>
      <c r="E31" s="375"/>
      <c r="F31" s="376"/>
      <c r="G31" s="166">
        <f t="shared" si="1"/>
        <v>0</v>
      </c>
      <c r="H31" s="373"/>
      <c r="I31" s="373"/>
      <c r="J31" s="166">
        <f t="shared" si="2"/>
        <v>0</v>
      </c>
      <c r="K31" s="166">
        <f t="shared" si="3"/>
        <v>0</v>
      </c>
      <c r="L31" s="166"/>
      <c r="M31" s="166">
        <f t="shared" si="0"/>
        <v>434771.35210000013</v>
      </c>
      <c r="N31" s="186"/>
    </row>
    <row r="32" spans="1:14" x14ac:dyDescent="0.25">
      <c r="A32" s="115">
        <v>28</v>
      </c>
      <c r="B32" s="116">
        <v>46323</v>
      </c>
      <c r="C32" s="377"/>
      <c r="D32" s="186"/>
      <c r="E32" s="373"/>
      <c r="F32" s="373"/>
      <c r="G32" s="166">
        <f t="shared" si="1"/>
        <v>0</v>
      </c>
      <c r="H32" s="373"/>
      <c r="I32" s="373"/>
      <c r="J32" s="166">
        <f t="shared" si="2"/>
        <v>0</v>
      </c>
      <c r="K32" s="166">
        <f t="shared" si="3"/>
        <v>0</v>
      </c>
      <c r="L32" s="166"/>
      <c r="M32" s="166">
        <f t="shared" si="0"/>
        <v>434771.35210000013</v>
      </c>
      <c r="N32" s="186"/>
    </row>
    <row r="33" spans="1:14" x14ac:dyDescent="0.25">
      <c r="A33" s="115">
        <v>29</v>
      </c>
      <c r="B33" s="116">
        <v>46324</v>
      </c>
      <c r="C33" s="185"/>
      <c r="D33" s="186"/>
      <c r="E33" s="373"/>
      <c r="F33" s="373"/>
      <c r="G33" s="166">
        <f t="shared" si="1"/>
        <v>0</v>
      </c>
      <c r="H33" s="373"/>
      <c r="I33" s="373"/>
      <c r="J33" s="166">
        <f t="shared" si="2"/>
        <v>0</v>
      </c>
      <c r="K33" s="166">
        <f t="shared" si="3"/>
        <v>0</v>
      </c>
      <c r="L33" s="166"/>
      <c r="M33" s="166">
        <f t="shared" si="0"/>
        <v>434771.35210000013</v>
      </c>
      <c r="N33" s="186"/>
    </row>
    <row r="34" spans="1:14" x14ac:dyDescent="0.25">
      <c r="A34" s="115">
        <v>30</v>
      </c>
      <c r="B34" s="116">
        <v>46325</v>
      </c>
      <c r="C34" s="185"/>
      <c r="D34" s="186"/>
      <c r="E34" s="373"/>
      <c r="F34" s="373"/>
      <c r="G34" s="166">
        <f t="shared" si="1"/>
        <v>0</v>
      </c>
      <c r="H34" s="373"/>
      <c r="I34" s="373"/>
      <c r="J34" s="166">
        <f t="shared" si="2"/>
        <v>0</v>
      </c>
      <c r="K34" s="166">
        <f t="shared" si="3"/>
        <v>0</v>
      </c>
      <c r="L34" s="166"/>
      <c r="M34" s="166">
        <f t="shared" si="0"/>
        <v>434771.35210000013</v>
      </c>
      <c r="N34" s="186"/>
    </row>
    <row r="35" spans="1:14" x14ac:dyDescent="0.25">
      <c r="A35" s="115">
        <v>31</v>
      </c>
      <c r="B35" s="116">
        <v>46326</v>
      </c>
      <c r="C35" s="185"/>
      <c r="D35" s="186"/>
      <c r="E35" s="373"/>
      <c r="F35" s="373"/>
      <c r="G35" s="166">
        <f t="shared" si="1"/>
        <v>0</v>
      </c>
      <c r="H35" s="373"/>
      <c r="I35" s="373"/>
      <c r="J35" s="166">
        <f t="shared" si="2"/>
        <v>0</v>
      </c>
      <c r="K35" s="166">
        <f t="shared" si="3"/>
        <v>0</v>
      </c>
      <c r="L35" s="166"/>
      <c r="M35" s="166">
        <f t="shared" si="0"/>
        <v>434771.35210000013</v>
      </c>
      <c r="N35" s="186"/>
    </row>
    <row r="36" spans="1:14" x14ac:dyDescent="0.25">
      <c r="A36" s="115">
        <v>32</v>
      </c>
      <c r="B36" s="116"/>
      <c r="C36" s="185"/>
      <c r="D36" s="186"/>
      <c r="E36" s="373"/>
      <c r="F36" s="373"/>
      <c r="G36" s="166">
        <f t="shared" si="1"/>
        <v>0</v>
      </c>
      <c r="H36" s="373"/>
      <c r="I36" s="373"/>
      <c r="J36" s="166">
        <f t="shared" si="2"/>
        <v>0</v>
      </c>
      <c r="K36" s="166">
        <f t="shared" si="3"/>
        <v>0</v>
      </c>
      <c r="L36" s="166"/>
      <c r="M36" s="166">
        <f t="shared" si="0"/>
        <v>434771.35210000013</v>
      </c>
      <c r="N36" s="186"/>
    </row>
    <row r="37" spans="1:14" x14ac:dyDescent="0.25">
      <c r="A37" s="115">
        <v>33</v>
      </c>
      <c r="B37" s="116"/>
      <c r="C37" s="185"/>
      <c r="D37" s="186"/>
      <c r="E37" s="373"/>
      <c r="F37" s="373"/>
      <c r="G37" s="166">
        <f t="shared" si="1"/>
        <v>0</v>
      </c>
      <c r="H37" s="373"/>
      <c r="I37" s="373"/>
      <c r="J37" s="166">
        <f t="shared" si="2"/>
        <v>0</v>
      </c>
      <c r="K37" s="166">
        <f t="shared" si="3"/>
        <v>0</v>
      </c>
      <c r="L37" s="166"/>
      <c r="M37" s="166">
        <f>M36+K37-L37</f>
        <v>434771.35210000013</v>
      </c>
      <c r="N37" s="186"/>
    </row>
    <row r="38" spans="1:15" x14ac:dyDescent="0.25">
      <c r="A38" s="378"/>
      <c r="B38" s="378"/>
      <c r="C38" s="378"/>
      <c r="D38" s="378"/>
      <c r="E38" s="379">
        <f>SUM(E4:E37)</f>
        <v>2722.45</v>
      </c>
      <c r="F38" s="379"/>
      <c r="G38" s="379">
        <f>SUM(G4:G37)</f>
        <v>271502.23709999997</v>
      </c>
      <c r="H38" s="379">
        <f>SUM(H4:H37)</f>
        <v>215</v>
      </c>
      <c r="I38" s="171"/>
      <c r="J38" s="379">
        <f>SUM(J4:J37)</f>
        <v>24048.8</v>
      </c>
      <c r="K38" s="379">
        <f>SUM(K4:K37)</f>
        <v>295551.0370999999</v>
      </c>
      <c r="L38" s="379">
        <f>SUM(L4:L37)</f>
        <v>161435.4895</v>
      </c>
      <c r="M38" s="379"/>
      <c r="N38" s="171"/>
      <c r="O38" s="208"/>
    </row>
    <row r="39" spans="1:14" x14ac:dyDescent="0.25">
      <c r="A39" s="211"/>
      <c r="B39" s="212"/>
      <c r="C39" s="211"/>
      <c r="D39" s="211"/>
      <c r="E39" s="213"/>
      <c r="F39" s="213"/>
      <c r="G39" s="213"/>
      <c r="H39" s="213"/>
      <c r="I39" s="213"/>
      <c r="J39" s="214"/>
      <c r="K39" s="214"/>
      <c r="L39" s="214"/>
      <c r="M39" s="214"/>
      <c r="N39" s="213"/>
    </row>
    <row r="45" spans="2:15" x14ac:dyDescent="0.25">
      <c r="B45" s="208"/>
      <c r="G45" s="213"/>
      <c r="J45" s="208"/>
      <c r="K45" s="208"/>
      <c r="L45" s="208"/>
      <c r="M45" s="208"/>
      <c r="O45" s="213"/>
    </row>
    <row r="46" spans="2:15" x14ac:dyDescent="0.25">
      <c r="B46" s="209"/>
      <c r="C46" s="209"/>
      <c r="D46" s="209"/>
      <c r="E46" s="209"/>
      <c r="I46" s="209"/>
      <c r="J46" s="209"/>
      <c r="K46" s="209"/>
      <c r="L46" s="209"/>
      <c r="M46" s="209"/>
      <c r="N46" s="209"/>
      <c r="O46" s="213"/>
    </row>
    <row r="47" spans="2:15" x14ac:dyDescent="0.25">
      <c r="B47" s="208"/>
      <c r="J47" s="208"/>
      <c r="K47" s="208"/>
      <c r="L47" s="208"/>
      <c r="M47" s="208"/>
      <c r="O47" s="213"/>
    </row>
  </sheetData>
  <mergeCells count="4">
    <mergeCell ref="A1:N1"/>
    <mergeCell ref="A3:J3"/>
    <mergeCell ref="B46:E46"/>
    <mergeCell ref="I46:N4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P45"/>
  <sheetViews>
    <sheetView workbookViewId="0" zoomScale="100" zoomScaleNormal="100">
      <pane ySplit="3" topLeftCell="A4" activePane="bottomLeft" state="frozen"/>
      <selection pane="bottomLeft" activeCell="O18" sqref="O18"/>
    </sheetView>
  </sheetViews>
  <sheetFormatPr defaultRowHeight="15" outlineLevelRow="0" outlineLevelCol="0" x14ac:dyDescent="0"/>
  <cols>
    <col min="2" max="2" width="11.5703125" customWidth="1"/>
    <col min="4" max="4" width="16" customWidth="1"/>
    <col min="5" max="5" width="11.85546875" customWidth="1"/>
    <col min="6" max="6" width="13.7109375" customWidth="1"/>
    <col min="7" max="7" width="10.85546875" customWidth="1"/>
    <col min="8" max="8" width="11.7109375" customWidth="1"/>
    <col min="10" max="10" width="12" customWidth="1"/>
    <col min="11" max="11" width="11.85546875" customWidth="1"/>
    <col min="12" max="13" width="14" customWidth="1"/>
    <col min="14" max="14" width="14.85546875" customWidth="1"/>
    <col min="15" max="15" width="18.5703125" customWidth="1"/>
    <col min="16" max="16" width="13" customWidth="1"/>
  </cols>
  <sheetData>
    <row r="1" ht="15.75" customHeight="1" spans="1:15" x14ac:dyDescent="0.25">
      <c r="A1" s="172" t="s">
        <v>140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207"/>
    </row>
    <row r="2" spans="1:15" x14ac:dyDescent="0.25">
      <c r="A2" s="173" t="s">
        <v>0</v>
      </c>
      <c r="B2" s="174" t="s">
        <v>167</v>
      </c>
      <c r="C2" s="174" t="s">
        <v>168</v>
      </c>
      <c r="D2" s="174" t="s">
        <v>189</v>
      </c>
      <c r="E2" s="174" t="s">
        <v>170</v>
      </c>
      <c r="F2" s="174" t="s">
        <v>171</v>
      </c>
      <c r="G2" s="174" t="s">
        <v>172</v>
      </c>
      <c r="H2" s="174" t="s">
        <v>173</v>
      </c>
      <c r="I2" s="174" t="s">
        <v>171</v>
      </c>
      <c r="J2" s="176" t="s">
        <v>172</v>
      </c>
      <c r="K2" s="177" t="s">
        <v>174</v>
      </c>
      <c r="L2" s="178" t="s">
        <v>175</v>
      </c>
      <c r="M2" s="179" t="s">
        <v>190</v>
      </c>
      <c r="N2" s="180" t="s">
        <v>177</v>
      </c>
      <c r="O2" s="208"/>
    </row>
    <row r="3" spans="1:15" x14ac:dyDescent="0.25">
      <c r="A3" s="282" t="s">
        <v>178</v>
      </c>
      <c r="B3" s="282"/>
      <c r="C3" s="282"/>
      <c r="D3" s="282"/>
      <c r="E3" s="282"/>
      <c r="F3" s="282"/>
      <c r="G3" s="282"/>
      <c r="H3" s="282"/>
      <c r="I3" s="282"/>
      <c r="J3" s="282"/>
      <c r="K3" s="358">
        <v>126924.9593</v>
      </c>
      <c r="L3" s="120"/>
      <c r="M3" s="120">
        <v>126924.9593</v>
      </c>
      <c r="N3" s="134"/>
      <c r="O3" s="208"/>
    </row>
    <row r="4" spans="1:14" x14ac:dyDescent="0.25">
      <c r="A4" s="189">
        <v>1</v>
      </c>
      <c r="B4" s="284">
        <v>46296</v>
      </c>
      <c r="C4" s="185"/>
      <c r="D4" s="186"/>
      <c r="E4" s="459">
        <v>30</v>
      </c>
      <c r="F4" s="459">
        <v>99.64</v>
      </c>
      <c r="G4" s="166">
        <f>E4*F4</f>
        <v>2989.2</v>
      </c>
      <c r="H4" s="459">
        <v>5</v>
      </c>
      <c r="I4" s="168">
        <v>111.77</v>
      </c>
      <c r="J4" s="166">
        <f>H4*I4</f>
        <v>558.85</v>
      </c>
      <c r="K4" s="166">
        <f>G4+J4</f>
        <v>3548.0499999999997</v>
      </c>
      <c r="L4" s="188"/>
      <c r="M4" s="188">
        <f t="shared" ref="M4:M21" si="0">M3+K4-L4</f>
        <v>130473.0093</v>
      </c>
      <c r="N4" s="472"/>
    </row>
    <row r="5" spans="1:14" x14ac:dyDescent="0.25">
      <c r="A5" s="189">
        <v>2</v>
      </c>
      <c r="B5" s="284">
        <v>46297</v>
      </c>
      <c r="C5" s="185"/>
      <c r="D5" s="185"/>
      <c r="E5" s="459">
        <v>40</v>
      </c>
      <c r="F5" s="459">
        <v>99.64</v>
      </c>
      <c r="G5" s="166">
        <f t="shared" ref="G5:G35" si="1">E5*F5</f>
        <v>3985.6</v>
      </c>
      <c r="H5" s="459">
        <v>6</v>
      </c>
      <c r="I5" s="168">
        <v>111.77</v>
      </c>
      <c r="J5" s="166">
        <f t="shared" ref="J5:J35" si="2">H5*I5</f>
        <v>670.62</v>
      </c>
      <c r="K5" s="166">
        <f t="shared" ref="K5:K35" si="3">G5+J5</f>
        <v>4656.22</v>
      </c>
      <c r="L5" s="188"/>
      <c r="M5" s="188">
        <f t="shared" si="0"/>
        <v>135129.2293</v>
      </c>
      <c r="N5" s="473"/>
    </row>
    <row r="6" spans="1:14" x14ac:dyDescent="0.25">
      <c r="A6" s="189">
        <v>3</v>
      </c>
      <c r="B6" s="284">
        <v>46298</v>
      </c>
      <c r="C6" s="185"/>
      <c r="D6" s="185"/>
      <c r="E6" s="167">
        <v>30</v>
      </c>
      <c r="F6" s="167">
        <v>99.64</v>
      </c>
      <c r="G6" s="166">
        <f t="shared" si="1"/>
        <v>2989.2</v>
      </c>
      <c r="H6" s="167">
        <v>10</v>
      </c>
      <c r="I6" s="168">
        <v>111.77</v>
      </c>
      <c r="J6" s="166">
        <f t="shared" si="2"/>
        <v>1117.7</v>
      </c>
      <c r="K6" s="166">
        <f t="shared" si="3"/>
        <v>4106.9</v>
      </c>
      <c r="L6" s="188"/>
      <c r="M6" s="188">
        <f t="shared" si="0"/>
        <v>139236.1293</v>
      </c>
      <c r="N6" s="474"/>
    </row>
    <row r="7" spans="1:14" x14ac:dyDescent="0.25">
      <c r="A7" s="189">
        <v>4</v>
      </c>
      <c r="B7" s="284">
        <v>46299</v>
      </c>
      <c r="C7" s="185"/>
      <c r="D7" s="475"/>
      <c r="E7" s="167"/>
      <c r="F7" s="167"/>
      <c r="G7" s="166">
        <f t="shared" si="1"/>
        <v>0</v>
      </c>
      <c r="H7" s="167"/>
      <c r="I7" s="168"/>
      <c r="J7" s="166">
        <f t="shared" si="2"/>
        <v>0</v>
      </c>
      <c r="K7" s="166">
        <f t="shared" si="3"/>
        <v>0</v>
      </c>
      <c r="L7" s="188"/>
      <c r="M7" s="188">
        <f t="shared" si="0"/>
        <v>139236.1293</v>
      </c>
      <c r="N7" s="476"/>
    </row>
    <row r="8" spans="1:16" x14ac:dyDescent="0.25">
      <c r="A8" s="189">
        <v>5</v>
      </c>
      <c r="B8" s="284">
        <v>46300</v>
      </c>
      <c r="C8" s="185"/>
      <c r="D8" s="475"/>
      <c r="E8" s="167">
        <v>20</v>
      </c>
      <c r="F8" s="167">
        <v>99.64</v>
      </c>
      <c r="G8" s="166">
        <f t="shared" si="1"/>
        <v>1992.8</v>
      </c>
      <c r="H8" s="167"/>
      <c r="I8" s="168"/>
      <c r="J8" s="166">
        <f t="shared" si="2"/>
        <v>0</v>
      </c>
      <c r="K8" s="166">
        <f t="shared" si="3"/>
        <v>1992.8</v>
      </c>
      <c r="L8" s="188"/>
      <c r="M8" s="188">
        <f t="shared" si="0"/>
        <v>141228.9293</v>
      </c>
      <c r="N8" s="476"/>
      <c r="O8" s="477">
        <v>8497892194</v>
      </c>
      <c r="P8" s="478" t="s">
        <v>221</v>
      </c>
    </row>
    <row r="9" spans="1:15" x14ac:dyDescent="0.25">
      <c r="A9" s="183">
        <v>6</v>
      </c>
      <c r="B9" s="284">
        <v>46301</v>
      </c>
      <c r="C9" s="479"/>
      <c r="D9" s="480"/>
      <c r="E9" s="167">
        <v>20</v>
      </c>
      <c r="F9" s="168">
        <v>99.64</v>
      </c>
      <c r="G9" s="481">
        <f t="shared" si="1"/>
        <v>1992.8</v>
      </c>
      <c r="H9" s="459">
        <v>5</v>
      </c>
      <c r="I9" s="168">
        <v>111.77</v>
      </c>
      <c r="J9" s="482">
        <f t="shared" si="2"/>
        <v>558.85</v>
      </c>
      <c r="K9" s="482">
        <f t="shared" si="3"/>
        <v>2551.65</v>
      </c>
      <c r="L9" s="483"/>
      <c r="M9" s="188">
        <f t="shared" si="0"/>
        <v>143780.57929999998</v>
      </c>
      <c r="N9" s="186"/>
      <c r="O9" s="209"/>
    </row>
    <row r="10" spans="1:15" x14ac:dyDescent="0.25">
      <c r="A10" s="189">
        <v>7</v>
      </c>
      <c r="B10" s="284">
        <v>46302</v>
      </c>
      <c r="C10" s="484"/>
      <c r="D10" s="475"/>
      <c r="E10" s="263">
        <v>30</v>
      </c>
      <c r="F10" s="263">
        <v>99.64</v>
      </c>
      <c r="G10" s="481">
        <f t="shared" si="1"/>
        <v>2989.2</v>
      </c>
      <c r="H10" s="263">
        <v>6</v>
      </c>
      <c r="I10" s="168">
        <v>111.77</v>
      </c>
      <c r="J10" s="482">
        <f t="shared" si="2"/>
        <v>670.62</v>
      </c>
      <c r="K10" s="482">
        <f t="shared" si="3"/>
        <v>3659.8199999999997</v>
      </c>
      <c r="L10" s="483"/>
      <c r="M10" s="188">
        <f t="shared" si="0"/>
        <v>147440.3993</v>
      </c>
      <c r="N10" s="186"/>
      <c r="O10" s="209"/>
    </row>
    <row r="11" spans="1:15" x14ac:dyDescent="0.25">
      <c r="A11" s="189">
        <v>8</v>
      </c>
      <c r="B11" s="284">
        <v>46303</v>
      </c>
      <c r="C11" s="484"/>
      <c r="D11" s="475"/>
      <c r="E11" s="459">
        <v>20</v>
      </c>
      <c r="F11" s="459">
        <v>99.64</v>
      </c>
      <c r="G11" s="481">
        <f t="shared" si="1"/>
        <v>1992.8</v>
      </c>
      <c r="H11" s="263"/>
      <c r="I11" s="264"/>
      <c r="J11" s="482">
        <f t="shared" si="2"/>
        <v>0</v>
      </c>
      <c r="K11" s="482">
        <f t="shared" si="3"/>
        <v>1992.8</v>
      </c>
      <c r="L11" s="483"/>
      <c r="M11" s="188">
        <f t="shared" si="0"/>
        <v>149433.19929999998</v>
      </c>
      <c r="N11" s="186"/>
      <c r="O11" s="209"/>
    </row>
    <row r="12" spans="1:15" x14ac:dyDescent="0.25">
      <c r="A12" s="189">
        <v>9</v>
      </c>
      <c r="B12" s="284">
        <v>46304</v>
      </c>
      <c r="C12" s="484"/>
      <c r="D12" s="475"/>
      <c r="E12" s="459">
        <v>30</v>
      </c>
      <c r="F12" s="459">
        <v>99.64</v>
      </c>
      <c r="G12" s="481">
        <f t="shared" si="1"/>
        <v>2989.2</v>
      </c>
      <c r="H12" s="263"/>
      <c r="I12" s="264"/>
      <c r="J12" s="482">
        <f t="shared" si="2"/>
        <v>0</v>
      </c>
      <c r="K12" s="482">
        <f t="shared" si="3"/>
        <v>2989.2</v>
      </c>
      <c r="L12" s="483"/>
      <c r="M12" s="188">
        <f t="shared" si="0"/>
        <v>152422.3993</v>
      </c>
      <c r="N12" s="186"/>
      <c r="O12" s="209"/>
    </row>
    <row r="13" spans="1:15" x14ac:dyDescent="0.25">
      <c r="A13" s="189">
        <v>10</v>
      </c>
      <c r="B13" s="284">
        <v>46305</v>
      </c>
      <c r="C13" s="484"/>
      <c r="D13" s="475"/>
      <c r="E13" s="263"/>
      <c r="F13" s="459"/>
      <c r="G13" s="481">
        <f t="shared" si="1"/>
        <v>0</v>
      </c>
      <c r="H13" s="263">
        <v>6</v>
      </c>
      <c r="I13" s="264">
        <v>111.77</v>
      </c>
      <c r="J13" s="482">
        <f t="shared" si="2"/>
        <v>670.62</v>
      </c>
      <c r="K13" s="482">
        <f t="shared" si="3"/>
        <v>670.62</v>
      </c>
      <c r="L13" s="483"/>
      <c r="M13" s="188">
        <f t="shared" si="0"/>
        <v>153093.01929999999</v>
      </c>
      <c r="N13" s="186"/>
      <c r="O13" s="209"/>
    </row>
    <row r="14" spans="1:15" x14ac:dyDescent="0.25">
      <c r="A14" s="189">
        <v>11</v>
      </c>
      <c r="B14" s="284">
        <v>46306</v>
      </c>
      <c r="C14" s="484"/>
      <c r="D14" s="475"/>
      <c r="E14" s="263">
        <v>30</v>
      </c>
      <c r="F14" s="263">
        <v>99.64</v>
      </c>
      <c r="G14" s="481">
        <f t="shared" si="1"/>
        <v>2989.2</v>
      </c>
      <c r="H14" s="263"/>
      <c r="I14" s="264"/>
      <c r="J14" s="482">
        <f t="shared" si="2"/>
        <v>0</v>
      </c>
      <c r="K14" s="482">
        <f t="shared" si="3"/>
        <v>2989.2</v>
      </c>
      <c r="L14" s="483"/>
      <c r="M14" s="188">
        <f t="shared" si="0"/>
        <v>156082.2193</v>
      </c>
      <c r="N14" s="186"/>
      <c r="O14" s="209"/>
    </row>
    <row r="15" spans="1:15" x14ac:dyDescent="0.25">
      <c r="A15" s="189">
        <v>12</v>
      </c>
      <c r="B15" s="284">
        <v>46307</v>
      </c>
      <c r="C15" s="484"/>
      <c r="D15" s="475"/>
      <c r="E15" s="263">
        <v>20</v>
      </c>
      <c r="F15" s="263">
        <v>99.64</v>
      </c>
      <c r="G15" s="481">
        <f t="shared" si="1"/>
        <v>1992.8</v>
      </c>
      <c r="H15" s="263"/>
      <c r="I15" s="264"/>
      <c r="J15" s="482">
        <f t="shared" si="2"/>
        <v>0</v>
      </c>
      <c r="K15" s="482">
        <f t="shared" si="3"/>
        <v>1992.8</v>
      </c>
      <c r="L15" s="483"/>
      <c r="M15" s="485">
        <f t="shared" si="0"/>
        <v>158075.01929999999</v>
      </c>
      <c r="N15" s="186"/>
      <c r="O15" s="209"/>
    </row>
    <row r="16" spans="1:15" x14ac:dyDescent="0.25">
      <c r="A16" s="189">
        <v>13</v>
      </c>
      <c r="B16" s="284">
        <v>46308</v>
      </c>
      <c r="C16" s="484"/>
      <c r="D16" s="475"/>
      <c r="E16" s="263">
        <v>46</v>
      </c>
      <c r="F16" s="264">
        <v>99.64</v>
      </c>
      <c r="G16" s="481">
        <f t="shared" si="1"/>
        <v>4583.44</v>
      </c>
      <c r="H16" s="263">
        <v>10</v>
      </c>
      <c r="I16" s="264">
        <v>111.77</v>
      </c>
      <c r="J16" s="482">
        <f t="shared" si="2"/>
        <v>1117.7</v>
      </c>
      <c r="K16" s="482">
        <f t="shared" si="3"/>
        <v>5701.139999999999</v>
      </c>
      <c r="L16" s="483"/>
      <c r="M16" s="486">
        <f t="shared" si="0"/>
        <v>163776.1593</v>
      </c>
      <c r="N16" s="186"/>
      <c r="O16" s="209"/>
    </row>
    <row r="17" spans="1:15" x14ac:dyDescent="0.25">
      <c r="A17" s="189">
        <v>14</v>
      </c>
      <c r="B17" s="284">
        <v>46309</v>
      </c>
      <c r="C17" s="484"/>
      <c r="D17" s="475"/>
      <c r="E17" s="263"/>
      <c r="F17" s="263"/>
      <c r="G17" s="481">
        <f t="shared" si="1"/>
        <v>0</v>
      </c>
      <c r="H17" s="263">
        <v>7.73</v>
      </c>
      <c r="I17" s="264">
        <v>111.77</v>
      </c>
      <c r="J17" s="482">
        <f t="shared" si="2"/>
        <v>863.9821000000001</v>
      </c>
      <c r="K17" s="482">
        <f t="shared" si="3"/>
        <v>863.9821000000001</v>
      </c>
      <c r="L17" s="483"/>
      <c r="M17" s="485">
        <f t="shared" si="0"/>
        <v>164640.1414</v>
      </c>
      <c r="N17" s="186"/>
      <c r="O17" s="209"/>
    </row>
    <row r="18" spans="1:15" x14ac:dyDescent="0.25">
      <c r="A18" s="189">
        <v>15</v>
      </c>
      <c r="B18" s="284">
        <v>46310</v>
      </c>
      <c r="C18" s="484"/>
      <c r="D18" s="475"/>
      <c r="E18" s="263">
        <v>20</v>
      </c>
      <c r="F18" s="263">
        <v>99.64</v>
      </c>
      <c r="G18" s="481">
        <f t="shared" si="1"/>
        <v>1992.8</v>
      </c>
      <c r="H18" s="263">
        <v>5</v>
      </c>
      <c r="I18" s="264">
        <v>111.77</v>
      </c>
      <c r="J18" s="482">
        <f t="shared" si="2"/>
        <v>558.85</v>
      </c>
      <c r="K18" s="482">
        <f t="shared" si="3"/>
        <v>2551.65</v>
      </c>
      <c r="L18" s="483"/>
      <c r="M18" s="485">
        <f t="shared" si="0"/>
        <v>167191.7914</v>
      </c>
      <c r="N18" s="186"/>
      <c r="O18" s="209"/>
    </row>
    <row r="19" spans="1:15" x14ac:dyDescent="0.25">
      <c r="A19" s="189">
        <v>16</v>
      </c>
      <c r="B19" s="284">
        <v>46311</v>
      </c>
      <c r="C19" s="487"/>
      <c r="D19" s="488"/>
      <c r="E19" s="263"/>
      <c r="F19" s="263"/>
      <c r="G19" s="481">
        <f t="shared" si="1"/>
        <v>0</v>
      </c>
      <c r="H19" s="263"/>
      <c r="I19" s="264"/>
      <c r="J19" s="482">
        <f t="shared" si="2"/>
        <v>0</v>
      </c>
      <c r="K19" s="482">
        <f t="shared" si="3"/>
        <v>0</v>
      </c>
      <c r="L19" s="483"/>
      <c r="M19" s="489">
        <f t="shared" si="0"/>
        <v>167191.7914</v>
      </c>
      <c r="N19" s="201"/>
      <c r="O19" s="209"/>
    </row>
    <row r="20" spans="1:15" x14ac:dyDescent="0.25">
      <c r="A20" s="189">
        <v>17</v>
      </c>
      <c r="B20" s="284">
        <v>46312</v>
      </c>
      <c r="C20" s="185"/>
      <c r="D20" s="475"/>
      <c r="E20" s="263"/>
      <c r="F20" s="263"/>
      <c r="G20" s="481">
        <f t="shared" si="1"/>
        <v>0</v>
      </c>
      <c r="H20" s="263"/>
      <c r="I20" s="264"/>
      <c r="J20" s="482">
        <f t="shared" si="2"/>
        <v>0</v>
      </c>
      <c r="K20" s="482">
        <f t="shared" si="3"/>
        <v>0</v>
      </c>
      <c r="L20" s="483"/>
      <c r="M20" s="489">
        <f t="shared" si="0"/>
        <v>167191.7914</v>
      </c>
      <c r="N20" s="186"/>
      <c r="O20" s="209"/>
    </row>
    <row r="21" spans="1:15" x14ac:dyDescent="0.25">
      <c r="A21" s="189">
        <v>18</v>
      </c>
      <c r="B21" s="284">
        <v>46313</v>
      </c>
      <c r="C21" s="185"/>
      <c r="D21" s="475"/>
      <c r="E21" s="459"/>
      <c r="F21" s="263"/>
      <c r="G21" s="481">
        <f t="shared" si="1"/>
        <v>0</v>
      </c>
      <c r="H21" s="263"/>
      <c r="I21" s="264"/>
      <c r="J21" s="482">
        <f t="shared" si="2"/>
        <v>0</v>
      </c>
      <c r="K21" s="482">
        <f t="shared" si="3"/>
        <v>0</v>
      </c>
      <c r="L21" s="483"/>
      <c r="M21" s="489">
        <f t="shared" si="0"/>
        <v>167191.7914</v>
      </c>
      <c r="N21" s="186"/>
      <c r="O21" s="209"/>
    </row>
    <row r="22" spans="1:15" x14ac:dyDescent="0.25">
      <c r="A22" s="189">
        <v>19</v>
      </c>
      <c r="B22" s="284">
        <v>46314</v>
      </c>
      <c r="C22" s="185"/>
      <c r="D22" s="475"/>
      <c r="E22" s="459"/>
      <c r="F22" s="459"/>
      <c r="G22" s="481">
        <f t="shared" si="1"/>
        <v>0</v>
      </c>
      <c r="H22" s="263"/>
      <c r="I22" s="264"/>
      <c r="J22" s="482">
        <f t="shared" si="2"/>
        <v>0</v>
      </c>
      <c r="K22" s="482">
        <f t="shared" si="3"/>
        <v>0</v>
      </c>
      <c r="L22" s="483"/>
      <c r="M22" s="489">
        <f t="shared" ref="M22:M31" si="4">M21+K22-L22</f>
        <v>167191.7914</v>
      </c>
      <c r="N22" s="186"/>
      <c r="O22" s="209"/>
    </row>
    <row r="23" spans="1:15" x14ac:dyDescent="0.25">
      <c r="A23" s="189"/>
      <c r="B23" s="284">
        <v>46315</v>
      </c>
      <c r="C23" s="185"/>
      <c r="D23" s="475"/>
      <c r="E23" s="263"/>
      <c r="F23" s="263"/>
      <c r="G23" s="481">
        <f t="shared" si="1"/>
        <v>0</v>
      </c>
      <c r="H23" s="263"/>
      <c r="I23" s="264"/>
      <c r="J23" s="482">
        <f t="shared" si="2"/>
        <v>0</v>
      </c>
      <c r="K23" s="482">
        <f t="shared" si="3"/>
        <v>0</v>
      </c>
      <c r="L23" s="483"/>
      <c r="M23" s="489">
        <f t="shared" si="4"/>
        <v>167191.7914</v>
      </c>
      <c r="N23" s="186"/>
      <c r="O23" s="209"/>
    </row>
    <row r="24" spans="1:15" x14ac:dyDescent="0.25">
      <c r="A24" s="189">
        <v>20</v>
      </c>
      <c r="B24" s="284">
        <v>46316</v>
      </c>
      <c r="C24" s="185"/>
      <c r="D24" s="475"/>
      <c r="E24" s="459"/>
      <c r="F24" s="459"/>
      <c r="G24" s="481">
        <f t="shared" si="1"/>
        <v>0</v>
      </c>
      <c r="H24" s="263"/>
      <c r="I24" s="264"/>
      <c r="J24" s="482">
        <f t="shared" si="2"/>
        <v>0</v>
      </c>
      <c r="K24" s="482">
        <f t="shared" si="3"/>
        <v>0</v>
      </c>
      <c r="L24" s="483"/>
      <c r="M24" s="489">
        <f t="shared" si="4"/>
        <v>167191.7914</v>
      </c>
      <c r="N24" s="186"/>
      <c r="O24" s="209"/>
    </row>
    <row r="25" spans="1:15" x14ac:dyDescent="0.25">
      <c r="A25" s="189">
        <v>21</v>
      </c>
      <c r="B25" s="284">
        <v>46317</v>
      </c>
      <c r="C25" s="185"/>
      <c r="D25" s="475"/>
      <c r="E25" s="263"/>
      <c r="F25" s="263"/>
      <c r="G25" s="481">
        <f t="shared" si="1"/>
        <v>0</v>
      </c>
      <c r="H25" s="263"/>
      <c r="I25" s="264"/>
      <c r="J25" s="482">
        <f t="shared" si="2"/>
        <v>0</v>
      </c>
      <c r="K25" s="482">
        <f t="shared" si="3"/>
        <v>0</v>
      </c>
      <c r="L25" s="483"/>
      <c r="M25" s="489">
        <f t="shared" si="4"/>
        <v>167191.7914</v>
      </c>
      <c r="N25" s="186"/>
      <c r="O25" s="209"/>
    </row>
    <row r="26" spans="1:15" x14ac:dyDescent="0.25">
      <c r="A26" s="189">
        <v>22</v>
      </c>
      <c r="B26" s="284">
        <v>46318</v>
      </c>
      <c r="C26" s="185"/>
      <c r="D26" s="475"/>
      <c r="E26" s="263"/>
      <c r="F26" s="263"/>
      <c r="G26" s="481">
        <f t="shared" si="1"/>
        <v>0</v>
      </c>
      <c r="H26" s="263"/>
      <c r="I26" s="264"/>
      <c r="J26" s="482">
        <f t="shared" si="2"/>
        <v>0</v>
      </c>
      <c r="K26" s="482">
        <f t="shared" si="3"/>
        <v>0</v>
      </c>
      <c r="L26" s="483"/>
      <c r="M26" s="489">
        <f t="shared" si="4"/>
        <v>167191.7914</v>
      </c>
      <c r="N26" s="186"/>
      <c r="O26" s="209"/>
    </row>
    <row r="27" spans="1:15" x14ac:dyDescent="0.25">
      <c r="A27" s="189">
        <v>23</v>
      </c>
      <c r="B27" s="284">
        <v>46319</v>
      </c>
      <c r="C27" s="185"/>
      <c r="D27" s="475"/>
      <c r="E27" s="263"/>
      <c r="F27" s="263"/>
      <c r="G27" s="481">
        <f t="shared" si="1"/>
        <v>0</v>
      </c>
      <c r="H27" s="263"/>
      <c r="I27" s="264"/>
      <c r="J27" s="482">
        <f t="shared" si="2"/>
        <v>0</v>
      </c>
      <c r="K27" s="490">
        <f t="shared" si="3"/>
        <v>0</v>
      </c>
      <c r="L27" s="491"/>
      <c r="M27" s="489">
        <f t="shared" si="4"/>
        <v>167191.7914</v>
      </c>
      <c r="N27" s="201"/>
      <c r="O27" s="209"/>
    </row>
    <row r="28" spans="1:15" x14ac:dyDescent="0.25">
      <c r="A28" s="189">
        <v>24</v>
      </c>
      <c r="B28" s="284">
        <v>46320</v>
      </c>
      <c r="C28" s="185"/>
      <c r="D28" s="475"/>
      <c r="E28" s="263"/>
      <c r="F28" s="263"/>
      <c r="G28" s="481">
        <f t="shared" si="1"/>
        <v>0</v>
      </c>
      <c r="H28" s="263"/>
      <c r="I28" s="264"/>
      <c r="J28" s="492">
        <f t="shared" si="2"/>
        <v>0</v>
      </c>
      <c r="K28" s="166">
        <f t="shared" si="3"/>
        <v>0</v>
      </c>
      <c r="L28" s="188"/>
      <c r="M28" s="188">
        <f t="shared" si="4"/>
        <v>167191.7914</v>
      </c>
      <c r="N28" s="186"/>
      <c r="O28" s="209"/>
    </row>
    <row r="29" spans="1:15" x14ac:dyDescent="0.25">
      <c r="A29" s="493">
        <v>25</v>
      </c>
      <c r="B29" s="284">
        <v>46321</v>
      </c>
      <c r="C29" s="377"/>
      <c r="D29" s="488"/>
      <c r="E29" s="459"/>
      <c r="F29" s="459"/>
      <c r="G29" s="481">
        <f t="shared" si="1"/>
        <v>0</v>
      </c>
      <c r="H29" s="263"/>
      <c r="I29" s="264"/>
      <c r="J29" s="492">
        <f t="shared" si="2"/>
        <v>0</v>
      </c>
      <c r="K29" s="166">
        <f t="shared" si="3"/>
        <v>0</v>
      </c>
      <c r="L29" s="188"/>
      <c r="M29" s="188">
        <f t="shared" si="4"/>
        <v>167191.7914</v>
      </c>
      <c r="N29" s="186"/>
      <c r="O29" s="209"/>
    </row>
    <row r="30" spans="1:15" x14ac:dyDescent="0.25">
      <c r="A30" s="189">
        <v>26</v>
      </c>
      <c r="B30" s="284">
        <v>46322</v>
      </c>
      <c r="C30" s="185"/>
      <c r="D30" s="475"/>
      <c r="E30" s="459"/>
      <c r="F30" s="459"/>
      <c r="G30" s="481">
        <f t="shared" si="1"/>
        <v>0</v>
      </c>
      <c r="H30" s="263"/>
      <c r="I30" s="264"/>
      <c r="J30" s="492">
        <f t="shared" si="2"/>
        <v>0</v>
      </c>
      <c r="K30" s="166">
        <f t="shared" si="3"/>
        <v>0</v>
      </c>
      <c r="L30" s="188"/>
      <c r="M30" s="188">
        <f t="shared" si="4"/>
        <v>167191.7914</v>
      </c>
      <c r="N30" s="186"/>
      <c r="O30" s="209"/>
    </row>
    <row r="31" spans="1:15" x14ac:dyDescent="0.25">
      <c r="A31" s="189">
        <v>27</v>
      </c>
      <c r="B31" s="284">
        <v>46323</v>
      </c>
      <c r="C31" s="185"/>
      <c r="D31" s="475"/>
      <c r="E31" s="263"/>
      <c r="F31" s="263"/>
      <c r="G31" s="481">
        <f t="shared" si="1"/>
        <v>0</v>
      </c>
      <c r="H31" s="263"/>
      <c r="I31" s="264"/>
      <c r="J31" s="492">
        <f t="shared" si="2"/>
        <v>0</v>
      </c>
      <c r="K31" s="166">
        <f t="shared" si="3"/>
        <v>0</v>
      </c>
      <c r="L31" s="188"/>
      <c r="M31" s="188">
        <f t="shared" si="4"/>
        <v>167191.7914</v>
      </c>
      <c r="N31" s="186"/>
      <c r="O31" s="209"/>
    </row>
    <row r="32" spans="1:15" x14ac:dyDescent="0.25">
      <c r="A32" s="189">
        <v>28</v>
      </c>
      <c r="B32" s="284">
        <v>46324</v>
      </c>
      <c r="C32" s="185"/>
      <c r="D32" s="475"/>
      <c r="E32" s="459"/>
      <c r="F32" s="459"/>
      <c r="G32" s="481">
        <f t="shared" si="1"/>
        <v>0</v>
      </c>
      <c r="H32" s="263"/>
      <c r="I32" s="264"/>
      <c r="J32" s="492">
        <f t="shared" si="2"/>
        <v>0</v>
      </c>
      <c r="K32" s="166">
        <f t="shared" si="3"/>
        <v>0</v>
      </c>
      <c r="L32" s="188"/>
      <c r="M32" s="188">
        <f>M31+K32-L32</f>
        <v>167191.7914</v>
      </c>
      <c r="N32" s="186"/>
      <c r="O32" s="209"/>
    </row>
    <row r="33" spans="1:15" x14ac:dyDescent="0.25">
      <c r="A33" s="189">
        <v>29</v>
      </c>
      <c r="B33" s="284">
        <v>46325</v>
      </c>
      <c r="C33" s="185"/>
      <c r="D33" s="475"/>
      <c r="E33" s="459"/>
      <c r="F33" s="459"/>
      <c r="G33" s="481">
        <f t="shared" si="1"/>
        <v>0</v>
      </c>
      <c r="H33" s="263"/>
      <c r="I33" s="264"/>
      <c r="J33" s="492">
        <f t="shared" si="2"/>
        <v>0</v>
      </c>
      <c r="K33" s="166">
        <f t="shared" si="3"/>
        <v>0</v>
      </c>
      <c r="L33" s="188"/>
      <c r="M33" s="188">
        <f>M32+K33-L33</f>
        <v>167191.7914</v>
      </c>
      <c r="N33" s="186"/>
      <c r="O33" s="209"/>
    </row>
    <row r="34" spans="1:15" x14ac:dyDescent="0.25">
      <c r="A34" s="189">
        <v>30</v>
      </c>
      <c r="B34" s="284">
        <v>46326</v>
      </c>
      <c r="C34" s="185"/>
      <c r="D34" s="475"/>
      <c r="E34" s="263"/>
      <c r="F34" s="263"/>
      <c r="G34" s="481">
        <f t="shared" si="1"/>
        <v>0</v>
      </c>
      <c r="H34" s="263"/>
      <c r="I34" s="264"/>
      <c r="J34" s="492">
        <f t="shared" si="2"/>
        <v>0</v>
      </c>
      <c r="K34" s="166">
        <f t="shared" si="3"/>
        <v>0</v>
      </c>
      <c r="L34" s="188"/>
      <c r="M34" s="188">
        <f>M33+K34-L34</f>
        <v>167191.7914</v>
      </c>
      <c r="N34" s="186"/>
      <c r="O34" s="209"/>
    </row>
    <row r="35" spans="1:15" x14ac:dyDescent="0.25">
      <c r="A35" s="189">
        <v>31</v>
      </c>
      <c r="B35" s="284"/>
      <c r="C35" s="185"/>
      <c r="D35" s="475"/>
      <c r="E35" s="263"/>
      <c r="F35" s="263"/>
      <c r="G35" s="481">
        <f t="shared" si="1"/>
        <v>0</v>
      </c>
      <c r="H35" s="263"/>
      <c r="I35" s="264"/>
      <c r="J35" s="492">
        <f t="shared" si="2"/>
        <v>0</v>
      </c>
      <c r="K35" s="166">
        <f t="shared" si="3"/>
        <v>0</v>
      </c>
      <c r="L35" s="188"/>
      <c r="M35" s="188">
        <f>M34+K35-L35</f>
        <v>167191.7914</v>
      </c>
      <c r="N35" s="186"/>
      <c r="O35" s="209"/>
    </row>
    <row r="36" spans="1:15" x14ac:dyDescent="0.25">
      <c r="A36" s="378"/>
      <c r="B36" s="378"/>
      <c r="C36" s="378"/>
      <c r="D36" s="378"/>
      <c r="E36" s="379">
        <f>SUM(E4:E35)</f>
        <v>336</v>
      </c>
      <c r="F36" s="379"/>
      <c r="G36" s="379">
        <f>SUM(G4:G35)</f>
        <v>33479.04</v>
      </c>
      <c r="H36" s="379">
        <f>SUM(H4:H35)</f>
        <v>60.730000000000004</v>
      </c>
      <c r="I36" s="379"/>
      <c r="J36" s="379">
        <f>SUM(J4:J35)</f>
        <v>6787.792100000001</v>
      </c>
      <c r="K36" s="494">
        <f>SUM(K4:K35)</f>
        <v>40266.8321</v>
      </c>
      <c r="L36" s="379">
        <f>SUM(L4:L35)</f>
        <v>0</v>
      </c>
      <c r="M36" s="379"/>
      <c r="N36" s="495"/>
      <c r="O36" s="208"/>
    </row>
    <row r="37" spans="1:15" x14ac:dyDescent="0.25">
      <c r="A37" s="211"/>
      <c r="B37" s="212"/>
      <c r="C37" s="211"/>
      <c r="D37" s="211"/>
      <c r="E37" s="213"/>
      <c r="F37" s="213"/>
      <c r="G37" s="213"/>
      <c r="H37" s="213"/>
      <c r="I37" s="213"/>
      <c r="J37" s="214"/>
      <c r="K37" s="214"/>
      <c r="L37" s="214"/>
      <c r="M37" s="214"/>
      <c r="N37" s="213"/>
      <c r="O37" s="209"/>
    </row>
    <row r="38" spans="15:15" x14ac:dyDescent="0.25">
      <c r="O38" s="209"/>
    </row>
    <row r="39" spans="15:15" x14ac:dyDescent="0.25">
      <c r="O39" s="209"/>
    </row>
    <row r="40" spans="15:15" x14ac:dyDescent="0.25">
      <c r="O40" s="209"/>
    </row>
    <row r="41" spans="15:15" x14ac:dyDescent="0.25">
      <c r="O41" s="209"/>
    </row>
    <row r="42" spans="15:15" x14ac:dyDescent="0.25">
      <c r="O42" s="209"/>
    </row>
    <row r="43" spans="1:15" x14ac:dyDescent="0.25">
      <c r="A43" s="209"/>
      <c r="B43" s="208"/>
      <c r="C43" s="209"/>
      <c r="D43" s="209"/>
      <c r="E43" s="209"/>
      <c r="F43" s="209"/>
      <c r="G43" s="213"/>
      <c r="H43" s="209"/>
      <c r="I43" s="209"/>
      <c r="J43" s="208"/>
      <c r="K43" s="208"/>
      <c r="L43" s="208"/>
      <c r="M43" s="208"/>
      <c r="N43" s="209"/>
      <c r="O43" s="213"/>
    </row>
    <row r="44" spans="1:15" x14ac:dyDescent="0.25">
      <c r="A44" s="209"/>
      <c r="B44" s="209"/>
      <c r="C44" s="209"/>
      <c r="D44" s="209"/>
      <c r="E44" s="209"/>
      <c r="F44" s="209"/>
      <c r="G44" s="209"/>
      <c r="H44" s="209"/>
      <c r="I44" s="209"/>
      <c r="J44" s="209"/>
      <c r="K44" s="209"/>
      <c r="L44" s="209"/>
      <c r="M44" s="209"/>
      <c r="N44" s="209"/>
      <c r="O44" s="213"/>
    </row>
    <row r="45" spans="1:15" x14ac:dyDescent="0.25">
      <c r="A45" s="209"/>
      <c r="B45" s="208"/>
      <c r="C45" s="209"/>
      <c r="D45" s="209"/>
      <c r="E45" s="209"/>
      <c r="F45" s="209"/>
      <c r="G45" s="209"/>
      <c r="H45" s="209"/>
      <c r="I45" s="209"/>
      <c r="J45" s="208"/>
      <c r="K45" s="208"/>
      <c r="L45" s="208"/>
      <c r="M45" s="208"/>
      <c r="N45" s="209"/>
      <c r="O45" s="213"/>
    </row>
  </sheetData>
  <mergeCells count="4">
    <mergeCell ref="A1:N1"/>
    <mergeCell ref="A3:J3"/>
    <mergeCell ref="B44:E44"/>
    <mergeCell ref="I44:N4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5"/>
  <sheetViews>
    <sheetView workbookViewId="0" zoomScale="100" zoomScaleNormal="100">
      <pane ySplit="2" topLeftCell="A3" activePane="bottomLeft" state="frozen"/>
      <selection pane="bottomLeft" activeCell="M17" sqref="M17"/>
    </sheetView>
  </sheetViews>
  <sheetFormatPr defaultRowHeight="15" outlineLevelRow="0" outlineLevelCol="0" x14ac:dyDescent="0" defaultColWidth="12.85546875"/>
  <cols>
    <col min="1" max="1" width="5.140625" customWidth="1"/>
    <col min="2" max="2" width="10.42578125" customWidth="1"/>
    <col min="3" max="3" width="8" customWidth="1"/>
    <col min="4" max="4" width="26" customWidth="1"/>
    <col min="5" max="5" width="10.7109375" customWidth="1"/>
    <col min="6" max="6" width="11.85546875" customWidth="1"/>
    <col min="7" max="7" width="13.7109375" customWidth="1"/>
    <col min="8" max="8" width="10.7109375" customWidth="1"/>
    <col min="9" max="9" width="8.140625" customWidth="1"/>
    <col min="10" max="10" width="11.5703125" customWidth="1"/>
    <col min="11" max="13" width="13.5703125" customWidth="1"/>
    <col min="14" max="14" width="8.7109375" customWidth="1"/>
    <col min="15" max="15" width="19.7109375" customWidth="1"/>
  </cols>
  <sheetData>
    <row r="1" ht="15.75" customHeight="1" spans="1:15" x14ac:dyDescent="0.25">
      <c r="A1" s="286" t="s">
        <v>132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421"/>
    </row>
    <row r="2" ht="30" customHeight="1" spans="1:15" x14ac:dyDescent="0.25">
      <c r="A2" s="422" t="s">
        <v>0</v>
      </c>
      <c r="B2" s="423" t="s">
        <v>167</v>
      </c>
      <c r="C2" s="423" t="s">
        <v>168</v>
      </c>
      <c r="D2" s="423" t="s">
        <v>169</v>
      </c>
      <c r="E2" s="423" t="s">
        <v>170</v>
      </c>
      <c r="F2" s="423" t="s">
        <v>171</v>
      </c>
      <c r="G2" s="423" t="s">
        <v>172</v>
      </c>
      <c r="H2" s="423" t="s">
        <v>173</v>
      </c>
      <c r="I2" s="423" t="s">
        <v>171</v>
      </c>
      <c r="J2" s="424" t="s">
        <v>172</v>
      </c>
      <c r="K2" s="425" t="s">
        <v>174</v>
      </c>
      <c r="L2" s="426" t="s">
        <v>175</v>
      </c>
      <c r="M2" s="292" t="s">
        <v>190</v>
      </c>
      <c r="N2" s="180" t="s">
        <v>177</v>
      </c>
      <c r="O2" s="208"/>
    </row>
    <row r="3" spans="1:15" x14ac:dyDescent="0.25">
      <c r="A3" s="427"/>
      <c r="B3" s="428"/>
      <c r="C3" s="428"/>
      <c r="D3" s="429" t="s">
        <v>178</v>
      </c>
      <c r="E3" s="428"/>
      <c r="F3" s="428"/>
      <c r="G3" s="428"/>
      <c r="H3" s="428"/>
      <c r="I3" s="428"/>
      <c r="J3" s="428"/>
      <c r="K3" s="114"/>
      <c r="L3" s="430">
        <v>342407.8099000011</v>
      </c>
      <c r="M3" s="431">
        <v>342407.8099000011</v>
      </c>
      <c r="N3" s="37"/>
      <c r="O3" s="208"/>
    </row>
    <row r="4" spans="1:15" x14ac:dyDescent="0.25">
      <c r="A4" s="189">
        <v>1</v>
      </c>
      <c r="B4" s="432">
        <v>46296</v>
      </c>
      <c r="C4" s="433"/>
      <c r="D4" s="387"/>
      <c r="E4" s="259"/>
      <c r="F4" s="166"/>
      <c r="G4" s="434">
        <f>E4*F4</f>
        <v>0</v>
      </c>
      <c r="H4" s="435"/>
      <c r="I4" s="435"/>
      <c r="J4" s="436">
        <f>H4*I4</f>
        <v>0</v>
      </c>
      <c r="K4" s="166">
        <f>G4+J4</f>
        <v>0</v>
      </c>
      <c r="L4" s="166"/>
      <c r="M4" s="166">
        <f t="shared" ref="M4:M23" si="0">M3+K4-L4</f>
        <v>342407.8099000011</v>
      </c>
      <c r="N4" s="262"/>
      <c r="O4" s="437"/>
    </row>
    <row r="5" spans="1:15" x14ac:dyDescent="0.25">
      <c r="A5" s="189">
        <v>2</v>
      </c>
      <c r="B5" s="432">
        <v>46297</v>
      </c>
      <c r="C5" s="433"/>
      <c r="D5" s="387"/>
      <c r="E5" s="259"/>
      <c r="F5" s="166"/>
      <c r="G5" s="434">
        <f t="shared" ref="G5:G9" si="1">E5*F5</f>
        <v>0</v>
      </c>
      <c r="H5" s="435"/>
      <c r="I5" s="435"/>
      <c r="J5" s="436">
        <f t="shared" ref="J5" si="2">H5*I5</f>
        <v>0</v>
      </c>
      <c r="K5" s="166">
        <f t="shared" ref="K5:K8" si="3">G5+J5</f>
        <v>0</v>
      </c>
      <c r="L5" s="166"/>
      <c r="M5" s="166">
        <f t="shared" si="0"/>
        <v>342407.8099000011</v>
      </c>
      <c r="N5" s="166"/>
      <c r="O5" s="437"/>
    </row>
    <row r="6" ht="15.75" customHeight="1" spans="1:15" x14ac:dyDescent="0.25">
      <c r="A6" s="189">
        <v>3</v>
      </c>
      <c r="B6" s="432">
        <v>46298</v>
      </c>
      <c r="C6" s="433"/>
      <c r="D6" s="438"/>
      <c r="E6" s="259"/>
      <c r="F6" s="166"/>
      <c r="G6" s="434">
        <f t="shared" si="1"/>
        <v>0</v>
      </c>
      <c r="H6" s="435"/>
      <c r="I6" s="435"/>
      <c r="J6" s="436">
        <f>H6*I6</f>
        <v>0</v>
      </c>
      <c r="K6" s="166">
        <f t="shared" si="3"/>
        <v>0</v>
      </c>
      <c r="L6" s="166"/>
      <c r="M6" s="166">
        <f t="shared" si="0"/>
        <v>342407.8099000011</v>
      </c>
      <c r="N6" s="166"/>
      <c r="O6" s="437"/>
    </row>
    <row r="7" ht="15.75" customHeight="1" spans="1:15" x14ac:dyDescent="0.25">
      <c r="A7" s="189">
        <v>3</v>
      </c>
      <c r="B7" s="432">
        <v>46299</v>
      </c>
      <c r="C7" s="433"/>
      <c r="D7" s="439"/>
      <c r="E7" s="166"/>
      <c r="F7" s="166"/>
      <c r="G7" s="434">
        <f t="shared" ref="G7" si="4">E7*F7</f>
        <v>0</v>
      </c>
      <c r="H7" s="435"/>
      <c r="I7" s="435"/>
      <c r="J7" s="436">
        <f>H7*I7</f>
        <v>0</v>
      </c>
      <c r="K7" s="166">
        <f t="shared" ref="K7" si="5">G7+J7</f>
        <v>0</v>
      </c>
      <c r="L7" s="166"/>
      <c r="M7" s="166">
        <f t="shared" si="0"/>
        <v>342407.8099000011</v>
      </c>
      <c r="N7" s="166"/>
      <c r="O7" s="437"/>
    </row>
    <row r="8" spans="1:15" x14ac:dyDescent="0.25">
      <c r="A8" s="189">
        <v>4</v>
      </c>
      <c r="B8" s="432">
        <v>46300</v>
      </c>
      <c r="C8" s="433"/>
      <c r="D8" s="387"/>
      <c r="E8" s="166">
        <v>600</v>
      </c>
      <c r="F8" s="166">
        <v>98.94</v>
      </c>
      <c r="G8" s="434">
        <f t="shared" si="1"/>
        <v>59364</v>
      </c>
      <c r="H8" s="435"/>
      <c r="I8" s="435"/>
      <c r="J8" s="436">
        <f>H8*I8</f>
        <v>0</v>
      </c>
      <c r="K8" s="166">
        <f t="shared" si="3"/>
        <v>59364</v>
      </c>
      <c r="L8" s="166"/>
      <c r="M8" s="166">
        <f t="shared" si="0"/>
        <v>401771.8099000011</v>
      </c>
      <c r="N8" s="166"/>
      <c r="O8" s="437"/>
    </row>
    <row r="9" spans="1:15" x14ac:dyDescent="0.25">
      <c r="A9" s="189">
        <v>5</v>
      </c>
      <c r="B9" s="432">
        <v>46301</v>
      </c>
      <c r="C9" s="433"/>
      <c r="D9" s="387"/>
      <c r="E9" s="166"/>
      <c r="F9" s="166"/>
      <c r="G9" s="434">
        <f t="shared" si="1"/>
        <v>0</v>
      </c>
      <c r="H9" s="435"/>
      <c r="I9" s="435"/>
      <c r="J9" s="436">
        <v>0</v>
      </c>
      <c r="K9" s="166">
        <f t="shared" ref="K9:K41" si="6">G9+J9</f>
        <v>0</v>
      </c>
      <c r="L9" s="166"/>
      <c r="M9" s="166">
        <f t="shared" si="0"/>
        <v>401771.8099000011</v>
      </c>
      <c r="N9" s="166"/>
      <c r="O9" s="437"/>
    </row>
    <row r="10" spans="1:15" x14ac:dyDescent="0.25">
      <c r="A10" s="189">
        <v>6</v>
      </c>
      <c r="B10" s="432">
        <v>46302</v>
      </c>
      <c r="C10" s="433"/>
      <c r="D10" s="387"/>
      <c r="E10" s="166"/>
      <c r="F10" s="166"/>
      <c r="G10" s="434">
        <f>E10*F10</f>
        <v>0</v>
      </c>
      <c r="H10" s="435"/>
      <c r="I10" s="435"/>
      <c r="J10" s="434">
        <f>H10*I10</f>
        <v>0</v>
      </c>
      <c r="K10" s="166">
        <f t="shared" ref="K10:K40" si="7">G10+J10</f>
        <v>0</v>
      </c>
      <c r="L10" s="166"/>
      <c r="M10" s="166">
        <f t="shared" si="0"/>
        <v>401771.8099000011</v>
      </c>
      <c r="N10" s="166"/>
      <c r="O10" s="437"/>
    </row>
    <row r="11" spans="1:15" x14ac:dyDescent="0.25">
      <c r="A11" s="189">
        <v>7</v>
      </c>
      <c r="B11" s="432">
        <v>46303</v>
      </c>
      <c r="C11" s="433"/>
      <c r="D11" s="387"/>
      <c r="E11" s="166">
        <v>2000</v>
      </c>
      <c r="F11" s="166">
        <v>98.94</v>
      </c>
      <c r="G11" s="434">
        <f>E11*F11</f>
        <v>197880</v>
      </c>
      <c r="H11" s="435">
        <v>20</v>
      </c>
      <c r="I11" s="435">
        <v>112.27</v>
      </c>
      <c r="J11" s="434">
        <f t="shared" ref="J11:J24" si="8">H11*I11</f>
        <v>2245.4</v>
      </c>
      <c r="K11" s="166">
        <f t="shared" si="7"/>
        <v>200125.4</v>
      </c>
      <c r="L11" s="166"/>
      <c r="M11" s="166">
        <f t="shared" si="0"/>
        <v>601897.2099000011</v>
      </c>
      <c r="N11" s="166"/>
      <c r="O11" s="437"/>
    </row>
    <row r="12" spans="1:15" x14ac:dyDescent="0.25">
      <c r="A12" s="189">
        <v>8</v>
      </c>
      <c r="B12" s="432">
        <v>46304</v>
      </c>
      <c r="C12" s="433"/>
      <c r="D12" s="387"/>
      <c r="E12" s="166"/>
      <c r="F12" s="166"/>
      <c r="G12" s="434">
        <f>E12*F12</f>
        <v>0</v>
      </c>
      <c r="H12" s="435"/>
      <c r="I12" s="435"/>
      <c r="J12" s="434">
        <f t="shared" si="8"/>
        <v>0</v>
      </c>
      <c r="K12" s="166">
        <f t="shared" si="7"/>
        <v>0</v>
      </c>
      <c r="L12" s="166"/>
      <c r="M12" s="166">
        <f t="shared" si="0"/>
        <v>601897.2099000011</v>
      </c>
      <c r="N12" s="166"/>
      <c r="O12" s="437"/>
    </row>
    <row r="13" spans="1:15" x14ac:dyDescent="0.25">
      <c r="A13" s="189">
        <v>9</v>
      </c>
      <c r="B13" s="432">
        <v>46305</v>
      </c>
      <c r="C13" s="433"/>
      <c r="D13" s="387"/>
      <c r="E13" s="166"/>
      <c r="F13" s="166"/>
      <c r="G13" s="434">
        <f t="shared" ref="G13:G27" si="9">E13*F13</f>
        <v>0</v>
      </c>
      <c r="H13" s="435"/>
      <c r="I13" s="435"/>
      <c r="J13" s="434">
        <f t="shared" si="8"/>
        <v>0</v>
      </c>
      <c r="K13" s="166">
        <f t="shared" si="7"/>
        <v>0</v>
      </c>
      <c r="L13" s="166"/>
      <c r="M13" s="166">
        <f t="shared" si="0"/>
        <v>601897.2099000011</v>
      </c>
      <c r="N13" s="166"/>
      <c r="O13" s="437"/>
    </row>
    <row r="14" spans="1:15" x14ac:dyDescent="0.25">
      <c r="A14" s="189">
        <v>10</v>
      </c>
      <c r="B14" s="432">
        <v>46306</v>
      </c>
      <c r="C14" s="433"/>
      <c r="D14" s="387"/>
      <c r="E14" s="166"/>
      <c r="F14" s="166"/>
      <c r="G14" s="434">
        <f t="shared" si="9"/>
        <v>0</v>
      </c>
      <c r="H14" s="435"/>
      <c r="I14" s="435"/>
      <c r="J14" s="434">
        <f t="shared" si="8"/>
        <v>0</v>
      </c>
      <c r="K14" s="166">
        <f t="shared" ref="K14" si="10">G14+J14</f>
        <v>0</v>
      </c>
      <c r="L14" s="166"/>
      <c r="M14" s="166">
        <f t="shared" si="0"/>
        <v>601897.2099000011</v>
      </c>
      <c r="N14" s="166"/>
      <c r="O14" s="437"/>
    </row>
    <row r="15" spans="1:15" x14ac:dyDescent="0.25">
      <c r="A15" s="189">
        <v>11</v>
      </c>
      <c r="B15" s="432">
        <v>46307</v>
      </c>
      <c r="C15" s="433"/>
      <c r="D15" s="387"/>
      <c r="E15" s="166"/>
      <c r="F15" s="166"/>
      <c r="G15" s="434">
        <f t="shared" si="9"/>
        <v>0</v>
      </c>
      <c r="H15" s="435"/>
      <c r="I15" s="435"/>
      <c r="J15" s="434">
        <f t="shared" si="8"/>
        <v>0</v>
      </c>
      <c r="K15" s="166">
        <f>G15+J15</f>
        <v>0</v>
      </c>
      <c r="L15" s="166"/>
      <c r="M15" s="166">
        <f t="shared" si="0"/>
        <v>601897.2099000011</v>
      </c>
      <c r="N15" s="259"/>
      <c r="O15" s="437"/>
    </row>
    <row r="16" spans="1:15" x14ac:dyDescent="0.25">
      <c r="A16" s="189">
        <v>12</v>
      </c>
      <c r="B16" s="432">
        <v>46308</v>
      </c>
      <c r="C16" s="433"/>
      <c r="D16" s="387"/>
      <c r="E16" s="166"/>
      <c r="F16" s="166"/>
      <c r="G16" s="434">
        <f t="shared" si="9"/>
        <v>0</v>
      </c>
      <c r="H16" s="435"/>
      <c r="I16" s="435"/>
      <c r="J16" s="434">
        <f t="shared" si="8"/>
        <v>0</v>
      </c>
      <c r="K16" s="166">
        <f t="shared" ref="K16:K18" si="11">G16+J16</f>
        <v>0</v>
      </c>
      <c r="L16" s="166"/>
      <c r="M16" s="166">
        <f t="shared" si="0"/>
        <v>601897.2099000011</v>
      </c>
      <c r="N16" s="259"/>
      <c r="O16" s="437"/>
    </row>
    <row r="17" spans="1:15" x14ac:dyDescent="0.25">
      <c r="A17" s="189">
        <v>13</v>
      </c>
      <c r="B17" s="432">
        <v>46309</v>
      </c>
      <c r="C17" s="433"/>
      <c r="D17" s="387"/>
      <c r="E17" s="166">
        <v>1200</v>
      </c>
      <c r="F17" s="166">
        <v>98.94</v>
      </c>
      <c r="G17" s="434">
        <f t="shared" si="9"/>
        <v>118728</v>
      </c>
      <c r="H17" s="435">
        <v>20</v>
      </c>
      <c r="I17" s="435">
        <v>112.27</v>
      </c>
      <c r="J17" s="434">
        <f t="shared" si="8"/>
        <v>2245.4</v>
      </c>
      <c r="K17" s="166">
        <f t="shared" si="11"/>
        <v>120973.4</v>
      </c>
      <c r="L17" s="166"/>
      <c r="M17" s="166">
        <f t="shared" si="0"/>
        <v>722870.6099000011</v>
      </c>
      <c r="N17" s="259"/>
      <c r="O17" s="437"/>
    </row>
    <row r="18" spans="1:15" x14ac:dyDescent="0.25">
      <c r="A18" s="189">
        <v>14</v>
      </c>
      <c r="B18" s="432">
        <v>46310</v>
      </c>
      <c r="C18" s="433"/>
      <c r="D18" s="387"/>
      <c r="E18" s="166"/>
      <c r="F18" s="166"/>
      <c r="G18" s="434">
        <f t="shared" si="9"/>
        <v>0</v>
      </c>
      <c r="H18" s="435"/>
      <c r="I18" s="435"/>
      <c r="J18" s="434">
        <f t="shared" si="8"/>
        <v>0</v>
      </c>
      <c r="K18" s="166">
        <f t="shared" si="11"/>
        <v>0</v>
      </c>
      <c r="L18" s="166"/>
      <c r="M18" s="166">
        <f t="shared" si="0"/>
        <v>722870.6099000011</v>
      </c>
      <c r="N18" s="259"/>
      <c r="O18" s="437"/>
    </row>
    <row r="19" spans="1:15" x14ac:dyDescent="0.25">
      <c r="A19" s="189">
        <v>15</v>
      </c>
      <c r="B19" s="432">
        <v>46311</v>
      </c>
      <c r="C19" s="433"/>
      <c r="D19" s="387"/>
      <c r="E19" s="166"/>
      <c r="F19" s="166"/>
      <c r="G19" s="434">
        <f t="shared" si="9"/>
        <v>0</v>
      </c>
      <c r="H19" s="435"/>
      <c r="I19" s="435"/>
      <c r="J19" s="434">
        <f t="shared" si="8"/>
        <v>0</v>
      </c>
      <c r="K19" s="166">
        <f t="shared" si="7"/>
        <v>0</v>
      </c>
      <c r="L19" s="166"/>
      <c r="M19" s="166">
        <f t="shared" si="0"/>
        <v>722870.6099000011</v>
      </c>
      <c r="N19" s="259"/>
      <c r="O19" s="437"/>
    </row>
    <row r="20" spans="1:15" x14ac:dyDescent="0.25">
      <c r="A20" s="189">
        <v>16</v>
      </c>
      <c r="B20" s="432">
        <v>46312</v>
      </c>
      <c r="C20" s="433"/>
      <c r="D20" s="387"/>
      <c r="E20" s="166"/>
      <c r="F20" s="166"/>
      <c r="G20" s="434">
        <f t="shared" si="9"/>
        <v>0</v>
      </c>
      <c r="H20" s="435"/>
      <c r="I20" s="435"/>
      <c r="J20" s="434">
        <f t="shared" si="8"/>
        <v>0</v>
      </c>
      <c r="K20" s="166">
        <f t="shared" si="7"/>
        <v>0</v>
      </c>
      <c r="L20" s="166"/>
      <c r="M20" s="166">
        <f t="shared" si="0"/>
        <v>722870.6099000011</v>
      </c>
      <c r="N20" s="259"/>
      <c r="O20" s="437"/>
    </row>
    <row r="21" spans="1:15" x14ac:dyDescent="0.25">
      <c r="A21" s="189">
        <v>17</v>
      </c>
      <c r="B21" s="432">
        <v>46313</v>
      </c>
      <c r="C21" s="433"/>
      <c r="D21" s="387"/>
      <c r="E21" s="166"/>
      <c r="F21" s="166"/>
      <c r="G21" s="434">
        <f t="shared" si="9"/>
        <v>0</v>
      </c>
      <c r="H21" s="435"/>
      <c r="I21" s="435"/>
      <c r="J21" s="434">
        <f t="shared" si="8"/>
        <v>0</v>
      </c>
      <c r="K21" s="166">
        <f t="shared" si="7"/>
        <v>0</v>
      </c>
      <c r="L21" s="166"/>
      <c r="M21" s="166">
        <f t="shared" si="0"/>
        <v>722870.6099000011</v>
      </c>
      <c r="N21" s="259"/>
      <c r="O21" s="437"/>
    </row>
    <row r="22" spans="1:15" x14ac:dyDescent="0.25">
      <c r="A22" s="189">
        <v>18</v>
      </c>
      <c r="B22" s="432">
        <v>46314</v>
      </c>
      <c r="C22" s="433"/>
      <c r="D22" s="387"/>
      <c r="E22" s="166"/>
      <c r="F22" s="166"/>
      <c r="G22" s="434">
        <f t="shared" si="9"/>
        <v>0</v>
      </c>
      <c r="H22" s="435"/>
      <c r="I22" s="435"/>
      <c r="J22" s="434">
        <f t="shared" si="8"/>
        <v>0</v>
      </c>
      <c r="K22" s="166">
        <f t="shared" si="7"/>
        <v>0</v>
      </c>
      <c r="L22" s="166"/>
      <c r="M22" s="166">
        <f t="shared" si="0"/>
        <v>722870.6099000011</v>
      </c>
      <c r="N22" s="259"/>
      <c r="O22" s="437"/>
    </row>
    <row r="23" spans="1:15" x14ac:dyDescent="0.25">
      <c r="A23" s="189">
        <v>19</v>
      </c>
      <c r="B23" s="432">
        <v>46315</v>
      </c>
      <c r="C23" s="433"/>
      <c r="D23" s="387"/>
      <c r="E23" s="166"/>
      <c r="F23" s="166"/>
      <c r="G23" s="434">
        <f t="shared" si="9"/>
        <v>0</v>
      </c>
      <c r="H23" s="435"/>
      <c r="I23" s="435"/>
      <c r="J23" s="434">
        <f t="shared" si="8"/>
        <v>0</v>
      </c>
      <c r="K23" s="166">
        <f t="shared" si="7"/>
        <v>0</v>
      </c>
      <c r="L23" s="166"/>
      <c r="M23" s="166">
        <f t="shared" si="0"/>
        <v>722870.6099000011</v>
      </c>
      <c r="N23" s="259"/>
      <c r="O23" s="437"/>
    </row>
    <row r="24" spans="1:15" x14ac:dyDescent="0.25">
      <c r="A24" s="189">
        <v>20</v>
      </c>
      <c r="B24" s="432">
        <v>46316</v>
      </c>
      <c r="C24" s="433"/>
      <c r="D24" s="387"/>
      <c r="E24" s="166"/>
      <c r="F24" s="166"/>
      <c r="G24" s="434">
        <f t="shared" si="9"/>
        <v>0</v>
      </c>
      <c r="H24" s="435"/>
      <c r="I24" s="435"/>
      <c r="J24" s="434">
        <f t="shared" si="8"/>
        <v>0</v>
      </c>
      <c r="K24" s="166">
        <f t="shared" si="7"/>
        <v>0</v>
      </c>
      <c r="L24" s="166"/>
      <c r="M24" s="166">
        <f t="shared" ref="M20:M41" si="12">M23+K24-L24</f>
        <v>722870.6099000011</v>
      </c>
      <c r="N24" s="259"/>
      <c r="O24" s="437"/>
    </row>
    <row r="25" spans="1:15" x14ac:dyDescent="0.25">
      <c r="A25" s="189">
        <v>21</v>
      </c>
      <c r="B25" s="432">
        <v>46317</v>
      </c>
      <c r="C25" s="433"/>
      <c r="D25" s="387"/>
      <c r="E25" s="166"/>
      <c r="F25" s="166"/>
      <c r="G25" s="434">
        <f t="shared" si="9"/>
        <v>0</v>
      </c>
      <c r="H25" s="435"/>
      <c r="I25" s="435"/>
      <c r="J25" s="434">
        <f t="shared" ref="J18:J28" si="13">H25*I25</f>
        <v>0</v>
      </c>
      <c r="K25" s="166">
        <f t="shared" si="7"/>
        <v>0</v>
      </c>
      <c r="L25" s="166"/>
      <c r="M25" s="166">
        <f t="shared" si="12"/>
        <v>722870.6099000011</v>
      </c>
      <c r="N25" s="259"/>
      <c r="O25" s="437"/>
    </row>
    <row r="26" spans="1:17" x14ac:dyDescent="0.25">
      <c r="A26" s="189">
        <v>22</v>
      </c>
      <c r="B26" s="432">
        <v>46318</v>
      </c>
      <c r="C26" s="433"/>
      <c r="D26" s="387"/>
      <c r="E26" s="166"/>
      <c r="F26" s="166"/>
      <c r="G26" s="434">
        <f t="shared" si="9"/>
        <v>0</v>
      </c>
      <c r="H26" s="435"/>
      <c r="I26" s="435"/>
      <c r="J26" s="434">
        <f t="shared" si="13"/>
        <v>0</v>
      </c>
      <c r="K26" s="166">
        <f t="shared" si="7"/>
        <v>0</v>
      </c>
      <c r="L26" s="166"/>
      <c r="M26" s="166">
        <f t="shared" si="12"/>
        <v>722870.6099000011</v>
      </c>
      <c r="N26" s="259"/>
      <c r="O26" s="437"/>
      <c r="Q26" s="440"/>
    </row>
    <row r="27" spans="1:15" x14ac:dyDescent="0.25">
      <c r="A27" s="189">
        <v>23</v>
      </c>
      <c r="B27" s="432">
        <v>46319</v>
      </c>
      <c r="C27" s="433"/>
      <c r="D27" s="387"/>
      <c r="E27" s="166"/>
      <c r="F27" s="166"/>
      <c r="G27" s="434">
        <f t="shared" si="9"/>
        <v>0</v>
      </c>
      <c r="H27" s="435"/>
      <c r="I27" s="435"/>
      <c r="J27" s="434">
        <f t="shared" si="13"/>
        <v>0</v>
      </c>
      <c r="K27" s="166">
        <f t="shared" si="7"/>
        <v>0</v>
      </c>
      <c r="L27" s="166"/>
      <c r="M27" s="166">
        <f t="shared" si="12"/>
        <v>722870.6099000011</v>
      </c>
      <c r="N27" s="259"/>
      <c r="O27" s="437"/>
    </row>
    <row r="28" spans="1:15" x14ac:dyDescent="0.25">
      <c r="A28" s="189">
        <v>24</v>
      </c>
      <c r="B28" s="432">
        <v>46320</v>
      </c>
      <c r="C28" s="433"/>
      <c r="D28" s="387"/>
      <c r="E28" s="166"/>
      <c r="F28" s="166"/>
      <c r="G28" s="434">
        <f t="shared" ref="G26:G28" si="14">E28*F28</f>
        <v>0</v>
      </c>
      <c r="H28" s="435"/>
      <c r="I28" s="435"/>
      <c r="J28" s="434">
        <f t="shared" si="13"/>
        <v>0</v>
      </c>
      <c r="K28" s="166">
        <f t="shared" si="7"/>
        <v>0</v>
      </c>
      <c r="L28" s="166"/>
      <c r="M28" s="166">
        <f t="shared" si="12"/>
        <v>722870.6099000011</v>
      </c>
      <c r="N28" s="259"/>
      <c r="O28" s="437"/>
    </row>
    <row r="29" spans="1:15" x14ac:dyDescent="0.25">
      <c r="A29" s="189">
        <v>25</v>
      </c>
      <c r="B29" s="432">
        <v>46321</v>
      </c>
      <c r="C29" s="433"/>
      <c r="D29" s="387"/>
      <c r="E29" s="166"/>
      <c r="F29" s="166"/>
      <c r="G29" s="434">
        <f t="shared" ref="G29:G37" si="15">E29*F29</f>
        <v>0</v>
      </c>
      <c r="H29" s="435"/>
      <c r="I29" s="435"/>
      <c r="J29" s="434">
        <f t="shared" ref="J29:J36" si="16">H29*I29</f>
        <v>0</v>
      </c>
      <c r="K29" s="166">
        <f t="shared" ref="K29" si="17">G29+J29</f>
        <v>0</v>
      </c>
      <c r="L29" s="166"/>
      <c r="M29" s="166">
        <f t="shared" si="12"/>
        <v>722870.6099000011</v>
      </c>
      <c r="N29" s="259"/>
      <c r="O29" s="437"/>
    </row>
    <row r="30" spans="1:15" x14ac:dyDescent="0.25">
      <c r="A30" s="189">
        <v>26</v>
      </c>
      <c r="B30" s="432">
        <v>46322</v>
      </c>
      <c r="C30" s="433"/>
      <c r="D30" s="387"/>
      <c r="E30" s="166"/>
      <c r="F30" s="166"/>
      <c r="G30" s="434">
        <f t="shared" si="15"/>
        <v>0</v>
      </c>
      <c r="H30" s="435"/>
      <c r="I30" s="435"/>
      <c r="J30" s="434">
        <f t="shared" si="16"/>
        <v>0</v>
      </c>
      <c r="K30" s="166">
        <f t="shared" si="7"/>
        <v>0</v>
      </c>
      <c r="L30" s="166"/>
      <c r="M30" s="166">
        <f t="shared" si="12"/>
        <v>722870.6099000011</v>
      </c>
      <c r="N30" s="259"/>
      <c r="O30" s="437"/>
    </row>
    <row r="31" spans="1:15" x14ac:dyDescent="0.25">
      <c r="A31" s="189">
        <v>27</v>
      </c>
      <c r="B31" s="432">
        <v>46323</v>
      </c>
      <c r="C31" s="433"/>
      <c r="D31" s="387"/>
      <c r="E31" s="166"/>
      <c r="F31" s="166"/>
      <c r="G31" s="434">
        <f t="shared" si="15"/>
        <v>0</v>
      </c>
      <c r="H31" s="435"/>
      <c r="I31" s="435"/>
      <c r="J31" s="434">
        <f t="shared" si="16"/>
        <v>0</v>
      </c>
      <c r="K31" s="166">
        <f t="shared" si="7"/>
        <v>0</v>
      </c>
      <c r="L31" s="166"/>
      <c r="M31" s="166">
        <f t="shared" si="12"/>
        <v>722870.6099000011</v>
      </c>
      <c r="N31" s="259"/>
      <c r="O31" s="437"/>
    </row>
    <row r="32" spans="1:15" x14ac:dyDescent="0.25">
      <c r="A32" s="189">
        <v>28</v>
      </c>
      <c r="B32" s="432">
        <v>46324</v>
      </c>
      <c r="C32" s="433"/>
      <c r="D32" s="387"/>
      <c r="E32" s="166"/>
      <c r="F32" s="166"/>
      <c r="G32" s="434">
        <f t="shared" si="15"/>
        <v>0</v>
      </c>
      <c r="H32" s="435"/>
      <c r="I32" s="435"/>
      <c r="J32" s="434">
        <f t="shared" si="16"/>
        <v>0</v>
      </c>
      <c r="K32" s="166">
        <f t="shared" si="7"/>
        <v>0</v>
      </c>
      <c r="L32" s="166"/>
      <c r="M32" s="166">
        <f t="shared" si="12"/>
        <v>722870.6099000011</v>
      </c>
      <c r="N32" s="259"/>
      <c r="O32" s="437"/>
    </row>
    <row r="33" spans="1:15" x14ac:dyDescent="0.25">
      <c r="A33" s="189">
        <v>29</v>
      </c>
      <c r="B33" s="432">
        <v>46325</v>
      </c>
      <c r="C33" s="433"/>
      <c r="D33" s="387"/>
      <c r="E33" s="166"/>
      <c r="F33" s="166"/>
      <c r="G33" s="434">
        <f t="shared" si="15"/>
        <v>0</v>
      </c>
      <c r="H33" s="435"/>
      <c r="I33" s="435"/>
      <c r="J33" s="434">
        <f t="shared" si="16"/>
        <v>0</v>
      </c>
      <c r="K33" s="166">
        <f t="shared" si="7"/>
        <v>0</v>
      </c>
      <c r="L33" s="166"/>
      <c r="M33" s="166">
        <f t="shared" si="12"/>
        <v>722870.6099000011</v>
      </c>
      <c r="N33" s="259"/>
      <c r="O33" s="437"/>
    </row>
    <row r="34" spans="1:15" x14ac:dyDescent="0.25">
      <c r="A34" s="189">
        <v>30</v>
      </c>
      <c r="B34" s="432">
        <v>46326</v>
      </c>
      <c r="C34" s="433"/>
      <c r="D34" s="387"/>
      <c r="E34" s="166"/>
      <c r="F34" s="441"/>
      <c r="G34" s="434">
        <f t="shared" si="15"/>
        <v>0</v>
      </c>
      <c r="H34" s="435"/>
      <c r="I34" s="435"/>
      <c r="J34" s="434">
        <f t="shared" si="16"/>
        <v>0</v>
      </c>
      <c r="K34" s="166">
        <f t="shared" si="7"/>
        <v>0</v>
      </c>
      <c r="L34" s="166"/>
      <c r="M34" s="166">
        <f t="shared" si="12"/>
        <v>722870.6099000011</v>
      </c>
      <c r="N34" s="259"/>
      <c r="O34" s="437"/>
    </row>
    <row r="35" spans="1:15" x14ac:dyDescent="0.25">
      <c r="A35" s="189">
        <v>31</v>
      </c>
      <c r="B35" s="432"/>
      <c r="C35" s="433"/>
      <c r="D35" s="387"/>
      <c r="E35" s="166"/>
      <c r="F35" s="166"/>
      <c r="G35" s="434">
        <f t="shared" si="15"/>
        <v>0</v>
      </c>
      <c r="H35" s="435"/>
      <c r="I35" s="435"/>
      <c r="J35" s="434">
        <f t="shared" si="16"/>
        <v>0</v>
      </c>
      <c r="K35" s="166">
        <f t="shared" si="7"/>
        <v>0</v>
      </c>
      <c r="L35" s="166"/>
      <c r="M35" s="166">
        <f t="shared" si="12"/>
        <v>722870.6099000011</v>
      </c>
      <c r="N35" s="259"/>
      <c r="O35" s="437"/>
    </row>
    <row r="36" spans="1:15" x14ac:dyDescent="0.25">
      <c r="A36" s="189">
        <v>32</v>
      </c>
      <c r="B36" s="432"/>
      <c r="C36" s="433"/>
      <c r="D36" s="387"/>
      <c r="E36" s="166"/>
      <c r="F36" s="166"/>
      <c r="G36" s="434">
        <f t="shared" si="15"/>
        <v>0</v>
      </c>
      <c r="H36" s="435"/>
      <c r="I36" s="435"/>
      <c r="J36" s="434">
        <f t="shared" si="16"/>
        <v>0</v>
      </c>
      <c r="K36" s="166">
        <f t="shared" si="7"/>
        <v>0</v>
      </c>
      <c r="L36" s="166"/>
      <c r="M36" s="166">
        <f t="shared" si="12"/>
        <v>722870.6099000011</v>
      </c>
      <c r="N36" s="259"/>
      <c r="O36" s="437"/>
    </row>
    <row r="37" spans="1:15" x14ac:dyDescent="0.25">
      <c r="A37" s="189">
        <v>33</v>
      </c>
      <c r="B37" s="432"/>
      <c r="C37" s="433"/>
      <c r="D37" s="387"/>
      <c r="E37" s="166"/>
      <c r="F37" s="441"/>
      <c r="G37" s="434">
        <f t="shared" si="15"/>
        <v>0</v>
      </c>
      <c r="H37" s="435"/>
      <c r="I37" s="435"/>
      <c r="J37" s="436">
        <v>0</v>
      </c>
      <c r="K37" s="166">
        <f t="shared" si="7"/>
        <v>0</v>
      </c>
      <c r="L37" s="166"/>
      <c r="M37" s="166">
        <f t="shared" si="12"/>
        <v>722870.6099000011</v>
      </c>
      <c r="N37" s="259"/>
      <c r="O37" s="437"/>
    </row>
    <row r="38" spans="1:15" x14ac:dyDescent="0.25">
      <c r="A38" s="189">
        <v>34</v>
      </c>
      <c r="B38" s="432"/>
      <c r="C38" s="433"/>
      <c r="D38" s="387"/>
      <c r="E38" s="166"/>
      <c r="F38" s="166"/>
      <c r="G38" s="434">
        <v>0</v>
      </c>
      <c r="H38" s="435"/>
      <c r="I38" s="435"/>
      <c r="J38" s="436">
        <v>0</v>
      </c>
      <c r="K38" s="166">
        <f t="shared" si="7"/>
        <v>0</v>
      </c>
      <c r="L38" s="166"/>
      <c r="M38" s="166">
        <f t="shared" si="12"/>
        <v>722870.6099000011</v>
      </c>
      <c r="N38" s="259"/>
      <c r="O38" s="437"/>
    </row>
    <row r="39" spans="1:15" x14ac:dyDescent="0.25">
      <c r="A39" s="189">
        <v>35</v>
      </c>
      <c r="B39" s="432"/>
      <c r="C39" s="433"/>
      <c r="D39" s="387"/>
      <c r="E39" s="166"/>
      <c r="F39" s="166"/>
      <c r="G39" s="434">
        <f t="shared" ref="G10:G40" si="18">E39*F39</f>
        <v>0</v>
      </c>
      <c r="H39" s="435"/>
      <c r="I39" s="435"/>
      <c r="J39" s="436">
        <f t="shared" ref="J10:J40" si="19">H39*I39</f>
        <v>0</v>
      </c>
      <c r="K39" s="166">
        <f t="shared" si="7"/>
        <v>0</v>
      </c>
      <c r="L39" s="166"/>
      <c r="M39" s="166">
        <f t="shared" si="12"/>
        <v>722870.6099000011</v>
      </c>
      <c r="N39" s="259"/>
      <c r="O39" s="437"/>
    </row>
    <row r="40" spans="1:15" x14ac:dyDescent="0.25">
      <c r="A40" s="189">
        <v>36</v>
      </c>
      <c r="B40" s="432"/>
      <c r="C40" s="442"/>
      <c r="D40" s="443"/>
      <c r="E40" s="166"/>
      <c r="F40" s="166"/>
      <c r="G40" s="434">
        <f t="shared" si="18"/>
        <v>0</v>
      </c>
      <c r="H40" s="435"/>
      <c r="I40" s="435"/>
      <c r="J40" s="436">
        <f t="shared" si="19"/>
        <v>0</v>
      </c>
      <c r="K40" s="166">
        <f t="shared" si="7"/>
        <v>0</v>
      </c>
      <c r="L40" s="166"/>
      <c r="M40" s="166">
        <f t="shared" si="12"/>
        <v>722870.6099000011</v>
      </c>
      <c r="N40" s="259"/>
      <c r="O40" s="437"/>
    </row>
    <row r="41" spans="1:17" x14ac:dyDescent="0.25">
      <c r="A41" s="189">
        <v>37</v>
      </c>
      <c r="B41" s="432"/>
      <c r="C41" s="386"/>
      <c r="D41" s="387"/>
      <c r="E41" s="166">
        <v>0</v>
      </c>
      <c r="F41" s="166">
        <v>0</v>
      </c>
      <c r="G41" s="434">
        <f t="shared" ref="G9:G41" si="20">E41*F41</f>
        <v>0</v>
      </c>
      <c r="H41" s="435"/>
      <c r="I41" s="435"/>
      <c r="J41" s="436">
        <f t="shared" ref="J9:J41" si="21">H41*I41</f>
        <v>0</v>
      </c>
      <c r="K41" s="166">
        <f t="shared" si="6"/>
        <v>0</v>
      </c>
      <c r="L41" s="166"/>
      <c r="M41" s="166">
        <f t="shared" si="12"/>
        <v>722870.6099000011</v>
      </c>
      <c r="N41" s="259"/>
      <c r="O41" s="437"/>
      <c r="Q41" s="444"/>
    </row>
    <row r="42" spans="1:15" x14ac:dyDescent="0.25">
      <c r="A42" s="378"/>
      <c r="B42" s="378"/>
      <c r="C42" s="378"/>
      <c r="D42" s="378"/>
      <c r="E42" s="379">
        <f>SUM(E4:E41)</f>
        <v>3800</v>
      </c>
      <c r="F42" s="379"/>
      <c r="G42" s="379">
        <f>SUM(G4:G41)</f>
        <v>375972</v>
      </c>
      <c r="H42" s="379">
        <f>SUM(H4:H41)</f>
        <v>40</v>
      </c>
      <c r="I42" s="379"/>
      <c r="J42" s="379">
        <f>SUM(J4:J41)</f>
        <v>4490.8</v>
      </c>
      <c r="K42" s="379">
        <f>SUM(K4:K41)</f>
        <v>380462.8</v>
      </c>
      <c r="L42" s="379">
        <f>SUM(L4:L41)</f>
        <v>0</v>
      </c>
      <c r="M42" s="379"/>
      <c r="N42" s="171"/>
      <c r="O42" s="208"/>
    </row>
    <row r="43" spans="1:15" x14ac:dyDescent="0.25">
      <c r="A43" s="445"/>
      <c r="B43" s="445"/>
      <c r="C43" s="445"/>
      <c r="D43" s="445"/>
      <c r="E43" s="446"/>
      <c r="F43" s="446"/>
      <c r="G43" s="446"/>
      <c r="H43" s="446"/>
      <c r="I43" s="446"/>
      <c r="J43" s="446"/>
      <c r="K43" s="446"/>
      <c r="L43" s="446"/>
      <c r="M43" s="446"/>
      <c r="N43" s="446"/>
      <c r="O43" s="437"/>
    </row>
    <row r="44" spans="1:15" x14ac:dyDescent="0.25">
      <c r="A44" s="437"/>
      <c r="B44" s="437"/>
      <c r="C44" s="437"/>
      <c r="D44" s="437"/>
      <c r="E44" s="437"/>
      <c r="F44" s="437"/>
      <c r="G44" s="437"/>
      <c r="H44" s="437"/>
      <c r="I44" s="437"/>
      <c r="J44" s="437"/>
      <c r="K44" s="437"/>
      <c r="L44" s="437"/>
      <c r="M44" s="437"/>
      <c r="N44" s="437"/>
      <c r="O44" s="446"/>
    </row>
    <row r="45" spans="1:15" x14ac:dyDescent="0.25">
      <c r="A45" s="437"/>
      <c r="B45" s="437"/>
      <c r="C45" s="437"/>
      <c r="D45" s="437"/>
      <c r="E45" s="437"/>
      <c r="F45" s="437"/>
      <c r="G45" s="437"/>
      <c r="H45" s="437"/>
      <c r="I45" s="437"/>
      <c r="J45" s="437"/>
      <c r="K45" s="437"/>
      <c r="L45" s="437"/>
      <c r="M45" s="437"/>
      <c r="N45" s="437"/>
      <c r="O45" s="446"/>
    </row>
  </sheetData>
  <mergeCells count="3">
    <mergeCell ref="A1:N1"/>
    <mergeCell ref="B44:E44"/>
    <mergeCell ref="I44:N4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8"/>
  <sheetViews>
    <sheetView workbookViewId="0" zoomScale="100" zoomScaleNormal="100">
      <pane ySplit="3" topLeftCell="A9" activePane="bottomLeft" state="frozen"/>
      <selection pane="bottomLeft" activeCell="M19" sqref="M19"/>
    </sheetView>
  </sheetViews>
  <sheetFormatPr defaultRowHeight="15" outlineLevelRow="0" outlineLevelCol="0" x14ac:dyDescent="0"/>
  <cols>
    <col min="1" max="1" width="5.28515625" customWidth="1"/>
    <col min="2" max="2" width="11.5703125" customWidth="1"/>
    <col min="3" max="3" width="8.140625" customWidth="1"/>
    <col min="4" max="4" width="16" customWidth="1"/>
    <col min="5" max="5" width="10.85546875" customWidth="1"/>
    <col min="6" max="6" width="14.42578125" customWidth="1"/>
    <col min="7" max="7" width="11.85546875" customWidth="1"/>
    <col min="8" max="8" width="10.85546875" customWidth="1"/>
    <col min="9" max="9" width="10.7109375" customWidth="1"/>
    <col min="10" max="10" width="10.85546875" customWidth="1"/>
    <col min="11" max="11" width="13.85546875" customWidth="1"/>
    <col min="12" max="12" width="13.5703125" customWidth="1"/>
    <col min="13" max="13" width="12.7109375" customWidth="1"/>
    <col min="14" max="14" width="23.28515625" customWidth="1"/>
    <col min="15" max="15" width="10" customWidth="1"/>
    <col min="16" max="16" width="12" customWidth="1"/>
    <col min="19" max="19" width="12" customWidth="1"/>
  </cols>
  <sheetData>
    <row r="1" spans="1:15" x14ac:dyDescent="0.25">
      <c r="A1" s="345" t="s">
        <v>200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207"/>
    </row>
    <row r="2" spans="1:15" x14ac:dyDescent="0.25">
      <c r="A2" s="106" t="s">
        <v>0</v>
      </c>
      <c r="B2" s="107" t="s">
        <v>167</v>
      </c>
      <c r="C2" s="107" t="s">
        <v>168</v>
      </c>
      <c r="D2" s="107" t="s">
        <v>169</v>
      </c>
      <c r="E2" s="107" t="s">
        <v>170</v>
      </c>
      <c r="F2" s="107" t="s">
        <v>171</v>
      </c>
      <c r="G2" s="107" t="s">
        <v>172</v>
      </c>
      <c r="H2" s="107" t="s">
        <v>173</v>
      </c>
      <c r="I2" s="107" t="s">
        <v>171</v>
      </c>
      <c r="J2" s="108" t="s">
        <v>172</v>
      </c>
      <c r="K2" s="106" t="s">
        <v>174</v>
      </c>
      <c r="L2" s="109" t="s">
        <v>175</v>
      </c>
      <c r="M2" s="109" t="s">
        <v>190</v>
      </c>
      <c r="N2" s="107" t="s">
        <v>177</v>
      </c>
      <c r="O2" s="208"/>
    </row>
    <row r="3" spans="1:15" x14ac:dyDescent="0.25">
      <c r="A3" s="148" t="s">
        <v>178</v>
      </c>
      <c r="B3" s="149"/>
      <c r="C3" s="149"/>
      <c r="D3" s="149"/>
      <c r="E3" s="149"/>
      <c r="F3" s="149"/>
      <c r="G3" s="149"/>
      <c r="H3" s="149"/>
      <c r="I3" s="149"/>
      <c r="J3" s="150"/>
      <c r="K3" s="346">
        <v>290892.1099</v>
      </c>
      <c r="L3" s="118"/>
      <c r="M3" s="118">
        <v>290892.1099</v>
      </c>
      <c r="N3" s="37"/>
      <c r="O3" s="208"/>
    </row>
    <row r="4" spans="1:14" x14ac:dyDescent="0.25">
      <c r="A4" s="115">
        <v>1</v>
      </c>
      <c r="B4" s="116">
        <v>46296</v>
      </c>
      <c r="C4" s="260"/>
      <c r="D4" s="205"/>
      <c r="E4" s="74">
        <v>800</v>
      </c>
      <c r="F4" s="74">
        <v>99.98</v>
      </c>
      <c r="G4" s="262">
        <f>E4*F4</f>
        <v>79984</v>
      </c>
      <c r="H4" s="74">
        <v>20</v>
      </c>
      <c r="I4" s="347">
        <v>111.98</v>
      </c>
      <c r="J4" s="262">
        <f>H4*I4</f>
        <v>2239.6</v>
      </c>
      <c r="K4" s="262">
        <f>G4+J4</f>
        <v>82223.6</v>
      </c>
      <c r="L4" s="279"/>
      <c r="M4" s="279">
        <f>M3+K4-L4</f>
        <v>373115.7099</v>
      </c>
      <c r="N4" s="328"/>
    </row>
    <row r="5" spans="1:14" x14ac:dyDescent="0.25">
      <c r="A5" s="115">
        <v>2</v>
      </c>
      <c r="B5" s="116">
        <v>46297</v>
      </c>
      <c r="C5" s="260"/>
      <c r="D5" s="205"/>
      <c r="E5" s="74"/>
      <c r="F5" s="74"/>
      <c r="G5" s="262">
        <f t="shared" ref="G5:G37" si="0">E5*F5</f>
        <v>0</v>
      </c>
      <c r="H5" s="74"/>
      <c r="I5" s="347"/>
      <c r="J5" s="262">
        <f t="shared" ref="J5:J37" si="1">H5*I5</f>
        <v>0</v>
      </c>
      <c r="K5" s="262">
        <f t="shared" ref="K5:L37" si="2">G5+J5</f>
        <v>0</v>
      </c>
      <c r="L5" s="279"/>
      <c r="M5" s="279">
        <f>M4+K5-L5</f>
        <v>373115.7099</v>
      </c>
      <c r="N5" s="328"/>
    </row>
    <row r="6" spans="1:14" x14ac:dyDescent="0.25">
      <c r="A6" s="115">
        <v>3</v>
      </c>
      <c r="B6" s="116">
        <v>46298</v>
      </c>
      <c r="C6" s="260"/>
      <c r="D6" s="205"/>
      <c r="E6" s="74"/>
      <c r="F6" s="74"/>
      <c r="G6" s="262">
        <f t="shared" si="0"/>
        <v>0</v>
      </c>
      <c r="H6" s="74"/>
      <c r="I6" s="347"/>
      <c r="J6" s="262">
        <f t="shared" si="1"/>
        <v>0</v>
      </c>
      <c r="K6" s="262">
        <f t="shared" si="2"/>
        <v>0</v>
      </c>
      <c r="L6" s="279"/>
      <c r="M6" s="279">
        <f>M5+K6-L6</f>
        <v>373115.7099</v>
      </c>
      <c r="N6" s="328"/>
    </row>
    <row r="7" spans="1:14" x14ac:dyDescent="0.25">
      <c r="A7" s="115">
        <v>4</v>
      </c>
      <c r="B7" s="116">
        <v>46299</v>
      </c>
      <c r="C7" s="260"/>
      <c r="D7" s="205"/>
      <c r="E7" s="74">
        <v>800</v>
      </c>
      <c r="F7" s="74">
        <v>99.98</v>
      </c>
      <c r="G7" s="262">
        <f t="shared" si="0"/>
        <v>79984</v>
      </c>
      <c r="H7" s="74">
        <v>30</v>
      </c>
      <c r="I7" s="347">
        <v>111.98</v>
      </c>
      <c r="J7" s="262">
        <f t="shared" si="1"/>
        <v>3359.4</v>
      </c>
      <c r="K7" s="262">
        <f t="shared" si="2"/>
        <v>83343.4</v>
      </c>
      <c r="L7" s="279"/>
      <c r="M7" s="279">
        <f>M6+K7-L7</f>
        <v>456459.10990000004</v>
      </c>
      <c r="N7" s="328"/>
    </row>
    <row r="8" spans="1:15" x14ac:dyDescent="0.25">
      <c r="A8" s="115">
        <v>5</v>
      </c>
      <c r="B8" s="116">
        <v>46300</v>
      </c>
      <c r="C8" s="260"/>
      <c r="D8" s="205"/>
      <c r="E8" s="74"/>
      <c r="F8" s="74"/>
      <c r="G8" s="262">
        <f t="shared" ref="G8:G36" si="3">E8*F8</f>
        <v>0</v>
      </c>
      <c r="H8" s="74"/>
      <c r="I8" s="347"/>
      <c r="J8" s="262">
        <f t="shared" si="1"/>
        <v>0</v>
      </c>
      <c r="K8" s="262">
        <f t="shared" si="2"/>
        <v>0</v>
      </c>
      <c r="L8" s="279"/>
      <c r="M8" s="279">
        <f t="shared" ref="M8:M38" si="4">M7+K8-L8</f>
        <v>456459.10990000004</v>
      </c>
      <c r="N8" s="328"/>
      <c r="O8" s="209"/>
    </row>
    <row r="9" spans="1:15" x14ac:dyDescent="0.25">
      <c r="A9" s="115">
        <v>6</v>
      </c>
      <c r="B9" s="116">
        <v>46301</v>
      </c>
      <c r="C9" s="260"/>
      <c r="D9" s="205"/>
      <c r="E9" s="74"/>
      <c r="F9" s="74"/>
      <c r="G9" s="262">
        <f t="shared" si="3"/>
        <v>0</v>
      </c>
      <c r="H9" s="74"/>
      <c r="I9" s="347"/>
      <c r="J9" s="262">
        <f t="shared" si="1"/>
        <v>0</v>
      </c>
      <c r="K9" s="262">
        <f t="shared" si="2"/>
        <v>0</v>
      </c>
      <c r="L9" s="279"/>
      <c r="M9" s="279">
        <f t="shared" si="4"/>
        <v>456459.10990000004</v>
      </c>
      <c r="N9" s="328"/>
      <c r="O9" s="209"/>
    </row>
    <row r="10" spans="1:15" x14ac:dyDescent="0.25">
      <c r="A10" s="115">
        <v>7</v>
      </c>
      <c r="B10" s="116">
        <v>46302</v>
      </c>
      <c r="C10" s="260"/>
      <c r="D10" s="205"/>
      <c r="E10" s="74"/>
      <c r="F10" s="74"/>
      <c r="G10" s="262">
        <f t="shared" si="3"/>
        <v>0</v>
      </c>
      <c r="H10" s="74"/>
      <c r="I10" s="347"/>
      <c r="J10" s="262">
        <f t="shared" si="1"/>
        <v>0</v>
      </c>
      <c r="K10" s="262">
        <f t="shared" si="2"/>
        <v>0</v>
      </c>
      <c r="L10" s="279"/>
      <c r="M10" s="279">
        <f t="shared" si="4"/>
        <v>456459.10990000004</v>
      </c>
      <c r="N10" s="328"/>
      <c r="O10" s="209"/>
    </row>
    <row r="11" spans="1:15" x14ac:dyDescent="0.25">
      <c r="A11" s="115">
        <v>8</v>
      </c>
      <c r="B11" s="116">
        <v>46303</v>
      </c>
      <c r="C11" s="260"/>
      <c r="D11" s="205"/>
      <c r="E11" s="74"/>
      <c r="F11" s="74"/>
      <c r="G11" s="262">
        <f t="shared" si="3"/>
        <v>0</v>
      </c>
      <c r="H11" s="74"/>
      <c r="I11" s="347"/>
      <c r="J11" s="262">
        <f t="shared" si="1"/>
        <v>0</v>
      </c>
      <c r="K11" s="262">
        <f t="shared" si="2"/>
        <v>0</v>
      </c>
      <c r="L11" s="279"/>
      <c r="M11" s="279">
        <f t="shared" si="4"/>
        <v>456459.10990000004</v>
      </c>
      <c r="N11" s="328"/>
      <c r="O11" s="209"/>
    </row>
    <row r="12" spans="1:15" x14ac:dyDescent="0.25">
      <c r="A12" s="115">
        <v>9</v>
      </c>
      <c r="B12" s="116">
        <v>46304</v>
      </c>
      <c r="C12" s="260"/>
      <c r="D12" s="205"/>
      <c r="E12" s="74"/>
      <c r="F12" s="74"/>
      <c r="G12" s="262">
        <f t="shared" si="3"/>
        <v>0</v>
      </c>
      <c r="H12" s="74"/>
      <c r="I12" s="347"/>
      <c r="J12" s="262">
        <f t="shared" si="1"/>
        <v>0</v>
      </c>
      <c r="K12" s="262">
        <f t="shared" si="2"/>
        <v>0</v>
      </c>
      <c r="L12" s="279"/>
      <c r="M12" s="279">
        <f t="shared" si="4"/>
        <v>456459.10990000004</v>
      </c>
      <c r="N12" s="328"/>
      <c r="O12" s="209"/>
    </row>
    <row r="13" spans="1:15" x14ac:dyDescent="0.25">
      <c r="A13" s="115">
        <v>10</v>
      </c>
      <c r="B13" s="116">
        <v>46305</v>
      </c>
      <c r="C13" s="260"/>
      <c r="D13" s="205"/>
      <c r="E13" s="74">
        <v>66.63</v>
      </c>
      <c r="F13" s="74">
        <v>100.07</v>
      </c>
      <c r="G13" s="262">
        <f t="shared" si="3"/>
        <v>6667.664099999999</v>
      </c>
      <c r="H13" s="74">
        <v>29.99</v>
      </c>
      <c r="I13" s="347">
        <v>112.09</v>
      </c>
      <c r="J13" s="262">
        <f t="shared" si="1"/>
        <v>3361.5791</v>
      </c>
      <c r="K13" s="262">
        <f t="shared" si="2"/>
        <v>10029.243199999999</v>
      </c>
      <c r="L13" s="279">
        <v>10029.243199999999</v>
      </c>
      <c r="M13" s="279">
        <f t="shared" si="4"/>
        <v>456459.10990000004</v>
      </c>
      <c r="N13" s="328"/>
      <c r="O13" s="209"/>
    </row>
    <row r="14" spans="1:15" x14ac:dyDescent="0.25">
      <c r="A14" s="115">
        <v>11</v>
      </c>
      <c r="B14" s="116">
        <v>46305</v>
      </c>
      <c r="C14" s="260"/>
      <c r="D14" s="205"/>
      <c r="E14" s="74"/>
      <c r="F14" s="74"/>
      <c r="G14" s="262"/>
      <c r="H14" s="74"/>
      <c r="I14" s="347"/>
      <c r="J14" s="262"/>
      <c r="K14" s="262"/>
      <c r="L14" s="279">
        <v>290000</v>
      </c>
      <c r="M14" s="279">
        <f>M13+K14-L14</f>
        <v>166459.10990000004</v>
      </c>
      <c r="N14" s="328"/>
      <c r="O14" s="209"/>
    </row>
    <row r="15" spans="1:15" x14ac:dyDescent="0.25">
      <c r="A15" s="115">
        <v>12</v>
      </c>
      <c r="B15" s="116">
        <v>46306</v>
      </c>
      <c r="C15" s="260"/>
      <c r="D15" s="205"/>
      <c r="E15" s="74">
        <v>800</v>
      </c>
      <c r="F15" s="74">
        <v>99.98</v>
      </c>
      <c r="G15" s="262">
        <f t="shared" si="3"/>
        <v>79984</v>
      </c>
      <c r="H15" s="74">
        <v>30</v>
      </c>
      <c r="I15" s="347">
        <v>111.98</v>
      </c>
      <c r="J15" s="262">
        <f t="shared" si="1"/>
        <v>3359.4</v>
      </c>
      <c r="K15" s="262">
        <f t="shared" si="2"/>
        <v>83343.4</v>
      </c>
      <c r="L15" s="279"/>
      <c r="M15" s="279">
        <f t="shared" ref="M15:M16" si="5">M14+K15-L15</f>
        <v>249802.50990000003</v>
      </c>
      <c r="N15" s="328"/>
      <c r="O15" s="209"/>
    </row>
    <row r="16" spans="1:15" x14ac:dyDescent="0.25">
      <c r="A16" s="115">
        <v>13</v>
      </c>
      <c r="B16" s="116">
        <v>46307</v>
      </c>
      <c r="C16" s="260"/>
      <c r="D16" s="205"/>
      <c r="E16" s="74"/>
      <c r="F16" s="74"/>
      <c r="G16" s="262">
        <f t="shared" si="3"/>
        <v>0</v>
      </c>
      <c r="H16" s="74"/>
      <c r="I16" s="347"/>
      <c r="J16" s="262">
        <f t="shared" si="1"/>
        <v>0</v>
      </c>
      <c r="K16" s="262">
        <f t="shared" si="2"/>
        <v>0</v>
      </c>
      <c r="L16" s="279"/>
      <c r="M16" s="279">
        <f t="shared" si="5"/>
        <v>249802.50990000003</v>
      </c>
      <c r="N16" s="328"/>
      <c r="O16" s="209"/>
    </row>
    <row r="17" spans="1:15" x14ac:dyDescent="0.25">
      <c r="A17" s="115">
        <v>14</v>
      </c>
      <c r="B17" s="116">
        <v>46308</v>
      </c>
      <c r="C17" s="260"/>
      <c r="D17" s="205"/>
      <c r="E17" s="74">
        <v>600</v>
      </c>
      <c r="F17" s="74">
        <v>99.98</v>
      </c>
      <c r="G17" s="262">
        <f t="shared" si="3"/>
        <v>59988</v>
      </c>
      <c r="H17" s="74"/>
      <c r="I17" s="347"/>
      <c r="J17" s="262">
        <f t="shared" si="1"/>
        <v>0</v>
      </c>
      <c r="K17" s="262">
        <f t="shared" si="2"/>
        <v>59988</v>
      </c>
      <c r="L17" s="279"/>
      <c r="M17" s="279">
        <f t="shared" si="4"/>
        <v>309790.50990000006</v>
      </c>
      <c r="N17" s="328"/>
      <c r="O17" s="209"/>
    </row>
    <row r="18" spans="1:15" x14ac:dyDescent="0.25">
      <c r="A18" s="115">
        <v>15</v>
      </c>
      <c r="B18" s="116">
        <v>46309</v>
      </c>
      <c r="C18" s="260"/>
      <c r="D18" s="205"/>
      <c r="E18" s="74"/>
      <c r="F18" s="74"/>
      <c r="G18" s="262">
        <f t="shared" si="3"/>
        <v>0</v>
      </c>
      <c r="H18" s="74"/>
      <c r="I18" s="347"/>
      <c r="J18" s="262">
        <f t="shared" si="1"/>
        <v>0</v>
      </c>
      <c r="K18" s="262">
        <f t="shared" si="2"/>
        <v>0</v>
      </c>
      <c r="L18" s="279"/>
      <c r="M18" s="279">
        <f t="shared" si="4"/>
        <v>309790.50990000006</v>
      </c>
      <c r="N18" s="328"/>
      <c r="O18" s="209"/>
    </row>
    <row r="19" spans="1:19" x14ac:dyDescent="0.25">
      <c r="A19" s="115">
        <v>16</v>
      </c>
      <c r="B19" s="116">
        <v>46310</v>
      </c>
      <c r="C19" s="260"/>
      <c r="D19" s="205"/>
      <c r="E19" s="74">
        <v>800</v>
      </c>
      <c r="F19" s="74">
        <v>99.98</v>
      </c>
      <c r="G19" s="262">
        <f t="shared" si="3"/>
        <v>79984</v>
      </c>
      <c r="H19" s="74"/>
      <c r="I19" s="347"/>
      <c r="J19" s="262">
        <f t="shared" si="1"/>
        <v>0</v>
      </c>
      <c r="K19" s="262">
        <f t="shared" si="2"/>
        <v>79984</v>
      </c>
      <c r="L19" s="279"/>
      <c r="M19" s="279">
        <f t="shared" si="4"/>
        <v>389774.50990000006</v>
      </c>
      <c r="N19" s="328"/>
      <c r="O19" s="209"/>
      <c r="Q19" s="348"/>
      <c r="S19" s="258"/>
    </row>
    <row r="20" spans="1:15" x14ac:dyDescent="0.25">
      <c r="A20" s="115">
        <v>17</v>
      </c>
      <c r="B20" s="116">
        <v>46311</v>
      </c>
      <c r="C20" s="260"/>
      <c r="D20" s="205"/>
      <c r="E20" s="74"/>
      <c r="F20" s="74"/>
      <c r="G20" s="262">
        <f t="shared" si="3"/>
        <v>0</v>
      </c>
      <c r="H20" s="74"/>
      <c r="I20" s="347"/>
      <c r="J20" s="262">
        <f t="shared" si="1"/>
        <v>0</v>
      </c>
      <c r="K20" s="262">
        <f t="shared" si="2"/>
        <v>0</v>
      </c>
      <c r="L20" s="279"/>
      <c r="M20" s="279">
        <f t="shared" si="4"/>
        <v>389774.50990000006</v>
      </c>
      <c r="N20" s="328"/>
      <c r="O20" s="209"/>
    </row>
    <row r="21" spans="1:15" x14ac:dyDescent="0.25">
      <c r="A21" s="115">
        <v>18</v>
      </c>
      <c r="B21" s="116">
        <v>46312</v>
      </c>
      <c r="C21" s="260"/>
      <c r="D21" s="205"/>
      <c r="E21" s="74"/>
      <c r="F21" s="74"/>
      <c r="G21" s="262">
        <f t="shared" si="3"/>
        <v>0</v>
      </c>
      <c r="H21" s="74"/>
      <c r="I21" s="347"/>
      <c r="J21" s="262">
        <f t="shared" si="1"/>
        <v>0</v>
      </c>
      <c r="K21" s="262">
        <f t="shared" si="2"/>
        <v>0</v>
      </c>
      <c r="L21" s="279"/>
      <c r="M21" s="279">
        <f t="shared" si="4"/>
        <v>389774.50990000006</v>
      </c>
      <c r="N21" s="328"/>
      <c r="O21" s="209"/>
    </row>
    <row r="22" spans="1:15" x14ac:dyDescent="0.25">
      <c r="A22" s="115">
        <v>19</v>
      </c>
      <c r="B22" s="116">
        <v>46313</v>
      </c>
      <c r="C22" s="260"/>
      <c r="D22" s="205"/>
      <c r="E22" s="74"/>
      <c r="F22" s="74"/>
      <c r="G22" s="262">
        <f t="shared" si="3"/>
        <v>0</v>
      </c>
      <c r="H22" s="74"/>
      <c r="I22" s="347"/>
      <c r="J22" s="262">
        <f t="shared" si="1"/>
        <v>0</v>
      </c>
      <c r="K22" s="262">
        <f t="shared" si="2"/>
        <v>0</v>
      </c>
      <c r="L22" s="279"/>
      <c r="M22" s="279">
        <f t="shared" si="4"/>
        <v>389774.50990000006</v>
      </c>
      <c r="N22" s="328"/>
      <c r="O22" s="209"/>
    </row>
    <row r="23" spans="1:15" x14ac:dyDescent="0.25">
      <c r="A23" s="115">
        <v>20</v>
      </c>
      <c r="B23" s="116">
        <v>46314</v>
      </c>
      <c r="C23" s="260"/>
      <c r="D23" s="205"/>
      <c r="E23" s="74"/>
      <c r="F23" s="74"/>
      <c r="G23" s="262">
        <f t="shared" si="3"/>
        <v>0</v>
      </c>
      <c r="H23" s="74"/>
      <c r="I23" s="347"/>
      <c r="J23" s="262">
        <f t="shared" si="1"/>
        <v>0</v>
      </c>
      <c r="K23" s="262">
        <f t="shared" si="2"/>
        <v>0</v>
      </c>
      <c r="L23" s="279"/>
      <c r="M23" s="279">
        <f t="shared" si="4"/>
        <v>389774.50990000006</v>
      </c>
      <c r="N23" s="328"/>
      <c r="O23" s="209"/>
    </row>
    <row r="24" spans="1:15" x14ac:dyDescent="0.25">
      <c r="A24" s="115">
        <v>21</v>
      </c>
      <c r="B24" s="116">
        <v>46315</v>
      </c>
      <c r="C24" s="260"/>
      <c r="D24" s="205"/>
      <c r="E24" s="74"/>
      <c r="F24" s="74"/>
      <c r="G24" s="262">
        <f t="shared" si="3"/>
        <v>0</v>
      </c>
      <c r="H24" s="74"/>
      <c r="I24" s="347"/>
      <c r="J24" s="262">
        <f t="shared" si="1"/>
        <v>0</v>
      </c>
      <c r="K24" s="262">
        <f t="shared" si="2"/>
        <v>0</v>
      </c>
      <c r="L24" s="262"/>
      <c r="M24" s="279">
        <f t="shared" si="4"/>
        <v>389774.50990000006</v>
      </c>
      <c r="N24" s="328"/>
      <c r="O24" s="209"/>
    </row>
    <row r="25" spans="1:15" x14ac:dyDescent="0.25">
      <c r="A25" s="115">
        <v>22</v>
      </c>
      <c r="B25" s="116">
        <v>46316</v>
      </c>
      <c r="C25" s="260"/>
      <c r="D25" s="205"/>
      <c r="E25" s="74"/>
      <c r="F25" s="74"/>
      <c r="G25" s="262">
        <f t="shared" si="3"/>
        <v>0</v>
      </c>
      <c r="H25" s="74"/>
      <c r="I25" s="347"/>
      <c r="J25" s="262">
        <f t="shared" si="1"/>
        <v>0</v>
      </c>
      <c r="K25" s="262">
        <f t="shared" si="2"/>
        <v>0</v>
      </c>
      <c r="L25" s="279"/>
      <c r="M25" s="279">
        <f t="shared" si="4"/>
        <v>389774.50990000006</v>
      </c>
      <c r="N25" s="328"/>
      <c r="O25" s="349"/>
    </row>
    <row r="26" spans="1:15" x14ac:dyDescent="0.25">
      <c r="A26" s="115">
        <v>23</v>
      </c>
      <c r="B26" s="116">
        <v>46317</v>
      </c>
      <c r="C26" s="260"/>
      <c r="D26" s="205"/>
      <c r="E26" s="74"/>
      <c r="F26" s="74"/>
      <c r="G26" s="262">
        <f t="shared" si="3"/>
        <v>0</v>
      </c>
      <c r="H26" s="74"/>
      <c r="I26" s="347"/>
      <c r="J26" s="262">
        <f t="shared" si="1"/>
        <v>0</v>
      </c>
      <c r="K26" s="350">
        <f t="shared" si="2"/>
        <v>0</v>
      </c>
      <c r="L26" s="350"/>
      <c r="M26" s="279">
        <f t="shared" si="4"/>
        <v>389774.50990000006</v>
      </c>
      <c r="N26" s="328"/>
      <c r="O26" s="209"/>
    </row>
    <row r="27" spans="1:15" x14ac:dyDescent="0.25">
      <c r="A27" s="115">
        <v>24</v>
      </c>
      <c r="B27" s="116">
        <v>46318</v>
      </c>
      <c r="C27" s="260"/>
      <c r="D27" s="205"/>
      <c r="E27" s="74"/>
      <c r="F27" s="74"/>
      <c r="G27" s="262">
        <f t="shared" si="3"/>
        <v>0</v>
      </c>
      <c r="H27" s="74"/>
      <c r="I27" s="347"/>
      <c r="J27" s="262">
        <f t="shared" si="1"/>
        <v>0</v>
      </c>
      <c r="K27" s="262">
        <f t="shared" si="2"/>
        <v>0</v>
      </c>
      <c r="L27" s="279"/>
      <c r="M27" s="279">
        <f t="shared" si="4"/>
        <v>389774.50990000006</v>
      </c>
      <c r="N27" s="328"/>
      <c r="O27" s="209"/>
    </row>
    <row r="28" spans="1:15" x14ac:dyDescent="0.25">
      <c r="A28" s="115">
        <v>25</v>
      </c>
      <c r="B28" s="116">
        <v>46319</v>
      </c>
      <c r="C28" s="260"/>
      <c r="D28" s="205"/>
      <c r="E28" s="74"/>
      <c r="F28" s="74"/>
      <c r="G28" s="262">
        <f t="shared" si="3"/>
        <v>0</v>
      </c>
      <c r="H28" s="74"/>
      <c r="I28" s="347"/>
      <c r="J28" s="262"/>
      <c r="K28" s="262">
        <f t="shared" si="2"/>
        <v>0</v>
      </c>
      <c r="L28" s="279"/>
      <c r="M28" s="279">
        <f t="shared" si="4"/>
        <v>389774.50990000006</v>
      </c>
      <c r="N28" s="328"/>
      <c r="O28" s="209"/>
    </row>
    <row r="29" spans="1:15" x14ac:dyDescent="0.25">
      <c r="A29" s="115">
        <v>26</v>
      </c>
      <c r="B29" s="116">
        <v>46320</v>
      </c>
      <c r="C29" s="260"/>
      <c r="D29" s="205"/>
      <c r="E29" s="74"/>
      <c r="F29" s="74"/>
      <c r="G29" s="262">
        <f t="shared" si="3"/>
        <v>0</v>
      </c>
      <c r="H29" s="74"/>
      <c r="I29" s="347"/>
      <c r="J29" s="262">
        <f t="shared" si="1"/>
        <v>0</v>
      </c>
      <c r="K29" s="262">
        <f t="shared" si="2"/>
        <v>0</v>
      </c>
      <c r="L29" s="279"/>
      <c r="M29" s="279">
        <f t="shared" si="4"/>
        <v>389774.50990000006</v>
      </c>
      <c r="N29" s="328"/>
      <c r="O29" s="209"/>
    </row>
    <row r="30" spans="1:15" x14ac:dyDescent="0.25">
      <c r="A30" s="115">
        <v>27</v>
      </c>
      <c r="B30" s="116">
        <v>46321</v>
      </c>
      <c r="C30" s="260"/>
      <c r="D30" s="205"/>
      <c r="E30" s="74"/>
      <c r="F30" s="74"/>
      <c r="G30" s="262">
        <f t="shared" si="3"/>
        <v>0</v>
      </c>
      <c r="H30" s="74"/>
      <c r="I30" s="347"/>
      <c r="J30" s="262">
        <f t="shared" si="1"/>
        <v>0</v>
      </c>
      <c r="K30" s="262">
        <f t="shared" si="2"/>
        <v>0</v>
      </c>
      <c r="L30" s="262"/>
      <c r="M30" s="279">
        <f t="shared" si="4"/>
        <v>389774.50990000006</v>
      </c>
      <c r="N30" s="328"/>
      <c r="O30" s="209"/>
    </row>
    <row r="31" spans="1:15" x14ac:dyDescent="0.25">
      <c r="A31" s="115">
        <v>28</v>
      </c>
      <c r="B31" s="116">
        <v>46322</v>
      </c>
      <c r="C31" s="260"/>
      <c r="D31" s="205"/>
      <c r="E31" s="351"/>
      <c r="F31" s="351"/>
      <c r="G31" s="262">
        <f t="shared" si="3"/>
        <v>0</v>
      </c>
      <c r="H31" s="74"/>
      <c r="I31" s="347"/>
      <c r="J31" s="262">
        <f t="shared" si="1"/>
        <v>0</v>
      </c>
      <c r="K31" s="262">
        <f t="shared" si="2"/>
        <v>0</v>
      </c>
      <c r="L31" s="279"/>
      <c r="M31" s="279">
        <f t="shared" si="4"/>
        <v>389774.50990000006</v>
      </c>
      <c r="N31" s="328"/>
      <c r="O31" s="209"/>
    </row>
    <row r="32" spans="1:15" x14ac:dyDescent="0.25">
      <c r="A32" s="115">
        <v>29</v>
      </c>
      <c r="B32" s="116">
        <v>46323</v>
      </c>
      <c r="C32" s="260"/>
      <c r="D32" s="205"/>
      <c r="E32" s="74"/>
      <c r="F32" s="74"/>
      <c r="G32" s="262">
        <f t="shared" si="3"/>
        <v>0</v>
      </c>
      <c r="H32" s="74"/>
      <c r="I32" s="347"/>
      <c r="J32" s="262">
        <f t="shared" si="1"/>
        <v>0</v>
      </c>
      <c r="K32" s="350">
        <f t="shared" si="2"/>
        <v>0</v>
      </c>
      <c r="L32" s="350"/>
      <c r="M32" s="279">
        <f t="shared" si="4"/>
        <v>389774.50990000006</v>
      </c>
      <c r="N32" s="328"/>
      <c r="O32" s="209"/>
    </row>
    <row r="33" spans="1:16" x14ac:dyDescent="0.25">
      <c r="A33" s="115">
        <v>30</v>
      </c>
      <c r="B33" s="116">
        <v>46324</v>
      </c>
      <c r="C33" s="260"/>
      <c r="D33" s="205"/>
      <c r="E33" s="351"/>
      <c r="F33" s="351"/>
      <c r="G33" s="262">
        <f t="shared" si="3"/>
        <v>0</v>
      </c>
      <c r="H33" s="74"/>
      <c r="I33" s="347"/>
      <c r="J33" s="262">
        <f t="shared" si="1"/>
        <v>0</v>
      </c>
      <c r="K33" s="350">
        <f t="shared" si="2"/>
        <v>0</v>
      </c>
      <c r="L33" s="350"/>
      <c r="M33" s="279">
        <f t="shared" si="4"/>
        <v>389774.50990000006</v>
      </c>
      <c r="N33" s="328"/>
      <c r="O33" s="209"/>
      <c r="P33" s="348"/>
    </row>
    <row r="34" spans="1:15" x14ac:dyDescent="0.25">
      <c r="A34" s="115">
        <v>31</v>
      </c>
      <c r="B34" s="116">
        <v>46325</v>
      </c>
      <c r="C34" s="260"/>
      <c r="D34" s="205"/>
      <c r="E34" s="74"/>
      <c r="F34" s="74"/>
      <c r="G34" s="262">
        <f t="shared" si="3"/>
        <v>0</v>
      </c>
      <c r="H34" s="74"/>
      <c r="I34" s="347"/>
      <c r="J34" s="262">
        <f t="shared" si="1"/>
        <v>0</v>
      </c>
      <c r="K34" s="262">
        <f t="shared" si="2"/>
        <v>0</v>
      </c>
      <c r="L34" s="279"/>
      <c r="M34" s="279">
        <f t="shared" si="4"/>
        <v>389774.50990000006</v>
      </c>
      <c r="N34" s="328"/>
      <c r="O34" s="209"/>
    </row>
    <row r="35" spans="1:16" x14ac:dyDescent="0.25">
      <c r="A35" s="115">
        <v>32</v>
      </c>
      <c r="B35" s="116">
        <v>46326</v>
      </c>
      <c r="C35" s="260"/>
      <c r="D35" s="205"/>
      <c r="E35" s="74"/>
      <c r="F35" s="74"/>
      <c r="G35" s="262">
        <f t="shared" si="3"/>
        <v>0</v>
      </c>
      <c r="H35" s="74"/>
      <c r="I35" s="347"/>
      <c r="J35" s="262">
        <f t="shared" si="1"/>
        <v>0</v>
      </c>
      <c r="K35" s="262">
        <f t="shared" si="2"/>
        <v>0</v>
      </c>
      <c r="L35" s="279"/>
      <c r="M35" s="279">
        <f t="shared" si="4"/>
        <v>389774.50990000006</v>
      </c>
      <c r="N35" s="328"/>
      <c r="O35" s="209"/>
      <c r="P35" s="348"/>
    </row>
    <row r="36" spans="1:15" x14ac:dyDescent="0.25">
      <c r="A36" s="115">
        <v>33</v>
      </c>
      <c r="B36" s="116"/>
      <c r="C36" s="260"/>
      <c r="D36" s="205"/>
      <c r="E36" s="74"/>
      <c r="F36" s="74"/>
      <c r="G36" s="262">
        <f t="shared" si="3"/>
        <v>0</v>
      </c>
      <c r="H36" s="74"/>
      <c r="I36" s="347"/>
      <c r="J36" s="262">
        <f t="shared" si="1"/>
        <v>0</v>
      </c>
      <c r="K36" s="262">
        <f t="shared" si="2"/>
        <v>0</v>
      </c>
      <c r="L36" s="279"/>
      <c r="M36" s="279">
        <f t="shared" si="4"/>
        <v>389774.50990000006</v>
      </c>
      <c r="N36" s="328"/>
      <c r="O36" s="209"/>
    </row>
    <row r="37" spans="1:15" x14ac:dyDescent="0.25">
      <c r="A37" s="115"/>
      <c r="B37" s="116"/>
      <c r="C37" s="260"/>
      <c r="D37" s="205"/>
      <c r="E37" s="74"/>
      <c r="F37" s="74"/>
      <c r="G37" s="262">
        <f t="shared" si="0"/>
        <v>0</v>
      </c>
      <c r="H37" s="74"/>
      <c r="I37" s="347"/>
      <c r="J37" s="262">
        <f t="shared" si="1"/>
        <v>0</v>
      </c>
      <c r="K37" s="262">
        <f t="shared" si="2"/>
        <v>0</v>
      </c>
      <c r="L37" s="279"/>
      <c r="M37" s="279">
        <f t="shared" si="4"/>
        <v>389774.50990000006</v>
      </c>
      <c r="N37" s="328"/>
      <c r="O37" s="209"/>
    </row>
    <row r="38" spans="1:15" x14ac:dyDescent="0.25">
      <c r="A38" s="115"/>
      <c r="B38" s="116"/>
      <c r="C38" s="260"/>
      <c r="D38" s="205"/>
      <c r="E38" s="74"/>
      <c r="F38" s="74"/>
      <c r="G38" s="262">
        <f t="shared" ref="G38" si="6">E38*F38</f>
        <v>0</v>
      </c>
      <c r="H38" s="74"/>
      <c r="I38" s="347"/>
      <c r="J38" s="262">
        <f t="shared" ref="J38" si="7">H38*I38</f>
        <v>0</v>
      </c>
      <c r="K38" s="262">
        <f t="shared" ref="K38" si="8">G38+J38</f>
        <v>0</v>
      </c>
      <c r="L38" s="279"/>
      <c r="M38" s="279">
        <f t="shared" si="4"/>
        <v>389774.50990000006</v>
      </c>
      <c r="N38" s="328"/>
      <c r="O38" s="209"/>
    </row>
    <row r="39" spans="1:15" x14ac:dyDescent="0.25">
      <c r="A39" s="121"/>
      <c r="B39" s="121"/>
      <c r="C39" s="121"/>
      <c r="D39" s="121"/>
      <c r="E39" s="136">
        <f>SUM(E4:E37)</f>
        <v>3866.63</v>
      </c>
      <c r="F39" s="136"/>
      <c r="G39" s="136">
        <f>SUM(G4:G37)</f>
        <v>386591.6641</v>
      </c>
      <c r="H39" s="136">
        <f>SUM(H4:H37)</f>
        <v>109.99</v>
      </c>
      <c r="I39" s="136"/>
      <c r="J39" s="136">
        <f>SUM(J4:J37)</f>
        <v>12319.979099999999</v>
      </c>
      <c r="K39" s="136">
        <f>SUM(K4:K37)</f>
        <v>398911.6432</v>
      </c>
      <c r="L39" s="136">
        <f>SUM(L4:L37)</f>
        <v>300029.2432</v>
      </c>
      <c r="M39" s="136"/>
      <c r="N39" s="136"/>
      <c r="O39" s="303"/>
    </row>
    <row r="40" spans="1:15" x14ac:dyDescent="0.25">
      <c r="A40" s="211"/>
      <c r="B40" s="212"/>
      <c r="C40" s="211"/>
      <c r="D40" s="211"/>
      <c r="E40" s="213"/>
      <c r="F40" s="213"/>
      <c r="G40" s="213"/>
      <c r="H40" s="213"/>
      <c r="I40" s="213"/>
      <c r="J40" s="214"/>
      <c r="K40" s="214"/>
      <c r="L40" s="214"/>
      <c r="M40" s="214"/>
      <c r="N40" s="213"/>
      <c r="O40" s="209"/>
    </row>
    <row r="41" spans="5:15" x14ac:dyDescent="0.25">
      <c r="E41" s="352"/>
      <c r="F41" s="352"/>
      <c r="G41" s="352"/>
      <c r="H41" s="352"/>
      <c r="I41" s="352"/>
      <c r="J41" s="352"/>
      <c r="K41" s="352"/>
      <c r="L41" s="352"/>
      <c r="M41" s="348"/>
      <c r="O41" s="209"/>
    </row>
    <row r="42" spans="15:15" x14ac:dyDescent="0.25">
      <c r="O42" s="209"/>
    </row>
    <row r="43" spans="13:15" x14ac:dyDescent="0.25">
      <c r="M43" s="258"/>
      <c r="O43" s="209"/>
    </row>
    <row r="44" spans="15:15" x14ac:dyDescent="0.25">
      <c r="O44" s="209"/>
    </row>
    <row r="45" spans="15:19" x14ac:dyDescent="0.25">
      <c r="O45" s="209"/>
      <c r="S45">
        <v>9052944708</v>
      </c>
    </row>
    <row r="46" spans="1:15" x14ac:dyDescent="0.25">
      <c r="A46" s="209"/>
      <c r="B46" s="208"/>
      <c r="C46" s="209"/>
      <c r="D46" s="209"/>
      <c r="E46" s="209"/>
      <c r="F46" s="209"/>
      <c r="G46" s="213"/>
      <c r="H46" s="209"/>
      <c r="I46" s="209"/>
      <c r="J46" s="208"/>
      <c r="K46" s="208"/>
      <c r="L46" s="208"/>
      <c r="M46" s="208"/>
      <c r="N46" s="209"/>
      <c r="O46" s="213"/>
    </row>
    <row r="47" spans="1:15" x14ac:dyDescent="0.25">
      <c r="A47" s="209"/>
      <c r="B47" s="209"/>
      <c r="C47" s="209"/>
      <c r="D47" s="209"/>
      <c r="E47" s="209"/>
      <c r="F47" s="209"/>
      <c r="G47" s="209"/>
      <c r="H47" s="209"/>
      <c r="I47" s="209"/>
      <c r="J47" s="209"/>
      <c r="K47" s="209"/>
      <c r="L47" s="209"/>
      <c r="M47" s="209"/>
      <c r="N47" s="209"/>
      <c r="O47" s="213"/>
    </row>
    <row r="48" spans="1:15" x14ac:dyDescent="0.25">
      <c r="A48" s="209"/>
      <c r="B48" s="208"/>
      <c r="C48" s="209"/>
      <c r="D48" s="209"/>
      <c r="E48" s="209"/>
      <c r="F48" s="209"/>
      <c r="G48" s="209"/>
      <c r="H48" s="209"/>
      <c r="I48" s="209"/>
      <c r="J48" s="208"/>
      <c r="K48" s="208"/>
      <c r="L48" s="208"/>
      <c r="M48" s="208"/>
      <c r="N48" s="209"/>
      <c r="O48" s="213"/>
    </row>
  </sheetData>
  <mergeCells count="4">
    <mergeCell ref="A1:N1"/>
    <mergeCell ref="A3:J3"/>
    <mergeCell ref="B47:E47"/>
    <mergeCell ref="I47:N47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4"/>
  <sheetViews>
    <sheetView workbookViewId="0" zoomScale="100" zoomScaleNormal="100">
      <pane ySplit="3" topLeftCell="A4" activePane="bottomLeft" state="frozen"/>
      <selection pane="bottomLeft" activeCell="R32" sqref="R32"/>
    </sheetView>
  </sheetViews>
  <sheetFormatPr defaultRowHeight="15" outlineLevelRow="0" outlineLevelCol="0" x14ac:dyDescent="0"/>
  <cols>
    <col min="1" max="1" width="5.140625" customWidth="1"/>
    <col min="2" max="2" width="10.140625" customWidth="1"/>
    <col min="3" max="3" width="8" customWidth="1"/>
    <col min="4" max="4" width="13.28515625" customWidth="1"/>
    <col min="5" max="5" width="10.7109375" customWidth="1"/>
    <col min="6" max="6" width="9.7109375" customWidth="1"/>
    <col min="7" max="7" width="13.140625" customWidth="1"/>
    <col min="8" max="8" width="10.7109375" customWidth="1"/>
    <col min="9" max="9" width="7.140625" customWidth="1"/>
    <col min="10" max="10" width="9.7109375" customWidth="1"/>
    <col min="11" max="12" width="13.5703125" customWidth="1"/>
    <col min="13" max="13" width="14.42578125" customWidth="1"/>
    <col min="14" max="14" width="16.42578125" customWidth="1"/>
  </cols>
  <sheetData>
    <row r="1" ht="15.75" customHeight="1" spans="1:15" x14ac:dyDescent="0.25">
      <c r="A1" s="172" t="s">
        <v>164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207"/>
    </row>
    <row r="2" ht="16.5" customHeight="1" spans="1:15" x14ac:dyDescent="0.25">
      <c r="A2" s="173" t="s">
        <v>0</v>
      </c>
      <c r="B2" s="174" t="s">
        <v>167</v>
      </c>
      <c r="C2" s="174" t="s">
        <v>168</v>
      </c>
      <c r="D2" s="174" t="s">
        <v>189</v>
      </c>
      <c r="E2" s="174" t="s">
        <v>170</v>
      </c>
      <c r="F2" s="174" t="s">
        <v>171</v>
      </c>
      <c r="G2" s="174" t="s">
        <v>172</v>
      </c>
      <c r="H2" s="174" t="s">
        <v>173</v>
      </c>
      <c r="I2" s="174" t="s">
        <v>171</v>
      </c>
      <c r="J2" s="176" t="s">
        <v>172</v>
      </c>
      <c r="K2" s="177" t="s">
        <v>174</v>
      </c>
      <c r="L2" s="178" t="s">
        <v>175</v>
      </c>
      <c r="M2" s="179" t="s">
        <v>190</v>
      </c>
      <c r="N2" s="180" t="s">
        <v>177</v>
      </c>
      <c r="O2" s="208"/>
    </row>
    <row r="3" ht="16.5" customHeight="1" spans="1:15" x14ac:dyDescent="0.25">
      <c r="A3" s="148" t="s">
        <v>178</v>
      </c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50"/>
      <c r="M3" s="181">
        <v>0</v>
      </c>
      <c r="N3" s="182"/>
      <c r="O3" s="208"/>
    </row>
    <row r="4" spans="1:14" x14ac:dyDescent="0.25">
      <c r="A4" s="183">
        <v>1</v>
      </c>
      <c r="B4" s="184">
        <v>46296</v>
      </c>
      <c r="C4" s="185"/>
      <c r="D4" s="186"/>
      <c r="E4" s="167"/>
      <c r="F4" s="167"/>
      <c r="G4" s="166">
        <f>E4*F4</f>
        <v>0</v>
      </c>
      <c r="H4" s="167"/>
      <c r="I4" s="168"/>
      <c r="J4" s="166">
        <f>H4*I4</f>
        <v>0</v>
      </c>
      <c r="K4" s="166">
        <f>G4+J4</f>
        <v>0</v>
      </c>
      <c r="L4" s="188">
        <f>+K4</f>
        <v>0</v>
      </c>
      <c r="M4" s="188">
        <v>0</v>
      </c>
      <c r="N4" s="166"/>
    </row>
    <row r="5" spans="1:14" x14ac:dyDescent="0.25">
      <c r="A5" s="189">
        <v>2</v>
      </c>
      <c r="B5" s="184">
        <v>46297</v>
      </c>
      <c r="C5" s="185"/>
      <c r="D5" s="186"/>
      <c r="E5" s="167"/>
      <c r="F5" s="167"/>
      <c r="G5" s="166">
        <f t="shared" ref="G5:G34" si="0">E5*F5</f>
        <v>0</v>
      </c>
      <c r="H5" s="167"/>
      <c r="I5" s="168"/>
      <c r="J5" s="166">
        <f t="shared" ref="J5:J8" si="1">H5*I5</f>
        <v>0</v>
      </c>
      <c r="K5" s="166">
        <f t="shared" ref="K5:K33" si="2">G5+J5</f>
        <v>0</v>
      </c>
      <c r="L5" s="188">
        <f t="shared" ref="L5:L33" si="3">+K5</f>
        <v>0</v>
      </c>
      <c r="M5" s="188">
        <v>0</v>
      </c>
      <c r="N5" s="166"/>
    </row>
    <row r="6" spans="1:14" x14ac:dyDescent="0.25">
      <c r="A6" s="189">
        <v>3</v>
      </c>
      <c r="B6" s="184">
        <v>46298</v>
      </c>
      <c r="C6" s="185"/>
      <c r="D6" s="186"/>
      <c r="E6" s="167"/>
      <c r="F6" s="167"/>
      <c r="G6" s="166">
        <f t="shared" si="0"/>
        <v>0</v>
      </c>
      <c r="H6" s="167"/>
      <c r="I6" s="168"/>
      <c r="J6" s="166">
        <f t="shared" si="1"/>
        <v>0</v>
      </c>
      <c r="K6" s="166">
        <f t="shared" si="2"/>
        <v>0</v>
      </c>
      <c r="L6" s="188">
        <f t="shared" si="3"/>
        <v>0</v>
      </c>
      <c r="M6" s="188">
        <v>0</v>
      </c>
      <c r="N6" s="166"/>
    </row>
    <row r="7" spans="1:14" x14ac:dyDescent="0.25">
      <c r="A7" s="189">
        <v>4</v>
      </c>
      <c r="B7" s="184">
        <v>46299</v>
      </c>
      <c r="C7" s="185"/>
      <c r="D7" s="186"/>
      <c r="E7" s="167"/>
      <c r="F7" s="167"/>
      <c r="G7" s="166">
        <f t="shared" si="0"/>
        <v>0</v>
      </c>
      <c r="H7" s="167"/>
      <c r="I7" s="168"/>
      <c r="J7" s="166">
        <f t="shared" ref="J7" si="4">H7*I7</f>
        <v>0</v>
      </c>
      <c r="K7" s="166">
        <f t="shared" si="2"/>
        <v>0</v>
      </c>
      <c r="L7" s="188">
        <f t="shared" si="3"/>
        <v>0</v>
      </c>
      <c r="M7" s="188">
        <v>0</v>
      </c>
      <c r="N7" s="166"/>
    </row>
    <row r="8" spans="1:15" x14ac:dyDescent="0.25">
      <c r="A8" s="189">
        <v>5</v>
      </c>
      <c r="B8" s="184">
        <v>46300</v>
      </c>
      <c r="C8" s="185"/>
      <c r="D8" s="186"/>
      <c r="E8" s="167"/>
      <c r="F8" s="167"/>
      <c r="G8" s="166">
        <f t="shared" ref="G8:G33" si="5">E8*F8</f>
        <v>0</v>
      </c>
      <c r="H8" s="167"/>
      <c r="I8" s="168"/>
      <c r="J8" s="166">
        <f t="shared" ref="J8:J33" si="6">H8*I8</f>
        <v>0</v>
      </c>
      <c r="K8" s="166">
        <f t="shared" ref="K8:K33" si="7">G8+J8</f>
        <v>0</v>
      </c>
      <c r="L8" s="188">
        <f t="shared" si="3"/>
        <v>0</v>
      </c>
      <c r="M8" s="188">
        <v>0</v>
      </c>
      <c r="N8" s="166"/>
      <c r="O8" s="209"/>
    </row>
    <row r="9" spans="1:15" x14ac:dyDescent="0.25">
      <c r="A9" s="189">
        <v>6</v>
      </c>
      <c r="B9" s="184">
        <v>46301</v>
      </c>
      <c r="C9" s="185"/>
      <c r="D9" s="186"/>
      <c r="E9" s="167"/>
      <c r="F9" s="167"/>
      <c r="G9" s="166">
        <f t="shared" si="5"/>
        <v>0</v>
      </c>
      <c r="H9" s="167"/>
      <c r="I9" s="168"/>
      <c r="J9" s="166">
        <f t="shared" si="6"/>
        <v>0</v>
      </c>
      <c r="K9" s="166">
        <f t="shared" si="7"/>
        <v>0</v>
      </c>
      <c r="L9" s="188">
        <f t="shared" si="3"/>
        <v>0</v>
      </c>
      <c r="M9" s="188">
        <v>0</v>
      </c>
      <c r="N9" s="166"/>
      <c r="O9" s="209"/>
    </row>
    <row r="10" spans="1:15" x14ac:dyDescent="0.25">
      <c r="A10" s="189">
        <v>7</v>
      </c>
      <c r="B10" s="184">
        <v>46302</v>
      </c>
      <c r="C10" s="185"/>
      <c r="D10" s="186"/>
      <c r="E10" s="167"/>
      <c r="F10" s="167"/>
      <c r="G10" s="199">
        <f t="shared" si="5"/>
        <v>0</v>
      </c>
      <c r="H10" s="168"/>
      <c r="I10" s="166"/>
      <c r="J10" s="166">
        <f t="shared" si="6"/>
        <v>0</v>
      </c>
      <c r="K10" s="199">
        <f t="shared" si="7"/>
        <v>0</v>
      </c>
      <c r="L10" s="558">
        <f t="shared" si="3"/>
        <v>0</v>
      </c>
      <c r="M10" s="188">
        <v>0</v>
      </c>
      <c r="N10" s="166"/>
      <c r="O10" s="209"/>
    </row>
    <row r="11" spans="1:15" x14ac:dyDescent="0.25">
      <c r="A11" s="189">
        <v>8</v>
      </c>
      <c r="B11" s="184">
        <v>46303</v>
      </c>
      <c r="C11" s="185"/>
      <c r="D11" s="186"/>
      <c r="E11" s="167"/>
      <c r="F11" s="167"/>
      <c r="G11" s="166">
        <f t="shared" si="5"/>
        <v>0</v>
      </c>
      <c r="H11" s="167"/>
      <c r="I11" s="168"/>
      <c r="J11" s="166">
        <f t="shared" si="6"/>
        <v>0</v>
      </c>
      <c r="K11" s="166">
        <f t="shared" si="7"/>
        <v>0</v>
      </c>
      <c r="L11" s="188">
        <f t="shared" si="3"/>
        <v>0</v>
      </c>
      <c r="M11" s="188">
        <v>0</v>
      </c>
      <c r="N11" s="166"/>
      <c r="O11" s="209"/>
    </row>
    <row r="12" spans="1:15" x14ac:dyDescent="0.25">
      <c r="A12" s="189">
        <v>9</v>
      </c>
      <c r="B12" s="184">
        <v>46304</v>
      </c>
      <c r="C12" s="185"/>
      <c r="D12" s="186"/>
      <c r="E12" s="167"/>
      <c r="F12" s="167"/>
      <c r="G12" s="166">
        <f>E12*F12</f>
        <v>0</v>
      </c>
      <c r="H12" s="167"/>
      <c r="I12" s="168"/>
      <c r="J12" s="166">
        <f t="shared" si="6"/>
        <v>0</v>
      </c>
      <c r="K12" s="166">
        <f t="shared" si="7"/>
        <v>0</v>
      </c>
      <c r="L12" s="188">
        <f t="shared" si="3"/>
        <v>0</v>
      </c>
      <c r="M12" s="188">
        <v>0</v>
      </c>
      <c r="N12" s="166"/>
      <c r="O12" s="209"/>
    </row>
    <row r="13" spans="1:15" x14ac:dyDescent="0.25">
      <c r="A13" s="189">
        <v>10</v>
      </c>
      <c r="B13" s="184">
        <v>46305</v>
      </c>
      <c r="C13" s="185"/>
      <c r="D13" s="186"/>
      <c r="E13" s="167"/>
      <c r="F13" s="167"/>
      <c r="G13" s="166">
        <f>E13*F13</f>
        <v>0</v>
      </c>
      <c r="H13" s="167"/>
      <c r="I13" s="168"/>
      <c r="J13" s="166">
        <f t="shared" si="6"/>
        <v>0</v>
      </c>
      <c r="K13" s="166">
        <f t="shared" si="7"/>
        <v>0</v>
      </c>
      <c r="L13" s="188">
        <f t="shared" si="3"/>
        <v>0</v>
      </c>
      <c r="M13" s="188">
        <v>0</v>
      </c>
      <c r="N13" s="166"/>
      <c r="O13" s="209"/>
    </row>
    <row r="14" spans="1:15" x14ac:dyDescent="0.25">
      <c r="A14" s="189">
        <v>11</v>
      </c>
      <c r="B14" s="184">
        <v>46306</v>
      </c>
      <c r="C14" s="185"/>
      <c r="D14" s="186"/>
      <c r="E14" s="167"/>
      <c r="F14" s="167"/>
      <c r="G14" s="166">
        <f t="shared" si="5"/>
        <v>0</v>
      </c>
      <c r="H14" s="167"/>
      <c r="I14" s="168"/>
      <c r="J14" s="166">
        <f t="shared" si="6"/>
        <v>0</v>
      </c>
      <c r="K14" s="166">
        <f t="shared" si="7"/>
        <v>0</v>
      </c>
      <c r="L14" s="188">
        <f t="shared" si="3"/>
        <v>0</v>
      </c>
      <c r="M14" s="188">
        <v>0</v>
      </c>
      <c r="N14" s="166"/>
      <c r="O14" s="209"/>
    </row>
    <row r="15" spans="1:15" x14ac:dyDescent="0.25">
      <c r="A15" s="189">
        <v>12</v>
      </c>
      <c r="B15" s="184">
        <v>46307</v>
      </c>
      <c r="C15" s="185"/>
      <c r="D15" s="186"/>
      <c r="E15" s="167"/>
      <c r="F15" s="167"/>
      <c r="G15" s="166">
        <f t="shared" si="5"/>
        <v>0</v>
      </c>
      <c r="H15" s="167"/>
      <c r="I15" s="168"/>
      <c r="J15" s="166">
        <f t="shared" si="6"/>
        <v>0</v>
      </c>
      <c r="K15" s="166">
        <f t="shared" si="7"/>
        <v>0</v>
      </c>
      <c r="L15" s="188">
        <f t="shared" si="3"/>
        <v>0</v>
      </c>
      <c r="M15" s="188">
        <v>0</v>
      </c>
      <c r="N15" s="166"/>
      <c r="O15" s="209"/>
    </row>
    <row r="16" spans="1:15" x14ac:dyDescent="0.25">
      <c r="A16" s="189">
        <v>13</v>
      </c>
      <c r="B16" s="184">
        <v>46308</v>
      </c>
      <c r="C16" s="185"/>
      <c r="D16" s="186"/>
      <c r="E16" s="167"/>
      <c r="F16" s="167"/>
      <c r="G16" s="166">
        <f t="shared" si="5"/>
        <v>0</v>
      </c>
      <c r="H16" s="167"/>
      <c r="I16" s="168"/>
      <c r="J16" s="166">
        <f t="shared" si="6"/>
        <v>0</v>
      </c>
      <c r="K16" s="166">
        <f t="shared" si="7"/>
        <v>0</v>
      </c>
      <c r="L16" s="188">
        <f t="shared" si="3"/>
        <v>0</v>
      </c>
      <c r="M16" s="188">
        <v>0</v>
      </c>
      <c r="N16" s="166"/>
      <c r="O16" s="209"/>
    </row>
    <row r="17" spans="1:15" x14ac:dyDescent="0.25">
      <c r="A17" s="189">
        <v>14</v>
      </c>
      <c r="B17" s="184">
        <v>46309</v>
      </c>
      <c r="C17" s="185"/>
      <c r="D17" s="186"/>
      <c r="E17" s="167"/>
      <c r="F17" s="167"/>
      <c r="G17" s="166"/>
      <c r="H17" s="167"/>
      <c r="I17" s="168"/>
      <c r="J17" s="166">
        <f t="shared" si="6"/>
        <v>0</v>
      </c>
      <c r="K17" s="166">
        <f t="shared" si="7"/>
        <v>0</v>
      </c>
      <c r="L17" s="188">
        <f t="shared" si="3"/>
        <v>0</v>
      </c>
      <c r="M17" s="188">
        <v>0</v>
      </c>
      <c r="N17" s="166"/>
      <c r="O17" s="209"/>
    </row>
    <row r="18" spans="1:15" x14ac:dyDescent="0.25">
      <c r="A18" s="189">
        <v>15</v>
      </c>
      <c r="B18" s="184">
        <v>46310</v>
      </c>
      <c r="C18" s="185"/>
      <c r="D18" s="186"/>
      <c r="E18" s="167"/>
      <c r="F18" s="167"/>
      <c r="G18" s="166">
        <f t="shared" si="5"/>
        <v>0</v>
      </c>
      <c r="H18" s="167"/>
      <c r="I18" s="168"/>
      <c r="J18" s="166">
        <f t="shared" si="6"/>
        <v>0</v>
      </c>
      <c r="K18" s="166">
        <f t="shared" si="7"/>
        <v>0</v>
      </c>
      <c r="L18" s="188">
        <f t="shared" si="3"/>
        <v>0</v>
      </c>
      <c r="M18" s="188"/>
      <c r="N18" s="166"/>
      <c r="O18" s="209"/>
    </row>
    <row r="19" spans="1:15" x14ac:dyDescent="0.25">
      <c r="A19" s="189">
        <v>16</v>
      </c>
      <c r="B19" s="184">
        <v>46311</v>
      </c>
      <c r="C19" s="185"/>
      <c r="D19" s="186"/>
      <c r="E19" s="167"/>
      <c r="F19" s="167"/>
      <c r="G19" s="166">
        <f t="shared" si="5"/>
        <v>0</v>
      </c>
      <c r="H19" s="167"/>
      <c r="I19" s="168"/>
      <c r="J19" s="166">
        <f t="shared" si="6"/>
        <v>0</v>
      </c>
      <c r="K19" s="166">
        <f t="shared" si="7"/>
        <v>0</v>
      </c>
      <c r="L19" s="188">
        <f>+K19</f>
        <v>0</v>
      </c>
      <c r="M19" s="188">
        <v>0</v>
      </c>
      <c r="N19" s="166"/>
      <c r="O19" s="209"/>
    </row>
    <row r="20" spans="1:15" x14ac:dyDescent="0.25">
      <c r="A20" s="189">
        <v>17</v>
      </c>
      <c r="B20" s="184">
        <v>46312</v>
      </c>
      <c r="C20" s="185"/>
      <c r="D20" s="186"/>
      <c r="E20" s="167"/>
      <c r="F20" s="167"/>
      <c r="G20" s="166">
        <f t="shared" si="5"/>
        <v>0</v>
      </c>
      <c r="H20" s="167"/>
      <c r="I20" s="168"/>
      <c r="J20" s="166">
        <f t="shared" si="6"/>
        <v>0</v>
      </c>
      <c r="K20" s="166">
        <f t="shared" si="7"/>
        <v>0</v>
      </c>
      <c r="L20" s="188">
        <f t="shared" si="3"/>
        <v>0</v>
      </c>
      <c r="M20" s="188">
        <v>0</v>
      </c>
      <c r="N20" s="166"/>
      <c r="O20" s="209"/>
    </row>
    <row r="21" spans="1:15" x14ac:dyDescent="0.25">
      <c r="A21" s="189">
        <v>18</v>
      </c>
      <c r="B21" s="184">
        <v>46313</v>
      </c>
      <c r="C21" s="185"/>
      <c r="D21" s="186"/>
      <c r="E21" s="167"/>
      <c r="F21" s="167"/>
      <c r="G21" s="166">
        <f t="shared" si="5"/>
        <v>0</v>
      </c>
      <c r="H21" s="167"/>
      <c r="I21" s="168"/>
      <c r="J21" s="166">
        <f t="shared" si="6"/>
        <v>0</v>
      </c>
      <c r="K21" s="166">
        <f t="shared" si="7"/>
        <v>0</v>
      </c>
      <c r="L21" s="188">
        <f t="shared" si="3"/>
        <v>0</v>
      </c>
      <c r="M21" s="188">
        <v>0</v>
      </c>
      <c r="N21" s="166"/>
      <c r="O21" s="209"/>
    </row>
    <row r="22" spans="1:15" x14ac:dyDescent="0.25">
      <c r="A22" s="189">
        <v>19</v>
      </c>
      <c r="B22" s="184">
        <v>46314</v>
      </c>
      <c r="C22" s="185"/>
      <c r="D22" s="186"/>
      <c r="E22" s="167"/>
      <c r="F22" s="167"/>
      <c r="G22" s="166">
        <f t="shared" si="5"/>
        <v>0</v>
      </c>
      <c r="H22" s="167"/>
      <c r="I22" s="168"/>
      <c r="J22" s="166">
        <f t="shared" si="6"/>
        <v>0</v>
      </c>
      <c r="K22" s="166">
        <f t="shared" si="7"/>
        <v>0</v>
      </c>
      <c r="L22" s="188">
        <f t="shared" si="3"/>
        <v>0</v>
      </c>
      <c r="M22" s="188">
        <v>0</v>
      </c>
      <c r="N22" s="166"/>
      <c r="O22" s="209"/>
    </row>
    <row r="23" spans="1:15" x14ac:dyDescent="0.25">
      <c r="A23" s="189">
        <v>20</v>
      </c>
      <c r="B23" s="184">
        <v>46315</v>
      </c>
      <c r="C23" s="185"/>
      <c r="D23" s="186"/>
      <c r="E23" s="167"/>
      <c r="F23" s="167"/>
      <c r="G23" s="166">
        <f t="shared" si="5"/>
        <v>0</v>
      </c>
      <c r="H23" s="167"/>
      <c r="I23" s="168"/>
      <c r="J23" s="166">
        <f t="shared" si="6"/>
        <v>0</v>
      </c>
      <c r="K23" s="166">
        <f t="shared" si="7"/>
        <v>0</v>
      </c>
      <c r="L23" s="188">
        <f t="shared" si="3"/>
        <v>0</v>
      </c>
      <c r="M23" s="188">
        <v>0</v>
      </c>
      <c r="N23" s="166"/>
      <c r="O23" s="209"/>
    </row>
    <row r="24" spans="1:15" x14ac:dyDescent="0.25">
      <c r="A24" s="189">
        <v>21</v>
      </c>
      <c r="B24" s="184">
        <v>46316</v>
      </c>
      <c r="C24" s="185"/>
      <c r="D24" s="186"/>
      <c r="E24" s="167"/>
      <c r="F24" s="167"/>
      <c r="G24" s="166">
        <f t="shared" si="5"/>
        <v>0</v>
      </c>
      <c r="H24" s="167"/>
      <c r="I24" s="168"/>
      <c r="J24" s="166">
        <f t="shared" si="6"/>
        <v>0</v>
      </c>
      <c r="K24" s="166">
        <f t="shared" si="7"/>
        <v>0</v>
      </c>
      <c r="L24" s="188">
        <f t="shared" si="3"/>
        <v>0</v>
      </c>
      <c r="M24" s="188">
        <v>0</v>
      </c>
      <c r="N24" s="166"/>
      <c r="O24" s="209"/>
    </row>
    <row r="25" spans="1:15" x14ac:dyDescent="0.25">
      <c r="A25" s="189">
        <v>22</v>
      </c>
      <c r="B25" s="184">
        <v>46317</v>
      </c>
      <c r="C25" s="185"/>
      <c r="D25" s="186"/>
      <c r="E25" s="167"/>
      <c r="F25" s="167"/>
      <c r="G25" s="166">
        <f t="shared" si="5"/>
        <v>0</v>
      </c>
      <c r="H25" s="167"/>
      <c r="I25" s="168"/>
      <c r="J25" s="166">
        <f t="shared" si="6"/>
        <v>0</v>
      </c>
      <c r="K25" s="166">
        <f t="shared" si="7"/>
        <v>0</v>
      </c>
      <c r="L25" s="188">
        <f t="shared" si="3"/>
        <v>0</v>
      </c>
      <c r="M25" s="188">
        <v>0</v>
      </c>
      <c r="N25" s="166"/>
      <c r="O25" s="209"/>
    </row>
    <row r="26" spans="1:15" x14ac:dyDescent="0.25">
      <c r="A26" s="189">
        <v>23</v>
      </c>
      <c r="B26" s="184">
        <v>46318</v>
      </c>
      <c r="C26" s="185"/>
      <c r="D26" s="186"/>
      <c r="E26" s="167"/>
      <c r="F26" s="167"/>
      <c r="G26" s="166">
        <f t="shared" si="5"/>
        <v>0</v>
      </c>
      <c r="H26" s="167"/>
      <c r="I26" s="168"/>
      <c r="J26" s="166">
        <f t="shared" si="6"/>
        <v>0</v>
      </c>
      <c r="K26" s="166">
        <f t="shared" si="7"/>
        <v>0</v>
      </c>
      <c r="L26" s="188">
        <f t="shared" si="3"/>
        <v>0</v>
      </c>
      <c r="M26" s="188">
        <v>0</v>
      </c>
      <c r="N26" s="166"/>
      <c r="O26" s="209"/>
    </row>
    <row r="27" spans="1:15" x14ac:dyDescent="0.25">
      <c r="A27" s="189">
        <v>24</v>
      </c>
      <c r="B27" s="184">
        <v>46319</v>
      </c>
      <c r="C27" s="185"/>
      <c r="D27" s="186"/>
      <c r="E27" s="167"/>
      <c r="F27" s="167"/>
      <c r="G27" s="166">
        <f t="shared" si="5"/>
        <v>0</v>
      </c>
      <c r="H27" s="167"/>
      <c r="I27" s="168"/>
      <c r="J27" s="166">
        <f t="shared" si="6"/>
        <v>0</v>
      </c>
      <c r="K27" s="166">
        <f t="shared" si="7"/>
        <v>0</v>
      </c>
      <c r="L27" s="188">
        <f t="shared" si="3"/>
        <v>0</v>
      </c>
      <c r="M27" s="188">
        <v>0</v>
      </c>
      <c r="N27" s="166"/>
      <c r="O27" s="209"/>
    </row>
    <row r="28" spans="1:15" x14ac:dyDescent="0.25">
      <c r="A28" s="191">
        <v>25</v>
      </c>
      <c r="B28" s="184">
        <v>46320</v>
      </c>
      <c r="C28" s="185"/>
      <c r="D28" s="186"/>
      <c r="E28" s="167"/>
      <c r="F28" s="167"/>
      <c r="G28" s="166">
        <f t="shared" si="5"/>
        <v>0</v>
      </c>
      <c r="H28" s="167"/>
      <c r="I28" s="168"/>
      <c r="J28" s="166">
        <f t="shared" si="6"/>
        <v>0</v>
      </c>
      <c r="K28" s="166">
        <f t="shared" si="7"/>
        <v>0</v>
      </c>
      <c r="L28" s="188">
        <f t="shared" si="3"/>
        <v>0</v>
      </c>
      <c r="M28" s="188">
        <v>0</v>
      </c>
      <c r="N28" s="166"/>
      <c r="O28" s="209"/>
    </row>
    <row r="29" spans="1:15" x14ac:dyDescent="0.25">
      <c r="A29" s="191">
        <v>26</v>
      </c>
      <c r="B29" s="184">
        <v>46321</v>
      </c>
      <c r="C29" s="185"/>
      <c r="D29" s="186"/>
      <c r="E29" s="167"/>
      <c r="F29" s="167"/>
      <c r="G29" s="166">
        <f t="shared" si="5"/>
        <v>0</v>
      </c>
      <c r="H29" s="167"/>
      <c r="I29" s="168"/>
      <c r="J29" s="166">
        <f t="shared" si="6"/>
        <v>0</v>
      </c>
      <c r="K29" s="166">
        <f t="shared" si="7"/>
        <v>0</v>
      </c>
      <c r="L29" s="188">
        <f t="shared" si="3"/>
        <v>0</v>
      </c>
      <c r="M29" s="188">
        <v>0</v>
      </c>
      <c r="N29" s="166"/>
      <c r="O29" s="209"/>
    </row>
    <row r="30" spans="1:15" x14ac:dyDescent="0.25">
      <c r="A30" s="191">
        <v>27</v>
      </c>
      <c r="B30" s="184">
        <v>46322</v>
      </c>
      <c r="C30" s="185"/>
      <c r="D30" s="186"/>
      <c r="E30" s="167"/>
      <c r="F30" s="167"/>
      <c r="G30" s="166">
        <f t="shared" si="5"/>
        <v>0</v>
      </c>
      <c r="H30" s="167"/>
      <c r="I30" s="168"/>
      <c r="J30" s="166">
        <f t="shared" si="6"/>
        <v>0</v>
      </c>
      <c r="K30" s="166">
        <f t="shared" si="7"/>
        <v>0</v>
      </c>
      <c r="L30" s="188">
        <f t="shared" si="3"/>
        <v>0</v>
      </c>
      <c r="M30" s="188">
        <v>0</v>
      </c>
      <c r="N30" s="166"/>
      <c r="O30" s="209"/>
    </row>
    <row r="31" spans="1:15" x14ac:dyDescent="0.25">
      <c r="A31" s="191">
        <v>28</v>
      </c>
      <c r="B31" s="184">
        <v>46323</v>
      </c>
      <c r="C31" s="185"/>
      <c r="D31" s="186"/>
      <c r="E31" s="167"/>
      <c r="F31" s="167"/>
      <c r="G31" s="166">
        <f t="shared" si="5"/>
        <v>0</v>
      </c>
      <c r="H31" s="167"/>
      <c r="I31" s="168"/>
      <c r="J31" s="166">
        <f t="shared" si="6"/>
        <v>0</v>
      </c>
      <c r="K31" s="166">
        <f t="shared" si="7"/>
        <v>0</v>
      </c>
      <c r="L31" s="188">
        <f t="shared" si="3"/>
        <v>0</v>
      </c>
      <c r="M31" s="188">
        <v>0</v>
      </c>
      <c r="N31" s="166"/>
      <c r="O31" s="209"/>
    </row>
    <row r="32" spans="1:15" x14ac:dyDescent="0.25">
      <c r="A32" s="193">
        <v>29</v>
      </c>
      <c r="B32" s="184">
        <v>46324</v>
      </c>
      <c r="C32" s="185"/>
      <c r="D32" s="186"/>
      <c r="E32" s="167"/>
      <c r="F32" s="167"/>
      <c r="G32" s="166">
        <f t="shared" si="5"/>
        <v>0</v>
      </c>
      <c r="H32" s="167"/>
      <c r="I32" s="168"/>
      <c r="J32" s="166">
        <f t="shared" si="6"/>
        <v>0</v>
      </c>
      <c r="K32" s="166">
        <f t="shared" si="7"/>
        <v>0</v>
      </c>
      <c r="L32" s="188">
        <f t="shared" si="3"/>
        <v>0</v>
      </c>
      <c r="M32" s="188">
        <v>0</v>
      </c>
      <c r="N32" s="166"/>
      <c r="O32" s="209"/>
    </row>
    <row r="33" spans="1:15" x14ac:dyDescent="0.25">
      <c r="A33" s="193">
        <v>30</v>
      </c>
      <c r="B33" s="184">
        <v>46325</v>
      </c>
      <c r="C33" s="185"/>
      <c r="D33" s="186"/>
      <c r="E33" s="167"/>
      <c r="F33" s="167"/>
      <c r="G33" s="166">
        <f t="shared" si="5"/>
        <v>0</v>
      </c>
      <c r="H33" s="167"/>
      <c r="I33" s="168"/>
      <c r="J33" s="166">
        <f t="shared" si="6"/>
        <v>0</v>
      </c>
      <c r="K33" s="166">
        <f t="shared" si="7"/>
        <v>0</v>
      </c>
      <c r="L33" s="188">
        <f t="shared" si="3"/>
        <v>0</v>
      </c>
      <c r="M33" s="188">
        <v>0</v>
      </c>
      <c r="N33" s="166"/>
      <c r="O33" s="209"/>
    </row>
    <row r="34" spans="1:15" x14ac:dyDescent="0.25">
      <c r="A34" s="193">
        <v>31</v>
      </c>
      <c r="B34" s="184">
        <v>46326</v>
      </c>
      <c r="C34" s="185"/>
      <c r="D34" s="186"/>
      <c r="E34" s="167"/>
      <c r="F34" s="167"/>
      <c r="G34" s="166">
        <f t="shared" si="0"/>
        <v>0</v>
      </c>
      <c r="H34" s="167"/>
      <c r="I34" s="168"/>
      <c r="J34" s="166">
        <f t="shared" ref="J9:J34" si="8">H34*I34</f>
        <v>0</v>
      </c>
      <c r="K34" s="166">
        <f t="shared" ref="K34" si="9">G34+J34</f>
        <v>0</v>
      </c>
      <c r="L34" s="188">
        <f t="shared" ref="L34" si="10">+K34</f>
        <v>0</v>
      </c>
      <c r="M34" s="188">
        <v>0</v>
      </c>
      <c r="N34" s="166"/>
      <c r="O34" s="209"/>
    </row>
    <row r="35" spans="1:15" x14ac:dyDescent="0.25">
      <c r="A35" s="169"/>
      <c r="B35" s="169"/>
      <c r="C35" s="169"/>
      <c r="D35" s="169"/>
      <c r="E35" s="171">
        <f>SUM(E4:E34)</f>
        <v>0</v>
      </c>
      <c r="F35" s="171"/>
      <c r="G35" s="171">
        <f>SUM(G4:G34)</f>
        <v>0</v>
      </c>
      <c r="H35" s="171">
        <f>SUM(H4:H34)</f>
        <v>0</v>
      </c>
      <c r="I35" s="171"/>
      <c r="J35" s="171">
        <f>SUM(J4:J34)</f>
        <v>0</v>
      </c>
      <c r="K35" s="171">
        <f>SUM(K4:K34)</f>
        <v>0</v>
      </c>
      <c r="L35" s="171">
        <f>SUM(L4:L34)</f>
        <v>0</v>
      </c>
      <c r="M35" s="171"/>
      <c r="N35" s="171"/>
      <c r="O35" s="208"/>
    </row>
    <row r="36" spans="1:15" x14ac:dyDescent="0.25">
      <c r="A36" s="211"/>
      <c r="B36" s="212"/>
      <c r="C36" s="211"/>
      <c r="D36" s="211"/>
      <c r="E36" s="213"/>
      <c r="F36" s="213"/>
      <c r="G36" s="213"/>
      <c r="H36" s="213"/>
      <c r="I36" s="213"/>
      <c r="J36" s="214"/>
      <c r="K36" s="214"/>
      <c r="L36" s="214"/>
      <c r="M36" s="214"/>
      <c r="N36" s="213"/>
      <c r="O36" s="209"/>
    </row>
    <row r="37" spans="15:15" x14ac:dyDescent="0.25">
      <c r="O37" s="209"/>
    </row>
    <row r="38" spans="15:15" x14ac:dyDescent="0.25">
      <c r="O38" s="209"/>
    </row>
    <row r="39" spans="15:15" x14ac:dyDescent="0.25">
      <c r="O39" s="209"/>
    </row>
    <row r="40" spans="15:15" x14ac:dyDescent="0.25">
      <c r="O40" s="209"/>
    </row>
    <row r="41" spans="15:15" x14ac:dyDescent="0.25">
      <c r="O41" s="209"/>
    </row>
    <row r="42" spans="1:15" x14ac:dyDescent="0.25">
      <c r="A42" s="209"/>
      <c r="B42" s="208"/>
      <c r="C42" s="209"/>
      <c r="D42" s="209"/>
      <c r="E42" s="209"/>
      <c r="F42" s="209"/>
      <c r="G42" s="213"/>
      <c r="H42" s="209"/>
      <c r="I42" s="209"/>
      <c r="J42" s="208"/>
      <c r="K42" s="208"/>
      <c r="L42" s="208"/>
      <c r="M42" s="208"/>
      <c r="N42" s="209"/>
      <c r="O42" s="213"/>
    </row>
    <row r="43" spans="1:15" x14ac:dyDescent="0.25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13"/>
    </row>
    <row r="44" spans="1:15" x14ac:dyDescent="0.25">
      <c r="A44" s="209"/>
      <c r="B44" s="208"/>
      <c r="C44" s="209"/>
      <c r="D44" s="209"/>
      <c r="E44" s="209"/>
      <c r="F44" s="209"/>
      <c r="G44" s="209"/>
      <c r="H44" s="209"/>
      <c r="I44" s="209"/>
      <c r="J44" s="208"/>
      <c r="K44" s="208"/>
      <c r="L44" s="208"/>
      <c r="M44" s="208"/>
      <c r="N44" s="209"/>
      <c r="O44" s="213"/>
    </row>
  </sheetData>
  <mergeCells count="4">
    <mergeCell ref="A1:N1"/>
    <mergeCell ref="A3:L3"/>
    <mergeCell ref="B43:E43"/>
    <mergeCell ref="I43:N4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N37"/>
  <sheetViews>
    <sheetView workbookViewId="0" zoomScale="100" zoomScaleNormal="100">
      <pane ySplit="3" topLeftCell="A4" activePane="bottomLeft" state="frozen"/>
      <selection pane="bottomLeft" activeCell="M18" sqref="M18"/>
    </sheetView>
  </sheetViews>
  <sheetFormatPr defaultRowHeight="15" outlineLevelRow="0" outlineLevelCol="0" x14ac:dyDescent="0"/>
  <cols>
    <col min="1" max="1" width="5.140625" customWidth="1"/>
    <col min="2" max="2" width="11.5703125" customWidth="1"/>
    <col min="3" max="3" width="8" customWidth="1"/>
    <col min="4" max="4" width="16" customWidth="1"/>
    <col min="5" max="5" width="10.7109375" customWidth="1"/>
    <col min="6" max="6" width="13.42578125" customWidth="1"/>
    <col min="7" max="7" width="9.28515625" customWidth="1"/>
    <col min="8" max="8" width="11.28515625" customWidth="1"/>
    <col min="9" max="9" width="8.140625" customWidth="1"/>
    <col min="10" max="10" width="9.28515625" customWidth="1"/>
    <col min="11" max="11" width="13.5703125" customWidth="1"/>
    <col min="12" max="12" width="15.85546875" customWidth="1"/>
    <col min="13" max="13" width="13.5703125" customWidth="1"/>
    <col min="14" max="14" width="8.7109375" customWidth="1"/>
    <col min="16" max="16" width="12.28515625" customWidth="1"/>
  </cols>
  <sheetData>
    <row r="1" ht="15.75" customHeight="1" spans="1:14" x14ac:dyDescent="0.25">
      <c r="A1" s="363" t="s">
        <v>117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</row>
    <row r="2" spans="1:14" x14ac:dyDescent="0.25">
      <c r="A2" s="106" t="s">
        <v>0</v>
      </c>
      <c r="B2" s="106" t="s">
        <v>167</v>
      </c>
      <c r="C2" s="106" t="s">
        <v>168</v>
      </c>
      <c r="D2" s="106" t="s">
        <v>169</v>
      </c>
      <c r="E2" s="364" t="s">
        <v>170</v>
      </c>
      <c r="F2" s="364" t="s">
        <v>171</v>
      </c>
      <c r="G2" s="364" t="s">
        <v>172</v>
      </c>
      <c r="H2" s="364" t="s">
        <v>173</v>
      </c>
      <c r="I2" s="364" t="s">
        <v>171</v>
      </c>
      <c r="J2" s="364" t="s">
        <v>172</v>
      </c>
      <c r="K2" s="364" t="s">
        <v>174</v>
      </c>
      <c r="L2" s="106" t="s">
        <v>204</v>
      </c>
      <c r="M2" s="109" t="s">
        <v>175</v>
      </c>
      <c r="N2" s="106" t="s">
        <v>177</v>
      </c>
    </row>
    <row r="3" spans="1:14" x14ac:dyDescent="0.25">
      <c r="A3" s="37"/>
      <c r="B3" s="37"/>
      <c r="C3" s="148" t="s">
        <v>178</v>
      </c>
      <c r="D3" s="150"/>
      <c r="E3" s="37"/>
      <c r="F3" s="37"/>
      <c r="G3" s="37"/>
      <c r="H3" s="37"/>
      <c r="I3" s="37"/>
      <c r="J3" s="37"/>
      <c r="K3" s="135"/>
      <c r="L3" s="37"/>
      <c r="M3" s="135">
        <v>120785.12899999997</v>
      </c>
      <c r="N3" s="37"/>
    </row>
    <row r="4" spans="1:14" x14ac:dyDescent="0.25">
      <c r="A4" s="115">
        <v>1</v>
      </c>
      <c r="B4" s="116">
        <v>46296</v>
      </c>
      <c r="C4" s="261"/>
      <c r="D4" s="261"/>
      <c r="E4" s="74">
        <v>71.08</v>
      </c>
      <c r="F4" s="74">
        <v>98.96</v>
      </c>
      <c r="G4" s="135">
        <f>E4*F4</f>
        <v>7034.0768</v>
      </c>
      <c r="H4" s="74">
        <v>30</v>
      </c>
      <c r="I4" s="74">
        <v>110.74</v>
      </c>
      <c r="J4" s="135">
        <f>H4*I4</f>
        <v>3322.2</v>
      </c>
      <c r="K4" s="135">
        <f>G4+J4</f>
        <v>10356.2768</v>
      </c>
      <c r="L4" s="135"/>
      <c r="M4" s="135">
        <f>M3+K4-L4</f>
        <v>131141.40579999998</v>
      </c>
      <c r="N4" s="261"/>
    </row>
    <row r="5" spans="1:14" x14ac:dyDescent="0.25">
      <c r="A5" s="115">
        <v>2</v>
      </c>
      <c r="B5" s="116">
        <v>46297</v>
      </c>
      <c r="C5" s="37"/>
      <c r="D5" s="261"/>
      <c r="E5" s="74"/>
      <c r="F5" s="74"/>
      <c r="G5" s="135">
        <f t="shared" ref="G5:G28" si="0">E5*F5</f>
        <v>0</v>
      </c>
      <c r="H5" s="74">
        <v>5</v>
      </c>
      <c r="I5" s="74">
        <v>110.74</v>
      </c>
      <c r="J5" s="135">
        <f>H5*I5</f>
        <v>553.6999999999999</v>
      </c>
      <c r="K5" s="135">
        <f t="shared" ref="K5:K13" si="1">G5+J5</f>
        <v>553.6999999999999</v>
      </c>
      <c r="L5" s="135"/>
      <c r="M5" s="135">
        <f t="shared" ref="M5:M34" si="2">M4+K5-L5</f>
        <v>131695.1058</v>
      </c>
      <c r="N5" s="37"/>
    </row>
    <row r="6" spans="1:14" x14ac:dyDescent="0.25">
      <c r="A6" s="115">
        <v>3</v>
      </c>
      <c r="B6" s="116">
        <v>46298</v>
      </c>
      <c r="C6" s="37"/>
      <c r="D6" s="261"/>
      <c r="E6" s="74"/>
      <c r="F6" s="74"/>
      <c r="G6" s="135">
        <f t="shared" si="0"/>
        <v>0</v>
      </c>
      <c r="H6" s="74"/>
      <c r="I6" s="74"/>
      <c r="J6" s="135">
        <f t="shared" ref="J6:J8" si="3">H6*I6</f>
        <v>0</v>
      </c>
      <c r="K6" s="135">
        <f t="shared" si="1"/>
        <v>0</v>
      </c>
      <c r="L6" s="135"/>
      <c r="M6" s="135">
        <f t="shared" si="2"/>
        <v>131695.1058</v>
      </c>
      <c r="N6" s="37"/>
    </row>
    <row r="7" spans="1:14" x14ac:dyDescent="0.25">
      <c r="A7" s="115">
        <v>4</v>
      </c>
      <c r="B7" s="116">
        <v>46299</v>
      </c>
      <c r="C7" s="37"/>
      <c r="D7" s="261"/>
      <c r="E7" s="74"/>
      <c r="F7" s="74"/>
      <c r="G7" s="135">
        <f t="shared" si="0"/>
        <v>0</v>
      </c>
      <c r="H7" s="74">
        <v>5</v>
      </c>
      <c r="I7" s="74">
        <v>110.74</v>
      </c>
      <c r="J7" s="135">
        <f t="shared" si="3"/>
        <v>553.6999999999999</v>
      </c>
      <c r="K7" s="135">
        <f t="shared" si="1"/>
        <v>553.6999999999999</v>
      </c>
      <c r="L7" s="135"/>
      <c r="M7" s="135">
        <f t="shared" si="2"/>
        <v>132248.8058</v>
      </c>
      <c r="N7" s="37"/>
    </row>
    <row r="8" spans="1:14" x14ac:dyDescent="0.25">
      <c r="A8" s="115">
        <v>5</v>
      </c>
      <c r="B8" s="116">
        <v>46300</v>
      </c>
      <c r="C8" s="37"/>
      <c r="D8" s="261"/>
      <c r="E8" s="74">
        <v>35</v>
      </c>
      <c r="F8" s="74">
        <v>98.96</v>
      </c>
      <c r="G8" s="135">
        <f t="shared" si="0"/>
        <v>3463.6</v>
      </c>
      <c r="H8" s="74"/>
      <c r="I8" s="74"/>
      <c r="J8" s="135">
        <f t="shared" si="3"/>
        <v>0</v>
      </c>
      <c r="K8" s="135">
        <f t="shared" si="1"/>
        <v>3463.6</v>
      </c>
      <c r="L8" s="135"/>
      <c r="M8" s="135">
        <f t="shared" si="2"/>
        <v>135712.4058</v>
      </c>
      <c r="N8" s="37"/>
    </row>
    <row r="9" spans="1:14" x14ac:dyDescent="0.25">
      <c r="A9" s="115">
        <v>6</v>
      </c>
      <c r="B9" s="116">
        <v>46301</v>
      </c>
      <c r="C9" s="37"/>
      <c r="D9" s="261"/>
      <c r="E9" s="74">
        <v>19.77</v>
      </c>
      <c r="F9" s="74">
        <v>98.69</v>
      </c>
      <c r="G9" s="135">
        <f t="shared" si="0"/>
        <v>1951.1012999999998</v>
      </c>
      <c r="H9" s="74"/>
      <c r="I9" s="74"/>
      <c r="J9" s="135">
        <f>H9*I9</f>
        <v>0</v>
      </c>
      <c r="K9" s="135">
        <f t="shared" si="1"/>
        <v>1951.1012999999998</v>
      </c>
      <c r="L9" s="135"/>
      <c r="M9" s="135">
        <f t="shared" si="2"/>
        <v>137663.50710000002</v>
      </c>
      <c r="N9" s="37"/>
    </row>
    <row r="10" spans="1:14" x14ac:dyDescent="0.25">
      <c r="A10" s="115">
        <v>7</v>
      </c>
      <c r="B10" s="116">
        <v>46302</v>
      </c>
      <c r="C10" s="37"/>
      <c r="D10" s="261"/>
      <c r="E10" s="74"/>
      <c r="F10" s="74"/>
      <c r="G10" s="135">
        <f t="shared" si="0"/>
        <v>0</v>
      </c>
      <c r="H10" s="74"/>
      <c r="I10" s="74"/>
      <c r="J10" s="135">
        <f t="shared" ref="J10:J16" si="4">H10*I10</f>
        <v>0</v>
      </c>
      <c r="K10" s="135">
        <f t="shared" si="1"/>
        <v>0</v>
      </c>
      <c r="L10" s="135"/>
      <c r="M10" s="135">
        <f t="shared" si="2"/>
        <v>137663.50710000002</v>
      </c>
      <c r="N10" s="37"/>
    </row>
    <row r="11" spans="1:14" x14ac:dyDescent="0.25">
      <c r="A11" s="115">
        <v>8</v>
      </c>
      <c r="B11" s="116">
        <v>46303</v>
      </c>
      <c r="C11" s="37"/>
      <c r="D11" s="261"/>
      <c r="E11" s="74">
        <v>30</v>
      </c>
      <c r="F11" s="74">
        <v>98.69</v>
      </c>
      <c r="G11" s="135">
        <f t="shared" si="0"/>
        <v>2960.7</v>
      </c>
      <c r="H11" s="74">
        <v>15</v>
      </c>
      <c r="I11" s="74">
        <v>110.74</v>
      </c>
      <c r="J11" s="135">
        <f t="shared" si="4"/>
        <v>1661.1</v>
      </c>
      <c r="K11" s="135">
        <f t="shared" si="1"/>
        <v>4621.799999999999</v>
      </c>
      <c r="L11" s="135"/>
      <c r="M11" s="135">
        <f t="shared" si="2"/>
        <v>142285.3071</v>
      </c>
      <c r="N11" s="37"/>
    </row>
    <row r="12" spans="1:14" x14ac:dyDescent="0.25">
      <c r="A12" s="115">
        <v>9</v>
      </c>
      <c r="B12" s="116">
        <v>46304</v>
      </c>
      <c r="C12" s="37"/>
      <c r="D12" s="261"/>
      <c r="E12" s="74"/>
      <c r="F12" s="74"/>
      <c r="G12" s="135">
        <f t="shared" si="0"/>
        <v>0</v>
      </c>
      <c r="H12" s="74"/>
      <c r="I12" s="74"/>
      <c r="J12" s="135">
        <f t="shared" si="4"/>
        <v>0</v>
      </c>
      <c r="K12" s="135">
        <f t="shared" si="1"/>
        <v>0</v>
      </c>
      <c r="L12" s="135"/>
      <c r="M12" s="135">
        <f t="shared" si="2"/>
        <v>142285.3071</v>
      </c>
      <c r="N12" s="37"/>
    </row>
    <row r="13" spans="1:14" x14ac:dyDescent="0.25">
      <c r="A13" s="115">
        <v>10</v>
      </c>
      <c r="B13" s="116">
        <v>46305</v>
      </c>
      <c r="C13" s="37"/>
      <c r="D13" s="261"/>
      <c r="E13" s="74"/>
      <c r="F13" s="74"/>
      <c r="G13" s="135">
        <f t="shared" si="0"/>
        <v>0</v>
      </c>
      <c r="H13" s="74"/>
      <c r="I13" s="74"/>
      <c r="J13" s="135">
        <f t="shared" si="4"/>
        <v>0</v>
      </c>
      <c r="K13" s="135">
        <f t="shared" si="1"/>
        <v>0</v>
      </c>
      <c r="L13" s="135">
        <v>100000</v>
      </c>
      <c r="M13" s="135">
        <f t="shared" si="2"/>
        <v>42285.307100000005</v>
      </c>
      <c r="N13" s="37"/>
    </row>
    <row r="14" spans="1:14" x14ac:dyDescent="0.25">
      <c r="A14" s="115">
        <v>11</v>
      </c>
      <c r="B14" s="116">
        <v>46306</v>
      </c>
      <c r="C14" s="37"/>
      <c r="D14" s="261"/>
      <c r="E14" s="74"/>
      <c r="F14" s="74"/>
      <c r="G14" s="135">
        <f t="shared" ref="G14:G20" si="5">E14*F14</f>
        <v>0</v>
      </c>
      <c r="H14" s="74"/>
      <c r="I14" s="74"/>
      <c r="J14" s="135">
        <f t="shared" ref="J14:J20" si="6">H14*I14</f>
        <v>0</v>
      </c>
      <c r="K14" s="135">
        <f t="shared" ref="K14:K20" si="7">G14+J14</f>
        <v>0</v>
      </c>
      <c r="L14" s="135"/>
      <c r="M14" s="135">
        <f t="shared" si="2"/>
        <v>42285.307100000005</v>
      </c>
      <c r="N14" s="37"/>
    </row>
    <row r="15" spans="1:14" x14ac:dyDescent="0.25">
      <c r="A15" s="115">
        <v>12</v>
      </c>
      <c r="B15" s="116">
        <v>46307</v>
      </c>
      <c r="C15" s="37"/>
      <c r="D15" s="261"/>
      <c r="E15" s="74">
        <v>69.75</v>
      </c>
      <c r="F15" s="74">
        <v>98.69</v>
      </c>
      <c r="G15" s="135">
        <f t="shared" si="5"/>
        <v>6883.6275</v>
      </c>
      <c r="H15" s="74"/>
      <c r="I15" s="74"/>
      <c r="J15" s="135">
        <f t="shared" si="6"/>
        <v>0</v>
      </c>
      <c r="K15" s="135">
        <f t="shared" si="7"/>
        <v>6883.6275</v>
      </c>
      <c r="L15" s="135"/>
      <c r="M15" s="135">
        <f t="shared" si="2"/>
        <v>49168.93460000001</v>
      </c>
      <c r="N15" s="37"/>
    </row>
    <row r="16" spans="1:14" x14ac:dyDescent="0.25">
      <c r="A16" s="115">
        <v>13</v>
      </c>
      <c r="B16" s="116">
        <v>46308</v>
      </c>
      <c r="C16" s="37"/>
      <c r="D16" s="261"/>
      <c r="E16" s="74"/>
      <c r="F16" s="74"/>
      <c r="G16" s="135">
        <f t="shared" si="5"/>
        <v>0</v>
      </c>
      <c r="H16" s="328"/>
      <c r="I16" s="74"/>
      <c r="J16" s="135">
        <f t="shared" si="6"/>
        <v>0</v>
      </c>
      <c r="K16" s="135">
        <f t="shared" si="7"/>
        <v>0</v>
      </c>
      <c r="L16" s="135"/>
      <c r="M16" s="135">
        <f t="shared" si="2"/>
        <v>49168.93460000001</v>
      </c>
      <c r="N16" s="37"/>
    </row>
    <row r="17" spans="1:14" x14ac:dyDescent="0.25">
      <c r="A17" s="115">
        <v>14</v>
      </c>
      <c r="B17" s="116">
        <v>46309</v>
      </c>
      <c r="C17" s="37"/>
      <c r="D17" s="261"/>
      <c r="E17" s="74"/>
      <c r="F17" s="74"/>
      <c r="G17" s="135">
        <f t="shared" si="5"/>
        <v>0</v>
      </c>
      <c r="H17" s="74"/>
      <c r="I17" s="74"/>
      <c r="J17" s="135">
        <f t="shared" si="6"/>
        <v>0</v>
      </c>
      <c r="K17" s="135">
        <f t="shared" si="7"/>
        <v>0</v>
      </c>
      <c r="L17" s="135"/>
      <c r="M17" s="135">
        <f t="shared" si="2"/>
        <v>49168.93460000001</v>
      </c>
      <c r="N17" s="37"/>
    </row>
    <row r="18" spans="1:14" x14ac:dyDescent="0.25">
      <c r="A18" s="115">
        <v>15</v>
      </c>
      <c r="B18" s="116">
        <v>46310</v>
      </c>
      <c r="C18" s="37"/>
      <c r="D18" s="261"/>
      <c r="E18" s="74">
        <v>20</v>
      </c>
      <c r="F18" s="74">
        <v>98.69</v>
      </c>
      <c r="G18" s="135">
        <f t="shared" si="5"/>
        <v>1973.8</v>
      </c>
      <c r="H18" s="74">
        <v>5</v>
      </c>
      <c r="I18" s="74">
        <v>110.74</v>
      </c>
      <c r="J18" s="135">
        <f t="shared" si="6"/>
        <v>553.6999999999999</v>
      </c>
      <c r="K18" s="135">
        <f t="shared" si="7"/>
        <v>2527.5</v>
      </c>
      <c r="L18" s="135"/>
      <c r="M18" s="135">
        <f t="shared" si="2"/>
        <v>51696.43460000001</v>
      </c>
      <c r="N18" s="37"/>
    </row>
    <row r="19" spans="1:14" x14ac:dyDescent="0.25">
      <c r="A19" s="115">
        <v>16</v>
      </c>
      <c r="B19" s="116">
        <v>46311</v>
      </c>
      <c r="C19" s="37"/>
      <c r="D19" s="261"/>
      <c r="E19" s="74"/>
      <c r="F19" s="74"/>
      <c r="G19" s="135">
        <f t="shared" si="5"/>
        <v>0</v>
      </c>
      <c r="H19" s="74"/>
      <c r="I19" s="74"/>
      <c r="J19" s="135">
        <f t="shared" si="6"/>
        <v>0</v>
      </c>
      <c r="K19" s="135">
        <f t="shared" si="7"/>
        <v>0</v>
      </c>
      <c r="L19" s="135"/>
      <c r="M19" s="135">
        <f t="shared" si="2"/>
        <v>51696.43460000001</v>
      </c>
      <c r="N19" s="37"/>
    </row>
    <row r="20" spans="1:14" x14ac:dyDescent="0.25">
      <c r="A20" s="115">
        <v>17</v>
      </c>
      <c r="B20" s="116">
        <v>46312</v>
      </c>
      <c r="C20" s="37"/>
      <c r="D20" s="261"/>
      <c r="E20" s="74"/>
      <c r="F20" s="74"/>
      <c r="G20" s="135">
        <f t="shared" si="5"/>
        <v>0</v>
      </c>
      <c r="H20" s="74"/>
      <c r="I20" s="74"/>
      <c r="J20" s="135">
        <f t="shared" si="6"/>
        <v>0</v>
      </c>
      <c r="K20" s="135">
        <f t="shared" si="7"/>
        <v>0</v>
      </c>
      <c r="L20" s="135"/>
      <c r="M20" s="135">
        <f t="shared" si="2"/>
        <v>51696.43460000001</v>
      </c>
      <c r="N20" s="37"/>
    </row>
    <row r="21" spans="1:14" x14ac:dyDescent="0.25">
      <c r="A21" s="115">
        <v>18</v>
      </c>
      <c r="B21" s="116">
        <v>46313</v>
      </c>
      <c r="C21" s="37"/>
      <c r="D21" s="261"/>
      <c r="E21" s="74"/>
      <c r="F21" s="74"/>
      <c r="G21" s="135">
        <f t="shared" si="0"/>
        <v>0</v>
      </c>
      <c r="H21" s="74"/>
      <c r="I21" s="74"/>
      <c r="J21" s="135">
        <f>H21*I21</f>
        <v>0</v>
      </c>
      <c r="K21" s="135">
        <f t="shared" ref="K21:K34" si="8">G21+J21</f>
        <v>0</v>
      </c>
      <c r="L21" s="135"/>
      <c r="M21" s="135">
        <f t="shared" si="2"/>
        <v>51696.43460000001</v>
      </c>
      <c r="N21" s="37"/>
    </row>
    <row r="22" spans="1:14" x14ac:dyDescent="0.25">
      <c r="A22" s="115">
        <v>19</v>
      </c>
      <c r="B22" s="116">
        <v>46314</v>
      </c>
      <c r="C22" s="37"/>
      <c r="D22" s="261"/>
      <c r="E22" s="74"/>
      <c r="F22" s="74"/>
      <c r="G22" s="135">
        <f t="shared" si="0"/>
        <v>0</v>
      </c>
      <c r="H22" s="74"/>
      <c r="I22" s="74"/>
      <c r="J22" s="135">
        <f>H22*I22</f>
        <v>0</v>
      </c>
      <c r="K22" s="135">
        <f t="shared" si="8"/>
        <v>0</v>
      </c>
      <c r="L22" s="135"/>
      <c r="M22" s="135">
        <f t="shared" si="2"/>
        <v>51696.43460000001</v>
      </c>
      <c r="N22" s="37"/>
    </row>
    <row r="23" spans="1:14" x14ac:dyDescent="0.25">
      <c r="A23" s="115">
        <v>20</v>
      </c>
      <c r="B23" s="116">
        <v>46315</v>
      </c>
      <c r="C23" s="37"/>
      <c r="D23" s="261"/>
      <c r="E23" s="74"/>
      <c r="F23" s="74"/>
      <c r="G23" s="135">
        <f t="shared" si="0"/>
        <v>0</v>
      </c>
      <c r="H23" s="74"/>
      <c r="I23" s="74"/>
      <c r="J23" s="135">
        <f t="shared" ref="J23:J34" si="9">H23*I23</f>
        <v>0</v>
      </c>
      <c r="K23" s="135">
        <f t="shared" si="8"/>
        <v>0</v>
      </c>
      <c r="L23" s="135"/>
      <c r="M23" s="135">
        <f>M22+K23-L23</f>
        <v>51696.43460000001</v>
      </c>
      <c r="N23" s="37"/>
    </row>
    <row r="24" spans="1:14" x14ac:dyDescent="0.25">
      <c r="A24" s="115">
        <v>21</v>
      </c>
      <c r="B24" s="116">
        <v>46316</v>
      </c>
      <c r="C24" s="37"/>
      <c r="D24" s="261"/>
      <c r="E24" s="74"/>
      <c r="F24" s="74"/>
      <c r="G24" s="135">
        <f t="shared" si="0"/>
        <v>0</v>
      </c>
      <c r="H24" s="74"/>
      <c r="I24" s="74"/>
      <c r="J24" s="135">
        <f t="shared" si="9"/>
        <v>0</v>
      </c>
      <c r="K24" s="135">
        <f t="shared" si="8"/>
        <v>0</v>
      </c>
      <c r="L24" s="135"/>
      <c r="M24" s="135">
        <f t="shared" si="2"/>
        <v>51696.43460000001</v>
      </c>
      <c r="N24" s="37"/>
    </row>
    <row r="25" spans="1:14" x14ac:dyDescent="0.25">
      <c r="A25" s="115">
        <v>22</v>
      </c>
      <c r="B25" s="116">
        <v>46317</v>
      </c>
      <c r="C25" s="37"/>
      <c r="D25" s="261"/>
      <c r="E25" s="74"/>
      <c r="F25" s="74"/>
      <c r="G25" s="135">
        <f t="shared" si="0"/>
        <v>0</v>
      </c>
      <c r="H25" s="74"/>
      <c r="I25" s="74"/>
      <c r="J25" s="135">
        <f t="shared" si="9"/>
        <v>0</v>
      </c>
      <c r="K25" s="135">
        <f t="shared" si="8"/>
        <v>0</v>
      </c>
      <c r="L25" s="135"/>
      <c r="M25" s="135">
        <f t="shared" si="2"/>
        <v>51696.43460000001</v>
      </c>
      <c r="N25" s="37"/>
    </row>
    <row r="26" spans="1:14" x14ac:dyDescent="0.25">
      <c r="A26" s="115">
        <v>23</v>
      </c>
      <c r="B26" s="116">
        <v>46318</v>
      </c>
      <c r="C26" s="37"/>
      <c r="D26" s="261"/>
      <c r="E26" s="74"/>
      <c r="F26" s="74"/>
      <c r="G26" s="135">
        <f t="shared" si="0"/>
        <v>0</v>
      </c>
      <c r="H26" s="74"/>
      <c r="I26" s="74"/>
      <c r="J26" s="135">
        <f t="shared" si="9"/>
        <v>0</v>
      </c>
      <c r="K26" s="135">
        <f t="shared" si="8"/>
        <v>0</v>
      </c>
      <c r="L26" s="135"/>
      <c r="M26" s="135">
        <f t="shared" si="2"/>
        <v>51696.43460000001</v>
      </c>
      <c r="N26" s="37"/>
    </row>
    <row r="27" spans="1:14" x14ac:dyDescent="0.25">
      <c r="A27" s="115">
        <v>24</v>
      </c>
      <c r="B27" s="116">
        <v>46319</v>
      </c>
      <c r="C27" s="37"/>
      <c r="D27" s="261"/>
      <c r="E27" s="74"/>
      <c r="F27" s="74"/>
      <c r="G27" s="135">
        <f t="shared" si="0"/>
        <v>0</v>
      </c>
      <c r="H27" s="74"/>
      <c r="I27" s="74"/>
      <c r="J27" s="135">
        <f t="shared" si="9"/>
        <v>0</v>
      </c>
      <c r="K27" s="135">
        <f t="shared" si="8"/>
        <v>0</v>
      </c>
      <c r="L27" s="135"/>
      <c r="M27" s="135">
        <f t="shared" si="2"/>
        <v>51696.43460000001</v>
      </c>
      <c r="N27" s="37"/>
    </row>
    <row r="28" spans="1:14" x14ac:dyDescent="0.25">
      <c r="A28" s="115">
        <v>25</v>
      </c>
      <c r="B28" s="116">
        <v>46320</v>
      </c>
      <c r="C28" s="37"/>
      <c r="D28" s="261"/>
      <c r="E28" s="74"/>
      <c r="F28" s="74"/>
      <c r="G28" s="135">
        <f t="shared" si="0"/>
        <v>0</v>
      </c>
      <c r="H28" s="74"/>
      <c r="I28" s="74"/>
      <c r="J28" s="135">
        <f t="shared" si="9"/>
        <v>0</v>
      </c>
      <c r="K28" s="135">
        <f t="shared" si="8"/>
        <v>0</v>
      </c>
      <c r="L28" s="135"/>
      <c r="M28" s="135">
        <f t="shared" si="2"/>
        <v>51696.43460000001</v>
      </c>
      <c r="N28" s="37"/>
    </row>
    <row r="29" spans="1:14" x14ac:dyDescent="0.25">
      <c r="A29" s="115">
        <v>26</v>
      </c>
      <c r="B29" s="116">
        <v>46321</v>
      </c>
      <c r="C29" s="37"/>
      <c r="D29" s="261"/>
      <c r="E29" s="74"/>
      <c r="F29" s="74"/>
      <c r="G29" s="135">
        <f t="shared" ref="G5:G34" si="10">F29*E29</f>
        <v>0</v>
      </c>
      <c r="H29" s="74"/>
      <c r="I29" s="74"/>
      <c r="J29" s="135">
        <f t="shared" si="9"/>
        <v>0</v>
      </c>
      <c r="K29" s="135">
        <f t="shared" si="8"/>
        <v>0</v>
      </c>
      <c r="L29" s="135"/>
      <c r="M29" s="135">
        <f t="shared" si="2"/>
        <v>51696.43460000001</v>
      </c>
      <c r="N29" s="37"/>
    </row>
    <row r="30" spans="1:14" x14ac:dyDescent="0.25">
      <c r="A30" s="115">
        <v>27</v>
      </c>
      <c r="B30" s="116">
        <v>46322</v>
      </c>
      <c r="C30" s="37"/>
      <c r="D30" s="261"/>
      <c r="E30" s="74"/>
      <c r="F30" s="74"/>
      <c r="G30" s="168">
        <f t="shared" ref="G30:G31" si="11">E30*F30</f>
        <v>0</v>
      </c>
      <c r="H30" s="74"/>
      <c r="I30" s="74"/>
      <c r="J30" s="135">
        <f t="shared" si="9"/>
        <v>0</v>
      </c>
      <c r="K30" s="135">
        <f t="shared" si="8"/>
        <v>0</v>
      </c>
      <c r="L30" s="135"/>
      <c r="M30" s="135">
        <f t="shared" si="2"/>
        <v>51696.43460000001</v>
      </c>
      <c r="N30" s="37"/>
    </row>
    <row r="31" spans="1:14" x14ac:dyDescent="0.25">
      <c r="A31" s="115">
        <v>28</v>
      </c>
      <c r="B31" s="116">
        <v>46323</v>
      </c>
      <c r="C31" s="37"/>
      <c r="D31" s="261"/>
      <c r="E31" s="74"/>
      <c r="F31" s="74"/>
      <c r="G31" s="168">
        <f t="shared" si="11"/>
        <v>0</v>
      </c>
      <c r="H31" s="74"/>
      <c r="I31" s="74"/>
      <c r="J31" s="135">
        <f t="shared" si="9"/>
        <v>0</v>
      </c>
      <c r="K31" s="135">
        <f t="shared" si="8"/>
        <v>0</v>
      </c>
      <c r="L31" s="135"/>
      <c r="M31" s="135">
        <f>M30+K31-L31</f>
        <v>51696.43460000001</v>
      </c>
      <c r="N31" s="37"/>
    </row>
    <row r="32" spans="1:14" x14ac:dyDescent="0.25">
      <c r="A32" s="115">
        <v>29</v>
      </c>
      <c r="B32" s="116">
        <v>46324</v>
      </c>
      <c r="C32" s="37"/>
      <c r="D32" s="261"/>
      <c r="E32" s="74"/>
      <c r="F32" s="74"/>
      <c r="G32" s="135">
        <f t="shared" si="10"/>
        <v>0</v>
      </c>
      <c r="H32" s="74"/>
      <c r="I32" s="74"/>
      <c r="J32" s="135">
        <f t="shared" si="9"/>
        <v>0</v>
      </c>
      <c r="K32" s="135">
        <f t="shared" si="8"/>
        <v>0</v>
      </c>
      <c r="L32" s="135"/>
      <c r="M32" s="135">
        <f t="shared" si="2"/>
        <v>51696.43460000001</v>
      </c>
      <c r="N32" s="37"/>
    </row>
    <row r="33" spans="1:14" x14ac:dyDescent="0.25">
      <c r="A33" s="115">
        <v>30</v>
      </c>
      <c r="B33" s="116">
        <v>46325</v>
      </c>
      <c r="C33" s="37"/>
      <c r="D33" s="261"/>
      <c r="E33" s="74"/>
      <c r="F33" s="74"/>
      <c r="G33" s="135">
        <f t="shared" si="10"/>
        <v>0</v>
      </c>
      <c r="H33" s="74"/>
      <c r="I33" s="74"/>
      <c r="J33" s="135">
        <f t="shared" si="9"/>
        <v>0</v>
      </c>
      <c r="K33" s="135">
        <f t="shared" si="8"/>
        <v>0</v>
      </c>
      <c r="L33" s="135"/>
      <c r="M33" s="135">
        <f t="shared" si="2"/>
        <v>51696.43460000001</v>
      </c>
      <c r="N33" s="37"/>
    </row>
    <row r="34" spans="1:14" x14ac:dyDescent="0.25">
      <c r="A34" s="115">
        <v>31</v>
      </c>
      <c r="B34" s="116">
        <v>46326</v>
      </c>
      <c r="C34" s="37"/>
      <c r="D34" s="37"/>
      <c r="E34" s="74"/>
      <c r="F34" s="74"/>
      <c r="G34" s="135">
        <f t="shared" si="10"/>
        <v>0</v>
      </c>
      <c r="H34" s="74"/>
      <c r="I34" s="74"/>
      <c r="J34" s="135">
        <f t="shared" si="9"/>
        <v>0</v>
      </c>
      <c r="K34" s="135">
        <f t="shared" si="8"/>
        <v>0</v>
      </c>
      <c r="L34" s="261"/>
      <c r="M34" s="135">
        <f t="shared" si="2"/>
        <v>51696.43460000001</v>
      </c>
      <c r="N34" s="37"/>
    </row>
    <row r="35" spans="1:14" x14ac:dyDescent="0.25">
      <c r="A35" s="121"/>
      <c r="B35" s="121"/>
      <c r="C35" s="121"/>
      <c r="D35" s="121"/>
      <c r="E35" s="121">
        <f>SUM(E4:E34)</f>
        <v>245.6</v>
      </c>
      <c r="F35" s="121"/>
      <c r="G35" s="121">
        <f>SUM(G4:G34)</f>
        <v>24266.9056</v>
      </c>
      <c r="H35" s="121">
        <f>SUM(H4:H34)</f>
        <v>60</v>
      </c>
      <c r="I35" s="121"/>
      <c r="J35" s="121">
        <f>SUM(J4:J34)</f>
        <v>6644.399999999999</v>
      </c>
      <c r="K35" s="121">
        <f>SUM(K4:K34)</f>
        <v>30911.3056</v>
      </c>
      <c r="L35" s="121">
        <f>SUM(L4:L34)</f>
        <v>100000</v>
      </c>
      <c r="M35" s="121">
        <f>SUM(M4:M34)</f>
        <v>2333307.2636</v>
      </c>
      <c r="N35" s="121"/>
    </row>
    <row r="37" spans="11:11" x14ac:dyDescent="0.25">
      <c r="K37" s="114"/>
    </row>
  </sheetData>
  <mergeCells count="2">
    <mergeCell ref="A1:N1"/>
    <mergeCell ref="C3:D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workbookViewId="0" zoomScale="100" zoomScaleNormal="100">
      <pane ySplit="3" topLeftCell="A4" activePane="bottomLeft" state="frozen"/>
      <selection pane="bottomLeft" activeCell="M18" sqref="M18"/>
    </sheetView>
  </sheetViews>
  <sheetFormatPr defaultRowHeight="15" outlineLevelRow="0" outlineLevelCol="0" x14ac:dyDescent="0"/>
  <cols>
    <col min="1" max="1" width="5.140625" style="405" customWidth="1"/>
    <col min="2" max="2" width="11.5703125" style="405" customWidth="1"/>
    <col min="3" max="3" width="8" style="405" customWidth="1"/>
    <col min="4" max="4" width="15.140625" style="405" customWidth="1"/>
    <col min="5" max="5" width="10.7109375" style="405" customWidth="1"/>
    <col min="6" max="6" width="10.42578125" style="405" customWidth="1"/>
    <col min="7" max="7" width="9.28515625" style="405" customWidth="1"/>
    <col min="8" max="8" width="10.7109375" style="405" customWidth="1"/>
    <col min="9" max="9" width="8" style="405" customWidth="1"/>
    <col min="10" max="10" width="9.28515625" style="405" customWidth="1"/>
    <col min="11" max="13" width="13.5703125" style="405" customWidth="1"/>
    <col min="14" max="14" width="19.7109375" style="405" customWidth="1"/>
    <col min="15" max="17" width="9.140625" style="405" customWidth="1"/>
    <col min="18" max="18" width="9.7109375" style="405" customWidth="1"/>
    <col min="19" max="19" width="15.42578125" style="405" customWidth="1"/>
    <col min="20" max="20" width="14.28515625" style="405" customWidth="1"/>
    <col min="21" max="21" width="12.42578125" style="405" customWidth="1"/>
    <col min="22" max="16384" width="9.140625" style="405" customWidth="1"/>
  </cols>
  <sheetData>
    <row r="1" ht="15.75" customHeight="1" spans="1:14" x14ac:dyDescent="0.25">
      <c r="A1" s="406" t="s">
        <v>209</v>
      </c>
      <c r="B1" s="406"/>
      <c r="C1" s="406"/>
      <c r="D1" s="406"/>
      <c r="E1" s="406"/>
      <c r="F1" s="406"/>
      <c r="G1" s="406"/>
      <c r="H1" s="406"/>
      <c r="I1" s="406"/>
      <c r="J1" s="406"/>
      <c r="K1" s="406"/>
      <c r="L1" s="406"/>
      <c r="M1" s="406"/>
      <c r="N1" s="406"/>
    </row>
    <row r="2" spans="1:14" x14ac:dyDescent="0.25">
      <c r="A2" s="122" t="s">
        <v>0</v>
      </c>
      <c r="B2" s="122" t="s">
        <v>167</v>
      </c>
      <c r="C2" s="122" t="s">
        <v>168</v>
      </c>
      <c r="D2" s="122" t="s">
        <v>169</v>
      </c>
      <c r="E2" s="366" t="s">
        <v>170</v>
      </c>
      <c r="F2" s="366" t="s">
        <v>171</v>
      </c>
      <c r="G2" s="366" t="s">
        <v>172</v>
      </c>
      <c r="H2" s="366" t="s">
        <v>173</v>
      </c>
      <c r="I2" s="366" t="s">
        <v>171</v>
      </c>
      <c r="J2" s="366" t="s">
        <v>172</v>
      </c>
      <c r="K2" s="366" t="s">
        <v>174</v>
      </c>
      <c r="L2" s="367" t="s">
        <v>175</v>
      </c>
      <c r="M2" s="367" t="s">
        <v>190</v>
      </c>
      <c r="N2" s="122" t="s">
        <v>177</v>
      </c>
    </row>
    <row r="3" spans="1:13" x14ac:dyDescent="0.25">
      <c r="A3" s="407" t="s">
        <v>178</v>
      </c>
      <c r="B3" s="407"/>
      <c r="C3" s="407"/>
      <c r="D3" s="407"/>
      <c r="E3" s="407"/>
      <c r="F3" s="407"/>
      <c r="G3" s="407"/>
      <c r="H3" s="407"/>
      <c r="I3" s="407"/>
      <c r="J3" s="407"/>
      <c r="K3" s="408"/>
      <c r="L3" s="409"/>
      <c r="M3" s="409">
        <v>84520.65800000001</v>
      </c>
    </row>
    <row r="4" spans="1:14" x14ac:dyDescent="0.25">
      <c r="A4" s="115">
        <v>1</v>
      </c>
      <c r="B4" s="116">
        <v>46296</v>
      </c>
      <c r="C4" s="61"/>
      <c r="D4" s="61"/>
      <c r="E4" s="410">
        <v>113.82</v>
      </c>
      <c r="F4" s="410">
        <v>99.78</v>
      </c>
      <c r="G4" s="168">
        <f>E4*F4</f>
        <v>11356.9596</v>
      </c>
      <c r="H4" s="410"/>
      <c r="I4" s="411"/>
      <c r="J4" s="168">
        <f>H4*I4</f>
        <v>0</v>
      </c>
      <c r="K4" s="168">
        <f>G4+J4</f>
        <v>11356.9596</v>
      </c>
      <c r="L4" s="168"/>
      <c r="M4" s="168">
        <f>M3+K4-L4</f>
        <v>95877.61760000001</v>
      </c>
      <c r="N4" s="61"/>
    </row>
    <row r="5" spans="1:14" x14ac:dyDescent="0.25">
      <c r="A5" s="115">
        <v>2</v>
      </c>
      <c r="B5" s="116">
        <v>46297</v>
      </c>
      <c r="C5" s="61"/>
      <c r="D5" s="61"/>
      <c r="E5" s="410">
        <v>30</v>
      </c>
      <c r="F5" s="410">
        <v>99.78</v>
      </c>
      <c r="G5" s="168">
        <f>E5*F5</f>
        <v>2993.4</v>
      </c>
      <c r="H5" s="410">
        <v>5</v>
      </c>
      <c r="I5" s="411">
        <v>111.98</v>
      </c>
      <c r="J5" s="168">
        <f>H5*I5</f>
        <v>559.9</v>
      </c>
      <c r="K5" s="168">
        <f>G5+J5</f>
        <v>3553.3</v>
      </c>
      <c r="L5" s="168"/>
      <c r="M5" s="168">
        <f t="shared" ref="M5:M9" si="0">M4+K5-L5</f>
        <v>99430.91760000002</v>
      </c>
      <c r="N5" s="61"/>
    </row>
    <row r="6" spans="1:14" x14ac:dyDescent="0.25">
      <c r="A6" s="115">
        <v>3</v>
      </c>
      <c r="B6" s="116">
        <v>46298</v>
      </c>
      <c r="C6" s="61"/>
      <c r="D6" s="61"/>
      <c r="E6" s="410">
        <v>35</v>
      </c>
      <c r="F6" s="410">
        <v>99.78</v>
      </c>
      <c r="G6" s="168">
        <f t="shared" ref="G6:G40" si="1">E6*F6</f>
        <v>3492.3</v>
      </c>
      <c r="H6" s="410"/>
      <c r="I6" s="411"/>
      <c r="J6" s="168">
        <f t="shared" ref="J6" si="2">H6*I6</f>
        <v>0</v>
      </c>
      <c r="K6" s="168">
        <f t="shared" ref="K6:K39" si="3">G6+J6</f>
        <v>3492.3</v>
      </c>
      <c r="L6" s="168"/>
      <c r="M6" s="168">
        <f t="shared" si="0"/>
        <v>102923.21760000002</v>
      </c>
      <c r="N6" s="61"/>
    </row>
    <row r="7" spans="1:14" x14ac:dyDescent="0.25">
      <c r="A7" s="115">
        <v>4</v>
      </c>
      <c r="B7" s="116">
        <v>46299</v>
      </c>
      <c r="C7" s="61"/>
      <c r="D7" s="61"/>
      <c r="E7" s="410">
        <v>70</v>
      </c>
      <c r="F7" s="410">
        <v>99.78</v>
      </c>
      <c r="G7" s="168">
        <f t="shared" si="1"/>
        <v>6984.6</v>
      </c>
      <c r="H7" s="410"/>
      <c r="I7" s="411"/>
      <c r="J7" s="168">
        <f t="shared" ref="J7:J40" si="4">H7*I7</f>
        <v>0</v>
      </c>
      <c r="K7" s="168">
        <f t="shared" si="3"/>
        <v>6984.6</v>
      </c>
      <c r="L7" s="168"/>
      <c r="M7" s="168">
        <f t="shared" si="0"/>
        <v>109907.81760000002</v>
      </c>
      <c r="N7" s="61"/>
    </row>
    <row r="8" spans="1:14" x14ac:dyDescent="0.25">
      <c r="A8" s="115">
        <v>5</v>
      </c>
      <c r="B8" s="116">
        <v>46300</v>
      </c>
      <c r="C8" s="61"/>
      <c r="D8" s="61"/>
      <c r="E8" s="410">
        <v>30</v>
      </c>
      <c r="F8" s="410">
        <v>99.78</v>
      </c>
      <c r="G8" s="168">
        <f t="shared" si="1"/>
        <v>2993.4</v>
      </c>
      <c r="H8" s="410">
        <v>5</v>
      </c>
      <c r="I8" s="411">
        <v>111.98</v>
      </c>
      <c r="J8" s="168">
        <f t="shared" si="4"/>
        <v>559.9</v>
      </c>
      <c r="K8" s="168">
        <f t="shared" si="3"/>
        <v>3553.3</v>
      </c>
      <c r="L8" s="168"/>
      <c r="M8" s="168">
        <f t="shared" si="0"/>
        <v>113461.11760000003</v>
      </c>
      <c r="N8" s="61"/>
    </row>
    <row r="9" spans="1:14" x14ac:dyDescent="0.25">
      <c r="A9" s="115">
        <v>6</v>
      </c>
      <c r="B9" s="116">
        <v>46301</v>
      </c>
      <c r="C9" s="61"/>
      <c r="D9" s="61"/>
      <c r="E9" s="410">
        <v>110</v>
      </c>
      <c r="F9" s="410">
        <v>99.78</v>
      </c>
      <c r="G9" s="168">
        <f t="shared" si="1"/>
        <v>10975.8</v>
      </c>
      <c r="H9" s="410"/>
      <c r="I9" s="411"/>
      <c r="J9" s="168">
        <f t="shared" si="4"/>
        <v>0</v>
      </c>
      <c r="K9" s="168">
        <f t="shared" si="3"/>
        <v>10975.8</v>
      </c>
      <c r="L9" s="168"/>
      <c r="M9" s="168">
        <f t="shared" si="0"/>
        <v>124436.91760000003</v>
      </c>
      <c r="N9" s="61"/>
    </row>
    <row r="10" spans="1:14" x14ac:dyDescent="0.25">
      <c r="A10" s="115">
        <v>7</v>
      </c>
      <c r="B10" s="116">
        <v>46302</v>
      </c>
      <c r="C10" s="61"/>
      <c r="D10" s="61"/>
      <c r="E10" s="410">
        <v>126</v>
      </c>
      <c r="F10" s="410">
        <v>99.78</v>
      </c>
      <c r="G10" s="168">
        <f t="shared" si="1"/>
        <v>12572.28</v>
      </c>
      <c r="H10" s="410">
        <v>9</v>
      </c>
      <c r="I10" s="411">
        <v>111.98</v>
      </c>
      <c r="J10" s="168">
        <f t="shared" si="4"/>
        <v>1007.82</v>
      </c>
      <c r="K10" s="168">
        <f t="shared" si="3"/>
        <v>13580.1</v>
      </c>
      <c r="L10" s="168"/>
      <c r="M10" s="168">
        <f t="shared" ref="M5:M40" si="5">M9+K10-L10</f>
        <v>138017.01760000002</v>
      </c>
      <c r="N10" s="61"/>
    </row>
    <row r="11" spans="1:18" x14ac:dyDescent="0.25">
      <c r="A11" s="115">
        <v>8</v>
      </c>
      <c r="B11" s="116">
        <v>46303</v>
      </c>
      <c r="C11" s="61"/>
      <c r="D11" s="61"/>
      <c r="E11" s="410"/>
      <c r="F11" s="410"/>
      <c r="G11" s="168">
        <f t="shared" si="1"/>
        <v>0</v>
      </c>
      <c r="H11" s="410">
        <v>5</v>
      </c>
      <c r="I11" s="411">
        <v>111.98</v>
      </c>
      <c r="J11" s="168">
        <f t="shared" si="4"/>
        <v>559.9</v>
      </c>
      <c r="K11" s="168">
        <f t="shared" si="3"/>
        <v>559.9</v>
      </c>
      <c r="L11" s="168">
        <v>100000</v>
      </c>
      <c r="M11" s="168">
        <f t="shared" si="5"/>
        <v>38576.917600000015</v>
      </c>
      <c r="N11" s="61"/>
      <c r="R11" s="95"/>
    </row>
    <row r="12" spans="1:14" x14ac:dyDescent="0.25">
      <c r="A12" s="115">
        <v>9</v>
      </c>
      <c r="B12" s="116">
        <v>46304</v>
      </c>
      <c r="C12" s="61"/>
      <c r="D12" s="61"/>
      <c r="E12" s="410"/>
      <c r="F12" s="410"/>
      <c r="G12" s="168">
        <f t="shared" si="1"/>
        <v>0</v>
      </c>
      <c r="H12" s="410"/>
      <c r="I12" s="411"/>
      <c r="J12" s="168">
        <f t="shared" si="4"/>
        <v>0</v>
      </c>
      <c r="K12" s="168">
        <f t="shared" si="3"/>
        <v>0</v>
      </c>
      <c r="L12" s="168"/>
      <c r="M12" s="168">
        <f t="shared" si="5"/>
        <v>38576.917600000015</v>
      </c>
      <c r="N12" s="61"/>
    </row>
    <row r="13" spans="1:14" x14ac:dyDescent="0.25">
      <c r="A13" s="115">
        <v>10</v>
      </c>
      <c r="B13" s="116">
        <v>46305</v>
      </c>
      <c r="C13" s="61"/>
      <c r="D13" s="61"/>
      <c r="E13" s="410">
        <v>100</v>
      </c>
      <c r="F13" s="410">
        <v>99.78</v>
      </c>
      <c r="G13" s="168">
        <f t="shared" si="1"/>
        <v>9978</v>
      </c>
      <c r="H13" s="410">
        <v>5</v>
      </c>
      <c r="I13" s="411">
        <v>111.98</v>
      </c>
      <c r="J13" s="168">
        <f t="shared" si="4"/>
        <v>559.9</v>
      </c>
      <c r="K13" s="168">
        <f t="shared" si="3"/>
        <v>10537.9</v>
      </c>
      <c r="L13" s="168"/>
      <c r="M13" s="168">
        <f t="shared" si="5"/>
        <v>49114.81760000002</v>
      </c>
      <c r="N13" s="61"/>
    </row>
    <row r="14" spans="1:14" x14ac:dyDescent="0.25">
      <c r="A14" s="115">
        <v>11</v>
      </c>
      <c r="B14" s="116">
        <v>46306</v>
      </c>
      <c r="C14" s="61"/>
      <c r="D14" s="61"/>
      <c r="E14" s="410"/>
      <c r="F14" s="410"/>
      <c r="G14" s="168">
        <f t="shared" si="1"/>
        <v>0</v>
      </c>
      <c r="H14" s="410"/>
      <c r="I14" s="411"/>
      <c r="J14" s="168">
        <f t="shared" si="4"/>
        <v>0</v>
      </c>
      <c r="K14" s="168">
        <f t="shared" si="3"/>
        <v>0</v>
      </c>
      <c r="L14" s="168"/>
      <c r="M14" s="168">
        <f t="shared" si="5"/>
        <v>49114.81760000002</v>
      </c>
      <c r="N14" s="61"/>
    </row>
    <row r="15" spans="1:14" x14ac:dyDescent="0.25">
      <c r="A15" s="115">
        <v>12</v>
      </c>
      <c r="B15" s="116">
        <v>46307</v>
      </c>
      <c r="C15" s="61"/>
      <c r="D15" s="61"/>
      <c r="E15" s="410">
        <v>130</v>
      </c>
      <c r="F15" s="410">
        <v>99.78</v>
      </c>
      <c r="G15" s="168">
        <f t="shared" si="1"/>
        <v>12971.4</v>
      </c>
      <c r="H15" s="410">
        <v>5</v>
      </c>
      <c r="I15" s="411">
        <v>111.98</v>
      </c>
      <c r="J15" s="168">
        <f t="shared" si="4"/>
        <v>559.9</v>
      </c>
      <c r="K15" s="168">
        <f t="shared" si="3"/>
        <v>13531.3</v>
      </c>
      <c r="L15" s="168"/>
      <c r="M15" s="168">
        <f t="shared" si="5"/>
        <v>62646.11760000001</v>
      </c>
      <c r="N15" s="61"/>
    </row>
    <row r="16" spans="1:14" x14ac:dyDescent="0.25">
      <c r="A16" s="115">
        <v>13</v>
      </c>
      <c r="B16" s="116">
        <v>46308</v>
      </c>
      <c r="C16" s="61"/>
      <c r="D16" s="61"/>
      <c r="E16" s="410">
        <v>30</v>
      </c>
      <c r="F16" s="410">
        <v>99.78</v>
      </c>
      <c r="G16" s="168">
        <f t="shared" si="1"/>
        <v>2993.4</v>
      </c>
      <c r="H16" s="410"/>
      <c r="I16" s="411"/>
      <c r="J16" s="168">
        <f t="shared" si="4"/>
        <v>0</v>
      </c>
      <c r="K16" s="168">
        <f t="shared" si="3"/>
        <v>2993.4</v>
      </c>
      <c r="L16" s="168"/>
      <c r="M16" s="168">
        <f t="shared" si="5"/>
        <v>65639.5176</v>
      </c>
      <c r="N16" s="61"/>
    </row>
    <row r="17" spans="1:14" x14ac:dyDescent="0.25">
      <c r="A17" s="115">
        <v>14</v>
      </c>
      <c r="B17" s="116">
        <v>46309</v>
      </c>
      <c r="C17" s="61"/>
      <c r="D17" s="61"/>
      <c r="E17" s="410">
        <v>30</v>
      </c>
      <c r="F17" s="410">
        <v>99.78</v>
      </c>
      <c r="G17" s="168">
        <f t="shared" si="1"/>
        <v>2993.4</v>
      </c>
      <c r="H17" s="410"/>
      <c r="I17" s="411"/>
      <c r="J17" s="168">
        <f t="shared" si="4"/>
        <v>0</v>
      </c>
      <c r="K17" s="168">
        <f t="shared" si="3"/>
        <v>2993.4</v>
      </c>
      <c r="L17" s="168"/>
      <c r="M17" s="168">
        <f t="shared" si="5"/>
        <v>68632.9176</v>
      </c>
      <c r="N17" s="61"/>
    </row>
    <row r="18" spans="1:14" x14ac:dyDescent="0.25">
      <c r="A18" s="115">
        <v>15</v>
      </c>
      <c r="B18" s="116">
        <v>46310</v>
      </c>
      <c r="C18" s="61"/>
      <c r="D18" s="61"/>
      <c r="E18" s="410">
        <v>90</v>
      </c>
      <c r="F18" s="410">
        <v>99.78</v>
      </c>
      <c r="G18" s="168">
        <f t="shared" si="1"/>
        <v>8980.2</v>
      </c>
      <c r="H18" s="410">
        <v>5</v>
      </c>
      <c r="I18" s="411">
        <v>111.98</v>
      </c>
      <c r="J18" s="168">
        <f t="shared" si="4"/>
        <v>559.9</v>
      </c>
      <c r="K18" s="168">
        <f t="shared" si="3"/>
        <v>9540.1</v>
      </c>
      <c r="L18" s="168"/>
      <c r="M18" s="168">
        <f t="shared" si="5"/>
        <v>78173.0176</v>
      </c>
      <c r="N18" s="61"/>
    </row>
    <row r="19" spans="1:14" x14ac:dyDescent="0.25">
      <c r="A19" s="115">
        <v>16</v>
      </c>
      <c r="B19" s="116">
        <v>46311</v>
      </c>
      <c r="C19" s="61"/>
      <c r="D19" s="61"/>
      <c r="E19" s="410"/>
      <c r="F19" s="410"/>
      <c r="G19" s="168">
        <f t="shared" si="1"/>
        <v>0</v>
      </c>
      <c r="H19" s="410"/>
      <c r="I19" s="411"/>
      <c r="J19" s="168">
        <f t="shared" si="4"/>
        <v>0</v>
      </c>
      <c r="K19" s="168">
        <f t="shared" si="3"/>
        <v>0</v>
      </c>
      <c r="L19" s="168"/>
      <c r="M19" s="168">
        <f t="shared" si="5"/>
        <v>78173.0176</v>
      </c>
      <c r="N19" s="61"/>
    </row>
    <row r="20" spans="1:14" x14ac:dyDescent="0.25">
      <c r="A20" s="115">
        <v>17</v>
      </c>
      <c r="B20" s="116">
        <v>46312</v>
      </c>
      <c r="C20" s="412"/>
      <c r="D20" s="61"/>
      <c r="E20" s="410"/>
      <c r="F20" s="410"/>
      <c r="G20" s="168">
        <f t="shared" si="1"/>
        <v>0</v>
      </c>
      <c r="H20" s="410"/>
      <c r="I20" s="411"/>
      <c r="J20" s="168">
        <f t="shared" si="4"/>
        <v>0</v>
      </c>
      <c r="K20" s="168">
        <f t="shared" si="3"/>
        <v>0</v>
      </c>
      <c r="L20" s="168"/>
      <c r="M20" s="168">
        <f t="shared" si="5"/>
        <v>78173.0176</v>
      </c>
      <c r="N20" s="61"/>
    </row>
    <row r="21" spans="1:14" x14ac:dyDescent="0.25">
      <c r="A21" s="115">
        <v>18</v>
      </c>
      <c r="B21" s="116">
        <v>46313</v>
      </c>
      <c r="C21" s="412"/>
      <c r="D21" s="61"/>
      <c r="E21" s="410"/>
      <c r="F21" s="410"/>
      <c r="G21" s="168">
        <f t="shared" si="1"/>
        <v>0</v>
      </c>
      <c r="H21" s="410"/>
      <c r="I21" s="411"/>
      <c r="J21" s="168">
        <f t="shared" si="4"/>
        <v>0</v>
      </c>
      <c r="K21" s="168">
        <f t="shared" si="3"/>
        <v>0</v>
      </c>
      <c r="L21" s="168"/>
      <c r="M21" s="168">
        <f t="shared" si="5"/>
        <v>78173.0176</v>
      </c>
      <c r="N21" s="61"/>
    </row>
    <row r="22" spans="1:14" x14ac:dyDescent="0.25">
      <c r="A22" s="115">
        <v>19</v>
      </c>
      <c r="B22" s="116">
        <v>46314</v>
      </c>
      <c r="C22" s="412"/>
      <c r="D22" s="61"/>
      <c r="E22" s="410"/>
      <c r="F22" s="410"/>
      <c r="G22" s="168">
        <f>E22*F22</f>
        <v>0</v>
      </c>
      <c r="H22" s="410"/>
      <c r="I22" s="411"/>
      <c r="J22" s="168">
        <f>H22*I22</f>
        <v>0</v>
      </c>
      <c r="K22" s="168">
        <f>G22+J22</f>
        <v>0</v>
      </c>
      <c r="L22" s="168"/>
      <c r="M22" s="168">
        <f t="shared" si="5"/>
        <v>78173.0176</v>
      </c>
      <c r="N22" s="61"/>
    </row>
    <row r="23" spans="1:14" x14ac:dyDescent="0.25">
      <c r="A23" s="115">
        <v>20</v>
      </c>
      <c r="B23" s="116">
        <v>46315</v>
      </c>
      <c r="C23" s="412"/>
      <c r="D23" s="61"/>
      <c r="E23" s="410"/>
      <c r="F23" s="410"/>
      <c r="G23" s="168">
        <f t="shared" si="1"/>
        <v>0</v>
      </c>
      <c r="H23" s="410"/>
      <c r="I23" s="411"/>
      <c r="J23" s="168">
        <f t="shared" si="4"/>
        <v>0</v>
      </c>
      <c r="K23" s="168">
        <f t="shared" si="3"/>
        <v>0</v>
      </c>
      <c r="L23" s="168"/>
      <c r="M23" s="168">
        <f>M22+K23-L23</f>
        <v>78173.0176</v>
      </c>
      <c r="N23" s="61"/>
    </row>
    <row r="24" spans="1:14" x14ac:dyDescent="0.25">
      <c r="A24" s="115">
        <v>21</v>
      </c>
      <c r="B24" s="116">
        <v>46316</v>
      </c>
      <c r="C24" s="412"/>
      <c r="D24" s="61"/>
      <c r="E24" s="410"/>
      <c r="F24" s="410"/>
      <c r="G24" s="168">
        <f t="shared" si="1"/>
        <v>0</v>
      </c>
      <c r="H24" s="410"/>
      <c r="I24" s="411"/>
      <c r="J24" s="168">
        <f t="shared" si="4"/>
        <v>0</v>
      </c>
      <c r="K24" s="168">
        <f t="shared" si="3"/>
        <v>0</v>
      </c>
      <c r="L24" s="168"/>
      <c r="M24" s="168">
        <f t="shared" si="5"/>
        <v>78173.0176</v>
      </c>
      <c r="N24" s="61"/>
    </row>
    <row r="25" spans="1:14" x14ac:dyDescent="0.25">
      <c r="A25" s="115">
        <v>22</v>
      </c>
      <c r="B25" s="116">
        <v>46317</v>
      </c>
      <c r="C25" s="412"/>
      <c r="D25" s="61"/>
      <c r="E25" s="410"/>
      <c r="F25" s="410"/>
      <c r="G25" s="168">
        <f t="shared" si="1"/>
        <v>0</v>
      </c>
      <c r="H25" s="410"/>
      <c r="I25" s="411"/>
      <c r="J25" s="168">
        <f t="shared" si="4"/>
        <v>0</v>
      </c>
      <c r="K25" s="168">
        <f t="shared" si="3"/>
        <v>0</v>
      </c>
      <c r="L25" s="168"/>
      <c r="M25" s="168">
        <f t="shared" si="5"/>
        <v>78173.0176</v>
      </c>
      <c r="N25" s="61"/>
    </row>
    <row r="26" spans="1:21" x14ac:dyDescent="0.25">
      <c r="A26" s="115">
        <v>23</v>
      </c>
      <c r="B26" s="116">
        <v>46318</v>
      </c>
      <c r="C26" s="412"/>
      <c r="D26" s="61"/>
      <c r="E26" s="410"/>
      <c r="F26" s="410"/>
      <c r="G26" s="168">
        <f t="shared" si="1"/>
        <v>0</v>
      </c>
      <c r="H26" s="410"/>
      <c r="I26" s="411"/>
      <c r="J26" s="168">
        <f t="shared" si="4"/>
        <v>0</v>
      </c>
      <c r="K26" s="168">
        <f t="shared" si="3"/>
        <v>0</v>
      </c>
      <c r="L26" s="168"/>
      <c r="M26" s="168">
        <f t="shared" si="5"/>
        <v>78173.0176</v>
      </c>
      <c r="N26" s="61"/>
      <c r="R26" s="413" t="s">
        <v>210</v>
      </c>
      <c r="S26" s="413"/>
      <c r="T26" s="414" t="s">
        <v>211</v>
      </c>
      <c r="U26" s="414"/>
    </row>
    <row r="27" spans="1:21" x14ac:dyDescent="0.25">
      <c r="A27" s="115">
        <v>24</v>
      </c>
      <c r="B27" s="116">
        <v>46319</v>
      </c>
      <c r="C27" s="412"/>
      <c r="D27" s="61"/>
      <c r="E27" s="410"/>
      <c r="F27" s="410"/>
      <c r="G27" s="168">
        <f t="shared" si="1"/>
        <v>0</v>
      </c>
      <c r="H27" s="410"/>
      <c r="I27" s="411"/>
      <c r="J27" s="168">
        <f t="shared" si="4"/>
        <v>0</v>
      </c>
      <c r="K27" s="168">
        <f t="shared" si="3"/>
        <v>0</v>
      </c>
      <c r="L27" s="168"/>
      <c r="M27" s="168">
        <f t="shared" si="5"/>
        <v>78173.0176</v>
      </c>
      <c r="N27" s="61"/>
      <c r="R27" s="61" t="s">
        <v>212</v>
      </c>
      <c r="S27" s="61" t="s">
        <v>213</v>
      </c>
      <c r="T27" s="61" t="s">
        <v>214</v>
      </c>
      <c r="U27" s="61" t="s">
        <v>64</v>
      </c>
    </row>
    <row r="28" spans="1:21" x14ac:dyDescent="0.25">
      <c r="A28" s="115">
        <v>25</v>
      </c>
      <c r="B28" s="116">
        <v>46320</v>
      </c>
      <c r="C28" s="412"/>
      <c r="D28" s="61"/>
      <c r="E28" s="410"/>
      <c r="F28" s="410"/>
      <c r="G28" s="168">
        <f t="shared" si="1"/>
        <v>0</v>
      </c>
      <c r="H28" s="410"/>
      <c r="I28" s="411"/>
      <c r="J28" s="168">
        <f t="shared" si="4"/>
        <v>0</v>
      </c>
      <c r="K28" s="168">
        <f t="shared" si="3"/>
        <v>0</v>
      </c>
      <c r="L28" s="168"/>
      <c r="M28" s="168">
        <f t="shared" si="5"/>
        <v>78173.0176</v>
      </c>
      <c r="N28" s="61"/>
      <c r="R28" s="61" t="s">
        <v>215</v>
      </c>
      <c r="S28" s="61">
        <v>2040</v>
      </c>
      <c r="T28" s="61">
        <v>90</v>
      </c>
      <c r="U28" s="61">
        <v>169925</v>
      </c>
    </row>
    <row r="29" spans="1:21" x14ac:dyDescent="0.25">
      <c r="A29" s="115">
        <v>26</v>
      </c>
      <c r="B29" s="116">
        <v>46321</v>
      </c>
      <c r="C29" s="412"/>
      <c r="D29" s="61"/>
      <c r="E29" s="410"/>
      <c r="F29" s="410"/>
      <c r="G29" s="168">
        <f t="shared" si="1"/>
        <v>0</v>
      </c>
      <c r="H29" s="410"/>
      <c r="I29" s="411"/>
      <c r="J29" s="168">
        <f t="shared" si="4"/>
        <v>0</v>
      </c>
      <c r="K29" s="168">
        <f t="shared" si="3"/>
        <v>0</v>
      </c>
      <c r="L29" s="168"/>
      <c r="M29" s="168">
        <f t="shared" si="5"/>
        <v>78173.0176</v>
      </c>
      <c r="N29" s="61"/>
      <c r="R29" s="61" t="s">
        <v>216</v>
      </c>
      <c r="S29" s="61">
        <v>2115</v>
      </c>
      <c r="T29" s="61">
        <v>185</v>
      </c>
      <c r="U29" s="61">
        <v>206053</v>
      </c>
    </row>
    <row r="30" spans="1:21" x14ac:dyDescent="0.25">
      <c r="A30" s="115">
        <v>27</v>
      </c>
      <c r="B30" s="116">
        <v>46322</v>
      </c>
      <c r="C30" s="412"/>
      <c r="D30" s="61"/>
      <c r="E30" s="410"/>
      <c r="F30" s="410"/>
      <c r="G30" s="168">
        <f t="shared" si="1"/>
        <v>0</v>
      </c>
      <c r="H30" s="410"/>
      <c r="I30" s="411"/>
      <c r="J30" s="168">
        <f t="shared" si="4"/>
        <v>0</v>
      </c>
      <c r="K30" s="168">
        <f t="shared" si="3"/>
        <v>0</v>
      </c>
      <c r="L30" s="168"/>
      <c r="M30" s="168">
        <f t="shared" si="5"/>
        <v>78173.0176</v>
      </c>
      <c r="N30" s="61"/>
      <c r="R30" s="61" t="s">
        <v>217</v>
      </c>
      <c r="S30" s="61">
        <v>2145</v>
      </c>
      <c r="T30" s="61">
        <v>177</v>
      </c>
      <c r="U30" s="61">
        <v>247835</v>
      </c>
    </row>
    <row r="31" spans="1:21" x14ac:dyDescent="0.25">
      <c r="A31" s="115">
        <v>28</v>
      </c>
      <c r="B31" s="116">
        <v>46323</v>
      </c>
      <c r="C31" s="412"/>
      <c r="D31" s="61"/>
      <c r="E31" s="410"/>
      <c r="F31" s="410"/>
      <c r="G31" s="168">
        <f t="shared" si="1"/>
        <v>0</v>
      </c>
      <c r="H31" s="410"/>
      <c r="I31" s="411"/>
      <c r="J31" s="168">
        <f t="shared" si="4"/>
        <v>0</v>
      </c>
      <c r="K31" s="168">
        <f t="shared" si="3"/>
        <v>0</v>
      </c>
      <c r="L31" s="168"/>
      <c r="M31" s="168">
        <f t="shared" si="5"/>
        <v>78173.0176</v>
      </c>
      <c r="N31" s="61"/>
      <c r="R31" s="61" t="s">
        <v>218</v>
      </c>
      <c r="S31" s="61">
        <v>545</v>
      </c>
      <c r="T31" s="61">
        <v>50</v>
      </c>
      <c r="U31" s="61">
        <v>44201</v>
      </c>
    </row>
    <row r="32" spans="1:21" x14ac:dyDescent="0.25">
      <c r="A32" s="115">
        <v>29</v>
      </c>
      <c r="B32" s="116">
        <v>46324</v>
      </c>
      <c r="C32" s="412"/>
      <c r="D32" s="61"/>
      <c r="E32" s="410"/>
      <c r="F32" s="410"/>
      <c r="G32" s="168">
        <f t="shared" si="1"/>
        <v>0</v>
      </c>
      <c r="H32" s="410"/>
      <c r="I32" s="411"/>
      <c r="J32" s="168">
        <f t="shared" si="4"/>
        <v>0</v>
      </c>
      <c r="K32" s="168">
        <f t="shared" si="3"/>
        <v>0</v>
      </c>
      <c r="L32" s="168"/>
      <c r="M32" s="168">
        <f t="shared" si="5"/>
        <v>78173.0176</v>
      </c>
      <c r="N32" s="61"/>
      <c r="R32" s="61"/>
      <c r="S32" s="414">
        <f>SUM(S28:S31)</f>
        <v>6845</v>
      </c>
      <c r="T32" s="414">
        <f>SUM(T28:T31)</f>
        <v>502</v>
      </c>
      <c r="U32" s="414">
        <f>SUM(U28:U31)</f>
        <v>668014</v>
      </c>
    </row>
    <row r="33" spans="1:14" x14ac:dyDescent="0.25">
      <c r="A33" s="115">
        <v>30</v>
      </c>
      <c r="B33" s="116">
        <v>46325</v>
      </c>
      <c r="C33" s="412"/>
      <c r="D33" s="61"/>
      <c r="E33" s="410"/>
      <c r="F33" s="410"/>
      <c r="G33" s="168">
        <f t="shared" si="1"/>
        <v>0</v>
      </c>
      <c r="H33" s="410"/>
      <c r="I33" s="411"/>
      <c r="J33" s="168">
        <f t="shared" si="4"/>
        <v>0</v>
      </c>
      <c r="K33" s="168">
        <f t="shared" si="3"/>
        <v>0</v>
      </c>
      <c r="L33" s="168"/>
      <c r="M33" s="168">
        <f t="shared" si="5"/>
        <v>78173.0176</v>
      </c>
      <c r="N33" s="61"/>
    </row>
    <row r="34" spans="1:14" x14ac:dyDescent="0.25">
      <c r="A34" s="115">
        <v>31</v>
      </c>
      <c r="B34" s="116">
        <v>46326</v>
      </c>
      <c r="C34" s="412"/>
      <c r="D34" s="61"/>
      <c r="E34" s="410"/>
      <c r="F34" s="410"/>
      <c r="G34" s="168">
        <f t="shared" si="1"/>
        <v>0</v>
      </c>
      <c r="H34" s="410"/>
      <c r="I34" s="411"/>
      <c r="J34" s="168">
        <f t="shared" si="4"/>
        <v>0</v>
      </c>
      <c r="K34" s="168">
        <f t="shared" si="3"/>
        <v>0</v>
      </c>
      <c r="L34" s="168"/>
      <c r="M34" s="168">
        <f t="shared" si="5"/>
        <v>78173.0176</v>
      </c>
      <c r="N34" s="61"/>
    </row>
    <row r="35" spans="1:14" x14ac:dyDescent="0.25">
      <c r="A35" s="115">
        <v>32</v>
      </c>
      <c r="B35" s="116"/>
      <c r="C35" s="412"/>
      <c r="D35" s="61"/>
      <c r="E35" s="410"/>
      <c r="F35" s="410"/>
      <c r="G35" s="168">
        <f t="shared" si="1"/>
        <v>0</v>
      </c>
      <c r="H35" s="410"/>
      <c r="I35" s="411"/>
      <c r="J35" s="168">
        <f t="shared" si="4"/>
        <v>0</v>
      </c>
      <c r="K35" s="168">
        <f t="shared" si="3"/>
        <v>0</v>
      </c>
      <c r="L35" s="168"/>
      <c r="M35" s="168">
        <f t="shared" si="5"/>
        <v>78173.0176</v>
      </c>
      <c r="N35" s="61"/>
    </row>
    <row r="36" spans="1:14" x14ac:dyDescent="0.25">
      <c r="A36" s="115">
        <v>33</v>
      </c>
      <c r="B36" s="116"/>
      <c r="C36" s="412"/>
      <c r="D36" s="61"/>
      <c r="E36" s="410"/>
      <c r="F36" s="410"/>
      <c r="G36" s="168">
        <f t="shared" si="1"/>
        <v>0</v>
      </c>
      <c r="H36" s="410"/>
      <c r="I36" s="411"/>
      <c r="J36" s="168">
        <f t="shared" si="4"/>
        <v>0</v>
      </c>
      <c r="K36" s="168">
        <f t="shared" si="3"/>
        <v>0</v>
      </c>
      <c r="L36" s="168"/>
      <c r="M36" s="168">
        <f t="shared" si="5"/>
        <v>78173.0176</v>
      </c>
      <c r="N36" s="61"/>
    </row>
    <row r="37" spans="1:14" x14ac:dyDescent="0.25">
      <c r="A37" s="115">
        <v>34</v>
      </c>
      <c r="B37" s="116"/>
      <c r="C37" s="412"/>
      <c r="D37" s="61"/>
      <c r="E37" s="410"/>
      <c r="F37" s="410"/>
      <c r="G37" s="168">
        <f t="shared" ref="G37" si="6">E37*F37</f>
        <v>0</v>
      </c>
      <c r="H37" s="328"/>
      <c r="I37" s="328"/>
      <c r="J37" s="168">
        <f t="shared" ref="J37" si="7">H37*I37</f>
        <v>0</v>
      </c>
      <c r="K37" s="168">
        <f t="shared" ref="K37:L37" si="8">G37+J37</f>
        <v>0</v>
      </c>
      <c r="L37" s="168"/>
      <c r="M37" s="168">
        <f t="shared" si="5"/>
        <v>78173.0176</v>
      </c>
      <c r="N37" s="61"/>
    </row>
    <row r="38" spans="1:14" x14ac:dyDescent="0.25">
      <c r="A38" s="115">
        <v>35</v>
      </c>
      <c r="B38" s="116"/>
      <c r="C38" s="412"/>
      <c r="D38" s="61"/>
      <c r="E38" s="415"/>
      <c r="F38" s="415"/>
      <c r="G38" s="168">
        <f t="shared" si="1"/>
        <v>0</v>
      </c>
      <c r="H38" s="328"/>
      <c r="I38" s="328"/>
      <c r="J38" s="168">
        <f t="shared" si="4"/>
        <v>0</v>
      </c>
      <c r="K38" s="168">
        <f t="shared" si="3"/>
        <v>0</v>
      </c>
      <c r="L38" s="168"/>
      <c r="M38" s="168">
        <f t="shared" si="5"/>
        <v>78173.0176</v>
      </c>
      <c r="N38" s="61"/>
    </row>
    <row r="39" spans="1:14" x14ac:dyDescent="0.25">
      <c r="A39" s="115">
        <v>36</v>
      </c>
      <c r="B39" s="116"/>
      <c r="C39" s="412"/>
      <c r="D39" s="61"/>
      <c r="E39" s="415"/>
      <c r="F39" s="415"/>
      <c r="G39" s="168">
        <f t="shared" si="1"/>
        <v>0</v>
      </c>
      <c r="H39" s="328"/>
      <c r="I39" s="328"/>
      <c r="J39" s="168">
        <f t="shared" si="4"/>
        <v>0</v>
      </c>
      <c r="K39" s="168">
        <f t="shared" si="3"/>
        <v>0</v>
      </c>
      <c r="L39" s="168"/>
      <c r="M39" s="168">
        <f t="shared" si="5"/>
        <v>78173.0176</v>
      </c>
      <c r="N39" s="61"/>
    </row>
    <row r="40" spans="1:14" x14ac:dyDescent="0.25">
      <c r="A40" s="115">
        <v>37</v>
      </c>
      <c r="B40" s="116"/>
      <c r="C40" s="412"/>
      <c r="D40" s="61"/>
      <c r="E40" s="416"/>
      <c r="F40" s="328"/>
      <c r="G40" s="168">
        <f t="shared" si="1"/>
        <v>0</v>
      </c>
      <c r="H40" s="328"/>
      <c r="I40" s="328"/>
      <c r="J40" s="168">
        <f t="shared" si="4"/>
        <v>0</v>
      </c>
      <c r="K40" s="168">
        <f t="shared" ref="K40" si="9">G40+J40</f>
        <v>0</v>
      </c>
      <c r="L40" s="168"/>
      <c r="M40" s="168">
        <f t="shared" si="5"/>
        <v>78173.0176</v>
      </c>
      <c r="N40" s="61"/>
    </row>
    <row r="41" spans="1:14" x14ac:dyDescent="0.25">
      <c r="A41" s="121"/>
      <c r="B41" s="121"/>
      <c r="C41" s="121"/>
      <c r="D41" s="121"/>
      <c r="E41" s="121">
        <f>SUM(E4:E40)</f>
        <v>894.8199999999999</v>
      </c>
      <c r="F41" s="121"/>
      <c r="G41" s="121">
        <f>SUM(G4:G40)</f>
        <v>89285.13959999998</v>
      </c>
      <c r="H41" s="121">
        <f>SUM(H4:H40)</f>
        <v>39</v>
      </c>
      <c r="I41" s="121"/>
      <c r="J41" s="121">
        <f>SUM(J4:J40)</f>
        <v>4367.22</v>
      </c>
      <c r="K41" s="121">
        <f>SUM(K4:K40)</f>
        <v>93652.3596</v>
      </c>
      <c r="L41" s="121">
        <f>SUM(L4:L40)</f>
        <v>100000</v>
      </c>
      <c r="M41" s="121"/>
      <c r="N41" s="121"/>
    </row>
  </sheetData>
  <mergeCells count="3">
    <mergeCell ref="A1:N1"/>
    <mergeCell ref="A3:J3"/>
    <mergeCell ref="R26:S2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P48"/>
  <sheetViews>
    <sheetView workbookViewId="0" zoomScale="100" zoomScaleNormal="100">
      <pane ySplit="3" topLeftCell="A4" activePane="bottomLeft" state="frozen"/>
      <selection pane="bottomLeft" activeCell="S21" sqref="S21"/>
    </sheetView>
  </sheetViews>
  <sheetFormatPr defaultRowHeight="15" outlineLevelRow="0" outlineLevelCol="0" x14ac:dyDescent="0"/>
  <cols>
    <col min="1" max="1" width="9.140625" style="405" customWidth="1"/>
    <col min="2" max="2" width="11.7109375" style="405" customWidth="1"/>
    <col min="3" max="3" width="9.140625" style="405" customWidth="1"/>
    <col min="4" max="4" width="13.140625" style="405" customWidth="1"/>
    <col min="5" max="5" width="10.140625" style="405" customWidth="1"/>
    <col min="6" max="6" width="9.140625" style="405" customWidth="1"/>
    <col min="7" max="7" width="10.85546875" style="409" customWidth="1"/>
    <col min="8" max="8" width="11.140625" style="405" customWidth="1"/>
    <col min="9" max="9" width="9.140625" style="405" customWidth="1"/>
    <col min="10" max="10" width="10.85546875" style="409" customWidth="1"/>
    <col min="11" max="11" width="12.85546875" style="405" customWidth="1"/>
    <col min="12" max="13" width="13.5703125" style="409" customWidth="1"/>
    <col min="14" max="14" width="13.5703125" style="405" customWidth="1"/>
    <col min="15" max="16" width="9.140625" style="405" customWidth="1"/>
    <col min="17" max="17" width="12.5703125" style="405" customWidth="1"/>
    <col min="18" max="18" width="11.85546875" style="405" customWidth="1"/>
    <col min="19" max="16384" width="9.140625" style="405" customWidth="1"/>
  </cols>
  <sheetData>
    <row r="1" ht="15.75" customHeight="1" spans="1:14" x14ac:dyDescent="0.25">
      <c r="A1" s="325" t="s">
        <v>225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</row>
    <row r="2" ht="18" customHeight="1" spans="1:14" x14ac:dyDescent="0.25">
      <c r="A2" s="122" t="s">
        <v>0</v>
      </c>
      <c r="B2" s="123" t="s">
        <v>167</v>
      </c>
      <c r="C2" s="123" t="s">
        <v>168</v>
      </c>
      <c r="D2" s="123" t="s">
        <v>189</v>
      </c>
      <c r="E2" s="123" t="s">
        <v>170</v>
      </c>
      <c r="F2" s="123" t="s">
        <v>171</v>
      </c>
      <c r="G2" s="418" t="s">
        <v>172</v>
      </c>
      <c r="H2" s="123" t="s">
        <v>173</v>
      </c>
      <c r="I2" s="123" t="s">
        <v>171</v>
      </c>
      <c r="J2" s="418" t="s">
        <v>172</v>
      </c>
      <c r="K2" s="122" t="s">
        <v>174</v>
      </c>
      <c r="L2" s="366" t="s">
        <v>175</v>
      </c>
      <c r="M2" s="109" t="s">
        <v>190</v>
      </c>
      <c r="N2" s="123" t="s">
        <v>177</v>
      </c>
    </row>
    <row r="3" ht="18" customHeight="1" spans="1:16" x14ac:dyDescent="0.25">
      <c r="A3" s="525" t="s">
        <v>178</v>
      </c>
      <c r="B3" s="526"/>
      <c r="C3" s="526"/>
      <c r="D3" s="526"/>
      <c r="E3" s="526"/>
      <c r="F3" s="526"/>
      <c r="G3" s="526"/>
      <c r="H3" s="526"/>
      <c r="I3" s="526"/>
      <c r="J3" s="526"/>
      <c r="K3" s="526"/>
      <c r="L3" s="526"/>
      <c r="M3" s="527">
        <v>74297.81211999997</v>
      </c>
      <c r="N3" s="527"/>
      <c r="P3" s="409"/>
    </row>
    <row r="4" spans="1:14" x14ac:dyDescent="0.25">
      <c r="A4" s="61">
        <v>1</v>
      </c>
      <c r="B4" s="184">
        <v>46296</v>
      </c>
      <c r="C4" s="61"/>
      <c r="D4" s="61"/>
      <c r="E4" s="167">
        <v>0</v>
      </c>
      <c r="F4" s="61">
        <v>99.23</v>
      </c>
      <c r="G4" s="168">
        <f>E4*F4</f>
        <v>0</v>
      </c>
      <c r="H4" s="528">
        <v>0</v>
      </c>
      <c r="I4" s="529">
        <v>113.2</v>
      </c>
      <c r="J4" s="168">
        <f>H4*I4</f>
        <v>0</v>
      </c>
      <c r="K4" s="168">
        <f>G4+J4</f>
        <v>0</v>
      </c>
      <c r="L4" s="168"/>
      <c r="M4" s="530">
        <f>M3+K4-L4</f>
        <v>74297.81211999997</v>
      </c>
      <c r="N4" s="189"/>
    </row>
    <row r="5" spans="1:14" x14ac:dyDescent="0.25">
      <c r="A5" s="61">
        <v>2</v>
      </c>
      <c r="B5" s="184">
        <v>46297</v>
      </c>
      <c r="C5" s="61"/>
      <c r="D5" s="61"/>
      <c r="E5" s="167"/>
      <c r="F5" s="61"/>
      <c r="G5" s="168">
        <f t="shared" ref="G5:G32" si="0">E5*F5</f>
        <v>0</v>
      </c>
      <c r="H5" s="528"/>
      <c r="I5" s="529"/>
      <c r="J5" s="168">
        <f t="shared" ref="J5:J46" si="1">H5*I5</f>
        <v>0</v>
      </c>
      <c r="K5" s="168">
        <f t="shared" ref="K5:K46" si="2">G5+J5</f>
        <v>0</v>
      </c>
      <c r="L5" s="168"/>
      <c r="M5" s="531">
        <f>M4+K5-L5</f>
        <v>74297.81211999997</v>
      </c>
      <c r="N5" s="189"/>
    </row>
    <row r="6" spans="1:14" x14ac:dyDescent="0.25">
      <c r="A6" s="61">
        <v>3</v>
      </c>
      <c r="B6" s="184">
        <v>46298</v>
      </c>
      <c r="C6" s="61"/>
      <c r="D6" s="61"/>
      <c r="E6" s="167"/>
      <c r="F6" s="61"/>
      <c r="G6" s="168">
        <f t="shared" si="0"/>
        <v>0</v>
      </c>
      <c r="H6" s="528"/>
      <c r="I6" s="529"/>
      <c r="J6" s="168">
        <f t="shared" si="1"/>
        <v>0</v>
      </c>
      <c r="K6" s="168">
        <f t="shared" si="2"/>
        <v>0</v>
      </c>
      <c r="L6" s="168"/>
      <c r="M6" s="531">
        <f t="shared" ref="M6:M7" si="3">M5+K6-L6</f>
        <v>74297.81211999997</v>
      </c>
      <c r="N6" s="189"/>
    </row>
    <row r="7" spans="1:14" x14ac:dyDescent="0.25">
      <c r="A7" s="61">
        <v>4</v>
      </c>
      <c r="B7" s="184">
        <v>46299</v>
      </c>
      <c r="C7" s="61"/>
      <c r="D7" s="61"/>
      <c r="E7" s="167"/>
      <c r="F7" s="61"/>
      <c r="G7" s="168">
        <f t="shared" si="0"/>
        <v>0</v>
      </c>
      <c r="H7" s="167"/>
      <c r="I7" s="529"/>
      <c r="J7" s="168">
        <f t="shared" si="1"/>
        <v>0</v>
      </c>
      <c r="K7" s="168">
        <f t="shared" si="2"/>
        <v>0</v>
      </c>
      <c r="L7" s="168"/>
      <c r="M7" s="531">
        <f t="shared" si="3"/>
        <v>74297.81211999997</v>
      </c>
      <c r="N7" s="189"/>
    </row>
    <row r="8" spans="1:14" x14ac:dyDescent="0.25">
      <c r="A8" s="61">
        <v>5</v>
      </c>
      <c r="B8" s="184">
        <v>46300</v>
      </c>
      <c r="C8" s="61"/>
      <c r="D8" s="61"/>
      <c r="E8" s="167">
        <v>25</v>
      </c>
      <c r="F8" s="61">
        <v>99.23</v>
      </c>
      <c r="G8" s="168">
        <f t="shared" si="0"/>
        <v>2480.75</v>
      </c>
      <c r="H8" s="167"/>
      <c r="I8" s="529"/>
      <c r="J8" s="168">
        <f t="shared" si="1"/>
        <v>0</v>
      </c>
      <c r="K8" s="168">
        <f t="shared" si="2"/>
        <v>2480.75</v>
      </c>
      <c r="L8" s="168"/>
      <c r="M8" s="531">
        <f>M7+K8-L8</f>
        <v>76778.56211999997</v>
      </c>
      <c r="N8" s="189"/>
    </row>
    <row r="9" spans="1:14" x14ac:dyDescent="0.25">
      <c r="A9" s="61">
        <v>6</v>
      </c>
      <c r="B9" s="184">
        <v>46301</v>
      </c>
      <c r="C9" s="61"/>
      <c r="D9" s="61"/>
      <c r="E9" s="167"/>
      <c r="F9" s="61"/>
      <c r="G9" s="168">
        <f t="shared" si="0"/>
        <v>0</v>
      </c>
      <c r="H9" s="167">
        <v>0.9</v>
      </c>
      <c r="I9" s="529">
        <v>111.42</v>
      </c>
      <c r="J9" s="168">
        <f t="shared" si="1"/>
        <v>100.278</v>
      </c>
      <c r="K9" s="168">
        <f t="shared" si="2"/>
        <v>100.278</v>
      </c>
      <c r="L9" s="168">
        <v>35100.28</v>
      </c>
      <c r="M9" s="531">
        <f t="shared" ref="M9:M47" si="4">M8+K9-L9</f>
        <v>41778.56011999998</v>
      </c>
      <c r="N9" s="189"/>
    </row>
    <row r="10" spans="1:14" x14ac:dyDescent="0.25">
      <c r="A10" s="61">
        <v>7</v>
      </c>
      <c r="B10" s="184">
        <v>46302</v>
      </c>
      <c r="C10" s="61"/>
      <c r="D10" s="61"/>
      <c r="E10" s="167"/>
      <c r="F10" s="61"/>
      <c r="G10" s="168">
        <f t="shared" si="0"/>
        <v>0</v>
      </c>
      <c r="H10" s="167"/>
      <c r="I10" s="529"/>
      <c r="J10" s="168">
        <f t="shared" si="1"/>
        <v>0</v>
      </c>
      <c r="K10" s="168">
        <f t="shared" si="2"/>
        <v>0</v>
      </c>
      <c r="L10" s="168"/>
      <c r="M10" s="531">
        <f t="shared" si="4"/>
        <v>41778.56011999998</v>
      </c>
      <c r="N10" s="189"/>
    </row>
    <row r="11" spans="1:14" x14ac:dyDescent="0.25">
      <c r="A11" s="61">
        <v>8</v>
      </c>
      <c r="B11" s="184">
        <v>46303</v>
      </c>
      <c r="C11" s="61"/>
      <c r="D11" s="61"/>
      <c r="E11" s="167"/>
      <c r="F11" s="61"/>
      <c r="G11" s="168">
        <f t="shared" si="0"/>
        <v>0</v>
      </c>
      <c r="H11" s="167"/>
      <c r="I11" s="529"/>
      <c r="J11" s="168">
        <f t="shared" si="1"/>
        <v>0</v>
      </c>
      <c r="K11" s="168">
        <f t="shared" si="2"/>
        <v>0</v>
      </c>
      <c r="L11" s="168"/>
      <c r="M11" s="531">
        <f t="shared" si="4"/>
        <v>41778.56011999998</v>
      </c>
      <c r="N11" s="189"/>
    </row>
    <row r="12" spans="1:14" x14ac:dyDescent="0.25">
      <c r="A12" s="61">
        <v>9</v>
      </c>
      <c r="B12" s="184">
        <v>46304</v>
      </c>
      <c r="C12" s="61"/>
      <c r="D12" s="61"/>
      <c r="E12" s="167"/>
      <c r="F12" s="61"/>
      <c r="G12" s="168">
        <f t="shared" si="0"/>
        <v>0</v>
      </c>
      <c r="H12" s="167"/>
      <c r="I12" s="529"/>
      <c r="J12" s="168">
        <f t="shared" si="1"/>
        <v>0</v>
      </c>
      <c r="K12" s="168">
        <f t="shared" si="2"/>
        <v>0</v>
      </c>
      <c r="L12" s="168"/>
      <c r="M12" s="531">
        <f t="shared" si="4"/>
        <v>41778.56011999998</v>
      </c>
      <c r="N12" s="189"/>
    </row>
    <row r="13" spans="1:14" x14ac:dyDescent="0.25">
      <c r="A13" s="61">
        <v>10</v>
      </c>
      <c r="B13" s="184">
        <v>46305</v>
      </c>
      <c r="C13" s="61"/>
      <c r="D13" s="61"/>
      <c r="E13" s="167"/>
      <c r="F13" s="61"/>
      <c r="G13" s="168">
        <f t="shared" si="0"/>
        <v>0</v>
      </c>
      <c r="H13" s="167"/>
      <c r="I13" s="529"/>
      <c r="J13" s="168">
        <f t="shared" si="1"/>
        <v>0</v>
      </c>
      <c r="K13" s="168">
        <f t="shared" si="2"/>
        <v>0</v>
      </c>
      <c r="L13" s="168"/>
      <c r="M13" s="531">
        <f t="shared" si="4"/>
        <v>41778.56011999998</v>
      </c>
      <c r="N13" s="189"/>
    </row>
    <row r="14" spans="1:14" x14ac:dyDescent="0.25">
      <c r="A14" s="61">
        <v>11</v>
      </c>
      <c r="B14" s="184">
        <v>46306</v>
      </c>
      <c r="C14" s="61"/>
      <c r="D14" s="61"/>
      <c r="E14" s="167"/>
      <c r="F14" s="61"/>
      <c r="G14" s="168">
        <f t="shared" si="0"/>
        <v>0</v>
      </c>
      <c r="H14" s="167"/>
      <c r="I14" s="529"/>
      <c r="J14" s="168">
        <f t="shared" si="1"/>
        <v>0</v>
      </c>
      <c r="K14" s="168">
        <f t="shared" si="2"/>
        <v>0</v>
      </c>
      <c r="L14" s="168"/>
      <c r="M14" s="531">
        <f t="shared" si="4"/>
        <v>41778.56011999998</v>
      </c>
      <c r="N14" s="189"/>
    </row>
    <row r="15" spans="1:14" x14ac:dyDescent="0.25">
      <c r="A15" s="61">
        <v>12</v>
      </c>
      <c r="B15" s="184">
        <v>46307</v>
      </c>
      <c r="C15" s="61"/>
      <c r="D15" s="61"/>
      <c r="E15" s="167"/>
      <c r="F15" s="61"/>
      <c r="G15" s="168">
        <f t="shared" si="0"/>
        <v>0</v>
      </c>
      <c r="H15" s="167"/>
      <c r="I15" s="529"/>
      <c r="J15" s="168">
        <f t="shared" si="1"/>
        <v>0</v>
      </c>
      <c r="K15" s="168">
        <f t="shared" si="2"/>
        <v>0</v>
      </c>
      <c r="L15" s="168"/>
      <c r="M15" s="531">
        <f t="shared" si="4"/>
        <v>41778.56011999998</v>
      </c>
      <c r="N15" s="189"/>
    </row>
    <row r="16" spans="1:14" x14ac:dyDescent="0.25">
      <c r="A16" s="61">
        <v>13</v>
      </c>
      <c r="B16" s="184">
        <v>46308</v>
      </c>
      <c r="C16" s="61"/>
      <c r="D16" s="61"/>
      <c r="E16" s="167"/>
      <c r="F16" s="61"/>
      <c r="G16" s="168">
        <f t="shared" si="0"/>
        <v>0</v>
      </c>
      <c r="H16" s="528"/>
      <c r="I16" s="529"/>
      <c r="J16" s="168">
        <f t="shared" si="1"/>
        <v>0</v>
      </c>
      <c r="K16" s="168">
        <f t="shared" si="2"/>
        <v>0</v>
      </c>
      <c r="L16" s="168"/>
      <c r="M16" s="531">
        <f t="shared" si="4"/>
        <v>41778.56011999998</v>
      </c>
      <c r="N16" s="189"/>
    </row>
    <row r="17" spans="1:14" x14ac:dyDescent="0.25">
      <c r="A17" s="61">
        <v>14</v>
      </c>
      <c r="B17" s="184">
        <v>46309</v>
      </c>
      <c r="C17" s="61"/>
      <c r="D17" s="61"/>
      <c r="E17" s="167"/>
      <c r="F17" s="61"/>
      <c r="G17" s="168">
        <f t="shared" si="0"/>
        <v>0</v>
      </c>
      <c r="H17" s="167"/>
      <c r="I17" s="529"/>
      <c r="J17" s="168">
        <f t="shared" si="1"/>
        <v>0</v>
      </c>
      <c r="K17" s="168">
        <f t="shared" si="2"/>
        <v>0</v>
      </c>
      <c r="L17" s="168"/>
      <c r="M17" s="531">
        <f t="shared" si="4"/>
        <v>41778.56011999998</v>
      </c>
      <c r="N17" s="189"/>
    </row>
    <row r="18" spans="1:14" x14ac:dyDescent="0.25">
      <c r="A18" s="61">
        <v>15</v>
      </c>
      <c r="B18" s="184">
        <v>46310</v>
      </c>
      <c r="C18" s="61"/>
      <c r="D18" s="61"/>
      <c r="E18" s="167"/>
      <c r="F18" s="61"/>
      <c r="G18" s="168">
        <f t="shared" si="0"/>
        <v>0</v>
      </c>
      <c r="H18" s="167"/>
      <c r="I18" s="529"/>
      <c r="J18" s="168">
        <f t="shared" si="1"/>
        <v>0</v>
      </c>
      <c r="K18" s="168">
        <f t="shared" si="2"/>
        <v>0</v>
      </c>
      <c r="L18" s="168">
        <v>40000</v>
      </c>
      <c r="M18" s="531">
        <f t="shared" si="4"/>
        <v>1778.56011999998</v>
      </c>
      <c r="N18" s="189"/>
    </row>
    <row r="19" spans="1:14" x14ac:dyDescent="0.25">
      <c r="A19" s="61">
        <v>16</v>
      </c>
      <c r="B19" s="184">
        <v>46311</v>
      </c>
      <c r="C19" s="61"/>
      <c r="D19" s="61"/>
      <c r="E19" s="167"/>
      <c r="F19" s="61"/>
      <c r="G19" s="168">
        <f t="shared" si="0"/>
        <v>0</v>
      </c>
      <c r="H19" s="167"/>
      <c r="I19" s="529"/>
      <c r="J19" s="168">
        <f t="shared" si="1"/>
        <v>0</v>
      </c>
      <c r="K19" s="168">
        <f t="shared" si="2"/>
        <v>0</v>
      </c>
      <c r="L19" s="168"/>
      <c r="M19" s="531">
        <f t="shared" si="4"/>
        <v>1778.56011999998</v>
      </c>
      <c r="N19" s="189"/>
    </row>
    <row r="20" spans="1:14" x14ac:dyDescent="0.25">
      <c r="A20" s="61">
        <v>17</v>
      </c>
      <c r="B20" s="184">
        <v>46312</v>
      </c>
      <c r="C20" s="61"/>
      <c r="D20" s="61"/>
      <c r="E20" s="167"/>
      <c r="F20" s="61"/>
      <c r="G20" s="168">
        <f t="shared" si="0"/>
        <v>0</v>
      </c>
      <c r="H20" s="167"/>
      <c r="I20" s="529"/>
      <c r="J20" s="168">
        <f t="shared" ref="J20:J21" si="5">H20*I20</f>
        <v>0</v>
      </c>
      <c r="K20" s="168">
        <f t="shared" ref="K20:K21" si="6">G20+J20</f>
        <v>0</v>
      </c>
      <c r="L20" s="168"/>
      <c r="M20" s="531">
        <f t="shared" si="4"/>
        <v>1778.56011999998</v>
      </c>
      <c r="N20" s="189"/>
    </row>
    <row r="21" spans="1:14" x14ac:dyDescent="0.25">
      <c r="A21" s="61">
        <v>18</v>
      </c>
      <c r="B21" s="184">
        <v>46313</v>
      </c>
      <c r="C21" s="61"/>
      <c r="D21" s="61"/>
      <c r="E21" s="167"/>
      <c r="F21" s="61"/>
      <c r="G21" s="168">
        <f t="shared" si="0"/>
        <v>0</v>
      </c>
      <c r="H21" s="167"/>
      <c r="I21" s="529"/>
      <c r="J21" s="168">
        <f t="shared" si="5"/>
        <v>0</v>
      </c>
      <c r="K21" s="168">
        <f t="shared" si="6"/>
        <v>0</v>
      </c>
      <c r="L21" s="168"/>
      <c r="M21" s="531">
        <f t="shared" ref="M21:M23" si="7">M20+K21-L21</f>
        <v>1778.56011999998</v>
      </c>
      <c r="N21" s="189"/>
    </row>
    <row r="22" spans="1:14" x14ac:dyDescent="0.25">
      <c r="A22" s="61">
        <v>19</v>
      </c>
      <c r="B22" s="184">
        <v>46314</v>
      </c>
      <c r="C22" s="61"/>
      <c r="D22" s="61"/>
      <c r="E22" s="167"/>
      <c r="F22" s="61"/>
      <c r="G22" s="168">
        <f t="shared" si="0"/>
        <v>0</v>
      </c>
      <c r="H22" s="167"/>
      <c r="I22" s="529"/>
      <c r="J22" s="168">
        <f t="shared" si="1"/>
        <v>0</v>
      </c>
      <c r="K22" s="168">
        <f t="shared" si="2"/>
        <v>0</v>
      </c>
      <c r="L22" s="168"/>
      <c r="M22" s="531">
        <f t="shared" si="7"/>
        <v>1778.56011999998</v>
      </c>
      <c r="N22" s="189"/>
    </row>
    <row r="23" spans="1:14" x14ac:dyDescent="0.25">
      <c r="A23" s="61">
        <v>20</v>
      </c>
      <c r="B23" s="184">
        <v>46315</v>
      </c>
      <c r="C23" s="61"/>
      <c r="D23" s="61"/>
      <c r="E23" s="167"/>
      <c r="F23" s="61"/>
      <c r="G23" s="168">
        <f t="shared" si="0"/>
        <v>0</v>
      </c>
      <c r="H23" s="167"/>
      <c r="I23" s="529"/>
      <c r="J23" s="168">
        <f t="shared" si="1"/>
        <v>0</v>
      </c>
      <c r="K23" s="168">
        <f t="shared" si="2"/>
        <v>0</v>
      </c>
      <c r="L23" s="168"/>
      <c r="M23" s="531">
        <f t="shared" si="7"/>
        <v>1778.56011999998</v>
      </c>
      <c r="N23" s="189"/>
    </row>
    <row r="24" spans="1:14" x14ac:dyDescent="0.25">
      <c r="A24" s="61">
        <v>21</v>
      </c>
      <c r="B24" s="184">
        <v>46316</v>
      </c>
      <c r="C24" s="61"/>
      <c r="D24" s="61"/>
      <c r="E24" s="167"/>
      <c r="F24" s="61"/>
      <c r="G24" s="168">
        <f t="shared" si="0"/>
        <v>0</v>
      </c>
      <c r="H24" s="167"/>
      <c r="I24" s="529"/>
      <c r="J24" s="168">
        <f t="shared" si="1"/>
        <v>0</v>
      </c>
      <c r="K24" s="168">
        <f t="shared" si="2"/>
        <v>0</v>
      </c>
      <c r="L24" s="168"/>
      <c r="M24" s="531">
        <f t="shared" si="4"/>
        <v>1778.56011999998</v>
      </c>
      <c r="N24" s="189"/>
    </row>
    <row r="25" spans="1:14" x14ac:dyDescent="0.25">
      <c r="A25" s="61">
        <v>22</v>
      </c>
      <c r="B25" s="184">
        <v>46317</v>
      </c>
      <c r="C25" s="61"/>
      <c r="D25" s="61"/>
      <c r="E25" s="528"/>
      <c r="F25" s="529"/>
      <c r="G25" s="168">
        <f t="shared" si="0"/>
        <v>0</v>
      </c>
      <c r="H25" s="167"/>
      <c r="I25" s="529"/>
      <c r="J25" s="168">
        <f t="shared" si="1"/>
        <v>0</v>
      </c>
      <c r="K25" s="168">
        <f t="shared" si="2"/>
        <v>0</v>
      </c>
      <c r="L25" s="168"/>
      <c r="M25" s="531">
        <f t="shared" si="4"/>
        <v>1778.56011999998</v>
      </c>
      <c r="N25" s="189"/>
    </row>
    <row r="26" spans="1:14" x14ac:dyDescent="0.25">
      <c r="A26" s="61">
        <v>23</v>
      </c>
      <c r="B26" s="184">
        <v>46318</v>
      </c>
      <c r="C26" s="61"/>
      <c r="D26" s="61"/>
      <c r="E26" s="167"/>
      <c r="F26" s="61"/>
      <c r="G26" s="168">
        <f t="shared" si="0"/>
        <v>0</v>
      </c>
      <c r="H26" s="167"/>
      <c r="I26" s="529"/>
      <c r="J26" s="168">
        <f t="shared" si="1"/>
        <v>0</v>
      </c>
      <c r="K26" s="168">
        <f t="shared" si="2"/>
        <v>0</v>
      </c>
      <c r="L26" s="168"/>
      <c r="M26" s="531">
        <f t="shared" si="4"/>
        <v>1778.56011999998</v>
      </c>
      <c r="N26" s="189"/>
    </row>
    <row r="27" spans="1:14" x14ac:dyDescent="0.25">
      <c r="A27" s="61">
        <v>24</v>
      </c>
      <c r="B27" s="184">
        <v>46319</v>
      </c>
      <c r="C27" s="61"/>
      <c r="D27" s="61"/>
      <c r="E27" s="167"/>
      <c r="F27" s="61"/>
      <c r="G27" s="168">
        <f t="shared" si="0"/>
        <v>0</v>
      </c>
      <c r="H27" s="167"/>
      <c r="I27" s="529"/>
      <c r="J27" s="168">
        <f t="shared" si="1"/>
        <v>0</v>
      </c>
      <c r="K27" s="168">
        <f t="shared" si="2"/>
        <v>0</v>
      </c>
      <c r="L27" s="168"/>
      <c r="M27" s="531">
        <f t="shared" si="4"/>
        <v>1778.56011999998</v>
      </c>
      <c r="N27" s="189"/>
    </row>
    <row r="28" spans="1:14" x14ac:dyDescent="0.25">
      <c r="A28" s="61">
        <v>25</v>
      </c>
      <c r="B28" s="184">
        <v>46320</v>
      </c>
      <c r="C28" s="61"/>
      <c r="D28" s="61"/>
      <c r="E28" s="167"/>
      <c r="F28" s="61"/>
      <c r="G28" s="168">
        <f t="shared" si="0"/>
        <v>0</v>
      </c>
      <c r="H28" s="167"/>
      <c r="I28" s="529"/>
      <c r="J28" s="168">
        <f t="shared" si="1"/>
        <v>0</v>
      </c>
      <c r="K28" s="168">
        <f t="shared" si="2"/>
        <v>0</v>
      </c>
      <c r="L28" s="168"/>
      <c r="M28" s="531">
        <f t="shared" si="4"/>
        <v>1778.56011999998</v>
      </c>
      <c r="N28" s="189"/>
    </row>
    <row r="29" spans="1:14" x14ac:dyDescent="0.25">
      <c r="A29" s="61">
        <v>26</v>
      </c>
      <c r="B29" s="184">
        <v>46321</v>
      </c>
      <c r="C29" s="61"/>
      <c r="D29" s="61"/>
      <c r="E29" s="528"/>
      <c r="F29" s="529"/>
      <c r="G29" s="168">
        <f t="shared" si="0"/>
        <v>0</v>
      </c>
      <c r="H29" s="167"/>
      <c r="I29" s="529"/>
      <c r="J29" s="168">
        <f t="shared" si="1"/>
        <v>0</v>
      </c>
      <c r="K29" s="168">
        <f t="shared" si="2"/>
        <v>0</v>
      </c>
      <c r="L29" s="168"/>
      <c r="M29" s="531">
        <f t="shared" si="4"/>
        <v>1778.56011999998</v>
      </c>
      <c r="N29" s="189"/>
    </row>
    <row r="30" spans="1:14" x14ac:dyDescent="0.25">
      <c r="A30" s="61">
        <v>27</v>
      </c>
      <c r="B30" s="184">
        <v>46322</v>
      </c>
      <c r="C30" s="61"/>
      <c r="D30" s="61"/>
      <c r="E30" s="167"/>
      <c r="F30" s="61"/>
      <c r="G30" s="168">
        <f t="shared" si="0"/>
        <v>0</v>
      </c>
      <c r="H30" s="167"/>
      <c r="I30" s="529"/>
      <c r="J30" s="168">
        <f t="shared" si="1"/>
        <v>0</v>
      </c>
      <c r="K30" s="168">
        <f t="shared" si="2"/>
        <v>0</v>
      </c>
      <c r="L30" s="168"/>
      <c r="M30" s="531">
        <f t="shared" si="4"/>
        <v>1778.56011999998</v>
      </c>
      <c r="N30" s="189"/>
    </row>
    <row r="31" spans="1:14" x14ac:dyDescent="0.25">
      <c r="A31" s="61">
        <v>28</v>
      </c>
      <c r="B31" s="184">
        <v>46323</v>
      </c>
      <c r="C31" s="61"/>
      <c r="D31" s="61"/>
      <c r="E31" s="167"/>
      <c r="F31" s="61"/>
      <c r="G31" s="168">
        <f t="shared" si="0"/>
        <v>0</v>
      </c>
      <c r="H31" s="167"/>
      <c r="I31" s="529"/>
      <c r="J31" s="168">
        <f t="shared" si="1"/>
        <v>0</v>
      </c>
      <c r="K31" s="168">
        <f t="shared" si="2"/>
        <v>0</v>
      </c>
      <c r="L31" s="168"/>
      <c r="M31" s="531">
        <f t="shared" si="4"/>
        <v>1778.56011999998</v>
      </c>
      <c r="N31" s="189"/>
    </row>
    <row r="32" spans="1:14" x14ac:dyDescent="0.25">
      <c r="A32" s="61">
        <v>29</v>
      </c>
      <c r="B32" s="184">
        <v>46324</v>
      </c>
      <c r="C32" s="61"/>
      <c r="D32" s="61"/>
      <c r="E32" s="61"/>
      <c r="F32" s="168"/>
      <c r="G32" s="168">
        <f t="shared" si="0"/>
        <v>0</v>
      </c>
      <c r="H32" s="167"/>
      <c r="I32" s="529"/>
      <c r="J32" s="168">
        <f t="shared" si="1"/>
        <v>0</v>
      </c>
      <c r="K32" s="168">
        <f t="shared" si="2"/>
        <v>0</v>
      </c>
      <c r="L32" s="168"/>
      <c r="M32" s="531">
        <f t="shared" si="4"/>
        <v>1778.56011999998</v>
      </c>
      <c r="N32" s="189"/>
    </row>
    <row r="33" spans="1:14" x14ac:dyDescent="0.25">
      <c r="A33" s="61">
        <v>30</v>
      </c>
      <c r="B33" s="184">
        <v>46325</v>
      </c>
      <c r="C33" s="61"/>
      <c r="D33" s="61"/>
      <c r="E33" s="167"/>
      <c r="F33" s="61"/>
      <c r="G33" s="168">
        <f t="shared" ref="G33:G46" si="8">E33*F33</f>
        <v>0</v>
      </c>
      <c r="H33" s="167"/>
      <c r="I33" s="529"/>
      <c r="J33" s="168">
        <f t="shared" si="1"/>
        <v>0</v>
      </c>
      <c r="K33" s="168">
        <f t="shared" si="2"/>
        <v>0</v>
      </c>
      <c r="L33" s="168"/>
      <c r="M33" s="531">
        <f t="shared" si="4"/>
        <v>1778.56011999998</v>
      </c>
      <c r="N33" s="189"/>
    </row>
    <row r="34" spans="1:14" x14ac:dyDescent="0.25">
      <c r="A34" s="61">
        <v>31</v>
      </c>
      <c r="B34" s="184">
        <v>46326</v>
      </c>
      <c r="C34" s="61"/>
      <c r="D34" s="61"/>
      <c r="E34" s="167"/>
      <c r="F34" s="61"/>
      <c r="G34" s="168">
        <f t="shared" si="8"/>
        <v>0</v>
      </c>
      <c r="H34" s="167"/>
      <c r="I34" s="529"/>
      <c r="J34" s="168">
        <f t="shared" si="1"/>
        <v>0</v>
      </c>
      <c r="K34" s="168">
        <f t="shared" si="2"/>
        <v>0</v>
      </c>
      <c r="L34" s="168"/>
      <c r="M34" s="531">
        <f t="shared" si="4"/>
        <v>1778.56011999998</v>
      </c>
      <c r="N34" s="189"/>
    </row>
    <row r="35" spans="1:14" x14ac:dyDescent="0.25">
      <c r="A35" s="61">
        <v>32</v>
      </c>
      <c r="B35" s="184"/>
      <c r="C35" s="61"/>
      <c r="D35" s="61"/>
      <c r="E35" s="167"/>
      <c r="F35" s="61"/>
      <c r="G35" s="168">
        <f t="shared" si="8"/>
        <v>0</v>
      </c>
      <c r="H35" s="167"/>
      <c r="I35" s="529"/>
      <c r="J35" s="168">
        <f t="shared" si="1"/>
        <v>0</v>
      </c>
      <c r="K35" s="168">
        <f t="shared" si="2"/>
        <v>0</v>
      </c>
      <c r="L35" s="168"/>
      <c r="M35" s="531">
        <f t="shared" si="4"/>
        <v>1778.56011999998</v>
      </c>
      <c r="N35" s="189"/>
    </row>
    <row r="36" spans="1:14" x14ac:dyDescent="0.25">
      <c r="A36" s="61">
        <v>33</v>
      </c>
      <c r="B36" s="184"/>
      <c r="C36" s="61"/>
      <c r="D36" s="61"/>
      <c r="E36" s="167"/>
      <c r="F36" s="61"/>
      <c r="G36" s="168">
        <f t="shared" si="8"/>
        <v>0</v>
      </c>
      <c r="H36" s="167"/>
      <c r="I36" s="61"/>
      <c r="J36" s="168">
        <f t="shared" si="1"/>
        <v>0</v>
      </c>
      <c r="K36" s="168">
        <f t="shared" si="2"/>
        <v>0</v>
      </c>
      <c r="L36" s="168"/>
      <c r="M36" s="531">
        <f t="shared" si="4"/>
        <v>1778.56011999998</v>
      </c>
      <c r="N36" s="189"/>
    </row>
    <row r="37" spans="1:14" x14ac:dyDescent="0.25">
      <c r="A37" s="61">
        <v>34</v>
      </c>
      <c r="B37" s="184"/>
      <c r="C37" s="61"/>
      <c r="D37" s="61"/>
      <c r="E37" s="167"/>
      <c r="F37" s="61"/>
      <c r="G37" s="168">
        <f t="shared" si="8"/>
        <v>0</v>
      </c>
      <c r="H37" s="167"/>
      <c r="I37" s="61"/>
      <c r="J37" s="168">
        <f t="shared" si="1"/>
        <v>0</v>
      </c>
      <c r="K37" s="168">
        <f t="shared" si="2"/>
        <v>0</v>
      </c>
      <c r="L37" s="168"/>
      <c r="M37" s="531">
        <f t="shared" si="4"/>
        <v>1778.56011999998</v>
      </c>
      <c r="N37" s="189"/>
    </row>
    <row r="38" spans="1:14" x14ac:dyDescent="0.25">
      <c r="A38" s="61">
        <v>35</v>
      </c>
      <c r="B38" s="532"/>
      <c r="C38" s="61"/>
      <c r="D38" s="61"/>
      <c r="E38" s="167"/>
      <c r="F38" s="61"/>
      <c r="G38" s="168">
        <f t="shared" si="8"/>
        <v>0</v>
      </c>
      <c r="H38" s="167"/>
      <c r="I38" s="61"/>
      <c r="J38" s="168">
        <f t="shared" si="1"/>
        <v>0</v>
      </c>
      <c r="K38" s="168">
        <f t="shared" si="2"/>
        <v>0</v>
      </c>
      <c r="L38" s="168"/>
      <c r="M38" s="531">
        <f t="shared" si="4"/>
        <v>1778.56011999998</v>
      </c>
      <c r="N38" s="189"/>
    </row>
    <row r="39" spans="1:14" x14ac:dyDescent="0.25">
      <c r="A39" s="61">
        <v>36</v>
      </c>
      <c r="B39" s="532"/>
      <c r="C39" s="61"/>
      <c r="D39" s="61"/>
      <c r="E39" s="167"/>
      <c r="F39" s="61"/>
      <c r="G39" s="168">
        <f t="shared" si="8"/>
        <v>0</v>
      </c>
      <c r="H39" s="167"/>
      <c r="I39" s="61"/>
      <c r="J39" s="168">
        <f t="shared" si="1"/>
        <v>0</v>
      </c>
      <c r="K39" s="168">
        <f t="shared" si="2"/>
        <v>0</v>
      </c>
      <c r="L39" s="168"/>
      <c r="M39" s="531">
        <f t="shared" si="4"/>
        <v>1778.56011999998</v>
      </c>
      <c r="N39" s="189"/>
    </row>
    <row r="40" spans="1:14" x14ac:dyDescent="0.25">
      <c r="A40" s="61">
        <v>37</v>
      </c>
      <c r="B40" s="532"/>
      <c r="C40" s="61"/>
      <c r="D40" s="61"/>
      <c r="E40" s="167"/>
      <c r="F40" s="61"/>
      <c r="G40" s="168">
        <f t="shared" si="8"/>
        <v>0</v>
      </c>
      <c r="H40" s="167"/>
      <c r="I40" s="61"/>
      <c r="J40" s="168">
        <f t="shared" si="1"/>
        <v>0</v>
      </c>
      <c r="K40" s="168">
        <f t="shared" si="2"/>
        <v>0</v>
      </c>
      <c r="L40" s="168"/>
      <c r="M40" s="531">
        <f t="shared" si="4"/>
        <v>1778.56011999998</v>
      </c>
      <c r="N40" s="189"/>
    </row>
    <row r="41" spans="1:14" x14ac:dyDescent="0.25">
      <c r="A41" s="61">
        <v>38</v>
      </c>
      <c r="B41" s="532"/>
      <c r="C41" s="61"/>
      <c r="D41" s="61"/>
      <c r="E41" s="167"/>
      <c r="F41" s="61"/>
      <c r="G41" s="168">
        <f t="shared" si="8"/>
        <v>0</v>
      </c>
      <c r="H41" s="167"/>
      <c r="I41" s="61"/>
      <c r="J41" s="168">
        <f>H41*I41</f>
        <v>0</v>
      </c>
      <c r="K41" s="168">
        <f>G41+J41</f>
        <v>0</v>
      </c>
      <c r="L41" s="168"/>
      <c r="M41" s="531">
        <f t="shared" si="4"/>
        <v>1778.56011999998</v>
      </c>
      <c r="N41" s="189"/>
    </row>
    <row r="42" spans="1:14" x14ac:dyDescent="0.25">
      <c r="A42" s="61">
        <v>39</v>
      </c>
      <c r="B42" s="532"/>
      <c r="C42" s="61"/>
      <c r="D42" s="61"/>
      <c r="E42" s="167"/>
      <c r="F42" s="61"/>
      <c r="G42" s="168">
        <f t="shared" si="8"/>
        <v>0</v>
      </c>
      <c r="H42" s="167"/>
      <c r="I42" s="61"/>
      <c r="J42" s="168">
        <f t="shared" si="1"/>
        <v>0</v>
      </c>
      <c r="K42" s="168">
        <f t="shared" si="2"/>
        <v>0</v>
      </c>
      <c r="L42" s="168"/>
      <c r="M42" s="531">
        <f t="shared" si="4"/>
        <v>1778.56011999998</v>
      </c>
      <c r="N42" s="189"/>
    </row>
    <row r="43" spans="1:14" x14ac:dyDescent="0.25">
      <c r="A43" s="61">
        <v>40</v>
      </c>
      <c r="B43" s="532"/>
      <c r="C43" s="61"/>
      <c r="D43" s="61"/>
      <c r="E43" s="167"/>
      <c r="F43" s="61"/>
      <c r="G43" s="168">
        <f t="shared" si="8"/>
        <v>0</v>
      </c>
      <c r="H43" s="167"/>
      <c r="I43" s="61"/>
      <c r="J43" s="168">
        <f t="shared" si="1"/>
        <v>0</v>
      </c>
      <c r="K43" s="168">
        <f t="shared" si="2"/>
        <v>0</v>
      </c>
      <c r="L43" s="168"/>
      <c r="M43" s="531">
        <f t="shared" si="4"/>
        <v>1778.56011999998</v>
      </c>
      <c r="N43" s="189"/>
    </row>
    <row r="44" spans="1:14" x14ac:dyDescent="0.25">
      <c r="A44" s="61">
        <v>41</v>
      </c>
      <c r="B44" s="533"/>
      <c r="C44" s="534"/>
      <c r="D44" s="61"/>
      <c r="E44" s="167"/>
      <c r="F44" s="61"/>
      <c r="G44" s="168">
        <f t="shared" si="8"/>
        <v>0</v>
      </c>
      <c r="H44" s="167"/>
      <c r="I44" s="61"/>
      <c r="J44" s="168">
        <f t="shared" si="1"/>
        <v>0</v>
      </c>
      <c r="K44" s="168">
        <f t="shared" si="2"/>
        <v>0</v>
      </c>
      <c r="L44" s="168"/>
      <c r="M44" s="531">
        <f t="shared" si="4"/>
        <v>1778.56011999998</v>
      </c>
      <c r="N44" s="189"/>
    </row>
    <row r="45" spans="1:16" x14ac:dyDescent="0.25">
      <c r="A45" s="61">
        <v>42</v>
      </c>
      <c r="B45" s="61"/>
      <c r="C45" s="61"/>
      <c r="D45" s="61"/>
      <c r="E45" s="167"/>
      <c r="F45" s="61"/>
      <c r="G45" s="168">
        <f t="shared" si="8"/>
        <v>0</v>
      </c>
      <c r="H45" s="167"/>
      <c r="I45" s="61"/>
      <c r="J45" s="168">
        <f t="shared" si="1"/>
        <v>0</v>
      </c>
      <c r="K45" s="168">
        <f t="shared" si="2"/>
        <v>0</v>
      </c>
      <c r="L45" s="168"/>
      <c r="M45" s="531">
        <f>M44+K45-L45</f>
        <v>1778.56011999998</v>
      </c>
      <c r="N45" s="189"/>
      <c r="P45" s="535"/>
    </row>
    <row r="46" spans="1:14" x14ac:dyDescent="0.25">
      <c r="A46" s="61">
        <v>43</v>
      </c>
      <c r="B46" s="534"/>
      <c r="C46" s="534"/>
      <c r="D46" s="61"/>
      <c r="E46" s="167"/>
      <c r="F46" s="61"/>
      <c r="G46" s="168">
        <f t="shared" si="8"/>
        <v>0</v>
      </c>
      <c r="H46" s="167"/>
      <c r="I46" s="61"/>
      <c r="J46" s="168">
        <f t="shared" si="1"/>
        <v>0</v>
      </c>
      <c r="K46" s="168">
        <f t="shared" si="2"/>
        <v>0</v>
      </c>
      <c r="L46" s="168"/>
      <c r="M46" s="531">
        <f t="shared" si="4"/>
        <v>1778.56011999998</v>
      </c>
      <c r="N46" s="189"/>
    </row>
    <row r="47" spans="1:14" x14ac:dyDescent="0.25">
      <c r="A47" s="61">
        <v>44</v>
      </c>
      <c r="B47" s="534"/>
      <c r="C47" s="534"/>
      <c r="D47" s="61"/>
      <c r="E47" s="167"/>
      <c r="F47" s="61"/>
      <c r="G47" s="168">
        <f t="shared" ref="G47" si="9">E47*F47</f>
        <v>0</v>
      </c>
      <c r="H47" s="167"/>
      <c r="I47" s="61"/>
      <c r="J47" s="168">
        <f>H47*I47</f>
        <v>0</v>
      </c>
      <c r="K47" s="168">
        <f t="shared" ref="K47" si="10">G47+J47</f>
        <v>0</v>
      </c>
      <c r="L47" s="272"/>
      <c r="M47" s="531">
        <f t="shared" si="4"/>
        <v>1778.56011999998</v>
      </c>
      <c r="N47" s="189"/>
    </row>
    <row r="48" spans="1:15" x14ac:dyDescent="0.25">
      <c r="A48" s="169"/>
      <c r="B48" s="169"/>
      <c r="C48" s="169"/>
      <c r="D48" s="169"/>
      <c r="E48" s="171">
        <f>SUM(E4:E47)</f>
        <v>25</v>
      </c>
      <c r="F48" s="171"/>
      <c r="G48" s="171">
        <f>SUM(G4:G47)</f>
        <v>2480.75</v>
      </c>
      <c r="H48" s="171">
        <f>SUM(H4:H47)</f>
        <v>0.9</v>
      </c>
      <c r="I48" s="171"/>
      <c r="J48" s="171">
        <f>SUM(J4:J47)</f>
        <v>100.278</v>
      </c>
      <c r="K48" s="171">
        <f>SUM(K4:K47)</f>
        <v>2581.028</v>
      </c>
      <c r="L48" s="171">
        <f>SUM(L4:L47)</f>
        <v>75100.28</v>
      </c>
      <c r="M48" s="171"/>
      <c r="N48" s="171"/>
      <c r="O48" s="208"/>
    </row>
  </sheetData>
  <mergeCells count="2">
    <mergeCell ref="A1:N1"/>
    <mergeCell ref="A3:L3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37"/>
  <sheetViews>
    <sheetView workbookViewId="0" zoomScale="100" zoomScaleNormal="100">
      <pane ySplit="3" topLeftCell="A9" activePane="bottomLeft" state="frozen"/>
      <selection pane="bottomLeft" activeCell="D20" sqref="D20"/>
    </sheetView>
  </sheetViews>
  <sheetFormatPr defaultRowHeight="15" outlineLevelRow="0" outlineLevelCol="0" x14ac:dyDescent="0"/>
  <cols>
    <col min="2" max="2" width="10.85546875" customWidth="1"/>
    <col min="4" max="4" width="14.7109375" customWidth="1"/>
    <col min="5" max="5" width="12.140625" customWidth="1"/>
    <col min="7" max="7" width="13.5703125" customWidth="1"/>
    <col min="8" max="8" width="13" customWidth="1"/>
    <col min="9" max="9" width="9.28515625" customWidth="1"/>
    <col min="11" max="11" width="14.85546875" customWidth="1"/>
    <col min="12" max="12" width="15.5703125" customWidth="1"/>
    <col min="13" max="13" width="13.7109375" customWidth="1"/>
    <col min="14" max="14" width="17.85546875" customWidth="1"/>
    <col min="17" max="17" width="9.140625" customWidth="1"/>
  </cols>
  <sheetData>
    <row r="1" ht="15.75" customHeight="1" spans="1:15" x14ac:dyDescent="0.25">
      <c r="A1" s="325" t="s">
        <v>156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540"/>
      <c r="N1" s="540"/>
      <c r="O1" s="405"/>
    </row>
    <row r="2" ht="17.25" customHeight="1" spans="1:15" x14ac:dyDescent="0.25">
      <c r="A2" s="122" t="s">
        <v>0</v>
      </c>
      <c r="B2" s="123" t="s">
        <v>167</v>
      </c>
      <c r="C2" s="123" t="s">
        <v>168</v>
      </c>
      <c r="D2" s="123" t="s">
        <v>189</v>
      </c>
      <c r="E2" s="123" t="s">
        <v>170</v>
      </c>
      <c r="F2" s="123" t="s">
        <v>171</v>
      </c>
      <c r="G2" s="418" t="s">
        <v>172</v>
      </c>
      <c r="H2" s="123" t="s">
        <v>173</v>
      </c>
      <c r="I2" s="123" t="s">
        <v>171</v>
      </c>
      <c r="J2" s="418" t="s">
        <v>172</v>
      </c>
      <c r="K2" s="122" t="s">
        <v>174</v>
      </c>
      <c r="L2" s="541" t="s">
        <v>175</v>
      </c>
      <c r="M2" s="367" t="s">
        <v>190</v>
      </c>
      <c r="N2" s="123" t="s">
        <v>177</v>
      </c>
      <c r="O2" s="405"/>
    </row>
    <row r="3" spans="1:15" x14ac:dyDescent="0.25">
      <c r="A3" s="525" t="s">
        <v>178</v>
      </c>
      <c r="B3" s="525"/>
      <c r="C3" s="525"/>
      <c r="D3" s="525"/>
      <c r="E3" s="525"/>
      <c r="F3" s="525"/>
      <c r="G3" s="525"/>
      <c r="H3" s="525"/>
      <c r="I3" s="525"/>
      <c r="J3" s="525"/>
      <c r="K3" s="525"/>
      <c r="L3" s="525"/>
      <c r="M3" s="542">
        <v>27734.19</v>
      </c>
      <c r="N3" s="542"/>
      <c r="O3" s="405"/>
    </row>
    <row r="4" spans="1:15" x14ac:dyDescent="0.25">
      <c r="A4" s="183">
        <v>1</v>
      </c>
      <c r="B4" s="184">
        <v>46296</v>
      </c>
      <c r="C4" s="61"/>
      <c r="D4" s="61"/>
      <c r="E4" s="167"/>
      <c r="F4" s="61"/>
      <c r="G4" s="168">
        <f>E4*F4</f>
        <v>0</v>
      </c>
      <c r="H4" s="167"/>
      <c r="I4" s="61"/>
      <c r="J4" s="168">
        <f>H4*I4</f>
        <v>0</v>
      </c>
      <c r="K4" s="168">
        <f>G4+J4</f>
        <v>0</v>
      </c>
      <c r="L4" s="543"/>
      <c r="M4" s="531">
        <f>M3+K4-L4</f>
        <v>27734.19</v>
      </c>
      <c r="N4" s="189"/>
      <c r="O4" s="405"/>
    </row>
    <row r="5" spans="1:15" x14ac:dyDescent="0.25">
      <c r="A5" s="189">
        <v>2</v>
      </c>
      <c r="B5" s="184">
        <v>46297</v>
      </c>
      <c r="C5" s="61"/>
      <c r="D5" s="61"/>
      <c r="E5" s="167">
        <v>50</v>
      </c>
      <c r="F5" s="61">
        <v>99.07</v>
      </c>
      <c r="G5" s="168">
        <f t="shared" ref="G5:G17" si="0">E5*F5</f>
        <v>4953.5</v>
      </c>
      <c r="H5" s="167"/>
      <c r="I5" s="61"/>
      <c r="J5" s="168">
        <f t="shared" ref="J5:J20" si="1">H5*I5</f>
        <v>0</v>
      </c>
      <c r="K5" s="168">
        <f t="shared" ref="K5:K20" si="2">G5+J5</f>
        <v>4953.5</v>
      </c>
      <c r="L5" s="272"/>
      <c r="M5" s="530">
        <f t="shared" ref="M5:M20" si="3">M4+K5-L5</f>
        <v>32687.69</v>
      </c>
      <c r="N5" s="183"/>
      <c r="O5" s="405"/>
    </row>
    <row r="6" spans="1:15" x14ac:dyDescent="0.25">
      <c r="A6" s="189">
        <v>3</v>
      </c>
      <c r="B6" s="184">
        <v>46298</v>
      </c>
      <c r="C6" s="61"/>
      <c r="D6" s="61"/>
      <c r="E6" s="167"/>
      <c r="F6" s="61"/>
      <c r="G6" s="168">
        <f t="shared" si="0"/>
        <v>0</v>
      </c>
      <c r="H6" s="167"/>
      <c r="I6" s="61"/>
      <c r="J6" s="168">
        <f t="shared" si="1"/>
        <v>0</v>
      </c>
      <c r="K6" s="168">
        <f t="shared" si="2"/>
        <v>0</v>
      </c>
      <c r="L6" s="272"/>
      <c r="M6" s="531">
        <f t="shared" si="3"/>
        <v>32687.69</v>
      </c>
      <c r="N6" s="189"/>
      <c r="O6" s="405"/>
    </row>
    <row r="7" spans="1:15" x14ac:dyDescent="0.25">
      <c r="A7" s="189">
        <v>4</v>
      </c>
      <c r="B7" s="184">
        <v>46299</v>
      </c>
      <c r="C7" s="61"/>
      <c r="D7" s="61"/>
      <c r="E7" s="167"/>
      <c r="F7" s="61"/>
      <c r="G7" s="168">
        <f t="shared" si="0"/>
        <v>0</v>
      </c>
      <c r="H7" s="167"/>
      <c r="I7" s="61"/>
      <c r="J7" s="168">
        <f t="shared" si="1"/>
        <v>0</v>
      </c>
      <c r="K7" s="168">
        <f t="shared" si="2"/>
        <v>0</v>
      </c>
      <c r="L7" s="272"/>
      <c r="M7" s="531">
        <f t="shared" si="3"/>
        <v>32687.69</v>
      </c>
      <c r="N7" s="189"/>
      <c r="O7" s="405"/>
    </row>
    <row r="8" spans="1:15" x14ac:dyDescent="0.25">
      <c r="A8" s="189">
        <v>5</v>
      </c>
      <c r="B8" s="184">
        <v>46300</v>
      </c>
      <c r="C8" s="61"/>
      <c r="D8" s="61"/>
      <c r="E8" s="167">
        <v>60</v>
      </c>
      <c r="F8" s="61">
        <v>99.07</v>
      </c>
      <c r="G8" s="168">
        <f t="shared" si="0"/>
        <v>5944.2</v>
      </c>
      <c r="H8" s="167"/>
      <c r="I8" s="61"/>
      <c r="J8" s="168">
        <f t="shared" si="1"/>
        <v>0</v>
      </c>
      <c r="K8" s="168">
        <f t="shared" si="2"/>
        <v>5944.2</v>
      </c>
      <c r="L8" s="272"/>
      <c r="M8" s="531">
        <f t="shared" si="3"/>
        <v>38631.89</v>
      </c>
      <c r="N8" s="189"/>
      <c r="O8" s="405"/>
    </row>
    <row r="9" spans="1:15" x14ac:dyDescent="0.25">
      <c r="A9" s="189">
        <v>6</v>
      </c>
      <c r="B9" s="184">
        <v>46301</v>
      </c>
      <c r="C9" s="61"/>
      <c r="D9" s="61"/>
      <c r="E9" s="167"/>
      <c r="F9" s="61"/>
      <c r="G9" s="168">
        <f t="shared" si="0"/>
        <v>0</v>
      </c>
      <c r="H9" s="167"/>
      <c r="I9" s="61"/>
      <c r="J9" s="168">
        <f t="shared" si="1"/>
        <v>0</v>
      </c>
      <c r="K9" s="168">
        <f t="shared" si="2"/>
        <v>0</v>
      </c>
      <c r="L9" s="272"/>
      <c r="M9" s="531">
        <f t="shared" si="3"/>
        <v>38631.89</v>
      </c>
      <c r="N9" s="189"/>
      <c r="O9" s="405"/>
    </row>
    <row r="10" spans="1:15" x14ac:dyDescent="0.25">
      <c r="A10" s="189">
        <v>7</v>
      </c>
      <c r="B10" s="184">
        <v>46302</v>
      </c>
      <c r="C10" s="61"/>
      <c r="D10" s="61"/>
      <c r="E10" s="167"/>
      <c r="F10" s="61"/>
      <c r="G10" s="168">
        <f t="shared" si="0"/>
        <v>0</v>
      </c>
      <c r="H10" s="167"/>
      <c r="I10" s="61"/>
      <c r="J10" s="168">
        <f t="shared" si="1"/>
        <v>0</v>
      </c>
      <c r="K10" s="168">
        <f t="shared" si="2"/>
        <v>0</v>
      </c>
      <c r="L10" s="272"/>
      <c r="M10" s="531">
        <f t="shared" si="3"/>
        <v>38631.89</v>
      </c>
      <c r="N10" s="189"/>
      <c r="O10" s="405"/>
    </row>
    <row r="11" spans="1:15" x14ac:dyDescent="0.25">
      <c r="A11" s="189">
        <v>8</v>
      </c>
      <c r="B11" s="184">
        <v>46303</v>
      </c>
      <c r="C11" s="61"/>
      <c r="D11" s="61"/>
      <c r="E11" s="167"/>
      <c r="F11" s="61"/>
      <c r="G11" s="168">
        <f t="shared" si="0"/>
        <v>0</v>
      </c>
      <c r="H11" s="167"/>
      <c r="I11" s="61"/>
      <c r="J11" s="168">
        <f t="shared" si="1"/>
        <v>0</v>
      </c>
      <c r="K11" s="168">
        <f t="shared" si="2"/>
        <v>0</v>
      </c>
      <c r="L11" s="272"/>
      <c r="M11" s="531">
        <f t="shared" si="3"/>
        <v>38631.89</v>
      </c>
      <c r="N11" s="189"/>
      <c r="O11" s="405"/>
    </row>
    <row r="12" spans="1:15" x14ac:dyDescent="0.25">
      <c r="A12" s="189">
        <v>9</v>
      </c>
      <c r="B12" s="184">
        <v>46304</v>
      </c>
      <c r="C12" s="61"/>
      <c r="D12" s="61"/>
      <c r="E12" s="167"/>
      <c r="F12" s="61"/>
      <c r="G12" s="168">
        <f t="shared" si="0"/>
        <v>0</v>
      </c>
      <c r="H12" s="167"/>
      <c r="I12" s="61"/>
      <c r="J12" s="168">
        <f t="shared" si="1"/>
        <v>0</v>
      </c>
      <c r="K12" s="168">
        <f t="shared" si="2"/>
        <v>0</v>
      </c>
      <c r="L12" s="272"/>
      <c r="M12" s="531">
        <f t="shared" si="3"/>
        <v>38631.89</v>
      </c>
      <c r="N12" s="189"/>
      <c r="O12" s="405"/>
    </row>
    <row r="13" spans="1:15" x14ac:dyDescent="0.25">
      <c r="A13" s="189">
        <v>10</v>
      </c>
      <c r="B13" s="184">
        <v>46305</v>
      </c>
      <c r="C13" s="61"/>
      <c r="D13" s="61"/>
      <c r="E13" s="167"/>
      <c r="F13" s="61"/>
      <c r="G13" s="168">
        <f t="shared" si="0"/>
        <v>0</v>
      </c>
      <c r="H13" s="167"/>
      <c r="I13" s="61"/>
      <c r="J13" s="168">
        <f t="shared" si="1"/>
        <v>0</v>
      </c>
      <c r="K13" s="168">
        <f t="shared" si="2"/>
        <v>0</v>
      </c>
      <c r="L13" s="272"/>
      <c r="M13" s="531">
        <f t="shared" si="3"/>
        <v>38631.89</v>
      </c>
      <c r="N13" s="189"/>
      <c r="O13" s="405"/>
    </row>
    <row r="14" spans="1:15" x14ac:dyDescent="0.25">
      <c r="A14" s="189">
        <v>11</v>
      </c>
      <c r="B14" s="184">
        <v>46306</v>
      </c>
      <c r="C14" s="61"/>
      <c r="D14" s="61"/>
      <c r="E14" s="167"/>
      <c r="F14" s="61"/>
      <c r="G14" s="168">
        <f t="shared" si="0"/>
        <v>0</v>
      </c>
      <c r="H14" s="167"/>
      <c r="I14" s="61"/>
      <c r="J14" s="168">
        <f t="shared" si="1"/>
        <v>0</v>
      </c>
      <c r="K14" s="168">
        <f t="shared" si="2"/>
        <v>0</v>
      </c>
      <c r="L14" s="272">
        <v>38500</v>
      </c>
      <c r="M14" s="531">
        <f t="shared" si="3"/>
        <v>131.88999999999942</v>
      </c>
      <c r="N14" s="189"/>
      <c r="O14" s="405"/>
    </row>
    <row r="15" spans="1:15" x14ac:dyDescent="0.25">
      <c r="A15" s="189">
        <v>12</v>
      </c>
      <c r="B15" s="184">
        <v>46307</v>
      </c>
      <c r="C15" s="61"/>
      <c r="D15" s="61"/>
      <c r="E15" s="167">
        <v>40</v>
      </c>
      <c r="F15" s="61">
        <v>99.07</v>
      </c>
      <c r="G15" s="168">
        <f t="shared" si="0"/>
        <v>3962.7999999999997</v>
      </c>
      <c r="H15" s="167"/>
      <c r="I15" s="61"/>
      <c r="J15" s="168">
        <f t="shared" si="1"/>
        <v>0</v>
      </c>
      <c r="K15" s="168">
        <f t="shared" si="2"/>
        <v>3962.7999999999997</v>
      </c>
      <c r="L15" s="272"/>
      <c r="M15" s="531">
        <f t="shared" si="3"/>
        <v>4094.689999999999</v>
      </c>
      <c r="N15" s="189"/>
      <c r="O15" s="405"/>
    </row>
    <row r="16" spans="1:15" x14ac:dyDescent="0.25">
      <c r="A16" s="189">
        <v>13</v>
      </c>
      <c r="B16" s="184">
        <v>46308</v>
      </c>
      <c r="C16" s="61"/>
      <c r="D16" s="61"/>
      <c r="E16" s="167"/>
      <c r="F16" s="61"/>
      <c r="G16" s="168">
        <f t="shared" si="0"/>
        <v>0</v>
      </c>
      <c r="H16" s="167"/>
      <c r="I16" s="61"/>
      <c r="J16" s="168">
        <f t="shared" si="1"/>
        <v>0</v>
      </c>
      <c r="K16" s="168">
        <f t="shared" si="2"/>
        <v>0</v>
      </c>
      <c r="L16" s="272"/>
      <c r="M16" s="531">
        <f t="shared" si="3"/>
        <v>4094.689999999999</v>
      </c>
      <c r="N16" s="189"/>
      <c r="O16" s="405"/>
    </row>
    <row r="17" spans="1:15" x14ac:dyDescent="0.25">
      <c r="A17" s="189">
        <v>14</v>
      </c>
      <c r="B17" s="184">
        <v>46309</v>
      </c>
      <c r="C17" s="61"/>
      <c r="D17" s="61"/>
      <c r="E17" s="167"/>
      <c r="F17" s="61"/>
      <c r="G17" s="168">
        <f t="shared" si="0"/>
        <v>0</v>
      </c>
      <c r="H17" s="167"/>
      <c r="I17" s="61"/>
      <c r="J17" s="168">
        <f t="shared" si="1"/>
        <v>0</v>
      </c>
      <c r="K17" s="168">
        <f t="shared" si="2"/>
        <v>0</v>
      </c>
      <c r="L17" s="272"/>
      <c r="M17" s="531">
        <f t="shared" si="3"/>
        <v>4094.689999999999</v>
      </c>
      <c r="N17" s="189"/>
      <c r="O17" s="405"/>
    </row>
    <row r="18" spans="1:15" x14ac:dyDescent="0.25">
      <c r="A18" s="189">
        <v>15</v>
      </c>
      <c r="B18" s="184">
        <v>46310</v>
      </c>
      <c r="C18" s="61"/>
      <c r="D18" s="61"/>
      <c r="E18" s="167"/>
      <c r="F18" s="61"/>
      <c r="G18" s="168">
        <f t="shared" ref="G18:G19" si="4">E18*F18</f>
        <v>0</v>
      </c>
      <c r="H18" s="167"/>
      <c r="I18" s="61"/>
      <c r="J18" s="168">
        <f t="shared" si="1"/>
        <v>0</v>
      </c>
      <c r="K18" s="168">
        <f t="shared" si="2"/>
        <v>0</v>
      </c>
      <c r="L18" s="272"/>
      <c r="M18" s="531">
        <f>M17+K18-L18</f>
        <v>4094.689999999999</v>
      </c>
      <c r="N18" s="189"/>
      <c r="O18" s="405"/>
    </row>
    <row r="19" spans="1:15" x14ac:dyDescent="0.25">
      <c r="A19" s="189">
        <v>16</v>
      </c>
      <c r="B19" s="184">
        <v>46311</v>
      </c>
      <c r="C19" s="61"/>
      <c r="D19" s="61"/>
      <c r="E19" s="167"/>
      <c r="F19" s="61"/>
      <c r="G19" s="168">
        <f t="shared" si="4"/>
        <v>0</v>
      </c>
      <c r="H19" s="167"/>
      <c r="I19" s="61"/>
      <c r="J19" s="168">
        <f t="shared" si="1"/>
        <v>0</v>
      </c>
      <c r="K19" s="168">
        <f t="shared" si="2"/>
        <v>0</v>
      </c>
      <c r="L19" s="272"/>
      <c r="M19" s="531">
        <f t="shared" si="3"/>
        <v>4094.689999999999</v>
      </c>
      <c r="N19" s="189"/>
      <c r="O19" s="405"/>
    </row>
    <row r="20" spans="1:15" x14ac:dyDescent="0.25">
      <c r="A20" s="189">
        <v>17</v>
      </c>
      <c r="B20" s="184">
        <v>46312</v>
      </c>
      <c r="C20" s="61"/>
      <c r="D20" s="61"/>
      <c r="E20" s="167"/>
      <c r="F20" s="61"/>
      <c r="G20" s="168">
        <f>E20*F20</f>
        <v>0</v>
      </c>
      <c r="H20" s="167"/>
      <c r="I20" s="61"/>
      <c r="J20" s="168">
        <f t="shared" si="1"/>
        <v>0</v>
      </c>
      <c r="K20" s="168">
        <f t="shared" si="2"/>
        <v>0</v>
      </c>
      <c r="L20" s="272"/>
      <c r="M20" s="531">
        <f t="shared" si="3"/>
        <v>4094.689999999999</v>
      </c>
      <c r="N20" s="189"/>
      <c r="O20" s="405"/>
    </row>
    <row r="21" spans="1:15" x14ac:dyDescent="0.25">
      <c r="A21" s="189">
        <v>18</v>
      </c>
      <c r="B21" s="184">
        <v>46313</v>
      </c>
      <c r="C21" s="61"/>
      <c r="D21" s="61"/>
      <c r="E21" s="167"/>
      <c r="F21" s="61"/>
      <c r="G21" s="168">
        <f>E21*F21</f>
        <v>0</v>
      </c>
      <c r="H21" s="167"/>
      <c r="I21" s="61"/>
      <c r="J21" s="168">
        <f>H21*I21</f>
        <v>0</v>
      </c>
      <c r="K21" s="168">
        <f>G21+J21</f>
        <v>0</v>
      </c>
      <c r="L21" s="272"/>
      <c r="M21" s="531">
        <f>M20+K21-L21</f>
        <v>4094.689999999999</v>
      </c>
      <c r="N21" s="189"/>
      <c r="O21" s="405"/>
    </row>
    <row r="22" spans="1:15" x14ac:dyDescent="0.25">
      <c r="A22" s="189">
        <v>19</v>
      </c>
      <c r="B22" s="184">
        <v>46314</v>
      </c>
      <c r="C22" s="61"/>
      <c r="D22" s="61"/>
      <c r="E22" s="167"/>
      <c r="F22" s="61"/>
      <c r="G22" s="168">
        <f>E22*F22</f>
        <v>0</v>
      </c>
      <c r="H22" s="167"/>
      <c r="I22" s="61"/>
      <c r="J22" s="168">
        <f>H22*I22</f>
        <v>0</v>
      </c>
      <c r="K22" s="168">
        <f>G22+J22</f>
        <v>0</v>
      </c>
      <c r="L22" s="272"/>
      <c r="M22" s="531">
        <f>M21+K22-L22</f>
        <v>4094.689999999999</v>
      </c>
      <c r="N22" s="189"/>
      <c r="O22" s="405"/>
    </row>
    <row r="23" spans="1:15" x14ac:dyDescent="0.25">
      <c r="A23" s="189">
        <v>20</v>
      </c>
      <c r="B23" s="184">
        <v>46315</v>
      </c>
      <c r="C23" s="61"/>
      <c r="D23" s="61"/>
      <c r="E23" s="167"/>
      <c r="F23" s="61"/>
      <c r="G23" s="168">
        <f>E23*F23</f>
        <v>0</v>
      </c>
      <c r="H23" s="167"/>
      <c r="I23" s="61"/>
      <c r="J23" s="168">
        <f>H23*I23</f>
        <v>0</v>
      </c>
      <c r="K23" s="168">
        <f>G23+J23</f>
        <v>0</v>
      </c>
      <c r="L23" s="272"/>
      <c r="M23" s="531">
        <f>M22+K23-L23</f>
        <v>4094.689999999999</v>
      </c>
      <c r="N23" s="189"/>
      <c r="O23" s="405"/>
    </row>
    <row r="24" spans="1:15" x14ac:dyDescent="0.25">
      <c r="A24" s="189">
        <v>21</v>
      </c>
      <c r="B24" s="184">
        <v>46316</v>
      </c>
      <c r="C24" s="61"/>
      <c r="D24" s="61"/>
      <c r="E24" s="167"/>
      <c r="F24" s="61"/>
      <c r="G24" s="168">
        <f>E24*F24</f>
        <v>0</v>
      </c>
      <c r="H24" s="167"/>
      <c r="I24" s="61"/>
      <c r="J24" s="168">
        <f>H24*I24</f>
        <v>0</v>
      </c>
      <c r="K24" s="168">
        <f>G24+J24</f>
        <v>0</v>
      </c>
      <c r="L24" s="272"/>
      <c r="M24" s="531">
        <f>M23+K24-L24</f>
        <v>4094.689999999999</v>
      </c>
      <c r="N24" s="189"/>
      <c r="O24" s="405"/>
    </row>
    <row r="25" spans="1:15" x14ac:dyDescent="0.25">
      <c r="A25" s="189">
        <v>22</v>
      </c>
      <c r="B25" s="184">
        <v>46317</v>
      </c>
      <c r="C25" s="61"/>
      <c r="D25" s="61"/>
      <c r="E25" s="167"/>
      <c r="F25" s="61"/>
      <c r="G25" s="168">
        <f>E25*F25</f>
        <v>0</v>
      </c>
      <c r="H25" s="167"/>
      <c r="I25" s="61"/>
      <c r="J25" s="168">
        <f>H25*I25</f>
        <v>0</v>
      </c>
      <c r="K25" s="168">
        <f>G25+J25</f>
        <v>0</v>
      </c>
      <c r="L25" s="272"/>
      <c r="M25" s="531">
        <f>M24+K25-L25</f>
        <v>4094.689999999999</v>
      </c>
      <c r="N25" s="189"/>
      <c r="O25" s="405"/>
    </row>
    <row r="26" spans="1:15" x14ac:dyDescent="0.25">
      <c r="A26" s="189">
        <v>23</v>
      </c>
      <c r="B26" s="184">
        <v>46318</v>
      </c>
      <c r="C26" s="61"/>
      <c r="D26" s="61"/>
      <c r="E26" s="167"/>
      <c r="F26" s="61"/>
      <c r="G26" s="168">
        <f>E26*F26</f>
        <v>0</v>
      </c>
      <c r="H26" s="167"/>
      <c r="I26" s="61"/>
      <c r="J26" s="168">
        <f>H26*I26</f>
        <v>0</v>
      </c>
      <c r="K26" s="168">
        <f>G26+J26</f>
        <v>0</v>
      </c>
      <c r="L26" s="272"/>
      <c r="M26" s="531">
        <f>M25+K26-L26</f>
        <v>4094.689999999999</v>
      </c>
      <c r="N26" s="189"/>
      <c r="O26" s="405"/>
    </row>
    <row r="27" spans="1:15" x14ac:dyDescent="0.25">
      <c r="A27" s="189">
        <v>24</v>
      </c>
      <c r="B27" s="184">
        <v>46319</v>
      </c>
      <c r="C27" s="61"/>
      <c r="D27" s="61"/>
      <c r="E27" s="167"/>
      <c r="F27" s="61"/>
      <c r="G27" s="168">
        <f>E27*F27</f>
        <v>0</v>
      </c>
      <c r="H27" s="167"/>
      <c r="I27" s="61"/>
      <c r="J27" s="168">
        <f>H27*I27</f>
        <v>0</v>
      </c>
      <c r="K27" s="168">
        <f>G27+J27</f>
        <v>0</v>
      </c>
      <c r="L27" s="272"/>
      <c r="M27" s="531">
        <f>M26+K27-L27</f>
        <v>4094.689999999999</v>
      </c>
      <c r="N27" s="61"/>
      <c r="O27" s="405"/>
    </row>
    <row r="28" spans="1:15" x14ac:dyDescent="0.25">
      <c r="A28" s="191">
        <v>25</v>
      </c>
      <c r="B28" s="184">
        <v>46320</v>
      </c>
      <c r="C28" s="61"/>
      <c r="D28" s="61"/>
      <c r="E28" s="167"/>
      <c r="F28" s="61"/>
      <c r="G28" s="168">
        <f>E28*F28</f>
        <v>0</v>
      </c>
      <c r="H28" s="167"/>
      <c r="I28" s="61"/>
      <c r="J28" s="168">
        <f>H28*I28</f>
        <v>0</v>
      </c>
      <c r="K28" s="168">
        <f>G28+J28</f>
        <v>0</v>
      </c>
      <c r="L28" s="272"/>
      <c r="M28" s="531">
        <f>M27+K28-L28</f>
        <v>4094.689999999999</v>
      </c>
      <c r="N28" s="61"/>
      <c r="O28" s="405"/>
    </row>
    <row r="29" spans="1:15" x14ac:dyDescent="0.25">
      <c r="A29" s="191">
        <v>26</v>
      </c>
      <c r="B29" s="184">
        <v>46321</v>
      </c>
      <c r="C29" s="61"/>
      <c r="D29" s="61"/>
      <c r="E29" s="167"/>
      <c r="F29" s="61"/>
      <c r="G29" s="168">
        <f>E29*F29</f>
        <v>0</v>
      </c>
      <c r="H29" s="167"/>
      <c r="I29" s="61"/>
      <c r="J29" s="168">
        <f>H29*I29</f>
        <v>0</v>
      </c>
      <c r="K29" s="168">
        <f>G29+J29</f>
        <v>0</v>
      </c>
      <c r="L29" s="272"/>
      <c r="M29" s="531">
        <f>M28+K29-L29</f>
        <v>4094.689999999999</v>
      </c>
      <c r="N29" s="61"/>
      <c r="O29" s="405"/>
    </row>
    <row r="30" spans="1:15" x14ac:dyDescent="0.25">
      <c r="A30" s="191">
        <v>27</v>
      </c>
      <c r="B30" s="184">
        <v>46322</v>
      </c>
      <c r="C30" s="61"/>
      <c r="D30" s="61"/>
      <c r="E30" s="167"/>
      <c r="F30" s="61"/>
      <c r="G30" s="168">
        <f>E30*F30</f>
        <v>0</v>
      </c>
      <c r="H30" s="167"/>
      <c r="I30" s="61"/>
      <c r="J30" s="168">
        <f>H30*I30</f>
        <v>0</v>
      </c>
      <c r="K30" s="168">
        <f>G30+J30</f>
        <v>0</v>
      </c>
      <c r="L30" s="272"/>
      <c r="M30" s="531">
        <f>M29+K30-L30</f>
        <v>4094.689999999999</v>
      </c>
      <c r="N30" s="61"/>
      <c r="O30" s="405"/>
    </row>
    <row r="31" spans="1:15" x14ac:dyDescent="0.25">
      <c r="A31" s="191">
        <v>28</v>
      </c>
      <c r="B31" s="184">
        <v>46323</v>
      </c>
      <c r="C31" s="61"/>
      <c r="D31" s="61"/>
      <c r="E31" s="167"/>
      <c r="F31" s="61"/>
      <c r="G31" s="168">
        <f>E31*F31</f>
        <v>0</v>
      </c>
      <c r="H31" s="167"/>
      <c r="I31" s="61"/>
      <c r="J31" s="168">
        <f>H31*I31</f>
        <v>0</v>
      </c>
      <c r="K31" s="168">
        <f>G31+J31</f>
        <v>0</v>
      </c>
      <c r="L31" s="272"/>
      <c r="M31" s="531">
        <f>M30+K31-L31</f>
        <v>4094.689999999999</v>
      </c>
      <c r="N31" s="61"/>
      <c r="O31" s="405"/>
    </row>
    <row r="32" spans="1:15" x14ac:dyDescent="0.25">
      <c r="A32" s="193">
        <v>29</v>
      </c>
      <c r="B32" s="184">
        <v>46324</v>
      </c>
      <c r="C32" s="61"/>
      <c r="D32" s="61"/>
      <c r="E32" s="167"/>
      <c r="F32" s="61"/>
      <c r="G32" s="168">
        <f>E32*F32</f>
        <v>0</v>
      </c>
      <c r="H32" s="167"/>
      <c r="I32" s="61"/>
      <c r="J32" s="168">
        <f>H32*I32</f>
        <v>0</v>
      </c>
      <c r="K32" s="168">
        <f>G32+J32</f>
        <v>0</v>
      </c>
      <c r="L32" s="272"/>
      <c r="M32" s="531">
        <f>M31+K32-L32</f>
        <v>4094.689999999999</v>
      </c>
      <c r="N32" s="61"/>
      <c r="O32" s="405"/>
    </row>
    <row r="33" spans="1:15" x14ac:dyDescent="0.25">
      <c r="A33" s="193">
        <v>30</v>
      </c>
      <c r="B33" s="184">
        <v>46325</v>
      </c>
      <c r="C33" s="61"/>
      <c r="D33" s="61"/>
      <c r="E33" s="167"/>
      <c r="F33" s="61"/>
      <c r="G33" s="168">
        <f>E33*F33</f>
        <v>0</v>
      </c>
      <c r="H33" s="167"/>
      <c r="I33" s="61"/>
      <c r="J33" s="168">
        <f>H33*I33</f>
        <v>0</v>
      </c>
      <c r="K33" s="168">
        <f>G33+J33</f>
        <v>0</v>
      </c>
      <c r="L33" s="272"/>
      <c r="M33" s="531">
        <f>M32+K33-L33</f>
        <v>4094.689999999999</v>
      </c>
      <c r="N33" s="61"/>
      <c r="O33" s="405"/>
    </row>
    <row r="34" spans="1:15" x14ac:dyDescent="0.25">
      <c r="A34" s="193">
        <v>31</v>
      </c>
      <c r="B34" s="184">
        <v>46326</v>
      </c>
      <c r="C34" s="61"/>
      <c r="D34" s="61"/>
      <c r="E34" s="167"/>
      <c r="F34" s="61"/>
      <c r="G34" s="168">
        <f>E34*F34</f>
        <v>0</v>
      </c>
      <c r="H34" s="167"/>
      <c r="I34" s="61"/>
      <c r="J34" s="168">
        <f>H34*I34</f>
        <v>0</v>
      </c>
      <c r="K34" s="168">
        <f>G34+J34</f>
        <v>0</v>
      </c>
      <c r="L34" s="272"/>
      <c r="M34" s="531">
        <f>M33+K34-L34</f>
        <v>4094.689999999999</v>
      </c>
      <c r="N34" s="61"/>
      <c r="O34" s="405"/>
    </row>
    <row r="35" spans="1:15" x14ac:dyDescent="0.25">
      <c r="A35" s="169"/>
      <c r="B35" s="169"/>
      <c r="C35" s="169"/>
      <c r="D35" s="169"/>
      <c r="E35" s="171">
        <f>SUM(E4:E34)</f>
        <v>150</v>
      </c>
      <c r="F35" s="171"/>
      <c r="G35" s="171">
        <f>SUM(G4:G34)</f>
        <v>14860.5</v>
      </c>
      <c r="H35" s="171">
        <f>SUM(H4:H34)</f>
        <v>0</v>
      </c>
      <c r="I35" s="171"/>
      <c r="J35" s="171">
        <f>SUM(J4:J34)</f>
        <v>0</v>
      </c>
      <c r="K35" s="171">
        <f>SUM(K4:K34)</f>
        <v>14860.5</v>
      </c>
      <c r="L35" s="171">
        <f>SUM(L4:L34)</f>
        <v>38500</v>
      </c>
      <c r="M35" s="171"/>
      <c r="N35" s="171"/>
      <c r="O35" s="208"/>
    </row>
    <row r="36" spans="1:15" x14ac:dyDescent="0.25">
      <c r="A36" s="405"/>
      <c r="B36" s="405"/>
      <c r="C36" s="405"/>
      <c r="D36" s="405"/>
      <c r="E36" s="405"/>
      <c r="F36" s="405"/>
      <c r="G36" s="409"/>
      <c r="H36" s="405"/>
      <c r="I36" s="405"/>
      <c r="J36" s="409"/>
      <c r="K36" s="405"/>
      <c r="L36" s="409"/>
      <c r="M36" s="409"/>
      <c r="N36" s="405"/>
      <c r="O36" s="405"/>
    </row>
    <row r="37" spans="1:15" x14ac:dyDescent="0.25">
      <c r="A37" s="405"/>
      <c r="B37" s="405"/>
      <c r="C37" s="405"/>
      <c r="D37" s="405"/>
      <c r="E37" s="405"/>
      <c r="F37" s="405"/>
      <c r="G37" s="409"/>
      <c r="H37" s="405"/>
      <c r="I37" s="405"/>
      <c r="J37" s="409"/>
      <c r="K37" s="405"/>
      <c r="L37" s="409"/>
      <c r="M37" s="409"/>
      <c r="N37" s="405"/>
      <c r="O37" s="405"/>
    </row>
  </sheetData>
  <mergeCells count="3">
    <mergeCell ref="A1:N1"/>
    <mergeCell ref="A3:L3"/>
    <mergeCell ref="M3:N3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47"/>
  <sheetViews>
    <sheetView workbookViewId="0" zoomScale="100" zoomScaleNormal="100">
      <pane ySplit="3" topLeftCell="A4" activePane="bottomLeft" state="frozen"/>
      <selection pane="bottomLeft" activeCell="M17" sqref="M17"/>
    </sheetView>
  </sheetViews>
  <sheetFormatPr defaultRowHeight="15" outlineLevelRow="0" outlineLevelCol="0" x14ac:dyDescent="0"/>
  <cols>
    <col min="1" max="1" width="6.140625" customWidth="1"/>
    <col min="2" max="2" width="11.5703125" customWidth="1"/>
    <col min="4" max="4" width="15.42578125" customWidth="1"/>
    <col min="5" max="5" width="13.140625" customWidth="1"/>
    <col min="6" max="6" width="9.42578125" customWidth="1"/>
    <col min="7" max="7" width="11.85546875" customWidth="1"/>
    <col min="8" max="8" width="12" customWidth="1"/>
    <col min="11" max="11" width="16.7109375" customWidth="1"/>
    <col min="12" max="12" width="16.5703125" customWidth="1"/>
    <col min="13" max="13" width="16.140625" customWidth="1"/>
    <col min="14" max="14" width="15.140625" customWidth="1"/>
  </cols>
  <sheetData>
    <row r="1" ht="15.75" customHeight="1" spans="1:15" x14ac:dyDescent="0.25">
      <c r="A1" s="325" t="s">
        <v>160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405"/>
    </row>
    <row r="2" ht="19.5" customHeight="1" spans="1:15" x14ac:dyDescent="0.25">
      <c r="A2" s="122" t="s">
        <v>0</v>
      </c>
      <c r="B2" s="123" t="s">
        <v>167</v>
      </c>
      <c r="C2" s="123" t="s">
        <v>168</v>
      </c>
      <c r="D2" s="123" t="s">
        <v>189</v>
      </c>
      <c r="E2" s="123" t="s">
        <v>170</v>
      </c>
      <c r="F2" s="123" t="s">
        <v>171</v>
      </c>
      <c r="G2" s="418" t="s">
        <v>172</v>
      </c>
      <c r="H2" s="123" t="s">
        <v>173</v>
      </c>
      <c r="I2" s="123" t="s">
        <v>171</v>
      </c>
      <c r="J2" s="418" t="s">
        <v>172</v>
      </c>
      <c r="K2" s="122" t="s">
        <v>174</v>
      </c>
      <c r="L2" s="366" t="s">
        <v>175</v>
      </c>
      <c r="M2" s="367" t="s">
        <v>190</v>
      </c>
      <c r="N2" s="123" t="s">
        <v>177</v>
      </c>
      <c r="O2" s="405"/>
    </row>
    <row r="3" spans="1:15" x14ac:dyDescent="0.25">
      <c r="A3" s="525" t="s">
        <v>178</v>
      </c>
      <c r="B3" s="526"/>
      <c r="C3" s="526"/>
      <c r="D3" s="526"/>
      <c r="E3" s="526"/>
      <c r="F3" s="526"/>
      <c r="G3" s="526"/>
      <c r="H3" s="526"/>
      <c r="I3" s="526"/>
      <c r="J3" s="526"/>
      <c r="K3" s="526"/>
      <c r="L3" s="544"/>
      <c r="M3" s="549">
        <v>23063</v>
      </c>
      <c r="N3" s="550"/>
      <c r="O3" s="405"/>
    </row>
    <row r="4" spans="1:15" x14ac:dyDescent="0.25">
      <c r="A4" s="183">
        <v>1</v>
      </c>
      <c r="B4" s="184">
        <v>46296</v>
      </c>
      <c r="C4" s="61"/>
      <c r="D4" s="61"/>
      <c r="E4" s="167"/>
      <c r="F4" s="61"/>
      <c r="G4" s="168">
        <f>E4*F4</f>
        <v>0</v>
      </c>
      <c r="H4" s="167"/>
      <c r="I4" s="61"/>
      <c r="J4" s="168">
        <f>H4*I4</f>
        <v>0</v>
      </c>
      <c r="K4" s="168">
        <f>G4+J4</f>
        <v>0</v>
      </c>
      <c r="L4" s="272"/>
      <c r="M4" s="551">
        <f>M3+K4-L4</f>
        <v>23063</v>
      </c>
      <c r="N4" s="189"/>
      <c r="O4" s="405"/>
    </row>
    <row r="5" spans="1:15" x14ac:dyDescent="0.25">
      <c r="A5" s="189">
        <v>2</v>
      </c>
      <c r="B5" s="184">
        <v>46297</v>
      </c>
      <c r="C5" s="61"/>
      <c r="D5" s="61"/>
      <c r="E5" s="167">
        <v>48.29</v>
      </c>
      <c r="F5" s="61">
        <v>99.28</v>
      </c>
      <c r="G5" s="168">
        <f t="shared" ref="G5:G34" si="0">E5*F5</f>
        <v>4794.2312</v>
      </c>
      <c r="H5" s="167"/>
      <c r="I5" s="61"/>
      <c r="J5" s="168">
        <f t="shared" ref="J5:J41" si="1">H5*I5</f>
        <v>0</v>
      </c>
      <c r="K5" s="168">
        <f t="shared" ref="K5:L41" si="2">G5+J5</f>
        <v>4794.2312</v>
      </c>
      <c r="L5" s="272"/>
      <c r="M5" s="551">
        <f t="shared" ref="M5:M18" si="3">M4+K5-L5</f>
        <v>27857.231200000002</v>
      </c>
      <c r="N5" s="189"/>
      <c r="O5" s="405"/>
    </row>
    <row r="6" spans="1:15" x14ac:dyDescent="0.25">
      <c r="A6" s="189">
        <v>3</v>
      </c>
      <c r="B6" s="184">
        <v>46298</v>
      </c>
      <c r="C6" s="61"/>
      <c r="D6" s="61"/>
      <c r="E6" s="167"/>
      <c r="F6" s="61"/>
      <c r="G6" s="168">
        <f t="shared" si="0"/>
        <v>0</v>
      </c>
      <c r="H6" s="167">
        <v>6.29</v>
      </c>
      <c r="I6" s="61">
        <v>111.38</v>
      </c>
      <c r="J6" s="168">
        <f t="shared" si="1"/>
        <v>700.5802</v>
      </c>
      <c r="K6" s="168">
        <f t="shared" si="2"/>
        <v>700.5802</v>
      </c>
      <c r="L6" s="272"/>
      <c r="M6" s="551">
        <f t="shared" si="3"/>
        <v>28557.811400000002</v>
      </c>
      <c r="N6" s="189"/>
      <c r="O6" s="552"/>
    </row>
    <row r="7" spans="1:15" x14ac:dyDescent="0.25">
      <c r="A7" s="189">
        <v>4</v>
      </c>
      <c r="B7" s="184">
        <v>46299</v>
      </c>
      <c r="C7" s="534"/>
      <c r="D7" s="534"/>
      <c r="E7" s="167"/>
      <c r="F7" s="61"/>
      <c r="G7" s="168">
        <f t="shared" si="0"/>
        <v>0</v>
      </c>
      <c r="H7" s="61"/>
      <c r="I7" s="168"/>
      <c r="J7" s="168">
        <f t="shared" si="1"/>
        <v>0</v>
      </c>
      <c r="K7" s="168">
        <f t="shared" si="2"/>
        <v>0</v>
      </c>
      <c r="L7" s="272"/>
      <c r="M7" s="551">
        <f t="shared" si="3"/>
        <v>28557.811400000002</v>
      </c>
      <c r="N7" s="189"/>
      <c r="O7" s="405"/>
    </row>
    <row r="8" spans="1:15" x14ac:dyDescent="0.25">
      <c r="A8" s="191">
        <v>5</v>
      </c>
      <c r="B8" s="184">
        <v>46300</v>
      </c>
      <c r="C8" s="61"/>
      <c r="D8" s="61"/>
      <c r="E8" s="167"/>
      <c r="F8" s="61"/>
      <c r="G8" s="168">
        <f t="shared" si="0"/>
        <v>0</v>
      </c>
      <c r="H8" s="167"/>
      <c r="I8" s="61"/>
      <c r="J8" s="168">
        <f t="shared" si="1"/>
        <v>0</v>
      </c>
      <c r="K8" s="168">
        <f t="shared" si="2"/>
        <v>0</v>
      </c>
      <c r="L8" s="272"/>
      <c r="M8" s="551">
        <f t="shared" si="3"/>
        <v>28557.811400000002</v>
      </c>
      <c r="N8" s="189"/>
      <c r="O8" s="405"/>
    </row>
    <row r="9" spans="1:15" x14ac:dyDescent="0.25">
      <c r="A9" s="191">
        <v>6</v>
      </c>
      <c r="B9" s="184">
        <v>46301</v>
      </c>
      <c r="C9" s="61"/>
      <c r="D9" s="61"/>
      <c r="E9" s="167"/>
      <c r="F9" s="61"/>
      <c r="G9" s="168">
        <f t="shared" si="0"/>
        <v>0</v>
      </c>
      <c r="H9" s="167">
        <v>5</v>
      </c>
      <c r="I9" s="61">
        <v>111.38</v>
      </c>
      <c r="J9" s="168">
        <f t="shared" si="1"/>
        <v>556.9</v>
      </c>
      <c r="K9" s="168">
        <f t="shared" si="2"/>
        <v>556.9</v>
      </c>
      <c r="L9" s="272"/>
      <c r="M9" s="551">
        <f t="shared" si="3"/>
        <v>29114.711400000004</v>
      </c>
      <c r="N9" s="189"/>
      <c r="O9" s="405"/>
    </row>
    <row r="10" spans="1:15" x14ac:dyDescent="0.25">
      <c r="A10" s="191">
        <v>7</v>
      </c>
      <c r="B10" s="184">
        <v>46302</v>
      </c>
      <c r="C10" s="61"/>
      <c r="D10" s="61"/>
      <c r="E10" s="167"/>
      <c r="F10" s="61"/>
      <c r="G10" s="168">
        <f t="shared" si="0"/>
        <v>0</v>
      </c>
      <c r="H10" s="167"/>
      <c r="I10" s="61"/>
      <c r="J10" s="168">
        <f t="shared" si="1"/>
        <v>0</v>
      </c>
      <c r="K10" s="168">
        <f t="shared" si="2"/>
        <v>0</v>
      </c>
      <c r="L10" s="272"/>
      <c r="M10" s="551">
        <f t="shared" si="3"/>
        <v>29114.711400000004</v>
      </c>
      <c r="N10" s="189"/>
      <c r="O10" s="405"/>
    </row>
    <row r="11" spans="1:15" x14ac:dyDescent="0.25">
      <c r="A11" s="191">
        <v>8</v>
      </c>
      <c r="B11" s="184">
        <v>46303</v>
      </c>
      <c r="C11" s="61"/>
      <c r="D11" s="61"/>
      <c r="E11" s="167"/>
      <c r="F11" s="61"/>
      <c r="G11" s="168">
        <f t="shared" si="0"/>
        <v>0</v>
      </c>
      <c r="H11" s="167"/>
      <c r="I11" s="61"/>
      <c r="J11" s="168">
        <f t="shared" si="1"/>
        <v>0</v>
      </c>
      <c r="K11" s="168">
        <f>G11+J11</f>
        <v>0</v>
      </c>
      <c r="L11" s="272"/>
      <c r="M11" s="551">
        <f t="shared" si="3"/>
        <v>29114.711400000004</v>
      </c>
      <c r="N11" s="189"/>
      <c r="O11" s="405"/>
    </row>
    <row r="12" spans="1:15" x14ac:dyDescent="0.25">
      <c r="A12" s="191">
        <v>9</v>
      </c>
      <c r="B12" s="184">
        <v>46304</v>
      </c>
      <c r="C12" s="61"/>
      <c r="D12" s="61"/>
      <c r="E12" s="167"/>
      <c r="F12" s="61"/>
      <c r="G12" s="168">
        <f t="shared" si="0"/>
        <v>0</v>
      </c>
      <c r="H12" s="167"/>
      <c r="I12" s="61"/>
      <c r="J12" s="168">
        <f t="shared" si="1"/>
        <v>0</v>
      </c>
      <c r="K12" s="168">
        <f>G12+J12</f>
        <v>0</v>
      </c>
      <c r="L12" s="272"/>
      <c r="M12" s="551">
        <f t="shared" si="3"/>
        <v>29114.711400000004</v>
      </c>
      <c r="N12" s="189"/>
      <c r="O12" s="405"/>
    </row>
    <row r="13" spans="1:15" x14ac:dyDescent="0.25">
      <c r="A13" s="191">
        <v>10</v>
      </c>
      <c r="B13" s="184">
        <v>46305</v>
      </c>
      <c r="C13" s="61"/>
      <c r="D13" s="61"/>
      <c r="E13" s="167"/>
      <c r="F13" s="61"/>
      <c r="G13" s="168">
        <f t="shared" si="0"/>
        <v>0</v>
      </c>
      <c r="H13" s="167">
        <v>6</v>
      </c>
      <c r="I13" s="61">
        <v>111.38</v>
      </c>
      <c r="J13" s="168">
        <f t="shared" si="1"/>
        <v>668.28</v>
      </c>
      <c r="K13" s="168">
        <f>G13+J13</f>
        <v>668.28</v>
      </c>
      <c r="L13" s="272"/>
      <c r="M13" s="551">
        <f t="shared" si="3"/>
        <v>29782.991400000003</v>
      </c>
      <c r="N13" s="189"/>
      <c r="O13" s="405"/>
    </row>
    <row r="14" spans="1:15" x14ac:dyDescent="0.25">
      <c r="A14" s="191">
        <v>11</v>
      </c>
      <c r="B14" s="184">
        <v>46306</v>
      </c>
      <c r="C14" s="61"/>
      <c r="D14" s="61"/>
      <c r="E14" s="167"/>
      <c r="F14" s="61"/>
      <c r="G14" s="168">
        <f t="shared" si="0"/>
        <v>0</v>
      </c>
      <c r="H14" s="167"/>
      <c r="I14" s="61"/>
      <c r="J14" s="168">
        <f t="shared" si="1"/>
        <v>0</v>
      </c>
      <c r="K14" s="168">
        <f t="shared" si="2"/>
        <v>0</v>
      </c>
      <c r="L14" s="272"/>
      <c r="M14" s="551">
        <f t="shared" si="3"/>
        <v>29782.991400000003</v>
      </c>
      <c r="N14" s="189"/>
      <c r="O14" s="405"/>
    </row>
    <row r="15" spans="1:15" x14ac:dyDescent="0.25">
      <c r="A15" s="191">
        <v>12</v>
      </c>
      <c r="B15" s="184">
        <v>46307</v>
      </c>
      <c r="C15" s="61"/>
      <c r="D15" s="61"/>
      <c r="E15" s="167"/>
      <c r="F15" s="61"/>
      <c r="G15" s="168">
        <f t="shared" si="0"/>
        <v>0</v>
      </c>
      <c r="H15" s="167"/>
      <c r="I15" s="61"/>
      <c r="J15" s="168">
        <f t="shared" si="1"/>
        <v>0</v>
      </c>
      <c r="K15" s="168">
        <f t="shared" si="2"/>
        <v>0</v>
      </c>
      <c r="L15" s="272"/>
      <c r="M15" s="551">
        <f t="shared" si="3"/>
        <v>29782.991400000003</v>
      </c>
      <c r="N15" s="189"/>
      <c r="O15" s="405"/>
    </row>
    <row r="16" spans="1:15" x14ac:dyDescent="0.25">
      <c r="A16" s="191">
        <v>13</v>
      </c>
      <c r="B16" s="184">
        <v>46308</v>
      </c>
      <c r="C16" s="61"/>
      <c r="D16" s="61"/>
      <c r="E16" s="167"/>
      <c r="F16" s="61"/>
      <c r="G16" s="168">
        <f t="shared" si="0"/>
        <v>0</v>
      </c>
      <c r="H16" s="167"/>
      <c r="I16" s="61"/>
      <c r="J16" s="168">
        <f t="shared" si="1"/>
        <v>0</v>
      </c>
      <c r="K16" s="168">
        <f t="shared" si="2"/>
        <v>0</v>
      </c>
      <c r="L16" s="168"/>
      <c r="M16" s="551">
        <f t="shared" si="3"/>
        <v>29782.991400000003</v>
      </c>
      <c r="N16" s="189"/>
      <c r="O16" s="405"/>
    </row>
    <row r="17" spans="1:15" x14ac:dyDescent="0.25">
      <c r="A17" s="191">
        <v>14</v>
      </c>
      <c r="B17" s="184">
        <v>46309</v>
      </c>
      <c r="C17" s="61"/>
      <c r="D17" s="61"/>
      <c r="E17" s="167">
        <v>126.46</v>
      </c>
      <c r="F17" s="61">
        <v>99.28</v>
      </c>
      <c r="G17" s="168">
        <f t="shared" si="0"/>
        <v>12554.9488</v>
      </c>
      <c r="H17" s="167"/>
      <c r="I17" s="61"/>
      <c r="J17" s="168">
        <f t="shared" si="1"/>
        <v>0</v>
      </c>
      <c r="K17" s="168">
        <f t="shared" si="2"/>
        <v>12554.9488</v>
      </c>
      <c r="L17" s="272"/>
      <c r="M17" s="551">
        <f t="shared" si="3"/>
        <v>42337.940200000005</v>
      </c>
      <c r="N17" s="189"/>
      <c r="O17" s="405"/>
    </row>
    <row r="18" spans="1:15" x14ac:dyDescent="0.25">
      <c r="A18" s="191">
        <v>15</v>
      </c>
      <c r="B18" s="184">
        <v>46310</v>
      </c>
      <c r="C18" s="61"/>
      <c r="D18" s="61"/>
      <c r="E18" s="167"/>
      <c r="F18" s="61"/>
      <c r="G18" s="168">
        <f t="shared" si="0"/>
        <v>0</v>
      </c>
      <c r="H18" s="167">
        <v>5</v>
      </c>
      <c r="I18" s="61">
        <v>111.38</v>
      </c>
      <c r="J18" s="168">
        <f t="shared" si="1"/>
        <v>556.9</v>
      </c>
      <c r="K18" s="168">
        <f t="shared" si="2"/>
        <v>556.9</v>
      </c>
      <c r="L18" s="272">
        <v>29000</v>
      </c>
      <c r="M18" s="551">
        <f t="shared" si="3"/>
        <v>13894.840200000006</v>
      </c>
      <c r="N18" s="189"/>
      <c r="O18" s="405"/>
    </row>
    <row r="19" spans="1:15" x14ac:dyDescent="0.25">
      <c r="A19" s="191">
        <v>16</v>
      </c>
      <c r="B19" s="184">
        <v>46311</v>
      </c>
      <c r="C19" s="61"/>
      <c r="D19" s="61"/>
      <c r="E19" s="167"/>
      <c r="F19" s="61"/>
      <c r="G19" s="168">
        <f t="shared" si="0"/>
        <v>0</v>
      </c>
      <c r="H19" s="167"/>
      <c r="I19" s="61"/>
      <c r="J19" s="168">
        <f t="shared" si="1"/>
        <v>0</v>
      </c>
      <c r="K19" s="168">
        <f t="shared" si="2"/>
        <v>0</v>
      </c>
      <c r="L19" s="272"/>
      <c r="M19" s="553">
        <f t="shared" ref="M15:M42" si="4">M18+K19-L19</f>
        <v>13894.840200000006</v>
      </c>
      <c r="N19" s="189"/>
      <c r="O19" s="405"/>
    </row>
    <row r="20" spans="1:15" x14ac:dyDescent="0.25">
      <c r="A20" s="191">
        <v>17</v>
      </c>
      <c r="B20" s="184">
        <v>46312</v>
      </c>
      <c r="C20" s="61"/>
      <c r="D20" s="61"/>
      <c r="E20" s="167"/>
      <c r="F20" s="61"/>
      <c r="G20" s="168">
        <f t="shared" si="0"/>
        <v>0</v>
      </c>
      <c r="H20" s="167"/>
      <c r="I20" s="61"/>
      <c r="J20" s="168">
        <f t="shared" si="1"/>
        <v>0</v>
      </c>
      <c r="K20" s="168">
        <f t="shared" si="2"/>
        <v>0</v>
      </c>
      <c r="L20" s="272"/>
      <c r="M20" s="553">
        <f t="shared" si="4"/>
        <v>13894.840200000006</v>
      </c>
      <c r="N20" s="189"/>
      <c r="O20" s="405"/>
    </row>
    <row r="21" spans="1:15" x14ac:dyDescent="0.25">
      <c r="A21" s="191">
        <v>18</v>
      </c>
      <c r="B21" s="184">
        <v>46313</v>
      </c>
      <c r="C21" s="61"/>
      <c r="D21" s="61"/>
      <c r="E21" s="167"/>
      <c r="F21" s="61"/>
      <c r="G21" s="168">
        <f t="shared" si="0"/>
        <v>0</v>
      </c>
      <c r="H21" s="167"/>
      <c r="I21" s="61"/>
      <c r="J21" s="168">
        <f t="shared" si="1"/>
        <v>0</v>
      </c>
      <c r="K21" s="168">
        <f t="shared" si="2"/>
        <v>0</v>
      </c>
      <c r="L21" s="272"/>
      <c r="M21" s="553">
        <f t="shared" si="4"/>
        <v>13894.840200000006</v>
      </c>
      <c r="N21" s="189"/>
      <c r="O21" s="405"/>
    </row>
    <row r="22" spans="1:15" x14ac:dyDescent="0.25">
      <c r="A22" s="191">
        <v>19</v>
      </c>
      <c r="B22" s="184">
        <v>46314</v>
      </c>
      <c r="C22" s="61"/>
      <c r="D22" s="61"/>
      <c r="E22" s="167"/>
      <c r="F22" s="61"/>
      <c r="G22" s="168">
        <f t="shared" si="0"/>
        <v>0</v>
      </c>
      <c r="H22" s="167"/>
      <c r="I22" s="61"/>
      <c r="J22" s="168">
        <f t="shared" si="1"/>
        <v>0</v>
      </c>
      <c r="K22" s="168">
        <f t="shared" si="2"/>
        <v>0</v>
      </c>
      <c r="L22" s="272"/>
      <c r="M22" s="553">
        <f t="shared" si="4"/>
        <v>13894.840200000006</v>
      </c>
      <c r="N22" s="189"/>
      <c r="O22" s="405"/>
    </row>
    <row r="23" spans="1:15" x14ac:dyDescent="0.25">
      <c r="A23" s="191">
        <v>20</v>
      </c>
      <c r="B23" s="184">
        <v>46315</v>
      </c>
      <c r="C23" s="61"/>
      <c r="D23" s="61"/>
      <c r="E23" s="167"/>
      <c r="F23" s="61"/>
      <c r="G23" s="168">
        <f t="shared" si="0"/>
        <v>0</v>
      </c>
      <c r="H23" s="167"/>
      <c r="I23" s="61"/>
      <c r="J23" s="168">
        <f t="shared" si="1"/>
        <v>0</v>
      </c>
      <c r="K23" s="168">
        <f t="shared" si="2"/>
        <v>0</v>
      </c>
      <c r="L23" s="272"/>
      <c r="M23" s="553">
        <f t="shared" si="4"/>
        <v>13894.840200000006</v>
      </c>
      <c r="N23" s="189"/>
      <c r="O23" s="405"/>
    </row>
    <row r="24" spans="1:15" x14ac:dyDescent="0.25">
      <c r="A24" s="191">
        <v>21</v>
      </c>
      <c r="B24" s="184">
        <v>46316</v>
      </c>
      <c r="C24" s="61"/>
      <c r="D24" s="61"/>
      <c r="E24" s="167"/>
      <c r="F24" s="61"/>
      <c r="G24" s="168">
        <f t="shared" si="0"/>
        <v>0</v>
      </c>
      <c r="H24" s="167"/>
      <c r="I24" s="61"/>
      <c r="J24" s="168">
        <f t="shared" si="1"/>
        <v>0</v>
      </c>
      <c r="K24" s="168">
        <f t="shared" si="2"/>
        <v>0</v>
      </c>
      <c r="L24" s="272"/>
      <c r="M24" s="553">
        <f t="shared" si="4"/>
        <v>13894.840200000006</v>
      </c>
      <c r="N24" s="189"/>
      <c r="O24" s="405"/>
    </row>
    <row r="25" spans="1:15" x14ac:dyDescent="0.25">
      <c r="A25" s="189">
        <v>22</v>
      </c>
      <c r="B25" s="184">
        <v>46317</v>
      </c>
      <c r="C25" s="554"/>
      <c r="D25" s="554"/>
      <c r="E25" s="167"/>
      <c r="F25" s="61"/>
      <c r="G25" s="168">
        <f t="shared" si="0"/>
        <v>0</v>
      </c>
      <c r="H25" s="167"/>
      <c r="I25" s="61"/>
      <c r="J25" s="168">
        <f t="shared" si="1"/>
        <v>0</v>
      </c>
      <c r="K25" s="168">
        <f t="shared" si="2"/>
        <v>0</v>
      </c>
      <c r="L25" s="272"/>
      <c r="M25" s="555">
        <f t="shared" si="4"/>
        <v>13894.840200000006</v>
      </c>
      <c r="N25" s="189"/>
      <c r="O25" s="405"/>
    </row>
    <row r="26" spans="1:15" x14ac:dyDescent="0.25">
      <c r="A26" s="189">
        <v>23</v>
      </c>
      <c r="B26" s="184">
        <v>46318</v>
      </c>
      <c r="C26" s="61"/>
      <c r="D26" s="61"/>
      <c r="E26" s="167"/>
      <c r="F26" s="61"/>
      <c r="G26" s="168">
        <f t="shared" si="0"/>
        <v>0</v>
      </c>
      <c r="H26" s="167"/>
      <c r="I26" s="61"/>
      <c r="J26" s="168">
        <f t="shared" si="1"/>
        <v>0</v>
      </c>
      <c r="K26" s="168">
        <f t="shared" si="2"/>
        <v>0</v>
      </c>
      <c r="L26" s="272"/>
      <c r="M26" s="555">
        <f t="shared" si="4"/>
        <v>13894.840200000006</v>
      </c>
      <c r="N26" s="61"/>
      <c r="O26" s="405"/>
    </row>
    <row r="27" spans="1:15" x14ac:dyDescent="0.25">
      <c r="A27" s="189">
        <v>24</v>
      </c>
      <c r="B27" s="184">
        <v>46319</v>
      </c>
      <c r="C27" s="61"/>
      <c r="D27" s="61"/>
      <c r="E27" s="167"/>
      <c r="F27" s="61"/>
      <c r="G27" s="168">
        <f t="shared" si="0"/>
        <v>0</v>
      </c>
      <c r="H27" s="167"/>
      <c r="I27" s="61"/>
      <c r="J27" s="168">
        <f t="shared" si="1"/>
        <v>0</v>
      </c>
      <c r="K27" s="168">
        <f t="shared" si="2"/>
        <v>0</v>
      </c>
      <c r="L27" s="272"/>
      <c r="M27" s="555">
        <f t="shared" si="4"/>
        <v>13894.840200000006</v>
      </c>
      <c r="N27" s="61"/>
      <c r="O27" s="405"/>
    </row>
    <row r="28" spans="1:15" x14ac:dyDescent="0.25">
      <c r="A28" s="191">
        <v>25</v>
      </c>
      <c r="B28" s="184">
        <v>46320</v>
      </c>
      <c r="C28" s="61"/>
      <c r="D28" s="61"/>
      <c r="E28" s="167"/>
      <c r="F28" s="61"/>
      <c r="G28" s="168">
        <f t="shared" si="0"/>
        <v>0</v>
      </c>
      <c r="H28" s="167"/>
      <c r="I28" s="61"/>
      <c r="J28" s="168">
        <f t="shared" si="1"/>
        <v>0</v>
      </c>
      <c r="K28" s="168">
        <f t="shared" si="2"/>
        <v>0</v>
      </c>
      <c r="L28" s="272"/>
      <c r="M28" s="555">
        <f t="shared" si="4"/>
        <v>13894.840200000006</v>
      </c>
      <c r="N28" s="61"/>
      <c r="O28" s="405"/>
    </row>
    <row r="29" spans="1:15" x14ac:dyDescent="0.25">
      <c r="A29" s="191">
        <v>26</v>
      </c>
      <c r="B29" s="184">
        <v>46321</v>
      </c>
      <c r="C29" s="61"/>
      <c r="D29" s="61"/>
      <c r="E29" s="167"/>
      <c r="F29" s="61"/>
      <c r="G29" s="168">
        <f t="shared" si="0"/>
        <v>0</v>
      </c>
      <c r="H29" s="528"/>
      <c r="I29" s="61"/>
      <c r="J29" s="168">
        <f t="shared" si="1"/>
        <v>0</v>
      </c>
      <c r="K29" s="168">
        <f t="shared" si="2"/>
        <v>0</v>
      </c>
      <c r="L29" s="272"/>
      <c r="M29" s="555">
        <f t="shared" si="4"/>
        <v>13894.840200000006</v>
      </c>
      <c r="N29" s="61"/>
      <c r="O29" s="405"/>
    </row>
    <row r="30" spans="1:15" x14ac:dyDescent="0.25">
      <c r="A30" s="191">
        <v>27</v>
      </c>
      <c r="B30" s="184">
        <v>46322</v>
      </c>
      <c r="C30" s="61"/>
      <c r="D30" s="61"/>
      <c r="E30" s="167"/>
      <c r="F30" s="61"/>
      <c r="G30" s="168">
        <f t="shared" si="0"/>
        <v>0</v>
      </c>
      <c r="H30" s="167"/>
      <c r="I30" s="61"/>
      <c r="J30" s="168">
        <f t="shared" si="1"/>
        <v>0</v>
      </c>
      <c r="K30" s="168">
        <f t="shared" si="2"/>
        <v>0</v>
      </c>
      <c r="L30" s="272"/>
      <c r="M30" s="555">
        <f t="shared" si="4"/>
        <v>13894.840200000006</v>
      </c>
      <c r="N30" s="61"/>
      <c r="O30" s="405"/>
    </row>
    <row r="31" spans="1:15" x14ac:dyDescent="0.25">
      <c r="A31" s="191">
        <v>28</v>
      </c>
      <c r="B31" s="184">
        <v>46323</v>
      </c>
      <c r="C31" s="61"/>
      <c r="D31" s="61"/>
      <c r="E31" s="167"/>
      <c r="F31" s="61"/>
      <c r="G31" s="168">
        <f t="shared" si="0"/>
        <v>0</v>
      </c>
      <c r="H31" s="167"/>
      <c r="I31" s="61"/>
      <c r="J31" s="168">
        <f t="shared" si="1"/>
        <v>0</v>
      </c>
      <c r="K31" s="168">
        <f t="shared" si="2"/>
        <v>0</v>
      </c>
      <c r="L31" s="272"/>
      <c r="M31" s="555">
        <f t="shared" si="4"/>
        <v>13894.840200000006</v>
      </c>
      <c r="N31" s="61"/>
      <c r="O31" s="405"/>
    </row>
    <row r="32" spans="1:15" x14ac:dyDescent="0.25">
      <c r="A32" s="193">
        <v>29</v>
      </c>
      <c r="B32" s="184">
        <v>46324</v>
      </c>
      <c r="C32" s="61"/>
      <c r="D32" s="61"/>
      <c r="E32" s="167"/>
      <c r="F32" s="61"/>
      <c r="G32" s="168">
        <f t="shared" si="0"/>
        <v>0</v>
      </c>
      <c r="H32" s="61"/>
      <c r="I32" s="168"/>
      <c r="J32" s="168">
        <f t="shared" si="1"/>
        <v>0</v>
      </c>
      <c r="K32" s="168">
        <f t="shared" si="2"/>
        <v>0</v>
      </c>
      <c r="L32" s="272"/>
      <c r="M32" s="555">
        <f t="shared" si="4"/>
        <v>13894.840200000006</v>
      </c>
      <c r="N32" s="61"/>
      <c r="O32" s="405"/>
    </row>
    <row r="33" spans="1:15" x14ac:dyDescent="0.25">
      <c r="A33" s="193">
        <v>30</v>
      </c>
      <c r="B33" s="184">
        <v>46325</v>
      </c>
      <c r="C33" s="61"/>
      <c r="D33" s="61"/>
      <c r="E33" s="167"/>
      <c r="F33" s="61"/>
      <c r="G33" s="168">
        <f t="shared" si="0"/>
        <v>0</v>
      </c>
      <c r="H33" s="167"/>
      <c r="I33" s="61"/>
      <c r="J33" s="168">
        <f t="shared" si="1"/>
        <v>0</v>
      </c>
      <c r="K33" s="168">
        <f t="shared" si="2"/>
        <v>0</v>
      </c>
      <c r="L33" s="272"/>
      <c r="M33" s="555">
        <f t="shared" si="4"/>
        <v>13894.840200000006</v>
      </c>
      <c r="N33" s="61"/>
      <c r="O33" s="405"/>
    </row>
    <row r="34" spans="1:15" x14ac:dyDescent="0.25">
      <c r="A34" s="193">
        <v>31</v>
      </c>
      <c r="B34" s="184">
        <v>46326</v>
      </c>
      <c r="C34" s="61"/>
      <c r="D34" s="61"/>
      <c r="E34" s="167"/>
      <c r="F34" s="61"/>
      <c r="G34" s="168">
        <f t="shared" si="0"/>
        <v>0</v>
      </c>
      <c r="H34" s="167"/>
      <c r="I34" s="61"/>
      <c r="J34" s="168">
        <f t="shared" si="1"/>
        <v>0</v>
      </c>
      <c r="K34" s="168">
        <f t="shared" si="2"/>
        <v>0</v>
      </c>
      <c r="L34" s="272"/>
      <c r="M34" s="555">
        <f t="shared" si="4"/>
        <v>13894.840200000006</v>
      </c>
      <c r="N34" s="61"/>
      <c r="O34" s="405"/>
    </row>
    <row r="35" spans="1:15" x14ac:dyDescent="0.25">
      <c r="A35" s="61">
        <v>35</v>
      </c>
      <c r="B35" s="532"/>
      <c r="C35" s="61"/>
      <c r="D35" s="61"/>
      <c r="E35" s="167"/>
      <c r="F35" s="61"/>
      <c r="G35" s="168">
        <v>0</v>
      </c>
      <c r="H35" s="167"/>
      <c r="I35" s="61"/>
      <c r="J35" s="168">
        <f t="shared" si="1"/>
        <v>0</v>
      </c>
      <c r="K35" s="168">
        <f t="shared" si="2"/>
        <v>0</v>
      </c>
      <c r="L35" s="272"/>
      <c r="M35" s="555">
        <f t="shared" si="4"/>
        <v>13894.840200000006</v>
      </c>
      <c r="N35" s="61"/>
      <c r="O35" s="405"/>
    </row>
    <row r="36" spans="1:15" x14ac:dyDescent="0.25">
      <c r="A36" s="61">
        <v>36</v>
      </c>
      <c r="B36" s="532"/>
      <c r="C36" s="61"/>
      <c r="D36" s="61"/>
      <c r="E36" s="167"/>
      <c r="F36" s="61"/>
      <c r="G36" s="168">
        <v>0</v>
      </c>
      <c r="H36" s="167"/>
      <c r="I36" s="61"/>
      <c r="J36" s="168">
        <f t="shared" si="1"/>
        <v>0</v>
      </c>
      <c r="K36" s="168">
        <f t="shared" si="2"/>
        <v>0</v>
      </c>
      <c r="L36" s="272"/>
      <c r="M36" s="555">
        <f t="shared" si="4"/>
        <v>13894.840200000006</v>
      </c>
      <c r="N36" s="61"/>
      <c r="O36" s="405"/>
    </row>
    <row r="37" spans="1:15" x14ac:dyDescent="0.25">
      <c r="A37" s="61">
        <v>37</v>
      </c>
      <c r="B37" s="532"/>
      <c r="C37" s="61"/>
      <c r="D37" s="61"/>
      <c r="E37" s="167"/>
      <c r="F37" s="61"/>
      <c r="G37" s="168">
        <v>0</v>
      </c>
      <c r="H37" s="167"/>
      <c r="I37" s="61"/>
      <c r="J37" s="168">
        <f t="shared" si="1"/>
        <v>0</v>
      </c>
      <c r="K37" s="168">
        <f t="shared" si="2"/>
        <v>0</v>
      </c>
      <c r="L37" s="272"/>
      <c r="M37" s="555">
        <f t="shared" si="4"/>
        <v>13894.840200000006</v>
      </c>
      <c r="N37" s="61"/>
      <c r="O37" s="405"/>
    </row>
    <row r="38" spans="1:15" x14ac:dyDescent="0.25">
      <c r="A38" s="61">
        <v>38</v>
      </c>
      <c r="B38" s="532"/>
      <c r="C38" s="61"/>
      <c r="D38" s="61"/>
      <c r="E38" s="167"/>
      <c r="F38" s="61"/>
      <c r="G38" s="168">
        <v>0</v>
      </c>
      <c r="H38" s="167"/>
      <c r="I38" s="61"/>
      <c r="J38" s="168">
        <f t="shared" si="1"/>
        <v>0</v>
      </c>
      <c r="K38" s="168">
        <f t="shared" si="2"/>
        <v>0</v>
      </c>
      <c r="L38" s="272"/>
      <c r="M38" s="555">
        <f t="shared" si="4"/>
        <v>13894.840200000006</v>
      </c>
      <c r="N38" s="61"/>
      <c r="O38" s="405"/>
    </row>
    <row r="39" spans="1:15" x14ac:dyDescent="0.25">
      <c r="A39" s="534">
        <v>39</v>
      </c>
      <c r="B39" s="533"/>
      <c r="C39" s="534"/>
      <c r="D39" s="61"/>
      <c r="E39" s="167"/>
      <c r="F39" s="61"/>
      <c r="G39" s="168">
        <v>0</v>
      </c>
      <c r="H39" s="167"/>
      <c r="I39" s="61"/>
      <c r="J39" s="168">
        <f t="shared" si="1"/>
        <v>0</v>
      </c>
      <c r="K39" s="168">
        <f t="shared" si="2"/>
        <v>0</v>
      </c>
      <c r="L39" s="272"/>
      <c r="M39" s="555">
        <f t="shared" si="4"/>
        <v>13894.840200000006</v>
      </c>
      <c r="N39" s="534"/>
      <c r="O39" s="405"/>
    </row>
    <row r="40" spans="1:15" x14ac:dyDescent="0.25">
      <c r="A40" s="61">
        <v>40</v>
      </c>
      <c r="B40" s="61"/>
      <c r="C40" s="61"/>
      <c r="D40" s="61"/>
      <c r="E40" s="167"/>
      <c r="F40" s="61"/>
      <c r="G40" s="168">
        <v>0</v>
      </c>
      <c r="H40" s="167"/>
      <c r="I40" s="61"/>
      <c r="J40" s="168">
        <f t="shared" si="1"/>
        <v>0</v>
      </c>
      <c r="K40" s="168">
        <f t="shared" si="2"/>
        <v>0</v>
      </c>
      <c r="L40" s="272"/>
      <c r="M40" s="555">
        <f t="shared" si="4"/>
        <v>13894.840200000006</v>
      </c>
      <c r="N40" s="61"/>
      <c r="O40" s="405"/>
    </row>
    <row r="41" spans="1:15" x14ac:dyDescent="0.25">
      <c r="A41" s="534">
        <v>41</v>
      </c>
      <c r="B41" s="534"/>
      <c r="C41" s="534"/>
      <c r="D41" s="61"/>
      <c r="E41" s="167"/>
      <c r="F41" s="61"/>
      <c r="G41" s="168">
        <v>0</v>
      </c>
      <c r="H41" s="167"/>
      <c r="I41" s="61"/>
      <c r="J41" s="168">
        <f t="shared" si="1"/>
        <v>0</v>
      </c>
      <c r="K41" s="168">
        <f t="shared" si="2"/>
        <v>0</v>
      </c>
      <c r="L41" s="272"/>
      <c r="M41" s="555">
        <f t="shared" si="4"/>
        <v>13894.840200000006</v>
      </c>
      <c r="N41" s="534"/>
      <c r="O41" s="405"/>
    </row>
    <row r="42" spans="1:15" x14ac:dyDescent="0.25">
      <c r="A42" s="534">
        <v>42</v>
      </c>
      <c r="B42" s="534"/>
      <c r="C42" s="534"/>
      <c r="D42" s="61"/>
      <c r="E42" s="167"/>
      <c r="F42" s="61"/>
      <c r="G42" s="168">
        <f t="shared" ref="G42" si="5">E42*F42</f>
        <v>0</v>
      </c>
      <c r="H42" s="167"/>
      <c r="I42" s="61"/>
      <c r="J42" s="168">
        <f t="shared" ref="J42" si="6">H42*I42</f>
        <v>0</v>
      </c>
      <c r="K42" s="268">
        <f t="shared" ref="K42" si="7">G42+J42</f>
        <v>0</v>
      </c>
      <c r="L42" s="548"/>
      <c r="M42" s="555">
        <f t="shared" si="4"/>
        <v>13894.840200000006</v>
      </c>
      <c r="N42" s="534"/>
      <c r="O42" s="405"/>
    </row>
    <row r="43" spans="1:15" x14ac:dyDescent="0.25">
      <c r="A43" s="169"/>
      <c r="B43" s="169"/>
      <c r="C43" s="169"/>
      <c r="D43" s="169"/>
      <c r="E43" s="171">
        <f>SUM(E4:E42)</f>
        <v>174.75</v>
      </c>
      <c r="F43" s="171"/>
      <c r="G43" s="171">
        <f>SUM(G4:G42)</f>
        <v>17349.18</v>
      </c>
      <c r="H43" s="171">
        <f>SUM(H4:H42)</f>
        <v>22.29</v>
      </c>
      <c r="I43" s="171"/>
      <c r="J43" s="171">
        <f>SUM(J4:J42)</f>
        <v>2482.6602</v>
      </c>
      <c r="K43" s="171">
        <f>SUM(K4:K42)</f>
        <v>19831.840200000002</v>
      </c>
      <c r="L43" s="171">
        <f>SUM(L4:L42)</f>
        <v>29000</v>
      </c>
      <c r="M43" s="171"/>
      <c r="N43" s="171"/>
      <c r="O43" s="208"/>
    </row>
    <row r="44" spans="1:15" x14ac:dyDescent="0.25">
      <c r="A44" s="405"/>
      <c r="B44" s="405"/>
      <c r="C44" s="405"/>
      <c r="D44" s="405"/>
      <c r="E44" s="405"/>
      <c r="F44" s="405"/>
      <c r="G44" s="409"/>
      <c r="H44" s="405"/>
      <c r="I44" s="405"/>
      <c r="J44" s="409"/>
      <c r="K44" s="405"/>
      <c r="L44" s="409"/>
      <c r="M44" s="409"/>
      <c r="N44" s="405"/>
      <c r="O44" s="405"/>
    </row>
    <row r="45" spans="1:15" x14ac:dyDescent="0.25">
      <c r="A45" s="405"/>
      <c r="B45" s="405"/>
      <c r="C45" s="405"/>
      <c r="D45" s="405"/>
      <c r="E45" s="405"/>
      <c r="F45" s="405"/>
      <c r="G45" s="409"/>
      <c r="H45" s="405"/>
      <c r="I45" s="405"/>
      <c r="J45" s="409"/>
      <c r="K45" s="405"/>
      <c r="L45" s="409"/>
      <c r="M45" s="409"/>
      <c r="N45" s="405"/>
      <c r="O45" s="405"/>
    </row>
    <row r="47" spans="12:12" x14ac:dyDescent="0.25">
      <c r="L47" s="258"/>
    </row>
  </sheetData>
  <mergeCells count="2">
    <mergeCell ref="A1:N1"/>
    <mergeCell ref="A3:L3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 zoomScale="100" zoomScaleNormal="100">
      <pane ySplit="3" topLeftCell="A4" activePane="bottomLeft" state="frozen"/>
      <selection pane="bottomLeft" activeCell="L12" sqref="L12"/>
    </sheetView>
  </sheetViews>
  <sheetFormatPr defaultRowHeight="15" outlineLevelRow="0" outlineLevelCol="0" x14ac:dyDescent="0"/>
  <cols>
    <col min="2" max="2" width="14.42578125" customWidth="1"/>
    <col min="4" max="4" width="19.140625" customWidth="1"/>
    <col min="5" max="5" width="17.7109375" customWidth="1"/>
    <col min="6" max="6" width="12.28515625" customWidth="1"/>
    <col min="7" max="7" width="12.85546875" style="114" customWidth="1"/>
    <col min="8" max="8" width="12" style="114" customWidth="1"/>
    <col min="9" max="9" width="9.140625" style="114" customWidth="1"/>
    <col min="10" max="10" width="11.140625" style="114" customWidth="1"/>
    <col min="11" max="11" width="12" style="114" customWidth="1"/>
    <col min="12" max="12" width="11.85546875" style="114" customWidth="1"/>
    <col min="13" max="13" width="13.85546875" customWidth="1"/>
  </cols>
  <sheetData>
    <row r="1" ht="15.75" customHeight="1" spans="1:14" x14ac:dyDescent="0.25">
      <c r="A1" s="286" t="s">
        <v>126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</row>
    <row r="2" spans="1:14" x14ac:dyDescent="0.25">
      <c r="A2" s="173" t="s">
        <v>0</v>
      </c>
      <c r="B2" s="174" t="s">
        <v>167</v>
      </c>
      <c r="C2" s="174" t="s">
        <v>168</v>
      </c>
      <c r="D2" s="174" t="s">
        <v>189</v>
      </c>
      <c r="E2" s="174" t="s">
        <v>170</v>
      </c>
      <c r="F2" s="174" t="s">
        <v>171</v>
      </c>
      <c r="G2" s="396" t="s">
        <v>172</v>
      </c>
      <c r="H2" s="396" t="s">
        <v>173</v>
      </c>
      <c r="I2" s="396" t="s">
        <v>171</v>
      </c>
      <c r="J2" s="396" t="s">
        <v>172</v>
      </c>
      <c r="K2" s="381" t="s">
        <v>174</v>
      </c>
      <c r="L2" s="381" t="s">
        <v>175</v>
      </c>
      <c r="M2" s="179" t="s">
        <v>190</v>
      </c>
      <c r="N2" s="180" t="s">
        <v>177</v>
      </c>
    </row>
    <row r="3" spans="1:14" x14ac:dyDescent="0.25">
      <c r="A3" s="397" t="s">
        <v>178</v>
      </c>
      <c r="B3" s="398"/>
      <c r="C3" s="398"/>
      <c r="D3" s="398"/>
      <c r="E3" s="398"/>
      <c r="F3" s="398"/>
      <c r="G3" s="398"/>
      <c r="H3" s="398"/>
      <c r="I3" s="398"/>
      <c r="J3" s="399"/>
      <c r="K3" s="400"/>
      <c r="L3" s="400"/>
      <c r="M3" s="401">
        <f>+K3</f>
        <v>0</v>
      </c>
      <c r="N3" s="217"/>
    </row>
    <row r="4" spans="1:14" x14ac:dyDescent="0.25">
      <c r="A4" s="115">
        <v>1</v>
      </c>
      <c r="B4" s="116">
        <v>46296</v>
      </c>
      <c r="C4" s="37"/>
      <c r="D4" s="37"/>
      <c r="E4" s="13"/>
      <c r="F4" s="13"/>
      <c r="G4" s="385">
        <f>E4*F4</f>
        <v>0</v>
      </c>
      <c r="H4" s="187"/>
      <c r="I4" s="385"/>
      <c r="J4" s="385">
        <f>H4*I4</f>
        <v>0</v>
      </c>
      <c r="K4" s="385">
        <f>G4+J4</f>
        <v>0</v>
      </c>
      <c r="L4" s="385"/>
      <c r="M4" s="402">
        <f>M3+K4-L4</f>
        <v>0</v>
      </c>
      <c r="N4" s="37"/>
    </row>
    <row r="5" spans="1:14" x14ac:dyDescent="0.25">
      <c r="A5" s="115">
        <v>2</v>
      </c>
      <c r="B5" s="116">
        <v>46297</v>
      </c>
      <c r="C5" s="37"/>
      <c r="D5" s="37"/>
      <c r="E5" s="13"/>
      <c r="F5" s="13"/>
      <c r="G5" s="385">
        <f t="shared" ref="G5:G32" si="0">E5*F5</f>
        <v>0</v>
      </c>
      <c r="H5" s="187"/>
      <c r="I5" s="385"/>
      <c r="J5" s="385">
        <f>H5*I5</f>
        <v>0</v>
      </c>
      <c r="K5" s="385">
        <f t="shared" ref="K5:L34" si="1">G5+J5</f>
        <v>0</v>
      </c>
      <c r="L5" s="385"/>
      <c r="M5" s="402">
        <f t="shared" ref="M5:M34" si="2">M4+K5-L5</f>
        <v>0</v>
      </c>
      <c r="N5" s="37"/>
    </row>
    <row r="6" spans="1:14" x14ac:dyDescent="0.25">
      <c r="A6" s="115">
        <v>3</v>
      </c>
      <c r="B6" s="116">
        <v>46298</v>
      </c>
      <c r="C6" s="37"/>
      <c r="D6" s="37"/>
      <c r="E6" s="13"/>
      <c r="F6" s="13"/>
      <c r="G6" s="385">
        <f t="shared" si="0"/>
        <v>0</v>
      </c>
      <c r="H6" s="187"/>
      <c r="I6" s="385"/>
      <c r="J6" s="385">
        <f t="shared" ref="J6:J34" si="3">H6*I6</f>
        <v>0</v>
      </c>
      <c r="K6" s="385">
        <f t="shared" si="1"/>
        <v>0</v>
      </c>
      <c r="L6" s="385"/>
      <c r="M6" s="402">
        <f t="shared" si="2"/>
        <v>0</v>
      </c>
      <c r="N6" s="37"/>
    </row>
    <row r="7" spans="1:14" x14ac:dyDescent="0.25">
      <c r="A7" s="115">
        <v>4</v>
      </c>
      <c r="B7" s="116">
        <v>46299</v>
      </c>
      <c r="C7" s="37"/>
      <c r="D7" s="37"/>
      <c r="E7" s="13"/>
      <c r="F7" s="13"/>
      <c r="G7" s="385">
        <f t="shared" si="0"/>
        <v>0</v>
      </c>
      <c r="H7" s="187"/>
      <c r="I7" s="187"/>
      <c r="J7" s="385">
        <f t="shared" si="3"/>
        <v>0</v>
      </c>
      <c r="K7" s="385">
        <f t="shared" si="1"/>
        <v>0</v>
      </c>
      <c r="L7" s="385"/>
      <c r="M7" s="402">
        <f t="shared" si="2"/>
        <v>0</v>
      </c>
      <c r="N7" s="37"/>
    </row>
    <row r="8" spans="1:14" x14ac:dyDescent="0.25">
      <c r="A8" s="115">
        <v>5</v>
      </c>
      <c r="B8" s="116">
        <v>46300</v>
      </c>
      <c r="C8" s="37"/>
      <c r="D8" s="37"/>
      <c r="E8" s="13"/>
      <c r="F8" s="13"/>
      <c r="G8" s="385">
        <f t="shared" si="0"/>
        <v>0</v>
      </c>
      <c r="H8" s="187"/>
      <c r="I8" s="385"/>
      <c r="J8" s="385">
        <f t="shared" si="3"/>
        <v>0</v>
      </c>
      <c r="K8" s="385">
        <f t="shared" si="1"/>
        <v>0</v>
      </c>
      <c r="L8" s="385"/>
      <c r="M8" s="402">
        <f t="shared" si="2"/>
        <v>0</v>
      </c>
      <c r="N8" s="37"/>
    </row>
    <row r="9" spans="1:14" x14ac:dyDescent="0.25">
      <c r="A9" s="115">
        <v>6</v>
      </c>
      <c r="B9" s="116">
        <v>46301</v>
      </c>
      <c r="C9" s="37"/>
      <c r="D9" s="37"/>
      <c r="E9" s="13"/>
      <c r="F9" s="13"/>
      <c r="G9" s="385">
        <f t="shared" si="0"/>
        <v>0</v>
      </c>
      <c r="H9" s="187"/>
      <c r="I9" s="385"/>
      <c r="J9" s="385">
        <f t="shared" si="3"/>
        <v>0</v>
      </c>
      <c r="K9" s="385">
        <f t="shared" si="1"/>
        <v>0</v>
      </c>
      <c r="L9" s="385"/>
      <c r="M9" s="402">
        <f t="shared" si="2"/>
        <v>0</v>
      </c>
      <c r="N9" s="37"/>
    </row>
    <row r="10" spans="1:14" x14ac:dyDescent="0.25">
      <c r="A10" s="115">
        <v>7</v>
      </c>
      <c r="B10" s="116">
        <v>46302</v>
      </c>
      <c r="C10" s="37"/>
      <c r="D10" s="37"/>
      <c r="E10" s="13"/>
      <c r="F10" s="13"/>
      <c r="G10" s="385">
        <f t="shared" si="0"/>
        <v>0</v>
      </c>
      <c r="H10" s="187"/>
      <c r="I10" s="385"/>
      <c r="J10" s="385">
        <f t="shared" si="3"/>
        <v>0</v>
      </c>
      <c r="K10" s="385">
        <f t="shared" si="1"/>
        <v>0</v>
      </c>
      <c r="L10" s="385"/>
      <c r="M10" s="402">
        <f t="shared" si="2"/>
        <v>0</v>
      </c>
      <c r="N10" s="37"/>
    </row>
    <row r="11" spans="1:14" x14ac:dyDescent="0.25">
      <c r="A11" s="115">
        <v>8</v>
      </c>
      <c r="B11" s="116">
        <v>46303</v>
      </c>
      <c r="C11" s="37"/>
      <c r="D11" s="37"/>
      <c r="E11" s="13"/>
      <c r="F11" s="13"/>
      <c r="G11" s="385">
        <f t="shared" si="0"/>
        <v>0</v>
      </c>
      <c r="H11" s="187"/>
      <c r="I11" s="385"/>
      <c r="J11" s="385">
        <f t="shared" si="3"/>
        <v>0</v>
      </c>
      <c r="K11" s="385">
        <f t="shared" si="1"/>
        <v>0</v>
      </c>
      <c r="L11" s="385"/>
      <c r="M11" s="402">
        <f t="shared" si="2"/>
        <v>0</v>
      </c>
      <c r="N11" s="37"/>
    </row>
    <row r="12" spans="1:14" x14ac:dyDescent="0.25">
      <c r="A12" s="115">
        <v>9</v>
      </c>
      <c r="B12" s="116">
        <v>46304</v>
      </c>
      <c r="C12" s="37"/>
      <c r="D12" s="37"/>
      <c r="E12" s="13">
        <v>30</v>
      </c>
      <c r="F12" s="13">
        <v>99.41</v>
      </c>
      <c r="G12" s="385">
        <f t="shared" si="0"/>
        <v>2982.2999999999997</v>
      </c>
      <c r="H12" s="187"/>
      <c r="I12" s="385"/>
      <c r="J12" s="385">
        <f t="shared" si="3"/>
        <v>0</v>
      </c>
      <c r="K12" s="385">
        <f t="shared" si="1"/>
        <v>2982.2999999999997</v>
      </c>
      <c r="L12" s="385">
        <v>2982.2999999999997</v>
      </c>
      <c r="M12" s="402">
        <f t="shared" si="2"/>
        <v>0</v>
      </c>
      <c r="N12" s="37"/>
    </row>
    <row r="13" spans="1:14" x14ac:dyDescent="0.25">
      <c r="A13" s="115">
        <v>10</v>
      </c>
      <c r="B13" s="116">
        <v>46305</v>
      </c>
      <c r="C13" s="37"/>
      <c r="D13" s="37"/>
      <c r="E13" s="13"/>
      <c r="F13" s="13"/>
      <c r="G13" s="385">
        <f t="shared" si="0"/>
        <v>0</v>
      </c>
      <c r="H13" s="187"/>
      <c r="I13" s="385"/>
      <c r="J13" s="385">
        <f t="shared" si="3"/>
        <v>0</v>
      </c>
      <c r="K13" s="385">
        <f t="shared" si="1"/>
        <v>0</v>
      </c>
      <c r="L13" s="385"/>
      <c r="M13" s="402">
        <f t="shared" si="2"/>
        <v>0</v>
      </c>
      <c r="N13" s="37"/>
    </row>
    <row r="14" spans="1:14" x14ac:dyDescent="0.25">
      <c r="A14" s="115">
        <v>11</v>
      </c>
      <c r="B14" s="116">
        <v>46306</v>
      </c>
      <c r="C14" s="37"/>
      <c r="D14" s="37"/>
      <c r="E14" s="13"/>
      <c r="F14" s="13"/>
      <c r="G14" s="385">
        <f t="shared" si="0"/>
        <v>0</v>
      </c>
      <c r="H14" s="187"/>
      <c r="I14" s="385"/>
      <c r="J14" s="385">
        <f t="shared" si="3"/>
        <v>0</v>
      </c>
      <c r="K14" s="385">
        <f t="shared" si="1"/>
        <v>0</v>
      </c>
      <c r="L14" s="385"/>
      <c r="M14" s="402">
        <f t="shared" si="2"/>
        <v>0</v>
      </c>
      <c r="N14" s="37"/>
    </row>
    <row r="15" spans="1:14" x14ac:dyDescent="0.25">
      <c r="A15" s="115">
        <v>12</v>
      </c>
      <c r="B15" s="116">
        <v>46307</v>
      </c>
      <c r="C15" s="37"/>
      <c r="D15" s="37"/>
      <c r="E15" s="13"/>
      <c r="F15" s="13"/>
      <c r="G15" s="385">
        <f t="shared" si="0"/>
        <v>0</v>
      </c>
      <c r="H15" s="187"/>
      <c r="I15" s="385"/>
      <c r="J15" s="385">
        <f t="shared" si="3"/>
        <v>0</v>
      </c>
      <c r="K15" s="385">
        <f t="shared" si="1"/>
        <v>0</v>
      </c>
      <c r="L15" s="385"/>
      <c r="M15" s="402">
        <f t="shared" si="2"/>
        <v>0</v>
      </c>
      <c r="N15" s="37"/>
    </row>
    <row r="16" spans="1:14" x14ac:dyDescent="0.25">
      <c r="A16" s="115">
        <v>13</v>
      </c>
      <c r="B16" s="116">
        <v>46308</v>
      </c>
      <c r="C16" s="37"/>
      <c r="D16" s="37"/>
      <c r="E16" s="13"/>
      <c r="F16" s="13"/>
      <c r="G16" s="385">
        <f t="shared" si="0"/>
        <v>0</v>
      </c>
      <c r="H16" s="187"/>
      <c r="I16" s="385"/>
      <c r="J16" s="385">
        <f t="shared" si="3"/>
        <v>0</v>
      </c>
      <c r="K16" s="385">
        <f t="shared" si="1"/>
        <v>0</v>
      </c>
      <c r="L16" s="385"/>
      <c r="M16" s="402">
        <f t="shared" si="2"/>
        <v>0</v>
      </c>
      <c r="N16" s="37"/>
    </row>
    <row r="17" spans="1:14" x14ac:dyDescent="0.25">
      <c r="A17" s="115">
        <v>14</v>
      </c>
      <c r="B17" s="116">
        <v>46309</v>
      </c>
      <c r="C17" s="37"/>
      <c r="D17" s="37"/>
      <c r="E17" s="13"/>
      <c r="F17" s="13"/>
      <c r="G17" s="385">
        <f t="shared" si="0"/>
        <v>0</v>
      </c>
      <c r="H17" s="187"/>
      <c r="I17" s="385"/>
      <c r="J17" s="385">
        <f t="shared" si="3"/>
        <v>0</v>
      </c>
      <c r="K17" s="385">
        <f t="shared" si="1"/>
        <v>0</v>
      </c>
      <c r="L17" s="385"/>
      <c r="M17" s="402">
        <f t="shared" si="2"/>
        <v>0</v>
      </c>
      <c r="N17" s="37"/>
    </row>
    <row r="18" spans="1:14" x14ac:dyDescent="0.25">
      <c r="A18" s="115">
        <v>15</v>
      </c>
      <c r="B18" s="116">
        <v>46310</v>
      </c>
      <c r="C18" s="37"/>
      <c r="D18" s="37"/>
      <c r="E18" s="13"/>
      <c r="F18" s="13"/>
      <c r="G18" s="385">
        <f t="shared" si="0"/>
        <v>0</v>
      </c>
      <c r="H18" s="187"/>
      <c r="I18" s="385"/>
      <c r="J18" s="385">
        <f t="shared" si="3"/>
        <v>0</v>
      </c>
      <c r="K18" s="385">
        <f t="shared" si="1"/>
        <v>0</v>
      </c>
      <c r="L18" s="385"/>
      <c r="M18" s="402">
        <f t="shared" si="2"/>
        <v>0</v>
      </c>
      <c r="N18" s="113"/>
    </row>
    <row r="19" spans="1:14" x14ac:dyDescent="0.25">
      <c r="A19" s="115">
        <v>16</v>
      </c>
      <c r="B19" s="116">
        <v>46311</v>
      </c>
      <c r="C19" s="37"/>
      <c r="D19" s="37"/>
      <c r="E19" s="13"/>
      <c r="F19" s="13"/>
      <c r="G19" s="385">
        <f t="shared" si="0"/>
        <v>0</v>
      </c>
      <c r="H19" s="187"/>
      <c r="I19" s="385"/>
      <c r="J19" s="385">
        <f t="shared" si="3"/>
        <v>0</v>
      </c>
      <c r="K19" s="385">
        <f t="shared" si="1"/>
        <v>0</v>
      </c>
      <c r="L19" s="385"/>
      <c r="M19" s="402">
        <f t="shared" si="2"/>
        <v>0</v>
      </c>
      <c r="N19" s="37"/>
    </row>
    <row r="20" spans="1:14" x14ac:dyDescent="0.25">
      <c r="A20" s="115">
        <v>17</v>
      </c>
      <c r="B20" s="116">
        <v>46312</v>
      </c>
      <c r="C20" s="37"/>
      <c r="D20" s="37"/>
      <c r="E20" s="13"/>
      <c r="F20" s="13"/>
      <c r="G20" s="385">
        <f t="shared" si="0"/>
        <v>0</v>
      </c>
      <c r="H20" s="187"/>
      <c r="I20" s="385"/>
      <c r="J20" s="385">
        <f t="shared" si="3"/>
        <v>0</v>
      </c>
      <c r="K20" s="385">
        <f t="shared" si="1"/>
        <v>0</v>
      </c>
      <c r="L20" s="385"/>
      <c r="M20" s="402">
        <f t="shared" si="2"/>
        <v>0</v>
      </c>
      <c r="N20" s="37"/>
    </row>
    <row r="21" spans="1:14" x14ac:dyDescent="0.25">
      <c r="A21" s="115">
        <v>18</v>
      </c>
      <c r="B21" s="116">
        <v>46313</v>
      </c>
      <c r="C21" s="37"/>
      <c r="D21" s="37"/>
      <c r="E21" s="13"/>
      <c r="F21" s="13"/>
      <c r="G21" s="385">
        <f t="shared" si="0"/>
        <v>0</v>
      </c>
      <c r="H21" s="187"/>
      <c r="I21" s="385"/>
      <c r="J21" s="385">
        <f t="shared" si="3"/>
        <v>0</v>
      </c>
      <c r="K21" s="385">
        <f t="shared" si="1"/>
        <v>0</v>
      </c>
      <c r="L21" s="385"/>
      <c r="M21" s="402">
        <f t="shared" si="2"/>
        <v>0</v>
      </c>
      <c r="N21" s="37"/>
    </row>
    <row r="22" spans="1:14" x14ac:dyDescent="0.25">
      <c r="A22" s="115">
        <v>19</v>
      </c>
      <c r="B22" s="116">
        <v>46314</v>
      </c>
      <c r="C22" s="37"/>
      <c r="D22" s="37"/>
      <c r="E22" s="13"/>
      <c r="F22" s="13"/>
      <c r="G22" s="385">
        <f t="shared" si="0"/>
        <v>0</v>
      </c>
      <c r="H22" s="187"/>
      <c r="I22" s="385"/>
      <c r="J22" s="385">
        <f t="shared" si="3"/>
        <v>0</v>
      </c>
      <c r="K22" s="385">
        <f t="shared" si="1"/>
        <v>0</v>
      </c>
      <c r="L22" s="385"/>
      <c r="M22" s="402">
        <f t="shared" si="2"/>
        <v>0</v>
      </c>
      <c r="N22" s="37"/>
    </row>
    <row r="23" spans="1:14" x14ac:dyDescent="0.25">
      <c r="A23" s="115">
        <v>20</v>
      </c>
      <c r="B23" s="116">
        <v>46315</v>
      </c>
      <c r="C23" s="37"/>
      <c r="D23" s="37"/>
      <c r="E23" s="13"/>
      <c r="F23" s="13"/>
      <c r="G23" s="385">
        <f t="shared" si="0"/>
        <v>0</v>
      </c>
      <c r="H23" s="187"/>
      <c r="I23" s="385"/>
      <c r="J23" s="385">
        <f t="shared" si="3"/>
        <v>0</v>
      </c>
      <c r="K23" s="385">
        <f t="shared" si="1"/>
        <v>0</v>
      </c>
      <c r="L23" s="385"/>
      <c r="M23" s="402">
        <f t="shared" si="2"/>
        <v>0</v>
      </c>
      <c r="N23" s="37"/>
    </row>
    <row r="24" spans="1:14" x14ac:dyDescent="0.25">
      <c r="A24" s="115">
        <v>21</v>
      </c>
      <c r="B24" s="116">
        <v>46316</v>
      </c>
      <c r="C24" s="37"/>
      <c r="D24" s="37"/>
      <c r="E24" s="13"/>
      <c r="F24" s="13"/>
      <c r="G24" s="385">
        <f t="shared" si="0"/>
        <v>0</v>
      </c>
      <c r="H24" s="187"/>
      <c r="I24" s="385"/>
      <c r="J24" s="385">
        <f t="shared" si="3"/>
        <v>0</v>
      </c>
      <c r="K24" s="385">
        <f t="shared" si="1"/>
        <v>0</v>
      </c>
      <c r="L24" s="385"/>
      <c r="M24" s="402">
        <f t="shared" si="2"/>
        <v>0</v>
      </c>
      <c r="N24" s="37"/>
    </row>
    <row r="25" spans="1:14" x14ac:dyDescent="0.25">
      <c r="A25" s="115">
        <v>22</v>
      </c>
      <c r="B25" s="116">
        <v>46317</v>
      </c>
      <c r="C25" s="37"/>
      <c r="D25" s="37"/>
      <c r="E25" s="13"/>
      <c r="F25" s="13"/>
      <c r="G25" s="385">
        <f t="shared" si="0"/>
        <v>0</v>
      </c>
      <c r="H25" s="187"/>
      <c r="I25" s="385"/>
      <c r="J25" s="385">
        <f t="shared" si="3"/>
        <v>0</v>
      </c>
      <c r="K25" s="385">
        <f t="shared" si="1"/>
        <v>0</v>
      </c>
      <c r="L25" s="385"/>
      <c r="M25" s="402">
        <f t="shared" si="2"/>
        <v>0</v>
      </c>
      <c r="N25" s="37"/>
    </row>
    <row r="26" spans="1:14" x14ac:dyDescent="0.25">
      <c r="A26" s="115">
        <v>23</v>
      </c>
      <c r="B26" s="116">
        <v>46318</v>
      </c>
      <c r="C26" s="37"/>
      <c r="D26" s="37"/>
      <c r="E26" s="13"/>
      <c r="F26" s="13"/>
      <c r="G26" s="385">
        <f t="shared" si="0"/>
        <v>0</v>
      </c>
      <c r="H26" s="187"/>
      <c r="I26" s="385"/>
      <c r="J26" s="385">
        <f t="shared" si="3"/>
        <v>0</v>
      </c>
      <c r="K26" s="385">
        <f t="shared" si="1"/>
        <v>0</v>
      </c>
      <c r="L26" s="385"/>
      <c r="M26" s="402">
        <f t="shared" si="2"/>
        <v>0</v>
      </c>
      <c r="N26" s="261"/>
    </row>
    <row r="27" spans="1:14" x14ac:dyDescent="0.25">
      <c r="A27" s="115">
        <v>24</v>
      </c>
      <c r="B27" s="116">
        <v>46319</v>
      </c>
      <c r="C27" s="37"/>
      <c r="D27" s="37"/>
      <c r="E27" s="13"/>
      <c r="F27" s="13"/>
      <c r="G27" s="385">
        <f t="shared" si="0"/>
        <v>0</v>
      </c>
      <c r="H27" s="187"/>
      <c r="I27" s="385"/>
      <c r="J27" s="385">
        <f t="shared" si="3"/>
        <v>0</v>
      </c>
      <c r="K27" s="385">
        <f t="shared" ref="K27:K33" si="4">G27+J27</f>
        <v>0</v>
      </c>
      <c r="L27" s="385"/>
      <c r="M27" s="402">
        <f t="shared" si="2"/>
        <v>0</v>
      </c>
      <c r="N27" s="37"/>
    </row>
    <row r="28" spans="1:14" x14ac:dyDescent="0.25">
      <c r="A28" s="115">
        <v>25</v>
      </c>
      <c r="B28" s="116">
        <v>46320</v>
      </c>
      <c r="C28" s="37"/>
      <c r="D28" s="37"/>
      <c r="E28" s="13"/>
      <c r="F28" s="13"/>
      <c r="G28" s="385">
        <f t="shared" si="0"/>
        <v>0</v>
      </c>
      <c r="H28" s="187"/>
      <c r="I28" s="385"/>
      <c r="J28" s="385">
        <f t="shared" si="3"/>
        <v>0</v>
      </c>
      <c r="K28" s="385">
        <f t="shared" si="4"/>
        <v>0</v>
      </c>
      <c r="L28" s="385"/>
      <c r="M28" s="402">
        <f t="shared" si="2"/>
        <v>0</v>
      </c>
      <c r="N28" s="37"/>
    </row>
    <row r="29" spans="1:14" x14ac:dyDescent="0.25">
      <c r="A29" s="115">
        <v>26</v>
      </c>
      <c r="B29" s="116">
        <v>46321</v>
      </c>
      <c r="C29" s="37"/>
      <c r="D29" s="37"/>
      <c r="E29" s="13"/>
      <c r="F29" s="13"/>
      <c r="G29" s="385">
        <f t="shared" si="0"/>
        <v>0</v>
      </c>
      <c r="H29" s="187"/>
      <c r="I29" s="385"/>
      <c r="J29" s="385">
        <f t="shared" si="3"/>
        <v>0</v>
      </c>
      <c r="K29" s="385">
        <f t="shared" si="4"/>
        <v>0</v>
      </c>
      <c r="L29" s="385"/>
      <c r="M29" s="402">
        <f t="shared" si="2"/>
        <v>0</v>
      </c>
      <c r="N29" s="37"/>
    </row>
    <row r="30" spans="1:14" x14ac:dyDescent="0.25">
      <c r="A30" s="115">
        <v>27</v>
      </c>
      <c r="B30" s="116">
        <v>46322</v>
      </c>
      <c r="C30" s="37"/>
      <c r="D30" s="37"/>
      <c r="E30" s="13"/>
      <c r="F30" s="13"/>
      <c r="G30" s="385">
        <f t="shared" si="0"/>
        <v>0</v>
      </c>
      <c r="H30" s="187"/>
      <c r="I30" s="385"/>
      <c r="J30" s="385">
        <f t="shared" si="3"/>
        <v>0</v>
      </c>
      <c r="K30" s="385">
        <f t="shared" si="4"/>
        <v>0</v>
      </c>
      <c r="L30" s="385"/>
      <c r="M30" s="402">
        <f t="shared" si="2"/>
        <v>0</v>
      </c>
      <c r="N30" s="37"/>
    </row>
    <row r="31" spans="1:14" x14ac:dyDescent="0.25">
      <c r="A31" s="403">
        <v>28</v>
      </c>
      <c r="B31" s="116">
        <v>46323</v>
      </c>
      <c r="C31" s="37"/>
      <c r="D31" s="37"/>
      <c r="E31" s="13"/>
      <c r="F31" s="13"/>
      <c r="G31" s="385">
        <f t="shared" si="0"/>
        <v>0</v>
      </c>
      <c r="H31" s="187"/>
      <c r="I31" s="385"/>
      <c r="J31" s="385">
        <f t="shared" si="3"/>
        <v>0</v>
      </c>
      <c r="K31" s="385">
        <f t="shared" si="4"/>
        <v>0</v>
      </c>
      <c r="L31" s="385"/>
      <c r="M31" s="402">
        <f t="shared" si="2"/>
        <v>0</v>
      </c>
      <c r="N31" s="113"/>
    </row>
    <row r="32" spans="1:14" x14ac:dyDescent="0.25">
      <c r="A32" s="115">
        <v>29</v>
      </c>
      <c r="B32" s="116">
        <v>46324</v>
      </c>
      <c r="C32" s="37"/>
      <c r="D32" s="37"/>
      <c r="E32" s="13"/>
      <c r="F32" s="13"/>
      <c r="G32" s="385">
        <f t="shared" si="0"/>
        <v>0</v>
      </c>
      <c r="H32" s="187"/>
      <c r="I32" s="385"/>
      <c r="J32" s="385">
        <f t="shared" si="3"/>
        <v>0</v>
      </c>
      <c r="K32" s="385">
        <f t="shared" si="4"/>
        <v>0</v>
      </c>
      <c r="L32" s="385"/>
      <c r="M32" s="402">
        <f t="shared" si="2"/>
        <v>0</v>
      </c>
      <c r="N32" s="37"/>
    </row>
    <row r="33" spans="1:14" x14ac:dyDescent="0.25">
      <c r="A33" s="115">
        <v>30</v>
      </c>
      <c r="B33" s="116">
        <v>46325</v>
      </c>
      <c r="C33" s="37"/>
      <c r="D33" s="37"/>
      <c r="E33" s="13"/>
      <c r="F33" s="13"/>
      <c r="G33" s="385">
        <f t="shared" ref="G33:G34" si="5">E33*F33</f>
        <v>0</v>
      </c>
      <c r="H33" s="187"/>
      <c r="I33" s="385"/>
      <c r="J33" s="385">
        <f t="shared" si="3"/>
        <v>0</v>
      </c>
      <c r="K33" s="385">
        <f t="shared" si="4"/>
        <v>0</v>
      </c>
      <c r="L33" s="385"/>
      <c r="M33" s="402">
        <f t="shared" si="2"/>
        <v>0</v>
      </c>
      <c r="N33" s="37"/>
    </row>
    <row r="34" spans="1:14" x14ac:dyDescent="0.25">
      <c r="A34" s="115">
        <v>31</v>
      </c>
      <c r="B34" s="116">
        <v>46326</v>
      </c>
      <c r="C34" s="37"/>
      <c r="D34" s="37"/>
      <c r="E34" s="13"/>
      <c r="F34" s="13"/>
      <c r="G34" s="385">
        <f t="shared" si="5"/>
        <v>0</v>
      </c>
      <c r="H34" s="187"/>
      <c r="I34" s="385"/>
      <c r="J34" s="385">
        <f t="shared" si="3"/>
        <v>0</v>
      </c>
      <c r="K34" s="385">
        <f t="shared" si="1"/>
        <v>0</v>
      </c>
      <c r="L34" s="385"/>
      <c r="M34" s="402">
        <f t="shared" si="2"/>
        <v>0</v>
      </c>
      <c r="N34" s="37"/>
    </row>
    <row r="35" spans="1:14" x14ac:dyDescent="0.25">
      <c r="A35" s="404"/>
      <c r="B35" s="404"/>
      <c r="C35" s="404"/>
      <c r="D35" s="404"/>
      <c r="E35" s="404">
        <f>SUM(E4:E34)</f>
        <v>30</v>
      </c>
      <c r="F35" s="404"/>
      <c r="G35" s="404">
        <f>SUM(G4:G34)</f>
        <v>2982.2999999999997</v>
      </c>
      <c r="H35" s="404">
        <f>SUM(H4:H34)</f>
        <v>0</v>
      </c>
      <c r="I35" s="404"/>
      <c r="J35" s="404">
        <f>SUM(J4:J34)</f>
        <v>0</v>
      </c>
      <c r="K35" s="404">
        <f>SUM(K4:K34)</f>
        <v>2982.2999999999997</v>
      </c>
      <c r="L35" s="404">
        <f>SUM(L4:L34)</f>
        <v>2982.2999999999997</v>
      </c>
      <c r="M35" s="404"/>
      <c r="N35" s="404"/>
    </row>
  </sheetData>
  <mergeCells count="2">
    <mergeCell ref="A1:N1"/>
    <mergeCell ref="A3:J3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P43"/>
  <sheetViews>
    <sheetView workbookViewId="0" zoomScale="100" zoomScaleNormal="100">
      <pane ySplit="3" topLeftCell="A9" activePane="bottomLeft" state="frozen"/>
      <selection pane="bottomLeft" activeCell="L18" sqref="L18"/>
    </sheetView>
  </sheetViews>
  <sheetFormatPr defaultRowHeight="15" outlineLevelRow="0" outlineLevelCol="0" x14ac:dyDescent="0" defaultColWidth="12.140625"/>
  <cols>
    <col min="1" max="1" width="10.42578125" customWidth="1"/>
    <col min="11" max="11" width="13.5703125" customWidth="1"/>
    <col min="13" max="13" width="13.5703125" style="114" customWidth="1"/>
  </cols>
  <sheetData>
    <row r="1" ht="15.75" customHeight="1" spans="1:14" x14ac:dyDescent="0.25">
      <c r="A1" s="286" t="s">
        <v>142</v>
      </c>
      <c r="B1" s="286"/>
      <c r="C1" s="286"/>
      <c r="D1" s="286"/>
      <c r="E1" s="286"/>
      <c r="F1" s="286"/>
      <c r="G1" s="286"/>
      <c r="H1" s="286"/>
      <c r="I1" s="286"/>
      <c r="J1" s="417"/>
      <c r="K1" s="417"/>
      <c r="L1" s="417"/>
      <c r="M1" s="286"/>
      <c r="N1" s="286"/>
    </row>
    <row r="2" ht="30.75" customHeight="1" spans="1:14" x14ac:dyDescent="0.25">
      <c r="A2" s="173" t="s">
        <v>0</v>
      </c>
      <c r="B2" s="174" t="s">
        <v>167</v>
      </c>
      <c r="C2" s="174" t="s">
        <v>168</v>
      </c>
      <c r="D2" s="174" t="s">
        <v>169</v>
      </c>
      <c r="E2" s="174" t="s">
        <v>170</v>
      </c>
      <c r="F2" s="174" t="s">
        <v>171</v>
      </c>
      <c r="G2" s="496" t="s">
        <v>172</v>
      </c>
      <c r="H2" s="174" t="s">
        <v>173</v>
      </c>
      <c r="I2" s="497" t="s">
        <v>171</v>
      </c>
      <c r="J2" s="498" t="s">
        <v>172</v>
      </c>
      <c r="K2" s="122" t="s">
        <v>174</v>
      </c>
      <c r="L2" s="367" t="s">
        <v>175</v>
      </c>
      <c r="M2" s="499" t="s">
        <v>190</v>
      </c>
      <c r="N2" s="180" t="s">
        <v>177</v>
      </c>
    </row>
    <row r="3" spans="1:16" x14ac:dyDescent="0.25">
      <c r="A3" s="500"/>
      <c r="B3" s="37"/>
      <c r="C3" s="148" t="s">
        <v>178</v>
      </c>
      <c r="D3" s="150"/>
      <c r="E3" s="37"/>
      <c r="F3" s="37"/>
      <c r="G3" s="140"/>
      <c r="H3" s="37"/>
      <c r="I3" s="356"/>
      <c r="J3" s="140"/>
      <c r="K3" s="120">
        <v>458335.9371000016</v>
      </c>
      <c r="L3" s="120"/>
      <c r="M3" s="127">
        <v>458335.9371000016</v>
      </c>
      <c r="N3" s="37"/>
      <c r="P3" s="114"/>
    </row>
    <row r="4" spans="1:15" x14ac:dyDescent="0.25">
      <c r="A4" s="183">
        <v>1</v>
      </c>
      <c r="B4" s="184">
        <v>46296</v>
      </c>
      <c r="C4" s="261"/>
      <c r="D4" s="261"/>
      <c r="E4" s="501">
        <v>140.49</v>
      </c>
      <c r="F4" s="502">
        <v>99.29</v>
      </c>
      <c r="G4" s="503">
        <f t="shared" ref="G4:G38" si="0">E4*F4</f>
        <v>13949.252100000002</v>
      </c>
      <c r="H4" s="504"/>
      <c r="I4" s="505"/>
      <c r="J4" s="13">
        <f>H4*I4</f>
        <v>0</v>
      </c>
      <c r="K4" s="385">
        <f>G4+J4</f>
        <v>13949.252100000002</v>
      </c>
      <c r="L4" s="37"/>
      <c r="M4" s="506">
        <f>M3+K4-L4</f>
        <v>472285.1892000016</v>
      </c>
      <c r="N4" s="261"/>
      <c r="O4" s="114"/>
    </row>
    <row r="5" spans="1:14" x14ac:dyDescent="0.25">
      <c r="A5" s="189">
        <v>2</v>
      </c>
      <c r="B5" s="184">
        <v>46297</v>
      </c>
      <c r="C5" s="37"/>
      <c r="D5" s="37"/>
      <c r="E5" s="501">
        <v>700</v>
      </c>
      <c r="F5" s="502">
        <v>99.29</v>
      </c>
      <c r="G5" s="503">
        <f t="shared" ref="G5:G39" si="1">E5*F5</f>
        <v>69503</v>
      </c>
      <c r="H5" s="504"/>
      <c r="I5" s="505"/>
      <c r="J5" s="13">
        <f t="shared" ref="J5:J39" si="2">H5*I5</f>
        <v>0</v>
      </c>
      <c r="K5" s="385">
        <f t="shared" ref="K5:K41" si="3">G5+J5</f>
        <v>69503</v>
      </c>
      <c r="L5" s="37"/>
      <c r="M5" s="506">
        <f t="shared" ref="M5:M41" si="4">M4+K5-L5</f>
        <v>541788.1892000015</v>
      </c>
      <c r="N5" s="37"/>
    </row>
    <row r="6" spans="1:14" x14ac:dyDescent="0.25">
      <c r="A6" s="189">
        <v>3</v>
      </c>
      <c r="B6" s="184">
        <v>46298</v>
      </c>
      <c r="C6" s="37"/>
      <c r="D6" s="37"/>
      <c r="E6" s="504"/>
      <c r="F6" s="502"/>
      <c r="G6" s="503">
        <f t="shared" si="1"/>
        <v>0</v>
      </c>
      <c r="H6" s="504"/>
      <c r="I6" s="505"/>
      <c r="J6" s="13">
        <f t="shared" si="2"/>
        <v>0</v>
      </c>
      <c r="K6" s="385">
        <f t="shared" si="3"/>
        <v>0</v>
      </c>
      <c r="L6" s="37"/>
      <c r="M6" s="506">
        <f t="shared" si="4"/>
        <v>541788.1892000015</v>
      </c>
      <c r="N6" s="37"/>
    </row>
    <row r="7" spans="1:14" x14ac:dyDescent="0.25">
      <c r="A7" s="183">
        <v>4</v>
      </c>
      <c r="B7" s="184">
        <v>46299</v>
      </c>
      <c r="C7" s="37"/>
      <c r="D7" s="37"/>
      <c r="E7" s="504"/>
      <c r="F7" s="502"/>
      <c r="G7" s="503">
        <f t="shared" si="1"/>
        <v>0</v>
      </c>
      <c r="H7" s="504"/>
      <c r="I7" s="505"/>
      <c r="J7" s="13">
        <f t="shared" si="2"/>
        <v>0</v>
      </c>
      <c r="K7" s="385">
        <f t="shared" si="3"/>
        <v>0</v>
      </c>
      <c r="L7" s="37"/>
      <c r="M7" s="506">
        <f t="shared" si="4"/>
        <v>541788.1892000015</v>
      </c>
      <c r="N7" s="37"/>
    </row>
    <row r="8" spans="1:14" x14ac:dyDescent="0.25">
      <c r="A8" s="183">
        <v>5</v>
      </c>
      <c r="B8" s="184">
        <v>46300</v>
      </c>
      <c r="C8" s="37"/>
      <c r="D8" s="37"/>
      <c r="E8" s="504">
        <v>218.86</v>
      </c>
      <c r="F8" s="502">
        <v>99.29</v>
      </c>
      <c r="G8" s="503">
        <f t="shared" si="1"/>
        <v>21730.6094</v>
      </c>
      <c r="H8" s="504"/>
      <c r="I8" s="505"/>
      <c r="J8" s="13">
        <f t="shared" si="2"/>
        <v>0</v>
      </c>
      <c r="K8" s="385">
        <f t="shared" si="3"/>
        <v>21730.6094</v>
      </c>
      <c r="L8" s="37"/>
      <c r="M8" s="506">
        <f t="shared" si="4"/>
        <v>563518.7986000015</v>
      </c>
      <c r="N8" s="37"/>
    </row>
    <row r="9" spans="1:14" x14ac:dyDescent="0.25">
      <c r="A9" s="189">
        <v>6</v>
      </c>
      <c r="B9" s="184">
        <v>46301</v>
      </c>
      <c r="C9" s="37"/>
      <c r="D9" s="37"/>
      <c r="E9" s="504"/>
      <c r="F9" s="502"/>
      <c r="G9" s="503">
        <f t="shared" si="1"/>
        <v>0</v>
      </c>
      <c r="H9" s="504"/>
      <c r="I9" s="505"/>
      <c r="J9" s="13">
        <f t="shared" si="2"/>
        <v>0</v>
      </c>
      <c r="K9" s="385">
        <f t="shared" si="3"/>
        <v>0</v>
      </c>
      <c r="L9" s="37"/>
      <c r="M9" s="506">
        <f t="shared" si="4"/>
        <v>563518.7986000015</v>
      </c>
      <c r="N9" s="37"/>
    </row>
    <row r="10" spans="1:14" x14ac:dyDescent="0.25">
      <c r="A10" s="189">
        <v>7</v>
      </c>
      <c r="B10" s="184">
        <v>46302</v>
      </c>
      <c r="C10" s="37"/>
      <c r="D10" s="37"/>
      <c r="E10" s="504"/>
      <c r="F10" s="502"/>
      <c r="G10" s="503">
        <f t="shared" si="1"/>
        <v>0</v>
      </c>
      <c r="H10" s="504"/>
      <c r="I10" s="503"/>
      <c r="J10" s="504">
        <f t="shared" si="2"/>
        <v>0</v>
      </c>
      <c r="K10" s="503">
        <f t="shared" si="3"/>
        <v>0</v>
      </c>
      <c r="L10" s="261"/>
      <c r="M10" s="506">
        <f t="shared" si="4"/>
        <v>563518.7986000015</v>
      </c>
      <c r="N10" s="37"/>
    </row>
    <row r="11" spans="1:14" x14ac:dyDescent="0.25">
      <c r="A11" s="183">
        <v>8</v>
      </c>
      <c r="B11" s="184">
        <v>46303</v>
      </c>
      <c r="C11" s="37"/>
      <c r="D11" s="37"/>
      <c r="E11" s="504"/>
      <c r="F11" s="502"/>
      <c r="G11" s="503">
        <f t="shared" si="1"/>
        <v>0</v>
      </c>
      <c r="H11" s="504"/>
      <c r="I11" s="503"/>
      <c r="J11" s="504">
        <f t="shared" si="2"/>
        <v>0</v>
      </c>
      <c r="K11" s="503">
        <f t="shared" si="3"/>
        <v>0</v>
      </c>
      <c r="L11" s="261"/>
      <c r="M11" s="506">
        <f t="shared" si="4"/>
        <v>563518.7986000015</v>
      </c>
      <c r="N11" s="37"/>
    </row>
    <row r="12" spans="1:16" x14ac:dyDescent="0.25">
      <c r="A12" s="183">
        <v>9</v>
      </c>
      <c r="B12" s="184">
        <v>46304</v>
      </c>
      <c r="C12" s="37"/>
      <c r="D12" s="37"/>
      <c r="E12" s="504"/>
      <c r="F12" s="502"/>
      <c r="G12" s="503">
        <f t="shared" si="1"/>
        <v>0</v>
      </c>
      <c r="H12" s="504"/>
      <c r="I12" s="503"/>
      <c r="J12" s="504">
        <f t="shared" si="2"/>
        <v>0</v>
      </c>
      <c r="K12" s="503">
        <f t="shared" si="3"/>
        <v>0</v>
      </c>
      <c r="L12" s="261"/>
      <c r="M12" s="506">
        <f t="shared" si="4"/>
        <v>563518.7986000015</v>
      </c>
      <c r="N12" s="37"/>
      <c r="P12" s="114"/>
    </row>
    <row r="13" spans="1:14" x14ac:dyDescent="0.25">
      <c r="A13" s="189">
        <v>10</v>
      </c>
      <c r="B13" s="184">
        <v>46305</v>
      </c>
      <c r="C13" s="37"/>
      <c r="D13" s="37"/>
      <c r="E13" s="504">
        <v>150</v>
      </c>
      <c r="F13" s="502">
        <v>99.29</v>
      </c>
      <c r="G13" s="503">
        <f t="shared" si="1"/>
        <v>14893.500000000002</v>
      </c>
      <c r="H13" s="504"/>
      <c r="I13" s="503"/>
      <c r="J13" s="504">
        <f t="shared" si="2"/>
        <v>0</v>
      </c>
      <c r="K13" s="503">
        <f t="shared" si="3"/>
        <v>14893.500000000002</v>
      </c>
      <c r="L13" s="261">
        <v>250000</v>
      </c>
      <c r="M13" s="506">
        <f t="shared" si="4"/>
        <v>328412.2986000015</v>
      </c>
      <c r="N13" s="37"/>
    </row>
    <row r="14" spans="1:14" x14ac:dyDescent="0.25">
      <c r="A14" s="189">
        <v>11</v>
      </c>
      <c r="B14" s="184">
        <v>46306</v>
      </c>
      <c r="C14" s="37"/>
      <c r="D14" s="37"/>
      <c r="E14" s="504">
        <v>143.43</v>
      </c>
      <c r="F14" s="502">
        <v>99.29</v>
      </c>
      <c r="G14" s="503">
        <f t="shared" si="1"/>
        <v>14241.164700000001</v>
      </c>
      <c r="H14" s="504"/>
      <c r="I14" s="503"/>
      <c r="J14" s="504">
        <f t="shared" si="2"/>
        <v>0</v>
      </c>
      <c r="K14" s="503">
        <f t="shared" si="3"/>
        <v>14241.164700000001</v>
      </c>
      <c r="L14" s="261"/>
      <c r="M14" s="506">
        <f t="shared" si="4"/>
        <v>342653.4633000015</v>
      </c>
      <c r="N14" s="37"/>
    </row>
    <row r="15" spans="1:14" x14ac:dyDescent="0.25">
      <c r="A15" s="183">
        <v>12</v>
      </c>
      <c r="B15" s="184">
        <v>46307</v>
      </c>
      <c r="C15" s="37"/>
      <c r="D15" s="37"/>
      <c r="E15" s="504">
        <v>50.4</v>
      </c>
      <c r="F15" s="195">
        <v>99.29</v>
      </c>
      <c r="G15" s="503">
        <f t="shared" si="1"/>
        <v>5004.216</v>
      </c>
      <c r="H15" s="504"/>
      <c r="I15" s="503"/>
      <c r="J15" s="504">
        <f t="shared" si="2"/>
        <v>0</v>
      </c>
      <c r="K15" s="503">
        <f t="shared" si="3"/>
        <v>5004.216</v>
      </c>
      <c r="L15" s="261"/>
      <c r="M15" s="506">
        <f t="shared" si="4"/>
        <v>347657.67930000153</v>
      </c>
      <c r="N15" s="37"/>
    </row>
    <row r="16" spans="1:14" x14ac:dyDescent="0.25">
      <c r="A16" s="183">
        <v>13</v>
      </c>
      <c r="B16" s="184">
        <v>46308</v>
      </c>
      <c r="C16" s="37"/>
      <c r="D16" s="37"/>
      <c r="E16" s="504">
        <v>100</v>
      </c>
      <c r="F16" s="502">
        <v>99.29</v>
      </c>
      <c r="G16" s="503">
        <f t="shared" si="1"/>
        <v>9929</v>
      </c>
      <c r="H16" s="504"/>
      <c r="I16" s="503"/>
      <c r="J16" s="504">
        <f t="shared" si="2"/>
        <v>0</v>
      </c>
      <c r="K16" s="503">
        <f t="shared" si="3"/>
        <v>9929</v>
      </c>
      <c r="L16" s="261"/>
      <c r="M16" s="506">
        <f t="shared" si="4"/>
        <v>357586.67930000153</v>
      </c>
      <c r="N16" s="37"/>
    </row>
    <row r="17" spans="1:14" x14ac:dyDescent="0.25">
      <c r="A17" s="189">
        <v>14</v>
      </c>
      <c r="B17" s="184">
        <v>46309</v>
      </c>
      <c r="C17" s="37"/>
      <c r="D17" s="37"/>
      <c r="E17" s="504">
        <v>620.61</v>
      </c>
      <c r="F17" s="502">
        <v>99.29</v>
      </c>
      <c r="G17" s="503">
        <f t="shared" si="1"/>
        <v>61620.36690000001</v>
      </c>
      <c r="H17" s="504">
        <v>5</v>
      </c>
      <c r="I17" s="503">
        <v>111.38</v>
      </c>
      <c r="J17" s="504">
        <f t="shared" si="2"/>
        <v>556.9</v>
      </c>
      <c r="K17" s="503">
        <f t="shared" si="3"/>
        <v>62177.26690000001</v>
      </c>
      <c r="L17" s="261"/>
      <c r="M17" s="506">
        <f t="shared" si="4"/>
        <v>419763.9462000015</v>
      </c>
      <c r="N17" s="37"/>
    </row>
    <row r="18" spans="1:14" x14ac:dyDescent="0.25">
      <c r="A18" s="189">
        <v>15</v>
      </c>
      <c r="B18" s="184">
        <v>46310</v>
      </c>
      <c r="C18" s="37"/>
      <c r="D18" s="37"/>
      <c r="E18" s="504"/>
      <c r="F18" s="195"/>
      <c r="G18" s="503">
        <f t="shared" si="1"/>
        <v>0</v>
      </c>
      <c r="H18" s="504"/>
      <c r="I18" s="503"/>
      <c r="J18" s="504">
        <f t="shared" si="2"/>
        <v>0</v>
      </c>
      <c r="K18" s="503">
        <f t="shared" si="3"/>
        <v>0</v>
      </c>
      <c r="L18" s="261">
        <v>300000</v>
      </c>
      <c r="M18" s="506">
        <f t="shared" si="4"/>
        <v>119763.94620000152</v>
      </c>
      <c r="N18" s="37"/>
    </row>
    <row r="19" spans="1:16" x14ac:dyDescent="0.25">
      <c r="A19" s="183">
        <v>16</v>
      </c>
      <c r="B19" s="184">
        <v>46311</v>
      </c>
      <c r="C19" s="37"/>
      <c r="D19" s="37"/>
      <c r="E19" s="504"/>
      <c r="F19" s="195"/>
      <c r="G19" s="503">
        <f t="shared" si="1"/>
        <v>0</v>
      </c>
      <c r="H19" s="504"/>
      <c r="I19" s="503"/>
      <c r="J19" s="504">
        <f t="shared" si="2"/>
        <v>0</v>
      </c>
      <c r="K19" s="503">
        <f t="shared" si="3"/>
        <v>0</v>
      </c>
      <c r="L19" s="261"/>
      <c r="M19" s="506">
        <f t="shared" si="4"/>
        <v>119763.94620000152</v>
      </c>
      <c r="N19" s="37"/>
      <c r="P19" s="507"/>
    </row>
    <row r="20" spans="1:14" x14ac:dyDescent="0.25">
      <c r="A20" s="183">
        <v>17</v>
      </c>
      <c r="B20" s="184">
        <v>46312</v>
      </c>
      <c r="C20" s="37"/>
      <c r="D20" s="37"/>
      <c r="E20" s="504"/>
      <c r="F20" s="195"/>
      <c r="G20" s="503">
        <f t="shared" si="1"/>
        <v>0</v>
      </c>
      <c r="H20" s="504"/>
      <c r="I20" s="503"/>
      <c r="J20" s="504">
        <f t="shared" si="2"/>
        <v>0</v>
      </c>
      <c r="K20" s="503">
        <f t="shared" si="3"/>
        <v>0</v>
      </c>
      <c r="L20" s="261"/>
      <c r="M20" s="506">
        <f t="shared" si="4"/>
        <v>119763.94620000152</v>
      </c>
      <c r="N20" s="37"/>
    </row>
    <row r="21" spans="1:16" x14ac:dyDescent="0.25">
      <c r="A21" s="189">
        <v>18</v>
      </c>
      <c r="B21" s="184">
        <v>46313</v>
      </c>
      <c r="C21" s="37"/>
      <c r="D21" s="37"/>
      <c r="E21" s="504"/>
      <c r="F21" s="195"/>
      <c r="G21" s="503">
        <f t="shared" si="1"/>
        <v>0</v>
      </c>
      <c r="H21" s="503"/>
      <c r="I21" s="504"/>
      <c r="J21" s="504">
        <f t="shared" si="2"/>
        <v>0</v>
      </c>
      <c r="K21" s="503">
        <f t="shared" si="3"/>
        <v>0</v>
      </c>
      <c r="L21" s="261"/>
      <c r="M21" s="506">
        <f>M20+K21-L21</f>
        <v>119763.94620000152</v>
      </c>
      <c r="N21" s="37"/>
      <c r="P21" s="114"/>
    </row>
    <row r="22" spans="1:14" x14ac:dyDescent="0.25">
      <c r="A22" s="189">
        <v>19</v>
      </c>
      <c r="B22" s="184">
        <v>46314</v>
      </c>
      <c r="C22" s="37"/>
      <c r="D22" s="37"/>
      <c r="E22" s="504"/>
      <c r="F22" s="195"/>
      <c r="G22" s="503">
        <f>E22*F22</f>
        <v>0</v>
      </c>
      <c r="H22" s="504"/>
      <c r="I22" s="504"/>
      <c r="J22" s="504">
        <f t="shared" si="2"/>
        <v>0</v>
      </c>
      <c r="K22" s="503">
        <f t="shared" si="3"/>
        <v>0</v>
      </c>
      <c r="L22" s="261"/>
      <c r="M22" s="506">
        <f t="shared" si="4"/>
        <v>119763.94620000152</v>
      </c>
      <c r="N22" s="37"/>
    </row>
    <row r="23" spans="1:14" x14ac:dyDescent="0.25">
      <c r="A23" s="183">
        <v>20</v>
      </c>
      <c r="B23" s="184">
        <v>46315</v>
      </c>
      <c r="C23" s="37"/>
      <c r="D23" s="37"/>
      <c r="E23" s="504"/>
      <c r="F23" s="195"/>
      <c r="G23" s="503">
        <f t="shared" si="1"/>
        <v>0</v>
      </c>
      <c r="H23" s="504"/>
      <c r="I23" s="504"/>
      <c r="J23" s="504">
        <f t="shared" si="2"/>
        <v>0</v>
      </c>
      <c r="K23" s="503">
        <f t="shared" si="3"/>
        <v>0</v>
      </c>
      <c r="L23" s="261"/>
      <c r="M23" s="506">
        <f t="shared" si="4"/>
        <v>119763.94620000152</v>
      </c>
      <c r="N23" s="37"/>
    </row>
    <row r="24" spans="1:14" x14ac:dyDescent="0.25">
      <c r="A24" s="183">
        <v>21</v>
      </c>
      <c r="B24" s="184">
        <v>46316</v>
      </c>
      <c r="C24" s="37"/>
      <c r="D24" s="37"/>
      <c r="E24" s="504"/>
      <c r="F24" s="195"/>
      <c r="G24" s="503">
        <f t="shared" si="1"/>
        <v>0</v>
      </c>
      <c r="H24" s="504"/>
      <c r="I24" s="504"/>
      <c r="J24" s="504">
        <f t="shared" si="2"/>
        <v>0</v>
      </c>
      <c r="K24" s="503">
        <f t="shared" si="3"/>
        <v>0</v>
      </c>
      <c r="L24" s="261"/>
      <c r="M24" s="506">
        <f t="shared" si="4"/>
        <v>119763.94620000152</v>
      </c>
      <c r="N24" s="37"/>
    </row>
    <row r="25" spans="1:16" x14ac:dyDescent="0.25">
      <c r="A25" s="189">
        <v>22</v>
      </c>
      <c r="B25" s="184">
        <v>46317</v>
      </c>
      <c r="C25" s="37"/>
      <c r="D25" s="37"/>
      <c r="E25" s="504"/>
      <c r="F25" s="195"/>
      <c r="G25" s="503">
        <f t="shared" si="1"/>
        <v>0</v>
      </c>
      <c r="H25" s="504"/>
      <c r="I25" s="503"/>
      <c r="J25" s="504">
        <f>H25*I25</f>
        <v>0</v>
      </c>
      <c r="K25" s="503">
        <f t="shared" si="3"/>
        <v>0</v>
      </c>
      <c r="L25" s="261"/>
      <c r="M25" s="506">
        <f t="shared" si="4"/>
        <v>119763.94620000152</v>
      </c>
      <c r="N25" s="37"/>
      <c r="P25" s="114"/>
    </row>
    <row r="26" spans="1:14" x14ac:dyDescent="0.25">
      <c r="A26" s="189">
        <v>23</v>
      </c>
      <c r="B26" s="184">
        <v>46318</v>
      </c>
      <c r="C26" s="37"/>
      <c r="D26" s="37"/>
      <c r="E26" s="504"/>
      <c r="F26" s="195"/>
      <c r="G26" s="503">
        <f t="shared" si="1"/>
        <v>0</v>
      </c>
      <c r="H26" s="504"/>
      <c r="I26" s="503"/>
      <c r="J26" s="504">
        <f t="shared" si="2"/>
        <v>0</v>
      </c>
      <c r="K26" s="503">
        <f t="shared" si="3"/>
        <v>0</v>
      </c>
      <c r="L26" s="261"/>
      <c r="M26" s="506">
        <f t="shared" si="4"/>
        <v>119763.94620000152</v>
      </c>
      <c r="N26" s="37"/>
    </row>
    <row r="27" spans="1:14" x14ac:dyDescent="0.25">
      <c r="A27" s="183">
        <v>24</v>
      </c>
      <c r="B27" s="184">
        <v>46319</v>
      </c>
      <c r="C27" s="37"/>
      <c r="D27" s="37"/>
      <c r="E27" s="504"/>
      <c r="F27" s="195"/>
      <c r="G27" s="503">
        <f t="shared" si="1"/>
        <v>0</v>
      </c>
      <c r="H27" s="504"/>
      <c r="I27" s="504"/>
      <c r="J27" s="504">
        <f t="shared" si="2"/>
        <v>0</v>
      </c>
      <c r="K27" s="503">
        <f t="shared" si="3"/>
        <v>0</v>
      </c>
      <c r="L27" s="261"/>
      <c r="M27" s="506">
        <f t="shared" si="4"/>
        <v>119763.94620000152</v>
      </c>
      <c r="N27" s="37"/>
    </row>
    <row r="28" spans="1:14" x14ac:dyDescent="0.25">
      <c r="A28" s="183">
        <v>25</v>
      </c>
      <c r="B28" s="184">
        <v>46320</v>
      </c>
      <c r="C28" s="37"/>
      <c r="D28" s="37"/>
      <c r="E28" s="504"/>
      <c r="F28" s="195"/>
      <c r="G28" s="503">
        <f t="shared" si="1"/>
        <v>0</v>
      </c>
      <c r="H28" s="504"/>
      <c r="I28" s="504"/>
      <c r="J28" s="504">
        <f t="shared" si="2"/>
        <v>0</v>
      </c>
      <c r="K28" s="503">
        <f t="shared" si="3"/>
        <v>0</v>
      </c>
      <c r="L28" s="261"/>
      <c r="M28" s="506">
        <f t="shared" si="4"/>
        <v>119763.94620000152</v>
      </c>
      <c r="N28" s="37"/>
    </row>
    <row r="29" spans="1:14" x14ac:dyDescent="0.25">
      <c r="A29" s="189">
        <v>26</v>
      </c>
      <c r="B29" s="184">
        <v>46321</v>
      </c>
      <c r="C29" s="37"/>
      <c r="D29" s="37"/>
      <c r="E29" s="508"/>
      <c r="F29" s="502"/>
      <c r="G29" s="503">
        <f t="shared" si="1"/>
        <v>0</v>
      </c>
      <c r="H29" s="504"/>
      <c r="I29" s="504"/>
      <c r="J29" s="504">
        <f t="shared" si="2"/>
        <v>0</v>
      </c>
      <c r="K29" s="503">
        <f t="shared" si="3"/>
        <v>0</v>
      </c>
      <c r="L29" s="261"/>
      <c r="M29" s="506">
        <f t="shared" si="4"/>
        <v>119763.94620000152</v>
      </c>
      <c r="N29" s="37"/>
    </row>
    <row r="30" spans="1:16" x14ac:dyDescent="0.25">
      <c r="A30" s="189">
        <v>27</v>
      </c>
      <c r="B30" s="184">
        <v>46322</v>
      </c>
      <c r="C30" s="37"/>
      <c r="D30" s="37"/>
      <c r="E30" s="508"/>
      <c r="F30" s="502"/>
      <c r="G30" s="503">
        <f t="shared" si="1"/>
        <v>0</v>
      </c>
      <c r="H30" s="504"/>
      <c r="I30" s="504"/>
      <c r="J30" s="504">
        <f t="shared" si="2"/>
        <v>0</v>
      </c>
      <c r="K30" s="503">
        <f t="shared" si="3"/>
        <v>0</v>
      </c>
      <c r="L30" s="261"/>
      <c r="M30" s="506">
        <f t="shared" si="4"/>
        <v>119763.94620000152</v>
      </c>
      <c r="N30" s="37"/>
      <c r="P30" s="114"/>
    </row>
    <row r="31" spans="1:14" x14ac:dyDescent="0.25">
      <c r="A31" s="183">
        <v>28</v>
      </c>
      <c r="B31" s="184">
        <v>46323</v>
      </c>
      <c r="C31" s="37"/>
      <c r="D31" s="37"/>
      <c r="E31" s="504"/>
      <c r="F31" s="502"/>
      <c r="G31" s="503">
        <f t="shared" si="1"/>
        <v>0</v>
      </c>
      <c r="H31" s="504"/>
      <c r="I31" s="503"/>
      <c r="J31" s="504">
        <f t="shared" si="2"/>
        <v>0</v>
      </c>
      <c r="K31" s="503">
        <f t="shared" si="3"/>
        <v>0</v>
      </c>
      <c r="L31" s="261"/>
      <c r="M31" s="506">
        <f t="shared" si="4"/>
        <v>119763.94620000152</v>
      </c>
      <c r="N31" s="37"/>
    </row>
    <row r="32" spans="1:14" x14ac:dyDescent="0.25">
      <c r="A32" s="183">
        <v>29</v>
      </c>
      <c r="B32" s="184">
        <v>46324</v>
      </c>
      <c r="C32" s="37"/>
      <c r="D32" s="37"/>
      <c r="E32" s="504"/>
      <c r="F32" s="195"/>
      <c r="G32" s="503">
        <f t="shared" si="1"/>
        <v>0</v>
      </c>
      <c r="H32" s="504"/>
      <c r="I32" s="503"/>
      <c r="J32" s="504">
        <f t="shared" si="2"/>
        <v>0</v>
      </c>
      <c r="K32" s="503">
        <f t="shared" si="3"/>
        <v>0</v>
      </c>
      <c r="L32" s="261"/>
      <c r="M32" s="506">
        <f t="shared" si="4"/>
        <v>119763.94620000152</v>
      </c>
      <c r="N32" s="37"/>
    </row>
    <row r="33" spans="1:14" x14ac:dyDescent="0.25">
      <c r="A33" s="189">
        <v>30</v>
      </c>
      <c r="B33" s="184">
        <v>46325</v>
      </c>
      <c r="C33" s="113"/>
      <c r="D33" s="113"/>
      <c r="E33" s="504"/>
      <c r="F33" s="195"/>
      <c r="G33" s="503">
        <f t="shared" si="1"/>
        <v>0</v>
      </c>
      <c r="H33" s="504"/>
      <c r="I33" s="503"/>
      <c r="J33" s="504">
        <f t="shared" si="2"/>
        <v>0</v>
      </c>
      <c r="K33" s="503">
        <f t="shared" si="3"/>
        <v>0</v>
      </c>
      <c r="L33" s="261"/>
      <c r="M33" s="506">
        <f t="shared" si="4"/>
        <v>119763.94620000152</v>
      </c>
      <c r="N33" s="113"/>
    </row>
    <row r="34" spans="1:14" x14ac:dyDescent="0.25">
      <c r="A34" s="189">
        <v>31</v>
      </c>
      <c r="B34" s="184">
        <v>46326</v>
      </c>
      <c r="C34" s="37"/>
      <c r="D34" s="37"/>
      <c r="E34" s="504"/>
      <c r="F34" s="195"/>
      <c r="G34" s="503">
        <f t="shared" si="1"/>
        <v>0</v>
      </c>
      <c r="H34" s="504"/>
      <c r="I34" s="503"/>
      <c r="J34" s="504">
        <f t="shared" si="2"/>
        <v>0</v>
      </c>
      <c r="K34" s="503">
        <f t="shared" si="3"/>
        <v>0</v>
      </c>
      <c r="L34" s="261"/>
      <c r="M34" s="506">
        <f t="shared" si="4"/>
        <v>119763.94620000152</v>
      </c>
      <c r="N34" s="37"/>
    </row>
    <row r="35" spans="1:14" x14ac:dyDescent="0.25">
      <c r="A35" s="183">
        <v>32</v>
      </c>
      <c r="B35" s="184"/>
      <c r="C35" s="37"/>
      <c r="D35" s="37"/>
      <c r="E35" s="504"/>
      <c r="F35" s="195"/>
      <c r="G35" s="503">
        <f t="shared" si="1"/>
        <v>0</v>
      </c>
      <c r="H35" s="504"/>
      <c r="I35" s="503"/>
      <c r="J35" s="504">
        <f t="shared" si="2"/>
        <v>0</v>
      </c>
      <c r="K35" s="503">
        <f t="shared" si="3"/>
        <v>0</v>
      </c>
      <c r="L35" s="261"/>
      <c r="M35" s="506">
        <f t="shared" si="4"/>
        <v>119763.94620000152</v>
      </c>
      <c r="N35" s="37"/>
    </row>
    <row r="36" spans="1:14" x14ac:dyDescent="0.25">
      <c r="A36" s="183">
        <v>33</v>
      </c>
      <c r="B36" s="184"/>
      <c r="C36" s="37"/>
      <c r="D36" s="37"/>
      <c r="E36" s="504"/>
      <c r="F36" s="195"/>
      <c r="G36" s="503">
        <f t="shared" si="1"/>
        <v>0</v>
      </c>
      <c r="H36" s="504"/>
      <c r="I36" s="503"/>
      <c r="J36" s="504">
        <f t="shared" si="2"/>
        <v>0</v>
      </c>
      <c r="K36" s="503">
        <f t="shared" si="3"/>
        <v>0</v>
      </c>
      <c r="L36" s="261"/>
      <c r="M36" s="506">
        <f t="shared" si="4"/>
        <v>119763.94620000152</v>
      </c>
      <c r="N36" s="37"/>
    </row>
    <row r="37" spans="1:14" x14ac:dyDescent="0.25">
      <c r="A37" s="189">
        <v>34</v>
      </c>
      <c r="B37" s="184"/>
      <c r="C37" s="37"/>
      <c r="D37" s="37"/>
      <c r="E37" s="504"/>
      <c r="F37" s="195"/>
      <c r="G37" s="503">
        <f t="shared" si="1"/>
        <v>0</v>
      </c>
      <c r="H37" s="504"/>
      <c r="I37" s="503"/>
      <c r="J37" s="504">
        <f t="shared" si="2"/>
        <v>0</v>
      </c>
      <c r="K37" s="503">
        <f t="shared" si="3"/>
        <v>0</v>
      </c>
      <c r="L37" s="261"/>
      <c r="M37" s="506">
        <f t="shared" si="4"/>
        <v>119763.94620000152</v>
      </c>
      <c r="N37" s="37"/>
    </row>
    <row r="38" spans="1:14" x14ac:dyDescent="0.25">
      <c r="A38" s="189">
        <v>35</v>
      </c>
      <c r="B38" s="184"/>
      <c r="C38" s="37"/>
      <c r="D38" s="37"/>
      <c r="E38" s="504"/>
      <c r="F38" s="195"/>
      <c r="G38" s="503">
        <f t="shared" si="1"/>
        <v>0</v>
      </c>
      <c r="H38" s="504"/>
      <c r="I38" s="503"/>
      <c r="J38" s="504">
        <f t="shared" si="2"/>
        <v>0</v>
      </c>
      <c r="K38" s="503">
        <f t="shared" si="3"/>
        <v>0</v>
      </c>
      <c r="L38" s="261"/>
      <c r="M38" s="506">
        <f t="shared" si="4"/>
        <v>119763.94620000152</v>
      </c>
      <c r="N38" s="37"/>
    </row>
    <row r="39" spans="1:14" x14ac:dyDescent="0.25">
      <c r="A39" s="183">
        <v>36</v>
      </c>
      <c r="B39" s="184"/>
      <c r="C39" s="37"/>
      <c r="D39" s="37"/>
      <c r="E39" s="504"/>
      <c r="F39" s="195"/>
      <c r="G39" s="503">
        <f t="shared" si="1"/>
        <v>0</v>
      </c>
      <c r="H39" s="504"/>
      <c r="I39" s="503"/>
      <c r="J39" s="504">
        <f t="shared" si="2"/>
        <v>0</v>
      </c>
      <c r="K39" s="503">
        <f t="shared" si="3"/>
        <v>0</v>
      </c>
      <c r="L39" s="261"/>
      <c r="M39" s="506">
        <f t="shared" si="4"/>
        <v>119763.94620000152</v>
      </c>
      <c r="N39" s="113"/>
    </row>
    <row r="40" spans="1:16" x14ac:dyDescent="0.25">
      <c r="A40" s="183">
        <v>37</v>
      </c>
      <c r="B40" s="184"/>
      <c r="C40" s="37"/>
      <c r="D40" s="37"/>
      <c r="E40" s="504"/>
      <c r="F40" s="504"/>
      <c r="G40" s="503">
        <f t="shared" ref="G5:G41" si="5">E40*F40</f>
        <v>0</v>
      </c>
      <c r="H40" s="504"/>
      <c r="I40" s="504"/>
      <c r="J40" s="504">
        <f t="shared" ref="J5:J41" si="6">H40*I40</f>
        <v>0</v>
      </c>
      <c r="K40" s="503">
        <f t="shared" si="3"/>
        <v>0</v>
      </c>
      <c r="L40" s="261"/>
      <c r="M40" s="506">
        <f t="shared" si="4"/>
        <v>119763.94620000152</v>
      </c>
      <c r="N40" s="37"/>
      <c r="P40" s="114"/>
    </row>
    <row r="41" spans="1:16" x14ac:dyDescent="0.25">
      <c r="A41" s="308"/>
      <c r="B41" s="184"/>
      <c r="C41" s="37"/>
      <c r="D41" s="37"/>
      <c r="E41" s="504"/>
      <c r="F41" s="504"/>
      <c r="G41" s="503">
        <f t="shared" si="5"/>
        <v>0</v>
      </c>
      <c r="H41" s="504"/>
      <c r="I41" s="504"/>
      <c r="J41" s="504">
        <f t="shared" si="6"/>
        <v>0</v>
      </c>
      <c r="K41" s="503">
        <f t="shared" si="3"/>
        <v>0</v>
      </c>
      <c r="L41" s="261"/>
      <c r="M41" s="506">
        <f t="shared" si="4"/>
        <v>119763.94620000152</v>
      </c>
      <c r="N41" s="37"/>
      <c r="O41" s="114"/>
      <c r="P41" s="114"/>
    </row>
    <row r="42" spans="1:14" x14ac:dyDescent="0.25">
      <c r="A42" s="404"/>
      <c r="B42" s="404"/>
      <c r="C42" s="404"/>
      <c r="D42" s="404"/>
      <c r="E42" s="404">
        <f>SUM(E4:E39)</f>
        <v>2123.79</v>
      </c>
      <c r="F42" s="404"/>
      <c r="G42" s="404">
        <f>SUM(G4:G39)</f>
        <v>210871.1091</v>
      </c>
      <c r="H42" s="404">
        <f>SUM(H4:H39)</f>
        <v>5</v>
      </c>
      <c r="I42" s="404"/>
      <c r="J42" s="404">
        <f>SUM(J4:J39)</f>
        <v>556.9</v>
      </c>
      <c r="K42" s="404">
        <f>SUM(K4:K39)</f>
        <v>211428.0091</v>
      </c>
      <c r="L42" s="404">
        <f>SUM(L4:L39)</f>
        <v>550000</v>
      </c>
      <c r="M42" s="404"/>
      <c r="N42" s="404"/>
    </row>
    <row r="43" spans="16:16" x14ac:dyDescent="0.25">
      <c r="P43" s="114"/>
    </row>
  </sheetData>
  <mergeCells count="2">
    <mergeCell ref="A1:N1"/>
    <mergeCell ref="C3:D3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6"/>
  <sheetViews>
    <sheetView workbookViewId="0" zoomScale="100" zoomScaleNormal="100">
      <pane ySplit="3" topLeftCell="C25" activePane="bottomLeft" state="frozen"/>
      <selection pane="bottomLeft" activeCell="N93" sqref="N93"/>
    </sheetView>
  </sheetViews>
  <sheetFormatPr defaultRowHeight="15" outlineLevelRow="0" outlineLevelCol="0" x14ac:dyDescent="0"/>
  <cols>
    <col min="1" max="1" width="21.28515625" customWidth="1"/>
    <col min="2" max="2" width="18.7109375" customWidth="1"/>
    <col min="3" max="3" width="63.5703125" customWidth="1"/>
    <col min="4" max="4" width="15.5703125" customWidth="1"/>
    <col min="5" max="5" width="12.28515625" style="559" customWidth="1"/>
    <col min="6" max="6" width="12.85546875" style="559" customWidth="1"/>
    <col min="7" max="8" width="12.5703125" style="559" customWidth="1"/>
    <col min="9" max="10" width="9.140625" style="559" customWidth="1"/>
    <col min="11" max="11" width="18.7109375" style="559" customWidth="1"/>
    <col min="12" max="12" width="24.140625" style="559" customWidth="1"/>
    <col min="13" max="13" width="16.5703125" style="559" customWidth="1"/>
    <col min="14" max="14" width="19.85546875" style="559" customWidth="1"/>
    <col min="15" max="15" width="13.42578125" style="559" customWidth="1"/>
    <col min="16" max="16" width="11.42578125" style="559" customWidth="1"/>
    <col min="17" max="21" width="9.140625" style="559" customWidth="1"/>
  </cols>
  <sheetData>
    <row r="1" ht="15.75" customHeight="1" spans="1:15" x14ac:dyDescent="0.25">
      <c r="A1" s="325" t="s">
        <v>227</v>
      </c>
      <c r="B1" s="325"/>
      <c r="C1" s="325"/>
      <c r="D1" s="325"/>
      <c r="E1" s="560"/>
      <c r="F1" s="560"/>
      <c r="G1" s="560"/>
      <c r="H1" s="560"/>
      <c r="I1" s="560"/>
      <c r="J1" s="560"/>
      <c r="K1" s="560"/>
      <c r="L1" s="560"/>
      <c r="M1" s="560"/>
      <c r="N1" s="560"/>
      <c r="O1" s="560"/>
    </row>
    <row r="2" ht="26.25" customHeight="1" spans="1:15" x14ac:dyDescent="0.25">
      <c r="A2" s="122" t="s">
        <v>0</v>
      </c>
      <c r="B2" s="123" t="s">
        <v>167</v>
      </c>
      <c r="C2" s="123" t="s">
        <v>228</v>
      </c>
      <c r="D2" s="123" t="s">
        <v>229</v>
      </c>
      <c r="E2" s="561" t="s">
        <v>170</v>
      </c>
      <c r="F2" s="561" t="s">
        <v>171</v>
      </c>
      <c r="G2" s="562" t="s">
        <v>172</v>
      </c>
      <c r="H2" s="561" t="s">
        <v>173</v>
      </c>
      <c r="I2" s="561" t="s">
        <v>171</v>
      </c>
      <c r="J2" s="562" t="s">
        <v>172</v>
      </c>
      <c r="K2" s="563" t="s">
        <v>174</v>
      </c>
      <c r="L2" s="564" t="s">
        <v>230</v>
      </c>
      <c r="M2" s="565" t="s">
        <v>190</v>
      </c>
      <c r="N2" s="561" t="s">
        <v>177</v>
      </c>
      <c r="O2" s="561" t="s">
        <v>231</v>
      </c>
    </row>
    <row r="3" ht="15.75" customHeight="1" spans="1:15" x14ac:dyDescent="0.25">
      <c r="A3" s="566" t="s">
        <v>178</v>
      </c>
      <c r="B3" s="566"/>
      <c r="C3" s="566"/>
      <c r="D3" s="566"/>
      <c r="E3" s="567"/>
      <c r="F3" s="567"/>
      <c r="G3" s="567"/>
      <c r="H3" s="567"/>
      <c r="I3" s="567"/>
      <c r="J3" s="567"/>
      <c r="K3" s="568">
        <v>0</v>
      </c>
      <c r="L3" s="568"/>
      <c r="M3" s="568"/>
      <c r="N3" s="568"/>
      <c r="O3" s="569"/>
    </row>
    <row r="4" spans="1:15" x14ac:dyDescent="0.25">
      <c r="A4" s="570">
        <v>1</v>
      </c>
      <c r="B4" s="571"/>
      <c r="C4" s="361"/>
      <c r="D4" s="361"/>
      <c r="E4" s="572"/>
      <c r="F4" s="572"/>
      <c r="G4" s="572">
        <f>E4*F4</f>
        <v>0</v>
      </c>
      <c r="H4" s="320"/>
      <c r="I4" s="320"/>
      <c r="J4" s="572">
        <f>H4*I4</f>
        <v>0</v>
      </c>
      <c r="K4" s="572">
        <f>G4+J4</f>
        <v>0</v>
      </c>
      <c r="L4" s="573"/>
      <c r="M4" s="573">
        <f>K3+L4-K4</f>
        <v>0</v>
      </c>
      <c r="N4" s="573"/>
      <c r="O4" s="573"/>
    </row>
    <row r="5" spans="1:15" x14ac:dyDescent="0.25">
      <c r="A5" s="37">
        <v>2</v>
      </c>
      <c r="B5" s="571"/>
      <c r="C5" s="361"/>
      <c r="D5" s="361"/>
      <c r="E5" s="320"/>
      <c r="F5" s="320"/>
      <c r="G5" s="572">
        <f>E5*F5</f>
        <v>0</v>
      </c>
      <c r="H5" s="320"/>
      <c r="I5" s="320"/>
      <c r="J5" s="572">
        <f t="shared" ref="J5:J73" si="0">H5*I5</f>
        <v>0</v>
      </c>
      <c r="K5" s="572">
        <f>G5+J5</f>
        <v>0</v>
      </c>
      <c r="L5" s="573"/>
      <c r="M5" s="572">
        <f>M4+L5-K5</f>
        <v>0</v>
      </c>
      <c r="N5" s="572"/>
      <c r="O5" s="572"/>
    </row>
    <row r="6" spans="1:15" x14ac:dyDescent="0.25">
      <c r="A6" s="37">
        <v>3</v>
      </c>
      <c r="B6" s="571"/>
      <c r="C6" s="574"/>
      <c r="D6" s="574"/>
      <c r="E6" s="140"/>
      <c r="F6" s="140"/>
      <c r="G6" s="572">
        <f>E6*F6</f>
        <v>0</v>
      </c>
      <c r="H6" s="320"/>
      <c r="I6" s="320"/>
      <c r="J6" s="572">
        <f t="shared" si="0"/>
        <v>0</v>
      </c>
      <c r="K6" s="572">
        <f>G6+J6</f>
        <v>0</v>
      </c>
      <c r="L6" s="573"/>
      <c r="M6" s="572">
        <f>M5+L6-K6</f>
        <v>0</v>
      </c>
      <c r="N6" s="572"/>
      <c r="O6" s="572"/>
    </row>
    <row r="7" spans="1:15" x14ac:dyDescent="0.25">
      <c r="A7" s="570">
        <v>4</v>
      </c>
      <c r="B7" s="571"/>
      <c r="C7" s="574"/>
      <c r="D7" s="574"/>
      <c r="E7" s="140"/>
      <c r="F7" s="140"/>
      <c r="G7" s="572">
        <f>E7*F7</f>
        <v>0</v>
      </c>
      <c r="H7" s="572"/>
      <c r="I7" s="320"/>
      <c r="J7" s="572">
        <f t="shared" si="0"/>
        <v>0</v>
      </c>
      <c r="K7" s="572">
        <f>G7+J7</f>
        <v>0</v>
      </c>
      <c r="L7" s="573"/>
      <c r="M7" s="572">
        <f>M6+L7-K7</f>
        <v>0</v>
      </c>
      <c r="N7" s="572"/>
      <c r="O7" s="572"/>
    </row>
    <row r="8" spans="1:15" x14ac:dyDescent="0.25">
      <c r="A8" s="37">
        <v>5</v>
      </c>
      <c r="B8" s="571"/>
      <c r="C8" s="574"/>
      <c r="D8" s="574"/>
      <c r="E8" s="140"/>
      <c r="F8" s="140"/>
      <c r="G8" s="572">
        <f>E8*F8</f>
        <v>0</v>
      </c>
      <c r="H8" s="572"/>
      <c r="I8" s="320"/>
      <c r="J8" s="572">
        <f t="shared" si="0"/>
        <v>0</v>
      </c>
      <c r="K8" s="572">
        <f>G8+J8</f>
        <v>0</v>
      </c>
      <c r="L8" s="573"/>
      <c r="M8" s="572">
        <f>M7+L8-K8</f>
        <v>0</v>
      </c>
      <c r="N8" s="572"/>
      <c r="O8" s="572"/>
    </row>
    <row r="9" spans="1:15" x14ac:dyDescent="0.25">
      <c r="A9" s="37">
        <v>6</v>
      </c>
      <c r="B9" s="571"/>
      <c r="C9" s="574"/>
      <c r="D9" s="574"/>
      <c r="E9" s="572"/>
      <c r="F9" s="572"/>
      <c r="G9" s="572">
        <f>E9*F9</f>
        <v>0</v>
      </c>
      <c r="H9" s="572"/>
      <c r="I9" s="320"/>
      <c r="J9" s="572">
        <f t="shared" si="0"/>
        <v>0</v>
      </c>
      <c r="K9" s="572">
        <f>G9+J9</f>
        <v>0</v>
      </c>
      <c r="L9" s="573"/>
      <c r="M9" s="572">
        <f>M8+L9-K9</f>
        <v>0</v>
      </c>
      <c r="N9" s="572"/>
      <c r="O9" s="572"/>
    </row>
    <row r="10" spans="1:15" x14ac:dyDescent="0.25">
      <c r="A10" s="570">
        <v>7</v>
      </c>
      <c r="B10" s="571"/>
      <c r="C10" s="574"/>
      <c r="D10" s="574"/>
      <c r="E10" s="572"/>
      <c r="F10" s="572"/>
      <c r="G10" s="572">
        <f>E10*F10</f>
        <v>0</v>
      </c>
      <c r="H10" s="320"/>
      <c r="I10" s="320"/>
      <c r="J10" s="572">
        <f t="shared" si="0"/>
        <v>0</v>
      </c>
      <c r="K10" s="572">
        <f>G10+J10</f>
        <v>0</v>
      </c>
      <c r="L10" s="573"/>
      <c r="M10" s="572">
        <f>M9+L10-K10</f>
        <v>0</v>
      </c>
      <c r="N10" s="572"/>
      <c r="O10" s="572"/>
    </row>
    <row r="11" spans="1:15" x14ac:dyDescent="0.25">
      <c r="A11" s="37">
        <v>8</v>
      </c>
      <c r="B11" s="571"/>
      <c r="C11" s="574"/>
      <c r="D11" s="574"/>
      <c r="E11" s="572"/>
      <c r="F11" s="572"/>
      <c r="G11" s="572">
        <f>E11*F11</f>
        <v>0</v>
      </c>
      <c r="H11" s="320"/>
      <c r="I11" s="320"/>
      <c r="J11" s="572">
        <f t="shared" si="0"/>
        <v>0</v>
      </c>
      <c r="K11" s="572">
        <f>G11+J11</f>
        <v>0</v>
      </c>
      <c r="L11" s="573"/>
      <c r="M11" s="572">
        <f>M10+L11-K11</f>
        <v>0</v>
      </c>
      <c r="N11" s="572"/>
      <c r="O11" s="572"/>
    </row>
    <row r="12" spans="1:15" x14ac:dyDescent="0.25">
      <c r="A12" s="37">
        <v>9</v>
      </c>
      <c r="B12" s="571"/>
      <c r="C12" s="574"/>
      <c r="D12" s="574"/>
      <c r="E12" s="572"/>
      <c r="F12" s="572"/>
      <c r="G12" s="572">
        <f>E12*F12</f>
        <v>0</v>
      </c>
      <c r="H12" s="320"/>
      <c r="I12" s="320"/>
      <c r="J12" s="572">
        <f t="shared" si="0"/>
        <v>0</v>
      </c>
      <c r="K12" s="572">
        <f>G12+J12</f>
        <v>0</v>
      </c>
      <c r="L12" s="573"/>
      <c r="M12" s="572">
        <f>M11+L12-K12</f>
        <v>0</v>
      </c>
      <c r="N12" s="572"/>
      <c r="O12" s="572"/>
    </row>
    <row r="13" spans="1:15" x14ac:dyDescent="0.25">
      <c r="A13" s="570">
        <v>10</v>
      </c>
      <c r="B13" s="571"/>
      <c r="C13" s="574"/>
      <c r="D13" s="574"/>
      <c r="E13" s="320"/>
      <c r="F13" s="320"/>
      <c r="G13" s="572">
        <f>E13*F13</f>
        <v>0</v>
      </c>
      <c r="H13" s="320"/>
      <c r="I13" s="320"/>
      <c r="J13" s="572">
        <f t="shared" si="0"/>
        <v>0</v>
      </c>
      <c r="K13" s="572">
        <f>G13+J13</f>
        <v>0</v>
      </c>
      <c r="L13" s="573"/>
      <c r="M13" s="572">
        <f>M12+L13-K13</f>
        <v>0</v>
      </c>
      <c r="N13" s="572"/>
      <c r="O13" s="572"/>
    </row>
    <row r="14" spans="1:15" x14ac:dyDescent="0.25">
      <c r="A14" s="37">
        <v>11</v>
      </c>
      <c r="B14" s="571"/>
      <c r="C14" s="574"/>
      <c r="D14" s="574"/>
      <c r="F14" s="320"/>
      <c r="G14" s="572">
        <f>E14*F14</f>
        <v>0</v>
      </c>
      <c r="H14" s="320"/>
      <c r="I14" s="320"/>
      <c r="J14" s="572">
        <f t="shared" si="0"/>
        <v>0</v>
      </c>
      <c r="K14" s="572">
        <f>G14+J14</f>
        <v>0</v>
      </c>
      <c r="L14" s="573"/>
      <c r="M14" s="572">
        <f>M13+L14-K14</f>
        <v>0</v>
      </c>
      <c r="N14" s="572"/>
      <c r="O14" s="572"/>
    </row>
    <row r="15" spans="1:15" x14ac:dyDescent="0.25">
      <c r="A15" s="37">
        <v>12</v>
      </c>
      <c r="B15" s="571"/>
      <c r="C15" s="574"/>
      <c r="D15" s="574"/>
      <c r="E15" s="572"/>
      <c r="F15" s="572"/>
      <c r="G15" s="572">
        <f>E15*F15</f>
        <v>0</v>
      </c>
      <c r="H15" s="320"/>
      <c r="I15" s="320"/>
      <c r="J15" s="572">
        <f t="shared" si="0"/>
        <v>0</v>
      </c>
      <c r="K15" s="572">
        <f>G15+J15</f>
        <v>0</v>
      </c>
      <c r="L15" s="573"/>
      <c r="M15" s="572">
        <f>M14+L15-K15</f>
        <v>0</v>
      </c>
      <c r="N15" s="572"/>
      <c r="O15" s="572"/>
    </row>
    <row r="16" spans="1:15" x14ac:dyDescent="0.25">
      <c r="A16" s="570">
        <v>13</v>
      </c>
      <c r="B16" s="571"/>
      <c r="C16" s="574"/>
      <c r="D16" s="574"/>
      <c r="E16" s="572"/>
      <c r="F16" s="572"/>
      <c r="G16" s="572">
        <f>E16*F16</f>
        <v>0</v>
      </c>
      <c r="H16" s="320"/>
      <c r="I16" s="320"/>
      <c r="J16" s="572">
        <f t="shared" si="0"/>
        <v>0</v>
      </c>
      <c r="K16" s="572">
        <f>G16+J16</f>
        <v>0</v>
      </c>
      <c r="L16" s="573"/>
      <c r="M16" s="572">
        <f>M15+L16-K16</f>
        <v>0</v>
      </c>
      <c r="N16" s="572"/>
      <c r="O16" s="572"/>
    </row>
    <row r="17" spans="1:15" x14ac:dyDescent="0.25">
      <c r="A17" s="37">
        <v>14</v>
      </c>
      <c r="B17" s="571"/>
      <c r="C17" s="574"/>
      <c r="D17" s="574"/>
      <c r="E17" s="572"/>
      <c r="F17" s="572"/>
      <c r="G17" s="572">
        <f>E17*F17</f>
        <v>0</v>
      </c>
      <c r="H17" s="320"/>
      <c r="I17" s="320"/>
      <c r="J17" s="572">
        <f t="shared" si="0"/>
        <v>0</v>
      </c>
      <c r="K17" s="572">
        <f>G17+J17</f>
        <v>0</v>
      </c>
      <c r="L17" s="573"/>
      <c r="M17" s="572">
        <f>M16+L17-K17</f>
        <v>0</v>
      </c>
      <c r="N17" s="572"/>
      <c r="O17" s="572"/>
    </row>
    <row r="18" spans="1:15" x14ac:dyDescent="0.25">
      <c r="A18" s="37">
        <v>15</v>
      </c>
      <c r="B18" s="571"/>
      <c r="C18" s="574"/>
      <c r="D18" s="574"/>
      <c r="E18" s="572"/>
      <c r="F18" s="572"/>
      <c r="G18" s="572">
        <f>E18*F18</f>
        <v>0</v>
      </c>
      <c r="H18" s="320"/>
      <c r="I18" s="320"/>
      <c r="J18" s="572">
        <f t="shared" si="0"/>
        <v>0</v>
      </c>
      <c r="K18" s="572">
        <f>G18+J18</f>
        <v>0</v>
      </c>
      <c r="L18" s="573"/>
      <c r="M18" s="572">
        <f>M17+L18-K18</f>
        <v>0</v>
      </c>
      <c r="N18" s="572"/>
      <c r="O18" s="572"/>
    </row>
    <row r="19" spans="1:15" x14ac:dyDescent="0.25">
      <c r="A19" s="570">
        <v>16</v>
      </c>
      <c r="B19" s="571"/>
      <c r="C19" s="574"/>
      <c r="D19" s="574"/>
      <c r="E19" s="572"/>
      <c r="F19" s="572"/>
      <c r="G19" s="572">
        <f>E19*F19</f>
        <v>0</v>
      </c>
      <c r="H19" s="320"/>
      <c r="I19" s="320"/>
      <c r="J19" s="572">
        <f t="shared" si="0"/>
        <v>0</v>
      </c>
      <c r="K19" s="572">
        <f>G19+J19</f>
        <v>0</v>
      </c>
      <c r="L19" s="573"/>
      <c r="M19" s="572">
        <f>M18+L19-K19</f>
        <v>0</v>
      </c>
      <c r="N19" s="572"/>
      <c r="O19" s="572"/>
    </row>
    <row r="20" spans="1:15" x14ac:dyDescent="0.25">
      <c r="A20" s="37">
        <v>17</v>
      </c>
      <c r="B20" s="571"/>
      <c r="C20" s="574"/>
      <c r="D20" s="574"/>
      <c r="E20" s="572"/>
      <c r="F20" s="572"/>
      <c r="G20" s="572">
        <f>E20*F20</f>
        <v>0</v>
      </c>
      <c r="H20" s="320"/>
      <c r="I20" s="320"/>
      <c r="J20" s="572">
        <f t="shared" si="0"/>
        <v>0</v>
      </c>
      <c r="K20" s="572">
        <f>G20+J20</f>
        <v>0</v>
      </c>
      <c r="L20" s="573"/>
      <c r="M20" s="572">
        <f>M19+L20-K20</f>
        <v>0</v>
      </c>
      <c r="N20" s="572"/>
      <c r="O20" s="572"/>
    </row>
    <row r="21" spans="1:15" x14ac:dyDescent="0.25">
      <c r="A21" s="37">
        <v>18</v>
      </c>
      <c r="B21" s="571"/>
      <c r="C21" s="574"/>
      <c r="D21" s="574"/>
      <c r="E21" s="572"/>
      <c r="F21" s="572"/>
      <c r="G21" s="572">
        <f>E21*F21</f>
        <v>0</v>
      </c>
      <c r="H21" s="320"/>
      <c r="I21" s="320"/>
      <c r="J21" s="572">
        <f t="shared" si="0"/>
        <v>0</v>
      </c>
      <c r="K21" s="572">
        <f>G21+J21</f>
        <v>0</v>
      </c>
      <c r="L21" s="573"/>
      <c r="M21" s="572">
        <f>M20+L21-K21</f>
        <v>0</v>
      </c>
      <c r="N21" s="572"/>
      <c r="O21" s="572"/>
    </row>
    <row r="22" spans="1:15" x14ac:dyDescent="0.25">
      <c r="A22" s="570">
        <v>19</v>
      </c>
      <c r="B22" s="571"/>
      <c r="C22" s="574"/>
      <c r="D22" s="574"/>
      <c r="E22" s="572"/>
      <c r="F22" s="572"/>
      <c r="G22" s="572">
        <f>E22*F22</f>
        <v>0</v>
      </c>
      <c r="H22" s="320"/>
      <c r="I22" s="320"/>
      <c r="J22" s="572">
        <f t="shared" si="0"/>
        <v>0</v>
      </c>
      <c r="K22" s="572">
        <f>G22+J22</f>
        <v>0</v>
      </c>
      <c r="L22" s="573"/>
      <c r="M22" s="572">
        <f>M21+L22-K22</f>
        <v>0</v>
      </c>
      <c r="N22" s="572"/>
      <c r="O22" s="572"/>
    </row>
    <row r="23" spans="1:15" x14ac:dyDescent="0.25">
      <c r="A23" s="37">
        <v>20</v>
      </c>
      <c r="B23" s="571"/>
      <c r="C23" s="574"/>
      <c r="D23" s="574"/>
      <c r="E23" s="572"/>
      <c r="F23" s="572"/>
      <c r="G23" s="572">
        <f>E23*F23</f>
        <v>0</v>
      </c>
      <c r="H23" s="320"/>
      <c r="I23" s="320"/>
      <c r="J23" s="572">
        <f t="shared" si="0"/>
        <v>0</v>
      </c>
      <c r="K23" s="572">
        <f>G23+J23</f>
        <v>0</v>
      </c>
      <c r="L23" s="573"/>
      <c r="M23" s="572">
        <f>M22+L23-K23</f>
        <v>0</v>
      </c>
      <c r="N23" s="572"/>
      <c r="O23" s="572"/>
    </row>
    <row r="24" spans="1:15" x14ac:dyDescent="0.25">
      <c r="A24" s="37">
        <v>21</v>
      </c>
      <c r="B24" s="571"/>
      <c r="C24" s="574"/>
      <c r="D24" s="574"/>
      <c r="E24" s="572"/>
      <c r="F24" s="572"/>
      <c r="G24" s="572">
        <f>E24*F24</f>
        <v>0</v>
      </c>
      <c r="H24" s="320"/>
      <c r="I24" s="320"/>
      <c r="J24" s="572">
        <f t="shared" si="0"/>
        <v>0</v>
      </c>
      <c r="K24" s="572">
        <f>G24+J24</f>
        <v>0</v>
      </c>
      <c r="L24" s="573"/>
      <c r="M24" s="572">
        <f>M23+L24-K24</f>
        <v>0</v>
      </c>
      <c r="N24" s="572"/>
      <c r="O24" s="572"/>
    </row>
    <row r="25" spans="1:15" x14ac:dyDescent="0.25">
      <c r="A25" s="570">
        <v>22</v>
      </c>
      <c r="B25" s="571"/>
      <c r="C25" s="574"/>
      <c r="D25" s="574"/>
      <c r="E25" s="320"/>
      <c r="F25" s="572"/>
      <c r="G25" s="572">
        <f>E25*F25</f>
        <v>0</v>
      </c>
      <c r="H25" s="320"/>
      <c r="I25" s="320"/>
      <c r="J25" s="572">
        <f t="shared" si="0"/>
        <v>0</v>
      </c>
      <c r="K25" s="572">
        <f>G25+J25</f>
        <v>0</v>
      </c>
      <c r="L25" s="573"/>
      <c r="M25" s="572">
        <f>M24+L25-K25</f>
        <v>0</v>
      </c>
      <c r="N25" s="572"/>
      <c r="O25" s="572"/>
    </row>
    <row r="26" spans="1:15" x14ac:dyDescent="0.25">
      <c r="A26" s="37">
        <v>23</v>
      </c>
      <c r="B26" s="571"/>
      <c r="C26" s="574"/>
      <c r="D26" s="574"/>
      <c r="E26" s="572"/>
      <c r="F26" s="572"/>
      <c r="G26" s="572">
        <f>E26*F26</f>
        <v>0</v>
      </c>
      <c r="H26" s="320"/>
      <c r="I26" s="320"/>
      <c r="J26" s="572">
        <f t="shared" si="0"/>
        <v>0</v>
      </c>
      <c r="K26" s="572">
        <f>G26+J26</f>
        <v>0</v>
      </c>
      <c r="L26" s="573"/>
      <c r="M26" s="572">
        <f>M25+L26-K26</f>
        <v>0</v>
      </c>
      <c r="N26" s="572"/>
      <c r="O26" s="572"/>
    </row>
    <row r="27" spans="1:15" x14ac:dyDescent="0.25">
      <c r="A27" s="37">
        <v>24</v>
      </c>
      <c r="B27" s="571"/>
      <c r="C27" s="574"/>
      <c r="D27" s="574"/>
      <c r="E27" s="572"/>
      <c r="F27" s="572"/>
      <c r="G27" s="572">
        <f>E27*F27</f>
        <v>0</v>
      </c>
      <c r="H27" s="320"/>
      <c r="I27" s="320"/>
      <c r="J27" s="572">
        <f t="shared" si="0"/>
        <v>0</v>
      </c>
      <c r="K27" s="572">
        <f>G27+J27</f>
        <v>0</v>
      </c>
      <c r="L27" s="573"/>
      <c r="M27" s="572">
        <f>M26+L27-K27</f>
        <v>0</v>
      </c>
      <c r="N27" s="572"/>
      <c r="O27" s="572"/>
    </row>
    <row r="28" spans="1:15" x14ac:dyDescent="0.25">
      <c r="A28" s="570">
        <v>25</v>
      </c>
      <c r="B28" s="571"/>
      <c r="C28" s="574"/>
      <c r="D28" s="574"/>
      <c r="E28" s="572"/>
      <c r="F28" s="572"/>
      <c r="G28" s="572">
        <f>E28*F28</f>
        <v>0</v>
      </c>
      <c r="H28" s="320"/>
      <c r="I28" s="320"/>
      <c r="J28" s="572">
        <f t="shared" si="0"/>
        <v>0</v>
      </c>
      <c r="K28" s="572">
        <f>G28+J28</f>
        <v>0</v>
      </c>
      <c r="L28" s="573"/>
      <c r="M28" s="572">
        <f>M27+L28-K28</f>
        <v>0</v>
      </c>
      <c r="N28" s="572"/>
      <c r="O28" s="572"/>
    </row>
    <row r="29" ht="14.25" customHeight="1" spans="1:15" x14ac:dyDescent="0.25">
      <c r="A29" s="37">
        <v>26</v>
      </c>
      <c r="B29" s="571"/>
      <c r="C29" s="574"/>
      <c r="D29" s="574"/>
      <c r="E29" s="572"/>
      <c r="F29" s="572"/>
      <c r="G29" s="572">
        <f>E29*F29</f>
        <v>0</v>
      </c>
      <c r="H29" s="320"/>
      <c r="I29" s="320"/>
      <c r="J29" s="572">
        <f t="shared" si="0"/>
        <v>0</v>
      </c>
      <c r="K29" s="572">
        <f>G29+J29</f>
        <v>0</v>
      </c>
      <c r="L29" s="573"/>
      <c r="M29" s="572">
        <f>M28+L29-K29</f>
        <v>0</v>
      </c>
      <c r="N29" s="572"/>
      <c r="O29" s="572"/>
    </row>
    <row r="30" spans="1:15" x14ac:dyDescent="0.25">
      <c r="A30" s="37">
        <v>27</v>
      </c>
      <c r="B30" s="571"/>
      <c r="C30" s="574"/>
      <c r="D30" s="574"/>
      <c r="E30" s="572"/>
      <c r="F30" s="572"/>
      <c r="G30" s="572">
        <f>E30*F30</f>
        <v>0</v>
      </c>
      <c r="H30" s="320"/>
      <c r="I30" s="320"/>
      <c r="J30" s="572">
        <f t="shared" si="0"/>
        <v>0</v>
      </c>
      <c r="K30" s="572">
        <f>G30+J30</f>
        <v>0</v>
      </c>
      <c r="L30" s="573"/>
      <c r="M30" s="572">
        <f>M29+L30-K30</f>
        <v>0</v>
      </c>
      <c r="N30" s="572"/>
      <c r="O30" s="572"/>
    </row>
    <row r="31" spans="1:15" x14ac:dyDescent="0.25">
      <c r="A31" s="570">
        <v>28</v>
      </c>
      <c r="B31" s="571"/>
      <c r="C31" s="574"/>
      <c r="D31" s="574"/>
      <c r="E31" s="572"/>
      <c r="F31" s="572"/>
      <c r="G31" s="572">
        <f>E31*F31</f>
        <v>0</v>
      </c>
      <c r="H31" s="320"/>
      <c r="I31" s="320"/>
      <c r="J31" s="572">
        <f t="shared" si="0"/>
        <v>0</v>
      </c>
      <c r="K31" s="572">
        <f>G31+J31</f>
        <v>0</v>
      </c>
      <c r="L31" s="573"/>
      <c r="M31" s="572">
        <f>M30+L31-K31</f>
        <v>0</v>
      </c>
      <c r="N31" s="572"/>
      <c r="O31" s="572"/>
    </row>
    <row r="32" spans="1:15" x14ac:dyDescent="0.25">
      <c r="A32" s="37">
        <v>29</v>
      </c>
      <c r="B32" s="571"/>
      <c r="C32" s="574"/>
      <c r="D32" s="574"/>
      <c r="E32" s="320"/>
      <c r="F32" s="320"/>
      <c r="G32" s="572">
        <f>E32*F32</f>
        <v>0</v>
      </c>
      <c r="H32" s="320"/>
      <c r="I32" s="320"/>
      <c r="J32" s="572">
        <f t="shared" si="0"/>
        <v>0</v>
      </c>
      <c r="K32" s="572">
        <f>G32+J32</f>
        <v>0</v>
      </c>
      <c r="L32" s="573"/>
      <c r="M32" s="572">
        <f>M31+L32-K32</f>
        <v>0</v>
      </c>
      <c r="N32" s="572"/>
      <c r="O32" s="572"/>
    </row>
    <row r="33" spans="1:15" x14ac:dyDescent="0.25">
      <c r="A33" s="37">
        <v>30</v>
      </c>
      <c r="B33" s="571"/>
      <c r="C33" s="574"/>
      <c r="D33" s="574"/>
      <c r="E33" s="320"/>
      <c r="F33" s="320"/>
      <c r="G33" s="572">
        <f>E33*F33</f>
        <v>0</v>
      </c>
      <c r="H33" s="320"/>
      <c r="I33" s="320"/>
      <c r="J33" s="572">
        <f t="shared" si="0"/>
        <v>0</v>
      </c>
      <c r="K33" s="572">
        <f>G33+J33</f>
        <v>0</v>
      </c>
      <c r="L33" s="573"/>
      <c r="M33" s="572">
        <f>M32+L33-K33</f>
        <v>0</v>
      </c>
      <c r="N33" s="572"/>
      <c r="O33" s="572"/>
    </row>
    <row r="34" spans="1:15" x14ac:dyDescent="0.25">
      <c r="A34" s="570">
        <v>31</v>
      </c>
      <c r="B34" s="571"/>
      <c r="C34" s="574"/>
      <c r="D34" s="574"/>
      <c r="E34" s="320"/>
      <c r="F34" s="320"/>
      <c r="G34" s="572">
        <f>E34*F34</f>
        <v>0</v>
      </c>
      <c r="H34" s="320"/>
      <c r="I34" s="320"/>
      <c r="J34" s="572">
        <f t="shared" si="0"/>
        <v>0</v>
      </c>
      <c r="K34" s="572">
        <f>G34+J34</f>
        <v>0</v>
      </c>
      <c r="L34" s="573"/>
      <c r="M34" s="572">
        <f>M33+L34-K34</f>
        <v>0</v>
      </c>
      <c r="N34" s="572"/>
      <c r="O34" s="572"/>
    </row>
    <row r="35" spans="1:15" x14ac:dyDescent="0.25">
      <c r="A35" s="37">
        <v>32</v>
      </c>
      <c r="B35" s="571"/>
      <c r="C35" s="574"/>
      <c r="D35" s="574"/>
      <c r="E35" s="320"/>
      <c r="F35" s="320"/>
      <c r="G35" s="572">
        <f>E35*F35</f>
        <v>0</v>
      </c>
      <c r="H35" s="320"/>
      <c r="I35" s="320"/>
      <c r="J35" s="572">
        <f t="shared" si="0"/>
        <v>0</v>
      </c>
      <c r="K35" s="572">
        <f>G35+J35</f>
        <v>0</v>
      </c>
      <c r="L35" s="573"/>
      <c r="M35" s="572">
        <f>M34+L35-K35</f>
        <v>0</v>
      </c>
      <c r="N35" s="572"/>
      <c r="O35" s="572"/>
    </row>
    <row r="36" spans="1:15" x14ac:dyDescent="0.25">
      <c r="A36" s="37">
        <v>33</v>
      </c>
      <c r="B36" s="571"/>
      <c r="C36" s="574"/>
      <c r="D36" s="574"/>
      <c r="E36" s="572"/>
      <c r="F36" s="572"/>
      <c r="G36" s="572">
        <f>E36*F36</f>
        <v>0</v>
      </c>
      <c r="H36" s="320"/>
      <c r="I36" s="320"/>
      <c r="J36" s="572">
        <f t="shared" si="0"/>
        <v>0</v>
      </c>
      <c r="K36" s="572">
        <f>G36+J36</f>
        <v>0</v>
      </c>
      <c r="L36" s="573"/>
      <c r="M36" s="572">
        <f>M35+L36-K36</f>
        <v>0</v>
      </c>
      <c r="N36" s="572"/>
      <c r="O36" s="572"/>
    </row>
    <row r="37" spans="1:15" x14ac:dyDescent="0.25">
      <c r="A37" s="570">
        <v>34</v>
      </c>
      <c r="B37" s="571"/>
      <c r="C37" s="574"/>
      <c r="D37" s="574"/>
      <c r="E37" s="572"/>
      <c r="F37" s="572"/>
      <c r="G37" s="572">
        <f>E37*F37</f>
        <v>0</v>
      </c>
      <c r="H37" s="320"/>
      <c r="I37" s="320"/>
      <c r="J37" s="572">
        <f t="shared" si="0"/>
        <v>0</v>
      </c>
      <c r="K37" s="572">
        <f>G37+J37</f>
        <v>0</v>
      </c>
      <c r="L37" s="573"/>
      <c r="M37" s="572">
        <f>M36+L37-K37</f>
        <v>0</v>
      </c>
      <c r="N37" s="572"/>
      <c r="O37" s="572"/>
    </row>
    <row r="38" spans="1:15" x14ac:dyDescent="0.25">
      <c r="A38" s="37">
        <v>35</v>
      </c>
      <c r="B38" s="571"/>
      <c r="C38" s="574"/>
      <c r="D38" s="574"/>
      <c r="E38" s="320"/>
      <c r="F38" s="320"/>
      <c r="G38" s="572">
        <f>E38*F38</f>
        <v>0</v>
      </c>
      <c r="H38" s="320"/>
      <c r="I38" s="320"/>
      <c r="J38" s="572">
        <f t="shared" si="0"/>
        <v>0</v>
      </c>
      <c r="K38" s="572">
        <f>G38+J38</f>
        <v>0</v>
      </c>
      <c r="L38" s="573"/>
      <c r="M38" s="572">
        <f>M37+L38-K38</f>
        <v>0</v>
      </c>
      <c r="N38" s="572"/>
      <c r="O38" s="572"/>
    </row>
    <row r="39" spans="1:15" x14ac:dyDescent="0.25">
      <c r="A39" s="37">
        <v>36</v>
      </c>
      <c r="B39" s="571"/>
      <c r="C39" s="574"/>
      <c r="D39" s="574"/>
      <c r="E39" s="320"/>
      <c r="F39" s="320"/>
      <c r="G39" s="572">
        <f>E39*F39</f>
        <v>0</v>
      </c>
      <c r="H39" s="320"/>
      <c r="I39" s="320"/>
      <c r="J39" s="572">
        <f t="shared" si="0"/>
        <v>0</v>
      </c>
      <c r="K39" s="572">
        <f>G39+J39</f>
        <v>0</v>
      </c>
      <c r="L39" s="573"/>
      <c r="M39" s="572">
        <f>M38+L39-K39</f>
        <v>0</v>
      </c>
      <c r="N39" s="572"/>
      <c r="O39" s="572"/>
    </row>
    <row r="40" spans="1:15" x14ac:dyDescent="0.25">
      <c r="A40" s="570">
        <v>37</v>
      </c>
      <c r="B40" s="571"/>
      <c r="C40" s="574"/>
      <c r="D40" s="574"/>
      <c r="E40" s="320"/>
      <c r="F40" s="320"/>
      <c r="G40" s="572">
        <f>E40*F40</f>
        <v>0</v>
      </c>
      <c r="H40" s="320"/>
      <c r="I40" s="320"/>
      <c r="J40" s="572">
        <f t="shared" si="0"/>
        <v>0</v>
      </c>
      <c r="K40" s="572">
        <f>G40+J40</f>
        <v>0</v>
      </c>
      <c r="L40" s="573"/>
      <c r="M40" s="572">
        <f>M39+L40-K40</f>
        <v>0</v>
      </c>
      <c r="N40" s="572"/>
      <c r="O40" s="572"/>
    </row>
    <row r="41" spans="1:15" x14ac:dyDescent="0.25">
      <c r="A41" s="37">
        <v>38</v>
      </c>
      <c r="B41" s="571"/>
      <c r="C41" s="574"/>
      <c r="D41" s="574"/>
      <c r="E41" s="320"/>
      <c r="F41" s="320"/>
      <c r="G41" s="572">
        <f>E41*F41</f>
        <v>0</v>
      </c>
      <c r="H41" s="320"/>
      <c r="I41" s="320"/>
      <c r="J41" s="572">
        <f t="shared" si="0"/>
        <v>0</v>
      </c>
      <c r="K41" s="572">
        <f>G41+J41</f>
        <v>0</v>
      </c>
      <c r="L41" s="573"/>
      <c r="M41" s="572">
        <f>M40+L41-K41</f>
        <v>0</v>
      </c>
      <c r="N41" s="572"/>
      <c r="O41" s="572"/>
    </row>
    <row r="42" spans="1:15" x14ac:dyDescent="0.25">
      <c r="A42" s="37">
        <v>39</v>
      </c>
      <c r="B42" s="571"/>
      <c r="C42" s="361"/>
      <c r="D42" s="361"/>
      <c r="E42" s="572"/>
      <c r="F42" s="572"/>
      <c r="G42" s="572">
        <f>E42*F42</f>
        <v>0</v>
      </c>
      <c r="H42" s="320"/>
      <c r="I42" s="320"/>
      <c r="J42" s="572">
        <f t="shared" si="0"/>
        <v>0</v>
      </c>
      <c r="K42" s="572">
        <f>G42+J42</f>
        <v>0</v>
      </c>
      <c r="L42" s="573"/>
      <c r="M42" s="572">
        <f>M41+L42-K42</f>
        <v>0</v>
      </c>
      <c r="N42" s="572"/>
      <c r="O42" s="572"/>
    </row>
    <row r="43" spans="1:15" x14ac:dyDescent="0.25">
      <c r="A43" s="570">
        <v>40</v>
      </c>
      <c r="B43" s="575"/>
      <c r="C43" s="361"/>
      <c r="D43" s="361"/>
      <c r="E43" s="572"/>
      <c r="F43" s="572"/>
      <c r="G43" s="572">
        <f>E43*F43</f>
        <v>0</v>
      </c>
      <c r="H43" s="320"/>
      <c r="I43" s="320"/>
      <c r="J43" s="572">
        <f t="shared" si="0"/>
        <v>0</v>
      </c>
      <c r="K43" s="572">
        <f>G43+J43</f>
        <v>0</v>
      </c>
      <c r="L43" s="573"/>
      <c r="M43" s="572">
        <f>M42+L43-K43</f>
        <v>0</v>
      </c>
      <c r="N43" s="572"/>
      <c r="O43" s="572"/>
    </row>
    <row r="44" spans="1:16" x14ac:dyDescent="0.25">
      <c r="A44" s="356">
        <v>41</v>
      </c>
      <c r="B44" s="571"/>
      <c r="C44" s="361"/>
      <c r="D44" s="361"/>
      <c r="E44" s="576"/>
      <c r="F44" s="577"/>
      <c r="G44" s="572">
        <f>E44*F44</f>
        <v>0</v>
      </c>
      <c r="H44" s="320"/>
      <c r="I44" s="320"/>
      <c r="J44" s="572">
        <f t="shared" si="0"/>
        <v>0</v>
      </c>
      <c r="K44" s="572">
        <f>G44+J44</f>
        <v>0</v>
      </c>
      <c r="L44" s="573"/>
      <c r="M44" s="572">
        <f>M43+L44-K44</f>
        <v>0</v>
      </c>
      <c r="N44" s="572"/>
      <c r="O44" s="572"/>
      <c r="P44" s="578"/>
    </row>
    <row r="45" spans="1:15" x14ac:dyDescent="0.25">
      <c r="A45" s="356">
        <v>42</v>
      </c>
      <c r="B45" s="571"/>
      <c r="C45" s="361"/>
      <c r="D45" s="361"/>
      <c r="E45" s="579"/>
      <c r="F45" s="320"/>
      <c r="G45" s="572">
        <f>E45*F45</f>
        <v>0</v>
      </c>
      <c r="H45" s="320"/>
      <c r="I45" s="320"/>
      <c r="J45" s="572">
        <f t="shared" si="0"/>
        <v>0</v>
      </c>
      <c r="K45" s="572">
        <f>G45+J45</f>
        <v>0</v>
      </c>
      <c r="L45" s="573"/>
      <c r="M45" s="572">
        <f>M44+L45-K45</f>
        <v>0</v>
      </c>
      <c r="N45" s="572"/>
      <c r="O45" s="572"/>
    </row>
    <row r="46" spans="1:15" x14ac:dyDescent="0.25">
      <c r="A46" s="580">
        <v>43</v>
      </c>
      <c r="B46" s="571"/>
      <c r="C46" s="361"/>
      <c r="D46" s="361"/>
      <c r="E46" s="581"/>
      <c r="F46" s="64"/>
      <c r="G46" s="572">
        <f>E46*F46</f>
        <v>0</v>
      </c>
      <c r="H46" s="582"/>
      <c r="I46" s="320"/>
      <c r="J46" s="572">
        <f t="shared" si="0"/>
        <v>0</v>
      </c>
      <c r="K46" s="572">
        <f>G46+J46</f>
        <v>0</v>
      </c>
      <c r="L46" s="573"/>
      <c r="M46" s="572">
        <f>M45+L46-K46</f>
        <v>0</v>
      </c>
      <c r="N46" s="572"/>
      <c r="O46" s="572"/>
    </row>
    <row r="47" spans="1:15" x14ac:dyDescent="0.25">
      <c r="A47" s="356">
        <v>44</v>
      </c>
      <c r="B47" s="571"/>
      <c r="C47" s="361"/>
      <c r="D47" s="361"/>
      <c r="E47" s="583"/>
      <c r="F47" s="577"/>
      <c r="G47" s="572">
        <f>E47*F47</f>
        <v>0</v>
      </c>
      <c r="H47" s="320"/>
      <c r="I47" s="64"/>
      <c r="J47" s="572">
        <f t="shared" si="0"/>
        <v>0</v>
      </c>
      <c r="K47" s="572">
        <f>G47+J47</f>
        <v>0</v>
      </c>
      <c r="L47" s="573"/>
      <c r="M47" s="572">
        <f>M46+L47-K47</f>
        <v>0</v>
      </c>
      <c r="N47" s="572"/>
      <c r="O47" s="572"/>
    </row>
    <row r="48" spans="1:15" x14ac:dyDescent="0.25">
      <c r="A48" s="356">
        <v>45</v>
      </c>
      <c r="B48" s="571"/>
      <c r="C48" s="361"/>
      <c r="D48" s="361"/>
      <c r="E48" s="579"/>
      <c r="F48" s="320"/>
      <c r="G48" s="572">
        <f>E48*F48</f>
        <v>0</v>
      </c>
      <c r="H48" s="584"/>
      <c r="I48" s="320"/>
      <c r="J48" s="572">
        <f t="shared" si="0"/>
        <v>0</v>
      </c>
      <c r="K48" s="572">
        <f>G48+J48</f>
        <v>0</v>
      </c>
      <c r="L48" s="573"/>
      <c r="M48" s="572">
        <f>M47+L48-K48</f>
        <v>0</v>
      </c>
      <c r="N48" s="572"/>
      <c r="O48" s="572"/>
    </row>
    <row r="49" spans="1:15" x14ac:dyDescent="0.25">
      <c r="A49" s="580">
        <v>46</v>
      </c>
      <c r="B49" s="571"/>
      <c r="C49" s="361"/>
      <c r="D49" s="361"/>
      <c r="E49" s="581"/>
      <c r="F49" s="64"/>
      <c r="G49" s="572">
        <f>E49*F49</f>
        <v>0</v>
      </c>
      <c r="H49" s="355"/>
      <c r="I49" s="320"/>
      <c r="J49" s="572">
        <f t="shared" si="0"/>
        <v>0</v>
      </c>
      <c r="K49" s="572">
        <f>G49+J49</f>
        <v>0</v>
      </c>
      <c r="L49" s="573"/>
      <c r="M49" s="572">
        <f>M48+L49-K49</f>
        <v>0</v>
      </c>
      <c r="N49" s="572"/>
      <c r="O49" s="572"/>
    </row>
    <row r="50" spans="1:15" x14ac:dyDescent="0.25">
      <c r="A50" s="356">
        <v>47</v>
      </c>
      <c r="B50" s="571"/>
      <c r="C50" s="361"/>
      <c r="D50" s="361"/>
      <c r="E50" s="73"/>
      <c r="F50" s="320"/>
      <c r="G50" s="572">
        <f>E50*F50</f>
        <v>0</v>
      </c>
      <c r="H50" s="328"/>
      <c r="I50" s="64"/>
      <c r="J50" s="572">
        <f t="shared" si="0"/>
        <v>0</v>
      </c>
      <c r="K50" s="572">
        <f>G50+J50</f>
        <v>0</v>
      </c>
      <c r="L50" s="573"/>
      <c r="M50" s="572">
        <f>M49+L50-K50</f>
        <v>0</v>
      </c>
      <c r="N50" s="572"/>
      <c r="O50" s="572"/>
    </row>
    <row r="51" spans="1:15" x14ac:dyDescent="0.25">
      <c r="A51" s="356">
        <v>48</v>
      </c>
      <c r="B51" s="571"/>
      <c r="C51" s="361"/>
      <c r="D51" s="361"/>
      <c r="E51" s="581"/>
      <c r="F51" s="64"/>
      <c r="G51" s="572">
        <f>E51*F51</f>
        <v>0</v>
      </c>
      <c r="H51" s="585"/>
      <c r="I51" s="320"/>
      <c r="J51" s="572">
        <f t="shared" si="0"/>
        <v>0</v>
      </c>
      <c r="K51" s="572">
        <f>G51+J51</f>
        <v>0</v>
      </c>
      <c r="L51" s="573"/>
      <c r="M51" s="572">
        <f>M50+L51-K51</f>
        <v>0</v>
      </c>
      <c r="N51" s="572"/>
      <c r="O51" s="572"/>
    </row>
    <row r="52" spans="1:15" x14ac:dyDescent="0.25">
      <c r="A52" s="580">
        <v>49</v>
      </c>
      <c r="B52" s="571"/>
      <c r="C52" s="361"/>
      <c r="D52" s="361"/>
      <c r="E52" s="581"/>
      <c r="F52" s="320"/>
      <c r="G52" s="572">
        <f>E52*F52</f>
        <v>0</v>
      </c>
      <c r="H52" s="320"/>
      <c r="I52" s="64"/>
      <c r="J52" s="572">
        <f t="shared" si="0"/>
        <v>0</v>
      </c>
      <c r="K52" s="572">
        <f>G52+J52</f>
        <v>0</v>
      </c>
      <c r="L52" s="573"/>
      <c r="M52" s="572">
        <f>M51+L52-K52</f>
        <v>0</v>
      </c>
      <c r="N52" s="572"/>
      <c r="O52" s="572"/>
    </row>
    <row r="53" spans="1:15" x14ac:dyDescent="0.25">
      <c r="A53" s="356">
        <v>50</v>
      </c>
      <c r="B53" s="571"/>
      <c r="C53" s="361"/>
      <c r="D53" s="361"/>
      <c r="E53" s="581"/>
      <c r="F53" s="64"/>
      <c r="G53" s="572">
        <f>E53*F53</f>
        <v>0</v>
      </c>
      <c r="H53" s="584"/>
      <c r="I53" s="320"/>
      <c r="J53" s="572">
        <f t="shared" si="0"/>
        <v>0</v>
      </c>
      <c r="K53" s="572">
        <f>G53+J53</f>
        <v>0</v>
      </c>
      <c r="L53" s="573"/>
      <c r="M53" s="572">
        <f>M52+L53-K53</f>
        <v>0</v>
      </c>
      <c r="N53" s="572"/>
      <c r="O53" s="572"/>
    </row>
    <row r="54" spans="1:15" x14ac:dyDescent="0.25">
      <c r="A54" s="356">
        <v>51</v>
      </c>
      <c r="B54" s="571"/>
      <c r="C54" s="361"/>
      <c r="D54" s="361"/>
      <c r="E54" s="576"/>
      <c r="F54" s="64"/>
      <c r="G54" s="572">
        <f>E54*F54</f>
        <v>0</v>
      </c>
      <c r="H54" s="582"/>
      <c r="I54" s="582"/>
      <c r="J54" s="577">
        <f t="shared" si="0"/>
        <v>0</v>
      </c>
      <c r="K54" s="572">
        <f>G54+J54</f>
        <v>0</v>
      </c>
      <c r="L54" s="573"/>
      <c r="M54" s="572">
        <f>M53+L54-K54</f>
        <v>0</v>
      </c>
      <c r="N54" s="572"/>
      <c r="O54" s="572"/>
    </row>
    <row r="55" spans="1:15" x14ac:dyDescent="0.25">
      <c r="A55" s="586">
        <v>52</v>
      </c>
      <c r="B55" s="587"/>
      <c r="C55" s="361"/>
      <c r="D55" s="361"/>
      <c r="E55" s="320"/>
      <c r="F55" s="320"/>
      <c r="G55" s="572">
        <f>E55*F55</f>
        <v>0</v>
      </c>
      <c r="H55" s="320"/>
      <c r="I55" s="320"/>
      <c r="J55" s="572">
        <f t="shared" si="0"/>
        <v>0</v>
      </c>
      <c r="K55" s="572">
        <f>G55+J55</f>
        <v>0</v>
      </c>
      <c r="L55" s="588"/>
      <c r="M55" s="572">
        <f>M54+L55-K55</f>
        <v>0</v>
      </c>
      <c r="N55" s="572"/>
      <c r="O55" s="572"/>
    </row>
    <row r="56" spans="1:15" x14ac:dyDescent="0.25">
      <c r="A56" s="37">
        <v>53</v>
      </c>
      <c r="B56" s="589"/>
      <c r="C56" s="361"/>
      <c r="D56" s="361"/>
      <c r="E56" s="320"/>
      <c r="F56" s="320"/>
      <c r="G56" s="572">
        <f>E56*F56</f>
        <v>0</v>
      </c>
      <c r="H56" s="320"/>
      <c r="I56" s="320"/>
      <c r="J56" s="572">
        <f t="shared" si="0"/>
        <v>0</v>
      </c>
      <c r="K56" s="572">
        <f>G56+J56</f>
        <v>0</v>
      </c>
      <c r="L56" s="590"/>
      <c r="M56" s="591">
        <f>M55+L56-K56</f>
        <v>0</v>
      </c>
      <c r="N56" s="572"/>
      <c r="O56" s="572"/>
    </row>
    <row r="57" ht="15" customHeight="1" spans="1:15" x14ac:dyDescent="0.25">
      <c r="A57" s="37">
        <v>54</v>
      </c>
      <c r="B57" s="589"/>
      <c r="C57" s="361"/>
      <c r="D57" s="361"/>
      <c r="E57" s="320"/>
      <c r="F57" s="320"/>
      <c r="G57" s="572">
        <f>E57*F57</f>
        <v>0</v>
      </c>
      <c r="H57" s="320"/>
      <c r="I57" s="320"/>
      <c r="J57" s="572">
        <f t="shared" si="0"/>
        <v>0</v>
      </c>
      <c r="K57" s="572">
        <f>G57+J57</f>
        <v>0</v>
      </c>
      <c r="L57" s="590"/>
      <c r="M57" s="591">
        <f>M56+L57-K57</f>
        <v>0</v>
      </c>
      <c r="N57" s="572"/>
      <c r="O57" s="572"/>
    </row>
    <row r="58" ht="15" customHeight="1" spans="1:15" x14ac:dyDescent="0.25">
      <c r="A58" s="37">
        <v>55</v>
      </c>
      <c r="B58" s="589"/>
      <c r="C58" s="361"/>
      <c r="D58" s="361"/>
      <c r="E58" s="320"/>
      <c r="F58" s="320"/>
      <c r="G58" s="572">
        <f>E58*F58</f>
        <v>0</v>
      </c>
      <c r="H58" s="320"/>
      <c r="I58" s="320"/>
      <c r="J58" s="572">
        <f t="shared" si="0"/>
        <v>0</v>
      </c>
      <c r="K58" s="572">
        <f>G58+J58</f>
        <v>0</v>
      </c>
      <c r="L58" s="590"/>
      <c r="M58" s="591">
        <f>M57+L58-K58</f>
        <v>0</v>
      </c>
      <c r="N58" s="572"/>
      <c r="O58" s="572"/>
    </row>
    <row r="59" ht="15" customHeight="1" spans="1:15" x14ac:dyDescent="0.25">
      <c r="A59" s="37">
        <v>56</v>
      </c>
      <c r="B59" s="589"/>
      <c r="C59" s="361"/>
      <c r="D59" s="361"/>
      <c r="E59" s="320"/>
      <c r="F59" s="320"/>
      <c r="G59" s="572">
        <f>E59*F59</f>
        <v>0</v>
      </c>
      <c r="H59" s="320"/>
      <c r="I59" s="320"/>
      <c r="J59" s="572">
        <f t="shared" si="0"/>
        <v>0</v>
      </c>
      <c r="K59" s="572">
        <f>G59+J59</f>
        <v>0</v>
      </c>
      <c r="L59" s="590"/>
      <c r="M59" s="591">
        <f>M58+L59-K59</f>
        <v>0</v>
      </c>
      <c r="N59" s="572"/>
      <c r="O59" s="572"/>
    </row>
    <row r="60" ht="15" customHeight="1" spans="1:15" x14ac:dyDescent="0.25">
      <c r="A60" s="37">
        <v>57</v>
      </c>
      <c r="B60" s="589"/>
      <c r="C60" s="361"/>
      <c r="D60" s="361"/>
      <c r="E60" s="320"/>
      <c r="F60" s="320"/>
      <c r="G60" s="572">
        <f>E60*F60</f>
        <v>0</v>
      </c>
      <c r="H60" s="320"/>
      <c r="I60" s="320"/>
      <c r="J60" s="572">
        <f t="shared" si="0"/>
        <v>0</v>
      </c>
      <c r="K60" s="572">
        <f>G60+J60</f>
        <v>0</v>
      </c>
      <c r="L60" s="590"/>
      <c r="M60" s="591">
        <f>M59+L60-K60</f>
        <v>0</v>
      </c>
      <c r="N60" s="572"/>
      <c r="O60" s="572"/>
    </row>
    <row r="61" ht="15" customHeight="1" spans="1:15" x14ac:dyDescent="0.25">
      <c r="A61" s="37">
        <v>58</v>
      </c>
      <c r="B61" s="589"/>
      <c r="C61" s="361"/>
      <c r="D61" s="361"/>
      <c r="E61" s="320"/>
      <c r="F61" s="320"/>
      <c r="G61" s="572">
        <f>E61*F61</f>
        <v>0</v>
      </c>
      <c r="H61" s="320"/>
      <c r="I61" s="320"/>
      <c r="J61" s="572">
        <f t="shared" si="0"/>
        <v>0</v>
      </c>
      <c r="K61" s="572">
        <f>G61+J61</f>
        <v>0</v>
      </c>
      <c r="L61" s="590"/>
      <c r="M61" s="591">
        <f>M60+L61-K61</f>
        <v>0</v>
      </c>
      <c r="N61" s="572"/>
      <c r="O61" s="572"/>
    </row>
    <row r="62" ht="15" customHeight="1" spans="1:15" x14ac:dyDescent="0.25">
      <c r="A62" s="37">
        <v>59</v>
      </c>
      <c r="B62" s="589"/>
      <c r="C62" s="361"/>
      <c r="D62" s="361"/>
      <c r="E62" s="320"/>
      <c r="F62" s="320"/>
      <c r="G62" s="572">
        <f>E62*F62</f>
        <v>0</v>
      </c>
      <c r="H62" s="320"/>
      <c r="I62" s="320"/>
      <c r="J62" s="572">
        <f t="shared" si="0"/>
        <v>0</v>
      </c>
      <c r="K62" s="572">
        <f>G62+J62</f>
        <v>0</v>
      </c>
      <c r="L62" s="590"/>
      <c r="M62" s="591">
        <f>M61+L62-K62</f>
        <v>0</v>
      </c>
      <c r="N62" s="572"/>
      <c r="O62" s="572"/>
    </row>
    <row r="63" spans="1:15" x14ac:dyDescent="0.25">
      <c r="A63" s="570">
        <v>60</v>
      </c>
      <c r="B63" s="589"/>
      <c r="C63" s="320"/>
      <c r="D63" s="320"/>
      <c r="E63" s="572"/>
      <c r="F63" s="320"/>
      <c r="G63" s="572">
        <f>E63*F63</f>
        <v>0</v>
      </c>
      <c r="H63" s="320"/>
      <c r="I63" s="320"/>
      <c r="J63" s="572">
        <f t="shared" si="0"/>
        <v>0</v>
      </c>
      <c r="K63" s="572">
        <f>G63+J63</f>
        <v>0</v>
      </c>
      <c r="L63" s="590"/>
      <c r="M63" s="591">
        <f>M62+L63-K63</f>
        <v>0</v>
      </c>
      <c r="N63" s="572"/>
      <c r="O63" s="572"/>
    </row>
    <row r="64" spans="1:15" x14ac:dyDescent="0.25">
      <c r="A64" s="592">
        <v>61</v>
      </c>
      <c r="B64" s="593"/>
      <c r="C64" s="320"/>
      <c r="D64" s="320"/>
      <c r="E64" s="572"/>
      <c r="F64" s="320"/>
      <c r="G64" s="572">
        <f>E64*F64</f>
        <v>0</v>
      </c>
      <c r="H64" s="320"/>
      <c r="I64" s="320"/>
      <c r="J64" s="572">
        <f t="shared" si="0"/>
        <v>0</v>
      </c>
      <c r="K64" s="572">
        <f>G64+J64</f>
        <v>0</v>
      </c>
      <c r="L64" s="594"/>
      <c r="M64" s="591">
        <f>M63+L64-K64</f>
        <v>0</v>
      </c>
      <c r="N64" s="572"/>
      <c r="O64" s="572"/>
    </row>
    <row r="65" spans="1:15" x14ac:dyDescent="0.25">
      <c r="A65" s="356">
        <v>62</v>
      </c>
      <c r="B65" s="589"/>
      <c r="C65" s="320"/>
      <c r="D65" s="320"/>
      <c r="E65" s="320"/>
      <c r="F65" s="320"/>
      <c r="G65" s="572">
        <f>E65*F65</f>
        <v>0</v>
      </c>
      <c r="H65" s="320"/>
      <c r="I65" s="320"/>
      <c r="J65" s="572">
        <f t="shared" si="0"/>
        <v>0</v>
      </c>
      <c r="K65" s="572">
        <f>G65+J65</f>
        <v>0</v>
      </c>
      <c r="L65" s="590"/>
      <c r="M65" s="591">
        <f>M64+L65-K65</f>
        <v>0</v>
      </c>
      <c r="N65" s="572"/>
      <c r="O65" s="572"/>
    </row>
    <row r="66" spans="1:15" x14ac:dyDescent="0.25">
      <c r="A66" s="580">
        <v>63</v>
      </c>
      <c r="B66" s="571"/>
      <c r="C66" s="584"/>
      <c r="D66" s="584"/>
      <c r="E66" s="73"/>
      <c r="F66" s="64"/>
      <c r="G66" s="572">
        <f>E66*F66</f>
        <v>0</v>
      </c>
      <c r="H66" s="595"/>
      <c r="I66" s="584"/>
      <c r="J66" s="596">
        <f t="shared" si="0"/>
        <v>0</v>
      </c>
      <c r="K66" s="572">
        <f>G66+J66</f>
        <v>0</v>
      </c>
      <c r="L66" s="573"/>
      <c r="M66" s="591">
        <f>M65+L66-K66</f>
        <v>0</v>
      </c>
      <c r="N66" s="572"/>
      <c r="O66" s="572"/>
    </row>
    <row r="67" spans="1:15" x14ac:dyDescent="0.25">
      <c r="A67" s="356">
        <v>64</v>
      </c>
      <c r="B67" s="571"/>
      <c r="C67" s="320"/>
      <c r="D67" s="320"/>
      <c r="E67" s="583"/>
      <c r="F67" s="577"/>
      <c r="G67" s="572">
        <f>E67*F67</f>
        <v>0</v>
      </c>
      <c r="H67" s="320"/>
      <c r="I67" s="64"/>
      <c r="J67" s="572">
        <f t="shared" si="0"/>
        <v>0</v>
      </c>
      <c r="K67" s="572">
        <f>G67+J67</f>
        <v>0</v>
      </c>
      <c r="L67" s="573"/>
      <c r="M67" s="591">
        <f>M66+L67-K67</f>
        <v>0</v>
      </c>
      <c r="N67" s="572"/>
      <c r="O67" s="572"/>
    </row>
    <row r="68" spans="1:15" x14ac:dyDescent="0.25">
      <c r="A68" s="356">
        <v>65</v>
      </c>
      <c r="B68" s="571"/>
      <c r="C68" s="320"/>
      <c r="D68" s="320"/>
      <c r="E68" s="597"/>
      <c r="F68" s="320"/>
      <c r="G68" s="572">
        <f>E68*F68</f>
        <v>0</v>
      </c>
      <c r="H68" s="595"/>
      <c r="I68" s="582"/>
      <c r="J68" s="572">
        <f t="shared" si="0"/>
        <v>0</v>
      </c>
      <c r="K68" s="572">
        <f>G68+J68</f>
        <v>0</v>
      </c>
      <c r="L68" s="573"/>
      <c r="M68" s="591">
        <f>M67+L68-K68</f>
        <v>0</v>
      </c>
      <c r="N68" s="572"/>
      <c r="O68" s="572"/>
    </row>
    <row r="69" spans="1:15" x14ac:dyDescent="0.25">
      <c r="A69" s="580">
        <v>66</v>
      </c>
      <c r="B69" s="571"/>
      <c r="C69" s="320"/>
      <c r="D69" s="320"/>
      <c r="E69" s="591"/>
      <c r="F69" s="64"/>
      <c r="G69" s="572">
        <f>E69*F69</f>
        <v>0</v>
      </c>
      <c r="H69" s="598"/>
      <c r="I69" s="582"/>
      <c r="J69" s="572">
        <f t="shared" si="0"/>
        <v>0</v>
      </c>
      <c r="K69" s="572">
        <f>G69+J69</f>
        <v>0</v>
      </c>
      <c r="L69" s="573"/>
      <c r="M69" s="591">
        <f>M68+L69-K69</f>
        <v>0</v>
      </c>
      <c r="N69" s="572"/>
      <c r="O69" s="572"/>
    </row>
    <row r="70" spans="1:15" x14ac:dyDescent="0.25">
      <c r="A70" s="356">
        <v>67</v>
      </c>
      <c r="B70" s="571"/>
      <c r="C70" s="320"/>
      <c r="D70" s="320"/>
      <c r="E70" s="591"/>
      <c r="F70" s="572"/>
      <c r="G70" s="572">
        <f>E70*F70</f>
        <v>0</v>
      </c>
      <c r="H70" s="598"/>
      <c r="I70" s="320"/>
      <c r="J70" s="572">
        <f t="shared" si="0"/>
        <v>0</v>
      </c>
      <c r="K70" s="572">
        <f>G70+J70</f>
        <v>0</v>
      </c>
      <c r="L70" s="573"/>
      <c r="M70" s="591">
        <f>M69+L70-K70</f>
        <v>0</v>
      </c>
      <c r="N70" s="599"/>
      <c r="O70" s="572"/>
    </row>
    <row r="71" spans="1:15" x14ac:dyDescent="0.25">
      <c r="A71" s="356">
        <v>68</v>
      </c>
      <c r="B71" s="571"/>
      <c r="C71" s="320"/>
      <c r="D71" s="320"/>
      <c r="E71" s="600"/>
      <c r="F71" s="582"/>
      <c r="G71" s="572">
        <f>E71*F71</f>
        <v>0</v>
      </c>
      <c r="H71" s="320"/>
      <c r="I71" s="64"/>
      <c r="J71" s="572">
        <f t="shared" si="0"/>
        <v>0</v>
      </c>
      <c r="K71" s="572">
        <f>G71+J71</f>
        <v>0</v>
      </c>
      <c r="L71" s="573"/>
      <c r="M71" s="591">
        <f>M70+L71-K71</f>
        <v>0</v>
      </c>
      <c r="N71" s="140"/>
      <c r="O71" s="140"/>
    </row>
    <row r="72" spans="1:15" x14ac:dyDescent="0.25">
      <c r="A72" s="580">
        <v>69</v>
      </c>
      <c r="B72" s="571"/>
      <c r="C72" s="320"/>
      <c r="D72" s="320"/>
      <c r="E72" s="601"/>
      <c r="F72" s="320"/>
      <c r="G72" s="572">
        <f>E72*F72</f>
        <v>0</v>
      </c>
      <c r="H72" s="584"/>
      <c r="I72" s="320"/>
      <c r="J72" s="572">
        <f t="shared" si="0"/>
        <v>0</v>
      </c>
      <c r="K72" s="572">
        <f>G72+J72</f>
        <v>0</v>
      </c>
      <c r="L72" s="573"/>
      <c r="M72" s="591">
        <f>M71+L72-K72</f>
        <v>0</v>
      </c>
      <c r="N72" s="140"/>
      <c r="O72" s="140"/>
    </row>
    <row r="73" spans="1:15" x14ac:dyDescent="0.25">
      <c r="A73" s="602">
        <v>70</v>
      </c>
      <c r="B73" s="575"/>
      <c r="C73" s="582"/>
      <c r="D73" s="582"/>
      <c r="E73" s="603"/>
      <c r="F73" s="64"/>
      <c r="G73" s="572">
        <f>E73*F73</f>
        <v>0</v>
      </c>
      <c r="H73" s="577"/>
      <c r="I73" s="577"/>
      <c r="J73" s="577">
        <f t="shared" si="0"/>
        <v>0</v>
      </c>
      <c r="K73" s="572">
        <f>G73+J73</f>
        <v>0</v>
      </c>
      <c r="L73" s="604"/>
      <c r="M73" s="591">
        <f>M72+L73-K73</f>
        <v>0</v>
      </c>
      <c r="N73" s="140"/>
      <c r="O73" s="140"/>
    </row>
    <row r="74" spans="1:15" x14ac:dyDescent="0.25">
      <c r="A74" s="37">
        <v>71</v>
      </c>
      <c r="B74" s="571"/>
      <c r="C74" s="328"/>
      <c r="D74" s="328"/>
      <c r="E74" s="328"/>
      <c r="F74" s="328"/>
      <c r="G74" s="572">
        <f>E74*F74</f>
        <v>0</v>
      </c>
      <c r="H74" s="572"/>
      <c r="I74" s="328"/>
      <c r="J74" s="572">
        <f t="shared" ref="J74:J97" si="1">H74*I74</f>
        <v>0</v>
      </c>
      <c r="K74" s="572">
        <f>G74+J74</f>
        <v>0</v>
      </c>
      <c r="L74" s="573"/>
      <c r="M74" s="591">
        <f>M73+L74-K74</f>
        <v>0</v>
      </c>
      <c r="N74" s="140"/>
      <c r="O74" s="140"/>
    </row>
    <row r="75" spans="1:15" x14ac:dyDescent="0.25">
      <c r="A75" s="570">
        <v>72</v>
      </c>
      <c r="B75" s="571"/>
      <c r="C75" s="328"/>
      <c r="D75" s="328"/>
      <c r="E75" s="328"/>
      <c r="F75" s="328"/>
      <c r="G75" s="572">
        <f>E75*F75</f>
        <v>0</v>
      </c>
      <c r="H75" s="572"/>
      <c r="I75" s="572"/>
      <c r="J75" s="572">
        <f t="shared" si="1"/>
        <v>0</v>
      </c>
      <c r="K75" s="572">
        <f>G75+J75</f>
        <v>0</v>
      </c>
      <c r="L75" s="573"/>
      <c r="M75" s="591">
        <f>M74+L75-K75</f>
        <v>0</v>
      </c>
      <c r="N75" s="140"/>
      <c r="O75" s="140"/>
    </row>
    <row r="76" spans="1:15" x14ac:dyDescent="0.25">
      <c r="A76" s="37">
        <v>73</v>
      </c>
      <c r="B76" s="571"/>
      <c r="C76" s="328"/>
      <c r="D76" s="328"/>
      <c r="E76" s="328"/>
      <c r="F76" s="328"/>
      <c r="G76" s="572">
        <f>E76*F76</f>
        <v>0</v>
      </c>
      <c r="H76" s="320"/>
      <c r="I76" s="320"/>
      <c r="J76" s="572">
        <f t="shared" si="1"/>
        <v>0</v>
      </c>
      <c r="K76" s="572">
        <f>G76+J76</f>
        <v>0</v>
      </c>
      <c r="L76" s="573"/>
      <c r="M76" s="591">
        <f>M75+L76-K76</f>
        <v>0</v>
      </c>
      <c r="N76" s="140"/>
      <c r="O76" s="140"/>
    </row>
    <row r="77" spans="1:15" x14ac:dyDescent="0.25">
      <c r="A77" s="37">
        <v>74</v>
      </c>
      <c r="B77" s="571"/>
      <c r="C77" s="328"/>
      <c r="D77" s="328"/>
      <c r="E77" s="328"/>
      <c r="F77" s="328"/>
      <c r="G77" s="572">
        <f>E77*F77</f>
        <v>0</v>
      </c>
      <c r="H77" s="320"/>
      <c r="I77" s="320"/>
      <c r="J77" s="572">
        <f t="shared" si="1"/>
        <v>0</v>
      </c>
      <c r="K77" s="572">
        <f>G77+J77</f>
        <v>0</v>
      </c>
      <c r="L77" s="573"/>
      <c r="M77" s="591">
        <f>M76+L77-K77</f>
        <v>0</v>
      </c>
      <c r="N77" s="140"/>
      <c r="O77" s="140"/>
    </row>
    <row r="78" spans="1:15" x14ac:dyDescent="0.25">
      <c r="A78" s="570">
        <v>75</v>
      </c>
      <c r="B78" s="571"/>
      <c r="C78" s="328"/>
      <c r="D78" s="328"/>
      <c r="E78" s="328"/>
      <c r="F78" s="328"/>
      <c r="G78" s="572">
        <f>E78*F78</f>
        <v>0</v>
      </c>
      <c r="H78" s="572"/>
      <c r="I78" s="572"/>
      <c r="J78" s="572">
        <f t="shared" si="1"/>
        <v>0</v>
      </c>
      <c r="K78" s="572">
        <f>G78+J78</f>
        <v>0</v>
      </c>
      <c r="L78" s="573"/>
      <c r="M78" s="591">
        <f>M77+L78-K78</f>
        <v>0</v>
      </c>
      <c r="N78" s="140"/>
      <c r="O78" s="140"/>
    </row>
    <row r="79" spans="1:15" x14ac:dyDescent="0.25">
      <c r="A79" s="570">
        <v>76</v>
      </c>
      <c r="B79" s="605"/>
      <c r="C79" s="606"/>
      <c r="D79" s="606"/>
      <c r="E79" s="596"/>
      <c r="F79" s="596"/>
      <c r="G79" s="596">
        <f>E79*F79</f>
        <v>0</v>
      </c>
      <c r="H79" s="596"/>
      <c r="I79" s="596"/>
      <c r="J79" s="596">
        <f t="shared" si="1"/>
        <v>0</v>
      </c>
      <c r="K79" s="572">
        <f>G79+J79</f>
        <v>0</v>
      </c>
      <c r="L79" s="607"/>
      <c r="M79" s="591">
        <f>M78+L79-K79</f>
        <v>0</v>
      </c>
      <c r="N79" s="140"/>
      <c r="O79" s="140"/>
    </row>
    <row r="80" spans="1:15" x14ac:dyDescent="0.25">
      <c r="A80" s="570">
        <v>77</v>
      </c>
      <c r="B80" s="571"/>
      <c r="C80" s="37"/>
      <c r="D80" s="608"/>
      <c r="E80" s="572"/>
      <c r="F80" s="572"/>
      <c r="G80" s="572">
        <f>E80*F80</f>
        <v>0</v>
      </c>
      <c r="H80" s="572"/>
      <c r="I80" s="572"/>
      <c r="J80" s="572">
        <f t="shared" si="1"/>
        <v>0</v>
      </c>
      <c r="K80" s="572">
        <f>G80+J80</f>
        <v>0</v>
      </c>
      <c r="L80" s="573"/>
      <c r="M80" s="591">
        <f>M79+L80-K80</f>
        <v>0</v>
      </c>
      <c r="N80" s="140"/>
      <c r="O80" s="140"/>
    </row>
    <row r="81" spans="1:15" x14ac:dyDescent="0.25">
      <c r="A81" s="570">
        <v>78</v>
      </c>
      <c r="B81" s="571"/>
      <c r="C81" s="608"/>
      <c r="D81" s="608"/>
      <c r="E81" s="572"/>
      <c r="F81" s="572"/>
      <c r="G81" s="572">
        <f>E81*F81</f>
        <v>0</v>
      </c>
      <c r="H81" s="572"/>
      <c r="I81" s="572"/>
      <c r="J81" s="572">
        <f t="shared" si="1"/>
        <v>0</v>
      </c>
      <c r="K81" s="572">
        <f>G81+J81</f>
        <v>0</v>
      </c>
      <c r="L81" s="573"/>
      <c r="M81" s="591">
        <f>M80+L81-K81</f>
        <v>0</v>
      </c>
      <c r="N81" s="140"/>
      <c r="O81" s="140"/>
    </row>
    <row r="82" spans="1:15" x14ac:dyDescent="0.25">
      <c r="A82" s="570">
        <v>79</v>
      </c>
      <c r="B82" s="571"/>
      <c r="C82" s="608"/>
      <c r="D82" s="608"/>
      <c r="E82" s="572"/>
      <c r="F82" s="572"/>
      <c r="G82" s="572">
        <f>E82*F82</f>
        <v>0</v>
      </c>
      <c r="H82" s="572"/>
      <c r="I82" s="572"/>
      <c r="J82" s="572">
        <f t="shared" si="1"/>
        <v>0</v>
      </c>
      <c r="K82" s="572">
        <f>G82+J82</f>
        <v>0</v>
      </c>
      <c r="L82" s="573"/>
      <c r="M82" s="591">
        <f>M81+L82-K82</f>
        <v>0</v>
      </c>
      <c r="N82" s="140"/>
      <c r="O82" s="140"/>
    </row>
    <row r="83" spans="1:15" x14ac:dyDescent="0.25">
      <c r="A83" s="570">
        <v>80</v>
      </c>
      <c r="B83" s="571"/>
      <c r="C83" s="608"/>
      <c r="D83" s="608"/>
      <c r="E83" s="572"/>
      <c r="F83" s="572"/>
      <c r="G83" s="572">
        <f>E83*F83</f>
        <v>0</v>
      </c>
      <c r="H83" s="572"/>
      <c r="I83" s="572"/>
      <c r="J83" s="572">
        <f>H83*I83</f>
        <v>0</v>
      </c>
      <c r="K83" s="572">
        <f t="shared" ref="K75:K98" si="2">G83+J83</f>
        <v>0</v>
      </c>
      <c r="L83" s="573"/>
      <c r="M83" s="591">
        <f>M82+L83-K83</f>
        <v>0</v>
      </c>
      <c r="N83" s="140"/>
      <c r="O83" s="140"/>
    </row>
    <row r="84" spans="1:15" x14ac:dyDescent="0.25">
      <c r="A84" s="570">
        <v>81</v>
      </c>
      <c r="B84" s="571"/>
      <c r="C84" s="608"/>
      <c r="D84" s="608"/>
      <c r="E84" s="572"/>
      <c r="F84" s="572"/>
      <c r="G84" s="572">
        <f>E84*F84</f>
        <v>0</v>
      </c>
      <c r="H84" s="572"/>
      <c r="I84" s="572"/>
      <c r="J84" s="572">
        <f>H84*I84</f>
        <v>0</v>
      </c>
      <c r="K84" s="572">
        <f t="shared" si="2"/>
        <v>0</v>
      </c>
      <c r="L84" s="573"/>
      <c r="M84" s="591">
        <f>M83+L84-K84</f>
        <v>0</v>
      </c>
      <c r="N84" s="140"/>
      <c r="O84" s="140"/>
    </row>
    <row r="85" spans="1:15" x14ac:dyDescent="0.25">
      <c r="A85" s="570">
        <v>82</v>
      </c>
      <c r="B85" s="571"/>
      <c r="C85" s="608"/>
      <c r="D85" s="608"/>
      <c r="E85" s="572"/>
      <c r="F85" s="572"/>
      <c r="G85" s="572">
        <f>E85*F85</f>
        <v>0</v>
      </c>
      <c r="H85" s="572"/>
      <c r="I85" s="572"/>
      <c r="J85" s="572">
        <f>H85*I85</f>
        <v>0</v>
      </c>
      <c r="K85" s="572">
        <f t="shared" si="2"/>
        <v>0</v>
      </c>
      <c r="L85" s="573"/>
      <c r="M85" s="591">
        <f>M84+L85-K85</f>
        <v>0</v>
      </c>
      <c r="N85" s="140"/>
      <c r="O85" s="140"/>
    </row>
    <row r="86" spans="1:15" x14ac:dyDescent="0.25">
      <c r="A86" s="570">
        <v>83</v>
      </c>
      <c r="B86" s="571"/>
      <c r="C86" s="608"/>
      <c r="D86" s="608"/>
      <c r="E86" s="572"/>
      <c r="F86" s="572"/>
      <c r="G86" s="572">
        <f>E86*F86</f>
        <v>0</v>
      </c>
      <c r="H86" s="572"/>
      <c r="I86" s="572"/>
      <c r="J86" s="572">
        <f>H86*I86</f>
        <v>0</v>
      </c>
      <c r="K86" s="572">
        <f t="shared" si="2"/>
        <v>0</v>
      </c>
      <c r="L86" s="573"/>
      <c r="M86" s="591">
        <f>M85+L86-K86</f>
        <v>0</v>
      </c>
      <c r="N86" s="140"/>
      <c r="O86" s="140"/>
    </row>
    <row r="87" spans="1:15" x14ac:dyDescent="0.25">
      <c r="A87" s="570">
        <v>84</v>
      </c>
      <c r="B87" s="571"/>
      <c r="C87" s="608"/>
      <c r="D87" s="608"/>
      <c r="E87" s="572"/>
      <c r="F87" s="572"/>
      <c r="G87" s="572">
        <f>E87*F87</f>
        <v>0</v>
      </c>
      <c r="H87" s="572"/>
      <c r="I87" s="572"/>
      <c r="J87" s="572">
        <f t="shared" ref="J87:J91" si="3">H87*I87</f>
        <v>0</v>
      </c>
      <c r="K87" s="572">
        <f t="shared" si="2"/>
        <v>0</v>
      </c>
      <c r="L87" s="573"/>
      <c r="M87" s="591">
        <f>M86+L87-K87</f>
        <v>0</v>
      </c>
      <c r="N87" s="140"/>
      <c r="O87" s="140"/>
    </row>
    <row r="88" spans="1:15" x14ac:dyDescent="0.25">
      <c r="A88" s="570">
        <v>85</v>
      </c>
      <c r="B88" s="571"/>
      <c r="C88" s="608"/>
      <c r="D88" s="608"/>
      <c r="E88" s="572"/>
      <c r="F88" s="572"/>
      <c r="G88" s="572">
        <f>E88*F88</f>
        <v>0</v>
      </c>
      <c r="H88" s="572"/>
      <c r="I88" s="572"/>
      <c r="J88" s="572">
        <f t="shared" si="3"/>
        <v>0</v>
      </c>
      <c r="K88" s="572">
        <f t="shared" si="2"/>
        <v>0</v>
      </c>
      <c r="L88" s="573"/>
      <c r="M88" s="591">
        <f>M87+L88-K88</f>
        <v>0</v>
      </c>
      <c r="N88" s="140"/>
      <c r="O88" s="140"/>
    </row>
    <row r="89" spans="1:15" x14ac:dyDescent="0.25">
      <c r="A89" s="570">
        <v>86</v>
      </c>
      <c r="B89" s="571"/>
      <c r="C89" s="608"/>
      <c r="D89" s="608"/>
      <c r="E89" s="572"/>
      <c r="F89" s="572"/>
      <c r="G89" s="572">
        <f>E89*F89</f>
        <v>0</v>
      </c>
      <c r="H89" s="572"/>
      <c r="I89" s="572"/>
      <c r="J89" s="572">
        <f t="shared" si="3"/>
        <v>0</v>
      </c>
      <c r="K89" s="572">
        <f t="shared" si="2"/>
        <v>0</v>
      </c>
      <c r="L89" s="573"/>
      <c r="M89" s="591">
        <f>M88+L89-K89</f>
        <v>0</v>
      </c>
      <c r="N89" s="140"/>
      <c r="O89" s="140"/>
    </row>
    <row r="90" spans="1:15" x14ac:dyDescent="0.25">
      <c r="A90" s="570">
        <v>87</v>
      </c>
      <c r="B90" s="571"/>
      <c r="C90" s="608"/>
      <c r="D90" s="608"/>
      <c r="E90" s="572"/>
      <c r="F90" s="572"/>
      <c r="G90" s="572">
        <f>E90*F90</f>
        <v>0</v>
      </c>
      <c r="H90" s="577"/>
      <c r="I90" s="577"/>
      <c r="J90" s="572">
        <f t="shared" si="3"/>
        <v>0</v>
      </c>
      <c r="K90" s="572">
        <f t="shared" si="2"/>
        <v>0</v>
      </c>
      <c r="L90" s="573"/>
      <c r="M90" s="591">
        <f>M89+L90-K90</f>
        <v>0</v>
      </c>
      <c r="N90" s="140"/>
      <c r="O90" s="140"/>
    </row>
    <row r="91" spans="1:15" x14ac:dyDescent="0.25">
      <c r="A91" s="570">
        <v>88</v>
      </c>
      <c r="B91" s="571"/>
      <c r="C91" s="608"/>
      <c r="D91" s="608"/>
      <c r="E91" s="572"/>
      <c r="F91" s="572"/>
      <c r="G91" s="609">
        <f>E91*F91</f>
        <v>0</v>
      </c>
      <c r="H91" s="320"/>
      <c r="I91" s="320"/>
      <c r="J91" s="591">
        <f t="shared" si="3"/>
        <v>0</v>
      </c>
      <c r="K91" s="572">
        <f t="shared" si="2"/>
        <v>0</v>
      </c>
      <c r="L91" s="572"/>
      <c r="M91" s="591">
        <f>M90+L91-K91</f>
        <v>0</v>
      </c>
      <c r="N91" s="140"/>
      <c r="O91" s="140"/>
    </row>
    <row r="92" spans="1:15" x14ac:dyDescent="0.25">
      <c r="A92" s="570">
        <v>89</v>
      </c>
      <c r="B92" s="605"/>
      <c r="C92" s="610"/>
      <c r="D92" s="606"/>
      <c r="E92" s="596"/>
      <c r="F92" s="596"/>
      <c r="G92" s="611">
        <f>E92*F92</f>
        <v>0</v>
      </c>
      <c r="H92" s="320"/>
      <c r="I92" s="320"/>
      <c r="J92" s="583">
        <f t="shared" si="1"/>
        <v>0</v>
      </c>
      <c r="K92" s="572">
        <f t="shared" si="2"/>
        <v>0</v>
      </c>
      <c r="L92" s="596"/>
      <c r="M92" s="591">
        <f>M91+L92-K92</f>
        <v>0</v>
      </c>
      <c r="N92" s="612"/>
      <c r="O92" s="612"/>
    </row>
    <row r="93" spans="1:15" x14ac:dyDescent="0.25">
      <c r="A93" s="570">
        <v>90</v>
      </c>
      <c r="B93" s="571"/>
      <c r="C93" s="613"/>
      <c r="D93" s="608"/>
      <c r="E93" s="572"/>
      <c r="F93" s="572"/>
      <c r="G93" s="609">
        <f>E93*F93</f>
        <v>0</v>
      </c>
      <c r="H93" s="572"/>
      <c r="I93" s="572"/>
      <c r="J93" s="591">
        <f t="shared" si="1"/>
        <v>0</v>
      </c>
      <c r="K93" s="572">
        <f t="shared" si="2"/>
        <v>0</v>
      </c>
      <c r="L93" s="572"/>
      <c r="M93" s="591">
        <f>M92+L93-K93</f>
        <v>0</v>
      </c>
      <c r="N93" s="140"/>
      <c r="O93" s="140"/>
    </row>
    <row r="94" spans="1:15" x14ac:dyDescent="0.25">
      <c r="A94" s="570">
        <v>91</v>
      </c>
      <c r="B94" s="571"/>
      <c r="C94" s="613"/>
      <c r="D94" s="608"/>
      <c r="E94" s="572"/>
      <c r="F94" s="572"/>
      <c r="G94" s="572">
        <f>E94*F94</f>
        <v>0</v>
      </c>
      <c r="H94" s="596"/>
      <c r="I94" s="596"/>
      <c r="J94" s="572">
        <f t="shared" si="1"/>
        <v>0</v>
      </c>
      <c r="K94" s="572">
        <f t="shared" si="2"/>
        <v>0</v>
      </c>
      <c r="L94" s="572"/>
      <c r="M94" s="591">
        <f>M93+L94-K94</f>
        <v>0</v>
      </c>
      <c r="N94" s="140"/>
      <c r="O94" s="140"/>
    </row>
    <row r="95" spans="1:15" x14ac:dyDescent="0.25">
      <c r="A95" s="570">
        <v>92</v>
      </c>
      <c r="B95" s="571"/>
      <c r="C95" s="613"/>
      <c r="D95" s="608"/>
      <c r="E95" s="572"/>
      <c r="F95" s="572"/>
      <c r="G95" s="572">
        <f t="shared" ref="G95:G99" si="4">E95*F95</f>
        <v>0</v>
      </c>
      <c r="H95" s="572"/>
      <c r="I95" s="572"/>
      <c r="J95" s="572">
        <f t="shared" si="1"/>
        <v>0</v>
      </c>
      <c r="K95" s="572">
        <f t="shared" si="2"/>
        <v>0</v>
      </c>
      <c r="L95" s="572"/>
      <c r="M95" s="591">
        <f>M94+L95-K95</f>
        <v>0</v>
      </c>
      <c r="N95" s="614"/>
      <c r="O95" s="614"/>
    </row>
    <row r="96" spans="1:15" x14ac:dyDescent="0.25">
      <c r="A96" s="570">
        <v>93</v>
      </c>
      <c r="B96" s="571"/>
      <c r="C96" s="613"/>
      <c r="D96" s="608"/>
      <c r="E96" s="572"/>
      <c r="F96" s="572"/>
      <c r="G96" s="572">
        <f t="shared" si="4"/>
        <v>0</v>
      </c>
      <c r="H96" s="572"/>
      <c r="I96" s="572"/>
      <c r="J96" s="572">
        <f t="shared" si="1"/>
        <v>0</v>
      </c>
      <c r="K96" s="572">
        <f t="shared" si="2"/>
        <v>0</v>
      </c>
      <c r="L96" s="572"/>
      <c r="M96" s="591">
        <f>M95+L96-K96</f>
        <v>0</v>
      </c>
      <c r="N96" s="140"/>
      <c r="O96" s="140"/>
    </row>
    <row r="97" spans="1:15" x14ac:dyDescent="0.25">
      <c r="A97" s="570">
        <v>94</v>
      </c>
      <c r="B97" s="571"/>
      <c r="C97" s="613"/>
      <c r="D97" s="608"/>
      <c r="E97" s="572"/>
      <c r="F97" s="572"/>
      <c r="G97" s="572">
        <f t="shared" si="4"/>
        <v>0</v>
      </c>
      <c r="H97" s="572"/>
      <c r="I97" s="572"/>
      <c r="J97" s="572">
        <f t="shared" si="1"/>
        <v>0</v>
      </c>
      <c r="K97" s="572">
        <f t="shared" si="2"/>
        <v>0</v>
      </c>
      <c r="L97" s="572"/>
      <c r="M97" s="591">
        <f>M96+L97-K97</f>
        <v>0</v>
      </c>
      <c r="N97" s="599"/>
      <c r="O97" s="599"/>
    </row>
    <row r="98" spans="1:15" x14ac:dyDescent="0.25">
      <c r="A98" s="615">
        <v>95</v>
      </c>
      <c r="B98" s="616"/>
      <c r="C98" s="613"/>
      <c r="D98" s="613"/>
      <c r="E98" s="577"/>
      <c r="F98" s="577"/>
      <c r="G98" s="572">
        <f t="shared" si="4"/>
        <v>0</v>
      </c>
      <c r="H98" s="577"/>
      <c r="I98" s="577"/>
      <c r="J98" s="577"/>
      <c r="K98" s="577">
        <f t="shared" si="2"/>
        <v>0</v>
      </c>
      <c r="L98" s="577"/>
      <c r="M98" s="576">
        <f>M97+L98-K98</f>
        <v>0</v>
      </c>
      <c r="N98" s="617"/>
      <c r="O98" s="617"/>
    </row>
    <row r="99" spans="1:15" x14ac:dyDescent="0.25">
      <c r="A99" s="37">
        <v>96</v>
      </c>
      <c r="B99" s="618"/>
      <c r="C99" s="37"/>
      <c r="D99" s="37"/>
      <c r="E99" s="140"/>
      <c r="F99" s="140"/>
      <c r="G99" s="572">
        <f t="shared" si="4"/>
        <v>0</v>
      </c>
      <c r="H99" s="140"/>
      <c r="I99" s="140"/>
      <c r="J99" s="140"/>
      <c r="K99" s="140"/>
      <c r="L99" s="140"/>
      <c r="M99" s="140"/>
      <c r="N99" s="140"/>
      <c r="O99" s="140"/>
    </row>
    <row r="100" spans="1:15" x14ac:dyDescent="0.25">
      <c r="A100" s="37">
        <v>97</v>
      </c>
      <c r="B100" s="37"/>
      <c r="C100" s="37"/>
      <c r="D100" s="37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</row>
    <row r="101" spans="1:15" x14ac:dyDescent="0.25">
      <c r="A101" s="37">
        <v>98</v>
      </c>
      <c r="B101" s="37"/>
      <c r="C101" s="37"/>
      <c r="D101" s="37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</row>
    <row r="102" spans="1:15" x14ac:dyDescent="0.25">
      <c r="A102" s="37">
        <v>99</v>
      </c>
      <c r="B102" s="37"/>
      <c r="C102" s="37"/>
      <c r="D102" s="37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</row>
    <row r="103" spans="1:15" x14ac:dyDescent="0.25">
      <c r="A103" s="37">
        <v>100</v>
      </c>
      <c r="B103" s="37"/>
      <c r="C103" s="37"/>
      <c r="D103" s="37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</row>
    <row r="104" spans="5:5" x14ac:dyDescent="0.25">
      <c r="E104" s="578"/>
    </row>
    <row r="106" spans="5:5" x14ac:dyDescent="0.25">
      <c r="E106" s="578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2"/>
  <sheetViews>
    <sheetView workbookViewId="0" zoomScale="100" zoomScaleNormal="100">
      <selection activeCell="L16" sqref="L16"/>
    </sheetView>
  </sheetViews>
  <sheetFormatPr defaultRowHeight="15" outlineLevelRow="0" outlineLevelCol="0" x14ac:dyDescent="0"/>
  <cols>
    <col min="1" max="1" width="9.140625" style="405" customWidth="1"/>
    <col min="2" max="2" width="11.5703125" style="405" customWidth="1"/>
    <col min="3" max="3" width="61.140625" style="405" customWidth="1"/>
    <col min="4" max="4" width="36.5703125" style="405" customWidth="1"/>
    <col min="5" max="5" width="15.7109375" style="405" customWidth="1"/>
    <col min="6" max="6" width="9.140625" style="405" customWidth="1"/>
    <col min="7" max="7" width="22.42578125" style="405" customWidth="1"/>
    <col min="8" max="8" width="22.140625" style="405" customWidth="1"/>
    <col min="9" max="9" width="17.7109375" style="405" customWidth="1"/>
    <col min="10" max="10" width="10.42578125" style="405" customWidth="1"/>
    <col min="11" max="11" width="15.42578125" style="405" customWidth="1"/>
    <col min="12" max="12" width="17.7109375" style="405" customWidth="1"/>
    <col min="13" max="13" width="12.7109375" style="405" customWidth="1"/>
    <col min="14" max="14" width="15.140625" style="405" customWidth="1"/>
    <col min="15" max="15" width="20.5703125" style="405" customWidth="1"/>
    <col min="16" max="16384" width="9.140625" style="405" customWidth="1"/>
  </cols>
  <sheetData>
    <row r="1" ht="15.75" customHeight="1" spans="1:15" x14ac:dyDescent="0.25">
      <c r="A1" s="325" t="s">
        <v>232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</row>
    <row r="2" spans="1:15" x14ac:dyDescent="0.25">
      <c r="A2" s="122" t="s">
        <v>0</v>
      </c>
      <c r="B2" s="123" t="s">
        <v>167</v>
      </c>
      <c r="C2" s="123" t="s">
        <v>228</v>
      </c>
      <c r="D2" s="123" t="s">
        <v>229</v>
      </c>
      <c r="E2" s="123" t="s">
        <v>170</v>
      </c>
      <c r="F2" s="123" t="s">
        <v>171</v>
      </c>
      <c r="G2" s="418" t="s">
        <v>172</v>
      </c>
      <c r="H2" s="123" t="s">
        <v>173</v>
      </c>
      <c r="I2" s="123" t="s">
        <v>171</v>
      </c>
      <c r="J2" s="418" t="s">
        <v>172</v>
      </c>
      <c r="K2" s="122" t="s">
        <v>174</v>
      </c>
      <c r="L2" s="366" t="s">
        <v>230</v>
      </c>
      <c r="M2" s="367" t="s">
        <v>190</v>
      </c>
      <c r="N2" s="123" t="s">
        <v>177</v>
      </c>
      <c r="O2" s="123" t="s">
        <v>231</v>
      </c>
    </row>
    <row r="3" spans="1:15" x14ac:dyDescent="0.25">
      <c r="A3" s="619" t="s">
        <v>178</v>
      </c>
      <c r="B3" s="619"/>
      <c r="C3" s="619"/>
      <c r="D3" s="619"/>
      <c r="E3" s="619"/>
      <c r="F3" s="619"/>
      <c r="G3" s="619"/>
      <c r="H3" s="619"/>
      <c r="I3" s="619"/>
      <c r="J3" s="619"/>
      <c r="K3" s="409"/>
      <c r="L3" s="355"/>
      <c r="M3" s="409"/>
      <c r="N3" s="534"/>
      <c r="O3" s="534"/>
    </row>
    <row r="4" ht="15.75" customHeight="1" spans="1:15" x14ac:dyDescent="0.25">
      <c r="A4" s="61">
        <v>1</v>
      </c>
      <c r="B4" s="532"/>
      <c r="C4" s="620"/>
      <c r="D4" s="621"/>
      <c r="E4" s="622"/>
      <c r="F4" s="622"/>
      <c r="G4" s="622">
        <f>E4*F4</f>
        <v>0</v>
      </c>
      <c r="H4" s="623"/>
      <c r="I4" s="623"/>
      <c r="J4" s="623">
        <f>H4*I4</f>
        <v>0</v>
      </c>
      <c r="K4" s="623">
        <f>G4+J4</f>
        <v>0</v>
      </c>
      <c r="L4" s="620"/>
      <c r="M4" s="624">
        <f>SUM(M3+L4-K4)</f>
        <v>0</v>
      </c>
      <c r="N4" s="61"/>
      <c r="O4" s="61"/>
    </row>
    <row r="5" ht="15.75" customHeight="1" spans="1:15" x14ac:dyDescent="0.25">
      <c r="A5" s="61">
        <v>2</v>
      </c>
      <c r="B5" s="532"/>
      <c r="C5" s="620"/>
      <c r="D5" s="621"/>
      <c r="E5" s="622"/>
      <c r="F5" s="622"/>
      <c r="G5" s="622">
        <f>E5*F5</f>
        <v>0</v>
      </c>
      <c r="H5" s="623"/>
      <c r="I5" s="623"/>
      <c r="J5" s="623">
        <f>H5*I5</f>
        <v>0</v>
      </c>
      <c r="K5" s="623">
        <f>G5+J5</f>
        <v>0</v>
      </c>
      <c r="L5" s="620"/>
      <c r="M5" s="624">
        <f>SUM(M4+L5-K5)</f>
        <v>0</v>
      </c>
      <c r="N5" s="61"/>
      <c r="O5" s="61"/>
    </row>
    <row r="6" ht="15.75" customHeight="1" spans="1:15" x14ac:dyDescent="0.25">
      <c r="A6" s="61">
        <v>3</v>
      </c>
      <c r="B6" s="532"/>
      <c r="C6" s="620"/>
      <c r="D6" s="328"/>
      <c r="E6" s="620"/>
      <c r="F6" s="622"/>
      <c r="G6" s="622">
        <f>E6*F6</f>
        <v>0</v>
      </c>
      <c r="H6" s="625"/>
      <c r="I6" s="625"/>
      <c r="J6" s="623">
        <f t="shared" ref="J6:J9" si="0">H6*I6</f>
        <v>0</v>
      </c>
      <c r="K6" s="623">
        <f t="shared" ref="K6:K94" si="1">G6+J6</f>
        <v>0</v>
      </c>
      <c r="L6" s="620"/>
      <c r="M6" s="624">
        <f t="shared" ref="M5:M57" si="2">SUM(M5+L6-K6)</f>
        <v>0</v>
      </c>
      <c r="N6" s="61"/>
      <c r="O6" s="61"/>
    </row>
    <row r="7" ht="15.75" customHeight="1" spans="1:15" x14ac:dyDescent="0.25">
      <c r="A7" s="61">
        <v>4</v>
      </c>
      <c r="B7" s="532"/>
      <c r="C7" s="620"/>
      <c r="D7" s="328"/>
      <c r="E7" s="620"/>
      <c r="F7" s="622"/>
      <c r="G7" s="622">
        <f>E7*F7</f>
        <v>0</v>
      </c>
      <c r="H7" s="625"/>
      <c r="I7" s="625"/>
      <c r="J7" s="623">
        <f t="shared" si="0"/>
        <v>0</v>
      </c>
      <c r="K7" s="623">
        <f t="shared" si="1"/>
        <v>0</v>
      </c>
      <c r="L7" s="620"/>
      <c r="M7" s="624">
        <f t="shared" si="2"/>
        <v>0</v>
      </c>
      <c r="N7" s="61"/>
      <c r="O7" s="61"/>
    </row>
    <row r="8" ht="15.75" customHeight="1" spans="1:15" x14ac:dyDescent="0.25">
      <c r="A8" s="61">
        <v>5</v>
      </c>
      <c r="B8" s="532"/>
      <c r="C8" s="620"/>
      <c r="D8" s="328"/>
      <c r="E8" s="620"/>
      <c r="F8" s="620"/>
      <c r="G8" s="622">
        <f>E8*F8</f>
        <v>0</v>
      </c>
      <c r="H8" s="625"/>
      <c r="I8" s="625"/>
      <c r="J8" s="623">
        <f t="shared" si="0"/>
        <v>0</v>
      </c>
      <c r="K8" s="623">
        <f t="shared" si="1"/>
        <v>0</v>
      </c>
      <c r="L8" s="620"/>
      <c r="M8" s="624">
        <f t="shared" si="2"/>
        <v>0</v>
      </c>
      <c r="N8" s="61"/>
      <c r="O8" s="61"/>
    </row>
    <row r="9" ht="15.75" customHeight="1" spans="1:15" x14ac:dyDescent="0.25">
      <c r="A9" s="61">
        <v>6</v>
      </c>
      <c r="B9" s="532"/>
      <c r="C9" s="620"/>
      <c r="D9" s="620"/>
      <c r="E9" s="620"/>
      <c r="F9" s="620"/>
      <c r="G9" s="622">
        <f>E9*F9</f>
        <v>0</v>
      </c>
      <c r="H9" s="625"/>
      <c r="I9" s="625"/>
      <c r="J9" s="623">
        <f t="shared" si="0"/>
        <v>0</v>
      </c>
      <c r="K9" s="623">
        <f t="shared" si="1"/>
        <v>0</v>
      </c>
      <c r="L9" s="620"/>
      <c r="M9" s="624">
        <f t="shared" si="2"/>
        <v>0</v>
      </c>
      <c r="N9" s="61"/>
      <c r="O9" s="61"/>
    </row>
    <row r="10" ht="15.75" customHeight="1" spans="1:15" x14ac:dyDescent="0.25">
      <c r="A10" s="61">
        <v>7</v>
      </c>
      <c r="B10" s="532"/>
      <c r="C10" s="620"/>
      <c r="D10" s="328"/>
      <c r="E10" s="620"/>
      <c r="F10" s="620"/>
      <c r="G10" s="622">
        <f>E10*F10</f>
        <v>0</v>
      </c>
      <c r="H10" s="625"/>
      <c r="I10" s="625"/>
      <c r="J10" s="623">
        <f t="shared" ref="J6:J55" si="3">H10*I10</f>
        <v>0</v>
      </c>
      <c r="K10" s="623">
        <f t="shared" si="1"/>
        <v>0</v>
      </c>
      <c r="L10" s="620"/>
      <c r="M10" s="624">
        <f t="shared" si="2"/>
        <v>0</v>
      </c>
      <c r="N10" s="61"/>
      <c r="O10" s="61"/>
    </row>
    <row r="11" ht="15.75" customHeight="1" spans="1:15" x14ac:dyDescent="0.25">
      <c r="A11" s="61">
        <v>8</v>
      </c>
      <c r="B11" s="532"/>
      <c r="C11" s="620"/>
      <c r="D11" s="328"/>
      <c r="E11" s="620"/>
      <c r="F11" s="620"/>
      <c r="G11" s="622"/>
      <c r="H11" s="625"/>
      <c r="I11" s="625"/>
      <c r="J11" s="623"/>
      <c r="K11" s="623"/>
      <c r="L11" s="620"/>
      <c r="M11" s="624">
        <f t="shared" si="2"/>
        <v>0</v>
      </c>
      <c r="N11" s="61"/>
      <c r="O11" s="61"/>
    </row>
    <row r="12" ht="15.75" customHeight="1" spans="1:15" x14ac:dyDescent="0.25">
      <c r="A12" s="61">
        <v>9</v>
      </c>
      <c r="B12" s="532"/>
      <c r="C12" s="620"/>
      <c r="D12" s="328"/>
      <c r="E12" s="620"/>
      <c r="F12" s="620"/>
      <c r="G12" s="622">
        <f t="shared" ref="G12:G55" si="4">E12*F12</f>
        <v>0</v>
      </c>
      <c r="H12" s="625"/>
      <c r="I12" s="625"/>
      <c r="J12" s="623">
        <f t="shared" si="3"/>
        <v>0</v>
      </c>
      <c r="K12" s="623">
        <f t="shared" si="1"/>
        <v>0</v>
      </c>
      <c r="L12" s="620"/>
      <c r="M12" s="624">
        <f t="shared" si="2"/>
        <v>0</v>
      </c>
      <c r="N12" s="61"/>
      <c r="O12" s="61"/>
    </row>
    <row r="13" ht="15.75" customHeight="1" spans="1:15" x14ac:dyDescent="0.25">
      <c r="A13" s="61">
        <v>10</v>
      </c>
      <c r="B13" s="532"/>
      <c r="C13" s="620"/>
      <c r="D13" s="621"/>
      <c r="E13" s="620"/>
      <c r="F13" s="620"/>
      <c r="G13" s="622">
        <f t="shared" si="4"/>
        <v>0</v>
      </c>
      <c r="H13" s="625"/>
      <c r="I13" s="625"/>
      <c r="J13" s="623">
        <f t="shared" si="3"/>
        <v>0</v>
      </c>
      <c r="K13" s="623">
        <f t="shared" si="1"/>
        <v>0</v>
      </c>
      <c r="L13" s="620"/>
      <c r="M13" s="624">
        <f t="shared" si="2"/>
        <v>0</v>
      </c>
      <c r="N13" s="61"/>
      <c r="O13" s="61"/>
    </row>
    <row r="14" ht="15.75" customHeight="1" spans="1:15" x14ac:dyDescent="0.25">
      <c r="A14" s="61">
        <v>11</v>
      </c>
      <c r="B14" s="532"/>
      <c r="C14" s="620"/>
      <c r="D14" s="328"/>
      <c r="E14" s="620"/>
      <c r="F14" s="620"/>
      <c r="G14" s="622">
        <f t="shared" si="4"/>
        <v>0</v>
      </c>
      <c r="H14" s="625"/>
      <c r="I14" s="625"/>
      <c r="J14" s="623">
        <f t="shared" si="3"/>
        <v>0</v>
      </c>
      <c r="K14" s="623">
        <f t="shared" si="1"/>
        <v>0</v>
      </c>
      <c r="L14" s="45"/>
      <c r="M14" s="624">
        <f t="shared" si="2"/>
        <v>0</v>
      </c>
      <c r="N14" s="61"/>
      <c r="O14" s="61"/>
    </row>
    <row r="15" ht="15.75" customHeight="1" spans="1:15" x14ac:dyDescent="0.25">
      <c r="A15" s="61">
        <v>12</v>
      </c>
      <c r="B15" s="532"/>
      <c r="C15" s="620"/>
      <c r="D15" s="328"/>
      <c r="E15" s="620"/>
      <c r="F15" s="620"/>
      <c r="G15" s="622">
        <f t="shared" si="4"/>
        <v>0</v>
      </c>
      <c r="H15" s="625"/>
      <c r="I15" s="625"/>
      <c r="J15" s="623">
        <f t="shared" si="3"/>
        <v>0</v>
      </c>
      <c r="K15" s="623">
        <f t="shared" si="1"/>
        <v>0</v>
      </c>
      <c r="L15" s="620"/>
      <c r="M15" s="624">
        <f t="shared" si="2"/>
        <v>0</v>
      </c>
      <c r="N15" s="61"/>
      <c r="O15" s="61"/>
    </row>
    <row r="16" ht="15.75" customHeight="1" spans="1:15" x14ac:dyDescent="0.25">
      <c r="A16" s="61">
        <v>13</v>
      </c>
      <c r="B16" s="532"/>
      <c r="C16" s="620"/>
      <c r="D16" s="620"/>
      <c r="E16" s="626"/>
      <c r="F16" s="626"/>
      <c r="G16" s="622">
        <f t="shared" si="4"/>
        <v>0</v>
      </c>
      <c r="H16" s="625"/>
      <c r="I16" s="625"/>
      <c r="J16" s="623">
        <f t="shared" si="3"/>
        <v>0</v>
      </c>
      <c r="K16" s="623">
        <f t="shared" si="1"/>
        <v>0</v>
      </c>
      <c r="L16" s="627"/>
      <c r="M16" s="624">
        <f t="shared" si="2"/>
        <v>0</v>
      </c>
      <c r="N16" s="61"/>
      <c r="O16" s="61"/>
    </row>
    <row r="17" ht="15.75" customHeight="1" spans="1:15" x14ac:dyDescent="0.25">
      <c r="A17" s="61">
        <v>14</v>
      </c>
      <c r="B17" s="532"/>
      <c r="C17" s="620"/>
      <c r="D17" s="328"/>
      <c r="E17" s="620"/>
      <c r="F17" s="620"/>
      <c r="G17" s="622">
        <f t="shared" si="4"/>
        <v>0</v>
      </c>
      <c r="H17" s="625"/>
      <c r="I17" s="625"/>
      <c r="J17" s="623">
        <f t="shared" si="3"/>
        <v>0</v>
      </c>
      <c r="K17" s="623">
        <f t="shared" si="1"/>
        <v>0</v>
      </c>
      <c r="L17" s="168"/>
      <c r="M17" s="624">
        <f t="shared" si="2"/>
        <v>0</v>
      </c>
      <c r="N17" s="61"/>
      <c r="O17" s="61"/>
    </row>
    <row r="18" ht="15.75" customHeight="1" spans="1:15" x14ac:dyDescent="0.25">
      <c r="A18" s="61">
        <v>15</v>
      </c>
      <c r="B18" s="532"/>
      <c r="C18" s="620"/>
      <c r="D18" s="620"/>
      <c r="E18" s="620"/>
      <c r="F18" s="620"/>
      <c r="G18" s="622">
        <f t="shared" si="4"/>
        <v>0</v>
      </c>
      <c r="H18" s="625"/>
      <c r="I18" s="625"/>
      <c r="J18" s="623">
        <f t="shared" si="3"/>
        <v>0</v>
      </c>
      <c r="K18" s="623">
        <f t="shared" si="1"/>
        <v>0</v>
      </c>
      <c r="L18" s="168"/>
      <c r="M18" s="624">
        <f t="shared" si="2"/>
        <v>0</v>
      </c>
      <c r="N18" s="61"/>
      <c r="O18" s="61"/>
    </row>
    <row r="19" ht="15.75" customHeight="1" spans="1:15" x14ac:dyDescent="0.25">
      <c r="A19" s="61">
        <v>16</v>
      </c>
      <c r="B19" s="532"/>
      <c r="C19" s="620"/>
      <c r="D19" s="328"/>
      <c r="E19" s="620"/>
      <c r="F19" s="620"/>
      <c r="G19" s="622">
        <f t="shared" si="4"/>
        <v>0</v>
      </c>
      <c r="H19" s="625"/>
      <c r="I19" s="625"/>
      <c r="J19" s="623">
        <f t="shared" si="3"/>
        <v>0</v>
      </c>
      <c r="K19" s="623">
        <f t="shared" si="1"/>
        <v>0</v>
      </c>
      <c r="L19" s="168"/>
      <c r="M19" s="624">
        <f t="shared" si="2"/>
        <v>0</v>
      </c>
      <c r="N19" s="61"/>
      <c r="O19" s="61"/>
    </row>
    <row r="20" ht="15.75" customHeight="1" spans="1:15" x14ac:dyDescent="0.25">
      <c r="A20" s="61">
        <v>17</v>
      </c>
      <c r="B20" s="532"/>
      <c r="C20" s="620"/>
      <c r="D20" s="628"/>
      <c r="E20" s="61"/>
      <c r="F20" s="61"/>
      <c r="G20" s="622">
        <f t="shared" si="4"/>
        <v>0</v>
      </c>
      <c r="H20" s="625"/>
      <c r="I20" s="625"/>
      <c r="J20" s="623">
        <f t="shared" si="3"/>
        <v>0</v>
      </c>
      <c r="K20" s="623">
        <f t="shared" si="1"/>
        <v>0</v>
      </c>
      <c r="L20" s="168"/>
      <c r="M20" s="624">
        <f t="shared" si="2"/>
        <v>0</v>
      </c>
      <c r="N20" s="61"/>
      <c r="O20" s="61"/>
    </row>
    <row r="21" ht="15.75" customHeight="1" spans="1:15" x14ac:dyDescent="0.25">
      <c r="A21" s="61">
        <v>18</v>
      </c>
      <c r="B21" s="532"/>
      <c r="C21" s="620"/>
      <c r="D21" s="628"/>
      <c r="E21" s="61"/>
      <c r="F21" s="61"/>
      <c r="G21" s="622">
        <f t="shared" si="4"/>
        <v>0</v>
      </c>
      <c r="H21" s="625"/>
      <c r="I21" s="625"/>
      <c r="J21" s="623">
        <f t="shared" si="3"/>
        <v>0</v>
      </c>
      <c r="K21" s="623">
        <f t="shared" si="1"/>
        <v>0</v>
      </c>
      <c r="L21" s="168"/>
      <c r="M21" s="624">
        <f t="shared" si="2"/>
        <v>0</v>
      </c>
      <c r="N21" s="61"/>
      <c r="O21" s="61"/>
    </row>
    <row r="22" ht="15.75" customHeight="1" spans="1:15" x14ac:dyDescent="0.25">
      <c r="A22" s="61">
        <v>19</v>
      </c>
      <c r="B22" s="532"/>
      <c r="C22" s="620"/>
      <c r="D22" s="628"/>
      <c r="E22" s="620"/>
      <c r="F22" s="620"/>
      <c r="G22" s="622">
        <f t="shared" si="4"/>
        <v>0</v>
      </c>
      <c r="H22" s="625"/>
      <c r="I22" s="625"/>
      <c r="J22" s="623">
        <f t="shared" si="3"/>
        <v>0</v>
      </c>
      <c r="K22" s="623">
        <f t="shared" si="1"/>
        <v>0</v>
      </c>
      <c r="L22" s="168"/>
      <c r="M22" s="624">
        <f t="shared" si="2"/>
        <v>0</v>
      </c>
      <c r="N22" s="61"/>
      <c r="O22" s="61"/>
    </row>
    <row r="23" ht="15.75" customHeight="1" spans="1:15" x14ac:dyDescent="0.25">
      <c r="A23" s="61">
        <v>20</v>
      </c>
      <c r="B23" s="532"/>
      <c r="C23" s="620"/>
      <c r="D23" s="628"/>
      <c r="E23" s="620"/>
      <c r="F23" s="620"/>
      <c r="G23" s="622">
        <f t="shared" si="4"/>
        <v>0</v>
      </c>
      <c r="H23" s="625"/>
      <c r="I23" s="625"/>
      <c r="J23" s="623">
        <f t="shared" si="3"/>
        <v>0</v>
      </c>
      <c r="K23" s="623">
        <f t="shared" si="1"/>
        <v>0</v>
      </c>
      <c r="L23" s="168"/>
      <c r="M23" s="624">
        <f t="shared" si="2"/>
        <v>0</v>
      </c>
      <c r="N23" s="61"/>
      <c r="O23" s="61"/>
    </row>
    <row r="24" ht="15.75" customHeight="1" spans="1:15" x14ac:dyDescent="0.25">
      <c r="A24" s="61">
        <v>21</v>
      </c>
      <c r="B24" s="532"/>
      <c r="C24" s="620"/>
      <c r="D24" s="620"/>
      <c r="E24" s="620"/>
      <c r="F24" s="620"/>
      <c r="G24" s="622">
        <f t="shared" si="4"/>
        <v>0</v>
      </c>
      <c r="H24" s="625"/>
      <c r="I24" s="625"/>
      <c r="J24" s="623">
        <f t="shared" si="3"/>
        <v>0</v>
      </c>
      <c r="K24" s="623">
        <f t="shared" si="1"/>
        <v>0</v>
      </c>
      <c r="L24" s="168"/>
      <c r="M24" s="624">
        <f t="shared" si="2"/>
        <v>0</v>
      </c>
      <c r="N24" s="61"/>
      <c r="O24" s="61"/>
    </row>
    <row r="25" ht="15.75" customHeight="1" spans="1:15" x14ac:dyDescent="0.25">
      <c r="A25" s="61">
        <v>22</v>
      </c>
      <c r="B25" s="532"/>
      <c r="C25" s="620"/>
      <c r="D25" s="628"/>
      <c r="E25" s="620"/>
      <c r="F25" s="620"/>
      <c r="G25" s="622">
        <f t="shared" si="4"/>
        <v>0</v>
      </c>
      <c r="H25" s="625"/>
      <c r="I25" s="625"/>
      <c r="J25" s="623">
        <f t="shared" si="3"/>
        <v>0</v>
      </c>
      <c r="K25" s="623">
        <f t="shared" si="1"/>
        <v>0</v>
      </c>
      <c r="L25" s="168"/>
      <c r="M25" s="624">
        <f t="shared" si="2"/>
        <v>0</v>
      </c>
      <c r="N25" s="61"/>
      <c r="O25" s="61"/>
    </row>
    <row r="26" ht="15.75" customHeight="1" spans="1:15" x14ac:dyDescent="0.25">
      <c r="A26" s="61">
        <v>23</v>
      </c>
      <c r="B26" s="532"/>
      <c r="C26" s="620"/>
      <c r="D26" s="628"/>
      <c r="E26" s="620"/>
      <c r="F26" s="620"/>
      <c r="G26" s="622">
        <f t="shared" si="4"/>
        <v>0</v>
      </c>
      <c r="H26" s="625"/>
      <c r="I26" s="625"/>
      <c r="J26" s="623">
        <f t="shared" si="3"/>
        <v>0</v>
      </c>
      <c r="K26" s="623">
        <f t="shared" si="1"/>
        <v>0</v>
      </c>
      <c r="L26" s="168"/>
      <c r="M26" s="624">
        <f t="shared" si="2"/>
        <v>0</v>
      </c>
      <c r="N26" s="61"/>
      <c r="O26" s="61"/>
    </row>
    <row r="27" ht="15.75" customHeight="1" spans="1:15" x14ac:dyDescent="0.25">
      <c r="A27" s="61">
        <v>24</v>
      </c>
      <c r="B27" s="532"/>
      <c r="C27" s="620"/>
      <c r="D27" s="620"/>
      <c r="E27" s="620"/>
      <c r="F27" s="620"/>
      <c r="G27" s="622">
        <f t="shared" si="4"/>
        <v>0</v>
      </c>
      <c r="H27" s="625"/>
      <c r="I27" s="625"/>
      <c r="J27" s="623">
        <f t="shared" si="3"/>
        <v>0</v>
      </c>
      <c r="K27" s="623">
        <f t="shared" si="1"/>
        <v>0</v>
      </c>
      <c r="L27" s="168"/>
      <c r="M27" s="624">
        <f t="shared" si="2"/>
        <v>0</v>
      </c>
      <c r="N27" s="61"/>
      <c r="O27" s="61"/>
    </row>
    <row r="28" ht="15.75" customHeight="1" spans="1:15" x14ac:dyDescent="0.25">
      <c r="A28" s="61">
        <v>25</v>
      </c>
      <c r="B28" s="532"/>
      <c r="C28" s="620"/>
      <c r="D28" s="620"/>
      <c r="E28" s="620"/>
      <c r="F28" s="620"/>
      <c r="G28" s="622">
        <f t="shared" si="4"/>
        <v>0</v>
      </c>
      <c r="H28" s="625"/>
      <c r="I28" s="625"/>
      <c r="J28" s="623">
        <f t="shared" si="3"/>
        <v>0</v>
      </c>
      <c r="K28" s="623">
        <f t="shared" si="1"/>
        <v>0</v>
      </c>
      <c r="L28" s="168"/>
      <c r="M28" s="624">
        <f t="shared" si="2"/>
        <v>0</v>
      </c>
      <c r="N28" s="61"/>
      <c r="O28" s="61"/>
    </row>
    <row r="29" ht="15.75" customHeight="1" spans="1:15" x14ac:dyDescent="0.25">
      <c r="A29" s="61">
        <v>26</v>
      </c>
      <c r="B29" s="532"/>
      <c r="C29" s="620"/>
      <c r="D29" s="620"/>
      <c r="E29" s="629"/>
      <c r="F29" s="629"/>
      <c r="G29" s="622">
        <f t="shared" si="4"/>
        <v>0</v>
      </c>
      <c r="H29" s="625"/>
      <c r="I29" s="625"/>
      <c r="J29" s="623">
        <f t="shared" si="3"/>
        <v>0</v>
      </c>
      <c r="K29" s="623">
        <f t="shared" si="1"/>
        <v>0</v>
      </c>
      <c r="L29" s="168"/>
      <c r="M29" s="624">
        <f t="shared" si="2"/>
        <v>0</v>
      </c>
      <c r="N29" s="61"/>
      <c r="O29" s="61"/>
    </row>
    <row r="30" ht="15.75" customHeight="1" spans="1:15" x14ac:dyDescent="0.25">
      <c r="A30" s="61">
        <v>27</v>
      </c>
      <c r="B30" s="532"/>
      <c r="C30" s="620"/>
      <c r="D30" s="620"/>
      <c r="E30" s="620"/>
      <c r="F30" s="620"/>
      <c r="G30" s="622">
        <f t="shared" si="4"/>
        <v>0</v>
      </c>
      <c r="H30" s="625"/>
      <c r="I30" s="625"/>
      <c r="J30" s="623">
        <f t="shared" si="3"/>
        <v>0</v>
      </c>
      <c r="K30" s="623">
        <f t="shared" si="1"/>
        <v>0</v>
      </c>
      <c r="L30" s="168"/>
      <c r="M30" s="624">
        <f t="shared" si="2"/>
        <v>0</v>
      </c>
      <c r="N30" s="61"/>
      <c r="O30" s="61"/>
    </row>
    <row r="31" ht="15.75" customHeight="1" spans="1:15" x14ac:dyDescent="0.25">
      <c r="A31" s="61">
        <v>28</v>
      </c>
      <c r="B31" s="532"/>
      <c r="C31" s="620"/>
      <c r="D31" s="620"/>
      <c r="E31" s="620"/>
      <c r="F31" s="620"/>
      <c r="G31" s="622">
        <f t="shared" si="4"/>
        <v>0</v>
      </c>
      <c r="H31" s="625"/>
      <c r="I31" s="625"/>
      <c r="J31" s="623">
        <f t="shared" si="3"/>
        <v>0</v>
      </c>
      <c r="K31" s="623">
        <f t="shared" si="1"/>
        <v>0</v>
      </c>
      <c r="L31" s="328"/>
      <c r="M31" s="624">
        <f t="shared" si="2"/>
        <v>0</v>
      </c>
      <c r="N31" s="61"/>
      <c r="O31" s="61"/>
    </row>
    <row r="32" ht="15.75" customHeight="1" spans="1:15" x14ac:dyDescent="0.25">
      <c r="A32" s="61">
        <v>29</v>
      </c>
      <c r="B32" s="532"/>
      <c r="C32" s="620"/>
      <c r="D32" s="620"/>
      <c r="E32" s="620"/>
      <c r="F32" s="620"/>
      <c r="G32" s="622">
        <f t="shared" si="4"/>
        <v>0</v>
      </c>
      <c r="H32" s="625"/>
      <c r="I32" s="625"/>
      <c r="J32" s="623">
        <f t="shared" si="3"/>
        <v>0</v>
      </c>
      <c r="K32" s="623">
        <f t="shared" si="1"/>
        <v>0</v>
      </c>
      <c r="L32" s="328"/>
      <c r="M32" s="624">
        <f t="shared" si="2"/>
        <v>0</v>
      </c>
      <c r="N32" s="61"/>
      <c r="O32" s="61"/>
    </row>
    <row r="33" ht="15.75" customHeight="1" spans="1:15" x14ac:dyDescent="0.25">
      <c r="A33" s="61">
        <v>30</v>
      </c>
      <c r="B33" s="532"/>
      <c r="C33" s="620"/>
      <c r="D33" s="620"/>
      <c r="E33" s="620"/>
      <c r="F33" s="620"/>
      <c r="G33" s="622">
        <f t="shared" si="4"/>
        <v>0</v>
      </c>
      <c r="H33" s="630"/>
      <c r="I33" s="630"/>
      <c r="J33" s="623">
        <f t="shared" si="3"/>
        <v>0</v>
      </c>
      <c r="K33" s="623">
        <f>G33+J33</f>
        <v>0</v>
      </c>
      <c r="L33" s="328"/>
      <c r="M33" s="624">
        <f t="shared" si="2"/>
        <v>0</v>
      </c>
      <c r="N33" s="61"/>
      <c r="O33" s="61"/>
    </row>
    <row r="34" ht="15.75" customHeight="1" spans="1:15" x14ac:dyDescent="0.25">
      <c r="A34" s="61">
        <v>31</v>
      </c>
      <c r="B34" s="532"/>
      <c r="C34" s="620"/>
      <c r="D34" s="620"/>
      <c r="E34" s="620"/>
      <c r="F34" s="620"/>
      <c r="G34" s="622">
        <f t="shared" si="4"/>
        <v>0</v>
      </c>
      <c r="H34" s="625"/>
      <c r="I34" s="625"/>
      <c r="J34" s="623">
        <f t="shared" si="3"/>
        <v>0</v>
      </c>
      <c r="K34" s="623">
        <f>G34+J34</f>
        <v>0</v>
      </c>
      <c r="L34" s="328"/>
      <c r="M34" s="624">
        <f t="shared" si="2"/>
        <v>0</v>
      </c>
      <c r="N34" s="61"/>
      <c r="O34" s="61"/>
    </row>
    <row r="35" ht="15.75" customHeight="1" spans="1:15" x14ac:dyDescent="0.25">
      <c r="A35" s="61">
        <v>32</v>
      </c>
      <c r="B35" s="532"/>
      <c r="C35" s="620"/>
      <c r="D35" s="620"/>
      <c r="E35" s="620"/>
      <c r="F35" s="620"/>
      <c r="G35" s="622">
        <f t="shared" si="4"/>
        <v>0</v>
      </c>
      <c r="H35" s="625"/>
      <c r="I35" s="625"/>
      <c r="J35" s="623">
        <f t="shared" si="3"/>
        <v>0</v>
      </c>
      <c r="K35" s="623">
        <f t="shared" si="1"/>
        <v>0</v>
      </c>
      <c r="L35" s="328"/>
      <c r="M35" s="624">
        <f t="shared" si="2"/>
        <v>0</v>
      </c>
      <c r="N35" s="61"/>
      <c r="O35" s="61"/>
    </row>
    <row r="36" ht="15.75" customHeight="1" spans="1:15" x14ac:dyDescent="0.25">
      <c r="A36" s="61">
        <v>33</v>
      </c>
      <c r="B36" s="532"/>
      <c r="C36" s="620"/>
      <c r="D36" s="620"/>
      <c r="E36" s="620"/>
      <c r="F36" s="620"/>
      <c r="G36" s="622">
        <f t="shared" si="4"/>
        <v>0</v>
      </c>
      <c r="H36" s="625"/>
      <c r="I36" s="625"/>
      <c r="J36" s="623">
        <f t="shared" si="3"/>
        <v>0</v>
      </c>
      <c r="K36" s="623">
        <f t="shared" si="1"/>
        <v>0</v>
      </c>
      <c r="L36" s="328"/>
      <c r="M36" s="624">
        <f t="shared" si="2"/>
        <v>0</v>
      </c>
      <c r="N36" s="61"/>
      <c r="O36" s="61"/>
    </row>
    <row r="37" ht="15.75" customHeight="1" spans="1:15" x14ac:dyDescent="0.25">
      <c r="A37" s="61">
        <v>34</v>
      </c>
      <c r="B37" s="532"/>
      <c r="C37" s="620"/>
      <c r="D37" s="620"/>
      <c r="E37" s="620"/>
      <c r="F37" s="620"/>
      <c r="G37" s="622">
        <f t="shared" si="4"/>
        <v>0</v>
      </c>
      <c r="H37" s="625"/>
      <c r="I37" s="625"/>
      <c r="J37" s="623">
        <f t="shared" si="3"/>
        <v>0</v>
      </c>
      <c r="K37" s="623">
        <f t="shared" si="1"/>
        <v>0</v>
      </c>
      <c r="L37" s="328"/>
      <c r="M37" s="624">
        <f t="shared" si="2"/>
        <v>0</v>
      </c>
      <c r="N37" s="61"/>
      <c r="O37" s="61"/>
    </row>
    <row r="38" ht="15.75" customHeight="1" spans="1:15" x14ac:dyDescent="0.25">
      <c r="A38" s="61">
        <v>35</v>
      </c>
      <c r="B38" s="532"/>
      <c r="C38" s="620"/>
      <c r="D38" s="620"/>
      <c r="E38" s="620"/>
      <c r="F38" s="620"/>
      <c r="G38" s="622">
        <f t="shared" si="4"/>
        <v>0</v>
      </c>
      <c r="H38" s="625"/>
      <c r="I38" s="630"/>
      <c r="J38" s="623">
        <f t="shared" si="3"/>
        <v>0</v>
      </c>
      <c r="K38" s="623">
        <f t="shared" si="1"/>
        <v>0</v>
      </c>
      <c r="L38" s="328"/>
      <c r="M38" s="624">
        <f t="shared" si="2"/>
        <v>0</v>
      </c>
      <c r="N38" s="61"/>
      <c r="O38" s="61"/>
    </row>
    <row r="39" ht="15.75" customHeight="1" spans="1:15" x14ac:dyDescent="0.25">
      <c r="A39" s="61">
        <v>36</v>
      </c>
      <c r="B39" s="532"/>
      <c r="C39" s="620"/>
      <c r="D39" s="620"/>
      <c r="E39" s="620"/>
      <c r="F39" s="620"/>
      <c r="G39" s="622">
        <f t="shared" si="4"/>
        <v>0</v>
      </c>
      <c r="H39" s="625"/>
      <c r="I39" s="630"/>
      <c r="J39" s="623">
        <f t="shared" si="3"/>
        <v>0</v>
      </c>
      <c r="K39" s="623">
        <f t="shared" si="1"/>
        <v>0</v>
      </c>
      <c r="L39" s="328"/>
      <c r="M39" s="624">
        <f t="shared" si="2"/>
        <v>0</v>
      </c>
      <c r="N39" s="61"/>
      <c r="O39" s="61"/>
    </row>
    <row r="40" ht="15.75" customHeight="1" spans="1:15" x14ac:dyDescent="0.25">
      <c r="A40" s="61">
        <v>37</v>
      </c>
      <c r="B40" s="532"/>
      <c r="C40" s="620"/>
      <c r="D40" s="620"/>
      <c r="E40" s="620"/>
      <c r="F40" s="620"/>
      <c r="G40" s="622">
        <f t="shared" si="4"/>
        <v>0</v>
      </c>
      <c r="H40" s="625"/>
      <c r="I40" s="625"/>
      <c r="J40" s="623">
        <f t="shared" si="3"/>
        <v>0</v>
      </c>
      <c r="K40" s="623">
        <f t="shared" si="1"/>
        <v>0</v>
      </c>
      <c r="L40" s="328"/>
      <c r="M40" s="624">
        <f t="shared" si="2"/>
        <v>0</v>
      </c>
      <c r="N40" s="61"/>
      <c r="O40" s="61"/>
    </row>
    <row r="41" ht="15.75" customHeight="1" spans="1:15" x14ac:dyDescent="0.25">
      <c r="A41" s="61">
        <v>38</v>
      </c>
      <c r="B41" s="532"/>
      <c r="C41" s="620"/>
      <c r="D41" s="620"/>
      <c r="E41" s="620"/>
      <c r="F41" s="620"/>
      <c r="G41" s="622">
        <f t="shared" si="4"/>
        <v>0</v>
      </c>
      <c r="H41" s="625"/>
      <c r="I41" s="625"/>
      <c r="J41" s="623">
        <f t="shared" si="3"/>
        <v>0</v>
      </c>
      <c r="K41" s="623">
        <f t="shared" si="1"/>
        <v>0</v>
      </c>
      <c r="L41" s="328"/>
      <c r="M41" s="624">
        <f t="shared" si="2"/>
        <v>0</v>
      </c>
      <c r="N41" s="61"/>
      <c r="O41" s="61"/>
    </row>
    <row r="42" ht="15.75" customHeight="1" spans="1:15" x14ac:dyDescent="0.25">
      <c r="A42" s="61">
        <v>39</v>
      </c>
      <c r="B42" s="532"/>
      <c r="C42" s="620"/>
      <c r="D42" s="620"/>
      <c r="E42" s="620"/>
      <c r="F42" s="620"/>
      <c r="G42" s="622">
        <f t="shared" si="4"/>
        <v>0</v>
      </c>
      <c r="H42" s="625"/>
      <c r="I42" s="625"/>
      <c r="J42" s="623">
        <f t="shared" si="3"/>
        <v>0</v>
      </c>
      <c r="K42" s="623">
        <f t="shared" si="1"/>
        <v>0</v>
      </c>
      <c r="L42" s="328"/>
      <c r="M42" s="624">
        <f t="shared" si="2"/>
        <v>0</v>
      </c>
      <c r="N42" s="61"/>
      <c r="O42" s="61"/>
    </row>
    <row r="43" ht="15.75" customHeight="1" spans="1:15" x14ac:dyDescent="0.25">
      <c r="A43" s="61">
        <v>40</v>
      </c>
      <c r="B43" s="532"/>
      <c r="C43" s="620"/>
      <c r="D43" s="620"/>
      <c r="E43" s="620"/>
      <c r="F43" s="620"/>
      <c r="G43" s="622">
        <f t="shared" si="4"/>
        <v>0</v>
      </c>
      <c r="H43" s="625"/>
      <c r="I43" s="625"/>
      <c r="J43" s="623">
        <f t="shared" si="3"/>
        <v>0</v>
      </c>
      <c r="K43" s="623">
        <f t="shared" si="1"/>
        <v>0</v>
      </c>
      <c r="L43" s="328"/>
      <c r="M43" s="624">
        <f t="shared" si="2"/>
        <v>0</v>
      </c>
      <c r="N43" s="61"/>
      <c r="O43" s="61"/>
    </row>
    <row r="44" ht="15.75" customHeight="1" spans="1:15" x14ac:dyDescent="0.25">
      <c r="A44" s="61">
        <v>41</v>
      </c>
      <c r="B44" s="532"/>
      <c r="C44" s="620"/>
      <c r="D44" s="620"/>
      <c r="E44" s="620"/>
      <c r="F44" s="620"/>
      <c r="G44" s="622">
        <f t="shared" si="4"/>
        <v>0</v>
      </c>
      <c r="H44" s="625"/>
      <c r="I44" s="625"/>
      <c r="J44" s="623">
        <f t="shared" si="3"/>
        <v>0</v>
      </c>
      <c r="K44" s="623">
        <f t="shared" si="1"/>
        <v>0</v>
      </c>
      <c r="L44" s="328"/>
      <c r="M44" s="624">
        <f t="shared" si="2"/>
        <v>0</v>
      </c>
      <c r="N44" s="61"/>
      <c r="O44" s="61"/>
    </row>
    <row r="45" ht="15.75" customHeight="1" spans="1:15" x14ac:dyDescent="0.25">
      <c r="A45" s="61">
        <v>42</v>
      </c>
      <c r="B45" s="532"/>
      <c r="C45" s="620"/>
      <c r="D45" s="620"/>
      <c r="F45" s="620"/>
      <c r="G45" s="622">
        <f t="shared" si="4"/>
        <v>0</v>
      </c>
      <c r="H45" s="625"/>
      <c r="I45" s="625"/>
      <c r="J45" s="623">
        <f t="shared" si="3"/>
        <v>0</v>
      </c>
      <c r="K45" s="623">
        <f t="shared" si="1"/>
        <v>0</v>
      </c>
      <c r="L45" s="328"/>
      <c r="M45" s="624">
        <f t="shared" si="2"/>
        <v>0</v>
      </c>
      <c r="N45" s="61"/>
      <c r="O45" s="61"/>
    </row>
    <row r="46" ht="15.75" customHeight="1" spans="1:15" x14ac:dyDescent="0.25">
      <c r="A46" s="61">
        <v>43</v>
      </c>
      <c r="B46" s="532"/>
      <c r="C46" s="620"/>
      <c r="D46" s="620"/>
      <c r="E46" s="620"/>
      <c r="F46" s="620"/>
      <c r="G46" s="622">
        <f t="shared" si="4"/>
        <v>0</v>
      </c>
      <c r="H46" s="625"/>
      <c r="I46" s="625"/>
      <c r="J46" s="623">
        <f t="shared" si="3"/>
        <v>0</v>
      </c>
      <c r="K46" s="623">
        <f t="shared" si="1"/>
        <v>0</v>
      </c>
      <c r="L46" s="328"/>
      <c r="M46" s="624">
        <f t="shared" si="2"/>
        <v>0</v>
      </c>
      <c r="N46" s="61"/>
      <c r="O46" s="61"/>
    </row>
    <row r="47" ht="15.75" customHeight="1" spans="1:15" x14ac:dyDescent="0.25">
      <c r="A47" s="61">
        <v>44</v>
      </c>
      <c r="B47" s="532"/>
      <c r="C47" s="620"/>
      <c r="D47" s="620"/>
      <c r="E47" s="620"/>
      <c r="F47" s="620"/>
      <c r="G47" s="622">
        <f t="shared" si="4"/>
        <v>0</v>
      </c>
      <c r="H47" s="625"/>
      <c r="I47" s="625"/>
      <c r="J47" s="623">
        <f t="shared" si="3"/>
        <v>0</v>
      </c>
      <c r="K47" s="623">
        <f t="shared" si="1"/>
        <v>0</v>
      </c>
      <c r="L47" s="317"/>
      <c r="M47" s="624">
        <f t="shared" si="2"/>
        <v>0</v>
      </c>
      <c r="N47" s="61"/>
      <c r="O47" s="61"/>
    </row>
    <row r="48" ht="15.75" customHeight="1" spans="1:15" x14ac:dyDescent="0.25">
      <c r="A48" s="61">
        <v>45</v>
      </c>
      <c r="B48" s="532"/>
      <c r="C48" s="620"/>
      <c r="D48" s="620"/>
      <c r="E48" s="620"/>
      <c r="F48" s="620"/>
      <c r="G48" s="622">
        <f t="shared" si="4"/>
        <v>0</v>
      </c>
      <c r="H48" s="625"/>
      <c r="I48" s="625"/>
      <c r="J48" s="623">
        <f t="shared" si="3"/>
        <v>0</v>
      </c>
      <c r="K48" s="623">
        <f t="shared" si="1"/>
        <v>0</v>
      </c>
      <c r="L48" s="317"/>
      <c r="M48" s="624">
        <f t="shared" si="2"/>
        <v>0</v>
      </c>
      <c r="N48" s="61"/>
      <c r="O48" s="61"/>
    </row>
    <row r="49" ht="15.75" customHeight="1" spans="1:15" x14ac:dyDescent="0.25">
      <c r="A49" s="61">
        <v>46</v>
      </c>
      <c r="B49" s="532"/>
      <c r="C49" s="620"/>
      <c r="D49" s="620"/>
      <c r="E49" s="620"/>
      <c r="F49" s="620"/>
      <c r="G49" s="622">
        <f t="shared" si="4"/>
        <v>0</v>
      </c>
      <c r="H49" s="625"/>
      <c r="I49" s="625"/>
      <c r="J49" s="623">
        <f t="shared" si="3"/>
        <v>0</v>
      </c>
      <c r="K49" s="623">
        <f t="shared" si="1"/>
        <v>0</v>
      </c>
      <c r="L49" s="317"/>
      <c r="M49" s="624">
        <f t="shared" si="2"/>
        <v>0</v>
      </c>
      <c r="N49" s="61"/>
      <c r="O49" s="61"/>
    </row>
    <row r="50" ht="15.75" customHeight="1" spans="1:15" x14ac:dyDescent="0.25">
      <c r="A50" s="61">
        <v>47</v>
      </c>
      <c r="B50" s="532"/>
      <c r="C50" s="620"/>
      <c r="D50" s="620"/>
      <c r="E50" s="620"/>
      <c r="F50" s="620"/>
      <c r="G50" s="622">
        <f t="shared" si="4"/>
        <v>0</v>
      </c>
      <c r="H50" s="625"/>
      <c r="I50" s="625"/>
      <c r="J50" s="623">
        <f t="shared" si="3"/>
        <v>0</v>
      </c>
      <c r="K50" s="623">
        <f t="shared" si="1"/>
        <v>0</v>
      </c>
      <c r="L50" s="317"/>
      <c r="M50" s="624">
        <f t="shared" si="2"/>
        <v>0</v>
      </c>
      <c r="N50" s="61"/>
      <c r="O50" s="61"/>
    </row>
    <row r="51" ht="15.75" customHeight="1" spans="1:15" x14ac:dyDescent="0.25">
      <c r="A51" s="61">
        <v>48</v>
      </c>
      <c r="B51" s="532"/>
      <c r="C51" s="620"/>
      <c r="D51" s="620"/>
      <c r="E51" s="620"/>
      <c r="F51" s="620"/>
      <c r="G51" s="622">
        <f t="shared" si="4"/>
        <v>0</v>
      </c>
      <c r="H51" s="620"/>
      <c r="I51" s="620"/>
      <c r="J51" s="623">
        <f t="shared" si="3"/>
        <v>0</v>
      </c>
      <c r="K51" s="623">
        <f t="shared" si="1"/>
        <v>0</v>
      </c>
      <c r="L51" s="317"/>
      <c r="M51" s="624">
        <f t="shared" si="2"/>
        <v>0</v>
      </c>
      <c r="N51" s="61"/>
      <c r="O51" s="61"/>
    </row>
    <row r="52" ht="15.75" customHeight="1" spans="1:15" x14ac:dyDescent="0.25">
      <c r="A52" s="61">
        <v>49</v>
      </c>
      <c r="B52" s="532"/>
      <c r="C52" s="620"/>
      <c r="D52" s="620"/>
      <c r="E52" s="620"/>
      <c r="F52" s="620"/>
      <c r="G52" s="622">
        <f t="shared" si="4"/>
        <v>0</v>
      </c>
      <c r="H52" s="620"/>
      <c r="I52" s="620"/>
      <c r="J52" s="623">
        <f t="shared" si="3"/>
        <v>0</v>
      </c>
      <c r="K52" s="623">
        <f t="shared" si="1"/>
        <v>0</v>
      </c>
      <c r="L52" s="317"/>
      <c r="M52" s="624">
        <f t="shared" si="2"/>
        <v>0</v>
      </c>
      <c r="N52" s="61"/>
      <c r="O52" s="61"/>
    </row>
    <row r="53" ht="15.75" customHeight="1" spans="1:15" x14ac:dyDescent="0.25">
      <c r="A53" s="61">
        <v>50</v>
      </c>
      <c r="B53" s="532"/>
      <c r="C53" s="620"/>
      <c r="D53" s="620"/>
      <c r="E53" s="620"/>
      <c r="F53" s="620"/>
      <c r="G53" s="622">
        <f t="shared" si="4"/>
        <v>0</v>
      </c>
      <c r="H53" s="620"/>
      <c r="I53" s="620"/>
      <c r="J53" s="623">
        <f t="shared" si="3"/>
        <v>0</v>
      </c>
      <c r="K53" s="623">
        <f t="shared" si="1"/>
        <v>0</v>
      </c>
      <c r="L53" s="317"/>
      <c r="M53" s="624">
        <f t="shared" si="2"/>
        <v>0</v>
      </c>
      <c r="N53" s="61"/>
      <c r="O53" s="61"/>
    </row>
    <row r="54" ht="15.75" customHeight="1" spans="1:15" x14ac:dyDescent="0.25">
      <c r="A54" s="61">
        <v>51</v>
      </c>
      <c r="B54" s="532"/>
      <c r="C54" s="620"/>
      <c r="D54" s="620"/>
      <c r="E54" s="620"/>
      <c r="F54" s="620"/>
      <c r="G54" s="622">
        <f t="shared" si="4"/>
        <v>0</v>
      </c>
      <c r="H54" s="620"/>
      <c r="I54" s="620"/>
      <c r="J54" s="623">
        <f t="shared" si="3"/>
        <v>0</v>
      </c>
      <c r="K54" s="623">
        <f t="shared" si="1"/>
        <v>0</v>
      </c>
      <c r="L54" s="317"/>
      <c r="M54" s="624">
        <f t="shared" si="2"/>
        <v>0</v>
      </c>
      <c r="N54" s="61"/>
      <c r="O54" s="61"/>
    </row>
    <row r="55" ht="15.75" customHeight="1" spans="1:15" x14ac:dyDescent="0.25">
      <c r="A55" s="61">
        <v>52</v>
      </c>
      <c r="B55" s="532"/>
      <c r="C55" s="620"/>
      <c r="D55" s="620"/>
      <c r="E55" s="620"/>
      <c r="F55" s="620"/>
      <c r="G55" s="622">
        <f t="shared" si="4"/>
        <v>0</v>
      </c>
      <c r="H55" s="620"/>
      <c r="I55" s="620"/>
      <c r="J55" s="623">
        <f t="shared" si="3"/>
        <v>0</v>
      </c>
      <c r="K55" s="623">
        <f t="shared" si="1"/>
        <v>0</v>
      </c>
      <c r="L55" s="317"/>
      <c r="M55" s="624">
        <f t="shared" si="2"/>
        <v>0</v>
      </c>
      <c r="N55" s="61"/>
      <c r="O55" s="61"/>
    </row>
    <row r="56" ht="15.75" customHeight="1" spans="1:15" x14ac:dyDescent="0.25">
      <c r="A56" s="61">
        <v>53</v>
      </c>
      <c r="B56" s="532"/>
      <c r="C56" s="620"/>
      <c r="D56" s="620"/>
      <c r="E56" s="620"/>
      <c r="F56" s="620"/>
      <c r="G56" s="620"/>
      <c r="H56" s="620"/>
      <c r="I56" s="620"/>
      <c r="J56" s="620"/>
      <c r="K56" s="623"/>
      <c r="L56" s="317"/>
      <c r="M56" s="624">
        <f t="shared" si="2"/>
        <v>0</v>
      </c>
      <c r="N56" s="61"/>
      <c r="O56" s="61"/>
    </row>
    <row r="57" ht="15.75" customHeight="1" spans="1:15" x14ac:dyDescent="0.25">
      <c r="A57" s="61">
        <v>54</v>
      </c>
      <c r="B57" s="532"/>
      <c r="C57" s="620"/>
      <c r="D57" s="620"/>
      <c r="E57" s="620"/>
      <c r="F57" s="620"/>
      <c r="G57" s="620"/>
      <c r="H57" s="620"/>
      <c r="I57" s="620"/>
      <c r="J57" s="620"/>
      <c r="K57" s="623"/>
      <c r="L57" s="317"/>
      <c r="M57" s="624">
        <f t="shared" si="2"/>
        <v>0</v>
      </c>
      <c r="N57" s="61"/>
      <c r="O57" s="61"/>
    </row>
    <row r="58" ht="15.75" customHeight="1" spans="1:15" x14ac:dyDescent="0.25">
      <c r="A58" s="61">
        <v>55</v>
      </c>
      <c r="B58" s="532"/>
      <c r="C58" s="620"/>
      <c r="D58" s="620"/>
      <c r="E58" s="620"/>
      <c r="F58" s="620"/>
      <c r="G58" s="620"/>
      <c r="H58" s="620"/>
      <c r="I58" s="620"/>
      <c r="J58" s="620"/>
      <c r="K58" s="623"/>
      <c r="L58" s="317"/>
      <c r="M58" s="624"/>
      <c r="N58" s="61"/>
      <c r="O58" s="61"/>
    </row>
    <row r="59" ht="15.75" customHeight="1" spans="1:15" x14ac:dyDescent="0.25">
      <c r="A59" s="61">
        <v>56</v>
      </c>
      <c r="B59" s="532"/>
      <c r="C59" s="620"/>
      <c r="D59" s="620"/>
      <c r="E59" s="620"/>
      <c r="F59" s="620"/>
      <c r="G59" s="620"/>
      <c r="H59" s="620"/>
      <c r="I59" s="620"/>
      <c r="J59" s="620"/>
      <c r="K59" s="623"/>
      <c r="L59" s="317"/>
      <c r="M59" s="624"/>
      <c r="N59" s="61"/>
      <c r="O59" s="61"/>
    </row>
    <row r="60" ht="15.75" customHeight="1" spans="1:15" x14ac:dyDescent="0.25">
      <c r="A60" s="61">
        <v>57</v>
      </c>
      <c r="B60" s="532"/>
      <c r="C60" s="620"/>
      <c r="D60" s="620"/>
      <c r="E60" s="620"/>
      <c r="F60" s="620"/>
      <c r="G60" s="620"/>
      <c r="H60" s="620"/>
      <c r="I60" s="620"/>
      <c r="J60" s="620"/>
      <c r="K60" s="623"/>
      <c r="L60" s="317"/>
      <c r="M60" s="624"/>
      <c r="N60" s="61"/>
      <c r="O60" s="61"/>
    </row>
    <row r="61" ht="15.75" customHeight="1" spans="1:15" x14ac:dyDescent="0.25">
      <c r="A61" s="61">
        <v>58</v>
      </c>
      <c r="B61" s="532"/>
      <c r="C61" s="620"/>
      <c r="D61" s="620"/>
      <c r="E61" s="620"/>
      <c r="F61" s="620"/>
      <c r="G61" s="620"/>
      <c r="H61" s="620"/>
      <c r="I61" s="620"/>
      <c r="J61" s="620"/>
      <c r="K61" s="623"/>
      <c r="L61" s="317"/>
      <c r="M61" s="624"/>
      <c r="N61" s="61"/>
      <c r="O61" s="61"/>
    </row>
    <row r="62" ht="15.75" customHeight="1" spans="1:15" x14ac:dyDescent="0.25">
      <c r="A62" s="61">
        <v>59</v>
      </c>
      <c r="B62" s="532"/>
      <c r="C62" s="620"/>
      <c r="D62" s="620"/>
      <c r="E62" s="620"/>
      <c r="F62" s="620"/>
      <c r="G62" s="620"/>
      <c r="H62" s="620"/>
      <c r="I62" s="620"/>
      <c r="J62" s="620"/>
      <c r="K62" s="623"/>
      <c r="L62" s="317"/>
      <c r="M62" s="624"/>
      <c r="N62" s="61"/>
      <c r="O62" s="61"/>
    </row>
    <row r="63" ht="15.75" customHeight="1" spans="1:15" x14ac:dyDescent="0.25">
      <c r="A63" s="61">
        <v>60</v>
      </c>
      <c r="B63" s="532"/>
      <c r="C63" s="620"/>
      <c r="D63" s="620"/>
      <c r="E63" s="620"/>
      <c r="F63" s="620"/>
      <c r="G63" s="620"/>
      <c r="H63" s="620"/>
      <c r="I63" s="620"/>
      <c r="J63" s="620"/>
      <c r="K63" s="623"/>
      <c r="L63" s="317"/>
      <c r="M63" s="624"/>
      <c r="N63" s="61"/>
      <c r="O63" s="61"/>
    </row>
    <row r="64" ht="15.75" customHeight="1" spans="1:15" x14ac:dyDescent="0.25">
      <c r="A64" s="61">
        <v>61</v>
      </c>
      <c r="B64" s="532"/>
      <c r="C64" s="620"/>
      <c r="D64" s="620"/>
      <c r="E64" s="620"/>
      <c r="F64" s="620"/>
      <c r="G64" s="620"/>
      <c r="H64" s="620"/>
      <c r="I64" s="620"/>
      <c r="J64" s="620"/>
      <c r="K64" s="623"/>
      <c r="L64" s="317"/>
      <c r="M64" s="624"/>
      <c r="N64" s="61"/>
      <c r="O64" s="61"/>
    </row>
    <row r="65" ht="15.75" customHeight="1" spans="1:15" x14ac:dyDescent="0.25">
      <c r="A65" s="61">
        <v>62</v>
      </c>
      <c r="B65" s="532"/>
      <c r="C65" s="620"/>
      <c r="D65" s="620"/>
      <c r="E65" s="620"/>
      <c r="F65" s="620"/>
      <c r="G65" s="620"/>
      <c r="H65" s="620"/>
      <c r="I65" s="620"/>
      <c r="J65" s="620"/>
      <c r="K65" s="623"/>
      <c r="L65" s="317"/>
      <c r="M65" s="624"/>
      <c r="N65" s="61"/>
      <c r="O65" s="61"/>
    </row>
    <row r="66" ht="15.75" customHeight="1" spans="1:15" x14ac:dyDescent="0.25">
      <c r="A66" s="61">
        <v>63</v>
      </c>
      <c r="B66" s="532"/>
      <c r="C66" s="620"/>
      <c r="D66" s="620"/>
      <c r="E66" s="620"/>
      <c r="F66" s="620"/>
      <c r="G66" s="620"/>
      <c r="H66" s="620"/>
      <c r="I66" s="620"/>
      <c r="J66" s="620"/>
      <c r="K66" s="623"/>
      <c r="L66" s="317"/>
      <c r="M66" s="624"/>
      <c r="N66" s="61"/>
      <c r="O66" s="61"/>
    </row>
    <row r="67" ht="15.75" customHeight="1" spans="1:15" x14ac:dyDescent="0.25">
      <c r="A67" s="61">
        <v>64</v>
      </c>
      <c r="B67" s="532"/>
      <c r="C67" s="620"/>
      <c r="D67" s="620"/>
      <c r="E67" s="620"/>
      <c r="F67" s="620"/>
      <c r="G67" s="620"/>
      <c r="H67" s="620"/>
      <c r="I67" s="620"/>
      <c r="J67" s="620"/>
      <c r="K67" s="623"/>
      <c r="L67" s="317"/>
      <c r="M67" s="624"/>
      <c r="N67" s="61"/>
      <c r="O67" s="61"/>
    </row>
    <row r="68" ht="15.75" customHeight="1" spans="1:15" x14ac:dyDescent="0.25">
      <c r="A68" s="61">
        <v>65</v>
      </c>
      <c r="B68" s="532"/>
      <c r="C68" s="620"/>
      <c r="D68" s="620"/>
      <c r="E68" s="620"/>
      <c r="F68" s="620"/>
      <c r="G68" s="620"/>
      <c r="H68" s="620"/>
      <c r="I68" s="620"/>
      <c r="J68" s="620"/>
      <c r="K68" s="623"/>
      <c r="L68" s="317"/>
      <c r="M68" s="624"/>
      <c r="N68" s="61"/>
      <c r="O68" s="61"/>
    </row>
    <row r="69" ht="15.75" customHeight="1" spans="1:15" x14ac:dyDescent="0.25">
      <c r="A69" s="61">
        <v>66</v>
      </c>
      <c r="B69" s="532"/>
      <c r="C69" s="620"/>
      <c r="D69" s="620"/>
      <c r="E69" s="620"/>
      <c r="F69" s="620"/>
      <c r="G69" s="620"/>
      <c r="H69" s="620"/>
      <c r="I69" s="620"/>
      <c r="J69" s="620"/>
      <c r="K69" s="623"/>
      <c r="L69" s="317"/>
      <c r="M69" s="624"/>
      <c r="N69" s="61"/>
      <c r="O69" s="61"/>
    </row>
    <row r="70" ht="15.75" customHeight="1" spans="1:15" x14ac:dyDescent="0.25">
      <c r="A70" s="61">
        <v>67</v>
      </c>
      <c r="B70" s="532"/>
      <c r="C70" s="620"/>
      <c r="D70" s="620"/>
      <c r="E70" s="620"/>
      <c r="F70" s="620"/>
      <c r="G70" s="620"/>
      <c r="H70" s="620"/>
      <c r="I70" s="620"/>
      <c r="J70" s="620"/>
      <c r="K70" s="623"/>
      <c r="L70" s="317"/>
      <c r="M70" s="624"/>
      <c r="N70" s="61"/>
      <c r="O70" s="61"/>
    </row>
    <row r="71" ht="15.75" customHeight="1" spans="1:15" x14ac:dyDescent="0.25">
      <c r="A71" s="61">
        <v>68</v>
      </c>
      <c r="B71" s="532"/>
      <c r="C71" s="620"/>
      <c r="D71" s="620"/>
      <c r="E71" s="620"/>
      <c r="F71" s="620"/>
      <c r="G71" s="620"/>
      <c r="H71" s="625"/>
      <c r="I71" s="625"/>
      <c r="J71" s="620"/>
      <c r="K71" s="623"/>
      <c r="L71" s="317"/>
      <c r="M71" s="624"/>
      <c r="N71" s="61"/>
      <c r="O71" s="61"/>
    </row>
    <row r="72" ht="15.75" customHeight="1" spans="1:15" x14ac:dyDescent="0.25">
      <c r="A72" s="61">
        <v>69</v>
      </c>
      <c r="B72" s="532"/>
      <c r="C72" s="620"/>
      <c r="D72" s="620"/>
      <c r="E72" s="620"/>
      <c r="F72" s="620"/>
      <c r="G72" s="620"/>
      <c r="H72" s="625"/>
      <c r="I72" s="625"/>
      <c r="J72" s="620"/>
      <c r="K72" s="623"/>
      <c r="L72" s="317"/>
      <c r="M72" s="624"/>
      <c r="N72" s="61"/>
      <c r="O72" s="61"/>
    </row>
    <row r="73" ht="15.75" customHeight="1" spans="1:15" x14ac:dyDescent="0.25">
      <c r="A73" s="61">
        <v>70</v>
      </c>
      <c r="B73" s="532"/>
      <c r="C73" s="620"/>
      <c r="D73" s="620"/>
      <c r="E73" s="620"/>
      <c r="F73" s="620"/>
      <c r="G73" s="620"/>
      <c r="H73" s="631"/>
      <c r="I73" s="631"/>
      <c r="J73" s="620"/>
      <c r="K73" s="623"/>
      <c r="L73" s="317"/>
      <c r="M73" s="624"/>
      <c r="N73" s="61"/>
      <c r="O73" s="61"/>
    </row>
    <row r="74" ht="15.75" customHeight="1" spans="1:15" x14ac:dyDescent="0.25">
      <c r="A74" s="61">
        <v>71</v>
      </c>
      <c r="B74" s="532"/>
      <c r="C74" s="620"/>
      <c r="D74" s="620"/>
      <c r="E74" s="620"/>
      <c r="F74" s="620"/>
      <c r="G74" s="620"/>
      <c r="H74" s="631"/>
      <c r="I74" s="631"/>
      <c r="J74" s="620"/>
      <c r="K74" s="623"/>
      <c r="L74" s="317"/>
      <c r="M74" s="624"/>
      <c r="N74" s="61"/>
      <c r="O74" s="61"/>
    </row>
    <row r="75" ht="15.75" customHeight="1" spans="1:15" x14ac:dyDescent="0.25">
      <c r="A75" s="61">
        <v>72</v>
      </c>
      <c r="B75" s="532"/>
      <c r="C75" s="620"/>
      <c r="D75" s="620"/>
      <c r="E75" s="620"/>
      <c r="F75" s="620"/>
      <c r="G75" s="620"/>
      <c r="H75" s="631"/>
      <c r="I75" s="631"/>
      <c r="J75" s="620"/>
      <c r="K75" s="623"/>
      <c r="L75" s="317"/>
      <c r="M75" s="624"/>
      <c r="N75" s="61"/>
      <c r="O75" s="61"/>
    </row>
    <row r="76" ht="15.75" customHeight="1" spans="1:15" x14ac:dyDescent="0.25">
      <c r="A76" s="61">
        <v>73</v>
      </c>
      <c r="B76" s="532"/>
      <c r="C76" s="620"/>
      <c r="D76" s="620"/>
      <c r="E76" s="620"/>
      <c r="F76" s="620"/>
      <c r="G76" s="620"/>
      <c r="H76" s="631"/>
      <c r="I76" s="631"/>
      <c r="J76" s="620"/>
      <c r="K76" s="623"/>
      <c r="L76" s="317"/>
      <c r="M76" s="624"/>
      <c r="N76" s="61"/>
      <c r="O76" s="61"/>
    </row>
    <row r="77" ht="15.75" customHeight="1" spans="1:15" x14ac:dyDescent="0.25">
      <c r="A77" s="61">
        <v>74</v>
      </c>
      <c r="B77" s="532"/>
      <c r="C77" s="620"/>
      <c r="D77" s="620"/>
      <c r="E77" s="620"/>
      <c r="F77" s="620"/>
      <c r="G77" s="620"/>
      <c r="H77" s="630"/>
      <c r="I77" s="630"/>
      <c r="J77" s="620"/>
      <c r="K77" s="623"/>
      <c r="L77" s="317"/>
      <c r="M77" s="624"/>
      <c r="N77" s="61"/>
      <c r="O77" s="61"/>
    </row>
    <row r="78" ht="15.75" customHeight="1" spans="1:15" x14ac:dyDescent="0.25">
      <c r="A78" s="61">
        <v>75</v>
      </c>
      <c r="B78" s="532"/>
      <c r="C78" s="620"/>
      <c r="D78" s="620"/>
      <c r="E78" s="620"/>
      <c r="F78" s="620"/>
      <c r="G78" s="620"/>
      <c r="H78" s="631"/>
      <c r="I78" s="631"/>
      <c r="J78" s="620"/>
      <c r="K78" s="623"/>
      <c r="L78" s="317"/>
      <c r="M78" s="624"/>
      <c r="N78" s="61"/>
      <c r="O78" s="61"/>
    </row>
    <row r="79" ht="15.75" customHeight="1" spans="1:15" x14ac:dyDescent="0.25">
      <c r="A79" s="61">
        <v>76</v>
      </c>
      <c r="B79" s="532"/>
      <c r="C79" s="620"/>
      <c r="D79" s="620"/>
      <c r="E79" s="620"/>
      <c r="F79" s="620"/>
      <c r="G79" s="620"/>
      <c r="H79" s="631"/>
      <c r="I79" s="631"/>
      <c r="J79" s="620"/>
      <c r="K79" s="623"/>
      <c r="L79" s="317"/>
      <c r="M79" s="624"/>
      <c r="N79" s="61"/>
      <c r="O79" s="168"/>
    </row>
    <row r="80" ht="15.75" customHeight="1" spans="1:15" x14ac:dyDescent="0.25">
      <c r="A80" s="61">
        <v>77</v>
      </c>
      <c r="B80" s="632"/>
      <c r="C80" s="620"/>
      <c r="D80" s="620"/>
      <c r="E80" s="620"/>
      <c r="F80" s="620"/>
      <c r="G80" s="620"/>
      <c r="H80" s="633"/>
      <c r="I80" s="633"/>
      <c r="J80" s="620"/>
      <c r="K80" s="623"/>
      <c r="L80" s="317"/>
      <c r="M80" s="624"/>
      <c r="N80" s="534"/>
      <c r="O80" s="534"/>
    </row>
    <row r="81" ht="15.75" customHeight="1" spans="1:15" x14ac:dyDescent="0.25">
      <c r="A81" s="61">
        <v>78</v>
      </c>
      <c r="B81" s="632"/>
      <c r="C81" s="620"/>
      <c r="D81" s="620"/>
      <c r="E81" s="620"/>
      <c r="F81" s="620"/>
      <c r="G81" s="620"/>
      <c r="H81" s="630"/>
      <c r="I81" s="630"/>
      <c r="J81" s="620"/>
      <c r="K81" s="623"/>
      <c r="L81" s="317"/>
      <c r="M81" s="624"/>
      <c r="N81" s="534"/>
      <c r="O81" s="534"/>
    </row>
    <row r="82" ht="15.75" customHeight="1" spans="1:15" x14ac:dyDescent="0.25">
      <c r="A82" s="61">
        <v>79</v>
      </c>
      <c r="B82" s="634"/>
      <c r="C82" s="620"/>
      <c r="D82" s="620"/>
      <c r="E82" s="620"/>
      <c r="F82" s="620"/>
      <c r="G82" s="620"/>
      <c r="H82" s="631"/>
      <c r="I82" s="631"/>
      <c r="J82" s="620"/>
      <c r="K82" s="623"/>
      <c r="L82" s="317"/>
      <c r="M82" s="624"/>
      <c r="N82" s="61"/>
      <c r="O82" s="61"/>
    </row>
    <row r="83" ht="15.75" customHeight="1" spans="1:15" x14ac:dyDescent="0.25">
      <c r="A83" s="61">
        <v>80</v>
      </c>
      <c r="B83" s="634"/>
      <c r="C83" s="620"/>
      <c r="D83" s="620"/>
      <c r="E83" s="620"/>
      <c r="F83" s="620"/>
      <c r="G83" s="620"/>
      <c r="H83" s="631"/>
      <c r="I83" s="631"/>
      <c r="J83" s="620"/>
      <c r="K83" s="623"/>
      <c r="L83" s="317"/>
      <c r="M83" s="624"/>
      <c r="N83" s="61"/>
      <c r="O83" s="61"/>
    </row>
    <row r="84" ht="15.75" customHeight="1" spans="1:15" x14ac:dyDescent="0.25">
      <c r="A84" s="61">
        <v>81</v>
      </c>
      <c r="B84" s="634"/>
      <c r="C84" s="620"/>
      <c r="D84" s="620"/>
      <c r="E84" s="620"/>
      <c r="F84" s="620"/>
      <c r="G84" s="620"/>
      <c r="H84" s="631"/>
      <c r="I84" s="631"/>
      <c r="J84" s="620"/>
      <c r="K84" s="623"/>
      <c r="L84" s="317"/>
      <c r="M84" s="624"/>
      <c r="N84" s="61"/>
      <c r="O84" s="61"/>
    </row>
    <row r="85" ht="15.75" customHeight="1" spans="1:15" x14ac:dyDescent="0.25">
      <c r="A85" s="61">
        <v>82</v>
      </c>
      <c r="B85" s="634"/>
      <c r="C85" s="620"/>
      <c r="D85" s="620"/>
      <c r="E85" s="620"/>
      <c r="F85" s="620"/>
      <c r="G85" s="620"/>
      <c r="H85" s="631"/>
      <c r="I85" s="631"/>
      <c r="J85" s="620"/>
      <c r="K85" s="623"/>
      <c r="L85" s="317"/>
      <c r="M85" s="624"/>
      <c r="N85" s="61"/>
      <c r="O85" s="61"/>
    </row>
    <row r="86" ht="15.75" customHeight="1" spans="1:15" x14ac:dyDescent="0.25">
      <c r="A86" s="61">
        <v>83</v>
      </c>
      <c r="B86" s="634"/>
      <c r="C86" s="620"/>
      <c r="D86" s="620"/>
      <c r="E86" s="620"/>
      <c r="F86" s="620"/>
      <c r="G86" s="620"/>
      <c r="H86" s="631"/>
      <c r="I86" s="631"/>
      <c r="J86" s="620"/>
      <c r="K86" s="623"/>
      <c r="L86" s="317"/>
      <c r="M86" s="624"/>
      <c r="N86" s="61"/>
      <c r="O86" s="61"/>
    </row>
    <row r="87" ht="15.75" customHeight="1" spans="1:15" x14ac:dyDescent="0.25">
      <c r="A87" s="61">
        <v>84</v>
      </c>
      <c r="B87" s="634"/>
      <c r="C87" s="620"/>
      <c r="D87" s="620"/>
      <c r="E87" s="620"/>
      <c r="F87" s="620"/>
      <c r="G87" s="620"/>
      <c r="H87" s="631"/>
      <c r="I87" s="631"/>
      <c r="J87" s="620"/>
      <c r="K87" s="623"/>
      <c r="L87" s="317"/>
      <c r="M87" s="624"/>
      <c r="N87" s="61"/>
      <c r="O87" s="61"/>
    </row>
    <row r="88" ht="15.75" customHeight="1" spans="1:15" x14ac:dyDescent="0.25">
      <c r="A88" s="61">
        <v>85</v>
      </c>
      <c r="B88" s="634"/>
      <c r="C88" s="620"/>
      <c r="D88" s="620"/>
      <c r="E88" s="620"/>
      <c r="F88" s="620"/>
      <c r="G88" s="620"/>
      <c r="H88" s="631"/>
      <c r="I88" s="631"/>
      <c r="J88" s="620"/>
      <c r="K88" s="623"/>
      <c r="L88" s="317"/>
      <c r="M88" s="624"/>
      <c r="N88" s="61"/>
      <c r="O88" s="61"/>
    </row>
    <row r="89" ht="15.75" customHeight="1" spans="1:15" x14ac:dyDescent="0.25">
      <c r="A89" s="61">
        <v>86</v>
      </c>
      <c r="B89" s="634"/>
      <c r="C89" s="620"/>
      <c r="D89" s="620"/>
      <c r="E89" s="620"/>
      <c r="F89" s="620"/>
      <c r="G89" s="620"/>
      <c r="H89" s="631"/>
      <c r="I89" s="631"/>
      <c r="J89" s="620"/>
      <c r="K89" s="623"/>
      <c r="L89" s="317"/>
      <c r="M89" s="624"/>
      <c r="N89" s="61"/>
      <c r="O89" s="61"/>
    </row>
    <row r="90" ht="15.75" customHeight="1" spans="1:15" x14ac:dyDescent="0.25">
      <c r="A90" s="61">
        <v>87</v>
      </c>
      <c r="B90" s="634"/>
      <c r="C90" s="620"/>
      <c r="D90" s="620"/>
      <c r="E90" s="620"/>
      <c r="F90" s="620"/>
      <c r="G90" s="620"/>
      <c r="H90" s="631"/>
      <c r="I90" s="631"/>
      <c r="J90" s="620"/>
      <c r="K90" s="623"/>
      <c r="L90" s="317"/>
      <c r="M90" s="624"/>
      <c r="N90" s="61"/>
      <c r="O90" s="61"/>
    </row>
    <row r="91" ht="15.75" customHeight="1" spans="1:15" x14ac:dyDescent="0.25">
      <c r="A91" s="61">
        <v>88</v>
      </c>
      <c r="B91" s="634"/>
      <c r="C91" s="620"/>
      <c r="D91" s="620"/>
      <c r="E91" s="620"/>
      <c r="F91" s="620"/>
      <c r="G91" s="620"/>
      <c r="H91" s="631"/>
      <c r="I91" s="630"/>
      <c r="J91" s="620"/>
      <c r="K91" s="623"/>
      <c r="L91" s="317"/>
      <c r="M91" s="624"/>
      <c r="N91" s="61"/>
      <c r="O91" s="61"/>
    </row>
    <row r="92" ht="15.75" customHeight="1" spans="1:15" x14ac:dyDescent="0.25">
      <c r="A92" s="61">
        <v>89</v>
      </c>
      <c r="B92" s="634"/>
      <c r="C92" s="620"/>
      <c r="D92" s="620"/>
      <c r="E92" s="620"/>
      <c r="F92" s="620"/>
      <c r="G92" s="620"/>
      <c r="H92" s="631"/>
      <c r="I92" s="631"/>
      <c r="J92" s="620"/>
      <c r="K92" s="623"/>
      <c r="L92" s="317"/>
      <c r="M92" s="624"/>
      <c r="N92" s="61"/>
      <c r="O92" s="61"/>
    </row>
    <row r="93" ht="15.75" customHeight="1" spans="1:15" x14ac:dyDescent="0.25">
      <c r="A93" s="61">
        <v>90</v>
      </c>
      <c r="B93" s="634"/>
      <c r="C93" s="620"/>
      <c r="D93" s="620"/>
      <c r="E93" s="620"/>
      <c r="F93" s="620"/>
      <c r="G93" s="620"/>
      <c r="H93" s="631"/>
      <c r="I93" s="631"/>
      <c r="J93" s="620"/>
      <c r="K93" s="623"/>
      <c r="L93" s="317"/>
      <c r="M93" s="624"/>
      <c r="N93" s="61"/>
      <c r="O93" s="61"/>
    </row>
    <row r="94" ht="15.75" customHeight="1" spans="1:15" x14ac:dyDescent="0.25">
      <c r="A94" s="61">
        <v>91</v>
      </c>
      <c r="B94" s="634"/>
      <c r="C94" s="620"/>
      <c r="D94" s="620"/>
      <c r="E94" s="620"/>
      <c r="F94" s="620"/>
      <c r="G94" s="620"/>
      <c r="H94" s="631"/>
      <c r="I94" s="631"/>
      <c r="J94" s="620"/>
      <c r="K94" s="623"/>
      <c r="L94" s="317"/>
      <c r="M94" s="624"/>
      <c r="N94" s="61"/>
      <c r="O94" s="61"/>
    </row>
    <row r="95" ht="15.75" customHeight="1" spans="1:15" x14ac:dyDescent="0.25">
      <c r="A95" s="61">
        <v>92</v>
      </c>
      <c r="B95" s="634"/>
      <c r="C95" s="620"/>
      <c r="D95" s="620"/>
      <c r="E95" s="620"/>
      <c r="F95" s="620"/>
      <c r="G95" s="620"/>
      <c r="H95" s="631"/>
      <c r="I95" s="631"/>
      <c r="J95" s="620"/>
      <c r="K95" s="623"/>
      <c r="L95" s="317"/>
      <c r="M95" s="624"/>
      <c r="N95" s="61"/>
      <c r="O95" s="61"/>
    </row>
    <row r="96" ht="15.75" customHeight="1" spans="1:15" x14ac:dyDescent="0.25">
      <c r="A96" s="61">
        <v>93</v>
      </c>
      <c r="B96" s="634"/>
      <c r="C96" s="620"/>
      <c r="D96" s="620"/>
      <c r="E96" s="620"/>
      <c r="F96" s="620"/>
      <c r="G96" s="620"/>
      <c r="H96" s="631"/>
      <c r="I96" s="630"/>
      <c r="J96" s="620"/>
      <c r="K96" s="623"/>
      <c r="L96" s="317"/>
      <c r="M96" s="624"/>
      <c r="N96" s="61"/>
      <c r="O96" s="61"/>
    </row>
    <row r="97" ht="15.75" customHeight="1" spans="1:15" x14ac:dyDescent="0.25">
      <c r="A97" s="61">
        <v>94</v>
      </c>
      <c r="B97" s="61"/>
      <c r="C97" s="61"/>
      <c r="D97" s="631"/>
      <c r="E97" s="631"/>
      <c r="F97" s="631"/>
      <c r="G97" s="631"/>
      <c r="H97" s="631"/>
      <c r="I97" s="631"/>
      <c r="J97" s="620"/>
      <c r="K97" s="623"/>
      <c r="L97" s="317"/>
      <c r="M97" s="624"/>
      <c r="N97" s="61"/>
      <c r="O97" s="61"/>
    </row>
    <row r="98" ht="15.75" customHeight="1" spans="1:15" x14ac:dyDescent="0.25">
      <c r="A98" s="61">
        <v>95</v>
      </c>
      <c r="B98" s="61"/>
      <c r="C98" s="61"/>
      <c r="D98" s="61"/>
      <c r="E98" s="61"/>
      <c r="F98" s="61"/>
      <c r="G98" s="61"/>
      <c r="H98" s="61"/>
      <c r="I98" s="61"/>
      <c r="J98" s="620"/>
      <c r="K98" s="623"/>
      <c r="L98" s="317"/>
      <c r="M98" s="624"/>
      <c r="N98" s="61"/>
      <c r="O98" s="61"/>
    </row>
    <row r="99" ht="15.75" customHeight="1" spans="1:15" x14ac:dyDescent="0.25">
      <c r="A99" s="61">
        <v>96</v>
      </c>
      <c r="B99" s="61"/>
      <c r="C99" s="61"/>
      <c r="D99" s="61"/>
      <c r="E99" s="61"/>
      <c r="F99" s="61"/>
      <c r="G99" s="61"/>
      <c r="H99" s="61"/>
      <c r="I99" s="61"/>
      <c r="J99" s="620"/>
      <c r="K99" s="623"/>
      <c r="L99" s="317"/>
      <c r="M99" s="624"/>
      <c r="N99" s="61"/>
      <c r="O99" s="61"/>
    </row>
    <row r="100" ht="15.75" customHeight="1" spans="1:15" x14ac:dyDescent="0.25">
      <c r="A100" s="61">
        <v>97</v>
      </c>
      <c r="B100" s="61"/>
      <c r="C100" s="61"/>
      <c r="D100" s="61"/>
      <c r="E100" s="61"/>
      <c r="F100" s="61"/>
      <c r="G100" s="61"/>
      <c r="H100" s="61"/>
      <c r="I100" s="61"/>
      <c r="J100" s="620"/>
      <c r="K100" s="623"/>
      <c r="L100" s="317"/>
      <c r="M100" s="624"/>
      <c r="N100" s="61"/>
      <c r="O100" s="61"/>
    </row>
    <row r="101" ht="15.75" customHeight="1" spans="1:15" x14ac:dyDescent="0.25">
      <c r="A101" s="61">
        <v>98</v>
      </c>
      <c r="B101" s="61"/>
      <c r="C101" s="61"/>
      <c r="D101" s="61"/>
      <c r="E101" s="61"/>
      <c r="F101" s="61"/>
      <c r="G101" s="61"/>
      <c r="H101" s="61"/>
      <c r="I101" s="61"/>
      <c r="J101" s="620"/>
      <c r="K101" s="623"/>
      <c r="L101" s="317"/>
      <c r="M101" s="624"/>
      <c r="N101" s="61"/>
      <c r="O101" s="61"/>
    </row>
    <row r="102" ht="15.75" customHeight="1" spans="1:15" x14ac:dyDescent="0.25">
      <c r="A102" s="61">
        <v>99</v>
      </c>
      <c r="B102" s="61"/>
      <c r="C102" s="61"/>
      <c r="D102" s="61"/>
      <c r="E102" s="61"/>
      <c r="F102" s="61"/>
      <c r="G102" s="61"/>
      <c r="H102" s="61"/>
      <c r="I102" s="61"/>
      <c r="J102" s="620"/>
      <c r="K102" s="623"/>
      <c r="L102" s="317"/>
      <c r="M102" s="624"/>
      <c r="N102" s="61"/>
      <c r="O102" s="61"/>
    </row>
    <row r="103" ht="15.75" customHeight="1" spans="1:15" x14ac:dyDescent="0.25">
      <c r="A103" s="61">
        <v>100</v>
      </c>
      <c r="B103" s="61"/>
      <c r="C103" s="61"/>
      <c r="D103" s="61"/>
      <c r="E103" s="61"/>
      <c r="F103" s="61"/>
      <c r="G103" s="61"/>
      <c r="H103" s="61"/>
      <c r="I103" s="61"/>
      <c r="J103" s="620"/>
      <c r="K103" s="623"/>
      <c r="L103" s="317"/>
      <c r="M103" s="624"/>
      <c r="N103" s="61"/>
      <c r="O103" s="61"/>
    </row>
    <row r="104" ht="15.75" customHeight="1" spans="1:15" x14ac:dyDescent="0.25">
      <c r="A104" s="61">
        <v>101</v>
      </c>
      <c r="B104" s="61"/>
      <c r="C104" s="61"/>
      <c r="D104" s="61"/>
      <c r="E104" s="61"/>
      <c r="F104" s="61"/>
      <c r="G104" s="61"/>
      <c r="H104" s="61"/>
      <c r="I104" s="61"/>
      <c r="J104" s="620"/>
      <c r="K104" s="623"/>
      <c r="L104" s="317"/>
      <c r="M104" s="624"/>
      <c r="N104" s="61"/>
      <c r="O104" s="61"/>
    </row>
    <row r="105" ht="15.75" customHeight="1" spans="1:15" x14ac:dyDescent="0.25">
      <c r="A105" s="61">
        <v>102</v>
      </c>
      <c r="B105" s="61"/>
      <c r="C105" s="61"/>
      <c r="D105" s="61"/>
      <c r="E105" s="61"/>
      <c r="F105" s="61"/>
      <c r="G105" s="61"/>
      <c r="H105" s="61"/>
      <c r="I105" s="61"/>
      <c r="J105" s="620"/>
      <c r="K105" s="623"/>
      <c r="L105" s="317"/>
      <c r="M105" s="61"/>
      <c r="N105" s="61"/>
      <c r="O105" s="61"/>
    </row>
    <row r="106" ht="15.75" customHeight="1" spans="1:15" x14ac:dyDescent="0.25">
      <c r="A106" s="61">
        <v>103</v>
      </c>
      <c r="B106" s="61"/>
      <c r="C106" s="61"/>
      <c r="D106" s="61"/>
      <c r="E106" s="61"/>
      <c r="F106" s="61"/>
      <c r="G106" s="61"/>
      <c r="H106" s="61"/>
      <c r="I106" s="61"/>
      <c r="J106" s="620"/>
      <c r="K106" s="623"/>
      <c r="L106" s="317"/>
      <c r="M106" s="61"/>
      <c r="N106" s="61"/>
      <c r="O106" s="61"/>
    </row>
    <row r="107" ht="15.75" customHeight="1" spans="1:15" x14ac:dyDescent="0.25">
      <c r="A107" s="61">
        <v>104</v>
      </c>
      <c r="B107" s="61"/>
      <c r="C107" s="61"/>
      <c r="D107" s="61"/>
      <c r="E107" s="61"/>
      <c r="F107" s="61"/>
      <c r="G107" s="61"/>
      <c r="H107" s="61"/>
      <c r="I107" s="61"/>
      <c r="J107" s="620"/>
      <c r="K107" s="623"/>
      <c r="L107" s="317"/>
      <c r="M107" s="61"/>
      <c r="N107" s="61"/>
      <c r="O107" s="61"/>
    </row>
    <row r="108" ht="15.75" customHeight="1" spans="1:15" x14ac:dyDescent="0.25">
      <c r="A108" s="61">
        <v>105</v>
      </c>
      <c r="B108" s="61"/>
      <c r="C108" s="61"/>
      <c r="D108" s="61"/>
      <c r="E108" s="61"/>
      <c r="F108" s="61"/>
      <c r="G108" s="61"/>
      <c r="H108" s="61"/>
      <c r="I108" s="61"/>
      <c r="J108" s="620"/>
      <c r="K108" s="623"/>
      <c r="L108" s="317"/>
      <c r="M108" s="61"/>
      <c r="N108" s="61"/>
      <c r="O108" s="61"/>
    </row>
    <row r="109" ht="15.75" customHeight="1" spans="1:15" x14ac:dyDescent="0.25">
      <c r="A109" s="61">
        <v>106</v>
      </c>
      <c r="B109" s="61"/>
      <c r="C109" s="61"/>
      <c r="D109" s="61"/>
      <c r="E109" s="61"/>
      <c r="F109" s="61"/>
      <c r="G109" s="61"/>
      <c r="H109" s="61"/>
      <c r="I109" s="61"/>
      <c r="J109" s="620"/>
      <c r="K109" s="623"/>
      <c r="L109" s="317"/>
      <c r="M109" s="61"/>
      <c r="N109" s="61"/>
      <c r="O109" s="61"/>
    </row>
    <row r="110" ht="15.75" customHeight="1" spans="1:15" x14ac:dyDescent="0.25">
      <c r="A110" s="61">
        <v>107</v>
      </c>
      <c r="B110" s="61"/>
      <c r="C110" s="61"/>
      <c r="D110" s="61"/>
      <c r="E110" s="61"/>
      <c r="F110" s="61"/>
      <c r="G110" s="61"/>
      <c r="H110" s="61"/>
      <c r="I110" s="61"/>
      <c r="J110" s="620"/>
      <c r="K110" s="623"/>
      <c r="L110" s="317"/>
      <c r="M110" s="61"/>
      <c r="N110" s="61"/>
      <c r="O110" s="61"/>
    </row>
    <row r="111" ht="15.75" customHeight="1" spans="1:15" x14ac:dyDescent="0.25">
      <c r="A111" s="61">
        <v>108</v>
      </c>
      <c r="B111" s="61"/>
      <c r="C111" s="61"/>
      <c r="D111" s="61"/>
      <c r="E111" s="61"/>
      <c r="F111" s="61"/>
      <c r="G111" s="61"/>
      <c r="H111" s="61"/>
      <c r="I111" s="61"/>
      <c r="J111" s="620"/>
      <c r="K111" s="623"/>
      <c r="L111" s="317"/>
      <c r="M111" s="61"/>
      <c r="N111" s="61"/>
      <c r="O111" s="61"/>
    </row>
    <row r="112" spans="1:15" x14ac:dyDescent="0.25">
      <c r="A112" s="61">
        <v>109</v>
      </c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</row>
    <row r="113" spans="1:15" x14ac:dyDescent="0.25">
      <c r="A113" s="61">
        <v>110</v>
      </c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</row>
    <row r="114" spans="1:15" x14ac:dyDescent="0.25">
      <c r="A114" s="61">
        <v>111</v>
      </c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</row>
    <row r="115" spans="1:15" x14ac:dyDescent="0.25">
      <c r="A115" s="61">
        <v>112</v>
      </c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</row>
    <row r="116" spans="1:15" x14ac:dyDescent="0.25">
      <c r="A116" s="61">
        <v>113</v>
      </c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</row>
    <row r="117" spans="1:15" x14ac:dyDescent="0.25">
      <c r="A117" s="61">
        <v>114</v>
      </c>
      <c r="B117" s="534"/>
      <c r="C117" s="534"/>
      <c r="D117" s="534"/>
      <c r="E117" s="534"/>
      <c r="F117" s="534"/>
      <c r="G117" s="534"/>
      <c r="H117" s="534"/>
      <c r="I117" s="534"/>
      <c r="J117" s="534"/>
      <c r="K117" s="534"/>
      <c r="L117" s="534"/>
      <c r="M117" s="534"/>
      <c r="N117" s="534"/>
      <c r="O117" s="534"/>
    </row>
    <row r="118" spans="1:15" x14ac:dyDescent="0.25">
      <c r="A118" s="61">
        <v>115</v>
      </c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</row>
    <row r="119" spans="1:15" x14ac:dyDescent="0.25">
      <c r="A119" s="61">
        <v>116</v>
      </c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</row>
    <row r="120" spans="1:15" x14ac:dyDescent="0.25">
      <c r="A120" s="61">
        <v>117</v>
      </c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</row>
    <row r="121" spans="1:15" x14ac:dyDescent="0.25">
      <c r="A121" s="61">
        <v>118</v>
      </c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</row>
    <row r="122" spans="1:15" x14ac:dyDescent="0.25">
      <c r="A122" s="61">
        <v>119</v>
      </c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</row>
    <row r="123" spans="1:15" x14ac:dyDescent="0.25">
      <c r="A123" s="61">
        <v>120</v>
      </c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</row>
    <row r="124" spans="1:15" x14ac:dyDescent="0.25">
      <c r="A124" s="61">
        <v>121</v>
      </c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</row>
    <row r="125" spans="1:15" x14ac:dyDescent="0.25">
      <c r="A125" s="61">
        <v>122</v>
      </c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</row>
    <row r="126" spans="1:15" x14ac:dyDescent="0.25">
      <c r="A126" s="61">
        <v>123</v>
      </c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</row>
    <row r="127" spans="1:15" x14ac:dyDescent="0.25">
      <c r="A127" s="61">
        <v>124</v>
      </c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</row>
    <row r="128" spans="1:15" x14ac:dyDescent="0.25">
      <c r="A128" s="61">
        <v>125</v>
      </c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</row>
    <row r="129" spans="1:15" x14ac:dyDescent="0.25">
      <c r="A129" s="61">
        <v>126</v>
      </c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</row>
    <row r="130" spans="1:15" x14ac:dyDescent="0.25">
      <c r="A130" s="61">
        <v>127</v>
      </c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</row>
    <row r="131" spans="1:15" x14ac:dyDescent="0.25">
      <c r="A131" s="61">
        <v>128</v>
      </c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</row>
    <row r="132" spans="1:15" x14ac:dyDescent="0.25">
      <c r="A132" s="61">
        <v>129</v>
      </c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</row>
  </sheetData>
  <mergeCells count="2">
    <mergeCell ref="A1:O1"/>
    <mergeCell ref="A3:J3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V43"/>
  <sheetViews>
    <sheetView workbookViewId="0" zoomScale="100" zoomScaleNormal="100">
      <pane ySplit="2" topLeftCell="A3" activePane="bottomLeft" state="frozen"/>
      <selection pane="bottomLeft" activeCell="L18" sqref="L18"/>
    </sheetView>
  </sheetViews>
  <sheetFormatPr defaultRowHeight="15" outlineLevelRow="0" outlineLevelCol="0" x14ac:dyDescent="0"/>
  <cols>
    <col min="2" max="2" width="12.140625" customWidth="1"/>
    <col min="4" max="4" width="20.28515625" customWidth="1"/>
    <col min="5" max="5" width="23.42578125" customWidth="1"/>
    <col min="7" max="7" width="14.42578125" customWidth="1"/>
    <col min="11" max="11" width="12.85546875" customWidth="1"/>
    <col min="12" max="12" width="13.7109375" customWidth="1"/>
    <col min="13" max="13" width="16" customWidth="1"/>
    <col min="14" max="14" width="34.5703125" customWidth="1"/>
  </cols>
  <sheetData>
    <row r="1" ht="15.75" customHeight="1" spans="1:14" x14ac:dyDescent="0.25">
      <c r="A1" s="105" t="s">
        <v>69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</row>
    <row r="2" ht="30.75" customHeight="1" spans="1:15" x14ac:dyDescent="0.25">
      <c r="A2" s="122" t="s">
        <v>0</v>
      </c>
      <c r="B2" s="123" t="s">
        <v>167</v>
      </c>
      <c r="C2" s="123" t="s">
        <v>168</v>
      </c>
      <c r="D2" s="123" t="s">
        <v>169</v>
      </c>
      <c r="E2" s="123" t="s">
        <v>170</v>
      </c>
      <c r="F2" s="123" t="s">
        <v>171</v>
      </c>
      <c r="G2" s="123" t="s">
        <v>172</v>
      </c>
      <c r="H2" s="123" t="s">
        <v>173</v>
      </c>
      <c r="I2" s="123" t="s">
        <v>171</v>
      </c>
      <c r="J2" s="124" t="s">
        <v>172</v>
      </c>
      <c r="K2" s="106" t="s">
        <v>174</v>
      </c>
      <c r="L2" s="109" t="s">
        <v>175</v>
      </c>
      <c r="M2" s="109" t="s">
        <v>184</v>
      </c>
      <c r="N2" s="107" t="s">
        <v>177</v>
      </c>
      <c r="O2" s="114"/>
    </row>
    <row r="3" spans="1:14" x14ac:dyDescent="0.25">
      <c r="A3" s="125" t="s">
        <v>178</v>
      </c>
      <c r="B3" s="126"/>
      <c r="C3" s="126"/>
      <c r="D3" s="126"/>
      <c r="E3" s="126"/>
      <c r="F3" s="126"/>
      <c r="G3" s="126"/>
      <c r="H3" s="126"/>
      <c r="I3" s="126"/>
      <c r="J3" s="126"/>
      <c r="K3" s="127">
        <v>4248603.5600000005</v>
      </c>
      <c r="L3" s="112"/>
      <c r="M3">
        <v>4248603.5600000005</v>
      </c>
      <c r="N3" s="113"/>
    </row>
    <row r="4" spans="1:14" x14ac:dyDescent="0.25">
      <c r="A4" s="115">
        <v>1</v>
      </c>
      <c r="B4" s="116">
        <v>46296</v>
      </c>
      <c r="C4" s="37"/>
      <c r="D4" s="128"/>
      <c r="E4" s="129">
        <v>1000</v>
      </c>
      <c r="F4" s="130">
        <v>103.82</v>
      </c>
      <c r="G4" s="120">
        <f>E4*F4</f>
        <v>103820</v>
      </c>
      <c r="H4" s="37"/>
      <c r="I4" s="37"/>
      <c r="J4" s="37">
        <f>H4*I4</f>
        <v>0</v>
      </c>
      <c r="K4" s="120">
        <f>G4+J4</f>
        <v>103820</v>
      </c>
      <c r="L4" s="37"/>
      <c r="M4" s="118">
        <f>M3+K4-L4</f>
        <v>4352423.5600000005</v>
      </c>
      <c r="N4" s="37"/>
    </row>
    <row r="5" spans="1:14" x14ac:dyDescent="0.25">
      <c r="A5" s="115">
        <v>2</v>
      </c>
      <c r="B5" s="116">
        <v>46297</v>
      </c>
      <c r="C5" s="37"/>
      <c r="D5" s="128"/>
      <c r="E5" s="129">
        <f>1000+700</f>
        <v>1700</v>
      </c>
      <c r="F5" s="130">
        <v>103.82</v>
      </c>
      <c r="G5" s="120">
        <f t="shared" ref="G5:G37" si="0">E5*F5</f>
        <v>176494</v>
      </c>
      <c r="H5" s="37"/>
      <c r="I5" s="37"/>
      <c r="J5" s="37">
        <f t="shared" ref="J5:J36" si="1">H5*I5</f>
        <v>0</v>
      </c>
      <c r="K5" s="120">
        <f t="shared" ref="K5:K37" si="2">G5+J5</f>
        <v>176494</v>
      </c>
      <c r="L5" s="37"/>
      <c r="M5" s="118">
        <f t="shared" ref="M5:M19" si="3">M4+K5-L5</f>
        <v>4528917.5600000005</v>
      </c>
      <c r="N5" s="37"/>
    </row>
    <row r="6" spans="1:14" x14ac:dyDescent="0.25">
      <c r="A6" s="115">
        <v>3</v>
      </c>
      <c r="B6" s="116">
        <v>46298</v>
      </c>
      <c r="C6" s="37"/>
      <c r="D6" s="128"/>
      <c r="E6" s="129">
        <f>2700+2500</f>
        <v>5200</v>
      </c>
      <c r="F6" s="130">
        <v>103.82</v>
      </c>
      <c r="G6" s="120">
        <f t="shared" ref="G6:G37" si="4">E6*F6</f>
        <v>539864</v>
      </c>
      <c r="H6" s="37"/>
      <c r="I6" s="37"/>
      <c r="J6" s="37">
        <f t="shared" ref="J6:J37" si="5">H6*I6</f>
        <v>0</v>
      </c>
      <c r="K6" s="120">
        <f t="shared" ref="K6:L37" si="6">G6+J6</f>
        <v>539864</v>
      </c>
      <c r="L6" s="37"/>
      <c r="M6" s="118">
        <f t="shared" si="3"/>
        <v>5068781.5600000005</v>
      </c>
      <c r="N6" s="37"/>
    </row>
    <row r="7" spans="1:14" x14ac:dyDescent="0.25">
      <c r="A7" s="115">
        <v>4</v>
      </c>
      <c r="B7" s="116">
        <v>46299</v>
      </c>
      <c r="C7" s="37"/>
      <c r="D7" s="128"/>
      <c r="E7" s="129">
        <v>2700</v>
      </c>
      <c r="F7" s="130">
        <v>103.82</v>
      </c>
      <c r="G7" s="120">
        <f t="shared" si="4"/>
        <v>280314</v>
      </c>
      <c r="H7" s="37"/>
      <c r="I7" s="37"/>
      <c r="J7" s="37">
        <f t="shared" si="5"/>
        <v>0</v>
      </c>
      <c r="K7" s="120">
        <f t="shared" si="6"/>
        <v>280314</v>
      </c>
      <c r="L7" s="120"/>
      <c r="M7" s="118">
        <f t="shared" si="3"/>
        <v>5349095.5600000005</v>
      </c>
      <c r="N7" s="37"/>
    </row>
    <row r="8" spans="1:14" x14ac:dyDescent="0.25">
      <c r="A8" s="115">
        <v>5</v>
      </c>
      <c r="B8" s="116">
        <v>46300</v>
      </c>
      <c r="C8" s="37"/>
      <c r="D8" s="128"/>
      <c r="E8" s="131"/>
      <c r="F8" s="130"/>
      <c r="G8" s="120">
        <f t="shared" si="4"/>
        <v>0</v>
      </c>
      <c r="H8" s="37"/>
      <c r="I8" s="37"/>
      <c r="J8" s="37">
        <f t="shared" si="5"/>
        <v>0</v>
      </c>
      <c r="K8" s="120">
        <f t="shared" si="6"/>
        <v>0</v>
      </c>
      <c r="L8" s="37"/>
      <c r="M8" s="118">
        <f t="shared" si="3"/>
        <v>5349095.5600000005</v>
      </c>
      <c r="N8" s="37"/>
    </row>
    <row r="9" spans="1:14" x14ac:dyDescent="0.25">
      <c r="A9" s="115">
        <v>6</v>
      </c>
      <c r="B9" s="116">
        <v>46301</v>
      </c>
      <c r="C9" s="37"/>
      <c r="D9" s="128"/>
      <c r="E9" s="131">
        <v>2700</v>
      </c>
      <c r="F9" s="130">
        <v>103.82</v>
      </c>
      <c r="G9" s="120">
        <f t="shared" si="4"/>
        <v>280314</v>
      </c>
      <c r="H9" s="37">
        <v>90</v>
      </c>
      <c r="I9" s="37">
        <v>115.72</v>
      </c>
      <c r="J9" s="37">
        <f t="shared" si="5"/>
        <v>10414.8</v>
      </c>
      <c r="K9" s="120">
        <f t="shared" si="6"/>
        <v>290728.8</v>
      </c>
      <c r="L9" s="37"/>
      <c r="M9" s="118">
        <f t="shared" si="3"/>
        <v>5639824.36</v>
      </c>
      <c r="N9" s="132"/>
    </row>
    <row r="10" spans="1:14" x14ac:dyDescent="0.25">
      <c r="A10" s="115">
        <v>7</v>
      </c>
      <c r="B10" s="116">
        <v>46302</v>
      </c>
      <c r="C10" s="37"/>
      <c r="D10" s="128"/>
      <c r="E10" s="131">
        <v>2700</v>
      </c>
      <c r="F10" s="130">
        <v>103.82</v>
      </c>
      <c r="G10" s="120">
        <f t="shared" si="4"/>
        <v>280314</v>
      </c>
      <c r="H10" s="37">
        <v>40</v>
      </c>
      <c r="I10" s="37">
        <v>115.72</v>
      </c>
      <c r="J10" s="37">
        <f t="shared" si="5"/>
        <v>4628.8</v>
      </c>
      <c r="K10" s="120">
        <f t="shared" si="6"/>
        <v>284942.8</v>
      </c>
      <c r="L10" s="37"/>
      <c r="M10" s="118">
        <f t="shared" si="3"/>
        <v>5924767.16</v>
      </c>
      <c r="N10" s="132"/>
    </row>
    <row r="11" spans="1:14" x14ac:dyDescent="0.25">
      <c r="A11" s="115">
        <v>8</v>
      </c>
      <c r="B11" s="116">
        <v>46303</v>
      </c>
      <c r="C11" s="37"/>
      <c r="D11" s="128"/>
      <c r="E11" s="131"/>
      <c r="F11" s="130"/>
      <c r="G11" s="120">
        <f t="shared" si="4"/>
        <v>0</v>
      </c>
      <c r="H11" s="37"/>
      <c r="I11" s="37"/>
      <c r="J11" s="37">
        <f t="shared" si="5"/>
        <v>0</v>
      </c>
      <c r="K11" s="120">
        <f t="shared" si="6"/>
        <v>0</v>
      </c>
      <c r="M11" s="111">
        <f t="shared" si="3"/>
        <v>5924767.16</v>
      </c>
      <c r="N11" s="37"/>
    </row>
    <row r="12" spans="1:14" x14ac:dyDescent="0.25">
      <c r="A12" s="115">
        <v>9</v>
      </c>
      <c r="B12" s="116">
        <v>46304</v>
      </c>
      <c r="C12" s="37"/>
      <c r="D12" s="128"/>
      <c r="E12" s="131"/>
      <c r="F12" s="130"/>
      <c r="G12" s="120">
        <f t="shared" si="4"/>
        <v>0</v>
      </c>
      <c r="H12" s="37"/>
      <c r="I12" s="37"/>
      <c r="J12" s="37">
        <f t="shared" si="5"/>
        <v>0</v>
      </c>
      <c r="K12" s="133">
        <f t="shared" si="6"/>
        <v>0</v>
      </c>
      <c r="L12" s="37"/>
      <c r="M12" s="118">
        <f t="shared" si="3"/>
        <v>5924767.16</v>
      </c>
      <c r="N12" s="134"/>
    </row>
    <row r="13" spans="1:22" x14ac:dyDescent="0.25">
      <c r="A13" s="115">
        <v>10</v>
      </c>
      <c r="B13" s="116">
        <v>46305</v>
      </c>
      <c r="C13" s="37"/>
      <c r="D13" s="128"/>
      <c r="E13" s="131">
        <v>5300</v>
      </c>
      <c r="F13" s="130">
        <v>103.82</v>
      </c>
      <c r="G13" s="120">
        <f t="shared" si="4"/>
        <v>550246</v>
      </c>
      <c r="H13" s="37"/>
      <c r="I13" s="37"/>
      <c r="J13" s="37">
        <f t="shared" si="5"/>
        <v>0</v>
      </c>
      <c r="K13" s="133">
        <f t="shared" si="6"/>
        <v>550246</v>
      </c>
      <c r="L13" s="37"/>
      <c r="M13" s="118">
        <f t="shared" si="3"/>
        <v>6475013.16</v>
      </c>
      <c r="N13" s="134"/>
      <c r="V13">
        <v>250000</v>
      </c>
    </row>
    <row r="14" spans="1:22" x14ac:dyDescent="0.25">
      <c r="A14" s="115">
        <v>11</v>
      </c>
      <c r="B14" s="116">
        <v>46306</v>
      </c>
      <c r="C14" s="37"/>
      <c r="D14" s="128"/>
      <c r="E14" s="131"/>
      <c r="F14" s="130"/>
      <c r="G14" s="120">
        <f t="shared" si="4"/>
        <v>0</v>
      </c>
      <c r="H14" s="37"/>
      <c r="I14" s="37"/>
      <c r="J14" s="37">
        <f t="shared" si="5"/>
        <v>0</v>
      </c>
      <c r="K14" s="133">
        <f t="shared" si="6"/>
        <v>0</v>
      </c>
      <c r="L14" s="37"/>
      <c r="M14" s="118">
        <f t="shared" si="3"/>
        <v>6475013.16</v>
      </c>
      <c r="N14" s="134"/>
      <c r="V14">
        <v>70000</v>
      </c>
    </row>
    <row r="15" spans="1:22" x14ac:dyDescent="0.25">
      <c r="A15" s="115">
        <v>12</v>
      </c>
      <c r="B15" s="116">
        <v>46307</v>
      </c>
      <c r="C15" s="37"/>
      <c r="D15" s="128"/>
      <c r="E15" s="131"/>
      <c r="F15" s="130"/>
      <c r="G15" s="120">
        <f t="shared" si="4"/>
        <v>0</v>
      </c>
      <c r="H15" s="37"/>
      <c r="I15" s="37"/>
      <c r="J15" s="37">
        <f t="shared" si="5"/>
        <v>0</v>
      </c>
      <c r="K15" s="120">
        <f t="shared" si="6"/>
        <v>0</v>
      </c>
      <c r="L15" s="120"/>
      <c r="M15" s="135">
        <f t="shared" si="3"/>
        <v>6475013.16</v>
      </c>
      <c r="N15" s="134"/>
      <c r="V15">
        <v>46366</v>
      </c>
    </row>
    <row r="16" spans="1:14" x14ac:dyDescent="0.25">
      <c r="A16" s="115">
        <v>13</v>
      </c>
      <c r="B16" s="116">
        <v>46308</v>
      </c>
      <c r="C16" s="37"/>
      <c r="D16" s="128"/>
      <c r="E16" s="131">
        <v>2800</v>
      </c>
      <c r="F16" s="130">
        <v>103.82</v>
      </c>
      <c r="G16" s="120">
        <f t="shared" si="4"/>
        <v>290696</v>
      </c>
      <c r="H16" s="37"/>
      <c r="I16" s="37"/>
      <c r="J16" s="37">
        <f t="shared" si="5"/>
        <v>0</v>
      </c>
      <c r="K16" s="120">
        <f t="shared" si="6"/>
        <v>290696</v>
      </c>
      <c r="L16" s="37"/>
      <c r="M16" s="118">
        <f t="shared" si="3"/>
        <v>6765709.16</v>
      </c>
      <c r="N16" s="37"/>
    </row>
    <row r="17" spans="1:14" x14ac:dyDescent="0.25">
      <c r="A17" s="115">
        <v>14</v>
      </c>
      <c r="B17" s="116">
        <v>46309</v>
      </c>
      <c r="C17" s="37"/>
      <c r="D17" s="128"/>
      <c r="E17" s="131">
        <v>2600</v>
      </c>
      <c r="F17" s="130">
        <v>103.82</v>
      </c>
      <c r="G17" s="120">
        <f t="shared" si="4"/>
        <v>269932</v>
      </c>
      <c r="H17" s="37"/>
      <c r="I17" s="37"/>
      <c r="J17" s="37">
        <f t="shared" si="5"/>
        <v>0</v>
      </c>
      <c r="K17" s="120">
        <f t="shared" si="6"/>
        <v>269932</v>
      </c>
      <c r="L17" s="37"/>
      <c r="M17" s="118">
        <f t="shared" si="3"/>
        <v>7035641.16</v>
      </c>
      <c r="N17" s="37"/>
    </row>
    <row r="18" spans="1:14" x14ac:dyDescent="0.25">
      <c r="A18" s="115">
        <v>15</v>
      </c>
      <c r="B18" s="116">
        <v>46310</v>
      </c>
      <c r="C18" s="37"/>
      <c r="D18" s="128"/>
      <c r="E18" s="131">
        <v>2900</v>
      </c>
      <c r="F18" s="130">
        <v>103.82</v>
      </c>
      <c r="G18" s="120">
        <f t="shared" si="4"/>
        <v>301078</v>
      </c>
      <c r="H18" s="37"/>
      <c r="I18" s="37"/>
      <c r="J18" s="37">
        <f t="shared" si="5"/>
        <v>0</v>
      </c>
      <c r="K18" s="120">
        <f t="shared" si="6"/>
        <v>301078</v>
      </c>
      <c r="L18" s="37">
        <v>2000000</v>
      </c>
      <c r="M18" s="118">
        <f t="shared" si="3"/>
        <v>5336719.16</v>
      </c>
      <c r="N18" s="37"/>
    </row>
    <row r="19" spans="1:14" x14ac:dyDescent="0.25">
      <c r="A19" s="115">
        <v>16</v>
      </c>
      <c r="B19" s="116">
        <v>46311</v>
      </c>
      <c r="C19" s="37"/>
      <c r="D19" s="128"/>
      <c r="E19" s="131"/>
      <c r="F19" s="130"/>
      <c r="G19" s="120">
        <f t="shared" si="4"/>
        <v>0</v>
      </c>
      <c r="H19" s="37"/>
      <c r="I19" s="37"/>
      <c r="J19" s="37">
        <f t="shared" si="5"/>
        <v>0</v>
      </c>
      <c r="K19" s="120">
        <f t="shared" si="6"/>
        <v>0</v>
      </c>
      <c r="L19" s="37"/>
      <c r="M19" s="118">
        <f t="shared" si="3"/>
        <v>5336719.16</v>
      </c>
      <c r="N19" s="37"/>
    </row>
    <row r="20" spans="1:14" x14ac:dyDescent="0.25">
      <c r="A20" s="115">
        <v>17</v>
      </c>
      <c r="B20" s="116">
        <v>46312</v>
      </c>
      <c r="C20" s="37"/>
      <c r="D20" s="128"/>
      <c r="E20" s="131"/>
      <c r="F20" s="130"/>
      <c r="G20" s="120">
        <f t="shared" si="4"/>
        <v>0</v>
      </c>
      <c r="H20" s="37"/>
      <c r="I20" s="37"/>
      <c r="J20" s="37">
        <f t="shared" si="5"/>
        <v>0</v>
      </c>
      <c r="K20" s="120">
        <f t="shared" si="6"/>
        <v>0</v>
      </c>
      <c r="L20" s="37"/>
      <c r="M20" s="118">
        <f t="shared" ref="M20:M37" si="7">M19+K20-L20</f>
        <v>5336719.16</v>
      </c>
      <c r="N20" s="37"/>
    </row>
    <row r="21" spans="1:14" x14ac:dyDescent="0.25">
      <c r="A21" s="115">
        <v>18</v>
      </c>
      <c r="B21" s="116">
        <v>46313</v>
      </c>
      <c r="C21" s="37"/>
      <c r="D21" s="128"/>
      <c r="E21" s="131"/>
      <c r="F21" s="130"/>
      <c r="G21" s="120">
        <f t="shared" si="4"/>
        <v>0</v>
      </c>
      <c r="H21" s="37"/>
      <c r="I21" s="37"/>
      <c r="J21" s="37">
        <f t="shared" si="5"/>
        <v>0</v>
      </c>
      <c r="K21" s="120">
        <f t="shared" si="6"/>
        <v>0</v>
      </c>
      <c r="L21" s="37"/>
      <c r="M21" s="118">
        <f t="shared" si="7"/>
        <v>5336719.16</v>
      </c>
      <c r="N21" s="37"/>
    </row>
    <row r="22" spans="1:14" x14ac:dyDescent="0.25">
      <c r="A22" s="115">
        <v>19</v>
      </c>
      <c r="B22" s="116">
        <v>46314</v>
      </c>
      <c r="C22" s="37"/>
      <c r="D22" s="128"/>
      <c r="E22" s="131"/>
      <c r="F22" s="130"/>
      <c r="G22" s="120">
        <f t="shared" si="4"/>
        <v>0</v>
      </c>
      <c r="H22" s="37"/>
      <c r="I22" s="37"/>
      <c r="J22" s="37">
        <f t="shared" si="5"/>
        <v>0</v>
      </c>
      <c r="K22" s="120">
        <f t="shared" si="6"/>
        <v>0</v>
      </c>
      <c r="L22" s="37"/>
      <c r="M22" s="118">
        <f t="shared" si="7"/>
        <v>5336719.16</v>
      </c>
      <c r="N22" s="37"/>
    </row>
    <row r="23" spans="1:14" x14ac:dyDescent="0.25">
      <c r="A23" s="115">
        <v>20</v>
      </c>
      <c r="B23" s="116">
        <v>46315</v>
      </c>
      <c r="C23" s="37"/>
      <c r="D23" s="128"/>
      <c r="E23" s="131"/>
      <c r="F23" s="130"/>
      <c r="G23" s="120">
        <f t="shared" si="4"/>
        <v>0</v>
      </c>
      <c r="H23" s="37"/>
      <c r="I23" s="37"/>
      <c r="J23" s="37">
        <f t="shared" si="5"/>
        <v>0</v>
      </c>
      <c r="K23" s="120">
        <f t="shared" si="6"/>
        <v>0</v>
      </c>
      <c r="L23" s="37"/>
      <c r="M23" s="118">
        <f t="shared" si="7"/>
        <v>5336719.16</v>
      </c>
      <c r="N23" s="37"/>
    </row>
    <row r="24" spans="1:14" x14ac:dyDescent="0.25">
      <c r="A24" s="115">
        <v>21</v>
      </c>
      <c r="B24" s="116">
        <v>46316</v>
      </c>
      <c r="C24" s="37"/>
      <c r="D24" s="128"/>
      <c r="E24" s="131"/>
      <c r="F24" s="130"/>
      <c r="G24" s="120">
        <f t="shared" si="4"/>
        <v>0</v>
      </c>
      <c r="H24" s="37"/>
      <c r="I24" s="37"/>
      <c r="J24" s="37">
        <f t="shared" si="5"/>
        <v>0</v>
      </c>
      <c r="K24" s="120">
        <f t="shared" si="6"/>
        <v>0</v>
      </c>
      <c r="L24" s="37"/>
      <c r="M24" s="118">
        <f t="shared" si="7"/>
        <v>5336719.16</v>
      </c>
      <c r="N24" s="37"/>
    </row>
    <row r="25" spans="1:14" x14ac:dyDescent="0.25">
      <c r="A25" s="115"/>
      <c r="B25" s="116">
        <v>46317</v>
      </c>
      <c r="C25" s="37"/>
      <c r="D25" s="128"/>
      <c r="E25" s="131"/>
      <c r="F25" s="130"/>
      <c r="G25" s="120">
        <f t="shared" si="4"/>
        <v>0</v>
      </c>
      <c r="H25" s="37"/>
      <c r="I25" s="37"/>
      <c r="J25" s="37"/>
      <c r="K25" s="120">
        <f t="shared" si="6"/>
        <v>0</v>
      </c>
      <c r="L25" s="37"/>
      <c r="M25" s="118">
        <f t="shared" si="7"/>
        <v>5336719.16</v>
      </c>
      <c r="N25" s="37"/>
    </row>
    <row r="26" spans="1:14" x14ac:dyDescent="0.25">
      <c r="A26" s="115">
        <v>22</v>
      </c>
      <c r="B26" s="116">
        <v>46318</v>
      </c>
      <c r="C26" s="37"/>
      <c r="D26" s="128"/>
      <c r="E26" s="129"/>
      <c r="F26" s="130"/>
      <c r="G26" s="120">
        <f t="shared" si="4"/>
        <v>0</v>
      </c>
      <c r="H26" s="37"/>
      <c r="I26" s="37"/>
      <c r="J26" s="37">
        <f t="shared" si="5"/>
        <v>0</v>
      </c>
      <c r="K26" s="120">
        <f t="shared" si="6"/>
        <v>0</v>
      </c>
      <c r="L26" s="37"/>
      <c r="M26" s="118">
        <f t="shared" si="7"/>
        <v>5336719.16</v>
      </c>
      <c r="N26" s="37"/>
    </row>
    <row r="27" spans="1:14" x14ac:dyDescent="0.25">
      <c r="A27" s="115">
        <v>23</v>
      </c>
      <c r="B27" s="116">
        <v>46319</v>
      </c>
      <c r="C27" s="37"/>
      <c r="D27" s="128"/>
      <c r="E27" s="129"/>
      <c r="F27" s="130"/>
      <c r="G27" s="120">
        <f t="shared" si="4"/>
        <v>0</v>
      </c>
      <c r="H27" s="37"/>
      <c r="I27" s="37"/>
      <c r="J27" s="37">
        <f t="shared" si="5"/>
        <v>0</v>
      </c>
      <c r="K27" s="120">
        <f t="shared" si="6"/>
        <v>0</v>
      </c>
      <c r="L27" s="37"/>
      <c r="M27" s="118">
        <f t="shared" si="7"/>
        <v>5336719.16</v>
      </c>
      <c r="N27" s="37"/>
    </row>
    <row r="28" spans="1:14" x14ac:dyDescent="0.25">
      <c r="A28" s="115">
        <v>24</v>
      </c>
      <c r="B28" s="116">
        <v>46320</v>
      </c>
      <c r="C28" s="37"/>
      <c r="D28" s="128"/>
      <c r="E28" s="129"/>
      <c r="F28" s="130"/>
      <c r="G28" s="120">
        <f t="shared" si="4"/>
        <v>0</v>
      </c>
      <c r="H28" s="37"/>
      <c r="I28" s="37"/>
      <c r="J28" s="37">
        <f t="shared" si="5"/>
        <v>0</v>
      </c>
      <c r="K28" s="120">
        <f t="shared" si="6"/>
        <v>0</v>
      </c>
      <c r="L28" s="37"/>
      <c r="M28" s="118">
        <f t="shared" si="7"/>
        <v>5336719.16</v>
      </c>
      <c r="N28" s="37"/>
    </row>
    <row r="29" spans="1:14" x14ac:dyDescent="0.25">
      <c r="A29" s="115">
        <v>25</v>
      </c>
      <c r="B29" s="116">
        <v>46321</v>
      </c>
      <c r="C29" s="37"/>
      <c r="D29" s="128"/>
      <c r="E29" s="131"/>
      <c r="F29" s="130"/>
      <c r="G29" s="120">
        <f t="shared" si="4"/>
        <v>0</v>
      </c>
      <c r="H29" s="37"/>
      <c r="I29" s="37"/>
      <c r="J29" s="37">
        <f t="shared" si="5"/>
        <v>0</v>
      </c>
      <c r="K29" s="120">
        <f t="shared" si="6"/>
        <v>0</v>
      </c>
      <c r="L29" s="37"/>
      <c r="M29" s="118">
        <f t="shared" si="7"/>
        <v>5336719.16</v>
      </c>
      <c r="N29" s="37"/>
    </row>
    <row r="30" spans="1:14" x14ac:dyDescent="0.25">
      <c r="A30" s="115">
        <v>26</v>
      </c>
      <c r="B30" s="116">
        <v>46322</v>
      </c>
      <c r="C30" s="37"/>
      <c r="D30" s="128"/>
      <c r="E30" s="129"/>
      <c r="F30" s="130"/>
      <c r="G30" s="120">
        <f t="shared" si="4"/>
        <v>0</v>
      </c>
      <c r="H30" s="37"/>
      <c r="I30" s="37"/>
      <c r="J30" s="37">
        <f t="shared" si="5"/>
        <v>0</v>
      </c>
      <c r="K30" s="120">
        <f t="shared" si="6"/>
        <v>0</v>
      </c>
      <c r="L30" s="37"/>
      <c r="M30" s="118">
        <f t="shared" si="7"/>
        <v>5336719.16</v>
      </c>
      <c r="N30" s="37"/>
    </row>
    <row r="31" spans="1:14" x14ac:dyDescent="0.25">
      <c r="A31" s="115">
        <v>27</v>
      </c>
      <c r="B31" s="116">
        <v>46323</v>
      </c>
      <c r="C31" s="37"/>
      <c r="D31" s="128"/>
      <c r="E31" s="129"/>
      <c r="F31" s="130"/>
      <c r="G31" s="120">
        <f t="shared" si="4"/>
        <v>0</v>
      </c>
      <c r="H31" s="37"/>
      <c r="I31" s="37"/>
      <c r="J31" s="37">
        <f t="shared" si="5"/>
        <v>0</v>
      </c>
      <c r="K31" s="120">
        <f t="shared" si="6"/>
        <v>0</v>
      </c>
      <c r="L31" s="37"/>
      <c r="M31" s="118">
        <f t="shared" si="7"/>
        <v>5336719.16</v>
      </c>
      <c r="N31" s="37"/>
    </row>
    <row r="32" spans="1:14" x14ac:dyDescent="0.25">
      <c r="A32" s="115">
        <v>28</v>
      </c>
      <c r="B32" s="116">
        <v>46324</v>
      </c>
      <c r="C32" s="37"/>
      <c r="D32" s="128"/>
      <c r="E32" s="131"/>
      <c r="F32" s="130"/>
      <c r="G32" s="120">
        <f t="shared" si="4"/>
        <v>0</v>
      </c>
      <c r="H32" s="37"/>
      <c r="I32" s="37"/>
      <c r="J32" s="37">
        <f t="shared" si="5"/>
        <v>0</v>
      </c>
      <c r="K32" s="120">
        <f t="shared" si="6"/>
        <v>0</v>
      </c>
      <c r="L32" s="37"/>
      <c r="M32" s="118">
        <f t="shared" si="7"/>
        <v>5336719.16</v>
      </c>
      <c r="N32" s="37"/>
    </row>
    <row r="33" spans="1:14" x14ac:dyDescent="0.25">
      <c r="A33" s="115">
        <v>29</v>
      </c>
      <c r="B33" s="116">
        <v>46325</v>
      </c>
      <c r="C33" s="37"/>
      <c r="D33" s="128"/>
      <c r="E33" s="131"/>
      <c r="F33" s="130"/>
      <c r="G33" s="120">
        <f t="shared" si="4"/>
        <v>0</v>
      </c>
      <c r="H33" s="37"/>
      <c r="I33" s="37"/>
      <c r="J33" s="37">
        <f t="shared" si="5"/>
        <v>0</v>
      </c>
      <c r="K33" s="120">
        <f t="shared" si="6"/>
        <v>0</v>
      </c>
      <c r="L33" s="37"/>
      <c r="M33" s="118">
        <f t="shared" si="7"/>
        <v>5336719.16</v>
      </c>
      <c r="N33" s="37"/>
    </row>
    <row r="34" spans="1:14" x14ac:dyDescent="0.25">
      <c r="A34" s="115">
        <v>30</v>
      </c>
      <c r="B34" s="116">
        <v>46326</v>
      </c>
      <c r="C34" s="37"/>
      <c r="D34" s="128"/>
      <c r="E34" s="131"/>
      <c r="F34" s="130"/>
      <c r="G34" s="120">
        <f t="shared" si="4"/>
        <v>0</v>
      </c>
      <c r="H34" s="37"/>
      <c r="I34" s="37"/>
      <c r="J34" s="37">
        <f t="shared" si="5"/>
        <v>0</v>
      </c>
      <c r="K34" s="120">
        <f t="shared" si="6"/>
        <v>0</v>
      </c>
      <c r="L34" s="37"/>
      <c r="M34" s="118">
        <f t="shared" si="7"/>
        <v>5336719.16</v>
      </c>
      <c r="N34" s="37"/>
    </row>
    <row r="35" spans="1:14" x14ac:dyDescent="0.25">
      <c r="A35" s="115">
        <v>31</v>
      </c>
      <c r="B35" s="116">
        <v>46327</v>
      </c>
      <c r="C35" s="37"/>
      <c r="D35" s="128"/>
      <c r="E35" s="131"/>
      <c r="F35" s="130"/>
      <c r="G35" s="120">
        <f t="shared" si="4"/>
        <v>0</v>
      </c>
      <c r="H35" s="37"/>
      <c r="I35" s="37"/>
      <c r="J35" s="37">
        <f t="shared" si="5"/>
        <v>0</v>
      </c>
      <c r="K35" s="120">
        <f t="shared" si="6"/>
        <v>0</v>
      </c>
      <c r="L35" s="37"/>
      <c r="M35" s="118">
        <f t="shared" si="7"/>
        <v>5336719.16</v>
      </c>
      <c r="N35" s="37"/>
    </row>
    <row r="36" spans="1:14" x14ac:dyDescent="0.25">
      <c r="A36" s="115">
        <v>32</v>
      </c>
      <c r="B36" s="116"/>
      <c r="C36" s="37"/>
      <c r="D36" s="128"/>
      <c r="E36" s="131"/>
      <c r="F36" s="130"/>
      <c r="G36" s="120">
        <f t="shared" si="4"/>
        <v>0</v>
      </c>
      <c r="H36" s="37"/>
      <c r="I36" s="37"/>
      <c r="J36" s="37">
        <f t="shared" si="5"/>
        <v>0</v>
      </c>
      <c r="K36" s="120">
        <f t="shared" si="6"/>
        <v>0</v>
      </c>
      <c r="L36" s="37"/>
      <c r="M36" s="118">
        <f t="shared" si="7"/>
        <v>5336719.16</v>
      </c>
      <c r="N36" s="37"/>
    </row>
    <row r="37" spans="1:14" x14ac:dyDescent="0.25">
      <c r="A37" s="115">
        <v>33</v>
      </c>
      <c r="B37" s="116"/>
      <c r="C37" s="37"/>
      <c r="D37" s="128"/>
      <c r="E37" s="131"/>
      <c r="F37" s="130"/>
      <c r="G37" s="120">
        <f t="shared" si="4"/>
        <v>0</v>
      </c>
      <c r="H37" s="37"/>
      <c r="I37" s="37"/>
      <c r="J37" s="37">
        <f t="shared" si="5"/>
        <v>0</v>
      </c>
      <c r="K37" s="120">
        <f t="shared" si="6"/>
        <v>0</v>
      </c>
      <c r="L37" s="37"/>
      <c r="M37" s="118">
        <f t="shared" si="7"/>
        <v>5336719.16</v>
      </c>
      <c r="N37" s="37"/>
    </row>
    <row r="38" spans="1:14" x14ac:dyDescent="0.25">
      <c r="A38" s="115"/>
      <c r="B38" s="116"/>
      <c r="C38" s="37"/>
      <c r="D38" s="128"/>
      <c r="E38" s="131"/>
      <c r="F38" s="130"/>
      <c r="G38" s="120"/>
      <c r="H38" s="37"/>
      <c r="I38" s="37"/>
      <c r="J38" s="37"/>
      <c r="K38" s="37"/>
      <c r="L38" s="37"/>
      <c r="M38" s="118"/>
      <c r="N38" s="37"/>
    </row>
    <row r="39" spans="1:14" x14ac:dyDescent="0.25">
      <c r="A39" s="121"/>
      <c r="B39" s="121"/>
      <c r="C39" s="121"/>
      <c r="D39" s="121"/>
      <c r="E39" s="136">
        <f>SUM(E4:E37)</f>
        <v>29600</v>
      </c>
      <c r="F39" s="136"/>
      <c r="G39" s="136">
        <f>SUM(G4:G37)</f>
        <v>3073072</v>
      </c>
      <c r="H39" s="136">
        <f>SUM(H4:H37)</f>
        <v>130</v>
      </c>
      <c r="I39" s="136"/>
      <c r="J39" s="136">
        <f>SUM(J4:J37)</f>
        <v>15043.599999999999</v>
      </c>
      <c r="K39" s="136">
        <f>SUM(K4:K37)</f>
        <v>3088115.6</v>
      </c>
      <c r="L39" s="136">
        <f>SUM(L4:L37)</f>
        <v>2000000</v>
      </c>
      <c r="M39" s="136"/>
      <c r="N39" s="136"/>
    </row>
    <row r="43" spans="13:13" x14ac:dyDescent="0.25">
      <c r="M43" s="114"/>
    </row>
  </sheetData>
  <mergeCells count="2">
    <mergeCell ref="A1:N1"/>
    <mergeCell ref="A3:J3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R38"/>
  <sheetViews>
    <sheetView workbookViewId="0" zoomScale="100" zoomScaleNormal="100">
      <pane ySplit="2" topLeftCell="A3" activePane="bottomLeft" state="frozen"/>
      <selection pane="bottomLeft" activeCell="L18" sqref="L18"/>
    </sheetView>
  </sheetViews>
  <sheetFormatPr defaultRowHeight="15" outlineLevelRow="0" outlineLevelCol="0" x14ac:dyDescent="0"/>
  <cols>
    <col min="2" max="2" width="10.5703125" customWidth="1"/>
    <col min="4" max="4" width="14" customWidth="1"/>
    <col min="5" max="5" width="16.85546875" customWidth="1"/>
    <col min="6" max="6" width="10.42578125" customWidth="1"/>
    <col min="7" max="7" width="13.85546875" customWidth="1"/>
    <col min="10" max="10" width="9.28515625" customWidth="1"/>
    <col min="11" max="11" width="13" customWidth="1"/>
    <col min="12" max="12" width="16.42578125" customWidth="1"/>
    <col min="13" max="13" width="12.28515625" customWidth="1"/>
    <col min="14" max="14" width="10.85546875" customWidth="1"/>
    <col min="15" max="15" width="10.42578125" customWidth="1"/>
    <col min="16" max="16" width="12.140625" customWidth="1"/>
    <col min="18" max="18" width="13" customWidth="1"/>
  </cols>
  <sheetData>
    <row r="1" ht="15.75" customHeight="1" spans="1:14" x14ac:dyDescent="0.25">
      <c r="A1" s="105" t="s">
        <v>67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</row>
    <row r="2" ht="30" customHeight="1" spans="1:14" x14ac:dyDescent="0.25">
      <c r="A2" s="106" t="s">
        <v>0</v>
      </c>
      <c r="B2" s="107" t="s">
        <v>167</v>
      </c>
      <c r="C2" s="107" t="s">
        <v>168</v>
      </c>
      <c r="D2" s="107" t="s">
        <v>169</v>
      </c>
      <c r="E2" s="107" t="s">
        <v>170</v>
      </c>
      <c r="F2" s="107" t="s">
        <v>171</v>
      </c>
      <c r="G2" s="107" t="s">
        <v>172</v>
      </c>
      <c r="H2" s="107" t="s">
        <v>173</v>
      </c>
      <c r="I2" s="107" t="s">
        <v>171</v>
      </c>
      <c r="J2" s="108" t="s">
        <v>172</v>
      </c>
      <c r="K2" s="106" t="s">
        <v>174</v>
      </c>
      <c r="L2" s="109" t="s">
        <v>175</v>
      </c>
      <c r="M2" s="109" t="s">
        <v>184</v>
      </c>
      <c r="N2" s="107" t="s">
        <v>177</v>
      </c>
    </row>
    <row r="3" spans="1:15" x14ac:dyDescent="0.25">
      <c r="A3" s="110" t="s">
        <v>178</v>
      </c>
      <c r="B3" s="110"/>
      <c r="C3" s="110"/>
      <c r="D3" s="110"/>
      <c r="E3" s="110"/>
      <c r="F3" s="110"/>
      <c r="G3" s="110"/>
      <c r="H3" s="110"/>
      <c r="I3" s="110"/>
      <c r="J3" s="110"/>
      <c r="K3" s="111">
        <v>4131883.81</v>
      </c>
      <c r="L3" s="112"/>
      <c r="M3" s="111">
        <v>4131883.81</v>
      </c>
      <c r="N3" s="113"/>
      <c r="O3" s="114">
        <f>K3-M3</f>
        <v>0</v>
      </c>
    </row>
    <row r="4" spans="1:14" x14ac:dyDescent="0.25">
      <c r="A4" s="115">
        <v>1</v>
      </c>
      <c r="B4" s="116">
        <v>46296</v>
      </c>
      <c r="C4" s="37"/>
      <c r="D4" s="37"/>
      <c r="E4" s="37"/>
      <c r="F4" s="37"/>
      <c r="G4" s="37">
        <f>E4*F4</f>
        <v>0</v>
      </c>
      <c r="H4" s="117"/>
      <c r="I4" s="37"/>
      <c r="J4" s="37"/>
      <c r="K4" s="37">
        <f>G4+J4</f>
        <v>0</v>
      </c>
      <c r="L4" s="37"/>
      <c r="M4" s="118">
        <f>M3+K4-L4</f>
        <v>4131883.81</v>
      </c>
      <c r="N4" s="37"/>
    </row>
    <row r="5" spans="1:14" x14ac:dyDescent="0.25">
      <c r="A5" s="115">
        <v>2</v>
      </c>
      <c r="B5" s="116">
        <v>46297</v>
      </c>
      <c r="C5" s="37"/>
      <c r="D5" s="37"/>
      <c r="E5" s="37"/>
      <c r="F5" s="37"/>
      <c r="G5" s="37">
        <f t="shared" ref="G5:G33" si="0">E5*F5</f>
        <v>0</v>
      </c>
      <c r="H5" s="117"/>
      <c r="I5" s="37"/>
      <c r="J5" s="37"/>
      <c r="K5" s="37">
        <f>G5+J5</f>
        <v>0</v>
      </c>
      <c r="L5" s="37"/>
      <c r="M5" s="118">
        <f>M4+K5-L5</f>
        <v>4131883.81</v>
      </c>
      <c r="N5" s="37"/>
    </row>
    <row r="6" spans="1:14" x14ac:dyDescent="0.25">
      <c r="A6" s="115">
        <v>3</v>
      </c>
      <c r="B6" s="116">
        <v>46298</v>
      </c>
      <c r="C6" s="37"/>
      <c r="D6" s="37"/>
      <c r="E6" s="37"/>
      <c r="F6" s="37"/>
      <c r="G6" s="37">
        <f t="shared" si="0"/>
        <v>0</v>
      </c>
      <c r="H6" s="117"/>
      <c r="I6" s="37"/>
      <c r="J6" s="37"/>
      <c r="K6" s="37">
        <f t="shared" ref="K5:L33" si="1">G6+J6</f>
        <v>0</v>
      </c>
      <c r="L6" s="37"/>
      <c r="M6" s="118">
        <f t="shared" ref="M6:M8" si="2">M5+K6-L6</f>
        <v>4131883.81</v>
      </c>
      <c r="N6" s="37"/>
    </row>
    <row r="7" spans="1:14" x14ac:dyDescent="0.25">
      <c r="A7" s="115">
        <v>4</v>
      </c>
      <c r="B7" s="116">
        <v>46299</v>
      </c>
      <c r="C7" s="37"/>
      <c r="D7" s="37"/>
      <c r="E7" s="37"/>
      <c r="F7" s="37"/>
      <c r="G7" s="37">
        <f t="shared" si="0"/>
        <v>0</v>
      </c>
      <c r="H7" s="117"/>
      <c r="I7" s="37"/>
      <c r="J7" s="37"/>
      <c r="K7" s="37">
        <f t="shared" si="1"/>
        <v>0</v>
      </c>
      <c r="L7" s="37"/>
      <c r="M7" s="118">
        <f t="shared" si="2"/>
        <v>4131883.81</v>
      </c>
      <c r="N7" s="37"/>
    </row>
    <row r="8" spans="1:14" x14ac:dyDescent="0.25">
      <c r="A8" s="115">
        <v>5</v>
      </c>
      <c r="B8" s="116">
        <v>46300</v>
      </c>
      <c r="C8" s="37"/>
      <c r="D8" s="37"/>
      <c r="E8" s="37"/>
      <c r="F8" s="37"/>
      <c r="G8" s="37">
        <f t="shared" si="0"/>
        <v>0</v>
      </c>
      <c r="H8" s="117"/>
      <c r="I8" s="37"/>
      <c r="J8" s="37"/>
      <c r="K8" s="37">
        <f t="shared" si="1"/>
        <v>0</v>
      </c>
      <c r="L8" s="37"/>
      <c r="M8" s="118">
        <f t="shared" si="2"/>
        <v>4131883.81</v>
      </c>
      <c r="N8" s="37"/>
    </row>
    <row r="9" spans="1:14" x14ac:dyDescent="0.25">
      <c r="A9" s="115">
        <v>6</v>
      </c>
      <c r="B9" s="116">
        <v>46301</v>
      </c>
      <c r="C9" s="37"/>
      <c r="D9" s="37"/>
      <c r="E9" s="37"/>
      <c r="F9" s="37"/>
      <c r="G9" s="37">
        <f t="shared" si="0"/>
        <v>0</v>
      </c>
      <c r="H9" s="117"/>
      <c r="I9" s="37"/>
      <c r="J9" s="37"/>
      <c r="K9" s="37">
        <f t="shared" si="1"/>
        <v>0</v>
      </c>
      <c r="L9" s="37"/>
      <c r="M9" s="118">
        <f>M8+K9-L9</f>
        <v>4131883.81</v>
      </c>
      <c r="N9" s="37"/>
    </row>
    <row r="10" spans="1:14" x14ac:dyDescent="0.25">
      <c r="A10" s="115">
        <v>7</v>
      </c>
      <c r="B10" s="116">
        <v>46302</v>
      </c>
      <c r="C10" s="37"/>
      <c r="D10" s="37"/>
      <c r="E10" s="37"/>
      <c r="F10" s="37"/>
      <c r="G10" s="37">
        <f t="shared" si="0"/>
        <v>0</v>
      </c>
      <c r="H10" s="117"/>
      <c r="I10" s="37"/>
      <c r="J10" s="37"/>
      <c r="K10" s="37">
        <f t="shared" si="1"/>
        <v>0</v>
      </c>
      <c r="L10" s="37"/>
      <c r="M10" s="118">
        <f>M9+K10-L10</f>
        <v>4131883.81</v>
      </c>
      <c r="N10" s="37"/>
    </row>
    <row r="11" spans="1:14" x14ac:dyDescent="0.25">
      <c r="A11" s="115">
        <v>8</v>
      </c>
      <c r="B11" s="116">
        <v>46303</v>
      </c>
      <c r="C11" s="37"/>
      <c r="D11" s="37"/>
      <c r="E11" s="37"/>
      <c r="F11" s="37"/>
      <c r="G11" s="37">
        <f t="shared" si="0"/>
        <v>0</v>
      </c>
      <c r="H11" s="117"/>
      <c r="I11" s="37"/>
      <c r="J11" s="37"/>
      <c r="K11" s="37">
        <f t="shared" si="1"/>
        <v>0</v>
      </c>
      <c r="L11" s="37"/>
      <c r="M11" s="118">
        <f>M10+K11-L11</f>
        <v>4131883.81</v>
      </c>
      <c r="N11" s="37"/>
    </row>
    <row r="12" spans="1:14" x14ac:dyDescent="0.25">
      <c r="A12" s="115">
        <v>9</v>
      </c>
      <c r="B12" s="116">
        <v>46304</v>
      </c>
      <c r="C12" s="37"/>
      <c r="D12" s="37"/>
      <c r="E12" s="37">
        <v>2300</v>
      </c>
      <c r="F12" s="37">
        <v>103.8</v>
      </c>
      <c r="G12" s="37">
        <f t="shared" si="0"/>
        <v>238740</v>
      </c>
      <c r="H12" s="117">
        <v>110</v>
      </c>
      <c r="I12" s="37">
        <v>115.69</v>
      </c>
      <c r="J12" s="37">
        <f>H12*I12</f>
        <v>12725.9</v>
      </c>
      <c r="K12" s="37">
        <f t="shared" si="1"/>
        <v>251465.9</v>
      </c>
      <c r="L12" s="37"/>
      <c r="M12" s="118">
        <f>M11+K12-L12</f>
        <v>4383349.71</v>
      </c>
      <c r="N12" s="37"/>
    </row>
    <row r="13" spans="1:16" x14ac:dyDescent="0.25">
      <c r="A13" s="115">
        <v>10</v>
      </c>
      <c r="B13" s="116">
        <v>46305</v>
      </c>
      <c r="C13" s="37"/>
      <c r="D13" s="37"/>
      <c r="E13" s="37"/>
      <c r="F13" s="37"/>
      <c r="G13" s="37">
        <f t="shared" si="0"/>
        <v>0</v>
      </c>
      <c r="H13" s="117"/>
      <c r="I13" s="37"/>
      <c r="J13" s="37">
        <f t="shared" ref="J13:J18" si="3">H13*I13</f>
        <v>0</v>
      </c>
      <c r="K13" s="37">
        <f t="shared" si="1"/>
        <v>0</v>
      </c>
      <c r="L13" s="37"/>
      <c r="M13" s="118">
        <f t="shared" ref="M13:M35" si="4">M12+K13-L13</f>
        <v>4383349.71</v>
      </c>
      <c r="N13" s="37"/>
      <c r="P13" s="114"/>
    </row>
    <row r="14" spans="1:14" x14ac:dyDescent="0.25">
      <c r="A14" s="115">
        <v>11</v>
      </c>
      <c r="B14" s="116">
        <v>46306</v>
      </c>
      <c r="C14" s="37"/>
      <c r="D14" s="37"/>
      <c r="E14" s="37"/>
      <c r="F14" s="37"/>
      <c r="G14" s="37">
        <f t="shared" si="0"/>
        <v>0</v>
      </c>
      <c r="H14" s="117"/>
      <c r="I14" s="37"/>
      <c r="J14" s="37">
        <f t="shared" si="3"/>
        <v>0</v>
      </c>
      <c r="K14" s="37">
        <f t="shared" si="1"/>
        <v>0</v>
      </c>
      <c r="L14" s="37"/>
      <c r="M14" s="118">
        <f t="shared" si="4"/>
        <v>4383349.71</v>
      </c>
      <c r="N14" s="37"/>
    </row>
    <row r="15" spans="1:18" x14ac:dyDescent="0.25">
      <c r="A15" s="115">
        <v>12</v>
      </c>
      <c r="B15" s="116">
        <v>46307</v>
      </c>
      <c r="C15" s="37"/>
      <c r="D15" s="37"/>
      <c r="E15" s="37"/>
      <c r="F15" s="37"/>
      <c r="G15" s="37">
        <f t="shared" si="0"/>
        <v>0</v>
      </c>
      <c r="H15" s="117">
        <v>110</v>
      </c>
      <c r="I15" s="37">
        <v>115.69</v>
      </c>
      <c r="J15" s="37">
        <f t="shared" si="3"/>
        <v>12725.9</v>
      </c>
      <c r="K15" s="37">
        <f t="shared" si="1"/>
        <v>12725.9</v>
      </c>
      <c r="L15" s="37"/>
      <c r="M15" s="118">
        <f t="shared" si="4"/>
        <v>4396075.61</v>
      </c>
      <c r="N15" s="37"/>
      <c r="R15" s="114"/>
    </row>
    <row r="16" spans="1:14" x14ac:dyDescent="0.25">
      <c r="A16" s="115">
        <v>13</v>
      </c>
      <c r="B16" s="116">
        <v>46308</v>
      </c>
      <c r="C16" s="37"/>
      <c r="D16" s="37"/>
      <c r="E16" s="118"/>
      <c r="F16" s="118"/>
      <c r="G16" s="118">
        <f t="shared" si="0"/>
        <v>0</v>
      </c>
      <c r="H16" s="119"/>
      <c r="I16" s="118"/>
      <c r="J16" s="37">
        <f t="shared" si="3"/>
        <v>0</v>
      </c>
      <c r="K16" s="37">
        <f>G16+J16</f>
        <v>0</v>
      </c>
      <c r="L16" s="37"/>
      <c r="M16" s="118">
        <f t="shared" si="4"/>
        <v>4396075.61</v>
      </c>
      <c r="N16" s="37"/>
    </row>
    <row r="17" spans="1:14" x14ac:dyDescent="0.25">
      <c r="A17" s="115">
        <v>14</v>
      </c>
      <c r="B17" s="116">
        <v>46309</v>
      </c>
      <c r="C17" s="37"/>
      <c r="D17" s="37"/>
      <c r="E17" s="118"/>
      <c r="F17" s="118"/>
      <c r="G17" s="118">
        <f t="shared" si="0"/>
        <v>0</v>
      </c>
      <c r="H17" s="119"/>
      <c r="I17" s="118"/>
      <c r="J17" s="37">
        <f t="shared" si="3"/>
        <v>0</v>
      </c>
      <c r="K17" s="37">
        <f>G17+J17</f>
        <v>0</v>
      </c>
      <c r="L17" s="37"/>
      <c r="M17" s="118">
        <f t="shared" si="4"/>
        <v>4396075.61</v>
      </c>
      <c r="N17" s="37"/>
    </row>
    <row r="18" spans="1:14" x14ac:dyDescent="0.25">
      <c r="A18" s="115">
        <v>15</v>
      </c>
      <c r="B18" s="116">
        <v>46310</v>
      </c>
      <c r="C18" s="37"/>
      <c r="D18" s="37"/>
      <c r="E18" s="118">
        <v>2700</v>
      </c>
      <c r="F18" s="118">
        <v>103.8</v>
      </c>
      <c r="G18" s="118">
        <f t="shared" si="0"/>
        <v>280260</v>
      </c>
      <c r="H18" s="119">
        <v>130</v>
      </c>
      <c r="I18" s="118">
        <v>115.69</v>
      </c>
      <c r="J18" s="37">
        <f t="shared" si="3"/>
        <v>15039.699999999999</v>
      </c>
      <c r="K18" s="37">
        <f>G18+J18</f>
        <v>295299.7</v>
      </c>
      <c r="L18" s="37">
        <v>400000</v>
      </c>
      <c r="M18" s="118">
        <f t="shared" si="4"/>
        <v>4291375.3100000005</v>
      </c>
      <c r="N18" s="37" t="s">
        <v>185</v>
      </c>
    </row>
    <row r="19" spans="1:14" x14ac:dyDescent="0.25">
      <c r="A19" s="115">
        <v>16</v>
      </c>
      <c r="B19" s="116">
        <v>46311</v>
      </c>
      <c r="C19" s="37"/>
      <c r="D19" s="37"/>
      <c r="E19" s="120"/>
      <c r="F19" s="118"/>
      <c r="G19" s="118">
        <f t="shared" si="0"/>
        <v>0</v>
      </c>
      <c r="H19" s="119"/>
      <c r="I19" s="118"/>
      <c r="J19" s="37"/>
      <c r="K19" s="120">
        <f>G19+J19</f>
        <v>0</v>
      </c>
      <c r="L19" s="37"/>
      <c r="M19" s="118">
        <f t="shared" si="4"/>
        <v>4291375.3100000005</v>
      </c>
      <c r="N19" s="37"/>
    </row>
    <row r="20" spans="1:14" x14ac:dyDescent="0.25">
      <c r="A20" s="115">
        <v>17</v>
      </c>
      <c r="B20" s="116">
        <v>46312</v>
      </c>
      <c r="C20" s="37"/>
      <c r="D20" s="37"/>
      <c r="E20" s="118"/>
      <c r="F20" s="118"/>
      <c r="G20" s="118">
        <f t="shared" si="0"/>
        <v>0</v>
      </c>
      <c r="H20" s="119"/>
      <c r="I20" s="118"/>
      <c r="J20" s="37"/>
      <c r="K20" s="120">
        <f>G20+J20</f>
        <v>0</v>
      </c>
      <c r="L20" s="37"/>
      <c r="M20" s="118">
        <f t="shared" si="4"/>
        <v>4291375.3100000005</v>
      </c>
      <c r="N20" s="37"/>
    </row>
    <row r="21" spans="1:14" x14ac:dyDescent="0.25">
      <c r="A21" s="115">
        <v>18</v>
      </c>
      <c r="B21" s="116">
        <v>46313</v>
      </c>
      <c r="C21" s="37"/>
      <c r="D21" s="37"/>
      <c r="E21" s="37"/>
      <c r="F21" s="37"/>
      <c r="G21" s="37">
        <f t="shared" si="0"/>
        <v>0</v>
      </c>
      <c r="H21" s="117"/>
      <c r="I21" s="37"/>
      <c r="J21" s="37"/>
      <c r="K21" s="37">
        <f>G21+J21</f>
        <v>0</v>
      </c>
      <c r="L21" s="37"/>
      <c r="M21" s="118">
        <f t="shared" si="4"/>
        <v>4291375.3100000005</v>
      </c>
      <c r="N21" s="37"/>
    </row>
    <row r="22" spans="1:14" x14ac:dyDescent="0.25">
      <c r="A22" s="115">
        <v>19</v>
      </c>
      <c r="B22" s="116">
        <v>46314</v>
      </c>
      <c r="C22" s="37"/>
      <c r="D22" s="37"/>
      <c r="E22" s="37"/>
      <c r="F22" s="37"/>
      <c r="G22" s="37">
        <f t="shared" si="0"/>
        <v>0</v>
      </c>
      <c r="H22" s="117"/>
      <c r="I22" s="118"/>
      <c r="J22" s="37"/>
      <c r="K22" s="37">
        <f t="shared" si="1"/>
        <v>0</v>
      </c>
      <c r="L22" s="37"/>
      <c r="M22" s="118">
        <f t="shared" si="4"/>
        <v>4291375.3100000005</v>
      </c>
      <c r="N22" s="37"/>
    </row>
    <row r="23" spans="1:14" x14ac:dyDescent="0.25">
      <c r="A23" s="115">
        <v>20</v>
      </c>
      <c r="B23" s="116">
        <v>46315</v>
      </c>
      <c r="C23" s="37"/>
      <c r="D23" s="37"/>
      <c r="E23" s="37"/>
      <c r="F23" s="37"/>
      <c r="G23" s="37">
        <f t="shared" si="0"/>
        <v>0</v>
      </c>
      <c r="H23" s="117"/>
      <c r="I23" s="37"/>
      <c r="J23" s="37"/>
      <c r="K23" s="37">
        <f t="shared" si="1"/>
        <v>0</v>
      </c>
      <c r="L23" s="37"/>
      <c r="M23" s="118">
        <f t="shared" si="4"/>
        <v>4291375.3100000005</v>
      </c>
      <c r="N23" s="37"/>
    </row>
    <row r="24" spans="1:14" x14ac:dyDescent="0.25">
      <c r="A24" s="115">
        <v>21</v>
      </c>
      <c r="B24" s="116">
        <v>46316</v>
      </c>
      <c r="C24" s="37"/>
      <c r="D24" s="37"/>
      <c r="E24" s="37"/>
      <c r="F24" s="37"/>
      <c r="G24" s="37">
        <f t="shared" si="0"/>
        <v>0</v>
      </c>
      <c r="H24" s="117"/>
      <c r="I24" s="37"/>
      <c r="J24" s="37"/>
      <c r="K24" s="37">
        <f t="shared" si="1"/>
        <v>0</v>
      </c>
      <c r="L24" s="37"/>
      <c r="M24" s="118">
        <f t="shared" si="4"/>
        <v>4291375.3100000005</v>
      </c>
      <c r="N24" s="37"/>
    </row>
    <row r="25" spans="1:14" x14ac:dyDescent="0.25">
      <c r="A25" s="115">
        <v>22</v>
      </c>
      <c r="B25" s="116">
        <v>46317</v>
      </c>
      <c r="C25" s="37"/>
      <c r="D25" s="37"/>
      <c r="E25" s="37"/>
      <c r="F25" s="37"/>
      <c r="G25" s="37">
        <f t="shared" si="0"/>
        <v>0</v>
      </c>
      <c r="H25" s="117"/>
      <c r="I25" s="37"/>
      <c r="J25" s="37"/>
      <c r="K25" s="37">
        <f t="shared" si="1"/>
        <v>0</v>
      </c>
      <c r="L25" s="37"/>
      <c r="M25" s="118">
        <f t="shared" si="4"/>
        <v>4291375.3100000005</v>
      </c>
      <c r="N25" s="37"/>
    </row>
    <row r="26" spans="1:14" x14ac:dyDescent="0.25">
      <c r="A26" s="115">
        <v>23</v>
      </c>
      <c r="B26" s="116">
        <v>46318</v>
      </c>
      <c r="C26" s="37"/>
      <c r="D26" s="37"/>
      <c r="E26" s="37"/>
      <c r="F26" s="37"/>
      <c r="G26" s="37">
        <f t="shared" si="0"/>
        <v>0</v>
      </c>
      <c r="H26" s="117"/>
      <c r="I26" s="37"/>
      <c r="J26" s="37"/>
      <c r="K26" s="37">
        <f t="shared" si="1"/>
        <v>0</v>
      </c>
      <c r="L26" s="37"/>
      <c r="M26" s="118">
        <f t="shared" si="4"/>
        <v>4291375.3100000005</v>
      </c>
      <c r="N26" s="37"/>
    </row>
    <row r="27" spans="1:14" x14ac:dyDescent="0.25">
      <c r="A27" s="115">
        <v>24</v>
      </c>
      <c r="B27" s="116">
        <v>46319</v>
      </c>
      <c r="C27" s="37"/>
      <c r="D27" s="37"/>
      <c r="E27" s="37"/>
      <c r="F27" s="37"/>
      <c r="G27" s="37">
        <f t="shared" si="0"/>
        <v>0</v>
      </c>
      <c r="H27" s="117"/>
      <c r="I27" s="37"/>
      <c r="J27" s="37"/>
      <c r="K27" s="37">
        <f t="shared" si="1"/>
        <v>0</v>
      </c>
      <c r="L27" s="37"/>
      <c r="M27" s="118">
        <f t="shared" si="4"/>
        <v>4291375.3100000005</v>
      </c>
      <c r="N27" s="37"/>
    </row>
    <row r="28" spans="1:14" x14ac:dyDescent="0.25">
      <c r="A28" s="115">
        <v>25</v>
      </c>
      <c r="B28" s="116">
        <v>46320</v>
      </c>
      <c r="C28" s="37"/>
      <c r="D28" s="37"/>
      <c r="E28" s="37"/>
      <c r="F28" s="37"/>
      <c r="G28" s="37">
        <f t="shared" si="0"/>
        <v>0</v>
      </c>
      <c r="H28" s="117"/>
      <c r="I28" s="37"/>
      <c r="J28" s="37"/>
      <c r="K28" s="37">
        <f t="shared" si="1"/>
        <v>0</v>
      </c>
      <c r="L28" s="37"/>
      <c r="M28" s="118">
        <f t="shared" si="4"/>
        <v>4291375.3100000005</v>
      </c>
      <c r="N28" s="37"/>
    </row>
    <row r="29" spans="1:14" x14ac:dyDescent="0.25">
      <c r="A29" s="115">
        <v>26</v>
      </c>
      <c r="B29" s="116">
        <v>46321</v>
      </c>
      <c r="C29" s="37"/>
      <c r="D29" s="37"/>
      <c r="E29" s="37"/>
      <c r="F29" s="37"/>
      <c r="G29" s="37">
        <f t="shared" si="0"/>
        <v>0</v>
      </c>
      <c r="H29" s="117"/>
      <c r="I29" s="37"/>
      <c r="J29" s="37"/>
      <c r="K29" s="37">
        <f t="shared" si="1"/>
        <v>0</v>
      </c>
      <c r="L29" s="37"/>
      <c r="M29" s="118">
        <f t="shared" si="4"/>
        <v>4291375.3100000005</v>
      </c>
      <c r="N29" s="37"/>
    </row>
    <row r="30" spans="1:16" x14ac:dyDescent="0.25">
      <c r="A30" s="115">
        <v>27</v>
      </c>
      <c r="B30" s="116">
        <v>46322</v>
      </c>
      <c r="C30" s="37"/>
      <c r="D30" s="37"/>
      <c r="E30" s="37"/>
      <c r="F30" s="37"/>
      <c r="G30" s="37">
        <f t="shared" si="0"/>
        <v>0</v>
      </c>
      <c r="H30" s="117"/>
      <c r="I30" s="37"/>
      <c r="J30" s="37"/>
      <c r="K30" s="37">
        <f t="shared" si="1"/>
        <v>0</v>
      </c>
      <c r="L30" s="37"/>
      <c r="M30" s="118">
        <f t="shared" si="4"/>
        <v>4291375.3100000005</v>
      </c>
      <c r="N30" s="37"/>
      <c r="P30" s="114"/>
    </row>
    <row r="31" spans="1:14" x14ac:dyDescent="0.25">
      <c r="A31" s="115">
        <v>28</v>
      </c>
      <c r="B31" s="116">
        <v>46323</v>
      </c>
      <c r="C31" s="37"/>
      <c r="D31" s="37"/>
      <c r="E31" s="37"/>
      <c r="F31" s="37"/>
      <c r="G31" s="37">
        <f t="shared" si="0"/>
        <v>0</v>
      </c>
      <c r="H31" s="117"/>
      <c r="I31" s="37"/>
      <c r="J31" s="37"/>
      <c r="K31" s="37">
        <f t="shared" si="1"/>
        <v>0</v>
      </c>
      <c r="L31" s="37"/>
      <c r="M31" s="118">
        <f t="shared" si="4"/>
        <v>4291375.3100000005</v>
      </c>
      <c r="N31" s="37"/>
    </row>
    <row r="32" spans="1:16" x14ac:dyDescent="0.25">
      <c r="A32" s="115">
        <v>29</v>
      </c>
      <c r="B32" s="116">
        <v>46324</v>
      </c>
      <c r="C32" s="37"/>
      <c r="D32" s="37"/>
      <c r="E32" s="37"/>
      <c r="F32" s="37"/>
      <c r="G32" s="37">
        <f t="shared" si="0"/>
        <v>0</v>
      </c>
      <c r="H32" s="117"/>
      <c r="I32" s="37"/>
      <c r="J32" s="37"/>
      <c r="K32" s="37">
        <f t="shared" si="1"/>
        <v>0</v>
      </c>
      <c r="L32" s="37"/>
      <c r="M32" s="118">
        <f t="shared" si="4"/>
        <v>4291375.3100000005</v>
      </c>
      <c r="N32" s="37"/>
      <c r="P32" s="114"/>
    </row>
    <row r="33" spans="1:14" x14ac:dyDescent="0.25">
      <c r="A33" s="115">
        <v>30</v>
      </c>
      <c r="B33" s="116">
        <v>46325</v>
      </c>
      <c r="C33" s="37"/>
      <c r="D33" s="37"/>
      <c r="E33" s="37"/>
      <c r="F33" s="37"/>
      <c r="G33" s="37">
        <f t="shared" si="0"/>
        <v>0</v>
      </c>
      <c r="H33" s="117"/>
      <c r="I33" s="37"/>
      <c r="J33" s="37"/>
      <c r="K33" s="37">
        <f t="shared" si="1"/>
        <v>0</v>
      </c>
      <c r="L33" s="37"/>
      <c r="M33" s="118">
        <f t="shared" si="4"/>
        <v>4291375.3100000005</v>
      </c>
      <c r="N33" s="37"/>
    </row>
    <row r="34" spans="1:14" x14ac:dyDescent="0.25">
      <c r="A34" s="115">
        <v>31</v>
      </c>
      <c r="B34" s="116">
        <v>46326</v>
      </c>
      <c r="C34" s="37"/>
      <c r="D34" s="37"/>
      <c r="E34" s="37"/>
      <c r="F34" s="37"/>
      <c r="G34" s="120">
        <f>E34*F34</f>
        <v>0</v>
      </c>
      <c r="H34" s="117"/>
      <c r="I34" s="37"/>
      <c r="J34" s="37"/>
      <c r="K34" s="37">
        <f t="shared" ref="K5:K37" si="5">G34+J34</f>
        <v>0</v>
      </c>
      <c r="L34" s="37"/>
      <c r="M34" s="118">
        <f t="shared" si="4"/>
        <v>4291375.3100000005</v>
      </c>
      <c r="N34" s="37"/>
    </row>
    <row r="35" spans="1:16" x14ac:dyDescent="0.25">
      <c r="A35" s="115">
        <v>32</v>
      </c>
      <c r="B35" s="116"/>
      <c r="C35" s="37"/>
      <c r="D35" s="37"/>
      <c r="E35" s="37"/>
      <c r="F35" s="37"/>
      <c r="G35" s="120">
        <f>E35*F35</f>
        <v>0</v>
      </c>
      <c r="H35" s="117"/>
      <c r="I35" s="37"/>
      <c r="J35" s="37"/>
      <c r="K35" s="37">
        <f t="shared" si="5"/>
        <v>0</v>
      </c>
      <c r="L35" s="37"/>
      <c r="M35" s="118">
        <f t="shared" si="4"/>
        <v>4291375.3100000005</v>
      </c>
      <c r="N35" s="37"/>
      <c r="P35" s="114"/>
    </row>
    <row r="36" spans="1:14" x14ac:dyDescent="0.25">
      <c r="A36" s="115">
        <v>33</v>
      </c>
      <c r="B36" s="116"/>
      <c r="C36" s="37"/>
      <c r="D36" s="37"/>
      <c r="E36" s="37"/>
      <c r="F36" s="37"/>
      <c r="G36" s="120">
        <f>E36*F36</f>
        <v>0</v>
      </c>
      <c r="H36" s="117"/>
      <c r="I36" s="37"/>
      <c r="J36" s="37">
        <f t="shared" ref="J5:J37" si="6">H36*I36</f>
        <v>0</v>
      </c>
      <c r="K36" s="37">
        <f t="shared" si="5"/>
        <v>0</v>
      </c>
      <c r="L36" s="37"/>
      <c r="M36" s="37"/>
      <c r="N36" s="37"/>
    </row>
    <row r="37" spans="1:14" x14ac:dyDescent="0.25">
      <c r="A37" s="115">
        <v>34</v>
      </c>
      <c r="B37" s="116"/>
      <c r="C37" s="37"/>
      <c r="D37" s="37"/>
      <c r="E37" s="37"/>
      <c r="F37" s="37"/>
      <c r="G37" s="120">
        <f>E37*F37</f>
        <v>0</v>
      </c>
      <c r="H37" s="117"/>
      <c r="I37" s="37"/>
      <c r="J37" s="37">
        <f t="shared" si="6"/>
        <v>0</v>
      </c>
      <c r="K37" s="37">
        <f t="shared" si="5"/>
        <v>0</v>
      </c>
      <c r="L37" s="37"/>
      <c r="M37" s="37"/>
      <c r="N37" s="37"/>
    </row>
    <row r="38" spans="1:14" x14ac:dyDescent="0.25">
      <c r="A38" s="121"/>
      <c r="B38" s="121"/>
      <c r="C38" s="121"/>
      <c r="D38" s="121"/>
      <c r="E38" s="121">
        <f>SUM(E3:E37)</f>
        <v>5000</v>
      </c>
      <c r="F38" s="121"/>
      <c r="G38" s="121">
        <f>SUM(G3:G37)</f>
        <v>519000</v>
      </c>
      <c r="H38" s="121">
        <f>SUM(H3:H37)</f>
        <v>350</v>
      </c>
      <c r="I38" s="121"/>
      <c r="J38" s="121">
        <f>SUM(J3:J37)</f>
        <v>40491.5</v>
      </c>
      <c r="K38" s="121">
        <f>SUM(K4:K37)</f>
        <v>559491.5</v>
      </c>
      <c r="L38" s="121">
        <f>SUM(L3:L37)</f>
        <v>400000</v>
      </c>
      <c r="M38" s="121"/>
      <c r="N38" s="121"/>
    </row>
  </sheetData>
  <mergeCells count="2">
    <mergeCell ref="A1:N1"/>
    <mergeCell ref="A3:J3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R47"/>
  <sheetViews>
    <sheetView workbookViewId="0" zoomScale="100" zoomScaleNormal="100">
      <pane ySplit="3" topLeftCell="A9" activePane="bottomLeft" state="frozen"/>
      <selection pane="bottomLeft" activeCell="M17" sqref="M17"/>
    </sheetView>
  </sheetViews>
  <sheetFormatPr defaultRowHeight="15" outlineLevelRow="0" outlineLevelCol="0" x14ac:dyDescent="0"/>
  <cols>
    <col min="2" max="2" width="10.5703125" customWidth="1"/>
    <col min="4" max="4" width="15" customWidth="1"/>
    <col min="5" max="5" width="13.28515625" customWidth="1"/>
    <col min="7" max="7" width="11.85546875" customWidth="1"/>
    <col min="8" max="8" width="12.28515625" customWidth="1"/>
    <col min="10" max="10" width="10.85546875" customWidth="1"/>
    <col min="11" max="11" width="13.140625" customWidth="1"/>
    <col min="12" max="12" width="12.140625" customWidth="1"/>
    <col min="13" max="13" width="17.42578125" customWidth="1"/>
    <col min="14" max="14" width="11.85546875" customWidth="1"/>
    <col min="17" max="17" width="12" customWidth="1"/>
  </cols>
  <sheetData>
    <row r="1" ht="15.75" customHeight="1" spans="1:14" x14ac:dyDescent="0.25">
      <c r="A1" s="325" t="s">
        <v>162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</row>
    <row r="2" ht="21" customHeight="1" spans="1:14" x14ac:dyDescent="0.25">
      <c r="A2" s="122" t="s">
        <v>0</v>
      </c>
      <c r="B2" s="123" t="s">
        <v>167</v>
      </c>
      <c r="C2" s="123" t="s">
        <v>168</v>
      </c>
      <c r="D2" s="123" t="s">
        <v>189</v>
      </c>
      <c r="E2" s="123" t="s">
        <v>170</v>
      </c>
      <c r="F2" s="123" t="s">
        <v>171</v>
      </c>
      <c r="G2" s="418" t="s">
        <v>172</v>
      </c>
      <c r="H2" s="123" t="s">
        <v>173</v>
      </c>
      <c r="I2" s="123" t="s">
        <v>171</v>
      </c>
      <c r="J2" s="418" t="s">
        <v>172</v>
      </c>
      <c r="K2" s="122" t="s">
        <v>174</v>
      </c>
      <c r="L2" s="366" t="s">
        <v>175</v>
      </c>
      <c r="M2" s="367" t="s">
        <v>190</v>
      </c>
      <c r="N2" s="123" t="s">
        <v>177</v>
      </c>
    </row>
    <row r="3" spans="1:14" x14ac:dyDescent="0.25">
      <c r="A3" s="525" t="s">
        <v>178</v>
      </c>
      <c r="B3" s="526"/>
      <c r="C3" s="526"/>
      <c r="D3" s="526"/>
      <c r="E3" s="526"/>
      <c r="F3" s="526"/>
      <c r="G3" s="526"/>
      <c r="H3" s="526"/>
      <c r="I3" s="526"/>
      <c r="J3" s="526"/>
      <c r="K3" s="526"/>
      <c r="L3" s="544"/>
      <c r="M3" s="545">
        <v>135406.61</v>
      </c>
      <c r="N3" s="546"/>
    </row>
    <row r="4" spans="1:14" x14ac:dyDescent="0.25">
      <c r="A4" s="183">
        <v>1</v>
      </c>
      <c r="B4" s="184">
        <v>46296</v>
      </c>
      <c r="C4" s="61"/>
      <c r="D4" s="61"/>
      <c r="E4" s="528">
        <v>90</v>
      </c>
      <c r="F4" s="556">
        <v>99.44</v>
      </c>
      <c r="G4" s="168">
        <f>E4*F4</f>
        <v>8949.6</v>
      </c>
      <c r="H4" s="167"/>
      <c r="I4" s="61"/>
      <c r="J4" s="168">
        <f>H4*I4</f>
        <v>0</v>
      </c>
      <c r="K4" s="168">
        <f>G4+J4</f>
        <v>8949.6</v>
      </c>
      <c r="L4" s="272"/>
      <c r="M4" s="531">
        <f>M3+K4-L4</f>
        <v>144356.21</v>
      </c>
      <c r="N4" s="189"/>
    </row>
    <row r="5" spans="1:14" x14ac:dyDescent="0.25">
      <c r="A5" s="189">
        <v>2</v>
      </c>
      <c r="B5" s="184">
        <v>46297</v>
      </c>
      <c r="C5" s="61"/>
      <c r="D5" s="61"/>
      <c r="E5" s="528">
        <v>83.74</v>
      </c>
      <c r="F5" s="556">
        <v>99.44</v>
      </c>
      <c r="G5" s="168">
        <f t="shared" ref="G5:G38" si="0">E5*F5</f>
        <v>8327.105599999999</v>
      </c>
      <c r="H5" s="167">
        <v>5</v>
      </c>
      <c r="I5" s="61">
        <v>111.55</v>
      </c>
      <c r="J5" s="168">
        <f t="shared" ref="J5:J40" si="1">H5*I5</f>
        <v>557.75</v>
      </c>
      <c r="K5" s="168">
        <f t="shared" ref="K5:K10" si="2">G5+J5</f>
        <v>8884.855599999999</v>
      </c>
      <c r="L5" s="272"/>
      <c r="M5" s="531">
        <f t="shared" ref="M5:M33" si="3">M4+K5-L5</f>
        <v>153241.0656</v>
      </c>
      <c r="N5" s="189"/>
    </row>
    <row r="6" spans="1:14" x14ac:dyDescent="0.25">
      <c r="A6" s="189">
        <v>3</v>
      </c>
      <c r="B6" s="184">
        <v>46298</v>
      </c>
      <c r="C6" s="61"/>
      <c r="D6" s="61"/>
      <c r="E6" s="167">
        <v>99.26</v>
      </c>
      <c r="F6" s="528">
        <v>99.44</v>
      </c>
      <c r="G6" s="168">
        <f t="shared" si="0"/>
        <v>9870.4144</v>
      </c>
      <c r="H6" s="167"/>
      <c r="I6" s="61"/>
      <c r="J6" s="168">
        <f t="shared" si="1"/>
        <v>0</v>
      </c>
      <c r="K6" s="168">
        <f t="shared" si="2"/>
        <v>9870.4144</v>
      </c>
      <c r="L6" s="272"/>
      <c r="M6" s="531">
        <f t="shared" si="3"/>
        <v>163111.48</v>
      </c>
      <c r="N6" s="189"/>
    </row>
    <row r="7" spans="1:14" x14ac:dyDescent="0.25">
      <c r="A7" s="189">
        <v>4</v>
      </c>
      <c r="B7" s="184">
        <v>46299</v>
      </c>
      <c r="C7" s="61"/>
      <c r="D7" s="61"/>
      <c r="E7" s="167">
        <v>40</v>
      </c>
      <c r="F7" s="528">
        <v>99.44</v>
      </c>
      <c r="G7" s="168">
        <f t="shared" si="0"/>
        <v>3977.6</v>
      </c>
      <c r="H7" s="167"/>
      <c r="I7" s="61"/>
      <c r="J7" s="168">
        <f t="shared" si="1"/>
        <v>0</v>
      </c>
      <c r="K7" s="168">
        <f t="shared" si="2"/>
        <v>3977.6</v>
      </c>
      <c r="L7" s="272"/>
      <c r="M7" s="531">
        <f t="shared" si="3"/>
        <v>167089.08000000002</v>
      </c>
      <c r="N7" s="189"/>
    </row>
    <row r="8" spans="1:14" x14ac:dyDescent="0.25">
      <c r="A8" s="189">
        <v>5</v>
      </c>
      <c r="B8" s="184">
        <v>46300</v>
      </c>
      <c r="C8" s="61"/>
      <c r="D8" s="61"/>
      <c r="E8" s="167">
        <v>120</v>
      </c>
      <c r="F8" s="528">
        <v>99.44</v>
      </c>
      <c r="G8" s="168">
        <f t="shared" si="0"/>
        <v>11932.8</v>
      </c>
      <c r="H8" s="167">
        <v>16.54</v>
      </c>
      <c r="I8" s="61">
        <v>111.55</v>
      </c>
      <c r="J8" s="168">
        <f t="shared" si="1"/>
        <v>1845.0369999999998</v>
      </c>
      <c r="K8" s="168">
        <f t="shared" si="2"/>
        <v>13777.837</v>
      </c>
      <c r="L8" s="272"/>
      <c r="M8" s="531">
        <f t="shared" si="3"/>
        <v>180866.91700000002</v>
      </c>
      <c r="N8" s="189"/>
    </row>
    <row r="9" spans="1:14" x14ac:dyDescent="0.25">
      <c r="A9" s="189">
        <v>6</v>
      </c>
      <c r="B9" s="184">
        <v>46301</v>
      </c>
      <c r="C9" s="61"/>
      <c r="D9" s="61"/>
      <c r="E9" s="167"/>
      <c r="F9" s="528"/>
      <c r="G9" s="168">
        <f t="shared" si="0"/>
        <v>0</v>
      </c>
      <c r="H9" s="167"/>
      <c r="I9" s="61"/>
      <c r="J9" s="168">
        <f t="shared" si="1"/>
        <v>0</v>
      </c>
      <c r="K9" s="168">
        <f t="shared" si="2"/>
        <v>0</v>
      </c>
      <c r="L9" s="272"/>
      <c r="M9" s="531">
        <f t="shared" si="3"/>
        <v>180866.91700000002</v>
      </c>
      <c r="N9" s="189"/>
    </row>
    <row r="10" spans="1:14" x14ac:dyDescent="0.25">
      <c r="A10" s="189">
        <v>7</v>
      </c>
      <c r="B10" s="184">
        <v>46302</v>
      </c>
      <c r="C10" s="61"/>
      <c r="D10" s="61"/>
      <c r="E10" s="167">
        <v>90</v>
      </c>
      <c r="F10" s="528">
        <v>99.44</v>
      </c>
      <c r="G10" s="168">
        <f t="shared" si="0"/>
        <v>8949.6</v>
      </c>
      <c r="H10" s="167"/>
      <c r="I10" s="61"/>
      <c r="J10" s="168">
        <f t="shared" si="1"/>
        <v>0</v>
      </c>
      <c r="K10" s="168">
        <f t="shared" si="2"/>
        <v>8949.6</v>
      </c>
      <c r="L10" s="272"/>
      <c r="M10" s="531">
        <f t="shared" si="3"/>
        <v>189816.51700000002</v>
      </c>
      <c r="N10" s="189"/>
    </row>
    <row r="11" spans="1:14" x14ac:dyDescent="0.25">
      <c r="A11" s="189">
        <v>8</v>
      </c>
      <c r="B11" s="184">
        <v>46303</v>
      </c>
      <c r="C11" s="61"/>
      <c r="D11" s="61"/>
      <c r="E11" s="167">
        <v>57.370000000000005</v>
      </c>
      <c r="F11" s="528">
        <v>99.44</v>
      </c>
      <c r="G11" s="168">
        <f t="shared" si="0"/>
        <v>5704.8728</v>
      </c>
      <c r="H11" s="167">
        <v>7.35</v>
      </c>
      <c r="I11" s="61">
        <v>111.55</v>
      </c>
      <c r="J11" s="168">
        <f t="shared" si="1"/>
        <v>819.8924999999999</v>
      </c>
      <c r="K11" s="168">
        <f t="shared" ref="K5:K40" si="4">G11+J11</f>
        <v>6524.7653</v>
      </c>
      <c r="L11" s="272"/>
      <c r="M11" s="531">
        <f t="shared" si="3"/>
        <v>196341.28230000002</v>
      </c>
      <c r="N11" s="189"/>
    </row>
    <row r="12" spans="1:18" x14ac:dyDescent="0.25">
      <c r="A12" s="189">
        <v>9</v>
      </c>
      <c r="B12" s="184">
        <v>46304</v>
      </c>
      <c r="C12" s="61"/>
      <c r="D12" s="61"/>
      <c r="E12" s="167"/>
      <c r="F12" s="528"/>
      <c r="G12" s="168">
        <f t="shared" si="0"/>
        <v>0</v>
      </c>
      <c r="H12" s="167">
        <v>6.07</v>
      </c>
      <c r="I12" s="61">
        <v>121.03</v>
      </c>
      <c r="J12" s="168">
        <f t="shared" si="1"/>
        <v>734.6521</v>
      </c>
      <c r="K12" s="168">
        <f t="shared" si="4"/>
        <v>734.6521</v>
      </c>
      <c r="L12" s="272"/>
      <c r="M12" s="531">
        <f t="shared" si="3"/>
        <v>197075.93440000003</v>
      </c>
      <c r="N12" s="189"/>
      <c r="R12" s="557"/>
    </row>
    <row r="13" spans="1:14" x14ac:dyDescent="0.25">
      <c r="A13" s="189">
        <v>10</v>
      </c>
      <c r="B13" s="184">
        <v>46305</v>
      </c>
      <c r="C13" s="61"/>
      <c r="D13" s="61"/>
      <c r="E13" s="167">
        <v>120</v>
      </c>
      <c r="F13" s="528">
        <v>99.44</v>
      </c>
      <c r="G13" s="168">
        <f t="shared" si="0"/>
        <v>11932.8</v>
      </c>
      <c r="H13" s="167"/>
      <c r="I13" s="61"/>
      <c r="J13" s="168">
        <f t="shared" si="1"/>
        <v>0</v>
      </c>
      <c r="K13" s="168">
        <f t="shared" si="4"/>
        <v>11932.8</v>
      </c>
      <c r="L13" s="272"/>
      <c r="M13" s="531">
        <f t="shared" si="3"/>
        <v>209008.73440000002</v>
      </c>
      <c r="N13" s="189"/>
    </row>
    <row r="14" spans="1:14" x14ac:dyDescent="0.25">
      <c r="A14" s="189">
        <v>11</v>
      </c>
      <c r="B14" s="184">
        <v>46306</v>
      </c>
      <c r="C14" s="61"/>
      <c r="D14" s="61"/>
      <c r="E14" s="167">
        <v>27.44</v>
      </c>
      <c r="F14" s="528">
        <v>99.44</v>
      </c>
      <c r="G14" s="168">
        <f t="shared" si="0"/>
        <v>2728.6336</v>
      </c>
      <c r="H14" s="167">
        <v>10</v>
      </c>
      <c r="I14" s="61">
        <v>111.55</v>
      </c>
      <c r="J14" s="168">
        <f t="shared" si="1"/>
        <v>1115.5</v>
      </c>
      <c r="K14" s="168">
        <f t="shared" si="4"/>
        <v>3844.1336</v>
      </c>
      <c r="L14" s="272"/>
      <c r="M14" s="531">
        <f t="shared" si="3"/>
        <v>212852.86800000002</v>
      </c>
      <c r="N14" s="189"/>
    </row>
    <row r="15" spans="1:14" x14ac:dyDescent="0.25">
      <c r="A15" s="189">
        <v>12</v>
      </c>
      <c r="B15" s="184">
        <v>46307</v>
      </c>
      <c r="C15" s="61"/>
      <c r="D15" s="61"/>
      <c r="E15" s="167">
        <v>30.17</v>
      </c>
      <c r="F15" s="528">
        <v>99.44</v>
      </c>
      <c r="G15" s="168">
        <f t="shared" si="0"/>
        <v>3000.1048</v>
      </c>
      <c r="H15" s="167"/>
      <c r="I15" s="61"/>
      <c r="J15" s="168">
        <f t="shared" si="1"/>
        <v>0</v>
      </c>
      <c r="K15" s="168">
        <f t="shared" si="4"/>
        <v>3000.1048</v>
      </c>
      <c r="L15" s="272"/>
      <c r="M15" s="531">
        <f t="shared" si="3"/>
        <v>215852.97280000002</v>
      </c>
      <c r="N15" s="189"/>
    </row>
    <row r="16" spans="1:14" x14ac:dyDescent="0.25">
      <c r="A16" s="189">
        <v>13</v>
      </c>
      <c r="B16" s="184">
        <v>46308</v>
      </c>
      <c r="C16" s="61"/>
      <c r="D16" s="61"/>
      <c r="E16" s="167"/>
      <c r="F16" s="528"/>
      <c r="G16" s="168">
        <f t="shared" si="0"/>
        <v>0</v>
      </c>
      <c r="H16" s="167">
        <v>5.37</v>
      </c>
      <c r="I16" s="61">
        <v>111.55</v>
      </c>
      <c r="J16" s="168">
        <f t="shared" si="1"/>
        <v>599.0235</v>
      </c>
      <c r="K16" s="168">
        <f t="shared" si="4"/>
        <v>599.0235</v>
      </c>
      <c r="L16" s="272"/>
      <c r="M16" s="531">
        <f t="shared" si="3"/>
        <v>216451.99630000003</v>
      </c>
      <c r="N16" s="189"/>
    </row>
    <row r="17" spans="1:14" x14ac:dyDescent="0.25">
      <c r="A17" s="189">
        <v>14</v>
      </c>
      <c r="B17" s="184">
        <v>46309</v>
      </c>
      <c r="C17" s="61"/>
      <c r="D17" s="61"/>
      <c r="E17" s="167">
        <v>80</v>
      </c>
      <c r="F17" s="528">
        <v>99.44</v>
      </c>
      <c r="G17" s="168">
        <f t="shared" si="0"/>
        <v>7955.2</v>
      </c>
      <c r="H17" s="167"/>
      <c r="I17" s="61"/>
      <c r="J17" s="168">
        <f t="shared" si="1"/>
        <v>0</v>
      </c>
      <c r="K17" s="168">
        <f t="shared" si="4"/>
        <v>7955.2</v>
      </c>
      <c r="L17" s="272"/>
      <c r="M17" s="531">
        <f t="shared" si="3"/>
        <v>224407.19630000004</v>
      </c>
      <c r="N17" s="189"/>
    </row>
    <row r="18" spans="1:14" x14ac:dyDescent="0.25">
      <c r="A18" s="189">
        <v>15</v>
      </c>
      <c r="B18" s="184">
        <v>46310</v>
      </c>
      <c r="C18" s="61"/>
      <c r="D18" s="61"/>
      <c r="E18" s="167">
        <v>38.53</v>
      </c>
      <c r="F18" s="528">
        <v>99.44</v>
      </c>
      <c r="G18" s="168">
        <f t="shared" si="0"/>
        <v>3831.4232</v>
      </c>
      <c r="H18" s="167"/>
      <c r="I18" s="61"/>
      <c r="J18" s="168">
        <f t="shared" si="1"/>
        <v>0</v>
      </c>
      <c r="K18" s="168">
        <f t="shared" si="4"/>
        <v>3831.4232</v>
      </c>
      <c r="L18" s="272"/>
      <c r="M18" s="531">
        <f t="shared" si="3"/>
        <v>228238.61950000003</v>
      </c>
      <c r="N18" s="189"/>
    </row>
    <row r="19" spans="1:14" x14ac:dyDescent="0.25">
      <c r="A19" s="189">
        <v>16</v>
      </c>
      <c r="B19" s="184">
        <v>46311</v>
      </c>
      <c r="C19" s="61"/>
      <c r="D19" s="61"/>
      <c r="E19" s="167"/>
      <c r="F19" s="528"/>
      <c r="G19" s="168">
        <f t="shared" si="0"/>
        <v>0</v>
      </c>
      <c r="H19" s="167"/>
      <c r="I19" s="61"/>
      <c r="J19" s="168">
        <f t="shared" si="1"/>
        <v>0</v>
      </c>
      <c r="K19" s="168">
        <f t="shared" si="4"/>
        <v>0</v>
      </c>
      <c r="L19" s="272"/>
      <c r="M19" s="531">
        <f t="shared" si="3"/>
        <v>228238.61950000003</v>
      </c>
      <c r="N19" s="189"/>
    </row>
    <row r="20" spans="1:14" x14ac:dyDescent="0.25">
      <c r="A20" s="189">
        <v>17</v>
      </c>
      <c r="B20" s="184">
        <v>46312</v>
      </c>
      <c r="C20" s="61"/>
      <c r="D20" s="61"/>
      <c r="E20" s="167"/>
      <c r="F20" s="528"/>
      <c r="G20" s="168">
        <f t="shared" si="0"/>
        <v>0</v>
      </c>
      <c r="H20" s="167"/>
      <c r="I20" s="61"/>
      <c r="J20" s="168">
        <f t="shared" si="1"/>
        <v>0</v>
      </c>
      <c r="K20" s="168">
        <f t="shared" si="4"/>
        <v>0</v>
      </c>
      <c r="L20" s="272"/>
      <c r="M20" s="531">
        <f t="shared" si="3"/>
        <v>228238.61950000003</v>
      </c>
      <c r="N20" s="189"/>
    </row>
    <row r="21" spans="1:14" x14ac:dyDescent="0.25">
      <c r="A21" s="189">
        <v>18</v>
      </c>
      <c r="B21" s="184">
        <v>46313</v>
      </c>
      <c r="C21" s="61"/>
      <c r="D21" s="61"/>
      <c r="E21" s="167"/>
      <c r="F21" s="528"/>
      <c r="G21" s="168">
        <f t="shared" si="0"/>
        <v>0</v>
      </c>
      <c r="H21" s="167"/>
      <c r="I21" s="61"/>
      <c r="J21" s="168">
        <f t="shared" si="1"/>
        <v>0</v>
      </c>
      <c r="K21" s="168">
        <f t="shared" si="4"/>
        <v>0</v>
      </c>
      <c r="L21" s="272"/>
      <c r="M21" s="531">
        <f t="shared" si="3"/>
        <v>228238.61950000003</v>
      </c>
      <c r="N21" s="189"/>
    </row>
    <row r="22" spans="1:14" x14ac:dyDescent="0.25">
      <c r="A22" s="189">
        <v>19</v>
      </c>
      <c r="B22" s="184">
        <v>46314</v>
      </c>
      <c r="C22" s="61"/>
      <c r="D22" s="61"/>
      <c r="E22" s="167"/>
      <c r="F22" s="528"/>
      <c r="G22" s="168">
        <f t="shared" si="0"/>
        <v>0</v>
      </c>
      <c r="H22" s="167"/>
      <c r="I22" s="61"/>
      <c r="J22" s="168">
        <f t="shared" si="1"/>
        <v>0</v>
      </c>
      <c r="K22" s="168">
        <f t="shared" si="4"/>
        <v>0</v>
      </c>
      <c r="L22" s="272"/>
      <c r="M22" s="531">
        <f t="shared" si="3"/>
        <v>228238.61950000003</v>
      </c>
      <c r="N22" s="189"/>
    </row>
    <row r="23" spans="1:14" x14ac:dyDescent="0.25">
      <c r="A23" s="189">
        <v>20</v>
      </c>
      <c r="B23" s="184">
        <v>46315</v>
      </c>
      <c r="C23" s="61"/>
      <c r="D23" s="61"/>
      <c r="E23" s="167"/>
      <c r="F23" s="528"/>
      <c r="G23" s="168">
        <f>E23*F23</f>
        <v>0</v>
      </c>
      <c r="H23" s="167"/>
      <c r="I23" s="61"/>
      <c r="J23" s="168">
        <f t="shared" si="1"/>
        <v>0</v>
      </c>
      <c r="K23" s="168">
        <f t="shared" si="4"/>
        <v>0</v>
      </c>
      <c r="L23" s="272"/>
      <c r="M23" s="531">
        <f t="shared" si="3"/>
        <v>228238.61950000003</v>
      </c>
      <c r="N23" s="189"/>
    </row>
    <row r="24" spans="1:14" x14ac:dyDescent="0.25">
      <c r="A24" s="189">
        <v>21</v>
      </c>
      <c r="B24" s="184">
        <v>46316</v>
      </c>
      <c r="C24" s="61"/>
      <c r="D24" s="61"/>
      <c r="E24" s="167"/>
      <c r="F24" s="528"/>
      <c r="G24" s="168">
        <f t="shared" si="0"/>
        <v>0</v>
      </c>
      <c r="H24" s="167"/>
      <c r="I24" s="61"/>
      <c r="J24" s="168">
        <f t="shared" si="1"/>
        <v>0</v>
      </c>
      <c r="K24" s="168">
        <f t="shared" si="4"/>
        <v>0</v>
      </c>
      <c r="L24" s="272"/>
      <c r="M24" s="531">
        <f>M23+K24-L24</f>
        <v>228238.61950000003</v>
      </c>
      <c r="N24" s="189"/>
    </row>
    <row r="25" spans="1:14" x14ac:dyDescent="0.25">
      <c r="A25" s="189">
        <v>22</v>
      </c>
      <c r="B25" s="184">
        <v>46317</v>
      </c>
      <c r="C25" s="61"/>
      <c r="D25" s="61"/>
      <c r="E25" s="528"/>
      <c r="F25" s="556"/>
      <c r="G25" s="168">
        <f t="shared" si="0"/>
        <v>0</v>
      </c>
      <c r="H25" s="167"/>
      <c r="I25" s="61"/>
      <c r="J25" s="168">
        <f t="shared" si="1"/>
        <v>0</v>
      </c>
      <c r="K25" s="168">
        <f t="shared" si="4"/>
        <v>0</v>
      </c>
      <c r="L25" s="272"/>
      <c r="M25" s="531">
        <f t="shared" si="3"/>
        <v>228238.61950000003</v>
      </c>
      <c r="N25" s="189"/>
    </row>
    <row r="26" spans="1:14" x14ac:dyDescent="0.25">
      <c r="A26" s="189">
        <v>23</v>
      </c>
      <c r="B26" s="184">
        <v>46318</v>
      </c>
      <c r="C26" s="61"/>
      <c r="D26" s="61"/>
      <c r="E26" s="167"/>
      <c r="F26" s="528"/>
      <c r="G26" s="168">
        <f t="shared" si="0"/>
        <v>0</v>
      </c>
      <c r="H26" s="167"/>
      <c r="I26" s="61"/>
      <c r="J26" s="168">
        <f t="shared" si="1"/>
        <v>0</v>
      </c>
      <c r="K26" s="168">
        <f t="shared" si="4"/>
        <v>0</v>
      </c>
      <c r="L26" s="272"/>
      <c r="M26" s="531">
        <f t="shared" si="3"/>
        <v>228238.61950000003</v>
      </c>
      <c r="N26" s="61"/>
    </row>
    <row r="27" spans="1:14" x14ac:dyDescent="0.25">
      <c r="A27" s="189">
        <v>24</v>
      </c>
      <c r="B27" s="184">
        <v>46319</v>
      </c>
      <c r="C27" s="61"/>
      <c r="D27" s="61"/>
      <c r="E27" s="167"/>
      <c r="F27" s="528"/>
      <c r="G27" s="168">
        <f t="shared" si="0"/>
        <v>0</v>
      </c>
      <c r="H27" s="167"/>
      <c r="I27" s="61"/>
      <c r="J27" s="168">
        <f t="shared" si="1"/>
        <v>0</v>
      </c>
      <c r="K27" s="168">
        <f t="shared" si="4"/>
        <v>0</v>
      </c>
      <c r="L27" s="272"/>
      <c r="M27" s="531">
        <f t="shared" si="3"/>
        <v>228238.61950000003</v>
      </c>
      <c r="N27" s="61"/>
    </row>
    <row r="28" spans="1:14" x14ac:dyDescent="0.25">
      <c r="A28" s="191">
        <v>25</v>
      </c>
      <c r="B28" s="184">
        <v>46320</v>
      </c>
      <c r="C28" s="61"/>
      <c r="D28" s="61"/>
      <c r="E28" s="167"/>
      <c r="F28" s="528"/>
      <c r="G28" s="168">
        <f t="shared" si="0"/>
        <v>0</v>
      </c>
      <c r="H28" s="167"/>
      <c r="I28" s="61"/>
      <c r="J28" s="168">
        <f t="shared" si="1"/>
        <v>0</v>
      </c>
      <c r="K28" s="168">
        <f t="shared" si="4"/>
        <v>0</v>
      </c>
      <c r="L28" s="272"/>
      <c r="M28" s="531">
        <f t="shared" si="3"/>
        <v>228238.61950000003</v>
      </c>
      <c r="N28" s="61"/>
    </row>
    <row r="29" spans="1:14" x14ac:dyDescent="0.25">
      <c r="A29" s="191">
        <v>26</v>
      </c>
      <c r="B29" s="184">
        <v>46321</v>
      </c>
      <c r="C29" s="61"/>
      <c r="D29" s="61"/>
      <c r="E29" s="167"/>
      <c r="F29" s="528"/>
      <c r="G29" s="168">
        <f t="shared" si="0"/>
        <v>0</v>
      </c>
      <c r="H29" s="167"/>
      <c r="I29" s="61"/>
      <c r="J29" s="168">
        <f t="shared" si="1"/>
        <v>0</v>
      </c>
      <c r="K29" s="168">
        <f t="shared" si="4"/>
        <v>0</v>
      </c>
      <c r="L29" s="272"/>
      <c r="M29" s="531">
        <f t="shared" si="3"/>
        <v>228238.61950000003</v>
      </c>
      <c r="N29" s="61"/>
    </row>
    <row r="30" spans="1:14" x14ac:dyDescent="0.25">
      <c r="A30" s="191">
        <v>27</v>
      </c>
      <c r="B30" s="184">
        <v>46322</v>
      </c>
      <c r="C30" s="61"/>
      <c r="D30" s="61"/>
      <c r="E30" s="167"/>
      <c r="F30" s="528"/>
      <c r="G30" s="168">
        <f t="shared" si="0"/>
        <v>0</v>
      </c>
      <c r="H30" s="167"/>
      <c r="I30" s="61"/>
      <c r="J30" s="168">
        <f t="shared" si="1"/>
        <v>0</v>
      </c>
      <c r="K30" s="168">
        <f t="shared" si="4"/>
        <v>0</v>
      </c>
      <c r="L30" s="272"/>
      <c r="M30" s="531">
        <f t="shared" si="3"/>
        <v>228238.61950000003</v>
      </c>
      <c r="N30" s="61"/>
    </row>
    <row r="31" spans="1:14" x14ac:dyDescent="0.25">
      <c r="A31" s="191">
        <v>28</v>
      </c>
      <c r="B31" s="184">
        <v>46323</v>
      </c>
      <c r="C31" s="61"/>
      <c r="D31" s="61"/>
      <c r="E31" s="167"/>
      <c r="F31" s="528"/>
      <c r="G31" s="168">
        <f t="shared" si="0"/>
        <v>0</v>
      </c>
      <c r="H31" s="167"/>
      <c r="I31" s="61"/>
      <c r="J31" s="168">
        <f t="shared" si="1"/>
        <v>0</v>
      </c>
      <c r="K31" s="168">
        <f t="shared" si="4"/>
        <v>0</v>
      </c>
      <c r="L31" s="272"/>
      <c r="M31" s="531">
        <f t="shared" si="3"/>
        <v>228238.61950000003</v>
      </c>
      <c r="N31" s="61"/>
    </row>
    <row r="32" spans="1:14" x14ac:dyDescent="0.25">
      <c r="A32" s="193">
        <v>29</v>
      </c>
      <c r="B32" s="184">
        <v>46324</v>
      </c>
      <c r="C32" s="61"/>
      <c r="D32" s="61"/>
      <c r="E32" s="528"/>
      <c r="F32" s="556"/>
      <c r="G32" s="168">
        <f t="shared" si="0"/>
        <v>0</v>
      </c>
      <c r="H32" s="167"/>
      <c r="I32" s="61"/>
      <c r="J32" s="168">
        <f t="shared" si="1"/>
        <v>0</v>
      </c>
      <c r="K32" s="168">
        <f t="shared" si="4"/>
        <v>0</v>
      </c>
      <c r="L32" s="272"/>
      <c r="M32" s="531">
        <f t="shared" si="3"/>
        <v>228238.61950000003</v>
      </c>
      <c r="N32" s="61"/>
    </row>
    <row r="33" spans="1:14" x14ac:dyDescent="0.25">
      <c r="A33" s="193">
        <v>30</v>
      </c>
      <c r="B33" s="184">
        <v>46325</v>
      </c>
      <c r="C33" s="61"/>
      <c r="D33" s="61"/>
      <c r="E33" s="528"/>
      <c r="F33" s="556"/>
      <c r="G33" s="168">
        <f t="shared" si="0"/>
        <v>0</v>
      </c>
      <c r="H33" s="167"/>
      <c r="I33" s="61"/>
      <c r="J33" s="168">
        <f t="shared" si="1"/>
        <v>0</v>
      </c>
      <c r="K33" s="168">
        <f t="shared" si="4"/>
        <v>0</v>
      </c>
      <c r="L33" s="272"/>
      <c r="M33" s="531">
        <f t="shared" si="3"/>
        <v>228238.61950000003</v>
      </c>
      <c r="N33" s="61"/>
    </row>
    <row r="34" spans="1:14" x14ac:dyDescent="0.25">
      <c r="A34" s="193">
        <v>31</v>
      </c>
      <c r="B34" s="184">
        <v>46326</v>
      </c>
      <c r="C34" s="61"/>
      <c r="D34" s="61"/>
      <c r="E34" s="167"/>
      <c r="F34" s="528"/>
      <c r="G34" s="168">
        <f t="shared" si="0"/>
        <v>0</v>
      </c>
      <c r="H34" s="167"/>
      <c r="I34" s="61"/>
      <c r="J34" s="168">
        <f t="shared" si="1"/>
        <v>0</v>
      </c>
      <c r="K34" s="168">
        <f t="shared" si="4"/>
        <v>0</v>
      </c>
      <c r="L34" s="272"/>
      <c r="M34" s="531">
        <f t="shared" ref="M34:M39" si="5">M33+K34-L34</f>
        <v>228238.61950000003</v>
      </c>
      <c r="N34" s="61"/>
    </row>
    <row r="35" spans="1:14" x14ac:dyDescent="0.25">
      <c r="A35" s="61"/>
      <c r="B35" s="532"/>
      <c r="C35" s="61"/>
      <c r="D35" s="61"/>
      <c r="E35" s="167"/>
      <c r="F35" s="528"/>
      <c r="G35" s="168">
        <f t="shared" si="0"/>
        <v>0</v>
      </c>
      <c r="H35" s="167"/>
      <c r="I35" s="61"/>
      <c r="J35" s="168">
        <f t="shared" si="1"/>
        <v>0</v>
      </c>
      <c r="K35" s="168">
        <f t="shared" si="4"/>
        <v>0</v>
      </c>
      <c r="L35" s="272"/>
      <c r="M35" s="531">
        <f t="shared" si="5"/>
        <v>228238.61950000003</v>
      </c>
      <c r="N35" s="61"/>
    </row>
    <row r="36" spans="1:14" x14ac:dyDescent="0.25">
      <c r="A36" s="61"/>
      <c r="B36" s="532"/>
      <c r="C36" s="61"/>
      <c r="D36" s="61"/>
      <c r="E36" s="167"/>
      <c r="F36" s="528"/>
      <c r="G36" s="168">
        <f t="shared" si="0"/>
        <v>0</v>
      </c>
      <c r="H36" s="167"/>
      <c r="I36" s="61"/>
      <c r="J36" s="168">
        <f t="shared" si="1"/>
        <v>0</v>
      </c>
      <c r="K36" s="168">
        <f t="shared" si="4"/>
        <v>0</v>
      </c>
      <c r="L36" s="272"/>
      <c r="M36" s="531">
        <f t="shared" si="5"/>
        <v>228238.61950000003</v>
      </c>
      <c r="N36" s="61"/>
    </row>
    <row r="37" spans="1:14" x14ac:dyDescent="0.25">
      <c r="A37" s="61"/>
      <c r="B37" s="532"/>
      <c r="C37" s="61"/>
      <c r="D37" s="61"/>
      <c r="E37" s="167"/>
      <c r="F37" s="528"/>
      <c r="G37" s="168">
        <f t="shared" si="0"/>
        <v>0</v>
      </c>
      <c r="H37" s="167"/>
      <c r="I37" s="61"/>
      <c r="J37" s="168">
        <f t="shared" si="1"/>
        <v>0</v>
      </c>
      <c r="K37" s="168">
        <f t="shared" si="4"/>
        <v>0</v>
      </c>
      <c r="L37" s="272"/>
      <c r="M37" s="531">
        <f t="shared" si="5"/>
        <v>228238.61950000003</v>
      </c>
      <c r="N37" s="61"/>
    </row>
    <row r="38" spans="1:14" x14ac:dyDescent="0.25">
      <c r="A38" s="61"/>
      <c r="B38" s="532"/>
      <c r="C38" s="61"/>
      <c r="D38" s="61"/>
      <c r="E38" s="167"/>
      <c r="F38" s="528"/>
      <c r="G38" s="168">
        <f t="shared" si="0"/>
        <v>0</v>
      </c>
      <c r="H38" s="167"/>
      <c r="I38" s="61"/>
      <c r="J38" s="168">
        <f t="shared" si="1"/>
        <v>0</v>
      </c>
      <c r="K38" s="168">
        <f t="shared" si="4"/>
        <v>0</v>
      </c>
      <c r="L38" s="272"/>
      <c r="M38" s="531">
        <f t="shared" si="5"/>
        <v>228238.61950000003</v>
      </c>
      <c r="N38" s="61"/>
    </row>
    <row r="39" spans="1:14" x14ac:dyDescent="0.25">
      <c r="A39" s="534"/>
      <c r="B39" s="533"/>
      <c r="C39" s="534"/>
      <c r="D39" s="61"/>
      <c r="E39" s="167"/>
      <c r="F39" s="528"/>
      <c r="G39" s="168">
        <f t="shared" ref="G5:G40" si="6">E39*F39</f>
        <v>0</v>
      </c>
      <c r="H39" s="167"/>
      <c r="I39" s="61"/>
      <c r="J39" s="168">
        <f t="shared" si="1"/>
        <v>0</v>
      </c>
      <c r="K39" s="168">
        <f t="shared" si="4"/>
        <v>0</v>
      </c>
      <c r="L39" s="272"/>
      <c r="M39" s="531">
        <f>M38+K39-L39</f>
        <v>228238.61950000003</v>
      </c>
      <c r="N39" s="534"/>
    </row>
    <row r="40" spans="1:14" x14ac:dyDescent="0.25">
      <c r="A40" s="61"/>
      <c r="B40" s="61"/>
      <c r="C40" s="61"/>
      <c r="D40" s="61"/>
      <c r="E40" s="167"/>
      <c r="F40" s="528"/>
      <c r="G40" s="168">
        <f t="shared" ref="G40:G42" si="7">E40*F40</f>
        <v>0</v>
      </c>
      <c r="H40" s="167"/>
      <c r="I40" s="61"/>
      <c r="J40" s="168">
        <f t="shared" si="1"/>
        <v>0</v>
      </c>
      <c r="K40" s="168">
        <f t="shared" si="4"/>
        <v>0</v>
      </c>
      <c r="L40" s="272"/>
      <c r="M40" s="531">
        <v>0</v>
      </c>
      <c r="N40" s="61"/>
    </row>
    <row r="41" spans="1:14" x14ac:dyDescent="0.25">
      <c r="A41" s="534"/>
      <c r="B41" s="534"/>
      <c r="C41" s="534"/>
      <c r="D41" s="61"/>
      <c r="E41" s="167"/>
      <c r="F41" s="528"/>
      <c r="G41" s="168">
        <f t="shared" si="7"/>
        <v>0</v>
      </c>
      <c r="H41" s="167"/>
      <c r="I41" s="61"/>
      <c r="J41" s="168">
        <f t="shared" ref="J5:J41" si="8">H41*I41</f>
        <v>0</v>
      </c>
      <c r="K41" s="168">
        <f t="shared" ref="K5:K41" si="9">G41+J41</f>
        <v>0</v>
      </c>
      <c r="L41" s="272"/>
      <c r="M41" s="401">
        <v>0</v>
      </c>
      <c r="N41" s="534"/>
    </row>
    <row r="42" spans="1:14" x14ac:dyDescent="0.25">
      <c r="A42" s="534"/>
      <c r="B42" s="534"/>
      <c r="C42" s="534"/>
      <c r="D42" s="61"/>
      <c r="E42" s="167"/>
      <c r="F42" s="528"/>
      <c r="G42" s="168">
        <f t="shared" si="7"/>
        <v>0</v>
      </c>
      <c r="H42" s="167"/>
      <c r="I42" s="61"/>
      <c r="J42" s="168">
        <f t="shared" ref="J42" si="10">H42*I42</f>
        <v>0</v>
      </c>
      <c r="K42" s="268">
        <f t="shared" ref="K42" si="11">G42+J42</f>
        <v>0</v>
      </c>
      <c r="L42" s="548"/>
      <c r="M42" s="401">
        <v>0</v>
      </c>
      <c r="N42" s="534"/>
    </row>
    <row r="43" spans="1:14" x14ac:dyDescent="0.25">
      <c r="A43" s="169"/>
      <c r="B43" s="169"/>
      <c r="C43" s="169"/>
      <c r="D43" s="169"/>
      <c r="E43" s="171">
        <f>SUM(E4:E42)</f>
        <v>876.51</v>
      </c>
      <c r="F43" s="171"/>
      <c r="G43" s="171">
        <f>SUM(G4:G42)</f>
        <v>87160.1544</v>
      </c>
      <c r="H43" s="171">
        <f>SUM(H4:H42)</f>
        <v>50.33</v>
      </c>
      <c r="I43" s="171"/>
      <c r="J43" s="171">
        <f>SUM(J4:J42)</f>
        <v>5671.8551</v>
      </c>
      <c r="K43" s="171">
        <f>SUM(K4:K42)</f>
        <v>92832.0095</v>
      </c>
      <c r="L43" s="171">
        <f>SUM(L4:L42)</f>
        <v>0</v>
      </c>
      <c r="M43" s="171"/>
      <c r="N43" s="171"/>
    </row>
    <row r="47" spans="17:17" x14ac:dyDescent="0.25">
      <c r="Q47">
        <v>9542400867</v>
      </c>
    </row>
  </sheetData>
  <mergeCells count="3">
    <mergeCell ref="A1:N1"/>
    <mergeCell ref="A3:L3"/>
    <mergeCell ref="M3:N3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 zoomScale="100" zoomScaleNormal="100">
      <pane ySplit="3" topLeftCell="A4" activePane="bottomLeft" state="frozen"/>
      <selection pane="bottomLeft" activeCell="M19" sqref="M19"/>
    </sheetView>
  </sheetViews>
  <sheetFormatPr defaultRowHeight="15" outlineLevelRow="0" outlineLevelCol="0" x14ac:dyDescent="0"/>
  <cols>
    <col min="2" max="2" width="10.140625" customWidth="1"/>
    <col min="3" max="3" width="11.7109375" customWidth="1"/>
    <col min="7" max="7" width="10.140625" customWidth="1"/>
    <col min="11" max="11" width="10.140625" customWidth="1"/>
    <col min="12" max="12" width="14.42578125" customWidth="1"/>
    <col min="13" max="13" width="10.7109375" customWidth="1"/>
    <col min="14" max="14" width="14.85546875" customWidth="1"/>
    <col min="16" max="16" width="10" customWidth="1"/>
  </cols>
  <sheetData>
    <row r="1" ht="15.75" customHeight="1" spans="1:14" x14ac:dyDescent="0.25">
      <c r="A1" s="325" t="s">
        <v>103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</row>
    <row r="2" ht="25.5" customHeight="1" spans="1:14" x14ac:dyDescent="0.25">
      <c r="A2" s="145" t="s">
        <v>0</v>
      </c>
      <c r="B2" s="146" t="s">
        <v>167</v>
      </c>
      <c r="C2" s="146" t="s">
        <v>168</v>
      </c>
      <c r="D2" s="146" t="s">
        <v>169</v>
      </c>
      <c r="E2" s="146" t="s">
        <v>170</v>
      </c>
      <c r="F2" s="146" t="s">
        <v>171</v>
      </c>
      <c r="G2" s="146" t="s">
        <v>172</v>
      </c>
      <c r="H2" s="146" t="s">
        <v>173</v>
      </c>
      <c r="I2" s="146" t="s">
        <v>171</v>
      </c>
      <c r="J2" s="146" t="s">
        <v>172</v>
      </c>
      <c r="K2" s="146" t="s">
        <v>174</v>
      </c>
      <c r="L2" s="146" t="s">
        <v>175</v>
      </c>
      <c r="M2" s="146" t="s">
        <v>190</v>
      </c>
      <c r="N2" s="146" t="s">
        <v>177</v>
      </c>
    </row>
    <row r="3" spans="1:14" x14ac:dyDescent="0.25">
      <c r="A3" s="148" t="s">
        <v>178</v>
      </c>
      <c r="B3" s="149"/>
      <c r="C3" s="149"/>
      <c r="D3" s="149"/>
      <c r="E3" s="149"/>
      <c r="F3" s="149"/>
      <c r="G3" s="149"/>
      <c r="H3" s="149"/>
      <c r="I3" s="149"/>
      <c r="J3" s="150"/>
      <c r="K3">
        <v>126009.99409999978</v>
      </c>
      <c r="L3" s="326"/>
      <c r="M3" s="326">
        <v>126009.99409999978</v>
      </c>
      <c r="N3" s="153"/>
    </row>
    <row r="4" spans="1:14" x14ac:dyDescent="0.25">
      <c r="A4" s="115">
        <v>1</v>
      </c>
      <c r="B4" s="116">
        <v>46296</v>
      </c>
      <c r="C4" s="153"/>
      <c r="D4" s="327"/>
      <c r="E4" s="155"/>
      <c r="F4" s="155"/>
      <c r="G4" s="155">
        <f>E4*F4</f>
        <v>0</v>
      </c>
      <c r="H4" s="155"/>
      <c r="I4" s="155"/>
      <c r="J4" s="155">
        <f>H4*I4</f>
        <v>0</v>
      </c>
      <c r="K4" s="155">
        <f>G4+J4</f>
        <v>0</v>
      </c>
      <c r="L4" s="155"/>
      <c r="M4" s="155">
        <f t="shared" ref="M4:M33" si="0">M3+K4-L4</f>
        <v>126009.99409999978</v>
      </c>
      <c r="N4" s="153"/>
    </row>
    <row r="5" spans="1:14" x14ac:dyDescent="0.25">
      <c r="A5" s="115">
        <v>2</v>
      </c>
      <c r="B5" s="116">
        <v>46297</v>
      </c>
      <c r="C5" s="153"/>
      <c r="D5" s="327"/>
      <c r="E5" s="155"/>
      <c r="F5" s="155"/>
      <c r="G5" s="155">
        <f t="shared" ref="G5:G31" si="1">E5*F5</f>
        <v>0</v>
      </c>
      <c r="H5" s="155"/>
      <c r="I5" s="155"/>
      <c r="J5" s="155">
        <f t="shared" ref="J5:J31" si="2">H5*I5</f>
        <v>0</v>
      </c>
      <c r="K5" s="155">
        <f t="shared" ref="K5:K31" si="3">G5+J5</f>
        <v>0</v>
      </c>
      <c r="L5" s="155"/>
      <c r="M5" s="155">
        <f t="shared" si="0"/>
        <v>126009.99409999978</v>
      </c>
      <c r="N5" s="153"/>
    </row>
    <row r="6" spans="1:14" x14ac:dyDescent="0.25">
      <c r="A6" s="115">
        <v>3</v>
      </c>
      <c r="B6" s="116">
        <v>46298</v>
      </c>
      <c r="C6" s="153"/>
      <c r="D6" s="327"/>
      <c r="E6" s="155"/>
      <c r="F6" s="155"/>
      <c r="G6" s="155">
        <f t="shared" si="1"/>
        <v>0</v>
      </c>
      <c r="H6" s="155"/>
      <c r="I6" s="155"/>
      <c r="J6" s="155">
        <f t="shared" si="2"/>
        <v>0</v>
      </c>
      <c r="K6" s="155">
        <f t="shared" si="3"/>
        <v>0</v>
      </c>
      <c r="L6" s="155"/>
      <c r="M6" s="155">
        <f t="shared" si="0"/>
        <v>126009.99409999978</v>
      </c>
      <c r="N6" s="328"/>
    </row>
    <row r="7" spans="1:14" x14ac:dyDescent="0.25">
      <c r="A7" s="115">
        <v>4</v>
      </c>
      <c r="B7" s="116">
        <v>46299</v>
      </c>
      <c r="C7" s="153"/>
      <c r="D7" s="327"/>
      <c r="E7" s="155"/>
      <c r="F7" s="155"/>
      <c r="G7" s="155">
        <f t="shared" si="1"/>
        <v>0</v>
      </c>
      <c r="H7" s="155"/>
      <c r="I7" s="155"/>
      <c r="J7" s="155">
        <f t="shared" si="2"/>
        <v>0</v>
      </c>
      <c r="K7" s="155">
        <f t="shared" si="3"/>
        <v>0</v>
      </c>
      <c r="L7" s="155"/>
      <c r="M7" s="155">
        <f t="shared" si="0"/>
        <v>126009.99409999978</v>
      </c>
      <c r="N7" s="328"/>
    </row>
    <row r="8" spans="1:14" x14ac:dyDescent="0.25">
      <c r="A8" s="115">
        <v>5</v>
      </c>
      <c r="B8" s="116">
        <v>46300</v>
      </c>
      <c r="C8" s="153"/>
      <c r="D8" s="327"/>
      <c r="E8" s="155"/>
      <c r="F8" s="155"/>
      <c r="G8" s="155">
        <f t="shared" ref="G8:G20" si="4">E8*F8</f>
        <v>0</v>
      </c>
      <c r="H8" s="155"/>
      <c r="I8" s="155"/>
      <c r="J8" s="155">
        <f t="shared" ref="J8:J20" si="5">H8*I8</f>
        <v>0</v>
      </c>
      <c r="K8" s="155">
        <f t="shared" ref="K8:K34" si="6">G8+J8</f>
        <v>0</v>
      </c>
      <c r="L8" s="155"/>
      <c r="M8" s="155">
        <f t="shared" si="0"/>
        <v>126009.99409999978</v>
      </c>
      <c r="N8" s="328"/>
    </row>
    <row r="9" spans="1:14" x14ac:dyDescent="0.25">
      <c r="A9" s="115">
        <v>6</v>
      </c>
      <c r="B9" s="116">
        <v>46301</v>
      </c>
      <c r="C9" s="153"/>
      <c r="D9" s="327"/>
      <c r="E9" s="155"/>
      <c r="F9" s="155"/>
      <c r="G9" s="155">
        <f t="shared" si="4"/>
        <v>0</v>
      </c>
      <c r="H9" s="155"/>
      <c r="I9" s="155"/>
      <c r="J9" s="155">
        <f t="shared" si="5"/>
        <v>0</v>
      </c>
      <c r="K9" s="155">
        <f t="shared" si="6"/>
        <v>0</v>
      </c>
      <c r="L9" s="155"/>
      <c r="M9" s="155">
        <f t="shared" si="0"/>
        <v>126009.99409999978</v>
      </c>
      <c r="N9" s="328"/>
    </row>
    <row r="10" spans="1:14" x14ac:dyDescent="0.25">
      <c r="A10" s="115">
        <v>7</v>
      </c>
      <c r="B10" s="116">
        <v>46302</v>
      </c>
      <c r="C10" s="153"/>
      <c r="D10" s="327"/>
      <c r="E10" s="155"/>
      <c r="F10" s="155"/>
      <c r="G10" s="155">
        <f t="shared" si="4"/>
        <v>0</v>
      </c>
      <c r="H10" s="155"/>
      <c r="I10" s="155"/>
      <c r="J10" s="155">
        <f t="shared" si="5"/>
        <v>0</v>
      </c>
      <c r="K10" s="155">
        <f t="shared" si="6"/>
        <v>0</v>
      </c>
      <c r="L10" s="155"/>
      <c r="M10" s="155">
        <f t="shared" si="0"/>
        <v>126009.99409999978</v>
      </c>
      <c r="N10" s="328"/>
    </row>
    <row r="11" spans="1:14" x14ac:dyDescent="0.25">
      <c r="A11" s="115">
        <v>8</v>
      </c>
      <c r="B11" s="116">
        <v>46303</v>
      </c>
      <c r="C11" s="153"/>
      <c r="D11" s="327"/>
      <c r="E11" s="155"/>
      <c r="F11" s="155"/>
      <c r="G11" s="155">
        <f t="shared" si="4"/>
        <v>0</v>
      </c>
      <c r="H11" s="155"/>
      <c r="I11" s="155"/>
      <c r="J11" s="155">
        <f t="shared" si="5"/>
        <v>0</v>
      </c>
      <c r="K11" s="155">
        <f t="shared" si="6"/>
        <v>0</v>
      </c>
      <c r="L11" s="155"/>
      <c r="M11" s="155">
        <f t="shared" si="0"/>
        <v>126009.99409999978</v>
      </c>
      <c r="N11" s="328"/>
    </row>
    <row r="12" spans="1:14" x14ac:dyDescent="0.25">
      <c r="A12" s="115">
        <v>9</v>
      </c>
      <c r="B12" s="116">
        <v>46304</v>
      </c>
      <c r="C12" s="153"/>
      <c r="D12" s="327"/>
      <c r="E12" s="155"/>
      <c r="F12" s="155"/>
      <c r="G12" s="155">
        <f t="shared" si="4"/>
        <v>0</v>
      </c>
      <c r="H12" s="155"/>
      <c r="I12" s="155"/>
      <c r="J12" s="155">
        <f t="shared" si="5"/>
        <v>0</v>
      </c>
      <c r="K12" s="155">
        <f t="shared" si="6"/>
        <v>0</v>
      </c>
      <c r="L12" s="155"/>
      <c r="M12" s="155">
        <f t="shared" si="0"/>
        <v>126009.99409999978</v>
      </c>
      <c r="N12" s="328"/>
    </row>
    <row r="13" spans="1:14" x14ac:dyDescent="0.25">
      <c r="A13" s="115">
        <v>10</v>
      </c>
      <c r="B13" s="116">
        <v>46305</v>
      </c>
      <c r="C13" s="153"/>
      <c r="D13" s="327"/>
      <c r="E13" s="155">
        <v>0</v>
      </c>
      <c r="F13" s="155">
        <v>0</v>
      </c>
      <c r="G13" s="155">
        <f t="shared" si="4"/>
        <v>0</v>
      </c>
      <c r="H13" s="155">
        <v>0</v>
      </c>
      <c r="I13" s="155">
        <v>0</v>
      </c>
      <c r="J13" s="155">
        <f t="shared" si="5"/>
        <v>0</v>
      </c>
      <c r="K13" s="155">
        <f t="shared" si="6"/>
        <v>0</v>
      </c>
      <c r="L13" s="155">
        <v>0</v>
      </c>
      <c r="M13" s="155">
        <f t="shared" si="0"/>
        <v>126009.99409999978</v>
      </c>
      <c r="N13" s="328"/>
    </row>
    <row r="14" spans="1:14" x14ac:dyDescent="0.25">
      <c r="A14" s="115">
        <v>11</v>
      </c>
      <c r="B14" s="116">
        <v>46306</v>
      </c>
      <c r="C14" s="153"/>
      <c r="D14" s="327"/>
      <c r="E14" s="155">
        <v>1000</v>
      </c>
      <c r="F14" s="155">
        <v>99.36</v>
      </c>
      <c r="G14" s="155">
        <f t="shared" ref="G14" si="7">E14*F14</f>
        <v>99360</v>
      </c>
      <c r="H14" s="155">
        <v>100</v>
      </c>
      <c r="I14" s="155">
        <v>111.68</v>
      </c>
      <c r="J14" s="155">
        <f t="shared" ref="J14" si="8">H14*I14</f>
        <v>11168</v>
      </c>
      <c r="K14" s="155">
        <f t="shared" ref="K14" si="9">G14+J14</f>
        <v>110528</v>
      </c>
      <c r="L14" s="155">
        <v>126000</v>
      </c>
      <c r="M14" s="155">
        <f t="shared" si="0"/>
        <v>110537.99409999978</v>
      </c>
      <c r="N14" s="328"/>
    </row>
    <row r="15" spans="1:14" x14ac:dyDescent="0.25">
      <c r="A15" s="115">
        <v>12</v>
      </c>
      <c r="B15" s="116">
        <v>46307</v>
      </c>
      <c r="C15" s="153"/>
      <c r="D15" s="327"/>
      <c r="E15" s="155"/>
      <c r="F15" s="155"/>
      <c r="G15" s="155">
        <f t="shared" si="4"/>
        <v>0</v>
      </c>
      <c r="H15" s="155"/>
      <c r="I15" s="155"/>
      <c r="J15" s="155">
        <f t="shared" si="5"/>
        <v>0</v>
      </c>
      <c r="K15" s="155">
        <f t="shared" si="6"/>
        <v>0</v>
      </c>
      <c r="L15" s="155"/>
      <c r="M15" s="155">
        <f t="shared" si="0"/>
        <v>110537.99409999978</v>
      </c>
      <c r="N15" s="328"/>
    </row>
    <row r="16" spans="1:14" x14ac:dyDescent="0.25">
      <c r="A16" s="115">
        <v>13</v>
      </c>
      <c r="B16" s="116">
        <v>46308</v>
      </c>
      <c r="C16" s="153"/>
      <c r="D16" s="327"/>
      <c r="E16" s="155"/>
      <c r="F16" s="155"/>
      <c r="G16" s="155">
        <f t="shared" si="4"/>
        <v>0</v>
      </c>
      <c r="H16" s="155"/>
      <c r="I16" s="155"/>
      <c r="J16" s="155">
        <f t="shared" si="5"/>
        <v>0</v>
      </c>
      <c r="K16" s="155">
        <f t="shared" si="6"/>
        <v>0</v>
      </c>
      <c r="L16" s="155"/>
      <c r="M16" s="155">
        <f t="shared" si="0"/>
        <v>110537.99409999978</v>
      </c>
      <c r="N16" s="328"/>
    </row>
    <row r="17" spans="1:14" x14ac:dyDescent="0.25">
      <c r="A17" s="115">
        <v>14</v>
      </c>
      <c r="B17" s="116">
        <v>46309</v>
      </c>
      <c r="C17" s="153"/>
      <c r="D17" s="327"/>
      <c r="E17" s="155"/>
      <c r="F17" s="155"/>
      <c r="G17" s="155">
        <f t="shared" si="4"/>
        <v>0</v>
      </c>
      <c r="H17" s="155"/>
      <c r="I17" s="155"/>
      <c r="J17" s="155">
        <f t="shared" si="5"/>
        <v>0</v>
      </c>
      <c r="K17" s="155">
        <f t="shared" si="6"/>
        <v>0</v>
      </c>
      <c r="L17" s="155"/>
      <c r="M17" s="155">
        <f t="shared" si="0"/>
        <v>110537.99409999978</v>
      </c>
      <c r="N17" s="328"/>
    </row>
    <row r="18" spans="1:14" x14ac:dyDescent="0.25">
      <c r="A18" s="115">
        <v>15</v>
      </c>
      <c r="B18" s="116">
        <v>46310</v>
      </c>
      <c r="C18" s="153"/>
      <c r="D18" s="327"/>
      <c r="E18" s="155"/>
      <c r="F18" s="155"/>
      <c r="G18" s="155">
        <f t="shared" si="4"/>
        <v>0</v>
      </c>
      <c r="H18" s="155"/>
      <c r="I18" s="155"/>
      <c r="J18" s="155">
        <f t="shared" si="5"/>
        <v>0</v>
      </c>
      <c r="K18" s="155">
        <f t="shared" si="6"/>
        <v>0</v>
      </c>
      <c r="L18" s="155"/>
      <c r="M18" s="155">
        <f t="shared" si="0"/>
        <v>110537.99409999978</v>
      </c>
      <c r="N18" s="328"/>
    </row>
    <row r="19" spans="1:14" x14ac:dyDescent="0.25">
      <c r="A19" s="115">
        <v>16</v>
      </c>
      <c r="B19" s="116">
        <v>46311</v>
      </c>
      <c r="C19" s="153"/>
      <c r="D19" s="327"/>
      <c r="E19" s="155"/>
      <c r="F19" s="155"/>
      <c r="G19" s="155">
        <f t="shared" si="4"/>
        <v>0</v>
      </c>
      <c r="H19" s="155"/>
      <c r="I19" s="155"/>
      <c r="J19" s="155">
        <f t="shared" si="5"/>
        <v>0</v>
      </c>
      <c r="K19" s="155">
        <f t="shared" si="6"/>
        <v>0</v>
      </c>
      <c r="L19" s="155">
        <v>100000</v>
      </c>
      <c r="M19" s="155">
        <f t="shared" si="0"/>
        <v>10537.994099999778</v>
      </c>
      <c r="N19" s="328"/>
    </row>
    <row r="20" spans="1:14" x14ac:dyDescent="0.25">
      <c r="A20" s="115">
        <v>17</v>
      </c>
      <c r="B20" s="116">
        <v>46312</v>
      </c>
      <c r="C20" s="153"/>
      <c r="D20" s="327"/>
      <c r="E20" s="155"/>
      <c r="F20" s="155"/>
      <c r="G20" s="155">
        <f t="shared" si="4"/>
        <v>0</v>
      </c>
      <c r="H20" s="155"/>
      <c r="I20" s="155"/>
      <c r="J20" s="155">
        <f t="shared" si="5"/>
        <v>0</v>
      </c>
      <c r="K20" s="155">
        <f t="shared" si="6"/>
        <v>0</v>
      </c>
      <c r="L20" s="155"/>
      <c r="M20" s="155">
        <f t="shared" si="0"/>
        <v>10537.994099999778</v>
      </c>
      <c r="N20" s="328"/>
    </row>
    <row r="21" spans="1:14" x14ac:dyDescent="0.25">
      <c r="A21" s="115">
        <v>18</v>
      </c>
      <c r="B21" s="116">
        <v>46313</v>
      </c>
      <c r="C21" s="153"/>
      <c r="D21" s="327"/>
      <c r="E21" s="155"/>
      <c r="F21" s="155"/>
      <c r="G21" s="155">
        <f t="shared" si="1"/>
        <v>0</v>
      </c>
      <c r="H21" s="155"/>
      <c r="I21" s="155"/>
      <c r="J21" s="155">
        <f t="shared" si="2"/>
        <v>0</v>
      </c>
      <c r="K21" s="155">
        <f t="shared" si="6"/>
        <v>0</v>
      </c>
      <c r="L21" s="155"/>
      <c r="M21" s="155">
        <f t="shared" si="0"/>
        <v>10537.994099999778</v>
      </c>
      <c r="N21" s="328"/>
    </row>
    <row r="22" spans="1:14" x14ac:dyDescent="0.25">
      <c r="A22" s="115">
        <v>19</v>
      </c>
      <c r="B22" s="116">
        <v>46314</v>
      </c>
      <c r="C22" s="153"/>
      <c r="D22" s="327"/>
      <c r="E22" s="155"/>
      <c r="F22" s="155"/>
      <c r="G22" s="155">
        <f t="shared" si="1"/>
        <v>0</v>
      </c>
      <c r="H22" s="155"/>
      <c r="I22" s="155"/>
      <c r="J22" s="155">
        <f t="shared" si="2"/>
        <v>0</v>
      </c>
      <c r="K22" s="155">
        <f t="shared" si="6"/>
        <v>0</v>
      </c>
      <c r="L22" s="155"/>
      <c r="M22" s="155">
        <f t="shared" si="0"/>
        <v>10537.994099999778</v>
      </c>
      <c r="N22" s="328"/>
    </row>
    <row r="23" spans="1:14" x14ac:dyDescent="0.25">
      <c r="A23" s="115">
        <v>20</v>
      </c>
      <c r="B23" s="116">
        <v>46315</v>
      </c>
      <c r="C23" s="153"/>
      <c r="D23" s="327"/>
      <c r="E23" s="155"/>
      <c r="F23" s="155"/>
      <c r="G23" s="155">
        <f t="shared" si="1"/>
        <v>0</v>
      </c>
      <c r="H23" s="155"/>
      <c r="I23" s="155"/>
      <c r="J23" s="155">
        <f t="shared" si="2"/>
        <v>0</v>
      </c>
      <c r="K23" s="155">
        <f t="shared" si="6"/>
        <v>0</v>
      </c>
      <c r="L23" s="155"/>
      <c r="M23" s="155">
        <f t="shared" si="0"/>
        <v>10537.994099999778</v>
      </c>
      <c r="N23" s="328"/>
    </row>
    <row r="24" spans="1:14" x14ac:dyDescent="0.25">
      <c r="A24" s="115">
        <v>21</v>
      </c>
      <c r="B24" s="116">
        <v>46316</v>
      </c>
      <c r="C24" s="153"/>
      <c r="D24" s="327"/>
      <c r="E24" s="155"/>
      <c r="F24" s="155"/>
      <c r="G24" s="155">
        <f t="shared" si="1"/>
        <v>0</v>
      </c>
      <c r="H24" s="155"/>
      <c r="I24" s="155"/>
      <c r="J24" s="155">
        <f t="shared" si="2"/>
        <v>0</v>
      </c>
      <c r="K24" s="155">
        <f t="shared" si="6"/>
        <v>0</v>
      </c>
      <c r="L24" s="155"/>
      <c r="M24" s="155">
        <f t="shared" si="0"/>
        <v>10537.994099999778</v>
      </c>
      <c r="N24" s="328"/>
    </row>
    <row r="25" spans="1:14" x14ac:dyDescent="0.25">
      <c r="A25" s="115">
        <v>22</v>
      </c>
      <c r="B25" s="116">
        <v>46317</v>
      </c>
      <c r="C25" s="153"/>
      <c r="D25" s="327"/>
      <c r="E25" s="155"/>
      <c r="F25" s="155"/>
      <c r="G25" s="155">
        <f t="shared" ref="G25:G33" si="10">E25*F25</f>
        <v>0</v>
      </c>
      <c r="H25" s="155"/>
      <c r="I25" s="155"/>
      <c r="J25" s="155">
        <f t="shared" ref="J25:J33" si="11">H25*I25</f>
        <v>0</v>
      </c>
      <c r="K25" s="155">
        <f t="shared" si="6"/>
        <v>0</v>
      </c>
      <c r="L25" s="155"/>
      <c r="M25" s="155">
        <f t="shared" si="0"/>
        <v>10537.994099999778</v>
      </c>
      <c r="N25" s="328"/>
    </row>
    <row r="26" spans="1:14" x14ac:dyDescent="0.25">
      <c r="A26" s="115">
        <v>23</v>
      </c>
      <c r="B26" s="116">
        <v>46318</v>
      </c>
      <c r="C26" s="153"/>
      <c r="D26" s="327"/>
      <c r="E26" s="155"/>
      <c r="F26" s="155"/>
      <c r="G26" s="155">
        <f t="shared" si="10"/>
        <v>0</v>
      </c>
      <c r="H26" s="155"/>
      <c r="I26" s="155"/>
      <c r="J26" s="155">
        <f t="shared" si="11"/>
        <v>0</v>
      </c>
      <c r="K26" s="155">
        <f t="shared" si="6"/>
        <v>0</v>
      </c>
      <c r="L26" s="155"/>
      <c r="M26" s="155">
        <f t="shared" si="0"/>
        <v>10537.994099999778</v>
      </c>
      <c r="N26" s="328"/>
    </row>
    <row r="27" spans="1:14" x14ac:dyDescent="0.25">
      <c r="A27" s="115">
        <v>24</v>
      </c>
      <c r="B27" s="116">
        <v>46319</v>
      </c>
      <c r="C27" s="153"/>
      <c r="D27" s="327"/>
      <c r="E27" s="155"/>
      <c r="F27" s="155"/>
      <c r="G27" s="155">
        <f t="shared" si="10"/>
        <v>0</v>
      </c>
      <c r="H27" s="155"/>
      <c r="I27" s="155"/>
      <c r="J27" s="155">
        <f t="shared" si="11"/>
        <v>0</v>
      </c>
      <c r="K27" s="155">
        <f t="shared" si="6"/>
        <v>0</v>
      </c>
      <c r="L27" s="155"/>
      <c r="M27" s="155">
        <f t="shared" si="0"/>
        <v>10537.994099999778</v>
      </c>
      <c r="N27" s="328"/>
    </row>
    <row r="28" spans="1:14" x14ac:dyDescent="0.25">
      <c r="A28" s="115">
        <v>25</v>
      </c>
      <c r="B28" s="116">
        <v>46320</v>
      </c>
      <c r="C28" s="153"/>
      <c r="D28" s="327"/>
      <c r="E28" s="155"/>
      <c r="F28" s="155"/>
      <c r="G28" s="155">
        <f t="shared" si="10"/>
        <v>0</v>
      </c>
      <c r="H28" s="155"/>
      <c r="I28" s="155"/>
      <c r="J28" s="155">
        <f t="shared" si="11"/>
        <v>0</v>
      </c>
      <c r="K28" s="155">
        <f t="shared" si="6"/>
        <v>0</v>
      </c>
      <c r="L28" s="155"/>
      <c r="M28" s="155">
        <f t="shared" si="0"/>
        <v>10537.994099999778</v>
      </c>
      <c r="N28" s="328"/>
    </row>
    <row r="29" spans="1:14" x14ac:dyDescent="0.25">
      <c r="A29" s="115">
        <v>26</v>
      </c>
      <c r="B29" s="116">
        <v>46321</v>
      </c>
      <c r="C29" s="153"/>
      <c r="D29" s="327"/>
      <c r="E29" s="155"/>
      <c r="F29" s="155"/>
      <c r="G29" s="155">
        <f t="shared" si="10"/>
        <v>0</v>
      </c>
      <c r="H29" s="155"/>
      <c r="I29" s="155"/>
      <c r="J29" s="155">
        <f t="shared" si="11"/>
        <v>0</v>
      </c>
      <c r="K29" s="155">
        <f t="shared" si="6"/>
        <v>0</v>
      </c>
      <c r="L29" s="155"/>
      <c r="M29" s="155">
        <f t="shared" si="0"/>
        <v>10537.994099999778</v>
      </c>
      <c r="N29" s="328"/>
    </row>
    <row r="30" spans="1:14" x14ac:dyDescent="0.25">
      <c r="A30" s="115">
        <v>27</v>
      </c>
      <c r="B30" s="116">
        <v>46322</v>
      </c>
      <c r="C30" s="153"/>
      <c r="D30" s="327"/>
      <c r="E30" s="155"/>
      <c r="F30" s="155"/>
      <c r="G30" s="155">
        <f t="shared" si="10"/>
        <v>0</v>
      </c>
      <c r="H30" s="155"/>
      <c r="I30" s="155"/>
      <c r="J30" s="155">
        <f t="shared" si="11"/>
        <v>0</v>
      </c>
      <c r="K30" s="155">
        <f t="shared" si="6"/>
        <v>0</v>
      </c>
      <c r="L30" s="155"/>
      <c r="M30" s="155">
        <f t="shared" si="0"/>
        <v>10537.994099999778</v>
      </c>
      <c r="N30" s="328"/>
    </row>
    <row r="31" spans="1:14" x14ac:dyDescent="0.25">
      <c r="A31" s="115">
        <v>28</v>
      </c>
      <c r="B31" s="116">
        <v>46323</v>
      </c>
      <c r="C31" s="153"/>
      <c r="D31" s="327"/>
      <c r="E31" s="155"/>
      <c r="F31" s="155"/>
      <c r="G31" s="155">
        <f t="shared" si="10"/>
        <v>0</v>
      </c>
      <c r="H31" s="155"/>
      <c r="I31" s="155"/>
      <c r="J31" s="155">
        <f t="shared" si="11"/>
        <v>0</v>
      </c>
      <c r="K31" s="155">
        <f t="shared" si="6"/>
        <v>0</v>
      </c>
      <c r="L31" s="155"/>
      <c r="M31" s="155">
        <f t="shared" si="0"/>
        <v>10537.994099999778</v>
      </c>
      <c r="N31" s="328"/>
    </row>
    <row r="32" spans="1:14" x14ac:dyDescent="0.25">
      <c r="A32" s="115">
        <v>29</v>
      </c>
      <c r="B32" s="116">
        <v>46324</v>
      </c>
      <c r="C32" s="153"/>
      <c r="D32" s="327"/>
      <c r="E32" s="155"/>
      <c r="F32" s="155"/>
      <c r="G32" s="155">
        <f t="shared" si="10"/>
        <v>0</v>
      </c>
      <c r="H32" s="155"/>
      <c r="I32" s="155"/>
      <c r="J32" s="155">
        <f t="shared" si="11"/>
        <v>0</v>
      </c>
      <c r="K32" s="155">
        <f t="shared" si="6"/>
        <v>0</v>
      </c>
      <c r="L32" s="155"/>
      <c r="M32" s="155">
        <f t="shared" si="0"/>
        <v>10537.994099999778</v>
      </c>
      <c r="N32" s="328"/>
    </row>
    <row r="33" spans="1:14" x14ac:dyDescent="0.25">
      <c r="A33" s="115">
        <v>30</v>
      </c>
      <c r="B33" s="116">
        <v>46325</v>
      </c>
      <c r="C33" s="153"/>
      <c r="D33" s="327"/>
      <c r="E33" s="155"/>
      <c r="F33" s="155"/>
      <c r="G33" s="155">
        <f t="shared" si="10"/>
        <v>0</v>
      </c>
      <c r="H33" s="155"/>
      <c r="I33" s="155"/>
      <c r="J33" s="155">
        <f t="shared" si="11"/>
        <v>0</v>
      </c>
      <c r="K33" s="155">
        <f t="shared" si="6"/>
        <v>0</v>
      </c>
      <c r="L33" s="155"/>
      <c r="M33" s="155">
        <f t="shared" si="0"/>
        <v>10537.994099999778</v>
      </c>
      <c r="N33" s="328"/>
    </row>
    <row r="34" spans="1:14" x14ac:dyDescent="0.25">
      <c r="A34" s="115">
        <v>31</v>
      </c>
      <c r="B34" s="116">
        <v>46326</v>
      </c>
      <c r="C34" s="153"/>
      <c r="D34" s="327"/>
      <c r="E34" s="155"/>
      <c r="F34" s="155"/>
      <c r="G34" s="155"/>
      <c r="H34" s="155"/>
      <c r="I34" s="155"/>
      <c r="J34" s="155"/>
      <c r="K34" s="155">
        <f t="shared" si="6"/>
        <v>0</v>
      </c>
      <c r="L34" s="155"/>
      <c r="M34" s="155"/>
      <c r="N34" s="328"/>
    </row>
    <row r="35" spans="1:14" x14ac:dyDescent="0.25">
      <c r="A35" s="121"/>
      <c r="B35" s="121"/>
      <c r="C35" s="121"/>
      <c r="D35" s="121"/>
      <c r="E35" s="136">
        <f>SUM(E4:E34)</f>
        <v>1000</v>
      </c>
      <c r="F35" s="136"/>
      <c r="G35" s="136">
        <f>SUM(G4:G34)</f>
        <v>99360</v>
      </c>
      <c r="H35" s="136">
        <f>SUM(H4:H34)</f>
        <v>100</v>
      </c>
      <c r="I35" s="136"/>
      <c r="J35" s="136">
        <f>SUM(J4:J34)</f>
        <v>11168</v>
      </c>
      <c r="K35" s="136">
        <f>SUM(K4:K34)</f>
        <v>110528</v>
      </c>
      <c r="L35" s="136">
        <f>SUM(L4:L34)</f>
        <v>226000</v>
      </c>
      <c r="M35" s="136"/>
      <c r="N35" s="136"/>
    </row>
  </sheetData>
  <mergeCells count="2">
    <mergeCell ref="A1:N1"/>
    <mergeCell ref="A3:J3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82"/>
  <sheetViews>
    <sheetView workbookViewId="0" zoomScale="100" zoomScaleNormal="100">
      <selection activeCell="K58" sqref="K58"/>
    </sheetView>
  </sheetViews>
  <sheetFormatPr defaultRowHeight="15.75" outlineLevelRow="0" outlineLevelCol="0" x14ac:dyDescent="0" defaultColWidth="8.28515625" customHeight="1"/>
  <cols>
    <col min="1" max="1" width="8.28515625" style="21" customWidth="1"/>
    <col min="2" max="2" width="25" style="21" customWidth="1"/>
    <col min="3" max="3" width="34.5703125" style="21" customWidth="1"/>
    <col min="4" max="4" width="13.5703125" style="21" customWidth="1"/>
    <col min="5" max="5" width="15.42578125" style="21" customWidth="1"/>
    <col min="6" max="6" width="14.5703125" style="21" customWidth="1"/>
    <col min="7" max="7" width="16.5703125" style="21" customWidth="1"/>
    <col min="8" max="8" width="18" style="21" customWidth="1"/>
    <col min="9" max="9" width="17.42578125" style="21" customWidth="1"/>
    <col min="10" max="10" width="16.7109375" style="21" customWidth="1"/>
    <col min="11" max="11" width="20.42578125" style="21" customWidth="1"/>
    <col min="12" max="12" width="22.7109375" style="21" customWidth="1"/>
    <col min="13" max="13" width="16.85546875" style="21" customWidth="1"/>
    <col min="14" max="16384" width="8.28515625" style="21" customWidth="1"/>
  </cols>
  <sheetData>
    <row r="1" spans="1:11" x14ac:dyDescent="0.25">
      <c r="A1" s="22" t="s">
        <v>55</v>
      </c>
      <c r="B1" s="23" t="s">
        <v>56</v>
      </c>
      <c r="C1" s="23" t="s">
        <v>57</v>
      </c>
      <c r="D1" s="24" t="s">
        <v>58</v>
      </c>
      <c r="E1" s="24" t="s">
        <v>59</v>
      </c>
      <c r="F1" s="24" t="s">
        <v>60</v>
      </c>
      <c r="G1" s="24" t="s">
        <v>61</v>
      </c>
      <c r="H1" s="24" t="s">
        <v>62</v>
      </c>
      <c r="I1" s="24" t="s">
        <v>63</v>
      </c>
      <c r="J1" s="24" t="s">
        <v>64</v>
      </c>
      <c r="K1" s="25" t="s">
        <v>65</v>
      </c>
    </row>
    <row r="2" spans="1:11" x14ac:dyDescent="0.25">
      <c r="A2" s="26">
        <v>1</v>
      </c>
      <c r="B2" s="27" t="s">
        <v>66</v>
      </c>
      <c r="C2" s="27" t="s">
        <v>67</v>
      </c>
      <c r="D2" s="28">
        <f>+'Khammam-1'!E38</f>
        <v>5000</v>
      </c>
      <c r="E2" s="28">
        <f>+'Khammam-1'!G38</f>
        <v>519000</v>
      </c>
      <c r="F2" s="28">
        <f>+'Khammam-1'!H38</f>
        <v>350</v>
      </c>
      <c r="G2" s="28">
        <f>+'Khammam-1'!J38</f>
        <v>40491.5</v>
      </c>
      <c r="H2" s="28">
        <f>E2+G2</f>
        <v>559491.5</v>
      </c>
      <c r="I2" s="28">
        <f>+'Khammam-1'!K3</f>
        <v>4131883.81</v>
      </c>
      <c r="J2" s="28">
        <f>+'Khammam-1'!L38</f>
        <v>400000</v>
      </c>
      <c r="K2" s="29">
        <f>H2+I2-J2</f>
        <v>4291375.3100000005</v>
      </c>
    </row>
    <row r="3" spans="1:11" x14ac:dyDescent="0.25">
      <c r="A3" s="26">
        <v>2</v>
      </c>
      <c r="B3" s="27" t="s">
        <v>68</v>
      </c>
      <c r="C3" s="27" t="s">
        <v>69</v>
      </c>
      <c r="D3" s="28">
        <f>+'Khammam-2'!E39</f>
        <v>29600</v>
      </c>
      <c r="E3" s="28">
        <f>+'Khammam-2'!G39</f>
        <v>3073072</v>
      </c>
      <c r="F3" s="28">
        <f>+'Khammam-2'!H39</f>
        <v>130</v>
      </c>
      <c r="G3" s="28">
        <f>+'Khammam-2'!J39</f>
        <v>15043.599999999999</v>
      </c>
      <c r="H3" s="28">
        <f>E3+G3</f>
        <v>3088115.6</v>
      </c>
      <c r="I3" s="28">
        <f>+'Khammam-2'!K3</f>
        <v>4248603.5600000005</v>
      </c>
      <c r="J3" s="28">
        <f>+'Khammam-2'!L39</f>
        <v>2000000</v>
      </c>
      <c r="K3" s="29">
        <f>H3+I3-J3</f>
        <v>5336719.16</v>
      </c>
    </row>
    <row r="4" spans="1:11" x14ac:dyDescent="0.25">
      <c r="A4" s="26">
        <v>4</v>
      </c>
      <c r="B4" s="30" t="s">
        <v>70</v>
      </c>
      <c r="C4" s="27" t="s">
        <v>71</v>
      </c>
      <c r="D4" s="28">
        <f>+'Khammam-4'!E35</f>
        <v>2700</v>
      </c>
      <c r="E4" s="28">
        <f>+'Khammam-4'!G35</f>
        <v>279774</v>
      </c>
      <c r="F4" s="28">
        <f>+'Khammam-4'!H35</f>
        <v>75</v>
      </c>
      <c r="G4" s="28">
        <f>+'Khammam-4'!J35</f>
        <v>8661.75</v>
      </c>
      <c r="H4" s="28">
        <f t="shared" ref="H4:H5" si="0">E4+G4</f>
        <v>288435.75</v>
      </c>
      <c r="I4" s="28">
        <f>+'Khammam-4'!M3</f>
        <v>3141611.0999999996</v>
      </c>
      <c r="J4" s="28">
        <f>+'Khammam-4'!L35</f>
        <v>288435.75</v>
      </c>
      <c r="K4" s="29">
        <f t="shared" ref="K4:K6" si="1">H4+I4-J4</f>
        <v>3141611.0999999996</v>
      </c>
    </row>
    <row r="5" spans="1:11" x14ac:dyDescent="0.25">
      <c r="A5" s="26">
        <v>5</v>
      </c>
      <c r="B5" s="30" t="s">
        <v>70</v>
      </c>
      <c r="C5" s="27" t="s">
        <v>72</v>
      </c>
      <c r="D5" s="28">
        <f>+' Khammam-5'!E35</f>
        <v>0</v>
      </c>
      <c r="E5" s="28">
        <f>+' Khammam-5'!G35</f>
        <v>0</v>
      </c>
      <c r="F5" s="28">
        <f>+' Khammam-5'!H35</f>
        <v>0</v>
      </c>
      <c r="G5" s="28">
        <f>+' Khammam-5'!J35</f>
        <v>0</v>
      </c>
      <c r="H5" s="28">
        <f t="shared" si="0"/>
        <v>0</v>
      </c>
      <c r="I5" s="28">
        <f>+' Khammam-5'!M3</f>
        <v>1445001.85</v>
      </c>
      <c r="J5" s="28">
        <f>+' Khammam-5'!L35</f>
        <v>0</v>
      </c>
      <c r="K5" s="29">
        <f t="shared" si="1"/>
        <v>1445001.85</v>
      </c>
    </row>
    <row r="6" spans="1:11" x14ac:dyDescent="0.25">
      <c r="A6" s="26">
        <v>6</v>
      </c>
      <c r="B6" s="27" t="s">
        <v>73</v>
      </c>
      <c r="C6" s="27" t="s">
        <v>74</v>
      </c>
      <c r="D6" s="28">
        <f>+' Khammam&amp;Cash'!E46</f>
        <v>0</v>
      </c>
      <c r="E6" s="28">
        <f>+' Khammam&amp;Cash'!G46</f>
        <v>0</v>
      </c>
      <c r="F6" s="28">
        <f>+' Khammam&amp;Cash'!H46</f>
        <v>0</v>
      </c>
      <c r="G6" s="28">
        <f>+' Khammam&amp;Cash'!J46</f>
        <v>0</v>
      </c>
      <c r="H6" s="28">
        <f>E6+G6</f>
        <v>0</v>
      </c>
      <c r="I6" s="28">
        <f>+' Khammam&amp;Cash'!M3</f>
        <v>0</v>
      </c>
      <c r="J6" s="28">
        <f>+' Khammam&amp;Cash'!L46</f>
        <v>0</v>
      </c>
      <c r="K6" s="29">
        <f t="shared" si="1"/>
        <v>0</v>
      </c>
    </row>
    <row r="7" spans="1:11" x14ac:dyDescent="0.25">
      <c r="A7" s="26">
        <v>7</v>
      </c>
      <c r="B7" s="27" t="s">
        <v>75</v>
      </c>
      <c r="C7" s="27" t="s">
        <v>76</v>
      </c>
      <c r="D7" s="28">
        <f>+'Jadcherla-4'!E35</f>
        <v>100</v>
      </c>
      <c r="E7" s="28">
        <f>+'Jadcherla-4'!G35</f>
        <v>10442</v>
      </c>
      <c r="F7" s="28">
        <f>+'Jadcherla-4'!H35</f>
        <v>0</v>
      </c>
      <c r="G7" s="28">
        <f>+'Jadcherla-4'!J35</f>
        <v>0</v>
      </c>
      <c r="H7" s="28">
        <f>E7+G7</f>
        <v>10442</v>
      </c>
      <c r="I7" s="28">
        <f>+'Jadcherla-4'!M3</f>
        <v>47858.17999999999</v>
      </c>
      <c r="J7" s="28">
        <f>+'Jadcherla-4'!L35</f>
        <v>50000</v>
      </c>
      <c r="K7" s="29">
        <f>H7+I7-J7</f>
        <v>8300.179999999993</v>
      </c>
    </row>
    <row r="8" spans="1:11" x14ac:dyDescent="0.25">
      <c r="A8" s="26">
        <v>8</v>
      </c>
      <c r="B8" s="27" t="s">
        <v>77</v>
      </c>
      <c r="C8" s="27" t="s">
        <v>78</v>
      </c>
      <c r="D8" s="28">
        <f>+' Sangareddy-2'!E35</f>
        <v>0</v>
      </c>
      <c r="E8" s="28">
        <f>+' Sangareddy-2'!G35</f>
        <v>0</v>
      </c>
      <c r="F8" s="28">
        <f>+' Sangareddy-2'!H35</f>
        <v>0</v>
      </c>
      <c r="G8" s="28">
        <f>+' Sangareddy-2'!J35</f>
        <v>0</v>
      </c>
      <c r="H8" s="28">
        <f>E8+G8</f>
        <v>0</v>
      </c>
      <c r="I8" s="28">
        <f>+' Sangareddy-2'!M3</f>
        <v>0</v>
      </c>
      <c r="J8" s="28">
        <f>+' Sangareddy-2'!L35</f>
        <v>0</v>
      </c>
      <c r="K8" s="29">
        <f>H8+I8-J8</f>
        <v>0</v>
      </c>
    </row>
    <row r="9" spans="1:11" x14ac:dyDescent="0.25">
      <c r="A9" s="26">
        <v>9</v>
      </c>
      <c r="B9" s="27" t="s">
        <v>79</v>
      </c>
      <c r="C9" s="27" t="s">
        <v>80</v>
      </c>
      <c r="D9" s="28">
        <f>+' Sangareddy-3'!E36</f>
        <v>5520</v>
      </c>
      <c r="E9" s="28">
        <f>+' Sangareddy-3'!G36</f>
        <v>576012</v>
      </c>
      <c r="F9" s="28">
        <f>+' Sangareddy-3'!H36</f>
        <v>60</v>
      </c>
      <c r="G9" s="28">
        <f>+' Sangareddy-3'!J36</f>
        <v>6975</v>
      </c>
      <c r="H9" s="28">
        <f>E9+G9</f>
        <v>582987</v>
      </c>
      <c r="I9" s="28">
        <f>+' Sangareddy-3'!M3</f>
        <v>366809.49289999984</v>
      </c>
      <c r="J9" s="28">
        <f>+' Sangareddy-3'!L36</f>
        <v>0</v>
      </c>
      <c r="K9" s="31">
        <f>H9+I9-J9</f>
        <v>949796.4928999998</v>
      </c>
    </row>
    <row r="10" spans="1:11" x14ac:dyDescent="0.25">
      <c r="A10" s="26">
        <v>10</v>
      </c>
      <c r="B10" s="27" t="s">
        <v>81</v>
      </c>
      <c r="C10" s="32" t="s">
        <v>82</v>
      </c>
      <c r="D10" s="33">
        <f>Narayankhed!E36</f>
        <v>1522.5610000000001</v>
      </c>
      <c r="E10" s="33">
        <f>+Narayankhed!G36</f>
        <v>160000.19883</v>
      </c>
      <c r="F10" s="33">
        <f>+Narayankhed!H36</f>
        <v>0</v>
      </c>
      <c r="G10" s="33">
        <f>+Narayankhed!J36</f>
        <v>0</v>
      </c>
      <c r="H10" s="33">
        <f>E10+G10</f>
        <v>160000.19883</v>
      </c>
      <c r="I10" s="33">
        <f>+Narayankhed!M3</f>
        <v>0</v>
      </c>
      <c r="J10" s="34">
        <f>+Narayankhed!L36</f>
        <v>160000.19883</v>
      </c>
      <c r="K10" s="29">
        <f>H10+I10-J10</f>
        <v>0</v>
      </c>
    </row>
    <row r="11" spans="1:11" x14ac:dyDescent="0.25">
      <c r="A11" s="26">
        <v>11</v>
      </c>
      <c r="B11" s="35" t="s">
        <v>83</v>
      </c>
      <c r="C11" s="27" t="s">
        <v>84</v>
      </c>
      <c r="D11" s="28">
        <f>+Dindi!E35</f>
        <v>67.52</v>
      </c>
      <c r="E11" s="28">
        <f>+Dindi!G35</f>
        <v>7086.224</v>
      </c>
      <c r="F11" s="28">
        <f>+Dindi!H35</f>
        <v>0</v>
      </c>
      <c r="G11" s="28">
        <f>+Dindi!J35</f>
        <v>0</v>
      </c>
      <c r="H11" s="28">
        <f>E11+G11</f>
        <v>7086.224</v>
      </c>
      <c r="I11" s="28">
        <f>+Dindi!M3</f>
        <v>0</v>
      </c>
      <c r="J11" s="36">
        <f>+Dindi!L35</f>
        <v>7086.224</v>
      </c>
      <c r="K11" s="29">
        <f t="shared" ref="K11:K54" si="2">H11+I11-J11</f>
        <v>0</v>
      </c>
    </row>
    <row r="12" spans="1:11" x14ac:dyDescent="0.25">
      <c r="A12" s="26">
        <v>12</v>
      </c>
      <c r="B12" s="35" t="s">
        <v>85</v>
      </c>
      <c r="C12" s="27" t="s">
        <v>86</v>
      </c>
      <c r="D12" s="28">
        <f>+'Madana palli'!E37</f>
        <v>0</v>
      </c>
      <c r="E12" s="28">
        <f>+'Madana palli'!G37</f>
        <v>0</v>
      </c>
      <c r="F12" s="28">
        <f>+'Madana palli'!H37</f>
        <v>0</v>
      </c>
      <c r="G12" s="28">
        <f>+'Madana palli'!J37</f>
        <v>0</v>
      </c>
      <c r="H12" s="28">
        <f>E12+G12</f>
        <v>0</v>
      </c>
      <c r="I12" s="28">
        <f>+'Madana palli'!M3</f>
        <v>0</v>
      </c>
      <c r="J12" s="36">
        <f>+'Madana palli'!L37</f>
        <v>0</v>
      </c>
      <c r="K12" s="29">
        <f t="shared" si="2"/>
        <v>0</v>
      </c>
    </row>
    <row r="13" spans="1:11" x14ac:dyDescent="0.25">
      <c r="A13" s="26">
        <v>13</v>
      </c>
      <c r="B13" s="35" t="s">
        <v>87</v>
      </c>
      <c r="C13" s="27" t="s">
        <v>88</v>
      </c>
      <c r="D13" s="28">
        <f>+'Sri Venkateshwara Services'!E37</f>
        <v>2274.37</v>
      </c>
      <c r="E13" s="28">
        <f>+'Sri Venkateshwara Services'!G37</f>
        <v>238081.0516</v>
      </c>
      <c r="F13" s="28">
        <f>+'Sri Venkateshwara Services'!H37</f>
        <v>426</v>
      </c>
      <c r="G13" s="28">
        <f>+'Sri Venkateshwara Services'!J37</f>
        <v>49824.95999999999</v>
      </c>
      <c r="H13" s="28">
        <f>E13+G13</f>
        <v>287906.01159999997</v>
      </c>
      <c r="I13" s="28">
        <f>+'Sri Venkateshwara Services'!M3</f>
        <v>115419.83792000005</v>
      </c>
      <c r="J13" s="36">
        <f>+'Sri Venkateshwara Services'!L37</f>
        <v>338000</v>
      </c>
      <c r="K13" s="29">
        <f t="shared" si="2"/>
        <v>65325.84952000005</v>
      </c>
    </row>
    <row r="14" spans="1:11" x14ac:dyDescent="0.25">
      <c r="A14" s="26">
        <v>14</v>
      </c>
      <c r="B14" s="35" t="s">
        <v>89</v>
      </c>
      <c r="C14" s="27" t="s">
        <v>90</v>
      </c>
      <c r="D14" s="28">
        <f>+' Solasa Krishna OIl'!E37</f>
        <v>2252.17</v>
      </c>
      <c r="E14" s="28">
        <f>+' Solasa Krishna OIl'!G37</f>
        <v>237378.718</v>
      </c>
      <c r="F14" s="28">
        <f>+' Solasa Krishna OIl'!H37</f>
        <v>40.2</v>
      </c>
      <c r="G14" s="28">
        <f>+' Solasa Krishna OIl'!J37</f>
        <v>4733.147999999999</v>
      </c>
      <c r="H14" s="28">
        <f t="shared" ref="H14:H15" si="3">E14+G14</f>
        <v>242111.86599999998</v>
      </c>
      <c r="I14" s="28">
        <f>+' Solasa Krishna OIl'!M3</f>
        <v>238901.5364</v>
      </c>
      <c r="J14" s="36">
        <f>+' Solasa Krishna OIl'!L37</f>
        <v>200000</v>
      </c>
      <c r="K14" s="29">
        <f t="shared" si="2"/>
        <v>281013.4024</v>
      </c>
    </row>
    <row r="15" spans="1:11" x14ac:dyDescent="0.25">
      <c r="A15" s="26">
        <v>15</v>
      </c>
      <c r="B15" s="35" t="s">
        <v>91</v>
      </c>
      <c r="C15" s="27" t="s">
        <v>92</v>
      </c>
      <c r="D15" s="28">
        <f>+'Amalapuram(KKD)'!E37</f>
        <v>5710</v>
      </c>
      <c r="E15" s="28">
        <f>+'Amalapuram(KKD)'!G37</f>
        <v>600977.5</v>
      </c>
      <c r="F15" s="28">
        <f>+'Amalapuram(KKD)'!H37</f>
        <v>113.55</v>
      </c>
      <c r="G15" s="28">
        <f>+'Amalapuram(KKD)'!J37</f>
        <v>13351.208999999997</v>
      </c>
      <c r="H15" s="28">
        <f t="shared" si="3"/>
        <v>614328.709</v>
      </c>
      <c r="I15" s="28">
        <f>+'Amalapuram(KKD)'!M3</f>
        <v>519637.7649999999</v>
      </c>
      <c r="J15" s="36">
        <f>+'Amalapuram(KKD)'!L37</f>
        <v>1000000</v>
      </c>
      <c r="K15" s="29">
        <f t="shared" si="2"/>
        <v>133966.47399999993</v>
      </c>
    </row>
    <row r="16" spans="1:11" x14ac:dyDescent="0.25">
      <c r="A16" s="26">
        <v>16</v>
      </c>
      <c r="B16" s="35" t="s">
        <v>93</v>
      </c>
      <c r="C16" s="37" t="s">
        <v>94</v>
      </c>
      <c r="D16" s="28">
        <f>+'Yeleshwaram(KKD)'!E37</f>
        <v>1087</v>
      </c>
      <c r="E16" s="28">
        <f>+'Yeleshwaram(KKD)'!G37</f>
        <v>114635.01999999999</v>
      </c>
      <c r="F16" s="28">
        <f>+'Yeleshwaram(KKD)'!H37</f>
        <v>110</v>
      </c>
      <c r="G16" s="28">
        <f>+'Yeleshwaram(KKD)'!J37</f>
        <v>12962.4</v>
      </c>
      <c r="H16" s="28">
        <f>E16+G16</f>
        <v>127597.41999999998</v>
      </c>
      <c r="I16" s="28">
        <f>+'Yeleshwaram(KKD)'!M3</f>
        <v>17080.342799999984</v>
      </c>
      <c r="J16" s="36">
        <f>+'Yeleshwaram(KKD)'!L37</f>
        <v>80000</v>
      </c>
      <c r="K16" s="29">
        <f t="shared" si="2"/>
        <v>64677.76279999997</v>
      </c>
    </row>
    <row r="17" spans="1:11" x14ac:dyDescent="0.25">
      <c r="A17" s="26">
        <v>17</v>
      </c>
      <c r="B17" s="35" t="s">
        <v>95</v>
      </c>
      <c r="C17" s="37" t="s">
        <v>96</v>
      </c>
      <c r="D17" s="28">
        <f>+' Pitapram(KKD)'!E37</f>
        <v>1222.54</v>
      </c>
      <c r="E17" s="28">
        <f>+' Pitapram(KKD)'!G37</f>
        <v>128623.4334</v>
      </c>
      <c r="F17" s="28">
        <f>+' Pitapram(KKD)'!H37</f>
        <v>55</v>
      </c>
      <c r="G17" s="28">
        <f>+' Pitapram(KKD)'!J37</f>
        <v>6466.9</v>
      </c>
      <c r="H17" s="28">
        <f>E17+G17</f>
        <v>135090.3334</v>
      </c>
      <c r="I17" s="28">
        <f>+' Pitapram(KKD)'!M3</f>
        <v>291832.9843</v>
      </c>
      <c r="J17" s="36">
        <f>+' Pitapram(KKD)'!L37</f>
        <v>423000</v>
      </c>
      <c r="K17" s="29">
        <f t="shared" si="2"/>
        <v>3923.317700000014</v>
      </c>
    </row>
    <row r="18" spans="1:11" x14ac:dyDescent="0.25">
      <c r="A18" s="26">
        <v>18</v>
      </c>
      <c r="B18" s="35" t="s">
        <v>97</v>
      </c>
      <c r="C18" s="27" t="s">
        <v>98</v>
      </c>
      <c r="D18" s="28">
        <f>+' Pitapram(KKD)'!E38</f>
        <v>0</v>
      </c>
      <c r="E18" s="28">
        <f>+' Pitapram(KKD)'!G38</f>
        <v>0</v>
      </c>
      <c r="F18" s="28">
        <f>+' Pitapram(KKD)'!H38</f>
        <v>0</v>
      </c>
      <c r="G18" s="28">
        <f>+' Pitapram(KKD)'!J38</f>
        <v>0</v>
      </c>
      <c r="H18" s="28">
        <f>E18+G18</f>
        <v>0</v>
      </c>
      <c r="I18" s="28">
        <f>+'Multiple bunks(KKD)'!M3</f>
        <v>0</v>
      </c>
      <c r="J18" s="36">
        <f>+' Pitapram(KKD)'!L38</f>
        <v>0</v>
      </c>
      <c r="K18" s="29">
        <f>H18+I18-J18</f>
        <v>0</v>
      </c>
    </row>
    <row r="19" spans="1:11" x14ac:dyDescent="0.25">
      <c r="A19" s="26">
        <v>19</v>
      </c>
      <c r="B19" s="35" t="s">
        <v>99</v>
      </c>
      <c r="C19" s="27" t="s">
        <v>100</v>
      </c>
      <c r="D19" s="28">
        <f>+'YG Gudda'!E39</f>
        <v>4600</v>
      </c>
      <c r="E19" s="28">
        <f>+'YG Gudda'!G39</f>
        <v>456044</v>
      </c>
      <c r="F19" s="28">
        <f>+'YG Gudda'!H39</f>
        <v>210</v>
      </c>
      <c r="G19" s="28">
        <f>+'YG Gudda'!J39</f>
        <v>23360.4</v>
      </c>
      <c r="H19" s="28">
        <f t="shared" ref="H19:H20" si="4">E19+G19</f>
        <v>479404.4</v>
      </c>
      <c r="I19" s="28">
        <f>+'YG Gudda'!M3</f>
        <v>305951.7599030002</v>
      </c>
      <c r="J19" s="36">
        <f>+'YG Gudda'!L39</f>
        <v>600000</v>
      </c>
      <c r="K19" s="29">
        <f t="shared" si="2"/>
        <v>185356.15990300023</v>
      </c>
    </row>
    <row r="20" spans="1:11" x14ac:dyDescent="0.25">
      <c r="A20" s="26">
        <v>20</v>
      </c>
      <c r="B20" s="35" t="s">
        <v>99</v>
      </c>
      <c r="C20" s="27" t="s">
        <v>101</v>
      </c>
      <c r="D20" s="28">
        <f>+' YG Gudda-2'!E39</f>
        <v>800</v>
      </c>
      <c r="E20" s="28">
        <f>+' YG Gudda-2'!G39</f>
        <v>79216</v>
      </c>
      <c r="F20" s="28">
        <f>+' YG Gudda-2'!H39</f>
        <v>35</v>
      </c>
      <c r="G20" s="28">
        <f>+' YG Gudda-2'!J39</f>
        <v>3889.2000000000003</v>
      </c>
      <c r="H20" s="28">
        <f t="shared" si="4"/>
        <v>83105.2</v>
      </c>
      <c r="I20" s="28">
        <f>+' YG Gudda-2'!M3</f>
        <v>255923.31919999997</v>
      </c>
      <c r="J20" s="36">
        <f>+' YG Gudda-2'!L39</f>
        <v>200000</v>
      </c>
      <c r="K20" s="29">
        <f t="shared" si="2"/>
        <v>139028.51919999998</v>
      </c>
    </row>
    <row r="21" spans="1:11" x14ac:dyDescent="0.25">
      <c r="A21" s="26">
        <v>21</v>
      </c>
      <c r="B21" s="27" t="s">
        <v>102</v>
      </c>
      <c r="C21" s="38" t="s">
        <v>103</v>
      </c>
      <c r="D21" s="39">
        <f>+'Hosadurga -2'!E35</f>
        <v>1000</v>
      </c>
      <c r="E21" s="39">
        <f>+'Hosadurga -2'!G35</f>
        <v>99360</v>
      </c>
      <c r="F21" s="39">
        <f>+'Hosadurga -2'!H35</f>
        <v>100</v>
      </c>
      <c r="G21" s="39">
        <f>+'Hosadurga -2'!J35</f>
        <v>11168</v>
      </c>
      <c r="H21" s="39">
        <f>+'Hosadurga -2'!K35</f>
        <v>110528</v>
      </c>
      <c r="I21" s="39">
        <f>+'Hosadurga -2'!M3</f>
        <v>126009.99409999978</v>
      </c>
      <c r="J21" s="40">
        <f>+'Hosadurga -2'!L35</f>
        <v>226000</v>
      </c>
      <c r="K21" s="29">
        <f>H21+I21-J21</f>
        <v>10537.994099999778</v>
      </c>
    </row>
    <row r="22" ht="15.75" customHeight="1" spans="1:11" x14ac:dyDescent="0.25">
      <c r="A22" s="26">
        <v>22</v>
      </c>
      <c r="B22" s="41" t="s">
        <v>104</v>
      </c>
      <c r="C22" s="41" t="s">
        <v>105</v>
      </c>
      <c r="D22" s="28">
        <f>+'Malebenur(KUWSDB)'!E39</f>
        <v>3866.63</v>
      </c>
      <c r="E22" s="28">
        <f>+'Malebenur(KUWSDB)'!G39</f>
        <v>386591.6641</v>
      </c>
      <c r="F22" s="28">
        <f>+'Malebenur(KUWSDB)'!H39</f>
        <v>109.99</v>
      </c>
      <c r="G22" s="28">
        <f>+'Malebenur(KUWSDB)'!J39</f>
        <v>12319.979099999999</v>
      </c>
      <c r="H22" s="28">
        <f>E22+G22</f>
        <v>398911.6432</v>
      </c>
      <c r="I22" s="28">
        <f>+'Malebenur(KUWSDB)'!M3</f>
        <v>290892.1099</v>
      </c>
      <c r="J22" s="36">
        <f>+'Malebenur(KUWSDB)'!L39</f>
        <v>300029.2432</v>
      </c>
      <c r="K22" s="29">
        <f>H22+I22-J22</f>
        <v>389774.50989999995</v>
      </c>
    </row>
    <row r="23" spans="1:11" x14ac:dyDescent="0.25">
      <c r="A23" s="26">
        <v>23</v>
      </c>
      <c r="B23" s="27" t="s">
        <v>106</v>
      </c>
      <c r="C23" s="27" t="s">
        <v>107</v>
      </c>
      <c r="D23" s="28">
        <f>+Kadur!E35</f>
        <v>0</v>
      </c>
      <c r="E23" s="28">
        <f>+Kadur!G35</f>
        <v>0</v>
      </c>
      <c r="F23" s="28">
        <f>+Kadur!H35</f>
        <v>0</v>
      </c>
      <c r="G23" s="28">
        <f>+Kadur!J35</f>
        <v>0</v>
      </c>
      <c r="H23" s="28">
        <f t="shared" ref="H23:H54" si="5">E23+G23</f>
        <v>0</v>
      </c>
      <c r="I23" s="28">
        <f>+Kadur!K3</f>
        <v>175658</v>
      </c>
      <c r="J23" s="36">
        <f>+Kadur!L35</f>
        <v>100000</v>
      </c>
      <c r="K23" s="29">
        <f>H23+I23-J23</f>
        <v>75658</v>
      </c>
    </row>
    <row r="24" spans="1:11" x14ac:dyDescent="0.25">
      <c r="A24" s="26">
        <v>24</v>
      </c>
      <c r="B24" s="27" t="s">
        <v>108</v>
      </c>
      <c r="C24" s="27" t="s">
        <v>109</v>
      </c>
      <c r="D24" s="28">
        <f>+'Hiriyur(VJNL)'!E35</f>
        <v>2600</v>
      </c>
      <c r="E24" s="28">
        <f>+'Hiriyur(VJNL)'!G35</f>
        <v>260182</v>
      </c>
      <c r="F24" s="28">
        <f>+'Hiriyur(VJNL)'!H35</f>
        <v>120</v>
      </c>
      <c r="G24" s="28">
        <f>+'Hiriyur(VJNL)'!J35</f>
        <v>13450.8</v>
      </c>
      <c r="H24" s="28">
        <f t="shared" si="5"/>
        <v>273632.8</v>
      </c>
      <c r="I24" s="28">
        <f>+'Hiriyur(VJNL)'!K3</f>
        <v>212444.10000000006</v>
      </c>
      <c r="J24" s="28">
        <f>+'Hiriyur(VJNL)'!L35</f>
        <v>278000</v>
      </c>
      <c r="K24" s="42">
        <f t="shared" si="2"/>
        <v>208076.90000000002</v>
      </c>
    </row>
    <row r="25" spans="1:11" x14ac:dyDescent="0.25">
      <c r="A25" s="26">
        <v>25</v>
      </c>
      <c r="B25" s="27" t="s">
        <v>110</v>
      </c>
      <c r="C25" s="27" t="s">
        <v>111</v>
      </c>
      <c r="D25" s="28">
        <f>+'Chellakere -1'!E38</f>
        <v>1800</v>
      </c>
      <c r="E25" s="28">
        <f>+'Chellakere -1'!G38</f>
        <v>180054</v>
      </c>
      <c r="F25" s="28">
        <f>+'Chellakere -1'!H38</f>
        <v>105</v>
      </c>
      <c r="G25" s="28">
        <f>+'Chellakere -1'!J38</f>
        <v>11764.2</v>
      </c>
      <c r="H25" s="28">
        <f t="shared" si="5"/>
        <v>191818.2</v>
      </c>
      <c r="I25" s="28">
        <f>+'Chellakere -1'!K3</f>
        <v>0</v>
      </c>
      <c r="J25" s="28">
        <f>+'Chellakere -1'!L38</f>
        <v>200000</v>
      </c>
      <c r="K25" s="29">
        <f t="shared" si="2"/>
        <v>-8181.799999999988</v>
      </c>
    </row>
    <row r="26" spans="1:11" x14ac:dyDescent="0.25">
      <c r="A26" s="26">
        <v>26</v>
      </c>
      <c r="B26" s="27" t="s">
        <v>112</v>
      </c>
      <c r="C26" s="27" t="s">
        <v>111</v>
      </c>
      <c r="D26" s="28">
        <f>+' Chellakere-PKG-9'!E38</f>
        <v>283.42</v>
      </c>
      <c r="E26" s="28">
        <f>+' Chellakere-PKG-9'!G38</f>
        <v>28349.9686</v>
      </c>
      <c r="F26" s="28">
        <f>+' Chellakere-PKG-9'!H38</f>
        <v>30</v>
      </c>
      <c r="G26" s="28">
        <f>+' Chellakere-PKG-9'!J38</f>
        <v>3361.2</v>
      </c>
      <c r="H26" s="28">
        <f t="shared" si="5"/>
        <v>31711.1686</v>
      </c>
      <c r="I26" s="28">
        <f>+' Chellakere-PKG-9'!M3</f>
        <v>0</v>
      </c>
      <c r="J26" s="28">
        <f>+' Chellakere-PKG-9'!L38</f>
        <v>21028.4986</v>
      </c>
      <c r="K26" s="29">
        <f t="shared" si="2"/>
        <v>10682.670000000002</v>
      </c>
    </row>
    <row r="27" spans="1:11" x14ac:dyDescent="0.25">
      <c r="A27" s="26">
        <v>27</v>
      </c>
      <c r="B27" s="27" t="s">
        <v>113</v>
      </c>
      <c r="C27" s="43" t="s">
        <v>114</v>
      </c>
      <c r="D27" s="28">
        <f>+Molakamuru!E35</f>
        <v>500</v>
      </c>
      <c r="E27" s="28">
        <f>+Molakamuru!G35</f>
        <v>50015</v>
      </c>
      <c r="F27" s="28">
        <f>+Molakamuru!H35</f>
        <v>40</v>
      </c>
      <c r="G27" s="28">
        <f>+Molakamuru!J35</f>
        <v>4481.2</v>
      </c>
      <c r="H27" s="28">
        <f>E27+G27</f>
        <v>54496.2</v>
      </c>
      <c r="I27" s="28">
        <f>+Molakamuru!K3</f>
        <v>44770.66</v>
      </c>
      <c r="J27" s="28">
        <f>+Molakamuru!L35</f>
        <v>0</v>
      </c>
      <c r="K27" s="29">
        <f>H27+I27-J27</f>
        <v>99266.86</v>
      </c>
    </row>
    <row r="28" spans="1:11" x14ac:dyDescent="0.25">
      <c r="A28" s="26">
        <v>28</v>
      </c>
      <c r="B28" s="27" t="s">
        <v>115</v>
      </c>
      <c r="C28" s="44" t="s">
        <v>86</v>
      </c>
      <c r="D28" s="28">
        <f>+' Chennagiri'!E35</f>
        <v>615</v>
      </c>
      <c r="E28" s="28">
        <f>+' Chennagiri'!G35</f>
        <v>61411.7</v>
      </c>
      <c r="F28" s="28">
        <f>+' Chennagiri'!H35</f>
        <v>35</v>
      </c>
      <c r="G28" s="28">
        <f>+' Chennagiri'!J35</f>
        <v>3921.05</v>
      </c>
      <c r="H28" s="28">
        <f t="shared" si="5"/>
        <v>65332.75</v>
      </c>
      <c r="I28" s="28">
        <f>+' Chennagiri'!K3</f>
        <v>0</v>
      </c>
      <c r="J28" s="28">
        <f>+' Chennagiri'!L35</f>
        <v>65332.75</v>
      </c>
      <c r="K28" s="29">
        <f t="shared" si="2"/>
        <v>0</v>
      </c>
    </row>
    <row r="29" spans="1:11" x14ac:dyDescent="0.25">
      <c r="A29" s="26">
        <v>29</v>
      </c>
      <c r="B29" s="27" t="s">
        <v>116</v>
      </c>
      <c r="C29" s="27" t="s">
        <v>117</v>
      </c>
      <c r="D29" s="28">
        <f>+Khanapur!E35</f>
        <v>245.6</v>
      </c>
      <c r="E29" s="28">
        <f>+Khanapur!G35</f>
        <v>24266.9056</v>
      </c>
      <c r="F29" s="28">
        <f>+Khanapur!H35</f>
        <v>60</v>
      </c>
      <c r="G29" s="28">
        <f>+Khanapur!J35</f>
        <v>6644.399999999999</v>
      </c>
      <c r="H29" s="28">
        <f t="shared" si="5"/>
        <v>30911.305599999996</v>
      </c>
      <c r="I29" s="28">
        <f>+Khanapur!M3</f>
        <v>120785.12899999997</v>
      </c>
      <c r="J29" s="28">
        <f>+Khanapur!L35</f>
        <v>100000</v>
      </c>
      <c r="K29" s="29">
        <f t="shared" si="2"/>
        <v>51696.43459999998</v>
      </c>
    </row>
    <row r="30" spans="1:11" x14ac:dyDescent="0.25">
      <c r="A30" s="26">
        <v>30</v>
      </c>
      <c r="B30" s="27" t="s">
        <v>118</v>
      </c>
      <c r="C30" s="27" t="s">
        <v>119</v>
      </c>
      <c r="D30" s="28">
        <f>+'Munavali-2'!E40</f>
        <v>2000</v>
      </c>
      <c r="E30" s="28">
        <f>+'Munavali-2'!G40</f>
        <v>198700</v>
      </c>
      <c r="F30" s="28">
        <f>+'Munavali-2'!H40</f>
        <v>0</v>
      </c>
      <c r="G30" s="28">
        <f>+'Munavali-2'!J40</f>
        <v>0</v>
      </c>
      <c r="H30" s="28">
        <f t="shared" si="5"/>
        <v>198700</v>
      </c>
      <c r="I30" s="28">
        <f>+'Munavali-2'!M3</f>
        <v>263421.5</v>
      </c>
      <c r="J30" s="28">
        <f>+'Munavali-2'!L40</f>
        <v>363000</v>
      </c>
      <c r="K30" s="29">
        <f t="shared" si="2"/>
        <v>99121.5</v>
      </c>
    </row>
    <row r="31" spans="1:11" x14ac:dyDescent="0.25">
      <c r="A31" s="26">
        <v>31</v>
      </c>
      <c r="B31" s="27" t="s">
        <v>118</v>
      </c>
      <c r="C31" s="27" t="s">
        <v>120</v>
      </c>
      <c r="D31" s="28">
        <f>+' Munavali'!E39</f>
        <v>0</v>
      </c>
      <c r="E31" s="28">
        <f>+' Munavali'!G39</f>
        <v>0</v>
      </c>
      <c r="F31" s="28">
        <f>+' Munavali'!H39</f>
        <v>150</v>
      </c>
      <c r="G31" s="28">
        <f>+' Munavali'!J39</f>
        <v>16681.5</v>
      </c>
      <c r="H31" s="28">
        <f t="shared" si="5"/>
        <v>16681.5</v>
      </c>
      <c r="I31" s="28">
        <f>+' Munavali'!M3</f>
        <v>30045.06679999966</v>
      </c>
      <c r="J31" s="28">
        <f>+' Munavali'!L39</f>
        <v>0</v>
      </c>
      <c r="K31" s="29">
        <f t="shared" si="2"/>
        <v>46726.56679999966</v>
      </c>
    </row>
    <row r="32" spans="1:11" x14ac:dyDescent="0.25">
      <c r="A32" s="26">
        <v>33</v>
      </c>
      <c r="B32" s="27" t="s">
        <v>121</v>
      </c>
      <c r="C32" s="27" t="s">
        <v>122</v>
      </c>
      <c r="D32" s="28">
        <f>+'Ugar,Khagwad,Kudichi'!E38</f>
        <v>2722.45</v>
      </c>
      <c r="E32" s="28">
        <f>+'Ugar,Khagwad,Kudichi'!G38</f>
        <v>271502.23709999997</v>
      </c>
      <c r="F32" s="28">
        <f>+'Ugar,Khagwad,Kudichi'!H38</f>
        <v>215</v>
      </c>
      <c r="G32" s="28">
        <f>+'Ugar,Khagwad,Kudichi'!J38</f>
        <v>24048.8</v>
      </c>
      <c r="H32" s="28">
        <f t="shared" si="5"/>
        <v>295551.03709999996</v>
      </c>
      <c r="I32" s="28">
        <f>+'Ugar,Khagwad,Kudichi'!M3</f>
        <v>300655.80450000026</v>
      </c>
      <c r="J32" s="28">
        <f>+'Ugar,Khagwad,Kudichi'!L38</f>
        <v>161435.4895</v>
      </c>
      <c r="K32" s="29">
        <f>H32+I32-J32</f>
        <v>434771.35210000013</v>
      </c>
    </row>
    <row r="33" spans="1:11" x14ac:dyDescent="0.25">
      <c r="A33" s="26">
        <v>34</v>
      </c>
      <c r="B33" s="27" t="s">
        <v>123</v>
      </c>
      <c r="C33" s="27" t="s">
        <v>124</v>
      </c>
      <c r="D33" s="28">
        <f>+shedbal!E38</f>
        <v>1136</v>
      </c>
      <c r="E33" s="28">
        <f>+shedbal!G38</f>
        <v>113293.28</v>
      </c>
      <c r="F33" s="28">
        <f>+shedbal!H38</f>
        <v>77</v>
      </c>
      <c r="G33" s="28">
        <f>+shedbal!J38</f>
        <v>8612.45</v>
      </c>
      <c r="H33" s="28">
        <f t="shared" si="5"/>
        <v>121905.73</v>
      </c>
      <c r="I33" s="28">
        <f>+shedbal!M3</f>
        <v>158612.0531</v>
      </c>
      <c r="J33" s="28">
        <f>+shedbal!L38</f>
        <v>150000</v>
      </c>
      <c r="K33" s="29">
        <f>H33+I33-J33</f>
        <v>130517.7831</v>
      </c>
    </row>
    <row r="34" spans="1:11" x14ac:dyDescent="0.25">
      <c r="A34" s="26">
        <v>35</v>
      </c>
      <c r="B34" s="27" t="s">
        <v>125</v>
      </c>
      <c r="C34" s="27" t="s">
        <v>126</v>
      </c>
      <c r="D34" s="28">
        <f>+Kabbur!E35</f>
        <v>30</v>
      </c>
      <c r="E34" s="28">
        <f>+Kabbur!G35</f>
        <v>2982.2999999999997</v>
      </c>
      <c r="F34" s="28">
        <f>+Kabbur!H35</f>
        <v>0</v>
      </c>
      <c r="G34" s="28">
        <f>+Kabbur!J35</f>
        <v>0</v>
      </c>
      <c r="H34" s="28">
        <f t="shared" si="5"/>
        <v>2982.2999999999997</v>
      </c>
      <c r="I34" s="28">
        <v>0</v>
      </c>
      <c r="J34" s="28">
        <f>+Kabbur!L35</f>
        <v>2982.2999999999997</v>
      </c>
      <c r="K34" s="29">
        <f>H34+I34-J34</f>
        <v>0</v>
      </c>
    </row>
    <row r="35" spans="1:11" x14ac:dyDescent="0.25">
      <c r="A35" s="26">
        <v>36</v>
      </c>
      <c r="B35" s="27" t="s">
        <v>127</v>
      </c>
      <c r="C35" s="27" t="s">
        <v>128</v>
      </c>
      <c r="D35" s="28">
        <f>+kumta!E41</f>
        <v>894.8199999999999</v>
      </c>
      <c r="E35" s="28">
        <f>+kumta!G41</f>
        <v>89285.13959999998</v>
      </c>
      <c r="F35" s="28">
        <f>+kumta!H41</f>
        <v>39</v>
      </c>
      <c r="G35" s="28">
        <f>+kumta!J41</f>
        <v>4367.22</v>
      </c>
      <c r="H35" s="28">
        <f t="shared" si="5"/>
        <v>93652.35959999998</v>
      </c>
      <c r="I35" s="28">
        <f>kumta!M3</f>
        <v>84520.65800000001</v>
      </c>
      <c r="J35" s="28">
        <f>+kumta!L41</f>
        <v>100000</v>
      </c>
      <c r="K35" s="29">
        <f t="shared" si="2"/>
        <v>78173.01759999999</v>
      </c>
    </row>
    <row r="36" spans="1:11" x14ac:dyDescent="0.25">
      <c r="A36" s="26">
        <v>37</v>
      </c>
      <c r="B36" s="27" t="s">
        <v>129</v>
      </c>
      <c r="C36" s="27" t="s">
        <v>130</v>
      </c>
      <c r="D36" s="28">
        <f>+'Jalgoan-2'!E56</f>
        <v>0</v>
      </c>
      <c r="E36" s="28">
        <f>'Jalgoan-2'!G56</f>
        <v>0</v>
      </c>
      <c r="F36" s="28">
        <f>+'Jalgoan-2'!H56</f>
        <v>60</v>
      </c>
      <c r="G36" s="28">
        <f>+'Jalgoan-2'!J56</f>
        <v>7090.8</v>
      </c>
      <c r="H36" s="28">
        <f t="shared" si="5"/>
        <v>7090.8</v>
      </c>
      <c r="I36" s="28">
        <f>+'Jalgoan-2'!M3</f>
        <v>605152.2382</v>
      </c>
      <c r="J36" s="28">
        <f>+'Jalgoan-2'!L56</f>
        <v>0</v>
      </c>
      <c r="K36" s="29">
        <f t="shared" si="2"/>
        <v>612243.0382000001</v>
      </c>
    </row>
    <row r="37" spans="1:11" x14ac:dyDescent="0.25">
      <c r="A37" s="26">
        <v>38</v>
      </c>
      <c r="B37" s="27" t="s">
        <v>131</v>
      </c>
      <c r="C37" s="27" t="s">
        <v>132</v>
      </c>
      <c r="D37" s="28">
        <f>+MKBD!E42</f>
        <v>3800</v>
      </c>
      <c r="E37" s="28">
        <f>+MKBD!G42</f>
        <v>375972</v>
      </c>
      <c r="F37" s="28">
        <f>+MKBD!H42</f>
        <v>40</v>
      </c>
      <c r="G37" s="28">
        <f>+MKBD!J42</f>
        <v>4490.8</v>
      </c>
      <c r="H37" s="28">
        <f t="shared" si="5"/>
        <v>380462.8</v>
      </c>
      <c r="I37" s="28">
        <f>+MKBD!K3</f>
        <v>0</v>
      </c>
      <c r="J37" s="28">
        <f>+MKBD!L42</f>
        <v>0</v>
      </c>
      <c r="K37" s="29">
        <f t="shared" si="2"/>
        <v>380462.8</v>
      </c>
    </row>
    <row r="38" spans="1:11" x14ac:dyDescent="0.25">
      <c r="A38" s="26">
        <v>39</v>
      </c>
      <c r="B38" s="27" t="s">
        <v>133</v>
      </c>
      <c r="C38" s="27" t="s">
        <v>134</v>
      </c>
      <c r="D38" s="28">
        <f>' Haveri-2'!E42</f>
        <v>3207.57</v>
      </c>
      <c r="E38" s="28">
        <f>' Haveri-2'!G42</f>
        <v>318511.70100000006</v>
      </c>
      <c r="F38" s="28">
        <f>' Haveri-2'!H42</f>
        <v>48</v>
      </c>
      <c r="G38" s="28">
        <f>' Haveri-2'!J42</f>
        <v>5347.2</v>
      </c>
      <c r="H38" s="28">
        <f t="shared" si="5"/>
        <v>323858.90100000007</v>
      </c>
      <c r="I38" s="28">
        <f>' Haveri-2'!M3</f>
        <v>82823.56549999984</v>
      </c>
      <c r="J38" s="28">
        <f>+' Haveri-2'!L42</f>
        <v>350000</v>
      </c>
      <c r="K38" s="29">
        <f t="shared" si="2"/>
        <v>56682.46649999992</v>
      </c>
    </row>
    <row r="39" spans="1:11" x14ac:dyDescent="0.25">
      <c r="A39" s="26">
        <v>40</v>
      </c>
      <c r="B39" s="27" t="s">
        <v>135</v>
      </c>
      <c r="C39" s="27" t="s">
        <v>136</v>
      </c>
      <c r="D39" s="28">
        <f>+' Guttal-2'!E35</f>
        <v>1664</v>
      </c>
      <c r="E39" s="28">
        <f>+' Guttal-2'!G35</f>
        <v>165734.4</v>
      </c>
      <c r="F39" s="28">
        <f>+' Guttal-2'!H35</f>
        <v>107.61</v>
      </c>
      <c r="G39" s="28">
        <f>+' Guttal-2'!J35</f>
        <v>12021.113099999999</v>
      </c>
      <c r="H39" s="28">
        <f t="shared" si="5"/>
        <v>177755.51309999998</v>
      </c>
      <c r="I39" s="28">
        <f>+' Guttal-2'!M3</f>
        <v>459610.0567000001</v>
      </c>
      <c r="J39" s="28">
        <f>+' Guttal-2'!L35</f>
        <v>550000</v>
      </c>
      <c r="K39" s="29">
        <f t="shared" si="2"/>
        <v>87365.56980000006</v>
      </c>
    </row>
    <row r="40" spans="1:11" x14ac:dyDescent="0.25">
      <c r="A40" s="26">
        <v>41</v>
      </c>
      <c r="B40" s="27" t="s">
        <v>137</v>
      </c>
      <c r="C40" s="27" t="s">
        <v>138</v>
      </c>
      <c r="D40" s="28">
        <f>+'Rattihali-2'!E37</f>
        <v>1647.32</v>
      </c>
      <c r="E40" s="28">
        <f>+'Rattihali-2'!G37</f>
        <v>164237.804</v>
      </c>
      <c r="F40" s="28">
        <f>+'Rattihali-2'!H37</f>
        <v>95</v>
      </c>
      <c r="G40" s="28">
        <f>+'Rattihali-2'!J37</f>
        <v>10622.899999999998</v>
      </c>
      <c r="H40" s="28">
        <f t="shared" si="5"/>
        <v>174860.704</v>
      </c>
      <c r="I40" s="28">
        <f>+'Rattihali-2'!M3</f>
        <v>161393.37200000006</v>
      </c>
      <c r="J40" s="28">
        <f>+'Rattihali-2'!L37</f>
        <v>200000</v>
      </c>
      <c r="K40" s="29">
        <f t="shared" si="2"/>
        <v>136254.07600000006</v>
      </c>
    </row>
    <row r="41" spans="1:11" x14ac:dyDescent="0.25">
      <c r="A41" s="26">
        <v>42</v>
      </c>
      <c r="B41" s="27" t="s">
        <v>139</v>
      </c>
      <c r="C41" s="27" t="s">
        <v>140</v>
      </c>
      <c r="D41" s="28">
        <f>+Gajendragada!E36</f>
        <v>336</v>
      </c>
      <c r="E41" s="28">
        <f>+Gajendragada!G36</f>
        <v>33479.04</v>
      </c>
      <c r="F41" s="28">
        <f>+Gajendragada!H36</f>
        <v>60.730000000000004</v>
      </c>
      <c r="G41" s="28">
        <f>+Gajendragada!J36</f>
        <v>6787.792100000001</v>
      </c>
      <c r="H41" s="28">
        <f t="shared" si="5"/>
        <v>40266.8321</v>
      </c>
      <c r="I41" s="28">
        <f>+Gajendragada!M3</f>
        <v>126924.9593</v>
      </c>
      <c r="J41" s="28">
        <f>+Gajendragada!L36</f>
        <v>0</v>
      </c>
      <c r="K41" s="29">
        <f t="shared" si="2"/>
        <v>167191.7914</v>
      </c>
    </row>
    <row r="42" spans="1:13" x14ac:dyDescent="0.25">
      <c r="A42" s="26">
        <v>43</v>
      </c>
      <c r="B42" s="45" t="s">
        <v>141</v>
      </c>
      <c r="C42" s="45" t="s">
        <v>142</v>
      </c>
      <c r="D42" s="28">
        <f>+'Gokak Dharwad PKG 3'!E42</f>
        <v>2123.79</v>
      </c>
      <c r="E42" s="28">
        <f>+'Gokak Dharwad PKG 3'!G42</f>
        <v>210871.1091</v>
      </c>
      <c r="F42" s="28">
        <f>+'Gokak Dharwad PKG 3'!H42</f>
        <v>5</v>
      </c>
      <c r="G42" s="28">
        <f>+'Gokak Dharwad PKG 3'!J42</f>
        <v>556.9</v>
      </c>
      <c r="H42" s="28">
        <f t="shared" si="5"/>
        <v>211428.0091</v>
      </c>
      <c r="I42" s="46">
        <f>+'Gokak Dharwad PKG 3'!K3</f>
        <v>458335.9371000016</v>
      </c>
      <c r="J42" s="28">
        <f>+'Gokak Dharwad PKG 3'!L42</f>
        <v>550000</v>
      </c>
      <c r="K42" s="29">
        <f t="shared" si="2"/>
        <v>119763.94620000164</v>
      </c>
      <c r="M42" s="47"/>
    </row>
    <row r="43" spans="1:13" x14ac:dyDescent="0.25">
      <c r="A43" s="26">
        <v>44</v>
      </c>
      <c r="B43" s="45" t="s">
        <v>143</v>
      </c>
      <c r="C43" s="45" t="s">
        <v>144</v>
      </c>
      <c r="D43" s="28">
        <f>+' TR Associates'!E35</f>
        <v>6567.0599999999995</v>
      </c>
      <c r="E43" s="28">
        <f>+' TR Associates'!G35</f>
        <v>650992.6577999999</v>
      </c>
      <c r="F43" s="28">
        <f>+' TR Associates'!H35</f>
        <v>0</v>
      </c>
      <c r="G43" s="28">
        <f>+' TR Associates'!J35</f>
        <v>0</v>
      </c>
      <c r="H43" s="36">
        <f t="shared" si="5"/>
        <v>650992.6577999999</v>
      </c>
      <c r="I43" s="48">
        <f>+' TR Associates'!M3</f>
        <v>703648.01</v>
      </c>
      <c r="J43" s="49">
        <f>+' TR Associates'!L35</f>
        <v>0</v>
      </c>
      <c r="K43" s="29">
        <f t="shared" si="2"/>
        <v>1354640.6678</v>
      </c>
      <c r="M43" s="47"/>
    </row>
    <row r="44" spans="1:11" x14ac:dyDescent="0.25">
      <c r="A44" s="26">
        <v>45</v>
      </c>
      <c r="B44" s="45" t="s">
        <v>145</v>
      </c>
      <c r="C44" s="45" t="s">
        <v>146</v>
      </c>
      <c r="D44" s="28">
        <f>+Ankalgi!E35</f>
        <v>1506.28</v>
      </c>
      <c r="E44" s="28">
        <f>+Ankalgi!G35</f>
        <v>149317.5364</v>
      </c>
      <c r="F44" s="28">
        <f>+Ankalgi!H35</f>
        <v>15</v>
      </c>
      <c r="G44" s="28">
        <f>+Ankalgi!J35</f>
        <v>1668.1499999999999</v>
      </c>
      <c r="H44" s="28">
        <f t="shared" si="5"/>
        <v>150985.6864</v>
      </c>
      <c r="I44" s="50">
        <f>+Ankalgi!M3</f>
        <v>120724.02</v>
      </c>
      <c r="J44" s="28">
        <f>+Ankalgi!L35</f>
        <v>0</v>
      </c>
      <c r="K44" s="29">
        <f>H44+I44-J44</f>
        <v>271709.7064</v>
      </c>
    </row>
    <row r="45" spans="1:11" x14ac:dyDescent="0.25">
      <c r="A45" s="26">
        <v>46</v>
      </c>
      <c r="B45" s="45" t="s">
        <v>147</v>
      </c>
      <c r="C45" s="45" t="s">
        <v>148</v>
      </c>
      <c r="D45" s="28">
        <f>+'SHRI DESHPANDE'!E35</f>
        <v>5194.61</v>
      </c>
      <c r="E45" s="28">
        <f>+'SHRI DESHPANDE'!G35</f>
        <v>516188.3957</v>
      </c>
      <c r="F45" s="28">
        <f>+'SHRI DESHPANDE'!H35</f>
        <v>215</v>
      </c>
      <c r="G45" s="28">
        <f>+'SHRI DESHPANDE'!J35</f>
        <v>23963.899999999994</v>
      </c>
      <c r="H45" s="36">
        <f>E45+G45</f>
        <v>540152.2957</v>
      </c>
      <c r="I45" s="48">
        <f>+'SHRI DESHPANDE'!M3</f>
        <v>693317.08</v>
      </c>
      <c r="J45" s="49">
        <f>+'SHRI DESHPANDE'!L35</f>
        <v>0</v>
      </c>
      <c r="K45" s="29">
        <f>H45+I45-J45</f>
        <v>1233469.3757</v>
      </c>
    </row>
    <row r="46" spans="1:11" x14ac:dyDescent="0.25">
      <c r="A46" s="26">
        <v>47</v>
      </c>
      <c r="B46" s="45" t="s">
        <v>149</v>
      </c>
      <c r="C46" s="45" t="s">
        <v>150</v>
      </c>
      <c r="D46" s="28">
        <f>+' Shankeshwar'!E35</f>
        <v>0</v>
      </c>
      <c r="E46" s="28">
        <f>+' Shankeshwar'!G35</f>
        <v>0</v>
      </c>
      <c r="F46" s="28">
        <f>+' Shankeshwar'!H35</f>
        <v>10</v>
      </c>
      <c r="G46" s="28">
        <f>+' Shankeshwar'!J35</f>
        <v>1112</v>
      </c>
      <c r="H46" s="36">
        <f t="shared" si="5"/>
        <v>1112</v>
      </c>
      <c r="I46" s="51">
        <f>' Shankeshwar'!M3</f>
        <v>0</v>
      </c>
      <c r="J46" s="49">
        <f>+' Shankeshwar'!L35</f>
        <v>1112</v>
      </c>
      <c r="K46" s="29">
        <f t="shared" si="2"/>
        <v>0</v>
      </c>
    </row>
    <row r="47" spans="1:11" x14ac:dyDescent="0.25">
      <c r="A47" s="26">
        <v>48</v>
      </c>
      <c r="B47" s="45" t="s">
        <v>151</v>
      </c>
      <c r="C47" s="45" t="s">
        <v>152</v>
      </c>
      <c r="D47" s="28">
        <f>+' Talikote'!E48</f>
        <v>25</v>
      </c>
      <c r="E47" s="28">
        <f>+' Talikote'!G48</f>
        <v>2480.75</v>
      </c>
      <c r="F47" s="28">
        <f>+' Talikote'!H48</f>
        <v>0.9</v>
      </c>
      <c r="G47" s="28">
        <f>+' Talikote'!J48</f>
        <v>100.278</v>
      </c>
      <c r="H47" s="28">
        <f>E47+G47</f>
        <v>2581.028</v>
      </c>
      <c r="I47" s="39">
        <f>+' Talikote'!M3</f>
        <v>74297.81211999997</v>
      </c>
      <c r="J47" s="28">
        <f>+' Talikote'!L48</f>
        <v>75100.28</v>
      </c>
      <c r="K47" s="29">
        <f t="shared" si="2"/>
        <v>1778.56011999998</v>
      </c>
    </row>
    <row r="48" spans="1:11" x14ac:dyDescent="0.25">
      <c r="A48" s="26">
        <v>49</v>
      </c>
      <c r="B48" s="45" t="s">
        <v>153</v>
      </c>
      <c r="C48" s="45" t="s">
        <v>154</v>
      </c>
      <c r="D48" s="28">
        <f>+Chadchan!E35</f>
        <v>405.85999999999996</v>
      </c>
      <c r="E48" s="28">
        <f>+Chadchan!G35</f>
        <v>40354.18320000001</v>
      </c>
      <c r="F48" s="28">
        <f>+Chadchan!H35</f>
        <v>50.97</v>
      </c>
      <c r="G48" s="28">
        <f>+Chadchan!J35</f>
        <v>5708.104300000001</v>
      </c>
      <c r="H48" s="28">
        <f t="shared" si="5"/>
        <v>46062.287500000006</v>
      </c>
      <c r="I48" s="28">
        <f>+Chadchan!M3</f>
        <v>124570.70960000006</v>
      </c>
      <c r="J48" s="28">
        <f>+Chadchan!L35</f>
        <v>0</v>
      </c>
      <c r="K48" s="29">
        <f t="shared" si="2"/>
        <v>170632.99710000007</v>
      </c>
    </row>
    <row r="49" spans="1:11" x14ac:dyDescent="0.25">
      <c r="A49" s="26">
        <v>50</v>
      </c>
      <c r="B49" s="45" t="s">
        <v>155</v>
      </c>
      <c r="C49" s="45" t="s">
        <v>156</v>
      </c>
      <c r="D49" s="28">
        <f>+Sindagi!E35</f>
        <v>150</v>
      </c>
      <c r="E49" s="28">
        <f>+Sindagi!G35</f>
        <v>14860.5</v>
      </c>
      <c r="F49" s="28">
        <f>+Sindagi!H35</f>
        <v>0</v>
      </c>
      <c r="G49" s="28">
        <f>+Sindagi!J35</f>
        <v>0</v>
      </c>
      <c r="H49" s="28">
        <f t="shared" si="5"/>
        <v>14860.5</v>
      </c>
      <c r="I49" s="28">
        <f>+Sindagi!M3</f>
        <v>27734.19</v>
      </c>
      <c r="J49" s="28">
        <f>+Sindagi!L35</f>
        <v>38500</v>
      </c>
      <c r="K49" s="29">
        <f t="shared" si="2"/>
        <v>4094.6900000000023</v>
      </c>
    </row>
    <row r="50" spans="1:11" x14ac:dyDescent="0.25">
      <c r="A50" s="26">
        <v>51</v>
      </c>
      <c r="B50" s="45" t="s">
        <v>157</v>
      </c>
      <c r="C50" s="45" t="s">
        <v>158</v>
      </c>
      <c r="D50" s="28">
        <f>+'Muddebhihal-2'!E50</f>
        <v>1022.29</v>
      </c>
      <c r="E50" s="28">
        <f>+'Muddebhihal-2'!G50</f>
        <v>101441.8367</v>
      </c>
      <c r="F50" s="28">
        <f>+'Muddebhihal-2'!H50</f>
        <v>47</v>
      </c>
      <c r="G50" s="28">
        <f>+'Muddebhihal-2'!J50</f>
        <v>5250.84</v>
      </c>
      <c r="H50" s="28">
        <f>+'Muddebhihal-2'!K50</f>
        <v>106692.67669999998</v>
      </c>
      <c r="I50" s="28">
        <f>+'Muddebhihal-2'!M3</f>
        <v>178474.12</v>
      </c>
      <c r="J50" s="28">
        <f>+'Muddebhihal-2'!L50</f>
        <v>150000</v>
      </c>
      <c r="K50" s="29">
        <f>+'Muddebhihal-2'!M49</f>
        <v>135166.7967</v>
      </c>
    </row>
    <row r="51" spans="1:11" x14ac:dyDescent="0.25">
      <c r="A51" s="26">
        <v>52</v>
      </c>
      <c r="B51" s="45" t="s">
        <v>159</v>
      </c>
      <c r="C51" s="45" t="s">
        <v>160</v>
      </c>
      <c r="D51" s="28">
        <f>+Alemela!E43</f>
        <v>174.75</v>
      </c>
      <c r="E51" s="28">
        <f>+Alemela!G43</f>
        <v>17349.18</v>
      </c>
      <c r="F51" s="28">
        <f>+Alemela!H43</f>
        <v>22.29</v>
      </c>
      <c r="G51" s="28">
        <f>+Alemela!J43</f>
        <v>2482.6602</v>
      </c>
      <c r="H51" s="28">
        <f t="shared" si="5"/>
        <v>19831.8402</v>
      </c>
      <c r="I51" s="28">
        <f>+Alemela!M3</f>
        <v>23063</v>
      </c>
      <c r="J51" s="28">
        <f>+Alemela!L43</f>
        <v>29000</v>
      </c>
      <c r="K51" s="29">
        <f t="shared" si="2"/>
        <v>13894.840199999999</v>
      </c>
    </row>
    <row r="52" spans="1:11" x14ac:dyDescent="0.25">
      <c r="A52" s="26">
        <v>53</v>
      </c>
      <c r="B52" s="45" t="s">
        <v>161</v>
      </c>
      <c r="C52" s="45" t="s">
        <v>162</v>
      </c>
      <c r="D52" s="28">
        <f>+Nalatwad!E43</f>
        <v>876.51</v>
      </c>
      <c r="E52" s="28">
        <f>+Nalatwad!G43</f>
        <v>87160.1544</v>
      </c>
      <c r="F52" s="28">
        <f>+Nalatwad!H43</f>
        <v>50.33</v>
      </c>
      <c r="G52" s="28">
        <f>+Nalatwad!J43</f>
        <v>5671.8551</v>
      </c>
      <c r="H52" s="28">
        <f>E52+G52</f>
        <v>92832.0095</v>
      </c>
      <c r="I52" s="28">
        <f>+Nalatwad!M3</f>
        <v>135406.61</v>
      </c>
      <c r="J52" s="28">
        <f>+Nalatwad!L43</f>
        <v>0</v>
      </c>
      <c r="K52" s="29">
        <f>H52+I52-J52</f>
        <v>228238.61949999997</v>
      </c>
    </row>
    <row r="53" spans="1:11" x14ac:dyDescent="0.25">
      <c r="A53" s="26">
        <v>54</v>
      </c>
      <c r="B53" s="45" t="s">
        <v>163</v>
      </c>
      <c r="C53" s="45" t="s">
        <v>164</v>
      </c>
      <c r="D53" s="28">
        <f>+Srirangapatna!E35</f>
        <v>0</v>
      </c>
      <c r="E53" s="28">
        <f>+Srirangapatna!G35</f>
        <v>0</v>
      </c>
      <c r="F53" s="28">
        <f>+Srirangapatna!H35</f>
        <v>0</v>
      </c>
      <c r="G53" s="28">
        <f>+Srirangapatna!J35</f>
        <v>0</v>
      </c>
      <c r="H53" s="28">
        <f t="shared" si="5"/>
        <v>0</v>
      </c>
      <c r="I53" s="28">
        <v>0</v>
      </c>
      <c r="J53" s="28">
        <f>+Srirangapatna!L35</f>
        <v>0</v>
      </c>
      <c r="K53" s="29">
        <f t="shared" si="2"/>
        <v>0</v>
      </c>
    </row>
    <row r="54" spans="1:11" x14ac:dyDescent="0.25">
      <c r="A54" s="26">
        <v>55</v>
      </c>
      <c r="B54" s="45" t="s">
        <v>165</v>
      </c>
      <c r="C54" s="27" t="s">
        <v>98</v>
      </c>
      <c r="D54" s="33">
        <f>+'HO(DG)'!E48</f>
        <v>150</v>
      </c>
      <c r="E54" s="33">
        <f>+'HO(DG)'!G48</f>
        <v>15564</v>
      </c>
      <c r="F54" s="33">
        <v>0</v>
      </c>
      <c r="G54" s="33">
        <v>0</v>
      </c>
      <c r="H54" s="28">
        <v>15564</v>
      </c>
      <c r="I54" s="33">
        <f>+'HO(DG)'!M3</f>
        <v>0</v>
      </c>
      <c r="J54" s="33">
        <f>+'HO(DG)'!L48</f>
        <v>15564</v>
      </c>
      <c r="K54" s="29">
        <v>0</v>
      </c>
    </row>
    <row r="55" spans="1:13" x14ac:dyDescent="0.25">
      <c r="A55" s="52" t="s">
        <v>36</v>
      </c>
      <c r="B55" s="53"/>
      <c r="C55" s="54"/>
      <c r="D55" s="55">
        <f>SUM(D2:D54)</f>
        <v>109001.121</v>
      </c>
      <c r="E55" s="55">
        <f t="shared" ref="E55:G55" si="6">SUM(E2:E54)</f>
        <v>11110851.589130001</v>
      </c>
      <c r="F55" s="55">
        <f t="shared" si="6"/>
        <v>3513.5699999999997</v>
      </c>
      <c r="G55" s="55">
        <f>SUM(G2:G54)</f>
        <v>399456.15890000004</v>
      </c>
      <c r="H55" s="55">
        <v>11510307.75</v>
      </c>
      <c r="I55" s="55">
        <f>SUM(I2:I54)</f>
        <v>20909806.29434301</v>
      </c>
      <c r="J55" s="55">
        <f>SUM(J2:J54)</f>
        <v>9773606.73413</v>
      </c>
      <c r="K55" s="56">
        <v>22646507.31</v>
      </c>
      <c r="M55" s="47"/>
    </row>
    <row r="56" spans="9:11" x14ac:dyDescent="0.25">
      <c r="I56" s="47">
        <v>36038811.44493298</v>
      </c>
      <c r="K56" s="57"/>
    </row>
    <row r="57" spans="9:11" x14ac:dyDescent="0.25">
      <c r="I57" s="47">
        <f>I55-I56</f>
        <v>-15129005.150589973</v>
      </c>
      <c r="K57" s="57"/>
    </row>
    <row r="58" spans="11:11" x14ac:dyDescent="0.25">
      <c r="K58" s="57"/>
    </row>
    <row r="59" spans="11:11" x14ac:dyDescent="0.25">
      <c r="K59" s="57"/>
    </row>
    <row r="60" spans="1:11" x14ac:dyDescent="0.25">
      <c r="A60" s="58" t="s">
        <v>55</v>
      </c>
      <c r="B60" s="58" t="s">
        <v>56</v>
      </c>
      <c r="C60" s="58" t="s">
        <v>57</v>
      </c>
      <c r="D60" s="59" t="s">
        <v>58</v>
      </c>
      <c r="E60" s="59" t="s">
        <v>59</v>
      </c>
      <c r="F60" s="59" t="s">
        <v>60</v>
      </c>
      <c r="G60" s="59" t="s">
        <v>61</v>
      </c>
      <c r="H60" s="59" t="s">
        <v>62</v>
      </c>
      <c r="I60" s="59" t="s">
        <v>63</v>
      </c>
      <c r="J60" s="59" t="s">
        <v>64</v>
      </c>
      <c r="K60" s="59" t="s">
        <v>65</v>
      </c>
    </row>
    <row r="61" spans="1:11" x14ac:dyDescent="0.25">
      <c r="A61" s="60">
        <v>39</v>
      </c>
      <c r="B61" s="60" t="str">
        <f t="array" ref="B61:K61">VLOOKUP(A61,A1:K53,{2,3,4,5,6,7,8,9,10,11},FALSE)</f>
        <v>Haveri</v>
      </c>
      <c r="C61" s="60" t="s">
        <v>134</v>
      </c>
      <c r="D61" s="60">
        <v>3207.57</v>
      </c>
      <c r="E61" s="60">
        <v>318511.70100000006</v>
      </c>
      <c r="F61" s="60">
        <v>48</v>
      </c>
      <c r="G61" s="60">
        <v>5347.2</v>
      </c>
      <c r="H61" s="60">
        <v>323858.90100000007</v>
      </c>
      <c r="I61" s="60">
        <v>82823.56549999984</v>
      </c>
      <c r="J61" s="60">
        <v>350000</v>
      </c>
      <c r="K61" s="60">
        <v>56682.46649999992</v>
      </c>
    </row>
    <row r="63" spans="2:11" x14ac:dyDescent="0.25">
      <c r="B63" s="58" t="s">
        <v>56</v>
      </c>
      <c r="C63" s="58" t="s">
        <v>57</v>
      </c>
      <c r="D63" s="59" t="s">
        <v>58</v>
      </c>
      <c r="E63" s="59" t="s">
        <v>59</v>
      </c>
      <c r="F63" s="59" t="s">
        <v>60</v>
      </c>
      <c r="G63" s="59" t="s">
        <v>61</v>
      </c>
      <c r="H63" s="59" t="s">
        <v>62</v>
      </c>
      <c r="I63" s="59" t="s">
        <v>63</v>
      </c>
      <c r="J63" s="59" t="s">
        <v>64</v>
      </c>
      <c r="K63" s="59" t="s">
        <v>65</v>
      </c>
    </row>
    <row r="64" spans="2:11" x14ac:dyDescent="0.25">
      <c r="B64" s="61" t="s">
        <v>129</v>
      </c>
      <c r="C64" s="21" t="str">
        <f t="array" ref="C64:K64">VLOOKUP(B64,B1:K53,{2,3,4,5,6,7,8,9,10},FALSE)</f>
        <v>Nayara</v>
      </c>
      <c r="D64" s="21">
        <v>0</v>
      </c>
      <c r="E64" s="21">
        <v>0</v>
      </c>
      <c r="F64" s="21">
        <v>60</v>
      </c>
      <c r="G64" s="21">
        <v>7090.8</v>
      </c>
      <c r="H64" s="21">
        <v>7090.8</v>
      </c>
      <c r="I64" s="21">
        <v>605152.2382</v>
      </c>
      <c r="J64" s="21">
        <v>0</v>
      </c>
      <c r="K64" s="21">
        <v>612243.0382000001</v>
      </c>
    </row>
    <row r="71" spans="2:2" x14ac:dyDescent="0.25">
      <c r="B71" s="21">
        <v>60000</v>
      </c>
    </row>
    <row r="72" spans="2:2" x14ac:dyDescent="0.25">
      <c r="B72" s="21">
        <v>18000</v>
      </c>
    </row>
    <row r="73" spans="2:2" x14ac:dyDescent="0.25">
      <c r="B73" s="21">
        <v>18000</v>
      </c>
    </row>
    <row r="74" spans="2:2" x14ac:dyDescent="0.25">
      <c r="B74" s="21">
        <v>75000</v>
      </c>
    </row>
    <row r="75" spans="2:14" x14ac:dyDescent="0.25">
      <c r="B75" s="21">
        <v>360000</v>
      </c>
      <c r="L75" s="62"/>
      <c r="M75" s="62"/>
      <c r="N75" s="62"/>
    </row>
    <row r="76" spans="12:14" x14ac:dyDescent="0.25">
      <c r="L76" s="62"/>
      <c r="M76" s="62"/>
      <c r="N76" s="62"/>
    </row>
    <row r="77" spans="12:14" x14ac:dyDescent="0.25">
      <c r="L77" s="62"/>
      <c r="M77" s="62"/>
      <c r="N77" s="62"/>
    </row>
    <row r="78" spans="12:14" x14ac:dyDescent="0.25">
      <c r="L78" s="62"/>
      <c r="M78" s="62"/>
      <c r="N78" s="62"/>
    </row>
    <row r="79" spans="12:14" x14ac:dyDescent="0.25">
      <c r="L79" s="62"/>
      <c r="M79" s="62"/>
      <c r="N79" s="62"/>
    </row>
    <row r="80" spans="12:14" x14ac:dyDescent="0.25">
      <c r="L80" s="62"/>
      <c r="M80" s="62"/>
      <c r="N80" s="62"/>
    </row>
    <row r="81" spans="12:14" x14ac:dyDescent="0.25">
      <c r="L81" s="62"/>
      <c r="M81" s="62"/>
      <c r="N81" s="62"/>
    </row>
    <row r="82" spans="12:14" x14ac:dyDescent="0.25">
      <c r="L82" s="62"/>
      <c r="M82" s="62"/>
      <c r="N82" s="62"/>
    </row>
  </sheetData>
  <sheetProtection sheet="1" algorithmName="SHA-512" hashValue="XrilyTk32+pC8wCmhNGrxTGXztjSAWxXdjA4uALJT21eD58AYIZVT3xr+nvR+ZWu26xi+OL5N3kNDG6GmgD8iw==" saltValue="/Eg4kNKLPKeb4ka0/Ym5Jw==" spinCount="100000" objects="1" scenarios="1"/>
  <mergeCells count="1">
    <mergeCell ref="A55:C55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-0.499984740745262"/>
  </sheetPr>
  <dimension ref="A1:N35"/>
  <sheetViews>
    <sheetView workbookViewId="0" zoomScale="100" zoomScaleNormal="100">
      <pane ySplit="3" topLeftCell="A4" activePane="bottomLeft" state="frozen"/>
      <selection pane="bottomLeft" activeCell="R28" sqref="R28"/>
    </sheetView>
  </sheetViews>
  <sheetFormatPr defaultRowHeight="15" outlineLevelRow="0" outlineLevelCol="0" x14ac:dyDescent="0"/>
  <cols>
    <col min="2" max="2" width="10.5703125" customWidth="1"/>
    <col min="4" max="4" width="12.5703125" customWidth="1"/>
    <col min="5" max="5" width="12.140625" customWidth="1"/>
    <col min="8" max="8" width="12.28515625" customWidth="1"/>
    <col min="11" max="11" width="13.5703125" customWidth="1"/>
    <col min="12" max="12" width="12.42578125" customWidth="1"/>
  </cols>
  <sheetData>
    <row r="1" ht="15.75" customHeight="1" spans="1:14" x14ac:dyDescent="0.25">
      <c r="A1" s="522" t="s">
        <v>224</v>
      </c>
      <c r="B1" s="522"/>
      <c r="C1" s="522"/>
      <c r="D1" s="522"/>
      <c r="E1" s="522"/>
      <c r="F1" s="522"/>
      <c r="G1" s="522"/>
      <c r="H1" s="522"/>
      <c r="I1" s="522"/>
      <c r="J1" s="522"/>
      <c r="K1" s="522"/>
      <c r="L1" s="522"/>
      <c r="M1" s="522"/>
      <c r="N1" s="522"/>
    </row>
    <row r="2" ht="24" customHeight="1" spans="1:14" x14ac:dyDescent="0.25">
      <c r="A2" s="106" t="s">
        <v>0</v>
      </c>
      <c r="B2" s="512" t="s">
        <v>167</v>
      </c>
      <c r="C2" s="512" t="s">
        <v>168</v>
      </c>
      <c r="D2" s="512" t="s">
        <v>189</v>
      </c>
      <c r="E2" s="512" t="s">
        <v>170</v>
      </c>
      <c r="F2" s="512" t="s">
        <v>171</v>
      </c>
      <c r="G2" s="512" t="s">
        <v>172</v>
      </c>
      <c r="H2" s="512" t="s">
        <v>173</v>
      </c>
      <c r="I2" s="512" t="s">
        <v>171</v>
      </c>
      <c r="J2" s="512" t="s">
        <v>172</v>
      </c>
      <c r="K2" s="364" t="s">
        <v>174</v>
      </c>
      <c r="L2" s="364" t="s">
        <v>175</v>
      </c>
      <c r="M2" s="364" t="s">
        <v>190</v>
      </c>
      <c r="N2" s="512" t="s">
        <v>177</v>
      </c>
    </row>
    <row r="3" spans="1:14" x14ac:dyDescent="0.25">
      <c r="A3" s="523" t="s">
        <v>178</v>
      </c>
      <c r="B3" s="523"/>
      <c r="C3" s="523"/>
      <c r="D3" s="523"/>
      <c r="E3" s="523"/>
      <c r="F3" s="523"/>
      <c r="G3" s="523"/>
      <c r="H3" s="523"/>
      <c r="I3" s="523"/>
      <c r="J3" s="523"/>
      <c r="K3" s="523"/>
      <c r="L3" s="523"/>
      <c r="M3" s="523">
        <v>0</v>
      </c>
      <c r="N3" s="523"/>
    </row>
    <row r="4" spans="1:14" x14ac:dyDescent="0.25">
      <c r="A4" s="183">
        <v>1</v>
      </c>
      <c r="B4" s="184">
        <v>46296</v>
      </c>
      <c r="C4" s="118"/>
      <c r="D4" s="118"/>
      <c r="E4" s="118"/>
      <c r="F4" s="118"/>
      <c r="G4" s="118">
        <f>E4*F4</f>
        <v>0</v>
      </c>
      <c r="H4" s="118"/>
      <c r="I4" s="118"/>
      <c r="J4" s="118">
        <f>H4*I4</f>
        <v>0</v>
      </c>
      <c r="K4" s="118">
        <f>G4+J4</f>
        <v>0</v>
      </c>
      <c r="L4" s="118"/>
      <c r="M4" s="118">
        <f>M3+K4-L4</f>
        <v>0</v>
      </c>
      <c r="N4" s="118"/>
    </row>
    <row r="5" spans="1:14" x14ac:dyDescent="0.25">
      <c r="A5" s="189">
        <v>2</v>
      </c>
      <c r="B5" s="184">
        <v>46297</v>
      </c>
      <c r="C5" s="118"/>
      <c r="D5" s="118"/>
      <c r="E5" s="118"/>
      <c r="F5" s="118"/>
      <c r="G5" s="118">
        <f t="shared" ref="G5:G34" si="0">E5*F5</f>
        <v>0</v>
      </c>
      <c r="H5" s="118"/>
      <c r="I5" s="118"/>
      <c r="J5" s="118">
        <f t="shared" ref="J5:J34" si="1">H5*I5</f>
        <v>0</v>
      </c>
      <c r="K5" s="118">
        <f t="shared" ref="K5:L34" si="2">G5+J5</f>
        <v>0</v>
      </c>
      <c r="L5" s="118"/>
      <c r="M5" s="118">
        <f t="shared" ref="M5:M34" si="3">M4+K5-L5</f>
        <v>0</v>
      </c>
      <c r="N5" s="118"/>
    </row>
    <row r="6" spans="1:14" x14ac:dyDescent="0.25">
      <c r="A6" s="189">
        <v>3</v>
      </c>
      <c r="B6" s="184">
        <v>46298</v>
      </c>
      <c r="C6" s="118"/>
      <c r="D6" s="118"/>
      <c r="E6" s="118"/>
      <c r="F6" s="118"/>
      <c r="G6" s="118">
        <f t="shared" si="0"/>
        <v>0</v>
      </c>
      <c r="H6" s="118"/>
      <c r="I6" s="118"/>
      <c r="J6" s="118">
        <f t="shared" si="1"/>
        <v>0</v>
      </c>
      <c r="K6" s="118">
        <f t="shared" si="2"/>
        <v>0</v>
      </c>
      <c r="L6" s="118"/>
      <c r="M6" s="118">
        <f t="shared" si="3"/>
        <v>0</v>
      </c>
      <c r="N6" s="118"/>
    </row>
    <row r="7" spans="1:14" x14ac:dyDescent="0.25">
      <c r="A7" s="189">
        <v>4</v>
      </c>
      <c r="B7" s="184">
        <v>46299</v>
      </c>
      <c r="C7" s="118"/>
      <c r="D7" s="118"/>
      <c r="E7" s="118"/>
      <c r="F7" s="118"/>
      <c r="G7" s="118">
        <f t="shared" si="0"/>
        <v>0</v>
      </c>
      <c r="H7" s="118"/>
      <c r="I7" s="118"/>
      <c r="J7" s="118">
        <f t="shared" si="1"/>
        <v>0</v>
      </c>
      <c r="K7" s="118">
        <f t="shared" si="2"/>
        <v>0</v>
      </c>
      <c r="L7" s="118"/>
      <c r="M7" s="118">
        <f t="shared" si="3"/>
        <v>0</v>
      </c>
      <c r="N7" s="118"/>
    </row>
    <row r="8" spans="1:14" x14ac:dyDescent="0.25">
      <c r="A8" s="189">
        <v>5</v>
      </c>
      <c r="B8" s="184">
        <v>46300</v>
      </c>
      <c r="C8" s="118"/>
      <c r="D8" s="118"/>
      <c r="E8" s="118"/>
      <c r="F8" s="118"/>
      <c r="G8" s="118">
        <f t="shared" si="0"/>
        <v>0</v>
      </c>
      <c r="H8" s="118"/>
      <c r="I8" s="118"/>
      <c r="J8" s="118">
        <f t="shared" si="1"/>
        <v>0</v>
      </c>
      <c r="K8" s="118">
        <f t="shared" si="2"/>
        <v>0</v>
      </c>
      <c r="L8" s="118"/>
      <c r="M8" s="118">
        <f t="shared" si="3"/>
        <v>0</v>
      </c>
      <c r="N8" s="118"/>
    </row>
    <row r="9" spans="1:14" x14ac:dyDescent="0.25">
      <c r="A9" s="189">
        <v>6</v>
      </c>
      <c r="B9" s="184">
        <v>46301</v>
      </c>
      <c r="C9" s="118"/>
      <c r="D9" s="118"/>
      <c r="E9" s="118"/>
      <c r="F9" s="118"/>
      <c r="G9" s="118">
        <f t="shared" si="0"/>
        <v>0</v>
      </c>
      <c r="H9" s="118"/>
      <c r="I9" s="118"/>
      <c r="J9" s="118">
        <f t="shared" si="1"/>
        <v>0</v>
      </c>
      <c r="K9" s="118">
        <f t="shared" si="2"/>
        <v>0</v>
      </c>
      <c r="L9" s="118"/>
      <c r="M9" s="118">
        <f t="shared" si="3"/>
        <v>0</v>
      </c>
      <c r="N9" s="118"/>
    </row>
    <row r="10" spans="1:14" x14ac:dyDescent="0.25">
      <c r="A10" s="189">
        <v>7</v>
      </c>
      <c r="B10" s="184">
        <v>46302</v>
      </c>
      <c r="C10" s="118"/>
      <c r="D10" s="118"/>
      <c r="E10" s="118"/>
      <c r="F10" s="118"/>
      <c r="G10" s="118">
        <f t="shared" si="0"/>
        <v>0</v>
      </c>
      <c r="H10" s="118"/>
      <c r="I10" s="118"/>
      <c r="J10" s="118">
        <f t="shared" si="1"/>
        <v>0</v>
      </c>
      <c r="K10" s="118">
        <f t="shared" si="2"/>
        <v>0</v>
      </c>
      <c r="L10" s="118"/>
      <c r="M10" s="118">
        <f t="shared" si="3"/>
        <v>0</v>
      </c>
      <c r="N10" s="118"/>
    </row>
    <row r="11" spans="1:14" x14ac:dyDescent="0.25">
      <c r="A11" s="189">
        <v>8</v>
      </c>
      <c r="B11" s="184">
        <v>46303</v>
      </c>
      <c r="C11" s="118"/>
      <c r="D11" s="118"/>
      <c r="E11" s="118"/>
      <c r="F11" s="118"/>
      <c r="G11" s="118">
        <f t="shared" si="0"/>
        <v>0</v>
      </c>
      <c r="H11" s="118"/>
      <c r="I11" s="118"/>
      <c r="J11" s="118">
        <f t="shared" si="1"/>
        <v>0</v>
      </c>
      <c r="K11" s="118">
        <f t="shared" si="2"/>
        <v>0</v>
      </c>
      <c r="L11" s="118"/>
      <c r="M11" s="118">
        <f t="shared" si="3"/>
        <v>0</v>
      </c>
      <c r="N11" s="118"/>
    </row>
    <row r="12" spans="1:14" x14ac:dyDescent="0.25">
      <c r="A12" s="189">
        <v>9</v>
      </c>
      <c r="B12" s="184">
        <v>46304</v>
      </c>
      <c r="C12" s="118"/>
      <c r="D12" s="118"/>
      <c r="E12" s="118"/>
      <c r="F12" s="118"/>
      <c r="G12" s="118">
        <f t="shared" si="0"/>
        <v>0</v>
      </c>
      <c r="H12" s="118">
        <v>10</v>
      </c>
      <c r="I12" s="118">
        <v>111.2</v>
      </c>
      <c r="J12" s="118">
        <f t="shared" si="1"/>
        <v>1112</v>
      </c>
      <c r="K12" s="118">
        <f t="shared" si="2"/>
        <v>1112</v>
      </c>
      <c r="L12" s="118">
        <v>1112</v>
      </c>
      <c r="M12" s="118">
        <f t="shared" si="3"/>
        <v>0</v>
      </c>
      <c r="N12" s="118"/>
    </row>
    <row r="13" spans="1:14" x14ac:dyDescent="0.25">
      <c r="A13" s="189">
        <v>10</v>
      </c>
      <c r="B13" s="184">
        <v>46305</v>
      </c>
      <c r="C13" s="118"/>
      <c r="D13" s="118"/>
      <c r="E13" s="118"/>
      <c r="F13" s="118"/>
      <c r="G13" s="118">
        <f t="shared" si="0"/>
        <v>0</v>
      </c>
      <c r="H13" s="118"/>
      <c r="I13" s="118"/>
      <c r="J13" s="118">
        <f t="shared" si="1"/>
        <v>0</v>
      </c>
      <c r="K13" s="118">
        <f t="shared" si="2"/>
        <v>0</v>
      </c>
      <c r="L13" s="118"/>
      <c r="M13" s="118">
        <f t="shared" si="3"/>
        <v>0</v>
      </c>
      <c r="N13" s="118"/>
    </row>
    <row r="14" spans="1:14" x14ac:dyDescent="0.25">
      <c r="A14" s="189">
        <v>11</v>
      </c>
      <c r="B14" s="184">
        <v>46306</v>
      </c>
      <c r="C14" s="118"/>
      <c r="D14" s="118"/>
      <c r="E14" s="118"/>
      <c r="F14" s="118"/>
      <c r="G14" s="118">
        <f t="shared" si="0"/>
        <v>0</v>
      </c>
      <c r="H14" s="118"/>
      <c r="I14" s="118"/>
      <c r="J14" s="118">
        <f t="shared" si="1"/>
        <v>0</v>
      </c>
      <c r="K14" s="118">
        <f t="shared" si="2"/>
        <v>0</v>
      </c>
      <c r="L14" s="118"/>
      <c r="M14" s="118">
        <f t="shared" si="3"/>
        <v>0</v>
      </c>
      <c r="N14" s="118"/>
    </row>
    <row r="15" spans="1:14" x14ac:dyDescent="0.25">
      <c r="A15" s="189">
        <v>12</v>
      </c>
      <c r="B15" s="184">
        <v>46307</v>
      </c>
      <c r="C15" s="118"/>
      <c r="D15" s="118"/>
      <c r="E15" s="118"/>
      <c r="F15" s="118"/>
      <c r="G15" s="118">
        <f t="shared" si="0"/>
        <v>0</v>
      </c>
      <c r="H15" s="118"/>
      <c r="I15" s="118"/>
      <c r="J15" s="118">
        <f t="shared" si="1"/>
        <v>0</v>
      </c>
      <c r="K15" s="118">
        <f t="shared" si="2"/>
        <v>0</v>
      </c>
      <c r="L15" s="118"/>
      <c r="M15" s="118">
        <f t="shared" si="3"/>
        <v>0</v>
      </c>
      <c r="N15" s="118"/>
    </row>
    <row r="16" spans="1:14" x14ac:dyDescent="0.25">
      <c r="A16" s="189">
        <v>13</v>
      </c>
      <c r="B16" s="184">
        <v>46308</v>
      </c>
      <c r="C16" s="118"/>
      <c r="D16" s="118"/>
      <c r="E16" s="118"/>
      <c r="F16" s="118"/>
      <c r="G16" s="118">
        <f t="shared" si="0"/>
        <v>0</v>
      </c>
      <c r="H16" s="118"/>
      <c r="I16" s="118"/>
      <c r="J16" s="118">
        <f t="shared" si="1"/>
        <v>0</v>
      </c>
      <c r="K16" s="118">
        <f t="shared" si="2"/>
        <v>0</v>
      </c>
      <c r="L16" s="118"/>
      <c r="M16" s="118">
        <f t="shared" si="3"/>
        <v>0</v>
      </c>
      <c r="N16" s="118"/>
    </row>
    <row r="17" spans="1:14" x14ac:dyDescent="0.25">
      <c r="A17" s="189">
        <v>14</v>
      </c>
      <c r="B17" s="184">
        <v>46309</v>
      </c>
      <c r="C17" s="118"/>
      <c r="D17" s="118"/>
      <c r="E17" s="118"/>
      <c r="F17" s="118"/>
      <c r="G17" s="118">
        <f t="shared" si="0"/>
        <v>0</v>
      </c>
      <c r="H17" s="118"/>
      <c r="I17" s="118"/>
      <c r="J17" s="118">
        <f t="shared" si="1"/>
        <v>0</v>
      </c>
      <c r="K17" s="118">
        <f t="shared" si="2"/>
        <v>0</v>
      </c>
      <c r="L17" s="118"/>
      <c r="M17" s="118">
        <f t="shared" si="3"/>
        <v>0</v>
      </c>
      <c r="N17" s="118"/>
    </row>
    <row r="18" spans="1:14" x14ac:dyDescent="0.25">
      <c r="A18" s="189">
        <v>15</v>
      </c>
      <c r="B18" s="184">
        <v>46310</v>
      </c>
      <c r="C18" s="118"/>
      <c r="D18" s="118"/>
      <c r="E18" s="118"/>
      <c r="F18" s="118"/>
      <c r="G18" s="118">
        <f t="shared" si="0"/>
        <v>0</v>
      </c>
      <c r="H18" s="118"/>
      <c r="I18" s="118"/>
      <c r="J18" s="118">
        <f t="shared" si="1"/>
        <v>0</v>
      </c>
      <c r="K18" s="118">
        <f t="shared" si="2"/>
        <v>0</v>
      </c>
      <c r="L18" s="118"/>
      <c r="M18" s="118">
        <f t="shared" si="3"/>
        <v>0</v>
      </c>
      <c r="N18" s="118"/>
    </row>
    <row r="19" spans="1:14" x14ac:dyDescent="0.25">
      <c r="A19" s="189">
        <v>16</v>
      </c>
      <c r="B19" s="184">
        <v>46311</v>
      </c>
      <c r="C19" s="118"/>
      <c r="D19" s="118"/>
      <c r="E19" s="118"/>
      <c r="F19" s="118"/>
      <c r="G19" s="118">
        <f t="shared" si="0"/>
        <v>0</v>
      </c>
      <c r="H19" s="118"/>
      <c r="I19" s="118"/>
      <c r="J19" s="118">
        <f t="shared" si="1"/>
        <v>0</v>
      </c>
      <c r="K19" s="118">
        <f t="shared" si="2"/>
        <v>0</v>
      </c>
      <c r="L19" s="118"/>
      <c r="M19" s="118">
        <f t="shared" si="3"/>
        <v>0</v>
      </c>
      <c r="N19" s="118"/>
    </row>
    <row r="20" spans="1:14" x14ac:dyDescent="0.25">
      <c r="A20" s="189">
        <v>17</v>
      </c>
      <c r="B20" s="184">
        <v>46312</v>
      </c>
      <c r="C20" s="118"/>
      <c r="D20" s="118"/>
      <c r="E20" s="118"/>
      <c r="F20" s="118"/>
      <c r="G20" s="118">
        <f t="shared" si="0"/>
        <v>0</v>
      </c>
      <c r="H20" s="118"/>
      <c r="I20" s="118"/>
      <c r="J20" s="118">
        <f t="shared" si="1"/>
        <v>0</v>
      </c>
      <c r="K20" s="118">
        <f t="shared" si="2"/>
        <v>0</v>
      </c>
      <c r="L20" s="118"/>
      <c r="M20" s="118">
        <f t="shared" si="3"/>
        <v>0</v>
      </c>
      <c r="N20" s="118"/>
    </row>
    <row r="21" spans="1:14" x14ac:dyDescent="0.25">
      <c r="A21" s="189">
        <v>18</v>
      </c>
      <c r="B21" s="184">
        <v>46313</v>
      </c>
      <c r="C21" s="118"/>
      <c r="D21" s="118"/>
      <c r="E21" s="118"/>
      <c r="F21" s="118"/>
      <c r="G21" s="118">
        <f t="shared" si="0"/>
        <v>0</v>
      </c>
      <c r="H21" s="118"/>
      <c r="I21" s="118"/>
      <c r="J21" s="118">
        <f t="shared" si="1"/>
        <v>0</v>
      </c>
      <c r="K21" s="118">
        <f t="shared" si="2"/>
        <v>0</v>
      </c>
      <c r="L21" s="118"/>
      <c r="M21" s="118">
        <f t="shared" si="3"/>
        <v>0</v>
      </c>
      <c r="N21" s="118"/>
    </row>
    <row r="22" spans="1:14" x14ac:dyDescent="0.25">
      <c r="A22" s="189">
        <v>19</v>
      </c>
      <c r="B22" s="184">
        <v>46314</v>
      </c>
      <c r="C22" s="118"/>
      <c r="D22" s="118"/>
      <c r="E22" s="118"/>
      <c r="F22" s="118"/>
      <c r="G22" s="118">
        <f t="shared" si="0"/>
        <v>0</v>
      </c>
      <c r="H22" s="118"/>
      <c r="I22" s="118"/>
      <c r="J22" s="118">
        <f t="shared" si="1"/>
        <v>0</v>
      </c>
      <c r="K22" s="118">
        <f t="shared" si="2"/>
        <v>0</v>
      </c>
      <c r="L22" s="118"/>
      <c r="M22" s="118">
        <f t="shared" si="3"/>
        <v>0</v>
      </c>
      <c r="N22" s="118"/>
    </row>
    <row r="23" spans="1:14" x14ac:dyDescent="0.25">
      <c r="A23" s="189">
        <v>20</v>
      </c>
      <c r="B23" s="184">
        <v>46315</v>
      </c>
      <c r="C23" s="118"/>
      <c r="D23" s="118"/>
      <c r="E23" s="118"/>
      <c r="F23" s="118"/>
      <c r="G23" s="118">
        <f t="shared" si="0"/>
        <v>0</v>
      </c>
      <c r="H23" s="118"/>
      <c r="I23" s="118"/>
      <c r="J23" s="118">
        <f t="shared" si="1"/>
        <v>0</v>
      </c>
      <c r="K23" s="118">
        <f t="shared" si="2"/>
        <v>0</v>
      </c>
      <c r="L23" s="118"/>
      <c r="M23" s="118">
        <f t="shared" si="3"/>
        <v>0</v>
      </c>
      <c r="N23" s="118"/>
    </row>
    <row r="24" spans="1:14" x14ac:dyDescent="0.25">
      <c r="A24" s="189">
        <v>21</v>
      </c>
      <c r="B24" s="184">
        <v>46316</v>
      </c>
      <c r="C24" s="118"/>
      <c r="D24" s="118"/>
      <c r="E24" s="118"/>
      <c r="F24" s="118"/>
      <c r="G24" s="118">
        <f t="shared" si="0"/>
        <v>0</v>
      </c>
      <c r="H24" s="118"/>
      <c r="I24" s="118"/>
      <c r="J24" s="118">
        <f t="shared" si="1"/>
        <v>0</v>
      </c>
      <c r="K24" s="118">
        <f t="shared" si="2"/>
        <v>0</v>
      </c>
      <c r="L24" s="118"/>
      <c r="M24" s="118">
        <f t="shared" si="3"/>
        <v>0</v>
      </c>
      <c r="N24" s="118"/>
    </row>
    <row r="25" spans="1:14" x14ac:dyDescent="0.25">
      <c r="A25" s="189">
        <v>22</v>
      </c>
      <c r="B25" s="184">
        <v>46317</v>
      </c>
      <c r="C25" s="118"/>
      <c r="D25" s="118"/>
      <c r="E25" s="118"/>
      <c r="F25" s="118"/>
      <c r="G25" s="118">
        <f t="shared" si="0"/>
        <v>0</v>
      </c>
      <c r="H25" s="118"/>
      <c r="I25" s="118"/>
      <c r="J25" s="118">
        <f t="shared" si="1"/>
        <v>0</v>
      </c>
      <c r="K25" s="118">
        <f t="shared" si="2"/>
        <v>0</v>
      </c>
      <c r="L25" s="118"/>
      <c r="M25" s="118">
        <f t="shared" si="3"/>
        <v>0</v>
      </c>
      <c r="N25" s="118"/>
    </row>
    <row r="26" spans="1:14" x14ac:dyDescent="0.25">
      <c r="A26" s="189">
        <v>23</v>
      </c>
      <c r="B26" s="184">
        <v>46318</v>
      </c>
      <c r="C26" s="118"/>
      <c r="D26" s="118"/>
      <c r="E26" s="118"/>
      <c r="F26" s="118"/>
      <c r="G26" s="118">
        <f t="shared" si="0"/>
        <v>0</v>
      </c>
      <c r="H26" s="524"/>
      <c r="I26" s="118"/>
      <c r="J26" s="118">
        <f t="shared" si="1"/>
        <v>0</v>
      </c>
      <c r="K26" s="118">
        <f t="shared" si="2"/>
        <v>0</v>
      </c>
      <c r="L26" s="118"/>
      <c r="M26" s="118">
        <f t="shared" si="3"/>
        <v>0</v>
      </c>
      <c r="N26" s="118"/>
    </row>
    <row r="27" spans="1:14" x14ac:dyDescent="0.25">
      <c r="A27" s="189">
        <v>24</v>
      </c>
      <c r="B27" s="184">
        <v>46319</v>
      </c>
      <c r="C27" s="118"/>
      <c r="D27" s="118"/>
      <c r="E27" s="118"/>
      <c r="F27" s="118"/>
      <c r="G27" s="118">
        <f t="shared" si="0"/>
        <v>0</v>
      </c>
      <c r="H27" s="118"/>
      <c r="I27" s="118"/>
      <c r="J27" s="118">
        <f>H27*I27</f>
        <v>0</v>
      </c>
      <c r="K27" s="118">
        <f t="shared" si="2"/>
        <v>0</v>
      </c>
      <c r="L27" s="118"/>
      <c r="M27" s="118">
        <f t="shared" si="3"/>
        <v>0</v>
      </c>
      <c r="N27" s="118"/>
    </row>
    <row r="28" spans="1:14" x14ac:dyDescent="0.25">
      <c r="A28" s="191">
        <v>25</v>
      </c>
      <c r="B28" s="184">
        <v>46320</v>
      </c>
      <c r="C28" s="118"/>
      <c r="D28" s="118"/>
      <c r="E28" s="118"/>
      <c r="F28" s="118"/>
      <c r="G28" s="118">
        <f t="shared" si="0"/>
        <v>0</v>
      </c>
      <c r="H28" s="118"/>
      <c r="I28" s="118"/>
      <c r="J28" s="118">
        <f t="shared" si="1"/>
        <v>0</v>
      </c>
      <c r="K28" s="118">
        <f t="shared" si="2"/>
        <v>0</v>
      </c>
      <c r="L28" s="118"/>
      <c r="M28" s="118">
        <f t="shared" si="3"/>
        <v>0</v>
      </c>
      <c r="N28" s="118"/>
    </row>
    <row r="29" spans="1:14" x14ac:dyDescent="0.25">
      <c r="A29" s="191">
        <v>26</v>
      </c>
      <c r="B29" s="184">
        <v>46321</v>
      </c>
      <c r="C29" s="118"/>
      <c r="D29" s="118"/>
      <c r="E29" s="118"/>
      <c r="F29" s="118"/>
      <c r="G29" s="118">
        <f t="shared" si="0"/>
        <v>0</v>
      </c>
      <c r="H29" s="118"/>
      <c r="I29" s="118"/>
      <c r="J29" s="118">
        <f t="shared" si="1"/>
        <v>0</v>
      </c>
      <c r="K29" s="118">
        <f t="shared" si="2"/>
        <v>0</v>
      </c>
      <c r="L29" s="118"/>
      <c r="M29" s="118">
        <f t="shared" si="3"/>
        <v>0</v>
      </c>
      <c r="N29" s="118"/>
    </row>
    <row r="30" spans="1:14" x14ac:dyDescent="0.25">
      <c r="A30" s="191">
        <v>27</v>
      </c>
      <c r="B30" s="184">
        <v>46322</v>
      </c>
      <c r="C30" s="118"/>
      <c r="D30" s="118"/>
      <c r="E30" s="118"/>
      <c r="F30" s="118"/>
      <c r="G30" s="118">
        <f t="shared" si="0"/>
        <v>0</v>
      </c>
      <c r="H30" s="118"/>
      <c r="I30" s="118"/>
      <c r="J30" s="118">
        <f t="shared" si="1"/>
        <v>0</v>
      </c>
      <c r="K30" s="118">
        <f t="shared" si="2"/>
        <v>0</v>
      </c>
      <c r="L30" s="118"/>
      <c r="M30" s="118">
        <f t="shared" si="3"/>
        <v>0</v>
      </c>
      <c r="N30" s="118"/>
    </row>
    <row r="31" spans="1:14" x14ac:dyDescent="0.25">
      <c r="A31" s="191">
        <v>28</v>
      </c>
      <c r="B31" s="184">
        <v>46323</v>
      </c>
      <c r="C31" s="118"/>
      <c r="D31" s="118"/>
      <c r="E31" s="118"/>
      <c r="F31" s="118"/>
      <c r="G31" s="118">
        <f t="shared" si="0"/>
        <v>0</v>
      </c>
      <c r="H31" s="118"/>
      <c r="I31" s="118"/>
      <c r="J31" s="118">
        <f t="shared" si="1"/>
        <v>0</v>
      </c>
      <c r="K31" s="118">
        <f t="shared" si="2"/>
        <v>0</v>
      </c>
      <c r="L31" s="118"/>
      <c r="M31" s="118">
        <f t="shared" si="3"/>
        <v>0</v>
      </c>
      <c r="N31" s="118"/>
    </row>
    <row r="32" spans="1:14" x14ac:dyDescent="0.25">
      <c r="A32" s="193">
        <v>29</v>
      </c>
      <c r="B32" s="184">
        <v>46324</v>
      </c>
      <c r="C32" s="118"/>
      <c r="D32" s="118"/>
      <c r="E32" s="118"/>
      <c r="F32" s="118"/>
      <c r="G32" s="118">
        <f t="shared" si="0"/>
        <v>0</v>
      </c>
      <c r="H32" s="118"/>
      <c r="I32" s="118"/>
      <c r="J32" s="118">
        <f t="shared" si="1"/>
        <v>0</v>
      </c>
      <c r="K32" s="118">
        <f t="shared" si="2"/>
        <v>0</v>
      </c>
      <c r="L32" s="118"/>
      <c r="M32" s="118">
        <f t="shared" si="3"/>
        <v>0</v>
      </c>
      <c r="N32" s="118"/>
    </row>
    <row r="33" spans="1:14" x14ac:dyDescent="0.25">
      <c r="A33" s="193">
        <v>30</v>
      </c>
      <c r="B33" s="184">
        <v>46325</v>
      </c>
      <c r="C33" s="118"/>
      <c r="D33" s="118"/>
      <c r="E33" s="118"/>
      <c r="F33" s="118"/>
      <c r="G33" s="118">
        <f t="shared" si="0"/>
        <v>0</v>
      </c>
      <c r="H33" s="118"/>
      <c r="I33" s="118"/>
      <c r="J33" s="118">
        <f t="shared" si="1"/>
        <v>0</v>
      </c>
      <c r="K33" s="118">
        <f t="shared" si="2"/>
        <v>0</v>
      </c>
      <c r="L33" s="118"/>
      <c r="M33" s="118">
        <f t="shared" si="3"/>
        <v>0</v>
      </c>
      <c r="N33" s="118"/>
    </row>
    <row r="34" spans="1:14" x14ac:dyDescent="0.25">
      <c r="A34" s="193">
        <v>31</v>
      </c>
      <c r="B34" s="184">
        <v>46326</v>
      </c>
      <c r="C34" s="118"/>
      <c r="D34" s="118"/>
      <c r="E34" s="118"/>
      <c r="F34" s="118"/>
      <c r="G34" s="118">
        <f t="shared" si="0"/>
        <v>0</v>
      </c>
      <c r="H34" s="118"/>
      <c r="I34" s="118"/>
      <c r="J34" s="118">
        <f t="shared" si="1"/>
        <v>0</v>
      </c>
      <c r="K34" s="118">
        <f t="shared" si="2"/>
        <v>0</v>
      </c>
      <c r="L34" s="118"/>
      <c r="M34" s="118">
        <f t="shared" si="3"/>
        <v>0</v>
      </c>
      <c r="N34" s="118"/>
    </row>
    <row r="35" spans="1:14" x14ac:dyDescent="0.25">
      <c r="A35" s="404"/>
      <c r="B35" s="404"/>
      <c r="C35" s="404"/>
      <c r="D35" s="404"/>
      <c r="E35" s="404">
        <f>SUM(E4:E34)</f>
        <v>0</v>
      </c>
      <c r="F35" s="404"/>
      <c r="G35" s="404">
        <f>SUM(G4:G34)</f>
        <v>0</v>
      </c>
      <c r="H35" s="404">
        <f>SUM(H4:H34)</f>
        <v>10</v>
      </c>
      <c r="I35" s="404"/>
      <c r="J35" s="404">
        <f>SUM(J4:J34)</f>
        <v>1112</v>
      </c>
      <c r="K35" s="404">
        <f>SUM(K4:K34)</f>
        <v>1112</v>
      </c>
      <c r="L35" s="404">
        <f>SUM(L4:L34)</f>
        <v>1112</v>
      </c>
      <c r="M35" s="404"/>
      <c r="N35" s="404"/>
    </row>
  </sheetData>
  <mergeCells count="3">
    <mergeCell ref="A1:N1"/>
    <mergeCell ref="A3:L3"/>
    <mergeCell ref="M3:N3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4"/>
  <sheetViews>
    <sheetView workbookViewId="0" zoomScale="100" zoomScaleNormal="100">
      <pane ySplit="3" topLeftCell="A4" activePane="bottomLeft" state="frozen"/>
      <selection pane="bottomLeft" activeCell="L18" sqref="L18"/>
    </sheetView>
  </sheetViews>
  <sheetFormatPr defaultRowHeight="15" outlineLevelRow="0" outlineLevelCol="0" x14ac:dyDescent="0"/>
  <cols>
    <col min="1" max="1" width="5.140625" customWidth="1"/>
    <col min="2" max="2" width="10.5703125" customWidth="1"/>
    <col min="3" max="3" width="8" customWidth="1"/>
    <col min="4" max="4" width="17.85546875" customWidth="1"/>
    <col min="5" max="5" width="15" customWidth="1"/>
    <col min="6" max="6" width="16.42578125" customWidth="1"/>
    <col min="7" max="7" width="10.7109375" customWidth="1"/>
    <col min="8" max="8" width="11.140625" customWidth="1"/>
    <col min="9" max="9" width="8.42578125" customWidth="1"/>
    <col min="11" max="12" width="13.5703125" customWidth="1"/>
    <col min="13" max="13" width="11.5703125" customWidth="1"/>
    <col min="14" max="14" width="8.7109375" customWidth="1"/>
  </cols>
  <sheetData>
    <row r="1" ht="15.75" customHeight="1" spans="1:15" x14ac:dyDescent="0.25">
      <c r="A1" s="172" t="s">
        <v>84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207"/>
    </row>
    <row r="2" spans="1:15" x14ac:dyDescent="0.25">
      <c r="A2" s="173" t="s">
        <v>0</v>
      </c>
      <c r="B2" s="174" t="s">
        <v>167</v>
      </c>
      <c r="C2" s="174" t="s">
        <v>168</v>
      </c>
      <c r="D2" s="174" t="s">
        <v>189</v>
      </c>
      <c r="E2" s="175" t="s">
        <v>170</v>
      </c>
      <c r="F2" s="175" t="s">
        <v>171</v>
      </c>
      <c r="G2" s="174" t="s">
        <v>172</v>
      </c>
      <c r="H2" s="174" t="s">
        <v>173</v>
      </c>
      <c r="I2" s="174" t="s">
        <v>171</v>
      </c>
      <c r="J2" s="176" t="s">
        <v>172</v>
      </c>
      <c r="K2" s="177" t="s">
        <v>174</v>
      </c>
      <c r="L2" s="178" t="s">
        <v>175</v>
      </c>
      <c r="M2" s="179" t="s">
        <v>190</v>
      </c>
      <c r="N2" s="180" t="s">
        <v>177</v>
      </c>
      <c r="O2" s="208"/>
    </row>
    <row r="3" spans="1:15" x14ac:dyDescent="0.25">
      <c r="A3" s="148" t="s">
        <v>178</v>
      </c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50"/>
      <c r="M3" s="181">
        <v>0</v>
      </c>
      <c r="N3" s="182"/>
      <c r="O3" s="208"/>
    </row>
    <row r="4" spans="1:14" x14ac:dyDescent="0.25">
      <c r="A4" s="183">
        <v>1</v>
      </c>
      <c r="B4" s="184">
        <v>45931</v>
      </c>
      <c r="C4" s="185"/>
      <c r="D4" s="186"/>
      <c r="E4" s="165"/>
      <c r="F4" s="165"/>
      <c r="G4" s="166">
        <f t="shared" ref="G4" si="0">E4*F4</f>
        <v>0</v>
      </c>
      <c r="H4" s="167"/>
      <c r="I4" s="168"/>
      <c r="J4" s="166">
        <f>H4*I4</f>
        <v>0</v>
      </c>
      <c r="K4" s="166">
        <f>G4+J4</f>
        <v>0</v>
      </c>
      <c r="L4" s="188">
        <f>+K4</f>
        <v>0</v>
      </c>
      <c r="M4" s="188">
        <v>0</v>
      </c>
      <c r="N4" s="166"/>
    </row>
    <row r="5" spans="1:14" x14ac:dyDescent="0.25">
      <c r="A5" s="189">
        <v>2</v>
      </c>
      <c r="B5" s="184">
        <v>45932</v>
      </c>
      <c r="C5" s="185"/>
      <c r="D5" s="186"/>
      <c r="E5" s="165"/>
      <c r="F5" s="165"/>
      <c r="G5" s="166">
        <f t="shared" ref="G5:G33" si="1">E5*F5</f>
        <v>0</v>
      </c>
      <c r="H5" s="167"/>
      <c r="I5" s="168"/>
      <c r="J5" s="166">
        <f t="shared" ref="J5:J33" si="2">H5*I5</f>
        <v>0</v>
      </c>
      <c r="K5" s="166">
        <f t="shared" ref="K5:K33" si="3">G5+J5</f>
        <v>0</v>
      </c>
      <c r="L5" s="188">
        <f t="shared" ref="L5:L33" si="4">+K5</f>
        <v>0</v>
      </c>
      <c r="M5" s="188">
        <v>0</v>
      </c>
      <c r="N5" s="166"/>
    </row>
    <row r="6" spans="1:14" x14ac:dyDescent="0.25">
      <c r="A6" s="189">
        <v>3</v>
      </c>
      <c r="B6" s="184">
        <v>45933</v>
      </c>
      <c r="C6" s="185"/>
      <c r="D6" s="186"/>
      <c r="E6" s="165">
        <v>28.59</v>
      </c>
      <c r="F6" s="165">
        <v>104.95</v>
      </c>
      <c r="G6" s="166">
        <f t="shared" si="1"/>
        <v>3000.5205</v>
      </c>
      <c r="H6" s="167"/>
      <c r="I6" s="168"/>
      <c r="J6" s="166">
        <f t="shared" si="2"/>
        <v>0</v>
      </c>
      <c r="K6" s="166">
        <f t="shared" si="3"/>
        <v>3000.5205</v>
      </c>
      <c r="L6" s="188">
        <f t="shared" si="4"/>
        <v>3000.5205</v>
      </c>
      <c r="M6" s="188">
        <v>0</v>
      </c>
      <c r="N6" s="166"/>
    </row>
    <row r="7" spans="1:14" x14ac:dyDescent="0.25">
      <c r="A7" s="189">
        <v>4</v>
      </c>
      <c r="B7" s="184">
        <v>45934</v>
      </c>
      <c r="C7" s="185"/>
      <c r="D7" s="186"/>
      <c r="E7" s="165"/>
      <c r="F7" s="165"/>
      <c r="G7" s="166">
        <f t="shared" si="1"/>
        <v>0</v>
      </c>
      <c r="H7" s="167"/>
      <c r="I7" s="168"/>
      <c r="J7" s="166">
        <f t="shared" si="2"/>
        <v>0</v>
      </c>
      <c r="K7" s="166">
        <f t="shared" si="3"/>
        <v>0</v>
      </c>
      <c r="L7" s="188">
        <f t="shared" si="4"/>
        <v>0</v>
      </c>
      <c r="M7" s="188">
        <v>0</v>
      </c>
      <c r="N7" s="166"/>
    </row>
    <row r="8" spans="1:18" x14ac:dyDescent="0.25">
      <c r="A8" s="189">
        <v>5</v>
      </c>
      <c r="B8" s="184">
        <v>45935</v>
      </c>
      <c r="C8" s="185"/>
      <c r="D8" s="186"/>
      <c r="E8" s="165"/>
      <c r="F8" s="165"/>
      <c r="G8" s="166">
        <f t="shared" si="1"/>
        <v>0</v>
      </c>
      <c r="H8" s="167"/>
      <c r="I8" s="168"/>
      <c r="J8" s="166">
        <f t="shared" si="2"/>
        <v>0</v>
      </c>
      <c r="K8" s="166">
        <f t="shared" si="3"/>
        <v>0</v>
      </c>
      <c r="L8" s="188">
        <f t="shared" si="4"/>
        <v>0</v>
      </c>
      <c r="M8" s="188">
        <v>0</v>
      </c>
      <c r="N8" s="166"/>
      <c r="O8" s="209"/>
      <c r="R8" s="210"/>
    </row>
    <row r="9" spans="1:15" x14ac:dyDescent="0.25">
      <c r="A9" s="189">
        <v>6</v>
      </c>
      <c r="B9" s="184">
        <v>45936</v>
      </c>
      <c r="C9" s="185"/>
      <c r="D9" s="186"/>
      <c r="E9" s="165"/>
      <c r="F9" s="165"/>
      <c r="G9" s="166">
        <f t="shared" si="1"/>
        <v>0</v>
      </c>
      <c r="H9" s="167"/>
      <c r="I9" s="168"/>
      <c r="J9" s="166">
        <f t="shared" si="2"/>
        <v>0</v>
      </c>
      <c r="K9" s="166">
        <f t="shared" si="3"/>
        <v>0</v>
      </c>
      <c r="L9" s="188">
        <f t="shared" si="4"/>
        <v>0</v>
      </c>
      <c r="M9" s="188">
        <v>0</v>
      </c>
      <c r="N9" s="166"/>
      <c r="O9" s="209"/>
    </row>
    <row r="10" spans="1:15" x14ac:dyDescent="0.25">
      <c r="A10" s="189">
        <v>7</v>
      </c>
      <c r="B10" s="184">
        <v>45937</v>
      </c>
      <c r="C10" s="185"/>
      <c r="D10" s="186"/>
      <c r="E10" s="165"/>
      <c r="F10" s="165"/>
      <c r="G10" s="166">
        <f t="shared" si="1"/>
        <v>0</v>
      </c>
      <c r="H10" s="167"/>
      <c r="I10" s="168"/>
      <c r="J10" s="166">
        <f t="shared" si="2"/>
        <v>0</v>
      </c>
      <c r="K10" s="166">
        <f t="shared" si="3"/>
        <v>0</v>
      </c>
      <c r="L10" s="188">
        <f t="shared" si="4"/>
        <v>0</v>
      </c>
      <c r="M10" s="188">
        <v>0</v>
      </c>
      <c r="N10" s="166"/>
      <c r="O10" s="209"/>
    </row>
    <row r="11" spans="1:15" x14ac:dyDescent="0.25">
      <c r="A11" s="189">
        <v>8</v>
      </c>
      <c r="B11" s="184">
        <v>45938</v>
      </c>
      <c r="C11" s="185"/>
      <c r="D11" s="186"/>
      <c r="E11" s="165"/>
      <c r="F11" s="165"/>
      <c r="G11" s="166">
        <f t="shared" si="1"/>
        <v>0</v>
      </c>
      <c r="H11" s="167"/>
      <c r="I11" s="168"/>
      <c r="J11" s="166">
        <f t="shared" si="2"/>
        <v>0</v>
      </c>
      <c r="K11" s="166">
        <f t="shared" si="3"/>
        <v>0</v>
      </c>
      <c r="L11" s="188">
        <f t="shared" si="4"/>
        <v>0</v>
      </c>
      <c r="M11" s="188">
        <v>0</v>
      </c>
      <c r="N11" s="166"/>
      <c r="O11" s="209"/>
    </row>
    <row r="12" spans="1:15" x14ac:dyDescent="0.25">
      <c r="A12" s="189">
        <v>9</v>
      </c>
      <c r="B12" s="184">
        <v>45939</v>
      </c>
      <c r="C12" s="185"/>
      <c r="D12" s="186"/>
      <c r="E12" s="165"/>
      <c r="F12" s="165"/>
      <c r="G12" s="166">
        <f t="shared" si="1"/>
        <v>0</v>
      </c>
      <c r="H12" s="167"/>
      <c r="I12" s="168"/>
      <c r="J12" s="166">
        <f t="shared" si="2"/>
        <v>0</v>
      </c>
      <c r="K12" s="166">
        <f t="shared" ref="K12:K18" si="5">G12+J12</f>
        <v>0</v>
      </c>
      <c r="L12" s="188">
        <f t="shared" ref="L12:L18" si="6">+K12</f>
        <v>0</v>
      </c>
      <c r="M12" s="188">
        <v>0</v>
      </c>
      <c r="N12" s="166"/>
      <c r="O12" s="209"/>
    </row>
    <row r="13" spans="1:15" x14ac:dyDescent="0.25">
      <c r="A13" s="189">
        <v>10</v>
      </c>
      <c r="B13" s="184">
        <v>45940</v>
      </c>
      <c r="C13" s="185"/>
      <c r="D13" s="186"/>
      <c r="E13" s="165"/>
      <c r="F13" s="165"/>
      <c r="G13" s="166">
        <f t="shared" si="1"/>
        <v>0</v>
      </c>
      <c r="H13" s="167"/>
      <c r="I13" s="168"/>
      <c r="J13" s="166">
        <f t="shared" si="2"/>
        <v>0</v>
      </c>
      <c r="K13" s="166">
        <f t="shared" si="5"/>
        <v>0</v>
      </c>
      <c r="L13" s="188">
        <f t="shared" si="6"/>
        <v>0</v>
      </c>
      <c r="M13" s="188">
        <v>0</v>
      </c>
      <c r="N13" s="166"/>
      <c r="O13" s="209"/>
    </row>
    <row r="14" spans="1:15" x14ac:dyDescent="0.25">
      <c r="A14" s="189">
        <v>11</v>
      </c>
      <c r="B14" s="184">
        <v>45941</v>
      </c>
      <c r="C14" s="185"/>
      <c r="D14" s="186"/>
      <c r="E14" s="165"/>
      <c r="F14" s="165"/>
      <c r="G14" s="166">
        <f t="shared" si="1"/>
        <v>0</v>
      </c>
      <c r="H14" s="167"/>
      <c r="I14" s="168"/>
      <c r="J14" s="166">
        <f t="shared" si="2"/>
        <v>0</v>
      </c>
      <c r="K14" s="166">
        <f t="shared" si="5"/>
        <v>0</v>
      </c>
      <c r="L14" s="188">
        <f t="shared" si="6"/>
        <v>0</v>
      </c>
      <c r="M14" s="188">
        <v>0</v>
      </c>
      <c r="N14" s="166"/>
      <c r="O14" s="209"/>
    </row>
    <row r="15" spans="1:15" x14ac:dyDescent="0.25">
      <c r="A15" s="189">
        <v>12</v>
      </c>
      <c r="B15" s="184">
        <v>45942</v>
      </c>
      <c r="C15" s="185"/>
      <c r="D15" s="186"/>
      <c r="E15" s="165"/>
      <c r="F15" s="165"/>
      <c r="G15" s="166">
        <f t="shared" si="1"/>
        <v>0</v>
      </c>
      <c r="H15" s="167"/>
      <c r="I15" s="168"/>
      <c r="J15" s="166">
        <f t="shared" si="2"/>
        <v>0</v>
      </c>
      <c r="K15" s="166">
        <f t="shared" si="5"/>
        <v>0</v>
      </c>
      <c r="L15" s="188">
        <f t="shared" si="6"/>
        <v>0</v>
      </c>
      <c r="M15" s="188">
        <v>0</v>
      </c>
      <c r="N15" s="166"/>
      <c r="O15" s="209"/>
    </row>
    <row r="16" spans="1:15" x14ac:dyDescent="0.25">
      <c r="A16" s="189">
        <v>13</v>
      </c>
      <c r="B16" s="184">
        <v>45943</v>
      </c>
      <c r="C16" s="185"/>
      <c r="D16" s="186"/>
      <c r="E16" s="165"/>
      <c r="F16" s="165"/>
      <c r="G16" s="166">
        <f t="shared" si="1"/>
        <v>0</v>
      </c>
      <c r="H16" s="167"/>
      <c r="I16" s="168"/>
      <c r="J16" s="166">
        <f t="shared" si="2"/>
        <v>0</v>
      </c>
      <c r="K16" s="166">
        <f t="shared" si="5"/>
        <v>0</v>
      </c>
      <c r="L16" s="188">
        <f t="shared" si="6"/>
        <v>0</v>
      </c>
      <c r="M16" s="188">
        <v>0</v>
      </c>
      <c r="N16" s="166"/>
      <c r="O16" s="209"/>
    </row>
    <row r="17" spans="1:15" x14ac:dyDescent="0.25">
      <c r="A17" s="189">
        <v>14</v>
      </c>
      <c r="B17" s="184">
        <v>45944</v>
      </c>
      <c r="C17" s="185"/>
      <c r="D17" s="186"/>
      <c r="E17" s="165"/>
      <c r="F17" s="165"/>
      <c r="G17" s="166">
        <f t="shared" si="1"/>
        <v>0</v>
      </c>
      <c r="H17" s="167"/>
      <c r="I17" s="168"/>
      <c r="J17" s="166">
        <f t="shared" si="2"/>
        <v>0</v>
      </c>
      <c r="K17" s="166">
        <f t="shared" si="5"/>
        <v>0</v>
      </c>
      <c r="L17" s="188">
        <f t="shared" si="6"/>
        <v>0</v>
      </c>
      <c r="M17" s="188">
        <v>0</v>
      </c>
      <c r="N17" s="166"/>
      <c r="O17" s="209"/>
    </row>
    <row r="18" spans="1:15" x14ac:dyDescent="0.25">
      <c r="A18" s="189">
        <v>15</v>
      </c>
      <c r="B18" s="184">
        <v>45945</v>
      </c>
      <c r="C18" s="185"/>
      <c r="D18" s="186"/>
      <c r="E18" s="165">
        <v>38.93</v>
      </c>
      <c r="F18" s="165">
        <v>104.95</v>
      </c>
      <c r="G18" s="166">
        <f t="shared" si="1"/>
        <v>4085.7035</v>
      </c>
      <c r="H18" s="167"/>
      <c r="I18" s="168"/>
      <c r="J18" s="166">
        <f t="shared" si="2"/>
        <v>0</v>
      </c>
      <c r="K18" s="166">
        <f t="shared" si="5"/>
        <v>4085.7035</v>
      </c>
      <c r="L18" s="188">
        <f t="shared" si="6"/>
        <v>4085.7035</v>
      </c>
      <c r="M18" s="188">
        <v>0</v>
      </c>
      <c r="N18" s="166"/>
      <c r="O18" s="209"/>
    </row>
    <row r="19" spans="1:15" x14ac:dyDescent="0.25">
      <c r="A19" s="189">
        <v>16</v>
      </c>
      <c r="B19" s="184">
        <v>45946</v>
      </c>
      <c r="C19" s="185"/>
      <c r="D19" s="186"/>
      <c r="E19" s="165"/>
      <c r="F19" s="165"/>
      <c r="G19" s="166">
        <f t="shared" si="1"/>
        <v>0</v>
      </c>
      <c r="H19" s="167"/>
      <c r="I19" s="168"/>
      <c r="J19" s="166">
        <f t="shared" si="2"/>
        <v>0</v>
      </c>
      <c r="K19" s="166">
        <f t="shared" si="3"/>
        <v>0</v>
      </c>
      <c r="L19" s="188">
        <f t="shared" si="4"/>
        <v>0</v>
      </c>
      <c r="M19" s="188">
        <v>0</v>
      </c>
      <c r="N19" s="166"/>
      <c r="O19" s="209"/>
    </row>
    <row r="20" spans="1:15" x14ac:dyDescent="0.25">
      <c r="A20" s="189">
        <v>17</v>
      </c>
      <c r="B20" s="184">
        <v>45947</v>
      </c>
      <c r="C20" s="185"/>
      <c r="D20" s="186"/>
      <c r="E20" s="165"/>
      <c r="F20" s="165"/>
      <c r="G20" s="166">
        <f t="shared" si="1"/>
        <v>0</v>
      </c>
      <c r="H20" s="167"/>
      <c r="I20" s="168"/>
      <c r="J20" s="166">
        <f t="shared" si="2"/>
        <v>0</v>
      </c>
      <c r="K20" s="166">
        <f t="shared" si="3"/>
        <v>0</v>
      </c>
      <c r="L20" s="188">
        <f t="shared" si="4"/>
        <v>0</v>
      </c>
      <c r="M20" s="188">
        <v>0</v>
      </c>
      <c r="N20" s="166"/>
      <c r="O20" s="209"/>
    </row>
    <row r="21" spans="1:15" x14ac:dyDescent="0.25">
      <c r="A21" s="189">
        <v>18</v>
      </c>
      <c r="B21" s="184">
        <v>45948</v>
      </c>
      <c r="C21" s="185"/>
      <c r="D21" s="186"/>
      <c r="E21" s="165"/>
      <c r="F21" s="165"/>
      <c r="G21" s="166">
        <f t="shared" si="1"/>
        <v>0</v>
      </c>
      <c r="H21" s="167"/>
      <c r="I21" s="168"/>
      <c r="J21" s="166">
        <f t="shared" si="2"/>
        <v>0</v>
      </c>
      <c r="K21" s="166">
        <f t="shared" si="3"/>
        <v>0</v>
      </c>
      <c r="L21" s="188">
        <f t="shared" si="4"/>
        <v>0</v>
      </c>
      <c r="M21" s="188">
        <v>0</v>
      </c>
      <c r="N21" s="166"/>
      <c r="O21" s="209"/>
    </row>
    <row r="22" spans="1:15" x14ac:dyDescent="0.25">
      <c r="A22" s="189">
        <v>19</v>
      </c>
      <c r="B22" s="184">
        <v>45949</v>
      </c>
      <c r="C22" s="185"/>
      <c r="D22" s="186"/>
      <c r="E22" s="165"/>
      <c r="F22" s="165"/>
      <c r="G22" s="166">
        <f t="shared" si="1"/>
        <v>0</v>
      </c>
      <c r="H22" s="167"/>
      <c r="I22" s="168"/>
      <c r="J22" s="166">
        <f t="shared" si="2"/>
        <v>0</v>
      </c>
      <c r="K22" s="166">
        <f t="shared" si="3"/>
        <v>0</v>
      </c>
      <c r="L22" s="188">
        <f t="shared" si="4"/>
        <v>0</v>
      </c>
      <c r="M22" s="188">
        <v>0</v>
      </c>
      <c r="N22" s="166"/>
      <c r="O22" s="209"/>
    </row>
    <row r="23" spans="1:15" x14ac:dyDescent="0.25">
      <c r="A23" s="189">
        <v>20</v>
      </c>
      <c r="B23" s="184">
        <v>45950</v>
      </c>
      <c r="C23" s="185"/>
      <c r="D23" s="186"/>
      <c r="E23" s="165"/>
      <c r="F23" s="165"/>
      <c r="G23" s="166">
        <f t="shared" si="1"/>
        <v>0</v>
      </c>
      <c r="H23" s="167"/>
      <c r="I23" s="168"/>
      <c r="J23" s="166">
        <f t="shared" si="2"/>
        <v>0</v>
      </c>
      <c r="K23" s="166">
        <f t="shared" si="3"/>
        <v>0</v>
      </c>
      <c r="L23" s="188">
        <f t="shared" si="4"/>
        <v>0</v>
      </c>
      <c r="M23" s="188">
        <v>0</v>
      </c>
      <c r="N23" s="166"/>
      <c r="O23" s="209"/>
    </row>
    <row r="24" spans="1:15" x14ac:dyDescent="0.25">
      <c r="A24" s="189">
        <v>21</v>
      </c>
      <c r="B24" s="184">
        <v>45951</v>
      </c>
      <c r="C24" s="185"/>
      <c r="D24" s="186"/>
      <c r="E24" s="165"/>
      <c r="F24" s="165"/>
      <c r="G24" s="166">
        <f t="shared" si="1"/>
        <v>0</v>
      </c>
      <c r="H24" s="167"/>
      <c r="I24" s="168"/>
      <c r="J24" s="166">
        <f t="shared" si="2"/>
        <v>0</v>
      </c>
      <c r="K24" s="166">
        <f t="shared" si="3"/>
        <v>0</v>
      </c>
      <c r="L24" s="188">
        <f t="shared" si="4"/>
        <v>0</v>
      </c>
      <c r="M24" s="188">
        <v>0</v>
      </c>
      <c r="N24" s="166"/>
      <c r="O24" s="209"/>
    </row>
    <row r="25" spans="1:15" x14ac:dyDescent="0.25">
      <c r="A25" s="189">
        <v>22</v>
      </c>
      <c r="B25" s="184">
        <v>45952</v>
      </c>
      <c r="C25" s="185"/>
      <c r="D25" s="186"/>
      <c r="E25" s="165"/>
      <c r="F25" s="165"/>
      <c r="G25" s="166">
        <f t="shared" si="1"/>
        <v>0</v>
      </c>
      <c r="H25" s="167"/>
      <c r="I25" s="168"/>
      <c r="J25" s="166">
        <f t="shared" si="2"/>
        <v>0</v>
      </c>
      <c r="K25" s="166">
        <f t="shared" si="3"/>
        <v>0</v>
      </c>
      <c r="L25" s="188">
        <f t="shared" si="4"/>
        <v>0</v>
      </c>
      <c r="M25" s="188">
        <v>0</v>
      </c>
      <c r="N25" s="166"/>
      <c r="O25" s="209"/>
    </row>
    <row r="26" spans="1:15" x14ac:dyDescent="0.25">
      <c r="A26" s="189">
        <v>23</v>
      </c>
      <c r="B26" s="184">
        <v>45953</v>
      </c>
      <c r="C26" s="185"/>
      <c r="D26" s="186"/>
      <c r="E26" s="165"/>
      <c r="F26" s="165"/>
      <c r="G26" s="166">
        <f t="shared" si="1"/>
        <v>0</v>
      </c>
      <c r="H26" s="167"/>
      <c r="I26" s="168"/>
      <c r="J26" s="166">
        <f t="shared" si="2"/>
        <v>0</v>
      </c>
      <c r="K26" s="166">
        <f t="shared" si="3"/>
        <v>0</v>
      </c>
      <c r="L26" s="188">
        <f t="shared" si="4"/>
        <v>0</v>
      </c>
      <c r="M26" s="188">
        <v>0</v>
      </c>
      <c r="N26" s="166"/>
      <c r="O26" s="209"/>
    </row>
    <row r="27" spans="1:15" x14ac:dyDescent="0.25">
      <c r="A27" s="189">
        <v>24</v>
      </c>
      <c r="B27" s="184">
        <v>45954</v>
      </c>
      <c r="C27" s="185"/>
      <c r="D27" s="186"/>
      <c r="E27" s="165"/>
      <c r="F27" s="165"/>
      <c r="G27" s="166">
        <f t="shared" si="1"/>
        <v>0</v>
      </c>
      <c r="H27" s="167"/>
      <c r="I27" s="168"/>
      <c r="J27" s="166">
        <f t="shared" si="2"/>
        <v>0</v>
      </c>
      <c r="K27" s="166">
        <f t="shared" si="3"/>
        <v>0</v>
      </c>
      <c r="L27" s="188">
        <f t="shared" si="4"/>
        <v>0</v>
      </c>
      <c r="M27" s="188">
        <v>0</v>
      </c>
      <c r="N27" s="166"/>
      <c r="O27" s="209"/>
    </row>
    <row r="28" spans="1:15" x14ac:dyDescent="0.25">
      <c r="A28" s="191">
        <v>25</v>
      </c>
      <c r="B28" s="184">
        <v>45955</v>
      </c>
      <c r="C28" s="185"/>
      <c r="D28" s="186"/>
      <c r="E28" s="165"/>
      <c r="F28" s="165"/>
      <c r="G28" s="166">
        <f t="shared" si="1"/>
        <v>0</v>
      </c>
      <c r="H28" s="167"/>
      <c r="I28" s="168"/>
      <c r="J28" s="166">
        <f t="shared" si="2"/>
        <v>0</v>
      </c>
      <c r="K28" s="166">
        <f t="shared" si="3"/>
        <v>0</v>
      </c>
      <c r="L28" s="188">
        <f t="shared" si="4"/>
        <v>0</v>
      </c>
      <c r="M28" s="188">
        <v>0</v>
      </c>
      <c r="N28" s="166"/>
      <c r="O28" s="209"/>
    </row>
    <row r="29" spans="1:15" x14ac:dyDescent="0.25">
      <c r="A29" s="191">
        <v>26</v>
      </c>
      <c r="B29" s="184">
        <v>45956</v>
      </c>
      <c r="C29" s="185"/>
      <c r="D29" s="186"/>
      <c r="E29" s="165"/>
      <c r="F29" s="165"/>
      <c r="G29" s="166">
        <f t="shared" si="1"/>
        <v>0</v>
      </c>
      <c r="H29" s="167"/>
      <c r="I29" s="168"/>
      <c r="J29" s="166">
        <f t="shared" si="2"/>
        <v>0</v>
      </c>
      <c r="K29" s="166">
        <f t="shared" si="3"/>
        <v>0</v>
      </c>
      <c r="L29" s="188">
        <f t="shared" si="4"/>
        <v>0</v>
      </c>
      <c r="M29" s="188">
        <v>0</v>
      </c>
      <c r="N29" s="166"/>
      <c r="O29" s="209"/>
    </row>
    <row r="30" spans="1:15" x14ac:dyDescent="0.25">
      <c r="A30" s="191">
        <v>27</v>
      </c>
      <c r="B30" s="184">
        <v>45957</v>
      </c>
      <c r="C30" s="185"/>
      <c r="D30" s="186"/>
      <c r="E30" s="165"/>
      <c r="F30" s="165"/>
      <c r="G30" s="166">
        <f t="shared" si="1"/>
        <v>0</v>
      </c>
      <c r="H30" s="167"/>
      <c r="I30" s="168"/>
      <c r="J30" s="166">
        <f t="shared" si="2"/>
        <v>0</v>
      </c>
      <c r="K30" s="166">
        <f t="shared" si="3"/>
        <v>0</v>
      </c>
      <c r="L30" s="188">
        <f t="shared" si="4"/>
        <v>0</v>
      </c>
      <c r="M30" s="188">
        <v>0</v>
      </c>
      <c r="N30" s="166"/>
      <c r="O30" s="209"/>
    </row>
    <row r="31" spans="1:15" x14ac:dyDescent="0.25">
      <c r="A31" s="191">
        <v>28</v>
      </c>
      <c r="B31" s="184">
        <v>45958</v>
      </c>
      <c r="C31" s="185"/>
      <c r="D31" s="186"/>
      <c r="E31" s="165"/>
      <c r="F31" s="165"/>
      <c r="G31" s="166">
        <f t="shared" si="1"/>
        <v>0</v>
      </c>
      <c r="H31" s="167"/>
      <c r="I31" s="168"/>
      <c r="J31" s="166">
        <f t="shared" si="2"/>
        <v>0</v>
      </c>
      <c r="K31" s="166">
        <f t="shared" si="3"/>
        <v>0</v>
      </c>
      <c r="L31" s="188">
        <f t="shared" si="4"/>
        <v>0</v>
      </c>
      <c r="M31" s="188">
        <v>0</v>
      </c>
      <c r="N31" s="166"/>
      <c r="O31" s="209"/>
    </row>
    <row r="32" spans="1:15" x14ac:dyDescent="0.25">
      <c r="A32" s="193">
        <v>29</v>
      </c>
      <c r="B32" s="184">
        <v>45959</v>
      </c>
      <c r="C32" s="185"/>
      <c r="D32" s="186"/>
      <c r="E32" s="165"/>
      <c r="F32" s="165"/>
      <c r="G32" s="166">
        <f t="shared" si="1"/>
        <v>0</v>
      </c>
      <c r="H32" s="167"/>
      <c r="I32" s="168"/>
      <c r="J32" s="166">
        <f t="shared" si="2"/>
        <v>0</v>
      </c>
      <c r="K32" s="166">
        <f t="shared" si="3"/>
        <v>0</v>
      </c>
      <c r="L32" s="188">
        <f t="shared" si="4"/>
        <v>0</v>
      </c>
      <c r="M32" s="188">
        <v>0</v>
      </c>
      <c r="N32" s="166"/>
      <c r="O32" s="209"/>
    </row>
    <row r="33" spans="1:15" x14ac:dyDescent="0.25">
      <c r="A33" s="193">
        <v>30</v>
      </c>
      <c r="B33" s="184">
        <v>45960</v>
      </c>
      <c r="C33" s="185"/>
      <c r="D33" s="186"/>
      <c r="E33" s="165"/>
      <c r="F33" s="165"/>
      <c r="G33" s="166">
        <f t="shared" ref="G33" si="7">E33*F33</f>
        <v>0</v>
      </c>
      <c r="H33" s="167"/>
      <c r="I33" s="168"/>
      <c r="J33" s="166">
        <f t="shared" si="2"/>
        <v>0</v>
      </c>
      <c r="K33" s="166">
        <f t="shared" si="3"/>
        <v>0</v>
      </c>
      <c r="L33" s="188">
        <f t="shared" si="4"/>
        <v>0</v>
      </c>
      <c r="M33" s="188">
        <v>0</v>
      </c>
      <c r="N33" s="166"/>
      <c r="O33" s="209"/>
    </row>
    <row r="34" spans="1:15" x14ac:dyDescent="0.25">
      <c r="A34" s="193">
        <v>31</v>
      </c>
      <c r="B34" s="184">
        <v>45961</v>
      </c>
      <c r="C34" s="185"/>
      <c r="D34" s="186"/>
      <c r="E34" s="165"/>
      <c r="F34" s="165"/>
      <c r="G34" s="166">
        <f t="shared" ref="G34" si="8">E34*F34</f>
        <v>0</v>
      </c>
      <c r="H34" s="167"/>
      <c r="I34" s="168"/>
      <c r="J34" s="166">
        <f t="shared" ref="J34" si="9">H34*I34</f>
        <v>0</v>
      </c>
      <c r="K34" s="166">
        <f t="shared" ref="K34" si="10">G34+J34</f>
        <v>0</v>
      </c>
      <c r="L34" s="188">
        <f t="shared" ref="L34" si="11">+K34</f>
        <v>0</v>
      </c>
      <c r="M34" s="188">
        <v>0</v>
      </c>
      <c r="N34" s="166"/>
      <c r="O34" s="209"/>
    </row>
    <row r="35" spans="1:15" x14ac:dyDescent="0.25">
      <c r="A35" s="169"/>
      <c r="B35" s="169"/>
      <c r="C35" s="169"/>
      <c r="D35" s="169"/>
      <c r="E35" s="170">
        <f>SUM(E4:E34)</f>
        <v>67.52</v>
      </c>
      <c r="F35" s="170"/>
      <c r="G35" s="171">
        <f>SUM(G4:G34)</f>
        <v>7086.224</v>
      </c>
      <c r="H35" s="171">
        <f>SUM(H4:H34)</f>
        <v>0</v>
      </c>
      <c r="I35" s="171"/>
      <c r="J35" s="171">
        <f>SUM(J4:J34)</f>
        <v>0</v>
      </c>
      <c r="K35" s="171">
        <f>SUM(K4:K34)</f>
        <v>7086.224</v>
      </c>
      <c r="L35" s="171">
        <f>SUM(L4:L34)</f>
        <v>7086.224</v>
      </c>
      <c r="M35" s="171"/>
      <c r="N35" s="171"/>
      <c r="O35" s="208"/>
    </row>
    <row r="36" spans="1:15" x14ac:dyDescent="0.25">
      <c r="A36" s="211"/>
      <c r="B36" s="212"/>
      <c r="C36" s="211"/>
      <c r="D36" s="211"/>
      <c r="E36" s="213"/>
      <c r="F36" s="213"/>
      <c r="G36" s="213"/>
      <c r="H36" s="213"/>
      <c r="I36" s="213"/>
      <c r="J36" s="214"/>
      <c r="K36" s="214"/>
      <c r="L36" s="214"/>
      <c r="M36" s="214"/>
      <c r="N36" s="213"/>
      <c r="O36" s="209"/>
    </row>
    <row r="37" spans="15:15" x14ac:dyDescent="0.25">
      <c r="O37" s="209"/>
    </row>
    <row r="38" spans="15:15" x14ac:dyDescent="0.25">
      <c r="O38" s="209"/>
    </row>
    <row r="39" spans="15:15" x14ac:dyDescent="0.25">
      <c r="O39" s="209"/>
    </row>
    <row r="40" spans="15:15" x14ac:dyDescent="0.25">
      <c r="O40" s="209"/>
    </row>
    <row r="41" spans="15:15" x14ac:dyDescent="0.25">
      <c r="O41" s="209"/>
    </row>
    <row r="42" spans="1:15" x14ac:dyDescent="0.25">
      <c r="A42" s="209"/>
      <c r="B42" s="208"/>
      <c r="C42" s="209"/>
      <c r="D42" s="209"/>
      <c r="E42" s="209"/>
      <c r="F42" s="209"/>
      <c r="G42" s="213"/>
      <c r="H42" s="209"/>
      <c r="I42" s="209"/>
      <c r="J42" s="208"/>
      <c r="K42" s="208"/>
      <c r="L42" s="208"/>
      <c r="M42" s="208"/>
      <c r="N42" s="209"/>
      <c r="O42" s="213"/>
    </row>
    <row r="43" spans="1:15" x14ac:dyDescent="0.25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13"/>
    </row>
    <row r="44" spans="1:15" x14ac:dyDescent="0.25">
      <c r="A44" s="209"/>
      <c r="B44" s="208"/>
      <c r="C44" s="209"/>
      <c r="D44" s="209"/>
      <c r="E44" s="209"/>
      <c r="F44" s="209"/>
      <c r="G44" s="209"/>
      <c r="H44" s="209"/>
      <c r="I44" s="209"/>
      <c r="J44" s="208"/>
      <c r="K44" s="208"/>
      <c r="L44" s="208"/>
      <c r="M44" s="208"/>
      <c r="N44" s="209"/>
      <c r="O44" s="213"/>
    </row>
  </sheetData>
  <mergeCells count="4">
    <mergeCell ref="A1:N1"/>
    <mergeCell ref="A3:L3"/>
    <mergeCell ref="B43:E43"/>
    <mergeCell ref="I43:N4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P35"/>
  <sheetViews>
    <sheetView workbookViewId="0" zoomScale="100" zoomScaleNormal="100">
      <pane ySplit="3" topLeftCell="A14" activePane="bottomLeft" state="frozen"/>
      <selection pane="bottomLeft" activeCell="I19" sqref="I19"/>
    </sheetView>
  </sheetViews>
  <sheetFormatPr defaultRowHeight="15" outlineLevelRow="0" outlineLevelCol="0" x14ac:dyDescent="0"/>
  <cols>
    <col min="2" max="2" width="10.5703125" customWidth="1"/>
    <col min="4" max="4" width="12.42578125" customWidth="1"/>
    <col min="5" max="5" width="12.140625" customWidth="1"/>
    <col min="11" max="11" width="13.5703125" customWidth="1"/>
    <col min="12" max="12" width="12.42578125" customWidth="1"/>
    <col min="13" max="13" width="10.5703125" customWidth="1"/>
    <col min="19" max="19" width="10.140625" customWidth="1"/>
  </cols>
  <sheetData>
    <row r="1" ht="15.75" customHeight="1" spans="1:14" x14ac:dyDescent="0.25">
      <c r="A1" s="509" t="s">
        <v>222</v>
      </c>
      <c r="B1" s="510"/>
      <c r="C1" s="510"/>
      <c r="D1" s="510"/>
      <c r="E1" s="510"/>
      <c r="F1" s="510"/>
      <c r="G1" s="510"/>
      <c r="H1" s="510"/>
      <c r="I1" s="510"/>
      <c r="J1" s="510"/>
      <c r="K1" s="510"/>
      <c r="L1" s="510"/>
      <c r="M1" s="510"/>
      <c r="N1" s="511"/>
    </row>
    <row r="2" ht="25.5" customHeight="1" spans="1:14" x14ac:dyDescent="0.25">
      <c r="A2" s="106" t="s">
        <v>0</v>
      </c>
      <c r="B2" s="512" t="s">
        <v>167</v>
      </c>
      <c r="C2" s="512" t="s">
        <v>168</v>
      </c>
      <c r="D2" s="512" t="s">
        <v>189</v>
      </c>
      <c r="E2" s="512" t="s">
        <v>170</v>
      </c>
      <c r="F2" s="512" t="s">
        <v>171</v>
      </c>
      <c r="G2" s="512" t="s">
        <v>172</v>
      </c>
      <c r="H2" s="512" t="s">
        <v>173</v>
      </c>
      <c r="I2" s="512" t="s">
        <v>171</v>
      </c>
      <c r="J2" s="512" t="s">
        <v>172</v>
      </c>
      <c r="K2" s="364" t="s">
        <v>174</v>
      </c>
      <c r="L2" s="364" t="s">
        <v>175</v>
      </c>
      <c r="M2" s="364" t="s">
        <v>190</v>
      </c>
      <c r="N2" s="512" t="s">
        <v>177</v>
      </c>
    </row>
    <row r="3" spans="1:14" x14ac:dyDescent="0.25">
      <c r="A3" s="513" t="s">
        <v>178</v>
      </c>
      <c r="B3" s="514"/>
      <c r="C3" s="514"/>
      <c r="D3" s="514"/>
      <c r="E3" s="514"/>
      <c r="F3" s="514"/>
      <c r="G3" s="514"/>
      <c r="H3" s="514"/>
      <c r="I3" s="514"/>
      <c r="J3" s="514"/>
      <c r="K3" s="514"/>
      <c r="L3" s="515"/>
      <c r="M3" s="513">
        <v>120724.02</v>
      </c>
      <c r="N3" s="515"/>
    </row>
    <row r="4" spans="1:14" x14ac:dyDescent="0.25">
      <c r="A4" s="183">
        <v>1</v>
      </c>
      <c r="B4" s="184">
        <v>46296</v>
      </c>
      <c r="C4" s="118"/>
      <c r="D4" s="118"/>
      <c r="E4" s="187">
        <v>200</v>
      </c>
      <c r="F4" s="195">
        <v>99.13</v>
      </c>
      <c r="G4" s="118">
        <f>E4*F4</f>
        <v>19826</v>
      </c>
      <c r="H4" s="118"/>
      <c r="I4" s="118"/>
      <c r="J4" s="118">
        <f>H4*I4</f>
        <v>0</v>
      </c>
      <c r="K4" s="118">
        <f>G4+J4</f>
        <v>19826</v>
      </c>
      <c r="L4" s="118"/>
      <c r="M4" s="118">
        <f>M3+K4-L4</f>
        <v>140550.02000000002</v>
      </c>
      <c r="N4" s="118"/>
    </row>
    <row r="5" spans="1:14" x14ac:dyDescent="0.25">
      <c r="A5" s="189">
        <v>2</v>
      </c>
      <c r="B5" s="184">
        <v>46297</v>
      </c>
      <c r="C5" s="118"/>
      <c r="D5" s="118"/>
      <c r="E5" s="187"/>
      <c r="F5" s="195"/>
      <c r="G5" s="118">
        <f t="shared" ref="G5:G34" si="0">E5*F5</f>
        <v>0</v>
      </c>
      <c r="H5" s="118"/>
      <c r="I5" s="118"/>
      <c r="J5" s="118">
        <f t="shared" ref="J5:J34" si="1">H5*I5</f>
        <v>0</v>
      </c>
      <c r="K5" s="118">
        <f t="shared" ref="K5:K34" si="2">G5+J5</f>
        <v>0</v>
      </c>
      <c r="L5" s="118"/>
      <c r="M5" s="118">
        <f t="shared" ref="M5:M34" si="3">M4+K5-L5</f>
        <v>140550.02000000002</v>
      </c>
      <c r="N5" s="118"/>
    </row>
    <row r="6" spans="1:14" x14ac:dyDescent="0.25">
      <c r="A6" s="189">
        <v>3</v>
      </c>
      <c r="B6" s="184">
        <v>46298</v>
      </c>
      <c r="C6" s="118"/>
      <c r="D6" s="118"/>
      <c r="E6" s="187"/>
      <c r="F6" s="195"/>
      <c r="G6" s="118">
        <f t="shared" si="0"/>
        <v>0</v>
      </c>
      <c r="H6" s="516">
        <v>5</v>
      </c>
      <c r="I6" s="118">
        <v>111.21</v>
      </c>
      <c r="J6" s="118">
        <f t="shared" si="1"/>
        <v>556.05</v>
      </c>
      <c r="K6" s="118">
        <f t="shared" si="2"/>
        <v>556.05</v>
      </c>
      <c r="L6" s="118"/>
      <c r="M6" s="118">
        <f t="shared" si="3"/>
        <v>141106.07</v>
      </c>
      <c r="N6" s="118"/>
    </row>
    <row r="7" spans="1:14" x14ac:dyDescent="0.25">
      <c r="A7" s="189">
        <v>4</v>
      </c>
      <c r="B7" s="184">
        <v>46299</v>
      </c>
      <c r="C7" s="118"/>
      <c r="D7" s="118"/>
      <c r="E7" s="187"/>
      <c r="F7" s="195"/>
      <c r="G7" s="118">
        <f t="shared" si="0"/>
        <v>0</v>
      </c>
      <c r="H7" s="118"/>
      <c r="I7" s="118"/>
      <c r="J7" s="118">
        <f t="shared" si="1"/>
        <v>0</v>
      </c>
      <c r="K7" s="118">
        <f t="shared" si="2"/>
        <v>0</v>
      </c>
      <c r="L7" s="118"/>
      <c r="M7" s="118">
        <f t="shared" si="3"/>
        <v>141106.07</v>
      </c>
      <c r="N7" s="118"/>
    </row>
    <row r="8" spans="1:14" x14ac:dyDescent="0.25">
      <c r="A8" s="189">
        <v>5</v>
      </c>
      <c r="B8" s="184">
        <v>46300</v>
      </c>
      <c r="C8" s="118"/>
      <c r="D8" s="118"/>
      <c r="E8" s="187">
        <v>270</v>
      </c>
      <c r="F8" s="195">
        <v>99.13</v>
      </c>
      <c r="G8" s="118">
        <f t="shared" si="0"/>
        <v>26765.1</v>
      </c>
      <c r="H8" s="118"/>
      <c r="I8" s="118"/>
      <c r="J8" s="118">
        <f t="shared" si="1"/>
        <v>0</v>
      </c>
      <c r="K8" s="118">
        <f t="shared" si="2"/>
        <v>26765.1</v>
      </c>
      <c r="L8" s="118"/>
      <c r="M8" s="118">
        <f t="shared" si="3"/>
        <v>167871.17</v>
      </c>
      <c r="N8" s="118"/>
    </row>
    <row r="9" spans="1:14" x14ac:dyDescent="0.25">
      <c r="A9" s="189">
        <v>6</v>
      </c>
      <c r="B9" s="184">
        <v>46301</v>
      </c>
      <c r="C9" s="118"/>
      <c r="D9" s="118"/>
      <c r="E9" s="187">
        <v>20</v>
      </c>
      <c r="F9" s="195">
        <v>99.13</v>
      </c>
      <c r="G9" s="118">
        <f t="shared" si="0"/>
        <v>1982.6</v>
      </c>
      <c r="H9" s="118"/>
      <c r="I9" s="118"/>
      <c r="J9" s="118">
        <f t="shared" si="1"/>
        <v>0</v>
      </c>
      <c r="K9" s="118">
        <f t="shared" si="2"/>
        <v>1982.6</v>
      </c>
      <c r="L9" s="118"/>
      <c r="M9" s="118">
        <f t="shared" si="3"/>
        <v>169853.77000000002</v>
      </c>
      <c r="N9" s="118"/>
    </row>
    <row r="10" spans="1:14" x14ac:dyDescent="0.25">
      <c r="A10" s="189">
        <v>7</v>
      </c>
      <c r="B10" s="184">
        <v>46302</v>
      </c>
      <c r="C10" s="118"/>
      <c r="D10" s="118"/>
      <c r="E10" s="187">
        <v>400</v>
      </c>
      <c r="F10" s="195">
        <v>99.13</v>
      </c>
      <c r="G10" s="118">
        <f t="shared" si="0"/>
        <v>39652</v>
      </c>
      <c r="H10" s="118"/>
      <c r="I10" s="118"/>
      <c r="J10" s="118">
        <f t="shared" si="1"/>
        <v>0</v>
      </c>
      <c r="K10" s="118">
        <f t="shared" si="2"/>
        <v>39652</v>
      </c>
      <c r="L10" s="118"/>
      <c r="M10" s="118">
        <f t="shared" si="3"/>
        <v>209505.77000000002</v>
      </c>
      <c r="N10" s="118"/>
    </row>
    <row r="11" spans="1:16" x14ac:dyDescent="0.25">
      <c r="A11" s="189">
        <v>8</v>
      </c>
      <c r="B11" s="184">
        <v>46303</v>
      </c>
      <c r="C11" s="118"/>
      <c r="D11" s="118"/>
      <c r="E11" s="187">
        <v>200</v>
      </c>
      <c r="F11" s="195">
        <v>99.13</v>
      </c>
      <c r="G11" s="118">
        <f t="shared" si="0"/>
        <v>19826</v>
      </c>
      <c r="H11" s="118">
        <v>5</v>
      </c>
      <c r="I11" s="118">
        <v>111.21</v>
      </c>
      <c r="J11" s="118">
        <f t="shared" si="1"/>
        <v>556.05</v>
      </c>
      <c r="K11" s="118">
        <f t="shared" si="2"/>
        <v>20382.05</v>
      </c>
      <c r="L11" s="118"/>
      <c r="M11" s="118">
        <f t="shared" si="3"/>
        <v>229887.82</v>
      </c>
      <c r="N11" s="118"/>
      <c r="P11" s="114"/>
    </row>
    <row r="12" spans="1:14" x14ac:dyDescent="0.25">
      <c r="A12" s="189">
        <v>9</v>
      </c>
      <c r="B12" s="184">
        <v>46304</v>
      </c>
      <c r="C12" s="118"/>
      <c r="D12" s="118"/>
      <c r="E12" s="187">
        <v>36.28</v>
      </c>
      <c r="F12" s="195">
        <v>99.13</v>
      </c>
      <c r="G12" s="118">
        <f t="shared" si="0"/>
        <v>3596.4364</v>
      </c>
      <c r="H12" s="118"/>
      <c r="I12" s="118"/>
      <c r="J12" s="118">
        <f t="shared" si="1"/>
        <v>0</v>
      </c>
      <c r="K12" s="118">
        <f t="shared" si="2"/>
        <v>3596.4364</v>
      </c>
      <c r="L12" s="118"/>
      <c r="M12" s="118">
        <f t="shared" si="3"/>
        <v>233484.2564</v>
      </c>
      <c r="N12" s="118"/>
    </row>
    <row r="13" spans="1:14" x14ac:dyDescent="0.25">
      <c r="A13" s="189">
        <v>10</v>
      </c>
      <c r="B13" s="184">
        <v>46305</v>
      </c>
      <c r="C13" s="118"/>
      <c r="D13" s="118"/>
      <c r="E13" s="187">
        <v>150</v>
      </c>
      <c r="F13" s="195">
        <v>99.13</v>
      </c>
      <c r="G13" s="118">
        <f t="shared" si="0"/>
        <v>14869.5</v>
      </c>
      <c r="H13" s="118"/>
      <c r="I13" s="118"/>
      <c r="J13" s="118">
        <f t="shared" si="1"/>
        <v>0</v>
      </c>
      <c r="K13" s="118">
        <f t="shared" si="2"/>
        <v>14869.5</v>
      </c>
      <c r="L13" s="118"/>
      <c r="M13" s="118">
        <f t="shared" si="3"/>
        <v>248353.7564</v>
      </c>
      <c r="N13" s="118"/>
    </row>
    <row r="14" spans="1:14" x14ac:dyDescent="0.25">
      <c r="A14" s="189">
        <v>11</v>
      </c>
      <c r="B14" s="184">
        <v>46306</v>
      </c>
      <c r="C14" s="118"/>
      <c r="D14" s="118"/>
      <c r="E14" s="187"/>
      <c r="F14" s="195"/>
      <c r="G14" s="118">
        <f t="shared" si="0"/>
        <v>0</v>
      </c>
      <c r="H14" s="118"/>
      <c r="I14" s="118"/>
      <c r="J14" s="118">
        <f t="shared" si="1"/>
        <v>0</v>
      </c>
      <c r="K14" s="118">
        <f t="shared" si="2"/>
        <v>0</v>
      </c>
      <c r="L14" s="118"/>
      <c r="M14" s="118">
        <f t="shared" si="3"/>
        <v>248353.7564</v>
      </c>
      <c r="N14" s="118"/>
    </row>
    <row r="15" spans="1:14" x14ac:dyDescent="0.25">
      <c r="A15" s="189">
        <v>12</v>
      </c>
      <c r="B15" s="184">
        <v>46307</v>
      </c>
      <c r="C15" s="118"/>
      <c r="D15" s="118"/>
      <c r="E15" s="187"/>
      <c r="F15" s="195"/>
      <c r="G15" s="118">
        <f t="shared" si="0"/>
        <v>0</v>
      </c>
      <c r="H15" s="118">
        <v>5</v>
      </c>
      <c r="I15" s="118">
        <v>111.21</v>
      </c>
      <c r="J15" s="118">
        <f t="shared" si="1"/>
        <v>556.05</v>
      </c>
      <c r="K15" s="118">
        <f t="shared" ref="K15:K25" si="4">G15+J15</f>
        <v>556.05</v>
      </c>
      <c r="L15" s="118"/>
      <c r="M15" s="118">
        <f t="shared" si="3"/>
        <v>248909.8064</v>
      </c>
      <c r="N15" s="118"/>
    </row>
    <row r="16" spans="1:14" x14ac:dyDescent="0.25">
      <c r="A16" s="189">
        <v>13</v>
      </c>
      <c r="B16" s="184">
        <v>46308</v>
      </c>
      <c r="C16" s="118"/>
      <c r="D16" s="118"/>
      <c r="E16" s="187"/>
      <c r="F16" s="195"/>
      <c r="G16" s="118">
        <f t="shared" si="0"/>
        <v>0</v>
      </c>
      <c r="H16" s="517"/>
      <c r="I16" s="118"/>
      <c r="J16" s="118">
        <f t="shared" si="1"/>
        <v>0</v>
      </c>
      <c r="K16" s="118">
        <f t="shared" si="4"/>
        <v>0</v>
      </c>
      <c r="L16" s="118"/>
      <c r="M16" s="118">
        <f>M15+K16-L16</f>
        <v>248909.8064</v>
      </c>
      <c r="N16" s="118"/>
    </row>
    <row r="17" spans="1:14" x14ac:dyDescent="0.25">
      <c r="A17" s="189">
        <v>14</v>
      </c>
      <c r="B17" s="184">
        <v>46309</v>
      </c>
      <c r="C17" s="118"/>
      <c r="D17" s="118"/>
      <c r="E17" s="187"/>
      <c r="F17" s="195"/>
      <c r="G17" s="118">
        <f t="shared" si="0"/>
        <v>0</v>
      </c>
      <c r="H17" s="118"/>
      <c r="I17" s="118"/>
      <c r="J17" s="118">
        <f t="shared" si="1"/>
        <v>0</v>
      </c>
      <c r="K17" s="118">
        <f t="shared" si="4"/>
        <v>0</v>
      </c>
      <c r="L17" s="118"/>
      <c r="M17" s="118">
        <f t="shared" si="3"/>
        <v>248909.8064</v>
      </c>
      <c r="N17" s="118"/>
    </row>
    <row r="18" spans="1:14" x14ac:dyDescent="0.25">
      <c r="A18" s="189">
        <v>15</v>
      </c>
      <c r="B18" s="184">
        <v>46310</v>
      </c>
      <c r="C18" s="118"/>
      <c r="D18" s="118"/>
      <c r="E18" s="187">
        <v>230</v>
      </c>
      <c r="F18" s="195">
        <v>99.13</v>
      </c>
      <c r="G18" s="118">
        <f t="shared" si="0"/>
        <v>22799.899999999998</v>
      </c>
      <c r="H18" s="118"/>
      <c r="I18" s="118"/>
      <c r="J18" s="118">
        <f t="shared" si="1"/>
        <v>0</v>
      </c>
      <c r="K18" s="118">
        <f t="shared" si="4"/>
        <v>22799.899999999998</v>
      </c>
      <c r="L18" s="118"/>
      <c r="M18" s="118">
        <f t="shared" si="3"/>
        <v>271709.7064</v>
      </c>
      <c r="N18" s="118"/>
    </row>
    <row r="19" spans="1:14" x14ac:dyDescent="0.25">
      <c r="A19" s="189">
        <v>16</v>
      </c>
      <c r="B19" s="184">
        <v>46311</v>
      </c>
      <c r="C19" s="118"/>
      <c r="D19" s="118"/>
      <c r="E19" s="187"/>
      <c r="F19" s="195"/>
      <c r="G19" s="118">
        <f t="shared" si="0"/>
        <v>0</v>
      </c>
      <c r="H19" s="118"/>
      <c r="I19" s="118"/>
      <c r="J19" s="118">
        <f t="shared" si="1"/>
        <v>0</v>
      </c>
      <c r="K19" s="118">
        <f t="shared" si="4"/>
        <v>0</v>
      </c>
      <c r="L19" s="118"/>
      <c r="M19" s="118">
        <f t="shared" si="3"/>
        <v>271709.7064</v>
      </c>
      <c r="N19" s="118"/>
    </row>
    <row r="20" spans="1:14" x14ac:dyDescent="0.25">
      <c r="A20" s="189">
        <v>17</v>
      </c>
      <c r="B20" s="184">
        <v>46312</v>
      </c>
      <c r="C20" s="118"/>
      <c r="D20" s="118"/>
      <c r="E20" s="187"/>
      <c r="F20" s="195"/>
      <c r="G20" s="118">
        <f t="shared" si="0"/>
        <v>0</v>
      </c>
      <c r="H20" s="118"/>
      <c r="I20" s="118"/>
      <c r="J20" s="118">
        <f t="shared" si="1"/>
        <v>0</v>
      </c>
      <c r="K20" s="118">
        <f t="shared" si="4"/>
        <v>0</v>
      </c>
      <c r="L20" s="118"/>
      <c r="M20" s="118">
        <f t="shared" si="3"/>
        <v>271709.7064</v>
      </c>
      <c r="N20" s="118"/>
    </row>
    <row r="21" spans="1:14" x14ac:dyDescent="0.25">
      <c r="A21" s="189">
        <v>18</v>
      </c>
      <c r="B21" s="184">
        <v>46313</v>
      </c>
      <c r="C21" s="118"/>
      <c r="D21" s="118"/>
      <c r="E21" s="187"/>
      <c r="F21" s="195"/>
      <c r="G21" s="118">
        <f t="shared" si="0"/>
        <v>0</v>
      </c>
      <c r="H21" s="118"/>
      <c r="I21" s="118"/>
      <c r="J21" s="118">
        <f t="shared" si="1"/>
        <v>0</v>
      </c>
      <c r="K21" s="118">
        <f t="shared" si="4"/>
        <v>0</v>
      </c>
      <c r="L21" s="118"/>
      <c r="M21" s="118">
        <f>M20+K21-L21</f>
        <v>271709.7064</v>
      </c>
      <c r="N21" s="118"/>
    </row>
    <row r="22" spans="1:14" x14ac:dyDescent="0.25">
      <c r="A22" s="189">
        <v>19</v>
      </c>
      <c r="B22" s="184">
        <v>46314</v>
      </c>
      <c r="C22" s="118"/>
      <c r="D22" s="118"/>
      <c r="E22" s="187"/>
      <c r="F22" s="195"/>
      <c r="G22" s="118">
        <f t="shared" si="0"/>
        <v>0</v>
      </c>
      <c r="H22" s="118"/>
      <c r="I22" s="118"/>
      <c r="J22" s="118">
        <f t="shared" si="1"/>
        <v>0</v>
      </c>
      <c r="K22" s="118">
        <f t="shared" si="4"/>
        <v>0</v>
      </c>
      <c r="L22" s="118"/>
      <c r="M22" s="118">
        <f t="shared" si="3"/>
        <v>271709.7064</v>
      </c>
      <c r="N22" s="118"/>
    </row>
    <row r="23" spans="1:14" x14ac:dyDescent="0.25">
      <c r="A23" s="189">
        <v>20</v>
      </c>
      <c r="B23" s="184">
        <v>46315</v>
      </c>
      <c r="C23" s="118"/>
      <c r="D23" s="118"/>
      <c r="E23" s="187"/>
      <c r="F23" s="195"/>
      <c r="G23" s="118">
        <f t="shared" si="0"/>
        <v>0</v>
      </c>
      <c r="H23" s="118"/>
      <c r="I23" s="118"/>
      <c r="J23" s="118">
        <f t="shared" si="1"/>
        <v>0</v>
      </c>
      <c r="K23" s="118">
        <f t="shared" si="4"/>
        <v>0</v>
      </c>
      <c r="L23" s="118"/>
      <c r="M23" s="118">
        <f t="shared" si="3"/>
        <v>271709.7064</v>
      </c>
      <c r="N23" s="118"/>
    </row>
    <row r="24" spans="1:14" x14ac:dyDescent="0.25">
      <c r="A24" s="189">
        <v>21</v>
      </c>
      <c r="B24" s="184">
        <v>46316</v>
      </c>
      <c r="C24" s="118"/>
      <c r="D24" s="118"/>
      <c r="E24" s="187"/>
      <c r="F24" s="195"/>
      <c r="G24" s="118">
        <f t="shared" si="0"/>
        <v>0</v>
      </c>
      <c r="H24" s="118"/>
      <c r="I24" s="118"/>
      <c r="J24" s="118">
        <f t="shared" si="1"/>
        <v>0</v>
      </c>
      <c r="K24" s="118">
        <f t="shared" si="4"/>
        <v>0</v>
      </c>
      <c r="L24" s="118"/>
      <c r="M24" s="118">
        <f t="shared" si="3"/>
        <v>271709.7064</v>
      </c>
      <c r="N24" s="118"/>
    </row>
    <row r="25" spans="1:14" x14ac:dyDescent="0.25">
      <c r="A25" s="189">
        <v>22</v>
      </c>
      <c r="B25" s="184">
        <v>46317</v>
      </c>
      <c r="C25" s="118"/>
      <c r="D25" s="118"/>
      <c r="E25" s="187"/>
      <c r="F25" s="195"/>
      <c r="G25" s="118">
        <f t="shared" si="0"/>
        <v>0</v>
      </c>
      <c r="H25" s="118"/>
      <c r="I25" s="118"/>
      <c r="J25" s="118">
        <f t="shared" si="1"/>
        <v>0</v>
      </c>
      <c r="K25" s="118">
        <f t="shared" si="4"/>
        <v>0</v>
      </c>
      <c r="L25" s="118"/>
      <c r="M25" s="118">
        <f t="shared" si="3"/>
        <v>271709.7064</v>
      </c>
      <c r="N25" s="118"/>
    </row>
    <row r="26" spans="1:14" x14ac:dyDescent="0.25">
      <c r="A26" s="189">
        <v>23</v>
      </c>
      <c r="B26" s="184">
        <v>46318</v>
      </c>
      <c r="C26" s="118"/>
      <c r="D26" s="118"/>
      <c r="E26" s="187"/>
      <c r="F26" s="195"/>
      <c r="G26" s="118">
        <f t="shared" si="0"/>
        <v>0</v>
      </c>
      <c r="H26" s="118"/>
      <c r="I26" s="118"/>
      <c r="J26" s="118">
        <f t="shared" si="1"/>
        <v>0</v>
      </c>
      <c r="K26" s="118">
        <f t="shared" si="2"/>
        <v>0</v>
      </c>
      <c r="L26" s="118"/>
      <c r="M26" s="118">
        <f t="shared" si="3"/>
        <v>271709.7064</v>
      </c>
      <c r="N26" s="118"/>
    </row>
    <row r="27" spans="1:14" x14ac:dyDescent="0.25">
      <c r="A27" s="189">
        <v>24</v>
      </c>
      <c r="B27" s="184">
        <v>46319</v>
      </c>
      <c r="C27" s="118"/>
      <c r="D27" s="118"/>
      <c r="E27" s="187"/>
      <c r="F27" s="195"/>
      <c r="G27" s="118">
        <f t="shared" si="0"/>
        <v>0</v>
      </c>
      <c r="H27" s="118"/>
      <c r="I27" s="118"/>
      <c r="J27" s="118">
        <f t="shared" si="1"/>
        <v>0</v>
      </c>
      <c r="K27" s="118">
        <f t="shared" si="2"/>
        <v>0</v>
      </c>
      <c r="L27" s="118"/>
      <c r="M27" s="118">
        <f t="shared" si="3"/>
        <v>271709.7064</v>
      </c>
      <c r="N27" s="118"/>
    </row>
    <row r="28" spans="1:14" x14ac:dyDescent="0.25">
      <c r="A28" s="191">
        <v>25</v>
      </c>
      <c r="B28" s="184">
        <v>46320</v>
      </c>
      <c r="C28" s="118"/>
      <c r="D28" s="118"/>
      <c r="E28" s="187"/>
      <c r="F28" s="195"/>
      <c r="G28" s="118">
        <f t="shared" si="0"/>
        <v>0</v>
      </c>
      <c r="H28" s="118"/>
      <c r="I28" s="118"/>
      <c r="J28" s="118">
        <f t="shared" si="1"/>
        <v>0</v>
      </c>
      <c r="K28" s="118">
        <f t="shared" si="2"/>
        <v>0</v>
      </c>
      <c r="L28" s="118"/>
      <c r="M28" s="118">
        <f t="shared" si="3"/>
        <v>271709.7064</v>
      </c>
      <c r="N28" s="118"/>
    </row>
    <row r="29" spans="1:14" x14ac:dyDescent="0.25">
      <c r="A29" s="191">
        <v>26</v>
      </c>
      <c r="B29" s="184">
        <v>46321</v>
      </c>
      <c r="C29" s="118"/>
      <c r="D29" s="118"/>
      <c r="E29" s="187"/>
      <c r="F29" s="195"/>
      <c r="G29" s="118">
        <f t="shared" si="0"/>
        <v>0</v>
      </c>
      <c r="H29" s="118"/>
      <c r="I29" s="118"/>
      <c r="J29" s="118">
        <f t="shared" si="1"/>
        <v>0</v>
      </c>
      <c r="K29" s="118">
        <f t="shared" si="2"/>
        <v>0</v>
      </c>
      <c r="L29" s="118"/>
      <c r="M29" s="118">
        <f t="shared" si="3"/>
        <v>271709.7064</v>
      </c>
      <c r="N29" s="118"/>
    </row>
    <row r="30" spans="1:14" x14ac:dyDescent="0.25">
      <c r="A30" s="191">
        <v>27</v>
      </c>
      <c r="B30" s="184">
        <v>46322</v>
      </c>
      <c r="C30" s="118"/>
      <c r="D30" s="118"/>
      <c r="E30" s="518"/>
      <c r="F30" s="195"/>
      <c r="G30" s="118">
        <f t="shared" si="0"/>
        <v>0</v>
      </c>
      <c r="H30" s="118"/>
      <c r="I30" s="118"/>
      <c r="J30" s="118">
        <f t="shared" si="1"/>
        <v>0</v>
      </c>
      <c r="K30" s="118">
        <f t="shared" si="2"/>
        <v>0</v>
      </c>
      <c r="L30" s="118"/>
      <c r="M30" s="118">
        <f t="shared" si="3"/>
        <v>271709.7064</v>
      </c>
      <c r="N30" s="118"/>
    </row>
    <row r="31" spans="1:14" x14ac:dyDescent="0.25">
      <c r="A31" s="191">
        <v>28</v>
      </c>
      <c r="B31" s="184">
        <v>46323</v>
      </c>
      <c r="C31" s="118"/>
      <c r="D31" s="118"/>
      <c r="E31" s="187"/>
      <c r="F31" s="195"/>
      <c r="G31" s="118">
        <f t="shared" si="0"/>
        <v>0</v>
      </c>
      <c r="H31" s="118"/>
      <c r="I31" s="118"/>
      <c r="J31" s="118">
        <f t="shared" si="1"/>
        <v>0</v>
      </c>
      <c r="K31" s="118">
        <f t="shared" si="2"/>
        <v>0</v>
      </c>
      <c r="L31" s="118"/>
      <c r="M31" s="118">
        <f t="shared" si="3"/>
        <v>271709.7064</v>
      </c>
      <c r="N31" s="118"/>
    </row>
    <row r="32" spans="1:14" x14ac:dyDescent="0.25">
      <c r="A32" s="193">
        <v>29</v>
      </c>
      <c r="B32" s="184">
        <v>46324</v>
      </c>
      <c r="C32" s="118"/>
      <c r="D32" s="118"/>
      <c r="E32" s="187"/>
      <c r="F32" s="195"/>
      <c r="G32" s="118">
        <f t="shared" si="0"/>
        <v>0</v>
      </c>
      <c r="H32" s="118"/>
      <c r="I32" s="118"/>
      <c r="J32" s="118">
        <f t="shared" si="1"/>
        <v>0</v>
      </c>
      <c r="K32" s="118">
        <f t="shared" si="2"/>
        <v>0</v>
      </c>
      <c r="L32" s="118"/>
      <c r="M32" s="118">
        <f t="shared" si="3"/>
        <v>271709.7064</v>
      </c>
      <c r="N32" s="118"/>
    </row>
    <row r="33" spans="1:14" x14ac:dyDescent="0.25">
      <c r="A33" s="193">
        <v>30</v>
      </c>
      <c r="B33" s="184">
        <v>46325</v>
      </c>
      <c r="C33" s="118"/>
      <c r="D33" s="118"/>
      <c r="E33" s="187"/>
      <c r="F33" s="195"/>
      <c r="G33" s="118">
        <f t="shared" si="0"/>
        <v>0</v>
      </c>
      <c r="H33" s="118"/>
      <c r="I33" s="118"/>
      <c r="J33" s="118">
        <f t="shared" si="1"/>
        <v>0</v>
      </c>
      <c r="K33" s="118">
        <f t="shared" si="2"/>
        <v>0</v>
      </c>
      <c r="L33" s="118"/>
      <c r="M33" s="118">
        <f t="shared" si="3"/>
        <v>271709.7064</v>
      </c>
      <c r="N33" s="118"/>
    </row>
    <row r="34" spans="1:14" x14ac:dyDescent="0.25">
      <c r="A34" s="193">
        <v>31</v>
      </c>
      <c r="B34" s="184">
        <v>46326</v>
      </c>
      <c r="C34" s="118"/>
      <c r="D34" s="118"/>
      <c r="E34" s="187"/>
      <c r="F34" s="195"/>
      <c r="G34" s="118">
        <f t="shared" si="0"/>
        <v>0</v>
      </c>
      <c r="H34" s="118"/>
      <c r="I34" s="118"/>
      <c r="J34" s="118">
        <f t="shared" si="1"/>
        <v>0</v>
      </c>
      <c r="K34" s="118">
        <f t="shared" si="2"/>
        <v>0</v>
      </c>
      <c r="L34" s="118"/>
      <c r="M34" s="118">
        <f t="shared" si="3"/>
        <v>271709.7064</v>
      </c>
      <c r="N34" s="118"/>
    </row>
    <row r="35" spans="1:14" x14ac:dyDescent="0.25">
      <c r="A35" s="404"/>
      <c r="B35" s="404"/>
      <c r="C35" s="404"/>
      <c r="D35" s="404"/>
      <c r="E35" s="404">
        <f>SUM(E4:E34)</f>
        <v>1506.28</v>
      </c>
      <c r="F35" s="404"/>
      <c r="G35" s="404">
        <f>SUM(G4:G34)</f>
        <v>149317.5364</v>
      </c>
      <c r="H35" s="404">
        <f>SUM(H4:H34)</f>
        <v>15</v>
      </c>
      <c r="I35" s="404"/>
      <c r="J35" s="404">
        <f>SUM(J4:J34)</f>
        <v>1668.1499999999999</v>
      </c>
      <c r="K35" s="404">
        <f>SUM(K4:K34)</f>
        <v>150985.6864</v>
      </c>
      <c r="L35" s="404">
        <f>SUM(L4:L34)</f>
        <v>0</v>
      </c>
      <c r="M35" s="404"/>
      <c r="N35" s="404"/>
    </row>
  </sheetData>
  <mergeCells count="3">
    <mergeCell ref="A1:N1"/>
    <mergeCell ref="A3:L3"/>
    <mergeCell ref="M3:N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41"/>
  <sheetViews>
    <sheetView workbookViewId="0" zoomScale="100" zoomScaleNormal="100">
      <pane ySplit="3" topLeftCell="A4" activePane="bottomLeft" state="frozen"/>
      <selection pane="bottomLeft" activeCell="L18" sqref="L18"/>
    </sheetView>
  </sheetViews>
  <sheetFormatPr defaultRowHeight="15" outlineLevelRow="0" outlineLevelCol="0" x14ac:dyDescent="0"/>
  <cols>
    <col min="2" max="2" width="10.28515625" customWidth="1"/>
    <col min="5" max="5" width="12.5703125" customWidth="1"/>
    <col min="10" max="10" width="10.85546875" customWidth="1"/>
    <col min="11" max="12" width="11.85546875" customWidth="1"/>
    <col min="13" max="13" width="13.5703125" customWidth="1"/>
    <col min="14" max="14" width="25.28515625" customWidth="1"/>
  </cols>
  <sheetData>
    <row r="1" spans="1:33" x14ac:dyDescent="0.25">
      <c r="A1" s="307" t="s">
        <v>100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7"/>
      <c r="N1" s="307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308"/>
      <c r="AE1" s="308"/>
      <c r="AF1" s="308"/>
      <c r="AG1" s="308"/>
    </row>
    <row r="2" ht="27" customHeight="1" spans="1:33" x14ac:dyDescent="0.25">
      <c r="A2" s="309" t="s">
        <v>0</v>
      </c>
      <c r="B2" s="310" t="s">
        <v>167</v>
      </c>
      <c r="C2" s="310" t="s">
        <v>168</v>
      </c>
      <c r="D2" s="310" t="s">
        <v>169</v>
      </c>
      <c r="E2" s="310" t="s">
        <v>170</v>
      </c>
      <c r="F2" s="310" t="s">
        <v>171</v>
      </c>
      <c r="G2" s="310" t="s">
        <v>172</v>
      </c>
      <c r="H2" s="310" t="s">
        <v>173</v>
      </c>
      <c r="I2" s="310" t="s">
        <v>171</v>
      </c>
      <c r="J2" s="311" t="s">
        <v>172</v>
      </c>
      <c r="K2" s="310" t="s">
        <v>174</v>
      </c>
      <c r="L2" s="311" t="s">
        <v>175</v>
      </c>
      <c r="M2" s="312" t="s">
        <v>190</v>
      </c>
      <c r="N2" s="313" t="s">
        <v>177</v>
      </c>
      <c r="O2" s="303"/>
      <c r="P2" s="308"/>
      <c r="Q2" s="308"/>
      <c r="R2" s="308"/>
      <c r="S2" s="308"/>
      <c r="T2" s="308"/>
      <c r="U2" s="308"/>
      <c r="V2" s="308"/>
      <c r="W2" s="308"/>
      <c r="X2" s="308"/>
      <c r="Y2" s="308"/>
      <c r="Z2" s="308"/>
      <c r="AA2" s="308"/>
      <c r="AB2" s="308"/>
      <c r="AC2" s="308"/>
      <c r="AD2" s="308"/>
      <c r="AE2" s="308"/>
      <c r="AF2" s="308"/>
      <c r="AG2" s="308"/>
    </row>
    <row r="3" spans="1:33" x14ac:dyDescent="0.25">
      <c r="A3" s="148" t="s">
        <v>178</v>
      </c>
      <c r="B3" s="149"/>
      <c r="C3" s="149"/>
      <c r="D3" s="149"/>
      <c r="E3" s="149"/>
      <c r="F3" s="149"/>
      <c r="G3" s="149"/>
      <c r="H3" s="149"/>
      <c r="I3" s="149"/>
      <c r="J3" s="314"/>
      <c r="K3" s="315"/>
      <c r="L3" s="189"/>
      <c r="M3" s="316">
        <v>305951.7599030002</v>
      </c>
      <c r="N3" s="189"/>
      <c r="O3" s="303"/>
      <c r="P3" s="308"/>
      <c r="Q3" s="308"/>
      <c r="R3" s="308"/>
      <c r="S3" s="308"/>
      <c r="T3" s="308"/>
      <c r="U3" s="308"/>
      <c r="V3" s="308"/>
      <c r="W3" s="308"/>
      <c r="X3" s="308"/>
      <c r="Y3" s="308"/>
      <c r="Z3" s="308"/>
      <c r="AA3" s="308"/>
      <c r="AB3" s="308"/>
      <c r="AC3" s="308"/>
      <c r="AD3" s="308"/>
      <c r="AE3" s="308"/>
      <c r="AF3" s="308"/>
      <c r="AG3" s="308"/>
    </row>
    <row r="4" spans="1:33" x14ac:dyDescent="0.25">
      <c r="A4" s="115">
        <v>1</v>
      </c>
      <c r="B4" s="116">
        <v>46296</v>
      </c>
      <c r="C4" s="317" t="s">
        <v>180</v>
      </c>
      <c r="D4" s="318" t="s">
        <v>180</v>
      </c>
      <c r="E4" s="317"/>
      <c r="F4" s="317"/>
      <c r="G4" s="189">
        <f>E4*F4</f>
        <v>0</v>
      </c>
      <c r="H4" s="317"/>
      <c r="I4" s="317"/>
      <c r="J4" s="319">
        <f t="shared" ref="J4" si="0">H4*I4</f>
        <v>0</v>
      </c>
      <c r="K4" s="189">
        <f t="shared" ref="K4:L5" si="1">G4+J4</f>
        <v>0</v>
      </c>
      <c r="L4" s="189"/>
      <c r="M4" s="319">
        <f>M3+K4-L4</f>
        <v>305951.7599030002</v>
      </c>
      <c r="N4" s="320"/>
      <c r="O4" s="308"/>
      <c r="P4" s="308"/>
      <c r="Q4" s="308"/>
      <c r="R4" s="308"/>
      <c r="S4" s="308"/>
      <c r="T4" s="308"/>
      <c r="U4" s="308"/>
      <c r="V4" s="308"/>
      <c r="W4" s="308"/>
      <c r="X4" s="308"/>
      <c r="Y4" s="308"/>
      <c r="Z4" s="308"/>
      <c r="AA4" s="308"/>
      <c r="AB4" s="308"/>
      <c r="AC4" s="308"/>
      <c r="AD4" s="308"/>
      <c r="AE4" s="308"/>
      <c r="AF4" s="308"/>
      <c r="AG4" s="308"/>
    </row>
    <row r="5" spans="1:33" x14ac:dyDescent="0.25">
      <c r="A5" s="115"/>
      <c r="B5" s="116">
        <v>46297</v>
      </c>
      <c r="C5" s="317"/>
      <c r="D5" s="318"/>
      <c r="E5" s="317"/>
      <c r="F5" s="317"/>
      <c r="G5" s="189">
        <f t="shared" ref="G4:G5" si="2">E5*F5</f>
        <v>0</v>
      </c>
      <c r="H5" s="317"/>
      <c r="I5" s="317"/>
      <c r="J5" s="319"/>
      <c r="K5" s="189">
        <f t="shared" si="1"/>
        <v>0</v>
      </c>
      <c r="L5" s="189"/>
      <c r="M5" s="319">
        <f>M4+K5-L5</f>
        <v>305951.7599030002</v>
      </c>
      <c r="N5" s="320"/>
      <c r="O5" s="308"/>
      <c r="P5" s="308"/>
      <c r="Q5" s="308"/>
      <c r="R5" s="308"/>
      <c r="S5" s="308"/>
      <c r="T5" s="308"/>
      <c r="U5" s="308"/>
      <c r="V5" s="308"/>
      <c r="W5" s="308"/>
      <c r="X5" s="308"/>
      <c r="Y5" s="308"/>
      <c r="Z5" s="308"/>
      <c r="AA5" s="308"/>
      <c r="AB5" s="308"/>
      <c r="AC5" s="308"/>
      <c r="AD5" s="308"/>
      <c r="AE5" s="308"/>
      <c r="AF5" s="308"/>
      <c r="AG5" s="308"/>
    </row>
    <row r="6" spans="1:33" x14ac:dyDescent="0.25">
      <c r="A6" s="115">
        <v>2</v>
      </c>
      <c r="B6" s="116">
        <v>46298</v>
      </c>
      <c r="C6" s="317" t="s">
        <v>180</v>
      </c>
      <c r="D6" s="318" t="s">
        <v>180</v>
      </c>
      <c r="E6" s="317">
        <v>1000</v>
      </c>
      <c r="F6" s="317">
        <v>99.14</v>
      </c>
      <c r="G6" s="189">
        <f t="shared" ref="G6:G36" si="3">E6*F6</f>
        <v>99140</v>
      </c>
      <c r="H6" s="317">
        <v>70</v>
      </c>
      <c r="I6" s="317">
        <v>111.24</v>
      </c>
      <c r="J6" s="319">
        <f t="shared" ref="J6:J36" si="4">H6*I6</f>
        <v>7786.799999999999</v>
      </c>
      <c r="K6" s="189">
        <f t="shared" ref="K6:L36" si="5">G6+J6</f>
        <v>106926.8</v>
      </c>
      <c r="L6" s="189"/>
      <c r="M6" s="319">
        <f t="shared" ref="M6:M38" si="6">M5+K6-L6</f>
        <v>412878.5599030002</v>
      </c>
      <c r="N6" s="320"/>
      <c r="O6" s="308"/>
      <c r="P6" s="308"/>
      <c r="Q6" s="308"/>
      <c r="R6" s="308"/>
      <c r="S6" s="308"/>
      <c r="T6" s="308"/>
      <c r="U6" s="308"/>
      <c r="V6" s="308"/>
      <c r="W6" s="308"/>
      <c r="X6" s="308"/>
      <c r="Y6" s="308"/>
      <c r="Z6" s="308"/>
      <c r="AA6" s="308"/>
      <c r="AB6" s="308"/>
      <c r="AC6" s="308"/>
      <c r="AD6" s="308"/>
      <c r="AE6" s="308"/>
      <c r="AF6" s="308"/>
      <c r="AG6" s="308"/>
    </row>
    <row r="7" spans="1:33" x14ac:dyDescent="0.25">
      <c r="A7" s="115">
        <v>3</v>
      </c>
      <c r="B7" s="116">
        <v>46299</v>
      </c>
      <c r="C7" s="317" t="s">
        <v>180</v>
      </c>
      <c r="D7" s="318" t="s">
        <v>180</v>
      </c>
      <c r="E7" s="317"/>
      <c r="F7" s="317"/>
      <c r="G7" s="189">
        <f t="shared" si="3"/>
        <v>0</v>
      </c>
      <c r="H7" s="317"/>
      <c r="I7" s="317"/>
      <c r="J7" s="319">
        <f t="shared" si="4"/>
        <v>0</v>
      </c>
      <c r="K7" s="189">
        <f t="shared" si="5"/>
        <v>0</v>
      </c>
      <c r="L7" s="189"/>
      <c r="M7" s="319">
        <f t="shared" si="6"/>
        <v>412878.5599030002</v>
      </c>
      <c r="N7" s="320"/>
      <c r="O7" s="308"/>
      <c r="P7" s="308"/>
      <c r="Q7" s="308"/>
      <c r="R7" s="308"/>
      <c r="S7" s="308"/>
      <c r="T7" s="308"/>
      <c r="U7" s="308"/>
      <c r="V7" s="308"/>
      <c r="W7" s="308"/>
      <c r="X7" s="308"/>
      <c r="Y7" s="308"/>
      <c r="Z7" s="308"/>
      <c r="AA7" s="308"/>
      <c r="AB7" s="308"/>
      <c r="AC7" s="308"/>
      <c r="AD7" s="308"/>
      <c r="AE7" s="308"/>
      <c r="AF7" s="308"/>
      <c r="AG7" s="308"/>
    </row>
    <row r="8" spans="1:33" x14ac:dyDescent="0.25">
      <c r="A8" s="115">
        <v>4</v>
      </c>
      <c r="B8" s="116">
        <v>46300</v>
      </c>
      <c r="C8" s="317" t="s">
        <v>180</v>
      </c>
      <c r="D8" s="318" t="s">
        <v>180</v>
      </c>
      <c r="E8" s="317"/>
      <c r="F8" s="317"/>
      <c r="G8" s="189">
        <f t="shared" ref="G8:G17" si="7">E8*F8</f>
        <v>0</v>
      </c>
      <c r="H8" s="317"/>
      <c r="I8" s="317"/>
      <c r="J8" s="319">
        <f t="shared" si="4"/>
        <v>0</v>
      </c>
      <c r="K8" s="189">
        <f t="shared" si="5"/>
        <v>0</v>
      </c>
      <c r="L8" s="189"/>
      <c r="M8" s="319">
        <f t="shared" si="6"/>
        <v>412878.5599030002</v>
      </c>
      <c r="N8" s="321"/>
      <c r="O8" s="308"/>
      <c r="P8" s="308"/>
      <c r="Q8" s="308"/>
      <c r="R8" s="308"/>
      <c r="S8" s="308"/>
      <c r="T8" s="308"/>
      <c r="U8" s="308"/>
      <c r="V8" s="308"/>
      <c r="W8" s="308"/>
      <c r="X8" s="308"/>
      <c r="Y8" s="308"/>
      <c r="Z8" s="308"/>
      <c r="AA8" s="308"/>
      <c r="AB8" s="308"/>
      <c r="AC8" s="308"/>
      <c r="AD8" s="308"/>
      <c r="AE8" s="308"/>
      <c r="AF8" s="308"/>
      <c r="AG8" s="308"/>
    </row>
    <row r="9" spans="1:33" x14ac:dyDescent="0.25">
      <c r="A9" s="115">
        <v>5</v>
      </c>
      <c r="B9" s="116">
        <v>46301</v>
      </c>
      <c r="C9" s="317" t="s">
        <v>180</v>
      </c>
      <c r="D9" s="318" t="s">
        <v>180</v>
      </c>
      <c r="E9" s="317">
        <v>1200</v>
      </c>
      <c r="F9" s="317">
        <v>99.14</v>
      </c>
      <c r="G9" s="189">
        <f t="shared" si="3"/>
        <v>118968</v>
      </c>
      <c r="H9" s="317"/>
      <c r="I9" s="317"/>
      <c r="J9" s="319">
        <f t="shared" si="4"/>
        <v>0</v>
      </c>
      <c r="K9" s="319">
        <f>G9+J9</f>
        <v>118968</v>
      </c>
      <c r="L9" s="189"/>
      <c r="M9" s="319">
        <f t="shared" si="6"/>
        <v>531846.5599030002</v>
      </c>
      <c r="N9" s="320"/>
      <c r="O9" s="308"/>
      <c r="P9" s="308"/>
      <c r="Q9" s="308"/>
      <c r="R9" s="308"/>
      <c r="S9" s="308"/>
      <c r="T9" s="308"/>
      <c r="U9" s="308"/>
      <c r="V9" s="308"/>
      <c r="W9" s="308"/>
      <c r="X9" s="308"/>
      <c r="Y9" s="308"/>
      <c r="Z9" s="308"/>
      <c r="AA9" s="308"/>
      <c r="AB9" s="308"/>
      <c r="AC9" s="308"/>
      <c r="AD9" s="308"/>
      <c r="AE9" s="308"/>
      <c r="AF9" s="308"/>
      <c r="AG9" s="308"/>
    </row>
    <row r="10" spans="1:33" x14ac:dyDescent="0.25">
      <c r="A10" s="115">
        <v>6</v>
      </c>
      <c r="B10" s="116">
        <v>46302</v>
      </c>
      <c r="C10" s="317" t="s">
        <v>180</v>
      </c>
      <c r="D10" s="318" t="s">
        <v>180</v>
      </c>
      <c r="E10" s="317"/>
      <c r="F10" s="317"/>
      <c r="G10" s="189">
        <f t="shared" ref="G9:G37" si="8">E10*F10</f>
        <v>0</v>
      </c>
      <c r="H10" s="317"/>
      <c r="I10" s="317"/>
      <c r="J10" s="319">
        <f t="shared" si="4"/>
        <v>0</v>
      </c>
      <c r="K10" s="189">
        <f t="shared" si="5"/>
        <v>0</v>
      </c>
      <c r="L10" s="189"/>
      <c r="M10" s="319">
        <f t="shared" si="6"/>
        <v>531846.5599030002</v>
      </c>
      <c r="N10" s="321"/>
      <c r="O10" s="308"/>
      <c r="P10" s="308"/>
      <c r="Q10" s="308"/>
      <c r="R10" s="308"/>
      <c r="S10" s="308"/>
      <c r="T10" s="308"/>
      <c r="U10" s="308"/>
      <c r="V10" s="308"/>
      <c r="W10" s="308"/>
      <c r="X10" s="308"/>
      <c r="Y10" s="308"/>
      <c r="Z10" s="308"/>
      <c r="AA10" s="308"/>
      <c r="AB10" s="308"/>
      <c r="AC10" s="308"/>
      <c r="AD10" s="308"/>
      <c r="AE10" s="308"/>
      <c r="AF10" s="308"/>
      <c r="AG10" s="308"/>
    </row>
    <row r="11" spans="1:33" x14ac:dyDescent="0.25">
      <c r="A11" s="115">
        <v>7</v>
      </c>
      <c r="B11" s="116">
        <v>46303</v>
      </c>
      <c r="C11" s="317" t="s">
        <v>180</v>
      </c>
      <c r="D11" s="318" t="s">
        <v>180</v>
      </c>
      <c r="E11" s="317"/>
      <c r="F11" s="317"/>
      <c r="G11" s="189">
        <f t="shared" si="8"/>
        <v>0</v>
      </c>
      <c r="H11" s="317"/>
      <c r="I11" s="317"/>
      <c r="J11" s="319">
        <f t="shared" si="4"/>
        <v>0</v>
      </c>
      <c r="K11" s="189">
        <f t="shared" si="5"/>
        <v>0</v>
      </c>
      <c r="L11" s="189">
        <v>200000</v>
      </c>
      <c r="M11" s="319">
        <f t="shared" si="6"/>
        <v>331846.55990300025</v>
      </c>
      <c r="N11" s="320"/>
      <c r="O11" s="308"/>
      <c r="P11" s="308"/>
      <c r="Q11" s="308"/>
      <c r="R11" s="308"/>
      <c r="S11" s="308"/>
      <c r="T11" s="308"/>
      <c r="U11" s="308"/>
      <c r="V11" s="308"/>
      <c r="W11" s="308"/>
      <c r="X11" s="308"/>
      <c r="Y11" s="308"/>
      <c r="Z11" s="308"/>
      <c r="AA11" s="308"/>
      <c r="AB11" s="308"/>
      <c r="AC11" s="308"/>
      <c r="AD11" s="308"/>
      <c r="AE11" s="308"/>
      <c r="AF11" s="308"/>
      <c r="AG11" s="308"/>
    </row>
    <row r="12" spans="1:33" x14ac:dyDescent="0.25">
      <c r="A12" s="115">
        <v>8</v>
      </c>
      <c r="B12" s="116">
        <v>46304</v>
      </c>
      <c r="C12" s="317" t="s">
        <v>180</v>
      </c>
      <c r="D12" s="318" t="s">
        <v>180</v>
      </c>
      <c r="E12" s="317"/>
      <c r="F12" s="317"/>
      <c r="G12" s="189">
        <f t="shared" si="8"/>
        <v>0</v>
      </c>
      <c r="H12" s="317"/>
      <c r="I12" s="317"/>
      <c r="J12" s="319">
        <f t="shared" si="4"/>
        <v>0</v>
      </c>
      <c r="K12" s="189">
        <f t="shared" si="5"/>
        <v>0</v>
      </c>
      <c r="L12" s="189"/>
      <c r="M12" s="319">
        <f t="shared" si="6"/>
        <v>331846.55990300025</v>
      </c>
      <c r="N12" s="322"/>
      <c r="O12" s="308"/>
      <c r="P12" s="308"/>
      <c r="Q12" s="308"/>
      <c r="R12" s="308"/>
      <c r="S12" s="308"/>
      <c r="T12" s="308"/>
      <c r="U12" s="308"/>
      <c r="V12" s="308"/>
      <c r="W12" s="308"/>
      <c r="X12" s="308"/>
      <c r="Y12" s="308"/>
      <c r="Z12" s="308"/>
      <c r="AA12" s="308"/>
      <c r="AB12" s="308"/>
      <c r="AC12" s="308"/>
      <c r="AD12" s="308"/>
      <c r="AE12" s="308"/>
      <c r="AF12" s="308"/>
      <c r="AG12" s="308"/>
    </row>
    <row r="13" spans="1:33" x14ac:dyDescent="0.25">
      <c r="A13" s="115">
        <v>9</v>
      </c>
      <c r="B13" s="116">
        <v>46305</v>
      </c>
      <c r="C13" s="317" t="s">
        <v>180</v>
      </c>
      <c r="D13" s="318" t="s">
        <v>180</v>
      </c>
      <c r="E13" s="317">
        <v>1200</v>
      </c>
      <c r="F13" s="317">
        <v>99.14</v>
      </c>
      <c r="G13" s="189">
        <f t="shared" si="8"/>
        <v>118968</v>
      </c>
      <c r="H13" s="317">
        <v>105</v>
      </c>
      <c r="I13" s="317">
        <v>111.24</v>
      </c>
      <c r="J13" s="319">
        <f t="shared" si="4"/>
        <v>11680.199999999999</v>
      </c>
      <c r="K13" s="189">
        <f t="shared" si="5"/>
        <v>130648.2</v>
      </c>
      <c r="L13" s="189">
        <v>150000</v>
      </c>
      <c r="M13" s="319">
        <f t="shared" si="6"/>
        <v>312494.75990300026</v>
      </c>
      <c r="N13" s="320"/>
      <c r="O13" s="308"/>
      <c r="P13" s="308"/>
      <c r="Q13" s="308"/>
      <c r="R13" s="308"/>
      <c r="S13" s="308"/>
      <c r="T13" s="308"/>
      <c r="U13" s="308"/>
      <c r="V13" s="308"/>
      <c r="W13" s="308"/>
      <c r="X13" s="308"/>
      <c r="Y13" s="308"/>
      <c r="Z13" s="308"/>
      <c r="AA13" s="308"/>
      <c r="AB13" s="308"/>
      <c r="AC13" s="308"/>
      <c r="AD13" s="308"/>
      <c r="AE13" s="308"/>
      <c r="AF13" s="308"/>
      <c r="AG13" s="308"/>
    </row>
    <row r="14" spans="1:33" x14ac:dyDescent="0.25">
      <c r="A14" s="115">
        <v>10</v>
      </c>
      <c r="B14" s="116">
        <v>46306</v>
      </c>
      <c r="C14" s="317" t="s">
        <v>180</v>
      </c>
      <c r="D14" s="318" t="s">
        <v>180</v>
      </c>
      <c r="E14" s="317"/>
      <c r="F14" s="317"/>
      <c r="G14" s="189">
        <f t="shared" si="8"/>
        <v>0</v>
      </c>
      <c r="H14" s="317"/>
      <c r="I14" s="317"/>
      <c r="J14" s="319">
        <f t="shared" si="4"/>
        <v>0</v>
      </c>
      <c r="K14" s="189">
        <f t="shared" si="5"/>
        <v>0</v>
      </c>
      <c r="L14" s="189"/>
      <c r="M14" s="319">
        <f t="shared" si="6"/>
        <v>312494.75990300026</v>
      </c>
      <c r="N14" s="320"/>
      <c r="O14" s="308"/>
      <c r="P14" s="308"/>
      <c r="Q14" s="308"/>
      <c r="R14" s="308"/>
      <c r="S14" s="308"/>
      <c r="T14" s="308"/>
      <c r="U14" s="308"/>
      <c r="V14" s="308"/>
      <c r="W14" s="308"/>
      <c r="X14" s="308"/>
      <c r="Y14" s="308"/>
      <c r="Z14" s="308"/>
      <c r="AA14" s="308"/>
      <c r="AB14" s="308"/>
      <c r="AC14" s="308"/>
      <c r="AD14" s="308"/>
      <c r="AE14" s="308"/>
      <c r="AF14" s="308"/>
      <c r="AG14" s="308"/>
    </row>
    <row r="15" spans="1:33" x14ac:dyDescent="0.25">
      <c r="A15" s="115">
        <v>11</v>
      </c>
      <c r="B15" s="116">
        <v>46307</v>
      </c>
      <c r="C15" s="317" t="s">
        <v>180</v>
      </c>
      <c r="D15" s="318" t="s">
        <v>180</v>
      </c>
      <c r="E15" s="317"/>
      <c r="F15" s="317"/>
      <c r="G15" s="189">
        <f t="shared" si="8"/>
        <v>0</v>
      </c>
      <c r="H15" s="317"/>
      <c r="I15" s="317"/>
      <c r="J15" s="319">
        <f t="shared" si="4"/>
        <v>0</v>
      </c>
      <c r="K15" s="189">
        <f t="shared" si="5"/>
        <v>0</v>
      </c>
      <c r="L15" s="189"/>
      <c r="M15" s="319">
        <f t="shared" si="6"/>
        <v>312494.75990300026</v>
      </c>
      <c r="N15" s="320"/>
      <c r="O15" s="308"/>
      <c r="P15" s="308"/>
      <c r="Q15" s="308"/>
      <c r="R15" s="308"/>
      <c r="S15" s="308"/>
      <c r="T15" s="308"/>
      <c r="U15" s="308"/>
      <c r="V15" s="308"/>
      <c r="W15" s="308"/>
      <c r="X15" s="308"/>
      <c r="Y15" s="308"/>
      <c r="Z15" s="308"/>
      <c r="AA15" s="308"/>
      <c r="AB15" s="308"/>
      <c r="AC15" s="308"/>
      <c r="AD15" s="308"/>
      <c r="AE15" s="308"/>
      <c r="AF15" s="308"/>
      <c r="AG15" s="308"/>
    </row>
    <row r="16" spans="1:33" x14ac:dyDescent="0.25">
      <c r="A16" s="115">
        <v>12</v>
      </c>
      <c r="B16" s="116">
        <v>46308</v>
      </c>
      <c r="C16" s="317"/>
      <c r="D16" s="318"/>
      <c r="E16" s="317"/>
      <c r="F16" s="317"/>
      <c r="G16" s="189">
        <f t="shared" si="8"/>
        <v>0</v>
      </c>
      <c r="H16" s="317"/>
      <c r="I16" s="317"/>
      <c r="J16" s="319">
        <f t="shared" si="4"/>
        <v>0</v>
      </c>
      <c r="K16" s="189">
        <f t="shared" si="5"/>
        <v>0</v>
      </c>
      <c r="L16" s="189"/>
      <c r="M16" s="319">
        <f t="shared" si="6"/>
        <v>312494.75990300026</v>
      </c>
      <c r="N16" s="320"/>
      <c r="O16" s="308"/>
      <c r="P16" s="308"/>
      <c r="Q16" s="308"/>
      <c r="R16" s="308"/>
      <c r="S16" s="308"/>
      <c r="T16" s="308"/>
      <c r="U16" s="308"/>
      <c r="V16" s="308"/>
      <c r="W16" s="308"/>
      <c r="X16" s="308"/>
      <c r="Y16" s="308"/>
      <c r="Z16" s="308"/>
      <c r="AA16" s="308"/>
      <c r="AB16" s="308"/>
      <c r="AC16" s="308"/>
      <c r="AD16" s="308"/>
      <c r="AE16" s="308"/>
      <c r="AF16" s="308"/>
      <c r="AG16" s="308"/>
    </row>
    <row r="17" spans="1:33" x14ac:dyDescent="0.25">
      <c r="A17" s="115">
        <v>13</v>
      </c>
      <c r="B17" s="116">
        <v>46309</v>
      </c>
      <c r="C17" s="317" t="s">
        <v>180</v>
      </c>
      <c r="D17" s="318" t="s">
        <v>180</v>
      </c>
      <c r="E17" s="317">
        <v>1200</v>
      </c>
      <c r="F17" s="317">
        <v>99.14</v>
      </c>
      <c r="G17" s="189">
        <f t="shared" si="8"/>
        <v>118968</v>
      </c>
      <c r="H17" s="317">
        <v>35</v>
      </c>
      <c r="I17" s="317">
        <v>111.24</v>
      </c>
      <c r="J17" s="319">
        <f t="shared" si="4"/>
        <v>3893.3999999999996</v>
      </c>
      <c r="K17" s="189">
        <f t="shared" si="5"/>
        <v>122861.4</v>
      </c>
      <c r="L17" s="189"/>
      <c r="M17" s="319">
        <f t="shared" si="6"/>
        <v>435356.1599030002</v>
      </c>
      <c r="N17" s="320"/>
      <c r="O17" s="308"/>
      <c r="P17" s="308"/>
      <c r="Q17" s="308"/>
      <c r="R17" s="308"/>
      <c r="S17" s="308"/>
      <c r="T17" s="308"/>
      <c r="U17" s="308"/>
      <c r="V17" s="308"/>
      <c r="W17" s="308"/>
      <c r="X17" s="308"/>
      <c r="Y17" s="308"/>
      <c r="Z17" s="308"/>
      <c r="AA17" s="308"/>
      <c r="AB17" s="308"/>
      <c r="AC17" s="308"/>
      <c r="AD17" s="308"/>
      <c r="AE17" s="308"/>
      <c r="AF17" s="308"/>
      <c r="AG17" s="308"/>
    </row>
    <row r="18" spans="1:33" x14ac:dyDescent="0.25">
      <c r="A18" s="115">
        <v>14</v>
      </c>
      <c r="B18" s="116">
        <v>46310</v>
      </c>
      <c r="C18" s="317" t="s">
        <v>180</v>
      </c>
      <c r="D18" s="318" t="s">
        <v>180</v>
      </c>
      <c r="E18" s="317"/>
      <c r="F18" s="317"/>
      <c r="G18" s="189">
        <f t="shared" si="8"/>
        <v>0</v>
      </c>
      <c r="H18" s="317"/>
      <c r="I18" s="317"/>
      <c r="J18" s="319">
        <f t="shared" si="4"/>
        <v>0</v>
      </c>
      <c r="K18" s="189">
        <f t="shared" si="5"/>
        <v>0</v>
      </c>
      <c r="L18" s="189">
        <v>250000</v>
      </c>
      <c r="M18" s="319">
        <f t="shared" si="6"/>
        <v>185356.15990300023</v>
      </c>
      <c r="N18" s="320"/>
      <c r="O18" s="308"/>
      <c r="P18" s="308"/>
      <c r="Q18" s="308"/>
      <c r="R18" s="308"/>
      <c r="S18" s="308"/>
      <c r="T18" s="308"/>
      <c r="U18" s="308"/>
      <c r="V18" s="308"/>
      <c r="W18" s="308"/>
      <c r="X18" s="308"/>
      <c r="Y18" s="308"/>
      <c r="Z18" s="308"/>
      <c r="AA18" s="308"/>
      <c r="AB18" s="308"/>
      <c r="AC18" s="308"/>
      <c r="AD18" s="308"/>
      <c r="AE18" s="308"/>
      <c r="AF18" s="308"/>
      <c r="AG18" s="308"/>
    </row>
    <row r="19" spans="1:33" x14ac:dyDescent="0.25">
      <c r="A19" s="115">
        <v>15</v>
      </c>
      <c r="B19" s="116">
        <v>46311</v>
      </c>
      <c r="C19" s="317" t="s">
        <v>180</v>
      </c>
      <c r="D19" s="318" t="s">
        <v>180</v>
      </c>
      <c r="E19" s="317"/>
      <c r="F19" s="317"/>
      <c r="G19" s="189">
        <f t="shared" si="8"/>
        <v>0</v>
      </c>
      <c r="H19" s="317"/>
      <c r="I19" s="317"/>
      <c r="J19" s="319">
        <f t="shared" si="4"/>
        <v>0</v>
      </c>
      <c r="K19" s="189">
        <f t="shared" si="5"/>
        <v>0</v>
      </c>
      <c r="L19" s="189"/>
      <c r="M19" s="319">
        <f t="shared" si="6"/>
        <v>185356.15990300023</v>
      </c>
      <c r="N19" s="319"/>
      <c r="O19" s="308"/>
      <c r="P19" s="308"/>
      <c r="Q19" s="308"/>
      <c r="R19" s="308"/>
      <c r="S19" s="308"/>
      <c r="T19" s="308"/>
      <c r="U19" s="308"/>
      <c r="V19" s="308"/>
      <c r="W19" s="308"/>
      <c r="X19" s="308"/>
      <c r="Y19" s="308"/>
      <c r="Z19" s="308"/>
      <c r="AA19" s="308"/>
      <c r="AB19" s="308"/>
      <c r="AC19" s="308"/>
      <c r="AD19" s="308"/>
      <c r="AE19" s="308"/>
      <c r="AF19" s="308"/>
      <c r="AG19" s="308"/>
    </row>
    <row r="20" spans="1:33" x14ac:dyDescent="0.25">
      <c r="A20" s="115">
        <v>16</v>
      </c>
      <c r="B20" s="116">
        <v>46312</v>
      </c>
      <c r="C20" s="317" t="s">
        <v>180</v>
      </c>
      <c r="D20" s="318" t="s">
        <v>180</v>
      </c>
      <c r="E20" s="317"/>
      <c r="F20" s="317"/>
      <c r="G20" s="189">
        <f t="shared" si="8"/>
        <v>0</v>
      </c>
      <c r="H20" s="317"/>
      <c r="I20" s="317"/>
      <c r="J20" s="319">
        <f t="shared" si="4"/>
        <v>0</v>
      </c>
      <c r="K20" s="189">
        <f t="shared" si="5"/>
        <v>0</v>
      </c>
      <c r="L20" s="189"/>
      <c r="M20" s="319">
        <f t="shared" si="6"/>
        <v>185356.15990300023</v>
      </c>
      <c r="N20" s="320"/>
      <c r="O20" s="308"/>
      <c r="P20" s="308"/>
      <c r="Q20" s="308"/>
      <c r="R20" s="308"/>
      <c r="S20" s="308"/>
      <c r="T20" s="308"/>
      <c r="U20" s="308"/>
      <c r="V20" s="308"/>
      <c r="W20" s="308"/>
      <c r="X20" s="308"/>
      <c r="Y20" s="308"/>
      <c r="Z20" s="308"/>
      <c r="AA20" s="308"/>
      <c r="AB20" s="308"/>
      <c r="AC20" s="308"/>
      <c r="AD20" s="308"/>
      <c r="AE20" s="308"/>
      <c r="AF20" s="308"/>
      <c r="AG20" s="308"/>
    </row>
    <row r="21" spans="1:33" x14ac:dyDescent="0.25">
      <c r="A21" s="115">
        <v>17</v>
      </c>
      <c r="B21" s="116">
        <v>46313</v>
      </c>
      <c r="C21" s="317" t="s">
        <v>180</v>
      </c>
      <c r="D21" s="318" t="s">
        <v>180</v>
      </c>
      <c r="E21" s="317"/>
      <c r="F21" s="317"/>
      <c r="G21" s="189">
        <f t="shared" si="8"/>
        <v>0</v>
      </c>
      <c r="H21" s="129"/>
      <c r="I21" s="317"/>
      <c r="J21" s="319">
        <f t="shared" si="4"/>
        <v>0</v>
      </c>
      <c r="K21" s="189">
        <f t="shared" si="5"/>
        <v>0</v>
      </c>
      <c r="L21" s="189"/>
      <c r="M21" s="319">
        <f t="shared" si="6"/>
        <v>185356.15990300023</v>
      </c>
      <c r="N21" s="320"/>
      <c r="O21" s="308"/>
      <c r="P21" s="308"/>
      <c r="Q21" s="308"/>
      <c r="R21" s="308"/>
      <c r="S21" s="308"/>
      <c r="T21" s="308"/>
      <c r="U21" s="308"/>
      <c r="V21" s="308"/>
      <c r="W21" s="308"/>
      <c r="X21" s="308"/>
      <c r="Y21" s="308"/>
      <c r="Z21" s="308"/>
      <c r="AA21" s="308"/>
      <c r="AB21" s="308"/>
      <c r="AC21" s="308"/>
      <c r="AD21" s="308"/>
      <c r="AE21" s="308"/>
      <c r="AF21" s="308"/>
      <c r="AG21" s="308"/>
    </row>
    <row r="22" spans="1:33" x14ac:dyDescent="0.25">
      <c r="A22" s="115">
        <v>18</v>
      </c>
      <c r="B22" s="116">
        <v>46314</v>
      </c>
      <c r="C22" s="317" t="s">
        <v>180</v>
      </c>
      <c r="D22" s="318" t="s">
        <v>180</v>
      </c>
      <c r="E22" s="317"/>
      <c r="F22" s="317"/>
      <c r="G22" s="189">
        <f t="shared" si="8"/>
        <v>0</v>
      </c>
      <c r="H22" s="317"/>
      <c r="I22" s="317"/>
      <c r="J22" s="319">
        <f t="shared" si="4"/>
        <v>0</v>
      </c>
      <c r="K22" s="189">
        <f t="shared" si="5"/>
        <v>0</v>
      </c>
      <c r="L22" s="189"/>
      <c r="M22" s="319">
        <f t="shared" si="6"/>
        <v>185356.15990300023</v>
      </c>
      <c r="N22" s="320"/>
      <c r="O22" s="308"/>
      <c r="P22" s="308"/>
      <c r="Q22" s="308"/>
      <c r="R22" s="308"/>
      <c r="S22" s="308"/>
      <c r="T22" s="308"/>
      <c r="U22" s="308"/>
      <c r="V22" s="308"/>
      <c r="W22" s="308"/>
      <c r="X22" s="308"/>
      <c r="Y22" s="308"/>
      <c r="Z22" s="308"/>
      <c r="AA22" s="308"/>
      <c r="AB22" s="308"/>
      <c r="AC22" s="308"/>
      <c r="AD22" s="308"/>
      <c r="AE22" s="308"/>
      <c r="AF22" s="308"/>
      <c r="AG22" s="308"/>
    </row>
    <row r="23" spans="1:33" x14ac:dyDescent="0.25">
      <c r="A23" s="115">
        <v>19</v>
      </c>
      <c r="B23" s="116">
        <v>46315</v>
      </c>
      <c r="C23" s="317" t="s">
        <v>180</v>
      </c>
      <c r="D23" s="318" t="s">
        <v>180</v>
      </c>
      <c r="E23" s="317"/>
      <c r="F23" s="317"/>
      <c r="G23" s="189">
        <f t="shared" si="8"/>
        <v>0</v>
      </c>
      <c r="H23" s="317"/>
      <c r="I23" s="317"/>
      <c r="J23" s="319">
        <f t="shared" si="4"/>
        <v>0</v>
      </c>
      <c r="K23" s="189">
        <f t="shared" si="5"/>
        <v>0</v>
      </c>
      <c r="L23" s="189"/>
      <c r="M23" s="319">
        <f t="shared" si="6"/>
        <v>185356.15990300023</v>
      </c>
      <c r="N23" s="320"/>
      <c r="O23" s="308"/>
      <c r="P23" s="308"/>
      <c r="Q23" s="308"/>
      <c r="R23" s="308"/>
      <c r="S23" s="308"/>
      <c r="T23" s="308"/>
      <c r="U23" s="308"/>
      <c r="V23" s="308"/>
      <c r="W23" s="308"/>
      <c r="X23" s="308"/>
      <c r="Y23" s="308"/>
      <c r="Z23" s="308"/>
      <c r="AA23" s="308"/>
      <c r="AB23" s="308"/>
      <c r="AC23" s="308"/>
      <c r="AD23" s="308"/>
      <c r="AE23" s="308"/>
      <c r="AF23" s="308"/>
      <c r="AG23" s="308"/>
    </row>
    <row r="24" spans="1:33" x14ac:dyDescent="0.25">
      <c r="A24" s="115">
        <v>20</v>
      </c>
      <c r="B24" s="116">
        <v>46316</v>
      </c>
      <c r="C24" s="317" t="s">
        <v>180</v>
      </c>
      <c r="D24" s="318" t="s">
        <v>180</v>
      </c>
      <c r="E24" s="317"/>
      <c r="F24" s="317"/>
      <c r="G24" s="189">
        <f t="shared" si="8"/>
        <v>0</v>
      </c>
      <c r="H24" s="317"/>
      <c r="I24" s="317"/>
      <c r="J24" s="319">
        <f t="shared" si="4"/>
        <v>0</v>
      </c>
      <c r="K24" s="189">
        <f t="shared" si="5"/>
        <v>0</v>
      </c>
      <c r="L24" s="189"/>
      <c r="M24" s="319">
        <f t="shared" si="6"/>
        <v>185356.15990300023</v>
      </c>
      <c r="N24" s="320"/>
      <c r="O24" s="308"/>
      <c r="P24" s="308"/>
      <c r="Q24" s="308"/>
      <c r="R24" s="308"/>
      <c r="S24" s="308"/>
      <c r="T24" s="308"/>
      <c r="U24" s="308"/>
      <c r="V24" s="308"/>
      <c r="W24" s="308"/>
      <c r="X24" s="308"/>
      <c r="Y24" s="308"/>
      <c r="Z24" s="308"/>
      <c r="AA24" s="308"/>
      <c r="AB24" s="308"/>
      <c r="AC24" s="308"/>
      <c r="AD24" s="308"/>
      <c r="AE24" s="308"/>
      <c r="AF24" s="308"/>
      <c r="AG24" s="308"/>
    </row>
    <row r="25" spans="1:33" x14ac:dyDescent="0.25">
      <c r="A25" s="115">
        <v>21</v>
      </c>
      <c r="B25" s="116">
        <v>46317</v>
      </c>
      <c r="C25" s="317" t="s">
        <v>180</v>
      </c>
      <c r="D25" s="318" t="s">
        <v>180</v>
      </c>
      <c r="E25" s="317"/>
      <c r="F25" s="317"/>
      <c r="G25" s="189">
        <f t="shared" si="8"/>
        <v>0</v>
      </c>
      <c r="H25" s="317"/>
      <c r="I25" s="317"/>
      <c r="J25" s="319">
        <f t="shared" si="4"/>
        <v>0</v>
      </c>
      <c r="K25" s="189">
        <f t="shared" si="5"/>
        <v>0</v>
      </c>
      <c r="L25" s="189"/>
      <c r="M25" s="319">
        <f t="shared" si="6"/>
        <v>185356.15990300023</v>
      </c>
      <c r="N25" s="320"/>
      <c r="O25" s="308"/>
      <c r="P25" s="308"/>
      <c r="Q25" s="308"/>
      <c r="R25" s="308"/>
      <c r="S25" s="308"/>
      <c r="T25" s="308"/>
      <c r="U25" s="308"/>
      <c r="V25" s="308"/>
      <c r="W25" s="308"/>
      <c r="X25" s="308"/>
      <c r="Y25" s="308"/>
      <c r="Z25" s="308"/>
      <c r="AA25" s="308"/>
      <c r="AB25" s="308"/>
      <c r="AC25" s="308"/>
      <c r="AD25" s="308"/>
      <c r="AE25" s="308"/>
      <c r="AF25" s="308"/>
      <c r="AG25" s="308"/>
    </row>
    <row r="26" spans="1:33" x14ac:dyDescent="0.25">
      <c r="A26" s="115">
        <v>22</v>
      </c>
      <c r="B26" s="116">
        <v>46318</v>
      </c>
      <c r="C26" s="317" t="s">
        <v>180</v>
      </c>
      <c r="D26" s="318" t="s">
        <v>180</v>
      </c>
      <c r="E26" s="317"/>
      <c r="F26" s="317"/>
      <c r="G26" s="189">
        <f t="shared" si="8"/>
        <v>0</v>
      </c>
      <c r="H26" s="317"/>
      <c r="I26" s="317"/>
      <c r="J26" s="319">
        <f t="shared" si="4"/>
        <v>0</v>
      </c>
      <c r="K26" s="189">
        <f t="shared" si="5"/>
        <v>0</v>
      </c>
      <c r="L26" s="189"/>
      <c r="M26" s="319">
        <f t="shared" si="6"/>
        <v>185356.15990300023</v>
      </c>
      <c r="N26" s="320"/>
      <c r="O26" s="308"/>
      <c r="P26" s="308"/>
      <c r="Q26" s="308"/>
      <c r="R26" s="308"/>
      <c r="S26" s="308"/>
      <c r="T26" s="308"/>
      <c r="U26" s="308"/>
      <c r="V26" s="308"/>
      <c r="W26" s="308"/>
      <c r="X26" s="308"/>
      <c r="Y26" s="308"/>
      <c r="Z26" s="308"/>
      <c r="AA26" s="308"/>
      <c r="AB26" s="308"/>
      <c r="AC26" s="308"/>
      <c r="AD26" s="308"/>
      <c r="AE26" s="308"/>
      <c r="AF26" s="308"/>
      <c r="AG26" s="308"/>
    </row>
    <row r="27" spans="1:33" x14ac:dyDescent="0.25">
      <c r="A27" s="115">
        <v>23</v>
      </c>
      <c r="B27" s="116">
        <v>46319</v>
      </c>
      <c r="C27" s="317" t="s">
        <v>180</v>
      </c>
      <c r="D27" s="318" t="s">
        <v>180</v>
      </c>
      <c r="E27" s="317"/>
      <c r="F27" s="317"/>
      <c r="G27" s="189">
        <f t="shared" si="8"/>
        <v>0</v>
      </c>
      <c r="H27" s="317"/>
      <c r="I27" s="317"/>
      <c r="J27" s="319">
        <f t="shared" si="4"/>
        <v>0</v>
      </c>
      <c r="K27" s="189">
        <f t="shared" si="5"/>
        <v>0</v>
      </c>
      <c r="L27" s="189"/>
      <c r="M27" s="319">
        <f t="shared" si="6"/>
        <v>185356.15990300023</v>
      </c>
      <c r="N27" s="320"/>
      <c r="O27" s="308"/>
      <c r="P27" s="308"/>
      <c r="Q27" s="308"/>
      <c r="R27" s="308"/>
      <c r="S27" s="308"/>
      <c r="T27" s="308"/>
      <c r="U27" s="308"/>
      <c r="V27" s="308"/>
      <c r="W27" s="308"/>
      <c r="X27" s="308"/>
      <c r="Y27" s="308"/>
      <c r="Z27" s="308"/>
      <c r="AA27" s="308"/>
      <c r="AB27" s="308"/>
      <c r="AC27" s="308"/>
      <c r="AD27" s="308"/>
      <c r="AE27" s="308"/>
      <c r="AF27" s="308"/>
      <c r="AG27" s="308"/>
    </row>
    <row r="28" spans="1:33" x14ac:dyDescent="0.25">
      <c r="A28" s="115">
        <v>24</v>
      </c>
      <c r="B28" s="116">
        <v>46320</v>
      </c>
      <c r="C28" s="317" t="s">
        <v>180</v>
      </c>
      <c r="D28" s="318" t="s">
        <v>180</v>
      </c>
      <c r="E28" s="317"/>
      <c r="F28" s="317"/>
      <c r="G28" s="189">
        <f t="shared" si="8"/>
        <v>0</v>
      </c>
      <c r="H28" s="317"/>
      <c r="I28" s="317"/>
      <c r="J28" s="319">
        <f t="shared" si="4"/>
        <v>0</v>
      </c>
      <c r="K28" s="189">
        <f t="shared" si="5"/>
        <v>0</v>
      </c>
      <c r="L28" s="189"/>
      <c r="M28" s="319">
        <f t="shared" si="6"/>
        <v>185356.15990300023</v>
      </c>
      <c r="N28" s="320"/>
      <c r="O28" s="308"/>
      <c r="P28" s="308"/>
      <c r="Q28" s="308"/>
      <c r="R28" s="308"/>
      <c r="S28" s="308"/>
      <c r="T28" s="308"/>
      <c r="U28" s="308"/>
      <c r="V28" s="308"/>
      <c r="W28" s="308"/>
      <c r="X28" s="308"/>
      <c r="Y28" s="308"/>
      <c r="Z28" s="308"/>
      <c r="AA28" s="308"/>
      <c r="AB28" s="308"/>
      <c r="AC28" s="308"/>
      <c r="AD28" s="308"/>
      <c r="AE28" s="308"/>
      <c r="AF28" s="308"/>
      <c r="AG28" s="308"/>
    </row>
    <row r="29" spans="1:33" x14ac:dyDescent="0.25">
      <c r="A29" s="115">
        <v>25</v>
      </c>
      <c r="B29" s="116">
        <v>46321</v>
      </c>
      <c r="C29" s="317" t="s">
        <v>180</v>
      </c>
      <c r="D29" s="318" t="s">
        <v>180</v>
      </c>
      <c r="E29" s="317"/>
      <c r="F29" s="317"/>
      <c r="G29" s="189">
        <f t="shared" si="8"/>
        <v>0</v>
      </c>
      <c r="H29" s="317"/>
      <c r="I29" s="317"/>
      <c r="J29" s="319">
        <f t="shared" si="4"/>
        <v>0</v>
      </c>
      <c r="K29" s="189">
        <f t="shared" si="5"/>
        <v>0</v>
      </c>
      <c r="L29" s="189"/>
      <c r="M29" s="319">
        <f t="shared" si="6"/>
        <v>185356.15990300023</v>
      </c>
      <c r="N29" s="320"/>
      <c r="O29" s="308"/>
      <c r="P29" s="308"/>
      <c r="Q29" s="308"/>
      <c r="R29" s="308"/>
      <c r="S29" s="308"/>
      <c r="T29" s="308"/>
      <c r="U29" s="308"/>
      <c r="V29" s="308"/>
      <c r="W29" s="308"/>
      <c r="X29" s="308"/>
      <c r="Y29" s="308"/>
      <c r="Z29" s="308"/>
      <c r="AA29" s="308"/>
      <c r="AB29" s="308"/>
      <c r="AC29" s="308"/>
      <c r="AD29" s="308"/>
      <c r="AE29" s="308"/>
      <c r="AF29" s="308"/>
      <c r="AG29" s="308"/>
    </row>
    <row r="30" spans="1:33" x14ac:dyDescent="0.25">
      <c r="A30" s="115">
        <v>26</v>
      </c>
      <c r="B30" s="116">
        <v>46322</v>
      </c>
      <c r="C30" s="317"/>
      <c r="D30" s="318"/>
      <c r="E30" s="317"/>
      <c r="F30" s="317"/>
      <c r="G30" s="189">
        <f t="shared" si="8"/>
        <v>0</v>
      </c>
      <c r="H30" s="317"/>
      <c r="I30" s="317"/>
      <c r="J30" s="319">
        <f t="shared" si="4"/>
        <v>0</v>
      </c>
      <c r="K30" s="189">
        <f t="shared" si="5"/>
        <v>0</v>
      </c>
      <c r="L30" s="189"/>
      <c r="M30" s="319">
        <f t="shared" si="6"/>
        <v>185356.15990300023</v>
      </c>
      <c r="N30" s="320"/>
      <c r="O30" s="308"/>
      <c r="P30" s="308"/>
      <c r="Q30" s="308"/>
      <c r="R30" s="308"/>
      <c r="S30" s="308"/>
      <c r="T30" s="308"/>
      <c r="U30" s="308"/>
      <c r="V30" s="308"/>
      <c r="W30" s="308"/>
      <c r="X30" s="308"/>
      <c r="Y30" s="308"/>
      <c r="Z30" s="308"/>
      <c r="AA30" s="308"/>
      <c r="AB30" s="308"/>
      <c r="AC30" s="308"/>
      <c r="AD30" s="308"/>
      <c r="AE30" s="308"/>
      <c r="AF30" s="308"/>
      <c r="AG30" s="308"/>
    </row>
    <row r="31" spans="1:33" x14ac:dyDescent="0.25">
      <c r="A31" s="115">
        <v>27</v>
      </c>
      <c r="B31" s="116">
        <v>46323</v>
      </c>
      <c r="C31" s="317"/>
      <c r="D31" s="318"/>
      <c r="E31" s="317"/>
      <c r="F31" s="317"/>
      <c r="G31" s="189">
        <f t="shared" si="8"/>
        <v>0</v>
      </c>
      <c r="H31" s="317"/>
      <c r="I31" s="317"/>
      <c r="J31" s="319">
        <f t="shared" si="4"/>
        <v>0</v>
      </c>
      <c r="K31" s="189">
        <f t="shared" si="5"/>
        <v>0</v>
      </c>
      <c r="L31" s="189"/>
      <c r="M31" s="319">
        <f t="shared" si="6"/>
        <v>185356.15990300023</v>
      </c>
      <c r="N31" s="320"/>
      <c r="O31" s="308"/>
      <c r="P31" s="308"/>
      <c r="Q31" s="308"/>
      <c r="R31" s="308"/>
      <c r="S31" s="308"/>
      <c r="T31" s="308"/>
      <c r="U31" s="308"/>
      <c r="V31" s="308"/>
      <c r="W31" s="308"/>
      <c r="X31" s="308"/>
      <c r="Y31" s="308"/>
      <c r="Z31" s="308"/>
      <c r="AA31" s="308"/>
      <c r="AB31" s="308"/>
      <c r="AC31" s="308"/>
      <c r="AD31" s="308"/>
      <c r="AE31" s="308"/>
      <c r="AF31" s="308"/>
      <c r="AG31" s="308"/>
    </row>
    <row r="32" spans="1:33" x14ac:dyDescent="0.25">
      <c r="A32" s="115">
        <v>28</v>
      </c>
      <c r="B32" s="116">
        <v>46324</v>
      </c>
      <c r="C32" s="317" t="s">
        <v>180</v>
      </c>
      <c r="D32" s="318" t="s">
        <v>180</v>
      </c>
      <c r="E32" s="317"/>
      <c r="F32" s="317"/>
      <c r="G32" s="189">
        <f t="shared" si="8"/>
        <v>0</v>
      </c>
      <c r="H32" s="317"/>
      <c r="I32" s="317"/>
      <c r="J32" s="319">
        <f t="shared" si="4"/>
        <v>0</v>
      </c>
      <c r="K32" s="189">
        <f t="shared" si="5"/>
        <v>0</v>
      </c>
      <c r="L32" s="189"/>
      <c r="M32" s="319">
        <f t="shared" si="6"/>
        <v>185356.15990300023</v>
      </c>
      <c r="N32" s="320"/>
      <c r="O32" s="308"/>
      <c r="P32" s="308"/>
      <c r="Q32" s="308"/>
      <c r="R32" s="308"/>
      <c r="S32" s="308"/>
      <c r="T32" s="308"/>
      <c r="U32" s="308"/>
      <c r="V32" s="308"/>
      <c r="W32" s="308"/>
      <c r="X32" s="308"/>
      <c r="Y32" s="308"/>
      <c r="Z32" s="308"/>
      <c r="AA32" s="308"/>
      <c r="AB32" s="308"/>
      <c r="AC32" s="308"/>
      <c r="AD32" s="308"/>
      <c r="AE32" s="308"/>
      <c r="AF32" s="308"/>
      <c r="AG32" s="308"/>
    </row>
    <row r="33" spans="1:33" x14ac:dyDescent="0.25">
      <c r="A33" s="115">
        <v>29</v>
      </c>
      <c r="B33" s="116">
        <v>46325</v>
      </c>
      <c r="C33" s="317" t="s">
        <v>180</v>
      </c>
      <c r="D33" s="318" t="s">
        <v>180</v>
      </c>
      <c r="E33" s="317"/>
      <c r="F33" s="317"/>
      <c r="G33" s="189">
        <f t="shared" si="8"/>
        <v>0</v>
      </c>
      <c r="H33" s="317"/>
      <c r="I33" s="317"/>
      <c r="J33" s="319">
        <f t="shared" si="4"/>
        <v>0</v>
      </c>
      <c r="K33" s="189">
        <f t="shared" si="5"/>
        <v>0</v>
      </c>
      <c r="L33" s="189"/>
      <c r="M33" s="319">
        <f t="shared" si="6"/>
        <v>185356.15990300023</v>
      </c>
      <c r="N33" s="320"/>
      <c r="O33" s="308"/>
      <c r="P33" s="308"/>
      <c r="Q33" s="308"/>
      <c r="R33" s="308"/>
      <c r="S33" s="308"/>
      <c r="T33" s="308"/>
      <c r="U33" s="308"/>
      <c r="V33" s="308"/>
      <c r="W33" s="308"/>
      <c r="X33" s="308"/>
      <c r="Y33" s="308"/>
      <c r="Z33" s="308"/>
      <c r="AA33" s="308"/>
      <c r="AB33" s="308"/>
      <c r="AC33" s="308"/>
      <c r="AD33" s="308"/>
      <c r="AE33" s="308"/>
      <c r="AF33" s="308"/>
      <c r="AG33" s="308"/>
    </row>
    <row r="34" spans="1:33" x14ac:dyDescent="0.25">
      <c r="A34" s="115">
        <v>30</v>
      </c>
      <c r="B34" s="116">
        <v>46326</v>
      </c>
      <c r="C34" s="317" t="s">
        <v>180</v>
      </c>
      <c r="D34" s="318" t="s">
        <v>180</v>
      </c>
      <c r="E34" s="317"/>
      <c r="F34" s="317"/>
      <c r="G34" s="189">
        <f t="shared" si="8"/>
        <v>0</v>
      </c>
      <c r="H34" s="317"/>
      <c r="I34" s="317"/>
      <c r="J34" s="319">
        <f t="shared" si="4"/>
        <v>0</v>
      </c>
      <c r="K34" s="189">
        <f t="shared" si="5"/>
        <v>0</v>
      </c>
      <c r="L34" s="189"/>
      <c r="M34" s="319">
        <f t="shared" si="6"/>
        <v>185356.15990300023</v>
      </c>
      <c r="N34" s="320"/>
      <c r="O34" s="308"/>
      <c r="P34" s="308"/>
      <c r="Q34" s="308"/>
      <c r="R34" s="308"/>
      <c r="S34" s="308"/>
      <c r="T34" s="308"/>
      <c r="U34" s="308"/>
      <c r="V34" s="308"/>
      <c r="W34" s="308"/>
      <c r="X34" s="308"/>
      <c r="Y34" s="308"/>
      <c r="Z34" s="308"/>
      <c r="AA34" s="308"/>
      <c r="AB34" s="308"/>
      <c r="AC34" s="308"/>
      <c r="AD34" s="308"/>
      <c r="AE34" s="308"/>
      <c r="AF34" s="308"/>
      <c r="AG34" s="308"/>
    </row>
    <row r="35" spans="1:33" x14ac:dyDescent="0.25">
      <c r="A35" s="115">
        <v>31</v>
      </c>
      <c r="B35" s="116"/>
      <c r="C35" s="189"/>
      <c r="D35" s="318" t="s">
        <v>180</v>
      </c>
      <c r="E35" s="317"/>
      <c r="F35" s="317"/>
      <c r="G35" s="189">
        <f t="shared" si="8"/>
        <v>0</v>
      </c>
      <c r="H35" s="317"/>
      <c r="I35" s="317"/>
      <c r="J35" s="319">
        <f t="shared" si="4"/>
        <v>0</v>
      </c>
      <c r="K35" s="189">
        <f t="shared" si="5"/>
        <v>0</v>
      </c>
      <c r="L35" s="189"/>
      <c r="M35" s="319">
        <f t="shared" si="6"/>
        <v>185356.15990300023</v>
      </c>
      <c r="N35" s="320"/>
      <c r="O35" s="308"/>
      <c r="P35" s="308"/>
      <c r="Q35" s="308"/>
      <c r="R35" s="308"/>
      <c r="S35" s="308"/>
      <c r="T35" s="308"/>
      <c r="U35" s="308"/>
      <c r="V35" s="308"/>
      <c r="W35" s="308"/>
      <c r="X35" s="308"/>
      <c r="Y35" s="308"/>
      <c r="Z35" s="308"/>
      <c r="AA35" s="308"/>
      <c r="AB35" s="308"/>
      <c r="AC35" s="308"/>
      <c r="AD35" s="308"/>
      <c r="AE35" s="308"/>
      <c r="AF35" s="308"/>
      <c r="AG35" s="308"/>
    </row>
    <row r="36" spans="1:33" x14ac:dyDescent="0.25">
      <c r="A36" s="115">
        <v>32</v>
      </c>
      <c r="B36" s="116"/>
      <c r="C36" s="189"/>
      <c r="D36" s="318" t="s">
        <v>180</v>
      </c>
      <c r="E36" s="317"/>
      <c r="F36" s="317"/>
      <c r="G36" s="189">
        <f t="shared" si="8"/>
        <v>0</v>
      </c>
      <c r="H36" s="317"/>
      <c r="I36" s="317"/>
      <c r="J36" s="319">
        <f t="shared" si="4"/>
        <v>0</v>
      </c>
      <c r="K36" s="189">
        <f t="shared" si="5"/>
        <v>0</v>
      </c>
      <c r="L36" s="189"/>
      <c r="M36" s="319">
        <f t="shared" si="6"/>
        <v>185356.15990300023</v>
      </c>
      <c r="N36" s="320"/>
      <c r="O36" s="308"/>
      <c r="P36" s="308"/>
      <c r="Q36" s="308"/>
      <c r="R36" s="308"/>
      <c r="S36" s="308"/>
      <c r="T36" s="308"/>
      <c r="U36" s="308"/>
      <c r="V36" s="308"/>
      <c r="W36" s="308"/>
      <c r="X36" s="308"/>
      <c r="Y36" s="308"/>
      <c r="Z36" s="308"/>
      <c r="AA36" s="308"/>
      <c r="AB36" s="308"/>
      <c r="AC36" s="308"/>
      <c r="AD36" s="308"/>
      <c r="AE36" s="308"/>
      <c r="AF36" s="308"/>
      <c r="AG36" s="308"/>
    </row>
    <row r="37" spans="1:33" x14ac:dyDescent="0.25">
      <c r="A37" s="115">
        <v>33</v>
      </c>
      <c r="B37" s="116"/>
      <c r="C37" s="189"/>
      <c r="D37" s="318" t="s">
        <v>180</v>
      </c>
      <c r="E37" s="317"/>
      <c r="F37" s="317"/>
      <c r="G37" s="189">
        <f t="shared" si="8"/>
        <v>0</v>
      </c>
      <c r="H37" s="317"/>
      <c r="I37" s="317"/>
      <c r="J37" s="319">
        <f t="shared" ref="J6:J37" si="9">H37*I37</f>
        <v>0</v>
      </c>
      <c r="K37" s="189">
        <f t="shared" ref="K6:K38" si="10">G37+J37</f>
        <v>0</v>
      </c>
      <c r="L37" s="189"/>
      <c r="M37" s="319">
        <f t="shared" si="6"/>
        <v>185356.15990300023</v>
      </c>
      <c r="N37" s="320"/>
      <c r="O37" s="308"/>
      <c r="P37" s="308"/>
      <c r="Q37" s="308"/>
      <c r="R37" s="308"/>
      <c r="S37" s="308"/>
      <c r="T37" s="308"/>
      <c r="U37" s="308"/>
      <c r="V37" s="308"/>
      <c r="W37" s="308"/>
      <c r="X37" s="308"/>
      <c r="Y37" s="308"/>
      <c r="Z37" s="308"/>
      <c r="AA37" s="308"/>
      <c r="AB37" s="308"/>
      <c r="AC37" s="308"/>
      <c r="AD37" s="308"/>
      <c r="AE37" s="308"/>
      <c r="AF37" s="308"/>
      <c r="AG37" s="308"/>
    </row>
    <row r="38" spans="1:33" x14ac:dyDescent="0.25">
      <c r="A38" s="115">
        <v>34</v>
      </c>
      <c r="B38" s="116"/>
      <c r="C38" s="189"/>
      <c r="D38" s="318" t="s">
        <v>180</v>
      </c>
      <c r="E38" s="317"/>
      <c r="F38" s="317"/>
      <c r="G38" s="189">
        <f t="shared" ref="G6:G38" si="11">E38*F38</f>
        <v>0</v>
      </c>
      <c r="H38" s="317"/>
      <c r="I38" s="317"/>
      <c r="J38" s="319">
        <f t="shared" ref="J6:J38" si="12">H38*I38</f>
        <v>0</v>
      </c>
      <c r="K38" s="189">
        <f t="shared" si="10"/>
        <v>0</v>
      </c>
      <c r="L38" s="323"/>
      <c r="M38" s="319">
        <f t="shared" si="6"/>
        <v>185356.15990300023</v>
      </c>
      <c r="N38" s="320"/>
      <c r="O38" s="308"/>
      <c r="P38" s="308"/>
      <c r="Q38" s="308"/>
      <c r="R38" s="308"/>
      <c r="S38" s="308"/>
      <c r="T38" s="308"/>
      <c r="U38" s="308"/>
      <c r="V38" s="308"/>
      <c r="W38" s="308"/>
      <c r="X38" s="308"/>
      <c r="Y38" s="308"/>
      <c r="Z38" s="308"/>
      <c r="AA38" s="308"/>
      <c r="AB38" s="308"/>
      <c r="AC38" s="308"/>
      <c r="AD38" s="308"/>
      <c r="AE38" s="308"/>
      <c r="AF38" s="308"/>
      <c r="AG38" s="308"/>
    </row>
    <row r="39" spans="1:33" x14ac:dyDescent="0.25">
      <c r="A39" s="121"/>
      <c r="B39" s="121"/>
      <c r="C39" s="121"/>
      <c r="D39" s="121"/>
      <c r="E39" s="136">
        <f>SUM(E4:E38)</f>
        <v>4600</v>
      </c>
      <c r="F39" s="136"/>
      <c r="G39" s="136">
        <f>SUM(G4:G38)</f>
        <v>456044</v>
      </c>
      <c r="H39" s="136">
        <f>SUM(H4:H38)</f>
        <v>210</v>
      </c>
      <c r="I39" s="136"/>
      <c r="J39" s="136">
        <f>SUM(J4:J38)</f>
        <v>23360.4</v>
      </c>
      <c r="K39" s="136">
        <f>SUM(K4:K38)</f>
        <v>479404.4</v>
      </c>
      <c r="L39" s="136">
        <f>SUM(L4:L38)</f>
        <v>600000</v>
      </c>
      <c r="M39" s="136"/>
      <c r="N39" s="136"/>
      <c r="O39" s="303"/>
      <c r="P39" s="308"/>
      <c r="Q39" s="308"/>
      <c r="R39" s="308"/>
      <c r="S39" s="308"/>
      <c r="T39" s="308"/>
      <c r="U39" s="308"/>
      <c r="V39" s="308"/>
      <c r="W39" s="308"/>
      <c r="X39" s="308"/>
      <c r="Y39" s="308"/>
      <c r="Z39" s="308"/>
      <c r="AA39" s="308"/>
      <c r="AB39" s="308"/>
      <c r="AC39" s="308"/>
      <c r="AD39" s="308"/>
      <c r="AE39" s="308"/>
      <c r="AF39" s="308"/>
      <c r="AG39" s="308"/>
    </row>
    <row r="40" spans="1:33" x14ac:dyDescent="0.25">
      <c r="A40" s="308"/>
      <c r="B40" s="308"/>
      <c r="C40" s="308"/>
      <c r="D40" s="308"/>
      <c r="E40" s="308"/>
      <c r="F40" s="308"/>
      <c r="G40" s="308"/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  <c r="U40" s="308"/>
      <c r="V40" s="308"/>
      <c r="W40" s="308"/>
      <c r="X40" s="308"/>
      <c r="Y40" s="308"/>
      <c r="Z40" s="308"/>
      <c r="AA40" s="308"/>
      <c r="AB40" s="308"/>
      <c r="AC40" s="308"/>
      <c r="AD40" s="308"/>
      <c r="AE40" s="308"/>
      <c r="AF40" s="308"/>
      <c r="AG40" s="308"/>
    </row>
    <row r="41" spans="1:33" x14ac:dyDescent="0.25">
      <c r="A41" s="308"/>
      <c r="B41" s="308"/>
      <c r="C41" s="308"/>
      <c r="D41" s="308"/>
      <c r="E41" s="308"/>
      <c r="F41" s="308"/>
      <c r="G41" s="308"/>
      <c r="H41" s="308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  <c r="U41" s="308"/>
      <c r="V41" s="308"/>
      <c r="W41" s="308"/>
      <c r="X41" s="308"/>
      <c r="Y41" s="308"/>
      <c r="Z41" s="308"/>
      <c r="AA41" s="308"/>
      <c r="AB41" s="308"/>
      <c r="AC41" s="308"/>
      <c r="AD41" s="308"/>
      <c r="AE41" s="308"/>
      <c r="AF41" s="308"/>
      <c r="AG41" s="308"/>
    </row>
  </sheetData>
  <mergeCells count="2">
    <mergeCell ref="A1:N1"/>
    <mergeCell ref="A3:J3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N35"/>
  <sheetViews>
    <sheetView workbookViewId="0" zoomScale="100" zoomScaleNormal="100">
      <pane ySplit="3" topLeftCell="A4" activePane="bottomLeft" state="frozen"/>
      <selection pane="bottomLeft" activeCell="M17" sqref="M17"/>
    </sheetView>
  </sheetViews>
  <sheetFormatPr defaultRowHeight="15" outlineLevelRow="0" outlineLevelCol="0" x14ac:dyDescent="0"/>
  <cols>
    <col min="2" max="2" width="10.140625" customWidth="1"/>
    <col min="4" max="4" width="24.85546875" customWidth="1"/>
    <col min="7" max="7" width="8.28515625" customWidth="1"/>
    <col min="12" max="12" width="9.28515625" customWidth="1"/>
    <col min="13" max="13" width="10.42578125" customWidth="1"/>
    <col min="14" max="14" width="12.7109375" customWidth="1"/>
  </cols>
  <sheetData>
    <row r="1" ht="15.75" customHeight="1" spans="1:14" x14ac:dyDescent="0.25">
      <c r="A1" s="325" t="s">
        <v>201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</row>
    <row r="2" ht="25.5" customHeight="1" spans="1:14" x14ac:dyDescent="0.25">
      <c r="A2" s="145" t="s">
        <v>0</v>
      </c>
      <c r="B2" s="146" t="s">
        <v>167</v>
      </c>
      <c r="C2" s="146" t="s">
        <v>168</v>
      </c>
      <c r="D2" s="146" t="s">
        <v>169</v>
      </c>
      <c r="E2" s="146" t="s">
        <v>170</v>
      </c>
      <c r="F2" s="146" t="s">
        <v>171</v>
      </c>
      <c r="G2" s="146" t="s">
        <v>172</v>
      </c>
      <c r="H2" s="146" t="s">
        <v>173</v>
      </c>
      <c r="I2" s="146" t="s">
        <v>171</v>
      </c>
      <c r="J2" s="146" t="s">
        <v>172</v>
      </c>
      <c r="K2" s="146" t="s">
        <v>174</v>
      </c>
      <c r="L2" s="146" t="s">
        <v>175</v>
      </c>
      <c r="M2" s="146" t="s">
        <v>190</v>
      </c>
      <c r="N2" s="146" t="s">
        <v>177</v>
      </c>
    </row>
    <row r="3" spans="1:14" x14ac:dyDescent="0.25">
      <c r="A3" s="282" t="s">
        <v>178</v>
      </c>
      <c r="B3" s="282"/>
      <c r="C3" s="282"/>
      <c r="D3" s="282"/>
      <c r="E3" s="282"/>
      <c r="F3" s="282"/>
      <c r="G3" s="282"/>
      <c r="H3" s="282"/>
      <c r="I3" s="282"/>
      <c r="J3" s="282"/>
      <c r="K3" s="353">
        <v>44770.66</v>
      </c>
      <c r="L3" s="353"/>
      <c r="M3" s="353">
        <v>44770.66</v>
      </c>
      <c r="N3" s="37"/>
    </row>
    <row r="4" spans="1:14" x14ac:dyDescent="0.25">
      <c r="A4" s="115">
        <v>1</v>
      </c>
      <c r="B4" s="116">
        <v>46296</v>
      </c>
      <c r="C4" s="37"/>
      <c r="D4" s="37"/>
      <c r="E4" s="354"/>
      <c r="F4" s="354"/>
      <c r="G4" s="37">
        <f>E4*F4</f>
        <v>0</v>
      </c>
      <c r="H4" s="354"/>
      <c r="I4" s="354"/>
      <c r="J4" s="37">
        <f>H4*I4</f>
        <v>0</v>
      </c>
      <c r="K4" s="37">
        <f>G4+J4</f>
        <v>0</v>
      </c>
      <c r="L4" s="37"/>
      <c r="M4" s="37">
        <f>M3+K4-L4</f>
        <v>44770.66</v>
      </c>
      <c r="N4" s="355"/>
    </row>
    <row r="5" spans="1:14" x14ac:dyDescent="0.25">
      <c r="A5" s="115">
        <v>2</v>
      </c>
      <c r="B5" s="116">
        <v>46297</v>
      </c>
      <c r="C5" s="37"/>
      <c r="D5" s="37"/>
      <c r="E5" s="354"/>
      <c r="F5" s="354"/>
      <c r="G5" s="37">
        <f t="shared" ref="G5:G34" si="0">E5*F5</f>
        <v>0</v>
      </c>
      <c r="H5" s="354"/>
      <c r="I5" s="354"/>
      <c r="J5" s="37">
        <f t="shared" ref="J5" si="1">H5*I5</f>
        <v>0</v>
      </c>
      <c r="K5" s="37">
        <f t="shared" ref="K5" si="2">G5+J5</f>
        <v>0</v>
      </c>
      <c r="L5" s="37"/>
      <c r="M5" s="356">
        <f t="shared" ref="M5:M34" si="3">M4+K5-L5</f>
        <v>44770.66</v>
      </c>
      <c r="N5" s="328"/>
    </row>
    <row r="6" spans="1:14" x14ac:dyDescent="0.25">
      <c r="A6" s="115">
        <v>3</v>
      </c>
      <c r="B6" s="116">
        <v>46298</v>
      </c>
      <c r="C6" s="37"/>
      <c r="D6" s="37"/>
      <c r="E6" s="354">
        <v>300</v>
      </c>
      <c r="F6" s="354">
        <v>100.03</v>
      </c>
      <c r="G6" s="37">
        <f t="shared" si="0"/>
        <v>30009</v>
      </c>
      <c r="H6" s="354">
        <v>20</v>
      </c>
      <c r="I6" s="354">
        <v>112.03</v>
      </c>
      <c r="J6" s="37">
        <f t="shared" ref="J6:J33" si="4">H6*I6</f>
        <v>2240.6</v>
      </c>
      <c r="K6" s="37">
        <f t="shared" ref="K6:K33" si="5">G6+J6</f>
        <v>32249.6</v>
      </c>
      <c r="L6" s="37"/>
      <c r="M6" s="356">
        <f t="shared" si="3"/>
        <v>77020.26000000001</v>
      </c>
      <c r="N6" s="328"/>
    </row>
    <row r="7" spans="1:14" x14ac:dyDescent="0.25">
      <c r="A7" s="115">
        <v>4</v>
      </c>
      <c r="B7" s="116">
        <v>46299</v>
      </c>
      <c r="C7" s="37"/>
      <c r="D7" s="37"/>
      <c r="E7" s="354"/>
      <c r="F7" s="354"/>
      <c r="G7" s="37">
        <f t="shared" si="0"/>
        <v>0</v>
      </c>
      <c r="H7" s="354"/>
      <c r="I7" s="354"/>
      <c r="J7" s="37">
        <f t="shared" si="4"/>
        <v>0</v>
      </c>
      <c r="K7" s="37">
        <f t="shared" si="5"/>
        <v>0</v>
      </c>
      <c r="L7" s="37"/>
      <c r="M7" s="357">
        <f t="shared" si="3"/>
        <v>77020.26000000001</v>
      </c>
      <c r="N7" s="37"/>
    </row>
    <row r="8" spans="1:14" x14ac:dyDescent="0.25">
      <c r="A8" s="115">
        <v>5</v>
      </c>
      <c r="B8" s="116">
        <v>46300</v>
      </c>
      <c r="C8" s="37"/>
      <c r="D8" s="37"/>
      <c r="E8" s="354"/>
      <c r="F8" s="354"/>
      <c r="G8" s="37">
        <f t="shared" si="0"/>
        <v>0</v>
      </c>
      <c r="H8" s="354"/>
      <c r="I8" s="354"/>
      <c r="J8" s="37">
        <f t="shared" si="4"/>
        <v>0</v>
      </c>
      <c r="K8" s="37">
        <f t="shared" si="5"/>
        <v>0</v>
      </c>
      <c r="L8" s="37"/>
      <c r="M8" s="357">
        <f t="shared" si="3"/>
        <v>77020.26000000001</v>
      </c>
      <c r="N8" s="328"/>
    </row>
    <row r="9" spans="1:14" x14ac:dyDescent="0.25">
      <c r="A9" s="115">
        <v>6</v>
      </c>
      <c r="B9" s="116">
        <v>46301</v>
      </c>
      <c r="C9" s="37"/>
      <c r="D9" s="37"/>
      <c r="E9" s="354"/>
      <c r="F9" s="354"/>
      <c r="G9" s="37">
        <f t="shared" si="0"/>
        <v>0</v>
      </c>
      <c r="H9" s="354"/>
      <c r="I9" s="354"/>
      <c r="J9" s="37">
        <f t="shared" si="4"/>
        <v>0</v>
      </c>
      <c r="K9" s="37">
        <f t="shared" si="5"/>
        <v>0</v>
      </c>
      <c r="L9" s="37"/>
      <c r="M9" s="357">
        <f t="shared" si="3"/>
        <v>77020.26000000001</v>
      </c>
      <c r="N9" s="328"/>
    </row>
    <row r="10" spans="1:14" x14ac:dyDescent="0.25">
      <c r="A10" s="115">
        <v>7</v>
      </c>
      <c r="B10" s="116">
        <v>46302</v>
      </c>
      <c r="C10" s="37"/>
      <c r="D10" s="37"/>
      <c r="E10" s="354"/>
      <c r="F10" s="354"/>
      <c r="G10" s="37">
        <f t="shared" si="0"/>
        <v>0</v>
      </c>
      <c r="H10" s="354"/>
      <c r="I10" s="354"/>
      <c r="J10" s="37">
        <f t="shared" si="4"/>
        <v>0</v>
      </c>
      <c r="K10" s="37">
        <f t="shared" si="5"/>
        <v>0</v>
      </c>
      <c r="L10" s="37"/>
      <c r="M10" s="357">
        <f t="shared" si="3"/>
        <v>77020.26000000001</v>
      </c>
      <c r="N10" s="328"/>
    </row>
    <row r="11" spans="1:14" x14ac:dyDescent="0.25">
      <c r="A11" s="115">
        <v>8</v>
      </c>
      <c r="B11" s="116">
        <v>46303</v>
      </c>
      <c r="C11" s="37"/>
      <c r="D11" s="37"/>
      <c r="E11" s="354"/>
      <c r="F11" s="354"/>
      <c r="G11" s="37">
        <f t="shared" si="0"/>
        <v>0</v>
      </c>
      <c r="H11" s="354"/>
      <c r="I11" s="354"/>
      <c r="J11" s="37">
        <f t="shared" si="4"/>
        <v>0</v>
      </c>
      <c r="K11" s="37">
        <f t="shared" si="5"/>
        <v>0</v>
      </c>
      <c r="L11" s="37"/>
      <c r="M11" s="357">
        <f t="shared" si="3"/>
        <v>77020.26000000001</v>
      </c>
      <c r="N11" s="328"/>
    </row>
    <row r="12" spans="1:14" x14ac:dyDescent="0.25">
      <c r="A12" s="115">
        <v>9</v>
      </c>
      <c r="B12" s="116">
        <v>46304</v>
      </c>
      <c r="C12" s="37"/>
      <c r="D12" s="37"/>
      <c r="E12" s="354"/>
      <c r="F12" s="354"/>
      <c r="G12" s="37">
        <f t="shared" si="0"/>
        <v>0</v>
      </c>
      <c r="H12" s="354"/>
      <c r="I12" s="354"/>
      <c r="J12" s="37">
        <f t="shared" si="4"/>
        <v>0</v>
      </c>
      <c r="K12" s="37">
        <f t="shared" si="5"/>
        <v>0</v>
      </c>
      <c r="L12" s="37"/>
      <c r="M12" s="118">
        <f t="shared" si="3"/>
        <v>77020.26000000001</v>
      </c>
      <c r="N12" s="74"/>
    </row>
    <row r="13" spans="1:14" x14ac:dyDescent="0.25">
      <c r="A13" s="115">
        <v>10</v>
      </c>
      <c r="B13" s="116">
        <v>46305</v>
      </c>
      <c r="C13" s="37"/>
      <c r="D13" s="37"/>
      <c r="E13" s="354"/>
      <c r="F13" s="354"/>
      <c r="G13" s="37">
        <f t="shared" si="0"/>
        <v>0</v>
      </c>
      <c r="H13" s="354"/>
      <c r="I13" s="354"/>
      <c r="J13" s="37">
        <f t="shared" si="4"/>
        <v>0</v>
      </c>
      <c r="K13" s="37">
        <f t="shared" si="5"/>
        <v>0</v>
      </c>
      <c r="L13" s="37"/>
      <c r="M13" s="118">
        <f t="shared" si="3"/>
        <v>77020.26000000001</v>
      </c>
      <c r="N13" s="328"/>
    </row>
    <row r="14" spans="1:14" x14ac:dyDescent="0.25">
      <c r="A14" s="115">
        <v>11</v>
      </c>
      <c r="B14" s="116">
        <v>46306</v>
      </c>
      <c r="C14" s="37"/>
      <c r="D14" s="37"/>
      <c r="E14" s="354"/>
      <c r="F14" s="354"/>
      <c r="G14" s="37">
        <f t="shared" si="0"/>
        <v>0</v>
      </c>
      <c r="H14" s="354"/>
      <c r="I14" s="354"/>
      <c r="J14" s="37">
        <f t="shared" si="4"/>
        <v>0</v>
      </c>
      <c r="K14" s="37">
        <f t="shared" si="5"/>
        <v>0</v>
      </c>
      <c r="L14" s="37"/>
      <c r="M14" s="118">
        <f t="shared" si="3"/>
        <v>77020.26000000001</v>
      </c>
      <c r="N14" s="328"/>
    </row>
    <row r="15" spans="1:14" x14ac:dyDescent="0.25">
      <c r="A15" s="115">
        <v>12</v>
      </c>
      <c r="B15" s="116">
        <v>46307</v>
      </c>
      <c r="C15" s="37"/>
      <c r="D15" s="37"/>
      <c r="E15" s="354"/>
      <c r="F15" s="354"/>
      <c r="G15" s="37">
        <f t="shared" si="0"/>
        <v>0</v>
      </c>
      <c r="H15" s="354"/>
      <c r="I15" s="354"/>
      <c r="J15" s="37">
        <f t="shared" si="4"/>
        <v>0</v>
      </c>
      <c r="K15" s="37">
        <f t="shared" si="5"/>
        <v>0</v>
      </c>
      <c r="L15" s="37"/>
      <c r="M15" s="118">
        <f t="shared" si="3"/>
        <v>77020.26000000001</v>
      </c>
      <c r="N15" s="328"/>
    </row>
    <row r="16" spans="1:14" x14ac:dyDescent="0.25">
      <c r="A16" s="115">
        <v>13</v>
      </c>
      <c r="B16" s="116">
        <v>46308</v>
      </c>
      <c r="C16" s="37"/>
      <c r="D16" s="37"/>
      <c r="E16" s="354"/>
      <c r="F16" s="354"/>
      <c r="G16" s="37">
        <f t="shared" si="0"/>
        <v>0</v>
      </c>
      <c r="H16" s="354"/>
      <c r="I16" s="354"/>
      <c r="J16" s="37">
        <f t="shared" si="4"/>
        <v>0</v>
      </c>
      <c r="K16" s="37">
        <f t="shared" si="5"/>
        <v>0</v>
      </c>
      <c r="L16" s="37"/>
      <c r="M16" s="118">
        <f t="shared" si="3"/>
        <v>77020.26000000001</v>
      </c>
      <c r="N16" s="328"/>
    </row>
    <row r="17" spans="1:14" x14ac:dyDescent="0.25">
      <c r="A17" s="115">
        <v>14</v>
      </c>
      <c r="B17" s="116">
        <v>46309</v>
      </c>
      <c r="C17" s="37"/>
      <c r="D17" s="37"/>
      <c r="E17" s="354">
        <v>200</v>
      </c>
      <c r="F17" s="354">
        <v>100.03</v>
      </c>
      <c r="G17" s="37">
        <f t="shared" si="0"/>
        <v>20006</v>
      </c>
      <c r="H17" s="354">
        <v>20</v>
      </c>
      <c r="I17" s="354">
        <v>112.03</v>
      </c>
      <c r="J17" s="37">
        <f t="shared" si="4"/>
        <v>2240.6</v>
      </c>
      <c r="K17" s="37">
        <f t="shared" si="5"/>
        <v>22246.6</v>
      </c>
      <c r="L17" s="37"/>
      <c r="M17" s="118">
        <f t="shared" si="3"/>
        <v>99266.86000000002</v>
      </c>
      <c r="N17" s="328"/>
    </row>
    <row r="18" spans="1:14" x14ac:dyDescent="0.25">
      <c r="A18" s="115">
        <v>15</v>
      </c>
      <c r="B18" s="116">
        <v>46310</v>
      </c>
      <c r="C18" s="37"/>
      <c r="D18" s="37"/>
      <c r="E18" s="354"/>
      <c r="F18" s="354"/>
      <c r="G18" s="37">
        <f t="shared" si="0"/>
        <v>0</v>
      </c>
      <c r="H18" s="354"/>
      <c r="I18" s="354"/>
      <c r="J18" s="37">
        <f t="shared" si="4"/>
        <v>0</v>
      </c>
      <c r="K18" s="37">
        <f t="shared" si="5"/>
        <v>0</v>
      </c>
      <c r="L18" s="37"/>
      <c r="M18" s="118">
        <f t="shared" si="3"/>
        <v>99266.86000000002</v>
      </c>
      <c r="N18" s="328"/>
    </row>
    <row r="19" spans="1:14" x14ac:dyDescent="0.25">
      <c r="A19" s="115">
        <v>16</v>
      </c>
      <c r="B19" s="116">
        <v>46311</v>
      </c>
      <c r="C19" s="37"/>
      <c r="D19" s="37"/>
      <c r="E19" s="354"/>
      <c r="F19" s="354"/>
      <c r="G19" s="37">
        <f t="shared" si="0"/>
        <v>0</v>
      </c>
      <c r="H19" s="354"/>
      <c r="I19" s="354"/>
      <c r="J19" s="37">
        <f t="shared" si="4"/>
        <v>0</v>
      </c>
      <c r="K19" s="37">
        <f t="shared" si="5"/>
        <v>0</v>
      </c>
      <c r="L19" s="37"/>
      <c r="M19" s="118">
        <f t="shared" si="3"/>
        <v>99266.86000000002</v>
      </c>
      <c r="N19" s="328"/>
    </row>
    <row r="20" spans="1:14" x14ac:dyDescent="0.25">
      <c r="A20" s="115">
        <v>17</v>
      </c>
      <c r="B20" s="116">
        <v>46312</v>
      </c>
      <c r="C20" s="37"/>
      <c r="D20" s="37"/>
      <c r="E20" s="354"/>
      <c r="F20" s="354"/>
      <c r="G20" s="37">
        <f t="shared" si="0"/>
        <v>0</v>
      </c>
      <c r="H20" s="354"/>
      <c r="I20" s="354"/>
      <c r="J20" s="37">
        <f t="shared" si="4"/>
        <v>0</v>
      </c>
      <c r="K20" s="37">
        <f t="shared" si="5"/>
        <v>0</v>
      </c>
      <c r="L20" s="37"/>
      <c r="M20" s="118">
        <f t="shared" si="3"/>
        <v>99266.86000000002</v>
      </c>
      <c r="N20" s="328"/>
    </row>
    <row r="21" spans="1:14" x14ac:dyDescent="0.25">
      <c r="A21" s="115">
        <v>18</v>
      </c>
      <c r="B21" s="116">
        <v>46313</v>
      </c>
      <c r="C21" s="37"/>
      <c r="D21" s="37"/>
      <c r="E21" s="354"/>
      <c r="F21" s="354"/>
      <c r="G21" s="37">
        <f t="shared" si="0"/>
        <v>0</v>
      </c>
      <c r="H21" s="354"/>
      <c r="I21" s="354"/>
      <c r="J21" s="37">
        <f t="shared" si="4"/>
        <v>0</v>
      </c>
      <c r="K21" s="37">
        <f t="shared" si="5"/>
        <v>0</v>
      </c>
      <c r="L21" s="37"/>
      <c r="M21" s="118">
        <f t="shared" si="3"/>
        <v>99266.86000000002</v>
      </c>
      <c r="N21" s="328"/>
    </row>
    <row r="22" spans="1:14" x14ac:dyDescent="0.25">
      <c r="A22" s="115">
        <v>19</v>
      </c>
      <c r="B22" s="116">
        <v>46314</v>
      </c>
      <c r="C22" s="37"/>
      <c r="D22" s="37"/>
      <c r="E22" s="354"/>
      <c r="F22" s="354"/>
      <c r="G22" s="37">
        <f t="shared" si="0"/>
        <v>0</v>
      </c>
      <c r="H22" s="354"/>
      <c r="I22" s="354"/>
      <c r="J22" s="37">
        <f t="shared" si="4"/>
        <v>0</v>
      </c>
      <c r="K22" s="37">
        <f t="shared" si="5"/>
        <v>0</v>
      </c>
      <c r="L22" s="37"/>
      <c r="M22" s="118">
        <f t="shared" si="3"/>
        <v>99266.86000000002</v>
      </c>
      <c r="N22" s="328"/>
    </row>
    <row r="23" spans="1:14" x14ac:dyDescent="0.25">
      <c r="A23" s="115">
        <v>20</v>
      </c>
      <c r="B23" s="116">
        <v>46315</v>
      </c>
      <c r="C23" s="37"/>
      <c r="D23" s="37"/>
      <c r="E23" s="354"/>
      <c r="F23" s="354"/>
      <c r="G23" s="37">
        <f t="shared" si="0"/>
        <v>0</v>
      </c>
      <c r="H23" s="354"/>
      <c r="I23" s="354"/>
      <c r="J23" s="37">
        <f t="shared" si="4"/>
        <v>0</v>
      </c>
      <c r="K23" s="37">
        <f t="shared" si="5"/>
        <v>0</v>
      </c>
      <c r="L23" s="37"/>
      <c r="M23" s="118">
        <f t="shared" si="3"/>
        <v>99266.86000000002</v>
      </c>
      <c r="N23" s="328"/>
    </row>
    <row r="24" spans="1:14" x14ac:dyDescent="0.25">
      <c r="A24" s="115">
        <v>21</v>
      </c>
      <c r="B24" s="116">
        <v>46316</v>
      </c>
      <c r="C24" s="37"/>
      <c r="D24" s="37"/>
      <c r="E24" s="354"/>
      <c r="F24" s="354"/>
      <c r="G24" s="37">
        <f t="shared" si="0"/>
        <v>0</v>
      </c>
      <c r="H24" s="354"/>
      <c r="I24" s="354"/>
      <c r="J24" s="37">
        <f t="shared" si="4"/>
        <v>0</v>
      </c>
      <c r="K24" s="37">
        <f t="shared" si="5"/>
        <v>0</v>
      </c>
      <c r="L24" s="37"/>
      <c r="M24" s="118">
        <f t="shared" si="3"/>
        <v>99266.86000000002</v>
      </c>
      <c r="N24" s="328"/>
    </row>
    <row r="25" spans="1:14" x14ac:dyDescent="0.25">
      <c r="A25" s="115">
        <v>22</v>
      </c>
      <c r="B25" s="116">
        <v>46317</v>
      </c>
      <c r="C25" s="37"/>
      <c r="D25" s="37"/>
      <c r="E25" s="354"/>
      <c r="F25" s="354"/>
      <c r="G25" s="37">
        <f t="shared" si="0"/>
        <v>0</v>
      </c>
      <c r="H25" s="354"/>
      <c r="I25" s="354"/>
      <c r="J25" s="37">
        <f t="shared" si="4"/>
        <v>0</v>
      </c>
      <c r="K25" s="37">
        <f t="shared" si="5"/>
        <v>0</v>
      </c>
      <c r="L25" s="37"/>
      <c r="M25" s="118">
        <f>M24+K25-L25</f>
        <v>99266.86000000002</v>
      </c>
      <c r="N25" s="328"/>
    </row>
    <row r="26" spans="1:14" x14ac:dyDescent="0.25">
      <c r="A26" s="115">
        <v>23</v>
      </c>
      <c r="B26" s="116">
        <v>46318</v>
      </c>
      <c r="C26" s="37"/>
      <c r="D26" s="37"/>
      <c r="E26" s="354"/>
      <c r="F26" s="354"/>
      <c r="G26" s="37">
        <f t="shared" si="0"/>
        <v>0</v>
      </c>
      <c r="H26" s="354"/>
      <c r="I26" s="354"/>
      <c r="J26" s="37">
        <f t="shared" si="4"/>
        <v>0</v>
      </c>
      <c r="K26" s="37">
        <f t="shared" si="5"/>
        <v>0</v>
      </c>
      <c r="L26" s="37"/>
      <c r="M26" s="118">
        <f t="shared" si="3"/>
        <v>99266.86000000002</v>
      </c>
      <c r="N26" s="328"/>
    </row>
    <row r="27" spans="1:14" x14ac:dyDescent="0.25">
      <c r="A27" s="115">
        <v>24</v>
      </c>
      <c r="B27" s="116">
        <v>46319</v>
      </c>
      <c r="C27" s="37"/>
      <c r="D27" s="37"/>
      <c r="E27" s="354"/>
      <c r="F27" s="354"/>
      <c r="G27" s="37">
        <f t="shared" si="0"/>
        <v>0</v>
      </c>
      <c r="H27" s="354"/>
      <c r="I27" s="354"/>
      <c r="J27" s="37">
        <f t="shared" si="4"/>
        <v>0</v>
      </c>
      <c r="K27" s="37">
        <f t="shared" si="5"/>
        <v>0</v>
      </c>
      <c r="L27" s="37"/>
      <c r="M27" s="118">
        <f t="shared" si="3"/>
        <v>99266.86000000002</v>
      </c>
      <c r="N27" s="328"/>
    </row>
    <row r="28" spans="1:14" x14ac:dyDescent="0.25">
      <c r="A28" s="115">
        <v>25</v>
      </c>
      <c r="B28" s="116">
        <v>46320</v>
      </c>
      <c r="C28" s="37"/>
      <c r="D28" s="37"/>
      <c r="E28" s="354"/>
      <c r="F28" s="354"/>
      <c r="G28" s="37">
        <f t="shared" si="0"/>
        <v>0</v>
      </c>
      <c r="H28" s="354"/>
      <c r="I28" s="354"/>
      <c r="J28" s="37">
        <f t="shared" si="4"/>
        <v>0</v>
      </c>
      <c r="K28" s="37">
        <f t="shared" si="5"/>
        <v>0</v>
      </c>
      <c r="L28" s="37"/>
      <c r="M28" s="118">
        <f t="shared" si="3"/>
        <v>99266.86000000002</v>
      </c>
      <c r="N28" s="328"/>
    </row>
    <row r="29" spans="1:14" x14ac:dyDescent="0.25">
      <c r="A29" s="115">
        <v>26</v>
      </c>
      <c r="B29" s="116">
        <v>46321</v>
      </c>
      <c r="C29" s="37"/>
      <c r="D29" s="37"/>
      <c r="E29" s="354"/>
      <c r="F29" s="354"/>
      <c r="G29" s="37">
        <f t="shared" si="0"/>
        <v>0</v>
      </c>
      <c r="H29" s="354"/>
      <c r="I29" s="354"/>
      <c r="J29" s="37">
        <f t="shared" si="4"/>
        <v>0</v>
      </c>
      <c r="K29" s="37">
        <f t="shared" si="5"/>
        <v>0</v>
      </c>
      <c r="L29" s="37"/>
      <c r="M29" s="118">
        <f t="shared" si="3"/>
        <v>99266.86000000002</v>
      </c>
      <c r="N29" s="328"/>
    </row>
    <row r="30" spans="1:14" x14ac:dyDescent="0.25">
      <c r="A30" s="115">
        <v>27</v>
      </c>
      <c r="B30" s="116">
        <v>46322</v>
      </c>
      <c r="C30" s="37"/>
      <c r="D30" s="37"/>
      <c r="E30" s="354"/>
      <c r="F30" s="354"/>
      <c r="G30" s="37">
        <f t="shared" si="0"/>
        <v>0</v>
      </c>
      <c r="H30" s="354"/>
      <c r="I30" s="354"/>
      <c r="J30" s="37">
        <f t="shared" si="4"/>
        <v>0</v>
      </c>
      <c r="K30" s="37">
        <f t="shared" si="5"/>
        <v>0</v>
      </c>
      <c r="L30" s="37"/>
      <c r="M30" s="118">
        <f t="shared" si="3"/>
        <v>99266.86000000002</v>
      </c>
      <c r="N30" s="328"/>
    </row>
    <row r="31" spans="1:14" x14ac:dyDescent="0.25">
      <c r="A31" s="115">
        <v>28</v>
      </c>
      <c r="B31" s="116">
        <v>46323</v>
      </c>
      <c r="C31" s="37"/>
      <c r="D31" s="37"/>
      <c r="E31" s="354"/>
      <c r="F31" s="354"/>
      <c r="G31" s="37">
        <f t="shared" si="0"/>
        <v>0</v>
      </c>
      <c r="H31" s="354"/>
      <c r="I31" s="354"/>
      <c r="J31" s="37">
        <f t="shared" si="4"/>
        <v>0</v>
      </c>
      <c r="K31" s="37">
        <f t="shared" si="5"/>
        <v>0</v>
      </c>
      <c r="L31" s="37"/>
      <c r="M31" s="118">
        <f t="shared" si="3"/>
        <v>99266.86000000002</v>
      </c>
      <c r="N31" s="328"/>
    </row>
    <row r="32" spans="1:14" x14ac:dyDescent="0.25">
      <c r="A32" s="115">
        <v>29</v>
      </c>
      <c r="B32" s="116">
        <v>46324</v>
      </c>
      <c r="C32" s="37"/>
      <c r="D32" s="37"/>
      <c r="E32" s="354"/>
      <c r="F32" s="354"/>
      <c r="G32" s="37">
        <f t="shared" si="0"/>
        <v>0</v>
      </c>
      <c r="H32" s="354"/>
      <c r="I32" s="354"/>
      <c r="J32" s="37">
        <f t="shared" si="4"/>
        <v>0</v>
      </c>
      <c r="K32" s="37">
        <f t="shared" si="5"/>
        <v>0</v>
      </c>
      <c r="L32" s="37"/>
      <c r="M32" s="118">
        <f t="shared" si="3"/>
        <v>99266.86000000002</v>
      </c>
      <c r="N32" s="328"/>
    </row>
    <row r="33" spans="1:14" x14ac:dyDescent="0.25">
      <c r="A33" s="115">
        <v>30</v>
      </c>
      <c r="B33" s="116">
        <v>46325</v>
      </c>
      <c r="C33" s="37"/>
      <c r="D33" s="37"/>
      <c r="E33" s="354"/>
      <c r="F33" s="354"/>
      <c r="G33" s="37">
        <f t="shared" si="0"/>
        <v>0</v>
      </c>
      <c r="H33" s="354"/>
      <c r="I33" s="354"/>
      <c r="J33" s="37">
        <f t="shared" si="4"/>
        <v>0</v>
      </c>
      <c r="K33" s="37">
        <f t="shared" si="5"/>
        <v>0</v>
      </c>
      <c r="L33" s="37"/>
      <c r="M33" s="118">
        <f t="shared" si="3"/>
        <v>99266.86000000002</v>
      </c>
      <c r="N33" s="328"/>
    </row>
    <row r="34" spans="1:14" x14ac:dyDescent="0.25">
      <c r="A34" s="115">
        <v>31</v>
      </c>
      <c r="B34" s="116">
        <v>46326</v>
      </c>
      <c r="C34" s="37"/>
      <c r="D34" s="37"/>
      <c r="E34" s="354"/>
      <c r="F34" s="354"/>
      <c r="G34" s="37">
        <f t="shared" si="0"/>
        <v>0</v>
      </c>
      <c r="H34" s="354"/>
      <c r="I34" s="354"/>
      <c r="J34" s="37"/>
      <c r="K34" s="37">
        <f>G34+J34</f>
        <v>0</v>
      </c>
      <c r="L34" s="37"/>
      <c r="M34" s="118">
        <f>M33+K34-L34</f>
        <v>99266.86000000002</v>
      </c>
      <c r="N34" s="328"/>
    </row>
    <row r="35" spans="1:14" x14ac:dyDescent="0.25">
      <c r="A35" s="121"/>
      <c r="B35" s="121"/>
      <c r="C35" s="121"/>
      <c r="D35" s="121"/>
      <c r="E35" s="121">
        <f>SUM(E4:E34)</f>
        <v>500</v>
      </c>
      <c r="F35" s="121"/>
      <c r="G35" s="121">
        <f>SUM(G4:G34)</f>
        <v>50015</v>
      </c>
      <c r="H35" s="121">
        <f>SUM(H4:H34)</f>
        <v>40</v>
      </c>
      <c r="I35" s="121"/>
      <c r="J35" s="121">
        <f>SUM(J4:J34)</f>
        <v>4481.2</v>
      </c>
      <c r="K35" s="121">
        <f>SUM(K4:K34)</f>
        <v>54496.2</v>
      </c>
      <c r="L35" s="121">
        <f>SUM(L4:L34)</f>
        <v>0</v>
      </c>
      <c r="M35" s="121"/>
      <c r="N35" s="121"/>
    </row>
  </sheetData>
  <mergeCells count="2">
    <mergeCell ref="A1:N1"/>
    <mergeCell ref="A3:J3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"/>
  </sheetPr>
  <dimension ref="A1:N68"/>
  <sheetViews>
    <sheetView workbookViewId="0" zoomScale="100" zoomScaleNormal="100">
      <pane ySplit="3" topLeftCell="A4" activePane="bottomLeft" state="frozen"/>
      <selection pane="bottomLeft" activeCell="K81" sqref="K81"/>
    </sheetView>
  </sheetViews>
  <sheetFormatPr defaultRowHeight="15" outlineLevelRow="0" outlineLevelCol="0" x14ac:dyDescent="0" defaultColWidth="18.28515625"/>
  <cols>
    <col min="1" max="1" width="13.42578125" customWidth="1"/>
    <col min="2" max="2" width="12.28515625" customWidth="1"/>
    <col min="3" max="3" width="49" customWidth="1"/>
    <col min="4" max="4" width="27.7109375" customWidth="1"/>
    <col min="5" max="5" width="11.5703125" customWidth="1"/>
    <col min="6" max="6" width="11.140625" customWidth="1"/>
    <col min="7" max="7" width="11.28515625" customWidth="1"/>
    <col min="8" max="8" width="10" customWidth="1"/>
    <col min="10" max="10" width="16.5703125" customWidth="1"/>
  </cols>
  <sheetData>
    <row r="1" ht="15.75" customHeight="1" spans="1:14" x14ac:dyDescent="0.25">
      <c r="A1" s="172"/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</row>
    <row r="2" ht="30.75" customHeight="1" spans="1:14" x14ac:dyDescent="0.25">
      <c r="A2" s="173" t="s">
        <v>0</v>
      </c>
      <c r="B2" s="174" t="s">
        <v>167</v>
      </c>
      <c r="C2" s="174" t="s">
        <v>168</v>
      </c>
      <c r="D2" s="174" t="s">
        <v>189</v>
      </c>
      <c r="E2" s="175" t="s">
        <v>170</v>
      </c>
      <c r="F2" s="175" t="s">
        <v>171</v>
      </c>
      <c r="G2" s="174" t="s">
        <v>172</v>
      </c>
      <c r="H2" s="174" t="s">
        <v>173</v>
      </c>
      <c r="I2" s="174" t="s">
        <v>171</v>
      </c>
      <c r="J2" s="176" t="s">
        <v>172</v>
      </c>
      <c r="K2" s="177" t="s">
        <v>174</v>
      </c>
      <c r="L2" s="178" t="s">
        <v>175</v>
      </c>
      <c r="M2" s="179" t="s">
        <v>190</v>
      </c>
      <c r="N2" s="180" t="s">
        <v>177</v>
      </c>
    </row>
    <row r="3" spans="1:14" x14ac:dyDescent="0.25">
      <c r="A3" s="148" t="s">
        <v>178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215"/>
      <c r="M3" s="216"/>
      <c r="N3" s="217"/>
    </row>
    <row r="4" spans="1:14" x14ac:dyDescent="0.25">
      <c r="A4" s="193">
        <v>1</v>
      </c>
      <c r="B4" s="218"/>
      <c r="C4" s="219"/>
      <c r="D4" s="220"/>
      <c r="E4" s="221"/>
      <c r="F4" s="221"/>
      <c r="G4" s="222">
        <f>E4*F4</f>
        <v>0</v>
      </c>
      <c r="H4" s="223"/>
      <c r="I4" s="223"/>
      <c r="J4" s="222">
        <f>H4*I4</f>
        <v>0</v>
      </c>
      <c r="K4" s="224">
        <f>G4+J4</f>
        <v>0</v>
      </c>
      <c r="L4" s="222">
        <f>+K4</f>
        <v>0</v>
      </c>
      <c r="M4" s="224"/>
      <c r="N4" s="225"/>
    </row>
    <row r="5" spans="1:14" x14ac:dyDescent="0.25">
      <c r="A5" s="191">
        <v>2</v>
      </c>
      <c r="B5" s="218"/>
      <c r="C5" s="219"/>
      <c r="D5" s="220"/>
      <c r="E5" s="221"/>
      <c r="F5" s="221"/>
      <c r="G5" s="222">
        <f t="shared" ref="G5:G30" si="0">E5*F5</f>
        <v>0</v>
      </c>
      <c r="H5" s="223"/>
      <c r="I5" s="223"/>
      <c r="J5" s="222">
        <f t="shared" ref="J5:J66" si="1">H5*I5</f>
        <v>0</v>
      </c>
      <c r="K5" s="224">
        <f t="shared" ref="K5:K35" si="2">G5+J5</f>
        <v>0</v>
      </c>
      <c r="L5" s="222">
        <f>+K5</f>
        <v>0</v>
      </c>
      <c r="M5" s="224"/>
      <c r="N5" s="225"/>
    </row>
    <row r="6" spans="1:14" x14ac:dyDescent="0.25">
      <c r="A6" s="191">
        <v>3</v>
      </c>
      <c r="B6" s="218"/>
      <c r="C6" s="219"/>
      <c r="D6" s="220"/>
      <c r="E6" s="221"/>
      <c r="F6" s="221"/>
      <c r="G6" s="222">
        <f t="shared" si="0"/>
        <v>0</v>
      </c>
      <c r="H6" s="223"/>
      <c r="I6" s="223"/>
      <c r="J6" s="222">
        <f t="shared" si="1"/>
        <v>0</v>
      </c>
      <c r="K6" s="224">
        <f t="shared" si="2"/>
        <v>0</v>
      </c>
      <c r="L6" s="222">
        <f t="shared" ref="L5:L49" si="3">+K6</f>
        <v>0</v>
      </c>
      <c r="M6" s="224"/>
      <c r="N6" s="225"/>
    </row>
    <row r="7" spans="1:14" x14ac:dyDescent="0.25">
      <c r="A7" s="193">
        <v>4</v>
      </c>
      <c r="B7" s="218"/>
      <c r="C7" s="226"/>
      <c r="D7" s="220"/>
      <c r="E7" s="221"/>
      <c r="F7" s="223"/>
      <c r="G7" s="222">
        <f t="shared" si="0"/>
        <v>0</v>
      </c>
      <c r="H7" s="223"/>
      <c r="I7" s="223"/>
      <c r="J7" s="222">
        <f t="shared" si="1"/>
        <v>0</v>
      </c>
      <c r="K7" s="224">
        <f t="shared" si="2"/>
        <v>0</v>
      </c>
      <c r="L7" s="222">
        <f t="shared" si="3"/>
        <v>0</v>
      </c>
      <c r="M7" s="224"/>
      <c r="N7" s="225"/>
    </row>
    <row r="8" spans="1:14" x14ac:dyDescent="0.25">
      <c r="A8" s="191">
        <v>5</v>
      </c>
      <c r="B8" s="218"/>
      <c r="C8" s="219"/>
      <c r="D8" s="220"/>
      <c r="E8" s="221"/>
      <c r="F8" s="223"/>
      <c r="G8" s="222">
        <f t="shared" si="0"/>
        <v>0</v>
      </c>
      <c r="H8" s="223"/>
      <c r="I8" s="223"/>
      <c r="J8" s="222">
        <f t="shared" si="1"/>
        <v>0</v>
      </c>
      <c r="K8" s="224">
        <f t="shared" si="2"/>
        <v>0</v>
      </c>
      <c r="L8" s="222">
        <f t="shared" si="3"/>
        <v>0</v>
      </c>
      <c r="M8" s="224"/>
      <c r="N8" s="225"/>
    </row>
    <row r="9" spans="1:14" x14ac:dyDescent="0.25">
      <c r="A9" s="191">
        <v>6</v>
      </c>
      <c r="B9" s="218"/>
      <c r="C9" s="219"/>
      <c r="D9" s="220"/>
      <c r="E9" s="221"/>
      <c r="F9" s="223"/>
      <c r="G9" s="222">
        <f t="shared" si="0"/>
        <v>0</v>
      </c>
      <c r="H9" s="223"/>
      <c r="I9" s="223"/>
      <c r="J9" s="222">
        <f t="shared" si="1"/>
        <v>0</v>
      </c>
      <c r="K9" s="224">
        <f t="shared" si="2"/>
        <v>0</v>
      </c>
      <c r="L9" s="222">
        <f t="shared" si="3"/>
        <v>0</v>
      </c>
      <c r="M9" s="224"/>
      <c r="N9" s="225"/>
    </row>
    <row r="10" spans="1:14" x14ac:dyDescent="0.25">
      <c r="A10" s="193">
        <v>7</v>
      </c>
      <c r="B10" s="218"/>
      <c r="C10" s="219"/>
      <c r="D10" s="220"/>
      <c r="E10" s="221"/>
      <c r="F10" s="221"/>
      <c r="G10" s="222">
        <f t="shared" si="0"/>
        <v>0</v>
      </c>
      <c r="H10" s="223"/>
      <c r="I10" s="223"/>
      <c r="J10" s="222">
        <f t="shared" si="1"/>
        <v>0</v>
      </c>
      <c r="K10" s="224">
        <f t="shared" si="2"/>
        <v>0</v>
      </c>
      <c r="L10" s="222">
        <f t="shared" si="3"/>
        <v>0</v>
      </c>
      <c r="M10" s="224"/>
      <c r="N10" s="225"/>
    </row>
    <row r="11" spans="1:14" x14ac:dyDescent="0.25">
      <c r="A11" s="191">
        <v>8</v>
      </c>
      <c r="B11" s="218"/>
      <c r="C11" s="227"/>
      <c r="D11" s="220"/>
      <c r="E11" s="228"/>
      <c r="F11" s="223"/>
      <c r="G11" s="222">
        <f t="shared" si="0"/>
        <v>0</v>
      </c>
      <c r="H11" s="229"/>
      <c r="I11" s="229"/>
      <c r="J11" s="222">
        <f t="shared" si="1"/>
        <v>0</v>
      </c>
      <c r="K11" s="230">
        <f t="shared" si="2"/>
        <v>0</v>
      </c>
      <c r="L11" s="222">
        <f t="shared" si="3"/>
        <v>0</v>
      </c>
      <c r="M11" s="230"/>
      <c r="N11" s="231"/>
    </row>
    <row r="12" spans="1:14" x14ac:dyDescent="0.25">
      <c r="A12" s="191">
        <v>9</v>
      </c>
      <c r="B12" s="218"/>
      <c r="C12" s="219"/>
      <c r="D12" s="220"/>
      <c r="E12" s="228"/>
      <c r="F12" s="228"/>
      <c r="G12" s="222">
        <f t="shared" si="0"/>
        <v>0</v>
      </c>
      <c r="H12" s="229"/>
      <c r="I12" s="223"/>
      <c r="J12" s="222">
        <f t="shared" si="1"/>
        <v>0</v>
      </c>
      <c r="K12" s="230">
        <f t="shared" si="2"/>
        <v>0</v>
      </c>
      <c r="L12" s="222">
        <f t="shared" si="3"/>
        <v>0</v>
      </c>
      <c r="M12" s="230"/>
      <c r="N12" s="231"/>
    </row>
    <row r="13" spans="1:14" x14ac:dyDescent="0.25">
      <c r="A13" s="193">
        <v>10</v>
      </c>
      <c r="B13" s="218"/>
      <c r="C13" s="219"/>
      <c r="D13" s="220"/>
      <c r="E13" s="221"/>
      <c r="F13" s="223"/>
      <c r="G13" s="222">
        <f t="shared" si="0"/>
        <v>0</v>
      </c>
      <c r="H13" s="229"/>
      <c r="I13" s="229"/>
      <c r="J13" s="222">
        <f t="shared" si="1"/>
        <v>0</v>
      </c>
      <c r="K13" s="230">
        <f t="shared" si="2"/>
        <v>0</v>
      </c>
      <c r="L13" s="222">
        <f t="shared" si="3"/>
        <v>0</v>
      </c>
      <c r="M13" s="230"/>
      <c r="N13" s="231"/>
    </row>
    <row r="14" spans="1:14" x14ac:dyDescent="0.25">
      <c r="A14" s="191">
        <v>11</v>
      </c>
      <c r="B14" s="218"/>
      <c r="C14" s="226"/>
      <c r="D14" s="220"/>
      <c r="E14" s="221"/>
      <c r="F14" s="223"/>
      <c r="G14" s="222">
        <f t="shared" si="0"/>
        <v>0</v>
      </c>
      <c r="H14" s="229"/>
      <c r="I14" s="229"/>
      <c r="J14" s="222">
        <f t="shared" si="1"/>
        <v>0</v>
      </c>
      <c r="K14" s="230">
        <f t="shared" si="2"/>
        <v>0</v>
      </c>
      <c r="L14" s="222">
        <f t="shared" si="3"/>
        <v>0</v>
      </c>
      <c r="M14" s="230"/>
      <c r="N14" s="231"/>
    </row>
    <row r="15" spans="1:14" x14ac:dyDescent="0.25">
      <c r="A15" s="191">
        <v>12</v>
      </c>
      <c r="B15" s="232"/>
      <c r="C15" s="219"/>
      <c r="D15" s="220"/>
      <c r="E15" s="221"/>
      <c r="F15" s="223"/>
      <c r="G15" s="222">
        <f t="shared" si="0"/>
        <v>0</v>
      </c>
      <c r="H15" s="223"/>
      <c r="I15" s="223"/>
      <c r="J15" s="222">
        <f t="shared" si="1"/>
        <v>0</v>
      </c>
      <c r="K15" s="230">
        <f t="shared" si="2"/>
        <v>0</v>
      </c>
      <c r="L15" s="222">
        <f t="shared" si="3"/>
        <v>0</v>
      </c>
      <c r="M15" s="230"/>
      <c r="N15" s="231"/>
    </row>
    <row r="16" spans="1:14" x14ac:dyDescent="0.25">
      <c r="A16" s="193">
        <v>13</v>
      </c>
      <c r="B16" s="232"/>
      <c r="C16" s="226"/>
      <c r="D16" s="220"/>
      <c r="E16" s="221"/>
      <c r="F16" s="228"/>
      <c r="G16" s="222">
        <f t="shared" si="0"/>
        <v>0</v>
      </c>
      <c r="H16" s="223"/>
      <c r="I16" s="223"/>
      <c r="J16" s="222">
        <f t="shared" si="1"/>
        <v>0</v>
      </c>
      <c r="K16" s="230">
        <f t="shared" si="2"/>
        <v>0</v>
      </c>
      <c r="L16" s="222">
        <f t="shared" si="3"/>
        <v>0</v>
      </c>
      <c r="M16" s="230"/>
      <c r="N16" s="231"/>
    </row>
    <row r="17" spans="1:14" x14ac:dyDescent="0.25">
      <c r="A17" s="191">
        <v>14</v>
      </c>
      <c r="B17" s="232"/>
      <c r="C17" s="226"/>
      <c r="D17" s="220"/>
      <c r="E17" s="221"/>
      <c r="F17" s="228"/>
      <c r="G17" s="222">
        <f t="shared" si="0"/>
        <v>0</v>
      </c>
      <c r="H17" s="223"/>
      <c r="I17" s="223"/>
      <c r="J17" s="222">
        <f t="shared" si="1"/>
        <v>0</v>
      </c>
      <c r="K17" s="230">
        <f t="shared" si="2"/>
        <v>0</v>
      </c>
      <c r="L17" s="222">
        <f t="shared" si="3"/>
        <v>0</v>
      </c>
      <c r="M17" s="230"/>
      <c r="N17" s="231"/>
    </row>
    <row r="18" spans="1:14" x14ac:dyDescent="0.25">
      <c r="A18" s="191">
        <v>15</v>
      </c>
      <c r="B18" s="232"/>
      <c r="C18" s="226"/>
      <c r="D18" s="220"/>
      <c r="E18" s="221"/>
      <c r="F18" s="223"/>
      <c r="G18" s="222">
        <f t="shared" si="0"/>
        <v>0</v>
      </c>
      <c r="H18" s="223"/>
      <c r="I18" s="229"/>
      <c r="J18" s="222">
        <f t="shared" si="1"/>
        <v>0</v>
      </c>
      <c r="K18" s="230">
        <f t="shared" si="2"/>
        <v>0</v>
      </c>
      <c r="L18" s="222">
        <f t="shared" si="3"/>
        <v>0</v>
      </c>
      <c r="M18" s="230"/>
      <c r="N18" s="231"/>
    </row>
    <row r="19" spans="1:14" x14ac:dyDescent="0.25">
      <c r="A19" s="193">
        <v>16</v>
      </c>
      <c r="B19" s="232"/>
      <c r="C19" s="226"/>
      <c r="D19" s="220"/>
      <c r="E19" s="221"/>
      <c r="F19" s="223"/>
      <c r="G19" s="222">
        <f t="shared" si="0"/>
        <v>0</v>
      </c>
      <c r="H19" s="229"/>
      <c r="I19" s="229"/>
      <c r="J19" s="222">
        <f t="shared" si="1"/>
        <v>0</v>
      </c>
      <c r="K19" s="230">
        <f t="shared" si="2"/>
        <v>0</v>
      </c>
      <c r="L19" s="222">
        <f t="shared" si="3"/>
        <v>0</v>
      </c>
      <c r="M19" s="230"/>
      <c r="N19" s="231"/>
    </row>
    <row r="20" spans="1:14" x14ac:dyDescent="0.25">
      <c r="A20" s="191">
        <v>17</v>
      </c>
      <c r="B20" s="232"/>
      <c r="C20" s="226"/>
      <c r="D20" s="220"/>
      <c r="E20" s="221"/>
      <c r="F20" s="223"/>
      <c r="G20" s="222">
        <f t="shared" si="0"/>
        <v>0</v>
      </c>
      <c r="H20" s="229"/>
      <c r="I20" s="229"/>
      <c r="J20" s="222">
        <f t="shared" si="1"/>
        <v>0</v>
      </c>
      <c r="K20" s="230">
        <f t="shared" si="2"/>
        <v>0</v>
      </c>
      <c r="L20" s="222">
        <f t="shared" si="3"/>
        <v>0</v>
      </c>
      <c r="M20" s="230"/>
      <c r="N20" s="231"/>
    </row>
    <row r="21" spans="1:14" x14ac:dyDescent="0.25">
      <c r="A21" s="191">
        <v>18</v>
      </c>
      <c r="B21" s="232"/>
      <c r="C21" s="227"/>
      <c r="D21" s="233"/>
      <c r="E21" s="228"/>
      <c r="F21" s="223"/>
      <c r="G21" s="222">
        <f t="shared" si="0"/>
        <v>0</v>
      </c>
      <c r="H21" s="229"/>
      <c r="I21" s="229"/>
      <c r="J21" s="222">
        <f t="shared" si="1"/>
        <v>0</v>
      </c>
      <c r="K21" s="230">
        <f t="shared" si="2"/>
        <v>0</v>
      </c>
      <c r="L21" s="222">
        <f t="shared" si="3"/>
        <v>0</v>
      </c>
      <c r="M21" s="230"/>
      <c r="N21" s="231"/>
    </row>
    <row r="22" spans="1:14" x14ac:dyDescent="0.25">
      <c r="A22" s="193">
        <v>19</v>
      </c>
      <c r="B22" s="232"/>
      <c r="C22" s="226"/>
      <c r="D22" s="220"/>
      <c r="E22" s="228"/>
      <c r="F22" s="228"/>
      <c r="G22" s="222">
        <f t="shared" si="0"/>
        <v>0</v>
      </c>
      <c r="H22" s="229"/>
      <c r="I22" s="229"/>
      <c r="J22" s="222">
        <f t="shared" si="1"/>
        <v>0</v>
      </c>
      <c r="K22" s="230">
        <f t="shared" si="2"/>
        <v>0</v>
      </c>
      <c r="L22" s="222">
        <f t="shared" si="3"/>
        <v>0</v>
      </c>
      <c r="M22" s="230"/>
      <c r="N22" s="231"/>
    </row>
    <row r="23" spans="1:14" x14ac:dyDescent="0.25">
      <c r="A23" s="191">
        <v>20</v>
      </c>
      <c r="B23" s="218"/>
      <c r="C23" s="227"/>
      <c r="D23" s="233"/>
      <c r="E23" s="228"/>
      <c r="F23" s="228"/>
      <c r="G23" s="222">
        <f t="shared" si="0"/>
        <v>0</v>
      </c>
      <c r="H23" s="229"/>
      <c r="I23" s="229"/>
      <c r="J23" s="222">
        <f t="shared" si="1"/>
        <v>0</v>
      </c>
      <c r="K23" s="230">
        <f t="shared" si="2"/>
        <v>0</v>
      </c>
      <c r="L23" s="222">
        <f t="shared" si="3"/>
        <v>0</v>
      </c>
      <c r="M23" s="230"/>
      <c r="N23" s="231"/>
    </row>
    <row r="24" spans="1:14" x14ac:dyDescent="0.25">
      <c r="A24" s="191">
        <v>21</v>
      </c>
      <c r="B24" s="218"/>
      <c r="C24" s="226"/>
      <c r="D24" s="233"/>
      <c r="E24" s="228"/>
      <c r="F24" s="228"/>
      <c r="G24" s="222">
        <f t="shared" si="0"/>
        <v>0</v>
      </c>
      <c r="H24" s="229"/>
      <c r="I24" s="229"/>
      <c r="J24" s="222">
        <f t="shared" si="1"/>
        <v>0</v>
      </c>
      <c r="K24" s="230">
        <f t="shared" si="2"/>
        <v>0</v>
      </c>
      <c r="L24" s="222">
        <f t="shared" si="3"/>
        <v>0</v>
      </c>
      <c r="M24" s="230"/>
      <c r="N24" s="231"/>
    </row>
    <row r="25" spans="1:14" x14ac:dyDescent="0.25">
      <c r="A25" s="193">
        <v>22</v>
      </c>
      <c r="B25" s="218"/>
      <c r="C25" s="227"/>
      <c r="D25" s="233"/>
      <c r="E25" s="228"/>
      <c r="F25" s="228"/>
      <c r="G25" s="222">
        <f t="shared" si="0"/>
        <v>0</v>
      </c>
      <c r="H25" s="229"/>
      <c r="I25" s="223"/>
      <c r="J25" s="222">
        <f t="shared" si="1"/>
        <v>0</v>
      </c>
      <c r="K25" s="230">
        <f t="shared" si="2"/>
        <v>0</v>
      </c>
      <c r="L25" s="222">
        <f t="shared" si="3"/>
        <v>0</v>
      </c>
      <c r="M25" s="230"/>
      <c r="N25" s="231"/>
    </row>
    <row r="26" spans="1:14" x14ac:dyDescent="0.25">
      <c r="A26" s="191">
        <v>23</v>
      </c>
      <c r="B26" s="234"/>
      <c r="C26" s="235"/>
      <c r="D26" s="233"/>
      <c r="E26" s="228"/>
      <c r="F26" s="228"/>
      <c r="G26" s="222">
        <f t="shared" si="0"/>
        <v>0</v>
      </c>
      <c r="H26" s="229"/>
      <c r="I26" s="229"/>
      <c r="J26" s="222">
        <f t="shared" si="1"/>
        <v>0</v>
      </c>
      <c r="K26" s="230">
        <f t="shared" si="2"/>
        <v>0</v>
      </c>
      <c r="L26" s="222">
        <f t="shared" si="3"/>
        <v>0</v>
      </c>
      <c r="M26" s="230"/>
      <c r="N26" s="231"/>
    </row>
    <row r="27" spans="1:14" x14ac:dyDescent="0.25">
      <c r="A27" s="191">
        <v>24</v>
      </c>
      <c r="B27" s="234"/>
      <c r="C27" s="227"/>
      <c r="D27" s="233"/>
      <c r="E27" s="228"/>
      <c r="F27" s="228"/>
      <c r="G27" s="222">
        <f t="shared" si="0"/>
        <v>0</v>
      </c>
      <c r="H27" s="229"/>
      <c r="I27" s="229"/>
      <c r="J27" s="222">
        <f t="shared" si="1"/>
        <v>0</v>
      </c>
      <c r="K27" s="230">
        <f t="shared" si="2"/>
        <v>0</v>
      </c>
      <c r="L27" s="222">
        <f t="shared" si="3"/>
        <v>0</v>
      </c>
      <c r="M27" s="230"/>
      <c r="N27" s="231"/>
    </row>
    <row r="28" spans="1:14" x14ac:dyDescent="0.25">
      <c r="A28" s="193">
        <v>25</v>
      </c>
      <c r="B28" s="234"/>
      <c r="C28" s="235"/>
      <c r="D28" s="233"/>
      <c r="E28" s="228"/>
      <c r="F28" s="228"/>
      <c r="G28" s="222">
        <f t="shared" si="0"/>
        <v>0</v>
      </c>
      <c r="H28" s="229"/>
      <c r="I28" s="229"/>
      <c r="J28" s="222">
        <f t="shared" si="1"/>
        <v>0</v>
      </c>
      <c r="K28" s="230">
        <f t="shared" si="2"/>
        <v>0</v>
      </c>
      <c r="L28" s="222">
        <f t="shared" si="3"/>
        <v>0</v>
      </c>
      <c r="M28" s="230"/>
      <c r="N28" s="231"/>
    </row>
    <row r="29" spans="1:14" x14ac:dyDescent="0.25">
      <c r="A29" s="191">
        <v>26</v>
      </c>
      <c r="B29" s="234"/>
      <c r="C29" s="235"/>
      <c r="D29" s="233"/>
      <c r="E29" s="228"/>
      <c r="F29" s="228"/>
      <c r="G29" s="222">
        <f t="shared" si="0"/>
        <v>0</v>
      </c>
      <c r="H29" s="229"/>
      <c r="I29" s="229"/>
      <c r="J29" s="222">
        <f t="shared" si="1"/>
        <v>0</v>
      </c>
      <c r="K29" s="230">
        <f t="shared" si="2"/>
        <v>0</v>
      </c>
      <c r="L29" s="222">
        <f t="shared" si="3"/>
        <v>0</v>
      </c>
      <c r="M29" s="230"/>
      <c r="N29" s="231"/>
    </row>
    <row r="30" spans="1:14" x14ac:dyDescent="0.25">
      <c r="A30" s="191">
        <v>27</v>
      </c>
      <c r="B30" s="234"/>
      <c r="C30" s="235"/>
      <c r="D30" s="233"/>
      <c r="E30" s="228"/>
      <c r="F30" s="228"/>
      <c r="G30" s="222">
        <f t="shared" si="0"/>
        <v>0</v>
      </c>
      <c r="H30" s="229"/>
      <c r="I30" s="229"/>
      <c r="J30" s="222">
        <f t="shared" si="1"/>
        <v>0</v>
      </c>
      <c r="K30" s="230">
        <f t="shared" si="2"/>
        <v>0</v>
      </c>
      <c r="L30" s="222">
        <f t="shared" si="3"/>
        <v>0</v>
      </c>
      <c r="M30" s="230"/>
      <c r="N30" s="231"/>
    </row>
    <row r="31" spans="1:14" x14ac:dyDescent="0.25">
      <c r="A31" s="193">
        <v>28</v>
      </c>
      <c r="B31" s="234"/>
      <c r="C31" s="235"/>
      <c r="D31" s="233"/>
      <c r="E31" s="228"/>
      <c r="F31" s="228"/>
      <c r="G31" s="236"/>
      <c r="H31" s="229"/>
      <c r="I31" s="229"/>
      <c r="J31" s="222">
        <f t="shared" si="1"/>
        <v>0</v>
      </c>
      <c r="K31" s="230">
        <f t="shared" si="2"/>
        <v>0</v>
      </c>
      <c r="L31" s="222">
        <f t="shared" si="3"/>
        <v>0</v>
      </c>
      <c r="M31" s="230"/>
      <c r="N31" s="231"/>
    </row>
    <row r="32" spans="1:14" x14ac:dyDescent="0.25">
      <c r="A32" s="191">
        <v>29</v>
      </c>
      <c r="B32" s="234"/>
      <c r="C32" s="227"/>
      <c r="D32" s="233"/>
      <c r="E32" s="228"/>
      <c r="F32" s="228"/>
      <c r="G32" s="236"/>
      <c r="H32" s="229"/>
      <c r="I32" s="229"/>
      <c r="J32" s="222">
        <f t="shared" si="1"/>
        <v>0</v>
      </c>
      <c r="K32" s="230">
        <f t="shared" si="2"/>
        <v>0</v>
      </c>
      <c r="L32" s="222">
        <f t="shared" si="3"/>
        <v>0</v>
      </c>
      <c r="M32" s="230"/>
      <c r="N32" s="231"/>
    </row>
    <row r="33" spans="1:14" x14ac:dyDescent="0.25">
      <c r="A33" s="191">
        <v>30</v>
      </c>
      <c r="B33" s="234"/>
      <c r="C33" s="227"/>
      <c r="D33" s="233"/>
      <c r="E33" s="228"/>
      <c r="F33" s="228"/>
      <c r="G33" s="236"/>
      <c r="H33" s="229"/>
      <c r="I33" s="229"/>
      <c r="J33" s="222">
        <f t="shared" si="1"/>
        <v>0</v>
      </c>
      <c r="K33" s="230">
        <f t="shared" si="2"/>
        <v>0</v>
      </c>
      <c r="L33" s="222">
        <f t="shared" si="3"/>
        <v>0</v>
      </c>
      <c r="M33" s="230"/>
      <c r="N33" s="231"/>
    </row>
    <row r="34" spans="1:14" x14ac:dyDescent="0.25">
      <c r="A34" s="193">
        <v>31</v>
      </c>
      <c r="B34" s="234"/>
      <c r="C34" s="227"/>
      <c r="D34" s="233"/>
      <c r="E34" s="228"/>
      <c r="F34" s="228"/>
      <c r="G34" s="236"/>
      <c r="H34" s="229"/>
      <c r="I34" s="229"/>
      <c r="J34" s="222">
        <f t="shared" si="1"/>
        <v>0</v>
      </c>
      <c r="K34" s="230">
        <f t="shared" si="2"/>
        <v>0</v>
      </c>
      <c r="L34" s="222">
        <f t="shared" si="3"/>
        <v>0</v>
      </c>
      <c r="M34" s="230"/>
      <c r="N34" s="231"/>
    </row>
    <row r="35" spans="1:14" x14ac:dyDescent="0.25">
      <c r="A35" s="191">
        <v>32</v>
      </c>
      <c r="B35" s="234"/>
      <c r="C35" s="226"/>
      <c r="D35" s="233"/>
      <c r="E35" s="221"/>
      <c r="F35" s="228"/>
      <c r="G35" s="236"/>
      <c r="H35" s="223"/>
      <c r="I35" s="229"/>
      <c r="J35" s="222">
        <f t="shared" si="1"/>
        <v>0</v>
      </c>
      <c r="K35" s="230">
        <f t="shared" si="2"/>
        <v>0</v>
      </c>
      <c r="L35" s="222">
        <f t="shared" si="3"/>
        <v>0</v>
      </c>
      <c r="M35" s="230"/>
      <c r="N35" s="231"/>
    </row>
    <row r="36" spans="1:14" x14ac:dyDescent="0.25">
      <c r="A36" s="191">
        <v>33</v>
      </c>
      <c r="B36" s="234"/>
      <c r="C36" s="235"/>
      <c r="D36" s="233"/>
      <c r="E36" s="221"/>
      <c r="F36" s="237"/>
      <c r="G36" s="238">
        <f>E36*F36</f>
        <v>0</v>
      </c>
      <c r="H36" s="223"/>
      <c r="I36" s="229"/>
      <c r="J36" s="222">
        <f t="shared" si="1"/>
        <v>0</v>
      </c>
      <c r="K36" s="239">
        <f t="shared" ref="K5:K49" si="4">G36+J36</f>
        <v>0</v>
      </c>
      <c r="L36" s="222">
        <f t="shared" si="3"/>
        <v>0</v>
      </c>
      <c r="M36" s="230"/>
      <c r="N36" s="231"/>
    </row>
    <row r="37" spans="1:14" x14ac:dyDescent="0.25">
      <c r="A37" s="193">
        <v>34</v>
      </c>
      <c r="B37" s="234"/>
      <c r="C37" s="226"/>
      <c r="D37" s="233"/>
      <c r="E37" s="221"/>
      <c r="F37" s="228"/>
      <c r="G37" s="238">
        <f>E37*F37</f>
        <v>0</v>
      </c>
      <c r="H37" s="223"/>
      <c r="I37" s="229"/>
      <c r="J37" s="222">
        <f t="shared" si="1"/>
        <v>0</v>
      </c>
      <c r="K37" s="239">
        <f t="shared" si="4"/>
        <v>0</v>
      </c>
      <c r="L37" s="222">
        <f t="shared" si="3"/>
        <v>0</v>
      </c>
      <c r="M37" s="230"/>
      <c r="N37" s="231"/>
    </row>
    <row r="38" spans="1:14" x14ac:dyDescent="0.25">
      <c r="A38" s="191">
        <v>35</v>
      </c>
      <c r="B38" s="234"/>
      <c r="C38" s="227"/>
      <c r="D38" s="233"/>
      <c r="E38" s="228"/>
      <c r="F38" s="228"/>
      <c r="G38" s="238">
        <f>E38*F38</f>
        <v>0</v>
      </c>
      <c r="H38" s="229"/>
      <c r="I38" s="229"/>
      <c r="J38" s="222">
        <f t="shared" si="1"/>
        <v>0</v>
      </c>
      <c r="K38" s="239">
        <f t="shared" si="4"/>
        <v>0</v>
      </c>
      <c r="L38" s="222">
        <f t="shared" si="3"/>
        <v>0</v>
      </c>
      <c r="M38" s="230"/>
      <c r="N38" s="231"/>
    </row>
    <row r="39" spans="1:14" x14ac:dyDescent="0.25">
      <c r="A39" s="191">
        <v>36</v>
      </c>
      <c r="B39" s="234"/>
      <c r="C39" s="227"/>
      <c r="D39" s="233"/>
      <c r="E39" s="228"/>
      <c r="F39" s="228"/>
      <c r="G39" s="238">
        <f>E39*F39</f>
        <v>0</v>
      </c>
      <c r="H39" s="229"/>
      <c r="I39" s="229"/>
      <c r="J39" s="222">
        <f t="shared" si="1"/>
        <v>0</v>
      </c>
      <c r="K39" s="239">
        <f t="shared" si="4"/>
        <v>0</v>
      </c>
      <c r="L39" s="222">
        <f t="shared" si="3"/>
        <v>0</v>
      </c>
      <c r="M39" s="230"/>
      <c r="N39" s="231"/>
    </row>
    <row r="40" spans="1:14" x14ac:dyDescent="0.25">
      <c r="A40" s="193">
        <v>37</v>
      </c>
      <c r="B40" s="234"/>
      <c r="C40" s="227"/>
      <c r="D40" s="233"/>
      <c r="E40" s="228"/>
      <c r="F40" s="228"/>
      <c r="G40" s="238">
        <f>E40*F40</f>
        <v>0</v>
      </c>
      <c r="H40" s="229"/>
      <c r="I40" s="229"/>
      <c r="J40" s="222">
        <f t="shared" si="1"/>
        <v>0</v>
      </c>
      <c r="K40" s="239">
        <f t="shared" si="4"/>
        <v>0</v>
      </c>
      <c r="L40" s="222">
        <f t="shared" si="3"/>
        <v>0</v>
      </c>
      <c r="M40" s="230"/>
      <c r="N40" s="231"/>
    </row>
    <row r="41" spans="1:14" x14ac:dyDescent="0.25">
      <c r="A41" s="191">
        <v>38</v>
      </c>
      <c r="B41" s="234"/>
      <c r="C41" s="226"/>
      <c r="D41" s="233"/>
      <c r="E41" s="228"/>
      <c r="F41" s="228"/>
      <c r="G41" s="238">
        <f>E41*F41</f>
        <v>0</v>
      </c>
      <c r="H41" s="229"/>
      <c r="I41" s="229"/>
      <c r="J41" s="222">
        <f t="shared" si="1"/>
        <v>0</v>
      </c>
      <c r="K41" s="239">
        <f t="shared" si="4"/>
        <v>0</v>
      </c>
      <c r="L41" s="222">
        <f t="shared" si="3"/>
        <v>0</v>
      </c>
      <c r="M41" s="230"/>
      <c r="N41" s="231"/>
    </row>
    <row r="42" spans="1:14" x14ac:dyDescent="0.25">
      <c r="A42" s="191">
        <v>39</v>
      </c>
      <c r="B42" s="234"/>
      <c r="C42" s="226"/>
      <c r="D42" s="233"/>
      <c r="E42" s="228"/>
      <c r="F42" s="228"/>
      <c r="G42" s="238">
        <f>E42*F42</f>
        <v>0</v>
      </c>
      <c r="H42" s="229"/>
      <c r="I42" s="229"/>
      <c r="J42" s="222">
        <f t="shared" si="1"/>
        <v>0</v>
      </c>
      <c r="K42" s="239">
        <f t="shared" si="4"/>
        <v>0</v>
      </c>
      <c r="L42" s="222">
        <f t="shared" si="3"/>
        <v>0</v>
      </c>
      <c r="M42" s="230"/>
      <c r="N42" s="231"/>
    </row>
    <row r="43" spans="1:14" x14ac:dyDescent="0.25">
      <c r="A43" s="193">
        <v>40</v>
      </c>
      <c r="B43" s="234"/>
      <c r="C43" s="226"/>
      <c r="D43" s="233"/>
      <c r="E43" s="228"/>
      <c r="F43" s="228"/>
      <c r="G43" s="238">
        <f>E43*F43</f>
        <v>0</v>
      </c>
      <c r="H43" s="229"/>
      <c r="I43" s="229"/>
      <c r="J43" s="222">
        <f t="shared" si="1"/>
        <v>0</v>
      </c>
      <c r="K43" s="239">
        <f>G43+J43</f>
        <v>0</v>
      </c>
      <c r="L43" s="222">
        <f t="shared" si="3"/>
        <v>0</v>
      </c>
      <c r="M43" s="230"/>
      <c r="N43" s="231"/>
    </row>
    <row r="44" spans="1:14" x14ac:dyDescent="0.25">
      <c r="A44" s="191">
        <v>41</v>
      </c>
      <c r="B44" s="234"/>
      <c r="C44" s="227"/>
      <c r="D44" s="233"/>
      <c r="E44" s="228"/>
      <c r="F44" s="228"/>
      <c r="G44" s="238">
        <f>E44*F44</f>
        <v>0</v>
      </c>
      <c r="H44" s="229"/>
      <c r="I44" s="229"/>
      <c r="J44" s="222">
        <f t="shared" si="1"/>
        <v>0</v>
      </c>
      <c r="K44" s="239">
        <f t="shared" si="4"/>
        <v>0</v>
      </c>
      <c r="L44" s="222">
        <f t="shared" si="3"/>
        <v>0</v>
      </c>
      <c r="M44" s="230"/>
      <c r="N44" s="231"/>
    </row>
    <row r="45" spans="1:14" x14ac:dyDescent="0.25">
      <c r="A45" s="191">
        <v>42</v>
      </c>
      <c r="B45" s="234"/>
      <c r="C45" s="227"/>
      <c r="D45" s="233"/>
      <c r="E45" s="228"/>
      <c r="F45" s="228"/>
      <c r="G45" s="238">
        <f>E45*F45</f>
        <v>0</v>
      </c>
      <c r="H45" s="229"/>
      <c r="I45" s="229"/>
      <c r="J45" s="222">
        <f t="shared" si="1"/>
        <v>0</v>
      </c>
      <c r="K45" s="239">
        <f t="shared" si="4"/>
        <v>0</v>
      </c>
      <c r="L45" s="222">
        <f t="shared" si="3"/>
        <v>0</v>
      </c>
      <c r="M45" s="230"/>
      <c r="N45" s="231"/>
    </row>
    <row r="46" spans="1:14" x14ac:dyDescent="0.25">
      <c r="A46" s="193">
        <v>43</v>
      </c>
      <c r="B46" s="234"/>
      <c r="C46" s="227"/>
      <c r="D46" s="233"/>
      <c r="E46" s="228"/>
      <c r="F46" s="228"/>
      <c r="G46" s="238">
        <f>E46*F46</f>
        <v>0</v>
      </c>
      <c r="H46" s="229"/>
      <c r="I46" s="229"/>
      <c r="J46" s="222">
        <f t="shared" si="1"/>
        <v>0</v>
      </c>
      <c r="K46" s="239">
        <f t="shared" si="4"/>
        <v>0</v>
      </c>
      <c r="L46" s="222">
        <f t="shared" si="3"/>
        <v>0</v>
      </c>
      <c r="M46" s="230"/>
      <c r="N46" s="231"/>
    </row>
    <row r="47" spans="1:14" x14ac:dyDescent="0.25">
      <c r="A47" s="191">
        <v>44</v>
      </c>
      <c r="B47" s="234"/>
      <c r="C47" s="227"/>
      <c r="D47" s="233"/>
      <c r="E47" s="221"/>
      <c r="F47" s="228"/>
      <c r="G47" s="238">
        <f>E47*F47</f>
        <v>0</v>
      </c>
      <c r="H47" s="229"/>
      <c r="I47" s="229"/>
      <c r="J47" s="222">
        <f t="shared" si="1"/>
        <v>0</v>
      </c>
      <c r="K47" s="239">
        <f t="shared" si="4"/>
        <v>0</v>
      </c>
      <c r="L47" s="222">
        <f t="shared" si="3"/>
        <v>0</v>
      </c>
      <c r="M47" s="230"/>
      <c r="N47" s="231"/>
    </row>
    <row r="48" spans="1:14" x14ac:dyDescent="0.25">
      <c r="A48" s="191">
        <v>45</v>
      </c>
      <c r="B48" s="234"/>
      <c r="C48" s="227"/>
      <c r="D48" s="233"/>
      <c r="E48" s="221"/>
      <c r="F48" s="228"/>
      <c r="G48" s="238">
        <f>E48*F48</f>
        <v>0</v>
      </c>
      <c r="H48" s="229"/>
      <c r="I48" s="229"/>
      <c r="J48" s="222">
        <f t="shared" si="1"/>
        <v>0</v>
      </c>
      <c r="K48" s="239">
        <f t="shared" si="4"/>
        <v>0</v>
      </c>
      <c r="L48" s="222">
        <f t="shared" si="3"/>
        <v>0</v>
      </c>
      <c r="M48" s="230"/>
      <c r="N48" s="231"/>
    </row>
    <row r="49" spans="1:14" x14ac:dyDescent="0.25">
      <c r="A49" s="193">
        <v>46</v>
      </c>
      <c r="B49" s="234"/>
      <c r="C49" s="227"/>
      <c r="D49" s="233"/>
      <c r="E49" s="221"/>
      <c r="F49" s="228"/>
      <c r="G49" s="238">
        <f>E49*F49</f>
        <v>0</v>
      </c>
      <c r="H49" s="229"/>
      <c r="I49" s="229"/>
      <c r="J49" s="222">
        <f t="shared" si="1"/>
        <v>0</v>
      </c>
      <c r="K49" s="239">
        <f t="shared" si="4"/>
        <v>0</v>
      </c>
      <c r="L49" s="222">
        <f t="shared" si="3"/>
        <v>0</v>
      </c>
      <c r="M49" s="230"/>
      <c r="N49" s="231"/>
    </row>
    <row r="50" spans="1:14" x14ac:dyDescent="0.25">
      <c r="A50" s="191">
        <v>47</v>
      </c>
      <c r="B50" s="240"/>
      <c r="C50" s="227"/>
      <c r="D50" s="233"/>
      <c r="E50" s="221"/>
      <c r="F50" s="228"/>
      <c r="G50" s="238">
        <f>E50*F50</f>
        <v>0</v>
      </c>
      <c r="H50" s="229"/>
      <c r="I50" s="229"/>
      <c r="J50" s="222">
        <f t="shared" si="1"/>
        <v>0</v>
      </c>
      <c r="K50" s="239">
        <f>G50+J50</f>
        <v>0</v>
      </c>
      <c r="L50" s="238">
        <f t="shared" ref="L50:L66" si="5">+K50</f>
        <v>0</v>
      </c>
      <c r="M50" s="188"/>
      <c r="N50" s="166"/>
    </row>
    <row r="51" spans="1:14" x14ac:dyDescent="0.25">
      <c r="A51" s="191">
        <v>48</v>
      </c>
      <c r="B51" s="240"/>
      <c r="C51" s="227"/>
      <c r="D51" s="233"/>
      <c r="E51" s="221"/>
      <c r="F51" s="228"/>
      <c r="G51" s="238">
        <f>E51*F51</f>
        <v>0</v>
      </c>
      <c r="H51" s="229"/>
      <c r="I51" s="229"/>
      <c r="J51" s="222">
        <f t="shared" si="1"/>
        <v>0</v>
      </c>
      <c r="K51" s="239">
        <f>G51+J51</f>
        <v>0</v>
      </c>
      <c r="L51" s="238">
        <f t="shared" si="5"/>
        <v>0</v>
      </c>
      <c r="M51" s="188"/>
      <c r="N51" s="166"/>
    </row>
    <row r="52" spans="1:14" x14ac:dyDescent="0.25">
      <c r="A52" s="193">
        <v>49</v>
      </c>
      <c r="B52" s="240"/>
      <c r="C52" s="227"/>
      <c r="D52" s="233"/>
      <c r="E52" s="221"/>
      <c r="F52" s="228"/>
      <c r="G52" s="238">
        <f>E52*F52</f>
        <v>0</v>
      </c>
      <c r="H52" s="229"/>
      <c r="I52" s="229"/>
      <c r="J52" s="222">
        <f t="shared" si="1"/>
        <v>0</v>
      </c>
      <c r="K52" s="239">
        <f>G52+J52</f>
        <v>0</v>
      </c>
      <c r="L52" s="238">
        <f t="shared" si="5"/>
        <v>0</v>
      </c>
      <c r="M52" s="188"/>
      <c r="N52" s="166"/>
    </row>
    <row r="53" spans="1:14" x14ac:dyDescent="0.25">
      <c r="A53" s="191">
        <v>50</v>
      </c>
      <c r="B53" s="240"/>
      <c r="C53" s="227"/>
      <c r="D53" s="233"/>
      <c r="E53" s="228"/>
      <c r="F53" s="228"/>
      <c r="G53" s="238">
        <f>E53*F53</f>
        <v>0</v>
      </c>
      <c r="H53" s="229"/>
      <c r="I53" s="229"/>
      <c r="J53" s="222">
        <f t="shared" si="1"/>
        <v>0</v>
      </c>
      <c r="K53" s="239">
        <f>G53+J53</f>
        <v>0</v>
      </c>
      <c r="L53" s="238">
        <f t="shared" si="5"/>
        <v>0</v>
      </c>
      <c r="M53" s="188"/>
      <c r="N53" s="166"/>
    </row>
    <row r="54" spans="1:14" x14ac:dyDescent="0.25">
      <c r="A54" s="191">
        <v>51</v>
      </c>
      <c r="B54" s="240"/>
      <c r="C54" s="227"/>
      <c r="D54" s="233"/>
      <c r="E54" s="228"/>
      <c r="F54" s="228"/>
      <c r="G54" s="238">
        <f>E54*F54</f>
        <v>0</v>
      </c>
      <c r="H54" s="229"/>
      <c r="I54" s="229"/>
      <c r="J54" s="222">
        <f t="shared" si="1"/>
        <v>0</v>
      </c>
      <c r="K54" s="239">
        <f>G54+J54</f>
        <v>0</v>
      </c>
      <c r="L54" s="238">
        <f t="shared" si="5"/>
        <v>0</v>
      </c>
      <c r="M54" s="188"/>
      <c r="N54" s="166"/>
    </row>
    <row r="55" spans="1:14" x14ac:dyDescent="0.25">
      <c r="A55" s="193">
        <v>52</v>
      </c>
      <c r="B55" s="240"/>
      <c r="C55" s="227"/>
      <c r="D55" s="233"/>
      <c r="E55" s="228"/>
      <c r="F55" s="228"/>
      <c r="G55" s="238">
        <f>E55*F55</f>
        <v>0</v>
      </c>
      <c r="H55" s="229"/>
      <c r="I55" s="229"/>
      <c r="J55" s="222">
        <f t="shared" si="1"/>
        <v>0</v>
      </c>
      <c r="K55" s="239">
        <f>G55+J55</f>
        <v>0</v>
      </c>
      <c r="L55" s="238">
        <f t="shared" si="5"/>
        <v>0</v>
      </c>
      <c r="M55" s="188"/>
      <c r="N55" s="166"/>
    </row>
    <row r="56" spans="1:14" x14ac:dyDescent="0.25">
      <c r="A56" s="191">
        <v>53</v>
      </c>
      <c r="B56" s="240"/>
      <c r="C56" s="227"/>
      <c r="D56" s="233"/>
      <c r="E56" s="228"/>
      <c r="F56" s="228"/>
      <c r="G56" s="238">
        <f>E56*F56</f>
        <v>0</v>
      </c>
      <c r="H56" s="229"/>
      <c r="I56" s="229"/>
      <c r="J56" s="222">
        <f t="shared" si="1"/>
        <v>0</v>
      </c>
      <c r="K56" s="239">
        <f>G56+J56</f>
        <v>0</v>
      </c>
      <c r="L56" s="238">
        <f t="shared" si="5"/>
        <v>0</v>
      </c>
      <c r="M56" s="188"/>
      <c r="N56" s="166"/>
    </row>
    <row r="57" spans="1:14" x14ac:dyDescent="0.25">
      <c r="A57" s="191">
        <v>54</v>
      </c>
      <c r="B57" s="240"/>
      <c r="C57" s="227"/>
      <c r="D57" s="233"/>
      <c r="E57" s="228"/>
      <c r="F57" s="228"/>
      <c r="G57" s="238">
        <f>E57*F57</f>
        <v>0</v>
      </c>
      <c r="H57" s="229"/>
      <c r="I57" s="229"/>
      <c r="J57" s="222">
        <f t="shared" si="1"/>
        <v>0</v>
      </c>
      <c r="K57" s="239">
        <f>G57+J57</f>
        <v>0</v>
      </c>
      <c r="L57" s="238">
        <f t="shared" si="5"/>
        <v>0</v>
      </c>
      <c r="M57" s="188"/>
      <c r="N57" s="166"/>
    </row>
    <row r="58" spans="1:14" x14ac:dyDescent="0.25">
      <c r="A58" s="193">
        <v>55</v>
      </c>
      <c r="B58" s="240"/>
      <c r="C58" s="226"/>
      <c r="D58" s="220"/>
      <c r="E58" s="228"/>
      <c r="F58" s="228"/>
      <c r="G58" s="238">
        <f>E58*F58</f>
        <v>0</v>
      </c>
      <c r="H58" s="229"/>
      <c r="I58" s="229"/>
      <c r="J58" s="222">
        <f t="shared" si="1"/>
        <v>0</v>
      </c>
      <c r="K58" s="239">
        <f>G58+J58</f>
        <v>0</v>
      </c>
      <c r="L58" s="238">
        <f t="shared" si="5"/>
        <v>0</v>
      </c>
      <c r="M58" s="188"/>
      <c r="N58" s="166"/>
    </row>
    <row r="59" spans="1:14" x14ac:dyDescent="0.25">
      <c r="A59" s="191">
        <v>56</v>
      </c>
      <c r="B59" s="240"/>
      <c r="C59" s="227"/>
      <c r="D59" s="233"/>
      <c r="E59" s="228"/>
      <c r="F59" s="228"/>
      <c r="G59" s="238">
        <f>E59*F59</f>
        <v>0</v>
      </c>
      <c r="H59" s="229"/>
      <c r="I59" s="229"/>
      <c r="J59" s="222">
        <f t="shared" si="1"/>
        <v>0</v>
      </c>
      <c r="K59" s="239">
        <f>G59+J59</f>
        <v>0</v>
      </c>
      <c r="L59" s="238">
        <f t="shared" si="5"/>
        <v>0</v>
      </c>
      <c r="M59" s="188"/>
      <c r="N59" s="166"/>
    </row>
    <row r="60" spans="1:14" x14ac:dyDescent="0.25">
      <c r="A60" s="191">
        <v>57</v>
      </c>
      <c r="B60" s="240"/>
      <c r="C60" s="227"/>
      <c r="D60" s="233"/>
      <c r="E60" s="228"/>
      <c r="F60" s="228"/>
      <c r="G60" s="238">
        <f>E60*F60</f>
        <v>0</v>
      </c>
      <c r="H60" s="229"/>
      <c r="I60" s="229"/>
      <c r="J60" s="222">
        <f t="shared" si="1"/>
        <v>0</v>
      </c>
      <c r="K60" s="239">
        <f>G60+J60</f>
        <v>0</v>
      </c>
      <c r="L60" s="238">
        <f t="shared" si="5"/>
        <v>0</v>
      </c>
      <c r="M60" s="188"/>
      <c r="N60" s="166"/>
    </row>
    <row r="61" spans="1:14" x14ac:dyDescent="0.25">
      <c r="A61" s="193">
        <v>58</v>
      </c>
      <c r="B61" s="240"/>
      <c r="C61" s="227"/>
      <c r="D61" s="233"/>
      <c r="E61" s="228"/>
      <c r="F61" s="228"/>
      <c r="G61" s="238">
        <f>E61*F61</f>
        <v>0</v>
      </c>
      <c r="H61" s="223"/>
      <c r="I61" s="229"/>
      <c r="J61" s="222">
        <f t="shared" si="1"/>
        <v>0</v>
      </c>
      <c r="K61" s="239">
        <f>G61+J61</f>
        <v>0</v>
      </c>
      <c r="L61" s="238">
        <f t="shared" si="5"/>
        <v>0</v>
      </c>
      <c r="M61" s="188"/>
      <c r="N61" s="166"/>
    </row>
    <row r="62" spans="1:14" x14ac:dyDescent="0.25">
      <c r="A62" s="191">
        <v>59</v>
      </c>
      <c r="B62" s="240"/>
      <c r="C62" s="227"/>
      <c r="D62" s="233"/>
      <c r="E62" s="221"/>
      <c r="F62" s="228"/>
      <c r="G62" s="238">
        <f>E62*F62</f>
        <v>0</v>
      </c>
      <c r="H62" s="223"/>
      <c r="I62" s="229"/>
      <c r="J62" s="222">
        <f t="shared" si="1"/>
        <v>0</v>
      </c>
      <c r="K62" s="239">
        <f>G62+J62</f>
        <v>0</v>
      </c>
      <c r="L62" s="238">
        <f t="shared" si="5"/>
        <v>0</v>
      </c>
      <c r="M62" s="188"/>
      <c r="N62" s="166"/>
    </row>
    <row r="63" spans="1:14" x14ac:dyDescent="0.25">
      <c r="A63" s="191">
        <v>60</v>
      </c>
      <c r="B63" s="240"/>
      <c r="C63" s="227"/>
      <c r="D63" s="233"/>
      <c r="E63" s="221"/>
      <c r="F63" s="228"/>
      <c r="G63" s="238">
        <f>E63*F63</f>
        <v>0</v>
      </c>
      <c r="H63" s="223"/>
      <c r="I63" s="229"/>
      <c r="J63" s="222">
        <f t="shared" si="1"/>
        <v>0</v>
      </c>
      <c r="K63" s="239">
        <f>G63+J63</f>
        <v>0</v>
      </c>
      <c r="L63" s="238">
        <f t="shared" si="5"/>
        <v>0</v>
      </c>
      <c r="M63" s="188"/>
      <c r="N63" s="166"/>
    </row>
    <row r="64" spans="1:14" x14ac:dyDescent="0.25">
      <c r="A64" s="193">
        <v>61</v>
      </c>
      <c r="B64" s="240"/>
      <c r="C64" s="227"/>
      <c r="D64" s="233"/>
      <c r="E64" s="221"/>
      <c r="F64" s="228"/>
      <c r="G64" s="238">
        <f>E64*F64</f>
        <v>0</v>
      </c>
      <c r="H64" s="223"/>
      <c r="I64" s="229"/>
      <c r="J64" s="222">
        <f t="shared" si="1"/>
        <v>0</v>
      </c>
      <c r="K64" s="239">
        <f>G64+J64</f>
        <v>0</v>
      </c>
      <c r="L64" s="238">
        <f t="shared" si="5"/>
        <v>0</v>
      </c>
      <c r="M64" s="188"/>
      <c r="N64" s="166"/>
    </row>
    <row r="65" spans="1:14" x14ac:dyDescent="0.25">
      <c r="A65" s="191">
        <v>62</v>
      </c>
      <c r="B65" s="240"/>
      <c r="C65" s="226"/>
      <c r="D65" s="233"/>
      <c r="E65" s="221"/>
      <c r="F65" s="228"/>
      <c r="G65" s="238">
        <f>E65*F65</f>
        <v>0</v>
      </c>
      <c r="H65" s="223"/>
      <c r="I65" s="229"/>
      <c r="J65" s="222">
        <f t="shared" si="1"/>
        <v>0</v>
      </c>
      <c r="K65" s="239">
        <f>G65+J65</f>
        <v>0</v>
      </c>
      <c r="L65" s="238">
        <f t="shared" si="5"/>
        <v>0</v>
      </c>
      <c r="M65" s="188"/>
      <c r="N65" s="166"/>
    </row>
    <row r="66" spans="1:14" x14ac:dyDescent="0.25">
      <c r="A66" s="191">
        <v>63</v>
      </c>
      <c r="B66" s="240"/>
      <c r="C66" s="227"/>
      <c r="D66" s="233"/>
      <c r="E66" s="221"/>
      <c r="F66" s="228"/>
      <c r="G66" s="238">
        <f>E66*F66</f>
        <v>0</v>
      </c>
      <c r="H66" s="223"/>
      <c r="I66" s="229"/>
      <c r="J66" s="222">
        <f t="shared" si="1"/>
        <v>0</v>
      </c>
      <c r="K66" s="239">
        <f>G66+J66</f>
        <v>0</v>
      </c>
      <c r="L66" s="238">
        <f t="shared" si="5"/>
        <v>0</v>
      </c>
      <c r="M66" s="188"/>
      <c r="N66" s="166"/>
    </row>
    <row r="67" spans="1:14" x14ac:dyDescent="0.25">
      <c r="A67" s="241">
        <v>64</v>
      </c>
      <c r="B67" s="242"/>
      <c r="C67" s="243"/>
      <c r="D67" s="244"/>
      <c r="E67" s="245"/>
      <c r="F67" s="246"/>
      <c r="G67" s="247"/>
      <c r="H67" s="248"/>
      <c r="I67" s="249"/>
      <c r="J67" s="247"/>
      <c r="K67" s="250"/>
      <c r="L67" s="251"/>
      <c r="M67" s="252"/>
      <c r="N67" s="253"/>
    </row>
    <row r="68" spans="1:14" x14ac:dyDescent="0.25">
      <c r="A68" s="254"/>
      <c r="B68" s="254"/>
      <c r="C68" s="254"/>
      <c r="D68" s="254"/>
      <c r="E68" s="255">
        <f>SUM(E4:E67)</f>
        <v>0</v>
      </c>
      <c r="F68" s="255"/>
      <c r="G68" s="255">
        <f>SUM(G4:G67)</f>
        <v>0</v>
      </c>
      <c r="H68" s="255">
        <f>SUM(H4:H67)</f>
        <v>0</v>
      </c>
      <c r="I68" s="255"/>
      <c r="J68" s="255">
        <f>SUM(J4:J67)</f>
        <v>0</v>
      </c>
      <c r="K68" s="255">
        <f>SUM(K4:K67)</f>
        <v>0</v>
      </c>
      <c r="L68" s="254"/>
      <c r="M68" s="254"/>
      <c r="N68" s="254"/>
    </row>
  </sheetData>
  <mergeCells count="1">
    <mergeCell ref="A3:L3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8"/>
  <sheetViews>
    <sheetView workbookViewId="0" zoomScale="100" zoomScaleNormal="100">
      <pane ySplit="3" topLeftCell="A4" activePane="bottomLeft" state="frozen"/>
      <selection pane="bottomLeft" activeCell="M18" sqref="M18"/>
    </sheetView>
  </sheetViews>
  <sheetFormatPr defaultRowHeight="15" outlineLevelRow="0" outlineLevelCol="0" x14ac:dyDescent="0"/>
  <cols>
    <col min="2" max="2" width="18.42578125" customWidth="1"/>
    <col min="5" max="5" width="9.28515625" customWidth="1"/>
    <col min="7" max="7" width="9.28515625" customWidth="1"/>
    <col min="12" max="12" width="16.85546875" customWidth="1"/>
    <col min="13" max="13" width="28.42578125" customWidth="1"/>
    <col min="14" max="14" width="24.7109375" customWidth="1"/>
    <col min="19" max="19" width="9.28515625" customWidth="1"/>
  </cols>
  <sheetData>
    <row r="1" ht="15.75" customHeight="1" spans="1:14" x14ac:dyDescent="0.25">
      <c r="A1" s="325" t="s">
        <v>202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</row>
    <row r="2" ht="25.5" customHeight="1" spans="1:14" x14ac:dyDescent="0.25">
      <c r="A2" s="145" t="s">
        <v>0</v>
      </c>
      <c r="B2" s="146" t="s">
        <v>167</v>
      </c>
      <c r="C2" s="146" t="s">
        <v>168</v>
      </c>
      <c r="D2" s="146" t="s">
        <v>169</v>
      </c>
      <c r="E2" s="146" t="s">
        <v>170</v>
      </c>
      <c r="F2" s="146" t="s">
        <v>171</v>
      </c>
      <c r="G2" s="146" t="s">
        <v>172</v>
      </c>
      <c r="H2" s="146" t="s">
        <v>173</v>
      </c>
      <c r="I2" s="146" t="s">
        <v>171</v>
      </c>
      <c r="J2" s="146" t="s">
        <v>172</v>
      </c>
      <c r="K2" s="146" t="s">
        <v>174</v>
      </c>
      <c r="L2" s="146" t="s">
        <v>175</v>
      </c>
      <c r="M2" s="146" t="s">
        <v>190</v>
      </c>
      <c r="N2" s="146" t="s">
        <v>177</v>
      </c>
    </row>
    <row r="3" spans="1:14" x14ac:dyDescent="0.25">
      <c r="A3" s="282" t="s">
        <v>178</v>
      </c>
      <c r="B3" s="282"/>
      <c r="C3" s="282"/>
      <c r="D3" s="282"/>
      <c r="E3" s="282"/>
      <c r="F3" s="282"/>
      <c r="G3" s="282"/>
      <c r="H3" s="282"/>
      <c r="I3" s="282"/>
      <c r="J3" s="282"/>
      <c r="K3" s="353"/>
      <c r="L3" s="358">
        <v>188792.24999999997</v>
      </c>
      <c r="M3" s="353">
        <v>188792.24999999997</v>
      </c>
      <c r="N3" s="37"/>
    </row>
    <row r="4" spans="1:14" x14ac:dyDescent="0.25">
      <c r="A4" s="115">
        <v>1</v>
      </c>
      <c r="B4" s="116">
        <v>46296</v>
      </c>
      <c r="C4" s="37"/>
      <c r="D4" s="37"/>
      <c r="E4" s="359"/>
      <c r="F4" s="359"/>
      <c r="G4" s="37">
        <f>E4*F4</f>
        <v>0</v>
      </c>
      <c r="H4" s="354"/>
      <c r="I4" s="354"/>
      <c r="J4" s="37">
        <f>H4*I4</f>
        <v>0</v>
      </c>
      <c r="K4" s="37">
        <f>G4+J4</f>
        <v>0</v>
      </c>
      <c r="L4" s="37"/>
      <c r="M4" s="37">
        <f>M3+K4-L4</f>
        <v>188792.24999999997</v>
      </c>
      <c r="N4" s="328"/>
    </row>
    <row r="5" spans="1:14" x14ac:dyDescent="0.25">
      <c r="A5" s="115">
        <v>2</v>
      </c>
      <c r="B5" s="116">
        <v>46297</v>
      </c>
      <c r="C5" s="37"/>
      <c r="D5" s="37"/>
      <c r="E5" s="354"/>
      <c r="F5" s="354"/>
      <c r="G5" s="37">
        <f t="shared" ref="G5:G35" si="0">E5*F5</f>
        <v>0</v>
      </c>
      <c r="H5" s="354"/>
      <c r="I5" s="354"/>
      <c r="J5" s="37">
        <f t="shared" ref="J5:J35" si="1">H5*I5</f>
        <v>0</v>
      </c>
      <c r="K5" s="37">
        <f t="shared" ref="K5:L35" si="2">G5+J5</f>
        <v>0</v>
      </c>
      <c r="L5" s="37"/>
      <c r="M5" s="37">
        <f t="shared" ref="M5:M35" si="3">M4+K5-L5</f>
        <v>188792.24999999997</v>
      </c>
      <c r="N5" s="328"/>
    </row>
    <row r="6" spans="1:14" x14ac:dyDescent="0.25">
      <c r="A6" s="115">
        <v>3</v>
      </c>
      <c r="B6" s="116">
        <v>46298</v>
      </c>
      <c r="C6" s="37"/>
      <c r="D6" s="37"/>
      <c r="E6" s="354"/>
      <c r="F6" s="354"/>
      <c r="G6" s="37">
        <f t="shared" si="0"/>
        <v>0</v>
      </c>
      <c r="H6" s="354"/>
      <c r="I6" s="354"/>
      <c r="J6" s="37">
        <f t="shared" si="1"/>
        <v>0</v>
      </c>
      <c r="K6" s="37">
        <f t="shared" si="2"/>
        <v>0</v>
      </c>
      <c r="L6" s="37"/>
      <c r="M6" s="37">
        <f t="shared" si="3"/>
        <v>188792.24999999997</v>
      </c>
      <c r="N6" s="328"/>
    </row>
    <row r="7" spans="1:14" x14ac:dyDescent="0.25">
      <c r="A7" s="115">
        <v>4</v>
      </c>
      <c r="B7" s="116">
        <v>46299</v>
      </c>
      <c r="C7" s="37"/>
      <c r="D7" s="37"/>
      <c r="E7" s="354"/>
      <c r="F7" s="354"/>
      <c r="G7" s="37">
        <f t="shared" si="0"/>
        <v>0</v>
      </c>
      <c r="H7" s="354"/>
      <c r="I7" s="354"/>
      <c r="J7" s="37">
        <f t="shared" si="1"/>
        <v>0</v>
      </c>
      <c r="K7" s="37">
        <f t="shared" si="2"/>
        <v>0</v>
      </c>
      <c r="L7" s="37"/>
      <c r="M7" s="37">
        <f t="shared" si="3"/>
        <v>188792.24999999997</v>
      </c>
      <c r="N7" s="328"/>
    </row>
    <row r="8" spans="1:14" x14ac:dyDescent="0.25">
      <c r="A8" s="115">
        <v>5</v>
      </c>
      <c r="B8" s="116">
        <v>46300</v>
      </c>
      <c r="C8" s="37"/>
      <c r="D8" s="37"/>
      <c r="E8" s="354">
        <v>600</v>
      </c>
      <c r="F8" s="354">
        <v>100.03</v>
      </c>
      <c r="G8" s="37">
        <f t="shared" si="0"/>
        <v>60018</v>
      </c>
      <c r="H8" s="354">
        <v>35</v>
      </c>
      <c r="I8" s="354">
        <v>112.04</v>
      </c>
      <c r="J8" s="37">
        <f t="shared" si="1"/>
        <v>3921.4</v>
      </c>
      <c r="K8" s="37">
        <f t="shared" si="2"/>
        <v>63939.4</v>
      </c>
      <c r="L8" s="37"/>
      <c r="M8" s="37">
        <f t="shared" si="3"/>
        <v>252731.64999999997</v>
      </c>
      <c r="N8" s="328"/>
    </row>
    <row r="9" spans="1:14" x14ac:dyDescent="0.25">
      <c r="A9" s="115">
        <v>6</v>
      </c>
      <c r="B9" s="116">
        <v>46301</v>
      </c>
      <c r="C9" s="37"/>
      <c r="D9" s="37"/>
      <c r="E9" s="354"/>
      <c r="F9" s="354"/>
      <c r="G9" s="37">
        <f t="shared" si="0"/>
        <v>0</v>
      </c>
      <c r="H9" s="354"/>
      <c r="I9" s="354"/>
      <c r="J9" s="37">
        <f t="shared" si="1"/>
        <v>0</v>
      </c>
      <c r="K9" s="37">
        <f t="shared" si="2"/>
        <v>0</v>
      </c>
      <c r="L9" s="37"/>
      <c r="M9" s="37">
        <f t="shared" si="3"/>
        <v>252731.64999999997</v>
      </c>
      <c r="N9" s="328"/>
    </row>
    <row r="10" spans="1:14" x14ac:dyDescent="0.25">
      <c r="A10" s="115">
        <v>7</v>
      </c>
      <c r="B10" s="116">
        <v>46302</v>
      </c>
      <c r="C10" s="37"/>
      <c r="D10" s="37"/>
      <c r="E10" s="354"/>
      <c r="F10" s="354"/>
      <c r="G10" s="37">
        <f t="shared" si="0"/>
        <v>0</v>
      </c>
      <c r="H10" s="354"/>
      <c r="I10" s="354"/>
      <c r="J10" s="37">
        <f t="shared" si="1"/>
        <v>0</v>
      </c>
      <c r="K10" s="37">
        <f t="shared" si="2"/>
        <v>0</v>
      </c>
      <c r="L10" s="37"/>
      <c r="M10" s="37">
        <f>M9+K10-L10</f>
        <v>252731.64999999997</v>
      </c>
      <c r="N10" s="328"/>
    </row>
    <row r="11" spans="1:14" x14ac:dyDescent="0.25">
      <c r="A11" s="115">
        <v>8</v>
      </c>
      <c r="B11" s="116">
        <v>46303</v>
      </c>
      <c r="C11" s="37"/>
      <c r="D11" s="37"/>
      <c r="E11" s="354"/>
      <c r="F11" s="354"/>
      <c r="G11" s="37">
        <f t="shared" si="0"/>
        <v>0</v>
      </c>
      <c r="H11" s="354"/>
      <c r="I11" s="354"/>
      <c r="J11" s="37">
        <f t="shared" si="1"/>
        <v>0</v>
      </c>
      <c r="K11" s="37">
        <f t="shared" si="2"/>
        <v>0</v>
      </c>
      <c r="L11" s="37"/>
      <c r="M11" s="37">
        <f t="shared" si="3"/>
        <v>252731.64999999997</v>
      </c>
      <c r="N11" s="328"/>
    </row>
    <row r="12" spans="1:14" x14ac:dyDescent="0.25">
      <c r="A12" s="115">
        <v>9</v>
      </c>
      <c r="B12" s="116">
        <v>46304</v>
      </c>
      <c r="C12" s="37"/>
      <c r="D12" s="37"/>
      <c r="E12" s="354"/>
      <c r="F12" s="354"/>
      <c r="G12" s="37">
        <f t="shared" si="0"/>
        <v>0</v>
      </c>
      <c r="H12" s="354"/>
      <c r="I12" s="354"/>
      <c r="J12" s="37">
        <f t="shared" si="1"/>
        <v>0</v>
      </c>
      <c r="K12" s="37">
        <f t="shared" si="2"/>
        <v>0</v>
      </c>
      <c r="L12" s="37"/>
      <c r="M12" s="37">
        <f t="shared" si="3"/>
        <v>252731.64999999997</v>
      </c>
      <c r="N12" s="328"/>
    </row>
    <row r="13" spans="1:14" x14ac:dyDescent="0.25">
      <c r="A13" s="115">
        <v>10</v>
      </c>
      <c r="B13" s="116">
        <v>46305</v>
      </c>
      <c r="C13" s="37"/>
      <c r="D13" s="37"/>
      <c r="E13" s="354"/>
      <c r="F13" s="354"/>
      <c r="G13" s="37">
        <f t="shared" si="0"/>
        <v>0</v>
      </c>
      <c r="H13" s="354"/>
      <c r="I13" s="354"/>
      <c r="J13" s="37">
        <f t="shared" si="1"/>
        <v>0</v>
      </c>
      <c r="K13" s="37">
        <f t="shared" si="2"/>
        <v>0</v>
      </c>
      <c r="L13" s="37">
        <v>200000</v>
      </c>
      <c r="M13" s="37">
        <f t="shared" si="3"/>
        <v>52731.649999999965</v>
      </c>
      <c r="N13" s="328"/>
    </row>
    <row r="14" spans="1:14" x14ac:dyDescent="0.25">
      <c r="A14" s="115">
        <v>11</v>
      </c>
      <c r="B14" s="116">
        <v>46306</v>
      </c>
      <c r="C14" s="37"/>
      <c r="D14" s="37"/>
      <c r="E14" s="354">
        <v>600</v>
      </c>
      <c r="F14" s="354">
        <v>100.03</v>
      </c>
      <c r="G14" s="37">
        <f t="shared" ref="G14" si="4">E14*F14</f>
        <v>60018</v>
      </c>
      <c r="H14" s="354">
        <v>35</v>
      </c>
      <c r="I14" s="354">
        <v>112.04</v>
      </c>
      <c r="J14" s="37">
        <f t="shared" si="1"/>
        <v>3921.4</v>
      </c>
      <c r="K14" s="37">
        <f t="shared" si="2"/>
        <v>63939.4</v>
      </c>
      <c r="L14" s="37"/>
      <c r="M14" s="37">
        <f t="shared" si="3"/>
        <v>116671.04999999996</v>
      </c>
      <c r="N14" s="328"/>
    </row>
    <row r="15" spans="1:14" x14ac:dyDescent="0.25">
      <c r="A15" s="115">
        <v>12</v>
      </c>
      <c r="B15" s="116">
        <v>46307</v>
      </c>
      <c r="C15" s="37"/>
      <c r="D15" s="37"/>
      <c r="E15" s="354"/>
      <c r="F15" s="354"/>
      <c r="G15" s="37">
        <f t="shared" si="0"/>
        <v>0</v>
      </c>
      <c r="H15" s="354"/>
      <c r="I15" s="354"/>
      <c r="J15" s="37">
        <f t="shared" si="1"/>
        <v>0</v>
      </c>
      <c r="K15" s="37">
        <f t="shared" si="2"/>
        <v>0</v>
      </c>
      <c r="L15" s="37"/>
      <c r="M15" s="37">
        <f t="shared" si="3"/>
        <v>116671.04999999996</v>
      </c>
      <c r="N15" s="328"/>
    </row>
    <row r="16" spans="1:14" x14ac:dyDescent="0.25">
      <c r="A16" s="115">
        <v>13</v>
      </c>
      <c r="B16" s="116">
        <v>46308</v>
      </c>
      <c r="C16" s="37"/>
      <c r="D16" s="37"/>
      <c r="E16" s="354"/>
      <c r="F16" s="354"/>
      <c r="G16" s="37">
        <f t="shared" si="0"/>
        <v>0</v>
      </c>
      <c r="H16" s="354"/>
      <c r="I16" s="354"/>
      <c r="J16" s="37">
        <f t="shared" si="1"/>
        <v>0</v>
      </c>
      <c r="K16" s="37">
        <f t="shared" si="2"/>
        <v>0</v>
      </c>
      <c r="L16" s="37"/>
      <c r="M16" s="37">
        <f t="shared" si="3"/>
        <v>116671.04999999996</v>
      </c>
      <c r="N16" s="328"/>
    </row>
    <row r="17" spans="1:14" x14ac:dyDescent="0.25">
      <c r="A17" s="115">
        <v>14</v>
      </c>
      <c r="B17" s="116">
        <v>46309</v>
      </c>
      <c r="C17" s="37"/>
      <c r="D17" s="37"/>
      <c r="E17" s="354"/>
      <c r="F17" s="354"/>
      <c r="G17" s="37">
        <f t="shared" si="0"/>
        <v>0</v>
      </c>
      <c r="H17" s="354"/>
      <c r="I17" s="354"/>
      <c r="J17" s="37">
        <f t="shared" si="1"/>
        <v>0</v>
      </c>
      <c r="K17" s="37">
        <f t="shared" si="2"/>
        <v>0</v>
      </c>
      <c r="L17" s="37"/>
      <c r="M17" s="37">
        <f t="shared" si="3"/>
        <v>116671.04999999996</v>
      </c>
      <c r="N17" s="328"/>
    </row>
    <row r="18" spans="1:14" x14ac:dyDescent="0.25">
      <c r="A18" s="115">
        <v>15</v>
      </c>
      <c r="B18" s="116">
        <v>46310</v>
      </c>
      <c r="C18" s="37"/>
      <c r="D18" s="37"/>
      <c r="E18" s="354">
        <v>600</v>
      </c>
      <c r="F18" s="354">
        <v>100.03</v>
      </c>
      <c r="G18" s="37">
        <f t="shared" si="0"/>
        <v>60018</v>
      </c>
      <c r="H18" s="354">
        <v>35</v>
      </c>
      <c r="I18" s="354">
        <v>112.04</v>
      </c>
      <c r="J18" s="37">
        <f t="shared" si="1"/>
        <v>3921.4</v>
      </c>
      <c r="K18" s="37">
        <f t="shared" si="2"/>
        <v>63939.4</v>
      </c>
      <c r="L18" s="37"/>
      <c r="M18" s="37">
        <f t="shared" si="3"/>
        <v>180610.44999999995</v>
      </c>
      <c r="N18" s="328"/>
    </row>
    <row r="19" spans="1:14" x14ac:dyDescent="0.25">
      <c r="A19" s="115">
        <v>16</v>
      </c>
      <c r="B19" s="116">
        <v>46311</v>
      </c>
      <c r="C19" s="37"/>
      <c r="D19" s="37"/>
      <c r="E19" s="354"/>
      <c r="F19" s="354"/>
      <c r="G19" s="37">
        <f t="shared" si="0"/>
        <v>0</v>
      </c>
      <c r="H19" s="354"/>
      <c r="I19" s="354"/>
      <c r="J19" s="37">
        <f t="shared" si="1"/>
        <v>0</v>
      </c>
      <c r="K19" s="37">
        <f t="shared" si="2"/>
        <v>0</v>
      </c>
      <c r="L19" s="37"/>
      <c r="M19" s="37">
        <f t="shared" si="3"/>
        <v>180610.44999999995</v>
      </c>
      <c r="N19" s="328"/>
    </row>
    <row r="20" spans="1:14" x14ac:dyDescent="0.25">
      <c r="A20" s="115">
        <v>17</v>
      </c>
      <c r="B20" s="116">
        <v>46312</v>
      </c>
      <c r="C20" s="37"/>
      <c r="D20" s="37"/>
      <c r="E20" s="354"/>
      <c r="F20" s="354"/>
      <c r="G20" s="37">
        <f t="shared" si="0"/>
        <v>0</v>
      </c>
      <c r="H20" s="354"/>
      <c r="I20" s="354"/>
      <c r="J20" s="37">
        <f t="shared" si="1"/>
        <v>0</v>
      </c>
      <c r="K20" s="37">
        <f t="shared" si="2"/>
        <v>0</v>
      </c>
      <c r="L20" s="37"/>
      <c r="M20" s="37">
        <f t="shared" si="3"/>
        <v>180610.44999999995</v>
      </c>
      <c r="N20" s="328"/>
    </row>
    <row r="21" spans="1:14" x14ac:dyDescent="0.25">
      <c r="A21" s="115">
        <v>18</v>
      </c>
      <c r="B21" s="116">
        <v>46313</v>
      </c>
      <c r="C21" s="37"/>
      <c r="D21" s="37"/>
      <c r="E21" s="354"/>
      <c r="F21" s="354"/>
      <c r="G21" s="37">
        <f t="shared" si="0"/>
        <v>0</v>
      </c>
      <c r="H21" s="354"/>
      <c r="I21" s="354"/>
      <c r="J21" s="37">
        <f t="shared" si="1"/>
        <v>0</v>
      </c>
      <c r="K21" s="37">
        <f t="shared" si="2"/>
        <v>0</v>
      </c>
      <c r="L21" s="37"/>
      <c r="M21" s="37">
        <f t="shared" si="3"/>
        <v>180610.44999999995</v>
      </c>
      <c r="N21" s="328"/>
    </row>
    <row r="22" spans="1:14" x14ac:dyDescent="0.25">
      <c r="A22" s="115">
        <v>19</v>
      </c>
      <c r="B22" s="116">
        <v>46314</v>
      </c>
      <c r="C22" s="37"/>
      <c r="D22" s="37"/>
      <c r="E22" s="354"/>
      <c r="F22" s="354"/>
      <c r="G22" s="37">
        <f t="shared" si="0"/>
        <v>0</v>
      </c>
      <c r="H22" s="354"/>
      <c r="I22" s="354"/>
      <c r="J22" s="37">
        <f t="shared" si="1"/>
        <v>0</v>
      </c>
      <c r="K22" s="37">
        <f t="shared" si="2"/>
        <v>0</v>
      </c>
      <c r="L22" s="37"/>
      <c r="M22" s="37">
        <f t="shared" si="3"/>
        <v>180610.44999999995</v>
      </c>
      <c r="N22" s="328"/>
    </row>
    <row r="23" spans="1:14" x14ac:dyDescent="0.25">
      <c r="A23" s="115">
        <v>20</v>
      </c>
      <c r="B23" s="116">
        <v>46315</v>
      </c>
      <c r="C23" s="37"/>
      <c r="D23" s="37"/>
      <c r="E23" s="354"/>
      <c r="F23" s="354"/>
      <c r="G23" s="37">
        <f t="shared" si="0"/>
        <v>0</v>
      </c>
      <c r="H23" s="354"/>
      <c r="I23" s="354"/>
      <c r="J23" s="37">
        <f t="shared" si="1"/>
        <v>0</v>
      </c>
      <c r="K23" s="37">
        <f t="shared" si="2"/>
        <v>0</v>
      </c>
      <c r="L23" s="37"/>
      <c r="M23" s="37">
        <f t="shared" si="3"/>
        <v>180610.44999999995</v>
      </c>
      <c r="N23" s="328"/>
    </row>
    <row r="24" spans="1:14" x14ac:dyDescent="0.25">
      <c r="A24" s="115">
        <v>21</v>
      </c>
      <c r="B24" s="116">
        <v>46316</v>
      </c>
      <c r="C24" s="37"/>
      <c r="D24" s="37"/>
      <c r="E24" s="354"/>
      <c r="F24" s="354"/>
      <c r="G24" s="37">
        <f t="shared" si="0"/>
        <v>0</v>
      </c>
      <c r="H24" s="354"/>
      <c r="I24" s="354"/>
      <c r="J24" s="37">
        <f t="shared" si="1"/>
        <v>0</v>
      </c>
      <c r="K24" s="37">
        <f t="shared" si="2"/>
        <v>0</v>
      </c>
      <c r="L24" s="37"/>
      <c r="M24" s="37">
        <f t="shared" si="3"/>
        <v>180610.44999999995</v>
      </c>
      <c r="N24" s="328"/>
    </row>
    <row r="25" spans="1:14" x14ac:dyDescent="0.25">
      <c r="A25" s="115">
        <v>22</v>
      </c>
      <c r="B25" s="116">
        <v>46317</v>
      </c>
      <c r="C25" s="37"/>
      <c r="D25" s="37"/>
      <c r="E25" s="354"/>
      <c r="F25" s="354"/>
      <c r="G25" s="37">
        <f t="shared" si="0"/>
        <v>0</v>
      </c>
      <c r="H25" s="354"/>
      <c r="I25" s="354"/>
      <c r="J25" s="37">
        <f t="shared" si="1"/>
        <v>0</v>
      </c>
      <c r="K25" s="37">
        <f t="shared" si="2"/>
        <v>0</v>
      </c>
      <c r="L25" s="37"/>
      <c r="M25" s="37">
        <f t="shared" si="3"/>
        <v>180610.44999999995</v>
      </c>
      <c r="N25" s="328"/>
    </row>
    <row r="26" spans="1:14" x14ac:dyDescent="0.25">
      <c r="A26" s="115">
        <v>23</v>
      </c>
      <c r="B26" s="116">
        <v>46318</v>
      </c>
      <c r="C26" s="37"/>
      <c r="D26" s="37"/>
      <c r="E26" s="354"/>
      <c r="F26" s="354"/>
      <c r="G26" s="37">
        <f t="shared" si="0"/>
        <v>0</v>
      </c>
      <c r="H26" s="354"/>
      <c r="I26" s="354"/>
      <c r="J26" s="37">
        <f t="shared" si="1"/>
        <v>0</v>
      </c>
      <c r="K26" s="37">
        <f t="shared" si="2"/>
        <v>0</v>
      </c>
      <c r="L26" s="37"/>
      <c r="M26" s="37">
        <f t="shared" si="3"/>
        <v>180610.44999999995</v>
      </c>
      <c r="N26" s="328"/>
    </row>
    <row r="27" spans="1:14" x14ac:dyDescent="0.25">
      <c r="A27" s="115">
        <v>24</v>
      </c>
      <c r="B27" s="116">
        <v>46319</v>
      </c>
      <c r="C27" s="37"/>
      <c r="D27" s="37"/>
      <c r="E27" s="354"/>
      <c r="F27" s="354"/>
      <c r="G27" s="37">
        <f t="shared" si="0"/>
        <v>0</v>
      </c>
      <c r="H27" s="354"/>
      <c r="I27" s="354"/>
      <c r="J27" s="37">
        <f t="shared" si="1"/>
        <v>0</v>
      </c>
      <c r="K27" s="37">
        <f t="shared" si="2"/>
        <v>0</v>
      </c>
      <c r="L27" s="37"/>
      <c r="M27" s="37">
        <f t="shared" si="3"/>
        <v>180610.44999999995</v>
      </c>
      <c r="N27" s="328"/>
    </row>
    <row r="28" spans="1:14" x14ac:dyDescent="0.25">
      <c r="A28" s="115">
        <v>25</v>
      </c>
      <c r="B28" s="116">
        <v>46320</v>
      </c>
      <c r="C28" s="37"/>
      <c r="D28" s="37"/>
      <c r="E28" s="354"/>
      <c r="F28" s="354"/>
      <c r="G28" s="37">
        <f t="shared" si="0"/>
        <v>0</v>
      </c>
      <c r="H28" s="354"/>
      <c r="I28" s="354"/>
      <c r="J28" s="37">
        <f t="shared" si="1"/>
        <v>0</v>
      </c>
      <c r="K28" s="37">
        <f t="shared" si="2"/>
        <v>0</v>
      </c>
      <c r="L28" s="37"/>
      <c r="M28" s="37">
        <f t="shared" si="3"/>
        <v>180610.44999999995</v>
      </c>
      <c r="N28" s="328"/>
    </row>
    <row r="29" spans="1:14" x14ac:dyDescent="0.25">
      <c r="A29" s="115">
        <v>26</v>
      </c>
      <c r="B29" s="116">
        <v>46321</v>
      </c>
      <c r="C29" s="37"/>
      <c r="D29" s="37"/>
      <c r="E29" s="354"/>
      <c r="F29" s="354"/>
      <c r="G29" s="37">
        <f t="shared" si="0"/>
        <v>0</v>
      </c>
      <c r="H29" s="354"/>
      <c r="I29" s="354"/>
      <c r="J29" s="37">
        <f t="shared" si="1"/>
        <v>0</v>
      </c>
      <c r="K29" s="37">
        <f t="shared" si="2"/>
        <v>0</v>
      </c>
      <c r="L29" s="37"/>
      <c r="M29" s="37">
        <f t="shared" si="3"/>
        <v>180610.44999999995</v>
      </c>
      <c r="N29" s="328"/>
    </row>
    <row r="30" spans="1:14" x14ac:dyDescent="0.25">
      <c r="A30" s="115">
        <v>27</v>
      </c>
      <c r="B30" s="116">
        <v>46322</v>
      </c>
      <c r="C30" s="37"/>
      <c r="D30" s="37"/>
      <c r="E30" s="354"/>
      <c r="F30" s="354"/>
      <c r="G30" s="37">
        <f t="shared" si="0"/>
        <v>0</v>
      </c>
      <c r="H30" s="354"/>
      <c r="I30" s="354"/>
      <c r="J30" s="37">
        <f t="shared" si="1"/>
        <v>0</v>
      </c>
      <c r="K30" s="37">
        <f t="shared" si="2"/>
        <v>0</v>
      </c>
      <c r="L30" s="37"/>
      <c r="M30" s="37">
        <f t="shared" si="3"/>
        <v>180610.44999999995</v>
      </c>
      <c r="N30" s="328"/>
    </row>
    <row r="31" spans="1:14" x14ac:dyDescent="0.25">
      <c r="A31" s="115">
        <v>28</v>
      </c>
      <c r="B31" s="116">
        <v>46323</v>
      </c>
      <c r="C31" s="37"/>
      <c r="D31" s="37"/>
      <c r="E31" s="354"/>
      <c r="F31" s="354"/>
      <c r="G31" s="37">
        <f t="shared" si="0"/>
        <v>0</v>
      </c>
      <c r="H31" s="354"/>
      <c r="I31" s="354"/>
      <c r="J31" s="37">
        <f t="shared" si="1"/>
        <v>0</v>
      </c>
      <c r="K31" s="37">
        <f t="shared" si="2"/>
        <v>0</v>
      </c>
      <c r="L31" s="37"/>
      <c r="M31" s="37">
        <f t="shared" si="3"/>
        <v>180610.44999999995</v>
      </c>
      <c r="N31" s="328"/>
    </row>
    <row r="32" spans="1:14" x14ac:dyDescent="0.25">
      <c r="A32" s="115">
        <v>29</v>
      </c>
      <c r="B32" s="116">
        <v>46324</v>
      </c>
      <c r="C32" s="37"/>
      <c r="D32" s="37"/>
      <c r="E32" s="354"/>
      <c r="F32" s="354"/>
      <c r="G32" s="37">
        <f t="shared" si="0"/>
        <v>0</v>
      </c>
      <c r="H32" s="354"/>
      <c r="I32" s="354"/>
      <c r="J32" s="37">
        <f t="shared" si="1"/>
        <v>0</v>
      </c>
      <c r="K32" s="37">
        <f t="shared" si="2"/>
        <v>0</v>
      </c>
      <c r="L32" s="37"/>
      <c r="M32" s="37">
        <f t="shared" si="3"/>
        <v>180610.44999999995</v>
      </c>
      <c r="N32" s="328"/>
    </row>
    <row r="33" spans="1:14" x14ac:dyDescent="0.25">
      <c r="A33" s="115">
        <v>30</v>
      </c>
      <c r="B33" s="116">
        <v>46325</v>
      </c>
      <c r="C33" s="37"/>
      <c r="D33" s="37"/>
      <c r="E33" s="354"/>
      <c r="F33" s="354"/>
      <c r="G33" s="37">
        <f t="shared" si="0"/>
        <v>0</v>
      </c>
      <c r="H33" s="354"/>
      <c r="I33" s="354"/>
      <c r="J33" s="37">
        <f t="shared" si="1"/>
        <v>0</v>
      </c>
      <c r="K33" s="37">
        <f t="shared" si="2"/>
        <v>0</v>
      </c>
      <c r="L33" s="37"/>
      <c r="M33" s="37">
        <f t="shared" si="3"/>
        <v>180610.44999999995</v>
      </c>
      <c r="N33" s="328"/>
    </row>
    <row r="34" spans="1:14" x14ac:dyDescent="0.25">
      <c r="A34" s="115">
        <v>31</v>
      </c>
      <c r="B34" s="116">
        <v>46326</v>
      </c>
      <c r="C34" s="37"/>
      <c r="D34" s="37"/>
      <c r="E34" s="354"/>
      <c r="F34" s="354"/>
      <c r="G34" s="37">
        <f t="shared" si="0"/>
        <v>0</v>
      </c>
      <c r="H34" s="354"/>
      <c r="I34" s="354"/>
      <c r="J34" s="37">
        <f t="shared" si="1"/>
        <v>0</v>
      </c>
      <c r="K34" s="37">
        <f t="shared" si="2"/>
        <v>0</v>
      </c>
      <c r="L34" s="37"/>
      <c r="M34" s="37">
        <f t="shared" si="3"/>
        <v>180610.44999999995</v>
      </c>
      <c r="N34" s="328"/>
    </row>
    <row r="35" spans="1:14" x14ac:dyDescent="0.25">
      <c r="A35" s="115">
        <v>32</v>
      </c>
      <c r="B35" s="116"/>
      <c r="C35" s="37"/>
      <c r="D35" s="37"/>
      <c r="E35" s="354"/>
      <c r="F35" s="354"/>
      <c r="G35" s="37">
        <f t="shared" si="0"/>
        <v>0</v>
      </c>
      <c r="H35" s="354"/>
      <c r="I35" s="354"/>
      <c r="J35" s="37">
        <f t="shared" si="1"/>
        <v>0</v>
      </c>
      <c r="K35" s="37">
        <f t="shared" si="2"/>
        <v>0</v>
      </c>
      <c r="L35" s="37"/>
      <c r="M35" s="37">
        <f t="shared" si="3"/>
        <v>180610.44999999995</v>
      </c>
      <c r="N35" s="328"/>
    </row>
    <row r="36" spans="1:14" x14ac:dyDescent="0.25">
      <c r="A36" s="115"/>
      <c r="B36" s="116"/>
      <c r="C36" s="37"/>
      <c r="D36" s="37"/>
      <c r="E36" s="354"/>
      <c r="F36" s="354"/>
      <c r="G36" s="37"/>
      <c r="H36" s="354"/>
      <c r="I36" s="354"/>
      <c r="J36" s="37"/>
      <c r="K36" s="37"/>
      <c r="L36" s="37"/>
      <c r="M36" s="37"/>
      <c r="N36" s="328"/>
    </row>
    <row r="37" spans="1:14" x14ac:dyDescent="0.25">
      <c r="A37" s="115"/>
      <c r="B37" s="116"/>
      <c r="C37" s="37"/>
      <c r="D37" s="37"/>
      <c r="E37" s="354"/>
      <c r="F37" s="354"/>
      <c r="G37" s="37"/>
      <c r="H37" s="354"/>
      <c r="I37" s="354"/>
      <c r="J37" s="37"/>
      <c r="K37" s="37"/>
      <c r="L37" s="37"/>
      <c r="M37" s="37"/>
      <c r="N37" s="328"/>
    </row>
    <row r="38" spans="1:14" x14ac:dyDescent="0.25">
      <c r="A38" s="121"/>
      <c r="B38" s="121"/>
      <c r="C38" s="121"/>
      <c r="D38" s="121"/>
      <c r="E38" s="121">
        <f>SUM(E4:E35)</f>
        <v>1800</v>
      </c>
      <c r="F38" s="121"/>
      <c r="G38" s="121">
        <f>SUM(G4:G35)</f>
        <v>180054</v>
      </c>
      <c r="H38" s="121">
        <f>SUM(H4:H35)</f>
        <v>105</v>
      </c>
      <c r="I38" s="121"/>
      <c r="J38" s="121">
        <f>SUM(J4:J35)</f>
        <v>11764.2</v>
      </c>
      <c r="K38" s="121">
        <f>SUM(K4:K35)</f>
        <v>191818.2</v>
      </c>
      <c r="L38" s="121">
        <f>SUM(L4:L35)</f>
        <v>200000</v>
      </c>
      <c r="M38" s="121"/>
      <c r="N38" s="121"/>
    </row>
  </sheetData>
  <mergeCells count="2">
    <mergeCell ref="A1:N1"/>
    <mergeCell ref="A3:J3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"/>
  </sheetPr>
  <dimension ref="A1:O52"/>
  <sheetViews>
    <sheetView workbookViewId="0" zoomScale="100" zoomScaleNormal="100">
      <pane ySplit="3" topLeftCell="A5" activePane="bottomLeft" state="frozen"/>
      <selection pane="bottomLeft" activeCell="M17" sqref="M17"/>
    </sheetView>
  </sheetViews>
  <sheetFormatPr defaultRowHeight="15" outlineLevelRow="0" outlineLevelCol="0" x14ac:dyDescent="0"/>
  <cols>
    <col min="2" max="2" width="10.85546875" customWidth="1"/>
    <col min="4" max="4" width="13.28515625" customWidth="1"/>
    <col min="5" max="5" width="12.7109375" customWidth="1"/>
    <col min="7" max="7" width="11.85546875" customWidth="1"/>
    <col min="8" max="8" width="13.42578125" customWidth="1"/>
    <col min="11" max="11" width="13.5703125" customWidth="1"/>
    <col min="12" max="12" width="12.42578125" customWidth="1"/>
    <col min="13" max="13" width="11.5703125" customWidth="1"/>
    <col min="19" max="19" width="14.7109375" customWidth="1"/>
  </cols>
  <sheetData>
    <row r="1" ht="15.75" customHeight="1" spans="1:15" x14ac:dyDescent="0.25">
      <c r="A1" s="325" t="s">
        <v>158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405"/>
    </row>
    <row r="2" ht="20.25" customHeight="1" spans="1:15" x14ac:dyDescent="0.25">
      <c r="A2" s="122" t="s">
        <v>0</v>
      </c>
      <c r="B2" s="123" t="s">
        <v>167</v>
      </c>
      <c r="C2" s="123" t="s">
        <v>168</v>
      </c>
      <c r="D2" s="123" t="s">
        <v>189</v>
      </c>
      <c r="E2" s="123" t="s">
        <v>170</v>
      </c>
      <c r="F2" s="123" t="s">
        <v>171</v>
      </c>
      <c r="G2" s="418" t="s">
        <v>172</v>
      </c>
      <c r="H2" s="123" t="s">
        <v>173</v>
      </c>
      <c r="I2" s="123" t="s">
        <v>171</v>
      </c>
      <c r="J2" s="418" t="s">
        <v>172</v>
      </c>
      <c r="K2" s="122" t="s">
        <v>174</v>
      </c>
      <c r="L2" s="366" t="s">
        <v>175</v>
      </c>
      <c r="M2" s="367" t="s">
        <v>190</v>
      </c>
      <c r="N2" s="123" t="s">
        <v>177</v>
      </c>
      <c r="O2" s="405"/>
    </row>
    <row r="3" spans="1:15" x14ac:dyDescent="0.25">
      <c r="A3" s="525" t="s">
        <v>178</v>
      </c>
      <c r="B3" s="526"/>
      <c r="C3" s="526"/>
      <c r="D3" s="526"/>
      <c r="E3" s="526"/>
      <c r="F3" s="526"/>
      <c r="G3" s="526"/>
      <c r="H3" s="526"/>
      <c r="I3" s="526"/>
      <c r="J3" s="526"/>
      <c r="K3" s="526"/>
      <c r="L3" s="544"/>
      <c r="M3" s="545">
        <v>178474.12</v>
      </c>
      <c r="N3" s="546"/>
      <c r="O3" s="405"/>
    </row>
    <row r="4" spans="1:15" x14ac:dyDescent="0.25">
      <c r="A4" s="183">
        <v>1</v>
      </c>
      <c r="B4" s="184">
        <v>46296</v>
      </c>
      <c r="C4" s="61"/>
      <c r="D4" s="61"/>
      <c r="E4" s="167">
        <v>263.28</v>
      </c>
      <c r="F4" s="61">
        <v>99.23</v>
      </c>
      <c r="G4" s="168">
        <f>E4*F4</f>
        <v>26125.2744</v>
      </c>
      <c r="H4" s="167">
        <v>10</v>
      </c>
      <c r="I4" s="61">
        <v>113.2</v>
      </c>
      <c r="J4" s="168">
        <f>H4*I4</f>
        <v>1132</v>
      </c>
      <c r="K4" s="168">
        <f>G4+J4</f>
        <v>27257.2744</v>
      </c>
      <c r="L4" s="547">
        <v>0</v>
      </c>
      <c r="M4" s="531">
        <f>M3+K4-L4</f>
        <v>205731.3944</v>
      </c>
      <c r="N4" s="189"/>
      <c r="O4" s="405"/>
    </row>
    <row r="5" spans="1:15" x14ac:dyDescent="0.25">
      <c r="A5" s="189">
        <v>2</v>
      </c>
      <c r="B5" s="184">
        <v>46297</v>
      </c>
      <c r="C5" s="61"/>
      <c r="D5" s="61"/>
      <c r="E5" s="167"/>
      <c r="F5" s="61"/>
      <c r="G5" s="168">
        <f>E5*F5</f>
        <v>0</v>
      </c>
      <c r="H5" s="167"/>
      <c r="I5" s="61"/>
      <c r="J5" s="168">
        <f t="shared" ref="J5:J34" si="0">H5*I5</f>
        <v>0</v>
      </c>
      <c r="K5" s="168">
        <f t="shared" ref="K5:K41" si="1">G5+J5</f>
        <v>0</v>
      </c>
      <c r="L5" s="547">
        <v>0</v>
      </c>
      <c r="M5" s="531">
        <f t="shared" ref="M5:M49" si="2">M4+K5-L5</f>
        <v>205731.3944</v>
      </c>
      <c r="N5" s="189"/>
      <c r="O5" s="405"/>
    </row>
    <row r="6" spans="1:15" x14ac:dyDescent="0.25">
      <c r="A6" s="189">
        <v>3</v>
      </c>
      <c r="B6" s="184">
        <v>46298</v>
      </c>
      <c r="C6" s="61"/>
      <c r="D6" s="61" t="s">
        <v>226</v>
      </c>
      <c r="E6" s="167"/>
      <c r="F6" s="61"/>
      <c r="G6" s="168">
        <f t="shared" ref="G6:G34" si="3">E6*F6</f>
        <v>0</v>
      </c>
      <c r="I6" s="61"/>
      <c r="J6" s="168">
        <f>H6*I6</f>
        <v>0</v>
      </c>
      <c r="K6" s="168">
        <f t="shared" si="1"/>
        <v>0</v>
      </c>
      <c r="L6" s="547">
        <v>0</v>
      </c>
      <c r="M6" s="531">
        <f t="shared" si="2"/>
        <v>205731.3944</v>
      </c>
      <c r="N6" s="189"/>
      <c r="O6" s="405"/>
    </row>
    <row r="7" spans="1:15" x14ac:dyDescent="0.25">
      <c r="A7" s="183">
        <v>4</v>
      </c>
      <c r="B7" s="184">
        <v>46299</v>
      </c>
      <c r="C7" s="61"/>
      <c r="D7" s="61"/>
      <c r="E7" s="167">
        <v>85</v>
      </c>
      <c r="F7" s="61">
        <v>99.23</v>
      </c>
      <c r="G7" s="168">
        <f t="shared" si="3"/>
        <v>8434.550000000001</v>
      </c>
      <c r="H7" s="167"/>
      <c r="I7" s="61"/>
      <c r="J7" s="168">
        <f t="shared" si="0"/>
        <v>0</v>
      </c>
      <c r="K7" s="168">
        <f t="shared" si="1"/>
        <v>8434.550000000001</v>
      </c>
      <c r="L7" s="547">
        <v>0</v>
      </c>
      <c r="M7" s="531">
        <f t="shared" si="2"/>
        <v>214165.94439999998</v>
      </c>
      <c r="N7" s="189"/>
      <c r="O7" s="405"/>
    </row>
    <row r="8" spans="1:15" x14ac:dyDescent="0.25">
      <c r="A8" s="189">
        <v>5</v>
      </c>
      <c r="B8" s="184">
        <v>46300</v>
      </c>
      <c r="C8" s="61"/>
      <c r="D8" s="61"/>
      <c r="E8" s="167">
        <v>30</v>
      </c>
      <c r="F8" s="61">
        <v>99.23</v>
      </c>
      <c r="G8" s="168">
        <f t="shared" si="3"/>
        <v>2976.9</v>
      </c>
      <c r="H8" s="167"/>
      <c r="I8" s="61"/>
      <c r="J8" s="168">
        <f t="shared" si="0"/>
        <v>0</v>
      </c>
      <c r="K8" s="168">
        <f t="shared" si="1"/>
        <v>2976.9</v>
      </c>
      <c r="L8" s="547"/>
      <c r="M8" s="531">
        <f t="shared" si="2"/>
        <v>217142.84439999997</v>
      </c>
      <c r="N8" s="189"/>
      <c r="O8" s="405"/>
    </row>
    <row r="9" spans="1:15" x14ac:dyDescent="0.25">
      <c r="A9" s="189">
        <v>6</v>
      </c>
      <c r="B9" s="184">
        <v>46301</v>
      </c>
      <c r="C9" s="61"/>
      <c r="D9" s="61"/>
      <c r="E9" s="167">
        <v>31.14</v>
      </c>
      <c r="F9" s="61">
        <v>99.23</v>
      </c>
      <c r="G9" s="168">
        <f t="shared" si="3"/>
        <v>3090.0222000000003</v>
      </c>
      <c r="H9" s="167">
        <v>5</v>
      </c>
      <c r="I9" s="61">
        <v>111.32</v>
      </c>
      <c r="J9" s="168">
        <f t="shared" si="0"/>
        <v>556.5999999999999</v>
      </c>
      <c r="K9" s="168">
        <f t="shared" si="1"/>
        <v>3646.6222000000002</v>
      </c>
      <c r="L9" s="547"/>
      <c r="M9" s="531">
        <f t="shared" si="2"/>
        <v>220789.46659999999</v>
      </c>
      <c r="N9" s="189"/>
      <c r="O9" s="405"/>
    </row>
    <row r="10" spans="1:15" x14ac:dyDescent="0.25">
      <c r="A10" s="183">
        <v>7</v>
      </c>
      <c r="B10" s="184">
        <v>46302</v>
      </c>
      <c r="C10" s="61"/>
      <c r="D10" s="61"/>
      <c r="E10" s="167">
        <v>38</v>
      </c>
      <c r="F10" s="61">
        <v>99.23</v>
      </c>
      <c r="G10" s="168">
        <f t="shared" si="3"/>
        <v>3770.7400000000002</v>
      </c>
      <c r="H10" s="167"/>
      <c r="I10" s="61"/>
      <c r="J10" s="168">
        <f t="shared" si="0"/>
        <v>0</v>
      </c>
      <c r="K10" s="168">
        <f t="shared" si="1"/>
        <v>3770.7400000000002</v>
      </c>
      <c r="L10" s="547"/>
      <c r="M10" s="531">
        <f t="shared" si="2"/>
        <v>224560.20659999998</v>
      </c>
      <c r="N10" s="189"/>
      <c r="O10" s="405"/>
    </row>
    <row r="11" spans="1:15" x14ac:dyDescent="0.25">
      <c r="A11" s="189">
        <v>8</v>
      </c>
      <c r="B11" s="184">
        <v>46303</v>
      </c>
      <c r="C11" s="61"/>
      <c r="D11" s="61"/>
      <c r="E11" s="167">
        <v>146.9</v>
      </c>
      <c r="F11" s="61">
        <v>99.23</v>
      </c>
      <c r="G11" s="168">
        <f t="shared" si="3"/>
        <v>14576.887</v>
      </c>
      <c r="H11" s="167">
        <v>7</v>
      </c>
      <c r="I11" s="61">
        <v>111.32</v>
      </c>
      <c r="J11" s="168">
        <f>H11*I11</f>
        <v>779.24</v>
      </c>
      <c r="K11" s="168">
        <f t="shared" si="1"/>
        <v>15356.127</v>
      </c>
      <c r="L11" s="547"/>
      <c r="M11" s="531">
        <f t="shared" si="2"/>
        <v>239916.33359999998</v>
      </c>
      <c r="N11" s="189"/>
      <c r="O11" s="405"/>
    </row>
    <row r="12" spans="1:15" x14ac:dyDescent="0.25">
      <c r="A12" s="189">
        <v>9</v>
      </c>
      <c r="B12" s="184">
        <v>46304</v>
      </c>
      <c r="C12" s="61"/>
      <c r="D12" s="61"/>
      <c r="E12" s="167">
        <v>77.14</v>
      </c>
      <c r="F12" s="61">
        <v>99.23</v>
      </c>
      <c r="G12" s="168">
        <f t="shared" si="3"/>
        <v>7654.6022</v>
      </c>
      <c r="H12" s="167">
        <v>5</v>
      </c>
      <c r="I12" s="61">
        <v>111.32</v>
      </c>
      <c r="J12" s="168">
        <f t="shared" ref="J12:J30" si="4">H12*I12</f>
        <v>556.5999999999999</v>
      </c>
      <c r="K12" s="168">
        <f t="shared" si="1"/>
        <v>8211.2022</v>
      </c>
      <c r="L12" s="547"/>
      <c r="M12" s="531">
        <f t="shared" si="2"/>
        <v>248127.53579999998</v>
      </c>
      <c r="N12" s="189"/>
      <c r="O12" s="405"/>
    </row>
    <row r="13" spans="1:15" x14ac:dyDescent="0.25">
      <c r="A13" s="183">
        <v>10</v>
      </c>
      <c r="B13" s="184">
        <v>46305</v>
      </c>
      <c r="C13" s="61"/>
      <c r="D13" s="61"/>
      <c r="E13" s="167"/>
      <c r="F13" s="61"/>
      <c r="G13" s="168">
        <f t="shared" si="3"/>
        <v>0</v>
      </c>
      <c r="H13" s="167"/>
      <c r="I13" s="61"/>
      <c r="J13" s="168">
        <f t="shared" si="4"/>
        <v>0</v>
      </c>
      <c r="K13" s="168">
        <f t="shared" si="1"/>
        <v>0</v>
      </c>
      <c r="L13" s="547"/>
      <c r="M13" s="531">
        <f t="shared" si="2"/>
        <v>248127.53579999998</v>
      </c>
      <c r="N13" s="189"/>
      <c r="O13" s="405"/>
    </row>
    <row r="14" spans="1:15" x14ac:dyDescent="0.25">
      <c r="A14" s="189">
        <v>11</v>
      </c>
      <c r="B14" s="184">
        <v>46306</v>
      </c>
      <c r="C14" s="61"/>
      <c r="D14" s="61"/>
      <c r="E14" s="167"/>
      <c r="F14" s="61"/>
      <c r="G14" s="168">
        <f t="shared" si="3"/>
        <v>0</v>
      </c>
      <c r="H14" s="167"/>
      <c r="I14" s="61"/>
      <c r="J14" s="168">
        <f t="shared" si="4"/>
        <v>0</v>
      </c>
      <c r="K14" s="168">
        <f t="shared" si="1"/>
        <v>0</v>
      </c>
      <c r="L14" s="547"/>
      <c r="M14" s="531">
        <f>M13+K14-L14</f>
        <v>248127.53579999998</v>
      </c>
      <c r="N14" s="189"/>
      <c r="O14" s="405"/>
    </row>
    <row r="15" spans="1:15" x14ac:dyDescent="0.25">
      <c r="A15" s="189">
        <v>12</v>
      </c>
      <c r="B15" s="184">
        <v>46307</v>
      </c>
      <c r="C15" s="61"/>
      <c r="D15" s="61"/>
      <c r="E15" s="167"/>
      <c r="F15" s="61"/>
      <c r="G15" s="168">
        <f t="shared" si="3"/>
        <v>0</v>
      </c>
      <c r="H15" s="167"/>
      <c r="I15" s="61"/>
      <c r="J15" s="168">
        <f t="shared" si="4"/>
        <v>0</v>
      </c>
      <c r="K15" s="168">
        <f t="shared" si="1"/>
        <v>0</v>
      </c>
      <c r="L15" s="547"/>
      <c r="M15" s="531">
        <f t="shared" si="2"/>
        <v>248127.53579999998</v>
      </c>
      <c r="N15" s="189"/>
      <c r="O15" s="405"/>
    </row>
    <row r="16" spans="1:15" x14ac:dyDescent="0.25">
      <c r="A16" s="183">
        <v>13</v>
      </c>
      <c r="B16" s="184">
        <v>46308</v>
      </c>
      <c r="C16" s="61"/>
      <c r="D16" s="61"/>
      <c r="E16" s="167">
        <v>142.65</v>
      </c>
      <c r="F16" s="61">
        <v>99.23</v>
      </c>
      <c r="G16" s="168">
        <f t="shared" si="3"/>
        <v>14155.159500000002</v>
      </c>
      <c r="H16" s="167">
        <v>5</v>
      </c>
      <c r="I16" s="61">
        <v>111.32</v>
      </c>
      <c r="J16" s="168">
        <f t="shared" si="4"/>
        <v>556.5999999999999</v>
      </c>
      <c r="K16" s="168">
        <f t="shared" si="1"/>
        <v>14711.759500000002</v>
      </c>
      <c r="L16" s="547"/>
      <c r="M16" s="531">
        <f t="shared" si="2"/>
        <v>262839.2953</v>
      </c>
      <c r="N16" s="189"/>
      <c r="O16" s="405"/>
    </row>
    <row r="17" spans="1:15" x14ac:dyDescent="0.25">
      <c r="A17" s="189">
        <v>14</v>
      </c>
      <c r="B17" s="184">
        <v>46309</v>
      </c>
      <c r="C17" s="61"/>
      <c r="D17" s="61"/>
      <c r="E17" s="167">
        <v>93.48</v>
      </c>
      <c r="F17" s="61">
        <v>99.23</v>
      </c>
      <c r="G17" s="168">
        <f t="shared" si="3"/>
        <v>9276.020400000001</v>
      </c>
      <c r="H17" s="167">
        <v>15</v>
      </c>
      <c r="I17" s="61">
        <v>111.32</v>
      </c>
      <c r="J17" s="168">
        <f t="shared" si="4"/>
        <v>1669.8</v>
      </c>
      <c r="K17" s="168">
        <f t="shared" si="1"/>
        <v>10945.8204</v>
      </c>
      <c r="L17" s="547"/>
      <c r="M17" s="531">
        <f t="shared" si="2"/>
        <v>273785.1157</v>
      </c>
      <c r="N17" s="189"/>
      <c r="O17" s="405"/>
    </row>
    <row r="18" spans="1:15" x14ac:dyDescent="0.25">
      <c r="A18" s="189">
        <v>15</v>
      </c>
      <c r="B18" s="184">
        <v>46310</v>
      </c>
      <c r="C18" s="61"/>
      <c r="D18" s="61"/>
      <c r="E18" s="528">
        <v>114.7</v>
      </c>
      <c r="F18" s="61">
        <v>99.23</v>
      </c>
      <c r="G18" s="168">
        <f t="shared" si="3"/>
        <v>11381.681</v>
      </c>
      <c r="H18" s="167"/>
      <c r="I18" s="61"/>
      <c r="J18" s="168">
        <f>H18*I18</f>
        <v>0</v>
      </c>
      <c r="K18" s="168">
        <f>G18+J18</f>
        <v>11381.681</v>
      </c>
      <c r="L18" s="547">
        <v>150000</v>
      </c>
      <c r="M18" s="531">
        <f t="shared" si="2"/>
        <v>135166.7967</v>
      </c>
      <c r="N18" s="189"/>
      <c r="O18" s="405"/>
    </row>
    <row r="19" spans="1:15" x14ac:dyDescent="0.25">
      <c r="A19" s="183">
        <v>16</v>
      </c>
      <c r="B19" s="184">
        <v>46311</v>
      </c>
      <c r="C19" s="61"/>
      <c r="D19" s="61"/>
      <c r="E19" s="528"/>
      <c r="F19" s="61"/>
      <c r="G19" s="168">
        <f t="shared" si="3"/>
        <v>0</v>
      </c>
      <c r="H19" s="167"/>
      <c r="I19" s="61"/>
      <c r="J19" s="168">
        <f>H19*I19</f>
        <v>0</v>
      </c>
      <c r="K19" s="168">
        <f t="shared" ref="K19:K23" si="5">G19+J19</f>
        <v>0</v>
      </c>
      <c r="L19" s="547"/>
      <c r="M19" s="531">
        <f t="shared" si="2"/>
        <v>135166.7967</v>
      </c>
      <c r="N19" s="189"/>
      <c r="O19" s="405"/>
    </row>
    <row r="20" spans="1:15" x14ac:dyDescent="0.25">
      <c r="A20" s="189">
        <v>17</v>
      </c>
      <c r="B20" s="184">
        <v>46312</v>
      </c>
      <c r="C20" s="61"/>
      <c r="D20" s="61"/>
      <c r="E20" s="167"/>
      <c r="F20" s="61"/>
      <c r="G20" s="168">
        <f t="shared" si="3"/>
        <v>0</v>
      </c>
      <c r="H20" s="167"/>
      <c r="I20" s="61"/>
      <c r="J20" s="168">
        <f>H20*I20</f>
        <v>0</v>
      </c>
      <c r="K20" s="168">
        <f t="shared" si="5"/>
        <v>0</v>
      </c>
      <c r="L20" s="547"/>
      <c r="M20" s="531">
        <f t="shared" si="2"/>
        <v>135166.7967</v>
      </c>
      <c r="N20" s="189"/>
      <c r="O20" s="405"/>
    </row>
    <row r="21" spans="1:15" x14ac:dyDescent="0.25">
      <c r="A21" s="189">
        <v>18</v>
      </c>
      <c r="B21" s="184">
        <v>46313</v>
      </c>
      <c r="C21" s="61"/>
      <c r="D21" s="61"/>
      <c r="E21" s="167"/>
      <c r="F21" s="61"/>
      <c r="G21" s="168">
        <f t="shared" si="3"/>
        <v>0</v>
      </c>
      <c r="H21" s="167"/>
      <c r="I21" s="61"/>
      <c r="J21" s="168">
        <f t="shared" si="4"/>
        <v>0</v>
      </c>
      <c r="K21" s="168">
        <f t="shared" si="5"/>
        <v>0</v>
      </c>
      <c r="L21" s="547"/>
      <c r="M21" s="531">
        <f t="shared" si="2"/>
        <v>135166.7967</v>
      </c>
      <c r="N21" s="189"/>
      <c r="O21" s="405"/>
    </row>
    <row r="22" spans="1:15" x14ac:dyDescent="0.25">
      <c r="A22" s="183">
        <v>19</v>
      </c>
      <c r="B22" s="184">
        <v>46314</v>
      </c>
      <c r="C22" s="61"/>
      <c r="D22" s="61"/>
      <c r="E22" s="167"/>
      <c r="F22" s="61"/>
      <c r="G22" s="168">
        <f t="shared" si="3"/>
        <v>0</v>
      </c>
      <c r="H22" s="167"/>
      <c r="I22" s="61"/>
      <c r="J22" s="168">
        <f t="shared" si="4"/>
        <v>0</v>
      </c>
      <c r="K22" s="168">
        <f t="shared" si="5"/>
        <v>0</v>
      </c>
      <c r="L22" s="547"/>
      <c r="M22" s="531">
        <f t="shared" si="2"/>
        <v>135166.7967</v>
      </c>
      <c r="N22" s="189"/>
      <c r="O22" s="405"/>
    </row>
    <row r="23" spans="1:15" x14ac:dyDescent="0.25">
      <c r="A23" s="189">
        <v>20</v>
      </c>
      <c r="B23" s="184">
        <v>46315</v>
      </c>
      <c r="C23" s="61"/>
      <c r="D23" s="61"/>
      <c r="E23" s="167"/>
      <c r="F23" s="61"/>
      <c r="G23" s="168">
        <f t="shared" si="3"/>
        <v>0</v>
      </c>
      <c r="H23" s="167"/>
      <c r="I23" s="61"/>
      <c r="J23" s="168">
        <f t="shared" si="4"/>
        <v>0</v>
      </c>
      <c r="K23" s="168">
        <f t="shared" si="5"/>
        <v>0</v>
      </c>
      <c r="L23" s="547"/>
      <c r="M23" s="531">
        <f t="shared" si="2"/>
        <v>135166.7967</v>
      </c>
      <c r="N23" s="189"/>
      <c r="O23" s="405"/>
    </row>
    <row r="24" spans="1:15" x14ac:dyDescent="0.25">
      <c r="A24" s="189">
        <v>21</v>
      </c>
      <c r="B24" s="184">
        <v>46316</v>
      </c>
      <c r="C24" s="61"/>
      <c r="D24" s="61"/>
      <c r="E24" s="167"/>
      <c r="F24" s="61"/>
      <c r="G24" s="168">
        <f t="shared" si="3"/>
        <v>0</v>
      </c>
      <c r="H24" s="167"/>
      <c r="I24" s="61"/>
      <c r="J24" s="168">
        <f t="shared" si="4"/>
        <v>0</v>
      </c>
      <c r="K24" s="168">
        <f t="shared" si="1"/>
        <v>0</v>
      </c>
      <c r="L24" s="547"/>
      <c r="M24" s="531">
        <f t="shared" si="2"/>
        <v>135166.7967</v>
      </c>
      <c r="N24" s="189"/>
      <c r="O24" s="405"/>
    </row>
    <row r="25" spans="1:15" x14ac:dyDescent="0.25">
      <c r="A25" s="183">
        <v>22</v>
      </c>
      <c r="B25" s="184">
        <v>46317</v>
      </c>
      <c r="C25" s="61"/>
      <c r="D25" s="61"/>
      <c r="E25" s="167"/>
      <c r="F25" s="61"/>
      <c r="G25" s="168">
        <f t="shared" si="3"/>
        <v>0</v>
      </c>
      <c r="H25" s="167"/>
      <c r="I25" s="61"/>
      <c r="J25" s="168">
        <f t="shared" si="4"/>
        <v>0</v>
      </c>
      <c r="K25" s="168">
        <f t="shared" si="1"/>
        <v>0</v>
      </c>
      <c r="L25" s="547"/>
      <c r="M25" s="531">
        <f t="shared" si="2"/>
        <v>135166.7967</v>
      </c>
      <c r="N25" s="189"/>
      <c r="O25" s="405"/>
    </row>
    <row r="26" spans="1:15" x14ac:dyDescent="0.25">
      <c r="A26" s="189">
        <v>23</v>
      </c>
      <c r="B26" s="184">
        <v>46318</v>
      </c>
      <c r="C26" s="61"/>
      <c r="D26" s="61"/>
      <c r="E26" s="167"/>
      <c r="F26" s="61"/>
      <c r="G26" s="168">
        <f t="shared" si="3"/>
        <v>0</v>
      </c>
      <c r="H26" s="167"/>
      <c r="I26" s="61"/>
      <c r="J26" s="168">
        <f t="shared" si="4"/>
        <v>0</v>
      </c>
      <c r="K26" s="168">
        <f t="shared" si="1"/>
        <v>0</v>
      </c>
      <c r="L26" s="547"/>
      <c r="M26" s="531">
        <f t="shared" si="2"/>
        <v>135166.7967</v>
      </c>
      <c r="N26" s="189"/>
      <c r="O26" s="405"/>
    </row>
    <row r="27" spans="1:15" x14ac:dyDescent="0.25">
      <c r="A27" s="189">
        <v>24</v>
      </c>
      <c r="B27" s="184">
        <v>46319</v>
      </c>
      <c r="C27" s="61"/>
      <c r="D27" s="61"/>
      <c r="E27" s="167"/>
      <c r="F27" s="61"/>
      <c r="G27" s="168">
        <f t="shared" si="3"/>
        <v>0</v>
      </c>
      <c r="H27" s="167"/>
      <c r="I27" s="61"/>
      <c r="J27" s="168">
        <f t="shared" si="4"/>
        <v>0</v>
      </c>
      <c r="K27" s="168">
        <f t="shared" si="1"/>
        <v>0</v>
      </c>
      <c r="L27" s="547"/>
      <c r="M27" s="531">
        <f t="shared" si="2"/>
        <v>135166.7967</v>
      </c>
      <c r="N27" s="189"/>
      <c r="O27" s="405"/>
    </row>
    <row r="28" spans="1:15" x14ac:dyDescent="0.25">
      <c r="A28" s="183">
        <v>25</v>
      </c>
      <c r="B28" s="184">
        <v>46320</v>
      </c>
      <c r="C28" s="61"/>
      <c r="D28" s="61"/>
      <c r="E28" s="167"/>
      <c r="F28" s="61"/>
      <c r="G28" s="168">
        <f t="shared" si="3"/>
        <v>0</v>
      </c>
      <c r="H28" s="167"/>
      <c r="I28" s="61"/>
      <c r="J28" s="168">
        <f t="shared" si="4"/>
        <v>0</v>
      </c>
      <c r="K28" s="168">
        <f t="shared" si="1"/>
        <v>0</v>
      </c>
      <c r="L28" s="547"/>
      <c r="M28" s="531">
        <f t="shared" si="2"/>
        <v>135166.7967</v>
      </c>
      <c r="N28" s="189"/>
      <c r="O28" s="405"/>
    </row>
    <row r="29" spans="1:15" x14ac:dyDescent="0.25">
      <c r="A29" s="189">
        <v>26</v>
      </c>
      <c r="B29" s="184">
        <v>46321</v>
      </c>
      <c r="C29" s="61"/>
      <c r="D29" s="61"/>
      <c r="E29" s="528"/>
      <c r="F29" s="528"/>
      <c r="G29" s="168">
        <f t="shared" si="3"/>
        <v>0</v>
      </c>
      <c r="H29" s="167"/>
      <c r="I29" s="61"/>
      <c r="J29" s="168">
        <f t="shared" si="4"/>
        <v>0</v>
      </c>
      <c r="K29" s="168">
        <f t="shared" si="1"/>
        <v>0</v>
      </c>
      <c r="L29" s="547"/>
      <c r="M29" s="531">
        <f t="shared" si="2"/>
        <v>135166.7967</v>
      </c>
      <c r="N29" s="189"/>
      <c r="O29" s="405"/>
    </row>
    <row r="30" spans="1:15" x14ac:dyDescent="0.25">
      <c r="A30" s="189">
        <v>27</v>
      </c>
      <c r="B30" s="184">
        <v>46322</v>
      </c>
      <c r="C30" s="61"/>
      <c r="D30" s="61"/>
      <c r="E30" s="528"/>
      <c r="F30" s="528"/>
      <c r="G30" s="168">
        <f t="shared" si="3"/>
        <v>0</v>
      </c>
      <c r="H30" s="167"/>
      <c r="I30" s="61"/>
      <c r="J30" s="168">
        <f t="shared" si="4"/>
        <v>0</v>
      </c>
      <c r="K30" s="168">
        <f t="shared" si="1"/>
        <v>0</v>
      </c>
      <c r="L30" s="547"/>
      <c r="M30" s="531">
        <f t="shared" si="2"/>
        <v>135166.7967</v>
      </c>
      <c r="N30" s="189"/>
      <c r="O30" s="405"/>
    </row>
    <row r="31" spans="1:15" x14ac:dyDescent="0.25">
      <c r="A31" s="183">
        <v>28</v>
      </c>
      <c r="B31" s="184">
        <v>46323</v>
      </c>
      <c r="C31" s="61"/>
      <c r="D31" s="61"/>
      <c r="E31" s="167"/>
      <c r="F31" s="61"/>
      <c r="G31" s="168">
        <f t="shared" si="3"/>
        <v>0</v>
      </c>
      <c r="H31" s="167"/>
      <c r="I31" s="61"/>
      <c r="J31" s="168">
        <f t="shared" si="0"/>
        <v>0</v>
      </c>
      <c r="K31" s="168">
        <f t="shared" si="1"/>
        <v>0</v>
      </c>
      <c r="L31" s="547"/>
      <c r="M31" s="531">
        <f t="shared" si="2"/>
        <v>135166.7967</v>
      </c>
      <c r="N31" s="189"/>
      <c r="O31" s="405"/>
    </row>
    <row r="32" spans="1:15" x14ac:dyDescent="0.25">
      <c r="A32" s="189">
        <v>29</v>
      </c>
      <c r="B32" s="184">
        <v>46324</v>
      </c>
      <c r="C32" s="61"/>
      <c r="D32" s="61"/>
      <c r="E32" s="167"/>
      <c r="F32" s="61"/>
      <c r="G32" s="168">
        <f t="shared" si="3"/>
        <v>0</v>
      </c>
      <c r="H32" s="167"/>
      <c r="I32" s="61"/>
      <c r="J32" s="168">
        <f t="shared" si="0"/>
        <v>0</v>
      </c>
      <c r="K32" s="168">
        <f t="shared" si="1"/>
        <v>0</v>
      </c>
      <c r="L32" s="547"/>
      <c r="M32" s="531">
        <f t="shared" si="2"/>
        <v>135166.7967</v>
      </c>
      <c r="N32" s="189"/>
      <c r="O32" s="405"/>
    </row>
    <row r="33" spans="1:15" x14ac:dyDescent="0.25">
      <c r="A33" s="189">
        <v>30</v>
      </c>
      <c r="B33" s="184">
        <v>46325</v>
      </c>
      <c r="C33" s="61"/>
      <c r="D33" s="61"/>
      <c r="E33" s="167"/>
      <c r="F33" s="61"/>
      <c r="G33" s="168">
        <f t="shared" si="3"/>
        <v>0</v>
      </c>
      <c r="H33" s="167"/>
      <c r="I33" s="61"/>
      <c r="J33" s="168">
        <f t="shared" si="0"/>
        <v>0</v>
      </c>
      <c r="K33" s="168">
        <f t="shared" si="1"/>
        <v>0</v>
      </c>
      <c r="L33" s="547"/>
      <c r="M33" s="531">
        <f t="shared" si="2"/>
        <v>135166.7967</v>
      </c>
      <c r="N33" s="189"/>
      <c r="O33" s="405"/>
    </row>
    <row r="34" spans="1:15" x14ac:dyDescent="0.25">
      <c r="A34" s="183">
        <v>31</v>
      </c>
      <c r="B34" s="184">
        <v>46326</v>
      </c>
      <c r="C34" s="61"/>
      <c r="D34" s="61"/>
      <c r="E34" s="167"/>
      <c r="F34" s="61"/>
      <c r="G34" s="168">
        <f t="shared" si="3"/>
        <v>0</v>
      </c>
      <c r="H34" s="167"/>
      <c r="I34" s="61"/>
      <c r="J34" s="168">
        <f t="shared" si="0"/>
        <v>0</v>
      </c>
      <c r="K34" s="168">
        <f t="shared" si="1"/>
        <v>0</v>
      </c>
      <c r="L34" s="547"/>
      <c r="M34" s="531">
        <f t="shared" si="2"/>
        <v>135166.7967</v>
      </c>
      <c r="N34" s="189"/>
      <c r="O34" s="405"/>
    </row>
    <row r="35" spans="1:15" x14ac:dyDescent="0.25">
      <c r="A35" s="189">
        <v>32</v>
      </c>
      <c r="B35" s="184"/>
      <c r="C35" s="61"/>
      <c r="D35" s="61"/>
      <c r="E35" s="167"/>
      <c r="F35" s="61"/>
      <c r="G35" s="168">
        <f t="shared" ref="G35:G41" si="6">E35*F35</f>
        <v>0</v>
      </c>
      <c r="H35" s="167"/>
      <c r="I35" s="61"/>
      <c r="J35" s="168">
        <f t="shared" ref="J35:J41" si="7">H35*I35</f>
        <v>0</v>
      </c>
      <c r="K35" s="168">
        <f t="shared" si="1"/>
        <v>0</v>
      </c>
      <c r="L35" s="547"/>
      <c r="M35" s="531">
        <f t="shared" si="2"/>
        <v>135166.7967</v>
      </c>
      <c r="N35" s="189"/>
      <c r="O35" s="405"/>
    </row>
    <row r="36" spans="1:15" x14ac:dyDescent="0.25">
      <c r="A36" s="189">
        <v>33</v>
      </c>
      <c r="B36" s="184"/>
      <c r="C36" s="61"/>
      <c r="D36" s="61"/>
      <c r="E36" s="167"/>
      <c r="F36" s="61"/>
      <c r="G36" s="168">
        <f t="shared" si="6"/>
        <v>0</v>
      </c>
      <c r="H36" s="167"/>
      <c r="I36" s="61"/>
      <c r="J36" s="168">
        <f t="shared" si="7"/>
        <v>0</v>
      </c>
      <c r="K36" s="168">
        <f t="shared" si="1"/>
        <v>0</v>
      </c>
      <c r="L36" s="547"/>
      <c r="M36" s="531">
        <f t="shared" si="2"/>
        <v>135166.7967</v>
      </c>
      <c r="N36" s="189"/>
      <c r="O36" s="405"/>
    </row>
    <row r="37" spans="1:15" x14ac:dyDescent="0.25">
      <c r="A37" s="183">
        <v>34</v>
      </c>
      <c r="B37" s="184"/>
      <c r="C37" s="61"/>
      <c r="D37" s="61"/>
      <c r="E37" s="167"/>
      <c r="F37" s="61"/>
      <c r="G37" s="168">
        <f t="shared" si="6"/>
        <v>0</v>
      </c>
      <c r="H37" s="167"/>
      <c r="I37" s="61"/>
      <c r="J37" s="168">
        <f t="shared" si="7"/>
        <v>0</v>
      </c>
      <c r="K37" s="168">
        <f t="shared" si="1"/>
        <v>0</v>
      </c>
      <c r="L37" s="547"/>
      <c r="M37" s="531">
        <f t="shared" si="2"/>
        <v>135166.7967</v>
      </c>
      <c r="N37" s="189"/>
      <c r="O37" s="405"/>
    </row>
    <row r="38" spans="1:15" x14ac:dyDescent="0.25">
      <c r="A38" s="189">
        <v>35</v>
      </c>
      <c r="B38" s="184"/>
      <c r="C38" s="61"/>
      <c r="D38" s="61"/>
      <c r="E38" s="167"/>
      <c r="F38" s="61"/>
      <c r="G38" s="168">
        <f t="shared" si="6"/>
        <v>0</v>
      </c>
      <c r="H38" s="167"/>
      <c r="I38" s="61"/>
      <c r="J38" s="168">
        <f t="shared" si="7"/>
        <v>0</v>
      </c>
      <c r="K38" s="168">
        <f t="shared" si="1"/>
        <v>0</v>
      </c>
      <c r="L38" s="547"/>
      <c r="M38" s="531">
        <f t="shared" si="2"/>
        <v>135166.7967</v>
      </c>
      <c r="N38" s="189"/>
      <c r="O38" s="405"/>
    </row>
    <row r="39" spans="1:15" x14ac:dyDescent="0.25">
      <c r="A39" s="189">
        <v>36</v>
      </c>
      <c r="B39" s="184"/>
      <c r="C39" s="61"/>
      <c r="D39" s="61"/>
      <c r="E39" s="167"/>
      <c r="F39" s="61"/>
      <c r="G39" s="168">
        <f t="shared" si="6"/>
        <v>0</v>
      </c>
      <c r="H39" s="167"/>
      <c r="I39" s="61"/>
      <c r="J39" s="168">
        <f t="shared" si="7"/>
        <v>0</v>
      </c>
      <c r="K39" s="168">
        <f t="shared" si="1"/>
        <v>0</v>
      </c>
      <c r="L39" s="547"/>
      <c r="M39" s="531">
        <f t="shared" si="2"/>
        <v>135166.7967</v>
      </c>
      <c r="N39" s="189"/>
      <c r="O39" s="405"/>
    </row>
    <row r="40" spans="1:15" x14ac:dyDescent="0.25">
      <c r="A40" s="183">
        <v>37</v>
      </c>
      <c r="B40" s="184"/>
      <c r="C40" s="61"/>
      <c r="D40" s="61"/>
      <c r="E40" s="167"/>
      <c r="F40" s="61"/>
      <c r="G40" s="168">
        <f t="shared" si="6"/>
        <v>0</v>
      </c>
      <c r="H40" s="167"/>
      <c r="I40" s="61"/>
      <c r="J40" s="168">
        <f t="shared" si="7"/>
        <v>0</v>
      </c>
      <c r="K40" s="168">
        <f t="shared" si="1"/>
        <v>0</v>
      </c>
      <c r="L40" s="547"/>
      <c r="M40" s="531">
        <f t="shared" si="2"/>
        <v>135166.7967</v>
      </c>
      <c r="N40" s="189"/>
      <c r="O40" s="405"/>
    </row>
    <row r="41" spans="1:15" x14ac:dyDescent="0.25">
      <c r="A41" s="189">
        <v>38</v>
      </c>
      <c r="B41" s="184"/>
      <c r="C41" s="61"/>
      <c r="D41" s="61"/>
      <c r="E41" s="167"/>
      <c r="F41" s="61"/>
      <c r="G41" s="168">
        <f t="shared" si="6"/>
        <v>0</v>
      </c>
      <c r="H41" s="167"/>
      <c r="I41" s="61"/>
      <c r="J41" s="168">
        <f t="shared" si="7"/>
        <v>0</v>
      </c>
      <c r="K41" s="168">
        <f t="shared" si="1"/>
        <v>0</v>
      </c>
      <c r="L41" s="547"/>
      <c r="M41" s="531">
        <f t="shared" si="2"/>
        <v>135166.7967</v>
      </c>
      <c r="N41" s="61"/>
      <c r="O41" s="405"/>
    </row>
    <row r="42" spans="1:15" x14ac:dyDescent="0.25">
      <c r="A42" s="189">
        <v>39</v>
      </c>
      <c r="B42" s="184"/>
      <c r="C42" s="61"/>
      <c r="D42" s="61"/>
      <c r="E42" s="167"/>
      <c r="F42" s="61"/>
      <c r="G42" s="168">
        <f t="shared" ref="G25:G49" si="8">E42*F42</f>
        <v>0</v>
      </c>
      <c r="H42" s="167"/>
      <c r="I42" s="61"/>
      <c r="J42" s="168">
        <f t="shared" ref="J25:J49" si="9">H42*I42</f>
        <v>0</v>
      </c>
      <c r="K42" s="168">
        <f t="shared" ref="K42:K49" si="10">G42+J42</f>
        <v>0</v>
      </c>
      <c r="L42" s="547"/>
      <c r="M42" s="531">
        <f t="shared" si="2"/>
        <v>135166.7967</v>
      </c>
      <c r="N42" s="61"/>
      <c r="O42" s="405"/>
    </row>
    <row r="43" spans="1:15" x14ac:dyDescent="0.25">
      <c r="A43" s="183">
        <v>40</v>
      </c>
      <c r="B43" s="184"/>
      <c r="C43" s="61"/>
      <c r="D43" s="61"/>
      <c r="E43" s="167"/>
      <c r="F43" s="61"/>
      <c r="G43" s="168">
        <f t="shared" si="8"/>
        <v>0</v>
      </c>
      <c r="H43" s="167"/>
      <c r="I43" s="61"/>
      <c r="J43" s="168">
        <f t="shared" si="9"/>
        <v>0</v>
      </c>
      <c r="K43" s="168">
        <f t="shared" si="10"/>
        <v>0</v>
      </c>
      <c r="L43" s="547"/>
      <c r="M43" s="531">
        <f t="shared" si="2"/>
        <v>135166.7967</v>
      </c>
      <c r="N43" s="61"/>
      <c r="O43" s="405"/>
    </row>
    <row r="44" spans="1:15" x14ac:dyDescent="0.25">
      <c r="A44" s="189">
        <v>41</v>
      </c>
      <c r="B44" s="184"/>
      <c r="C44" s="61"/>
      <c r="D44" s="61"/>
      <c r="E44" s="167"/>
      <c r="F44" s="61"/>
      <c r="G44" s="168">
        <f t="shared" si="8"/>
        <v>0</v>
      </c>
      <c r="H44" s="167"/>
      <c r="I44" s="61"/>
      <c r="J44" s="168">
        <f t="shared" si="9"/>
        <v>0</v>
      </c>
      <c r="K44" s="168">
        <f t="shared" si="10"/>
        <v>0</v>
      </c>
      <c r="L44" s="547"/>
      <c r="M44" s="531">
        <f t="shared" si="2"/>
        <v>135166.7967</v>
      </c>
      <c r="N44" s="61"/>
      <c r="O44" s="405"/>
    </row>
    <row r="45" spans="1:15" x14ac:dyDescent="0.25">
      <c r="A45" s="189">
        <v>42</v>
      </c>
      <c r="B45" s="184"/>
      <c r="C45" s="61"/>
      <c r="D45" s="61"/>
      <c r="E45" s="167"/>
      <c r="F45" s="61"/>
      <c r="G45" s="168">
        <f t="shared" si="8"/>
        <v>0</v>
      </c>
      <c r="H45" s="167"/>
      <c r="I45" s="61"/>
      <c r="J45" s="168">
        <f t="shared" si="9"/>
        <v>0</v>
      </c>
      <c r="K45" s="168">
        <f t="shared" si="10"/>
        <v>0</v>
      </c>
      <c r="L45" s="547"/>
      <c r="M45" s="531">
        <f t="shared" si="2"/>
        <v>135166.7967</v>
      </c>
      <c r="N45" s="61"/>
      <c r="O45" s="405"/>
    </row>
    <row r="46" spans="1:15" x14ac:dyDescent="0.25">
      <c r="A46" s="183">
        <v>43</v>
      </c>
      <c r="B46" s="533"/>
      <c r="C46" s="534"/>
      <c r="D46" s="61"/>
      <c r="E46" s="167"/>
      <c r="F46" s="61"/>
      <c r="G46" s="168">
        <f t="shared" si="8"/>
        <v>0</v>
      </c>
      <c r="H46" s="167"/>
      <c r="I46" s="61"/>
      <c r="J46" s="168">
        <f t="shared" si="9"/>
        <v>0</v>
      </c>
      <c r="K46" s="168">
        <f t="shared" si="10"/>
        <v>0</v>
      </c>
      <c r="L46" s="547"/>
      <c r="M46" s="531">
        <f t="shared" si="2"/>
        <v>135166.7967</v>
      </c>
      <c r="N46" s="534"/>
      <c r="O46" s="405"/>
    </row>
    <row r="47" spans="1:15" x14ac:dyDescent="0.25">
      <c r="A47" s="189">
        <v>44</v>
      </c>
      <c r="B47" s="61"/>
      <c r="C47" s="61"/>
      <c r="D47" s="61"/>
      <c r="E47" s="167"/>
      <c r="F47" s="61"/>
      <c r="G47" s="168">
        <f t="shared" si="8"/>
        <v>0</v>
      </c>
      <c r="H47" s="167"/>
      <c r="I47" s="61"/>
      <c r="J47" s="168">
        <f t="shared" si="9"/>
        <v>0</v>
      </c>
      <c r="K47" s="168">
        <f t="shared" si="10"/>
        <v>0</v>
      </c>
      <c r="L47" s="547">
        <v>0</v>
      </c>
      <c r="M47" s="531">
        <f t="shared" si="2"/>
        <v>135166.7967</v>
      </c>
      <c r="N47" s="61"/>
      <c r="O47" s="405"/>
    </row>
    <row r="48" spans="1:15" x14ac:dyDescent="0.25">
      <c r="A48" s="189">
        <v>45</v>
      </c>
      <c r="B48" s="534"/>
      <c r="C48" s="534"/>
      <c r="D48" s="61"/>
      <c r="E48" s="167"/>
      <c r="F48" s="61"/>
      <c r="G48" s="168">
        <f t="shared" si="8"/>
        <v>0</v>
      </c>
      <c r="H48" s="167"/>
      <c r="I48" s="61"/>
      <c r="J48" s="168">
        <f t="shared" si="9"/>
        <v>0</v>
      </c>
      <c r="K48" s="268">
        <f t="shared" si="10"/>
        <v>0</v>
      </c>
      <c r="L48" s="272"/>
      <c r="M48" s="531">
        <f t="shared" si="2"/>
        <v>135166.7967</v>
      </c>
      <c r="N48" s="534"/>
      <c r="O48" s="405"/>
    </row>
    <row r="49" spans="1:15" x14ac:dyDescent="0.25">
      <c r="A49" s="183">
        <v>46</v>
      </c>
      <c r="B49" s="534"/>
      <c r="C49" s="534"/>
      <c r="D49" s="61"/>
      <c r="E49" s="167"/>
      <c r="F49" s="61"/>
      <c r="G49" s="168">
        <f t="shared" si="8"/>
        <v>0</v>
      </c>
      <c r="H49" s="167"/>
      <c r="I49" s="61"/>
      <c r="J49" s="168">
        <f t="shared" si="9"/>
        <v>0</v>
      </c>
      <c r="K49" s="268">
        <f t="shared" si="10"/>
        <v>0</v>
      </c>
      <c r="L49" s="548"/>
      <c r="M49" s="531">
        <f t="shared" si="2"/>
        <v>135166.7967</v>
      </c>
      <c r="N49" s="534"/>
      <c r="O49" s="405"/>
    </row>
    <row r="50" spans="1:15" x14ac:dyDescent="0.25">
      <c r="A50" s="169"/>
      <c r="B50" s="169"/>
      <c r="C50" s="169"/>
      <c r="D50" s="169"/>
      <c r="E50" s="171">
        <f>SUM(E4:E49)</f>
        <v>1022.29</v>
      </c>
      <c r="F50" s="171"/>
      <c r="G50" s="171">
        <f>SUM(G4:G49)</f>
        <v>101441.8367</v>
      </c>
      <c r="H50" s="171">
        <f>SUM(H4:H49)</f>
        <v>47</v>
      </c>
      <c r="I50" s="171"/>
      <c r="J50" s="171">
        <f>SUM(J4:J49)</f>
        <v>5250.84</v>
      </c>
      <c r="K50" s="171">
        <f>SUM(K4:K49)</f>
        <v>106692.67669999998</v>
      </c>
      <c r="L50" s="171">
        <f>SUM(L4:L49)</f>
        <v>150000</v>
      </c>
      <c r="M50" s="171"/>
      <c r="N50" s="171"/>
      <c r="O50" s="208"/>
    </row>
    <row r="51" spans="1:15" x14ac:dyDescent="0.25">
      <c r="A51" s="405"/>
      <c r="B51" s="405"/>
      <c r="C51" s="405"/>
      <c r="D51" s="405"/>
      <c r="E51" s="405"/>
      <c r="F51" s="405"/>
      <c r="G51" s="409"/>
      <c r="H51" s="405"/>
      <c r="I51" s="405"/>
      <c r="J51" s="409"/>
      <c r="K51" s="405"/>
      <c r="L51" s="409"/>
      <c r="M51" s="409"/>
      <c r="N51" s="405"/>
      <c r="O51" s="405"/>
    </row>
    <row r="52" spans="1:15" x14ac:dyDescent="0.25">
      <c r="A52" s="405"/>
      <c r="B52" s="405"/>
      <c r="C52" s="405"/>
      <c r="D52" s="405"/>
      <c r="E52" s="405"/>
      <c r="F52" s="405"/>
      <c r="G52" s="409"/>
      <c r="H52" s="405"/>
      <c r="I52" s="405"/>
      <c r="J52" s="409"/>
      <c r="K52" s="405"/>
      <c r="L52" s="409"/>
      <c r="M52" s="409"/>
      <c r="N52" s="405"/>
      <c r="O52" s="405"/>
    </row>
  </sheetData>
  <mergeCells count="3">
    <mergeCell ref="A1:N1"/>
    <mergeCell ref="A3:L3"/>
    <mergeCell ref="M3:N3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6"/>
  <sheetViews>
    <sheetView workbookViewId="0" zoomScale="100" zoomScaleNormal="100">
      <pane ySplit="3" topLeftCell="A4" activePane="bottomLeft" state="frozen"/>
      <selection pane="bottomLeft" activeCell="O33" sqref="O33"/>
    </sheetView>
  </sheetViews>
  <sheetFormatPr defaultRowHeight="15" outlineLevelRow="0" outlineLevelCol="0" x14ac:dyDescent="0" defaultColWidth="22.5703125"/>
  <cols>
    <col min="1" max="1" width="10.5703125" customWidth="1"/>
    <col min="2" max="2" width="16.5703125" customWidth="1"/>
    <col min="3" max="3" width="11.85546875" customWidth="1"/>
    <col min="4" max="4" width="15.28515625" customWidth="1"/>
    <col min="5" max="5" width="12.7109375" customWidth="1"/>
    <col min="6" max="6" width="14.42578125" customWidth="1"/>
    <col min="7" max="7" width="10.85546875" customWidth="1"/>
    <col min="8" max="8" width="16.140625" customWidth="1"/>
    <col min="9" max="9" width="15.140625" customWidth="1"/>
    <col min="10" max="10" width="9.7109375" customWidth="1"/>
    <col min="11" max="12" width="13.5703125" customWidth="1"/>
    <col min="13" max="13" width="11.5703125" customWidth="1"/>
    <col min="14" max="14" width="8.7109375" customWidth="1"/>
  </cols>
  <sheetData>
    <row r="1" ht="15.75" customHeight="1" spans="1:15" x14ac:dyDescent="0.25">
      <c r="A1" s="172" t="s">
        <v>166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207"/>
    </row>
    <row r="2" ht="30.75" customHeight="1" spans="1:15" x14ac:dyDescent="0.25">
      <c r="A2" s="173" t="s">
        <v>0</v>
      </c>
      <c r="B2" s="174" t="s">
        <v>167</v>
      </c>
      <c r="C2" s="174" t="s">
        <v>168</v>
      </c>
      <c r="D2" s="174" t="s">
        <v>189</v>
      </c>
      <c r="E2" s="175" t="s">
        <v>170</v>
      </c>
      <c r="F2" s="175" t="s">
        <v>171</v>
      </c>
      <c r="G2" s="174" t="s">
        <v>172</v>
      </c>
      <c r="H2" s="174" t="s">
        <v>173</v>
      </c>
      <c r="I2" s="174" t="s">
        <v>171</v>
      </c>
      <c r="J2" s="176" t="s">
        <v>172</v>
      </c>
      <c r="K2" s="177" t="s">
        <v>174</v>
      </c>
      <c r="L2" s="178" t="s">
        <v>175</v>
      </c>
      <c r="M2" s="179" t="s">
        <v>190</v>
      </c>
      <c r="N2" s="180" t="s">
        <v>177</v>
      </c>
      <c r="O2" s="208"/>
    </row>
    <row r="3" spans="1:15" x14ac:dyDescent="0.25">
      <c r="A3" s="148" t="s">
        <v>178</v>
      </c>
      <c r="B3" s="149"/>
      <c r="C3" s="126"/>
      <c r="D3" s="126"/>
      <c r="E3" s="149"/>
      <c r="F3" s="149"/>
      <c r="G3" s="149"/>
      <c r="H3" s="149"/>
      <c r="I3" s="149"/>
      <c r="J3" s="149"/>
      <c r="K3" s="149"/>
      <c r="L3" s="150"/>
      <c r="M3" s="181">
        <v>0</v>
      </c>
      <c r="N3" s="182"/>
      <c r="O3" s="208"/>
    </row>
    <row r="4" spans="1:14" x14ac:dyDescent="0.25">
      <c r="A4" s="183">
        <v>1</v>
      </c>
      <c r="B4" s="184">
        <v>46296</v>
      </c>
      <c r="C4" s="185"/>
      <c r="D4" s="186"/>
      <c r="E4" s="204"/>
      <c r="F4" s="165"/>
      <c r="G4" s="166">
        <f t="shared" ref="G4:G36" si="0">E4*F4</f>
        <v>0</v>
      </c>
      <c r="H4" s="167"/>
      <c r="I4" s="168"/>
      <c r="J4" s="166">
        <f>H4*I4</f>
        <v>0</v>
      </c>
      <c r="K4" s="166">
        <f>G4+J4</f>
        <v>0</v>
      </c>
      <c r="L4" s="188">
        <f>+K4</f>
        <v>0</v>
      </c>
      <c r="M4" s="188">
        <v>0</v>
      </c>
      <c r="N4" s="166"/>
    </row>
    <row r="5" spans="1:14" x14ac:dyDescent="0.25">
      <c r="A5" s="183"/>
      <c r="B5" s="184">
        <v>46297</v>
      </c>
      <c r="C5" s="185"/>
      <c r="D5" s="186"/>
      <c r="E5" s="204"/>
      <c r="F5" s="165"/>
      <c r="G5" s="166"/>
      <c r="H5" s="167"/>
      <c r="I5" s="168"/>
      <c r="J5" s="166">
        <f>H5*I5</f>
        <v>0</v>
      </c>
      <c r="K5" s="166">
        <f>G5+J5</f>
        <v>0</v>
      </c>
      <c r="L5" s="188">
        <f>+K5</f>
        <v>0</v>
      </c>
      <c r="M5" s="188"/>
      <c r="N5" s="253"/>
    </row>
    <row r="6" spans="1:14" x14ac:dyDescent="0.25">
      <c r="A6" s="189">
        <v>2</v>
      </c>
      <c r="B6" s="184">
        <v>46298</v>
      </c>
      <c r="C6" s="185"/>
      <c r="D6" s="37"/>
      <c r="E6" s="204"/>
      <c r="F6" s="165"/>
      <c r="G6" s="166">
        <f t="shared" si="0"/>
        <v>0</v>
      </c>
      <c r="H6" s="167"/>
      <c r="I6" s="168"/>
      <c r="J6" s="166">
        <f t="shared" ref="J6:J36" si="1">H6*I6</f>
        <v>0</v>
      </c>
      <c r="K6" s="166">
        <f t="shared" ref="K6:K36" si="2">G6+J6</f>
        <v>0</v>
      </c>
      <c r="L6" s="188">
        <f t="shared" ref="L6:L36" si="3">+K6</f>
        <v>0</v>
      </c>
      <c r="M6" s="188">
        <v>0</v>
      </c>
      <c r="N6" s="253"/>
    </row>
    <row r="7" spans="1:14" x14ac:dyDescent="0.25">
      <c r="A7" s="189">
        <v>3</v>
      </c>
      <c r="B7" s="184">
        <v>46299</v>
      </c>
      <c r="C7" s="185"/>
      <c r="D7" s="186"/>
      <c r="E7" s="204"/>
      <c r="F7" s="165"/>
      <c r="G7" s="166">
        <f t="shared" si="0"/>
        <v>0</v>
      </c>
      <c r="H7" s="167"/>
      <c r="I7" s="168"/>
      <c r="J7" s="166">
        <f t="shared" si="1"/>
        <v>0</v>
      </c>
      <c r="K7" s="166">
        <f t="shared" si="2"/>
        <v>0</v>
      </c>
      <c r="L7" s="188">
        <f t="shared" si="3"/>
        <v>0</v>
      </c>
      <c r="M7" s="300">
        <v>0</v>
      </c>
      <c r="N7" s="37"/>
    </row>
    <row r="8" spans="1:14" x14ac:dyDescent="0.25">
      <c r="A8" s="189">
        <v>4</v>
      </c>
      <c r="B8" s="184">
        <v>46300</v>
      </c>
      <c r="C8" s="185"/>
      <c r="D8" s="186"/>
      <c r="E8" s="204"/>
      <c r="F8" s="165"/>
      <c r="G8" s="166">
        <f t="shared" si="0"/>
        <v>0</v>
      </c>
      <c r="H8" s="167"/>
      <c r="I8" s="168"/>
      <c r="J8" s="166">
        <f t="shared" si="1"/>
        <v>0</v>
      </c>
      <c r="K8" s="166">
        <f t="shared" si="2"/>
        <v>0</v>
      </c>
      <c r="L8" s="188">
        <f t="shared" si="3"/>
        <v>0</v>
      </c>
      <c r="M8" s="300">
        <v>0</v>
      </c>
      <c r="N8" s="166"/>
    </row>
    <row r="9" spans="1:18" x14ac:dyDescent="0.25">
      <c r="A9" s="189">
        <v>5</v>
      </c>
      <c r="B9" s="184">
        <v>46301</v>
      </c>
      <c r="C9" s="260"/>
      <c r="D9" s="205"/>
      <c r="E9" s="165"/>
      <c r="F9" s="165"/>
      <c r="G9" s="166">
        <f t="shared" si="0"/>
        <v>0</v>
      </c>
      <c r="H9" s="167"/>
      <c r="I9" s="168"/>
      <c r="J9" s="166">
        <f t="shared" si="1"/>
        <v>0</v>
      </c>
      <c r="K9" s="166">
        <f t="shared" si="2"/>
        <v>0</v>
      </c>
      <c r="L9" s="188">
        <f t="shared" si="3"/>
        <v>0</v>
      </c>
      <c r="M9" s="300">
        <v>0</v>
      </c>
      <c r="N9" s="166"/>
      <c r="O9" s="209"/>
      <c r="R9" s="210"/>
    </row>
    <row r="10" spans="1:15" x14ac:dyDescent="0.25">
      <c r="A10" s="189">
        <v>6</v>
      </c>
      <c r="B10" s="184">
        <v>46302</v>
      </c>
      <c r="C10" s="185"/>
      <c r="D10" s="186"/>
      <c r="E10" s="165"/>
      <c r="F10" s="165"/>
      <c r="G10" s="166">
        <f t="shared" si="0"/>
        <v>0</v>
      </c>
      <c r="H10" s="167"/>
      <c r="I10" s="168"/>
      <c r="J10" s="166">
        <f t="shared" si="1"/>
        <v>0</v>
      </c>
      <c r="K10" s="166">
        <f t="shared" si="2"/>
        <v>0</v>
      </c>
      <c r="L10" s="188">
        <f t="shared" si="3"/>
        <v>0</v>
      </c>
      <c r="M10" s="188">
        <v>0</v>
      </c>
      <c r="N10" s="262"/>
      <c r="O10" s="209"/>
    </row>
    <row r="11" spans="1:15" x14ac:dyDescent="0.25">
      <c r="A11" s="189">
        <v>7</v>
      </c>
      <c r="B11" s="184">
        <v>46303</v>
      </c>
      <c r="C11" s="185"/>
      <c r="D11" s="186"/>
      <c r="E11" s="165"/>
      <c r="F11" s="165"/>
      <c r="G11" s="166">
        <f t="shared" si="0"/>
        <v>0</v>
      </c>
      <c r="H11" s="167"/>
      <c r="I11" s="168"/>
      <c r="J11" s="166">
        <f t="shared" si="1"/>
        <v>0</v>
      </c>
      <c r="K11" s="166">
        <f t="shared" si="2"/>
        <v>0</v>
      </c>
      <c r="L11" s="188">
        <f t="shared" si="3"/>
        <v>0</v>
      </c>
      <c r="M11" s="188">
        <v>0</v>
      </c>
      <c r="N11" s="166"/>
      <c r="O11" s="209"/>
    </row>
    <row r="12" spans="1:15" x14ac:dyDescent="0.25">
      <c r="A12" s="189">
        <v>8</v>
      </c>
      <c r="B12" s="184">
        <v>46304</v>
      </c>
      <c r="C12" s="185"/>
      <c r="D12" s="186"/>
      <c r="E12" s="165"/>
      <c r="F12" s="165"/>
      <c r="G12" s="166">
        <f t="shared" si="0"/>
        <v>0</v>
      </c>
      <c r="H12" s="167"/>
      <c r="I12" s="168"/>
      <c r="J12" s="166">
        <f t="shared" si="1"/>
        <v>0</v>
      </c>
      <c r="K12" s="166">
        <f t="shared" si="2"/>
        <v>0</v>
      </c>
      <c r="L12" s="188">
        <f t="shared" si="3"/>
        <v>0</v>
      </c>
      <c r="M12" s="188">
        <v>0</v>
      </c>
      <c r="N12" s="166"/>
      <c r="O12" s="209"/>
    </row>
    <row r="13" spans="1:15" x14ac:dyDescent="0.25">
      <c r="A13" s="189">
        <v>9</v>
      </c>
      <c r="B13" s="184">
        <v>46305</v>
      </c>
      <c r="C13" s="185"/>
      <c r="D13" s="186"/>
      <c r="E13" s="165"/>
      <c r="F13" s="165"/>
      <c r="G13" s="166">
        <f t="shared" si="0"/>
        <v>0</v>
      </c>
      <c r="H13" s="167"/>
      <c r="I13" s="168"/>
      <c r="J13" s="166">
        <f t="shared" si="1"/>
        <v>0</v>
      </c>
      <c r="K13" s="166">
        <f t="shared" si="2"/>
        <v>0</v>
      </c>
      <c r="L13" s="188">
        <f t="shared" si="3"/>
        <v>0</v>
      </c>
      <c r="M13" s="188">
        <v>0</v>
      </c>
      <c r="N13" s="166"/>
      <c r="O13" s="209"/>
    </row>
    <row r="14" spans="1:15" x14ac:dyDescent="0.25">
      <c r="A14" s="189">
        <v>10</v>
      </c>
      <c r="B14" s="184">
        <v>46306</v>
      </c>
      <c r="C14" s="185"/>
      <c r="D14" s="186"/>
      <c r="E14" s="165"/>
      <c r="F14" s="165"/>
      <c r="G14" s="166">
        <f t="shared" si="0"/>
        <v>0</v>
      </c>
      <c r="H14" s="167"/>
      <c r="I14" s="168"/>
      <c r="J14" s="166">
        <f t="shared" si="1"/>
        <v>0</v>
      </c>
      <c r="K14" s="166">
        <f t="shared" si="2"/>
        <v>0</v>
      </c>
      <c r="L14" s="188">
        <f t="shared" si="3"/>
        <v>0</v>
      </c>
      <c r="M14" s="188">
        <v>0</v>
      </c>
      <c r="N14" s="166"/>
      <c r="O14" s="209"/>
    </row>
    <row r="15" spans="1:15" x14ac:dyDescent="0.25">
      <c r="A15" s="189">
        <v>11</v>
      </c>
      <c r="B15" s="184">
        <v>46307</v>
      </c>
      <c r="C15" s="185"/>
      <c r="D15" s="186"/>
      <c r="E15" s="165"/>
      <c r="F15" s="165"/>
      <c r="G15" s="166">
        <f t="shared" si="0"/>
        <v>0</v>
      </c>
      <c r="H15" s="167"/>
      <c r="I15" s="168"/>
      <c r="J15" s="166">
        <f t="shared" si="1"/>
        <v>0</v>
      </c>
      <c r="K15" s="166">
        <f>G15+J15</f>
        <v>0</v>
      </c>
      <c r="L15" s="188">
        <f>+K15</f>
        <v>0</v>
      </c>
      <c r="M15" s="188">
        <v>0</v>
      </c>
      <c r="N15" s="166"/>
      <c r="O15" s="209"/>
    </row>
    <row r="16" spans="1:15" x14ac:dyDescent="0.25">
      <c r="A16" s="189">
        <v>12</v>
      </c>
      <c r="B16" s="184">
        <v>46308</v>
      </c>
      <c r="C16" s="185"/>
      <c r="D16" s="186"/>
      <c r="E16" s="165"/>
      <c r="F16" s="165"/>
      <c r="G16" s="166">
        <f t="shared" si="0"/>
        <v>0</v>
      </c>
      <c r="H16" s="167"/>
      <c r="I16" s="168"/>
      <c r="J16" s="166">
        <f t="shared" si="1"/>
        <v>0</v>
      </c>
      <c r="K16" s="166">
        <f t="shared" si="2"/>
        <v>0</v>
      </c>
      <c r="L16" s="188">
        <f t="shared" si="3"/>
        <v>0</v>
      </c>
      <c r="M16" s="188">
        <v>0</v>
      </c>
      <c r="N16" s="166"/>
      <c r="O16" s="209"/>
    </row>
    <row r="17" spans="1:15" x14ac:dyDescent="0.25">
      <c r="A17" s="189">
        <v>13</v>
      </c>
      <c r="B17" s="184">
        <v>46309</v>
      </c>
      <c r="C17" s="185"/>
      <c r="D17" s="186"/>
      <c r="E17" s="165"/>
      <c r="F17" s="165"/>
      <c r="G17" s="166">
        <f t="shared" si="0"/>
        <v>0</v>
      </c>
      <c r="H17" s="167"/>
      <c r="I17" s="168"/>
      <c r="J17" s="166">
        <f t="shared" si="1"/>
        <v>0</v>
      </c>
      <c r="K17" s="166">
        <f t="shared" si="2"/>
        <v>0</v>
      </c>
      <c r="L17" s="188">
        <f t="shared" si="3"/>
        <v>0</v>
      </c>
      <c r="M17" s="188">
        <v>0</v>
      </c>
      <c r="N17" s="166"/>
      <c r="O17" s="209"/>
    </row>
    <row r="18" spans="1:15" x14ac:dyDescent="0.25">
      <c r="A18" s="189">
        <v>14</v>
      </c>
      <c r="B18" s="184">
        <v>46310</v>
      </c>
      <c r="C18" s="185"/>
      <c r="D18" s="186"/>
      <c r="E18" s="165"/>
      <c r="F18" s="165"/>
      <c r="G18" s="166">
        <f t="shared" si="0"/>
        <v>0</v>
      </c>
      <c r="H18" s="167"/>
      <c r="I18" s="168"/>
      <c r="J18" s="166">
        <f t="shared" si="1"/>
        <v>0</v>
      </c>
      <c r="K18" s="166">
        <f t="shared" si="2"/>
        <v>0</v>
      </c>
      <c r="L18" s="188">
        <f t="shared" si="3"/>
        <v>0</v>
      </c>
      <c r="M18" s="188">
        <v>0</v>
      </c>
      <c r="N18" s="166"/>
      <c r="O18" s="209"/>
    </row>
    <row r="19" spans="1:15" x14ac:dyDescent="0.25">
      <c r="A19" s="189">
        <v>15</v>
      </c>
      <c r="B19" s="184">
        <v>46311</v>
      </c>
      <c r="C19" s="185"/>
      <c r="D19" s="186"/>
      <c r="E19" s="275"/>
      <c r="F19" s="275"/>
      <c r="G19" s="253">
        <f t="shared" si="0"/>
        <v>0</v>
      </c>
      <c r="H19" s="167"/>
      <c r="I19" s="168"/>
      <c r="J19" s="253">
        <f t="shared" si="1"/>
        <v>0</v>
      </c>
      <c r="K19" s="253">
        <f t="shared" si="2"/>
        <v>0</v>
      </c>
      <c r="L19" s="252">
        <f t="shared" si="3"/>
        <v>0</v>
      </c>
      <c r="M19" s="252">
        <v>0</v>
      </c>
      <c r="N19" s="166"/>
      <c r="O19" s="209"/>
    </row>
    <row r="20" spans="1:15" x14ac:dyDescent="0.25">
      <c r="A20" s="189">
        <v>16</v>
      </c>
      <c r="B20" s="184">
        <v>46312</v>
      </c>
      <c r="C20" s="185"/>
      <c r="D20" s="278"/>
      <c r="E20" s="165"/>
      <c r="F20" s="165"/>
      <c r="G20" s="166">
        <f t="shared" si="0"/>
        <v>0</v>
      </c>
      <c r="H20" s="167"/>
      <c r="I20" s="168"/>
      <c r="J20" s="166">
        <f t="shared" si="1"/>
        <v>0</v>
      </c>
      <c r="K20" s="166">
        <f t="shared" si="2"/>
        <v>0</v>
      </c>
      <c r="L20" s="188">
        <f>+K20</f>
        <v>0</v>
      </c>
      <c r="M20" s="188">
        <v>0</v>
      </c>
      <c r="N20" s="259"/>
      <c r="O20" s="209"/>
    </row>
    <row r="21" spans="1:15" x14ac:dyDescent="0.25">
      <c r="A21" s="189">
        <v>17</v>
      </c>
      <c r="B21" s="184">
        <v>46313</v>
      </c>
      <c r="C21" s="185"/>
      <c r="D21" s="278"/>
      <c r="E21" s="165"/>
      <c r="F21" s="165"/>
      <c r="G21" s="166">
        <f t="shared" si="0"/>
        <v>0</v>
      </c>
      <c r="H21" s="167"/>
      <c r="I21" s="168"/>
      <c r="J21" s="166">
        <f t="shared" si="1"/>
        <v>0</v>
      </c>
      <c r="K21" s="166">
        <f t="shared" si="2"/>
        <v>0</v>
      </c>
      <c r="L21" s="188">
        <f t="shared" si="3"/>
        <v>0</v>
      </c>
      <c r="M21" s="188">
        <v>0</v>
      </c>
      <c r="N21" s="259"/>
      <c r="O21" s="209"/>
    </row>
    <row r="22" spans="1:15" x14ac:dyDescent="0.25">
      <c r="A22" s="189">
        <v>18</v>
      </c>
      <c r="B22" s="184">
        <v>46314</v>
      </c>
      <c r="C22" s="185"/>
      <c r="D22" s="278"/>
      <c r="E22" s="37"/>
      <c r="F22" s="37"/>
      <c r="G22" s="166">
        <f t="shared" si="0"/>
        <v>0</v>
      </c>
      <c r="H22" s="167"/>
      <c r="I22" s="168"/>
      <c r="J22" s="166">
        <f t="shared" si="1"/>
        <v>0</v>
      </c>
      <c r="K22" s="166">
        <f t="shared" si="2"/>
        <v>0</v>
      </c>
      <c r="L22" s="188">
        <f t="shared" si="3"/>
        <v>0</v>
      </c>
      <c r="M22" s="188">
        <v>0</v>
      </c>
      <c r="N22" s="259"/>
      <c r="O22" s="209"/>
    </row>
    <row r="23" spans="1:15" x14ac:dyDescent="0.25">
      <c r="A23" s="189">
        <v>19</v>
      </c>
      <c r="B23" s="184">
        <v>46315</v>
      </c>
      <c r="C23" s="185"/>
      <c r="D23" s="278"/>
      <c r="E23" s="37"/>
      <c r="F23" s="37"/>
      <c r="G23" s="166">
        <f t="shared" si="0"/>
        <v>0</v>
      </c>
      <c r="H23" s="167"/>
      <c r="I23" s="168"/>
      <c r="J23" s="166">
        <f t="shared" si="1"/>
        <v>0</v>
      </c>
      <c r="K23" s="166">
        <f t="shared" si="2"/>
        <v>0</v>
      </c>
      <c r="L23" s="188">
        <f t="shared" si="3"/>
        <v>0</v>
      </c>
      <c r="M23" s="188">
        <v>0</v>
      </c>
      <c r="N23" s="259"/>
      <c r="O23" s="209"/>
    </row>
    <row r="24" spans="1:15" x14ac:dyDescent="0.25">
      <c r="A24" s="189">
        <v>20</v>
      </c>
      <c r="B24" s="184">
        <v>46316</v>
      </c>
      <c r="C24" s="185"/>
      <c r="D24" s="278"/>
      <c r="E24" s="37"/>
      <c r="F24" s="37"/>
      <c r="G24" s="166">
        <f t="shared" si="0"/>
        <v>0</v>
      </c>
      <c r="H24" s="167"/>
      <c r="I24" s="168"/>
      <c r="J24" s="166">
        <f t="shared" si="1"/>
        <v>0</v>
      </c>
      <c r="K24" s="166">
        <f t="shared" si="2"/>
        <v>0</v>
      </c>
      <c r="L24" s="188">
        <f t="shared" si="3"/>
        <v>0</v>
      </c>
      <c r="M24" s="188">
        <v>0</v>
      </c>
      <c r="N24" s="259"/>
      <c r="O24" s="209"/>
    </row>
    <row r="25" spans="1:15" x14ac:dyDescent="0.25">
      <c r="A25" s="189">
        <v>21</v>
      </c>
      <c r="B25" s="184">
        <v>46317</v>
      </c>
      <c r="C25" s="185"/>
      <c r="D25" s="278"/>
      <c r="E25" s="37"/>
      <c r="F25" s="37"/>
      <c r="G25" s="166">
        <f t="shared" si="0"/>
        <v>0</v>
      </c>
      <c r="H25" s="167"/>
      <c r="I25" s="168"/>
      <c r="J25" s="166">
        <f t="shared" si="1"/>
        <v>0</v>
      </c>
      <c r="K25" s="166">
        <f t="shared" si="2"/>
        <v>0</v>
      </c>
      <c r="L25" s="188">
        <f t="shared" si="3"/>
        <v>0</v>
      </c>
      <c r="M25" s="188">
        <v>0</v>
      </c>
      <c r="N25" s="259"/>
      <c r="O25" s="209"/>
    </row>
    <row r="26" spans="1:15" x14ac:dyDescent="0.25">
      <c r="A26" s="189">
        <v>22</v>
      </c>
      <c r="B26" s="184">
        <v>46318</v>
      </c>
      <c r="C26" s="185"/>
      <c r="D26" s="278"/>
      <c r="E26" s="37"/>
      <c r="F26" s="37"/>
      <c r="G26" s="166">
        <f t="shared" si="0"/>
        <v>0</v>
      </c>
      <c r="H26" s="167"/>
      <c r="I26" s="168"/>
      <c r="J26" s="166">
        <f t="shared" si="1"/>
        <v>0</v>
      </c>
      <c r="K26" s="166">
        <f t="shared" si="2"/>
        <v>0</v>
      </c>
      <c r="L26" s="188">
        <f t="shared" si="3"/>
        <v>0</v>
      </c>
      <c r="M26" s="188">
        <v>0</v>
      </c>
      <c r="N26" s="259"/>
      <c r="O26" s="209"/>
    </row>
    <row r="27" spans="1:15" x14ac:dyDescent="0.25">
      <c r="A27" s="189">
        <v>23</v>
      </c>
      <c r="B27" s="184">
        <v>46319</v>
      </c>
      <c r="C27" s="185"/>
      <c r="D27" s="278"/>
      <c r="E27" s="37"/>
      <c r="F27" s="37"/>
      <c r="G27" s="166">
        <f t="shared" si="0"/>
        <v>0</v>
      </c>
      <c r="H27" s="167"/>
      <c r="I27" s="168"/>
      <c r="J27" s="166">
        <f t="shared" si="1"/>
        <v>0</v>
      </c>
      <c r="K27" s="166">
        <f t="shared" si="2"/>
        <v>0</v>
      </c>
      <c r="L27" s="188">
        <f t="shared" si="3"/>
        <v>0</v>
      </c>
      <c r="M27" s="188">
        <v>0</v>
      </c>
      <c r="N27" s="259"/>
      <c r="O27" s="209"/>
    </row>
    <row r="28" spans="1:15" x14ac:dyDescent="0.25">
      <c r="A28" s="189">
        <v>24</v>
      </c>
      <c r="B28" s="184">
        <v>46320</v>
      </c>
      <c r="C28" s="185"/>
      <c r="D28" s="278"/>
      <c r="E28" s="37"/>
      <c r="F28" s="37"/>
      <c r="G28" s="166">
        <f t="shared" si="0"/>
        <v>0</v>
      </c>
      <c r="H28" s="167"/>
      <c r="I28" s="168"/>
      <c r="J28" s="166">
        <f t="shared" si="1"/>
        <v>0</v>
      </c>
      <c r="K28" s="166">
        <f t="shared" si="2"/>
        <v>0</v>
      </c>
      <c r="L28" s="188">
        <f t="shared" si="3"/>
        <v>0</v>
      </c>
      <c r="M28" s="188">
        <v>0</v>
      </c>
      <c r="N28" s="259"/>
      <c r="O28" s="209"/>
    </row>
    <row r="29" spans="1:15" x14ac:dyDescent="0.25">
      <c r="A29" s="191">
        <v>25</v>
      </c>
      <c r="B29" s="184">
        <v>46321</v>
      </c>
      <c r="C29" s="185"/>
      <c r="D29" s="278"/>
      <c r="E29" s="37"/>
      <c r="F29" s="37"/>
      <c r="G29" s="166">
        <f t="shared" si="0"/>
        <v>0</v>
      </c>
      <c r="H29" s="167"/>
      <c r="I29" s="168"/>
      <c r="J29" s="166">
        <f t="shared" si="1"/>
        <v>0</v>
      </c>
      <c r="K29" s="166">
        <f t="shared" si="2"/>
        <v>0</v>
      </c>
      <c r="L29" s="188">
        <f t="shared" si="3"/>
        <v>0</v>
      </c>
      <c r="M29" s="188">
        <v>0</v>
      </c>
      <c r="N29" s="259"/>
      <c r="O29" s="209"/>
    </row>
    <row r="30" spans="1:15" x14ac:dyDescent="0.25">
      <c r="A30" s="191"/>
      <c r="B30" s="184">
        <v>46322</v>
      </c>
      <c r="C30" s="185"/>
      <c r="D30" s="278"/>
      <c r="E30" s="37"/>
      <c r="F30" s="37"/>
      <c r="G30" s="262"/>
      <c r="H30" s="167"/>
      <c r="I30" s="168"/>
      <c r="J30" s="166">
        <f t="shared" si="1"/>
        <v>0</v>
      </c>
      <c r="K30" s="166">
        <f t="shared" si="2"/>
        <v>0</v>
      </c>
      <c r="L30" s="188">
        <f t="shared" si="3"/>
        <v>0</v>
      </c>
      <c r="M30" s="279"/>
      <c r="N30" s="259"/>
      <c r="O30" s="209"/>
    </row>
    <row r="31" spans="1:15" x14ac:dyDescent="0.25">
      <c r="A31" s="191">
        <v>26</v>
      </c>
      <c r="B31" s="184">
        <v>46323</v>
      </c>
      <c r="C31" s="185"/>
      <c r="D31" s="186"/>
      <c r="E31" s="37"/>
      <c r="F31" s="37"/>
      <c r="G31" s="262">
        <f t="shared" si="0"/>
        <v>0</v>
      </c>
      <c r="H31" s="167"/>
      <c r="I31" s="168"/>
      <c r="J31" s="262">
        <f t="shared" si="1"/>
        <v>0</v>
      </c>
      <c r="K31" s="262">
        <f t="shared" si="2"/>
        <v>0</v>
      </c>
      <c r="L31" s="279">
        <f t="shared" si="3"/>
        <v>0</v>
      </c>
      <c r="M31" s="279">
        <v>0</v>
      </c>
      <c r="N31" s="166"/>
      <c r="O31" s="209"/>
    </row>
    <row r="32" spans="1:15" x14ac:dyDescent="0.25">
      <c r="A32" s="191">
        <v>27</v>
      </c>
      <c r="B32" s="184">
        <v>46324</v>
      </c>
      <c r="C32" s="185"/>
      <c r="D32" s="186"/>
      <c r="E32" s="37"/>
      <c r="F32" s="37"/>
      <c r="G32" s="166">
        <f t="shared" si="0"/>
        <v>0</v>
      </c>
      <c r="H32" s="167"/>
      <c r="I32" s="168"/>
      <c r="J32" s="166">
        <f t="shared" si="1"/>
        <v>0</v>
      </c>
      <c r="K32" s="166">
        <f t="shared" si="2"/>
        <v>0</v>
      </c>
      <c r="L32" s="188">
        <f t="shared" si="3"/>
        <v>0</v>
      </c>
      <c r="M32" s="188">
        <v>0</v>
      </c>
      <c r="N32" s="166"/>
      <c r="O32" s="209"/>
    </row>
    <row r="33" spans="1:15" x14ac:dyDescent="0.25">
      <c r="A33" s="191">
        <v>28</v>
      </c>
      <c r="B33" s="184">
        <v>46325</v>
      </c>
      <c r="C33" s="185"/>
      <c r="D33" s="186"/>
      <c r="E33" s="186"/>
      <c r="F33" s="37"/>
      <c r="G33" s="166">
        <f t="shared" si="0"/>
        <v>0</v>
      </c>
      <c r="H33" s="167"/>
      <c r="I33" s="168"/>
      <c r="J33" s="166">
        <f t="shared" si="1"/>
        <v>0</v>
      </c>
      <c r="K33" s="166">
        <f t="shared" si="2"/>
        <v>0</v>
      </c>
      <c r="L33" s="188">
        <f t="shared" si="3"/>
        <v>0</v>
      </c>
      <c r="M33" s="188">
        <v>0</v>
      </c>
      <c r="N33" s="166"/>
      <c r="O33" s="209"/>
    </row>
    <row r="34" spans="1:15" x14ac:dyDescent="0.25">
      <c r="A34" s="193">
        <v>29</v>
      </c>
      <c r="B34" s="184">
        <v>46326</v>
      </c>
      <c r="C34" s="185"/>
      <c r="D34" s="186"/>
      <c r="E34" s="37"/>
      <c r="F34" s="37"/>
      <c r="G34" s="166">
        <f t="shared" si="0"/>
        <v>0</v>
      </c>
      <c r="H34" s="167"/>
      <c r="I34" s="168"/>
      <c r="J34" s="166">
        <f t="shared" si="1"/>
        <v>0</v>
      </c>
      <c r="K34" s="166">
        <f t="shared" si="2"/>
        <v>0</v>
      </c>
      <c r="L34" s="188">
        <f t="shared" si="3"/>
        <v>0</v>
      </c>
      <c r="M34" s="188">
        <v>0</v>
      </c>
      <c r="N34" s="166"/>
      <c r="O34" s="209"/>
    </row>
    <row r="35" spans="1:15" x14ac:dyDescent="0.25">
      <c r="A35" s="193">
        <v>30</v>
      </c>
      <c r="B35" s="184"/>
      <c r="C35" s="185"/>
      <c r="D35" s="186"/>
      <c r="E35" s="37"/>
      <c r="F35" s="37"/>
      <c r="G35" s="166">
        <f t="shared" si="0"/>
        <v>0</v>
      </c>
      <c r="H35" s="167"/>
      <c r="I35" s="168"/>
      <c r="J35" s="166">
        <f t="shared" si="1"/>
        <v>0</v>
      </c>
      <c r="K35" s="166">
        <f t="shared" si="2"/>
        <v>0</v>
      </c>
      <c r="L35" s="188">
        <f t="shared" si="3"/>
        <v>0</v>
      </c>
      <c r="M35" s="188">
        <v>0</v>
      </c>
      <c r="N35" s="166"/>
      <c r="O35" s="209"/>
    </row>
    <row r="36" spans="1:15" x14ac:dyDescent="0.25">
      <c r="A36" s="193">
        <v>31</v>
      </c>
      <c r="B36" s="184"/>
      <c r="C36" s="185"/>
      <c r="D36" s="186"/>
      <c r="E36" s="165"/>
      <c r="F36" s="37"/>
      <c r="G36" s="166">
        <f t="shared" si="0"/>
        <v>0</v>
      </c>
      <c r="H36" s="167"/>
      <c r="I36" s="168"/>
      <c r="J36" s="166">
        <f t="shared" si="1"/>
        <v>0</v>
      </c>
      <c r="K36" s="166">
        <f t="shared" si="2"/>
        <v>0</v>
      </c>
      <c r="L36" s="188">
        <f t="shared" si="3"/>
        <v>0</v>
      </c>
      <c r="M36" s="188">
        <v>0</v>
      </c>
      <c r="N36" s="166"/>
      <c r="O36" s="209"/>
    </row>
    <row r="37" spans="1:15" x14ac:dyDescent="0.25">
      <c r="A37" s="169"/>
      <c r="B37" s="169"/>
      <c r="C37" s="169"/>
      <c r="D37" s="169"/>
      <c r="E37" s="170">
        <f>SUM(E4:E36)</f>
        <v>0</v>
      </c>
      <c r="F37" s="170"/>
      <c r="G37" s="171">
        <f>SUM(G4:G36)</f>
        <v>0</v>
      </c>
      <c r="H37" s="171">
        <f>SUM(H4:H36)</f>
        <v>0</v>
      </c>
      <c r="I37" s="171"/>
      <c r="J37" s="171">
        <f>SUM(J4:J36)</f>
        <v>0</v>
      </c>
      <c r="K37" s="171">
        <f>SUM(K4:K36)</f>
        <v>0</v>
      </c>
      <c r="L37" s="171">
        <f>SUM(L4:L36)</f>
        <v>0</v>
      </c>
      <c r="M37" s="171"/>
      <c r="N37" s="171"/>
      <c r="O37" s="208"/>
    </row>
    <row r="38" spans="1:15" x14ac:dyDescent="0.25">
      <c r="A38" s="211"/>
      <c r="B38" s="212"/>
      <c r="C38" s="211"/>
      <c r="D38" s="211"/>
      <c r="E38" s="213"/>
      <c r="F38" s="213"/>
      <c r="G38" s="213"/>
      <c r="H38" s="213"/>
      <c r="I38" s="213"/>
      <c r="J38" s="214"/>
      <c r="K38" s="214"/>
      <c r="L38" s="214"/>
      <c r="M38" s="214"/>
      <c r="N38" s="213"/>
      <c r="O38" s="209"/>
    </row>
    <row r="39" spans="15:15" x14ac:dyDescent="0.25">
      <c r="O39" s="209"/>
    </row>
    <row r="40" spans="15:15" x14ac:dyDescent="0.25">
      <c r="O40" s="209"/>
    </row>
    <row r="41" spans="15:15" x14ac:dyDescent="0.25">
      <c r="O41" s="209"/>
    </row>
    <row r="42" spans="15:15" x14ac:dyDescent="0.25">
      <c r="O42" s="209"/>
    </row>
    <row r="43" spans="15:15" x14ac:dyDescent="0.25">
      <c r="O43" s="209"/>
    </row>
    <row r="44" spans="1:15" x14ac:dyDescent="0.25">
      <c r="A44" s="209"/>
      <c r="B44" s="208"/>
      <c r="C44" s="209"/>
      <c r="D44" s="209"/>
      <c r="E44" s="209"/>
      <c r="F44" s="209"/>
      <c r="G44" s="213"/>
      <c r="H44" s="209"/>
      <c r="I44" s="209"/>
      <c r="J44" s="208"/>
      <c r="K44" s="208"/>
      <c r="L44" s="208"/>
      <c r="M44" s="208"/>
      <c r="N44" s="209"/>
      <c r="O44" s="213"/>
    </row>
    <row r="45" spans="1:15" x14ac:dyDescent="0.25">
      <c r="A45" s="209"/>
      <c r="B45" s="209"/>
      <c r="C45" s="209"/>
      <c r="D45" s="209"/>
      <c r="E45" s="209"/>
      <c r="F45" s="209"/>
      <c r="G45" s="209"/>
      <c r="H45" s="209"/>
      <c r="I45" s="209"/>
      <c r="J45" s="209"/>
      <c r="K45" s="209"/>
      <c r="L45" s="209"/>
      <c r="M45" s="209"/>
      <c r="N45" s="209"/>
      <c r="O45" s="213"/>
    </row>
    <row r="46" spans="1:15" x14ac:dyDescent="0.25">
      <c r="A46" s="209"/>
      <c r="B46" s="208"/>
      <c r="C46" s="209"/>
      <c r="D46" s="209"/>
      <c r="E46" s="209"/>
      <c r="F46" s="209"/>
      <c r="G46" s="209"/>
      <c r="H46" s="209"/>
      <c r="I46" s="209"/>
      <c r="J46" s="208"/>
      <c r="K46" s="208"/>
      <c r="L46" s="208"/>
      <c r="M46" s="208"/>
      <c r="N46" s="209"/>
      <c r="O46" s="213"/>
    </row>
  </sheetData>
  <mergeCells count="4">
    <mergeCell ref="A1:N1"/>
    <mergeCell ref="A3:L3"/>
    <mergeCell ref="B45:E45"/>
    <mergeCell ref="I45:N45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8"/>
  <sheetViews>
    <sheetView workbookViewId="0" zoomScale="100" zoomScaleNormal="100">
      <pane ySplit="3" topLeftCell="A4" activePane="bottomLeft" state="frozen"/>
      <selection pane="bottomLeft" activeCell="L18" sqref="L18"/>
    </sheetView>
  </sheetViews>
  <sheetFormatPr defaultRowHeight="15" outlineLevelRow="0" outlineLevelCol="0" x14ac:dyDescent="0"/>
  <cols>
    <col min="2" max="2" width="10.5703125" customWidth="1"/>
    <col min="3" max="3" width="15.42578125" customWidth="1"/>
    <col min="4" max="4" width="19.140625" customWidth="1"/>
    <col min="14" max="14" width="33.7109375" customWidth="1"/>
  </cols>
  <sheetData>
    <row r="1" ht="15.75" customHeight="1" spans="1:14" x14ac:dyDescent="0.25">
      <c r="A1" s="325" t="s">
        <v>203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</row>
    <row r="2" ht="27" customHeight="1" spans="1:14" x14ac:dyDescent="0.25">
      <c r="A2" s="145" t="s">
        <v>0</v>
      </c>
      <c r="B2" s="146" t="s">
        <v>167</v>
      </c>
      <c r="C2" s="146" t="s">
        <v>168</v>
      </c>
      <c r="D2" s="146" t="s">
        <v>169</v>
      </c>
      <c r="E2" s="146" t="s">
        <v>170</v>
      </c>
      <c r="F2" s="146" t="s">
        <v>171</v>
      </c>
      <c r="G2" s="146" t="s">
        <v>172</v>
      </c>
      <c r="H2" s="146" t="s">
        <v>173</v>
      </c>
      <c r="I2" s="146" t="s">
        <v>171</v>
      </c>
      <c r="J2" s="146" t="s">
        <v>172</v>
      </c>
      <c r="K2" s="146" t="s">
        <v>174</v>
      </c>
      <c r="L2" s="146" t="s">
        <v>175</v>
      </c>
      <c r="M2" s="146" t="s">
        <v>190</v>
      </c>
      <c r="N2" s="146" t="s">
        <v>177</v>
      </c>
    </row>
    <row r="3" spans="1:14" x14ac:dyDescent="0.25">
      <c r="A3" s="282" t="s">
        <v>178</v>
      </c>
      <c r="B3" s="282"/>
      <c r="C3" s="282"/>
      <c r="D3" s="282"/>
      <c r="E3" s="282"/>
      <c r="F3" s="282"/>
      <c r="G3" s="282"/>
      <c r="H3" s="282"/>
      <c r="I3" s="282"/>
      <c r="J3" s="282"/>
      <c r="K3" s="353"/>
      <c r="L3" s="353"/>
      <c r="M3" s="353"/>
      <c r="N3" s="37"/>
    </row>
    <row r="4" spans="1:14" x14ac:dyDescent="0.25">
      <c r="A4" s="115">
        <v>1</v>
      </c>
      <c r="B4" s="116">
        <v>46296</v>
      </c>
      <c r="C4" s="37"/>
      <c r="D4" s="37"/>
      <c r="E4" s="354">
        <v>49.99</v>
      </c>
      <c r="F4" s="354">
        <v>100.03</v>
      </c>
      <c r="G4" s="37">
        <f>E4*F4</f>
        <v>5000.4997</v>
      </c>
      <c r="H4" s="354">
        <v>12</v>
      </c>
      <c r="I4" s="354">
        <v>112.04</v>
      </c>
      <c r="J4" s="37">
        <f>H4*I4</f>
        <v>1344.48</v>
      </c>
      <c r="K4" s="37">
        <f>G4+J4</f>
        <v>6344.9797</v>
      </c>
      <c r="L4" s="37">
        <v>6344.9797</v>
      </c>
      <c r="M4" s="37">
        <f>M3+K4-L4</f>
        <v>0</v>
      </c>
      <c r="N4" s="328"/>
    </row>
    <row r="5" spans="1:14" x14ac:dyDescent="0.25">
      <c r="A5" s="115">
        <v>2</v>
      </c>
      <c r="B5" s="116">
        <v>46297</v>
      </c>
      <c r="C5" s="37"/>
      <c r="D5" s="37"/>
      <c r="E5" s="354"/>
      <c r="F5" s="354"/>
      <c r="G5" s="37">
        <f t="shared" ref="G5:G36" si="0">E5*F5</f>
        <v>0</v>
      </c>
      <c r="H5" s="354"/>
      <c r="I5" s="354"/>
      <c r="J5" s="37">
        <f t="shared" ref="J5:J36" si="1">H5*I5</f>
        <v>0</v>
      </c>
      <c r="K5" s="37">
        <f>G5+J5</f>
        <v>0</v>
      </c>
      <c r="L5" s="37"/>
      <c r="M5" s="37">
        <f t="shared" ref="M5:M33" si="2">M4+K5-L5</f>
        <v>0</v>
      </c>
      <c r="N5" s="328"/>
    </row>
    <row r="6" spans="1:14" x14ac:dyDescent="0.25">
      <c r="A6" s="115">
        <v>3</v>
      </c>
      <c r="B6" s="116">
        <v>46298</v>
      </c>
      <c r="C6" s="37"/>
      <c r="D6" s="37"/>
      <c r="E6" s="354"/>
      <c r="F6" s="354"/>
      <c r="G6" s="37">
        <f t="shared" si="0"/>
        <v>0</v>
      </c>
      <c r="H6" s="354"/>
      <c r="I6" s="354"/>
      <c r="J6" s="37">
        <f t="shared" si="1"/>
        <v>0</v>
      </c>
      <c r="K6" s="37">
        <f t="shared" ref="K6:K37" si="3">G6+J6</f>
        <v>0</v>
      </c>
      <c r="L6" s="37"/>
      <c r="M6" s="37">
        <f t="shared" si="2"/>
        <v>0</v>
      </c>
      <c r="N6" s="328"/>
    </row>
    <row r="7" spans="1:14" x14ac:dyDescent="0.25">
      <c r="A7" s="115">
        <v>4</v>
      </c>
      <c r="B7" s="116">
        <v>46299</v>
      </c>
      <c r="C7" s="37"/>
      <c r="D7" s="37"/>
      <c r="E7" s="354"/>
      <c r="F7" s="354"/>
      <c r="G7" s="37">
        <f t="shared" si="0"/>
        <v>0</v>
      </c>
      <c r="H7" s="354"/>
      <c r="I7" s="354"/>
      <c r="J7" s="37">
        <f t="shared" si="1"/>
        <v>0</v>
      </c>
      <c r="K7" s="37">
        <f t="shared" si="3"/>
        <v>0</v>
      </c>
      <c r="L7" s="37"/>
      <c r="M7" s="37">
        <f t="shared" si="2"/>
        <v>0</v>
      </c>
      <c r="N7" s="328"/>
    </row>
    <row r="8" spans="1:14" x14ac:dyDescent="0.25">
      <c r="A8" s="115">
        <v>5</v>
      </c>
      <c r="B8" s="116">
        <v>46300</v>
      </c>
      <c r="C8" s="37"/>
      <c r="D8" s="37"/>
      <c r="E8" s="354"/>
      <c r="F8" s="354"/>
      <c r="G8" s="37">
        <f t="shared" si="0"/>
        <v>0</v>
      </c>
      <c r="H8" s="354"/>
      <c r="I8" s="354"/>
      <c r="J8" s="37">
        <f t="shared" si="1"/>
        <v>0</v>
      </c>
      <c r="K8" s="37">
        <f t="shared" si="3"/>
        <v>0</v>
      </c>
      <c r="L8" s="37"/>
      <c r="M8" s="37">
        <f t="shared" si="2"/>
        <v>0</v>
      </c>
      <c r="N8" s="328"/>
    </row>
    <row r="9" spans="1:14" x14ac:dyDescent="0.25">
      <c r="A9" s="115">
        <v>6</v>
      </c>
      <c r="B9" s="116">
        <v>46301</v>
      </c>
      <c r="C9" s="37"/>
      <c r="D9" s="37"/>
      <c r="E9" s="354"/>
      <c r="F9" s="354"/>
      <c r="G9" s="37">
        <f t="shared" si="0"/>
        <v>0</v>
      </c>
      <c r="H9" s="354">
        <v>6</v>
      </c>
      <c r="I9" s="354">
        <v>112.04</v>
      </c>
      <c r="J9" s="37">
        <f t="shared" si="1"/>
        <v>672.24</v>
      </c>
      <c r="K9" s="37">
        <f t="shared" si="3"/>
        <v>672.24</v>
      </c>
      <c r="L9" s="37">
        <v>672.24</v>
      </c>
      <c r="M9" s="37">
        <f t="shared" si="2"/>
        <v>0</v>
      </c>
      <c r="N9" s="328"/>
    </row>
    <row r="10" spans="1:14" x14ac:dyDescent="0.25">
      <c r="A10" s="115">
        <v>7</v>
      </c>
      <c r="B10" s="116">
        <v>46302</v>
      </c>
      <c r="C10" s="37"/>
      <c r="D10" s="37"/>
      <c r="E10" s="354"/>
      <c r="F10" s="354"/>
      <c r="G10" s="37">
        <f t="shared" si="0"/>
        <v>0</v>
      </c>
      <c r="H10" s="354"/>
      <c r="I10" s="354"/>
      <c r="J10" s="37">
        <f t="shared" si="1"/>
        <v>0</v>
      </c>
      <c r="K10" s="37">
        <f t="shared" si="3"/>
        <v>0</v>
      </c>
      <c r="L10" s="37"/>
      <c r="M10" s="37">
        <f t="shared" si="2"/>
        <v>0</v>
      </c>
      <c r="N10" s="328"/>
    </row>
    <row r="11" spans="1:14" x14ac:dyDescent="0.25">
      <c r="A11" s="115">
        <v>8</v>
      </c>
      <c r="B11" s="116">
        <v>46303</v>
      </c>
      <c r="C11" s="37"/>
      <c r="D11" s="37"/>
      <c r="E11" s="354">
        <v>47.43</v>
      </c>
      <c r="F11" s="354">
        <v>100.03</v>
      </c>
      <c r="G11" s="37">
        <f t="shared" si="0"/>
        <v>4744.4229</v>
      </c>
      <c r="H11" s="354"/>
      <c r="I11" s="354"/>
      <c r="J11" s="37">
        <f t="shared" si="1"/>
        <v>0</v>
      </c>
      <c r="K11" s="37">
        <f t="shared" si="3"/>
        <v>4744.4229</v>
      </c>
      <c r="L11" s="37">
        <v>4744.4229</v>
      </c>
      <c r="M11" s="37">
        <f t="shared" si="2"/>
        <v>0</v>
      </c>
      <c r="N11" s="328"/>
    </row>
    <row r="12" spans="1:14" x14ac:dyDescent="0.25">
      <c r="A12" s="115">
        <v>9</v>
      </c>
      <c r="B12" s="116">
        <v>46304</v>
      </c>
      <c r="C12" s="37"/>
      <c r="D12" s="37"/>
      <c r="E12" s="354"/>
      <c r="F12" s="354"/>
      <c r="G12" s="37">
        <f t="shared" si="0"/>
        <v>0</v>
      </c>
      <c r="H12" s="354"/>
      <c r="I12" s="354"/>
      <c r="J12" s="37">
        <f t="shared" si="1"/>
        <v>0</v>
      </c>
      <c r="K12" s="37">
        <f t="shared" si="3"/>
        <v>0</v>
      </c>
      <c r="L12" s="37"/>
      <c r="M12" s="37">
        <f t="shared" si="2"/>
        <v>0</v>
      </c>
      <c r="N12" s="328"/>
    </row>
    <row r="13" spans="1:14" x14ac:dyDescent="0.25">
      <c r="A13" s="115">
        <v>10</v>
      </c>
      <c r="B13" s="116">
        <v>46305</v>
      </c>
      <c r="C13" s="37"/>
      <c r="D13" s="37"/>
      <c r="E13" s="354"/>
      <c r="F13" s="354"/>
      <c r="G13" s="37">
        <f t="shared" si="0"/>
        <v>0</v>
      </c>
      <c r="H13" s="354"/>
      <c r="I13" s="354"/>
      <c r="J13" s="37">
        <f t="shared" si="1"/>
        <v>0</v>
      </c>
      <c r="K13" s="37">
        <f t="shared" si="3"/>
        <v>0</v>
      </c>
      <c r="L13" s="37"/>
      <c r="M13" s="37">
        <f t="shared" si="2"/>
        <v>0</v>
      </c>
      <c r="N13" s="328"/>
    </row>
    <row r="14" spans="1:14" x14ac:dyDescent="0.25">
      <c r="A14" s="115">
        <v>11</v>
      </c>
      <c r="B14" s="116">
        <v>46306</v>
      </c>
      <c r="C14" s="37"/>
      <c r="D14" s="37"/>
      <c r="E14" s="354"/>
      <c r="F14" s="354"/>
      <c r="G14" s="37">
        <f t="shared" si="0"/>
        <v>0</v>
      </c>
      <c r="H14" s="354"/>
      <c r="I14" s="354"/>
      <c r="J14" s="37">
        <f t="shared" si="1"/>
        <v>0</v>
      </c>
      <c r="K14" s="37">
        <f t="shared" si="3"/>
        <v>0</v>
      </c>
      <c r="L14" s="37"/>
      <c r="M14" s="37">
        <f t="shared" si="2"/>
        <v>0</v>
      </c>
      <c r="N14" s="328"/>
    </row>
    <row r="15" spans="1:14" x14ac:dyDescent="0.25">
      <c r="A15" s="115">
        <v>12</v>
      </c>
      <c r="B15" s="116">
        <v>46307</v>
      </c>
      <c r="C15" s="37"/>
      <c r="D15" s="37"/>
      <c r="E15" s="354">
        <v>106.8</v>
      </c>
      <c r="F15" s="354">
        <v>100.025</v>
      </c>
      <c r="G15" s="37">
        <f t="shared" si="0"/>
        <v>10682.67</v>
      </c>
      <c r="H15" s="354"/>
      <c r="I15" s="354"/>
      <c r="J15" s="37">
        <f t="shared" si="1"/>
        <v>0</v>
      </c>
      <c r="K15" s="37">
        <f t="shared" si="3"/>
        <v>10682.67</v>
      </c>
      <c r="L15" s="37"/>
      <c r="M15" s="37">
        <f t="shared" si="2"/>
        <v>10682.67</v>
      </c>
      <c r="N15" s="328"/>
    </row>
    <row r="16" spans="1:14" x14ac:dyDescent="0.25">
      <c r="A16" s="115">
        <v>13</v>
      </c>
      <c r="B16" s="116">
        <v>46308</v>
      </c>
      <c r="C16" s="37"/>
      <c r="D16" s="37"/>
      <c r="E16" s="354"/>
      <c r="F16" s="354"/>
      <c r="G16" s="37">
        <f t="shared" si="0"/>
        <v>0</v>
      </c>
      <c r="H16" s="354"/>
      <c r="I16" s="354"/>
      <c r="J16" s="37">
        <f t="shared" si="1"/>
        <v>0</v>
      </c>
      <c r="K16" s="37">
        <f t="shared" si="3"/>
        <v>0</v>
      </c>
      <c r="L16" s="37"/>
      <c r="M16" s="37">
        <f t="shared" si="2"/>
        <v>10682.67</v>
      </c>
      <c r="N16" s="328"/>
    </row>
    <row r="17" spans="1:14" x14ac:dyDescent="0.25">
      <c r="A17" s="115">
        <v>14</v>
      </c>
      <c r="B17" s="116">
        <v>46309</v>
      </c>
      <c r="C17" s="37"/>
      <c r="D17" s="37"/>
      <c r="E17" s="354"/>
      <c r="F17" s="354"/>
      <c r="G17" s="37">
        <f t="shared" si="0"/>
        <v>0</v>
      </c>
      <c r="H17" s="354"/>
      <c r="I17" s="354"/>
      <c r="J17" s="37">
        <f t="shared" si="1"/>
        <v>0</v>
      </c>
      <c r="K17" s="37">
        <f t="shared" si="3"/>
        <v>0</v>
      </c>
      <c r="L17" s="37"/>
      <c r="M17" s="37">
        <f t="shared" si="2"/>
        <v>10682.67</v>
      </c>
      <c r="N17" s="328"/>
    </row>
    <row r="18" spans="1:14" x14ac:dyDescent="0.25">
      <c r="A18" s="115">
        <v>15</v>
      </c>
      <c r="B18" s="116">
        <v>46310</v>
      </c>
      <c r="C18" s="37"/>
      <c r="D18" s="37"/>
      <c r="E18" s="354">
        <v>79.2</v>
      </c>
      <c r="F18" s="354">
        <v>100.03</v>
      </c>
      <c r="G18" s="37">
        <f t="shared" si="0"/>
        <v>7922.376</v>
      </c>
      <c r="H18" s="354">
        <v>12</v>
      </c>
      <c r="I18" s="354">
        <v>112.04</v>
      </c>
      <c r="J18" s="37">
        <f t="shared" si="1"/>
        <v>1344.48</v>
      </c>
      <c r="K18" s="37">
        <f t="shared" si="3"/>
        <v>9266.856</v>
      </c>
      <c r="L18" s="37">
        <v>9266.856</v>
      </c>
      <c r="M18" s="37">
        <f t="shared" si="2"/>
        <v>10682.669999999998</v>
      </c>
      <c r="N18" s="328"/>
    </row>
    <row r="19" spans="1:14" x14ac:dyDescent="0.25">
      <c r="A19" s="115">
        <v>16</v>
      </c>
      <c r="B19" s="116">
        <v>46311</v>
      </c>
      <c r="C19" s="37"/>
      <c r="D19" s="37"/>
      <c r="E19" s="354"/>
      <c r="F19" s="354"/>
      <c r="G19" s="37">
        <f t="shared" si="0"/>
        <v>0</v>
      </c>
      <c r="H19" s="354"/>
      <c r="I19" s="354"/>
      <c r="J19" s="37">
        <f t="shared" si="1"/>
        <v>0</v>
      </c>
      <c r="K19" s="37">
        <f t="shared" si="3"/>
        <v>0</v>
      </c>
      <c r="L19" s="37"/>
      <c r="M19" s="37">
        <f t="shared" si="2"/>
        <v>10682.669999999998</v>
      </c>
      <c r="N19" s="328"/>
    </row>
    <row r="20" spans="1:14" x14ac:dyDescent="0.25">
      <c r="A20" s="115">
        <v>17</v>
      </c>
      <c r="B20" s="116">
        <v>46312</v>
      </c>
      <c r="C20" s="37"/>
      <c r="D20" s="37"/>
      <c r="E20" s="354"/>
      <c r="F20" s="354"/>
      <c r="G20" s="37">
        <f t="shared" si="0"/>
        <v>0</v>
      </c>
      <c r="H20" s="354"/>
      <c r="I20" s="354"/>
      <c r="J20" s="37">
        <f t="shared" si="1"/>
        <v>0</v>
      </c>
      <c r="K20" s="37">
        <f t="shared" si="3"/>
        <v>0</v>
      </c>
      <c r="L20" s="37"/>
      <c r="M20" s="37">
        <f t="shared" si="2"/>
        <v>10682.669999999998</v>
      </c>
      <c r="N20" s="328"/>
    </row>
    <row r="21" spans="1:14" x14ac:dyDescent="0.25">
      <c r="A21" s="115">
        <v>18</v>
      </c>
      <c r="B21" s="116">
        <v>46313</v>
      </c>
      <c r="C21" s="37"/>
      <c r="D21" s="37"/>
      <c r="E21" s="354"/>
      <c r="F21" s="354"/>
      <c r="G21" s="37">
        <f t="shared" si="0"/>
        <v>0</v>
      </c>
      <c r="H21" s="354"/>
      <c r="I21" s="354"/>
      <c r="J21" s="37">
        <f t="shared" si="1"/>
        <v>0</v>
      </c>
      <c r="K21" s="37">
        <f t="shared" si="3"/>
        <v>0</v>
      </c>
      <c r="L21" s="37"/>
      <c r="M21" s="37">
        <f t="shared" si="2"/>
        <v>10682.669999999998</v>
      </c>
      <c r="N21" s="328"/>
    </row>
    <row r="22" spans="1:14" x14ac:dyDescent="0.25">
      <c r="A22" s="115">
        <v>19</v>
      </c>
      <c r="B22" s="116">
        <v>46314</v>
      </c>
      <c r="C22" s="37"/>
      <c r="D22" s="37"/>
      <c r="E22" s="354"/>
      <c r="F22" s="354"/>
      <c r="G22" s="37">
        <f t="shared" si="0"/>
        <v>0</v>
      </c>
      <c r="H22" s="354"/>
      <c r="I22" s="354"/>
      <c r="J22" s="37">
        <f t="shared" si="1"/>
        <v>0</v>
      </c>
      <c r="K22" s="37">
        <f t="shared" si="3"/>
        <v>0</v>
      </c>
      <c r="L22" s="37"/>
      <c r="M22" s="37">
        <f t="shared" si="2"/>
        <v>10682.669999999998</v>
      </c>
      <c r="N22" s="328"/>
    </row>
    <row r="23" spans="1:14" x14ac:dyDescent="0.25">
      <c r="A23" s="115"/>
      <c r="B23" s="116">
        <v>46315</v>
      </c>
      <c r="C23" s="37"/>
      <c r="D23" s="37"/>
      <c r="E23" s="354"/>
      <c r="F23" s="354"/>
      <c r="G23" s="37">
        <f t="shared" si="0"/>
        <v>0</v>
      </c>
      <c r="H23" s="354"/>
      <c r="I23" s="354"/>
      <c r="J23" s="37"/>
      <c r="K23" s="37">
        <f t="shared" si="3"/>
        <v>0</v>
      </c>
      <c r="L23" s="37"/>
      <c r="M23" s="37">
        <f t="shared" si="2"/>
        <v>10682.669999999998</v>
      </c>
      <c r="N23" s="328"/>
    </row>
    <row r="24" spans="1:14" x14ac:dyDescent="0.25">
      <c r="A24" s="115">
        <v>20</v>
      </c>
      <c r="B24" s="116">
        <v>46316</v>
      </c>
      <c r="C24" s="37"/>
      <c r="D24" s="37"/>
      <c r="E24" s="354"/>
      <c r="F24" s="354"/>
      <c r="G24" s="37">
        <f t="shared" si="0"/>
        <v>0</v>
      </c>
      <c r="H24" s="354"/>
      <c r="I24" s="354"/>
      <c r="J24" s="37">
        <f t="shared" si="1"/>
        <v>0</v>
      </c>
      <c r="K24" s="37">
        <f t="shared" si="3"/>
        <v>0</v>
      </c>
      <c r="L24" s="37"/>
      <c r="M24" s="37">
        <f t="shared" si="2"/>
        <v>10682.669999999998</v>
      </c>
      <c r="N24" s="328"/>
    </row>
    <row r="25" spans="1:14" x14ac:dyDescent="0.25">
      <c r="A25" s="115">
        <v>21</v>
      </c>
      <c r="B25" s="116">
        <v>46317</v>
      </c>
      <c r="C25" s="37"/>
      <c r="D25" s="37"/>
      <c r="E25" s="360"/>
      <c r="F25" s="354"/>
      <c r="G25" s="37">
        <f t="shared" si="0"/>
        <v>0</v>
      </c>
      <c r="H25" s="354"/>
      <c r="I25" s="354"/>
      <c r="J25" s="37">
        <f t="shared" si="1"/>
        <v>0</v>
      </c>
      <c r="K25" s="37">
        <f t="shared" si="3"/>
        <v>0</v>
      </c>
      <c r="L25" s="37"/>
      <c r="M25" s="37">
        <f t="shared" si="2"/>
        <v>10682.669999999998</v>
      </c>
      <c r="N25" s="328"/>
    </row>
    <row r="26" spans="1:14" x14ac:dyDescent="0.25">
      <c r="A26" s="115"/>
      <c r="B26" s="116">
        <v>46318</v>
      </c>
      <c r="C26" s="37"/>
      <c r="D26" s="37"/>
      <c r="E26" s="360"/>
      <c r="F26" s="354"/>
      <c r="G26" s="37">
        <f t="shared" si="0"/>
        <v>0</v>
      </c>
      <c r="H26" s="354"/>
      <c r="I26" s="354"/>
      <c r="J26" s="37">
        <f t="shared" si="1"/>
        <v>0</v>
      </c>
      <c r="K26" s="37">
        <f t="shared" si="3"/>
        <v>0</v>
      </c>
      <c r="L26" s="37"/>
      <c r="M26" s="37">
        <f t="shared" si="2"/>
        <v>10682.669999999998</v>
      </c>
      <c r="N26" s="328"/>
    </row>
    <row r="27" spans="1:14" x14ac:dyDescent="0.25">
      <c r="A27" s="115">
        <v>22</v>
      </c>
      <c r="B27" s="116">
        <v>46319</v>
      </c>
      <c r="C27" s="37"/>
      <c r="D27" s="37"/>
      <c r="E27" s="354"/>
      <c r="F27" s="354"/>
      <c r="G27" s="37">
        <f t="shared" si="0"/>
        <v>0</v>
      </c>
      <c r="H27" s="354"/>
      <c r="I27" s="354"/>
      <c r="J27" s="37">
        <f t="shared" si="1"/>
        <v>0</v>
      </c>
      <c r="K27" s="37">
        <f t="shared" si="3"/>
        <v>0</v>
      </c>
      <c r="L27" s="37"/>
      <c r="M27" s="37">
        <f t="shared" si="2"/>
        <v>10682.669999999998</v>
      </c>
      <c r="N27" s="328"/>
    </row>
    <row r="28" spans="1:14" x14ac:dyDescent="0.25">
      <c r="A28" s="115"/>
      <c r="B28" s="116">
        <v>46320</v>
      </c>
      <c r="C28" s="37"/>
      <c r="D28" s="37"/>
      <c r="E28" s="354"/>
      <c r="F28" s="354"/>
      <c r="G28" s="37"/>
      <c r="H28" s="354"/>
      <c r="I28" s="354"/>
      <c r="J28" s="37">
        <f t="shared" si="1"/>
        <v>0</v>
      </c>
      <c r="K28" s="37">
        <f t="shared" si="3"/>
        <v>0</v>
      </c>
      <c r="L28" s="37"/>
      <c r="M28" s="37">
        <f t="shared" si="2"/>
        <v>10682.669999999998</v>
      </c>
      <c r="N28" s="328"/>
    </row>
    <row r="29" spans="1:14" x14ac:dyDescent="0.25">
      <c r="A29" s="115">
        <v>23</v>
      </c>
      <c r="B29" s="116">
        <v>46321</v>
      </c>
      <c r="C29" s="37"/>
      <c r="D29" s="37"/>
      <c r="E29" s="354"/>
      <c r="F29" s="354"/>
      <c r="G29" s="37">
        <f t="shared" si="0"/>
        <v>0</v>
      </c>
      <c r="H29" s="354"/>
      <c r="I29" s="354"/>
      <c r="J29" s="37">
        <f t="shared" si="1"/>
        <v>0</v>
      </c>
      <c r="K29" s="37">
        <f t="shared" si="3"/>
        <v>0</v>
      </c>
      <c r="L29" s="37"/>
      <c r="M29" s="37">
        <f t="shared" si="2"/>
        <v>10682.669999999998</v>
      </c>
      <c r="N29" s="328"/>
    </row>
    <row r="30" spans="1:14" x14ac:dyDescent="0.25">
      <c r="A30" s="115">
        <v>24</v>
      </c>
      <c r="B30" s="116">
        <v>46322</v>
      </c>
      <c r="C30" s="37"/>
      <c r="D30" s="37"/>
      <c r="E30" s="354"/>
      <c r="F30" s="354"/>
      <c r="G30" s="37">
        <f t="shared" si="0"/>
        <v>0</v>
      </c>
      <c r="H30" s="354"/>
      <c r="I30" s="354"/>
      <c r="J30" s="37">
        <f t="shared" si="1"/>
        <v>0</v>
      </c>
      <c r="K30" s="37">
        <f t="shared" si="3"/>
        <v>0</v>
      </c>
      <c r="L30" s="37"/>
      <c r="M30" s="37">
        <f t="shared" si="2"/>
        <v>10682.669999999998</v>
      </c>
      <c r="N30" s="328"/>
    </row>
    <row r="31" spans="1:14" x14ac:dyDescent="0.25">
      <c r="A31" s="115">
        <v>25</v>
      </c>
      <c r="B31" s="116">
        <v>46323</v>
      </c>
      <c r="C31" s="37"/>
      <c r="D31" s="37"/>
      <c r="E31" s="354"/>
      <c r="F31" s="354"/>
      <c r="G31" s="37">
        <f t="shared" si="0"/>
        <v>0</v>
      </c>
      <c r="H31" s="354"/>
      <c r="I31" s="354"/>
      <c r="J31" s="37">
        <f t="shared" si="1"/>
        <v>0</v>
      </c>
      <c r="K31" s="37">
        <f>G31+J31</f>
        <v>0</v>
      </c>
      <c r="L31" s="37"/>
      <c r="M31" s="37">
        <f t="shared" si="2"/>
        <v>10682.669999999998</v>
      </c>
      <c r="N31" s="328"/>
    </row>
    <row r="32" spans="1:14" x14ac:dyDescent="0.25">
      <c r="A32" s="115">
        <v>26</v>
      </c>
      <c r="B32" s="116">
        <v>46324</v>
      </c>
      <c r="C32" s="37"/>
      <c r="D32" s="37"/>
      <c r="E32" s="354"/>
      <c r="F32" s="354"/>
      <c r="G32" s="37">
        <f t="shared" si="0"/>
        <v>0</v>
      </c>
      <c r="H32" s="354"/>
      <c r="I32" s="354"/>
      <c r="J32" s="37">
        <f t="shared" si="1"/>
        <v>0</v>
      </c>
      <c r="K32" s="37">
        <f t="shared" si="3"/>
        <v>0</v>
      </c>
      <c r="L32" s="37"/>
      <c r="M32" s="37">
        <f t="shared" si="2"/>
        <v>10682.669999999998</v>
      </c>
      <c r="N32" s="328"/>
    </row>
    <row r="33" spans="1:14" x14ac:dyDescent="0.25">
      <c r="A33" s="115">
        <v>27</v>
      </c>
      <c r="B33" s="116">
        <v>46325</v>
      </c>
      <c r="C33" s="37"/>
      <c r="D33" s="37"/>
      <c r="E33" s="354"/>
      <c r="F33" s="354"/>
      <c r="G33" s="37">
        <f t="shared" si="0"/>
        <v>0</v>
      </c>
      <c r="H33" s="354"/>
      <c r="I33" s="354"/>
      <c r="J33" s="37">
        <f t="shared" si="1"/>
        <v>0</v>
      </c>
      <c r="K33" s="37">
        <f t="shared" si="3"/>
        <v>0</v>
      </c>
      <c r="L33" s="37"/>
      <c r="M33" s="37">
        <f t="shared" si="2"/>
        <v>10682.669999999998</v>
      </c>
      <c r="N33" s="328"/>
    </row>
    <row r="34" spans="1:14" x14ac:dyDescent="0.25">
      <c r="A34" s="115">
        <v>28</v>
      </c>
      <c r="B34" s="116">
        <v>46326</v>
      </c>
      <c r="C34" s="37"/>
      <c r="D34" s="37"/>
      <c r="E34" s="354"/>
      <c r="F34" s="354"/>
      <c r="G34" s="37">
        <f t="shared" si="0"/>
        <v>0</v>
      </c>
      <c r="H34" s="354"/>
      <c r="I34" s="354"/>
      <c r="J34" s="37">
        <f t="shared" si="1"/>
        <v>0</v>
      </c>
      <c r="K34" s="37">
        <f t="shared" si="3"/>
        <v>0</v>
      </c>
      <c r="L34" s="37"/>
      <c r="M34" s="37">
        <v>0</v>
      </c>
      <c r="N34" s="328"/>
    </row>
    <row r="35" spans="1:14" x14ac:dyDescent="0.25">
      <c r="A35" s="115">
        <v>29</v>
      </c>
      <c r="B35" s="116"/>
      <c r="C35" s="37"/>
      <c r="D35" s="37"/>
      <c r="E35" s="354"/>
      <c r="F35" s="354"/>
      <c r="G35" s="37">
        <f t="shared" si="0"/>
        <v>0</v>
      </c>
      <c r="H35" s="354"/>
      <c r="I35" s="354"/>
      <c r="J35" s="37">
        <f t="shared" si="1"/>
        <v>0</v>
      </c>
      <c r="K35" s="37">
        <f t="shared" si="3"/>
        <v>0</v>
      </c>
      <c r="L35" s="37"/>
      <c r="M35" s="37"/>
      <c r="N35" s="328"/>
    </row>
    <row r="36" spans="1:14" x14ac:dyDescent="0.25">
      <c r="A36" s="115">
        <v>30</v>
      </c>
      <c r="B36" s="116"/>
      <c r="C36" s="37"/>
      <c r="D36" s="37"/>
      <c r="E36" s="354"/>
      <c r="F36" s="354"/>
      <c r="G36" s="37">
        <f t="shared" si="0"/>
        <v>0</v>
      </c>
      <c r="H36" s="354"/>
      <c r="I36" s="354"/>
      <c r="J36" s="37">
        <f t="shared" si="1"/>
        <v>0</v>
      </c>
      <c r="K36" s="37">
        <f t="shared" si="3"/>
        <v>0</v>
      </c>
      <c r="L36" s="37"/>
      <c r="M36" s="37"/>
      <c r="N36" s="328"/>
    </row>
    <row r="37" spans="1:14" x14ac:dyDescent="0.25">
      <c r="A37" s="115">
        <v>31</v>
      </c>
      <c r="B37" s="116"/>
      <c r="C37" s="37"/>
      <c r="D37" s="37"/>
      <c r="E37" s="354"/>
      <c r="F37" s="354"/>
      <c r="G37" s="37">
        <f t="shared" ref="G5:G37" si="4">E37*F37</f>
        <v>0</v>
      </c>
      <c r="H37" s="354"/>
      <c r="I37" s="354"/>
      <c r="J37" s="37">
        <f t="shared" ref="J5:J37" si="5">H37*I37</f>
        <v>0</v>
      </c>
      <c r="K37" s="37">
        <f t="shared" si="3"/>
        <v>0</v>
      </c>
      <c r="L37" s="37"/>
      <c r="M37" s="37"/>
      <c r="N37" s="328"/>
    </row>
    <row r="38" spans="1:14" x14ac:dyDescent="0.25">
      <c r="A38" s="121"/>
      <c r="B38" s="121"/>
      <c r="C38" s="121"/>
      <c r="D38" s="121"/>
      <c r="E38" s="121">
        <f>SUM(E4:E37)</f>
        <v>283.42</v>
      </c>
      <c r="F38" s="121"/>
      <c r="G38" s="121">
        <f>SUM(G4:G37)</f>
        <v>28349.9686</v>
      </c>
      <c r="H38" s="121">
        <f>SUM(H4:H37)</f>
        <v>30</v>
      </c>
      <c r="I38" s="121"/>
      <c r="J38" s="121">
        <f>SUM(J4:J37)</f>
        <v>3361.2</v>
      </c>
      <c r="K38" s="121">
        <f>SUM(K4:K37)</f>
        <v>31711.168599999997</v>
      </c>
      <c r="L38" s="121">
        <f>SUM(L4:L37)</f>
        <v>21028.4986</v>
      </c>
      <c r="M38" s="121"/>
      <c r="N38" s="121"/>
    </row>
  </sheetData>
  <mergeCells count="2">
    <mergeCell ref="A1:N1"/>
    <mergeCell ref="A3:J3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 zoomScale="100" zoomScaleNormal="100">
      <pane ySplit="3" topLeftCell="A9" activePane="bottomLeft" state="frozen"/>
      <selection pane="bottomLeft" activeCell="L17" sqref="L17"/>
    </sheetView>
  </sheetViews>
  <sheetFormatPr defaultRowHeight="15" outlineLevelRow="0" outlineLevelCol="0" x14ac:dyDescent="0"/>
  <cols>
    <col min="2" max="2" width="10.140625" customWidth="1"/>
    <col min="4" max="4" width="11.42578125" customWidth="1"/>
    <col min="9" max="9" width="12" customWidth="1"/>
    <col min="10" max="10" width="11" customWidth="1"/>
    <col min="11" max="11" width="11.28515625" customWidth="1"/>
    <col min="12" max="12" width="11.42578125" customWidth="1"/>
  </cols>
  <sheetData>
    <row r="1" ht="15.75" customHeight="1" spans="1:14" x14ac:dyDescent="0.25">
      <c r="A1" s="325" t="s">
        <v>115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</row>
    <row r="2" ht="21.75" customHeight="1" spans="1:14" x14ac:dyDescent="0.25">
      <c r="A2" s="145" t="s">
        <v>0</v>
      </c>
      <c r="B2" s="146" t="s">
        <v>167</v>
      </c>
      <c r="C2" s="146" t="s">
        <v>168</v>
      </c>
      <c r="D2" s="146" t="s">
        <v>169</v>
      </c>
      <c r="E2" s="146" t="s">
        <v>170</v>
      </c>
      <c r="F2" s="146" t="s">
        <v>171</v>
      </c>
      <c r="G2" s="146" t="s">
        <v>172</v>
      </c>
      <c r="H2" s="146" t="s">
        <v>173</v>
      </c>
      <c r="I2" s="146" t="s">
        <v>171</v>
      </c>
      <c r="J2" s="146" t="s">
        <v>172</v>
      </c>
      <c r="K2" s="146" t="s">
        <v>174</v>
      </c>
      <c r="L2" s="146" t="s">
        <v>175</v>
      </c>
      <c r="M2" s="146" t="s">
        <v>190</v>
      </c>
      <c r="N2" s="146" t="s">
        <v>177</v>
      </c>
    </row>
    <row r="3" spans="1:14" x14ac:dyDescent="0.25">
      <c r="A3" s="282" t="s">
        <v>178</v>
      </c>
      <c r="B3" s="282"/>
      <c r="C3" s="282"/>
      <c r="D3" s="282"/>
      <c r="E3" s="282"/>
      <c r="F3" s="282"/>
      <c r="G3" s="282"/>
      <c r="H3" s="282"/>
      <c r="I3" s="282"/>
      <c r="J3" s="282"/>
      <c r="K3" s="353"/>
      <c r="L3" s="353"/>
      <c r="M3" s="353"/>
      <c r="N3" s="37"/>
    </row>
    <row r="4" spans="1:14" x14ac:dyDescent="0.25">
      <c r="A4" s="115">
        <v>1</v>
      </c>
      <c r="B4" s="116">
        <v>46296</v>
      </c>
      <c r="C4" s="37"/>
      <c r="D4" s="37"/>
      <c r="E4" s="37">
        <v>75</v>
      </c>
      <c r="F4" s="361">
        <v>99.88</v>
      </c>
      <c r="G4" s="37">
        <f>E4*F4</f>
        <v>7491</v>
      </c>
      <c r="H4" s="354"/>
      <c r="I4" s="354"/>
      <c r="J4" s="37">
        <f>H4*I4</f>
        <v>0</v>
      </c>
      <c r="K4" s="120">
        <f>G4+J4</f>
        <v>7491</v>
      </c>
      <c r="L4" s="120">
        <v>7491</v>
      </c>
      <c r="M4" s="37">
        <f>M3+K4-L4</f>
        <v>0</v>
      </c>
      <c r="N4" s="328"/>
    </row>
    <row r="5" spans="1:14" x14ac:dyDescent="0.25">
      <c r="A5" s="115">
        <v>2</v>
      </c>
      <c r="B5" s="116">
        <v>46297</v>
      </c>
      <c r="C5" s="37"/>
      <c r="D5" s="37"/>
      <c r="E5" s="361"/>
      <c r="F5" s="361"/>
      <c r="G5" s="37">
        <f t="shared" ref="G5:G34" si="0">E5*F5</f>
        <v>0</v>
      </c>
      <c r="H5" s="354"/>
      <c r="I5" s="354"/>
      <c r="J5" s="37">
        <f t="shared" ref="J5:J33" si="1">H5*I5</f>
        <v>0</v>
      </c>
      <c r="K5" s="120">
        <f>G5+J5</f>
        <v>0</v>
      </c>
      <c r="L5" s="120"/>
      <c r="M5" s="37">
        <f t="shared" ref="M5:M27" si="2">M4+K5-L5</f>
        <v>0</v>
      </c>
      <c r="N5" s="328"/>
    </row>
    <row r="6" spans="1:14" x14ac:dyDescent="0.25">
      <c r="A6" s="115">
        <v>3</v>
      </c>
      <c r="B6" s="116">
        <v>46298</v>
      </c>
      <c r="C6" s="37"/>
      <c r="D6" s="37"/>
      <c r="E6" s="354"/>
      <c r="F6" s="354"/>
      <c r="G6" s="37">
        <f t="shared" ref="G6:G34" si="3">E6*F6</f>
        <v>0</v>
      </c>
      <c r="H6" s="354"/>
      <c r="I6" s="354"/>
      <c r="J6" s="37">
        <f t="shared" ref="J6:J34" si="4">H6*I6</f>
        <v>0</v>
      </c>
      <c r="K6" s="120">
        <f t="shared" ref="K6:K34" si="5">G6+J6</f>
        <v>0</v>
      </c>
      <c r="L6" s="120"/>
      <c r="M6" s="37">
        <f t="shared" si="2"/>
        <v>0</v>
      </c>
      <c r="N6" s="328"/>
    </row>
    <row r="7" spans="1:14" x14ac:dyDescent="0.25">
      <c r="A7" s="115">
        <v>4</v>
      </c>
      <c r="B7" s="116">
        <v>46299</v>
      </c>
      <c r="C7" s="37"/>
      <c r="D7" s="37"/>
      <c r="E7" s="354">
        <v>50</v>
      </c>
      <c r="F7" s="354">
        <v>99.84</v>
      </c>
      <c r="G7" s="37">
        <f t="shared" si="3"/>
        <v>4992</v>
      </c>
      <c r="H7" s="354"/>
      <c r="I7" s="354"/>
      <c r="J7" s="37">
        <f t="shared" si="4"/>
        <v>0</v>
      </c>
      <c r="K7" s="362">
        <f t="shared" si="5"/>
        <v>4992</v>
      </c>
      <c r="L7" s="362">
        <v>4992</v>
      </c>
      <c r="M7" s="37">
        <f t="shared" si="2"/>
        <v>0</v>
      </c>
      <c r="N7" s="328"/>
    </row>
    <row r="8" spans="1:14" x14ac:dyDescent="0.25">
      <c r="A8" s="115">
        <v>5</v>
      </c>
      <c r="B8" s="116">
        <v>46300</v>
      </c>
      <c r="C8" s="37"/>
      <c r="D8" s="37"/>
      <c r="E8" s="361"/>
      <c r="F8" s="361"/>
      <c r="G8" s="37">
        <f t="shared" si="3"/>
        <v>0</v>
      </c>
      <c r="H8" s="354"/>
      <c r="I8" s="354"/>
      <c r="J8" s="37">
        <f t="shared" si="4"/>
        <v>0</v>
      </c>
      <c r="K8" s="120">
        <f t="shared" si="5"/>
        <v>0</v>
      </c>
      <c r="L8" s="120"/>
      <c r="M8" s="37">
        <f t="shared" si="2"/>
        <v>0</v>
      </c>
      <c r="N8" s="328"/>
    </row>
    <row r="9" spans="1:14" x14ac:dyDescent="0.25">
      <c r="A9" s="115">
        <v>6</v>
      </c>
      <c r="B9" s="116">
        <v>46301</v>
      </c>
      <c r="C9" s="37"/>
      <c r="D9" s="37"/>
      <c r="E9" s="354">
        <v>100</v>
      </c>
      <c r="F9" s="354">
        <v>99.84</v>
      </c>
      <c r="G9" s="37">
        <f t="shared" si="3"/>
        <v>9984</v>
      </c>
      <c r="H9" s="354"/>
      <c r="I9" s="354"/>
      <c r="J9" s="37">
        <f t="shared" si="4"/>
        <v>0</v>
      </c>
      <c r="K9" s="120">
        <f t="shared" si="5"/>
        <v>9984</v>
      </c>
      <c r="L9" s="120">
        <v>9984</v>
      </c>
      <c r="M9" s="37">
        <f t="shared" si="2"/>
        <v>0</v>
      </c>
      <c r="N9" s="328"/>
    </row>
    <row r="10" spans="1:14" x14ac:dyDescent="0.25">
      <c r="A10" s="115">
        <v>7</v>
      </c>
      <c r="B10" s="116">
        <v>46302</v>
      </c>
      <c r="C10" s="37"/>
      <c r="D10" s="37"/>
      <c r="E10" s="354">
        <v>30</v>
      </c>
      <c r="F10" s="354">
        <v>99.84</v>
      </c>
      <c r="G10" s="37">
        <f t="shared" si="3"/>
        <v>2995.2000000000003</v>
      </c>
      <c r="H10" s="354"/>
      <c r="I10" s="354"/>
      <c r="J10" s="37">
        <f t="shared" si="4"/>
        <v>0</v>
      </c>
      <c r="K10" s="120">
        <f t="shared" si="5"/>
        <v>2995.2000000000003</v>
      </c>
      <c r="L10" s="120">
        <v>2995.2000000000003</v>
      </c>
      <c r="M10" s="37">
        <f t="shared" si="2"/>
        <v>0</v>
      </c>
      <c r="N10" s="328"/>
    </row>
    <row r="11" spans="1:14" x14ac:dyDescent="0.25">
      <c r="A11" s="115">
        <v>8</v>
      </c>
      <c r="B11" s="116">
        <v>46303</v>
      </c>
      <c r="C11" s="37"/>
      <c r="D11" s="37"/>
      <c r="E11" s="354"/>
      <c r="F11" s="354"/>
      <c r="G11" s="37">
        <f t="shared" si="3"/>
        <v>0</v>
      </c>
      <c r="H11" s="354"/>
      <c r="I11" s="354"/>
      <c r="J11" s="37">
        <f t="shared" si="4"/>
        <v>0</v>
      </c>
      <c r="K11" s="120">
        <f t="shared" si="5"/>
        <v>0</v>
      </c>
      <c r="L11" s="120"/>
      <c r="M11" s="37">
        <f t="shared" si="2"/>
        <v>0</v>
      </c>
      <c r="N11" s="328"/>
    </row>
    <row r="12" spans="1:14" x14ac:dyDescent="0.25">
      <c r="A12" s="115">
        <v>9</v>
      </c>
      <c r="B12" s="116">
        <v>46304</v>
      </c>
      <c r="C12" s="37"/>
      <c r="D12" s="37"/>
      <c r="E12" s="354">
        <v>100</v>
      </c>
      <c r="F12" s="354">
        <v>99.84</v>
      </c>
      <c r="G12" s="37">
        <f t="shared" si="3"/>
        <v>9984</v>
      </c>
      <c r="H12" s="354"/>
      <c r="I12" s="354"/>
      <c r="J12" s="37">
        <f t="shared" si="4"/>
        <v>0</v>
      </c>
      <c r="K12" s="120">
        <f t="shared" si="5"/>
        <v>9984</v>
      </c>
      <c r="L12" s="120">
        <v>9984</v>
      </c>
      <c r="M12" s="37">
        <f t="shared" si="2"/>
        <v>0</v>
      </c>
      <c r="N12" s="328"/>
    </row>
    <row r="13" spans="1:14" x14ac:dyDescent="0.25">
      <c r="A13" s="115">
        <v>10</v>
      </c>
      <c r="B13" s="116">
        <v>46305</v>
      </c>
      <c r="C13" s="37"/>
      <c r="D13" s="37"/>
      <c r="E13" s="354"/>
      <c r="F13" s="354"/>
      <c r="G13" s="37">
        <f t="shared" si="3"/>
        <v>0</v>
      </c>
      <c r="H13" s="354"/>
      <c r="I13" s="354"/>
      <c r="J13" s="37">
        <f t="shared" si="4"/>
        <v>0</v>
      </c>
      <c r="K13" s="120">
        <f t="shared" si="5"/>
        <v>0</v>
      </c>
      <c r="L13" s="120"/>
      <c r="M13" s="37">
        <f t="shared" si="2"/>
        <v>0</v>
      </c>
      <c r="N13" s="328"/>
    </row>
    <row r="14" spans="1:14" x14ac:dyDescent="0.25">
      <c r="A14" s="115">
        <v>11</v>
      </c>
      <c r="B14" s="116">
        <v>46306</v>
      </c>
      <c r="C14" s="37"/>
      <c r="D14" s="37"/>
      <c r="E14" s="354"/>
      <c r="F14" s="354"/>
      <c r="G14" s="37">
        <f t="shared" si="3"/>
        <v>0</v>
      </c>
      <c r="H14" s="354"/>
      <c r="I14" s="354"/>
      <c r="J14" s="37">
        <f t="shared" si="4"/>
        <v>0</v>
      </c>
      <c r="K14" s="120">
        <f t="shared" si="5"/>
        <v>0</v>
      </c>
      <c r="L14" s="120"/>
      <c r="M14" s="37">
        <f t="shared" si="2"/>
        <v>0</v>
      </c>
      <c r="N14" s="328"/>
    </row>
    <row r="15" spans="1:14" x14ac:dyDescent="0.25">
      <c r="A15" s="115">
        <v>12</v>
      </c>
      <c r="B15" s="116">
        <v>46307</v>
      </c>
      <c r="C15" s="37"/>
      <c r="D15" s="37"/>
      <c r="E15" s="354">
        <v>110</v>
      </c>
      <c r="F15" s="354">
        <v>99.85</v>
      </c>
      <c r="G15" s="37">
        <f t="shared" si="3"/>
        <v>10983.5</v>
      </c>
      <c r="H15" s="354">
        <v>35</v>
      </c>
      <c r="I15" s="354">
        <v>112.03</v>
      </c>
      <c r="J15" s="37">
        <f t="shared" si="4"/>
        <v>3921.05</v>
      </c>
      <c r="K15" s="120">
        <f t="shared" si="5"/>
        <v>14904.55</v>
      </c>
      <c r="L15" s="120">
        <v>14904.55</v>
      </c>
      <c r="M15" s="37">
        <f t="shared" si="2"/>
        <v>0</v>
      </c>
      <c r="N15" s="328"/>
    </row>
    <row r="16" spans="1:14" x14ac:dyDescent="0.25">
      <c r="A16" s="115">
        <v>13</v>
      </c>
      <c r="B16" s="116">
        <v>46308</v>
      </c>
      <c r="C16" s="37"/>
      <c r="D16" s="37"/>
      <c r="E16" s="354"/>
      <c r="F16" s="354"/>
      <c r="G16" s="37">
        <f t="shared" si="3"/>
        <v>0</v>
      </c>
      <c r="H16" s="354"/>
      <c r="I16" s="354"/>
      <c r="J16" s="37">
        <f t="shared" si="4"/>
        <v>0</v>
      </c>
      <c r="K16" s="120">
        <f t="shared" si="5"/>
        <v>0</v>
      </c>
      <c r="L16" s="120"/>
      <c r="M16" s="37">
        <f t="shared" si="2"/>
        <v>0</v>
      </c>
      <c r="N16" s="328"/>
    </row>
    <row r="17" spans="1:14" x14ac:dyDescent="0.25">
      <c r="A17" s="115">
        <v>14</v>
      </c>
      <c r="B17" s="116">
        <v>46309</v>
      </c>
      <c r="C17" s="37"/>
      <c r="D17" s="37"/>
      <c r="E17" s="354">
        <v>150</v>
      </c>
      <c r="F17" s="354">
        <v>99.88</v>
      </c>
      <c r="G17" s="37">
        <f t="shared" si="3"/>
        <v>14982</v>
      </c>
      <c r="H17" s="354"/>
      <c r="I17" s="354"/>
      <c r="J17" s="37">
        <f t="shared" si="4"/>
        <v>0</v>
      </c>
      <c r="K17" s="120">
        <f t="shared" si="5"/>
        <v>14982</v>
      </c>
      <c r="L17" s="120">
        <v>14982</v>
      </c>
      <c r="M17" s="37">
        <f t="shared" si="2"/>
        <v>0</v>
      </c>
      <c r="N17" s="328"/>
    </row>
    <row r="18" spans="1:14" x14ac:dyDescent="0.25">
      <c r="A18" s="115">
        <v>15</v>
      </c>
      <c r="B18" s="116">
        <v>46310</v>
      </c>
      <c r="C18" s="37"/>
      <c r="D18" s="37"/>
      <c r="E18" s="354"/>
      <c r="F18" s="354"/>
      <c r="G18" s="37">
        <f t="shared" si="3"/>
        <v>0</v>
      </c>
      <c r="H18" s="354"/>
      <c r="I18" s="354"/>
      <c r="J18" s="37">
        <f t="shared" si="4"/>
        <v>0</v>
      </c>
      <c r="K18" s="120">
        <f t="shared" si="5"/>
        <v>0</v>
      </c>
      <c r="L18" s="120"/>
      <c r="M18" s="37">
        <f t="shared" si="2"/>
        <v>0</v>
      </c>
      <c r="N18" s="328"/>
    </row>
    <row r="19" spans="1:14" x14ac:dyDescent="0.25">
      <c r="A19" s="115">
        <v>16</v>
      </c>
      <c r="B19" s="116">
        <v>46311</v>
      </c>
      <c r="C19" s="37"/>
      <c r="D19" s="37"/>
      <c r="E19" s="354"/>
      <c r="F19" s="354"/>
      <c r="G19" s="37">
        <f t="shared" si="3"/>
        <v>0</v>
      </c>
      <c r="H19" s="354"/>
      <c r="I19" s="354"/>
      <c r="J19" s="37">
        <f t="shared" si="4"/>
        <v>0</v>
      </c>
      <c r="K19" s="120">
        <f t="shared" si="5"/>
        <v>0</v>
      </c>
      <c r="L19" s="120"/>
      <c r="M19" s="37">
        <f t="shared" si="2"/>
        <v>0</v>
      </c>
      <c r="N19" s="328"/>
    </row>
    <row r="20" spans="1:14" x14ac:dyDescent="0.25">
      <c r="A20" s="115">
        <v>17</v>
      </c>
      <c r="B20" s="116">
        <v>46312</v>
      </c>
      <c r="C20" s="37"/>
      <c r="D20" s="37"/>
      <c r="E20" s="354"/>
      <c r="F20" s="354"/>
      <c r="G20" s="37">
        <f t="shared" si="3"/>
        <v>0</v>
      </c>
      <c r="H20" s="354"/>
      <c r="I20" s="354"/>
      <c r="J20" s="37">
        <f t="shared" si="4"/>
        <v>0</v>
      </c>
      <c r="K20" s="120">
        <f t="shared" si="5"/>
        <v>0</v>
      </c>
      <c r="L20" s="120"/>
      <c r="M20" s="37">
        <f t="shared" si="2"/>
        <v>0</v>
      </c>
      <c r="N20" s="328"/>
    </row>
    <row r="21" spans="1:14" x14ac:dyDescent="0.25">
      <c r="A21" s="115">
        <v>18</v>
      </c>
      <c r="B21" s="116">
        <v>46313</v>
      </c>
      <c r="C21" s="37"/>
      <c r="D21" s="37"/>
      <c r="E21" s="354"/>
      <c r="F21" s="354"/>
      <c r="G21" s="37">
        <f t="shared" si="3"/>
        <v>0</v>
      </c>
      <c r="H21" s="354"/>
      <c r="I21" s="354"/>
      <c r="J21" s="37">
        <f t="shared" si="4"/>
        <v>0</v>
      </c>
      <c r="K21" s="120">
        <f t="shared" si="5"/>
        <v>0</v>
      </c>
      <c r="L21" s="120"/>
      <c r="M21" s="37">
        <f t="shared" si="2"/>
        <v>0</v>
      </c>
      <c r="N21" s="328"/>
    </row>
    <row r="22" spans="1:14" x14ac:dyDescent="0.25">
      <c r="A22" s="115">
        <v>19</v>
      </c>
      <c r="B22" s="116">
        <v>46314</v>
      </c>
      <c r="C22" s="37"/>
      <c r="D22" s="37"/>
      <c r="E22" s="354"/>
      <c r="F22" s="354"/>
      <c r="G22" s="37">
        <f t="shared" si="3"/>
        <v>0</v>
      </c>
      <c r="H22" s="354"/>
      <c r="I22" s="354"/>
      <c r="J22" s="37">
        <f t="shared" si="4"/>
        <v>0</v>
      </c>
      <c r="K22" s="120">
        <f t="shared" si="5"/>
        <v>0</v>
      </c>
      <c r="L22" s="120"/>
      <c r="M22" s="37">
        <f t="shared" si="2"/>
        <v>0</v>
      </c>
      <c r="N22" s="328"/>
    </row>
    <row r="23" spans="1:14" x14ac:dyDescent="0.25">
      <c r="A23" s="115">
        <v>20</v>
      </c>
      <c r="B23" s="116">
        <v>46315</v>
      </c>
      <c r="C23" s="37"/>
      <c r="D23" s="37"/>
      <c r="E23" s="354"/>
      <c r="F23" s="354"/>
      <c r="G23" s="37">
        <f t="shared" si="3"/>
        <v>0</v>
      </c>
      <c r="H23" s="354"/>
      <c r="I23" s="354"/>
      <c r="J23" s="37">
        <f t="shared" si="4"/>
        <v>0</v>
      </c>
      <c r="K23" s="120">
        <f t="shared" si="5"/>
        <v>0</v>
      </c>
      <c r="L23" s="120"/>
      <c r="M23" s="37">
        <f t="shared" si="2"/>
        <v>0</v>
      </c>
      <c r="N23" s="328"/>
    </row>
    <row r="24" spans="1:14" x14ac:dyDescent="0.25">
      <c r="A24" s="115">
        <v>21</v>
      </c>
      <c r="B24" s="116">
        <v>46316</v>
      </c>
      <c r="C24" s="37"/>
      <c r="D24" s="37"/>
      <c r="E24" s="354"/>
      <c r="F24" s="354"/>
      <c r="G24" s="37">
        <f t="shared" si="3"/>
        <v>0</v>
      </c>
      <c r="H24" s="354"/>
      <c r="I24" s="354"/>
      <c r="J24" s="37">
        <f t="shared" si="4"/>
        <v>0</v>
      </c>
      <c r="K24" s="120">
        <f t="shared" si="5"/>
        <v>0</v>
      </c>
      <c r="L24" s="120"/>
      <c r="M24" s="37">
        <f t="shared" si="2"/>
        <v>0</v>
      </c>
      <c r="N24" s="328"/>
    </row>
    <row r="25" spans="1:14" x14ac:dyDescent="0.25">
      <c r="A25" s="115">
        <v>22</v>
      </c>
      <c r="B25" s="116">
        <v>46317</v>
      </c>
      <c r="C25" s="37"/>
      <c r="D25" s="37"/>
      <c r="E25" s="354"/>
      <c r="F25" s="354"/>
      <c r="G25" s="37">
        <f t="shared" si="3"/>
        <v>0</v>
      </c>
      <c r="H25" s="354"/>
      <c r="I25" s="354"/>
      <c r="J25" s="37">
        <f t="shared" si="4"/>
        <v>0</v>
      </c>
      <c r="K25" s="120">
        <f t="shared" si="5"/>
        <v>0</v>
      </c>
      <c r="L25" s="120"/>
      <c r="M25" s="37">
        <f t="shared" si="2"/>
        <v>0</v>
      </c>
      <c r="N25" s="328"/>
    </row>
    <row r="26" spans="1:14" x14ac:dyDescent="0.25">
      <c r="A26" s="115">
        <v>23</v>
      </c>
      <c r="B26" s="116">
        <v>46318</v>
      </c>
      <c r="C26" s="37"/>
      <c r="D26" s="37"/>
      <c r="E26" s="354"/>
      <c r="F26" s="354"/>
      <c r="G26" s="37">
        <f t="shared" si="3"/>
        <v>0</v>
      </c>
      <c r="H26" s="354"/>
      <c r="I26" s="354"/>
      <c r="J26" s="37">
        <f t="shared" si="4"/>
        <v>0</v>
      </c>
      <c r="K26" s="120">
        <f t="shared" si="5"/>
        <v>0</v>
      </c>
      <c r="L26" s="120"/>
      <c r="M26" s="37">
        <f t="shared" si="2"/>
        <v>0</v>
      </c>
      <c r="N26" s="328"/>
    </row>
    <row r="27" spans="1:14" x14ac:dyDescent="0.25">
      <c r="A27" s="115">
        <v>24</v>
      </c>
      <c r="B27" s="116">
        <v>46319</v>
      </c>
      <c r="C27" s="37"/>
      <c r="D27" s="37"/>
      <c r="E27" s="354"/>
      <c r="F27" s="354"/>
      <c r="G27" s="37">
        <f t="shared" si="3"/>
        <v>0</v>
      </c>
      <c r="H27" s="354"/>
      <c r="I27" s="354"/>
      <c r="J27" s="37">
        <f t="shared" si="4"/>
        <v>0</v>
      </c>
      <c r="K27" s="120">
        <f t="shared" si="5"/>
        <v>0</v>
      </c>
      <c r="L27" s="120"/>
      <c r="M27" s="37">
        <f t="shared" si="2"/>
        <v>0</v>
      </c>
      <c r="N27" s="328"/>
    </row>
    <row r="28" spans="1:14" x14ac:dyDescent="0.25">
      <c r="A28" s="115">
        <v>25</v>
      </c>
      <c r="B28" s="116">
        <v>46320</v>
      </c>
      <c r="C28" s="37"/>
      <c r="D28" s="37"/>
      <c r="E28" s="354"/>
      <c r="F28" s="354"/>
      <c r="G28" s="37">
        <f t="shared" si="3"/>
        <v>0</v>
      </c>
      <c r="H28" s="354"/>
      <c r="I28" s="354"/>
      <c r="J28" s="37">
        <f t="shared" si="4"/>
        <v>0</v>
      </c>
      <c r="K28" s="120">
        <f>G28+J28</f>
        <v>0</v>
      </c>
      <c r="L28" s="120"/>
      <c r="M28" s="37">
        <v>0</v>
      </c>
      <c r="N28" s="328"/>
    </row>
    <row r="29" spans="1:14" x14ac:dyDescent="0.25">
      <c r="A29" s="115">
        <v>26</v>
      </c>
      <c r="B29" s="116">
        <v>46321</v>
      </c>
      <c r="C29" s="37"/>
      <c r="D29" s="37"/>
      <c r="E29" s="354"/>
      <c r="F29" s="354"/>
      <c r="G29" s="37">
        <f t="shared" si="3"/>
        <v>0</v>
      </c>
      <c r="H29" s="354"/>
      <c r="I29" s="354"/>
      <c r="J29" s="37">
        <f t="shared" si="4"/>
        <v>0</v>
      </c>
      <c r="K29" s="120">
        <f t="shared" si="5"/>
        <v>0</v>
      </c>
      <c r="L29" s="120"/>
      <c r="M29" s="37">
        <v>0</v>
      </c>
      <c r="N29" s="328"/>
    </row>
    <row r="30" spans="1:14" x14ac:dyDescent="0.25">
      <c r="A30" s="115">
        <v>27</v>
      </c>
      <c r="B30" s="116">
        <v>46322</v>
      </c>
      <c r="C30" s="37"/>
      <c r="D30" s="37"/>
      <c r="E30" s="354"/>
      <c r="F30" s="354"/>
      <c r="G30" s="37">
        <f t="shared" si="3"/>
        <v>0</v>
      </c>
      <c r="H30" s="354"/>
      <c r="I30" s="354"/>
      <c r="J30" s="37">
        <f t="shared" si="4"/>
        <v>0</v>
      </c>
      <c r="K30" s="120">
        <f t="shared" si="5"/>
        <v>0</v>
      </c>
      <c r="L30" s="120"/>
      <c r="M30" s="37">
        <v>0</v>
      </c>
      <c r="N30" s="328"/>
    </row>
    <row r="31" spans="1:14" x14ac:dyDescent="0.25">
      <c r="A31" s="115">
        <v>28</v>
      </c>
      <c r="B31" s="116">
        <v>46323</v>
      </c>
      <c r="C31" s="37"/>
      <c r="D31" s="37"/>
      <c r="E31" s="354"/>
      <c r="F31" s="354"/>
      <c r="G31" s="37">
        <f t="shared" si="3"/>
        <v>0</v>
      </c>
      <c r="H31" s="354"/>
      <c r="I31" s="354"/>
      <c r="J31" s="37">
        <f t="shared" si="4"/>
        <v>0</v>
      </c>
      <c r="K31" s="120">
        <f t="shared" si="5"/>
        <v>0</v>
      </c>
      <c r="L31" s="120"/>
      <c r="M31" s="37">
        <v>0</v>
      </c>
      <c r="N31" s="328"/>
    </row>
    <row r="32" spans="1:14" x14ac:dyDescent="0.25">
      <c r="A32" s="115">
        <v>29</v>
      </c>
      <c r="B32" s="116">
        <v>46324</v>
      </c>
      <c r="C32" s="37"/>
      <c r="D32" s="37"/>
      <c r="E32" s="354"/>
      <c r="F32" s="354"/>
      <c r="G32" s="37">
        <f t="shared" si="3"/>
        <v>0</v>
      </c>
      <c r="H32" s="354"/>
      <c r="I32" s="354"/>
      <c r="J32" s="37">
        <f t="shared" si="4"/>
        <v>0</v>
      </c>
      <c r="K32" s="120">
        <f t="shared" si="5"/>
        <v>0</v>
      </c>
      <c r="L32" s="120"/>
      <c r="M32" s="37"/>
      <c r="N32" s="328"/>
    </row>
    <row r="33" spans="1:14" x14ac:dyDescent="0.25">
      <c r="A33" s="115">
        <v>30</v>
      </c>
      <c r="B33" s="116">
        <v>46325</v>
      </c>
      <c r="C33" s="37"/>
      <c r="D33" s="37"/>
      <c r="E33" s="354"/>
      <c r="F33" s="354"/>
      <c r="G33" s="37">
        <f t="shared" si="3"/>
        <v>0</v>
      </c>
      <c r="H33" s="354"/>
      <c r="I33" s="354"/>
      <c r="J33" s="37">
        <f t="shared" si="4"/>
        <v>0</v>
      </c>
      <c r="K33" s="120">
        <f t="shared" si="5"/>
        <v>0</v>
      </c>
      <c r="L33" s="120"/>
      <c r="M33" s="37"/>
      <c r="N33" s="328"/>
    </row>
    <row r="34" spans="1:14" x14ac:dyDescent="0.25">
      <c r="A34" s="115">
        <v>31</v>
      </c>
      <c r="B34" s="116">
        <v>46326</v>
      </c>
      <c r="C34" s="37"/>
      <c r="D34" s="37"/>
      <c r="E34" s="354"/>
      <c r="F34" s="354"/>
      <c r="G34" s="37">
        <f t="shared" si="3"/>
        <v>0</v>
      </c>
      <c r="H34" s="354"/>
      <c r="I34" s="354"/>
      <c r="J34" s="37">
        <f t="shared" si="4"/>
        <v>0</v>
      </c>
      <c r="K34" s="120">
        <f t="shared" si="5"/>
        <v>0</v>
      </c>
      <c r="L34" s="120"/>
      <c r="M34" s="37"/>
      <c r="N34" s="328"/>
    </row>
    <row r="35" spans="1:14" x14ac:dyDescent="0.25">
      <c r="A35" s="121"/>
      <c r="B35" s="121"/>
      <c r="C35" s="121"/>
      <c r="D35" s="121"/>
      <c r="E35" s="121">
        <f>SUM(E4:E34)</f>
        <v>615</v>
      </c>
      <c r="F35" s="121"/>
      <c r="G35" s="121">
        <f>SUM(G4:G34)</f>
        <v>61411.7</v>
      </c>
      <c r="H35" s="121">
        <f>SUM(H4:H34)</f>
        <v>35</v>
      </c>
      <c r="I35" s="121"/>
      <c r="J35" s="121">
        <f>SUM(J4:J34)</f>
        <v>3921.05</v>
      </c>
      <c r="K35" s="121">
        <f>SUM(K4:K34)</f>
        <v>65332.75</v>
      </c>
      <c r="L35" s="121">
        <f>SUM(L4:L34)</f>
        <v>65332.75</v>
      </c>
      <c r="M35" s="121"/>
      <c r="N35" s="121"/>
    </row>
  </sheetData>
  <mergeCells count="2">
    <mergeCell ref="A1:N1"/>
    <mergeCell ref="A3:J3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U56"/>
  <sheetViews>
    <sheetView workbookViewId="0" zoomScale="100" zoomScaleNormal="100">
      <pane ySplit="3" topLeftCell="A4" activePane="bottomLeft" state="frozen"/>
      <selection pane="bottomLeft" activeCell="M18" sqref="M18"/>
    </sheetView>
  </sheetViews>
  <sheetFormatPr defaultRowHeight="15" outlineLevelRow="0" outlineLevelCol="0" x14ac:dyDescent="0"/>
  <cols>
    <col min="2" max="2" width="10" customWidth="1"/>
    <col min="4" max="4" width="11.85546875" customWidth="1"/>
    <col min="5" max="5" width="10.5703125" customWidth="1"/>
    <col min="7" max="7" width="18.7109375" customWidth="1"/>
    <col min="10" max="10" width="14" customWidth="1"/>
    <col min="11" max="12" width="13.5703125" customWidth="1"/>
    <col min="13" max="13" width="11.85546875" customWidth="1"/>
    <col min="14" max="14" width="17.140625" customWidth="1"/>
    <col min="17" max="17" width="11.28515625" customWidth="1"/>
  </cols>
  <sheetData>
    <row r="1" ht="15.75" customHeight="1" spans="1:15" x14ac:dyDescent="0.25">
      <c r="A1" s="105" t="s">
        <v>220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421"/>
    </row>
    <row r="2" ht="30.75" customHeight="1" spans="1:15" x14ac:dyDescent="0.25">
      <c r="A2" s="122" t="s">
        <v>0</v>
      </c>
      <c r="B2" s="123" t="s">
        <v>167</v>
      </c>
      <c r="C2" s="123" t="s">
        <v>168</v>
      </c>
      <c r="D2" s="123" t="s">
        <v>169</v>
      </c>
      <c r="E2" s="123" t="s">
        <v>170</v>
      </c>
      <c r="F2" s="123" t="s">
        <v>171</v>
      </c>
      <c r="G2" s="123" t="s">
        <v>172</v>
      </c>
      <c r="H2" s="123" t="s">
        <v>173</v>
      </c>
      <c r="I2" s="123" t="s">
        <v>171</v>
      </c>
      <c r="J2" s="124" t="s">
        <v>172</v>
      </c>
      <c r="K2" s="122" t="s">
        <v>174</v>
      </c>
      <c r="L2" s="367" t="s">
        <v>175</v>
      </c>
      <c r="M2" s="447" t="s">
        <v>190</v>
      </c>
      <c r="N2" s="123" t="s">
        <v>177</v>
      </c>
      <c r="O2" s="208"/>
    </row>
    <row r="3" spans="1:15" x14ac:dyDescent="0.25">
      <c r="A3" s="448"/>
      <c r="B3" s="390"/>
      <c r="C3" s="390"/>
      <c r="D3" s="427" t="s">
        <v>178</v>
      </c>
      <c r="E3" s="390"/>
      <c r="F3" s="390"/>
      <c r="G3" s="390"/>
      <c r="H3" s="390"/>
      <c r="I3" s="390"/>
      <c r="J3" s="449"/>
      <c r="K3" s="450">
        <v>82823.56549999984</v>
      </c>
      <c r="L3" s="451"/>
      <c r="M3" s="451">
        <v>82823.56549999984</v>
      </c>
      <c r="N3" s="390"/>
      <c r="O3" s="208"/>
    </row>
    <row r="4" spans="1:15" x14ac:dyDescent="0.25">
      <c r="A4" s="189">
        <v>1</v>
      </c>
      <c r="B4" s="432">
        <v>46296</v>
      </c>
      <c r="C4" s="386"/>
      <c r="D4" s="386"/>
      <c r="E4" s="166">
        <v>50</v>
      </c>
      <c r="F4" s="166">
        <v>99.3</v>
      </c>
      <c r="G4" s="166">
        <f>E4*F4</f>
        <v>4965</v>
      </c>
      <c r="H4" s="452"/>
      <c r="I4" s="452"/>
      <c r="J4" s="166">
        <f>H4*I4</f>
        <v>0</v>
      </c>
      <c r="K4" s="166">
        <f>G4+J4</f>
        <v>4965</v>
      </c>
      <c r="L4" s="181"/>
      <c r="M4" s="166">
        <f>M3+K4-L4</f>
        <v>87788.56549999984</v>
      </c>
      <c r="N4" s="328"/>
      <c r="O4" s="437"/>
    </row>
    <row r="5" spans="1:15" x14ac:dyDescent="0.25">
      <c r="A5" s="189">
        <v>2</v>
      </c>
      <c r="B5" s="432">
        <v>46297</v>
      </c>
      <c r="C5" s="386"/>
      <c r="D5" s="386"/>
      <c r="E5" s="166">
        <v>270</v>
      </c>
      <c r="F5" s="166">
        <v>99.3</v>
      </c>
      <c r="G5" s="166">
        <f t="shared" ref="G5:G34" si="0">E5*F5</f>
        <v>26811</v>
      </c>
      <c r="H5" s="452"/>
      <c r="I5" s="452"/>
      <c r="J5" s="166">
        <f t="shared" ref="J5:J34" si="1">H5*I5</f>
        <v>0</v>
      </c>
      <c r="K5" s="166">
        <f t="shared" ref="K5:K40" si="2">G5+J5</f>
        <v>26811</v>
      </c>
      <c r="L5" s="181"/>
      <c r="M5" s="166">
        <f t="shared" ref="M5:M41" si="3">M4+K5-L5</f>
        <v>114599.56549999984</v>
      </c>
      <c r="N5" s="328"/>
      <c r="O5" s="437"/>
    </row>
    <row r="6" spans="1:15" x14ac:dyDescent="0.25">
      <c r="A6" s="189">
        <v>3</v>
      </c>
      <c r="B6" s="432">
        <v>46298</v>
      </c>
      <c r="C6" s="386"/>
      <c r="D6" s="386"/>
      <c r="E6" s="166">
        <v>43</v>
      </c>
      <c r="F6" s="166">
        <v>99.3</v>
      </c>
      <c r="G6" s="166">
        <f t="shared" si="0"/>
        <v>4269.9</v>
      </c>
      <c r="H6" s="452"/>
      <c r="I6" s="452"/>
      <c r="J6" s="166">
        <f t="shared" si="1"/>
        <v>0</v>
      </c>
      <c r="K6" s="166">
        <f t="shared" si="2"/>
        <v>4269.9</v>
      </c>
      <c r="L6" s="181"/>
      <c r="M6" s="166">
        <f t="shared" si="3"/>
        <v>118869.46549999983</v>
      </c>
      <c r="N6" s="328"/>
      <c r="O6" s="437"/>
    </row>
    <row r="7" spans="1:15" x14ac:dyDescent="0.25">
      <c r="A7" s="189">
        <v>4</v>
      </c>
      <c r="B7" s="432">
        <v>46299</v>
      </c>
      <c r="C7" s="386"/>
      <c r="D7" s="386"/>
      <c r="E7" s="166">
        <v>241.58</v>
      </c>
      <c r="F7" s="166">
        <v>99.3</v>
      </c>
      <c r="G7" s="166">
        <f t="shared" si="0"/>
        <v>23988.894</v>
      </c>
      <c r="H7" s="452"/>
      <c r="I7" s="452"/>
      <c r="J7" s="166">
        <f t="shared" si="1"/>
        <v>0</v>
      </c>
      <c r="K7" s="166">
        <f t="shared" si="2"/>
        <v>23988.894</v>
      </c>
      <c r="L7" s="181"/>
      <c r="M7" s="166">
        <f t="shared" si="3"/>
        <v>142858.35949999985</v>
      </c>
      <c r="N7" s="328"/>
      <c r="O7" s="437"/>
    </row>
    <row r="8" spans="1:15" x14ac:dyDescent="0.25">
      <c r="A8" s="189">
        <v>5</v>
      </c>
      <c r="B8" s="432">
        <v>46300</v>
      </c>
      <c r="C8" s="386"/>
      <c r="D8" s="386"/>
      <c r="E8" s="166">
        <v>50</v>
      </c>
      <c r="F8" s="166">
        <v>99.3</v>
      </c>
      <c r="G8" s="166">
        <f t="shared" si="0"/>
        <v>4965</v>
      </c>
      <c r="H8" s="452">
        <v>5</v>
      </c>
      <c r="I8" s="452">
        <v>111.4</v>
      </c>
      <c r="J8" s="166">
        <f t="shared" si="1"/>
        <v>557</v>
      </c>
      <c r="K8" s="166">
        <f t="shared" si="2"/>
        <v>5522</v>
      </c>
      <c r="L8" s="181"/>
      <c r="M8" s="166">
        <f t="shared" si="3"/>
        <v>148380.35949999985</v>
      </c>
      <c r="N8" s="328"/>
      <c r="O8" s="437"/>
    </row>
    <row r="9" spans="1:15" x14ac:dyDescent="0.25">
      <c r="A9" s="189">
        <v>6</v>
      </c>
      <c r="B9" s="432">
        <v>46301</v>
      </c>
      <c r="C9" s="386"/>
      <c r="D9" s="386"/>
      <c r="E9" s="453">
        <v>511.68</v>
      </c>
      <c r="F9" s="454">
        <v>99.3</v>
      </c>
      <c r="G9" s="166">
        <f t="shared" si="0"/>
        <v>50809.824</v>
      </c>
      <c r="H9" s="453"/>
      <c r="I9" s="452"/>
      <c r="J9" s="166">
        <f t="shared" si="1"/>
        <v>0</v>
      </c>
      <c r="K9" s="166">
        <f t="shared" si="2"/>
        <v>50809.824</v>
      </c>
      <c r="L9" s="181"/>
      <c r="M9" s="166">
        <f t="shared" si="3"/>
        <v>199190.18349999984</v>
      </c>
      <c r="N9" s="328"/>
      <c r="O9" s="437"/>
    </row>
    <row r="10" spans="1:15" x14ac:dyDescent="0.25">
      <c r="A10" s="189">
        <v>7</v>
      </c>
      <c r="B10" s="432">
        <v>46302</v>
      </c>
      <c r="C10" s="386"/>
      <c r="D10" s="386"/>
      <c r="E10" s="453">
        <v>477.07</v>
      </c>
      <c r="F10" s="454">
        <v>99.3</v>
      </c>
      <c r="G10" s="166">
        <f t="shared" si="0"/>
        <v>47373.051</v>
      </c>
      <c r="H10" s="453"/>
      <c r="I10" s="452"/>
      <c r="J10" s="166">
        <f t="shared" si="1"/>
        <v>0</v>
      </c>
      <c r="K10" s="166">
        <f t="shared" si="2"/>
        <v>47373.051</v>
      </c>
      <c r="L10" s="181"/>
      <c r="M10" s="166">
        <f t="shared" si="3"/>
        <v>246563.23449999985</v>
      </c>
      <c r="N10" s="328"/>
      <c r="O10" s="437"/>
    </row>
    <row r="11" spans="1:15" x14ac:dyDescent="0.25">
      <c r="A11" s="189">
        <v>8</v>
      </c>
      <c r="B11" s="432">
        <v>46303</v>
      </c>
      <c r="C11" s="386"/>
      <c r="D11" s="386"/>
      <c r="E11" s="166">
        <v>443.14</v>
      </c>
      <c r="F11" s="166">
        <v>99.3</v>
      </c>
      <c r="G11" s="166">
        <f t="shared" si="0"/>
        <v>44003.801999999996</v>
      </c>
      <c r="H11" s="452"/>
      <c r="I11" s="452"/>
      <c r="J11" s="166">
        <f t="shared" si="1"/>
        <v>0</v>
      </c>
      <c r="K11" s="166">
        <f t="shared" si="2"/>
        <v>44003.801999999996</v>
      </c>
      <c r="L11" s="166"/>
      <c r="M11" s="166">
        <f t="shared" si="3"/>
        <v>290567.0364999998</v>
      </c>
      <c r="N11" s="328"/>
      <c r="O11" s="437"/>
    </row>
    <row r="12" spans="1:15" x14ac:dyDescent="0.25">
      <c r="A12" s="189">
        <v>9</v>
      </c>
      <c r="B12" s="432">
        <v>46304</v>
      </c>
      <c r="C12" s="386"/>
      <c r="D12" s="386"/>
      <c r="E12" s="166"/>
      <c r="F12" s="166"/>
      <c r="G12" s="166">
        <f t="shared" si="0"/>
        <v>0</v>
      </c>
      <c r="H12" s="452"/>
      <c r="I12" s="452"/>
      <c r="J12" s="166">
        <f t="shared" si="1"/>
        <v>0</v>
      </c>
      <c r="K12" s="166">
        <f t="shared" si="2"/>
        <v>0</v>
      </c>
      <c r="L12" s="181"/>
      <c r="M12" s="166">
        <f t="shared" si="3"/>
        <v>290567.0364999998</v>
      </c>
      <c r="N12" s="328"/>
      <c r="O12" s="437"/>
    </row>
    <row r="13" spans="1:15" x14ac:dyDescent="0.25">
      <c r="A13" s="189">
        <v>10</v>
      </c>
      <c r="B13" s="432">
        <v>46305</v>
      </c>
      <c r="C13" s="386"/>
      <c r="D13" s="386"/>
      <c r="E13" s="455">
        <v>530</v>
      </c>
      <c r="F13" s="456">
        <v>99.3</v>
      </c>
      <c r="G13" s="166">
        <f t="shared" si="0"/>
        <v>52629</v>
      </c>
      <c r="H13" s="452">
        <v>10</v>
      </c>
      <c r="I13" s="457">
        <v>111.4</v>
      </c>
      <c r="J13" s="166">
        <f t="shared" si="1"/>
        <v>1114</v>
      </c>
      <c r="K13" s="166">
        <f t="shared" si="2"/>
        <v>53743</v>
      </c>
      <c r="L13" s="181"/>
      <c r="M13" s="166">
        <f t="shared" si="3"/>
        <v>344310.0364999998</v>
      </c>
      <c r="N13" s="328"/>
      <c r="O13" s="437"/>
    </row>
    <row r="14" spans="1:15" x14ac:dyDescent="0.25">
      <c r="A14" s="189">
        <v>11</v>
      </c>
      <c r="B14" s="432">
        <v>46306</v>
      </c>
      <c r="C14" s="386"/>
      <c r="D14" s="386"/>
      <c r="E14" s="455">
        <v>250</v>
      </c>
      <c r="F14" s="456">
        <v>99.3</v>
      </c>
      <c r="G14" s="166">
        <f t="shared" si="0"/>
        <v>24825</v>
      </c>
      <c r="H14" s="452">
        <v>5</v>
      </c>
      <c r="I14" s="457">
        <v>111.4</v>
      </c>
      <c r="J14" s="166">
        <f t="shared" si="1"/>
        <v>557</v>
      </c>
      <c r="K14" s="166">
        <f t="shared" si="2"/>
        <v>25382</v>
      </c>
      <c r="L14" s="181"/>
      <c r="M14" s="166">
        <f t="shared" si="3"/>
        <v>369692.0364999998</v>
      </c>
      <c r="N14" s="328"/>
      <c r="O14" s="437"/>
    </row>
    <row r="15" spans="1:15" x14ac:dyDescent="0.25">
      <c r="A15" s="189">
        <v>12</v>
      </c>
      <c r="B15" s="432">
        <v>46307</v>
      </c>
      <c r="C15" s="386"/>
      <c r="D15" s="386"/>
      <c r="E15" s="166">
        <v>85</v>
      </c>
      <c r="F15" s="166">
        <v>99.3</v>
      </c>
      <c r="G15" s="166">
        <f t="shared" si="0"/>
        <v>8440.5</v>
      </c>
      <c r="H15" s="452">
        <v>15</v>
      </c>
      <c r="I15" s="457">
        <v>111.4</v>
      </c>
      <c r="J15" s="166">
        <f t="shared" si="1"/>
        <v>1671</v>
      </c>
      <c r="K15" s="166">
        <f t="shared" si="2"/>
        <v>10111.5</v>
      </c>
      <c r="L15" s="181"/>
      <c r="M15" s="166">
        <f t="shared" si="3"/>
        <v>379803.5364999998</v>
      </c>
      <c r="N15" s="328"/>
      <c r="O15" s="437"/>
    </row>
    <row r="16" spans="1:15" x14ac:dyDescent="0.25">
      <c r="A16" s="189">
        <v>13</v>
      </c>
      <c r="B16" s="432">
        <v>46308</v>
      </c>
      <c r="C16" s="386"/>
      <c r="D16" s="386"/>
      <c r="E16" s="166">
        <v>137.3</v>
      </c>
      <c r="F16" s="166">
        <v>99.3</v>
      </c>
      <c r="G16" s="166">
        <f t="shared" si="0"/>
        <v>13633.890000000001</v>
      </c>
      <c r="H16" s="452"/>
      <c r="I16" s="452"/>
      <c r="J16" s="166">
        <f t="shared" si="1"/>
        <v>0</v>
      </c>
      <c r="K16" s="166">
        <f t="shared" si="2"/>
        <v>13633.890000000001</v>
      </c>
      <c r="L16" s="181"/>
      <c r="M16" s="166">
        <f t="shared" si="3"/>
        <v>393437.4264999998</v>
      </c>
      <c r="N16" s="328"/>
      <c r="O16" s="437"/>
    </row>
    <row r="17" spans="1:15" x14ac:dyDescent="0.25">
      <c r="A17" s="189">
        <v>14</v>
      </c>
      <c r="B17" s="432">
        <v>46309</v>
      </c>
      <c r="C17" s="386"/>
      <c r="D17" s="386"/>
      <c r="E17" s="166"/>
      <c r="F17" s="166"/>
      <c r="G17" s="166">
        <f t="shared" si="0"/>
        <v>0</v>
      </c>
      <c r="H17" s="452">
        <v>8</v>
      </c>
      <c r="I17" s="452">
        <v>111.4</v>
      </c>
      <c r="J17" s="166">
        <f t="shared" si="1"/>
        <v>891.2</v>
      </c>
      <c r="K17" s="166">
        <f t="shared" si="2"/>
        <v>891.2</v>
      </c>
      <c r="L17" s="181">
        <v>350000</v>
      </c>
      <c r="M17" s="166">
        <f t="shared" si="3"/>
        <v>44328.62649999984</v>
      </c>
      <c r="N17" s="328"/>
      <c r="O17" s="437"/>
    </row>
    <row r="18" spans="1:15" x14ac:dyDescent="0.25">
      <c r="A18" s="189">
        <v>15</v>
      </c>
      <c r="B18" s="432">
        <v>46310</v>
      </c>
      <c r="C18" s="386"/>
      <c r="D18" s="386"/>
      <c r="E18" s="166">
        <v>118.8</v>
      </c>
      <c r="F18" s="166">
        <v>99.3</v>
      </c>
      <c r="G18" s="166">
        <f t="shared" si="0"/>
        <v>11796.84</v>
      </c>
      <c r="H18" s="452">
        <v>5</v>
      </c>
      <c r="I18" s="452">
        <v>111.4</v>
      </c>
      <c r="J18" s="166">
        <f t="shared" si="1"/>
        <v>557</v>
      </c>
      <c r="K18" s="166">
        <f t="shared" si="2"/>
        <v>12353.84</v>
      </c>
      <c r="L18" s="181"/>
      <c r="M18" s="166">
        <f t="shared" si="3"/>
        <v>56682.466499999835</v>
      </c>
      <c r="N18" s="328"/>
      <c r="O18" s="437"/>
    </row>
    <row r="19" spans="1:15" x14ac:dyDescent="0.25">
      <c r="A19" s="189">
        <v>16</v>
      </c>
      <c r="B19" s="432">
        <v>46311</v>
      </c>
      <c r="C19" s="386"/>
      <c r="D19" s="386"/>
      <c r="E19" s="166"/>
      <c r="F19" s="166"/>
      <c r="G19" s="166">
        <f t="shared" si="0"/>
        <v>0</v>
      </c>
      <c r="H19" s="452"/>
      <c r="I19" s="452"/>
      <c r="J19" s="166">
        <f t="shared" si="1"/>
        <v>0</v>
      </c>
      <c r="K19" s="166">
        <f t="shared" si="2"/>
        <v>0</v>
      </c>
      <c r="L19" s="181"/>
      <c r="M19" s="166">
        <f t="shared" si="3"/>
        <v>56682.466499999835</v>
      </c>
      <c r="N19" s="328"/>
      <c r="O19" s="437"/>
    </row>
    <row r="20" spans="1:15" x14ac:dyDescent="0.25">
      <c r="A20" s="189">
        <v>17</v>
      </c>
      <c r="B20" s="432">
        <v>46312</v>
      </c>
      <c r="C20" s="386"/>
      <c r="D20" s="386"/>
      <c r="E20" s="166"/>
      <c r="F20" s="166"/>
      <c r="G20" s="166">
        <f t="shared" si="0"/>
        <v>0</v>
      </c>
      <c r="H20" s="452"/>
      <c r="I20" s="452"/>
      <c r="J20" s="166">
        <f t="shared" si="1"/>
        <v>0</v>
      </c>
      <c r="K20" s="166">
        <f t="shared" si="2"/>
        <v>0</v>
      </c>
      <c r="L20" s="181"/>
      <c r="M20" s="166">
        <f t="shared" si="3"/>
        <v>56682.466499999835</v>
      </c>
      <c r="N20" s="328"/>
      <c r="O20" s="437"/>
    </row>
    <row r="21" spans="1:15" x14ac:dyDescent="0.25">
      <c r="A21" s="189">
        <v>18</v>
      </c>
      <c r="B21" s="432">
        <v>46313</v>
      </c>
      <c r="C21" s="386"/>
      <c r="D21" s="386"/>
      <c r="E21" s="166"/>
      <c r="F21" s="166"/>
      <c r="G21" s="166">
        <f t="shared" si="0"/>
        <v>0</v>
      </c>
      <c r="H21" s="452"/>
      <c r="I21" s="452"/>
      <c r="J21" s="166">
        <f t="shared" si="1"/>
        <v>0</v>
      </c>
      <c r="K21" s="166">
        <f t="shared" si="2"/>
        <v>0</v>
      </c>
      <c r="L21" s="181"/>
      <c r="M21" s="166">
        <f t="shared" si="3"/>
        <v>56682.466499999835</v>
      </c>
      <c r="N21" s="328"/>
      <c r="O21" s="437"/>
    </row>
    <row r="22" spans="1:15" x14ac:dyDescent="0.25">
      <c r="A22" s="189">
        <v>19</v>
      </c>
      <c r="B22" s="432">
        <v>46314</v>
      </c>
      <c r="C22" s="386"/>
      <c r="D22" s="386"/>
      <c r="E22" s="166"/>
      <c r="F22" s="166"/>
      <c r="G22" s="166">
        <f t="shared" si="0"/>
        <v>0</v>
      </c>
      <c r="H22" s="452"/>
      <c r="I22" s="452"/>
      <c r="J22" s="166">
        <f t="shared" si="1"/>
        <v>0</v>
      </c>
      <c r="K22" s="166">
        <f t="shared" si="2"/>
        <v>0</v>
      </c>
      <c r="L22" s="181"/>
      <c r="M22" s="166">
        <f t="shared" si="3"/>
        <v>56682.466499999835</v>
      </c>
      <c r="N22" s="328"/>
      <c r="O22" s="437"/>
    </row>
    <row r="23" spans="1:15" x14ac:dyDescent="0.25">
      <c r="A23" s="189">
        <v>20</v>
      </c>
      <c r="B23" s="432">
        <v>46315</v>
      </c>
      <c r="C23" s="386"/>
      <c r="D23" s="386"/>
      <c r="E23" s="166"/>
      <c r="F23" s="166"/>
      <c r="G23" s="166">
        <f t="shared" si="0"/>
        <v>0</v>
      </c>
      <c r="H23" s="452"/>
      <c r="I23" s="452"/>
      <c r="J23" s="166">
        <f t="shared" si="1"/>
        <v>0</v>
      </c>
      <c r="K23" s="166">
        <f t="shared" si="2"/>
        <v>0</v>
      </c>
      <c r="L23" s="166"/>
      <c r="M23" s="166">
        <f t="shared" si="3"/>
        <v>56682.466499999835</v>
      </c>
      <c r="N23" s="328"/>
      <c r="O23" s="437"/>
    </row>
    <row r="24" spans="1:15" x14ac:dyDescent="0.25">
      <c r="A24" s="189">
        <v>21</v>
      </c>
      <c r="B24" s="432">
        <v>46316</v>
      </c>
      <c r="C24" s="386"/>
      <c r="D24" s="386"/>
      <c r="E24" s="166"/>
      <c r="F24" s="166"/>
      <c r="G24" s="166">
        <f t="shared" si="0"/>
        <v>0</v>
      </c>
      <c r="H24" s="452"/>
      <c r="I24" s="452"/>
      <c r="J24" s="166">
        <f t="shared" si="1"/>
        <v>0</v>
      </c>
      <c r="K24" s="166">
        <f t="shared" si="2"/>
        <v>0</v>
      </c>
      <c r="L24" s="181"/>
      <c r="M24" s="166">
        <f t="shared" si="3"/>
        <v>56682.466499999835</v>
      </c>
      <c r="N24" s="328"/>
      <c r="O24" s="437"/>
    </row>
    <row r="25" spans="1:15" x14ac:dyDescent="0.25">
      <c r="A25" s="189">
        <v>22</v>
      </c>
      <c r="B25" s="432">
        <v>46317</v>
      </c>
      <c r="C25" s="386"/>
      <c r="D25" s="386"/>
      <c r="E25" s="166"/>
      <c r="F25" s="166"/>
      <c r="G25" s="166">
        <f t="shared" si="0"/>
        <v>0</v>
      </c>
      <c r="H25" s="452"/>
      <c r="I25" s="452"/>
      <c r="J25" s="166">
        <f t="shared" si="1"/>
        <v>0</v>
      </c>
      <c r="K25" s="166">
        <f t="shared" si="2"/>
        <v>0</v>
      </c>
      <c r="L25" s="181"/>
      <c r="M25" s="166">
        <f t="shared" si="3"/>
        <v>56682.466499999835</v>
      </c>
      <c r="N25" s="328"/>
      <c r="O25" s="437"/>
    </row>
    <row r="26" spans="1:15" x14ac:dyDescent="0.25">
      <c r="A26" s="189">
        <v>23</v>
      </c>
      <c r="B26" s="432">
        <v>46318</v>
      </c>
      <c r="C26" s="386"/>
      <c r="D26" s="386"/>
      <c r="E26" s="166"/>
      <c r="F26" s="166"/>
      <c r="G26" s="166">
        <f t="shared" si="0"/>
        <v>0</v>
      </c>
      <c r="H26" s="452"/>
      <c r="I26" s="452"/>
      <c r="J26" s="166">
        <f t="shared" si="1"/>
        <v>0</v>
      </c>
      <c r="K26" s="166">
        <f t="shared" si="2"/>
        <v>0</v>
      </c>
      <c r="L26" s="181"/>
      <c r="M26" s="166">
        <f>M25+K26-L26</f>
        <v>56682.466499999835</v>
      </c>
      <c r="N26" s="328"/>
      <c r="O26" s="437"/>
    </row>
    <row r="27" spans="1:15" x14ac:dyDescent="0.25">
      <c r="A27" s="189">
        <v>24</v>
      </c>
      <c r="B27" s="432">
        <v>46319</v>
      </c>
      <c r="C27" s="386"/>
      <c r="D27" s="386"/>
      <c r="E27" s="458"/>
      <c r="F27" s="456"/>
      <c r="G27" s="166">
        <f t="shared" si="0"/>
        <v>0</v>
      </c>
      <c r="H27" s="452"/>
      <c r="I27" s="452"/>
      <c r="J27" s="166">
        <f t="shared" si="1"/>
        <v>0</v>
      </c>
      <c r="K27" s="166">
        <f t="shared" si="2"/>
        <v>0</v>
      </c>
      <c r="L27" s="181"/>
      <c r="N27" s="328"/>
      <c r="O27" s="437"/>
    </row>
    <row r="28" spans="1:15" x14ac:dyDescent="0.25">
      <c r="A28" s="189">
        <v>25</v>
      </c>
      <c r="B28" s="432">
        <v>46320</v>
      </c>
      <c r="C28" s="386"/>
      <c r="D28" s="386"/>
      <c r="E28" s="166"/>
      <c r="F28" s="166"/>
      <c r="G28" s="166">
        <f t="shared" si="0"/>
        <v>0</v>
      </c>
      <c r="H28" s="452"/>
      <c r="I28" s="452"/>
      <c r="J28" s="166">
        <f t="shared" si="1"/>
        <v>0</v>
      </c>
      <c r="K28" s="166">
        <f t="shared" si="2"/>
        <v>0</v>
      </c>
      <c r="L28" s="181"/>
      <c r="M28" s="166">
        <f>N30+K28-L28</f>
        <v>0</v>
      </c>
      <c r="N28" s="328"/>
      <c r="O28" s="437"/>
    </row>
    <row r="29" spans="1:15" x14ac:dyDescent="0.25">
      <c r="A29" s="189">
        <v>26</v>
      </c>
      <c r="B29" s="432">
        <v>46321</v>
      </c>
      <c r="C29" s="386"/>
      <c r="D29" s="386"/>
      <c r="E29" s="166"/>
      <c r="F29" s="166"/>
      <c r="G29" s="166">
        <f t="shared" si="0"/>
        <v>0</v>
      </c>
      <c r="H29" s="452"/>
      <c r="I29" s="452"/>
      <c r="J29" s="166">
        <f t="shared" si="1"/>
        <v>0</v>
      </c>
      <c r="K29" s="166">
        <f t="shared" si="2"/>
        <v>0</v>
      </c>
      <c r="L29" s="181"/>
      <c r="M29" s="166">
        <f t="shared" si="3"/>
        <v>0</v>
      </c>
      <c r="N29" s="328"/>
      <c r="O29" s="437"/>
    </row>
    <row r="30" spans="1:15" x14ac:dyDescent="0.25">
      <c r="A30" s="189">
        <v>27</v>
      </c>
      <c r="B30" s="432">
        <v>46322</v>
      </c>
      <c r="C30" s="386"/>
      <c r="D30" s="386"/>
      <c r="E30" s="166"/>
      <c r="F30" s="166"/>
      <c r="G30" s="166">
        <f t="shared" si="0"/>
        <v>0</v>
      </c>
      <c r="H30" s="452"/>
      <c r="I30" s="452"/>
      <c r="J30" s="166">
        <f t="shared" si="1"/>
        <v>0</v>
      </c>
      <c r="K30" s="166">
        <f t="shared" si="2"/>
        <v>0</v>
      </c>
      <c r="L30" s="181"/>
      <c r="M30" s="166">
        <f t="shared" si="3"/>
        <v>0</v>
      </c>
      <c r="N30" s="166"/>
      <c r="O30" s="437"/>
    </row>
    <row r="31" spans="1:15" x14ac:dyDescent="0.25">
      <c r="A31" s="189">
        <v>28</v>
      </c>
      <c r="B31" s="432">
        <v>46323</v>
      </c>
      <c r="C31" s="386"/>
      <c r="D31" s="386"/>
      <c r="E31" s="166"/>
      <c r="F31" s="166"/>
      <c r="G31" s="166">
        <f t="shared" si="0"/>
        <v>0</v>
      </c>
      <c r="H31" s="452"/>
      <c r="I31" s="452"/>
      <c r="J31" s="166">
        <f t="shared" si="1"/>
        <v>0</v>
      </c>
      <c r="K31" s="166">
        <f t="shared" si="2"/>
        <v>0</v>
      </c>
      <c r="L31" s="181"/>
      <c r="M31" s="166">
        <f t="shared" si="3"/>
        <v>0</v>
      </c>
      <c r="N31" s="328"/>
      <c r="O31" s="437"/>
    </row>
    <row r="32" spans="1:15" x14ac:dyDescent="0.25">
      <c r="A32" s="189">
        <v>29</v>
      </c>
      <c r="B32" s="432">
        <v>46324</v>
      </c>
      <c r="C32" s="386"/>
      <c r="D32" s="386"/>
      <c r="E32" s="459"/>
      <c r="F32" s="456"/>
      <c r="G32" s="166">
        <f t="shared" si="0"/>
        <v>0</v>
      </c>
      <c r="H32" s="452"/>
      <c r="I32" s="452"/>
      <c r="J32" s="166">
        <f t="shared" si="1"/>
        <v>0</v>
      </c>
      <c r="K32" s="166">
        <f t="shared" si="2"/>
        <v>0</v>
      </c>
      <c r="L32" s="181"/>
      <c r="M32" s="166">
        <f t="shared" si="3"/>
        <v>0</v>
      </c>
      <c r="N32" s="328"/>
      <c r="O32" s="437"/>
    </row>
    <row r="33" spans="1:15" x14ac:dyDescent="0.25">
      <c r="A33" s="189">
        <v>30</v>
      </c>
      <c r="B33" s="432">
        <v>46325</v>
      </c>
      <c r="C33" s="386"/>
      <c r="D33" s="386"/>
      <c r="E33" s="459"/>
      <c r="F33" s="456"/>
      <c r="G33" s="166">
        <f t="shared" si="0"/>
        <v>0</v>
      </c>
      <c r="H33" s="452"/>
      <c r="I33" s="452"/>
      <c r="J33" s="166">
        <f t="shared" si="1"/>
        <v>0</v>
      </c>
      <c r="K33" s="166">
        <f t="shared" si="2"/>
        <v>0</v>
      </c>
      <c r="L33" s="181"/>
      <c r="M33" s="166">
        <f t="shared" si="3"/>
        <v>0</v>
      </c>
      <c r="N33" s="328"/>
      <c r="O33" s="437"/>
    </row>
    <row r="34" spans="1:15" x14ac:dyDescent="0.25">
      <c r="A34" s="189">
        <v>31</v>
      </c>
      <c r="B34" s="432">
        <v>46326</v>
      </c>
      <c r="C34" s="386"/>
      <c r="D34" s="386"/>
      <c r="E34" s="166"/>
      <c r="F34" s="166"/>
      <c r="G34" s="166">
        <f t="shared" si="0"/>
        <v>0</v>
      </c>
      <c r="H34" s="452"/>
      <c r="I34" s="452"/>
      <c r="J34" s="166">
        <f t="shared" si="1"/>
        <v>0</v>
      </c>
      <c r="K34" s="166">
        <f t="shared" si="2"/>
        <v>0</v>
      </c>
      <c r="L34" s="181"/>
      <c r="M34" s="166">
        <f t="shared" si="3"/>
        <v>0</v>
      </c>
      <c r="N34" s="328"/>
      <c r="O34" s="437"/>
    </row>
    <row r="35" spans="1:15" x14ac:dyDescent="0.25">
      <c r="A35" s="189">
        <v>32</v>
      </c>
      <c r="B35" s="432"/>
      <c r="C35" s="386"/>
      <c r="D35" s="386"/>
      <c r="E35" s="166"/>
      <c r="F35" s="166"/>
      <c r="G35" s="166">
        <f t="shared" ref="G35:G40" si="4">E35*F35</f>
        <v>0</v>
      </c>
      <c r="H35" s="452"/>
      <c r="I35" s="452"/>
      <c r="J35" s="166">
        <f t="shared" ref="J35:J40" si="5">H35*I35</f>
        <v>0</v>
      </c>
      <c r="K35" s="166">
        <f t="shared" si="2"/>
        <v>0</v>
      </c>
      <c r="L35" s="181"/>
      <c r="M35" s="166">
        <f t="shared" si="3"/>
        <v>0</v>
      </c>
      <c r="N35" s="328"/>
      <c r="O35" s="437"/>
    </row>
    <row r="36" spans="1:15" x14ac:dyDescent="0.25">
      <c r="A36" s="189">
        <v>33</v>
      </c>
      <c r="B36" s="432"/>
      <c r="C36" s="386"/>
      <c r="D36" s="386"/>
      <c r="E36" s="166"/>
      <c r="F36" s="166"/>
      <c r="G36" s="166">
        <f t="shared" si="4"/>
        <v>0</v>
      </c>
      <c r="H36" s="452"/>
      <c r="I36" s="452"/>
      <c r="J36" s="166">
        <f t="shared" si="5"/>
        <v>0</v>
      </c>
      <c r="K36" s="166">
        <f t="shared" si="2"/>
        <v>0</v>
      </c>
      <c r="L36" s="181"/>
      <c r="M36" s="166">
        <f t="shared" si="3"/>
        <v>0</v>
      </c>
      <c r="N36" s="328"/>
      <c r="O36" s="437"/>
    </row>
    <row r="37" spans="1:15" x14ac:dyDescent="0.25">
      <c r="A37" s="189">
        <v>34</v>
      </c>
      <c r="B37" s="432"/>
      <c r="C37" s="386"/>
      <c r="D37" s="386"/>
      <c r="E37" s="166"/>
      <c r="F37" s="166"/>
      <c r="G37" s="166">
        <f t="shared" si="4"/>
        <v>0</v>
      </c>
      <c r="H37" s="452"/>
      <c r="I37" s="452"/>
      <c r="J37" s="166">
        <f t="shared" si="5"/>
        <v>0</v>
      </c>
      <c r="K37" s="166">
        <f t="shared" si="2"/>
        <v>0</v>
      </c>
      <c r="L37" s="181"/>
      <c r="M37" s="166">
        <f t="shared" si="3"/>
        <v>0</v>
      </c>
      <c r="N37" s="328"/>
      <c r="O37" s="437"/>
    </row>
    <row r="38" spans="1:21" x14ac:dyDescent="0.25">
      <c r="A38" s="189">
        <v>35</v>
      </c>
      <c r="B38" s="432"/>
      <c r="C38" s="386"/>
      <c r="D38" s="386"/>
      <c r="E38" s="166"/>
      <c r="F38" s="166"/>
      <c r="G38" s="166">
        <f t="shared" si="4"/>
        <v>0</v>
      </c>
      <c r="H38" s="452"/>
      <c r="I38" s="452"/>
      <c r="J38" s="166">
        <f t="shared" si="5"/>
        <v>0</v>
      </c>
      <c r="K38" s="166">
        <f t="shared" si="2"/>
        <v>0</v>
      </c>
      <c r="L38" s="181"/>
      <c r="M38" s="166">
        <f t="shared" si="3"/>
        <v>0</v>
      </c>
      <c r="N38" s="328"/>
      <c r="O38" s="437"/>
      <c r="U38" s="166"/>
    </row>
    <row r="39" spans="1:15" x14ac:dyDescent="0.25">
      <c r="A39" s="189">
        <v>36</v>
      </c>
      <c r="B39" s="432"/>
      <c r="C39" s="386"/>
      <c r="D39" s="386"/>
      <c r="E39" s="166"/>
      <c r="F39" s="166"/>
      <c r="G39" s="166">
        <f t="shared" si="4"/>
        <v>0</v>
      </c>
      <c r="H39" s="452"/>
      <c r="I39" s="452"/>
      <c r="J39" s="166">
        <f t="shared" si="5"/>
        <v>0</v>
      </c>
      <c r="K39" s="166">
        <f t="shared" si="2"/>
        <v>0</v>
      </c>
      <c r="L39" s="181"/>
      <c r="M39" s="166">
        <f t="shared" si="3"/>
        <v>0</v>
      </c>
      <c r="N39" s="328"/>
      <c r="O39" s="437"/>
    </row>
    <row r="40" spans="1:15" x14ac:dyDescent="0.25">
      <c r="A40" s="189">
        <v>37</v>
      </c>
      <c r="B40" s="432"/>
      <c r="C40" s="386"/>
      <c r="D40" s="386"/>
      <c r="E40" s="166"/>
      <c r="F40" s="166"/>
      <c r="G40" s="166">
        <f t="shared" si="4"/>
        <v>0</v>
      </c>
      <c r="H40" s="452"/>
      <c r="I40" s="452"/>
      <c r="J40" s="166">
        <f t="shared" si="5"/>
        <v>0</v>
      </c>
      <c r="K40" s="166">
        <f t="shared" si="2"/>
        <v>0</v>
      </c>
      <c r="L40" s="181">
        <v>0</v>
      </c>
      <c r="M40" s="166">
        <f t="shared" si="3"/>
        <v>0</v>
      </c>
      <c r="N40" s="328"/>
      <c r="O40" s="437"/>
    </row>
    <row r="41" spans="1:15" x14ac:dyDescent="0.25">
      <c r="A41" s="189">
        <v>38</v>
      </c>
      <c r="B41" s="432"/>
      <c r="C41" s="386"/>
      <c r="D41" s="386"/>
      <c r="E41" s="166"/>
      <c r="F41" s="166"/>
      <c r="G41" s="166"/>
      <c r="H41" s="452">
        <v>0</v>
      </c>
      <c r="I41" s="452">
        <v>0</v>
      </c>
      <c r="J41" s="166"/>
      <c r="K41" s="166"/>
      <c r="L41" s="181"/>
      <c r="M41" s="166">
        <f t="shared" si="3"/>
        <v>0</v>
      </c>
      <c r="N41" s="328"/>
      <c r="O41" s="437"/>
    </row>
    <row r="42" spans="1:15" x14ac:dyDescent="0.25">
      <c r="A42" s="169"/>
      <c r="B42" s="169"/>
      <c r="C42" s="169"/>
      <c r="D42" s="169"/>
      <c r="E42" s="171">
        <f>SUM(E4:E40)</f>
        <v>3207.57</v>
      </c>
      <c r="F42" s="171"/>
      <c r="G42" s="171">
        <f>SUM(G4:G40)</f>
        <v>318511.70100000006</v>
      </c>
      <c r="H42" s="171">
        <f>SUM(H4:H40)</f>
        <v>48</v>
      </c>
      <c r="I42" s="171"/>
      <c r="J42" s="171">
        <f>SUM(J4:J40)</f>
        <v>5347.2</v>
      </c>
      <c r="K42" s="171">
        <f>SUM(K4:K40)</f>
        <v>323858.90100000007</v>
      </c>
      <c r="L42" s="171">
        <f>SUM(L4:L40)</f>
        <v>350000</v>
      </c>
      <c r="M42" s="171"/>
      <c r="N42" s="171"/>
      <c r="O42" s="208"/>
    </row>
    <row r="43" spans="1:15" x14ac:dyDescent="0.25">
      <c r="A43" s="445"/>
      <c r="B43" s="445"/>
      <c r="C43" s="445"/>
      <c r="D43" s="445"/>
      <c r="E43" s="446"/>
      <c r="F43" s="446"/>
      <c r="G43" s="446"/>
      <c r="H43" s="446"/>
      <c r="I43" s="446"/>
      <c r="J43" s="446"/>
      <c r="K43" s="446"/>
      <c r="L43" s="446"/>
      <c r="M43" s="446"/>
      <c r="N43" s="446"/>
      <c r="O43" s="437"/>
    </row>
    <row r="44" spans="1:15" x14ac:dyDescent="0.25">
      <c r="A44" s="437"/>
      <c r="B44" s="437"/>
      <c r="C44" s="437"/>
      <c r="D44" s="437"/>
      <c r="E44" s="437"/>
      <c r="F44" s="437"/>
      <c r="G44" s="446"/>
      <c r="H44" s="437"/>
      <c r="I44" s="437"/>
      <c r="J44" s="437"/>
      <c r="K44" s="437"/>
      <c r="L44" s="166"/>
      <c r="M44" s="437"/>
      <c r="N44" s="437"/>
      <c r="O44" s="446"/>
    </row>
    <row r="45" spans="1:15" x14ac:dyDescent="0.25">
      <c r="A45" s="437"/>
      <c r="B45" s="437"/>
      <c r="C45" s="437"/>
      <c r="D45" s="437"/>
      <c r="E45" s="437"/>
      <c r="F45" s="437"/>
      <c r="G45" s="437"/>
      <c r="H45" s="437"/>
      <c r="I45" s="460">
        <f>K29+L29</f>
        <v>0</v>
      </c>
      <c r="J45" s="437"/>
      <c r="K45" s="437"/>
      <c r="L45" s="437"/>
      <c r="M45" s="437"/>
      <c r="N45" s="437"/>
      <c r="O45" s="446"/>
    </row>
    <row r="46" spans="1:15" x14ac:dyDescent="0.25">
      <c r="A46" s="437"/>
      <c r="B46" s="437"/>
      <c r="C46" s="437"/>
      <c r="D46" s="437"/>
      <c r="E46" s="437"/>
      <c r="F46" s="437"/>
      <c r="G46" s="437"/>
      <c r="H46" s="437"/>
      <c r="I46" s="437"/>
      <c r="J46" s="437"/>
      <c r="K46" s="437"/>
      <c r="L46" s="437"/>
      <c r="M46" s="437"/>
      <c r="N46" s="437"/>
      <c r="O46" s="446"/>
    </row>
    <row r="47" spans="1:15" x14ac:dyDescent="0.25">
      <c r="A47" s="405"/>
      <c r="B47" s="405"/>
      <c r="C47" s="405"/>
      <c r="D47" s="405"/>
      <c r="E47" s="405"/>
      <c r="F47" s="405"/>
      <c r="G47" s="405"/>
      <c r="H47" s="405"/>
      <c r="I47" s="405"/>
      <c r="J47" s="405"/>
      <c r="K47" s="405"/>
      <c r="L47" s="405"/>
      <c r="M47" s="405"/>
      <c r="N47" s="405"/>
      <c r="O47" s="405"/>
    </row>
    <row r="48" spans="1:15" x14ac:dyDescent="0.25">
      <c r="A48" s="405"/>
      <c r="B48" s="405"/>
      <c r="C48" s="405"/>
      <c r="D48" s="405"/>
      <c r="E48" s="405"/>
      <c r="F48" s="405"/>
      <c r="G48" s="405"/>
      <c r="H48" s="405"/>
      <c r="I48" s="405"/>
      <c r="J48" s="405"/>
      <c r="K48" s="405"/>
      <c r="L48" s="405"/>
      <c r="M48" s="405"/>
      <c r="N48" s="405"/>
      <c r="O48" s="405"/>
    </row>
    <row r="49" spans="1:15" x14ac:dyDescent="0.25">
      <c r="A49" s="405"/>
      <c r="B49" s="405"/>
      <c r="C49" s="405"/>
      <c r="D49" s="405"/>
      <c r="E49" s="405"/>
      <c r="F49" s="405"/>
      <c r="G49" s="405"/>
      <c r="H49" s="405"/>
      <c r="I49" s="405"/>
      <c r="J49" s="405"/>
      <c r="K49" s="405"/>
      <c r="L49" s="405"/>
      <c r="M49" s="405"/>
      <c r="N49" s="405"/>
      <c r="O49" s="405"/>
    </row>
    <row r="50" spans="1:15" x14ac:dyDescent="0.25">
      <c r="A50" s="405"/>
      <c r="B50" s="405"/>
      <c r="C50" s="405"/>
      <c r="D50" s="405"/>
      <c r="E50" s="405"/>
      <c r="F50" s="405"/>
      <c r="G50" s="405"/>
      <c r="H50" s="405"/>
      <c r="I50" s="405"/>
      <c r="J50" s="405"/>
      <c r="K50" s="405"/>
      <c r="L50" s="405"/>
      <c r="M50" s="405"/>
      <c r="N50" s="405"/>
      <c r="O50" s="405"/>
    </row>
    <row r="51" spans="1:15" x14ac:dyDescent="0.25">
      <c r="A51" s="405"/>
      <c r="B51" s="405"/>
      <c r="C51" s="405"/>
      <c r="D51" s="405"/>
      <c r="E51" s="405"/>
      <c r="F51" s="405"/>
      <c r="G51" s="405"/>
      <c r="H51" s="405"/>
      <c r="I51" s="405"/>
      <c r="J51" s="405"/>
      <c r="K51" s="405"/>
      <c r="L51" s="405"/>
      <c r="M51" s="405"/>
      <c r="N51" s="405"/>
      <c r="O51" s="405"/>
    </row>
    <row r="52" spans="1:15" x14ac:dyDescent="0.25">
      <c r="A52" s="405"/>
      <c r="B52" s="405"/>
      <c r="C52" s="405"/>
      <c r="D52" s="405"/>
      <c r="E52" s="405"/>
      <c r="F52" s="405"/>
      <c r="G52" s="405"/>
      <c r="H52" s="405"/>
      <c r="I52" s="405"/>
      <c r="J52" s="405"/>
      <c r="K52" s="405"/>
      <c r="L52" s="405"/>
      <c r="M52" s="405"/>
      <c r="N52" s="405"/>
      <c r="O52" s="405"/>
    </row>
    <row r="53" spans="1:15" x14ac:dyDescent="0.25">
      <c r="A53" s="405"/>
      <c r="B53" s="405"/>
      <c r="C53" s="405"/>
      <c r="D53" s="405"/>
      <c r="E53" s="405"/>
      <c r="F53" s="405"/>
      <c r="G53" s="405"/>
      <c r="H53" s="405"/>
      <c r="I53" s="405"/>
      <c r="J53" s="405"/>
      <c r="K53" s="405"/>
      <c r="L53" s="405"/>
      <c r="M53" s="405"/>
      <c r="N53" s="405"/>
      <c r="O53" s="405"/>
    </row>
    <row r="54" spans="1:15" x14ac:dyDescent="0.25">
      <c r="A54" s="405"/>
      <c r="B54" s="405"/>
      <c r="C54" s="405"/>
      <c r="D54" s="405"/>
      <c r="E54" s="405"/>
      <c r="F54" s="405"/>
      <c r="G54" s="405"/>
      <c r="H54" s="405"/>
      <c r="I54" s="405"/>
      <c r="J54" s="405"/>
      <c r="K54" s="405"/>
      <c r="L54" s="405"/>
      <c r="M54" s="405"/>
      <c r="N54" s="405"/>
      <c r="O54" s="405"/>
    </row>
    <row r="55" spans="1:15" x14ac:dyDescent="0.25">
      <c r="A55" s="405"/>
      <c r="B55" s="405"/>
      <c r="C55" s="405"/>
      <c r="D55" s="405"/>
      <c r="E55" s="405"/>
      <c r="F55" s="405"/>
      <c r="G55" s="405"/>
      <c r="H55" s="405"/>
      <c r="I55" s="405"/>
      <c r="J55" s="405"/>
      <c r="K55" s="405"/>
      <c r="L55" s="405"/>
      <c r="M55" s="405"/>
      <c r="N55" s="405"/>
      <c r="O55" s="405"/>
    </row>
    <row r="56" spans="1:15" x14ac:dyDescent="0.25">
      <c r="A56" s="405"/>
      <c r="B56" s="405"/>
      <c r="C56" s="405"/>
      <c r="D56" s="405"/>
      <c r="E56" s="405"/>
      <c r="F56" s="405"/>
      <c r="G56" s="405"/>
      <c r="H56" s="405"/>
      <c r="I56" s="405"/>
      <c r="J56" s="405"/>
      <c r="K56" s="405"/>
      <c r="L56" s="405"/>
      <c r="M56" s="405"/>
      <c r="N56" s="405"/>
      <c r="O56" s="405"/>
    </row>
  </sheetData>
  <mergeCells count="3">
    <mergeCell ref="A1:N1"/>
    <mergeCell ref="B45:E45"/>
    <mergeCell ref="I45:N45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U51"/>
  <sheetViews>
    <sheetView workbookViewId="0" zoomScale="100" zoomScaleNormal="100">
      <pane ySplit="3" topLeftCell="A4" activePane="bottomLeft" state="frozen"/>
      <selection pane="bottomLeft" activeCell="L18" sqref="L18"/>
    </sheetView>
  </sheetViews>
  <sheetFormatPr defaultRowHeight="15" outlineLevelRow="0" outlineLevelCol="0" x14ac:dyDescent="0"/>
  <cols>
    <col min="2" max="2" width="10" customWidth="1"/>
    <col min="4" max="4" width="12.85546875" customWidth="1"/>
    <col min="5" max="5" width="12.140625" customWidth="1"/>
    <col min="7" max="7" width="11.85546875" customWidth="1"/>
    <col min="8" max="8" width="10.85546875" customWidth="1"/>
    <col min="10" max="10" width="10.85546875" customWidth="1"/>
    <col min="11" max="11" width="13.5703125" customWidth="1"/>
    <col min="12" max="12" width="14.5703125" customWidth="1"/>
    <col min="13" max="13" width="11.85546875" customWidth="1"/>
    <col min="16" max="16" width="11.85546875" customWidth="1"/>
    <col min="17" max="17" width="14" customWidth="1"/>
  </cols>
  <sheetData>
    <row r="1" ht="15.75" customHeight="1" spans="1:15" x14ac:dyDescent="0.25">
      <c r="A1" s="105" t="s">
        <v>138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421"/>
    </row>
    <row r="2" ht="21" customHeight="1" spans="1:15" x14ac:dyDescent="0.25">
      <c r="A2" s="122" t="s">
        <v>0</v>
      </c>
      <c r="B2" s="123" t="s">
        <v>167</v>
      </c>
      <c r="C2" s="123" t="s">
        <v>168</v>
      </c>
      <c r="D2" s="123" t="s">
        <v>169</v>
      </c>
      <c r="E2" s="123" t="s">
        <v>170</v>
      </c>
      <c r="F2" s="123" t="s">
        <v>171</v>
      </c>
      <c r="G2" s="123" t="s">
        <v>172</v>
      </c>
      <c r="H2" s="123" t="s">
        <v>173</v>
      </c>
      <c r="I2" s="123" t="s">
        <v>171</v>
      </c>
      <c r="J2" s="124" t="s">
        <v>172</v>
      </c>
      <c r="K2" s="106" t="s">
        <v>174</v>
      </c>
      <c r="L2" s="109" t="s">
        <v>175</v>
      </c>
      <c r="M2" s="467" t="s">
        <v>190</v>
      </c>
      <c r="N2" s="123" t="s">
        <v>177</v>
      </c>
      <c r="O2" s="208"/>
    </row>
    <row r="3" spans="1:15" x14ac:dyDescent="0.25">
      <c r="A3" s="448"/>
      <c r="B3" s="390"/>
      <c r="C3" s="390"/>
      <c r="D3" s="427" t="s">
        <v>178</v>
      </c>
      <c r="E3" s="390"/>
      <c r="F3" s="390"/>
      <c r="G3" s="390"/>
      <c r="H3" s="390"/>
      <c r="I3" s="390"/>
      <c r="J3" s="468"/>
      <c r="K3" s="450"/>
      <c r="L3" s="37"/>
      <c r="M3" s="120">
        <v>161393.37200000006</v>
      </c>
      <c r="N3" s="469"/>
      <c r="O3" s="208"/>
    </row>
    <row r="4" spans="1:15" x14ac:dyDescent="0.25">
      <c r="A4" s="189">
        <v>1</v>
      </c>
      <c r="B4" s="432">
        <v>46296</v>
      </c>
      <c r="C4" s="386"/>
      <c r="D4" s="386"/>
      <c r="E4" s="166"/>
      <c r="F4" s="166"/>
      <c r="G4" s="166">
        <f>E4*F4</f>
        <v>0</v>
      </c>
      <c r="H4" s="452">
        <v>11</v>
      </c>
      <c r="I4" s="452">
        <v>111.82</v>
      </c>
      <c r="J4" s="269">
        <f>H4*I4</f>
        <v>1230.02</v>
      </c>
      <c r="K4" s="166">
        <f>G4+J4</f>
        <v>1230.02</v>
      </c>
      <c r="L4" s="181"/>
      <c r="M4" s="166">
        <f>M3+K4-L4</f>
        <v>162623.39200000005</v>
      </c>
      <c r="N4" s="470"/>
      <c r="O4" s="437"/>
    </row>
    <row r="5" spans="1:15" x14ac:dyDescent="0.25">
      <c r="A5" s="189">
        <v>2</v>
      </c>
      <c r="B5" s="432">
        <v>46297</v>
      </c>
      <c r="C5" s="386"/>
      <c r="D5" s="386"/>
      <c r="E5" s="166"/>
      <c r="F5" s="166"/>
      <c r="G5" s="166">
        <f t="shared" ref="G5:G35" si="0">E5*F5</f>
        <v>0</v>
      </c>
      <c r="H5" s="452"/>
      <c r="I5" s="452"/>
      <c r="J5" s="269">
        <f t="shared" ref="J5:J35" si="1">H5*I5</f>
        <v>0</v>
      </c>
      <c r="K5" s="166">
        <f t="shared" ref="K5:K35" si="2">G5+J5</f>
        <v>0</v>
      </c>
      <c r="L5" s="181"/>
      <c r="M5" s="166">
        <f t="shared" ref="M5:M36" si="3">M4+K5-L5</f>
        <v>162623.39200000005</v>
      </c>
      <c r="N5" s="470"/>
      <c r="O5" s="437"/>
    </row>
    <row r="6" spans="1:15" x14ac:dyDescent="0.25">
      <c r="A6" s="189">
        <v>3</v>
      </c>
      <c r="B6" s="432">
        <v>46298</v>
      </c>
      <c r="C6" s="386"/>
      <c r="D6" s="386"/>
      <c r="E6" s="166">
        <v>30</v>
      </c>
      <c r="F6" s="166">
        <v>99.7</v>
      </c>
      <c r="G6" s="166">
        <f t="shared" si="0"/>
        <v>2991</v>
      </c>
      <c r="H6" s="452">
        <v>5</v>
      </c>
      <c r="I6" s="452">
        <v>111.82</v>
      </c>
      <c r="J6" s="269">
        <f t="shared" si="1"/>
        <v>559.0999999999999</v>
      </c>
      <c r="K6" s="166">
        <f t="shared" si="2"/>
        <v>3550.1</v>
      </c>
      <c r="L6" s="181"/>
      <c r="M6" s="166">
        <f t="shared" si="3"/>
        <v>166173.49200000006</v>
      </c>
      <c r="N6" s="470"/>
      <c r="O6" s="437"/>
    </row>
    <row r="7" spans="1:15" x14ac:dyDescent="0.25">
      <c r="A7" s="189">
        <v>4</v>
      </c>
      <c r="B7" s="432">
        <v>46299</v>
      </c>
      <c r="C7" s="386"/>
      <c r="D7" s="386"/>
      <c r="E7" s="187">
        <v>60</v>
      </c>
      <c r="F7" s="166">
        <v>99.7</v>
      </c>
      <c r="G7" s="166">
        <f>E7*F7</f>
        <v>5982</v>
      </c>
      <c r="H7" s="452"/>
      <c r="I7" s="452"/>
      <c r="J7" s="269">
        <f t="shared" si="1"/>
        <v>0</v>
      </c>
      <c r="K7" s="166">
        <f t="shared" si="2"/>
        <v>5982</v>
      </c>
      <c r="L7" s="181"/>
      <c r="M7" s="166">
        <f t="shared" si="3"/>
        <v>172155.49200000006</v>
      </c>
      <c r="N7" s="470"/>
      <c r="O7" s="437"/>
    </row>
    <row r="8" spans="1:15" x14ac:dyDescent="0.25">
      <c r="A8" s="189">
        <v>5</v>
      </c>
      <c r="B8" s="432">
        <v>46300</v>
      </c>
      <c r="C8" s="386"/>
      <c r="D8" s="386"/>
      <c r="E8" s="187"/>
      <c r="F8" s="166"/>
      <c r="G8" s="166">
        <f>E8*F8</f>
        <v>0</v>
      </c>
      <c r="H8" s="452">
        <v>15</v>
      </c>
      <c r="I8" s="452">
        <v>111.82</v>
      </c>
      <c r="J8" s="269">
        <f t="shared" si="1"/>
        <v>1677.3</v>
      </c>
      <c r="K8" s="166">
        <f t="shared" si="2"/>
        <v>1677.3</v>
      </c>
      <c r="L8" s="181"/>
      <c r="M8" s="166">
        <f t="shared" si="3"/>
        <v>173832.79200000004</v>
      </c>
      <c r="N8" s="470"/>
      <c r="O8" s="437"/>
    </row>
    <row r="9" spans="1:15" x14ac:dyDescent="0.25">
      <c r="A9" s="189">
        <v>6</v>
      </c>
      <c r="B9" s="432">
        <v>46301</v>
      </c>
      <c r="C9" s="386"/>
      <c r="D9" s="386"/>
      <c r="E9" s="187">
        <v>195</v>
      </c>
      <c r="F9" s="187">
        <v>99.7</v>
      </c>
      <c r="G9" s="166">
        <f t="shared" si="0"/>
        <v>19441.5</v>
      </c>
      <c r="H9" s="452">
        <v>5</v>
      </c>
      <c r="I9" s="452">
        <v>111.82</v>
      </c>
      <c r="J9" s="269">
        <f t="shared" si="1"/>
        <v>559.0999999999999</v>
      </c>
      <c r="K9" s="166">
        <f t="shared" si="2"/>
        <v>20000.6</v>
      </c>
      <c r="L9" s="181"/>
      <c r="M9" s="166">
        <f t="shared" si="3"/>
        <v>193833.39200000005</v>
      </c>
      <c r="N9" s="470"/>
      <c r="O9" s="437"/>
    </row>
    <row r="10" spans="1:15" x14ac:dyDescent="0.25">
      <c r="A10" s="189">
        <v>7</v>
      </c>
      <c r="B10" s="432">
        <v>46302</v>
      </c>
      <c r="C10" s="386"/>
      <c r="D10" s="386"/>
      <c r="E10" s="187">
        <v>286</v>
      </c>
      <c r="F10" s="187">
        <v>99.7</v>
      </c>
      <c r="G10" s="166">
        <f t="shared" si="0"/>
        <v>28514.2</v>
      </c>
      <c r="H10" s="452">
        <v>16</v>
      </c>
      <c r="I10" s="452">
        <v>111.82</v>
      </c>
      <c r="J10" s="269">
        <f t="shared" si="1"/>
        <v>1789.12</v>
      </c>
      <c r="K10" s="166">
        <f t="shared" si="2"/>
        <v>30303.32</v>
      </c>
      <c r="L10" s="181"/>
      <c r="M10" s="166">
        <f>M9+K10-L10</f>
        <v>224136.71200000006</v>
      </c>
      <c r="N10" s="470"/>
      <c r="O10" s="437"/>
    </row>
    <row r="11" spans="1:15" x14ac:dyDescent="0.25">
      <c r="A11" s="189">
        <v>8</v>
      </c>
      <c r="B11" s="432">
        <v>46303</v>
      </c>
      <c r="C11" s="386"/>
      <c r="D11" s="386"/>
      <c r="E11" s="459">
        <v>80</v>
      </c>
      <c r="F11" s="459">
        <v>99.7</v>
      </c>
      <c r="G11" s="166">
        <f t="shared" si="0"/>
        <v>7976</v>
      </c>
      <c r="H11" s="452">
        <v>10</v>
      </c>
      <c r="I11" s="452">
        <v>111.82</v>
      </c>
      <c r="J11" s="269">
        <f t="shared" si="1"/>
        <v>1118.1999999999998</v>
      </c>
      <c r="K11" s="166">
        <f t="shared" si="2"/>
        <v>9094.2</v>
      </c>
      <c r="L11" s="181"/>
      <c r="M11" s="166">
        <f t="shared" si="3"/>
        <v>233230.91200000007</v>
      </c>
      <c r="N11" s="470"/>
      <c r="O11" s="437"/>
    </row>
    <row r="12" spans="1:15" x14ac:dyDescent="0.25">
      <c r="A12" s="189">
        <v>9</v>
      </c>
      <c r="B12" s="432">
        <v>46304</v>
      </c>
      <c r="C12" s="386"/>
      <c r="D12" s="386"/>
      <c r="E12" s="459">
        <v>310</v>
      </c>
      <c r="F12" s="459">
        <v>99.7</v>
      </c>
      <c r="G12" s="166">
        <f t="shared" si="0"/>
        <v>30907</v>
      </c>
      <c r="H12" s="452"/>
      <c r="I12" s="452"/>
      <c r="J12" s="166">
        <f t="shared" si="1"/>
        <v>0</v>
      </c>
      <c r="K12" s="262">
        <f t="shared" si="2"/>
        <v>30907</v>
      </c>
      <c r="L12" s="471"/>
      <c r="M12" s="262">
        <f>M11+K12-L12</f>
        <v>264137.91200000007</v>
      </c>
      <c r="N12" s="328"/>
      <c r="O12" s="437"/>
    </row>
    <row r="13" spans="1:15" x14ac:dyDescent="0.25">
      <c r="A13" s="189">
        <v>10</v>
      </c>
      <c r="B13" s="432">
        <v>46305</v>
      </c>
      <c r="C13" s="386"/>
      <c r="D13" s="386"/>
      <c r="E13" s="166">
        <v>150</v>
      </c>
      <c r="F13" s="166">
        <v>99.7</v>
      </c>
      <c r="G13" s="166">
        <f t="shared" si="0"/>
        <v>14955</v>
      </c>
      <c r="H13" s="452"/>
      <c r="I13" s="452"/>
      <c r="J13" s="166">
        <f t="shared" si="1"/>
        <v>0</v>
      </c>
      <c r="K13" s="166">
        <f t="shared" si="2"/>
        <v>14955</v>
      </c>
      <c r="L13" s="181"/>
      <c r="M13" s="262">
        <f t="shared" si="3"/>
        <v>279092.91200000007</v>
      </c>
      <c r="N13" s="328"/>
      <c r="O13" s="437"/>
    </row>
    <row r="14" spans="1:15" x14ac:dyDescent="0.25">
      <c r="A14" s="189">
        <v>11</v>
      </c>
      <c r="B14" s="432">
        <v>46306</v>
      </c>
      <c r="C14" s="386"/>
      <c r="D14" s="386"/>
      <c r="E14" s="166"/>
      <c r="F14" s="166">
        <v>99.7</v>
      </c>
      <c r="G14" s="166">
        <f t="shared" si="0"/>
        <v>0</v>
      </c>
      <c r="H14" s="452"/>
      <c r="I14" s="452"/>
      <c r="J14" s="166">
        <f t="shared" si="1"/>
        <v>0</v>
      </c>
      <c r="K14" s="166">
        <f t="shared" si="2"/>
        <v>0</v>
      </c>
      <c r="L14" s="181"/>
      <c r="M14" s="262">
        <f t="shared" si="3"/>
        <v>279092.91200000007</v>
      </c>
      <c r="N14" s="328"/>
      <c r="O14" s="437"/>
    </row>
    <row r="15" spans="1:15" x14ac:dyDescent="0.25">
      <c r="A15" s="189">
        <v>12</v>
      </c>
      <c r="B15" s="432">
        <v>46307</v>
      </c>
      <c r="C15" s="386"/>
      <c r="D15" s="386"/>
      <c r="E15" s="166"/>
      <c r="F15" s="166"/>
      <c r="G15" s="166">
        <f t="shared" si="0"/>
        <v>0</v>
      </c>
      <c r="H15" s="452">
        <v>17</v>
      </c>
      <c r="I15" s="452">
        <v>111.82</v>
      </c>
      <c r="J15" s="166">
        <f t="shared" si="1"/>
        <v>1900.9399999999998</v>
      </c>
      <c r="K15" s="166">
        <f t="shared" si="2"/>
        <v>1900.9399999999998</v>
      </c>
      <c r="L15" s="181"/>
      <c r="M15" s="262">
        <f t="shared" si="3"/>
        <v>280993.8520000001</v>
      </c>
      <c r="N15" s="328"/>
      <c r="O15" s="437"/>
    </row>
    <row r="16" spans="1:15" x14ac:dyDescent="0.25">
      <c r="A16" s="189">
        <v>13</v>
      </c>
      <c r="B16" s="432">
        <v>46308</v>
      </c>
      <c r="C16" s="386"/>
      <c r="D16" s="386"/>
      <c r="E16" s="166">
        <v>335.31</v>
      </c>
      <c r="F16" s="166">
        <v>99.7</v>
      </c>
      <c r="G16" s="166">
        <f t="shared" si="0"/>
        <v>33430.407</v>
      </c>
      <c r="H16" s="452"/>
      <c r="I16" s="452"/>
      <c r="J16" s="166">
        <f t="shared" si="1"/>
        <v>0</v>
      </c>
      <c r="K16" s="166">
        <f t="shared" si="2"/>
        <v>33430.407</v>
      </c>
      <c r="L16" s="181"/>
      <c r="M16" s="262">
        <f t="shared" si="3"/>
        <v>314424.2590000001</v>
      </c>
      <c r="N16" s="328"/>
      <c r="O16" s="437"/>
    </row>
    <row r="17" spans="1:15" x14ac:dyDescent="0.25">
      <c r="A17" s="189">
        <v>14</v>
      </c>
      <c r="B17" s="432">
        <v>46309</v>
      </c>
      <c r="C17" s="386"/>
      <c r="D17" s="386"/>
      <c r="E17" s="166">
        <v>91.01</v>
      </c>
      <c r="F17" s="166">
        <v>99.7</v>
      </c>
      <c r="G17" s="166">
        <f t="shared" si="0"/>
        <v>9073.697</v>
      </c>
      <c r="H17" s="452"/>
      <c r="I17" s="452"/>
      <c r="J17" s="166">
        <f t="shared" si="1"/>
        <v>0</v>
      </c>
      <c r="K17" s="166">
        <f t="shared" si="2"/>
        <v>9073.697</v>
      </c>
      <c r="L17" s="181"/>
      <c r="M17" s="262">
        <f t="shared" si="3"/>
        <v>323497.95600000006</v>
      </c>
      <c r="N17" s="328"/>
      <c r="O17" s="437"/>
    </row>
    <row r="18" spans="1:15" x14ac:dyDescent="0.25">
      <c r="A18" s="189">
        <v>15</v>
      </c>
      <c r="B18" s="432">
        <v>46310</v>
      </c>
      <c r="C18" s="386"/>
      <c r="D18" s="386"/>
      <c r="E18" s="166">
        <v>110</v>
      </c>
      <c r="F18" s="166">
        <v>99.7</v>
      </c>
      <c r="G18" s="166">
        <f t="shared" si="0"/>
        <v>10967</v>
      </c>
      <c r="H18" s="452">
        <v>16</v>
      </c>
      <c r="I18" s="452">
        <v>111.82</v>
      </c>
      <c r="J18" s="166">
        <f t="shared" si="1"/>
        <v>1789.12</v>
      </c>
      <c r="K18" s="166">
        <f t="shared" si="2"/>
        <v>12756.119999999999</v>
      </c>
      <c r="L18" s="181">
        <v>200000</v>
      </c>
      <c r="M18" s="262">
        <f t="shared" si="3"/>
        <v>136254.07600000006</v>
      </c>
      <c r="N18" s="328"/>
      <c r="O18" s="437"/>
    </row>
    <row r="19" spans="1:15" x14ac:dyDescent="0.25">
      <c r="A19" s="189">
        <v>16</v>
      </c>
      <c r="B19" s="432">
        <v>46311</v>
      </c>
      <c r="C19" s="386"/>
      <c r="D19" s="386"/>
      <c r="E19" s="166"/>
      <c r="F19" s="166"/>
      <c r="G19" s="166">
        <f t="shared" si="0"/>
        <v>0</v>
      </c>
      <c r="H19" s="452"/>
      <c r="I19" s="452"/>
      <c r="J19" s="166">
        <f t="shared" si="1"/>
        <v>0</v>
      </c>
      <c r="K19" s="166">
        <f t="shared" si="2"/>
        <v>0</v>
      </c>
      <c r="L19" s="181"/>
      <c r="M19" s="262">
        <f t="shared" si="3"/>
        <v>136254.07600000006</v>
      </c>
      <c r="N19" s="328"/>
      <c r="O19" s="437"/>
    </row>
    <row r="20" spans="1:15" x14ac:dyDescent="0.25">
      <c r="A20" s="189">
        <v>17</v>
      </c>
      <c r="B20" s="432">
        <v>46312</v>
      </c>
      <c r="C20" s="386"/>
      <c r="D20" s="386"/>
      <c r="E20" s="166"/>
      <c r="F20" s="166"/>
      <c r="G20" s="166">
        <f t="shared" si="0"/>
        <v>0</v>
      </c>
      <c r="H20" s="452"/>
      <c r="I20" s="452"/>
      <c r="J20" s="166">
        <f t="shared" si="1"/>
        <v>0</v>
      </c>
      <c r="K20" s="166">
        <f t="shared" si="2"/>
        <v>0</v>
      </c>
      <c r="L20" s="181"/>
      <c r="M20" s="262">
        <f t="shared" si="3"/>
        <v>136254.07600000006</v>
      </c>
      <c r="N20" s="328"/>
      <c r="O20" s="437"/>
    </row>
    <row r="21" spans="1:15" x14ac:dyDescent="0.25">
      <c r="A21" s="189">
        <v>18</v>
      </c>
      <c r="B21" s="432">
        <v>46313</v>
      </c>
      <c r="C21" s="386"/>
      <c r="D21" s="386"/>
      <c r="E21" s="166"/>
      <c r="F21" s="166"/>
      <c r="G21" s="166">
        <f t="shared" si="0"/>
        <v>0</v>
      </c>
      <c r="H21" s="459"/>
      <c r="I21" s="452"/>
      <c r="J21" s="166">
        <f t="shared" si="1"/>
        <v>0</v>
      </c>
      <c r="K21" s="166">
        <f t="shared" si="2"/>
        <v>0</v>
      </c>
      <c r="L21" s="181"/>
      <c r="M21" s="262">
        <f t="shared" si="3"/>
        <v>136254.07600000006</v>
      </c>
      <c r="N21" s="328"/>
      <c r="O21" s="437"/>
    </row>
    <row r="22" spans="1:21" x14ac:dyDescent="0.25">
      <c r="A22" s="189">
        <v>19</v>
      </c>
      <c r="B22" s="432">
        <v>46314</v>
      </c>
      <c r="C22" s="386"/>
      <c r="D22" s="386"/>
      <c r="E22" s="166"/>
      <c r="F22" s="166"/>
      <c r="G22" s="166">
        <f t="shared" si="0"/>
        <v>0</v>
      </c>
      <c r="H22" s="459"/>
      <c r="I22" s="452"/>
      <c r="J22" s="166">
        <f t="shared" si="1"/>
        <v>0</v>
      </c>
      <c r="K22" s="166">
        <f>G22+J22</f>
        <v>0</v>
      </c>
      <c r="L22" s="181"/>
      <c r="M22" s="262">
        <f t="shared" si="3"/>
        <v>136254.07600000006</v>
      </c>
      <c r="N22" s="328"/>
      <c r="O22" s="437"/>
      <c r="U22">
        <f>70+20+E2690</f>
        <v>90</v>
      </c>
    </row>
    <row r="23" spans="1:15" x14ac:dyDescent="0.25">
      <c r="A23" s="189">
        <v>20</v>
      </c>
      <c r="B23" s="432">
        <v>46315</v>
      </c>
      <c r="C23" s="386"/>
      <c r="D23" s="386"/>
      <c r="E23" s="166"/>
      <c r="F23" s="166"/>
      <c r="G23" s="166">
        <f t="shared" si="0"/>
        <v>0</v>
      </c>
      <c r="H23" s="452"/>
      <c r="I23" s="452"/>
      <c r="J23" s="166">
        <f t="shared" si="1"/>
        <v>0</v>
      </c>
      <c r="K23" s="166">
        <f t="shared" si="2"/>
        <v>0</v>
      </c>
      <c r="L23" s="181"/>
      <c r="M23" s="262">
        <f t="shared" si="3"/>
        <v>136254.07600000006</v>
      </c>
      <c r="N23" s="328"/>
      <c r="O23" s="437"/>
    </row>
    <row r="24" spans="1:15" x14ac:dyDescent="0.25">
      <c r="A24" s="189">
        <v>21</v>
      </c>
      <c r="B24" s="432">
        <v>46316</v>
      </c>
      <c r="C24" s="386"/>
      <c r="D24" s="386"/>
      <c r="E24" s="166"/>
      <c r="F24" s="166"/>
      <c r="G24" s="166">
        <f t="shared" si="0"/>
        <v>0</v>
      </c>
      <c r="H24" s="452"/>
      <c r="I24" s="452"/>
      <c r="J24" s="166">
        <f t="shared" si="1"/>
        <v>0</v>
      </c>
      <c r="K24" s="166">
        <f t="shared" si="2"/>
        <v>0</v>
      </c>
      <c r="L24" s="181"/>
      <c r="M24" s="262">
        <f t="shared" si="3"/>
        <v>136254.07600000006</v>
      </c>
      <c r="N24" s="328"/>
      <c r="O24" s="437"/>
    </row>
    <row r="25" spans="1:15" x14ac:dyDescent="0.25">
      <c r="A25" s="189">
        <v>22</v>
      </c>
      <c r="B25" s="432">
        <v>46317</v>
      </c>
      <c r="C25" s="386"/>
      <c r="D25" s="386"/>
      <c r="E25" s="166"/>
      <c r="F25" s="166"/>
      <c r="G25" s="166">
        <f t="shared" si="0"/>
        <v>0</v>
      </c>
      <c r="H25" s="452"/>
      <c r="I25" s="452"/>
      <c r="J25" s="166">
        <f>H25*I25</f>
        <v>0</v>
      </c>
      <c r="K25" s="166">
        <f>G25+J25</f>
        <v>0</v>
      </c>
      <c r="L25" s="181"/>
      <c r="M25" s="262">
        <f t="shared" si="3"/>
        <v>136254.07600000006</v>
      </c>
      <c r="N25" s="328"/>
      <c r="O25" s="437"/>
    </row>
    <row r="26" spans="1:15" x14ac:dyDescent="0.25">
      <c r="A26" s="189">
        <v>23</v>
      </c>
      <c r="B26" s="432">
        <v>46318</v>
      </c>
      <c r="C26" s="386"/>
      <c r="D26" s="386"/>
      <c r="E26" s="166"/>
      <c r="F26" s="166"/>
      <c r="G26" s="166">
        <f t="shared" si="0"/>
        <v>0</v>
      </c>
      <c r="H26" s="452"/>
      <c r="I26" s="452"/>
      <c r="J26" s="166">
        <f t="shared" si="1"/>
        <v>0</v>
      </c>
      <c r="K26" s="166">
        <f>G26+J26</f>
        <v>0</v>
      </c>
      <c r="L26" s="181"/>
      <c r="M26" s="262">
        <f t="shared" si="3"/>
        <v>136254.07600000006</v>
      </c>
      <c r="N26" s="328"/>
      <c r="O26" s="437"/>
    </row>
    <row r="27" spans="1:15" x14ac:dyDescent="0.25">
      <c r="A27" s="189">
        <v>24</v>
      </c>
      <c r="B27" s="432">
        <v>46319</v>
      </c>
      <c r="C27" s="386"/>
      <c r="D27" s="386"/>
      <c r="E27" s="459"/>
      <c r="F27" s="459"/>
      <c r="G27" s="166">
        <f t="shared" si="0"/>
        <v>0</v>
      </c>
      <c r="H27" s="452"/>
      <c r="I27" s="452"/>
      <c r="J27" s="166">
        <f t="shared" si="1"/>
        <v>0</v>
      </c>
      <c r="K27" s="166">
        <f>G27+J27</f>
        <v>0</v>
      </c>
      <c r="L27" s="181"/>
      <c r="M27" s="262">
        <f t="shared" si="3"/>
        <v>136254.07600000006</v>
      </c>
      <c r="N27" s="328"/>
      <c r="O27" s="437"/>
    </row>
    <row r="28" spans="1:15" x14ac:dyDescent="0.25">
      <c r="A28" s="189">
        <v>25</v>
      </c>
      <c r="B28" s="432">
        <v>46320</v>
      </c>
      <c r="C28" s="386"/>
      <c r="D28" s="386"/>
      <c r="E28" s="166"/>
      <c r="F28" s="166"/>
      <c r="G28" s="166">
        <f t="shared" si="0"/>
        <v>0</v>
      </c>
      <c r="H28" s="452"/>
      <c r="I28" s="452"/>
      <c r="J28" s="166">
        <f t="shared" si="1"/>
        <v>0</v>
      </c>
      <c r="K28" s="166">
        <f t="shared" si="2"/>
        <v>0</v>
      </c>
      <c r="L28" s="181"/>
      <c r="M28" s="262">
        <f t="shared" si="3"/>
        <v>136254.07600000006</v>
      </c>
      <c r="N28" s="328"/>
      <c r="O28" s="437"/>
    </row>
    <row r="29" spans="1:15" x14ac:dyDescent="0.25">
      <c r="A29" s="189">
        <v>26</v>
      </c>
      <c r="B29" s="432">
        <v>46321</v>
      </c>
      <c r="C29" s="386"/>
      <c r="D29" s="386"/>
      <c r="E29" s="166"/>
      <c r="F29" s="166"/>
      <c r="G29" s="166">
        <f t="shared" si="0"/>
        <v>0</v>
      </c>
      <c r="H29" s="452"/>
      <c r="I29" s="452"/>
      <c r="J29" s="166">
        <f t="shared" si="1"/>
        <v>0</v>
      </c>
      <c r="K29" s="166">
        <f t="shared" si="2"/>
        <v>0</v>
      </c>
      <c r="L29" s="181"/>
      <c r="M29" s="262">
        <f t="shared" si="3"/>
        <v>136254.07600000006</v>
      </c>
      <c r="N29" s="328"/>
      <c r="O29" s="437"/>
    </row>
    <row r="30" spans="1:15" x14ac:dyDescent="0.25">
      <c r="A30" s="189">
        <v>27</v>
      </c>
      <c r="B30" s="432">
        <v>46322</v>
      </c>
      <c r="C30" s="386"/>
      <c r="D30" s="386"/>
      <c r="E30" s="166"/>
      <c r="F30" s="166"/>
      <c r="G30" s="166">
        <f t="shared" si="0"/>
        <v>0</v>
      </c>
      <c r="H30" s="452"/>
      <c r="I30" s="452"/>
      <c r="J30" s="166">
        <f t="shared" si="1"/>
        <v>0</v>
      </c>
      <c r="K30" s="166">
        <f t="shared" si="2"/>
        <v>0</v>
      </c>
      <c r="L30" s="181"/>
      <c r="M30" s="262">
        <f t="shared" si="3"/>
        <v>136254.07600000006</v>
      </c>
      <c r="N30" s="328"/>
      <c r="O30" s="437"/>
    </row>
    <row r="31" spans="1:15" x14ac:dyDescent="0.25">
      <c r="A31" s="189">
        <v>28</v>
      </c>
      <c r="B31" s="432">
        <v>46323</v>
      </c>
      <c r="C31" s="386"/>
      <c r="D31" s="386"/>
      <c r="E31" s="166"/>
      <c r="F31" s="166"/>
      <c r="G31" s="166">
        <f t="shared" si="0"/>
        <v>0</v>
      </c>
      <c r="H31" s="452"/>
      <c r="I31" s="452"/>
      <c r="J31" s="166">
        <f>H31*I31</f>
        <v>0</v>
      </c>
      <c r="K31" s="166">
        <f t="shared" si="2"/>
        <v>0</v>
      </c>
      <c r="L31" s="181"/>
      <c r="M31" s="262">
        <f t="shared" si="3"/>
        <v>136254.07600000006</v>
      </c>
      <c r="N31" s="328"/>
      <c r="O31" s="437"/>
    </row>
    <row r="32" spans="1:15" x14ac:dyDescent="0.25">
      <c r="A32" s="189">
        <v>29</v>
      </c>
      <c r="B32" s="432">
        <v>46324</v>
      </c>
      <c r="C32" s="386"/>
      <c r="D32" s="386"/>
      <c r="E32" s="166"/>
      <c r="F32" s="166"/>
      <c r="G32" s="166">
        <f t="shared" si="0"/>
        <v>0</v>
      </c>
      <c r="H32" s="452"/>
      <c r="I32" s="452"/>
      <c r="J32" s="166">
        <f t="shared" si="1"/>
        <v>0</v>
      </c>
      <c r="K32" s="166">
        <f t="shared" si="2"/>
        <v>0</v>
      </c>
      <c r="L32" s="181"/>
      <c r="M32" s="262">
        <f t="shared" si="3"/>
        <v>136254.07600000006</v>
      </c>
      <c r="N32" s="328"/>
      <c r="O32" s="437"/>
    </row>
    <row r="33" spans="1:15" x14ac:dyDescent="0.25">
      <c r="A33" s="189">
        <v>30</v>
      </c>
      <c r="B33" s="432">
        <v>46325</v>
      </c>
      <c r="C33" s="386"/>
      <c r="D33" s="386"/>
      <c r="E33" s="166"/>
      <c r="F33" s="166"/>
      <c r="G33" s="166">
        <f t="shared" si="0"/>
        <v>0</v>
      </c>
      <c r="H33" s="452"/>
      <c r="I33" s="452"/>
      <c r="J33" s="166">
        <f t="shared" si="1"/>
        <v>0</v>
      </c>
      <c r="K33" s="166">
        <f t="shared" si="2"/>
        <v>0</v>
      </c>
      <c r="L33" s="181"/>
      <c r="M33" s="262">
        <f t="shared" si="3"/>
        <v>136254.07600000006</v>
      </c>
      <c r="N33" s="328"/>
      <c r="O33" s="437"/>
    </row>
    <row r="34" spans="1:15" x14ac:dyDescent="0.25">
      <c r="A34" s="189">
        <v>31</v>
      </c>
      <c r="B34" s="432">
        <v>46326</v>
      </c>
      <c r="C34" s="386"/>
      <c r="D34" s="386"/>
      <c r="E34" s="166"/>
      <c r="F34" s="166"/>
      <c r="G34" s="166">
        <f t="shared" si="0"/>
        <v>0</v>
      </c>
      <c r="H34" s="452"/>
      <c r="I34" s="452"/>
      <c r="J34" s="166">
        <f t="shared" si="1"/>
        <v>0</v>
      </c>
      <c r="K34" s="166">
        <f t="shared" si="2"/>
        <v>0</v>
      </c>
      <c r="L34" s="181">
        <v>0</v>
      </c>
      <c r="M34" s="262">
        <f t="shared" si="3"/>
        <v>136254.07600000006</v>
      </c>
      <c r="N34" s="328"/>
      <c r="O34" s="437"/>
    </row>
    <row r="35" spans="1:15" x14ac:dyDescent="0.25">
      <c r="A35" s="189">
        <v>32</v>
      </c>
      <c r="B35" s="432"/>
      <c r="C35" s="386"/>
      <c r="D35" s="386"/>
      <c r="E35" s="166"/>
      <c r="F35" s="166"/>
      <c r="G35" s="166">
        <f t="shared" si="0"/>
        <v>0</v>
      </c>
      <c r="H35" s="452"/>
      <c r="I35" s="452"/>
      <c r="J35" s="166">
        <f t="shared" si="1"/>
        <v>0</v>
      </c>
      <c r="K35" s="166">
        <f t="shared" si="2"/>
        <v>0</v>
      </c>
      <c r="L35" s="181">
        <v>0</v>
      </c>
      <c r="M35" s="262">
        <f t="shared" si="3"/>
        <v>136254.07600000006</v>
      </c>
      <c r="N35" s="328"/>
      <c r="O35" s="437"/>
    </row>
    <row r="36" spans="1:16" x14ac:dyDescent="0.25">
      <c r="A36" s="183"/>
      <c r="B36" s="432"/>
      <c r="C36" s="386"/>
      <c r="D36" s="386"/>
      <c r="E36" s="166"/>
      <c r="F36" s="166"/>
      <c r="G36" s="166"/>
      <c r="H36" s="452"/>
      <c r="I36" s="452"/>
      <c r="J36" s="166"/>
      <c r="K36" s="166"/>
      <c r="L36" s="181"/>
      <c r="M36" s="262">
        <f t="shared" si="3"/>
        <v>136254.07600000006</v>
      </c>
      <c r="N36" s="328"/>
      <c r="O36" s="437"/>
      <c r="P36" s="258"/>
    </row>
    <row r="37" spans="1:15" x14ac:dyDescent="0.25">
      <c r="A37" s="169"/>
      <c r="B37" s="169"/>
      <c r="C37" s="169"/>
      <c r="D37" s="169"/>
      <c r="E37" s="171">
        <f>SUM(E4:E35)</f>
        <v>1647.32</v>
      </c>
      <c r="F37" s="171"/>
      <c r="G37" s="171">
        <f>SUM(G4:G35)</f>
        <v>164237.804</v>
      </c>
      <c r="H37" s="171">
        <f>SUM(H4:H35)</f>
        <v>95</v>
      </c>
      <c r="I37" s="171"/>
      <c r="J37" s="171">
        <f>SUM(J4:J35)</f>
        <v>10622.899999999998</v>
      </c>
      <c r="K37" s="171">
        <f>SUM(K4:K35)</f>
        <v>174860.70399999997</v>
      </c>
      <c r="L37" s="171">
        <f>SUM(L4:L35)</f>
        <v>200000</v>
      </c>
      <c r="M37" s="171"/>
      <c r="N37" s="171"/>
      <c r="O37" s="208"/>
    </row>
    <row r="38" spans="1:15" x14ac:dyDescent="0.25">
      <c r="A38" s="445"/>
      <c r="B38" s="445"/>
      <c r="C38" s="445"/>
      <c r="D38" s="445"/>
      <c r="E38" s="446"/>
      <c r="F38" s="446"/>
      <c r="G38" s="446"/>
      <c r="H38" s="446"/>
      <c r="I38" s="446"/>
      <c r="J38" s="446"/>
      <c r="K38" s="446"/>
      <c r="L38" s="446"/>
      <c r="M38" s="446"/>
      <c r="N38" s="446"/>
      <c r="O38" s="437"/>
    </row>
    <row r="39" spans="1:15" x14ac:dyDescent="0.25">
      <c r="A39" s="437"/>
      <c r="B39" s="437"/>
      <c r="C39" s="437"/>
      <c r="D39" s="437"/>
      <c r="E39" s="437"/>
      <c r="F39" s="437"/>
      <c r="G39" s="446"/>
      <c r="H39" s="437"/>
      <c r="I39" s="437"/>
      <c r="J39" s="437"/>
      <c r="K39" s="437"/>
      <c r="L39" s="166"/>
      <c r="M39" s="437"/>
      <c r="N39" s="437"/>
      <c r="O39" s="446"/>
    </row>
    <row r="40" spans="1:15" x14ac:dyDescent="0.25">
      <c r="A40" s="437"/>
      <c r="B40" s="437"/>
      <c r="C40" s="437"/>
      <c r="D40" s="437"/>
      <c r="E40" s="437"/>
      <c r="F40" s="437"/>
      <c r="G40" s="437"/>
      <c r="H40" s="437"/>
      <c r="I40" s="460">
        <f>K25+L25</f>
        <v>0</v>
      </c>
      <c r="J40" s="437"/>
      <c r="K40" s="437"/>
      <c r="L40" s="437"/>
      <c r="M40" s="437"/>
      <c r="N40" s="437"/>
      <c r="O40" s="446"/>
    </row>
    <row r="41" spans="1:15" x14ac:dyDescent="0.25">
      <c r="A41" s="437"/>
      <c r="B41" s="437"/>
      <c r="C41" s="437"/>
      <c r="D41" s="437"/>
      <c r="E41" s="437"/>
      <c r="F41" s="437"/>
      <c r="G41" s="437"/>
      <c r="H41" s="437"/>
      <c r="I41" s="437"/>
      <c r="J41" s="437"/>
      <c r="K41" s="437"/>
      <c r="L41" s="437"/>
      <c r="M41" s="437"/>
      <c r="N41" s="437"/>
      <c r="O41" s="446"/>
    </row>
    <row r="42" spans="1:15" x14ac:dyDescent="0.25">
      <c r="A42" s="405"/>
      <c r="B42" s="405"/>
      <c r="C42" s="405"/>
      <c r="D42" s="405"/>
      <c r="E42" s="405"/>
      <c r="F42" s="405"/>
      <c r="G42" s="405"/>
      <c r="H42" s="405"/>
      <c r="I42" s="405"/>
      <c r="J42" s="405"/>
      <c r="K42" s="405"/>
      <c r="L42" s="405"/>
      <c r="M42" s="405"/>
      <c r="N42" s="405"/>
      <c r="O42" s="405"/>
    </row>
    <row r="43" spans="1:15" x14ac:dyDescent="0.25">
      <c r="A43" s="405"/>
      <c r="B43" s="405"/>
      <c r="C43" s="405"/>
      <c r="D43" s="405"/>
      <c r="E43" s="405"/>
      <c r="F43" s="405"/>
      <c r="G43" s="405"/>
      <c r="H43" s="405"/>
      <c r="I43" s="405"/>
      <c r="J43" s="405"/>
      <c r="K43" s="405"/>
      <c r="L43" s="405"/>
      <c r="M43" s="405"/>
      <c r="N43" s="405"/>
      <c r="O43" s="405"/>
    </row>
    <row r="44" spans="1:15" x14ac:dyDescent="0.25">
      <c r="A44" s="405"/>
      <c r="B44" s="405"/>
      <c r="C44" s="405"/>
      <c r="D44" s="405"/>
      <c r="E44" s="405"/>
      <c r="F44" s="405"/>
      <c r="G44" s="405"/>
      <c r="H44" s="405"/>
      <c r="I44" s="405"/>
      <c r="J44" s="405"/>
      <c r="K44" s="405"/>
      <c r="L44" s="405"/>
      <c r="M44" s="405"/>
      <c r="N44" s="405"/>
      <c r="O44" s="405"/>
    </row>
    <row r="45" spans="1:15" x14ac:dyDescent="0.25">
      <c r="A45" s="405"/>
      <c r="B45" s="405"/>
      <c r="C45" s="405"/>
      <c r="D45" s="405"/>
      <c r="E45" s="405"/>
      <c r="F45" s="405"/>
      <c r="G45" s="405"/>
      <c r="H45" s="405"/>
      <c r="I45" s="405"/>
      <c r="J45" s="405"/>
      <c r="K45" s="405"/>
      <c r="L45" s="405"/>
      <c r="M45" s="405"/>
      <c r="N45" s="405"/>
      <c r="O45" s="405"/>
    </row>
    <row r="46" spans="1:15" x14ac:dyDescent="0.25">
      <c r="A46" s="405"/>
      <c r="B46" s="405"/>
      <c r="C46" s="405"/>
      <c r="D46" s="405"/>
      <c r="E46" s="405"/>
      <c r="F46" s="405"/>
      <c r="G46" s="405"/>
      <c r="H46" s="405"/>
      <c r="I46" s="405"/>
      <c r="J46" s="405"/>
      <c r="K46" s="405"/>
      <c r="L46" s="405"/>
      <c r="M46" s="405"/>
      <c r="N46" s="405"/>
      <c r="O46" s="405"/>
    </row>
    <row r="47" spans="1:15" x14ac:dyDescent="0.25">
      <c r="A47" s="405"/>
      <c r="B47" s="405"/>
      <c r="C47" s="405"/>
      <c r="D47" s="405"/>
      <c r="E47" s="405"/>
      <c r="F47" s="405"/>
      <c r="G47" s="405"/>
      <c r="H47" s="405"/>
      <c r="I47" s="405"/>
      <c r="J47" s="405"/>
      <c r="K47" s="405"/>
      <c r="L47" s="405"/>
      <c r="M47" s="405"/>
      <c r="N47" s="405"/>
      <c r="O47" s="405"/>
    </row>
    <row r="48" spans="1:15" x14ac:dyDescent="0.25">
      <c r="A48" s="405"/>
      <c r="B48" s="405"/>
      <c r="C48" s="405"/>
      <c r="D48" s="405"/>
      <c r="E48" s="405"/>
      <c r="F48" s="405"/>
      <c r="G48" s="405"/>
      <c r="H48" s="405"/>
      <c r="I48" s="405"/>
      <c r="J48" s="405"/>
      <c r="K48" s="405"/>
      <c r="L48" s="405"/>
      <c r="M48" s="405"/>
      <c r="N48" s="405"/>
      <c r="O48" s="405"/>
    </row>
    <row r="49" spans="1:15" x14ac:dyDescent="0.25">
      <c r="A49" s="405"/>
      <c r="B49" s="405"/>
      <c r="C49" s="405"/>
      <c r="D49" s="405"/>
      <c r="E49" s="405"/>
      <c r="F49" s="405"/>
      <c r="G49" s="405"/>
      <c r="H49" s="405"/>
      <c r="I49" s="405"/>
      <c r="J49" s="405"/>
      <c r="K49" s="405"/>
      <c r="L49" s="405"/>
      <c r="M49" s="405"/>
      <c r="N49" s="405"/>
      <c r="O49" s="405"/>
    </row>
    <row r="50" spans="1:15" x14ac:dyDescent="0.25">
      <c r="A50" s="405"/>
      <c r="B50" s="405"/>
      <c r="C50" s="405"/>
      <c r="D50" s="405"/>
      <c r="E50" s="405"/>
      <c r="F50" s="405"/>
      <c r="G50" s="405"/>
      <c r="H50" s="405"/>
      <c r="I50" s="405"/>
      <c r="J50" s="405"/>
      <c r="K50" s="405"/>
      <c r="L50" s="405"/>
      <c r="M50" s="405"/>
      <c r="N50" s="405"/>
      <c r="O50" s="405"/>
    </row>
    <row r="51" spans="1:15" x14ac:dyDescent="0.25">
      <c r="A51" s="405"/>
      <c r="B51" s="405"/>
      <c r="C51" s="405"/>
      <c r="D51" s="405"/>
      <c r="E51" s="405"/>
      <c r="F51" s="405"/>
      <c r="G51" s="405"/>
      <c r="H51" s="405"/>
      <c r="I51" s="405"/>
      <c r="J51" s="405"/>
      <c r="K51" s="405"/>
      <c r="L51" s="405"/>
      <c r="M51" s="405"/>
      <c r="N51" s="405"/>
      <c r="O51" s="405"/>
    </row>
  </sheetData>
  <mergeCells count="3">
    <mergeCell ref="A1:N1"/>
    <mergeCell ref="B40:E40"/>
    <mergeCell ref="I40:N40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 zoomScale="100" zoomScaleNormal="100">
      <pane ySplit="3" topLeftCell="A4" activePane="bottomLeft" state="frozen"/>
      <selection pane="bottomLeft" activeCell="L18" sqref="L18"/>
    </sheetView>
  </sheetViews>
  <sheetFormatPr defaultRowHeight="15" outlineLevelRow="0" outlineLevelCol="0" x14ac:dyDescent="0"/>
  <cols>
    <col min="2" max="2" width="10.140625" customWidth="1"/>
    <col min="7" max="7" width="11.85546875" customWidth="1"/>
    <col min="10" max="11" width="10.85546875" customWidth="1"/>
    <col min="12" max="12" width="19.5703125" customWidth="1"/>
    <col min="13" max="13" width="10.7109375" customWidth="1"/>
    <col min="14" max="14" width="22" customWidth="1"/>
  </cols>
  <sheetData>
    <row r="1" ht="15.75" customHeight="1" spans="1:14" x14ac:dyDescent="0.25">
      <c r="A1" s="144" t="s">
        <v>76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</row>
    <row r="2" ht="27" customHeight="1" spans="1:14" x14ac:dyDescent="0.25">
      <c r="A2" s="145" t="s">
        <v>0</v>
      </c>
      <c r="B2" s="146" t="s">
        <v>167</v>
      </c>
      <c r="C2" s="146" t="s">
        <v>168</v>
      </c>
      <c r="D2" s="146" t="s">
        <v>169</v>
      </c>
      <c r="E2" s="146" t="s">
        <v>170</v>
      </c>
      <c r="F2" s="146" t="s">
        <v>171</v>
      </c>
      <c r="G2" s="146" t="s">
        <v>172</v>
      </c>
      <c r="H2" s="146" t="s">
        <v>173</v>
      </c>
      <c r="I2" s="146" t="s">
        <v>171</v>
      </c>
      <c r="J2" s="146" t="s">
        <v>172</v>
      </c>
      <c r="K2" s="147" t="s">
        <v>174</v>
      </c>
      <c r="L2" s="147" t="s">
        <v>175</v>
      </c>
      <c r="M2" s="147" t="s">
        <v>176</v>
      </c>
      <c r="N2" s="146" t="s">
        <v>177</v>
      </c>
    </row>
    <row r="3" spans="1:14" x14ac:dyDescent="0.25">
      <c r="A3" s="148" t="s">
        <v>178</v>
      </c>
      <c r="B3" s="149"/>
      <c r="C3" s="149"/>
      <c r="D3" s="149"/>
      <c r="E3" s="149"/>
      <c r="F3" s="149"/>
      <c r="G3" s="149"/>
      <c r="H3" s="149"/>
      <c r="I3" s="149"/>
      <c r="J3" s="150"/>
      <c r="K3" s="151">
        <v>47858.17999999999</v>
      </c>
      <c r="L3" s="152"/>
      <c r="M3" s="127">
        <v>47858.17999999999</v>
      </c>
      <c r="N3" s="134"/>
    </row>
    <row r="4" spans="1:14" x14ac:dyDescent="0.25">
      <c r="A4" s="115">
        <v>1</v>
      </c>
      <c r="B4" s="116">
        <v>46296</v>
      </c>
      <c r="C4" s="153"/>
      <c r="D4" s="154"/>
      <c r="E4" s="155"/>
      <c r="F4" s="155"/>
      <c r="G4" s="155">
        <f>E4*F4</f>
        <v>0</v>
      </c>
      <c r="H4" s="156"/>
      <c r="I4" s="156"/>
      <c r="J4" s="155">
        <f>H4*I4</f>
        <v>0</v>
      </c>
      <c r="K4" s="155">
        <f t="shared" ref="K4:K31" si="0">G4+J4</f>
        <v>0</v>
      </c>
      <c r="L4" s="157">
        <v>0</v>
      </c>
      <c r="M4" s="155">
        <f>M3+K4-L4</f>
        <v>47858.17999999999</v>
      </c>
      <c r="N4" s="158"/>
    </row>
    <row r="5" spans="1:14" x14ac:dyDescent="0.25">
      <c r="A5" s="115">
        <v>2</v>
      </c>
      <c r="B5" s="116">
        <v>46297</v>
      </c>
      <c r="C5" s="153"/>
      <c r="D5" s="154"/>
      <c r="E5" s="155"/>
      <c r="F5" s="155"/>
      <c r="G5" s="155">
        <f>E5*F5</f>
        <v>0</v>
      </c>
      <c r="H5" s="155"/>
      <c r="I5" s="155"/>
      <c r="J5" s="155">
        <f t="shared" ref="J5:J32" si="1">H5*I5</f>
        <v>0</v>
      </c>
      <c r="K5" s="155">
        <f t="shared" si="0"/>
        <v>0</v>
      </c>
      <c r="L5" s="157">
        <v>0</v>
      </c>
      <c r="M5" s="155">
        <f t="shared" ref="M5:M31" si="2">M4+K5-L5</f>
        <v>47858.17999999999</v>
      </c>
      <c r="N5" s="159"/>
    </row>
    <row r="6" spans="1:14" x14ac:dyDescent="0.25">
      <c r="A6" s="115">
        <v>3</v>
      </c>
      <c r="B6" s="116">
        <v>46298</v>
      </c>
      <c r="C6" s="153"/>
      <c r="D6" s="154"/>
      <c r="E6" s="155"/>
      <c r="F6" s="155"/>
      <c r="G6" s="155">
        <f t="shared" ref="G6:G31" si="3">E6*F6</f>
        <v>0</v>
      </c>
      <c r="H6" s="156"/>
      <c r="I6" s="156"/>
      <c r="J6" s="155">
        <f t="shared" si="1"/>
        <v>0</v>
      </c>
      <c r="K6" s="155">
        <f t="shared" si="0"/>
        <v>0</v>
      </c>
      <c r="L6" s="157">
        <v>0</v>
      </c>
      <c r="M6" s="155">
        <f t="shared" si="2"/>
        <v>47858.17999999999</v>
      </c>
      <c r="N6" s="160"/>
    </row>
    <row r="7" spans="1:14" x14ac:dyDescent="0.25">
      <c r="A7" s="115">
        <v>4</v>
      </c>
      <c r="B7" s="116">
        <v>46299</v>
      </c>
      <c r="C7" s="153"/>
      <c r="D7" s="154"/>
      <c r="E7" s="155"/>
      <c r="F7" s="155"/>
      <c r="G7" s="155">
        <f t="shared" si="3"/>
        <v>0</v>
      </c>
      <c r="H7" s="156"/>
      <c r="I7" s="156"/>
      <c r="J7" s="155">
        <f t="shared" si="1"/>
        <v>0</v>
      </c>
      <c r="K7" s="155">
        <f t="shared" si="0"/>
        <v>0</v>
      </c>
      <c r="L7" s="157">
        <v>0</v>
      </c>
      <c r="M7" s="155">
        <f>M6+K7-L7</f>
        <v>47858.17999999999</v>
      </c>
      <c r="N7" s="161"/>
    </row>
    <row r="8" spans="1:14" x14ac:dyDescent="0.25">
      <c r="A8" s="115">
        <v>5</v>
      </c>
      <c r="B8" s="116">
        <v>46300</v>
      </c>
      <c r="C8" s="162"/>
      <c r="D8" s="154"/>
      <c r="E8" s="155"/>
      <c r="F8" s="155"/>
      <c r="G8" s="155">
        <f t="shared" si="3"/>
        <v>0</v>
      </c>
      <c r="H8" s="156"/>
      <c r="I8" s="156"/>
      <c r="J8" s="155">
        <f t="shared" si="1"/>
        <v>0</v>
      </c>
      <c r="K8" s="155">
        <f t="shared" si="0"/>
        <v>0</v>
      </c>
      <c r="L8" s="157">
        <v>0</v>
      </c>
      <c r="M8" s="155">
        <f>M7+K8-L8</f>
        <v>47858.17999999999</v>
      </c>
      <c r="N8" s="161"/>
    </row>
    <row r="9" spans="1:14" x14ac:dyDescent="0.25">
      <c r="A9" s="115">
        <v>6</v>
      </c>
      <c r="B9" s="116">
        <v>46301</v>
      </c>
      <c r="C9" s="162"/>
      <c r="D9" s="154"/>
      <c r="E9" s="155"/>
      <c r="F9" s="155"/>
      <c r="G9" s="155">
        <f t="shared" si="3"/>
        <v>0</v>
      </c>
      <c r="H9" s="156"/>
      <c r="I9" s="156"/>
      <c r="J9" s="155">
        <f t="shared" si="1"/>
        <v>0</v>
      </c>
      <c r="K9" s="155">
        <f t="shared" si="0"/>
        <v>0</v>
      </c>
      <c r="L9" s="157">
        <v>0</v>
      </c>
      <c r="M9" s="155">
        <f t="shared" si="2"/>
        <v>47858.17999999999</v>
      </c>
      <c r="N9" s="161"/>
    </row>
    <row r="10" spans="1:14" x14ac:dyDescent="0.25">
      <c r="A10" s="115">
        <v>7</v>
      </c>
      <c r="B10" s="116">
        <v>46302</v>
      </c>
      <c r="C10" s="162"/>
      <c r="D10" s="154"/>
      <c r="E10" s="155"/>
      <c r="F10" s="155"/>
      <c r="G10" s="155">
        <f t="shared" si="3"/>
        <v>0</v>
      </c>
      <c r="H10" s="156"/>
      <c r="I10" s="156"/>
      <c r="J10" s="155">
        <f t="shared" si="1"/>
        <v>0</v>
      </c>
      <c r="K10" s="155">
        <f t="shared" ref="K10:K15" si="4">G10+J10</f>
        <v>0</v>
      </c>
      <c r="L10" s="157">
        <v>0</v>
      </c>
      <c r="M10" s="155">
        <f t="shared" si="2"/>
        <v>47858.17999999999</v>
      </c>
      <c r="N10" s="161"/>
    </row>
    <row r="11" spans="1:14" x14ac:dyDescent="0.25">
      <c r="A11" s="115">
        <v>8</v>
      </c>
      <c r="B11" s="116">
        <v>46303</v>
      </c>
      <c r="C11" s="162"/>
      <c r="D11" s="154"/>
      <c r="E11" s="155"/>
      <c r="F11" s="155"/>
      <c r="G11" s="155">
        <f t="shared" si="3"/>
        <v>0</v>
      </c>
      <c r="H11" s="156"/>
      <c r="I11" s="156"/>
      <c r="J11" s="155">
        <f t="shared" si="1"/>
        <v>0</v>
      </c>
      <c r="K11" s="155">
        <f t="shared" si="4"/>
        <v>0</v>
      </c>
      <c r="L11" s="157">
        <v>0</v>
      </c>
      <c r="M11" s="155">
        <f t="shared" si="2"/>
        <v>47858.17999999999</v>
      </c>
      <c r="N11" s="161"/>
    </row>
    <row r="12" spans="1:14" x14ac:dyDescent="0.25">
      <c r="A12" s="115">
        <v>9</v>
      </c>
      <c r="B12" s="116">
        <v>46304</v>
      </c>
      <c r="C12" s="162"/>
      <c r="D12" s="154"/>
      <c r="E12" s="155">
        <v>100</v>
      </c>
      <c r="F12" s="155">
        <v>104.42</v>
      </c>
      <c r="G12" s="155">
        <f t="shared" si="3"/>
        <v>10442</v>
      </c>
      <c r="H12" s="156"/>
      <c r="I12" s="156"/>
      <c r="J12" s="155">
        <f t="shared" si="1"/>
        <v>0</v>
      </c>
      <c r="K12" s="155">
        <f t="shared" si="4"/>
        <v>10442</v>
      </c>
      <c r="L12" s="157">
        <v>0</v>
      </c>
      <c r="M12" s="155">
        <f t="shared" si="2"/>
        <v>58300.17999999999</v>
      </c>
      <c r="N12" s="161"/>
    </row>
    <row r="13" spans="1:14" x14ac:dyDescent="0.25">
      <c r="A13" s="115">
        <v>10</v>
      </c>
      <c r="B13" s="116">
        <v>46305</v>
      </c>
      <c r="C13" s="162"/>
      <c r="D13" s="154"/>
      <c r="E13" s="155"/>
      <c r="F13" s="155"/>
      <c r="G13" s="155">
        <f t="shared" si="3"/>
        <v>0</v>
      </c>
      <c r="H13" s="156"/>
      <c r="I13" s="156"/>
      <c r="J13" s="155">
        <f t="shared" si="1"/>
        <v>0</v>
      </c>
      <c r="K13" s="155">
        <f t="shared" si="4"/>
        <v>0</v>
      </c>
      <c r="L13" s="157">
        <v>0</v>
      </c>
      <c r="M13" s="155">
        <f>M12+K13-L13</f>
        <v>58300.17999999999</v>
      </c>
      <c r="N13" s="161"/>
    </row>
    <row r="14" spans="1:14" x14ac:dyDescent="0.25">
      <c r="A14" s="115">
        <v>11</v>
      </c>
      <c r="B14" s="116">
        <v>46306</v>
      </c>
      <c r="C14" s="162"/>
      <c r="D14" s="154"/>
      <c r="E14" s="155"/>
      <c r="F14" s="155"/>
      <c r="G14" s="155">
        <f t="shared" si="3"/>
        <v>0</v>
      </c>
      <c r="H14" s="156"/>
      <c r="I14" s="156"/>
      <c r="J14" s="155">
        <f t="shared" si="1"/>
        <v>0</v>
      </c>
      <c r="K14" s="155">
        <f t="shared" si="4"/>
        <v>0</v>
      </c>
      <c r="L14" s="157">
        <v>0</v>
      </c>
      <c r="M14" s="155">
        <f>M13+K14-L14</f>
        <v>58300.17999999999</v>
      </c>
      <c r="N14" s="161"/>
    </row>
    <row r="15" spans="1:14" x14ac:dyDescent="0.25">
      <c r="A15" s="115">
        <v>12</v>
      </c>
      <c r="B15" s="116">
        <v>46307</v>
      </c>
      <c r="C15" s="162"/>
      <c r="D15" s="154"/>
      <c r="E15" s="155"/>
      <c r="F15" s="155"/>
      <c r="G15" s="155">
        <f t="shared" si="3"/>
        <v>0</v>
      </c>
      <c r="H15" s="156"/>
      <c r="I15" s="156"/>
      <c r="J15" s="155">
        <f t="shared" si="1"/>
        <v>0</v>
      </c>
      <c r="K15" s="155">
        <f>G15+J15</f>
        <v>0</v>
      </c>
      <c r="L15" s="157">
        <v>0</v>
      </c>
      <c r="M15" s="155">
        <f t="shared" si="2"/>
        <v>58300.17999999999</v>
      </c>
      <c r="N15" s="161"/>
    </row>
    <row r="16" spans="1:14" x14ac:dyDescent="0.25">
      <c r="A16" s="115">
        <v>13</v>
      </c>
      <c r="B16" s="116">
        <v>46308</v>
      </c>
      <c r="C16" s="162"/>
      <c r="D16" s="154"/>
      <c r="E16" s="155"/>
      <c r="F16" s="155"/>
      <c r="G16" s="155">
        <f t="shared" si="3"/>
        <v>0</v>
      </c>
      <c r="H16" s="156"/>
      <c r="I16" s="156"/>
      <c r="J16" s="155">
        <f t="shared" si="1"/>
        <v>0</v>
      </c>
      <c r="K16" s="155">
        <f t="shared" si="0"/>
        <v>0</v>
      </c>
      <c r="L16" s="157">
        <v>0</v>
      </c>
      <c r="M16" s="155">
        <f t="shared" si="2"/>
        <v>58300.17999999999</v>
      </c>
      <c r="N16" s="161"/>
    </row>
    <row r="17" spans="1:14" x14ac:dyDescent="0.25">
      <c r="A17" s="115">
        <v>14</v>
      </c>
      <c r="B17" s="116">
        <v>46309</v>
      </c>
      <c r="C17" s="162"/>
      <c r="D17" s="154"/>
      <c r="E17" s="155"/>
      <c r="F17" s="155"/>
      <c r="G17" s="155">
        <f t="shared" si="3"/>
        <v>0</v>
      </c>
      <c r="H17" s="156"/>
      <c r="I17" s="156"/>
      <c r="J17" s="155">
        <f t="shared" si="1"/>
        <v>0</v>
      </c>
      <c r="K17" s="155">
        <f t="shared" si="0"/>
        <v>0</v>
      </c>
      <c r="L17" s="157">
        <v>0</v>
      </c>
      <c r="M17" s="155">
        <f t="shared" si="2"/>
        <v>58300.17999999999</v>
      </c>
      <c r="N17" s="161"/>
    </row>
    <row r="18" spans="1:14" x14ac:dyDescent="0.25">
      <c r="A18" s="115">
        <v>15</v>
      </c>
      <c r="B18" s="116">
        <v>46310</v>
      </c>
      <c r="C18" s="163"/>
      <c r="D18" s="154"/>
      <c r="E18" s="155"/>
      <c r="F18" s="155"/>
      <c r="G18" s="155">
        <f t="shared" si="3"/>
        <v>0</v>
      </c>
      <c r="H18" s="156"/>
      <c r="I18" s="156"/>
      <c r="J18" s="155">
        <f t="shared" si="1"/>
        <v>0</v>
      </c>
      <c r="K18" s="155">
        <f t="shared" si="0"/>
        <v>0</v>
      </c>
      <c r="L18" s="157">
        <v>50000</v>
      </c>
      <c r="M18" s="155">
        <f t="shared" si="2"/>
        <v>8300.179999999993</v>
      </c>
      <c r="N18" s="161"/>
    </row>
    <row r="19" spans="1:14" x14ac:dyDescent="0.25">
      <c r="A19" s="115">
        <v>16</v>
      </c>
      <c r="B19" s="116">
        <v>46311</v>
      </c>
      <c r="C19" s="153"/>
      <c r="D19" s="154"/>
      <c r="E19" s="155"/>
      <c r="F19" s="155"/>
      <c r="G19" s="155">
        <v>0</v>
      </c>
      <c r="H19" s="156"/>
      <c r="I19" s="156"/>
      <c r="J19" s="155">
        <v>0</v>
      </c>
      <c r="K19" s="155">
        <v>0</v>
      </c>
      <c r="L19" s="157">
        <v>0</v>
      </c>
      <c r="M19" s="155">
        <f t="shared" si="2"/>
        <v>8300.179999999993</v>
      </c>
      <c r="N19" s="161"/>
    </row>
    <row r="20" ht="15" customHeight="1" spans="1:14" x14ac:dyDescent="0.25">
      <c r="A20" s="115">
        <v>17</v>
      </c>
      <c r="B20" s="116">
        <v>46312</v>
      </c>
      <c r="C20" s="164"/>
      <c r="D20" s="154"/>
      <c r="E20" s="155"/>
      <c r="F20" s="155"/>
      <c r="G20" s="155">
        <f t="shared" si="3"/>
        <v>0</v>
      </c>
      <c r="H20" s="156"/>
      <c r="I20" s="156"/>
      <c r="J20" s="155">
        <f t="shared" si="1"/>
        <v>0</v>
      </c>
      <c r="K20" s="155">
        <f t="shared" si="0"/>
        <v>0</v>
      </c>
      <c r="L20" s="157">
        <v>0</v>
      </c>
      <c r="M20" s="155">
        <f t="shared" si="2"/>
        <v>8300.179999999993</v>
      </c>
      <c r="N20" s="161"/>
    </row>
    <row r="21" spans="1:14" x14ac:dyDescent="0.25">
      <c r="A21" s="115">
        <v>18</v>
      </c>
      <c r="B21" s="116">
        <v>46313</v>
      </c>
      <c r="C21" s="164"/>
      <c r="D21" s="154"/>
      <c r="E21" s="165"/>
      <c r="F21" s="165"/>
      <c r="G21" s="166">
        <f t="shared" si="3"/>
        <v>0</v>
      </c>
      <c r="H21" s="156"/>
      <c r="I21" s="156"/>
      <c r="J21" s="166">
        <f t="shared" si="1"/>
        <v>0</v>
      </c>
      <c r="K21" s="166">
        <f t="shared" si="0"/>
        <v>0</v>
      </c>
      <c r="L21" s="157">
        <v>0</v>
      </c>
      <c r="M21" s="155">
        <f t="shared" si="2"/>
        <v>8300.179999999993</v>
      </c>
      <c r="N21" s="161"/>
    </row>
    <row r="22" spans="1:14" x14ac:dyDescent="0.25">
      <c r="A22" s="115">
        <v>19</v>
      </c>
      <c r="B22" s="116">
        <v>46314</v>
      </c>
      <c r="C22" s="153"/>
      <c r="D22" s="154"/>
      <c r="E22" s="165"/>
      <c r="F22" s="165"/>
      <c r="G22" s="166">
        <f t="shared" si="3"/>
        <v>0</v>
      </c>
      <c r="H22" s="167"/>
      <c r="I22" s="168"/>
      <c r="J22" s="166">
        <f t="shared" si="1"/>
        <v>0</v>
      </c>
      <c r="K22" s="166">
        <f t="shared" si="0"/>
        <v>0</v>
      </c>
      <c r="L22" s="157">
        <v>0</v>
      </c>
      <c r="M22" s="155">
        <f t="shared" si="2"/>
        <v>8300.179999999993</v>
      </c>
      <c r="N22" s="161"/>
    </row>
    <row r="23" spans="1:14" x14ac:dyDescent="0.25">
      <c r="A23" s="115">
        <v>20</v>
      </c>
      <c r="B23" s="116">
        <v>46315</v>
      </c>
      <c r="C23" s="153"/>
      <c r="D23" s="154"/>
      <c r="E23" s="165"/>
      <c r="F23" s="165"/>
      <c r="G23" s="166">
        <f t="shared" si="3"/>
        <v>0</v>
      </c>
      <c r="H23" s="167"/>
      <c r="I23" s="168"/>
      <c r="J23" s="166">
        <f t="shared" si="1"/>
        <v>0</v>
      </c>
      <c r="K23" s="166">
        <f t="shared" si="0"/>
        <v>0</v>
      </c>
      <c r="L23" s="157">
        <v>0</v>
      </c>
      <c r="M23" s="155">
        <f t="shared" si="2"/>
        <v>8300.179999999993</v>
      </c>
      <c r="N23" s="161"/>
    </row>
    <row r="24" spans="1:14" x14ac:dyDescent="0.25">
      <c r="A24" s="115">
        <v>21</v>
      </c>
      <c r="B24" s="116">
        <v>46316</v>
      </c>
      <c r="C24" s="153"/>
      <c r="D24" s="154"/>
      <c r="E24" s="165"/>
      <c r="F24" s="165"/>
      <c r="G24" s="166">
        <f t="shared" si="3"/>
        <v>0</v>
      </c>
      <c r="H24" s="167"/>
      <c r="I24" s="168"/>
      <c r="J24" s="166">
        <f t="shared" si="1"/>
        <v>0</v>
      </c>
      <c r="K24" s="166">
        <f t="shared" si="0"/>
        <v>0</v>
      </c>
      <c r="L24" s="157">
        <v>0</v>
      </c>
      <c r="M24" s="155">
        <f t="shared" si="2"/>
        <v>8300.179999999993</v>
      </c>
      <c r="N24" s="161"/>
    </row>
    <row r="25" spans="1:14" x14ac:dyDescent="0.25">
      <c r="A25" s="115">
        <v>22</v>
      </c>
      <c r="B25" s="116">
        <v>46317</v>
      </c>
      <c r="C25" s="153"/>
      <c r="D25" s="154"/>
      <c r="E25" s="165"/>
      <c r="F25" s="165"/>
      <c r="G25" s="166">
        <f t="shared" si="3"/>
        <v>0</v>
      </c>
      <c r="H25" s="167"/>
      <c r="I25" s="168"/>
      <c r="J25" s="166">
        <f t="shared" si="1"/>
        <v>0</v>
      </c>
      <c r="K25" s="166">
        <f t="shared" si="0"/>
        <v>0</v>
      </c>
      <c r="L25" s="157">
        <v>0</v>
      </c>
      <c r="M25" s="155">
        <f t="shared" si="2"/>
        <v>8300.179999999993</v>
      </c>
      <c r="N25" s="161"/>
    </row>
    <row r="26" spans="1:14" x14ac:dyDescent="0.25">
      <c r="A26" s="115">
        <v>23</v>
      </c>
      <c r="B26" s="116">
        <v>46318</v>
      </c>
      <c r="C26" s="153"/>
      <c r="D26" s="154"/>
      <c r="E26" s="165"/>
      <c r="F26" s="165"/>
      <c r="G26" s="166">
        <f t="shared" si="3"/>
        <v>0</v>
      </c>
      <c r="H26" s="167"/>
      <c r="I26" s="168"/>
      <c r="J26" s="166">
        <f t="shared" si="1"/>
        <v>0</v>
      </c>
      <c r="K26" s="166">
        <f t="shared" si="0"/>
        <v>0</v>
      </c>
      <c r="L26" s="157">
        <v>0</v>
      </c>
      <c r="M26" s="155">
        <f t="shared" si="2"/>
        <v>8300.179999999993</v>
      </c>
      <c r="N26" s="161"/>
    </row>
    <row r="27" spans="1:14" x14ac:dyDescent="0.25">
      <c r="A27" s="115">
        <v>24</v>
      </c>
      <c r="B27" s="116">
        <v>46319</v>
      </c>
      <c r="C27" s="153"/>
      <c r="D27" s="154"/>
      <c r="E27" s="165"/>
      <c r="F27" s="165"/>
      <c r="G27" s="166">
        <f t="shared" si="3"/>
        <v>0</v>
      </c>
      <c r="H27" s="167"/>
      <c r="I27" s="168"/>
      <c r="J27" s="166">
        <f t="shared" si="1"/>
        <v>0</v>
      </c>
      <c r="K27" s="166">
        <f t="shared" si="0"/>
        <v>0</v>
      </c>
      <c r="L27" s="157">
        <v>0</v>
      </c>
      <c r="M27" s="155">
        <f t="shared" si="2"/>
        <v>8300.179999999993</v>
      </c>
      <c r="N27" s="161"/>
    </row>
    <row r="28" spans="1:14" x14ac:dyDescent="0.25">
      <c r="A28" s="115">
        <v>25</v>
      </c>
      <c r="B28" s="116">
        <v>46320</v>
      </c>
      <c r="C28" s="153"/>
      <c r="D28" s="154"/>
      <c r="E28" s="155"/>
      <c r="F28" s="155"/>
      <c r="G28" s="155">
        <f t="shared" si="3"/>
        <v>0</v>
      </c>
      <c r="H28" s="156"/>
      <c r="I28" s="155"/>
      <c r="J28" s="166">
        <f t="shared" si="1"/>
        <v>0</v>
      </c>
      <c r="K28" s="155">
        <f t="shared" si="0"/>
        <v>0</v>
      </c>
      <c r="L28" s="157">
        <v>0</v>
      </c>
      <c r="M28" s="155">
        <f t="shared" si="2"/>
        <v>8300.179999999993</v>
      </c>
      <c r="N28" s="161"/>
    </row>
    <row r="29" spans="1:14" x14ac:dyDescent="0.25">
      <c r="A29" s="115">
        <v>26</v>
      </c>
      <c r="B29" s="116">
        <v>46321</v>
      </c>
      <c r="C29" s="153"/>
      <c r="D29" s="154"/>
      <c r="E29" s="155"/>
      <c r="F29" s="155"/>
      <c r="G29" s="155">
        <f t="shared" si="3"/>
        <v>0</v>
      </c>
      <c r="H29" s="156"/>
      <c r="I29" s="156"/>
      <c r="J29" s="155">
        <f t="shared" si="1"/>
        <v>0</v>
      </c>
      <c r="K29" s="155">
        <f t="shared" si="0"/>
        <v>0</v>
      </c>
      <c r="L29" s="157">
        <v>0</v>
      </c>
      <c r="M29" s="155">
        <f t="shared" si="2"/>
        <v>8300.179999999993</v>
      </c>
      <c r="N29" s="161"/>
    </row>
    <row r="30" spans="1:14" x14ac:dyDescent="0.25">
      <c r="A30" s="115">
        <v>27</v>
      </c>
      <c r="B30" s="116">
        <v>46322</v>
      </c>
      <c r="C30" s="153"/>
      <c r="D30" s="154"/>
      <c r="E30" s="155"/>
      <c r="F30" s="155"/>
      <c r="G30" s="155">
        <f t="shared" si="3"/>
        <v>0</v>
      </c>
      <c r="H30" s="156"/>
      <c r="I30" s="156"/>
      <c r="J30" s="155">
        <f t="shared" si="1"/>
        <v>0</v>
      </c>
      <c r="K30" s="155">
        <f t="shared" si="0"/>
        <v>0</v>
      </c>
      <c r="L30" s="157">
        <v>0</v>
      </c>
      <c r="M30" s="155">
        <f>M29+K30-L30</f>
        <v>8300.179999999993</v>
      </c>
      <c r="N30" s="161"/>
    </row>
    <row r="31" spans="1:14" x14ac:dyDescent="0.25">
      <c r="A31" s="115">
        <v>28</v>
      </c>
      <c r="B31" s="116">
        <v>46323</v>
      </c>
      <c r="C31" s="153"/>
      <c r="D31" s="154"/>
      <c r="E31" s="155"/>
      <c r="F31" s="155"/>
      <c r="G31" s="155">
        <f t="shared" si="3"/>
        <v>0</v>
      </c>
      <c r="H31" s="156"/>
      <c r="I31" s="156"/>
      <c r="J31" s="155">
        <f t="shared" si="1"/>
        <v>0</v>
      </c>
      <c r="K31" s="155">
        <f t="shared" si="0"/>
        <v>0</v>
      </c>
      <c r="L31" s="157">
        <v>0</v>
      </c>
      <c r="M31" s="155">
        <f t="shared" si="2"/>
        <v>8300.179999999993</v>
      </c>
      <c r="N31" s="161"/>
    </row>
    <row r="32" spans="1:14" x14ac:dyDescent="0.25">
      <c r="A32" s="115">
        <v>29</v>
      </c>
      <c r="B32" s="116">
        <v>46324</v>
      </c>
      <c r="C32" s="153"/>
      <c r="D32" s="154"/>
      <c r="E32" s="155"/>
      <c r="F32" s="155"/>
      <c r="G32" s="155">
        <f t="shared" ref="G32:G34" si="5">E32*F32</f>
        <v>0</v>
      </c>
      <c r="H32" s="156"/>
      <c r="I32" s="156"/>
      <c r="J32" s="155">
        <f t="shared" si="1"/>
        <v>0</v>
      </c>
      <c r="K32" s="155">
        <f t="shared" ref="K32:K34" si="6">G32+J32</f>
        <v>0</v>
      </c>
      <c r="L32" s="157">
        <v>0</v>
      </c>
      <c r="M32" s="155">
        <f t="shared" ref="M32:M34" si="7">M31+K32-L32</f>
        <v>8300.179999999993</v>
      </c>
      <c r="N32" s="161"/>
    </row>
    <row r="33" spans="1:14" x14ac:dyDescent="0.25">
      <c r="A33" s="115">
        <v>30</v>
      </c>
      <c r="B33" s="116">
        <v>46325</v>
      </c>
      <c r="C33" s="153"/>
      <c r="D33" s="154"/>
      <c r="E33" s="155"/>
      <c r="F33" s="155"/>
      <c r="G33" s="155">
        <f t="shared" si="5"/>
        <v>0</v>
      </c>
      <c r="H33" s="156"/>
      <c r="I33" s="156"/>
      <c r="J33" s="155">
        <f t="shared" ref="J16:J33" si="8">H33*I33</f>
        <v>0</v>
      </c>
      <c r="K33" s="155">
        <f t="shared" si="6"/>
        <v>0</v>
      </c>
      <c r="L33" s="157">
        <v>0</v>
      </c>
      <c r="M33" s="155">
        <f t="shared" si="7"/>
        <v>8300.179999999993</v>
      </c>
      <c r="N33" s="161"/>
    </row>
    <row r="34" spans="1:14" x14ac:dyDescent="0.25">
      <c r="A34" s="115">
        <v>31</v>
      </c>
      <c r="B34" s="116">
        <v>46326</v>
      </c>
      <c r="C34" s="153"/>
      <c r="D34" s="154"/>
      <c r="E34" s="155"/>
      <c r="F34" s="155"/>
      <c r="G34" s="155">
        <f t="shared" si="5"/>
        <v>0</v>
      </c>
      <c r="H34" s="156"/>
      <c r="I34" s="156"/>
      <c r="J34" s="155">
        <f t="shared" ref="J32:J34" si="9">H34*I34</f>
        <v>0</v>
      </c>
      <c r="K34" s="155">
        <f t="shared" si="6"/>
        <v>0</v>
      </c>
      <c r="L34" s="157"/>
      <c r="M34" s="155">
        <f t="shared" si="7"/>
        <v>8300.179999999993</v>
      </c>
      <c r="N34" s="161"/>
    </row>
    <row r="35" spans="1:14" x14ac:dyDescent="0.25">
      <c r="A35" s="169"/>
      <c r="B35" s="169"/>
      <c r="C35" s="169"/>
      <c r="D35" s="169"/>
      <c r="E35" s="170">
        <f>SUM(E4:E34)</f>
        <v>100</v>
      </c>
      <c r="F35" s="170"/>
      <c r="G35" s="171">
        <f>SUM(G4:G34)</f>
        <v>10442</v>
      </c>
      <c r="H35" s="171">
        <f>SUM(H4:H34)</f>
        <v>0</v>
      </c>
      <c r="I35" s="171"/>
      <c r="J35" s="171">
        <f>SUM(J4:J34)</f>
        <v>0</v>
      </c>
      <c r="K35" s="171">
        <f>SUM(K4:K34)</f>
        <v>10442</v>
      </c>
      <c r="L35" s="171">
        <f>SUM(L4:L34)</f>
        <v>50000</v>
      </c>
      <c r="M35" s="171"/>
      <c r="N35" s="171"/>
    </row>
  </sheetData>
  <mergeCells count="2">
    <mergeCell ref="A1:N1"/>
    <mergeCell ref="A3:J3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O48"/>
  <sheetViews>
    <sheetView workbookViewId="0" zoomScale="100" zoomScaleNormal="100">
      <pane ySplit="3" topLeftCell="A4" activePane="bottomLeft" state="frozen"/>
      <selection pane="bottomLeft" activeCell="L18" sqref="L18"/>
    </sheetView>
  </sheetViews>
  <sheetFormatPr defaultRowHeight="15" outlineLevelRow="0" outlineLevelCol="0" x14ac:dyDescent="0"/>
  <cols>
    <col min="2" max="2" width="14.5703125" customWidth="1"/>
    <col min="4" max="4" width="11.140625" customWidth="1"/>
    <col min="7" max="7" width="11.85546875" customWidth="1"/>
    <col min="10" max="10" width="17.42578125" customWidth="1"/>
    <col min="11" max="11" width="13.5703125" customWidth="1"/>
    <col min="12" max="13" width="11.85546875" customWidth="1"/>
    <col min="15" max="15" width="13.7109375" customWidth="1"/>
    <col min="16" max="16" width="14" customWidth="1"/>
  </cols>
  <sheetData>
    <row r="1" ht="15.75" customHeight="1" spans="1:15" x14ac:dyDescent="0.25">
      <c r="A1" s="105" t="s">
        <v>136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421"/>
    </row>
    <row r="2" ht="30.75" customHeight="1" spans="1:15" x14ac:dyDescent="0.25">
      <c r="A2" s="122" t="s">
        <v>0</v>
      </c>
      <c r="B2" s="123" t="s">
        <v>167</v>
      </c>
      <c r="C2" s="123" t="s">
        <v>168</v>
      </c>
      <c r="D2" s="123" t="s">
        <v>169</v>
      </c>
      <c r="E2" s="123" t="s">
        <v>170</v>
      </c>
      <c r="F2" s="123" t="s">
        <v>171</v>
      </c>
      <c r="G2" s="123" t="s">
        <v>172</v>
      </c>
      <c r="H2" s="123" t="s">
        <v>173</v>
      </c>
      <c r="I2" s="123" t="s">
        <v>171</v>
      </c>
      <c r="J2" s="124" t="s">
        <v>172</v>
      </c>
      <c r="K2" s="122" t="s">
        <v>174</v>
      </c>
      <c r="L2" s="367" t="s">
        <v>175</v>
      </c>
      <c r="M2" s="447" t="s">
        <v>190</v>
      </c>
      <c r="N2" s="123" t="s">
        <v>177</v>
      </c>
      <c r="O2" s="208"/>
    </row>
    <row r="3" spans="1:15" x14ac:dyDescent="0.25">
      <c r="A3" s="448"/>
      <c r="B3" s="390"/>
      <c r="C3" s="390"/>
      <c r="D3" s="427" t="s">
        <v>178</v>
      </c>
      <c r="E3" s="390"/>
      <c r="F3" s="390"/>
      <c r="G3" s="390"/>
      <c r="H3" s="390"/>
      <c r="I3" s="390"/>
      <c r="J3" s="449"/>
      <c r="K3" s="114">
        <v>459610.0567000001</v>
      </c>
      <c r="L3" s="181"/>
      <c r="M3">
        <v>459610.0567000001</v>
      </c>
      <c r="N3" s="390"/>
      <c r="O3" s="208"/>
    </row>
    <row r="4" spans="1:15" x14ac:dyDescent="0.25">
      <c r="A4" s="189">
        <v>1</v>
      </c>
      <c r="B4" s="432">
        <v>46296</v>
      </c>
      <c r="C4" s="386"/>
      <c r="D4" s="386"/>
      <c r="E4" s="461">
        <v>510</v>
      </c>
      <c r="F4" s="459">
        <v>99.6</v>
      </c>
      <c r="G4" s="166">
        <f>E4*F4</f>
        <v>50796</v>
      </c>
      <c r="H4" s="452">
        <v>5</v>
      </c>
      <c r="I4" s="462">
        <v>111.71</v>
      </c>
      <c r="J4" s="166">
        <f>H4*I4</f>
        <v>558.55</v>
      </c>
      <c r="K4" s="166">
        <f>G4+J4</f>
        <v>51354.55</v>
      </c>
      <c r="L4" s="181"/>
      <c r="M4" s="166">
        <f>M3+K4-L4</f>
        <v>510964.60670000006</v>
      </c>
      <c r="N4" s="328"/>
      <c r="O4" s="437"/>
    </row>
    <row r="5" spans="1:15" x14ac:dyDescent="0.25">
      <c r="A5" s="189">
        <v>2</v>
      </c>
      <c r="B5" s="432">
        <v>46297</v>
      </c>
      <c r="C5" s="386"/>
      <c r="D5" s="386"/>
      <c r="E5" s="461">
        <v>370</v>
      </c>
      <c r="F5" s="459">
        <v>99.6</v>
      </c>
      <c r="G5" s="166">
        <f t="shared" ref="G5:G6" si="0">E5*F5</f>
        <v>36852</v>
      </c>
      <c r="H5" s="452">
        <v>10</v>
      </c>
      <c r="I5" s="462">
        <v>111.71</v>
      </c>
      <c r="J5" s="166">
        <f>H5*I5</f>
        <v>1117.1</v>
      </c>
      <c r="K5" s="166">
        <f t="shared" ref="K5:K34" si="1">G5+J5</f>
        <v>37969.1</v>
      </c>
      <c r="L5" s="181"/>
      <c r="M5" s="166">
        <f t="shared" ref="M5:M34" si="2">M4+K5-L5</f>
        <v>548933.7067000001</v>
      </c>
      <c r="N5" s="328"/>
      <c r="O5" s="437"/>
    </row>
    <row r="6" spans="1:15" x14ac:dyDescent="0.25">
      <c r="A6" s="189">
        <v>3</v>
      </c>
      <c r="B6" s="432">
        <v>46298</v>
      </c>
      <c r="C6" s="386"/>
      <c r="D6" s="386"/>
      <c r="E6" s="187">
        <v>160</v>
      </c>
      <c r="F6" s="166">
        <v>99.6</v>
      </c>
      <c r="G6" s="166">
        <f t="shared" si="0"/>
        <v>15936</v>
      </c>
      <c r="H6" s="452"/>
      <c r="I6" s="462"/>
      <c r="J6" s="166">
        <f t="shared" ref="J6:J34" si="3">H6*I6</f>
        <v>0</v>
      </c>
      <c r="K6" s="166">
        <f t="shared" si="1"/>
        <v>15936</v>
      </c>
      <c r="L6" s="181"/>
      <c r="M6" s="166">
        <f t="shared" si="2"/>
        <v>564869.7067000001</v>
      </c>
      <c r="N6" s="328"/>
      <c r="O6" s="437"/>
    </row>
    <row r="7" spans="1:15" x14ac:dyDescent="0.25">
      <c r="A7" s="189">
        <v>4</v>
      </c>
      <c r="B7" s="432">
        <v>46299</v>
      </c>
      <c r="C7" s="386"/>
      <c r="D7" s="386"/>
      <c r="E7" s="187"/>
      <c r="F7" s="166"/>
      <c r="G7" s="166">
        <f t="shared" ref="G5:G34" si="4">E7*F7</f>
        <v>0</v>
      </c>
      <c r="H7" s="452">
        <v>5</v>
      </c>
      <c r="I7" s="462">
        <v>111.71</v>
      </c>
      <c r="J7" s="166">
        <f t="shared" si="3"/>
        <v>558.55</v>
      </c>
      <c r="K7" s="166">
        <f t="shared" si="1"/>
        <v>558.55</v>
      </c>
      <c r="L7" s="181"/>
      <c r="M7" s="166">
        <f t="shared" si="2"/>
        <v>565428.2567000001</v>
      </c>
      <c r="N7" s="328"/>
      <c r="O7" s="437"/>
    </row>
    <row r="8" spans="1:15" x14ac:dyDescent="0.25">
      <c r="A8" s="189">
        <v>5</v>
      </c>
      <c r="B8" s="432">
        <v>46300</v>
      </c>
      <c r="C8" s="386"/>
      <c r="D8" s="386"/>
      <c r="E8" s="187"/>
      <c r="F8" s="166"/>
      <c r="G8" s="166">
        <f t="shared" si="4"/>
        <v>0</v>
      </c>
      <c r="H8" s="452">
        <v>15</v>
      </c>
      <c r="I8" s="452">
        <v>111.71</v>
      </c>
      <c r="J8" s="166">
        <f t="shared" si="3"/>
        <v>1675.6499999999999</v>
      </c>
      <c r="K8" s="166">
        <f t="shared" si="1"/>
        <v>1675.6499999999999</v>
      </c>
      <c r="L8" s="181"/>
      <c r="M8" s="166">
        <f t="shared" si="2"/>
        <v>567103.9067000002</v>
      </c>
      <c r="N8" s="328"/>
      <c r="O8" s="437"/>
    </row>
    <row r="9" spans="1:15" x14ac:dyDescent="0.25">
      <c r="A9" s="189">
        <v>6</v>
      </c>
      <c r="B9" s="432">
        <v>46301</v>
      </c>
      <c r="C9" s="386"/>
      <c r="D9" s="386"/>
      <c r="E9" s="187"/>
      <c r="F9" s="166"/>
      <c r="G9" s="166">
        <f t="shared" si="4"/>
        <v>0</v>
      </c>
      <c r="H9" s="452">
        <v>22.61</v>
      </c>
      <c r="I9" s="452">
        <v>111.71</v>
      </c>
      <c r="J9" s="166">
        <f t="shared" si="3"/>
        <v>2525.7630999999997</v>
      </c>
      <c r="K9" s="166">
        <f t="shared" si="1"/>
        <v>2525.7630999999997</v>
      </c>
      <c r="L9" s="181"/>
      <c r="M9" s="166">
        <f t="shared" si="2"/>
        <v>569629.6698000001</v>
      </c>
      <c r="N9" s="328"/>
      <c r="O9" s="437"/>
    </row>
    <row r="10" spans="1:15" x14ac:dyDescent="0.25">
      <c r="A10" s="189">
        <v>7</v>
      </c>
      <c r="B10" s="432">
        <v>46302</v>
      </c>
      <c r="C10" s="386"/>
      <c r="D10" s="386"/>
      <c r="E10" s="187">
        <v>24</v>
      </c>
      <c r="F10" s="166">
        <v>99.6</v>
      </c>
      <c r="G10" s="166">
        <f t="shared" si="4"/>
        <v>2390.3999999999996</v>
      </c>
      <c r="H10" s="452">
        <v>10</v>
      </c>
      <c r="I10" s="452">
        <v>111.71</v>
      </c>
      <c r="J10" s="166">
        <f t="shared" si="3"/>
        <v>1117.1</v>
      </c>
      <c r="K10" s="166">
        <f t="shared" si="1"/>
        <v>3507.4999999999995</v>
      </c>
      <c r="L10" s="181"/>
      <c r="M10" s="166">
        <f t="shared" si="2"/>
        <v>573137.1698000001</v>
      </c>
      <c r="N10" s="328"/>
      <c r="O10" s="437"/>
    </row>
    <row r="11" spans="1:15" x14ac:dyDescent="0.25">
      <c r="A11" s="189">
        <v>8</v>
      </c>
      <c r="B11" s="432">
        <v>46303</v>
      </c>
      <c r="C11" s="386"/>
      <c r="D11" s="386"/>
      <c r="E11" s="187"/>
      <c r="F11" s="166"/>
      <c r="G11" s="166">
        <f t="shared" si="4"/>
        <v>0</v>
      </c>
      <c r="H11" s="452"/>
      <c r="I11" s="452"/>
      <c r="J11" s="166">
        <f t="shared" si="3"/>
        <v>0</v>
      </c>
      <c r="K11" s="166">
        <f t="shared" si="1"/>
        <v>0</v>
      </c>
      <c r="L11" s="181"/>
      <c r="M11" s="166">
        <f t="shared" si="2"/>
        <v>573137.1698000001</v>
      </c>
      <c r="N11" s="328"/>
      <c r="O11" s="437"/>
    </row>
    <row r="12" spans="1:15" x14ac:dyDescent="0.25">
      <c r="A12" s="189">
        <v>9</v>
      </c>
      <c r="B12" s="432">
        <v>46304</v>
      </c>
      <c r="C12" s="386"/>
      <c r="D12" s="386"/>
      <c r="E12" s="187"/>
      <c r="F12" s="166"/>
      <c r="G12" s="166">
        <f t="shared" si="4"/>
        <v>0</v>
      </c>
      <c r="H12" s="452"/>
      <c r="I12" s="452"/>
      <c r="J12" s="166">
        <f t="shared" si="3"/>
        <v>0</v>
      </c>
      <c r="K12" s="166">
        <f t="shared" si="1"/>
        <v>0</v>
      </c>
      <c r="L12" s="181"/>
      <c r="M12" s="166">
        <f>M11+K12-L12</f>
        <v>573137.1698000001</v>
      </c>
      <c r="N12" s="328"/>
      <c r="O12" s="437"/>
    </row>
    <row r="13" spans="1:15" x14ac:dyDescent="0.25">
      <c r="A13" s="189">
        <v>10</v>
      </c>
      <c r="B13" s="432">
        <v>46305</v>
      </c>
      <c r="C13" s="386"/>
      <c r="D13" s="386"/>
      <c r="E13" s="187"/>
      <c r="F13" s="166"/>
      <c r="G13" s="166">
        <f t="shared" si="4"/>
        <v>0</v>
      </c>
      <c r="H13" s="452"/>
      <c r="I13" s="452"/>
      <c r="J13" s="166">
        <f t="shared" si="3"/>
        <v>0</v>
      </c>
      <c r="K13" s="166">
        <f t="shared" si="1"/>
        <v>0</v>
      </c>
      <c r="L13" s="181">
        <v>250000</v>
      </c>
      <c r="M13" s="166">
        <f t="shared" si="2"/>
        <v>323137.16980000015</v>
      </c>
      <c r="N13" s="328"/>
      <c r="O13" s="437"/>
    </row>
    <row r="14" spans="1:15" x14ac:dyDescent="0.25">
      <c r="A14" s="189">
        <v>11</v>
      </c>
      <c r="B14" s="432">
        <v>46306</v>
      </c>
      <c r="C14" s="386"/>
      <c r="D14" s="386"/>
      <c r="E14" s="187"/>
      <c r="F14" s="166"/>
      <c r="G14" s="166">
        <f t="shared" si="4"/>
        <v>0</v>
      </c>
      <c r="H14" s="452"/>
      <c r="I14" s="452"/>
      <c r="J14" s="166">
        <f t="shared" si="3"/>
        <v>0</v>
      </c>
      <c r="K14" s="166">
        <f t="shared" si="1"/>
        <v>0</v>
      </c>
      <c r="L14" s="181"/>
      <c r="M14" s="166">
        <f t="shared" si="2"/>
        <v>323137.16980000015</v>
      </c>
      <c r="N14" s="328"/>
      <c r="O14" s="437"/>
    </row>
    <row r="15" spans="1:15" x14ac:dyDescent="0.25">
      <c r="A15" s="189">
        <v>12</v>
      </c>
      <c r="B15" s="432">
        <v>46307</v>
      </c>
      <c r="C15" s="386"/>
      <c r="D15" s="386"/>
      <c r="E15" s="187"/>
      <c r="F15" s="166"/>
      <c r="G15" s="166">
        <f t="shared" si="4"/>
        <v>0</v>
      </c>
      <c r="H15" s="452"/>
      <c r="I15" s="452"/>
      <c r="J15" s="166">
        <f t="shared" si="3"/>
        <v>0</v>
      </c>
      <c r="K15" s="166">
        <f t="shared" si="1"/>
        <v>0</v>
      </c>
      <c r="L15" s="181"/>
      <c r="M15" s="166">
        <f t="shared" si="2"/>
        <v>323137.16980000015</v>
      </c>
      <c r="N15" s="328"/>
      <c r="O15" s="437"/>
    </row>
    <row r="16" spans="1:15" x14ac:dyDescent="0.25">
      <c r="A16" s="189">
        <v>13</v>
      </c>
      <c r="B16" s="432">
        <v>46308</v>
      </c>
      <c r="C16" s="386"/>
      <c r="D16" s="386"/>
      <c r="E16" s="187">
        <v>200</v>
      </c>
      <c r="F16" s="166">
        <v>99.6</v>
      </c>
      <c r="G16" s="166">
        <f t="shared" si="4"/>
        <v>19920</v>
      </c>
      <c r="H16" s="463">
        <v>25</v>
      </c>
      <c r="I16" s="452">
        <v>111.71</v>
      </c>
      <c r="J16" s="166">
        <f t="shared" si="3"/>
        <v>2792.75</v>
      </c>
      <c r="K16" s="166">
        <f t="shared" si="1"/>
        <v>22712.75</v>
      </c>
      <c r="L16" s="181"/>
      <c r="M16" s="166">
        <f t="shared" si="2"/>
        <v>345849.91980000015</v>
      </c>
      <c r="N16" s="328"/>
      <c r="O16" s="437"/>
    </row>
    <row r="17" spans="1:15" x14ac:dyDescent="0.25">
      <c r="A17" s="189">
        <v>14</v>
      </c>
      <c r="B17" s="432">
        <v>46309</v>
      </c>
      <c r="C17" s="386"/>
      <c r="D17" s="386"/>
      <c r="E17" s="461">
        <v>200</v>
      </c>
      <c r="F17" s="459">
        <v>99.6</v>
      </c>
      <c r="G17" s="166">
        <f t="shared" si="4"/>
        <v>19920</v>
      </c>
      <c r="H17" s="461">
        <v>5</v>
      </c>
      <c r="I17" s="452">
        <v>111.71</v>
      </c>
      <c r="J17" s="166">
        <f t="shared" si="3"/>
        <v>558.55</v>
      </c>
      <c r="K17" s="166">
        <f t="shared" si="1"/>
        <v>20478.55</v>
      </c>
      <c r="L17" s="181"/>
      <c r="M17" s="166">
        <f t="shared" si="2"/>
        <v>366328.46980000014</v>
      </c>
      <c r="N17" s="328"/>
      <c r="O17" s="437"/>
    </row>
    <row r="18" spans="1:15" x14ac:dyDescent="0.25">
      <c r="A18" s="189">
        <v>15</v>
      </c>
      <c r="B18" s="432">
        <v>46310</v>
      </c>
      <c r="C18" s="386"/>
      <c r="D18" s="386"/>
      <c r="E18" s="461">
        <v>200</v>
      </c>
      <c r="F18" s="459">
        <v>99.6</v>
      </c>
      <c r="G18" s="166">
        <f t="shared" si="4"/>
        <v>19920</v>
      </c>
      <c r="H18" s="461">
        <v>10</v>
      </c>
      <c r="I18" s="452">
        <v>111.71</v>
      </c>
      <c r="J18" s="166">
        <f t="shared" si="3"/>
        <v>1117.1</v>
      </c>
      <c r="K18" s="166">
        <f t="shared" si="1"/>
        <v>21037.1</v>
      </c>
      <c r="L18" s="181">
        <v>300000</v>
      </c>
      <c r="M18" s="166">
        <f t="shared" si="2"/>
        <v>87365.56980000011</v>
      </c>
      <c r="N18" s="328"/>
      <c r="O18" s="437"/>
    </row>
    <row r="19" spans="1:15" x14ac:dyDescent="0.25">
      <c r="A19" s="189">
        <v>16</v>
      </c>
      <c r="B19" s="432">
        <v>46311</v>
      </c>
      <c r="C19" s="386"/>
      <c r="D19" s="386"/>
      <c r="E19" s="461"/>
      <c r="F19" s="459"/>
      <c r="G19" s="166">
        <f t="shared" si="4"/>
        <v>0</v>
      </c>
      <c r="H19" s="461"/>
      <c r="I19" s="464"/>
      <c r="J19" s="166">
        <f t="shared" si="3"/>
        <v>0</v>
      </c>
      <c r="K19" s="166">
        <f t="shared" si="1"/>
        <v>0</v>
      </c>
      <c r="L19" s="181"/>
      <c r="M19" s="166">
        <f t="shared" si="2"/>
        <v>87365.56980000011</v>
      </c>
      <c r="N19" s="328"/>
      <c r="O19" s="437"/>
    </row>
    <row r="20" spans="1:15" x14ac:dyDescent="0.25">
      <c r="A20" s="189">
        <v>17</v>
      </c>
      <c r="B20" s="432">
        <v>46312</v>
      </c>
      <c r="C20" s="386"/>
      <c r="D20" s="386"/>
      <c r="E20" s="187"/>
      <c r="F20" s="166"/>
      <c r="G20" s="166">
        <f t="shared" si="4"/>
        <v>0</v>
      </c>
      <c r="H20" s="452"/>
      <c r="I20" s="464"/>
      <c r="J20" s="166">
        <f t="shared" si="3"/>
        <v>0</v>
      </c>
      <c r="K20" s="166">
        <f t="shared" si="1"/>
        <v>0</v>
      </c>
      <c r="L20" s="181"/>
      <c r="M20" s="166">
        <f t="shared" si="2"/>
        <v>87365.56980000011</v>
      </c>
      <c r="N20" s="328"/>
      <c r="O20" s="437"/>
    </row>
    <row r="21" spans="1:15" x14ac:dyDescent="0.25">
      <c r="A21" s="189">
        <v>18</v>
      </c>
      <c r="B21" s="432">
        <v>46313</v>
      </c>
      <c r="C21" s="386"/>
      <c r="D21" s="386"/>
      <c r="E21" s="187"/>
      <c r="F21" s="166"/>
      <c r="G21" s="166">
        <f t="shared" si="4"/>
        <v>0</v>
      </c>
      <c r="H21" s="452"/>
      <c r="I21" s="464"/>
      <c r="J21" s="166">
        <f t="shared" si="3"/>
        <v>0</v>
      </c>
      <c r="K21" s="166">
        <f t="shared" si="1"/>
        <v>0</v>
      </c>
      <c r="L21" s="181"/>
      <c r="M21" s="166">
        <f t="shared" si="2"/>
        <v>87365.56980000011</v>
      </c>
      <c r="N21" s="328"/>
      <c r="O21" s="437"/>
    </row>
    <row r="22" spans="1:15" x14ac:dyDescent="0.25">
      <c r="A22" s="189">
        <v>19</v>
      </c>
      <c r="B22" s="432">
        <v>46314</v>
      </c>
      <c r="C22" s="386"/>
      <c r="D22" s="386"/>
      <c r="E22" s="461"/>
      <c r="F22" s="459"/>
      <c r="G22" s="166">
        <f t="shared" si="4"/>
        <v>0</v>
      </c>
      <c r="H22" s="452"/>
      <c r="I22" s="464"/>
      <c r="J22" s="166">
        <f t="shared" si="3"/>
        <v>0</v>
      </c>
      <c r="K22" s="166">
        <f t="shared" si="1"/>
        <v>0</v>
      </c>
      <c r="L22" s="181"/>
      <c r="M22" s="166">
        <f t="shared" si="2"/>
        <v>87365.56980000011</v>
      </c>
      <c r="N22" s="328"/>
      <c r="O22" s="437"/>
    </row>
    <row r="23" spans="1:15" x14ac:dyDescent="0.25">
      <c r="A23" s="189">
        <v>20</v>
      </c>
      <c r="B23" s="432">
        <v>46315</v>
      </c>
      <c r="C23" s="386"/>
      <c r="D23" s="386"/>
      <c r="E23" s="461"/>
      <c r="F23" s="459"/>
      <c r="G23" s="166">
        <f t="shared" si="4"/>
        <v>0</v>
      </c>
      <c r="H23" s="452"/>
      <c r="I23" s="452"/>
      <c r="J23" s="166">
        <f t="shared" si="3"/>
        <v>0</v>
      </c>
      <c r="K23" s="166">
        <f t="shared" si="1"/>
        <v>0</v>
      </c>
      <c r="L23" s="181"/>
      <c r="M23" s="166">
        <f t="shared" si="2"/>
        <v>87365.56980000011</v>
      </c>
      <c r="N23" s="328"/>
      <c r="O23" s="437"/>
    </row>
    <row r="24" spans="1:15" x14ac:dyDescent="0.25">
      <c r="A24" s="189">
        <v>21</v>
      </c>
      <c r="B24" s="432">
        <v>46316</v>
      </c>
      <c r="C24" s="386"/>
      <c r="D24" s="386"/>
      <c r="E24" s="187"/>
      <c r="F24" s="166"/>
      <c r="G24" s="166">
        <f t="shared" si="4"/>
        <v>0</v>
      </c>
      <c r="H24" s="452"/>
      <c r="I24" s="452"/>
      <c r="J24" s="166">
        <f t="shared" si="3"/>
        <v>0</v>
      </c>
      <c r="K24" s="166">
        <f t="shared" si="1"/>
        <v>0</v>
      </c>
      <c r="L24" s="181"/>
      <c r="M24" s="166">
        <f t="shared" si="2"/>
        <v>87365.56980000011</v>
      </c>
      <c r="N24" s="328"/>
      <c r="O24" s="437"/>
    </row>
    <row r="25" spans="1:15" x14ac:dyDescent="0.25">
      <c r="A25" s="189">
        <v>22</v>
      </c>
      <c r="B25" s="432">
        <v>46317</v>
      </c>
      <c r="C25" s="386"/>
      <c r="D25" s="386"/>
      <c r="E25" s="187"/>
      <c r="F25" s="166"/>
      <c r="G25" s="166">
        <f t="shared" si="4"/>
        <v>0</v>
      </c>
      <c r="H25" s="452"/>
      <c r="I25" s="452"/>
      <c r="J25" s="166">
        <f t="shared" si="3"/>
        <v>0</v>
      </c>
      <c r="K25" s="166">
        <f t="shared" si="1"/>
        <v>0</v>
      </c>
      <c r="L25" s="181"/>
      <c r="M25" s="166">
        <f t="shared" si="2"/>
        <v>87365.56980000011</v>
      </c>
      <c r="N25" s="328"/>
      <c r="O25" s="437"/>
    </row>
    <row r="26" spans="1:15" x14ac:dyDescent="0.25">
      <c r="A26" s="189">
        <v>23</v>
      </c>
      <c r="B26" s="432">
        <v>46318</v>
      </c>
      <c r="C26" s="386"/>
      <c r="D26" s="386"/>
      <c r="E26" s="187"/>
      <c r="F26" s="166"/>
      <c r="G26" s="166">
        <f t="shared" si="4"/>
        <v>0</v>
      </c>
      <c r="H26" s="452"/>
      <c r="I26" s="452"/>
      <c r="J26" s="166">
        <f t="shared" si="3"/>
        <v>0</v>
      </c>
      <c r="K26" s="166">
        <f t="shared" si="1"/>
        <v>0</v>
      </c>
      <c r="L26" s="181"/>
      <c r="M26" s="166">
        <f t="shared" si="2"/>
        <v>87365.56980000011</v>
      </c>
      <c r="N26" s="328"/>
      <c r="O26" s="437"/>
    </row>
    <row r="27" spans="1:15" x14ac:dyDescent="0.25">
      <c r="A27" s="189">
        <v>24</v>
      </c>
      <c r="B27" s="432">
        <v>46319</v>
      </c>
      <c r="C27" s="386"/>
      <c r="D27" s="386"/>
      <c r="E27" s="187"/>
      <c r="F27" s="166"/>
      <c r="G27" s="166">
        <f t="shared" si="4"/>
        <v>0</v>
      </c>
      <c r="H27" s="452"/>
      <c r="I27" s="452"/>
      <c r="J27" s="166">
        <f t="shared" si="3"/>
        <v>0</v>
      </c>
      <c r="K27" s="166">
        <f>G27+J27</f>
        <v>0</v>
      </c>
      <c r="L27" s="181"/>
      <c r="M27" s="166">
        <f>M26+K27-L27</f>
        <v>87365.56980000011</v>
      </c>
      <c r="N27" s="328"/>
      <c r="O27" s="437"/>
    </row>
    <row r="28" spans="1:15" x14ac:dyDescent="0.25">
      <c r="A28" s="189">
        <v>25</v>
      </c>
      <c r="B28" s="432">
        <v>46320</v>
      </c>
      <c r="C28" s="386"/>
      <c r="D28" s="386"/>
      <c r="E28" s="461"/>
      <c r="F28" s="459"/>
      <c r="G28" s="166">
        <f t="shared" si="4"/>
        <v>0</v>
      </c>
      <c r="H28" s="452"/>
      <c r="I28" s="452"/>
      <c r="J28" s="166">
        <f t="shared" si="3"/>
        <v>0</v>
      </c>
      <c r="K28" s="166">
        <f t="shared" si="1"/>
        <v>0</v>
      </c>
      <c r="L28" s="181"/>
      <c r="M28" s="166">
        <f t="shared" si="2"/>
        <v>87365.56980000011</v>
      </c>
      <c r="N28" s="328"/>
      <c r="O28" s="437"/>
    </row>
    <row r="29" spans="1:15" x14ac:dyDescent="0.25">
      <c r="A29" s="189">
        <v>26</v>
      </c>
      <c r="B29" s="432">
        <v>46321</v>
      </c>
      <c r="C29" s="386"/>
      <c r="D29" s="386"/>
      <c r="E29" s="465"/>
      <c r="F29" s="459"/>
      <c r="G29" s="166">
        <f t="shared" si="4"/>
        <v>0</v>
      </c>
      <c r="H29" s="452"/>
      <c r="I29" s="452"/>
      <c r="J29" s="166">
        <f t="shared" si="3"/>
        <v>0</v>
      </c>
      <c r="K29" s="166">
        <f t="shared" si="1"/>
        <v>0</v>
      </c>
      <c r="L29" s="181"/>
      <c r="M29" s="166">
        <f t="shared" si="2"/>
        <v>87365.56980000011</v>
      </c>
      <c r="N29" s="328"/>
      <c r="O29" s="437"/>
    </row>
    <row r="30" spans="1:15" x14ac:dyDescent="0.25">
      <c r="A30" s="189">
        <v>27</v>
      </c>
      <c r="B30" s="432">
        <v>46322</v>
      </c>
      <c r="C30" s="386"/>
      <c r="D30" s="386"/>
      <c r="E30" s="461"/>
      <c r="F30" s="466"/>
      <c r="G30" s="166">
        <f t="shared" si="4"/>
        <v>0</v>
      </c>
      <c r="H30" s="452"/>
      <c r="I30" s="452"/>
      <c r="J30" s="166">
        <f t="shared" si="3"/>
        <v>0</v>
      </c>
      <c r="K30" s="166">
        <f t="shared" si="1"/>
        <v>0</v>
      </c>
      <c r="L30" s="181"/>
      <c r="M30" s="166">
        <f t="shared" si="2"/>
        <v>87365.56980000011</v>
      </c>
      <c r="N30" s="328"/>
      <c r="O30" s="437"/>
    </row>
    <row r="31" spans="1:15" x14ac:dyDescent="0.25">
      <c r="A31" s="189">
        <v>28</v>
      </c>
      <c r="B31" s="432">
        <v>46323</v>
      </c>
      <c r="C31" s="386"/>
      <c r="D31" s="386"/>
      <c r="E31" s="187"/>
      <c r="F31" s="166"/>
      <c r="G31" s="166">
        <f t="shared" si="4"/>
        <v>0</v>
      </c>
      <c r="H31" s="452"/>
      <c r="I31" s="452"/>
      <c r="J31" s="166">
        <f t="shared" si="3"/>
        <v>0</v>
      </c>
      <c r="K31" s="166">
        <f t="shared" si="1"/>
        <v>0</v>
      </c>
      <c r="L31" s="181"/>
      <c r="M31" s="166">
        <f t="shared" si="2"/>
        <v>87365.56980000011</v>
      </c>
      <c r="N31" s="328"/>
      <c r="O31" s="437"/>
    </row>
    <row r="32" spans="1:15" x14ac:dyDescent="0.25">
      <c r="A32" s="183">
        <v>29</v>
      </c>
      <c r="B32" s="432">
        <v>46324</v>
      </c>
      <c r="C32" s="386"/>
      <c r="D32" s="386"/>
      <c r="E32" s="187"/>
      <c r="F32" s="187"/>
      <c r="G32" s="166">
        <f t="shared" si="4"/>
        <v>0</v>
      </c>
      <c r="H32" s="452"/>
      <c r="I32" s="452"/>
      <c r="J32" s="166">
        <f t="shared" si="3"/>
        <v>0</v>
      </c>
      <c r="K32" s="166">
        <f t="shared" si="1"/>
        <v>0</v>
      </c>
      <c r="L32" s="181"/>
      <c r="M32" s="166">
        <f t="shared" si="2"/>
        <v>87365.56980000011</v>
      </c>
      <c r="N32" s="328"/>
      <c r="O32" s="437"/>
    </row>
    <row r="33" spans="1:15" x14ac:dyDescent="0.25">
      <c r="A33" s="183">
        <v>30</v>
      </c>
      <c r="B33" s="432">
        <v>46325</v>
      </c>
      <c r="C33" s="386"/>
      <c r="D33" s="386"/>
      <c r="E33" s="187"/>
      <c r="F33" s="187"/>
      <c r="G33" s="166">
        <f t="shared" si="4"/>
        <v>0</v>
      </c>
      <c r="H33" s="452"/>
      <c r="I33" s="452"/>
      <c r="J33" s="166">
        <f t="shared" si="3"/>
        <v>0</v>
      </c>
      <c r="K33" s="166">
        <f t="shared" si="1"/>
        <v>0</v>
      </c>
      <c r="L33" s="181"/>
      <c r="M33" s="166">
        <f t="shared" si="2"/>
        <v>87365.56980000011</v>
      </c>
      <c r="N33" s="328"/>
      <c r="O33" s="437"/>
    </row>
    <row r="34" spans="1:15" x14ac:dyDescent="0.25">
      <c r="A34" s="183">
        <v>31</v>
      </c>
      <c r="B34" s="432">
        <v>46326</v>
      </c>
      <c r="C34" s="386"/>
      <c r="D34" s="386"/>
      <c r="E34" s="187"/>
      <c r="F34" s="187"/>
      <c r="G34" s="166">
        <f t="shared" si="4"/>
        <v>0</v>
      </c>
      <c r="H34" s="452"/>
      <c r="I34" s="452"/>
      <c r="J34" s="166">
        <f t="shared" si="3"/>
        <v>0</v>
      </c>
      <c r="K34" s="166">
        <f t="shared" si="1"/>
        <v>0</v>
      </c>
      <c r="L34" s="181"/>
      <c r="M34" s="166">
        <f t="shared" si="2"/>
        <v>87365.56980000011</v>
      </c>
      <c r="N34" s="328"/>
      <c r="O34" s="437"/>
    </row>
    <row r="35" spans="1:15" x14ac:dyDescent="0.25">
      <c r="A35" s="169"/>
      <c r="B35" s="169"/>
      <c r="C35" s="169"/>
      <c r="D35" s="169"/>
      <c r="E35" s="171">
        <f>SUM(E4:E34)</f>
        <v>1664</v>
      </c>
      <c r="F35" s="171"/>
      <c r="G35" s="171">
        <f>SUM(G4:G34)</f>
        <v>165734.4</v>
      </c>
      <c r="H35" s="171">
        <f>SUM(H4:H34)</f>
        <v>107.61</v>
      </c>
      <c r="I35" s="171"/>
      <c r="J35" s="171">
        <f>SUM(J4:J34)</f>
        <v>12021.113099999999</v>
      </c>
      <c r="K35" s="171">
        <f>SUM(K4:K34)</f>
        <v>177755.51309999998</v>
      </c>
      <c r="L35" s="171">
        <f>SUM(L4:L34)</f>
        <v>550000</v>
      </c>
      <c r="M35" s="171"/>
      <c r="N35" s="171"/>
      <c r="O35" s="208"/>
    </row>
    <row r="36" spans="1:15" x14ac:dyDescent="0.25">
      <c r="A36" s="445"/>
      <c r="B36" s="445"/>
      <c r="C36" s="445"/>
      <c r="D36" s="445"/>
      <c r="E36" s="446"/>
      <c r="F36" s="446"/>
      <c r="G36" s="446"/>
      <c r="H36" s="446"/>
      <c r="I36" s="446"/>
      <c r="J36" s="446"/>
      <c r="K36" s="446"/>
      <c r="L36" s="446"/>
      <c r="M36" s="446"/>
      <c r="N36" s="446"/>
      <c r="O36" s="437"/>
    </row>
    <row r="37" spans="1:15" x14ac:dyDescent="0.25">
      <c r="A37" s="437"/>
      <c r="B37" s="437"/>
      <c r="C37" s="437"/>
      <c r="D37" s="437"/>
      <c r="E37" s="437"/>
      <c r="F37" s="437"/>
      <c r="G37" s="437"/>
      <c r="H37" s="437"/>
      <c r="I37" s="460"/>
      <c r="J37" s="437"/>
      <c r="K37" s="437"/>
      <c r="L37" s="437"/>
      <c r="M37" s="437"/>
      <c r="N37" s="437"/>
      <c r="O37" s="446"/>
    </row>
    <row r="38" spans="1:15" x14ac:dyDescent="0.25">
      <c r="A38" s="437"/>
      <c r="B38" s="437"/>
      <c r="C38" s="437"/>
      <c r="D38" s="437"/>
      <c r="E38" s="437"/>
      <c r="F38" s="437"/>
      <c r="G38" s="437"/>
      <c r="H38" s="437"/>
      <c r="I38" s="437"/>
      <c r="J38" s="437"/>
      <c r="K38" s="437"/>
      <c r="L38" s="437"/>
      <c r="M38" s="437"/>
      <c r="N38" s="437"/>
      <c r="O38" s="446"/>
    </row>
    <row r="39" spans="1:15" x14ac:dyDescent="0.25">
      <c r="A39" s="405"/>
      <c r="B39" s="405"/>
      <c r="C39" s="405"/>
      <c r="D39" s="405"/>
      <c r="E39" s="405"/>
      <c r="F39" s="405"/>
      <c r="G39" s="405"/>
      <c r="H39" s="405"/>
      <c r="I39" s="405"/>
      <c r="J39" s="405"/>
      <c r="K39" s="405"/>
      <c r="L39" s="405"/>
      <c r="M39" s="405"/>
      <c r="N39" s="405"/>
      <c r="O39" s="405"/>
    </row>
    <row r="40" spans="1:15" x14ac:dyDescent="0.25">
      <c r="A40" s="405"/>
      <c r="B40" s="405"/>
      <c r="C40" s="405"/>
      <c r="D40" s="405"/>
      <c r="E40" s="405"/>
      <c r="F40" s="405"/>
      <c r="G40" s="405"/>
      <c r="H40" s="405"/>
      <c r="I40" s="405"/>
      <c r="J40" s="405"/>
      <c r="K40" s="405"/>
      <c r="L40" s="405"/>
      <c r="M40" s="405"/>
      <c r="N40" s="405"/>
      <c r="O40" s="405"/>
    </row>
    <row r="41" spans="1:15" x14ac:dyDescent="0.25">
      <c r="A41" s="405"/>
      <c r="B41" s="405"/>
      <c r="C41" s="405"/>
      <c r="D41" s="405"/>
      <c r="E41" s="405"/>
      <c r="F41" s="405"/>
      <c r="G41" s="405"/>
      <c r="H41" s="405"/>
      <c r="I41" s="405"/>
      <c r="J41" s="405"/>
      <c r="K41" s="405"/>
      <c r="L41" s="405"/>
      <c r="M41" s="405"/>
      <c r="N41" s="405"/>
      <c r="O41" s="405"/>
    </row>
    <row r="42" spans="1:15" x14ac:dyDescent="0.25">
      <c r="A42" s="405"/>
      <c r="B42" s="405"/>
      <c r="C42" s="405"/>
      <c r="D42" s="405"/>
      <c r="E42" s="405"/>
      <c r="F42" s="405"/>
      <c r="G42" s="405"/>
      <c r="H42" s="405"/>
      <c r="I42" s="405"/>
      <c r="J42" s="405"/>
      <c r="K42" s="405"/>
      <c r="L42" s="405"/>
      <c r="M42" s="405"/>
      <c r="N42" s="405"/>
      <c r="O42" s="405"/>
    </row>
    <row r="43" spans="1:15" x14ac:dyDescent="0.25">
      <c r="A43" s="405"/>
      <c r="B43" s="405"/>
      <c r="C43" s="405"/>
      <c r="D43" s="405"/>
      <c r="E43" s="405"/>
      <c r="F43" s="405"/>
      <c r="G43" s="405"/>
      <c r="H43" s="405"/>
      <c r="I43" s="405"/>
      <c r="J43" s="405"/>
      <c r="K43" s="405"/>
      <c r="L43" s="405"/>
      <c r="M43" s="405"/>
      <c r="N43" s="405"/>
      <c r="O43" s="405"/>
    </row>
    <row r="44" spans="1:15" x14ac:dyDescent="0.25">
      <c r="A44" s="405"/>
      <c r="B44" s="405"/>
      <c r="C44" s="405"/>
      <c r="D44" s="405"/>
      <c r="E44" s="405"/>
      <c r="F44" s="405"/>
      <c r="G44" s="405"/>
      <c r="H44" s="405"/>
      <c r="I44" s="405"/>
      <c r="J44" s="405"/>
      <c r="K44" s="405"/>
      <c r="L44" s="405"/>
      <c r="M44" s="405"/>
      <c r="N44" s="405"/>
      <c r="O44" s="405"/>
    </row>
    <row r="45" spans="1:15" x14ac:dyDescent="0.25">
      <c r="A45" s="405"/>
      <c r="B45" s="405"/>
      <c r="C45" s="405"/>
      <c r="D45" s="405"/>
      <c r="E45" s="405"/>
      <c r="F45" s="405"/>
      <c r="G45" s="405"/>
      <c r="H45" s="405"/>
      <c r="I45" s="405"/>
      <c r="J45" s="405"/>
      <c r="K45" s="405"/>
      <c r="L45" s="405"/>
      <c r="M45" s="405"/>
      <c r="N45" s="405"/>
      <c r="O45" s="405"/>
    </row>
    <row r="46" spans="1:15" x14ac:dyDescent="0.25">
      <c r="A46" s="405"/>
      <c r="B46" s="405"/>
      <c r="C46" s="405"/>
      <c r="D46" s="405"/>
      <c r="E46" s="405"/>
      <c r="F46" s="405"/>
      <c r="G46" s="405"/>
      <c r="H46" s="405"/>
      <c r="I46" s="405"/>
      <c r="J46" s="405"/>
      <c r="K46" s="405"/>
      <c r="L46" s="405"/>
      <c r="M46" s="405"/>
      <c r="N46" s="405"/>
      <c r="O46" s="405"/>
    </row>
    <row r="47" spans="1:15" x14ac:dyDescent="0.25">
      <c r="A47" s="405"/>
      <c r="B47" s="405"/>
      <c r="C47" s="405"/>
      <c r="D47" s="405"/>
      <c r="E47" s="405"/>
      <c r="F47" s="405"/>
      <c r="G47" s="405"/>
      <c r="H47" s="405"/>
      <c r="I47" s="405"/>
      <c r="J47" s="405"/>
      <c r="K47" s="405"/>
      <c r="L47" s="405"/>
      <c r="M47" s="405"/>
      <c r="N47" s="405"/>
      <c r="O47" s="405"/>
    </row>
    <row r="48" spans="1:15" x14ac:dyDescent="0.25">
      <c r="A48" s="405"/>
      <c r="B48" s="405"/>
      <c r="C48" s="405"/>
      <c r="D48" s="405"/>
      <c r="E48" s="405"/>
      <c r="F48" s="405"/>
      <c r="G48" s="405"/>
      <c r="H48" s="405"/>
      <c r="I48" s="405"/>
      <c r="J48" s="405"/>
      <c r="K48" s="405"/>
      <c r="L48" s="405"/>
      <c r="M48" s="405"/>
      <c r="N48" s="405"/>
      <c r="O48" s="405"/>
    </row>
  </sheetData>
  <mergeCells count="3">
    <mergeCell ref="A1:N1"/>
    <mergeCell ref="B37:E37"/>
    <mergeCell ref="I37:N37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"/>
  <sheetViews>
    <sheetView workbookViewId="0" zoomScale="100" zoomScaleNormal="100">
      <pane ySplit="3" topLeftCell="A4" activePane="bottomLeft" state="frozen"/>
      <selection pane="bottomLeft" activeCell="L18" sqref="L18"/>
    </sheetView>
  </sheetViews>
  <sheetFormatPr defaultRowHeight="15" outlineLevelRow="0" outlineLevelCol="0" x14ac:dyDescent="0"/>
  <cols>
    <col min="2" max="2" width="14.42578125" customWidth="1"/>
    <col min="4" max="4" width="13.28515625" customWidth="1"/>
    <col min="5" max="5" width="10.7109375" customWidth="1"/>
    <col min="7" max="7" width="10.42578125" customWidth="1"/>
    <col min="11" max="12" width="13.5703125" customWidth="1"/>
    <col min="13" max="13" width="11.28515625" customWidth="1"/>
  </cols>
  <sheetData>
    <row r="1" ht="15.75" customHeight="1" spans="1:16" x14ac:dyDescent="0.25">
      <c r="A1" s="363" t="s">
        <v>205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5"/>
      <c r="P1" s="365"/>
    </row>
    <row r="2" spans="1:14" x14ac:dyDescent="0.25">
      <c r="A2" s="122" t="s">
        <v>0</v>
      </c>
      <c r="B2" s="122" t="s">
        <v>167</v>
      </c>
      <c r="C2" s="122" t="s">
        <v>168</v>
      </c>
      <c r="D2" s="122" t="s">
        <v>169</v>
      </c>
      <c r="E2" s="366" t="s">
        <v>170</v>
      </c>
      <c r="F2" s="366" t="s">
        <v>171</v>
      </c>
      <c r="G2" s="366" t="s">
        <v>172</v>
      </c>
      <c r="H2" s="366" t="s">
        <v>173</v>
      </c>
      <c r="I2" s="366" t="s">
        <v>171</v>
      </c>
      <c r="J2" s="366" t="s">
        <v>172</v>
      </c>
      <c r="K2" s="366" t="s">
        <v>174</v>
      </c>
      <c r="L2" s="367" t="s">
        <v>175</v>
      </c>
      <c r="M2" s="367" t="s">
        <v>176</v>
      </c>
      <c r="N2" s="122" t="s">
        <v>177</v>
      </c>
    </row>
    <row r="3" spans="1:14" x14ac:dyDescent="0.25">
      <c r="A3" s="37"/>
      <c r="B3" s="37"/>
      <c r="C3" s="148" t="s">
        <v>178</v>
      </c>
      <c r="D3" s="150"/>
      <c r="E3" s="37"/>
      <c r="F3" s="37"/>
      <c r="G3" s="37"/>
      <c r="H3" s="37"/>
      <c r="I3" s="37"/>
      <c r="J3" s="37"/>
      <c r="K3" s="118"/>
      <c r="L3" s="37"/>
      <c r="M3" s="118">
        <v>263421.5</v>
      </c>
      <c r="N3" s="37"/>
    </row>
    <row r="4" spans="1:14" x14ac:dyDescent="0.25">
      <c r="A4" s="115">
        <v>1</v>
      </c>
      <c r="B4" s="116">
        <v>46296</v>
      </c>
      <c r="C4" s="37"/>
      <c r="D4" s="37"/>
      <c r="E4" s="368"/>
      <c r="F4" s="74"/>
      <c r="G4" s="118">
        <f t="shared" ref="G4" si="0">E4*F4</f>
        <v>0</v>
      </c>
      <c r="H4" s="328"/>
      <c r="I4" s="328"/>
      <c r="J4" s="118">
        <f t="shared" ref="J4" si="1">H4*I4</f>
        <v>0</v>
      </c>
      <c r="K4" s="118">
        <f>G4+J4</f>
        <v>0</v>
      </c>
      <c r="L4" s="118"/>
      <c r="M4" s="118">
        <f>M3+K4-L4</f>
        <v>263421.5</v>
      </c>
      <c r="N4" s="37"/>
    </row>
    <row r="5" spans="1:14" x14ac:dyDescent="0.25">
      <c r="A5" s="115">
        <v>2</v>
      </c>
      <c r="B5" s="116">
        <v>46297</v>
      </c>
      <c r="C5" s="37"/>
      <c r="D5" s="37"/>
      <c r="E5" s="368"/>
      <c r="F5" s="74"/>
      <c r="G5" s="118">
        <f t="shared" ref="G5:G38" si="2">E5*F5</f>
        <v>0</v>
      </c>
      <c r="H5" s="328"/>
      <c r="I5" s="328"/>
      <c r="J5" s="118">
        <f t="shared" ref="J5:J38" si="3">H5*I5</f>
        <v>0</v>
      </c>
      <c r="K5" s="118">
        <f t="shared" ref="K5:L39" si="4">G5+J5</f>
        <v>0</v>
      </c>
      <c r="L5" s="118"/>
      <c r="M5" s="118">
        <f t="shared" ref="M5:M10" si="5">M4+K5-L5</f>
        <v>263421.5</v>
      </c>
      <c r="N5" s="37"/>
    </row>
    <row r="6" spans="1:14" x14ac:dyDescent="0.25">
      <c r="A6" s="115">
        <v>3</v>
      </c>
      <c r="B6" s="116">
        <v>46298</v>
      </c>
      <c r="C6" s="37"/>
      <c r="D6" s="37"/>
      <c r="E6" s="368"/>
      <c r="F6" s="74"/>
      <c r="G6" s="118">
        <f t="shared" si="2"/>
        <v>0</v>
      </c>
      <c r="H6" s="328"/>
      <c r="I6" s="328"/>
      <c r="J6" s="118">
        <f t="shared" si="3"/>
        <v>0</v>
      </c>
      <c r="K6" s="118">
        <f t="shared" si="4"/>
        <v>0</v>
      </c>
      <c r="L6" s="118"/>
      <c r="M6" s="118">
        <f t="shared" si="5"/>
        <v>263421.5</v>
      </c>
      <c r="N6" s="37"/>
    </row>
    <row r="7" spans="1:14" x14ac:dyDescent="0.25">
      <c r="A7" s="115">
        <v>4</v>
      </c>
      <c r="B7" s="116">
        <v>46299</v>
      </c>
      <c r="C7" s="37"/>
      <c r="D7" s="37"/>
      <c r="E7" s="368"/>
      <c r="F7" s="74"/>
      <c r="G7" s="118">
        <f t="shared" si="2"/>
        <v>0</v>
      </c>
      <c r="H7" s="328"/>
      <c r="I7" s="328"/>
      <c r="J7" s="118">
        <f t="shared" si="3"/>
        <v>0</v>
      </c>
      <c r="K7" s="118">
        <f t="shared" si="4"/>
        <v>0</v>
      </c>
      <c r="L7" s="118"/>
      <c r="M7" s="118">
        <f t="shared" si="5"/>
        <v>263421.5</v>
      </c>
      <c r="N7" s="37"/>
    </row>
    <row r="8" spans="1:14" x14ac:dyDescent="0.25">
      <c r="A8" s="115">
        <v>5</v>
      </c>
      <c r="B8" s="116">
        <v>46300</v>
      </c>
      <c r="C8" s="37"/>
      <c r="D8" s="37"/>
      <c r="E8" s="368"/>
      <c r="F8" s="74"/>
      <c r="G8" s="118">
        <f t="shared" si="2"/>
        <v>0</v>
      </c>
      <c r="H8" s="328"/>
      <c r="I8" s="328"/>
      <c r="J8" s="118">
        <f t="shared" si="3"/>
        <v>0</v>
      </c>
      <c r="K8" s="118">
        <f t="shared" si="4"/>
        <v>0</v>
      </c>
      <c r="L8" s="118"/>
      <c r="M8" s="118">
        <f t="shared" si="5"/>
        <v>263421.5</v>
      </c>
      <c r="N8" s="37"/>
    </row>
    <row r="9" spans="1:14" x14ac:dyDescent="0.25">
      <c r="A9" s="115">
        <v>6</v>
      </c>
      <c r="B9" s="116">
        <v>46301</v>
      </c>
      <c r="C9" s="37"/>
      <c r="D9" s="37"/>
      <c r="E9" s="368">
        <v>1000</v>
      </c>
      <c r="F9" s="74">
        <v>99.35</v>
      </c>
      <c r="G9" s="118">
        <f t="shared" si="2"/>
        <v>99350</v>
      </c>
      <c r="H9" s="328"/>
      <c r="I9" s="328"/>
      <c r="J9" s="118">
        <f t="shared" si="3"/>
        <v>0</v>
      </c>
      <c r="K9" s="118">
        <f t="shared" si="4"/>
        <v>99350</v>
      </c>
      <c r="L9" s="118"/>
      <c r="M9" s="118">
        <f t="shared" si="5"/>
        <v>362771.5</v>
      </c>
      <c r="N9" s="37"/>
    </row>
    <row r="10" spans="1:14" x14ac:dyDescent="0.25">
      <c r="A10" s="115">
        <v>7</v>
      </c>
      <c r="B10" s="116">
        <v>46302</v>
      </c>
      <c r="C10" s="37"/>
      <c r="D10" s="37"/>
      <c r="E10" s="368"/>
      <c r="F10" s="74"/>
      <c r="G10" s="118">
        <f t="shared" si="2"/>
        <v>0</v>
      </c>
      <c r="H10" s="328"/>
      <c r="I10" s="328"/>
      <c r="J10" s="118">
        <f t="shared" si="3"/>
        <v>0</v>
      </c>
      <c r="K10" s="118">
        <f t="shared" si="4"/>
        <v>0</v>
      </c>
      <c r="L10" s="118"/>
      <c r="M10" s="118">
        <f t="shared" si="5"/>
        <v>362771.5</v>
      </c>
      <c r="N10" s="37"/>
    </row>
    <row r="11" spans="1:14" x14ac:dyDescent="0.25">
      <c r="A11" s="115">
        <v>8</v>
      </c>
      <c r="B11" s="116">
        <v>46303</v>
      </c>
      <c r="C11" s="37"/>
      <c r="D11" s="37"/>
      <c r="E11" s="368"/>
      <c r="F11" s="74"/>
      <c r="G11" s="118">
        <f t="shared" si="2"/>
        <v>0</v>
      </c>
      <c r="H11" s="328"/>
      <c r="I11" s="328"/>
      <c r="J11" s="118">
        <f t="shared" si="3"/>
        <v>0</v>
      </c>
      <c r="K11" s="118">
        <f>G11+J11</f>
        <v>0</v>
      </c>
      <c r="L11" s="118"/>
      <c r="M11" s="118">
        <f t="shared" ref="M9:M39" si="6">M10+K11-L11</f>
        <v>362771.5</v>
      </c>
      <c r="N11" s="37"/>
    </row>
    <row r="12" spans="1:14" x14ac:dyDescent="0.25">
      <c r="A12" s="115">
        <v>9</v>
      </c>
      <c r="B12" s="116">
        <v>46304</v>
      </c>
      <c r="C12" s="37"/>
      <c r="D12" s="37"/>
      <c r="E12" s="368"/>
      <c r="F12" s="74"/>
      <c r="G12" s="118">
        <f t="shared" si="2"/>
        <v>0</v>
      </c>
      <c r="H12" s="328"/>
      <c r="I12" s="328"/>
      <c r="J12" s="118">
        <f t="shared" si="3"/>
        <v>0</v>
      </c>
      <c r="K12" s="118">
        <f t="shared" si="4"/>
        <v>0</v>
      </c>
      <c r="L12" s="118"/>
      <c r="M12" s="118">
        <f t="shared" si="6"/>
        <v>362771.5</v>
      </c>
      <c r="N12" s="37"/>
    </row>
    <row r="13" spans="1:14" x14ac:dyDescent="0.25">
      <c r="A13" s="115">
        <v>10</v>
      </c>
      <c r="B13" s="116">
        <v>46305</v>
      </c>
      <c r="C13" s="37"/>
      <c r="D13" s="37"/>
      <c r="E13" s="368"/>
      <c r="F13" s="74"/>
      <c r="G13" s="118">
        <f t="shared" si="2"/>
        <v>0</v>
      </c>
      <c r="H13" s="328"/>
      <c r="I13" s="328"/>
      <c r="J13" s="118">
        <f t="shared" si="3"/>
        <v>0</v>
      </c>
      <c r="K13" s="118">
        <f t="shared" si="4"/>
        <v>0</v>
      </c>
      <c r="L13" s="118"/>
      <c r="M13" s="118">
        <f t="shared" si="6"/>
        <v>362771.5</v>
      </c>
      <c r="N13" s="37"/>
    </row>
    <row r="14" spans="1:14" x14ac:dyDescent="0.25">
      <c r="A14" s="115">
        <v>11</v>
      </c>
      <c r="B14" s="116">
        <v>46306</v>
      </c>
      <c r="C14" s="37"/>
      <c r="D14" s="37"/>
      <c r="E14" s="368"/>
      <c r="F14" s="74"/>
      <c r="G14" s="118">
        <f t="shared" si="2"/>
        <v>0</v>
      </c>
      <c r="H14" s="328"/>
      <c r="I14" s="328"/>
      <c r="J14" s="118">
        <f t="shared" si="3"/>
        <v>0</v>
      </c>
      <c r="K14" s="118">
        <f t="shared" si="4"/>
        <v>0</v>
      </c>
      <c r="L14" s="118"/>
      <c r="M14" s="118">
        <f t="shared" si="6"/>
        <v>362771.5</v>
      </c>
      <c r="N14" s="37"/>
    </row>
    <row r="15" spans="1:14" x14ac:dyDescent="0.25">
      <c r="A15" s="115">
        <v>12</v>
      </c>
      <c r="B15" s="116">
        <v>46307</v>
      </c>
      <c r="C15" s="37"/>
      <c r="D15" s="37"/>
      <c r="E15" s="368"/>
      <c r="F15" s="74"/>
      <c r="G15" s="118">
        <f t="shared" si="2"/>
        <v>0</v>
      </c>
      <c r="H15" s="328"/>
      <c r="I15" s="328"/>
      <c r="J15" s="118">
        <f t="shared" si="3"/>
        <v>0</v>
      </c>
      <c r="K15" s="118">
        <f t="shared" si="4"/>
        <v>0</v>
      </c>
      <c r="L15" s="118"/>
      <c r="M15" s="118">
        <f t="shared" si="6"/>
        <v>362771.5</v>
      </c>
      <c r="N15" s="37"/>
    </row>
    <row r="16" spans="1:14" x14ac:dyDescent="0.25">
      <c r="A16" s="115">
        <v>13</v>
      </c>
      <c r="B16" s="116">
        <v>46308</v>
      </c>
      <c r="C16" s="37"/>
      <c r="D16" s="74"/>
      <c r="E16" s="368">
        <v>1000</v>
      </c>
      <c r="F16" s="74">
        <v>99.35</v>
      </c>
      <c r="G16" s="118">
        <f t="shared" si="2"/>
        <v>99350</v>
      </c>
      <c r="H16" s="328"/>
      <c r="I16" s="328"/>
      <c r="J16" s="118">
        <f t="shared" si="3"/>
        <v>0</v>
      </c>
      <c r="K16" s="118">
        <f t="shared" si="4"/>
        <v>99350</v>
      </c>
      <c r="L16" s="118"/>
      <c r="M16" s="118">
        <f t="shared" si="6"/>
        <v>462121.5</v>
      </c>
      <c r="N16" s="37"/>
    </row>
    <row r="17" spans="1:14" x14ac:dyDescent="0.25">
      <c r="A17" s="115">
        <v>14</v>
      </c>
      <c r="B17" s="116">
        <v>46309</v>
      </c>
      <c r="C17" s="37"/>
      <c r="D17" s="74"/>
      <c r="E17" s="368"/>
      <c r="F17" s="74"/>
      <c r="G17" s="118">
        <f t="shared" si="2"/>
        <v>0</v>
      </c>
      <c r="H17" s="328"/>
      <c r="I17" s="328"/>
      <c r="J17" s="118">
        <f>H17*I17</f>
        <v>0</v>
      </c>
      <c r="K17" s="118">
        <f t="shared" si="4"/>
        <v>0</v>
      </c>
      <c r="L17" s="118"/>
      <c r="M17" s="118">
        <f t="shared" si="6"/>
        <v>462121.5</v>
      </c>
      <c r="N17" s="37"/>
    </row>
    <row r="18" spans="1:16" x14ac:dyDescent="0.25">
      <c r="A18" s="115">
        <v>15</v>
      </c>
      <c r="B18" s="116">
        <v>46310</v>
      </c>
      <c r="C18" s="37"/>
      <c r="D18" s="37"/>
      <c r="E18" s="368"/>
      <c r="F18" s="74"/>
      <c r="G18" s="118">
        <f t="shared" si="2"/>
        <v>0</v>
      </c>
      <c r="H18" s="328"/>
      <c r="I18" s="328"/>
      <c r="J18" s="118">
        <f t="shared" si="3"/>
        <v>0</v>
      </c>
      <c r="K18" s="118">
        <f t="shared" si="4"/>
        <v>0</v>
      </c>
      <c r="L18" s="118">
        <v>363000</v>
      </c>
      <c r="M18" s="118">
        <f t="shared" si="6"/>
        <v>99121.5</v>
      </c>
      <c r="N18" s="37"/>
      <c r="P18" s="369"/>
    </row>
    <row r="19" spans="1:14" x14ac:dyDescent="0.25">
      <c r="A19" s="115">
        <v>16</v>
      </c>
      <c r="B19" s="116">
        <v>46311</v>
      </c>
      <c r="C19" s="37"/>
      <c r="D19" s="37"/>
      <c r="E19" s="368"/>
      <c r="F19" s="74"/>
      <c r="G19" s="118">
        <f t="shared" si="2"/>
        <v>0</v>
      </c>
      <c r="H19" s="328"/>
      <c r="I19" s="328"/>
      <c r="J19" s="118">
        <f t="shared" si="3"/>
        <v>0</v>
      </c>
      <c r="K19" s="118">
        <f t="shared" si="4"/>
        <v>0</v>
      </c>
      <c r="L19" s="118"/>
      <c r="M19" s="118">
        <f t="shared" si="6"/>
        <v>99121.5</v>
      </c>
      <c r="N19" s="37"/>
    </row>
    <row r="20" spans="1:14" x14ac:dyDescent="0.25">
      <c r="A20" s="115">
        <v>17</v>
      </c>
      <c r="B20" s="116">
        <v>46312</v>
      </c>
      <c r="C20" s="37"/>
      <c r="D20" s="37"/>
      <c r="E20" s="368"/>
      <c r="F20" s="74"/>
      <c r="G20" s="118">
        <f t="shared" si="2"/>
        <v>0</v>
      </c>
      <c r="H20" s="328"/>
      <c r="I20" s="328"/>
      <c r="J20" s="118">
        <f t="shared" si="3"/>
        <v>0</v>
      </c>
      <c r="K20" s="118">
        <f t="shared" si="4"/>
        <v>0</v>
      </c>
      <c r="L20" s="118"/>
      <c r="M20" s="118">
        <f t="shared" si="6"/>
        <v>99121.5</v>
      </c>
      <c r="N20" s="37"/>
    </row>
    <row r="21" spans="1:14" x14ac:dyDescent="0.25">
      <c r="A21" s="115">
        <v>18</v>
      </c>
      <c r="B21" s="116">
        <v>46313</v>
      </c>
      <c r="C21" s="37"/>
      <c r="D21" s="37"/>
      <c r="E21" s="368"/>
      <c r="F21" s="74"/>
      <c r="G21" s="118">
        <f t="shared" si="2"/>
        <v>0</v>
      </c>
      <c r="H21" s="328"/>
      <c r="I21" s="328"/>
      <c r="J21" s="118">
        <f t="shared" si="3"/>
        <v>0</v>
      </c>
      <c r="K21" s="118">
        <f t="shared" si="4"/>
        <v>0</v>
      </c>
      <c r="L21" s="118"/>
      <c r="M21" s="118">
        <f t="shared" si="6"/>
        <v>99121.5</v>
      </c>
      <c r="N21" s="37"/>
    </row>
    <row r="22" spans="1:14" x14ac:dyDescent="0.25">
      <c r="A22" s="115">
        <v>19</v>
      </c>
      <c r="B22" s="116">
        <v>46314</v>
      </c>
      <c r="C22" s="37"/>
      <c r="D22" s="37"/>
      <c r="E22" s="368"/>
      <c r="F22" s="74"/>
      <c r="G22" s="118">
        <f t="shared" si="2"/>
        <v>0</v>
      </c>
      <c r="H22" s="328"/>
      <c r="I22" s="328"/>
      <c r="J22" s="118">
        <f t="shared" si="3"/>
        <v>0</v>
      </c>
      <c r="K22" s="118">
        <f t="shared" si="4"/>
        <v>0</v>
      </c>
      <c r="L22" s="118"/>
      <c r="M22" s="118">
        <f t="shared" si="6"/>
        <v>99121.5</v>
      </c>
      <c r="N22" s="37"/>
    </row>
    <row r="23" spans="1:14" x14ac:dyDescent="0.25">
      <c r="A23" s="115">
        <v>20</v>
      </c>
      <c r="B23" s="116">
        <v>46315</v>
      </c>
      <c r="C23" s="37"/>
      <c r="D23" s="37"/>
      <c r="E23" s="368"/>
      <c r="F23" s="74"/>
      <c r="G23" s="118">
        <f t="shared" si="2"/>
        <v>0</v>
      </c>
      <c r="H23" s="328"/>
      <c r="I23" s="328"/>
      <c r="J23" s="118">
        <v>0</v>
      </c>
      <c r="K23" s="118">
        <f t="shared" si="4"/>
        <v>0</v>
      </c>
      <c r="L23" s="118"/>
      <c r="M23" s="118">
        <f t="shared" si="6"/>
        <v>99121.5</v>
      </c>
      <c r="N23" s="37"/>
    </row>
    <row r="24" spans="1:15" x14ac:dyDescent="0.25">
      <c r="A24" s="115">
        <v>21</v>
      </c>
      <c r="B24" s="116">
        <v>46316</v>
      </c>
      <c r="C24" s="37"/>
      <c r="D24" s="37"/>
      <c r="E24" s="368"/>
      <c r="F24" s="74"/>
      <c r="G24" s="118">
        <f t="shared" si="2"/>
        <v>0</v>
      </c>
      <c r="H24" s="328"/>
      <c r="I24" s="328"/>
      <c r="J24" s="118">
        <f t="shared" si="3"/>
        <v>0</v>
      </c>
      <c r="K24" s="118">
        <f t="shared" si="4"/>
        <v>0</v>
      </c>
      <c r="L24" s="118"/>
      <c r="M24" s="118">
        <f t="shared" si="6"/>
        <v>99121.5</v>
      </c>
      <c r="N24" s="37"/>
      <c r="O24" s="114"/>
    </row>
    <row r="25" spans="1:14" x14ac:dyDescent="0.25">
      <c r="A25" s="115">
        <v>22</v>
      </c>
      <c r="B25" s="116">
        <v>46317</v>
      </c>
      <c r="C25" s="37"/>
      <c r="D25" s="37"/>
      <c r="E25" s="368"/>
      <c r="F25" s="74"/>
      <c r="G25" s="118">
        <f t="shared" si="2"/>
        <v>0</v>
      </c>
      <c r="H25" s="328"/>
      <c r="I25" s="328"/>
      <c r="J25" s="118">
        <f t="shared" si="3"/>
        <v>0</v>
      </c>
      <c r="K25" s="118">
        <f t="shared" si="4"/>
        <v>0</v>
      </c>
      <c r="L25" s="118"/>
      <c r="M25" s="118">
        <f t="shared" si="6"/>
        <v>99121.5</v>
      </c>
      <c r="N25" s="37"/>
    </row>
    <row r="26" spans="1:14" x14ac:dyDescent="0.25">
      <c r="A26" s="115">
        <v>23</v>
      </c>
      <c r="B26" s="116">
        <v>46318</v>
      </c>
      <c r="C26" s="37"/>
      <c r="D26" s="37"/>
      <c r="E26" s="368"/>
      <c r="F26" s="74"/>
      <c r="G26" s="118">
        <f t="shared" si="2"/>
        <v>0</v>
      </c>
      <c r="H26" s="328"/>
      <c r="I26" s="328"/>
      <c r="J26" s="118">
        <f t="shared" si="3"/>
        <v>0</v>
      </c>
      <c r="K26" s="118">
        <f t="shared" si="4"/>
        <v>0</v>
      </c>
      <c r="L26" s="118"/>
      <c r="M26" s="118">
        <f t="shared" si="6"/>
        <v>99121.5</v>
      </c>
      <c r="N26" s="37"/>
    </row>
    <row r="27" spans="1:14" x14ac:dyDescent="0.25">
      <c r="A27" s="115">
        <v>24</v>
      </c>
      <c r="B27" s="116">
        <v>46319</v>
      </c>
      <c r="C27" s="37"/>
      <c r="D27" s="37"/>
      <c r="E27" s="368"/>
      <c r="F27" s="74"/>
      <c r="G27" s="118">
        <f t="shared" si="2"/>
        <v>0</v>
      </c>
      <c r="H27" s="328"/>
      <c r="I27" s="328"/>
      <c r="J27" s="118">
        <f t="shared" si="3"/>
        <v>0</v>
      </c>
      <c r="K27" s="118">
        <f t="shared" si="4"/>
        <v>0</v>
      </c>
      <c r="L27" s="118"/>
      <c r="M27" s="118">
        <f t="shared" si="6"/>
        <v>99121.5</v>
      </c>
      <c r="N27" s="37"/>
    </row>
    <row r="28" spans="1:14" x14ac:dyDescent="0.25">
      <c r="A28" s="115">
        <v>25</v>
      </c>
      <c r="B28" s="116">
        <v>46320</v>
      </c>
      <c r="C28" s="37"/>
      <c r="D28" s="37"/>
      <c r="E28" s="368"/>
      <c r="F28" s="74"/>
      <c r="G28" s="118">
        <f t="shared" si="2"/>
        <v>0</v>
      </c>
      <c r="H28" s="328"/>
      <c r="I28" s="328"/>
      <c r="J28" s="118">
        <f t="shared" si="3"/>
        <v>0</v>
      </c>
      <c r="K28" s="118">
        <f t="shared" si="4"/>
        <v>0</v>
      </c>
      <c r="L28" s="118"/>
      <c r="M28" s="118">
        <f t="shared" si="6"/>
        <v>99121.5</v>
      </c>
      <c r="N28" s="37"/>
    </row>
    <row r="29" spans="1:14" x14ac:dyDescent="0.25">
      <c r="A29" s="115">
        <v>26</v>
      </c>
      <c r="B29" s="116">
        <v>46321</v>
      </c>
      <c r="C29" s="37"/>
      <c r="D29" s="37"/>
      <c r="E29" s="368"/>
      <c r="F29" s="74"/>
      <c r="G29" s="118">
        <f t="shared" si="2"/>
        <v>0</v>
      </c>
      <c r="H29" s="328"/>
      <c r="I29" s="328"/>
      <c r="J29" s="118">
        <f t="shared" si="3"/>
        <v>0</v>
      </c>
      <c r="K29" s="118">
        <f t="shared" si="4"/>
        <v>0</v>
      </c>
      <c r="L29" s="118"/>
      <c r="M29" s="118">
        <f t="shared" si="6"/>
        <v>99121.5</v>
      </c>
      <c r="N29" s="37"/>
    </row>
    <row r="30" spans="1:15" x14ac:dyDescent="0.25">
      <c r="A30" s="115">
        <v>27</v>
      </c>
      <c r="B30" s="116">
        <v>46322</v>
      </c>
      <c r="C30" s="37"/>
      <c r="D30" s="37"/>
      <c r="E30" s="368"/>
      <c r="F30" s="74"/>
      <c r="G30" s="118">
        <f t="shared" si="2"/>
        <v>0</v>
      </c>
      <c r="H30" s="328"/>
      <c r="I30" s="328"/>
      <c r="J30" s="118">
        <f t="shared" si="3"/>
        <v>0</v>
      </c>
      <c r="K30" s="118">
        <f t="shared" si="4"/>
        <v>0</v>
      </c>
      <c r="L30" s="118"/>
      <c r="M30" s="118">
        <f t="shared" si="6"/>
        <v>99121.5</v>
      </c>
      <c r="N30" s="37"/>
      <c r="O30" s="114"/>
    </row>
    <row r="31" spans="1:14" x14ac:dyDescent="0.25">
      <c r="A31" s="115">
        <v>28</v>
      </c>
      <c r="B31" s="116">
        <v>46323</v>
      </c>
      <c r="C31" s="37"/>
      <c r="D31" s="37"/>
      <c r="E31" s="368"/>
      <c r="F31" s="74"/>
      <c r="G31" s="118">
        <f t="shared" si="2"/>
        <v>0</v>
      </c>
      <c r="H31" s="328"/>
      <c r="I31" s="328"/>
      <c r="J31" s="118">
        <f t="shared" si="3"/>
        <v>0</v>
      </c>
      <c r="K31" s="118">
        <f t="shared" si="4"/>
        <v>0</v>
      </c>
      <c r="L31" s="118"/>
      <c r="M31" s="118">
        <f t="shared" si="6"/>
        <v>99121.5</v>
      </c>
      <c r="N31" s="37"/>
    </row>
    <row r="32" spans="1:14" x14ac:dyDescent="0.25">
      <c r="A32" s="115">
        <v>29</v>
      </c>
      <c r="B32" s="116">
        <v>46324</v>
      </c>
      <c r="C32" s="37"/>
      <c r="D32" s="132"/>
      <c r="E32" s="368"/>
      <c r="F32" s="74"/>
      <c r="G32" s="118">
        <f t="shared" si="2"/>
        <v>0</v>
      </c>
      <c r="H32" s="328"/>
      <c r="I32" s="328"/>
      <c r="J32" s="118">
        <f t="shared" si="3"/>
        <v>0</v>
      </c>
      <c r="K32" s="118">
        <f t="shared" si="4"/>
        <v>0</v>
      </c>
      <c r="L32" s="118"/>
      <c r="M32" s="118">
        <f t="shared" si="6"/>
        <v>99121.5</v>
      </c>
      <c r="N32" s="37"/>
    </row>
    <row r="33" spans="1:14" x14ac:dyDescent="0.25">
      <c r="A33" s="115">
        <v>30</v>
      </c>
      <c r="B33" s="116">
        <v>46325</v>
      </c>
      <c r="C33" s="37"/>
      <c r="D33" s="37"/>
      <c r="E33" s="368"/>
      <c r="F33" s="74"/>
      <c r="G33" s="118">
        <f t="shared" si="2"/>
        <v>0</v>
      </c>
      <c r="H33" s="328"/>
      <c r="I33" s="328"/>
      <c r="J33" s="118">
        <f t="shared" si="3"/>
        <v>0</v>
      </c>
      <c r="K33" s="118">
        <f t="shared" si="4"/>
        <v>0</v>
      </c>
      <c r="L33" s="118"/>
      <c r="M33" s="118">
        <f t="shared" si="6"/>
        <v>99121.5</v>
      </c>
      <c r="N33" s="37"/>
    </row>
    <row r="34" spans="1:14" x14ac:dyDescent="0.25">
      <c r="A34" s="115">
        <v>31</v>
      </c>
      <c r="B34" s="116">
        <v>46326</v>
      </c>
      <c r="C34" s="37"/>
      <c r="D34" s="37"/>
      <c r="E34" s="368"/>
      <c r="F34" s="74"/>
      <c r="G34" s="118">
        <f t="shared" si="2"/>
        <v>0</v>
      </c>
      <c r="H34" s="328"/>
      <c r="I34" s="328"/>
      <c r="J34" s="118">
        <f t="shared" si="3"/>
        <v>0</v>
      </c>
      <c r="K34" s="118">
        <f t="shared" si="4"/>
        <v>0</v>
      </c>
      <c r="L34" s="118"/>
      <c r="M34" s="118">
        <f t="shared" si="6"/>
        <v>99121.5</v>
      </c>
      <c r="N34" s="37"/>
    </row>
    <row r="35" spans="1:14" x14ac:dyDescent="0.25">
      <c r="A35" s="115">
        <v>32</v>
      </c>
      <c r="B35" s="116"/>
      <c r="C35" s="37"/>
      <c r="D35" s="37"/>
      <c r="E35" s="368"/>
      <c r="F35" s="74"/>
      <c r="G35" s="118">
        <f t="shared" si="2"/>
        <v>0</v>
      </c>
      <c r="H35" s="328"/>
      <c r="I35" s="328"/>
      <c r="J35" s="118">
        <f t="shared" si="3"/>
        <v>0</v>
      </c>
      <c r="K35" s="118">
        <f t="shared" si="4"/>
        <v>0</v>
      </c>
      <c r="L35" s="118"/>
      <c r="M35" s="118">
        <f t="shared" si="6"/>
        <v>99121.5</v>
      </c>
      <c r="N35" s="37"/>
    </row>
    <row r="36" spans="1:14" x14ac:dyDescent="0.25">
      <c r="A36" s="115">
        <v>33</v>
      </c>
      <c r="B36" s="116"/>
      <c r="C36" s="37"/>
      <c r="D36" s="37"/>
      <c r="E36" s="368"/>
      <c r="F36" s="74"/>
      <c r="G36" s="118">
        <f t="shared" si="2"/>
        <v>0</v>
      </c>
      <c r="H36" s="328"/>
      <c r="I36" s="328"/>
      <c r="J36" s="118">
        <f t="shared" si="3"/>
        <v>0</v>
      </c>
      <c r="K36" s="118">
        <f t="shared" si="4"/>
        <v>0</v>
      </c>
      <c r="L36" s="118"/>
      <c r="M36" s="118">
        <f t="shared" si="6"/>
        <v>99121.5</v>
      </c>
      <c r="N36" s="37"/>
    </row>
    <row r="37" spans="1:16" x14ac:dyDescent="0.25">
      <c r="A37" s="115">
        <v>34</v>
      </c>
      <c r="B37" s="116"/>
      <c r="C37" s="37"/>
      <c r="D37" s="37"/>
      <c r="E37" s="368"/>
      <c r="F37" s="74"/>
      <c r="G37" s="118">
        <f t="shared" si="2"/>
        <v>0</v>
      </c>
      <c r="H37" s="328"/>
      <c r="I37" s="328"/>
      <c r="J37" s="118">
        <f t="shared" si="3"/>
        <v>0</v>
      </c>
      <c r="K37" s="118">
        <f t="shared" si="4"/>
        <v>0</v>
      </c>
      <c r="L37" s="118"/>
      <c r="M37" s="118">
        <f t="shared" si="6"/>
        <v>99121.5</v>
      </c>
      <c r="N37" s="37"/>
      <c r="P37" s="348"/>
    </row>
    <row r="38" spans="1:16" x14ac:dyDescent="0.25">
      <c r="A38" s="115">
        <v>35</v>
      </c>
      <c r="B38" s="116"/>
      <c r="C38" s="37"/>
      <c r="D38" s="37"/>
      <c r="E38" s="368"/>
      <c r="F38" s="74"/>
      <c r="G38" s="118">
        <f t="shared" si="2"/>
        <v>0</v>
      </c>
      <c r="H38" s="328"/>
      <c r="I38" s="328"/>
      <c r="J38" s="118">
        <f t="shared" si="3"/>
        <v>0</v>
      </c>
      <c r="K38" s="118">
        <f t="shared" si="4"/>
        <v>0</v>
      </c>
      <c r="L38" s="118"/>
      <c r="M38" s="118">
        <f t="shared" si="6"/>
        <v>99121.5</v>
      </c>
      <c r="N38" s="37"/>
      <c r="P38" s="348"/>
    </row>
    <row r="39" spans="1:16" x14ac:dyDescent="0.25">
      <c r="A39" s="115">
        <v>36</v>
      </c>
      <c r="B39" s="116"/>
      <c r="C39" s="37"/>
      <c r="D39" s="37"/>
      <c r="E39" s="74"/>
      <c r="F39" s="74"/>
      <c r="G39" s="118">
        <f t="shared" ref="G5:G39" si="7">E39*F39</f>
        <v>0</v>
      </c>
      <c r="H39" s="328"/>
      <c r="I39" s="328"/>
      <c r="J39" s="118">
        <f t="shared" ref="J5:J39" si="8">H39*I39</f>
        <v>0</v>
      </c>
      <c r="K39" s="118">
        <f t="shared" si="4"/>
        <v>0</v>
      </c>
      <c r="L39" s="118"/>
      <c r="M39" s="118">
        <f t="shared" si="6"/>
        <v>99121.5</v>
      </c>
      <c r="N39" s="37"/>
      <c r="P39" s="348"/>
    </row>
    <row r="40" spans="1:14" x14ac:dyDescent="0.25">
      <c r="A40" s="121"/>
      <c r="B40" s="121"/>
      <c r="C40" s="121"/>
      <c r="D40" s="121"/>
      <c r="E40" s="121">
        <f>SUM(E4:E39)</f>
        <v>2000</v>
      </c>
      <c r="F40" s="121"/>
      <c r="G40" s="121">
        <f>SUM(G4:G39)</f>
        <v>198700</v>
      </c>
      <c r="H40" s="121">
        <f>SUM(H4:H39)</f>
        <v>0</v>
      </c>
      <c r="I40" s="121"/>
      <c r="J40" s="121">
        <f>SUM(J4:J39)</f>
        <v>0</v>
      </c>
      <c r="K40" s="121">
        <f>SUM(K4:K39)</f>
        <v>198700</v>
      </c>
      <c r="L40" s="121">
        <f>SUM(L4:L39)</f>
        <v>363000</v>
      </c>
      <c r="M40" s="121"/>
      <c r="N40" s="121"/>
    </row>
  </sheetData>
  <mergeCells count="2">
    <mergeCell ref="A1:N1"/>
    <mergeCell ref="C3:D3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9"/>
  <sheetViews>
    <sheetView workbookViewId="0" zoomScale="100" zoomScaleNormal="100">
      <selection activeCell="K17" sqref="K17"/>
    </sheetView>
  </sheetViews>
  <sheetFormatPr defaultRowHeight="15" outlineLevelRow="0" outlineLevelCol="0" x14ac:dyDescent="0"/>
  <cols>
    <col min="2" max="2" width="10.42578125" customWidth="1"/>
    <col min="4" max="4" width="18.42578125" customWidth="1"/>
    <col min="5" max="5" width="12" customWidth="1"/>
    <col min="7" max="7" width="10.42578125" customWidth="1"/>
    <col min="11" max="11" width="14.7109375" customWidth="1"/>
    <col min="12" max="12" width="10.42578125" customWidth="1"/>
    <col min="13" max="14" width="11.42578125" customWidth="1"/>
    <col min="16" max="16" width="13.5703125" customWidth="1"/>
    <col min="17" max="17" width="15.85546875" customWidth="1"/>
    <col min="18" max="18" width="13.140625" customWidth="1"/>
    <col min="19" max="19" width="11.85546875" customWidth="1"/>
  </cols>
  <sheetData>
    <row r="1" ht="15.75" customHeight="1" spans="1:17" x14ac:dyDescent="0.25">
      <c r="A1" s="63" t="s">
        <v>166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4"/>
      <c r="P1" s="64"/>
      <c r="Q1" s="64"/>
    </row>
    <row r="2" ht="27" customHeight="1" spans="1:17" x14ac:dyDescent="0.25">
      <c r="A2" s="65" t="s">
        <v>0</v>
      </c>
      <c r="B2" s="66" t="s">
        <v>167</v>
      </c>
      <c r="C2" s="66" t="s">
        <v>168</v>
      </c>
      <c r="D2" s="66" t="s">
        <v>169</v>
      </c>
      <c r="E2" s="66" t="s">
        <v>170</v>
      </c>
      <c r="F2" s="66" t="s">
        <v>171</v>
      </c>
      <c r="G2" s="66" t="s">
        <v>172</v>
      </c>
      <c r="H2" s="66" t="s">
        <v>173</v>
      </c>
      <c r="I2" s="66" t="s">
        <v>171</v>
      </c>
      <c r="J2" s="66" t="s">
        <v>172</v>
      </c>
      <c r="K2" s="67" t="s">
        <v>174</v>
      </c>
      <c r="L2" s="67" t="s">
        <v>175</v>
      </c>
      <c r="M2" s="67" t="s">
        <v>176</v>
      </c>
      <c r="N2" s="66" t="s">
        <v>177</v>
      </c>
      <c r="O2" s="64"/>
      <c r="P2" s="64"/>
      <c r="Q2" s="64"/>
    </row>
    <row r="3" spans="1:17" x14ac:dyDescent="0.25">
      <c r="A3" s="68" t="s">
        <v>178</v>
      </c>
      <c r="B3" s="69"/>
      <c r="C3" s="69"/>
      <c r="D3" s="69"/>
      <c r="E3" s="69"/>
      <c r="F3" s="69"/>
      <c r="G3" s="69"/>
      <c r="H3" s="69"/>
      <c r="I3" s="69"/>
      <c r="J3" s="70"/>
      <c r="K3" s="71" t="s">
        <v>179</v>
      </c>
      <c r="L3" s="72" t="s">
        <v>180</v>
      </c>
      <c r="M3" s="64">
        <v>0</v>
      </c>
      <c r="N3" s="73" t="s">
        <v>180</v>
      </c>
      <c r="O3" s="64"/>
      <c r="P3" s="64"/>
      <c r="Q3" s="64"/>
    </row>
    <row r="4" spans="1:17" x14ac:dyDescent="0.25">
      <c r="A4" s="74">
        <v>1</v>
      </c>
      <c r="B4" s="75">
        <v>46296</v>
      </c>
      <c r="C4" s="76" t="s">
        <v>180</v>
      </c>
      <c r="D4" s="77" t="s">
        <v>180</v>
      </c>
      <c r="E4" s="76" t="s">
        <v>180</v>
      </c>
      <c r="F4" s="76" t="s">
        <v>180</v>
      </c>
      <c r="G4" s="76" t="s">
        <v>179</v>
      </c>
      <c r="H4" s="78" t="s">
        <v>181</v>
      </c>
      <c r="I4" s="78" t="s">
        <v>181</v>
      </c>
      <c r="J4" s="76" t="s">
        <v>181</v>
      </c>
      <c r="K4" s="76" t="s">
        <v>179</v>
      </c>
      <c r="L4" s="79" t="s">
        <v>179</v>
      </c>
      <c r="M4" s="80" t="s">
        <v>182</v>
      </c>
      <c r="N4" s="81" t="s">
        <v>180</v>
      </c>
      <c r="O4" s="64"/>
      <c r="P4" s="64"/>
      <c r="Q4" s="64"/>
    </row>
    <row r="5" spans="1:17" x14ac:dyDescent="0.25">
      <c r="A5" s="74">
        <v>2</v>
      </c>
      <c r="B5" s="75">
        <v>46297</v>
      </c>
      <c r="C5" s="76" t="s">
        <v>180</v>
      </c>
      <c r="D5" s="77" t="s">
        <v>180</v>
      </c>
      <c r="E5" s="76" t="s">
        <v>180</v>
      </c>
      <c r="F5" s="76" t="s">
        <v>180</v>
      </c>
      <c r="G5" s="76" t="s">
        <v>179</v>
      </c>
      <c r="H5" s="78" t="s">
        <v>181</v>
      </c>
      <c r="I5" s="78" t="s">
        <v>181</v>
      </c>
      <c r="J5" s="76" t="s">
        <v>181</v>
      </c>
      <c r="K5" s="76" t="s">
        <v>179</v>
      </c>
      <c r="L5" s="79" t="s">
        <v>180</v>
      </c>
      <c r="M5" s="82" t="s">
        <v>182</v>
      </c>
      <c r="N5" s="83" t="s">
        <v>180</v>
      </c>
      <c r="O5" s="64"/>
      <c r="P5" s="64"/>
      <c r="Q5" s="64"/>
    </row>
    <row r="6" spans="1:17" x14ac:dyDescent="0.25">
      <c r="A6" s="74">
        <v>3</v>
      </c>
      <c r="B6" s="75">
        <v>46298</v>
      </c>
      <c r="C6" s="76" t="s">
        <v>180</v>
      </c>
      <c r="D6" s="77" t="s">
        <v>180</v>
      </c>
      <c r="E6" s="76">
        <v>50</v>
      </c>
      <c r="F6" s="76">
        <v>103.76</v>
      </c>
      <c r="G6" s="84">
        <f>E6*F6</f>
        <v>5188</v>
      </c>
      <c r="H6" s="78">
        <v>0</v>
      </c>
      <c r="I6" s="78">
        <v>0</v>
      </c>
      <c r="J6" s="76">
        <f>H6*I6</f>
        <v>0</v>
      </c>
      <c r="K6" s="84">
        <f>G6+J6</f>
        <v>5188</v>
      </c>
      <c r="L6" s="84">
        <v>5188</v>
      </c>
      <c r="M6" s="76" t="s">
        <v>182</v>
      </c>
      <c r="N6" s="85" t="s">
        <v>180</v>
      </c>
      <c r="O6" s="64"/>
      <c r="P6" s="64"/>
      <c r="Q6" s="64"/>
    </row>
    <row r="7" spans="1:17" x14ac:dyDescent="0.25">
      <c r="A7" s="74">
        <v>4</v>
      </c>
      <c r="B7" s="75">
        <v>46299</v>
      </c>
      <c r="C7" s="76" t="s">
        <v>180</v>
      </c>
      <c r="D7" s="77" t="s">
        <v>180</v>
      </c>
      <c r="E7" s="76">
        <v>0</v>
      </c>
      <c r="F7" s="76">
        <v>0</v>
      </c>
      <c r="G7" s="84">
        <f t="shared" ref="G7:G23" si="0">E7*F7</f>
        <v>0</v>
      </c>
      <c r="H7" s="78">
        <v>0</v>
      </c>
      <c r="I7" s="78">
        <v>0</v>
      </c>
      <c r="J7" s="76">
        <f t="shared" ref="J7:J9" si="1">H7*I7</f>
        <v>0</v>
      </c>
      <c r="K7" s="84">
        <f t="shared" ref="K7:K8" si="2">G7+J7</f>
        <v>0</v>
      </c>
      <c r="L7" s="76" t="s">
        <v>180</v>
      </c>
      <c r="M7" s="76" t="s">
        <v>182</v>
      </c>
      <c r="N7" s="76" t="s">
        <v>180</v>
      </c>
      <c r="O7" s="64"/>
      <c r="P7" s="64"/>
      <c r="Q7" s="64"/>
    </row>
    <row r="8" spans="1:17" x14ac:dyDescent="0.25">
      <c r="A8" s="74">
        <v>5</v>
      </c>
      <c r="B8" s="75">
        <v>46300</v>
      </c>
      <c r="C8" s="76" t="s">
        <v>180</v>
      </c>
      <c r="D8" s="77" t="s">
        <v>180</v>
      </c>
      <c r="E8" s="76">
        <v>100</v>
      </c>
      <c r="F8" s="76">
        <v>103.76</v>
      </c>
      <c r="G8" s="84">
        <f t="shared" si="0"/>
        <v>10376</v>
      </c>
      <c r="H8" s="78">
        <v>0</v>
      </c>
      <c r="I8" s="78">
        <v>0</v>
      </c>
      <c r="J8" s="76">
        <f t="shared" si="1"/>
        <v>0</v>
      </c>
      <c r="K8" s="84">
        <f>G8+J8</f>
        <v>10376</v>
      </c>
      <c r="L8" s="84">
        <v>10376</v>
      </c>
      <c r="M8" s="76" t="s">
        <v>182</v>
      </c>
      <c r="N8" s="76" t="s">
        <v>180</v>
      </c>
      <c r="O8" s="64"/>
      <c r="P8" s="64"/>
      <c r="Q8" s="64"/>
    </row>
    <row r="9" spans="1:17" x14ac:dyDescent="0.25">
      <c r="A9" s="74">
        <v>6</v>
      </c>
      <c r="B9" s="75">
        <v>46301</v>
      </c>
      <c r="C9" s="86" t="s">
        <v>180</v>
      </c>
      <c r="D9" s="87" t="s">
        <v>180</v>
      </c>
      <c r="E9" s="76">
        <v>40</v>
      </c>
      <c r="F9" s="76">
        <v>103.76</v>
      </c>
      <c r="G9" s="84">
        <f t="shared" si="0"/>
        <v>4150.400000000001</v>
      </c>
      <c r="H9" s="78">
        <v>0</v>
      </c>
      <c r="I9" s="78">
        <v>0</v>
      </c>
      <c r="J9" s="76">
        <f t="shared" si="1"/>
        <v>0</v>
      </c>
      <c r="K9" s="84">
        <f>G9+J9</f>
        <v>4150.400000000001</v>
      </c>
      <c r="L9" s="84">
        <v>4150.400000000001</v>
      </c>
      <c r="M9" s="82" t="s">
        <v>182</v>
      </c>
      <c r="N9" s="76" t="s">
        <v>180</v>
      </c>
      <c r="O9" s="64"/>
      <c r="P9" s="64"/>
      <c r="Q9" s="64"/>
    </row>
    <row r="10" spans="1:17" x14ac:dyDescent="0.25">
      <c r="A10" s="74">
        <v>7</v>
      </c>
      <c r="B10" s="75">
        <v>46302</v>
      </c>
      <c r="C10" s="88" t="s">
        <v>180</v>
      </c>
      <c r="D10" s="87" t="s">
        <v>180</v>
      </c>
      <c r="E10" s="76">
        <v>0</v>
      </c>
      <c r="F10" s="76">
        <v>0</v>
      </c>
      <c r="G10" s="84">
        <f t="shared" si="0"/>
        <v>0</v>
      </c>
      <c r="H10" s="78">
        <v>0</v>
      </c>
      <c r="I10" s="78">
        <v>0</v>
      </c>
      <c r="J10" s="76">
        <f t="shared" ref="J10:J18" si="3">H10*I10</f>
        <v>0</v>
      </c>
      <c r="K10" s="84">
        <f t="shared" ref="K10:K23" si="4">G10+J10</f>
        <v>0</v>
      </c>
      <c r="L10" s="76" t="s">
        <v>180</v>
      </c>
      <c r="M10" s="76" t="s">
        <v>182</v>
      </c>
      <c r="N10" s="76" t="s">
        <v>180</v>
      </c>
      <c r="O10" s="64"/>
      <c r="P10" s="64"/>
      <c r="Q10" s="64"/>
    </row>
    <row r="11" spans="1:17" x14ac:dyDescent="0.25">
      <c r="A11" s="74">
        <v>8</v>
      </c>
      <c r="B11" s="75">
        <v>46303</v>
      </c>
      <c r="C11" s="88" t="s">
        <v>180</v>
      </c>
      <c r="D11" s="87" t="s">
        <v>180</v>
      </c>
      <c r="E11" s="76">
        <v>0</v>
      </c>
      <c r="F11" s="76">
        <v>0</v>
      </c>
      <c r="G11" s="84">
        <f t="shared" si="0"/>
        <v>0</v>
      </c>
      <c r="H11" s="78">
        <v>0</v>
      </c>
      <c r="I11" s="78">
        <v>0</v>
      </c>
      <c r="J11" s="76">
        <f t="shared" si="3"/>
        <v>0</v>
      </c>
      <c r="K11" s="84">
        <f t="shared" si="4"/>
        <v>0</v>
      </c>
      <c r="L11" s="76" t="s">
        <v>180</v>
      </c>
      <c r="M11" s="76" t="s">
        <v>182</v>
      </c>
      <c r="N11" s="76" t="s">
        <v>180</v>
      </c>
      <c r="O11" s="64"/>
      <c r="P11" s="64"/>
      <c r="Q11" s="64"/>
    </row>
    <row r="12" spans="1:17" x14ac:dyDescent="0.25">
      <c r="A12" s="74">
        <v>9</v>
      </c>
      <c r="B12" s="75">
        <v>46304</v>
      </c>
      <c r="C12" s="88" t="s">
        <v>180</v>
      </c>
      <c r="D12" s="87" t="s">
        <v>180</v>
      </c>
      <c r="E12" s="76">
        <v>0</v>
      </c>
      <c r="F12" s="76">
        <v>0</v>
      </c>
      <c r="G12" s="84">
        <f t="shared" si="0"/>
        <v>0</v>
      </c>
      <c r="H12" s="78">
        <v>0</v>
      </c>
      <c r="I12" s="78">
        <v>0</v>
      </c>
      <c r="J12" s="76">
        <f t="shared" si="3"/>
        <v>0</v>
      </c>
      <c r="K12" s="84">
        <f t="shared" si="4"/>
        <v>0</v>
      </c>
      <c r="L12" s="76" t="s">
        <v>180</v>
      </c>
      <c r="M12" s="76" t="s">
        <v>182</v>
      </c>
      <c r="N12" s="76" t="s">
        <v>180</v>
      </c>
      <c r="O12" s="64"/>
      <c r="P12" s="64"/>
      <c r="Q12" s="64"/>
    </row>
    <row r="13" spans="1:17" x14ac:dyDescent="0.25">
      <c r="A13" s="74">
        <v>10</v>
      </c>
      <c r="B13" s="75">
        <v>46305</v>
      </c>
      <c r="C13" s="88" t="s">
        <v>180</v>
      </c>
      <c r="D13" s="87" t="s">
        <v>180</v>
      </c>
      <c r="E13" s="76">
        <v>0</v>
      </c>
      <c r="F13" s="76">
        <v>0</v>
      </c>
      <c r="G13" s="84">
        <f t="shared" si="0"/>
        <v>0</v>
      </c>
      <c r="H13" s="78">
        <v>0</v>
      </c>
      <c r="I13" s="78">
        <v>0</v>
      </c>
      <c r="J13" s="76">
        <f t="shared" si="3"/>
        <v>0</v>
      </c>
      <c r="K13" s="84">
        <f t="shared" si="4"/>
        <v>0</v>
      </c>
      <c r="L13" s="76" t="s">
        <v>180</v>
      </c>
      <c r="M13" s="76" t="s">
        <v>182</v>
      </c>
      <c r="N13" s="76" t="s">
        <v>180</v>
      </c>
      <c r="O13" s="64"/>
      <c r="P13" s="64"/>
      <c r="Q13" s="64"/>
    </row>
    <row r="14" spans="1:17" x14ac:dyDescent="0.25">
      <c r="A14" s="74">
        <v>11</v>
      </c>
      <c r="B14" s="75">
        <v>46306</v>
      </c>
      <c r="C14" s="88" t="s">
        <v>180</v>
      </c>
      <c r="D14" s="87" t="s">
        <v>180</v>
      </c>
      <c r="E14" s="76">
        <v>0</v>
      </c>
      <c r="F14" s="76">
        <v>0</v>
      </c>
      <c r="G14" s="84">
        <f t="shared" si="0"/>
        <v>0</v>
      </c>
      <c r="H14" s="78">
        <v>0</v>
      </c>
      <c r="I14" s="78">
        <v>0</v>
      </c>
      <c r="J14" s="76">
        <f t="shared" si="3"/>
        <v>0</v>
      </c>
      <c r="K14" s="84">
        <f t="shared" si="4"/>
        <v>0</v>
      </c>
      <c r="L14" s="76" t="s">
        <v>180</v>
      </c>
      <c r="M14" s="76" t="s">
        <v>182</v>
      </c>
      <c r="N14" s="76" t="s">
        <v>180</v>
      </c>
      <c r="O14" s="64"/>
      <c r="P14" s="64"/>
      <c r="Q14" s="64"/>
    </row>
    <row r="15" spans="1:17" x14ac:dyDescent="0.25">
      <c r="A15" s="74">
        <v>12</v>
      </c>
      <c r="B15" s="75">
        <v>46307</v>
      </c>
      <c r="C15" s="88" t="s">
        <v>180</v>
      </c>
      <c r="D15" s="87" t="s">
        <v>180</v>
      </c>
      <c r="E15" s="76">
        <v>0</v>
      </c>
      <c r="F15" s="76">
        <v>0</v>
      </c>
      <c r="G15" s="84">
        <f t="shared" si="0"/>
        <v>0</v>
      </c>
      <c r="H15" s="78">
        <v>0</v>
      </c>
      <c r="I15" s="78">
        <v>0</v>
      </c>
      <c r="J15" s="76">
        <f t="shared" si="3"/>
        <v>0</v>
      </c>
      <c r="K15" s="84">
        <f t="shared" si="4"/>
        <v>0</v>
      </c>
      <c r="L15" s="76" t="s">
        <v>180</v>
      </c>
      <c r="M15" s="76" t="s">
        <v>182</v>
      </c>
      <c r="N15" s="76" t="s">
        <v>180</v>
      </c>
      <c r="O15" s="64"/>
      <c r="P15" s="64"/>
      <c r="Q15" s="64"/>
    </row>
    <row r="16" spans="1:17" x14ac:dyDescent="0.25">
      <c r="A16" s="74">
        <v>13</v>
      </c>
      <c r="B16" s="75">
        <v>46308</v>
      </c>
      <c r="C16" s="88" t="s">
        <v>180</v>
      </c>
      <c r="D16" s="87" t="s">
        <v>180</v>
      </c>
      <c r="E16" s="76">
        <v>0</v>
      </c>
      <c r="F16" s="76">
        <v>0</v>
      </c>
      <c r="G16" s="84">
        <f t="shared" si="0"/>
        <v>0</v>
      </c>
      <c r="H16" s="78">
        <v>0</v>
      </c>
      <c r="I16" s="78">
        <v>0</v>
      </c>
      <c r="J16" s="76">
        <f t="shared" si="3"/>
        <v>0</v>
      </c>
      <c r="K16" s="84">
        <f t="shared" si="4"/>
        <v>0</v>
      </c>
      <c r="L16" s="76" t="s">
        <v>180</v>
      </c>
      <c r="M16" s="76" t="s">
        <v>182</v>
      </c>
      <c r="N16" s="76" t="s">
        <v>180</v>
      </c>
      <c r="O16" s="64"/>
      <c r="P16" s="64"/>
      <c r="Q16" s="64"/>
    </row>
    <row r="17" spans="1:17" x14ac:dyDescent="0.25">
      <c r="A17" s="74">
        <v>14</v>
      </c>
      <c r="B17" s="75">
        <v>46309</v>
      </c>
      <c r="C17" s="88" t="s">
        <v>180</v>
      </c>
      <c r="D17" s="87" t="s">
        <v>180</v>
      </c>
      <c r="E17" s="76">
        <v>50</v>
      </c>
      <c r="F17" s="76">
        <v>103.76</v>
      </c>
      <c r="G17" s="84">
        <f t="shared" si="0"/>
        <v>5188</v>
      </c>
      <c r="H17" s="78">
        <v>0</v>
      </c>
      <c r="I17" s="78">
        <v>0</v>
      </c>
      <c r="J17" s="76">
        <f t="shared" si="3"/>
        <v>0</v>
      </c>
      <c r="K17" s="84">
        <f t="shared" si="4"/>
        <v>5188</v>
      </c>
      <c r="L17" s="76" t="s">
        <v>180</v>
      </c>
      <c r="M17" s="76" t="s">
        <v>182</v>
      </c>
      <c r="N17" s="76" t="s">
        <v>180</v>
      </c>
      <c r="O17" s="64"/>
      <c r="P17" s="64"/>
      <c r="Q17" s="64"/>
    </row>
    <row r="18" spans="1:17" x14ac:dyDescent="0.25">
      <c r="A18" s="74">
        <v>15</v>
      </c>
      <c r="B18" s="75">
        <v>46310</v>
      </c>
      <c r="C18" s="88" t="s">
        <v>180</v>
      </c>
      <c r="D18" s="87" t="s">
        <v>180</v>
      </c>
      <c r="E18" s="76">
        <v>0</v>
      </c>
      <c r="F18" s="76">
        <v>0</v>
      </c>
      <c r="G18" s="84">
        <f t="shared" si="0"/>
        <v>0</v>
      </c>
      <c r="H18" s="78">
        <v>0</v>
      </c>
      <c r="I18" s="78">
        <v>0</v>
      </c>
      <c r="J18" s="76">
        <f>H18*I18</f>
        <v>0</v>
      </c>
      <c r="K18" s="84">
        <f t="shared" si="4"/>
        <v>0</v>
      </c>
      <c r="L18" s="76" t="s">
        <v>180</v>
      </c>
      <c r="M18" s="76" t="s">
        <v>182</v>
      </c>
      <c r="N18" s="76" t="s">
        <v>180</v>
      </c>
      <c r="O18" s="64"/>
      <c r="P18" s="64"/>
      <c r="Q18" s="64"/>
    </row>
    <row r="19" spans="1:17" x14ac:dyDescent="0.25">
      <c r="A19" s="74">
        <v>16</v>
      </c>
      <c r="B19" s="75">
        <v>46311</v>
      </c>
      <c r="C19" s="88" t="s">
        <v>180</v>
      </c>
      <c r="D19" s="87" t="s">
        <v>180</v>
      </c>
      <c r="E19" s="76">
        <v>0</v>
      </c>
      <c r="F19" s="76">
        <v>0</v>
      </c>
      <c r="G19" s="84">
        <f t="shared" si="0"/>
        <v>0</v>
      </c>
      <c r="H19" s="78">
        <v>0</v>
      </c>
      <c r="I19" s="78">
        <v>0</v>
      </c>
      <c r="J19" s="76">
        <f t="shared" ref="J18:J20" si="5">H19*I19</f>
        <v>0</v>
      </c>
      <c r="K19" s="84">
        <f t="shared" si="4"/>
        <v>0</v>
      </c>
      <c r="L19" s="76" t="s">
        <v>180</v>
      </c>
      <c r="M19" s="76" t="s">
        <v>182</v>
      </c>
      <c r="N19" s="76" t="s">
        <v>180</v>
      </c>
      <c r="O19" s="64"/>
      <c r="P19" s="64"/>
      <c r="Q19" s="64"/>
    </row>
    <row r="20" spans="1:17" x14ac:dyDescent="0.25">
      <c r="A20" s="74">
        <v>17</v>
      </c>
      <c r="B20" s="75">
        <v>46312</v>
      </c>
      <c r="C20" s="88" t="s">
        <v>180</v>
      </c>
      <c r="D20" s="87" t="s">
        <v>180</v>
      </c>
      <c r="E20" s="76">
        <v>0</v>
      </c>
      <c r="F20" s="76">
        <v>0</v>
      </c>
      <c r="G20" s="84">
        <f t="shared" si="0"/>
        <v>0</v>
      </c>
      <c r="H20" s="78">
        <v>0</v>
      </c>
      <c r="I20" s="78">
        <v>0</v>
      </c>
      <c r="J20" s="76">
        <f t="shared" si="5"/>
        <v>0</v>
      </c>
      <c r="K20" s="84">
        <f t="shared" si="4"/>
        <v>0</v>
      </c>
      <c r="L20" s="76" t="s">
        <v>180</v>
      </c>
      <c r="M20" s="76" t="s">
        <v>182</v>
      </c>
      <c r="N20" s="76" t="s">
        <v>180</v>
      </c>
      <c r="O20" s="64"/>
      <c r="P20" s="64"/>
      <c r="Q20" s="64"/>
    </row>
    <row r="21" spans="1:17" x14ac:dyDescent="0.25">
      <c r="A21" s="74">
        <v>18</v>
      </c>
      <c r="B21" s="75">
        <v>46313</v>
      </c>
      <c r="C21" s="88" t="s">
        <v>180</v>
      </c>
      <c r="D21" s="87" t="s">
        <v>180</v>
      </c>
      <c r="E21" s="76" t="s">
        <v>180</v>
      </c>
      <c r="F21" s="76"/>
      <c r="G21" s="84"/>
      <c r="H21" s="78" t="s">
        <v>180</v>
      </c>
      <c r="I21" s="78" t="s">
        <v>180</v>
      </c>
      <c r="J21" s="76" t="s">
        <v>180</v>
      </c>
      <c r="K21" s="84"/>
      <c r="L21" s="76" t="s">
        <v>180</v>
      </c>
      <c r="M21" s="76" t="s">
        <v>182</v>
      </c>
      <c r="N21" s="76" t="s">
        <v>180</v>
      </c>
      <c r="O21" s="64"/>
      <c r="P21" s="64"/>
      <c r="Q21" s="64"/>
    </row>
    <row r="22" spans="1:17" x14ac:dyDescent="0.25">
      <c r="A22" s="74">
        <v>19</v>
      </c>
      <c r="B22" s="75">
        <v>46314</v>
      </c>
      <c r="C22" s="88" t="s">
        <v>180</v>
      </c>
      <c r="D22" s="87" t="s">
        <v>180</v>
      </c>
      <c r="E22" s="76" t="s">
        <v>180</v>
      </c>
      <c r="F22" s="76"/>
      <c r="G22" s="84"/>
      <c r="H22" s="78" t="s">
        <v>180</v>
      </c>
      <c r="I22" s="78" t="s">
        <v>180</v>
      </c>
      <c r="J22" s="76" t="s">
        <v>180</v>
      </c>
      <c r="K22" s="76" t="s">
        <v>179</v>
      </c>
      <c r="L22" s="76" t="s">
        <v>180</v>
      </c>
      <c r="M22" s="76" t="s">
        <v>182</v>
      </c>
      <c r="N22" s="76" t="s">
        <v>180</v>
      </c>
      <c r="O22" s="64"/>
      <c r="P22" s="64"/>
      <c r="Q22" s="64"/>
    </row>
    <row r="23" spans="1:17" x14ac:dyDescent="0.25">
      <c r="A23" s="74">
        <v>20</v>
      </c>
      <c r="B23" s="75">
        <v>46315</v>
      </c>
      <c r="C23" s="89" t="s">
        <v>180</v>
      </c>
      <c r="D23" s="87" t="s">
        <v>180</v>
      </c>
      <c r="E23" s="76" t="s">
        <v>180</v>
      </c>
      <c r="F23" s="76"/>
      <c r="G23" s="84"/>
      <c r="H23" s="78" t="s">
        <v>180</v>
      </c>
      <c r="I23" s="78" t="s">
        <v>180</v>
      </c>
      <c r="J23" s="76" t="s">
        <v>180</v>
      </c>
      <c r="K23" s="76" t="s">
        <v>179</v>
      </c>
      <c r="L23" s="76" t="s">
        <v>180</v>
      </c>
      <c r="M23" s="76" t="s">
        <v>182</v>
      </c>
      <c r="N23" s="76" t="s">
        <v>180</v>
      </c>
      <c r="O23" s="64"/>
      <c r="P23" s="64"/>
      <c r="Q23" s="64"/>
    </row>
    <row r="24" spans="1:17" x14ac:dyDescent="0.25">
      <c r="A24" s="74">
        <v>21</v>
      </c>
      <c r="B24" s="75">
        <v>46316</v>
      </c>
      <c r="C24" s="90" t="s">
        <v>180</v>
      </c>
      <c r="D24" s="87" t="s">
        <v>180</v>
      </c>
      <c r="E24" s="76" t="s">
        <v>180</v>
      </c>
      <c r="F24" s="76" t="s">
        <v>180</v>
      </c>
      <c r="G24" s="76" t="s">
        <v>179</v>
      </c>
      <c r="H24" s="78" t="s">
        <v>180</v>
      </c>
      <c r="I24" s="78" t="s">
        <v>180</v>
      </c>
      <c r="J24" s="76" t="s">
        <v>180</v>
      </c>
      <c r="K24" s="76" t="s">
        <v>179</v>
      </c>
      <c r="L24" s="76" t="s">
        <v>180</v>
      </c>
      <c r="M24" s="76" t="s">
        <v>182</v>
      </c>
      <c r="N24" s="91" t="s">
        <v>180</v>
      </c>
      <c r="O24" s="64"/>
      <c r="P24" s="64"/>
      <c r="Q24" s="64"/>
    </row>
    <row r="25" spans="1:17" x14ac:dyDescent="0.25">
      <c r="A25" s="74">
        <v>22</v>
      </c>
      <c r="B25" s="75">
        <v>46317</v>
      </c>
      <c r="C25" s="85" t="s">
        <v>180</v>
      </c>
      <c r="D25" s="77" t="s">
        <v>180</v>
      </c>
      <c r="E25" s="76" t="s">
        <v>180</v>
      </c>
      <c r="F25" s="76" t="s">
        <v>180</v>
      </c>
      <c r="G25" s="76" t="s">
        <v>179</v>
      </c>
      <c r="H25" s="78" t="s">
        <v>180</v>
      </c>
      <c r="I25" s="78" t="s">
        <v>180</v>
      </c>
      <c r="J25" s="76" t="s">
        <v>180</v>
      </c>
      <c r="K25" s="76" t="s">
        <v>179</v>
      </c>
      <c r="L25" s="76" t="s">
        <v>180</v>
      </c>
      <c r="M25" s="76" t="s">
        <v>182</v>
      </c>
      <c r="N25" s="92" t="s">
        <v>180</v>
      </c>
      <c r="O25" s="64"/>
      <c r="P25" s="64"/>
      <c r="Q25" s="64"/>
    </row>
    <row r="26" spans="1:17" x14ac:dyDescent="0.25">
      <c r="A26" s="74">
        <v>23</v>
      </c>
      <c r="B26" s="75">
        <v>46318</v>
      </c>
      <c r="C26" s="91" t="s">
        <v>180</v>
      </c>
      <c r="D26" s="77" t="s">
        <v>180</v>
      </c>
      <c r="E26" s="76" t="s">
        <v>180</v>
      </c>
      <c r="F26" s="76" t="s">
        <v>180</v>
      </c>
      <c r="G26" s="76" t="s">
        <v>179</v>
      </c>
      <c r="H26" s="78" t="s">
        <v>180</v>
      </c>
      <c r="I26" s="78" t="s">
        <v>180</v>
      </c>
      <c r="J26" s="76" t="s">
        <v>180</v>
      </c>
      <c r="K26" s="76" t="s">
        <v>179</v>
      </c>
      <c r="L26" s="76" t="s">
        <v>180</v>
      </c>
      <c r="M26" s="76" t="s">
        <v>182</v>
      </c>
      <c r="N26" s="92" t="s">
        <v>180</v>
      </c>
      <c r="O26" s="64"/>
      <c r="P26" s="64"/>
      <c r="Q26" s="64"/>
    </row>
    <row r="27" spans="1:17" x14ac:dyDescent="0.25">
      <c r="A27" s="74">
        <v>24</v>
      </c>
      <c r="B27" s="75">
        <v>46319</v>
      </c>
      <c r="C27" s="92" t="s">
        <v>180</v>
      </c>
      <c r="D27" s="77" t="s">
        <v>180</v>
      </c>
      <c r="E27" s="76" t="s">
        <v>180</v>
      </c>
      <c r="F27" s="76" t="s">
        <v>180</v>
      </c>
      <c r="G27" s="76" t="s">
        <v>179</v>
      </c>
      <c r="H27" s="78" t="s">
        <v>180</v>
      </c>
      <c r="I27" s="78" t="s">
        <v>180</v>
      </c>
      <c r="J27" s="76" t="s">
        <v>180</v>
      </c>
      <c r="K27" s="76" t="s">
        <v>179</v>
      </c>
      <c r="L27" s="76" t="s">
        <v>180</v>
      </c>
      <c r="M27" s="76" t="s">
        <v>182</v>
      </c>
      <c r="N27" s="92" t="s">
        <v>180</v>
      </c>
      <c r="O27" s="64"/>
      <c r="P27" s="64"/>
      <c r="Q27" s="64"/>
    </row>
    <row r="28" spans="1:17" x14ac:dyDescent="0.25">
      <c r="A28" s="74">
        <v>25</v>
      </c>
      <c r="B28" s="75">
        <v>46320</v>
      </c>
      <c r="C28" s="85" t="s">
        <v>180</v>
      </c>
      <c r="D28" s="77" t="s">
        <v>180</v>
      </c>
      <c r="E28" s="76" t="s">
        <v>180</v>
      </c>
      <c r="F28" s="76" t="s">
        <v>180</v>
      </c>
      <c r="G28" s="76" t="s">
        <v>179</v>
      </c>
      <c r="H28" s="78" t="s">
        <v>180</v>
      </c>
      <c r="I28" s="78" t="s">
        <v>180</v>
      </c>
      <c r="J28" s="76" t="s">
        <v>180</v>
      </c>
      <c r="K28" s="76" t="s">
        <v>179</v>
      </c>
      <c r="L28" s="76" t="s">
        <v>180</v>
      </c>
      <c r="M28" s="76" t="s">
        <v>182</v>
      </c>
      <c r="N28" s="85" t="s">
        <v>180</v>
      </c>
      <c r="O28" s="64"/>
      <c r="P28" s="64"/>
      <c r="Q28" s="64"/>
    </row>
    <row r="29" spans="1:17" x14ac:dyDescent="0.25">
      <c r="A29" s="74">
        <v>26</v>
      </c>
      <c r="B29" s="75">
        <v>46321</v>
      </c>
      <c r="C29" s="76" t="s">
        <v>180</v>
      </c>
      <c r="D29" s="77" t="s">
        <v>180</v>
      </c>
      <c r="E29" s="76" t="s">
        <v>180</v>
      </c>
      <c r="F29" s="76" t="s">
        <v>180</v>
      </c>
      <c r="G29" s="76" t="s">
        <v>179</v>
      </c>
      <c r="H29" s="78" t="s">
        <v>180</v>
      </c>
      <c r="I29" s="78" t="s">
        <v>180</v>
      </c>
      <c r="J29" s="76" t="s">
        <v>180</v>
      </c>
      <c r="K29" s="76" t="s">
        <v>179</v>
      </c>
      <c r="L29" s="76" t="s">
        <v>180</v>
      </c>
      <c r="M29" s="76" t="s">
        <v>182</v>
      </c>
      <c r="N29" s="76" t="s">
        <v>180</v>
      </c>
      <c r="O29" s="64"/>
      <c r="P29" s="64"/>
      <c r="Q29" s="64"/>
    </row>
    <row r="30" spans="1:17" x14ac:dyDescent="0.25">
      <c r="A30" s="74">
        <v>27</v>
      </c>
      <c r="B30" s="75">
        <v>46322</v>
      </c>
      <c r="C30" s="76" t="s">
        <v>180</v>
      </c>
      <c r="D30" s="77" t="s">
        <v>180</v>
      </c>
      <c r="E30" s="76" t="s">
        <v>180</v>
      </c>
      <c r="F30" s="76" t="s">
        <v>180</v>
      </c>
      <c r="G30" s="76" t="s">
        <v>179</v>
      </c>
      <c r="H30" s="78" t="s">
        <v>180</v>
      </c>
      <c r="I30" s="78" t="s">
        <v>180</v>
      </c>
      <c r="J30" s="76" t="s">
        <v>180</v>
      </c>
      <c r="K30" s="76" t="s">
        <v>179</v>
      </c>
      <c r="L30" s="76" t="s">
        <v>180</v>
      </c>
      <c r="M30" s="76" t="s">
        <v>182</v>
      </c>
      <c r="N30" s="76" t="s">
        <v>180</v>
      </c>
      <c r="O30" s="64"/>
      <c r="P30" s="64"/>
      <c r="Q30" s="64"/>
    </row>
    <row r="31" spans="1:17" x14ac:dyDescent="0.25">
      <c r="A31" s="74">
        <v>28</v>
      </c>
      <c r="B31" s="75">
        <v>46323</v>
      </c>
      <c r="C31" s="76" t="s">
        <v>180</v>
      </c>
      <c r="D31" s="77" t="s">
        <v>180</v>
      </c>
      <c r="E31" s="76" t="s">
        <v>180</v>
      </c>
      <c r="F31" s="76" t="s">
        <v>180</v>
      </c>
      <c r="G31" s="76" t="s">
        <v>179</v>
      </c>
      <c r="H31" s="78" t="s">
        <v>180</v>
      </c>
      <c r="I31" s="78" t="s">
        <v>180</v>
      </c>
      <c r="J31" s="76" t="s">
        <v>180</v>
      </c>
      <c r="K31" s="76" t="s">
        <v>179</v>
      </c>
      <c r="L31" s="76" t="s">
        <v>180</v>
      </c>
      <c r="M31" s="76" t="s">
        <v>182</v>
      </c>
      <c r="N31" s="76" t="s">
        <v>180</v>
      </c>
      <c r="O31" s="64"/>
      <c r="P31" s="64"/>
      <c r="Q31" s="64"/>
    </row>
    <row r="32" spans="1:17" x14ac:dyDescent="0.25">
      <c r="A32" s="74">
        <v>29</v>
      </c>
      <c r="B32" s="75">
        <v>46324</v>
      </c>
      <c r="C32" s="76" t="s">
        <v>180</v>
      </c>
      <c r="D32" s="77" t="s">
        <v>180</v>
      </c>
      <c r="E32" s="76" t="s">
        <v>180</v>
      </c>
      <c r="F32" s="76" t="s">
        <v>180</v>
      </c>
      <c r="G32" s="76" t="s">
        <v>179</v>
      </c>
      <c r="H32" s="78" t="s">
        <v>180</v>
      </c>
      <c r="I32" s="78" t="s">
        <v>180</v>
      </c>
      <c r="J32" s="76" t="s">
        <v>180</v>
      </c>
      <c r="K32" s="76" t="s">
        <v>179</v>
      </c>
      <c r="L32" s="76" t="s">
        <v>180</v>
      </c>
      <c r="M32" s="76" t="s">
        <v>180</v>
      </c>
      <c r="N32" s="76" t="s">
        <v>180</v>
      </c>
      <c r="O32" s="64"/>
      <c r="P32" s="64"/>
      <c r="Q32" s="64"/>
    </row>
    <row r="33" spans="1:17" x14ac:dyDescent="0.25">
      <c r="A33" s="74">
        <v>30</v>
      </c>
      <c r="B33" s="75">
        <v>46325</v>
      </c>
      <c r="C33" s="76" t="s">
        <v>180</v>
      </c>
      <c r="D33" s="77" t="s">
        <v>180</v>
      </c>
      <c r="E33" s="76" t="s">
        <v>180</v>
      </c>
      <c r="F33" s="76" t="s">
        <v>180</v>
      </c>
      <c r="G33" s="76" t="s">
        <v>179</v>
      </c>
      <c r="H33" s="78" t="s">
        <v>180</v>
      </c>
      <c r="I33" s="78" t="s">
        <v>180</v>
      </c>
      <c r="J33" s="76" t="s">
        <v>180</v>
      </c>
      <c r="K33" s="76" t="s">
        <v>179</v>
      </c>
      <c r="L33" s="76" t="s">
        <v>180</v>
      </c>
      <c r="M33" s="76" t="s">
        <v>182</v>
      </c>
      <c r="N33" s="76" t="s">
        <v>180</v>
      </c>
      <c r="O33" s="64"/>
      <c r="P33" s="64"/>
      <c r="Q33" s="64"/>
    </row>
    <row r="34" spans="1:17" x14ac:dyDescent="0.25">
      <c r="A34" s="74">
        <v>31</v>
      </c>
      <c r="B34" s="75">
        <v>46326</v>
      </c>
      <c r="C34" s="76" t="s">
        <v>180</v>
      </c>
      <c r="D34" s="77" t="s">
        <v>180</v>
      </c>
      <c r="E34" s="76" t="s">
        <v>180</v>
      </c>
      <c r="F34" s="76" t="s">
        <v>180</v>
      </c>
      <c r="G34" s="76" t="s">
        <v>179</v>
      </c>
      <c r="H34" s="78" t="s">
        <v>180</v>
      </c>
      <c r="I34" s="78" t="s">
        <v>180</v>
      </c>
      <c r="J34" s="76" t="s">
        <v>180</v>
      </c>
      <c r="K34" s="76" t="s">
        <v>179</v>
      </c>
      <c r="L34" s="76" t="s">
        <v>180</v>
      </c>
      <c r="M34" s="76" t="s">
        <v>182</v>
      </c>
      <c r="N34" s="76" t="s">
        <v>180</v>
      </c>
      <c r="O34" s="64"/>
      <c r="P34" s="64"/>
      <c r="Q34" s="64"/>
    </row>
    <row r="35" spans="1:17" x14ac:dyDescent="0.25">
      <c r="A35" s="74">
        <v>32</v>
      </c>
      <c r="B35" s="75">
        <v>46327</v>
      </c>
      <c r="C35" s="76" t="s">
        <v>180</v>
      </c>
      <c r="D35" s="77" t="s">
        <v>180</v>
      </c>
      <c r="E35" s="76" t="s">
        <v>180</v>
      </c>
      <c r="F35" s="76" t="s">
        <v>180</v>
      </c>
      <c r="G35" s="76" t="s">
        <v>179</v>
      </c>
      <c r="H35" s="78" t="s">
        <v>180</v>
      </c>
      <c r="I35" s="78" t="s">
        <v>180</v>
      </c>
      <c r="J35" s="76" t="s">
        <v>180</v>
      </c>
      <c r="K35" s="76" t="s">
        <v>179</v>
      </c>
      <c r="L35" s="76" t="s">
        <v>180</v>
      </c>
      <c r="M35" s="76" t="s">
        <v>182</v>
      </c>
      <c r="N35" s="76" t="s">
        <v>180</v>
      </c>
      <c r="O35" s="64"/>
      <c r="P35" s="64"/>
      <c r="Q35" s="64"/>
    </row>
    <row r="36" spans="1:17" x14ac:dyDescent="0.25">
      <c r="A36" s="74">
        <v>33</v>
      </c>
      <c r="B36" s="75">
        <v>46328</v>
      </c>
      <c r="C36" s="76" t="s">
        <v>180</v>
      </c>
      <c r="D36" s="77" t="s">
        <v>180</v>
      </c>
      <c r="E36" s="76" t="s">
        <v>180</v>
      </c>
      <c r="F36" s="76" t="s">
        <v>180</v>
      </c>
      <c r="G36" s="76" t="s">
        <v>179</v>
      </c>
      <c r="H36" s="78" t="s">
        <v>180</v>
      </c>
      <c r="I36" s="78" t="s">
        <v>180</v>
      </c>
      <c r="J36" s="76" t="s">
        <v>180</v>
      </c>
      <c r="K36" s="76" t="s">
        <v>179</v>
      </c>
      <c r="L36" s="76" t="s">
        <v>180</v>
      </c>
      <c r="M36" s="76" t="s">
        <v>182</v>
      </c>
      <c r="N36" s="76" t="s">
        <v>180</v>
      </c>
      <c r="O36" s="64"/>
      <c r="P36" s="64"/>
      <c r="Q36" s="64"/>
    </row>
    <row r="37" spans="1:17" x14ac:dyDescent="0.25">
      <c r="A37" s="74">
        <v>34</v>
      </c>
      <c r="B37" s="93" t="s">
        <v>180</v>
      </c>
      <c r="C37" s="76" t="s">
        <v>180</v>
      </c>
      <c r="D37" s="77" t="s">
        <v>180</v>
      </c>
      <c r="E37" s="76" t="s">
        <v>180</v>
      </c>
      <c r="F37" s="76" t="s">
        <v>180</v>
      </c>
      <c r="G37" s="76" t="s">
        <v>179</v>
      </c>
      <c r="H37" s="78" t="s">
        <v>180</v>
      </c>
      <c r="I37" s="78" t="s">
        <v>180</v>
      </c>
      <c r="J37" s="76" t="s">
        <v>180</v>
      </c>
      <c r="K37" s="76" t="s">
        <v>179</v>
      </c>
      <c r="L37" s="76" t="s">
        <v>180</v>
      </c>
      <c r="M37" s="76" t="s">
        <v>182</v>
      </c>
      <c r="N37" s="76" t="s">
        <v>180</v>
      </c>
      <c r="O37" s="64"/>
      <c r="P37" s="64"/>
      <c r="Q37" s="64"/>
    </row>
    <row r="38" spans="1:17" x14ac:dyDescent="0.25">
      <c r="A38" s="74">
        <v>35</v>
      </c>
      <c r="B38" s="93" t="s">
        <v>180</v>
      </c>
      <c r="C38" s="76" t="s">
        <v>180</v>
      </c>
      <c r="D38" s="77" t="s">
        <v>180</v>
      </c>
      <c r="E38" s="76" t="s">
        <v>180</v>
      </c>
      <c r="F38" s="76" t="s">
        <v>180</v>
      </c>
      <c r="G38" s="76" t="s">
        <v>180</v>
      </c>
      <c r="H38" s="78" t="s">
        <v>180</v>
      </c>
      <c r="I38" s="78" t="s">
        <v>180</v>
      </c>
      <c r="J38" s="76" t="s">
        <v>180</v>
      </c>
      <c r="K38" s="76" t="s">
        <v>179</v>
      </c>
      <c r="L38" s="76" t="s">
        <v>180</v>
      </c>
      <c r="M38" s="76" t="s">
        <v>182</v>
      </c>
      <c r="N38" s="76" t="s">
        <v>180</v>
      </c>
      <c r="O38" s="64"/>
      <c r="P38" s="64"/>
      <c r="Q38" s="64"/>
    </row>
    <row r="39" spans="1:17" x14ac:dyDescent="0.25">
      <c r="A39" s="74">
        <v>36</v>
      </c>
      <c r="B39" s="93" t="s">
        <v>180</v>
      </c>
      <c r="C39" s="76" t="s">
        <v>180</v>
      </c>
      <c r="D39" s="77" t="s">
        <v>180</v>
      </c>
      <c r="E39" s="76" t="s">
        <v>180</v>
      </c>
      <c r="F39" s="76" t="s">
        <v>180</v>
      </c>
      <c r="G39" s="76" t="s">
        <v>180</v>
      </c>
      <c r="H39" s="78" t="s">
        <v>180</v>
      </c>
      <c r="I39" s="78" t="s">
        <v>180</v>
      </c>
      <c r="J39" s="76" t="s">
        <v>180</v>
      </c>
      <c r="K39" s="76" t="s">
        <v>180</v>
      </c>
      <c r="L39" s="76" t="s">
        <v>180</v>
      </c>
      <c r="M39" s="76" t="s">
        <v>182</v>
      </c>
      <c r="N39" s="76" t="s">
        <v>180</v>
      </c>
      <c r="O39" s="64"/>
      <c r="P39" s="64"/>
      <c r="Q39" s="64"/>
    </row>
    <row r="40" spans="1:17" x14ac:dyDescent="0.25">
      <c r="A40" s="74">
        <v>37</v>
      </c>
      <c r="B40" s="93" t="s">
        <v>180</v>
      </c>
      <c r="C40" s="76" t="s">
        <v>180</v>
      </c>
      <c r="D40" s="77" t="s">
        <v>180</v>
      </c>
      <c r="E40" s="76" t="s">
        <v>180</v>
      </c>
      <c r="F40" s="76" t="s">
        <v>180</v>
      </c>
      <c r="G40" s="76" t="s">
        <v>180</v>
      </c>
      <c r="H40" s="78" t="s">
        <v>180</v>
      </c>
      <c r="I40" s="78" t="s">
        <v>180</v>
      </c>
      <c r="J40" s="76" t="s">
        <v>180</v>
      </c>
      <c r="K40" s="76" t="s">
        <v>180</v>
      </c>
      <c r="L40" s="79" t="s">
        <v>180</v>
      </c>
      <c r="M40" s="82" t="s">
        <v>182</v>
      </c>
      <c r="N40" s="76" t="s">
        <v>180</v>
      </c>
      <c r="O40" s="64"/>
      <c r="P40" s="64"/>
      <c r="Q40" s="64"/>
    </row>
    <row r="41" spans="1:17" x14ac:dyDescent="0.25">
      <c r="A41" s="74">
        <v>38</v>
      </c>
      <c r="B41" s="93" t="s">
        <v>180</v>
      </c>
      <c r="C41" s="76" t="s">
        <v>180</v>
      </c>
      <c r="D41" s="77" t="s">
        <v>180</v>
      </c>
      <c r="E41" s="76" t="s">
        <v>180</v>
      </c>
      <c r="F41" s="76" t="s">
        <v>180</v>
      </c>
      <c r="G41" s="76" t="s">
        <v>180</v>
      </c>
      <c r="H41" s="78" t="s">
        <v>180</v>
      </c>
      <c r="I41" s="78" t="s">
        <v>180</v>
      </c>
      <c r="J41" s="76" t="s">
        <v>180</v>
      </c>
      <c r="K41" s="76" t="s">
        <v>180</v>
      </c>
      <c r="L41" s="79" t="s">
        <v>180</v>
      </c>
      <c r="M41" s="82" t="s">
        <v>180</v>
      </c>
      <c r="N41" s="76" t="s">
        <v>180</v>
      </c>
      <c r="O41" s="64"/>
      <c r="P41" s="64"/>
      <c r="Q41" s="64"/>
    </row>
    <row r="42" spans="1:17" x14ac:dyDescent="0.25">
      <c r="A42" s="74">
        <v>39</v>
      </c>
      <c r="B42" s="93" t="s">
        <v>180</v>
      </c>
      <c r="C42" s="76" t="s">
        <v>180</v>
      </c>
      <c r="D42" s="77" t="s">
        <v>180</v>
      </c>
      <c r="E42" s="76" t="s">
        <v>180</v>
      </c>
      <c r="F42" s="76" t="s">
        <v>180</v>
      </c>
      <c r="G42" s="76" t="s">
        <v>180</v>
      </c>
      <c r="H42" s="78" t="s">
        <v>180</v>
      </c>
      <c r="I42" s="78" t="s">
        <v>180</v>
      </c>
      <c r="J42" s="76" t="s">
        <v>180</v>
      </c>
      <c r="K42" s="76" t="s">
        <v>180</v>
      </c>
      <c r="L42" s="79" t="s">
        <v>180</v>
      </c>
      <c r="M42" s="82" t="s">
        <v>180</v>
      </c>
      <c r="N42" s="76" t="s">
        <v>180</v>
      </c>
      <c r="O42" s="64"/>
      <c r="P42" s="64"/>
      <c r="Q42" s="64"/>
    </row>
    <row r="43" spans="1:17" x14ac:dyDescent="0.25">
      <c r="A43" s="74">
        <v>40</v>
      </c>
      <c r="B43" s="93" t="s">
        <v>180</v>
      </c>
      <c r="C43" s="76" t="s">
        <v>180</v>
      </c>
      <c r="D43" s="77" t="s">
        <v>180</v>
      </c>
      <c r="E43" s="76" t="s">
        <v>180</v>
      </c>
      <c r="F43" s="76" t="s">
        <v>180</v>
      </c>
      <c r="G43" s="76" t="s">
        <v>180</v>
      </c>
      <c r="H43" s="78" t="s">
        <v>180</v>
      </c>
      <c r="I43" s="78" t="s">
        <v>180</v>
      </c>
      <c r="J43" s="76" t="s">
        <v>180</v>
      </c>
      <c r="K43" s="76" t="s">
        <v>180</v>
      </c>
      <c r="L43" s="79" t="s">
        <v>180</v>
      </c>
      <c r="M43" s="82" t="s">
        <v>180</v>
      </c>
      <c r="N43" s="76" t="s">
        <v>180</v>
      </c>
      <c r="O43" s="64"/>
      <c r="P43" s="64"/>
      <c r="Q43" s="64"/>
    </row>
    <row r="44" spans="1:17" x14ac:dyDescent="0.25">
      <c r="A44" s="74">
        <v>41</v>
      </c>
      <c r="B44" s="93" t="s">
        <v>180</v>
      </c>
      <c r="C44" s="76" t="s">
        <v>180</v>
      </c>
      <c r="D44" s="77" t="s">
        <v>180</v>
      </c>
      <c r="E44" s="76" t="s">
        <v>180</v>
      </c>
      <c r="F44" s="76" t="s">
        <v>180</v>
      </c>
      <c r="G44" s="76" t="s">
        <v>180</v>
      </c>
      <c r="H44" s="78" t="s">
        <v>180</v>
      </c>
      <c r="I44" s="78" t="s">
        <v>180</v>
      </c>
      <c r="J44" s="76" t="s">
        <v>180</v>
      </c>
      <c r="K44" s="76" t="s">
        <v>180</v>
      </c>
      <c r="L44" s="79" t="s">
        <v>180</v>
      </c>
      <c r="M44" s="82" t="s">
        <v>180</v>
      </c>
      <c r="N44" s="76" t="s">
        <v>180</v>
      </c>
      <c r="O44" s="64"/>
      <c r="P44" s="64"/>
      <c r="Q44" s="64"/>
    </row>
    <row r="45" spans="1:17" x14ac:dyDescent="0.25">
      <c r="A45" s="74">
        <v>42</v>
      </c>
      <c r="B45" s="93" t="s">
        <v>180</v>
      </c>
      <c r="C45" s="76" t="s">
        <v>180</v>
      </c>
      <c r="D45" s="77" t="s">
        <v>180</v>
      </c>
      <c r="E45" s="76" t="s">
        <v>180</v>
      </c>
      <c r="F45" s="76" t="s">
        <v>180</v>
      </c>
      <c r="G45" s="76" t="s">
        <v>180</v>
      </c>
      <c r="H45" s="78" t="s">
        <v>180</v>
      </c>
      <c r="I45" s="78" t="s">
        <v>180</v>
      </c>
      <c r="J45" s="76" t="s">
        <v>180</v>
      </c>
      <c r="K45" s="76" t="s">
        <v>180</v>
      </c>
      <c r="L45" s="79" t="s">
        <v>180</v>
      </c>
      <c r="M45" s="82" t="s">
        <v>180</v>
      </c>
      <c r="N45" s="76" t="s">
        <v>180</v>
      </c>
      <c r="O45" s="64"/>
      <c r="P45" s="64"/>
      <c r="Q45" s="64"/>
    </row>
    <row r="46" spans="1:17" x14ac:dyDescent="0.25">
      <c r="A46" s="74">
        <v>43</v>
      </c>
      <c r="B46" s="93" t="s">
        <v>180</v>
      </c>
      <c r="C46" s="76" t="s">
        <v>180</v>
      </c>
      <c r="D46" s="77" t="s">
        <v>180</v>
      </c>
      <c r="E46" s="76" t="s">
        <v>180</v>
      </c>
      <c r="F46" s="76" t="s">
        <v>180</v>
      </c>
      <c r="G46" s="76" t="s">
        <v>180</v>
      </c>
      <c r="H46" s="78" t="s">
        <v>180</v>
      </c>
      <c r="I46" s="78" t="s">
        <v>180</v>
      </c>
      <c r="J46" s="76" t="s">
        <v>180</v>
      </c>
      <c r="K46" s="76" t="s">
        <v>180</v>
      </c>
      <c r="L46" s="79" t="s">
        <v>180</v>
      </c>
      <c r="M46" s="82" t="s">
        <v>180</v>
      </c>
      <c r="N46" s="91" t="s">
        <v>180</v>
      </c>
      <c r="O46" s="64">
        <v>2669494</v>
      </c>
      <c r="P46" s="94">
        <v>2669494</v>
      </c>
      <c r="Q46" s="64"/>
    </row>
    <row r="47" spans="1:17" x14ac:dyDescent="0.25">
      <c r="A47" s="95"/>
      <c r="B47" s="74" t="s">
        <v>180</v>
      </c>
      <c r="C47" s="96"/>
      <c r="D47" s="97"/>
      <c r="E47" s="82" t="s">
        <v>183</v>
      </c>
      <c r="F47" s="76" t="s">
        <v>181</v>
      </c>
      <c r="G47" s="76" t="s">
        <v>179</v>
      </c>
      <c r="H47" s="76" t="s">
        <v>180</v>
      </c>
      <c r="I47" s="76" t="s">
        <v>180</v>
      </c>
      <c r="J47" s="76" t="s">
        <v>181</v>
      </c>
      <c r="K47" s="76" t="s">
        <v>179</v>
      </c>
      <c r="L47" s="96"/>
      <c r="M47" s="82" t="s">
        <v>182</v>
      </c>
      <c r="N47" s="85" t="s">
        <v>180</v>
      </c>
      <c r="O47" s="64"/>
      <c r="P47" s="64"/>
      <c r="Q47" s="64"/>
    </row>
    <row r="48" spans="1:17" x14ac:dyDescent="0.25">
      <c r="A48" s="98" t="s">
        <v>180</v>
      </c>
      <c r="B48" s="99" t="s">
        <v>180</v>
      </c>
      <c r="C48" s="100" t="s">
        <v>180</v>
      </c>
      <c r="D48" s="100" t="s">
        <v>180</v>
      </c>
      <c r="E48" s="100">
        <v>150</v>
      </c>
      <c r="F48" s="100" t="s">
        <v>180</v>
      </c>
      <c r="G48" s="101">
        <v>15564</v>
      </c>
      <c r="H48" s="100" t="s">
        <v>181</v>
      </c>
      <c r="I48" s="100" t="s">
        <v>180</v>
      </c>
      <c r="J48" s="100" t="s">
        <v>181</v>
      </c>
      <c r="K48" s="101">
        <v>15564</v>
      </c>
      <c r="L48" s="101">
        <v>15564</v>
      </c>
      <c r="M48" s="102" t="s">
        <v>180</v>
      </c>
      <c r="N48" s="103" t="s">
        <v>180</v>
      </c>
      <c r="O48" s="64"/>
      <c r="P48" s="64"/>
      <c r="Q48" s="64"/>
    </row>
    <row r="49" spans="1:17" x14ac:dyDescent="0.25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64"/>
      <c r="P49" s="64"/>
      <c r="Q49" s="64"/>
    </row>
    <row r="50" spans="1:17" x14ac:dyDescent="0.25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64"/>
      <c r="P50" s="64"/>
      <c r="Q50" s="64"/>
    </row>
    <row r="51" spans="1:17" x14ac:dyDescent="0.25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64"/>
      <c r="P51" s="64"/>
      <c r="Q51" s="64"/>
    </row>
    <row r="52" spans="1:17" x14ac:dyDescent="0.25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</row>
    <row r="53" spans="1:17" x14ac:dyDescent="0.25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</row>
    <row r="54" spans="1:17" x14ac:dyDescent="0.25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</row>
    <row r="55" spans="1:17" x14ac:dyDescent="0.25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</row>
    <row r="56" spans="1:17" x14ac:dyDescent="0.25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</row>
    <row r="57" spans="1:17" x14ac:dyDescent="0.25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>
        <v>2408309</v>
      </c>
      <c r="N57" s="64"/>
      <c r="O57" s="64"/>
      <c r="P57" s="64"/>
      <c r="Q57" s="64"/>
    </row>
    <row r="58" spans="1:17" x14ac:dyDescent="0.25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>
        <v>5327.86</v>
      </c>
      <c r="N58" s="64"/>
      <c r="O58" s="64"/>
      <c r="P58" s="64"/>
      <c r="Q58" s="64"/>
    </row>
    <row r="59" spans="1:17" x14ac:dyDescent="0.25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104">
        <v>2402981.14</v>
      </c>
      <c r="N59" s="64"/>
      <c r="O59" s="64"/>
      <c r="P59" s="64"/>
      <c r="Q59" s="64"/>
    </row>
  </sheetData>
  <mergeCells count="2">
    <mergeCell ref="A1:N1"/>
    <mergeCell ref="A3:J3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P35"/>
  <sheetViews>
    <sheetView workbookViewId="0" zoomScale="100" zoomScaleNormal="100">
      <pane ySplit="3" topLeftCell="A9" activePane="bottomLeft" state="frozen"/>
      <selection pane="bottomLeft" activeCell="E19" sqref="E19"/>
    </sheetView>
  </sheetViews>
  <sheetFormatPr defaultRowHeight="15" outlineLevelRow="0" outlineLevelCol="0" x14ac:dyDescent="0"/>
  <cols>
    <col min="2" max="2" width="12.5703125" customWidth="1"/>
    <col min="5" max="5" width="12.7109375" customWidth="1"/>
    <col min="7" max="7" width="10.42578125" customWidth="1"/>
    <col min="8" max="8" width="11.5703125" customWidth="1"/>
    <col min="11" max="11" width="13.5703125" customWidth="1"/>
    <col min="12" max="12" width="12.42578125" customWidth="1"/>
    <col min="13" max="13" width="10.5703125" customWidth="1"/>
    <col min="18" max="18" width="9.28515625" customWidth="1"/>
  </cols>
  <sheetData>
    <row r="1" ht="15.75" customHeight="1" spans="1:14" x14ac:dyDescent="0.25">
      <c r="A1" s="509" t="s">
        <v>223</v>
      </c>
      <c r="B1" s="510"/>
      <c r="C1" s="510"/>
      <c r="D1" s="510"/>
      <c r="E1" s="510"/>
      <c r="F1" s="510"/>
      <c r="G1" s="510"/>
      <c r="H1" s="510"/>
      <c r="I1" s="510"/>
      <c r="J1" s="510"/>
      <c r="K1" s="510"/>
      <c r="L1" s="510"/>
      <c r="M1" s="510"/>
      <c r="N1" s="511"/>
    </row>
    <row r="2" ht="21" customHeight="1" spans="1:14" x14ac:dyDescent="0.25">
      <c r="A2" s="106" t="s">
        <v>0</v>
      </c>
      <c r="B2" s="512" t="s">
        <v>167</v>
      </c>
      <c r="C2" s="512" t="s">
        <v>168</v>
      </c>
      <c r="D2" s="512" t="s">
        <v>189</v>
      </c>
      <c r="E2" s="512" t="s">
        <v>170</v>
      </c>
      <c r="F2" s="512" t="s">
        <v>171</v>
      </c>
      <c r="G2" s="512" t="s">
        <v>172</v>
      </c>
      <c r="H2" s="512" t="s">
        <v>173</v>
      </c>
      <c r="I2" s="512" t="s">
        <v>171</v>
      </c>
      <c r="J2" s="512" t="s">
        <v>172</v>
      </c>
      <c r="K2" s="364" t="s">
        <v>174</v>
      </c>
      <c r="L2" s="364" t="s">
        <v>175</v>
      </c>
      <c r="M2" s="364" t="s">
        <v>190</v>
      </c>
      <c r="N2" s="512" t="s">
        <v>177</v>
      </c>
    </row>
    <row r="3" spans="1:14" x14ac:dyDescent="0.25">
      <c r="A3" s="513" t="s">
        <v>178</v>
      </c>
      <c r="B3" s="514"/>
      <c r="C3" s="514"/>
      <c r="D3" s="514"/>
      <c r="E3" s="514"/>
      <c r="F3" s="514"/>
      <c r="G3" s="514"/>
      <c r="H3" s="514"/>
      <c r="I3" s="514"/>
      <c r="J3" s="514"/>
      <c r="K3" s="514"/>
      <c r="L3" s="515"/>
      <c r="M3" s="513">
        <v>703648.01</v>
      </c>
      <c r="N3" s="515"/>
    </row>
    <row r="4" spans="1:14" x14ac:dyDescent="0.25">
      <c r="A4" s="183">
        <v>1</v>
      </c>
      <c r="B4" s="184">
        <v>46296</v>
      </c>
      <c r="C4" s="118"/>
      <c r="D4" s="118"/>
      <c r="E4" s="187">
        <v>836.14</v>
      </c>
      <c r="F4" s="195">
        <v>99.13</v>
      </c>
      <c r="G4" s="118">
        <f>E4*F4</f>
        <v>82886.5582</v>
      </c>
      <c r="H4" s="118"/>
      <c r="I4" s="118"/>
      <c r="J4" s="118">
        <f>H4*I4</f>
        <v>0</v>
      </c>
      <c r="K4" s="118">
        <f>G4+J4</f>
        <v>82886.5582</v>
      </c>
      <c r="L4" s="118"/>
      <c r="M4" s="118">
        <f>M3+K4-L4</f>
        <v>786534.5682</v>
      </c>
      <c r="N4" s="118"/>
    </row>
    <row r="5" spans="1:14" x14ac:dyDescent="0.25">
      <c r="A5" s="189">
        <v>2</v>
      </c>
      <c r="B5" s="184">
        <v>46297</v>
      </c>
      <c r="C5" s="118"/>
      <c r="D5" s="118"/>
      <c r="E5" s="187"/>
      <c r="F5" s="195"/>
      <c r="G5" s="118">
        <f t="shared" ref="G5:G34" si="0">E5*F5</f>
        <v>0</v>
      </c>
      <c r="H5" s="118"/>
      <c r="I5" s="118"/>
      <c r="J5" s="118">
        <f t="shared" ref="J5:J34" si="1">H5*I5</f>
        <v>0</v>
      </c>
      <c r="K5" s="118">
        <f t="shared" ref="K5:K34" si="2">G5+J5</f>
        <v>0</v>
      </c>
      <c r="L5" s="118"/>
      <c r="M5" s="118">
        <f t="shared" ref="M5:M32" si="3">M4+K5-L5</f>
        <v>786534.5682</v>
      </c>
      <c r="N5" s="118"/>
    </row>
    <row r="6" spans="1:14" x14ac:dyDescent="0.25">
      <c r="A6" s="183">
        <v>3</v>
      </c>
      <c r="B6" s="184">
        <v>46298</v>
      </c>
      <c r="C6" s="118"/>
      <c r="D6" s="118"/>
      <c r="E6" s="187">
        <v>200</v>
      </c>
      <c r="F6" s="195">
        <v>99.13</v>
      </c>
      <c r="G6" s="118">
        <f t="shared" si="0"/>
        <v>19826</v>
      </c>
      <c r="H6" s="118"/>
      <c r="I6" s="118"/>
      <c r="J6" s="118">
        <f t="shared" si="1"/>
        <v>0</v>
      </c>
      <c r="K6" s="118">
        <f>G6+J6</f>
        <v>19826</v>
      </c>
      <c r="L6" s="118"/>
      <c r="M6" s="118">
        <f t="shared" si="3"/>
        <v>806360.5682</v>
      </c>
      <c r="N6" s="118"/>
    </row>
    <row r="7" spans="1:14" x14ac:dyDescent="0.25">
      <c r="A7" s="189">
        <v>4</v>
      </c>
      <c r="B7" s="184">
        <v>46299</v>
      </c>
      <c r="C7" s="118"/>
      <c r="D7" s="118"/>
      <c r="E7" s="195">
        <v>1000</v>
      </c>
      <c r="F7" s="195">
        <v>99.13</v>
      </c>
      <c r="G7" s="118">
        <f t="shared" si="0"/>
        <v>99130</v>
      </c>
      <c r="H7" s="118"/>
      <c r="I7" s="118"/>
      <c r="J7" s="118">
        <f t="shared" si="1"/>
        <v>0</v>
      </c>
      <c r="K7" s="118">
        <f t="shared" si="2"/>
        <v>99130</v>
      </c>
      <c r="L7" s="118"/>
      <c r="M7" s="118">
        <f t="shared" si="3"/>
        <v>905490.5682</v>
      </c>
      <c r="N7" s="118"/>
    </row>
    <row r="8" spans="1:14" x14ac:dyDescent="0.25">
      <c r="A8" s="183">
        <v>5</v>
      </c>
      <c r="B8" s="184">
        <v>46300</v>
      </c>
      <c r="C8" s="118"/>
      <c r="D8" s="118"/>
      <c r="E8" s="187"/>
      <c r="F8" s="195"/>
      <c r="G8" s="118">
        <f t="shared" si="0"/>
        <v>0</v>
      </c>
      <c r="H8" s="118"/>
      <c r="I8" s="118"/>
      <c r="J8" s="118">
        <f t="shared" si="1"/>
        <v>0</v>
      </c>
      <c r="K8" s="118">
        <f t="shared" si="2"/>
        <v>0</v>
      </c>
      <c r="L8" s="118"/>
      <c r="M8" s="118">
        <f t="shared" si="3"/>
        <v>905490.5682</v>
      </c>
      <c r="N8" s="118"/>
    </row>
    <row r="9" spans="1:14" x14ac:dyDescent="0.25">
      <c r="A9" s="189">
        <v>6</v>
      </c>
      <c r="B9" s="184">
        <v>46301</v>
      </c>
      <c r="C9" s="118"/>
      <c r="D9" s="118"/>
      <c r="E9" s="187"/>
      <c r="F9" s="195"/>
      <c r="G9" s="118">
        <f t="shared" si="0"/>
        <v>0</v>
      </c>
      <c r="H9" s="118"/>
      <c r="I9" s="118"/>
      <c r="J9" s="118">
        <f t="shared" si="1"/>
        <v>0</v>
      </c>
      <c r="K9" s="118">
        <f t="shared" si="2"/>
        <v>0</v>
      </c>
      <c r="L9" s="118"/>
      <c r="M9" s="118">
        <f t="shared" si="3"/>
        <v>905490.5682</v>
      </c>
      <c r="N9" s="118"/>
    </row>
    <row r="10" spans="1:14" x14ac:dyDescent="0.25">
      <c r="A10" s="183">
        <v>7</v>
      </c>
      <c r="B10" s="184">
        <v>46302</v>
      </c>
      <c r="C10" s="118"/>
      <c r="D10" s="118"/>
      <c r="E10" s="187">
        <v>1200</v>
      </c>
      <c r="F10" s="195">
        <v>99.13</v>
      </c>
      <c r="G10" s="118">
        <f t="shared" si="0"/>
        <v>118956</v>
      </c>
      <c r="H10" s="118"/>
      <c r="I10" s="118"/>
      <c r="J10" s="118">
        <f t="shared" si="1"/>
        <v>0</v>
      </c>
      <c r="K10" s="118">
        <f t="shared" si="2"/>
        <v>118956</v>
      </c>
      <c r="L10" s="118"/>
      <c r="M10" s="118">
        <f t="shared" si="3"/>
        <v>1024446.5682</v>
      </c>
      <c r="N10" s="118"/>
    </row>
    <row r="11" spans="1:16" x14ac:dyDescent="0.25">
      <c r="A11" s="189">
        <v>8</v>
      </c>
      <c r="B11" s="184">
        <v>46303</v>
      </c>
      <c r="C11" s="118"/>
      <c r="D11" s="118"/>
      <c r="E11" s="187"/>
      <c r="F11" s="195"/>
      <c r="G11" s="118">
        <f t="shared" si="0"/>
        <v>0</v>
      </c>
      <c r="H11" s="118"/>
      <c r="I11" s="118"/>
      <c r="J11" s="118">
        <f t="shared" si="1"/>
        <v>0</v>
      </c>
      <c r="K11" s="118">
        <f t="shared" si="2"/>
        <v>0</v>
      </c>
      <c r="L11" s="118"/>
      <c r="M11" s="118">
        <f t="shared" si="3"/>
        <v>1024446.5682</v>
      </c>
      <c r="N11" s="118"/>
      <c r="P11" s="114"/>
    </row>
    <row r="12" spans="1:14" x14ac:dyDescent="0.25">
      <c r="A12" s="183">
        <v>9</v>
      </c>
      <c r="B12" s="184">
        <v>46304</v>
      </c>
      <c r="C12" s="118"/>
      <c r="D12" s="118"/>
      <c r="E12" s="187">
        <v>400</v>
      </c>
      <c r="F12" s="195">
        <v>99.13</v>
      </c>
      <c r="G12" s="118">
        <f t="shared" si="0"/>
        <v>39652</v>
      </c>
      <c r="H12" s="118"/>
      <c r="I12" s="118"/>
      <c r="J12" s="118">
        <f t="shared" si="1"/>
        <v>0</v>
      </c>
      <c r="K12" s="118">
        <f t="shared" si="2"/>
        <v>39652</v>
      </c>
      <c r="L12" s="118"/>
      <c r="M12" s="118">
        <f t="shared" si="3"/>
        <v>1064098.5682</v>
      </c>
      <c r="N12" s="118"/>
    </row>
    <row r="13" spans="1:14" x14ac:dyDescent="0.25">
      <c r="A13" s="189">
        <v>10</v>
      </c>
      <c r="B13" s="184">
        <v>46305</v>
      </c>
      <c r="C13" s="118"/>
      <c r="D13" s="118"/>
      <c r="E13" s="187">
        <v>200</v>
      </c>
      <c r="F13" s="195">
        <v>99.13</v>
      </c>
      <c r="G13" s="118">
        <f t="shared" si="0"/>
        <v>19826</v>
      </c>
      <c r="H13" s="118"/>
      <c r="I13" s="118"/>
      <c r="J13" s="118">
        <f t="shared" si="1"/>
        <v>0</v>
      </c>
      <c r="K13" s="118">
        <f t="shared" si="2"/>
        <v>19826</v>
      </c>
      <c r="L13" s="118"/>
      <c r="M13" s="118">
        <f t="shared" si="3"/>
        <v>1083924.5682</v>
      </c>
      <c r="N13" s="118"/>
    </row>
    <row r="14" spans="1:14" x14ac:dyDescent="0.25">
      <c r="A14" s="183">
        <v>11</v>
      </c>
      <c r="B14" s="184">
        <v>46306</v>
      </c>
      <c r="C14" s="118"/>
      <c r="D14" s="118"/>
      <c r="E14" s="187">
        <v>200</v>
      </c>
      <c r="F14" s="195">
        <v>99.13</v>
      </c>
      <c r="G14" s="118">
        <f t="shared" si="0"/>
        <v>19826</v>
      </c>
      <c r="H14" s="118"/>
      <c r="I14" s="118"/>
      <c r="J14" s="118">
        <f t="shared" si="1"/>
        <v>0</v>
      </c>
      <c r="K14" s="118">
        <f t="shared" si="2"/>
        <v>19826</v>
      </c>
      <c r="L14" s="118"/>
      <c r="M14" s="118">
        <f t="shared" si="3"/>
        <v>1103750.5682</v>
      </c>
      <c r="N14" s="118"/>
    </row>
    <row r="15" spans="1:14" x14ac:dyDescent="0.25">
      <c r="A15" s="189">
        <v>12</v>
      </c>
      <c r="B15" s="184">
        <v>46307</v>
      </c>
      <c r="C15" s="118"/>
      <c r="D15" s="118"/>
      <c r="E15" s="187">
        <v>1000</v>
      </c>
      <c r="F15" s="195">
        <v>99.13</v>
      </c>
      <c r="G15" s="118">
        <f t="shared" si="0"/>
        <v>99130</v>
      </c>
      <c r="H15" s="118"/>
      <c r="I15" s="118"/>
      <c r="J15" s="118">
        <f t="shared" si="1"/>
        <v>0</v>
      </c>
      <c r="K15" s="118">
        <f t="shared" si="2"/>
        <v>99130</v>
      </c>
      <c r="L15" s="118"/>
      <c r="M15" s="118">
        <f t="shared" si="3"/>
        <v>1202880.5682</v>
      </c>
      <c r="N15" s="118"/>
    </row>
    <row r="16" spans="1:14" x14ac:dyDescent="0.25">
      <c r="A16" s="183">
        <v>13</v>
      </c>
      <c r="B16" s="184">
        <v>46308</v>
      </c>
      <c r="C16" s="118"/>
      <c r="D16" s="118"/>
      <c r="E16" s="187">
        <v>463.59</v>
      </c>
      <c r="F16" s="195">
        <v>99.13</v>
      </c>
      <c r="G16" s="118">
        <f t="shared" si="0"/>
        <v>45955.676699999996</v>
      </c>
      <c r="H16" s="118"/>
      <c r="I16" s="118"/>
      <c r="J16" s="118">
        <f t="shared" si="1"/>
        <v>0</v>
      </c>
      <c r="K16" s="118">
        <f t="shared" si="2"/>
        <v>45955.676699999996</v>
      </c>
      <c r="L16" s="118"/>
      <c r="M16" s="118">
        <f t="shared" si="3"/>
        <v>1248836.2449</v>
      </c>
      <c r="N16" s="118"/>
    </row>
    <row r="17" spans="1:14" x14ac:dyDescent="0.25">
      <c r="A17" s="189">
        <v>14</v>
      </c>
      <c r="B17" s="184">
        <v>46309</v>
      </c>
      <c r="C17" s="118"/>
      <c r="D17" s="118"/>
      <c r="E17" s="187">
        <v>867.33</v>
      </c>
      <c r="F17" s="195">
        <v>99.13</v>
      </c>
      <c r="G17" s="118">
        <f t="shared" si="0"/>
        <v>85978.4229</v>
      </c>
      <c r="H17" s="118"/>
      <c r="I17" s="118"/>
      <c r="J17" s="118">
        <f t="shared" si="1"/>
        <v>0</v>
      </c>
      <c r="K17" s="118">
        <f t="shared" si="2"/>
        <v>85978.4229</v>
      </c>
      <c r="L17" s="118"/>
      <c r="M17" s="118">
        <f t="shared" si="3"/>
        <v>1334814.6678</v>
      </c>
      <c r="N17" s="118"/>
    </row>
    <row r="18" spans="1:14" x14ac:dyDescent="0.25">
      <c r="A18" s="183">
        <v>15</v>
      </c>
      <c r="B18" s="184">
        <v>46310</v>
      </c>
      <c r="C18" s="118"/>
      <c r="D18" s="118"/>
      <c r="E18" s="187">
        <v>200</v>
      </c>
      <c r="F18" s="195">
        <v>99.13</v>
      </c>
      <c r="G18" s="118">
        <f t="shared" si="0"/>
        <v>19826</v>
      </c>
      <c r="H18" s="118"/>
      <c r="I18" s="118"/>
      <c r="J18" s="118">
        <f t="shared" si="1"/>
        <v>0</v>
      </c>
      <c r="K18" s="118">
        <f t="shared" si="2"/>
        <v>19826</v>
      </c>
      <c r="L18" s="118"/>
      <c r="M18" s="118">
        <f t="shared" si="3"/>
        <v>1354640.6678</v>
      </c>
      <c r="N18" s="118"/>
    </row>
    <row r="19" spans="1:14" x14ac:dyDescent="0.25">
      <c r="A19" s="189">
        <v>16</v>
      </c>
      <c r="B19" s="184">
        <v>46311</v>
      </c>
      <c r="C19" s="118"/>
      <c r="D19" s="118"/>
      <c r="E19" s="187"/>
      <c r="F19" s="195"/>
      <c r="G19" s="118">
        <f t="shared" si="0"/>
        <v>0</v>
      </c>
      <c r="H19" s="118"/>
      <c r="I19" s="118"/>
      <c r="J19" s="118">
        <f t="shared" si="1"/>
        <v>0</v>
      </c>
      <c r="K19" s="118">
        <f t="shared" si="2"/>
        <v>0</v>
      </c>
      <c r="L19" s="118"/>
      <c r="M19" s="118">
        <f>M18+K19-L19</f>
        <v>1354640.6678</v>
      </c>
      <c r="N19" s="118"/>
    </row>
    <row r="20" spans="1:14" x14ac:dyDescent="0.25">
      <c r="A20" s="183">
        <v>17</v>
      </c>
      <c r="B20" s="184">
        <v>46312</v>
      </c>
      <c r="C20" s="118"/>
      <c r="D20" s="118"/>
      <c r="E20" s="187"/>
      <c r="F20" s="195"/>
      <c r="G20" s="118">
        <f t="shared" si="0"/>
        <v>0</v>
      </c>
      <c r="H20" s="118"/>
      <c r="I20" s="118"/>
      <c r="J20" s="118">
        <f t="shared" si="1"/>
        <v>0</v>
      </c>
      <c r="K20" s="118">
        <f t="shared" si="2"/>
        <v>0</v>
      </c>
      <c r="L20" s="118"/>
      <c r="M20" s="118">
        <f t="shared" si="3"/>
        <v>1354640.6678</v>
      </c>
      <c r="N20" s="118"/>
    </row>
    <row r="21" spans="1:14" x14ac:dyDescent="0.25">
      <c r="A21" s="189">
        <v>18</v>
      </c>
      <c r="B21" s="184">
        <v>46313</v>
      </c>
      <c r="C21" s="118"/>
      <c r="D21" s="118"/>
      <c r="E21" s="187"/>
      <c r="F21" s="195"/>
      <c r="G21" s="118">
        <f t="shared" si="0"/>
        <v>0</v>
      </c>
      <c r="H21" s="118"/>
      <c r="I21" s="118"/>
      <c r="J21" s="118">
        <f t="shared" si="1"/>
        <v>0</v>
      </c>
      <c r="K21" s="118">
        <f t="shared" si="2"/>
        <v>0</v>
      </c>
      <c r="L21" s="118"/>
      <c r="M21" s="118">
        <f t="shared" si="3"/>
        <v>1354640.6678</v>
      </c>
      <c r="N21" s="118"/>
    </row>
    <row r="22" spans="1:14" x14ac:dyDescent="0.25">
      <c r="A22" s="183">
        <v>19</v>
      </c>
      <c r="B22" s="184">
        <v>46314</v>
      </c>
      <c r="C22" s="118"/>
      <c r="D22" s="118"/>
      <c r="E22" s="187"/>
      <c r="F22" s="195"/>
      <c r="G22" s="118">
        <f t="shared" si="0"/>
        <v>0</v>
      </c>
      <c r="H22" s="118"/>
      <c r="I22" s="118"/>
      <c r="J22" s="118">
        <f t="shared" si="1"/>
        <v>0</v>
      </c>
      <c r="K22" s="118">
        <f t="shared" si="2"/>
        <v>0</v>
      </c>
      <c r="L22" s="118"/>
      <c r="M22" s="118">
        <f t="shared" si="3"/>
        <v>1354640.6678</v>
      </c>
      <c r="N22" s="118"/>
    </row>
    <row r="23" spans="1:14" x14ac:dyDescent="0.25">
      <c r="A23" s="189">
        <v>20</v>
      </c>
      <c r="B23" s="184">
        <v>46315</v>
      </c>
      <c r="C23" s="118"/>
      <c r="D23" s="118"/>
      <c r="E23" s="187"/>
      <c r="F23" s="195"/>
      <c r="G23" s="118">
        <f t="shared" si="0"/>
        <v>0</v>
      </c>
      <c r="H23" s="118"/>
      <c r="I23" s="118"/>
      <c r="J23" s="118">
        <f t="shared" si="1"/>
        <v>0</v>
      </c>
      <c r="K23" s="118">
        <f t="shared" si="2"/>
        <v>0</v>
      </c>
      <c r="L23" s="118"/>
      <c r="M23" s="118">
        <f t="shared" si="3"/>
        <v>1354640.6678</v>
      </c>
      <c r="N23" s="118"/>
    </row>
    <row r="24" spans="1:14" x14ac:dyDescent="0.25">
      <c r="A24" s="183">
        <v>21</v>
      </c>
      <c r="B24" s="184">
        <v>46316</v>
      </c>
      <c r="C24" s="118"/>
      <c r="D24" s="118"/>
      <c r="E24" s="187"/>
      <c r="F24" s="195"/>
      <c r="G24" s="118">
        <f t="shared" si="0"/>
        <v>0</v>
      </c>
      <c r="H24" s="118"/>
      <c r="I24" s="118"/>
      <c r="J24" s="118">
        <f t="shared" si="1"/>
        <v>0</v>
      </c>
      <c r="K24" s="118">
        <f t="shared" si="2"/>
        <v>0</v>
      </c>
      <c r="L24" s="118"/>
      <c r="M24" s="118">
        <f t="shared" si="3"/>
        <v>1354640.6678</v>
      </c>
      <c r="N24" s="118"/>
    </row>
    <row r="25" spans="1:14" x14ac:dyDescent="0.25">
      <c r="A25" s="189">
        <v>22</v>
      </c>
      <c r="B25" s="184">
        <v>46317</v>
      </c>
      <c r="C25" s="118"/>
      <c r="D25" s="118"/>
      <c r="E25" s="187"/>
      <c r="F25" s="195"/>
      <c r="G25" s="118">
        <f t="shared" si="0"/>
        <v>0</v>
      </c>
      <c r="H25" s="118"/>
      <c r="I25" s="118"/>
      <c r="J25" s="118">
        <f t="shared" si="1"/>
        <v>0</v>
      </c>
      <c r="K25" s="118">
        <f t="shared" si="2"/>
        <v>0</v>
      </c>
      <c r="L25" s="118"/>
      <c r="M25" s="118">
        <f t="shared" si="3"/>
        <v>1354640.6678</v>
      </c>
      <c r="N25" s="118"/>
    </row>
    <row r="26" spans="1:14" x14ac:dyDescent="0.25">
      <c r="A26" s="183">
        <v>23</v>
      </c>
      <c r="B26" s="184">
        <v>46318</v>
      </c>
      <c r="C26" s="118"/>
      <c r="D26" s="118"/>
      <c r="E26" s="187"/>
      <c r="F26" s="195"/>
      <c r="G26" s="118">
        <f t="shared" si="0"/>
        <v>0</v>
      </c>
      <c r="H26" s="118"/>
      <c r="I26" s="118"/>
      <c r="J26" s="118">
        <f t="shared" si="1"/>
        <v>0</v>
      </c>
      <c r="K26" s="118">
        <f t="shared" si="2"/>
        <v>0</v>
      </c>
      <c r="L26" s="118"/>
      <c r="M26" s="118">
        <f t="shared" si="3"/>
        <v>1354640.6678</v>
      </c>
      <c r="N26" s="118"/>
    </row>
    <row r="27" spans="1:14" x14ac:dyDescent="0.25">
      <c r="A27" s="189">
        <v>24</v>
      </c>
      <c r="B27" s="184">
        <v>46319</v>
      </c>
      <c r="C27" s="118"/>
      <c r="D27" s="118"/>
      <c r="E27" s="187"/>
      <c r="F27" s="195"/>
      <c r="G27" s="118">
        <f t="shared" si="0"/>
        <v>0</v>
      </c>
      <c r="H27" s="118"/>
      <c r="I27" s="118"/>
      <c r="J27" s="118">
        <f t="shared" si="1"/>
        <v>0</v>
      </c>
      <c r="K27" s="118">
        <f t="shared" si="2"/>
        <v>0</v>
      </c>
      <c r="L27" s="118"/>
      <c r="M27" s="118">
        <f t="shared" si="3"/>
        <v>1354640.6678</v>
      </c>
      <c r="N27" s="118"/>
    </row>
    <row r="28" spans="1:14" x14ac:dyDescent="0.25">
      <c r="A28" s="183">
        <v>25</v>
      </c>
      <c r="B28" s="184">
        <v>46320</v>
      </c>
      <c r="C28" s="118"/>
      <c r="D28" s="118"/>
      <c r="E28" s="187"/>
      <c r="F28" s="195"/>
      <c r="G28" s="118">
        <f t="shared" si="0"/>
        <v>0</v>
      </c>
      <c r="H28" s="118"/>
      <c r="I28" s="118"/>
      <c r="J28" s="118">
        <f t="shared" si="1"/>
        <v>0</v>
      </c>
      <c r="K28" s="118">
        <f t="shared" si="2"/>
        <v>0</v>
      </c>
      <c r="L28" s="118"/>
      <c r="M28" s="118">
        <f t="shared" si="3"/>
        <v>1354640.6678</v>
      </c>
      <c r="N28" s="118"/>
    </row>
    <row r="29" spans="1:14" x14ac:dyDescent="0.25">
      <c r="A29" s="189">
        <v>26</v>
      </c>
      <c r="B29" s="184">
        <v>46321</v>
      </c>
      <c r="C29" s="118"/>
      <c r="D29" s="118"/>
      <c r="E29" s="187"/>
      <c r="F29" s="195"/>
      <c r="G29" s="118">
        <f t="shared" si="0"/>
        <v>0</v>
      </c>
      <c r="H29" s="118"/>
      <c r="I29" s="118"/>
      <c r="J29" s="118">
        <f t="shared" si="1"/>
        <v>0</v>
      </c>
      <c r="K29" s="118">
        <f t="shared" si="2"/>
        <v>0</v>
      </c>
      <c r="L29" s="118"/>
      <c r="M29" s="118">
        <f t="shared" si="3"/>
        <v>1354640.6678</v>
      </c>
      <c r="N29" s="118"/>
    </row>
    <row r="30" spans="1:14" x14ac:dyDescent="0.25">
      <c r="A30" s="183">
        <v>27</v>
      </c>
      <c r="B30" s="184">
        <v>46322</v>
      </c>
      <c r="C30" s="118"/>
      <c r="D30" s="118"/>
      <c r="E30" s="187"/>
      <c r="F30" s="195"/>
      <c r="G30" s="118">
        <f t="shared" si="0"/>
        <v>0</v>
      </c>
      <c r="H30" s="118"/>
      <c r="I30" s="118"/>
      <c r="J30" s="118">
        <f t="shared" si="1"/>
        <v>0</v>
      </c>
      <c r="K30" s="118">
        <f t="shared" si="2"/>
        <v>0</v>
      </c>
      <c r="L30" s="118"/>
      <c r="M30" s="118">
        <f t="shared" si="3"/>
        <v>1354640.6678</v>
      </c>
      <c r="N30" s="118"/>
    </row>
    <row r="31" spans="1:14" x14ac:dyDescent="0.25">
      <c r="A31" s="189">
        <v>28</v>
      </c>
      <c r="B31" s="184">
        <v>46323</v>
      </c>
      <c r="C31" s="118"/>
      <c r="D31" s="118"/>
      <c r="E31" s="187"/>
      <c r="F31" s="195"/>
      <c r="G31" s="118">
        <f t="shared" si="0"/>
        <v>0</v>
      </c>
      <c r="H31" s="118"/>
      <c r="I31" s="118"/>
      <c r="J31" s="118">
        <f t="shared" si="1"/>
        <v>0</v>
      </c>
      <c r="K31" s="118">
        <f t="shared" si="2"/>
        <v>0</v>
      </c>
      <c r="L31" s="118"/>
      <c r="M31" s="118">
        <f t="shared" si="3"/>
        <v>1354640.6678</v>
      </c>
      <c r="N31" s="118"/>
    </row>
    <row r="32" spans="1:14" x14ac:dyDescent="0.25">
      <c r="A32" s="183">
        <v>29</v>
      </c>
      <c r="B32" s="184">
        <v>46324</v>
      </c>
      <c r="C32" s="118"/>
      <c r="D32" s="118"/>
      <c r="E32" s="187"/>
      <c r="F32" s="195"/>
      <c r="G32" s="118">
        <f t="shared" si="0"/>
        <v>0</v>
      </c>
      <c r="H32" s="118"/>
      <c r="I32" s="118"/>
      <c r="J32" s="118">
        <f t="shared" si="1"/>
        <v>0</v>
      </c>
      <c r="K32" s="118">
        <f t="shared" si="2"/>
        <v>0</v>
      </c>
      <c r="L32" s="118"/>
      <c r="M32" s="118">
        <f t="shared" si="3"/>
        <v>1354640.6678</v>
      </c>
      <c r="N32" s="118"/>
    </row>
    <row r="33" spans="1:14" x14ac:dyDescent="0.25">
      <c r="A33" s="189">
        <v>30</v>
      </c>
      <c r="B33" s="184">
        <v>46325</v>
      </c>
      <c r="C33" s="118"/>
      <c r="D33" s="118"/>
      <c r="E33" s="187"/>
      <c r="F33" s="195"/>
      <c r="G33" s="118">
        <f>E33*F33</f>
        <v>0</v>
      </c>
      <c r="H33" s="118"/>
      <c r="I33" s="118"/>
      <c r="J33" s="118">
        <f>H33*I33</f>
        <v>0</v>
      </c>
      <c r="K33" s="118">
        <f>G33+J33</f>
        <v>0</v>
      </c>
      <c r="L33" s="118"/>
      <c r="M33" s="118">
        <f>M32+K33-L33</f>
        <v>1354640.6678</v>
      </c>
      <c r="N33" s="118"/>
    </row>
    <row r="34" spans="1:14" x14ac:dyDescent="0.25">
      <c r="A34" s="183">
        <v>31</v>
      </c>
      <c r="B34" s="184">
        <v>46326</v>
      </c>
      <c r="C34" s="118"/>
      <c r="D34" s="118"/>
      <c r="E34" s="187"/>
      <c r="F34" s="195"/>
      <c r="G34" s="118">
        <f t="shared" si="0"/>
        <v>0</v>
      </c>
      <c r="H34" s="118"/>
      <c r="I34" s="118"/>
      <c r="J34" s="118">
        <f t="shared" si="1"/>
        <v>0</v>
      </c>
      <c r="K34" s="118">
        <f t="shared" si="2"/>
        <v>0</v>
      </c>
      <c r="L34" s="118"/>
      <c r="M34" s="118">
        <f>M32+K34-L34</f>
        <v>1354640.6678</v>
      </c>
      <c r="N34" s="118"/>
    </row>
    <row r="35" spans="1:14" x14ac:dyDescent="0.25">
      <c r="A35" s="404"/>
      <c r="B35" s="404"/>
      <c r="C35" s="404"/>
      <c r="D35" s="404"/>
      <c r="E35" s="404">
        <f>SUM(E4:E34)</f>
        <v>6567.0599999999995</v>
      </c>
      <c r="F35" s="404"/>
      <c r="G35" s="404">
        <f>SUM(G4:G34)</f>
        <v>650992.6577999999</v>
      </c>
      <c r="H35" s="404">
        <f>SUM(H4:H34)</f>
        <v>0</v>
      </c>
      <c r="I35" s="404"/>
      <c r="J35" s="404">
        <f>SUM(J4:J34)</f>
        <v>0</v>
      </c>
      <c r="K35" s="404">
        <f>SUM(K4:K34)</f>
        <v>650992.6577999999</v>
      </c>
      <c r="L35" s="404">
        <f>SUM(L4:L34)</f>
        <v>0</v>
      </c>
      <c r="M35" s="404"/>
      <c r="N35" s="404"/>
    </row>
  </sheetData>
  <mergeCells count="3">
    <mergeCell ref="A1:N1"/>
    <mergeCell ref="A3:L3"/>
    <mergeCell ref="M3:N3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8"/>
  <sheetViews>
    <sheetView workbookViewId="0" zoomScale="100" zoomScaleNormal="100">
      <pane xSplit="5" topLeftCell="AW1" activePane="topRight" state="frozen"/>
      <selection pane="topRight" activeCell="AF19" sqref="AF19"/>
    </sheetView>
  </sheetViews>
  <sheetFormatPr defaultRowHeight="15" outlineLevelRow="0" outlineLevelCol="0" x14ac:dyDescent="0"/>
  <cols>
    <col min="2" max="2" width="16" customWidth="1"/>
    <col min="3" max="3" width="17.42578125" customWidth="1"/>
    <col min="4" max="4" width="24.85546875" customWidth="1"/>
    <col min="5" max="5" width="18" customWidth="1"/>
    <col min="7" max="7" width="11.28515625" customWidth="1"/>
    <col min="8" max="8" width="11.140625" customWidth="1"/>
  </cols>
  <sheetData>
    <row r="2" spans="1:39" x14ac:dyDescent="0.25">
      <c r="A2" s="1" t="s">
        <v>0</v>
      </c>
      <c r="B2" s="2" t="s">
        <v>1</v>
      </c>
      <c r="C2" s="3" t="s">
        <v>2</v>
      </c>
      <c r="D2" s="3" t="s">
        <v>3</v>
      </c>
      <c r="E2" s="3" t="s">
        <v>3</v>
      </c>
      <c r="F2" s="3" t="s">
        <v>4</v>
      </c>
      <c r="G2" s="4" t="s">
        <v>5</v>
      </c>
      <c r="H2" s="4"/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  <c r="AC2" s="4" t="s">
        <v>26</v>
      </c>
      <c r="AD2" s="4" t="s">
        <v>27</v>
      </c>
      <c r="AE2" s="4" t="s">
        <v>28</v>
      </c>
      <c r="AF2" s="4" t="s">
        <v>29</v>
      </c>
      <c r="AG2" s="4" t="s">
        <v>30</v>
      </c>
      <c r="AH2" s="4" t="s">
        <v>31</v>
      </c>
      <c r="AI2" s="4" t="s">
        <v>32</v>
      </c>
      <c r="AJ2" s="4" t="s">
        <v>33</v>
      </c>
      <c r="AK2" s="4" t="s">
        <v>34</v>
      </c>
      <c r="AL2" s="4" t="s">
        <v>35</v>
      </c>
      <c r="AM2" s="5" t="s">
        <v>36</v>
      </c>
    </row>
    <row r="3" spans="1:39" s="6" customFormat="1" x14ac:dyDescent="0.25">
      <c r="A3" s="7"/>
      <c r="B3" s="8"/>
      <c r="C3" s="9"/>
      <c r="D3" s="9"/>
      <c r="E3" s="9"/>
      <c r="F3" s="10" t="s">
        <v>37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2"/>
    </row>
    <row r="4" ht="15.75" customHeight="1" spans="1:39" x14ac:dyDescent="0.25">
      <c r="A4" s="13">
        <v>1</v>
      </c>
      <c r="B4" s="14" t="s">
        <v>38</v>
      </c>
      <c r="C4" s="14" t="s">
        <v>39</v>
      </c>
      <c r="D4" s="15" t="s">
        <v>40</v>
      </c>
      <c r="E4" s="16" t="s">
        <v>37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5.22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60</v>
      </c>
      <c r="AE4" s="17">
        <v>0</v>
      </c>
      <c r="AF4" s="17">
        <v>0</v>
      </c>
      <c r="AG4" s="17">
        <v>0</v>
      </c>
      <c r="AH4" s="17">
        <v>4.56</v>
      </c>
      <c r="AI4" s="17">
        <v>0</v>
      </c>
      <c r="AJ4" s="17">
        <v>0</v>
      </c>
      <c r="AK4" s="17">
        <v>0</v>
      </c>
      <c r="AL4" s="17">
        <v>0</v>
      </c>
      <c r="AM4" s="17">
        <f>SUM(F4:AL4)</f>
        <v>69.78</v>
      </c>
    </row>
    <row r="5" ht="15.75" customHeight="1" spans="1:39" x14ac:dyDescent="0.25">
      <c r="A5" s="13"/>
      <c r="B5" s="14"/>
      <c r="C5" s="14"/>
      <c r="D5" s="15"/>
      <c r="E5" s="18" t="s">
        <v>41</v>
      </c>
      <c r="F5" s="17">
        <v>0</v>
      </c>
      <c r="G5" s="17">
        <v>4.69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3.91</v>
      </c>
      <c r="O5" s="17">
        <v>0</v>
      </c>
      <c r="P5" s="17">
        <v>6.98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/>
      <c r="AB5" s="17">
        <v>0</v>
      </c>
      <c r="AC5" s="19">
        <v>0</v>
      </c>
      <c r="AD5" s="17">
        <v>0</v>
      </c>
      <c r="AE5" s="17">
        <v>0</v>
      </c>
      <c r="AF5" s="17">
        <v>0</v>
      </c>
      <c r="AG5" s="17">
        <v>0</v>
      </c>
      <c r="AH5" s="17">
        <v>0</v>
      </c>
      <c r="AI5" s="17">
        <v>0</v>
      </c>
      <c r="AJ5" s="17">
        <v>0</v>
      </c>
      <c r="AK5" s="17">
        <v>0</v>
      </c>
      <c r="AL5" s="17">
        <v>0</v>
      </c>
      <c r="AM5" s="17">
        <f t="shared" ref="AM5:AM15" si="0">SUM(F5:AL5)</f>
        <v>15.580000000000002</v>
      </c>
    </row>
    <row r="6" ht="15.75" customHeight="1" spans="1:39" x14ac:dyDescent="0.25">
      <c r="A6" s="13">
        <v>2</v>
      </c>
      <c r="B6" s="14" t="s">
        <v>42</v>
      </c>
      <c r="C6" s="14" t="s">
        <v>43</v>
      </c>
      <c r="D6" s="15" t="s">
        <v>44</v>
      </c>
      <c r="E6" s="20" t="s">
        <v>37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  <c r="AC6" s="17">
        <v>0</v>
      </c>
      <c r="AD6" s="17">
        <v>0</v>
      </c>
      <c r="AE6" s="17">
        <v>0</v>
      </c>
      <c r="AF6" s="17">
        <v>0</v>
      </c>
      <c r="AG6" s="17">
        <v>0</v>
      </c>
      <c r="AH6" s="17">
        <v>0</v>
      </c>
      <c r="AI6" s="17">
        <v>0</v>
      </c>
      <c r="AJ6" s="17">
        <v>0</v>
      </c>
      <c r="AK6" s="17">
        <v>0</v>
      </c>
      <c r="AL6" s="17">
        <v>0</v>
      </c>
      <c r="AM6" s="17">
        <f t="shared" si="0"/>
        <v>0</v>
      </c>
    </row>
    <row r="7" ht="15.75" customHeight="1" spans="1:39" x14ac:dyDescent="0.25">
      <c r="A7" s="13"/>
      <c r="B7" s="14"/>
      <c r="C7" s="14"/>
      <c r="D7" s="15"/>
      <c r="E7" s="18" t="s">
        <v>41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/>
      <c r="AB7" s="17">
        <v>0</v>
      </c>
      <c r="AC7" s="19">
        <v>0</v>
      </c>
      <c r="AD7" s="17">
        <v>0</v>
      </c>
      <c r="AE7" s="17">
        <v>0</v>
      </c>
      <c r="AF7" s="17">
        <v>0</v>
      </c>
      <c r="AG7" s="17">
        <v>0</v>
      </c>
      <c r="AH7" s="17">
        <v>0</v>
      </c>
      <c r="AI7" s="17">
        <v>0</v>
      </c>
      <c r="AJ7" s="17">
        <v>0</v>
      </c>
      <c r="AK7" s="17">
        <v>0</v>
      </c>
      <c r="AL7" s="17">
        <v>0</v>
      </c>
      <c r="AM7" s="17">
        <f t="shared" si="0"/>
        <v>0</v>
      </c>
    </row>
    <row r="8" ht="15.75" customHeight="1" spans="1:39" x14ac:dyDescent="0.25">
      <c r="A8" s="13">
        <v>3</v>
      </c>
      <c r="B8" s="14" t="s">
        <v>45</v>
      </c>
      <c r="C8" s="14" t="s">
        <v>43</v>
      </c>
      <c r="D8" s="15" t="s">
        <v>46</v>
      </c>
      <c r="E8" s="20" t="s">
        <v>37</v>
      </c>
      <c r="F8" s="17">
        <v>0</v>
      </c>
      <c r="G8" s="17">
        <v>0</v>
      </c>
      <c r="H8" s="17">
        <v>0</v>
      </c>
      <c r="I8" s="17">
        <v>0</v>
      </c>
      <c r="J8" s="17">
        <v>33.44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35.53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33.44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f t="shared" si="0"/>
        <v>102.41</v>
      </c>
    </row>
    <row r="9" ht="15.75" customHeight="1" spans="1:39" x14ac:dyDescent="0.25">
      <c r="A9" s="13"/>
      <c r="B9" s="14"/>
      <c r="C9" s="14"/>
      <c r="D9" s="15"/>
      <c r="E9" s="18" t="s">
        <v>41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/>
      <c r="AB9" s="17">
        <v>0</v>
      </c>
      <c r="AC9" s="19">
        <v>0</v>
      </c>
      <c r="AD9" s="17">
        <v>0</v>
      </c>
      <c r="AE9" s="17">
        <v>0</v>
      </c>
      <c r="AF9" s="17">
        <v>0</v>
      </c>
      <c r="AG9" s="17">
        <v>0</v>
      </c>
      <c r="AH9" s="17">
        <v>0</v>
      </c>
      <c r="AI9" s="17">
        <v>0</v>
      </c>
      <c r="AJ9" s="17">
        <v>0</v>
      </c>
      <c r="AK9" s="17">
        <v>0</v>
      </c>
      <c r="AL9" s="17">
        <v>0</v>
      </c>
      <c r="AM9" s="17">
        <f t="shared" si="0"/>
        <v>0</v>
      </c>
    </row>
    <row r="10" ht="15.75" customHeight="1" spans="1:39" x14ac:dyDescent="0.25">
      <c r="A10" s="13">
        <v>4</v>
      </c>
      <c r="B10" s="14" t="s">
        <v>47</v>
      </c>
      <c r="C10" s="14" t="s">
        <v>43</v>
      </c>
      <c r="D10" s="15" t="s">
        <v>48</v>
      </c>
      <c r="E10" s="20" t="s">
        <v>37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49.22</v>
      </c>
      <c r="Q10" s="17">
        <v>0</v>
      </c>
      <c r="R10" s="17">
        <v>0</v>
      </c>
      <c r="S10" s="17">
        <v>0</v>
      </c>
      <c r="T10" s="17">
        <v>0</v>
      </c>
      <c r="U10" s="17">
        <v>54.57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49.8</v>
      </c>
      <c r="AE10" s="17">
        <v>0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f t="shared" si="0"/>
        <v>153.58999999999997</v>
      </c>
    </row>
    <row r="11" ht="15.75" customHeight="1" spans="1:39" x14ac:dyDescent="0.25">
      <c r="A11" s="13"/>
      <c r="B11" s="14"/>
      <c r="C11" s="14"/>
      <c r="D11" s="15"/>
      <c r="E11" s="18" t="s">
        <v>41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/>
      <c r="AB11" s="17">
        <v>0</v>
      </c>
      <c r="AC11" s="19">
        <v>0</v>
      </c>
      <c r="AD11" s="17">
        <v>0</v>
      </c>
      <c r="AE11" s="17">
        <v>0</v>
      </c>
      <c r="AF11" s="17">
        <v>0</v>
      </c>
      <c r="AG11" s="17">
        <v>0</v>
      </c>
      <c r="AH11" s="17">
        <v>0</v>
      </c>
      <c r="AI11" s="17">
        <v>0</v>
      </c>
      <c r="AJ11" s="17">
        <v>0</v>
      </c>
      <c r="AK11" s="17">
        <v>0</v>
      </c>
      <c r="AL11" s="17">
        <v>0</v>
      </c>
      <c r="AM11" s="17">
        <f t="shared" si="0"/>
        <v>0</v>
      </c>
    </row>
    <row r="12" ht="15.75" customHeight="1" spans="1:39" x14ac:dyDescent="0.25">
      <c r="A12" s="13">
        <v>5</v>
      </c>
      <c r="B12" s="14" t="s">
        <v>49</v>
      </c>
      <c r="C12" s="14" t="s">
        <v>50</v>
      </c>
      <c r="D12" s="15" t="s">
        <v>51</v>
      </c>
      <c r="E12" s="20" t="s">
        <v>37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86.29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145.61</v>
      </c>
      <c r="AE12" s="17">
        <v>0</v>
      </c>
      <c r="AF12" s="17">
        <v>0</v>
      </c>
      <c r="AG12" s="17">
        <v>0</v>
      </c>
      <c r="AH12" s="17">
        <v>0</v>
      </c>
      <c r="AI12" s="17">
        <v>0</v>
      </c>
      <c r="AJ12" s="17">
        <v>0</v>
      </c>
      <c r="AK12" s="17">
        <v>0</v>
      </c>
      <c r="AL12" s="17">
        <v>0</v>
      </c>
      <c r="AM12" s="17">
        <f t="shared" si="0"/>
        <v>231.90000000000003</v>
      </c>
    </row>
    <row r="13" ht="15.75" customHeight="1" spans="1:39" x14ac:dyDescent="0.25">
      <c r="A13" s="13"/>
      <c r="B13" s="14"/>
      <c r="C13" s="14"/>
      <c r="D13" s="15"/>
      <c r="E13" s="18" t="s">
        <v>41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/>
      <c r="AB13" s="17">
        <v>0</v>
      </c>
      <c r="AC13" s="19">
        <v>0</v>
      </c>
      <c r="AD13" s="17">
        <v>0</v>
      </c>
      <c r="AE13" s="17">
        <v>0</v>
      </c>
      <c r="AF13" s="17">
        <v>0</v>
      </c>
      <c r="AG13" s="17">
        <v>0</v>
      </c>
      <c r="AH13" s="17">
        <v>0</v>
      </c>
      <c r="AI13" s="17">
        <v>0</v>
      </c>
      <c r="AJ13" s="17">
        <v>0</v>
      </c>
      <c r="AK13" s="17">
        <v>0</v>
      </c>
      <c r="AL13" s="17">
        <v>0</v>
      </c>
      <c r="AM13" s="17">
        <f t="shared" si="0"/>
        <v>0</v>
      </c>
    </row>
    <row r="14" ht="15.75" customHeight="1" spans="1:39" x14ac:dyDescent="0.25">
      <c r="A14" s="13">
        <v>6</v>
      </c>
      <c r="B14" s="14" t="s">
        <v>49</v>
      </c>
      <c r="C14" s="14" t="s">
        <v>52</v>
      </c>
      <c r="D14" s="15" t="s">
        <v>53</v>
      </c>
      <c r="E14" s="20" t="s">
        <v>37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40</v>
      </c>
      <c r="M14" s="17">
        <v>40</v>
      </c>
      <c r="N14" s="17">
        <v>0</v>
      </c>
      <c r="O14" s="17">
        <v>36</v>
      </c>
      <c r="P14" s="17">
        <v>35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45</v>
      </c>
      <c r="X14" s="17">
        <v>45</v>
      </c>
      <c r="Y14" s="17">
        <v>43.53</v>
      </c>
      <c r="Z14" s="17">
        <v>40</v>
      </c>
      <c r="AA14" s="17">
        <v>43</v>
      </c>
      <c r="AB14" s="17">
        <v>0</v>
      </c>
      <c r="AC14" s="17">
        <v>40</v>
      </c>
      <c r="AD14" s="17">
        <v>0</v>
      </c>
      <c r="AE14" s="17">
        <v>40</v>
      </c>
      <c r="AF14" s="17">
        <v>0</v>
      </c>
      <c r="AG14" s="17">
        <v>0</v>
      </c>
      <c r="AH14" s="17">
        <v>0</v>
      </c>
      <c r="AI14" s="17">
        <v>0</v>
      </c>
      <c r="AJ14" s="17">
        <v>0</v>
      </c>
      <c r="AK14" s="17">
        <v>0</v>
      </c>
      <c r="AL14" s="17">
        <v>0</v>
      </c>
      <c r="AM14" s="17">
        <f t="shared" si="0"/>
        <v>447.53</v>
      </c>
    </row>
    <row r="15" ht="15.75" customHeight="1" spans="1:39" x14ac:dyDescent="0.25">
      <c r="A15" s="13"/>
      <c r="B15" s="14"/>
      <c r="C15" s="14"/>
      <c r="D15" s="15"/>
      <c r="E15" s="18" t="s">
        <v>41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/>
      <c r="AB15" s="17">
        <v>0</v>
      </c>
      <c r="AC15" s="19">
        <v>0</v>
      </c>
      <c r="AD15" s="17">
        <v>0</v>
      </c>
      <c r="AE15" s="17">
        <v>0</v>
      </c>
      <c r="AF15" s="17">
        <v>0</v>
      </c>
      <c r="AG15" s="17">
        <v>0</v>
      </c>
      <c r="AH15" s="17">
        <v>0</v>
      </c>
      <c r="AI15" s="17">
        <v>0</v>
      </c>
      <c r="AJ15" s="17">
        <v>0</v>
      </c>
      <c r="AK15" s="17">
        <v>0</v>
      </c>
      <c r="AL15" s="17">
        <v>0</v>
      </c>
      <c r="AM15" s="17">
        <f t="shared" si="0"/>
        <v>0</v>
      </c>
    </row>
    <row r="18" spans="7:7" x14ac:dyDescent="0.25">
      <c r="G18" t="s">
        <v>54</v>
      </c>
    </row>
  </sheetData>
  <mergeCells count="25">
    <mergeCell ref="G2:H2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</mergeCells>
  <conditionalFormatting sqref="F5:AL5">
    <cfRule type="cellIs" dxfId="0" priority="12" operator="greaterThan">
      <formula>0</formula>
    </cfRule>
  </conditionalFormatting>
  <conditionalFormatting sqref="F7:AL7">
    <cfRule type="cellIs" dxfId="1" priority="11" operator="greaterThan">
      <formula>0</formula>
    </cfRule>
  </conditionalFormatting>
  <conditionalFormatting sqref="F9:AL9">
    <cfRule type="cellIs" dxfId="2" priority="10" operator="greaterThan">
      <formula>0</formula>
    </cfRule>
  </conditionalFormatting>
  <conditionalFormatting sqref="F11:AL11">
    <cfRule type="cellIs" dxfId="3" priority="9" operator="greaterThan">
      <formula>0</formula>
    </cfRule>
  </conditionalFormatting>
  <conditionalFormatting sqref="F13:AL13">
    <cfRule type="cellIs" dxfId="4" priority="8" operator="greaterThan">
      <formula>0</formula>
    </cfRule>
  </conditionalFormatting>
  <conditionalFormatting sqref="F15:AL15">
    <cfRule type="cellIs" dxfId="5" priority="7" operator="greaterThan">
      <formula>0</formula>
    </cfRule>
  </conditionalFormatting>
  <conditionalFormatting sqref="F4:AM4 AM5:AM15">
    <cfRule type="cellIs" dxfId="6" priority="6" operator="greaterThan">
      <formula>0</formula>
    </cfRule>
  </conditionalFormatting>
  <conditionalFormatting sqref="F6:AL6">
    <cfRule type="cellIs" dxfId="7" priority="5" operator="greaterThan">
      <formula>0</formula>
    </cfRule>
  </conditionalFormatting>
  <conditionalFormatting sqref="F8:AL8">
    <cfRule type="cellIs" dxfId="8" priority="4" operator="greaterThan">
      <formula>0</formula>
    </cfRule>
  </conditionalFormatting>
  <conditionalFormatting sqref="F10:AL10">
    <cfRule type="cellIs" dxfId="9" priority="3" operator="greaterThan">
      <formula>0</formula>
    </cfRule>
  </conditionalFormatting>
  <conditionalFormatting sqref="F12:AL12">
    <cfRule type="cellIs" dxfId="10" priority="2" operator="greaterThan">
      <formula>0</formula>
    </cfRule>
  </conditionalFormatting>
  <conditionalFormatting sqref="F14:AL14">
    <cfRule type="cellIs" dxfId="11" priority="1" operator="greaterThan">
      <formula>0</formula>
    </cfRule>
  </conditionalFormatting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6"/>
  <sheetViews>
    <sheetView workbookViewId="0" zoomScale="100" zoomScaleNormal="100">
      <pane ySplit="3" topLeftCell="A14" activePane="bottomLeft" state="frozen"/>
      <selection pane="bottomLeft" activeCell="Q14" sqref="Q14"/>
    </sheetView>
  </sheetViews>
  <sheetFormatPr defaultRowHeight="15" outlineLevelRow="0" outlineLevelCol="0" x14ac:dyDescent="0"/>
  <cols>
    <col min="2" max="2" width="10.42578125" customWidth="1"/>
    <col min="4" max="4" width="11.5703125" customWidth="1"/>
    <col min="5" max="5" width="10.42578125" customWidth="1"/>
    <col min="7" max="7" width="14.7109375" customWidth="1"/>
    <col min="11" max="11" width="13.5703125" customWidth="1"/>
    <col min="12" max="12" width="11.42578125" customWidth="1"/>
    <col min="13" max="13" width="13.5703125" customWidth="1"/>
    <col min="14" max="14" width="27.5703125" customWidth="1"/>
  </cols>
  <sheetData>
    <row r="1" ht="15.75" customHeight="1" spans="1:14" x14ac:dyDescent="0.25">
      <c r="A1" s="417" t="s">
        <v>219</v>
      </c>
      <c r="B1" s="417"/>
      <c r="C1" s="417"/>
      <c r="D1" s="417"/>
      <c r="E1" s="417"/>
      <c r="F1" s="417"/>
      <c r="G1" s="417"/>
      <c r="H1" s="417"/>
      <c r="I1" s="417"/>
      <c r="J1" s="417"/>
      <c r="K1" s="417"/>
      <c r="L1" s="417"/>
      <c r="M1" s="417"/>
      <c r="N1" s="417"/>
    </row>
    <row r="2" ht="30.75" customHeight="1" spans="1:14" x14ac:dyDescent="0.25">
      <c r="A2" s="122" t="s">
        <v>0</v>
      </c>
      <c r="B2" s="123" t="s">
        <v>167</v>
      </c>
      <c r="C2" s="123" t="s">
        <v>168</v>
      </c>
      <c r="D2" s="123" t="s">
        <v>169</v>
      </c>
      <c r="E2" s="418" t="s">
        <v>170</v>
      </c>
      <c r="F2" s="418" t="s">
        <v>171</v>
      </c>
      <c r="G2" s="418" t="s">
        <v>172</v>
      </c>
      <c r="H2" s="418" t="s">
        <v>173</v>
      </c>
      <c r="I2" s="418" t="s">
        <v>171</v>
      </c>
      <c r="J2" s="418" t="s">
        <v>172</v>
      </c>
      <c r="K2" s="366" t="s">
        <v>174</v>
      </c>
      <c r="L2" s="367" t="s">
        <v>175</v>
      </c>
      <c r="M2" s="367" t="s">
        <v>190</v>
      </c>
      <c r="N2" s="107" t="s">
        <v>177</v>
      </c>
    </row>
    <row r="3" spans="1:14" x14ac:dyDescent="0.25">
      <c r="A3" s="126" t="s">
        <v>178</v>
      </c>
      <c r="B3" s="126"/>
      <c r="C3" s="126"/>
      <c r="D3" s="126"/>
      <c r="E3" s="126"/>
      <c r="F3" s="126"/>
      <c r="G3" s="126"/>
      <c r="H3" s="126"/>
      <c r="I3" s="126"/>
      <c r="J3" s="215"/>
      <c r="K3" s="419">
        <v>605152.2382</v>
      </c>
      <c r="M3" s="352">
        <v>605152.2382</v>
      </c>
      <c r="N3" s="113"/>
    </row>
    <row r="4" spans="1:14" x14ac:dyDescent="0.25">
      <c r="A4" s="115">
        <v>1</v>
      </c>
      <c r="B4" s="116">
        <v>46296</v>
      </c>
      <c r="C4" s="37"/>
      <c r="D4" s="37"/>
      <c r="E4" s="118"/>
      <c r="F4" s="118"/>
      <c r="G4" s="118">
        <f>E4*F4</f>
        <v>0</v>
      </c>
      <c r="H4" s="118"/>
      <c r="I4" s="118"/>
      <c r="J4" s="118">
        <f>H4*I4</f>
        <v>0</v>
      </c>
      <c r="K4" s="118">
        <f>G4+J4</f>
        <v>0</v>
      </c>
      <c r="L4" s="118"/>
      <c r="M4" s="420">
        <f>M3+K4-L4</f>
        <v>605152.2382</v>
      </c>
      <c r="N4" s="37"/>
    </row>
    <row r="5" spans="1:14" x14ac:dyDescent="0.25">
      <c r="A5" s="115">
        <v>2</v>
      </c>
      <c r="B5" s="116">
        <v>46297</v>
      </c>
      <c r="C5" s="37"/>
      <c r="D5" s="37"/>
      <c r="E5" s="118"/>
      <c r="F5" s="118"/>
      <c r="G5" s="118">
        <f>E5*F5</f>
        <v>0</v>
      </c>
      <c r="H5" s="118"/>
      <c r="I5" s="118"/>
      <c r="J5" s="118">
        <f t="shared" ref="J5:J36" si="0">H5*I5</f>
        <v>0</v>
      </c>
      <c r="K5" s="118">
        <f t="shared" ref="K5:L36" si="1">G5+J5</f>
        <v>0</v>
      </c>
      <c r="L5" s="118"/>
      <c r="M5" s="420">
        <f t="shared" ref="M5:M55" si="2">M4+K5-L5</f>
        <v>605152.2382</v>
      </c>
      <c r="N5" s="37"/>
    </row>
    <row r="6" spans="1:14" x14ac:dyDescent="0.25">
      <c r="A6" s="115">
        <v>3</v>
      </c>
      <c r="B6" s="116">
        <v>46298</v>
      </c>
      <c r="C6" s="37"/>
      <c r="D6" s="37"/>
      <c r="E6" s="118"/>
      <c r="F6" s="118"/>
      <c r="G6" s="118">
        <f t="shared" ref="G5:G36" si="3">E6*F6</f>
        <v>0</v>
      </c>
      <c r="H6" s="118"/>
      <c r="I6" s="118"/>
      <c r="J6" s="118">
        <f t="shared" si="0"/>
        <v>0</v>
      </c>
      <c r="K6" s="118">
        <f t="shared" si="1"/>
        <v>0</v>
      </c>
      <c r="L6" s="118"/>
      <c r="M6" s="420">
        <f t="shared" si="2"/>
        <v>605152.2382</v>
      </c>
      <c r="N6" s="37"/>
    </row>
    <row r="7" spans="1:14" x14ac:dyDescent="0.25">
      <c r="A7" s="115">
        <v>4</v>
      </c>
      <c r="B7" s="116">
        <v>46299</v>
      </c>
      <c r="C7" s="37"/>
      <c r="D7" s="37"/>
      <c r="E7" s="118"/>
      <c r="F7" s="118"/>
      <c r="G7" s="118">
        <f t="shared" si="3"/>
        <v>0</v>
      </c>
      <c r="H7" s="118"/>
      <c r="I7" s="118"/>
      <c r="J7" s="118">
        <f t="shared" si="0"/>
        <v>0</v>
      </c>
      <c r="K7" s="118">
        <f t="shared" si="1"/>
        <v>0</v>
      </c>
      <c r="L7" s="118"/>
      <c r="M7" s="420">
        <f t="shared" si="2"/>
        <v>605152.2382</v>
      </c>
      <c r="N7" s="37"/>
    </row>
    <row r="8" spans="1:14" x14ac:dyDescent="0.25">
      <c r="A8" s="115">
        <v>5</v>
      </c>
      <c r="B8" s="116">
        <v>46300</v>
      </c>
      <c r="C8" s="37"/>
      <c r="D8" s="37"/>
      <c r="E8" s="118"/>
      <c r="F8" s="118"/>
      <c r="G8" s="118">
        <f t="shared" si="3"/>
        <v>0</v>
      </c>
      <c r="H8" s="118"/>
      <c r="I8" s="118"/>
      <c r="J8" s="118">
        <f t="shared" si="0"/>
        <v>0</v>
      </c>
      <c r="K8" s="118">
        <f t="shared" si="1"/>
        <v>0</v>
      </c>
      <c r="L8" s="118"/>
      <c r="M8" s="420">
        <f t="shared" si="2"/>
        <v>605152.2382</v>
      </c>
      <c r="N8" s="37"/>
    </row>
    <row r="9" spans="1:14" x14ac:dyDescent="0.25">
      <c r="A9" s="115">
        <v>6</v>
      </c>
      <c r="B9" s="116">
        <v>46301</v>
      </c>
      <c r="C9" s="37"/>
      <c r="D9" s="37"/>
      <c r="E9" s="118"/>
      <c r="F9" s="118"/>
      <c r="G9" s="118">
        <f t="shared" si="3"/>
        <v>0</v>
      </c>
      <c r="H9" s="118">
        <v>60</v>
      </c>
      <c r="I9" s="118">
        <v>118.18</v>
      </c>
      <c r="J9" s="118">
        <f t="shared" si="0"/>
        <v>7090.8</v>
      </c>
      <c r="K9" s="118">
        <f t="shared" si="1"/>
        <v>7090.8</v>
      </c>
      <c r="L9" s="118"/>
      <c r="M9" s="420">
        <f t="shared" si="2"/>
        <v>612243.0382000001</v>
      </c>
      <c r="N9" s="37"/>
    </row>
    <row r="10" spans="1:14" x14ac:dyDescent="0.25">
      <c r="A10" s="115">
        <v>7</v>
      </c>
      <c r="B10" s="116">
        <v>46302</v>
      </c>
      <c r="C10" s="37"/>
      <c r="D10" s="37"/>
      <c r="E10" s="118"/>
      <c r="F10" s="118"/>
      <c r="G10" s="118">
        <f t="shared" si="3"/>
        <v>0</v>
      </c>
      <c r="H10" s="118"/>
      <c r="I10" s="118"/>
      <c r="J10" s="118">
        <f t="shared" si="0"/>
        <v>0</v>
      </c>
      <c r="K10" s="118">
        <f t="shared" si="1"/>
        <v>0</v>
      </c>
      <c r="L10" s="118"/>
      <c r="M10" s="420">
        <f t="shared" si="2"/>
        <v>612243.0382000001</v>
      </c>
      <c r="N10" s="37"/>
    </row>
    <row r="11" spans="1:14" x14ac:dyDescent="0.25">
      <c r="A11" s="115">
        <v>8</v>
      </c>
      <c r="B11" s="116">
        <v>46303</v>
      </c>
      <c r="C11" s="37"/>
      <c r="D11" s="37"/>
      <c r="E11" s="118"/>
      <c r="F11" s="118"/>
      <c r="G11" s="118">
        <f t="shared" si="3"/>
        <v>0</v>
      </c>
      <c r="H11" s="118"/>
      <c r="I11" s="118"/>
      <c r="J11" s="118">
        <f t="shared" si="0"/>
        <v>0</v>
      </c>
      <c r="K11" s="118">
        <f t="shared" si="1"/>
        <v>0</v>
      </c>
      <c r="L11" s="118"/>
      <c r="M11" s="420">
        <f>M10+K11-L11</f>
        <v>612243.0382000001</v>
      </c>
      <c r="N11" s="328"/>
    </row>
    <row r="12" spans="1:14" x14ac:dyDescent="0.25">
      <c r="A12" s="115">
        <v>9</v>
      </c>
      <c r="B12" s="116">
        <v>46304</v>
      </c>
      <c r="C12" s="37"/>
      <c r="D12" s="37"/>
      <c r="E12" s="118"/>
      <c r="F12" s="118"/>
      <c r="G12" s="118">
        <f t="shared" si="3"/>
        <v>0</v>
      </c>
      <c r="H12" s="118"/>
      <c r="I12" s="118"/>
      <c r="J12" s="118">
        <f t="shared" si="0"/>
        <v>0</v>
      </c>
      <c r="K12" s="118">
        <f t="shared" si="1"/>
        <v>0</v>
      </c>
      <c r="L12" s="118"/>
      <c r="M12" s="420">
        <f>M11+K12-L12</f>
        <v>612243.0382000001</v>
      </c>
      <c r="N12" s="37"/>
    </row>
    <row r="13" spans="1:14" x14ac:dyDescent="0.25">
      <c r="A13" s="115">
        <v>10</v>
      </c>
      <c r="B13" s="116">
        <v>46305</v>
      </c>
      <c r="C13" s="37"/>
      <c r="D13" s="37"/>
      <c r="E13" s="118"/>
      <c r="F13" s="118"/>
      <c r="G13" s="118">
        <f t="shared" si="3"/>
        <v>0</v>
      </c>
      <c r="H13" s="118"/>
      <c r="I13" s="118"/>
      <c r="J13" s="118">
        <f t="shared" si="0"/>
        <v>0</v>
      </c>
      <c r="K13" s="118">
        <f t="shared" si="1"/>
        <v>0</v>
      </c>
      <c r="L13" s="118"/>
      <c r="M13" s="420">
        <f t="shared" si="2"/>
        <v>612243.0382000001</v>
      </c>
      <c r="N13" s="37"/>
    </row>
    <row r="14" spans="1:14" x14ac:dyDescent="0.25">
      <c r="A14" s="115">
        <v>11</v>
      </c>
      <c r="B14" s="116">
        <v>46306</v>
      </c>
      <c r="C14" s="37"/>
      <c r="D14" s="37"/>
      <c r="E14" s="118"/>
      <c r="F14" s="118"/>
      <c r="G14" s="118">
        <f t="shared" si="3"/>
        <v>0</v>
      </c>
      <c r="H14" s="118"/>
      <c r="I14" s="118"/>
      <c r="J14" s="118">
        <f t="shared" si="0"/>
        <v>0</v>
      </c>
      <c r="K14" s="118">
        <f t="shared" si="1"/>
        <v>0</v>
      </c>
      <c r="L14" s="118"/>
      <c r="M14" s="420">
        <f t="shared" si="2"/>
        <v>612243.0382000001</v>
      </c>
      <c r="N14" s="37"/>
    </row>
    <row r="15" spans="1:14" x14ac:dyDescent="0.25">
      <c r="A15" s="115">
        <v>12</v>
      </c>
      <c r="B15" s="116">
        <v>46307</v>
      </c>
      <c r="C15" s="37"/>
      <c r="D15" s="37"/>
      <c r="E15" s="118"/>
      <c r="F15" s="118"/>
      <c r="G15" s="118">
        <f t="shared" si="3"/>
        <v>0</v>
      </c>
      <c r="H15" s="118"/>
      <c r="I15" s="118"/>
      <c r="J15" s="118">
        <f t="shared" si="0"/>
        <v>0</v>
      </c>
      <c r="K15" s="118">
        <f t="shared" si="1"/>
        <v>0</v>
      </c>
      <c r="L15" s="118"/>
      <c r="M15" s="420">
        <f t="shared" si="2"/>
        <v>612243.0382000001</v>
      </c>
      <c r="N15" s="37"/>
    </row>
    <row r="16" spans="1:14" x14ac:dyDescent="0.25">
      <c r="A16" s="115">
        <v>13</v>
      </c>
      <c r="B16" s="116">
        <v>46308</v>
      </c>
      <c r="C16" s="37"/>
      <c r="D16" s="37"/>
      <c r="E16" s="118"/>
      <c r="F16" s="118"/>
      <c r="G16" s="118">
        <f t="shared" si="3"/>
        <v>0</v>
      </c>
      <c r="H16" s="118"/>
      <c r="I16" s="118"/>
      <c r="J16" s="118">
        <f t="shared" si="0"/>
        <v>0</v>
      </c>
      <c r="K16" s="118">
        <f t="shared" si="1"/>
        <v>0</v>
      </c>
      <c r="L16" s="118"/>
      <c r="M16" s="420">
        <f t="shared" si="2"/>
        <v>612243.0382000001</v>
      </c>
      <c r="N16" s="37"/>
    </row>
    <row r="17" spans="1:14" x14ac:dyDescent="0.25">
      <c r="A17" s="115">
        <v>14</v>
      </c>
      <c r="B17" s="116">
        <v>46309</v>
      </c>
      <c r="C17" s="37"/>
      <c r="D17" s="37"/>
      <c r="E17" s="118"/>
      <c r="F17" s="118"/>
      <c r="G17" s="118">
        <f t="shared" si="3"/>
        <v>0</v>
      </c>
      <c r="H17" s="118"/>
      <c r="I17" s="118"/>
      <c r="J17" s="118">
        <f t="shared" si="0"/>
        <v>0</v>
      </c>
      <c r="K17" s="118">
        <f t="shared" si="1"/>
        <v>0</v>
      </c>
      <c r="L17" s="118"/>
      <c r="M17" s="420">
        <f t="shared" si="2"/>
        <v>612243.0382000001</v>
      </c>
      <c r="N17" s="37"/>
    </row>
    <row r="18" spans="1:14" x14ac:dyDescent="0.25">
      <c r="A18" s="115">
        <v>15</v>
      </c>
      <c r="B18" s="116">
        <v>46310</v>
      </c>
      <c r="C18" s="37"/>
      <c r="D18" s="37"/>
      <c r="E18" s="118"/>
      <c r="F18" s="118"/>
      <c r="G18" s="118">
        <f t="shared" si="3"/>
        <v>0</v>
      </c>
      <c r="H18" s="118"/>
      <c r="I18" s="118"/>
      <c r="J18" s="118">
        <f t="shared" si="0"/>
        <v>0</v>
      </c>
      <c r="K18" s="118">
        <f t="shared" si="1"/>
        <v>0</v>
      </c>
      <c r="L18" s="118"/>
      <c r="M18" s="420">
        <f t="shared" si="2"/>
        <v>612243.0382000001</v>
      </c>
      <c r="N18" s="328"/>
    </row>
    <row r="19" spans="1:14" x14ac:dyDescent="0.25">
      <c r="A19" s="115">
        <v>16</v>
      </c>
      <c r="B19" s="116">
        <v>46311</v>
      </c>
      <c r="C19" s="37"/>
      <c r="D19" s="37"/>
      <c r="E19" s="118"/>
      <c r="F19" s="118"/>
      <c r="G19" s="118">
        <f t="shared" si="3"/>
        <v>0</v>
      </c>
      <c r="H19" s="118"/>
      <c r="I19" s="118"/>
      <c r="J19" s="118">
        <f t="shared" si="0"/>
        <v>0</v>
      </c>
      <c r="K19" s="118">
        <f t="shared" si="1"/>
        <v>0</v>
      </c>
      <c r="L19" s="118"/>
      <c r="M19" s="420">
        <f t="shared" si="2"/>
        <v>612243.0382000001</v>
      </c>
      <c r="N19" s="328"/>
    </row>
    <row r="20" spans="1:16" x14ac:dyDescent="0.25">
      <c r="A20" s="115">
        <v>17</v>
      </c>
      <c r="B20" s="116">
        <v>46312</v>
      </c>
      <c r="C20" s="37"/>
      <c r="D20" s="37"/>
      <c r="E20" s="118"/>
      <c r="F20" s="118"/>
      <c r="G20" s="118">
        <f t="shared" si="3"/>
        <v>0</v>
      </c>
      <c r="H20" s="118"/>
      <c r="I20" s="118"/>
      <c r="J20" s="118">
        <f t="shared" si="0"/>
        <v>0</v>
      </c>
      <c r="K20" s="118">
        <f t="shared" si="1"/>
        <v>0</v>
      </c>
      <c r="L20" s="118"/>
      <c r="M20" s="420">
        <f t="shared" si="2"/>
        <v>612243.0382000001</v>
      </c>
      <c r="N20" s="328"/>
      <c r="P20" s="114"/>
    </row>
    <row r="21" spans="1:16" x14ac:dyDescent="0.25">
      <c r="A21" s="115">
        <v>18</v>
      </c>
      <c r="B21" s="116">
        <v>46313</v>
      </c>
      <c r="C21" s="37"/>
      <c r="D21" s="37"/>
      <c r="E21" s="118"/>
      <c r="F21" s="118"/>
      <c r="G21" s="118">
        <f t="shared" si="3"/>
        <v>0</v>
      </c>
      <c r="H21" s="118"/>
      <c r="I21" s="118"/>
      <c r="J21" s="118">
        <f t="shared" si="0"/>
        <v>0</v>
      </c>
      <c r="K21" s="118">
        <f t="shared" si="1"/>
        <v>0</v>
      </c>
      <c r="L21" s="118"/>
      <c r="M21" s="420">
        <f t="shared" si="2"/>
        <v>612243.0382000001</v>
      </c>
      <c r="N21" s="328"/>
      <c r="P21" s="114"/>
    </row>
    <row r="22" spans="1:16" x14ac:dyDescent="0.25">
      <c r="A22" s="115">
        <v>19</v>
      </c>
      <c r="B22" s="116">
        <v>46314</v>
      </c>
      <c r="C22" s="37"/>
      <c r="D22" s="37"/>
      <c r="E22" s="118"/>
      <c r="F22" s="118"/>
      <c r="G22" s="118">
        <f t="shared" si="3"/>
        <v>0</v>
      </c>
      <c r="H22" s="118"/>
      <c r="I22" s="118"/>
      <c r="J22" s="118">
        <f t="shared" si="0"/>
        <v>0</v>
      </c>
      <c r="K22" s="118">
        <f t="shared" si="1"/>
        <v>0</v>
      </c>
      <c r="L22" s="118"/>
      <c r="M22" s="420">
        <f t="shared" si="2"/>
        <v>612243.0382000001</v>
      </c>
      <c r="N22" s="328"/>
      <c r="P22" s="114"/>
    </row>
    <row r="23" spans="1:16" x14ac:dyDescent="0.25">
      <c r="A23" s="115">
        <v>20</v>
      </c>
      <c r="B23" s="116">
        <v>46315</v>
      </c>
      <c r="C23" s="37"/>
      <c r="D23" s="37"/>
      <c r="E23" s="118"/>
      <c r="F23" s="118"/>
      <c r="G23" s="118">
        <f t="shared" si="3"/>
        <v>0</v>
      </c>
      <c r="H23" s="118"/>
      <c r="I23" s="118"/>
      <c r="J23" s="118">
        <f t="shared" si="0"/>
        <v>0</v>
      </c>
      <c r="K23" s="118">
        <f t="shared" si="1"/>
        <v>0</v>
      </c>
      <c r="L23" s="118"/>
      <c r="M23" s="420">
        <f t="shared" si="2"/>
        <v>612243.0382000001</v>
      </c>
      <c r="N23" s="328"/>
      <c r="P23" s="114"/>
    </row>
    <row r="24" spans="1:16" x14ac:dyDescent="0.25">
      <c r="A24" s="115">
        <v>21</v>
      </c>
      <c r="B24" s="116">
        <v>46316</v>
      </c>
      <c r="C24" s="37"/>
      <c r="D24" s="37"/>
      <c r="E24" s="118"/>
      <c r="F24" s="118"/>
      <c r="G24" s="118">
        <f t="shared" si="3"/>
        <v>0</v>
      </c>
      <c r="H24" s="118"/>
      <c r="I24" s="118"/>
      <c r="J24" s="118">
        <f t="shared" si="0"/>
        <v>0</v>
      </c>
      <c r="K24" s="118">
        <f t="shared" si="1"/>
        <v>0</v>
      </c>
      <c r="L24" s="118"/>
      <c r="M24" s="420">
        <f t="shared" si="2"/>
        <v>612243.0382000001</v>
      </c>
      <c r="N24" s="328"/>
      <c r="P24" s="114"/>
    </row>
    <row r="25" spans="1:16" x14ac:dyDescent="0.25">
      <c r="A25" s="115">
        <v>22</v>
      </c>
      <c r="B25" s="116">
        <v>46317</v>
      </c>
      <c r="C25" s="37"/>
      <c r="D25" s="37"/>
      <c r="E25" s="118"/>
      <c r="F25" s="118"/>
      <c r="G25" s="118">
        <f t="shared" si="3"/>
        <v>0</v>
      </c>
      <c r="H25" s="118"/>
      <c r="I25" s="118"/>
      <c r="J25" s="118">
        <f t="shared" si="0"/>
        <v>0</v>
      </c>
      <c r="K25" s="118">
        <f t="shared" si="1"/>
        <v>0</v>
      </c>
      <c r="L25" s="118"/>
      <c r="M25" s="420">
        <f t="shared" si="2"/>
        <v>612243.0382000001</v>
      </c>
      <c r="N25" s="328"/>
      <c r="P25" s="114"/>
    </row>
    <row r="26" spans="1:16" x14ac:dyDescent="0.25">
      <c r="A26" s="115">
        <v>23</v>
      </c>
      <c r="B26" s="116">
        <v>46318</v>
      </c>
      <c r="C26" s="37"/>
      <c r="D26" s="37"/>
      <c r="E26" s="118"/>
      <c r="F26" s="118"/>
      <c r="G26" s="118">
        <f t="shared" si="3"/>
        <v>0</v>
      </c>
      <c r="H26" s="118"/>
      <c r="I26" s="118"/>
      <c r="J26" s="118">
        <f t="shared" si="0"/>
        <v>0</v>
      </c>
      <c r="K26" s="118">
        <f t="shared" si="1"/>
        <v>0</v>
      </c>
      <c r="L26" s="118"/>
      <c r="M26" s="420">
        <f t="shared" si="2"/>
        <v>612243.0382000001</v>
      </c>
      <c r="N26" s="328"/>
      <c r="P26" s="114"/>
    </row>
    <row r="27" spans="1:16" x14ac:dyDescent="0.25">
      <c r="A27" s="115">
        <v>24</v>
      </c>
      <c r="B27" s="116">
        <v>46319</v>
      </c>
      <c r="C27" s="37"/>
      <c r="D27" s="37"/>
      <c r="E27" s="118"/>
      <c r="F27" s="118"/>
      <c r="G27" s="118">
        <f t="shared" si="3"/>
        <v>0</v>
      </c>
      <c r="H27" s="118"/>
      <c r="I27" s="118"/>
      <c r="J27" s="118">
        <f t="shared" si="0"/>
        <v>0</v>
      </c>
      <c r="K27" s="118">
        <f t="shared" si="1"/>
        <v>0</v>
      </c>
      <c r="L27" s="118"/>
      <c r="M27" s="420">
        <f t="shared" si="2"/>
        <v>612243.0382000001</v>
      </c>
      <c r="N27" s="328"/>
      <c r="P27" s="114"/>
    </row>
    <row r="28" spans="1:16" x14ac:dyDescent="0.25">
      <c r="A28" s="115">
        <v>25</v>
      </c>
      <c r="B28" s="116">
        <v>46320</v>
      </c>
      <c r="C28" s="37"/>
      <c r="D28" s="37"/>
      <c r="E28" s="118"/>
      <c r="F28" s="118"/>
      <c r="G28" s="118">
        <f t="shared" si="3"/>
        <v>0</v>
      </c>
      <c r="H28" s="118"/>
      <c r="I28" s="118"/>
      <c r="J28" s="118">
        <f t="shared" si="0"/>
        <v>0</v>
      </c>
      <c r="K28" s="118">
        <f t="shared" si="1"/>
        <v>0</v>
      </c>
      <c r="L28" s="118"/>
      <c r="M28" s="420">
        <f t="shared" si="2"/>
        <v>612243.0382000001</v>
      </c>
      <c r="N28" s="328"/>
      <c r="P28" s="114"/>
    </row>
    <row r="29" spans="1:16" x14ac:dyDescent="0.25">
      <c r="A29" s="115">
        <v>26</v>
      </c>
      <c r="B29" s="116">
        <v>46321</v>
      </c>
      <c r="C29" s="37"/>
      <c r="D29" s="37"/>
      <c r="E29" s="118"/>
      <c r="F29" s="118"/>
      <c r="G29" s="118">
        <f t="shared" si="3"/>
        <v>0</v>
      </c>
      <c r="H29" s="118"/>
      <c r="I29" s="118"/>
      <c r="J29" s="118">
        <f t="shared" si="0"/>
        <v>0</v>
      </c>
      <c r="K29" s="118">
        <f t="shared" si="1"/>
        <v>0</v>
      </c>
      <c r="L29" s="118"/>
      <c r="M29" s="420">
        <f t="shared" si="2"/>
        <v>612243.0382000001</v>
      </c>
      <c r="N29" s="328"/>
      <c r="P29" s="114"/>
    </row>
    <row r="30" spans="1:14" x14ac:dyDescent="0.25">
      <c r="A30" s="115">
        <v>27</v>
      </c>
      <c r="B30" s="116">
        <v>46322</v>
      </c>
      <c r="C30" s="37"/>
      <c r="D30" s="37"/>
      <c r="E30" s="118"/>
      <c r="F30" s="118"/>
      <c r="G30" s="118">
        <f t="shared" si="3"/>
        <v>0</v>
      </c>
      <c r="H30" s="118"/>
      <c r="I30" s="118"/>
      <c r="J30" s="118">
        <f t="shared" si="0"/>
        <v>0</v>
      </c>
      <c r="K30" s="118">
        <f t="shared" si="1"/>
        <v>0</v>
      </c>
      <c r="L30" s="118"/>
      <c r="M30" s="420">
        <f t="shared" si="2"/>
        <v>612243.0382000001</v>
      </c>
      <c r="N30" s="328"/>
    </row>
    <row r="31" spans="1:14" x14ac:dyDescent="0.25">
      <c r="A31" s="115">
        <v>28</v>
      </c>
      <c r="B31" s="116">
        <v>46323</v>
      </c>
      <c r="C31" s="37"/>
      <c r="D31" s="37"/>
      <c r="E31" s="118"/>
      <c r="F31" s="118"/>
      <c r="G31" s="118">
        <f t="shared" si="3"/>
        <v>0</v>
      </c>
      <c r="H31" s="118"/>
      <c r="I31" s="118"/>
      <c r="J31" s="118">
        <f t="shared" si="0"/>
        <v>0</v>
      </c>
      <c r="K31" s="118">
        <f t="shared" si="1"/>
        <v>0</v>
      </c>
      <c r="L31" s="118"/>
      <c r="M31" s="420">
        <f t="shared" si="2"/>
        <v>612243.0382000001</v>
      </c>
      <c r="N31" s="328"/>
    </row>
    <row r="32" spans="1:14" x14ac:dyDescent="0.25">
      <c r="A32" s="115">
        <v>29</v>
      </c>
      <c r="B32" s="116">
        <v>46324</v>
      </c>
      <c r="C32" s="37"/>
      <c r="D32" s="37"/>
      <c r="E32" s="118"/>
      <c r="F32" s="118"/>
      <c r="G32" s="118">
        <f t="shared" si="3"/>
        <v>0</v>
      </c>
      <c r="H32" s="118"/>
      <c r="I32" s="118"/>
      <c r="J32" s="118">
        <f t="shared" si="0"/>
        <v>0</v>
      </c>
      <c r="K32" s="118">
        <f t="shared" si="1"/>
        <v>0</v>
      </c>
      <c r="L32" s="118"/>
      <c r="M32" s="420">
        <f t="shared" si="2"/>
        <v>612243.0382000001</v>
      </c>
      <c r="N32" s="328"/>
    </row>
    <row r="33" spans="1:14" x14ac:dyDescent="0.25">
      <c r="A33" s="115">
        <v>30</v>
      </c>
      <c r="B33" s="116">
        <v>46325</v>
      </c>
      <c r="C33" s="37"/>
      <c r="D33" s="37"/>
      <c r="E33" s="118"/>
      <c r="F33" s="118"/>
      <c r="G33" s="118">
        <f t="shared" si="3"/>
        <v>0</v>
      </c>
      <c r="H33" s="118"/>
      <c r="I33" s="118"/>
      <c r="J33" s="118">
        <f t="shared" si="0"/>
        <v>0</v>
      </c>
      <c r="K33" s="118">
        <f t="shared" si="1"/>
        <v>0</v>
      </c>
      <c r="L33" s="118"/>
      <c r="M33" s="420">
        <f t="shared" si="2"/>
        <v>612243.0382000001</v>
      </c>
      <c r="N33" s="328"/>
    </row>
    <row r="34" spans="1:14" x14ac:dyDescent="0.25">
      <c r="A34" s="115">
        <v>31</v>
      </c>
      <c r="B34" s="116">
        <v>46326</v>
      </c>
      <c r="C34" s="37"/>
      <c r="D34" s="37"/>
      <c r="E34" s="118"/>
      <c r="F34" s="118"/>
      <c r="G34" s="118">
        <f t="shared" si="3"/>
        <v>0</v>
      </c>
      <c r="H34" s="118"/>
      <c r="I34" s="118"/>
      <c r="J34" s="118">
        <f t="shared" si="0"/>
        <v>0</v>
      </c>
      <c r="K34" s="118">
        <f t="shared" si="1"/>
        <v>0</v>
      </c>
      <c r="L34" s="118"/>
      <c r="M34" s="420">
        <f t="shared" si="2"/>
        <v>612243.0382000001</v>
      </c>
      <c r="N34" s="328"/>
    </row>
    <row r="35" spans="1:14" x14ac:dyDescent="0.25">
      <c r="A35" s="115">
        <v>32</v>
      </c>
      <c r="B35" s="116"/>
      <c r="C35" s="37"/>
      <c r="D35" s="37"/>
      <c r="E35" s="118"/>
      <c r="F35" s="118"/>
      <c r="G35" s="118">
        <f t="shared" si="3"/>
        <v>0</v>
      </c>
      <c r="H35" s="118"/>
      <c r="I35" s="118"/>
      <c r="J35" s="118">
        <f t="shared" si="0"/>
        <v>0</v>
      </c>
      <c r="K35" s="118">
        <f t="shared" si="1"/>
        <v>0</v>
      </c>
      <c r="L35" s="118"/>
      <c r="M35" s="420">
        <f t="shared" si="2"/>
        <v>612243.0382000001</v>
      </c>
      <c r="N35" s="328"/>
    </row>
    <row r="36" spans="1:14" x14ac:dyDescent="0.25">
      <c r="A36" s="115">
        <v>33</v>
      </c>
      <c r="B36" s="116"/>
      <c r="C36" s="37"/>
      <c r="D36" s="37"/>
      <c r="E36" s="118"/>
      <c r="F36" s="118"/>
      <c r="G36" s="118">
        <f t="shared" si="3"/>
        <v>0</v>
      </c>
      <c r="H36" s="118"/>
      <c r="I36" s="118"/>
      <c r="J36" s="118">
        <f t="shared" si="0"/>
        <v>0</v>
      </c>
      <c r="K36" s="118">
        <f t="shared" si="1"/>
        <v>0</v>
      </c>
      <c r="L36" s="118"/>
      <c r="M36" s="420">
        <f t="shared" si="2"/>
        <v>612243.0382000001</v>
      </c>
      <c r="N36" s="328"/>
    </row>
    <row r="37" spans="1:14" x14ac:dyDescent="0.25">
      <c r="A37" s="115">
        <v>34</v>
      </c>
      <c r="B37" s="116"/>
      <c r="C37" s="37"/>
      <c r="D37" s="37"/>
      <c r="E37" s="118"/>
      <c r="F37" s="118"/>
      <c r="G37" s="118">
        <f t="shared" ref="G5:G55" si="4">E37*F37</f>
        <v>0</v>
      </c>
      <c r="H37" s="118"/>
      <c r="I37" s="118"/>
      <c r="J37" s="118">
        <f t="shared" ref="J5:J55" si="5">H37*I37</f>
        <v>0</v>
      </c>
      <c r="K37" s="118">
        <f>G37+J37</f>
        <v>0</v>
      </c>
      <c r="L37" s="118"/>
      <c r="M37" s="420">
        <f t="shared" si="2"/>
        <v>612243.0382000001</v>
      </c>
      <c r="N37" s="328"/>
    </row>
    <row r="38" spans="1:14" x14ac:dyDescent="0.25">
      <c r="A38" s="115">
        <v>35</v>
      </c>
      <c r="B38" s="116"/>
      <c r="C38" s="37"/>
      <c r="D38" s="37"/>
      <c r="E38" s="118"/>
      <c r="F38" s="118"/>
      <c r="G38" s="118">
        <f t="shared" si="4"/>
        <v>0</v>
      </c>
      <c r="H38" s="118"/>
      <c r="I38" s="118"/>
      <c r="J38" s="118">
        <f t="shared" si="5"/>
        <v>0</v>
      </c>
      <c r="K38" s="118">
        <f>G38+J38</f>
        <v>0</v>
      </c>
      <c r="L38" s="118"/>
      <c r="M38" s="420">
        <f t="shared" si="2"/>
        <v>612243.0382000001</v>
      </c>
      <c r="N38" s="328"/>
    </row>
    <row r="39" spans="1:14" x14ac:dyDescent="0.25">
      <c r="A39" s="115">
        <v>36</v>
      </c>
      <c r="B39" s="116"/>
      <c r="C39" s="37"/>
      <c r="D39" s="37"/>
      <c r="E39" s="118"/>
      <c r="F39" s="118"/>
      <c r="G39" s="118">
        <f t="shared" si="4"/>
        <v>0</v>
      </c>
      <c r="H39" s="118"/>
      <c r="I39" s="118"/>
      <c r="J39" s="118">
        <f t="shared" si="5"/>
        <v>0</v>
      </c>
      <c r="K39" s="118">
        <f>G39+J39</f>
        <v>0</v>
      </c>
      <c r="L39" s="118"/>
      <c r="M39" s="420">
        <f t="shared" si="2"/>
        <v>612243.0382000001</v>
      </c>
      <c r="N39" s="328"/>
    </row>
    <row r="40" spans="1:14" x14ac:dyDescent="0.25">
      <c r="A40" s="115">
        <v>37</v>
      </c>
      <c r="B40" s="116"/>
      <c r="C40" s="37"/>
      <c r="D40" s="37"/>
      <c r="E40" s="118"/>
      <c r="F40" s="118"/>
      <c r="G40" s="118">
        <f t="shared" si="4"/>
        <v>0</v>
      </c>
      <c r="H40" s="118"/>
      <c r="I40" s="118"/>
      <c r="J40" s="118">
        <f t="shared" si="5"/>
        <v>0</v>
      </c>
      <c r="K40" s="118">
        <f>G40+J40</f>
        <v>0</v>
      </c>
      <c r="L40" s="118"/>
      <c r="M40" s="420">
        <f t="shared" si="2"/>
        <v>612243.0382000001</v>
      </c>
      <c r="N40" s="328"/>
    </row>
    <row r="41" spans="1:14" x14ac:dyDescent="0.25">
      <c r="A41" s="115">
        <v>38</v>
      </c>
      <c r="B41" s="116"/>
      <c r="C41" s="37"/>
      <c r="D41" s="37"/>
      <c r="E41" s="118"/>
      <c r="F41" s="118"/>
      <c r="G41" s="118">
        <f t="shared" si="4"/>
        <v>0</v>
      </c>
      <c r="H41" s="118"/>
      <c r="I41" s="118"/>
      <c r="J41" s="118">
        <f t="shared" si="5"/>
        <v>0</v>
      </c>
      <c r="K41" s="118">
        <f>G41+J41</f>
        <v>0</v>
      </c>
      <c r="L41" s="118"/>
      <c r="M41" s="420">
        <f t="shared" si="2"/>
        <v>612243.0382000001</v>
      </c>
      <c r="N41" s="328"/>
    </row>
    <row r="42" spans="1:14" x14ac:dyDescent="0.25">
      <c r="A42" s="115">
        <v>39</v>
      </c>
      <c r="B42" s="116"/>
      <c r="C42" s="37"/>
      <c r="D42" s="37"/>
      <c r="E42" s="118"/>
      <c r="F42" s="118"/>
      <c r="G42" s="118">
        <f t="shared" si="4"/>
        <v>0</v>
      </c>
      <c r="H42" s="118"/>
      <c r="I42" s="118"/>
      <c r="J42" s="118">
        <f t="shared" si="5"/>
        <v>0</v>
      </c>
      <c r="K42" s="118">
        <f>G42+J42</f>
        <v>0</v>
      </c>
      <c r="L42" s="118"/>
      <c r="M42" s="420">
        <f t="shared" si="2"/>
        <v>612243.0382000001</v>
      </c>
      <c r="N42" s="328"/>
    </row>
    <row r="43" spans="1:14" x14ac:dyDescent="0.25">
      <c r="A43" s="115">
        <v>40</v>
      </c>
      <c r="B43" s="116"/>
      <c r="C43" s="37"/>
      <c r="D43" s="37"/>
      <c r="E43" s="118"/>
      <c r="F43" s="118"/>
      <c r="G43" s="118">
        <f t="shared" si="4"/>
        <v>0</v>
      </c>
      <c r="H43" s="118"/>
      <c r="I43" s="118"/>
      <c r="J43" s="118">
        <f t="shared" si="5"/>
        <v>0</v>
      </c>
      <c r="K43" s="118">
        <f>G43+J43</f>
        <v>0</v>
      </c>
      <c r="L43" s="118"/>
      <c r="M43" s="420">
        <f t="shared" si="2"/>
        <v>612243.0382000001</v>
      </c>
      <c r="N43" s="328"/>
    </row>
    <row r="44" spans="1:14" x14ac:dyDescent="0.25">
      <c r="A44" s="115">
        <v>41</v>
      </c>
      <c r="B44" s="116"/>
      <c r="C44" s="37"/>
      <c r="D44" s="37"/>
      <c r="E44" s="118"/>
      <c r="F44" s="118"/>
      <c r="G44" s="118">
        <f t="shared" si="4"/>
        <v>0</v>
      </c>
      <c r="H44" s="118"/>
      <c r="I44" s="118"/>
      <c r="J44" s="118">
        <f t="shared" si="5"/>
        <v>0</v>
      </c>
      <c r="K44" s="118">
        <f>G44+J44</f>
        <v>0</v>
      </c>
      <c r="L44" s="118"/>
      <c r="M44" s="420">
        <f t="shared" si="2"/>
        <v>612243.0382000001</v>
      </c>
      <c r="N44" s="328"/>
    </row>
    <row r="45" spans="1:14" x14ac:dyDescent="0.25">
      <c r="A45" s="115">
        <v>42</v>
      </c>
      <c r="B45" s="116"/>
      <c r="C45" s="37"/>
      <c r="D45" s="37"/>
      <c r="E45" s="118"/>
      <c r="F45" s="118"/>
      <c r="G45" s="118">
        <f t="shared" si="4"/>
        <v>0</v>
      </c>
      <c r="H45" s="118"/>
      <c r="I45" s="118"/>
      <c r="J45" s="118">
        <f t="shared" si="5"/>
        <v>0</v>
      </c>
      <c r="K45" s="118">
        <f>G45+J45</f>
        <v>0</v>
      </c>
      <c r="L45" s="118"/>
      <c r="M45" s="420">
        <f t="shared" si="2"/>
        <v>612243.0382000001</v>
      </c>
      <c r="N45" s="328"/>
    </row>
    <row r="46" spans="1:14" x14ac:dyDescent="0.25">
      <c r="A46" s="115">
        <v>43</v>
      </c>
      <c r="B46" s="116"/>
      <c r="C46" s="37"/>
      <c r="D46" s="37"/>
      <c r="E46" s="118"/>
      <c r="F46" s="118"/>
      <c r="G46" s="118">
        <f t="shared" si="4"/>
        <v>0</v>
      </c>
      <c r="H46" s="118"/>
      <c r="I46" s="118"/>
      <c r="J46" s="118">
        <f t="shared" si="5"/>
        <v>0</v>
      </c>
      <c r="K46" s="118">
        <f>G46+J46</f>
        <v>0</v>
      </c>
      <c r="L46" s="118"/>
      <c r="M46" s="420">
        <f t="shared" si="2"/>
        <v>612243.0382000001</v>
      </c>
      <c r="N46" s="328"/>
    </row>
    <row r="47" spans="1:14" x14ac:dyDescent="0.25">
      <c r="A47" s="115">
        <v>44</v>
      </c>
      <c r="B47" s="116"/>
      <c r="C47" s="37"/>
      <c r="D47" s="37"/>
      <c r="E47" s="118"/>
      <c r="F47" s="118"/>
      <c r="G47" s="118">
        <f t="shared" si="4"/>
        <v>0</v>
      </c>
      <c r="H47" s="118"/>
      <c r="I47" s="118"/>
      <c r="J47" s="118">
        <f t="shared" si="5"/>
        <v>0</v>
      </c>
      <c r="K47" s="118">
        <f>G47+J47</f>
        <v>0</v>
      </c>
      <c r="L47" s="118"/>
      <c r="M47" s="420">
        <f t="shared" si="2"/>
        <v>612243.0382000001</v>
      </c>
      <c r="N47" s="328"/>
    </row>
    <row r="48" spans="1:14" x14ac:dyDescent="0.25">
      <c r="A48" s="115">
        <v>45</v>
      </c>
      <c r="B48" s="116"/>
      <c r="C48" s="37"/>
      <c r="D48" s="37"/>
      <c r="E48" s="118"/>
      <c r="F48" s="118"/>
      <c r="G48" s="118">
        <f t="shared" si="4"/>
        <v>0</v>
      </c>
      <c r="H48" s="118"/>
      <c r="I48" s="118"/>
      <c r="J48" s="118">
        <f t="shared" si="5"/>
        <v>0</v>
      </c>
      <c r="K48" s="118">
        <f>G48+J48</f>
        <v>0</v>
      </c>
      <c r="L48" s="118"/>
      <c r="M48" s="420">
        <f t="shared" si="2"/>
        <v>612243.0382000001</v>
      </c>
      <c r="N48" s="328"/>
    </row>
    <row r="49" spans="1:14" x14ac:dyDescent="0.25">
      <c r="A49" s="115">
        <v>46</v>
      </c>
      <c r="B49" s="116"/>
      <c r="C49" s="37"/>
      <c r="D49" s="37"/>
      <c r="E49" s="118"/>
      <c r="F49" s="118"/>
      <c r="G49" s="118">
        <f t="shared" si="4"/>
        <v>0</v>
      </c>
      <c r="H49" s="118"/>
      <c r="I49" s="118"/>
      <c r="J49" s="118">
        <f t="shared" si="5"/>
        <v>0</v>
      </c>
      <c r="K49" s="118">
        <f>G49+J49</f>
        <v>0</v>
      </c>
      <c r="L49" s="118"/>
      <c r="M49" s="420">
        <f t="shared" si="2"/>
        <v>612243.0382000001</v>
      </c>
      <c r="N49" s="328"/>
    </row>
    <row r="50" spans="1:14" x14ac:dyDescent="0.25">
      <c r="A50" s="115">
        <v>47</v>
      </c>
      <c r="B50" s="116"/>
      <c r="C50" s="37"/>
      <c r="D50" s="37"/>
      <c r="E50" s="118"/>
      <c r="F50" s="118"/>
      <c r="G50" s="118">
        <f t="shared" si="4"/>
        <v>0</v>
      </c>
      <c r="H50" s="118"/>
      <c r="I50" s="118"/>
      <c r="J50" s="118">
        <f t="shared" si="5"/>
        <v>0</v>
      </c>
      <c r="K50" s="118">
        <f>G50+J50</f>
        <v>0</v>
      </c>
      <c r="L50" s="118"/>
      <c r="M50" s="420">
        <f t="shared" si="2"/>
        <v>612243.0382000001</v>
      </c>
      <c r="N50" s="328"/>
    </row>
    <row r="51" spans="1:14" x14ac:dyDescent="0.25">
      <c r="A51" s="115">
        <v>48</v>
      </c>
      <c r="B51" s="116"/>
      <c r="C51" s="37"/>
      <c r="D51" s="37"/>
      <c r="E51" s="118"/>
      <c r="F51" s="118"/>
      <c r="G51" s="118">
        <f t="shared" si="4"/>
        <v>0</v>
      </c>
      <c r="H51" s="118"/>
      <c r="I51" s="118"/>
      <c r="J51" s="118">
        <f t="shared" si="5"/>
        <v>0</v>
      </c>
      <c r="K51" s="118">
        <f>G51+J51</f>
        <v>0</v>
      </c>
      <c r="L51" s="118"/>
      <c r="M51" s="420">
        <f t="shared" si="2"/>
        <v>612243.0382000001</v>
      </c>
      <c r="N51" s="328"/>
    </row>
    <row r="52" spans="1:14" x14ac:dyDescent="0.25">
      <c r="A52" s="115">
        <v>49</v>
      </c>
      <c r="B52" s="116"/>
      <c r="C52" s="37"/>
      <c r="D52" s="37"/>
      <c r="E52" s="118"/>
      <c r="F52" s="118"/>
      <c r="G52" s="118">
        <f t="shared" si="4"/>
        <v>0</v>
      </c>
      <c r="H52" s="118"/>
      <c r="I52" s="118"/>
      <c r="J52" s="118">
        <f t="shared" si="5"/>
        <v>0</v>
      </c>
      <c r="K52" s="118">
        <f>G52+J52</f>
        <v>0</v>
      </c>
      <c r="L52" s="118"/>
      <c r="M52" s="420">
        <f t="shared" si="2"/>
        <v>612243.0382000001</v>
      </c>
      <c r="N52" s="328"/>
    </row>
    <row r="53" spans="1:14" x14ac:dyDescent="0.25">
      <c r="A53" s="115">
        <v>50</v>
      </c>
      <c r="B53" s="116"/>
      <c r="C53" s="113"/>
      <c r="D53" s="113"/>
      <c r="E53" s="118"/>
      <c r="F53" s="118"/>
      <c r="G53" s="118">
        <f t="shared" si="4"/>
        <v>0</v>
      </c>
      <c r="H53" s="118"/>
      <c r="I53" s="118"/>
      <c r="J53" s="118">
        <f t="shared" si="5"/>
        <v>0</v>
      </c>
      <c r="K53" s="118">
        <f>G53+J53</f>
        <v>0</v>
      </c>
      <c r="L53" s="118"/>
      <c r="M53" s="420">
        <f t="shared" si="2"/>
        <v>612243.0382000001</v>
      </c>
      <c r="N53" s="355"/>
    </row>
    <row r="54" spans="1:14" x14ac:dyDescent="0.25">
      <c r="A54" s="115">
        <v>50</v>
      </c>
      <c r="B54" s="116"/>
      <c r="C54" s="37"/>
      <c r="D54" s="37"/>
      <c r="E54" s="118"/>
      <c r="F54" s="118"/>
      <c r="G54" s="118">
        <f t="shared" si="4"/>
        <v>0</v>
      </c>
      <c r="H54" s="118"/>
      <c r="I54" s="118"/>
      <c r="J54" s="118">
        <f t="shared" si="5"/>
        <v>0</v>
      </c>
      <c r="K54" s="118">
        <f>G54+J54</f>
        <v>0</v>
      </c>
      <c r="L54" s="118"/>
      <c r="M54" s="420">
        <f t="shared" si="2"/>
        <v>612243.0382000001</v>
      </c>
      <c r="N54" s="328"/>
    </row>
    <row r="55" spans="1:16" x14ac:dyDescent="0.25">
      <c r="A55" s="115">
        <v>51</v>
      </c>
      <c r="B55" s="116"/>
      <c r="C55" s="37"/>
      <c r="D55" s="37"/>
      <c r="E55" s="118"/>
      <c r="F55" s="118"/>
      <c r="G55" s="118">
        <f t="shared" si="4"/>
        <v>0</v>
      </c>
      <c r="H55" s="118"/>
      <c r="I55" s="118"/>
      <c r="J55" s="118">
        <f t="shared" si="5"/>
        <v>0</v>
      </c>
      <c r="K55" s="118">
        <f>G55+J55</f>
        <v>0</v>
      </c>
      <c r="L55" s="118"/>
      <c r="M55" s="420">
        <f t="shared" si="2"/>
        <v>612243.0382000001</v>
      </c>
      <c r="N55" s="328"/>
      <c r="P55" s="258"/>
    </row>
    <row r="56" spans="1:14" x14ac:dyDescent="0.25">
      <c r="A56" s="404"/>
      <c r="B56" s="404"/>
      <c r="C56" s="404"/>
      <c r="D56" s="404"/>
      <c r="E56" s="404">
        <f>SUM(E4:E55)</f>
        <v>0</v>
      </c>
      <c r="F56" s="404"/>
      <c r="G56" s="404">
        <f>SUM(G4:G55)</f>
        <v>0</v>
      </c>
      <c r="H56" s="404">
        <f>SUM(H4:H55)</f>
        <v>60</v>
      </c>
      <c r="I56" s="404"/>
      <c r="J56" s="404">
        <f>SUM(J4:J55)</f>
        <v>7090.8</v>
      </c>
      <c r="K56" s="404">
        <f>SUM(K4:K55)</f>
        <v>7090.8</v>
      </c>
      <c r="L56" s="404">
        <f>SUM(L4:L55)</f>
        <v>0</v>
      </c>
      <c r="M56" s="404"/>
      <c r="N56" s="404"/>
    </row>
  </sheetData>
  <mergeCells count="2">
    <mergeCell ref="A1:N1"/>
    <mergeCell ref="A3:J3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7"/>
  <sheetViews>
    <sheetView workbookViewId="0" zoomScale="100" zoomScaleNormal="100">
      <selection activeCell="G8" sqref="G8"/>
    </sheetView>
  </sheetViews>
  <sheetFormatPr defaultRowHeight="15" outlineLevelRow="0" outlineLevelCol="0" x14ac:dyDescent="0"/>
  <cols>
    <col min="2" max="2" width="11.7109375" customWidth="1"/>
  </cols>
  <sheetData>
    <row r="2" ht="30" customHeight="1" x14ac:dyDescent="0.25"/>
    <row r="3" ht="30" customHeight="1" x14ac:dyDescent="0.25"/>
    <row r="4" ht="30" customHeight="1" x14ac:dyDescent="0.25"/>
    <row r="5" ht="30" customHeight="1" x14ac:dyDescent="0.25"/>
    <row r="6" ht="30" customHeight="1" x14ac:dyDescent="0.25"/>
    <row r="7" ht="30" customHeight="1" x14ac:dyDescent="0.25"/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 zoomScale="100" zoomScaleNormal="100">
      <pane ySplit="3" topLeftCell="A4" activePane="bottomLeft" state="frozen"/>
      <selection pane="bottomLeft" activeCell="K15" sqref="K15"/>
    </sheetView>
  </sheetViews>
  <sheetFormatPr defaultRowHeight="15" outlineLevelRow="0" outlineLevelCol="0" x14ac:dyDescent="0"/>
  <cols>
    <col min="2" max="2" width="11.85546875" customWidth="1"/>
    <col min="4" max="4" width="12" customWidth="1"/>
    <col min="7" max="7" width="11.85546875" customWidth="1"/>
    <col min="10" max="10" width="10.85546875" customWidth="1"/>
    <col min="11" max="11" width="13.5703125" customWidth="1"/>
    <col min="12" max="13" width="11.85546875" customWidth="1"/>
  </cols>
  <sheetData>
    <row r="1" ht="15.75" customHeight="1" spans="1:14" x14ac:dyDescent="0.25">
      <c r="A1" s="172" t="s">
        <v>78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</row>
    <row r="2" ht="30.75" customHeight="1" spans="1:14" x14ac:dyDescent="0.25">
      <c r="A2" s="173" t="s">
        <v>0</v>
      </c>
      <c r="B2" s="174" t="s">
        <v>167</v>
      </c>
      <c r="C2" s="174" t="s">
        <v>168</v>
      </c>
      <c r="D2" s="174" t="s">
        <v>189</v>
      </c>
      <c r="E2" s="175" t="s">
        <v>170</v>
      </c>
      <c r="F2" s="175" t="s">
        <v>171</v>
      </c>
      <c r="G2" s="174" t="s">
        <v>172</v>
      </c>
      <c r="H2" s="174" t="s">
        <v>173</v>
      </c>
      <c r="I2" s="174" t="s">
        <v>171</v>
      </c>
      <c r="J2" s="176" t="s">
        <v>172</v>
      </c>
      <c r="K2" s="177" t="s">
        <v>174</v>
      </c>
      <c r="L2" s="178" t="s">
        <v>175</v>
      </c>
      <c r="M2" s="179" t="s">
        <v>190</v>
      </c>
      <c r="N2" s="180" t="s">
        <v>177</v>
      </c>
    </row>
    <row r="3" spans="1:14" x14ac:dyDescent="0.25">
      <c r="A3" s="148" t="s">
        <v>178</v>
      </c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50"/>
      <c r="M3" s="181">
        <v>0</v>
      </c>
      <c r="N3" s="182"/>
    </row>
    <row r="4" spans="1:14" x14ac:dyDescent="0.25">
      <c r="A4" s="183">
        <v>1</v>
      </c>
      <c r="B4" s="184">
        <v>46266</v>
      </c>
      <c r="C4" s="185"/>
      <c r="D4" s="186"/>
      <c r="E4" s="165"/>
      <c r="F4" s="165"/>
      <c r="G4" s="166">
        <f t="shared" ref="G4:G34" si="0">E4*F4</f>
        <v>0</v>
      </c>
      <c r="H4" s="187"/>
      <c r="I4" s="168"/>
      <c r="J4" s="166">
        <f>H4*I4</f>
        <v>0</v>
      </c>
      <c r="K4" s="166">
        <f>G4+J4</f>
        <v>0</v>
      </c>
      <c r="L4" s="188"/>
      <c r="M4" s="118">
        <f t="shared" ref="M3:M34" si="1">M3+K4-L4</f>
        <v>0</v>
      </c>
      <c r="N4" s="166"/>
    </row>
    <row r="5" spans="1:14" x14ac:dyDescent="0.25">
      <c r="A5" s="189">
        <v>2</v>
      </c>
      <c r="B5" s="184">
        <v>46267</v>
      </c>
      <c r="C5" s="185"/>
      <c r="D5" s="186"/>
      <c r="E5" s="165"/>
      <c r="F5" s="165"/>
      <c r="G5" s="166">
        <f t="shared" ref="G5:G9" si="2">E5*F5</f>
        <v>0</v>
      </c>
      <c r="H5" s="187"/>
      <c r="I5" s="168"/>
      <c r="J5" s="166">
        <f t="shared" ref="J5:J34" si="3">H5*I5</f>
        <v>0</v>
      </c>
      <c r="K5" s="166">
        <f t="shared" ref="K5:L34" si="4">G5+J5</f>
        <v>0</v>
      </c>
      <c r="L5" s="188"/>
      <c r="M5" s="118">
        <f t="shared" si="1"/>
        <v>0</v>
      </c>
      <c r="N5" s="166"/>
    </row>
    <row r="6" spans="1:14" x14ac:dyDescent="0.25">
      <c r="A6" s="189">
        <v>3</v>
      </c>
      <c r="B6" s="184">
        <v>46268</v>
      </c>
      <c r="C6" s="185"/>
      <c r="D6" s="186"/>
      <c r="E6" s="165"/>
      <c r="F6" s="165"/>
      <c r="G6" s="166">
        <f t="shared" si="2"/>
        <v>0</v>
      </c>
      <c r="H6" s="187"/>
      <c r="I6" s="168"/>
      <c r="J6" s="166">
        <f t="shared" si="3"/>
        <v>0</v>
      </c>
      <c r="K6" s="166">
        <f t="shared" si="4"/>
        <v>0</v>
      </c>
      <c r="L6" s="188"/>
      <c r="M6" s="118">
        <f t="shared" si="1"/>
        <v>0</v>
      </c>
      <c r="N6" s="166"/>
    </row>
    <row r="7" spans="1:14" x14ac:dyDescent="0.25">
      <c r="A7" s="189">
        <v>4</v>
      </c>
      <c r="B7" s="184">
        <v>46269</v>
      </c>
      <c r="C7" s="185"/>
      <c r="D7" s="186"/>
      <c r="E7" s="165"/>
      <c r="F7" s="165"/>
      <c r="G7" s="166">
        <f t="shared" si="2"/>
        <v>0</v>
      </c>
      <c r="H7" s="167"/>
      <c r="I7" s="168"/>
      <c r="J7" s="166">
        <f t="shared" si="3"/>
        <v>0</v>
      </c>
      <c r="K7" s="166">
        <f t="shared" si="4"/>
        <v>0</v>
      </c>
      <c r="L7" s="188"/>
      <c r="M7" s="118">
        <f t="shared" si="1"/>
        <v>0</v>
      </c>
      <c r="N7" s="166"/>
    </row>
    <row r="8" spans="1:14" x14ac:dyDescent="0.25">
      <c r="A8" s="189">
        <v>5</v>
      </c>
      <c r="B8" s="184">
        <v>46270</v>
      </c>
      <c r="C8" s="185"/>
      <c r="D8" s="186"/>
      <c r="E8" s="165"/>
      <c r="F8" s="165"/>
      <c r="G8" s="166">
        <f t="shared" si="2"/>
        <v>0</v>
      </c>
      <c r="H8" s="167"/>
      <c r="I8" s="168"/>
      <c r="J8" s="166">
        <f t="shared" si="3"/>
        <v>0</v>
      </c>
      <c r="K8" s="166">
        <f t="shared" si="4"/>
        <v>0</v>
      </c>
      <c r="L8" s="188"/>
      <c r="M8" s="118">
        <f t="shared" si="1"/>
        <v>0</v>
      </c>
      <c r="N8" s="166"/>
    </row>
    <row r="9" spans="1:14" x14ac:dyDescent="0.25">
      <c r="A9" s="189">
        <v>6</v>
      </c>
      <c r="B9" s="184">
        <v>46271</v>
      </c>
      <c r="C9" s="185"/>
      <c r="D9" s="186"/>
      <c r="E9" s="165"/>
      <c r="F9" s="165"/>
      <c r="G9" s="166">
        <f t="shared" si="2"/>
        <v>0</v>
      </c>
      <c r="H9" s="167"/>
      <c r="I9" s="168"/>
      <c r="J9" s="166">
        <f t="shared" si="3"/>
        <v>0</v>
      </c>
      <c r="K9" s="166">
        <f t="shared" si="4"/>
        <v>0</v>
      </c>
      <c r="L9" s="188"/>
      <c r="M9" s="118">
        <f t="shared" si="1"/>
        <v>0</v>
      </c>
      <c r="N9" s="166"/>
    </row>
    <row r="10" spans="1:14" x14ac:dyDescent="0.25">
      <c r="A10" s="189">
        <v>7</v>
      </c>
      <c r="B10" s="184">
        <v>46272</v>
      </c>
      <c r="C10" s="185"/>
      <c r="D10" s="186"/>
      <c r="E10" s="165"/>
      <c r="F10" s="165"/>
      <c r="G10" s="166">
        <f t="shared" ref="G5:G34" si="5">E10*F10</f>
        <v>0</v>
      </c>
      <c r="H10" s="167"/>
      <c r="I10" s="168"/>
      <c r="J10" s="166">
        <f t="shared" si="3"/>
        <v>0</v>
      </c>
      <c r="K10" s="166">
        <f t="shared" si="4"/>
        <v>0</v>
      </c>
      <c r="L10" s="188"/>
      <c r="M10" s="118">
        <f t="shared" si="1"/>
        <v>0</v>
      </c>
      <c r="N10" s="166"/>
    </row>
    <row r="11" spans="1:14" x14ac:dyDescent="0.25">
      <c r="A11" s="189">
        <v>8</v>
      </c>
      <c r="B11" s="184">
        <v>46273</v>
      </c>
      <c r="C11" s="185"/>
      <c r="D11" s="186"/>
      <c r="E11" s="165"/>
      <c r="F11" s="165"/>
      <c r="G11" s="166">
        <f t="shared" si="5"/>
        <v>0</v>
      </c>
      <c r="H11" s="167"/>
      <c r="I11" s="168"/>
      <c r="J11" s="166">
        <f t="shared" si="3"/>
        <v>0</v>
      </c>
      <c r="K11" s="166">
        <f t="shared" si="4"/>
        <v>0</v>
      </c>
      <c r="L11" s="188"/>
      <c r="M11" s="118">
        <f>M10+K11-L11</f>
        <v>0</v>
      </c>
      <c r="N11" s="166"/>
    </row>
    <row r="12" spans="1:14" x14ac:dyDescent="0.25">
      <c r="A12" s="189">
        <v>9</v>
      </c>
      <c r="B12" s="184">
        <v>46274</v>
      </c>
      <c r="C12" s="185"/>
      <c r="D12" s="186"/>
      <c r="E12" s="165"/>
      <c r="F12" s="165"/>
      <c r="G12" s="166">
        <f t="shared" si="5"/>
        <v>0</v>
      </c>
      <c r="H12" s="167"/>
      <c r="I12" s="168"/>
      <c r="J12" s="166">
        <f t="shared" si="3"/>
        <v>0</v>
      </c>
      <c r="K12" s="166">
        <f t="shared" si="4"/>
        <v>0</v>
      </c>
      <c r="L12" s="188"/>
      <c r="M12" s="118">
        <f t="shared" si="1"/>
        <v>0</v>
      </c>
      <c r="N12" s="166"/>
    </row>
    <row r="13" spans="1:14" x14ac:dyDescent="0.25">
      <c r="A13" s="189">
        <v>10</v>
      </c>
      <c r="B13" s="184">
        <v>46275</v>
      </c>
      <c r="C13" s="185"/>
      <c r="D13" s="186"/>
      <c r="E13" s="165"/>
      <c r="F13" s="165"/>
      <c r="G13" s="166">
        <f t="shared" si="5"/>
        <v>0</v>
      </c>
      <c r="H13" s="167"/>
      <c r="I13" s="168"/>
      <c r="J13" s="166">
        <f t="shared" si="3"/>
        <v>0</v>
      </c>
      <c r="K13" s="166">
        <f t="shared" si="4"/>
        <v>0</v>
      </c>
      <c r="L13" s="188"/>
      <c r="M13" s="118">
        <f t="shared" si="1"/>
        <v>0</v>
      </c>
      <c r="N13" s="166"/>
    </row>
    <row r="14" spans="1:14" x14ac:dyDescent="0.25">
      <c r="A14" s="189">
        <v>11</v>
      </c>
      <c r="B14" s="184">
        <v>46276</v>
      </c>
      <c r="C14" s="185"/>
      <c r="D14" s="186"/>
      <c r="E14" s="165"/>
      <c r="F14" s="165"/>
      <c r="G14" s="166">
        <f t="shared" si="5"/>
        <v>0</v>
      </c>
      <c r="H14" s="167"/>
      <c r="I14" s="168"/>
      <c r="J14" s="166">
        <f t="shared" si="3"/>
        <v>0</v>
      </c>
      <c r="K14" s="166">
        <f t="shared" si="4"/>
        <v>0</v>
      </c>
      <c r="L14" s="188"/>
      <c r="M14" s="118">
        <f t="shared" si="1"/>
        <v>0</v>
      </c>
      <c r="N14" s="166"/>
    </row>
    <row r="15" spans="1:14" x14ac:dyDescent="0.25">
      <c r="A15" s="189">
        <v>12</v>
      </c>
      <c r="B15" s="184">
        <v>46277</v>
      </c>
      <c r="C15" s="185"/>
      <c r="D15" s="186"/>
      <c r="E15" s="165"/>
      <c r="F15" s="165"/>
      <c r="G15" s="166">
        <f t="shared" si="5"/>
        <v>0</v>
      </c>
      <c r="H15" s="167"/>
      <c r="I15" s="168"/>
      <c r="J15" s="166">
        <f t="shared" si="3"/>
        <v>0</v>
      </c>
      <c r="K15" s="166">
        <f t="shared" si="4"/>
        <v>0</v>
      </c>
      <c r="L15" s="188"/>
      <c r="M15" s="118">
        <f t="shared" si="1"/>
        <v>0</v>
      </c>
      <c r="N15" s="166"/>
    </row>
    <row r="16" spans="1:14" x14ac:dyDescent="0.25">
      <c r="A16" s="189">
        <v>13</v>
      </c>
      <c r="B16" s="184">
        <v>46278</v>
      </c>
      <c r="C16" s="185"/>
      <c r="D16" s="186"/>
      <c r="E16" s="165"/>
      <c r="F16" s="165"/>
      <c r="G16" s="166">
        <f t="shared" si="5"/>
        <v>0</v>
      </c>
      <c r="H16" s="167"/>
      <c r="I16" s="168"/>
      <c r="J16" s="166">
        <f t="shared" si="3"/>
        <v>0</v>
      </c>
      <c r="K16" s="166">
        <f t="shared" si="4"/>
        <v>0</v>
      </c>
      <c r="L16" s="188"/>
      <c r="M16" s="118">
        <f t="shared" si="1"/>
        <v>0</v>
      </c>
      <c r="N16" s="166"/>
    </row>
    <row r="17" spans="1:14" x14ac:dyDescent="0.25">
      <c r="A17" s="189">
        <v>14</v>
      </c>
      <c r="B17" s="184">
        <v>46279</v>
      </c>
      <c r="C17" s="185"/>
      <c r="D17" s="186"/>
      <c r="E17" s="165"/>
      <c r="F17" s="165"/>
      <c r="G17" s="166">
        <f t="shared" si="5"/>
        <v>0</v>
      </c>
      <c r="H17" s="167"/>
      <c r="I17" s="168"/>
      <c r="J17" s="166">
        <f t="shared" si="3"/>
        <v>0</v>
      </c>
      <c r="K17" s="166">
        <f t="shared" si="4"/>
        <v>0</v>
      </c>
      <c r="L17" s="188"/>
      <c r="M17" s="118">
        <f t="shared" si="1"/>
        <v>0</v>
      </c>
      <c r="N17" s="166"/>
    </row>
    <row r="18" spans="1:14" x14ac:dyDescent="0.25">
      <c r="A18" s="189">
        <v>15</v>
      </c>
      <c r="B18" s="184">
        <v>46280</v>
      </c>
      <c r="C18" s="185"/>
      <c r="D18" s="186"/>
      <c r="E18" s="190"/>
      <c r="F18" s="165"/>
      <c r="G18" s="166">
        <f t="shared" si="5"/>
        <v>0</v>
      </c>
      <c r="H18" s="167"/>
      <c r="I18" s="168"/>
      <c r="J18" s="166">
        <f t="shared" si="3"/>
        <v>0</v>
      </c>
      <c r="K18" s="166">
        <f t="shared" si="4"/>
        <v>0</v>
      </c>
      <c r="L18" s="188"/>
      <c r="M18" s="118">
        <f t="shared" si="1"/>
        <v>0</v>
      </c>
      <c r="N18" s="166"/>
    </row>
    <row r="19" spans="1:14" x14ac:dyDescent="0.25">
      <c r="A19" s="189">
        <v>16</v>
      </c>
      <c r="B19" s="184">
        <v>46281</v>
      </c>
      <c r="C19" s="185"/>
      <c r="D19" s="186"/>
      <c r="E19" s="165"/>
      <c r="F19" s="165"/>
      <c r="G19" s="166">
        <f t="shared" si="5"/>
        <v>0</v>
      </c>
      <c r="H19" s="167"/>
      <c r="I19" s="168"/>
      <c r="J19" s="166">
        <f t="shared" si="3"/>
        <v>0</v>
      </c>
      <c r="K19" s="166">
        <f t="shared" si="4"/>
        <v>0</v>
      </c>
      <c r="L19" s="188"/>
      <c r="M19" s="118">
        <f t="shared" si="1"/>
        <v>0</v>
      </c>
      <c r="N19" s="166"/>
    </row>
    <row r="20" spans="1:14" x14ac:dyDescent="0.25">
      <c r="A20" s="189">
        <v>17</v>
      </c>
      <c r="B20" s="184">
        <v>46282</v>
      </c>
      <c r="C20" s="185"/>
      <c r="D20" s="186"/>
      <c r="E20" s="165"/>
      <c r="F20" s="165"/>
      <c r="G20" s="166">
        <f t="shared" si="5"/>
        <v>0</v>
      </c>
      <c r="H20" s="167"/>
      <c r="I20" s="168"/>
      <c r="J20" s="166">
        <f t="shared" si="3"/>
        <v>0</v>
      </c>
      <c r="K20" s="166">
        <f t="shared" si="4"/>
        <v>0</v>
      </c>
      <c r="L20" s="188"/>
      <c r="M20" s="118">
        <f t="shared" si="1"/>
        <v>0</v>
      </c>
      <c r="N20" s="166"/>
    </row>
    <row r="21" spans="1:14" x14ac:dyDescent="0.25">
      <c r="A21" s="189">
        <v>18</v>
      </c>
      <c r="B21" s="184">
        <v>46283</v>
      </c>
      <c r="C21" s="185"/>
      <c r="D21" s="186"/>
      <c r="E21" s="190"/>
      <c r="F21" s="165"/>
      <c r="G21" s="166">
        <f t="shared" si="5"/>
        <v>0</v>
      </c>
      <c r="H21" s="167"/>
      <c r="I21" s="168"/>
      <c r="J21" s="166">
        <f t="shared" si="3"/>
        <v>0</v>
      </c>
      <c r="K21" s="166">
        <f t="shared" si="4"/>
        <v>0</v>
      </c>
      <c r="L21" s="188"/>
      <c r="M21" s="118">
        <f>M20+K21-L21</f>
        <v>0</v>
      </c>
      <c r="N21" s="166"/>
    </row>
    <row r="22" spans="1:14" x14ac:dyDescent="0.25">
      <c r="A22" s="189">
        <v>19</v>
      </c>
      <c r="B22" s="184">
        <v>46284</v>
      </c>
      <c r="C22" s="185"/>
      <c r="D22" s="186"/>
      <c r="E22" s="167"/>
      <c r="F22" s="165"/>
      <c r="G22" s="166">
        <f t="shared" si="5"/>
        <v>0</v>
      </c>
      <c r="H22" s="167"/>
      <c r="I22" s="168"/>
      <c r="J22" s="166">
        <f t="shared" si="3"/>
        <v>0</v>
      </c>
      <c r="K22" s="166">
        <f t="shared" si="4"/>
        <v>0</v>
      </c>
      <c r="L22" s="188"/>
      <c r="M22" s="118">
        <f t="shared" si="1"/>
        <v>0</v>
      </c>
      <c r="N22" s="166"/>
    </row>
    <row r="23" spans="1:14" x14ac:dyDescent="0.25">
      <c r="A23" s="189">
        <v>20</v>
      </c>
      <c r="B23" s="184">
        <v>46285</v>
      </c>
      <c r="C23" s="185"/>
      <c r="D23" s="186"/>
      <c r="E23" s="165"/>
      <c r="F23" s="165"/>
      <c r="G23" s="166">
        <f t="shared" si="5"/>
        <v>0</v>
      </c>
      <c r="H23" s="167"/>
      <c r="I23" s="168"/>
      <c r="J23" s="166">
        <f t="shared" si="3"/>
        <v>0</v>
      </c>
      <c r="K23" s="166">
        <f t="shared" si="4"/>
        <v>0</v>
      </c>
      <c r="L23" s="188"/>
      <c r="M23" s="118">
        <f t="shared" si="1"/>
        <v>0</v>
      </c>
      <c r="N23" s="166"/>
    </row>
    <row r="24" spans="1:14" x14ac:dyDescent="0.25">
      <c r="A24" s="189">
        <v>21</v>
      </c>
      <c r="B24" s="184">
        <v>46286</v>
      </c>
      <c r="C24" s="185"/>
      <c r="D24" s="186"/>
      <c r="E24" s="165"/>
      <c r="F24" s="165"/>
      <c r="G24" s="166">
        <f t="shared" si="5"/>
        <v>0</v>
      </c>
      <c r="H24" s="167"/>
      <c r="I24" s="168"/>
      <c r="J24" s="166">
        <f t="shared" si="3"/>
        <v>0</v>
      </c>
      <c r="K24" s="166">
        <f t="shared" si="4"/>
        <v>0</v>
      </c>
      <c r="L24" s="188"/>
      <c r="M24" s="118">
        <f t="shared" si="1"/>
        <v>0</v>
      </c>
      <c r="N24" s="166"/>
    </row>
    <row r="25" spans="1:14" x14ac:dyDescent="0.25">
      <c r="A25" s="189">
        <v>22</v>
      </c>
      <c r="B25" s="184">
        <v>46287</v>
      </c>
      <c r="C25" s="185"/>
      <c r="D25" s="186"/>
      <c r="E25" s="165"/>
      <c r="F25" s="165"/>
      <c r="G25" s="166">
        <f t="shared" si="5"/>
        <v>0</v>
      </c>
      <c r="H25" s="167"/>
      <c r="I25" s="168"/>
      <c r="J25" s="166">
        <f t="shared" si="3"/>
        <v>0</v>
      </c>
      <c r="K25" s="166">
        <f t="shared" si="4"/>
        <v>0</v>
      </c>
      <c r="L25" s="188"/>
      <c r="M25" s="118">
        <f t="shared" si="1"/>
        <v>0</v>
      </c>
      <c r="N25" s="166"/>
    </row>
    <row r="26" spans="1:14" x14ac:dyDescent="0.25">
      <c r="A26" s="189">
        <v>23</v>
      </c>
      <c r="B26" s="184">
        <v>46288</v>
      </c>
      <c r="C26" s="185"/>
      <c r="D26" s="186"/>
      <c r="E26" s="165"/>
      <c r="F26" s="165"/>
      <c r="G26" s="166">
        <f t="shared" si="5"/>
        <v>0</v>
      </c>
      <c r="H26" s="167"/>
      <c r="I26" s="168"/>
      <c r="J26" s="166">
        <f t="shared" si="3"/>
        <v>0</v>
      </c>
      <c r="K26" s="166">
        <f t="shared" si="4"/>
        <v>0</v>
      </c>
      <c r="L26" s="188"/>
      <c r="M26" s="118">
        <f t="shared" si="1"/>
        <v>0</v>
      </c>
      <c r="N26" s="166"/>
    </row>
    <row r="27" spans="1:14" x14ac:dyDescent="0.25">
      <c r="A27" s="189">
        <v>24</v>
      </c>
      <c r="B27" s="184">
        <v>46289</v>
      </c>
      <c r="C27" s="185"/>
      <c r="D27" s="186"/>
      <c r="E27" s="165"/>
      <c r="F27" s="165"/>
      <c r="G27" s="166">
        <f t="shared" si="5"/>
        <v>0</v>
      </c>
      <c r="H27" s="167"/>
      <c r="I27" s="168"/>
      <c r="J27" s="166">
        <f t="shared" si="3"/>
        <v>0</v>
      </c>
      <c r="K27" s="166">
        <f t="shared" si="4"/>
        <v>0</v>
      </c>
      <c r="L27" s="188"/>
      <c r="M27" s="118">
        <f t="shared" si="1"/>
        <v>0</v>
      </c>
      <c r="N27" s="166"/>
    </row>
    <row r="28" spans="1:14" x14ac:dyDescent="0.25">
      <c r="A28" s="191">
        <v>25</v>
      </c>
      <c r="B28" s="184">
        <v>46290</v>
      </c>
      <c r="C28" s="185"/>
      <c r="D28" s="186"/>
      <c r="E28" s="165"/>
      <c r="F28" s="165"/>
      <c r="G28" s="166">
        <f t="shared" si="5"/>
        <v>0</v>
      </c>
      <c r="H28" s="167"/>
      <c r="I28" s="192"/>
      <c r="J28" s="166">
        <f t="shared" si="3"/>
        <v>0</v>
      </c>
      <c r="K28" s="166">
        <f t="shared" si="4"/>
        <v>0</v>
      </c>
      <c r="L28" s="188"/>
      <c r="M28" s="118">
        <f>M27+K28-L28</f>
        <v>0</v>
      </c>
      <c r="N28" s="166"/>
    </row>
    <row r="29" spans="1:14" x14ac:dyDescent="0.25">
      <c r="A29" s="191">
        <v>26</v>
      </c>
      <c r="B29" s="184">
        <v>46291</v>
      </c>
      <c r="C29" s="185"/>
      <c r="D29" s="186"/>
      <c r="E29" s="165"/>
      <c r="F29" s="165"/>
      <c r="G29" s="166">
        <f t="shared" si="5"/>
        <v>0</v>
      </c>
      <c r="H29" s="167"/>
      <c r="I29" s="192"/>
      <c r="J29" s="166">
        <f t="shared" si="3"/>
        <v>0</v>
      </c>
      <c r="K29" s="166">
        <f t="shared" si="4"/>
        <v>0</v>
      </c>
      <c r="L29" s="188"/>
      <c r="M29" s="118">
        <f t="shared" si="1"/>
        <v>0</v>
      </c>
      <c r="N29" s="166"/>
    </row>
    <row r="30" spans="1:14" x14ac:dyDescent="0.25">
      <c r="A30" s="191">
        <v>27</v>
      </c>
      <c r="B30" s="184">
        <v>46292</v>
      </c>
      <c r="C30" s="185"/>
      <c r="D30" s="186"/>
      <c r="E30" s="165"/>
      <c r="F30" s="165"/>
      <c r="G30" s="166">
        <f t="shared" si="5"/>
        <v>0</v>
      </c>
      <c r="H30" s="167"/>
      <c r="I30" s="168"/>
      <c r="J30" s="166">
        <f t="shared" si="3"/>
        <v>0</v>
      </c>
      <c r="K30" s="166">
        <f t="shared" si="4"/>
        <v>0</v>
      </c>
      <c r="L30" s="188"/>
      <c r="M30" s="118">
        <f t="shared" si="1"/>
        <v>0</v>
      </c>
      <c r="N30" s="166"/>
    </row>
    <row r="31" spans="1:14" x14ac:dyDescent="0.25">
      <c r="A31" s="191">
        <v>28</v>
      </c>
      <c r="B31" s="184">
        <v>46293</v>
      </c>
      <c r="C31" s="185"/>
      <c r="D31" s="186"/>
      <c r="E31" s="165"/>
      <c r="F31" s="165"/>
      <c r="G31" s="166">
        <f t="shared" si="5"/>
        <v>0</v>
      </c>
      <c r="H31" s="167"/>
      <c r="I31" s="168"/>
      <c r="J31" s="166">
        <f t="shared" si="3"/>
        <v>0</v>
      </c>
      <c r="K31" s="166">
        <f t="shared" si="4"/>
        <v>0</v>
      </c>
      <c r="L31" s="188"/>
      <c r="M31" s="118">
        <f t="shared" si="1"/>
        <v>0</v>
      </c>
      <c r="N31" s="166"/>
    </row>
    <row r="32" spans="1:14" x14ac:dyDescent="0.25">
      <c r="A32" s="193">
        <v>29</v>
      </c>
      <c r="B32" s="184">
        <v>46294</v>
      </c>
      <c r="C32" s="185"/>
      <c r="D32" s="186"/>
      <c r="E32" s="165"/>
      <c r="F32" s="165"/>
      <c r="G32" s="166">
        <f t="shared" si="5"/>
        <v>0</v>
      </c>
      <c r="H32" s="167"/>
      <c r="I32" s="168"/>
      <c r="J32" s="166">
        <f t="shared" si="3"/>
        <v>0</v>
      </c>
      <c r="K32" s="166">
        <f t="shared" si="4"/>
        <v>0</v>
      </c>
      <c r="L32" s="188"/>
      <c r="M32" s="118">
        <f t="shared" si="1"/>
        <v>0</v>
      </c>
      <c r="N32" s="166"/>
    </row>
    <row r="33" spans="1:14" x14ac:dyDescent="0.25">
      <c r="A33" s="193">
        <v>30</v>
      </c>
      <c r="B33" s="184">
        <v>46295</v>
      </c>
      <c r="C33" s="185"/>
      <c r="D33" s="186"/>
      <c r="E33" s="165"/>
      <c r="F33" s="165"/>
      <c r="G33" s="166">
        <f t="shared" si="5"/>
        <v>0</v>
      </c>
      <c r="H33" s="167"/>
      <c r="I33" s="168"/>
      <c r="J33" s="166">
        <f t="shared" si="3"/>
        <v>0</v>
      </c>
      <c r="K33" s="166">
        <f t="shared" si="4"/>
        <v>0</v>
      </c>
      <c r="L33" s="188">
        <v>0</v>
      </c>
      <c r="M33" s="118">
        <f t="shared" si="1"/>
        <v>0</v>
      </c>
      <c r="N33" s="166"/>
    </row>
    <row r="34" spans="1:14" x14ac:dyDescent="0.25">
      <c r="A34" s="193">
        <v>31</v>
      </c>
      <c r="B34" s="184"/>
      <c r="C34" s="185"/>
      <c r="D34" s="186"/>
      <c r="E34" s="165"/>
      <c r="F34" s="165"/>
      <c r="G34" s="166">
        <f t="shared" si="5"/>
        <v>0</v>
      </c>
      <c r="H34" s="167"/>
      <c r="I34" s="168"/>
      <c r="J34" s="166">
        <f t="shared" si="3"/>
        <v>0</v>
      </c>
      <c r="K34" s="166">
        <f t="shared" si="4"/>
        <v>0</v>
      </c>
      <c r="L34" s="188">
        <v>0</v>
      </c>
      <c r="M34" s="118">
        <f t="shared" si="1"/>
        <v>0</v>
      </c>
      <c r="N34" s="166"/>
    </row>
    <row r="35" spans="1:14" x14ac:dyDescent="0.25">
      <c r="A35" s="169"/>
      <c r="B35" s="169"/>
      <c r="C35" s="169"/>
      <c r="D35" s="169"/>
      <c r="E35" s="170">
        <f>SUM(E4:E34)</f>
        <v>0</v>
      </c>
      <c r="F35" s="170"/>
      <c r="G35" s="171">
        <f>SUM(G4:G34)</f>
        <v>0</v>
      </c>
      <c r="H35" s="171">
        <f>SUM(H4:H34)</f>
        <v>0</v>
      </c>
      <c r="I35" s="171"/>
      <c r="J35" s="171">
        <f>SUM(J4:J34)</f>
        <v>0</v>
      </c>
      <c r="K35" s="171">
        <f>SUM(K4:K34)</f>
        <v>0</v>
      </c>
      <c r="L35" s="171">
        <f>SUM(L4:L34)</f>
        <v>0</v>
      </c>
      <c r="M35" s="171"/>
      <c r="N35" s="171"/>
    </row>
  </sheetData>
  <mergeCells count="2">
    <mergeCell ref="A1:N1"/>
    <mergeCell ref="A3:L3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workbookViewId="0" zoomScale="100" zoomScaleNormal="100">
      <pane ySplit="3" topLeftCell="A4" activePane="bottomLeft" state="frozen"/>
      <selection pane="bottomLeft" activeCell="P12" sqref="P12"/>
    </sheetView>
  </sheetViews>
  <sheetFormatPr defaultRowHeight="15" outlineLevelRow="0" outlineLevelCol="0" x14ac:dyDescent="0"/>
  <cols>
    <col min="2" max="2" width="11.42578125" customWidth="1"/>
    <col min="4" max="4" width="14" customWidth="1"/>
    <col min="5" max="5" width="15.42578125" customWidth="1"/>
    <col min="7" max="7" width="14.5703125" customWidth="1"/>
    <col min="11" max="11" width="13.5703125" customWidth="1"/>
    <col min="12" max="12" width="12.5703125" customWidth="1"/>
    <col min="13" max="13" width="11.5703125" customWidth="1"/>
  </cols>
  <sheetData>
    <row r="1" ht="15.75" customHeight="1" spans="1:14" x14ac:dyDescent="0.25">
      <c r="A1" s="172" t="s">
        <v>191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</row>
    <row r="2" ht="30.75" customHeight="1" spans="1:14" x14ac:dyDescent="0.25">
      <c r="A2" s="173" t="s">
        <v>0</v>
      </c>
      <c r="B2" s="174" t="s">
        <v>167</v>
      </c>
      <c r="C2" s="174" t="s">
        <v>168</v>
      </c>
      <c r="D2" s="174" t="s">
        <v>189</v>
      </c>
      <c r="E2" s="175" t="s">
        <v>170</v>
      </c>
      <c r="F2" s="175" t="s">
        <v>171</v>
      </c>
      <c r="G2" s="174" t="s">
        <v>172</v>
      </c>
      <c r="H2" s="174" t="s">
        <v>173</v>
      </c>
      <c r="I2" s="174" t="s">
        <v>171</v>
      </c>
      <c r="J2" s="176" t="s">
        <v>172</v>
      </c>
      <c r="K2" s="177" t="s">
        <v>174</v>
      </c>
      <c r="L2" s="178" t="s">
        <v>175</v>
      </c>
      <c r="M2" s="179" t="s">
        <v>190</v>
      </c>
      <c r="N2" s="180" t="s">
        <v>177</v>
      </c>
    </row>
    <row r="3" spans="1:14" x14ac:dyDescent="0.25">
      <c r="A3" s="148" t="s">
        <v>178</v>
      </c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50"/>
      <c r="M3" s="181">
        <v>366809.49289999984</v>
      </c>
      <c r="N3" s="182"/>
    </row>
    <row r="4" spans="1:14" x14ac:dyDescent="0.25">
      <c r="A4" s="183">
        <v>1</v>
      </c>
      <c r="B4" s="184">
        <v>46296</v>
      </c>
      <c r="C4" s="185"/>
      <c r="D4" s="186"/>
      <c r="E4" s="187">
        <v>690</v>
      </c>
      <c r="F4" s="194">
        <v>104.35</v>
      </c>
      <c r="G4" s="166">
        <f t="shared" ref="G4:G35" si="0">E4*F4</f>
        <v>72001.5</v>
      </c>
      <c r="H4" s="187"/>
      <c r="I4" s="195"/>
      <c r="J4" s="166">
        <f>H4*I4</f>
        <v>0</v>
      </c>
      <c r="K4" s="166">
        <f>G4+J4</f>
        <v>72001.5</v>
      </c>
      <c r="L4" s="188"/>
      <c r="M4" s="118">
        <f>M3+K4-L4</f>
        <v>438810.99289999984</v>
      </c>
      <c r="N4" s="166"/>
    </row>
    <row r="5" spans="1:14" x14ac:dyDescent="0.25">
      <c r="A5" s="189">
        <v>2</v>
      </c>
      <c r="B5" s="184">
        <v>46297</v>
      </c>
      <c r="C5" s="185"/>
      <c r="D5" s="186"/>
      <c r="E5" s="187"/>
      <c r="F5" s="194"/>
      <c r="G5" s="166">
        <f t="shared" si="0"/>
        <v>0</v>
      </c>
      <c r="H5" s="187"/>
      <c r="I5" s="195"/>
      <c r="J5" s="166">
        <f t="shared" ref="J5:J35" si="1">H5*I5</f>
        <v>0</v>
      </c>
      <c r="K5" s="166">
        <f t="shared" ref="K5:K35" si="2">G5+J5</f>
        <v>0</v>
      </c>
      <c r="L5" s="188"/>
      <c r="M5" s="118">
        <f t="shared" ref="M5:M35" si="3">M4+K5-L5</f>
        <v>438810.99289999984</v>
      </c>
      <c r="N5" s="166"/>
    </row>
    <row r="6" spans="1:14" x14ac:dyDescent="0.25">
      <c r="A6" s="189">
        <v>3</v>
      </c>
      <c r="B6" s="184">
        <v>46298</v>
      </c>
      <c r="C6" s="185"/>
      <c r="D6" s="186"/>
      <c r="E6" s="187">
        <v>690</v>
      </c>
      <c r="F6" s="196">
        <v>104.35</v>
      </c>
      <c r="G6" s="166">
        <f t="shared" si="0"/>
        <v>72001.5</v>
      </c>
      <c r="H6" s="187"/>
      <c r="I6" s="195"/>
      <c r="J6" s="166">
        <f t="shared" si="1"/>
        <v>0</v>
      </c>
      <c r="K6" s="166">
        <f t="shared" si="2"/>
        <v>72001.5</v>
      </c>
      <c r="L6" s="188"/>
      <c r="M6" s="118">
        <f t="shared" si="3"/>
        <v>510812.49289999984</v>
      </c>
      <c r="N6" s="166"/>
    </row>
    <row r="7" spans="1:14" x14ac:dyDescent="0.25">
      <c r="A7" s="189">
        <v>4</v>
      </c>
      <c r="B7" s="184">
        <v>46299</v>
      </c>
      <c r="C7" s="185"/>
      <c r="D7" s="186"/>
      <c r="E7" s="187"/>
      <c r="F7" s="196"/>
      <c r="G7" s="166">
        <f t="shared" si="0"/>
        <v>0</v>
      </c>
      <c r="H7" s="187"/>
      <c r="I7" s="195"/>
      <c r="J7" s="166">
        <f t="shared" si="1"/>
        <v>0</v>
      </c>
      <c r="K7" s="166">
        <f t="shared" si="2"/>
        <v>0</v>
      </c>
      <c r="L7" s="188"/>
      <c r="M7" s="118">
        <f t="shared" si="3"/>
        <v>510812.49289999984</v>
      </c>
      <c r="N7" s="166"/>
    </row>
    <row r="8" spans="1:14" x14ac:dyDescent="0.25">
      <c r="A8" s="189">
        <v>5</v>
      </c>
      <c r="B8" s="184">
        <v>46300</v>
      </c>
      <c r="C8" s="185"/>
      <c r="D8" s="186"/>
      <c r="E8" s="187">
        <v>690</v>
      </c>
      <c r="F8" s="194">
        <v>104.35</v>
      </c>
      <c r="G8" s="166">
        <f t="shared" si="0"/>
        <v>72001.5</v>
      </c>
      <c r="H8" s="187">
        <v>20</v>
      </c>
      <c r="I8" s="195">
        <v>116.25</v>
      </c>
      <c r="J8" s="166">
        <f t="shared" si="1"/>
        <v>2325</v>
      </c>
      <c r="K8" s="166">
        <f t="shared" si="2"/>
        <v>74326.5</v>
      </c>
      <c r="L8" s="188"/>
      <c r="M8" s="118">
        <f t="shared" si="3"/>
        <v>585138.9928999998</v>
      </c>
      <c r="N8" s="166"/>
    </row>
    <row r="9" spans="1:14" x14ac:dyDescent="0.25">
      <c r="A9" s="183">
        <v>6</v>
      </c>
      <c r="B9" s="184">
        <v>46301</v>
      </c>
      <c r="C9" s="185"/>
      <c r="D9" s="186"/>
      <c r="E9" s="187"/>
      <c r="F9" s="196"/>
      <c r="G9" s="166">
        <f t="shared" si="0"/>
        <v>0</v>
      </c>
      <c r="H9" s="187"/>
      <c r="I9" s="195"/>
      <c r="J9" s="166">
        <f t="shared" si="1"/>
        <v>0</v>
      </c>
      <c r="K9" s="166">
        <f t="shared" si="2"/>
        <v>0</v>
      </c>
      <c r="L9" s="188"/>
      <c r="M9" s="118">
        <f t="shared" si="3"/>
        <v>585138.9928999998</v>
      </c>
      <c r="N9" s="166"/>
    </row>
    <row r="10" spans="1:14" x14ac:dyDescent="0.25">
      <c r="A10" s="189">
        <v>7</v>
      </c>
      <c r="B10" s="184">
        <v>46302</v>
      </c>
      <c r="C10" s="185"/>
      <c r="D10" s="186"/>
      <c r="E10" s="187">
        <v>690</v>
      </c>
      <c r="F10" s="196">
        <v>104.35</v>
      </c>
      <c r="G10" s="166">
        <f t="shared" si="0"/>
        <v>72001.5</v>
      </c>
      <c r="H10" s="187"/>
      <c r="I10" s="195"/>
      <c r="J10" s="166">
        <f t="shared" si="1"/>
        <v>0</v>
      </c>
      <c r="K10" s="166">
        <f t="shared" si="2"/>
        <v>72001.5</v>
      </c>
      <c r="L10" s="188"/>
      <c r="M10" s="118">
        <f t="shared" si="3"/>
        <v>657140.4928999998</v>
      </c>
      <c r="N10" s="166"/>
    </row>
    <row r="11" spans="1:14" x14ac:dyDescent="0.25">
      <c r="A11" s="189">
        <v>8</v>
      </c>
      <c r="B11" s="184">
        <v>46303</v>
      </c>
      <c r="C11" s="185"/>
      <c r="D11" s="186"/>
      <c r="E11" s="187"/>
      <c r="F11" s="196"/>
      <c r="G11" s="166">
        <f t="shared" si="0"/>
        <v>0</v>
      </c>
      <c r="H11" s="187"/>
      <c r="I11" s="195"/>
      <c r="J11" s="166">
        <f t="shared" si="1"/>
        <v>0</v>
      </c>
      <c r="K11" s="166">
        <f t="shared" si="2"/>
        <v>0</v>
      </c>
      <c r="L11" s="188"/>
      <c r="M11" s="118">
        <f t="shared" si="3"/>
        <v>657140.4928999998</v>
      </c>
      <c r="N11" s="166"/>
    </row>
    <row r="12" spans="1:14" x14ac:dyDescent="0.25">
      <c r="A12" s="189">
        <v>9</v>
      </c>
      <c r="B12" s="184">
        <v>46304</v>
      </c>
      <c r="C12" s="185"/>
      <c r="D12" s="186"/>
      <c r="E12" s="187">
        <v>690</v>
      </c>
      <c r="F12" s="196">
        <v>104.35</v>
      </c>
      <c r="G12" s="166">
        <f t="shared" si="0"/>
        <v>72001.5</v>
      </c>
      <c r="H12" s="187"/>
      <c r="I12" s="195"/>
      <c r="J12" s="166">
        <f t="shared" si="1"/>
        <v>0</v>
      </c>
      <c r="K12" s="166">
        <f t="shared" si="2"/>
        <v>72001.5</v>
      </c>
      <c r="L12" s="188"/>
      <c r="M12" s="118">
        <f t="shared" si="3"/>
        <v>729141.9928999998</v>
      </c>
      <c r="N12" s="166"/>
    </row>
    <row r="13" spans="1:14" x14ac:dyDescent="0.25">
      <c r="A13" s="189">
        <v>10</v>
      </c>
      <c r="B13" s="184">
        <v>46305</v>
      </c>
      <c r="C13" s="185"/>
      <c r="D13" s="186"/>
      <c r="E13" s="187">
        <v>690</v>
      </c>
      <c r="F13" s="196">
        <v>104.35</v>
      </c>
      <c r="G13" s="166">
        <f t="shared" si="0"/>
        <v>72001.5</v>
      </c>
      <c r="H13" s="187"/>
      <c r="I13" s="195"/>
      <c r="J13" s="166">
        <f t="shared" si="1"/>
        <v>0</v>
      </c>
      <c r="K13" s="166">
        <f t="shared" si="2"/>
        <v>72001.5</v>
      </c>
      <c r="L13" s="188"/>
      <c r="M13" s="118">
        <f t="shared" si="3"/>
        <v>801143.4928999998</v>
      </c>
      <c r="N13" s="166"/>
    </row>
    <row r="14" spans="1:14" x14ac:dyDescent="0.25">
      <c r="A14" s="183">
        <v>11</v>
      </c>
      <c r="B14" s="184">
        <v>46306</v>
      </c>
      <c r="C14" s="185"/>
      <c r="D14" s="186"/>
      <c r="E14" s="187"/>
      <c r="F14" s="196"/>
      <c r="G14" s="166">
        <f t="shared" si="0"/>
        <v>0</v>
      </c>
      <c r="H14" s="187"/>
      <c r="I14" s="195"/>
      <c r="J14" s="166">
        <f t="shared" si="1"/>
        <v>0</v>
      </c>
      <c r="K14" s="166">
        <f t="shared" si="2"/>
        <v>0</v>
      </c>
      <c r="L14" s="188"/>
      <c r="M14" s="118">
        <f t="shared" si="3"/>
        <v>801143.4928999998</v>
      </c>
      <c r="N14" s="166"/>
    </row>
    <row r="15" spans="1:14" x14ac:dyDescent="0.25">
      <c r="A15" s="189">
        <v>12</v>
      </c>
      <c r="B15" s="184">
        <v>46307</v>
      </c>
      <c r="C15" s="185"/>
      <c r="D15" s="186"/>
      <c r="E15" s="187"/>
      <c r="F15" s="196"/>
      <c r="G15" s="166">
        <f t="shared" si="0"/>
        <v>0</v>
      </c>
      <c r="H15" s="187"/>
      <c r="I15" s="195"/>
      <c r="J15" s="166"/>
      <c r="K15" s="166">
        <f t="shared" si="2"/>
        <v>0</v>
      </c>
      <c r="L15" s="188"/>
      <c r="M15" s="118">
        <f t="shared" si="3"/>
        <v>801143.4928999998</v>
      </c>
      <c r="N15" s="166"/>
    </row>
    <row r="16" spans="1:14" x14ac:dyDescent="0.25">
      <c r="A16" s="189">
        <v>13</v>
      </c>
      <c r="B16" s="184">
        <v>46308</v>
      </c>
      <c r="C16" s="185"/>
      <c r="D16" s="186"/>
      <c r="E16" s="187">
        <v>690</v>
      </c>
      <c r="F16" s="196">
        <v>104.35</v>
      </c>
      <c r="G16" s="166">
        <f t="shared" si="0"/>
        <v>72001.5</v>
      </c>
      <c r="H16" s="187">
        <v>20</v>
      </c>
      <c r="I16" s="195">
        <v>116.25</v>
      </c>
      <c r="J16" s="166">
        <f t="shared" si="1"/>
        <v>2325</v>
      </c>
      <c r="K16" s="166">
        <f t="shared" si="2"/>
        <v>74326.5</v>
      </c>
      <c r="L16" s="188"/>
      <c r="M16" s="118">
        <f t="shared" si="3"/>
        <v>875469.9928999998</v>
      </c>
      <c r="N16" s="166"/>
    </row>
    <row r="17" spans="1:14" x14ac:dyDescent="0.25">
      <c r="A17" s="189">
        <v>14</v>
      </c>
      <c r="B17" s="184">
        <v>46309</v>
      </c>
      <c r="C17" s="185"/>
      <c r="D17" s="186"/>
      <c r="E17" s="187"/>
      <c r="F17" s="196"/>
      <c r="G17" s="166">
        <f t="shared" si="0"/>
        <v>0</v>
      </c>
      <c r="H17" s="187"/>
      <c r="I17" s="195"/>
      <c r="J17" s="166">
        <f t="shared" si="1"/>
        <v>0</v>
      </c>
      <c r="K17" s="166">
        <f t="shared" si="2"/>
        <v>0</v>
      </c>
      <c r="L17" s="188"/>
      <c r="M17" s="118">
        <f t="shared" si="3"/>
        <v>875469.9928999998</v>
      </c>
      <c r="N17" s="166"/>
    </row>
    <row r="18" spans="1:14" x14ac:dyDescent="0.25">
      <c r="A18" s="189">
        <v>15</v>
      </c>
      <c r="B18" s="184">
        <v>46310</v>
      </c>
      <c r="C18" s="185"/>
      <c r="D18" s="186"/>
      <c r="E18" s="187">
        <v>690</v>
      </c>
      <c r="F18" s="196">
        <v>104.35</v>
      </c>
      <c r="G18" s="166">
        <f t="shared" si="0"/>
        <v>72001.5</v>
      </c>
      <c r="H18" s="187">
        <v>20</v>
      </c>
      <c r="I18" s="195">
        <v>116.25</v>
      </c>
      <c r="J18" s="166">
        <f t="shared" si="1"/>
        <v>2325</v>
      </c>
      <c r="K18" s="166">
        <f t="shared" si="2"/>
        <v>74326.5</v>
      </c>
      <c r="L18" s="188"/>
      <c r="M18" s="118">
        <f t="shared" si="3"/>
        <v>949796.4928999998</v>
      </c>
      <c r="N18" s="166"/>
    </row>
    <row r="19" spans="1:14" x14ac:dyDescent="0.25">
      <c r="A19" s="183">
        <v>16</v>
      </c>
      <c r="B19" s="184">
        <v>46311</v>
      </c>
      <c r="C19" s="185"/>
      <c r="D19" s="186"/>
      <c r="E19" s="187"/>
      <c r="F19" s="196"/>
      <c r="G19" s="166">
        <f t="shared" si="0"/>
        <v>0</v>
      </c>
      <c r="H19" s="187"/>
      <c r="I19" s="195"/>
      <c r="J19" s="166">
        <f t="shared" si="1"/>
        <v>0</v>
      </c>
      <c r="K19" s="166">
        <f t="shared" si="2"/>
        <v>0</v>
      </c>
      <c r="L19" s="188"/>
      <c r="M19" s="118">
        <f t="shared" si="3"/>
        <v>949796.4928999998</v>
      </c>
      <c r="N19" s="166"/>
    </row>
    <row r="20" spans="1:14" x14ac:dyDescent="0.25">
      <c r="A20" s="189">
        <v>17</v>
      </c>
      <c r="B20" s="184">
        <v>46312</v>
      </c>
      <c r="C20" s="185"/>
      <c r="D20" s="186"/>
      <c r="E20" s="187"/>
      <c r="F20" s="196"/>
      <c r="G20" s="166">
        <f t="shared" si="0"/>
        <v>0</v>
      </c>
      <c r="H20" s="187"/>
      <c r="I20" s="195"/>
      <c r="J20" s="166">
        <f t="shared" si="1"/>
        <v>0</v>
      </c>
      <c r="K20" s="166">
        <f t="shared" si="2"/>
        <v>0</v>
      </c>
      <c r="L20" s="188"/>
      <c r="M20" s="118">
        <f t="shared" si="3"/>
        <v>949796.4928999998</v>
      </c>
      <c r="N20" s="166"/>
    </row>
    <row r="21" spans="1:14" x14ac:dyDescent="0.25">
      <c r="A21" s="189">
        <v>18</v>
      </c>
      <c r="B21" s="184">
        <v>46313</v>
      </c>
      <c r="C21" s="185"/>
      <c r="D21" s="186"/>
      <c r="E21" s="187"/>
      <c r="F21" s="196"/>
      <c r="G21" s="166">
        <f t="shared" si="0"/>
        <v>0</v>
      </c>
      <c r="H21" s="187"/>
      <c r="I21" s="195"/>
      <c r="J21" s="166">
        <f t="shared" si="1"/>
        <v>0</v>
      </c>
      <c r="K21" s="166">
        <f t="shared" si="2"/>
        <v>0</v>
      </c>
      <c r="L21" s="188"/>
      <c r="M21" s="118">
        <f t="shared" si="3"/>
        <v>949796.4928999998</v>
      </c>
      <c r="N21" s="166"/>
    </row>
    <row r="22" spans="1:14" x14ac:dyDescent="0.25">
      <c r="A22" s="189">
        <v>19</v>
      </c>
      <c r="B22" s="184">
        <v>46314</v>
      </c>
      <c r="C22" s="185"/>
      <c r="D22" s="186"/>
      <c r="E22" s="187"/>
      <c r="F22" s="196"/>
      <c r="G22" s="166">
        <f t="shared" si="0"/>
        <v>0</v>
      </c>
      <c r="H22" s="187"/>
      <c r="I22" s="195"/>
      <c r="J22" s="166">
        <f t="shared" si="1"/>
        <v>0</v>
      </c>
      <c r="K22" s="166">
        <f t="shared" si="2"/>
        <v>0</v>
      </c>
      <c r="L22" s="188"/>
      <c r="M22" s="118">
        <f t="shared" si="3"/>
        <v>949796.4928999998</v>
      </c>
      <c r="N22" s="166"/>
    </row>
    <row r="23" spans="1:14" x14ac:dyDescent="0.25">
      <c r="A23" s="189">
        <v>20</v>
      </c>
      <c r="B23" s="184">
        <v>46315</v>
      </c>
      <c r="C23" s="185"/>
      <c r="D23" s="186"/>
      <c r="E23" s="187"/>
      <c r="F23" s="196"/>
      <c r="G23" s="166">
        <f t="shared" si="0"/>
        <v>0</v>
      </c>
      <c r="H23" s="187"/>
      <c r="I23" s="195"/>
      <c r="J23" s="166">
        <f t="shared" si="1"/>
        <v>0</v>
      </c>
      <c r="K23" s="166">
        <f t="shared" si="2"/>
        <v>0</v>
      </c>
      <c r="L23" s="188"/>
      <c r="M23" s="118">
        <f t="shared" si="3"/>
        <v>949796.4928999998</v>
      </c>
      <c r="N23" s="166"/>
    </row>
    <row r="24" spans="1:14" x14ac:dyDescent="0.25">
      <c r="A24" s="183">
        <v>21</v>
      </c>
      <c r="B24" s="184">
        <v>46316</v>
      </c>
      <c r="C24" s="185"/>
      <c r="D24" s="186"/>
      <c r="E24" s="187"/>
      <c r="F24" s="196"/>
      <c r="G24" s="166">
        <f t="shared" si="0"/>
        <v>0</v>
      </c>
      <c r="H24" s="187"/>
      <c r="I24" s="195"/>
      <c r="J24" s="166">
        <f t="shared" si="1"/>
        <v>0</v>
      </c>
      <c r="K24" s="166">
        <f t="shared" si="2"/>
        <v>0</v>
      </c>
      <c r="L24" s="188"/>
      <c r="M24" s="118">
        <f t="shared" si="3"/>
        <v>949796.4928999998</v>
      </c>
      <c r="N24" s="166"/>
    </row>
    <row r="25" spans="1:14" x14ac:dyDescent="0.25">
      <c r="A25" s="189">
        <v>22</v>
      </c>
      <c r="B25" s="184">
        <v>46317</v>
      </c>
      <c r="C25" s="185"/>
      <c r="D25" s="186"/>
      <c r="E25" s="187"/>
      <c r="F25" s="196"/>
      <c r="G25" s="166">
        <f t="shared" si="0"/>
        <v>0</v>
      </c>
      <c r="H25" s="187"/>
      <c r="I25" s="195"/>
      <c r="J25" s="166">
        <f t="shared" si="1"/>
        <v>0</v>
      </c>
      <c r="K25" s="166">
        <f t="shared" si="2"/>
        <v>0</v>
      </c>
      <c r="L25" s="188"/>
      <c r="M25" s="118">
        <f t="shared" si="3"/>
        <v>949796.4928999998</v>
      </c>
      <c r="N25" s="166"/>
    </row>
    <row r="26" spans="1:14" x14ac:dyDescent="0.25">
      <c r="A26" s="189">
        <v>23</v>
      </c>
      <c r="B26" s="184">
        <v>46318</v>
      </c>
      <c r="C26" s="185"/>
      <c r="D26" s="186"/>
      <c r="E26" s="187"/>
      <c r="F26" s="196"/>
      <c r="G26" s="166">
        <f t="shared" si="0"/>
        <v>0</v>
      </c>
      <c r="H26" s="187"/>
      <c r="I26" s="195"/>
      <c r="J26" s="166">
        <f t="shared" si="1"/>
        <v>0</v>
      </c>
      <c r="K26" s="166">
        <f t="shared" si="2"/>
        <v>0</v>
      </c>
      <c r="L26" s="188"/>
      <c r="M26" s="118">
        <f t="shared" si="3"/>
        <v>949796.4928999998</v>
      </c>
      <c r="N26" s="166"/>
    </row>
    <row r="27" spans="1:14" x14ac:dyDescent="0.25">
      <c r="A27" s="189">
        <v>24</v>
      </c>
      <c r="B27" s="184">
        <v>46319</v>
      </c>
      <c r="C27" s="185"/>
      <c r="D27" s="186"/>
      <c r="E27" s="187"/>
      <c r="F27" s="196"/>
      <c r="G27" s="166">
        <f t="shared" si="0"/>
        <v>0</v>
      </c>
      <c r="H27" s="187"/>
      <c r="I27" s="195"/>
      <c r="J27" s="166">
        <f t="shared" si="1"/>
        <v>0</v>
      </c>
      <c r="K27" s="166">
        <f t="shared" si="2"/>
        <v>0</v>
      </c>
      <c r="L27" s="188"/>
      <c r="M27" s="118">
        <f t="shared" si="3"/>
        <v>949796.4928999998</v>
      </c>
      <c r="N27" s="166"/>
    </row>
    <row r="28" spans="1:14" x14ac:dyDescent="0.25">
      <c r="A28" s="189">
        <v>25</v>
      </c>
      <c r="B28" s="184">
        <v>46320</v>
      </c>
      <c r="C28" s="185"/>
      <c r="D28" s="186"/>
      <c r="E28" s="187"/>
      <c r="F28" s="196"/>
      <c r="G28" s="166">
        <f t="shared" si="0"/>
        <v>0</v>
      </c>
      <c r="H28" s="187"/>
      <c r="I28" s="195"/>
      <c r="J28" s="166">
        <f t="shared" si="1"/>
        <v>0</v>
      </c>
      <c r="K28" s="166">
        <f t="shared" si="2"/>
        <v>0</v>
      </c>
      <c r="L28" s="188"/>
      <c r="M28" s="118">
        <f t="shared" si="3"/>
        <v>949796.4928999998</v>
      </c>
      <c r="N28" s="166"/>
    </row>
    <row r="29" spans="1:14" x14ac:dyDescent="0.25">
      <c r="A29" s="183">
        <v>26</v>
      </c>
      <c r="B29" s="184">
        <v>46321</v>
      </c>
      <c r="C29" s="185"/>
      <c r="D29" s="186"/>
      <c r="E29" s="187"/>
      <c r="F29" s="196"/>
      <c r="G29" s="166">
        <f t="shared" si="0"/>
        <v>0</v>
      </c>
      <c r="H29" s="187"/>
      <c r="I29" s="195"/>
      <c r="J29" s="166">
        <f t="shared" si="1"/>
        <v>0</v>
      </c>
      <c r="K29" s="166">
        <f t="shared" si="2"/>
        <v>0</v>
      </c>
      <c r="L29" s="188"/>
      <c r="M29" s="118">
        <f t="shared" si="3"/>
        <v>949796.4928999998</v>
      </c>
      <c r="N29" s="166"/>
    </row>
    <row r="30" spans="1:14" x14ac:dyDescent="0.25">
      <c r="A30" s="189">
        <v>27</v>
      </c>
      <c r="B30" s="184">
        <v>46322</v>
      </c>
      <c r="C30" s="185"/>
      <c r="D30" s="186"/>
      <c r="E30" s="187"/>
      <c r="F30" s="196"/>
      <c r="G30" s="166">
        <f t="shared" si="0"/>
        <v>0</v>
      </c>
      <c r="H30" s="167"/>
      <c r="I30" s="168"/>
      <c r="J30" s="166">
        <f t="shared" si="1"/>
        <v>0</v>
      </c>
      <c r="K30" s="166">
        <f t="shared" si="2"/>
        <v>0</v>
      </c>
      <c r="L30" s="188"/>
      <c r="M30" s="118">
        <f t="shared" si="3"/>
        <v>949796.4928999998</v>
      </c>
      <c r="N30" s="166"/>
    </row>
    <row r="31" spans="1:14" x14ac:dyDescent="0.25">
      <c r="A31" s="189">
        <v>28</v>
      </c>
      <c r="B31" s="184">
        <v>46323</v>
      </c>
      <c r="C31" s="185"/>
      <c r="D31" s="186"/>
      <c r="E31" s="187"/>
      <c r="F31" s="196"/>
      <c r="G31" s="166">
        <f t="shared" si="0"/>
        <v>0</v>
      </c>
      <c r="H31" s="167"/>
      <c r="I31" s="168"/>
      <c r="J31" s="166">
        <f t="shared" si="1"/>
        <v>0</v>
      </c>
      <c r="K31" s="166">
        <f t="shared" si="2"/>
        <v>0</v>
      </c>
      <c r="L31" s="188"/>
      <c r="M31" s="118">
        <f t="shared" si="3"/>
        <v>949796.4928999998</v>
      </c>
      <c r="N31" s="166"/>
    </row>
    <row r="32" spans="1:14" x14ac:dyDescent="0.25">
      <c r="A32" s="189">
        <v>29</v>
      </c>
      <c r="B32" s="184">
        <v>46324</v>
      </c>
      <c r="C32" s="185"/>
      <c r="D32" s="186"/>
      <c r="E32" s="187"/>
      <c r="F32" s="196"/>
      <c r="G32" s="166">
        <f t="shared" si="0"/>
        <v>0</v>
      </c>
      <c r="H32" s="167"/>
      <c r="I32" s="168"/>
      <c r="J32" s="166">
        <f t="shared" si="1"/>
        <v>0</v>
      </c>
      <c r="K32" s="166">
        <f t="shared" si="2"/>
        <v>0</v>
      </c>
      <c r="L32" s="188"/>
      <c r="M32" s="118">
        <f t="shared" si="3"/>
        <v>949796.4928999998</v>
      </c>
      <c r="N32" s="166"/>
    </row>
    <row r="33" spans="1:14" x14ac:dyDescent="0.25">
      <c r="A33" s="189">
        <v>30</v>
      </c>
      <c r="B33" s="184">
        <v>46325</v>
      </c>
      <c r="C33" s="185"/>
      <c r="D33" s="186"/>
      <c r="E33" s="187"/>
      <c r="F33" s="196"/>
      <c r="G33" s="166">
        <f t="shared" si="0"/>
        <v>0</v>
      </c>
      <c r="H33" s="167"/>
      <c r="I33" s="168"/>
      <c r="J33" s="166">
        <f t="shared" si="1"/>
        <v>0</v>
      </c>
      <c r="K33" s="166">
        <f t="shared" si="2"/>
        <v>0</v>
      </c>
      <c r="L33" s="188"/>
      <c r="M33" s="118">
        <f t="shared" si="3"/>
        <v>949796.4928999998</v>
      </c>
      <c r="N33" s="166"/>
    </row>
    <row r="34" spans="1:14" x14ac:dyDescent="0.25">
      <c r="A34" s="183">
        <v>31</v>
      </c>
      <c r="B34" s="184">
        <v>46326</v>
      </c>
      <c r="C34" s="185"/>
      <c r="D34" s="186"/>
      <c r="E34" s="187"/>
      <c r="F34" s="197"/>
      <c r="G34" s="166">
        <f t="shared" si="0"/>
        <v>0</v>
      </c>
      <c r="H34" s="167"/>
      <c r="I34" s="168"/>
      <c r="J34" s="166">
        <f t="shared" si="1"/>
        <v>0</v>
      </c>
      <c r="K34" s="166">
        <f t="shared" si="2"/>
        <v>0</v>
      </c>
      <c r="L34" s="188"/>
      <c r="M34" s="118">
        <f t="shared" si="3"/>
        <v>949796.4928999998</v>
      </c>
      <c r="N34" s="166"/>
    </row>
    <row r="35" spans="1:14" x14ac:dyDescent="0.25">
      <c r="A35" s="189">
        <v>32</v>
      </c>
      <c r="B35" s="184"/>
      <c r="C35" s="185"/>
      <c r="D35" s="186"/>
      <c r="E35" s="198"/>
      <c r="F35" s="197"/>
      <c r="G35" s="166">
        <f t="shared" si="0"/>
        <v>0</v>
      </c>
      <c r="H35" s="167"/>
      <c r="I35" s="168"/>
      <c r="J35" s="166">
        <f t="shared" si="1"/>
        <v>0</v>
      </c>
      <c r="K35" s="166">
        <f t="shared" si="2"/>
        <v>0</v>
      </c>
      <c r="L35" s="188"/>
      <c r="M35" s="118">
        <f t="shared" si="3"/>
        <v>949796.4928999998</v>
      </c>
      <c r="N35" s="166"/>
    </row>
    <row r="36" spans="1:14" x14ac:dyDescent="0.25">
      <c r="A36" s="169"/>
      <c r="B36" s="169"/>
      <c r="C36" s="169"/>
      <c r="D36" s="169"/>
      <c r="E36" s="170">
        <f>SUM(E4:E35)</f>
        <v>5520</v>
      </c>
      <c r="F36" s="170"/>
      <c r="G36" s="171">
        <f>SUM(G4:G35)</f>
        <v>576012</v>
      </c>
      <c r="H36" s="171">
        <f>SUM(H4:H35)</f>
        <v>60</v>
      </c>
      <c r="I36" s="171"/>
      <c r="J36" s="171">
        <f>SUM(J4:J35)</f>
        <v>6975</v>
      </c>
      <c r="K36" s="171">
        <f>SUM(K4:K35)</f>
        <v>582987</v>
      </c>
      <c r="L36" s="171">
        <f>SUM(L4:L35)</f>
        <v>0</v>
      </c>
      <c r="M36" s="171"/>
      <c r="N36" s="171"/>
    </row>
  </sheetData>
  <mergeCells count="2">
    <mergeCell ref="A1:N1"/>
    <mergeCell ref="A3:L3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R46"/>
  <sheetViews>
    <sheetView workbookViewId="0" zoomScale="100" zoomScaleNormal="100">
      <pane ySplit="3" topLeftCell="A4" activePane="bottomLeft" state="frozen"/>
      <selection pane="bottomLeft" activeCell="F16" sqref="F16"/>
    </sheetView>
  </sheetViews>
  <sheetFormatPr defaultRowHeight="15" outlineLevelRow="0" outlineLevelCol="0" x14ac:dyDescent="0"/>
  <cols>
    <col min="2" max="2" width="16.140625" customWidth="1"/>
    <col min="3" max="3" width="37" customWidth="1"/>
    <col min="4" max="4" width="20.7109375" customWidth="1"/>
    <col min="6" max="6" width="12.140625" customWidth="1"/>
    <col min="7" max="7" width="15.7109375" customWidth="1"/>
    <col min="11" max="12" width="13.5703125" customWidth="1"/>
    <col min="13" max="13" width="11.42578125" customWidth="1"/>
  </cols>
  <sheetData>
    <row r="1" ht="15.75" customHeight="1" spans="1:14" x14ac:dyDescent="0.25">
      <c r="A1" s="105" t="s">
        <v>188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</row>
    <row r="2" ht="30.75" customHeight="1" spans="1:14" x14ac:dyDescent="0.25">
      <c r="A2" s="106" t="s">
        <v>0</v>
      </c>
      <c r="B2" s="107" t="s">
        <v>167</v>
      </c>
      <c r="C2" s="107"/>
      <c r="D2" s="107" t="s">
        <v>169</v>
      </c>
      <c r="E2" s="107" t="s">
        <v>170</v>
      </c>
      <c r="F2" s="107" t="s">
        <v>171</v>
      </c>
      <c r="G2" s="107" t="s">
        <v>172</v>
      </c>
      <c r="H2" s="107" t="s">
        <v>173</v>
      </c>
      <c r="I2" s="107" t="s">
        <v>171</v>
      </c>
      <c r="J2" s="108" t="s">
        <v>172</v>
      </c>
      <c r="K2" s="106" t="s">
        <v>174</v>
      </c>
      <c r="L2" s="109" t="s">
        <v>175</v>
      </c>
      <c r="M2" s="109" t="s">
        <v>184</v>
      </c>
      <c r="N2" s="107" t="s">
        <v>177</v>
      </c>
    </row>
    <row r="3" spans="1:14" x14ac:dyDescent="0.25">
      <c r="A3" s="110" t="s">
        <v>178</v>
      </c>
      <c r="B3" s="110"/>
      <c r="C3" s="110"/>
      <c r="D3" s="110"/>
      <c r="E3" s="110"/>
      <c r="F3" s="110"/>
      <c r="G3" s="110"/>
      <c r="H3" s="110"/>
      <c r="I3" s="110"/>
      <c r="J3" s="110"/>
      <c r="K3" s="111">
        <v>0</v>
      </c>
      <c r="L3" s="112"/>
      <c r="M3" s="111">
        <v>0</v>
      </c>
      <c r="N3" s="113"/>
    </row>
    <row r="4" spans="1:14" x14ac:dyDescent="0.25">
      <c r="A4" s="115">
        <v>1</v>
      </c>
      <c r="B4" s="116"/>
      <c r="C4" s="37"/>
      <c r="D4" s="37"/>
      <c r="E4" s="120"/>
      <c r="F4" s="37"/>
      <c r="G4" s="120">
        <f>E4*F4</f>
        <v>0</v>
      </c>
      <c r="H4" s="117"/>
      <c r="I4" s="37"/>
      <c r="J4" s="37"/>
      <c r="K4" s="120">
        <f>G4+J4</f>
        <v>0</v>
      </c>
      <c r="L4" s="120">
        <f>H4+K4</f>
        <v>0</v>
      </c>
      <c r="M4" s="118">
        <f>M3+K4-L4</f>
        <v>0</v>
      </c>
      <c r="N4" s="37"/>
    </row>
    <row r="5" spans="1:14" x14ac:dyDescent="0.25">
      <c r="A5" s="115">
        <v>2</v>
      </c>
      <c r="B5" s="116"/>
      <c r="C5" s="37"/>
      <c r="D5" s="37"/>
      <c r="E5" s="138"/>
      <c r="F5" s="130"/>
      <c r="G5" s="120">
        <f>E5*F5</f>
        <v>0</v>
      </c>
      <c r="H5" s="117"/>
      <c r="I5" s="37"/>
      <c r="J5" s="37">
        <f>H5*I5</f>
        <v>0</v>
      </c>
      <c r="K5" s="120">
        <f>G5+J5</f>
        <v>0</v>
      </c>
      <c r="L5" s="120">
        <f>H5+K5</f>
        <v>0</v>
      </c>
      <c r="M5" s="118">
        <f>M4+K5-L5</f>
        <v>0</v>
      </c>
      <c r="N5" s="37"/>
    </row>
    <row r="6" spans="1:14" x14ac:dyDescent="0.25">
      <c r="A6" s="115">
        <v>3</v>
      </c>
      <c r="B6" s="116"/>
      <c r="C6" s="37"/>
      <c r="D6" s="37"/>
      <c r="E6" s="37"/>
      <c r="F6" s="37"/>
      <c r="G6" s="37">
        <f>E6*F6</f>
        <v>0</v>
      </c>
      <c r="H6" s="117"/>
      <c r="I6" s="37"/>
      <c r="J6" s="37">
        <f>H6*I6</f>
        <v>0</v>
      </c>
      <c r="K6" s="120">
        <f>G6+J6</f>
        <v>0</v>
      </c>
      <c r="L6" s="120">
        <f t="shared" ref="L6:L22" si="0">H6+K6</f>
        <v>0</v>
      </c>
      <c r="M6" s="118">
        <f>M5+K6-L6</f>
        <v>0</v>
      </c>
      <c r="N6" s="37"/>
    </row>
    <row r="7" spans="1:14" x14ac:dyDescent="0.25">
      <c r="A7" s="115">
        <v>4</v>
      </c>
      <c r="B7" s="116"/>
      <c r="C7" s="37"/>
      <c r="D7" s="37"/>
      <c r="E7" s="37"/>
      <c r="F7" s="37"/>
      <c r="G7" s="37">
        <f>E7*F7</f>
        <v>0</v>
      </c>
      <c r="H7" s="117"/>
      <c r="I7" s="37"/>
      <c r="J7" s="37">
        <f>H7*I7</f>
        <v>0</v>
      </c>
      <c r="K7" s="37">
        <f>G7+J7</f>
        <v>0</v>
      </c>
      <c r="L7" s="37">
        <f t="shared" si="0"/>
        <v>0</v>
      </c>
      <c r="M7" s="118">
        <f>M6+K7-L7</f>
        <v>0</v>
      </c>
      <c r="N7" s="37"/>
    </row>
    <row r="8" spans="1:14" x14ac:dyDescent="0.25">
      <c r="A8" s="115">
        <v>5</v>
      </c>
      <c r="B8" s="116"/>
      <c r="C8" s="37"/>
      <c r="D8" s="37"/>
      <c r="E8" s="37"/>
      <c r="F8" s="37"/>
      <c r="G8" s="118">
        <f>E8*F8</f>
        <v>0</v>
      </c>
      <c r="H8" s="117"/>
      <c r="I8" s="37"/>
      <c r="J8" s="37">
        <f>H8*I8</f>
        <v>0</v>
      </c>
      <c r="K8" s="118">
        <f>G8+J8</f>
        <v>0</v>
      </c>
      <c r="L8" s="37">
        <f t="shared" si="0"/>
        <v>0</v>
      </c>
      <c r="M8" s="118">
        <f>M7+K8-L8</f>
        <v>0</v>
      </c>
      <c r="N8" s="37"/>
    </row>
    <row r="9" spans="1:14" x14ac:dyDescent="0.25">
      <c r="A9" s="115">
        <v>6</v>
      </c>
      <c r="B9" s="116"/>
      <c r="C9" s="37"/>
      <c r="D9" s="37"/>
      <c r="E9" s="37"/>
      <c r="F9" s="37"/>
      <c r="G9" s="118">
        <f>E9*F9</f>
        <v>0</v>
      </c>
      <c r="H9" s="117"/>
      <c r="I9" s="37"/>
      <c r="J9" s="37">
        <f>H9*I9</f>
        <v>0</v>
      </c>
      <c r="K9" s="118">
        <f>G9+J9</f>
        <v>0</v>
      </c>
      <c r="L9" s="37">
        <f t="shared" si="0"/>
        <v>0</v>
      </c>
      <c r="M9" s="118">
        <f>M8+K9-L9</f>
        <v>0</v>
      </c>
      <c r="N9" s="37"/>
    </row>
    <row r="10" spans="1:14" x14ac:dyDescent="0.25">
      <c r="A10" s="115">
        <v>7</v>
      </c>
      <c r="B10" s="116"/>
      <c r="C10" s="37"/>
      <c r="D10" s="37"/>
      <c r="E10" s="37"/>
      <c r="F10" s="37"/>
      <c r="G10" s="118">
        <f>E10*F10</f>
        <v>0</v>
      </c>
      <c r="H10" s="117"/>
      <c r="I10" s="37"/>
      <c r="J10" s="37">
        <f>H10*I10</f>
        <v>0</v>
      </c>
      <c r="K10" s="118">
        <f>G10+J10</f>
        <v>0</v>
      </c>
      <c r="L10" s="37">
        <f t="shared" si="0"/>
        <v>0</v>
      </c>
      <c r="M10" s="118">
        <f>M9+K10-L10</f>
        <v>0</v>
      </c>
      <c r="N10" s="37"/>
    </row>
    <row r="11" spans="1:14" x14ac:dyDescent="0.25">
      <c r="A11" s="115">
        <v>8</v>
      </c>
      <c r="B11" s="116"/>
      <c r="C11" s="37"/>
      <c r="D11" s="37"/>
      <c r="E11" s="37"/>
      <c r="F11" s="37"/>
      <c r="G11" s="118">
        <f>E11*F11</f>
        <v>0</v>
      </c>
      <c r="H11" s="117"/>
      <c r="I11" s="37"/>
      <c r="J11" s="37">
        <f>H11*I11</f>
        <v>0</v>
      </c>
      <c r="K11" s="118">
        <f>G11+J11</f>
        <v>0</v>
      </c>
      <c r="L11" s="37">
        <f t="shared" si="0"/>
        <v>0</v>
      </c>
      <c r="M11" s="118">
        <f>M10+K11-L11</f>
        <v>0</v>
      </c>
      <c r="N11" s="37"/>
    </row>
    <row r="12" spans="1:14" x14ac:dyDescent="0.25">
      <c r="A12" s="115">
        <v>9</v>
      </c>
      <c r="B12" s="116"/>
      <c r="C12" s="37"/>
      <c r="D12" s="37"/>
      <c r="E12" s="37"/>
      <c r="F12" s="37"/>
      <c r="G12" s="118">
        <f>E12*F12</f>
        <v>0</v>
      </c>
      <c r="H12" s="117"/>
      <c r="I12" s="37"/>
      <c r="J12" s="37">
        <f>H12*I12</f>
        <v>0</v>
      </c>
      <c r="K12" s="118">
        <f>G12+J12</f>
        <v>0</v>
      </c>
      <c r="L12" s="37">
        <f t="shared" si="0"/>
        <v>0</v>
      </c>
      <c r="M12" s="118">
        <f>M11+K12-L12</f>
        <v>0</v>
      </c>
      <c r="N12" s="37"/>
    </row>
    <row r="13" spans="1:14" x14ac:dyDescent="0.25">
      <c r="A13" s="115">
        <v>10</v>
      </c>
      <c r="B13" s="116"/>
      <c r="C13" s="37"/>
      <c r="D13" s="37"/>
      <c r="E13" s="37"/>
      <c r="F13" s="37"/>
      <c r="G13" s="118">
        <f>E13*F13</f>
        <v>0</v>
      </c>
      <c r="H13" s="117"/>
      <c r="I13" s="37"/>
      <c r="J13" s="37">
        <f>H13*I13</f>
        <v>0</v>
      </c>
      <c r="K13" s="118">
        <f>G13+J13</f>
        <v>0</v>
      </c>
      <c r="L13" s="37">
        <f t="shared" si="0"/>
        <v>0</v>
      </c>
      <c r="M13" s="118">
        <f>M12+K13-L13</f>
        <v>0</v>
      </c>
      <c r="N13" s="37"/>
    </row>
    <row r="14" spans="1:14" x14ac:dyDescent="0.25">
      <c r="A14" s="115">
        <v>11</v>
      </c>
      <c r="B14" s="116"/>
      <c r="C14" s="37"/>
      <c r="D14" s="37"/>
      <c r="E14" s="37"/>
      <c r="F14" s="37"/>
      <c r="G14" s="118">
        <f>E14*F14</f>
        <v>0</v>
      </c>
      <c r="H14" s="117"/>
      <c r="I14" s="37"/>
      <c r="J14" s="37">
        <f>H14*I14</f>
        <v>0</v>
      </c>
      <c r="K14" s="118">
        <f>G14+J14</f>
        <v>0</v>
      </c>
      <c r="L14" s="37">
        <f t="shared" si="0"/>
        <v>0</v>
      </c>
      <c r="M14" s="118">
        <f>M13+K14-L14</f>
        <v>0</v>
      </c>
      <c r="N14" s="37"/>
    </row>
    <row r="15" spans="1:15" x14ac:dyDescent="0.25">
      <c r="A15" s="115">
        <v>12</v>
      </c>
      <c r="B15" s="116"/>
      <c r="C15" s="37"/>
      <c r="D15" s="37"/>
      <c r="E15" s="37"/>
      <c r="F15" s="37"/>
      <c r="G15" s="118">
        <f>E15*F15</f>
        <v>0</v>
      </c>
      <c r="H15" s="117"/>
      <c r="I15" s="37"/>
      <c r="J15" s="37">
        <f>H15*I15</f>
        <v>0</v>
      </c>
      <c r="K15" s="118">
        <f>G15+J15</f>
        <v>0</v>
      </c>
      <c r="L15" s="37">
        <f t="shared" si="0"/>
        <v>0</v>
      </c>
      <c r="M15" s="118">
        <f>M14+K15-L15</f>
        <v>0</v>
      </c>
      <c r="N15" s="37"/>
      <c r="O15" s="114"/>
    </row>
    <row r="16" spans="1:14" x14ac:dyDescent="0.25">
      <c r="A16" s="115">
        <v>13</v>
      </c>
      <c r="B16" s="116"/>
      <c r="C16" s="37"/>
      <c r="D16" s="37"/>
      <c r="E16" s="37"/>
      <c r="F16" s="37"/>
      <c r="G16" s="118">
        <f>E16*F16</f>
        <v>0</v>
      </c>
      <c r="H16" s="117"/>
      <c r="I16" s="37"/>
      <c r="J16" s="37">
        <f>H16*I16</f>
        <v>0</v>
      </c>
      <c r="K16" s="118">
        <f>G16+J16</f>
        <v>0</v>
      </c>
      <c r="L16" s="37">
        <f t="shared" si="0"/>
        <v>0</v>
      </c>
      <c r="M16" s="118">
        <f>M15+K16-L16</f>
        <v>0</v>
      </c>
      <c r="N16" s="37"/>
    </row>
    <row r="17" spans="1:18" x14ac:dyDescent="0.25">
      <c r="A17" s="115">
        <v>14</v>
      </c>
      <c r="B17" s="116"/>
      <c r="C17" s="37"/>
      <c r="D17" s="37"/>
      <c r="E17" s="37"/>
      <c r="F17" s="37"/>
      <c r="G17" s="118">
        <f>E17*F17</f>
        <v>0</v>
      </c>
      <c r="H17" s="117"/>
      <c r="I17" s="37"/>
      <c r="J17" s="37">
        <f>H17*I17</f>
        <v>0</v>
      </c>
      <c r="K17" s="37">
        <f>G17+J17</f>
        <v>0</v>
      </c>
      <c r="L17" s="37">
        <f t="shared" si="0"/>
        <v>0</v>
      </c>
      <c r="M17" s="118">
        <f>M16+K17-L17</f>
        <v>0</v>
      </c>
      <c r="N17" s="37"/>
      <c r="R17" s="139"/>
    </row>
    <row r="18" spans="1:18" x14ac:dyDescent="0.25">
      <c r="A18" s="115">
        <v>15</v>
      </c>
      <c r="B18" s="116"/>
      <c r="C18" s="37"/>
      <c r="D18" s="37"/>
      <c r="E18" s="37"/>
      <c r="F18" s="37"/>
      <c r="G18" s="118">
        <f>E18*F18</f>
        <v>0</v>
      </c>
      <c r="H18" s="117"/>
      <c r="I18" s="37"/>
      <c r="J18" s="37">
        <f>H18*I18</f>
        <v>0</v>
      </c>
      <c r="K18" s="37">
        <f>G18+J18</f>
        <v>0</v>
      </c>
      <c r="L18" s="37">
        <f t="shared" si="0"/>
        <v>0</v>
      </c>
      <c r="M18" s="118">
        <f>M17+K18-L18</f>
        <v>0</v>
      </c>
      <c r="N18" s="37"/>
      <c r="R18" s="139"/>
    </row>
    <row r="19" spans="1:18" x14ac:dyDescent="0.25">
      <c r="A19" s="115">
        <v>16</v>
      </c>
      <c r="B19" s="116"/>
      <c r="C19" s="37"/>
      <c r="D19" s="37"/>
      <c r="E19" s="37"/>
      <c r="F19" s="37"/>
      <c r="G19" s="118">
        <f>E19*F19</f>
        <v>0</v>
      </c>
      <c r="H19" s="117"/>
      <c r="I19" s="37"/>
      <c r="J19" s="37">
        <f>H19*I19</f>
        <v>0</v>
      </c>
      <c r="K19" s="37">
        <f>G19+J19</f>
        <v>0</v>
      </c>
      <c r="L19" s="37">
        <f t="shared" si="0"/>
        <v>0</v>
      </c>
      <c r="M19" s="118">
        <f>M18+K19-L19</f>
        <v>0</v>
      </c>
      <c r="N19" s="37"/>
      <c r="R19" s="139"/>
    </row>
    <row r="20" spans="1:18" x14ac:dyDescent="0.25">
      <c r="A20" s="115">
        <v>17</v>
      </c>
      <c r="B20" s="116"/>
      <c r="C20" s="37"/>
      <c r="D20" s="37"/>
      <c r="E20" s="37"/>
      <c r="F20" s="37"/>
      <c r="G20" s="118">
        <f>E20*F20</f>
        <v>0</v>
      </c>
      <c r="H20" s="117"/>
      <c r="I20" s="37"/>
      <c r="J20" s="37">
        <f>H20*I20</f>
        <v>0</v>
      </c>
      <c r="K20" s="37">
        <f>G20+J20</f>
        <v>0</v>
      </c>
      <c r="L20" s="37">
        <f t="shared" si="0"/>
        <v>0</v>
      </c>
      <c r="M20" s="118">
        <f>M19+K20-L20</f>
        <v>0</v>
      </c>
      <c r="N20" s="37"/>
      <c r="R20" s="139"/>
    </row>
    <row r="21" spans="1:14" x14ac:dyDescent="0.25">
      <c r="A21" s="115">
        <v>18</v>
      </c>
      <c r="B21" s="116"/>
      <c r="C21" s="37"/>
      <c r="D21" s="37"/>
      <c r="E21" s="37"/>
      <c r="F21" s="37"/>
      <c r="G21" s="118">
        <f>E21*F21</f>
        <v>0</v>
      </c>
      <c r="H21" s="117"/>
      <c r="I21" s="37"/>
      <c r="J21" s="37">
        <f>H21*I21</f>
        <v>0</v>
      </c>
      <c r="K21" s="37">
        <f>G21+J21</f>
        <v>0</v>
      </c>
      <c r="L21" s="37">
        <f t="shared" si="0"/>
        <v>0</v>
      </c>
      <c r="M21" s="118">
        <f>M20+K21-L21</f>
        <v>0</v>
      </c>
      <c r="N21" s="37"/>
    </row>
    <row r="22" spans="1:14" x14ac:dyDescent="0.25">
      <c r="A22" s="115">
        <v>19</v>
      </c>
      <c r="B22" s="116"/>
      <c r="C22" s="37"/>
      <c r="D22" s="37"/>
      <c r="E22" s="37"/>
      <c r="F22" s="37"/>
      <c r="G22" s="120">
        <f>E22*F22</f>
        <v>0</v>
      </c>
      <c r="H22" s="117"/>
      <c r="I22" s="37"/>
      <c r="J22" s="37">
        <f>H22*I22</f>
        <v>0</v>
      </c>
      <c r="K22" s="37">
        <f>G22+J22</f>
        <v>0</v>
      </c>
      <c r="L22" s="37">
        <f t="shared" si="0"/>
        <v>0</v>
      </c>
      <c r="M22" s="118">
        <f>M21+K22-L22</f>
        <v>0</v>
      </c>
      <c r="N22" s="37"/>
    </row>
    <row r="23" spans="1:14" x14ac:dyDescent="0.25">
      <c r="A23" s="115">
        <v>20</v>
      </c>
      <c r="B23" s="116"/>
      <c r="C23" s="37"/>
      <c r="D23" s="37"/>
      <c r="E23" s="37"/>
      <c r="F23" s="37"/>
      <c r="G23" s="120">
        <f>E23*F23</f>
        <v>0</v>
      </c>
      <c r="H23" s="117"/>
      <c r="I23" s="37"/>
      <c r="J23" s="37">
        <f>H23*I23</f>
        <v>0</v>
      </c>
      <c r="K23" s="37">
        <f>G23+J23</f>
        <v>0</v>
      </c>
      <c r="L23" s="37">
        <v>0</v>
      </c>
      <c r="M23" s="118">
        <f>M22+K23-L23</f>
        <v>0</v>
      </c>
      <c r="N23" s="37"/>
    </row>
    <row r="24" spans="1:14" x14ac:dyDescent="0.25">
      <c r="A24" s="115">
        <v>21</v>
      </c>
      <c r="B24" s="116"/>
      <c r="C24" s="37"/>
      <c r="D24" s="37"/>
      <c r="E24" s="37"/>
      <c r="F24" s="37"/>
      <c r="G24" s="120">
        <f>E24*F24</f>
        <v>0</v>
      </c>
      <c r="H24" s="117"/>
      <c r="I24" s="37"/>
      <c r="J24" s="37">
        <f>H24*I24</f>
        <v>0</v>
      </c>
      <c r="K24" s="37">
        <f>G24+J24</f>
        <v>0</v>
      </c>
      <c r="L24" s="120">
        <f>H24+K24</f>
        <v>0</v>
      </c>
      <c r="M24" s="118">
        <f>M23+K24-L24</f>
        <v>0</v>
      </c>
      <c r="N24" s="37"/>
    </row>
    <row r="25" spans="1:14" x14ac:dyDescent="0.25">
      <c r="A25" s="115">
        <v>22</v>
      </c>
      <c r="B25" s="116"/>
      <c r="C25" s="37"/>
      <c r="D25" s="37"/>
      <c r="E25" s="140"/>
      <c r="F25" s="140"/>
      <c r="G25" s="120">
        <f>E25*F25</f>
        <v>0</v>
      </c>
      <c r="H25" s="117"/>
      <c r="I25" s="37"/>
      <c r="J25" s="37">
        <f>H25*I25</f>
        <v>0</v>
      </c>
      <c r="K25" s="37">
        <f>G25+J25</f>
        <v>0</v>
      </c>
      <c r="L25" s="37">
        <f>H25+K25</f>
        <v>0</v>
      </c>
      <c r="M25" s="118">
        <f>M24+K25-L25</f>
        <v>0</v>
      </c>
      <c r="N25" s="37"/>
    </row>
    <row r="26" spans="1:14" x14ac:dyDescent="0.25">
      <c r="A26" s="115">
        <v>23</v>
      </c>
      <c r="B26" s="116"/>
      <c r="C26" s="141"/>
      <c r="D26" s="37"/>
      <c r="E26" s="142"/>
      <c r="F26" s="143"/>
      <c r="G26" s="120">
        <f>E26*F26</f>
        <v>0</v>
      </c>
      <c r="H26" s="117"/>
      <c r="I26" s="37"/>
      <c r="J26" s="37">
        <f>H26*I26</f>
        <v>0</v>
      </c>
      <c r="K26" s="37">
        <f>G26+J26</f>
        <v>0</v>
      </c>
      <c r="L26" s="37">
        <f>H26+K26</f>
        <v>0</v>
      </c>
      <c r="M26" s="118">
        <f>M25+K26-L26</f>
        <v>0</v>
      </c>
      <c r="N26" s="37"/>
    </row>
    <row r="27" spans="1:14" x14ac:dyDescent="0.25">
      <c r="A27" s="115">
        <v>24</v>
      </c>
      <c r="B27" s="116"/>
      <c r="C27" s="141"/>
      <c r="D27" s="37"/>
      <c r="E27" s="142"/>
      <c r="F27" s="143"/>
      <c r="G27" s="120">
        <f>E27*F27</f>
        <v>0</v>
      </c>
      <c r="H27" s="117"/>
      <c r="I27" s="37"/>
      <c r="J27" s="37"/>
      <c r="K27" s="37">
        <f>G27+J27</f>
        <v>0</v>
      </c>
      <c r="L27" s="37">
        <f>H27+K27</f>
        <v>0</v>
      </c>
      <c r="M27" s="118">
        <f>M26+K27-L27</f>
        <v>0</v>
      </c>
      <c r="N27" s="37"/>
    </row>
    <row r="28" spans="1:14" x14ac:dyDescent="0.25">
      <c r="A28" s="115">
        <v>25</v>
      </c>
      <c r="B28" s="116"/>
      <c r="C28" s="141"/>
      <c r="D28" s="37"/>
      <c r="E28" s="142"/>
      <c r="F28" s="143"/>
      <c r="G28" s="120">
        <f>E28*F28</f>
        <v>0</v>
      </c>
      <c r="H28" s="117"/>
      <c r="I28" s="37"/>
      <c r="J28" s="37">
        <f>H28*I28</f>
        <v>0</v>
      </c>
      <c r="K28" s="37">
        <f>G28+J28</f>
        <v>0</v>
      </c>
      <c r="L28" s="37">
        <f>H28+K28</f>
        <v>0</v>
      </c>
      <c r="M28" s="118">
        <f>M26+K28-L28</f>
        <v>0</v>
      </c>
      <c r="N28" s="37"/>
    </row>
    <row r="29" spans="1:14" x14ac:dyDescent="0.25">
      <c r="A29" s="115">
        <v>26</v>
      </c>
      <c r="B29" s="116"/>
      <c r="C29" s="141"/>
      <c r="D29" s="37"/>
      <c r="E29" s="142"/>
      <c r="F29" s="143"/>
      <c r="G29" s="120">
        <f>E29*F29</f>
        <v>0</v>
      </c>
      <c r="H29" s="117"/>
      <c r="I29" s="37"/>
      <c r="J29" s="37">
        <f>H29*I29</f>
        <v>0</v>
      </c>
      <c r="K29" s="37">
        <f>G29+J29</f>
        <v>0</v>
      </c>
      <c r="L29" s="37">
        <f>H29+K29</f>
        <v>0</v>
      </c>
      <c r="M29" s="118">
        <f>M28+K29-L29</f>
        <v>0</v>
      </c>
      <c r="N29" s="37"/>
    </row>
    <row r="30" spans="1:14" x14ac:dyDescent="0.25">
      <c r="A30" s="115">
        <v>27</v>
      </c>
      <c r="B30" s="116"/>
      <c r="C30" s="141"/>
      <c r="D30" s="37"/>
      <c r="E30" s="142"/>
      <c r="F30" s="143"/>
      <c r="G30" s="120">
        <f>E30*F30</f>
        <v>0</v>
      </c>
      <c r="H30" s="117"/>
      <c r="I30" s="37"/>
      <c r="J30" s="37">
        <f>H30*I30</f>
        <v>0</v>
      </c>
      <c r="K30" s="37">
        <f>G30+J30</f>
        <v>0</v>
      </c>
      <c r="L30" s="37">
        <f t="shared" ref="L30:L37" si="1">H30+K30</f>
        <v>0</v>
      </c>
      <c r="M30" s="118">
        <f>M29+K30-L30</f>
        <v>0</v>
      </c>
      <c r="N30" s="37"/>
    </row>
    <row r="31" spans="1:14" x14ac:dyDescent="0.25">
      <c r="A31" s="115">
        <v>28</v>
      </c>
      <c r="B31" s="116"/>
      <c r="C31" s="141"/>
      <c r="D31" s="37"/>
      <c r="E31" s="140"/>
      <c r="F31" s="140"/>
      <c r="G31" s="120">
        <f>E31*F31</f>
        <v>0</v>
      </c>
      <c r="H31" s="117"/>
      <c r="I31" s="37"/>
      <c r="J31" s="37">
        <f>H31*I31</f>
        <v>0</v>
      </c>
      <c r="K31" s="37">
        <f>G31+J31</f>
        <v>0</v>
      </c>
      <c r="L31" s="37">
        <f t="shared" si="1"/>
        <v>0</v>
      </c>
      <c r="M31" s="118">
        <f>M30+K31-L31</f>
        <v>0</v>
      </c>
      <c r="N31" s="37"/>
    </row>
    <row r="32" spans="1:14" x14ac:dyDescent="0.25">
      <c r="A32" s="115">
        <v>29</v>
      </c>
      <c r="B32" s="116"/>
      <c r="C32" s="141"/>
      <c r="D32" s="37"/>
      <c r="E32" s="140"/>
      <c r="F32" s="140"/>
      <c r="G32" s="120">
        <f>E32*F32</f>
        <v>0</v>
      </c>
      <c r="H32" s="117"/>
      <c r="I32" s="37"/>
      <c r="J32" s="37">
        <f>H32*I32</f>
        <v>0</v>
      </c>
      <c r="K32" s="37">
        <f>G32+J32</f>
        <v>0</v>
      </c>
      <c r="L32" s="37">
        <f t="shared" si="1"/>
        <v>0</v>
      </c>
      <c r="M32" s="118">
        <f>M31+K32-L32</f>
        <v>0</v>
      </c>
      <c r="N32" s="37"/>
    </row>
    <row r="33" spans="1:14" x14ac:dyDescent="0.25">
      <c r="A33" s="115">
        <v>30</v>
      </c>
      <c r="B33" s="116"/>
      <c r="C33" s="37"/>
      <c r="D33" s="37"/>
      <c r="E33" s="140"/>
      <c r="F33" s="140"/>
      <c r="G33" s="120">
        <f>E33*F33</f>
        <v>0</v>
      </c>
      <c r="H33" s="117"/>
      <c r="I33" s="37"/>
      <c r="J33" s="37">
        <f>H33*I33</f>
        <v>0</v>
      </c>
      <c r="K33" s="37">
        <f>G33+J33</f>
        <v>0</v>
      </c>
      <c r="L33" s="37">
        <f t="shared" si="1"/>
        <v>0</v>
      </c>
      <c r="M33" s="118">
        <f>M32+K33-L33</f>
        <v>0</v>
      </c>
      <c r="N33" s="37"/>
    </row>
    <row r="34" spans="1:14" x14ac:dyDescent="0.25">
      <c r="A34" s="115">
        <v>31</v>
      </c>
      <c r="B34" s="116"/>
      <c r="C34" s="37"/>
      <c r="D34" s="37"/>
      <c r="E34" s="140"/>
      <c r="F34" s="140"/>
      <c r="G34" s="120">
        <f>E34*F34</f>
        <v>0</v>
      </c>
      <c r="H34" s="117"/>
      <c r="I34" s="37"/>
      <c r="J34" s="37">
        <f>H34*I34</f>
        <v>0</v>
      </c>
      <c r="K34" s="37">
        <f>G34+J34</f>
        <v>0</v>
      </c>
      <c r="L34" s="37">
        <f t="shared" si="1"/>
        <v>0</v>
      </c>
      <c r="M34" s="118">
        <f>M33+K34-L34</f>
        <v>0</v>
      </c>
      <c r="N34" s="37"/>
    </row>
    <row r="35" spans="1:14" x14ac:dyDescent="0.25">
      <c r="A35" s="115">
        <v>32</v>
      </c>
      <c r="B35" s="116"/>
      <c r="C35" s="37"/>
      <c r="D35" s="37"/>
      <c r="E35" s="140"/>
      <c r="F35" s="140"/>
      <c r="G35" s="120">
        <f>E35*F35</f>
        <v>0</v>
      </c>
      <c r="H35" s="117"/>
      <c r="I35" s="37"/>
      <c r="J35" s="37"/>
      <c r="K35" s="37">
        <f>G35+J35</f>
        <v>0</v>
      </c>
      <c r="L35" s="37">
        <f t="shared" si="1"/>
        <v>0</v>
      </c>
      <c r="M35" s="118">
        <f>M34+K35-L35</f>
        <v>0</v>
      </c>
      <c r="N35" s="37"/>
    </row>
    <row r="36" spans="1:14" x14ac:dyDescent="0.25">
      <c r="A36" s="115">
        <v>33</v>
      </c>
      <c r="B36" s="116"/>
      <c r="C36" s="37"/>
      <c r="D36" s="37"/>
      <c r="E36" s="140"/>
      <c r="F36" s="140"/>
      <c r="G36" s="120">
        <f>E36*F36</f>
        <v>0</v>
      </c>
      <c r="H36" s="117"/>
      <c r="I36" s="37"/>
      <c r="J36" s="37">
        <f>H36*I36</f>
        <v>0</v>
      </c>
      <c r="K36" s="37">
        <f>G36+J36</f>
        <v>0</v>
      </c>
      <c r="L36" s="37">
        <f t="shared" si="1"/>
        <v>0</v>
      </c>
      <c r="M36" s="118">
        <f>M35+K36-L36</f>
        <v>0</v>
      </c>
      <c r="N36" s="37"/>
    </row>
    <row r="37" spans="1:14" x14ac:dyDescent="0.25">
      <c r="A37" s="115">
        <v>34</v>
      </c>
      <c r="B37" s="116"/>
      <c r="C37" s="37"/>
      <c r="D37" s="37"/>
      <c r="E37" s="37"/>
      <c r="F37" s="37"/>
      <c r="G37" s="120">
        <f>E37*F37</f>
        <v>0</v>
      </c>
      <c r="H37" s="117"/>
      <c r="I37" s="37"/>
      <c r="J37" s="37">
        <f>H37*I37</f>
        <v>0</v>
      </c>
      <c r="K37" s="37">
        <f>G37+J37</f>
        <v>0</v>
      </c>
      <c r="L37" s="37">
        <f t="shared" si="1"/>
        <v>0</v>
      </c>
      <c r="M37" s="118">
        <f t="shared" ref="M37:M41" si="2">M36+K37-L37</f>
        <v>0</v>
      </c>
      <c r="N37" s="37"/>
    </row>
    <row r="38" spans="1:14" x14ac:dyDescent="0.25">
      <c r="A38" s="115"/>
      <c r="B38" s="116"/>
      <c r="C38" s="37"/>
      <c r="D38" s="37"/>
      <c r="E38" s="37"/>
      <c r="F38" s="37"/>
      <c r="G38" s="120">
        <f t="shared" ref="G38:G40" si="3">E38*F38</f>
        <v>0</v>
      </c>
      <c r="H38" s="117"/>
      <c r="I38" s="37"/>
      <c r="J38" s="37"/>
      <c r="K38" s="37">
        <f t="shared" ref="K38:K40" si="4">G38+J38</f>
        <v>0</v>
      </c>
      <c r="L38" s="37">
        <f t="shared" ref="L37:L40" si="5">H38+K38</f>
        <v>0</v>
      </c>
      <c r="M38" s="118">
        <f t="shared" si="2"/>
        <v>0</v>
      </c>
      <c r="N38" s="37"/>
    </row>
    <row r="39" spans="1:14" x14ac:dyDescent="0.25">
      <c r="A39" s="115"/>
      <c r="B39" s="116"/>
      <c r="C39" s="37"/>
      <c r="D39" s="37"/>
      <c r="E39" s="37"/>
      <c r="F39" s="37"/>
      <c r="G39" s="120">
        <f t="shared" si="3"/>
        <v>0</v>
      </c>
      <c r="H39" s="117"/>
      <c r="I39" s="37"/>
      <c r="J39" s="37"/>
      <c r="K39" s="37">
        <f t="shared" si="4"/>
        <v>0</v>
      </c>
      <c r="L39" s="37">
        <f t="shared" si="5"/>
        <v>0</v>
      </c>
      <c r="M39" s="118">
        <f t="shared" si="2"/>
        <v>0</v>
      </c>
      <c r="N39" s="37"/>
    </row>
    <row r="40" spans="1:14" x14ac:dyDescent="0.25">
      <c r="A40" s="115"/>
      <c r="B40" s="116"/>
      <c r="C40" s="37"/>
      <c r="D40" s="37"/>
      <c r="E40" s="37"/>
      <c r="F40" s="37"/>
      <c r="G40" s="120">
        <f t="shared" si="3"/>
        <v>0</v>
      </c>
      <c r="H40" s="117"/>
      <c r="I40" s="37"/>
      <c r="J40" s="37"/>
      <c r="K40" s="37">
        <f t="shared" si="4"/>
        <v>0</v>
      </c>
      <c r="L40" s="37">
        <f t="shared" si="5"/>
        <v>0</v>
      </c>
      <c r="M40" s="118">
        <f t="shared" si="2"/>
        <v>0</v>
      </c>
      <c r="N40" s="37"/>
    </row>
    <row r="41" spans="1:14" x14ac:dyDescent="0.25">
      <c r="A41" s="115"/>
      <c r="B41" s="116"/>
      <c r="C41" s="37"/>
      <c r="D41" s="37"/>
      <c r="E41" s="37"/>
      <c r="F41" s="37"/>
      <c r="G41" s="120"/>
      <c r="H41" s="117"/>
      <c r="I41" s="37"/>
      <c r="J41" s="37"/>
      <c r="K41" s="37"/>
      <c r="L41" s="37"/>
      <c r="M41" s="118">
        <f t="shared" si="2"/>
        <v>0</v>
      </c>
      <c r="N41" s="37"/>
    </row>
    <row r="42" spans="1:14" x14ac:dyDescent="0.25">
      <c r="A42" s="115"/>
      <c r="B42" s="116"/>
      <c r="C42" s="37"/>
      <c r="D42" s="37"/>
      <c r="E42" s="37"/>
      <c r="F42" s="37"/>
      <c r="G42" s="120"/>
      <c r="H42" s="117"/>
      <c r="I42" s="37"/>
      <c r="J42" s="37"/>
      <c r="K42" s="37"/>
      <c r="L42" s="37"/>
      <c r="M42" s="37"/>
      <c r="N42" s="37"/>
    </row>
    <row r="43" spans="1:14" x14ac:dyDescent="0.25">
      <c r="A43" s="115"/>
      <c r="B43" s="116"/>
      <c r="C43" s="37"/>
      <c r="D43" s="37"/>
      <c r="E43" s="37"/>
      <c r="F43" s="37"/>
      <c r="G43" s="120"/>
      <c r="H43" s="117"/>
      <c r="I43" s="37"/>
      <c r="J43" s="37"/>
      <c r="K43" s="37"/>
      <c r="L43" s="37"/>
      <c r="M43" s="37"/>
      <c r="N43" s="37"/>
    </row>
    <row r="44" spans="1:14" x14ac:dyDescent="0.25">
      <c r="A44" s="115"/>
      <c r="B44" s="116"/>
      <c r="C44" s="37"/>
      <c r="D44" s="37"/>
      <c r="E44" s="37"/>
      <c r="F44" s="37"/>
      <c r="G44" s="120"/>
      <c r="H44" s="117"/>
      <c r="I44" s="37"/>
      <c r="J44" s="37"/>
      <c r="K44" s="37"/>
      <c r="L44" s="37"/>
      <c r="M44" s="37"/>
      <c r="N44" s="37"/>
    </row>
    <row r="45" spans="1:14" x14ac:dyDescent="0.25">
      <c r="A45" s="115">
        <v>35</v>
      </c>
      <c r="B45" s="116"/>
      <c r="C45" s="37"/>
      <c r="D45" s="37"/>
      <c r="E45" s="37"/>
      <c r="F45" s="37"/>
      <c r="G45" s="120">
        <f>E45*F45</f>
        <v>0</v>
      </c>
      <c r="H45" s="117"/>
      <c r="I45" s="37"/>
      <c r="J45" s="37">
        <f>H45*I45</f>
        <v>0</v>
      </c>
      <c r="K45" s="37">
        <f>G45+J45</f>
        <v>0</v>
      </c>
      <c r="L45" s="37"/>
      <c r="M45" s="37"/>
      <c r="N45" s="37"/>
    </row>
    <row r="46" spans="1:14" x14ac:dyDescent="0.25">
      <c r="A46" s="121"/>
      <c r="B46" s="121"/>
      <c r="C46" s="121"/>
      <c r="D46" s="121"/>
      <c r="E46" s="121">
        <f>SUM(E3:E45)</f>
        <v>0</v>
      </c>
      <c r="F46" s="121"/>
      <c r="G46" s="121">
        <f>SUM(G3:G45)</f>
        <v>0</v>
      </c>
      <c r="H46" s="121">
        <f>SUM(H3:H45)</f>
        <v>0</v>
      </c>
      <c r="I46" s="121"/>
      <c r="J46" s="121">
        <f>SUM(J3:J45)</f>
        <v>0</v>
      </c>
      <c r="K46" s="121">
        <f>SUM(K4:K45)</f>
        <v>0</v>
      </c>
      <c r="L46" s="121">
        <f>SUM(L3:L45)</f>
        <v>0</v>
      </c>
      <c r="M46" s="121"/>
      <c r="N46" s="121"/>
    </row>
  </sheetData>
  <mergeCells count="2">
    <mergeCell ref="A1:N1"/>
    <mergeCell ref="A3:J3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6"/>
  <sheetViews>
    <sheetView workbookViewId="0" zoomScale="100" zoomScaleNormal="100">
      <pane ySplit="3" topLeftCell="A4" activePane="bottomLeft" state="frozen"/>
      <selection pane="bottomLeft" activeCell="N18" sqref="N18"/>
    </sheetView>
  </sheetViews>
  <sheetFormatPr defaultRowHeight="15" outlineLevelRow="0" outlineLevelCol="0" x14ac:dyDescent="0"/>
  <cols>
    <col min="2" max="2" width="15" customWidth="1"/>
    <col min="4" max="4" width="13.28515625" customWidth="1"/>
    <col min="6" max="6" width="9.7109375" customWidth="1"/>
    <col min="7" max="7" width="11.85546875" customWidth="1"/>
    <col min="11" max="12" width="13.5703125" customWidth="1"/>
    <col min="13" max="14" width="11" customWidth="1"/>
    <col min="15" max="15" width="13.85546875" customWidth="1"/>
    <col min="21" max="21" width="15" customWidth="1"/>
  </cols>
  <sheetData>
    <row r="1" ht="15.75" customHeight="1" spans="1:14" x14ac:dyDescent="0.25">
      <c r="A1" s="172" t="s">
        <v>166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</row>
    <row r="2" ht="30.75" customHeight="1" spans="1:14" x14ac:dyDescent="0.25">
      <c r="A2" s="173" t="s">
        <v>0</v>
      </c>
      <c r="B2" s="174" t="s">
        <v>167</v>
      </c>
      <c r="C2" s="174" t="s">
        <v>168</v>
      </c>
      <c r="D2" s="174" t="s">
        <v>189</v>
      </c>
      <c r="E2" s="175" t="s">
        <v>170</v>
      </c>
      <c r="F2" s="175" t="s">
        <v>171</v>
      </c>
      <c r="G2" s="174" t="s">
        <v>172</v>
      </c>
      <c r="H2" s="174" t="s">
        <v>173</v>
      </c>
      <c r="I2" s="174" t="s">
        <v>171</v>
      </c>
      <c r="J2" s="176" t="s">
        <v>172</v>
      </c>
      <c r="K2" s="177" t="s">
        <v>174</v>
      </c>
      <c r="L2" s="178" t="s">
        <v>175</v>
      </c>
      <c r="M2" s="179" t="s">
        <v>190</v>
      </c>
      <c r="N2" s="180" t="s">
        <v>177</v>
      </c>
    </row>
    <row r="3" spans="1:14" x14ac:dyDescent="0.25">
      <c r="A3" s="148" t="s">
        <v>178</v>
      </c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50"/>
      <c r="M3" s="181"/>
      <c r="N3" s="182"/>
    </row>
    <row r="4" spans="1:14" x14ac:dyDescent="0.25">
      <c r="A4" s="183">
        <v>1</v>
      </c>
      <c r="B4" s="184">
        <v>46296</v>
      </c>
      <c r="C4" s="185"/>
      <c r="D4" s="186"/>
      <c r="E4" s="186">
        <v>285.39</v>
      </c>
      <c r="F4" s="196">
        <v>105.12</v>
      </c>
      <c r="G4" s="166">
        <f t="shared" ref="G4:G35" si="0">E4*F4</f>
        <v>30000.1968</v>
      </c>
      <c r="H4" s="187"/>
      <c r="I4" s="195"/>
      <c r="J4" s="166">
        <f>H4*I4</f>
        <v>0</v>
      </c>
      <c r="K4" s="166">
        <f>G4+J4</f>
        <v>30000.1968</v>
      </c>
      <c r="L4" s="166">
        <v>30000.1968</v>
      </c>
      <c r="M4" s="118">
        <f>M3+K4-L4</f>
        <v>0</v>
      </c>
      <c r="N4" s="166" t="s">
        <v>192</v>
      </c>
    </row>
    <row r="5" spans="1:14" x14ac:dyDescent="0.25">
      <c r="A5" s="189">
        <v>2</v>
      </c>
      <c r="B5" s="184">
        <v>46297</v>
      </c>
      <c r="C5" s="185"/>
      <c r="D5" s="186"/>
      <c r="E5" s="187"/>
      <c r="F5" s="196"/>
      <c r="G5" s="166">
        <f t="shared" si="0"/>
        <v>0</v>
      </c>
      <c r="H5" s="187"/>
      <c r="I5" s="195"/>
      <c r="J5" s="166">
        <f t="shared" ref="J5:J35" si="1">H5*I5</f>
        <v>0</v>
      </c>
      <c r="K5" s="166">
        <f t="shared" ref="K5:L35" si="2">G5+J5</f>
        <v>0</v>
      </c>
      <c r="L5" s="199"/>
      <c r="M5" s="118">
        <f>M4+K5-L5</f>
        <v>0</v>
      </c>
      <c r="N5" s="166"/>
    </row>
    <row r="6" spans="1:14" x14ac:dyDescent="0.25">
      <c r="A6" s="189">
        <v>3</v>
      </c>
      <c r="B6" s="184">
        <v>46298</v>
      </c>
      <c r="C6" s="185"/>
      <c r="D6" s="186"/>
      <c r="E6" s="187"/>
      <c r="F6" s="196"/>
      <c r="G6" s="166">
        <f t="shared" si="0"/>
        <v>0</v>
      </c>
      <c r="H6" s="187"/>
      <c r="I6" s="195"/>
      <c r="J6" s="166">
        <f t="shared" si="1"/>
        <v>0</v>
      </c>
      <c r="K6" s="166">
        <f>G6+J6</f>
        <v>0</v>
      </c>
      <c r="L6" s="166"/>
      <c r="M6" s="118">
        <f t="shared" ref="M6:M34" si="3">M5+K6-L6</f>
        <v>0</v>
      </c>
      <c r="N6" s="166"/>
    </row>
    <row r="7" spans="1:14" x14ac:dyDescent="0.25">
      <c r="A7" s="189">
        <v>4</v>
      </c>
      <c r="B7" s="184">
        <v>46299</v>
      </c>
      <c r="C7" s="185"/>
      <c r="D7" s="186"/>
      <c r="E7" s="187"/>
      <c r="F7" s="196"/>
      <c r="G7" s="166">
        <f t="shared" si="0"/>
        <v>0</v>
      </c>
      <c r="H7" s="187"/>
      <c r="I7" s="195"/>
      <c r="J7" s="166">
        <f t="shared" si="1"/>
        <v>0</v>
      </c>
      <c r="K7" s="166">
        <f t="shared" ref="K7:L12" si="4">G7+J7</f>
        <v>0</v>
      </c>
      <c r="L7" s="166"/>
      <c r="M7" s="118">
        <f t="shared" si="3"/>
        <v>0</v>
      </c>
      <c r="N7" s="166"/>
    </row>
    <row r="8" spans="1:14" x14ac:dyDescent="0.25">
      <c r="A8" s="189">
        <v>5</v>
      </c>
      <c r="B8" s="184">
        <v>46300</v>
      </c>
      <c r="C8" s="185"/>
      <c r="D8" s="186"/>
      <c r="E8" s="187">
        <v>285.39</v>
      </c>
      <c r="F8" s="196">
        <v>105.12</v>
      </c>
      <c r="G8" s="166">
        <f t="shared" si="0"/>
        <v>30000.1968</v>
      </c>
      <c r="H8" s="187"/>
      <c r="I8" s="195"/>
      <c r="J8" s="166">
        <f t="shared" si="1"/>
        <v>0</v>
      </c>
      <c r="K8" s="166">
        <f t="shared" si="4"/>
        <v>30000.1968</v>
      </c>
      <c r="L8" s="200">
        <v>30000.1968</v>
      </c>
      <c r="M8" s="118">
        <f t="shared" si="3"/>
        <v>0</v>
      </c>
      <c r="N8" s="166" t="s">
        <v>192</v>
      </c>
    </row>
    <row r="9" spans="1:20" x14ac:dyDescent="0.25">
      <c r="A9" s="189">
        <v>6</v>
      </c>
      <c r="B9" s="184">
        <v>46301</v>
      </c>
      <c r="C9" s="185"/>
      <c r="D9" s="186"/>
      <c r="E9" s="187">
        <v>285.63</v>
      </c>
      <c r="F9" s="196">
        <v>105.03</v>
      </c>
      <c r="G9" s="166">
        <f t="shared" si="0"/>
        <v>29999.7189</v>
      </c>
      <c r="H9" s="187"/>
      <c r="I9" s="195"/>
      <c r="J9" s="166">
        <f t="shared" si="1"/>
        <v>0</v>
      </c>
      <c r="K9" s="166">
        <f t="shared" si="4"/>
        <v>29999.7189</v>
      </c>
      <c r="L9" s="166">
        <f t="shared" si="4"/>
        <v>29999.7189</v>
      </c>
      <c r="M9" s="118">
        <f t="shared" si="3"/>
        <v>0</v>
      </c>
      <c r="N9" s="166" t="s">
        <v>192</v>
      </c>
      <c r="T9" s="114"/>
    </row>
    <row r="10" spans="1:14" x14ac:dyDescent="0.25">
      <c r="A10" s="189">
        <v>7</v>
      </c>
      <c r="B10" s="184">
        <v>46302</v>
      </c>
      <c r="C10" s="185"/>
      <c r="D10" s="186"/>
      <c r="E10" s="187">
        <v>95.13</v>
      </c>
      <c r="F10" s="196">
        <v>105.12</v>
      </c>
      <c r="G10" s="166">
        <f t="shared" si="0"/>
        <v>10000.0656</v>
      </c>
      <c r="H10" s="187"/>
      <c r="I10" s="195"/>
      <c r="J10" s="166">
        <f t="shared" si="1"/>
        <v>0</v>
      </c>
      <c r="K10" s="166">
        <f t="shared" si="4"/>
        <v>10000.0656</v>
      </c>
      <c r="L10" s="188">
        <v>10000.0656</v>
      </c>
      <c r="M10" s="118">
        <f t="shared" si="3"/>
        <v>0</v>
      </c>
      <c r="N10" s="166" t="s">
        <v>192</v>
      </c>
    </row>
    <row r="11" spans="1:14" x14ac:dyDescent="0.25">
      <c r="A11" s="189"/>
      <c r="B11" s="184">
        <v>46302</v>
      </c>
      <c r="C11" s="185"/>
      <c r="D11" s="186"/>
      <c r="E11" s="187">
        <v>95.211</v>
      </c>
      <c r="F11" s="196">
        <v>105.03</v>
      </c>
      <c r="G11" s="166">
        <f>E11*F11</f>
        <v>10000.01133</v>
      </c>
      <c r="H11" s="187"/>
      <c r="I11" s="195"/>
      <c r="J11" s="166"/>
      <c r="K11" s="166">
        <f t="shared" si="4"/>
        <v>10000.01133</v>
      </c>
      <c r="L11" s="188">
        <v>10000.01133</v>
      </c>
      <c r="M11" s="118">
        <f t="shared" si="3"/>
        <v>0</v>
      </c>
      <c r="N11" s="166" t="s">
        <v>193</v>
      </c>
    </row>
    <row r="12" spans="1:14" x14ac:dyDescent="0.25">
      <c r="A12" s="189">
        <v>8</v>
      </c>
      <c r="B12" s="184">
        <v>46303</v>
      </c>
      <c r="C12" s="185"/>
      <c r="D12" s="186"/>
      <c r="E12" s="187"/>
      <c r="F12" s="196"/>
      <c r="G12" s="199">
        <f t="shared" si="0"/>
        <v>0</v>
      </c>
      <c r="H12" s="187"/>
      <c r="I12" s="195"/>
      <c r="J12" s="166">
        <f t="shared" si="1"/>
        <v>0</v>
      </c>
      <c r="K12" s="166">
        <f t="shared" si="4"/>
        <v>0</v>
      </c>
      <c r="L12" s="199"/>
      <c r="M12" s="118">
        <f>M10+K12-L12</f>
        <v>0</v>
      </c>
      <c r="N12" s="166"/>
    </row>
    <row r="13" spans="1:14" x14ac:dyDescent="0.25">
      <c r="A13" s="189">
        <v>9</v>
      </c>
      <c r="B13" s="184">
        <v>46304</v>
      </c>
      <c r="C13" s="185"/>
      <c r="D13" s="186"/>
      <c r="E13" s="187">
        <v>285.39</v>
      </c>
      <c r="F13" s="196">
        <v>105.12</v>
      </c>
      <c r="G13" s="166">
        <f t="shared" si="0"/>
        <v>30000.1968</v>
      </c>
      <c r="H13" s="187"/>
      <c r="I13" s="195"/>
      <c r="J13" s="166">
        <f t="shared" si="1"/>
        <v>0</v>
      </c>
      <c r="K13" s="166">
        <f t="shared" si="2"/>
        <v>30000.1968</v>
      </c>
      <c r="L13" s="188">
        <v>30000.1968</v>
      </c>
      <c r="M13" s="118">
        <f t="shared" si="3"/>
        <v>0</v>
      </c>
      <c r="N13" s="166" t="s">
        <v>192</v>
      </c>
    </row>
    <row r="14" spans="1:14" x14ac:dyDescent="0.25">
      <c r="A14" s="189">
        <v>10</v>
      </c>
      <c r="B14" s="184">
        <v>46305</v>
      </c>
      <c r="C14" s="185"/>
      <c r="D14" s="186"/>
      <c r="E14" s="187"/>
      <c r="F14" s="196"/>
      <c r="G14" s="199">
        <f t="shared" si="0"/>
        <v>0</v>
      </c>
      <c r="H14" s="187"/>
      <c r="I14" s="195"/>
      <c r="J14" s="166">
        <f t="shared" si="1"/>
        <v>0</v>
      </c>
      <c r="K14" s="199">
        <f t="shared" si="2"/>
        <v>0</v>
      </c>
      <c r="L14" s="199"/>
      <c r="M14" s="118">
        <f t="shared" si="3"/>
        <v>0</v>
      </c>
      <c r="N14" s="166"/>
    </row>
    <row r="15" spans="1:14" x14ac:dyDescent="0.25">
      <c r="A15" s="189">
        <v>11</v>
      </c>
      <c r="B15" s="184">
        <v>46306</v>
      </c>
      <c r="C15" s="185"/>
      <c r="D15" s="186"/>
      <c r="E15" s="187"/>
      <c r="F15" s="196"/>
      <c r="G15" s="166">
        <f t="shared" si="0"/>
        <v>0</v>
      </c>
      <c r="H15" s="187"/>
      <c r="I15" s="195"/>
      <c r="J15" s="166">
        <f t="shared" si="1"/>
        <v>0</v>
      </c>
      <c r="K15" s="166">
        <f t="shared" si="2"/>
        <v>0</v>
      </c>
      <c r="L15" s="166"/>
      <c r="M15" s="118">
        <f t="shared" si="3"/>
        <v>0</v>
      </c>
      <c r="N15" s="166"/>
    </row>
    <row r="16" spans="1:14" x14ac:dyDescent="0.25">
      <c r="A16" s="189">
        <v>12</v>
      </c>
      <c r="B16" s="184">
        <v>46307</v>
      </c>
      <c r="C16" s="185"/>
      <c r="D16" s="186"/>
      <c r="E16" s="187"/>
      <c r="F16" s="196"/>
      <c r="G16" s="199">
        <f t="shared" si="0"/>
        <v>0</v>
      </c>
      <c r="H16" s="187"/>
      <c r="I16" s="195"/>
      <c r="J16" s="166">
        <f t="shared" si="1"/>
        <v>0</v>
      </c>
      <c r="K16" s="199">
        <f t="shared" si="2"/>
        <v>0</v>
      </c>
      <c r="L16" s="199"/>
      <c r="M16" s="118">
        <f t="shared" si="3"/>
        <v>0</v>
      </c>
      <c r="N16" s="166"/>
    </row>
    <row r="17" spans="1:14" x14ac:dyDescent="0.25">
      <c r="A17" s="189">
        <v>13</v>
      </c>
      <c r="B17" s="184">
        <v>46308</v>
      </c>
      <c r="C17" s="185"/>
      <c r="D17" s="186"/>
      <c r="E17" s="187"/>
      <c r="F17" s="196"/>
      <c r="G17" s="166">
        <f t="shared" si="0"/>
        <v>0</v>
      </c>
      <c r="H17" s="187"/>
      <c r="I17" s="195"/>
      <c r="J17" s="166">
        <f t="shared" si="1"/>
        <v>0</v>
      </c>
      <c r="K17" s="166">
        <f t="shared" si="2"/>
        <v>0</v>
      </c>
      <c r="L17" s="166"/>
      <c r="M17" s="118">
        <f t="shared" si="3"/>
        <v>0</v>
      </c>
      <c r="N17" s="166"/>
    </row>
    <row r="18" spans="1:21" x14ac:dyDescent="0.25">
      <c r="A18" s="189">
        <v>14</v>
      </c>
      <c r="B18" s="184">
        <v>46309</v>
      </c>
      <c r="C18" s="185"/>
      <c r="D18" s="186"/>
      <c r="E18" s="187">
        <v>190.42</v>
      </c>
      <c r="F18" s="196">
        <v>105.03</v>
      </c>
      <c r="G18" s="166">
        <f t="shared" si="0"/>
        <v>19999.812599999997</v>
      </c>
      <c r="H18" s="187"/>
      <c r="I18" s="195"/>
      <c r="J18" s="166">
        <f t="shared" si="1"/>
        <v>0</v>
      </c>
      <c r="K18" s="166">
        <f t="shared" si="2"/>
        <v>19999.812599999997</v>
      </c>
      <c r="L18" s="166">
        <v>19999.812599999997</v>
      </c>
      <c r="M18" s="118">
        <f t="shared" si="3"/>
        <v>0</v>
      </c>
      <c r="N18" s="166"/>
      <c r="U18" s="114"/>
    </row>
    <row r="19" spans="1:14" x14ac:dyDescent="0.25">
      <c r="A19" s="189">
        <v>15</v>
      </c>
      <c r="B19" s="184">
        <v>46310</v>
      </c>
      <c r="C19" s="185"/>
      <c r="D19" s="186"/>
      <c r="E19" s="187"/>
      <c r="F19" s="196"/>
      <c r="G19" s="166">
        <f t="shared" si="0"/>
        <v>0</v>
      </c>
      <c r="H19" s="187"/>
      <c r="I19" s="195"/>
      <c r="J19" s="166">
        <f t="shared" si="1"/>
        <v>0</v>
      </c>
      <c r="K19" s="199">
        <f t="shared" si="2"/>
        <v>0</v>
      </c>
      <c r="L19" s="199"/>
      <c r="M19" s="118">
        <f t="shared" si="3"/>
        <v>0</v>
      </c>
      <c r="N19" s="166"/>
    </row>
    <row r="20" spans="1:14" x14ac:dyDescent="0.25">
      <c r="A20" s="189">
        <v>16</v>
      </c>
      <c r="B20" s="184">
        <v>46311</v>
      </c>
      <c r="C20" s="185"/>
      <c r="D20" s="186"/>
      <c r="E20" s="187"/>
      <c r="F20" s="196"/>
      <c r="G20" s="166">
        <f t="shared" ref="G20" si="5">E20*F20</f>
        <v>0</v>
      </c>
      <c r="H20" s="187"/>
      <c r="I20" s="195"/>
      <c r="J20" s="166">
        <f t="shared" si="1"/>
        <v>0</v>
      </c>
      <c r="K20" s="199">
        <f t="shared" ref="K20" si="6">G20+J20</f>
        <v>0</v>
      </c>
      <c r="L20" s="199"/>
      <c r="M20" s="118">
        <f t="shared" si="3"/>
        <v>0</v>
      </c>
      <c r="N20" s="166"/>
    </row>
    <row r="21" spans="1:14" x14ac:dyDescent="0.25">
      <c r="A21" s="189">
        <v>17</v>
      </c>
      <c r="B21" s="184">
        <v>46312</v>
      </c>
      <c r="C21" s="185"/>
      <c r="D21" s="186"/>
      <c r="E21" s="187"/>
      <c r="F21" s="196"/>
      <c r="G21" s="166">
        <f t="shared" si="0"/>
        <v>0</v>
      </c>
      <c r="H21" s="187"/>
      <c r="I21" s="195"/>
      <c r="J21" s="166">
        <f t="shared" si="1"/>
        <v>0</v>
      </c>
      <c r="K21" s="199">
        <f t="shared" si="2"/>
        <v>0</v>
      </c>
      <c r="L21" s="199"/>
      <c r="M21" s="118">
        <f t="shared" si="3"/>
        <v>0</v>
      </c>
      <c r="N21" s="166"/>
    </row>
    <row r="22" spans="1:14" x14ac:dyDescent="0.25">
      <c r="A22" s="189">
        <v>18</v>
      </c>
      <c r="B22" s="184">
        <v>46313</v>
      </c>
      <c r="C22" s="185"/>
      <c r="D22" s="186"/>
      <c r="E22" s="187"/>
      <c r="F22" s="196"/>
      <c r="G22" s="166">
        <f t="shared" si="0"/>
        <v>0</v>
      </c>
      <c r="H22" s="187"/>
      <c r="I22" s="195"/>
      <c r="J22" s="166">
        <f t="shared" si="1"/>
        <v>0</v>
      </c>
      <c r="K22" s="166">
        <f t="shared" si="2"/>
        <v>0</v>
      </c>
      <c r="L22" s="166"/>
      <c r="M22" s="118">
        <f t="shared" si="3"/>
        <v>0</v>
      </c>
      <c r="N22" s="166"/>
    </row>
    <row r="23" spans="1:14" x14ac:dyDescent="0.25">
      <c r="A23" s="189">
        <v>19</v>
      </c>
      <c r="B23" s="184">
        <v>46314</v>
      </c>
      <c r="C23" s="185"/>
      <c r="D23" s="186"/>
      <c r="E23" s="187"/>
      <c r="F23" s="196"/>
      <c r="G23" s="166">
        <f t="shared" si="0"/>
        <v>0</v>
      </c>
      <c r="H23" s="187"/>
      <c r="I23" s="195"/>
      <c r="J23" s="166">
        <f t="shared" si="1"/>
        <v>0</v>
      </c>
      <c r="K23" s="166">
        <f t="shared" si="2"/>
        <v>0</v>
      </c>
      <c r="L23" s="166"/>
      <c r="M23" s="118">
        <f t="shared" si="3"/>
        <v>0</v>
      </c>
      <c r="N23" s="166"/>
    </row>
    <row r="24" spans="1:14" x14ac:dyDescent="0.25">
      <c r="A24" s="189">
        <v>20</v>
      </c>
      <c r="B24" s="184">
        <v>46315</v>
      </c>
      <c r="C24" s="185"/>
      <c r="D24" s="186"/>
      <c r="E24" s="187"/>
      <c r="F24" s="196"/>
      <c r="G24" s="166">
        <f t="shared" si="0"/>
        <v>0</v>
      </c>
      <c r="H24" s="187"/>
      <c r="I24" s="195"/>
      <c r="J24" s="166">
        <f t="shared" si="1"/>
        <v>0</v>
      </c>
      <c r="K24" s="166">
        <f t="shared" si="2"/>
        <v>0</v>
      </c>
      <c r="L24" s="166"/>
      <c r="M24" s="118">
        <f t="shared" si="3"/>
        <v>0</v>
      </c>
      <c r="N24" s="166"/>
    </row>
    <row r="25" spans="1:14" x14ac:dyDescent="0.25">
      <c r="A25" s="189">
        <v>21</v>
      </c>
      <c r="B25" s="184">
        <v>46316</v>
      </c>
      <c r="C25" s="185"/>
      <c r="D25" s="201"/>
      <c r="E25" s="198"/>
      <c r="F25" s="196"/>
      <c r="G25" s="166">
        <f t="shared" si="0"/>
        <v>0</v>
      </c>
      <c r="H25" s="187"/>
      <c r="I25" s="195"/>
      <c r="J25" s="166">
        <f t="shared" si="1"/>
        <v>0</v>
      </c>
      <c r="K25" s="166">
        <f t="shared" si="2"/>
        <v>0</v>
      </c>
      <c r="L25" s="166"/>
      <c r="M25" s="118">
        <f t="shared" si="3"/>
        <v>0</v>
      </c>
      <c r="N25" s="166"/>
    </row>
    <row r="26" spans="1:14" x14ac:dyDescent="0.25">
      <c r="A26" s="189">
        <v>22</v>
      </c>
      <c r="B26" s="184">
        <v>46317</v>
      </c>
      <c r="C26" s="202"/>
      <c r="D26" s="186"/>
      <c r="E26" s="187"/>
      <c r="F26" s="203"/>
      <c r="G26" s="166">
        <f t="shared" si="0"/>
        <v>0</v>
      </c>
      <c r="H26" s="187"/>
      <c r="I26" s="195"/>
      <c r="J26" s="166">
        <f t="shared" si="1"/>
        <v>0</v>
      </c>
      <c r="K26" s="166">
        <f t="shared" si="2"/>
        <v>0</v>
      </c>
      <c r="L26" s="166"/>
      <c r="M26" s="118">
        <f t="shared" si="3"/>
        <v>0</v>
      </c>
      <c r="N26" s="166"/>
    </row>
    <row r="27" spans="1:14" x14ac:dyDescent="0.25">
      <c r="A27" s="189">
        <v>23</v>
      </c>
      <c r="B27" s="184">
        <v>46318</v>
      </c>
      <c r="C27" s="202"/>
      <c r="D27" s="186"/>
      <c r="E27" s="187"/>
      <c r="F27" s="203"/>
      <c r="G27" s="166">
        <f t="shared" si="0"/>
        <v>0</v>
      </c>
      <c r="H27" s="187"/>
      <c r="I27" s="195"/>
      <c r="J27" s="166">
        <f t="shared" si="1"/>
        <v>0</v>
      </c>
      <c r="K27" s="166">
        <f t="shared" si="2"/>
        <v>0</v>
      </c>
      <c r="L27" s="188"/>
      <c r="M27" s="118">
        <f t="shared" si="3"/>
        <v>0</v>
      </c>
      <c r="N27" s="166"/>
    </row>
    <row r="28" spans="1:14" x14ac:dyDescent="0.25">
      <c r="A28" s="189">
        <v>24</v>
      </c>
      <c r="B28" s="184">
        <v>46319</v>
      </c>
      <c r="C28" s="202"/>
      <c r="D28" s="186"/>
      <c r="E28" s="187"/>
      <c r="F28" s="203"/>
      <c r="G28" s="166">
        <f t="shared" si="0"/>
        <v>0</v>
      </c>
      <c r="H28" s="187"/>
      <c r="I28" s="195"/>
      <c r="J28" s="166">
        <f t="shared" si="1"/>
        <v>0</v>
      </c>
      <c r="K28" s="166">
        <f t="shared" si="2"/>
        <v>0</v>
      </c>
      <c r="L28" s="188"/>
      <c r="M28" s="118">
        <f t="shared" si="3"/>
        <v>0</v>
      </c>
      <c r="N28" s="166"/>
    </row>
    <row r="29" spans="1:14" x14ac:dyDescent="0.25">
      <c r="A29" s="191">
        <v>25</v>
      </c>
      <c r="B29" s="184">
        <v>46320</v>
      </c>
      <c r="C29" s="202"/>
      <c r="D29" s="186"/>
      <c r="E29" s="37"/>
      <c r="F29" s="203"/>
      <c r="G29" s="166">
        <f t="shared" si="0"/>
        <v>0</v>
      </c>
      <c r="H29" s="187"/>
      <c r="I29" s="195"/>
      <c r="J29" s="166">
        <f t="shared" si="1"/>
        <v>0</v>
      </c>
      <c r="K29" s="166">
        <f t="shared" si="2"/>
        <v>0</v>
      </c>
      <c r="L29" s="188"/>
      <c r="M29" s="118">
        <f t="shared" si="3"/>
        <v>0</v>
      </c>
      <c r="N29" s="166"/>
    </row>
    <row r="30" spans="1:21" x14ac:dyDescent="0.25">
      <c r="A30" s="191">
        <v>26</v>
      </c>
      <c r="B30" s="184">
        <v>46321</v>
      </c>
      <c r="C30" s="202"/>
      <c r="D30" s="186"/>
      <c r="E30" s="37"/>
      <c r="F30" s="203"/>
      <c r="G30" s="166">
        <f t="shared" si="0"/>
        <v>0</v>
      </c>
      <c r="H30" s="167"/>
      <c r="I30" s="168"/>
      <c r="J30" s="166">
        <f t="shared" si="1"/>
        <v>0</v>
      </c>
      <c r="K30" s="166">
        <f t="shared" si="2"/>
        <v>0</v>
      </c>
      <c r="L30" s="188"/>
      <c r="M30" s="118">
        <f t="shared" si="3"/>
        <v>0</v>
      </c>
      <c r="N30" s="166"/>
      <c r="U30" s="114"/>
    </row>
    <row r="31" spans="1:14" x14ac:dyDescent="0.25">
      <c r="A31" s="191">
        <v>27</v>
      </c>
      <c r="B31" s="184">
        <v>46322</v>
      </c>
      <c r="C31" s="202"/>
      <c r="D31" s="186"/>
      <c r="E31" s="165"/>
      <c r="F31" s="204"/>
      <c r="G31" s="166">
        <f t="shared" si="0"/>
        <v>0</v>
      </c>
      <c r="H31" s="167"/>
      <c r="I31" s="168"/>
      <c r="J31" s="166">
        <f t="shared" si="1"/>
        <v>0</v>
      </c>
      <c r="K31" s="166">
        <f t="shared" si="2"/>
        <v>0</v>
      </c>
      <c r="L31" s="188"/>
      <c r="M31" s="118">
        <f t="shared" si="3"/>
        <v>0</v>
      </c>
      <c r="N31" s="166"/>
    </row>
    <row r="32" spans="1:14" x14ac:dyDescent="0.25">
      <c r="A32" s="191">
        <v>28</v>
      </c>
      <c r="B32" s="184">
        <v>46323</v>
      </c>
      <c r="C32" s="185"/>
      <c r="D32" s="205"/>
      <c r="E32" s="206"/>
      <c r="F32" s="165"/>
      <c r="G32" s="166">
        <f t="shared" si="0"/>
        <v>0</v>
      </c>
      <c r="H32" s="167"/>
      <c r="I32" s="168"/>
      <c r="J32" s="166">
        <f t="shared" si="1"/>
        <v>0</v>
      </c>
      <c r="K32" s="166">
        <f t="shared" si="2"/>
        <v>0</v>
      </c>
      <c r="L32" s="188"/>
      <c r="M32" s="118">
        <f t="shared" si="3"/>
        <v>0</v>
      </c>
      <c r="N32" s="166"/>
    </row>
    <row r="33" spans="1:14" x14ac:dyDescent="0.25">
      <c r="A33" s="193">
        <v>29</v>
      </c>
      <c r="B33" s="184">
        <v>46324</v>
      </c>
      <c r="C33" s="185"/>
      <c r="D33" s="186"/>
      <c r="E33" s="165"/>
      <c r="F33" s="165"/>
      <c r="G33" s="166">
        <f t="shared" si="0"/>
        <v>0</v>
      </c>
      <c r="H33" s="167"/>
      <c r="I33" s="168"/>
      <c r="J33" s="166">
        <f t="shared" si="1"/>
        <v>0</v>
      </c>
      <c r="K33" s="166">
        <f t="shared" si="2"/>
        <v>0</v>
      </c>
      <c r="L33" s="188"/>
      <c r="M33" s="118">
        <f t="shared" si="3"/>
        <v>0</v>
      </c>
      <c r="N33" s="166"/>
    </row>
    <row r="34" spans="1:14" x14ac:dyDescent="0.25">
      <c r="A34" s="193">
        <v>30</v>
      </c>
      <c r="B34" s="184">
        <v>46325</v>
      </c>
      <c r="C34" s="185"/>
      <c r="D34" s="186"/>
      <c r="E34" s="165"/>
      <c r="F34" s="165"/>
      <c r="G34" s="166">
        <f t="shared" si="0"/>
        <v>0</v>
      </c>
      <c r="H34" s="167"/>
      <c r="I34" s="168"/>
      <c r="J34" s="166">
        <f t="shared" si="1"/>
        <v>0</v>
      </c>
      <c r="K34" s="166">
        <f t="shared" si="2"/>
        <v>0</v>
      </c>
      <c r="L34" s="188"/>
      <c r="M34" s="118">
        <f t="shared" si="3"/>
        <v>0</v>
      </c>
      <c r="N34" s="166"/>
    </row>
    <row r="35" spans="1:14" x14ac:dyDescent="0.25">
      <c r="A35" s="193">
        <v>31</v>
      </c>
      <c r="B35" s="184">
        <v>46326</v>
      </c>
      <c r="C35" s="185"/>
      <c r="D35" s="186"/>
      <c r="E35" s="165"/>
      <c r="F35" s="165"/>
      <c r="G35" s="166">
        <f t="shared" si="0"/>
        <v>0</v>
      </c>
      <c r="H35" s="167"/>
      <c r="I35" s="168"/>
      <c r="J35" s="166">
        <f t="shared" si="1"/>
        <v>0</v>
      </c>
      <c r="K35" s="166">
        <f t="shared" si="2"/>
        <v>0</v>
      </c>
      <c r="L35" s="188"/>
      <c r="M35" s="188">
        <v>0</v>
      </c>
      <c r="N35" s="166"/>
    </row>
    <row r="36" spans="1:14" x14ac:dyDescent="0.25">
      <c r="A36" s="169"/>
      <c r="B36" s="169"/>
      <c r="C36" s="169"/>
      <c r="D36" s="169"/>
      <c r="E36" s="170">
        <f>SUM(E4:E35)</f>
        <v>1522.5610000000001</v>
      </c>
      <c r="F36" s="170"/>
      <c r="G36" s="171">
        <f>SUM(G4:G35)</f>
        <v>160000.19883</v>
      </c>
      <c r="H36" s="171">
        <f>SUM(H4:H35)</f>
        <v>0</v>
      </c>
      <c r="I36" s="171"/>
      <c r="J36" s="171">
        <f>SUM(J4:J35)</f>
        <v>0</v>
      </c>
      <c r="K36" s="171">
        <f>SUM(K4:K35)</f>
        <v>160000.19883</v>
      </c>
      <c r="L36" s="171">
        <f>SUM(L4:L35)</f>
        <v>160000.19883</v>
      </c>
      <c r="M36" s="171"/>
      <c r="N36" s="171"/>
    </row>
  </sheetData>
  <mergeCells count="2">
    <mergeCell ref="A1:N1"/>
    <mergeCell ref="A3:L3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9"/>
  <sheetViews>
    <sheetView workbookViewId="0" zoomScale="100" zoomScaleNormal="100">
      <pane ySplit="3" topLeftCell="A4" activePane="bottomLeft" state="frozen"/>
      <selection pane="bottomLeft" activeCell="M18" sqref="M18"/>
    </sheetView>
  </sheetViews>
  <sheetFormatPr defaultRowHeight="15" outlineLevelRow="0" outlineLevelCol="0" x14ac:dyDescent="0"/>
  <cols>
    <col min="1" max="1" width="5.140625" customWidth="1"/>
    <col min="2" max="2" width="10.5703125" customWidth="1"/>
    <col min="4" max="4" width="14.28515625" customWidth="1"/>
    <col min="5" max="5" width="15.140625" customWidth="1"/>
    <col min="6" max="6" width="16.42578125" customWidth="1"/>
    <col min="7" max="7" width="9.28515625" customWidth="1"/>
    <col min="8" max="8" width="10.7109375" customWidth="1"/>
    <col min="11" max="11" width="13.5703125" customWidth="1"/>
    <col min="12" max="12" width="17" customWidth="1"/>
    <col min="13" max="13" width="11.28515625" customWidth="1"/>
  </cols>
  <sheetData>
    <row r="1" ht="15.75" customHeight="1" spans="1:16" x14ac:dyDescent="0.25">
      <c r="A1" s="363" t="s">
        <v>206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5"/>
      <c r="P1" s="365"/>
    </row>
    <row r="2" spans="1:14" x14ac:dyDescent="0.25">
      <c r="A2" s="122" t="s">
        <v>0</v>
      </c>
      <c r="B2" s="122" t="s">
        <v>167</v>
      </c>
      <c r="C2" s="122" t="s">
        <v>168</v>
      </c>
      <c r="D2" s="122" t="s">
        <v>169</v>
      </c>
      <c r="E2" s="366" t="s">
        <v>170</v>
      </c>
      <c r="F2" s="366" t="s">
        <v>171</v>
      </c>
      <c r="G2" s="366" t="s">
        <v>172</v>
      </c>
      <c r="H2" s="366" t="s">
        <v>173</v>
      </c>
      <c r="I2" s="366" t="s">
        <v>171</v>
      </c>
      <c r="J2" s="366" t="s">
        <v>172</v>
      </c>
      <c r="K2" s="366" t="s">
        <v>174</v>
      </c>
      <c r="L2" s="367" t="s">
        <v>175</v>
      </c>
      <c r="M2" s="367" t="s">
        <v>176</v>
      </c>
      <c r="N2" s="122" t="s">
        <v>177</v>
      </c>
    </row>
    <row r="3" spans="1:14" x14ac:dyDescent="0.25">
      <c r="A3" s="37"/>
      <c r="B3" s="37"/>
      <c r="C3" s="148" t="s">
        <v>178</v>
      </c>
      <c r="D3" s="150"/>
      <c r="E3" s="37"/>
      <c r="F3" s="37"/>
      <c r="G3" s="37"/>
      <c r="H3" s="37"/>
      <c r="I3" s="37"/>
      <c r="J3" s="37"/>
      <c r="K3" s="118"/>
      <c r="L3" s="37"/>
      <c r="M3" s="118">
        <v>30045.06679999966</v>
      </c>
      <c r="N3" s="37"/>
    </row>
    <row r="4" spans="1:14" x14ac:dyDescent="0.25">
      <c r="A4" s="115">
        <v>1</v>
      </c>
      <c r="B4" s="116">
        <v>46296</v>
      </c>
      <c r="C4" s="37"/>
      <c r="D4" s="37"/>
      <c r="E4" s="368"/>
      <c r="F4" s="74"/>
      <c r="G4" s="118">
        <f t="shared" ref="G4:G38" si="0">E4*F4</f>
        <v>0</v>
      </c>
      <c r="H4" s="328"/>
      <c r="I4" s="328"/>
      <c r="J4" s="118">
        <f t="shared" ref="J4:J38" si="1">H4*I4</f>
        <v>0</v>
      </c>
      <c r="K4" s="118">
        <f>G4+J4</f>
        <v>0</v>
      </c>
      <c r="L4" s="118"/>
      <c r="M4" s="118">
        <f>M3+K4-L4</f>
        <v>30045.06679999966</v>
      </c>
      <c r="N4" s="37"/>
    </row>
    <row r="5" spans="1:14" x14ac:dyDescent="0.25">
      <c r="A5" s="115">
        <v>2</v>
      </c>
      <c r="B5" s="116">
        <v>46297</v>
      </c>
      <c r="C5" s="37"/>
      <c r="D5" s="37"/>
      <c r="E5" s="368"/>
      <c r="F5" s="74"/>
      <c r="G5" s="118">
        <f t="shared" si="0"/>
        <v>0</v>
      </c>
      <c r="H5" s="328"/>
      <c r="I5" s="328"/>
      <c r="J5" s="118">
        <f t="shared" si="1"/>
        <v>0</v>
      </c>
      <c r="K5" s="118">
        <f t="shared" ref="K5:K38" si="2">G5+J5</f>
        <v>0</v>
      </c>
      <c r="L5" s="118"/>
      <c r="M5" s="118">
        <f>M4+K5-L5</f>
        <v>30045.06679999966</v>
      </c>
      <c r="N5" s="37"/>
    </row>
    <row r="6" spans="1:14" x14ac:dyDescent="0.25">
      <c r="A6" s="115">
        <v>3</v>
      </c>
      <c r="B6" s="116">
        <v>46298</v>
      </c>
      <c r="C6" s="37"/>
      <c r="D6" s="37"/>
      <c r="E6" s="368"/>
      <c r="F6" s="74"/>
      <c r="G6" s="118">
        <f t="shared" si="0"/>
        <v>0</v>
      </c>
      <c r="H6" s="370">
        <v>30</v>
      </c>
      <c r="I6" s="370">
        <v>111.21</v>
      </c>
      <c r="J6" s="118">
        <f t="shared" si="1"/>
        <v>3336.2999999999997</v>
      </c>
      <c r="K6" s="118">
        <f t="shared" si="2"/>
        <v>3336.2999999999997</v>
      </c>
      <c r="L6" s="118"/>
      <c r="M6" s="118">
        <f>M5+K6-L6</f>
        <v>33381.36679999966</v>
      </c>
      <c r="N6" s="37"/>
    </row>
    <row r="7" spans="1:14" x14ac:dyDescent="0.25">
      <c r="A7" s="115">
        <v>4</v>
      </c>
      <c r="B7" s="116">
        <v>46299</v>
      </c>
      <c r="C7" s="37"/>
      <c r="D7" s="37"/>
      <c r="E7" s="368"/>
      <c r="F7" s="74"/>
      <c r="G7" s="118">
        <f t="shared" si="0"/>
        <v>0</v>
      </c>
      <c r="H7" s="370">
        <v>0</v>
      </c>
      <c r="I7" s="370">
        <v>0</v>
      </c>
      <c r="J7" s="118">
        <f t="shared" si="1"/>
        <v>0</v>
      </c>
      <c r="K7" s="118">
        <f t="shared" si="2"/>
        <v>0</v>
      </c>
      <c r="L7" s="118"/>
      <c r="M7" s="118">
        <f>M6+K7-L7</f>
        <v>33381.36679999966</v>
      </c>
      <c r="N7" s="37"/>
    </row>
    <row r="8" spans="1:14" x14ac:dyDescent="0.25">
      <c r="A8" s="115">
        <v>5</v>
      </c>
      <c r="B8" s="116">
        <v>46300</v>
      </c>
      <c r="C8" s="37"/>
      <c r="D8" s="37"/>
      <c r="E8" s="368"/>
      <c r="F8" s="74"/>
      <c r="G8" s="118">
        <f t="shared" si="0"/>
        <v>0</v>
      </c>
      <c r="H8" s="370">
        <v>0</v>
      </c>
      <c r="I8" s="370">
        <v>0</v>
      </c>
      <c r="J8" s="118">
        <f t="shared" si="1"/>
        <v>0</v>
      </c>
      <c r="K8" s="118">
        <f t="shared" si="2"/>
        <v>0</v>
      </c>
      <c r="L8" s="118"/>
      <c r="M8" s="118">
        <f>M7+K8-L8</f>
        <v>33381.36679999966</v>
      </c>
      <c r="N8" s="37"/>
    </row>
    <row r="9" spans="1:14" x14ac:dyDescent="0.25">
      <c r="A9" s="115">
        <v>6</v>
      </c>
      <c r="B9" s="116">
        <v>46301</v>
      </c>
      <c r="C9" s="37"/>
      <c r="D9" s="37"/>
      <c r="E9" s="368"/>
      <c r="F9" s="74"/>
      <c r="G9" s="118">
        <f t="shared" si="0"/>
        <v>0</v>
      </c>
      <c r="H9" s="370">
        <v>30</v>
      </c>
      <c r="I9" s="370">
        <v>111.21</v>
      </c>
      <c r="J9" s="118">
        <f t="shared" si="1"/>
        <v>3336.2999999999997</v>
      </c>
      <c r="K9" s="118">
        <f t="shared" si="2"/>
        <v>3336.2999999999997</v>
      </c>
      <c r="L9" s="118"/>
      <c r="M9" s="118">
        <f t="shared" ref="M9:M38" si="3">M8+K9-L9</f>
        <v>36717.666799999664</v>
      </c>
      <c r="N9" s="37"/>
    </row>
    <row r="10" spans="1:14" x14ac:dyDescent="0.25">
      <c r="A10" s="115">
        <v>7</v>
      </c>
      <c r="B10" s="116">
        <v>46302</v>
      </c>
      <c r="C10" s="37"/>
      <c r="D10" s="37"/>
      <c r="E10" s="368"/>
      <c r="F10" s="74"/>
      <c r="G10" s="118">
        <f t="shared" si="0"/>
        <v>0</v>
      </c>
      <c r="H10" s="328"/>
      <c r="I10" s="328"/>
      <c r="J10" s="118">
        <f t="shared" si="1"/>
        <v>0</v>
      </c>
      <c r="K10" s="118">
        <f t="shared" si="2"/>
        <v>0</v>
      </c>
      <c r="L10" s="118"/>
      <c r="M10" s="118">
        <f t="shared" si="3"/>
        <v>36717.666799999664</v>
      </c>
      <c r="N10" s="37"/>
    </row>
    <row r="11" spans="1:14" x14ac:dyDescent="0.25">
      <c r="A11" s="115">
        <v>8</v>
      </c>
      <c r="B11" s="116">
        <v>46303</v>
      </c>
      <c r="C11" s="37"/>
      <c r="D11" s="37"/>
      <c r="E11" s="368"/>
      <c r="F11" s="74"/>
      <c r="G11" s="118">
        <f t="shared" si="0"/>
        <v>0</v>
      </c>
      <c r="H11" s="328"/>
      <c r="I11" s="328"/>
      <c r="J11" s="118">
        <f t="shared" si="1"/>
        <v>0</v>
      </c>
      <c r="K11" s="118">
        <f t="shared" si="2"/>
        <v>0</v>
      </c>
      <c r="L11" s="118"/>
      <c r="M11" s="118">
        <f t="shared" si="3"/>
        <v>36717.666799999664</v>
      </c>
      <c r="N11" s="37"/>
    </row>
    <row r="12" spans="1:14" x14ac:dyDescent="0.25">
      <c r="A12" s="115">
        <v>9</v>
      </c>
      <c r="B12" s="116">
        <v>46304</v>
      </c>
      <c r="C12" s="37"/>
      <c r="D12" s="37"/>
      <c r="E12" s="371"/>
      <c r="F12" s="74"/>
      <c r="G12" s="118">
        <f t="shared" si="0"/>
        <v>0</v>
      </c>
      <c r="H12" s="328">
        <v>30</v>
      </c>
      <c r="I12" s="328">
        <v>111.21</v>
      </c>
      <c r="J12" s="118">
        <f t="shared" si="1"/>
        <v>3336.2999999999997</v>
      </c>
      <c r="K12" s="118">
        <f t="shared" si="2"/>
        <v>3336.2999999999997</v>
      </c>
      <c r="L12" s="118"/>
      <c r="M12" s="118">
        <f t="shared" si="3"/>
        <v>40053.96679999967</v>
      </c>
      <c r="N12" s="37"/>
    </row>
    <row r="13" spans="1:14" x14ac:dyDescent="0.25">
      <c r="A13" s="115">
        <v>10</v>
      </c>
      <c r="B13" s="116">
        <v>46305</v>
      </c>
      <c r="C13" s="37"/>
      <c r="D13" s="37"/>
      <c r="E13" s="371"/>
      <c r="F13" s="371"/>
      <c r="G13" s="118">
        <f t="shared" si="0"/>
        <v>0</v>
      </c>
      <c r="H13" s="328"/>
      <c r="I13" s="328"/>
      <c r="J13" s="118">
        <f t="shared" si="1"/>
        <v>0</v>
      </c>
      <c r="K13" s="118">
        <f t="shared" si="2"/>
        <v>0</v>
      </c>
      <c r="L13" s="118"/>
      <c r="M13" s="118">
        <f t="shared" si="3"/>
        <v>40053.96679999967</v>
      </c>
      <c r="N13" s="37"/>
    </row>
    <row r="14" spans="1:14" x14ac:dyDescent="0.25">
      <c r="A14" s="115">
        <v>11</v>
      </c>
      <c r="B14" s="116">
        <v>46306</v>
      </c>
      <c r="C14" s="37"/>
      <c r="D14" s="37"/>
      <c r="E14" s="368"/>
      <c r="F14" s="74"/>
      <c r="G14" s="118">
        <f t="shared" si="0"/>
        <v>0</v>
      </c>
      <c r="H14" s="328"/>
      <c r="I14" s="328"/>
      <c r="J14" s="118">
        <f t="shared" si="1"/>
        <v>0</v>
      </c>
      <c r="K14" s="118">
        <f t="shared" si="2"/>
        <v>0</v>
      </c>
      <c r="L14" s="118"/>
      <c r="M14" s="118">
        <f t="shared" si="3"/>
        <v>40053.96679999967</v>
      </c>
      <c r="N14" s="37"/>
    </row>
    <row r="15" spans="1:14" x14ac:dyDescent="0.25">
      <c r="A15" s="115">
        <v>12</v>
      </c>
      <c r="B15" s="116">
        <v>46307</v>
      </c>
      <c r="C15" s="37"/>
      <c r="D15" s="37"/>
      <c r="E15" s="368"/>
      <c r="F15" s="74"/>
      <c r="G15" s="118">
        <f t="shared" si="0"/>
        <v>0</v>
      </c>
      <c r="H15" s="328">
        <v>30</v>
      </c>
      <c r="I15" s="328">
        <v>111.21</v>
      </c>
      <c r="J15" s="118">
        <f t="shared" si="1"/>
        <v>3336.2999999999997</v>
      </c>
      <c r="K15" s="118">
        <f t="shared" si="2"/>
        <v>3336.2999999999997</v>
      </c>
      <c r="L15" s="118"/>
      <c r="M15" s="118">
        <f t="shared" si="3"/>
        <v>43390.26679999967</v>
      </c>
      <c r="N15" s="37"/>
    </row>
    <row r="16" spans="1:14" x14ac:dyDescent="0.25">
      <c r="A16" s="115">
        <v>13</v>
      </c>
      <c r="B16" s="116">
        <v>46308</v>
      </c>
      <c r="C16" s="37"/>
      <c r="D16" s="74"/>
      <c r="E16" s="368"/>
      <c r="F16" s="74"/>
      <c r="G16" s="118">
        <f t="shared" si="0"/>
        <v>0</v>
      </c>
      <c r="H16" s="328"/>
      <c r="I16" s="328"/>
      <c r="J16" s="118">
        <f t="shared" si="1"/>
        <v>0</v>
      </c>
      <c r="K16" s="118">
        <f t="shared" si="2"/>
        <v>0</v>
      </c>
      <c r="L16" s="118"/>
      <c r="M16" s="118">
        <f t="shared" si="3"/>
        <v>43390.26679999967</v>
      </c>
      <c r="N16" s="37"/>
    </row>
    <row r="17" spans="1:14" x14ac:dyDescent="0.25">
      <c r="A17" s="115">
        <v>14</v>
      </c>
      <c r="B17" s="116">
        <v>46309</v>
      </c>
      <c r="C17" s="37"/>
      <c r="D17" s="74"/>
      <c r="E17" s="368"/>
      <c r="F17" s="74"/>
      <c r="G17" s="118">
        <f t="shared" si="0"/>
        <v>0</v>
      </c>
      <c r="H17" s="328"/>
      <c r="I17" s="328"/>
      <c r="J17" s="118">
        <f t="shared" si="1"/>
        <v>0</v>
      </c>
      <c r="K17" s="118">
        <f t="shared" si="2"/>
        <v>0</v>
      </c>
      <c r="L17" s="118"/>
      <c r="M17" s="118">
        <f t="shared" si="3"/>
        <v>43390.26679999967</v>
      </c>
      <c r="N17" s="37"/>
    </row>
    <row r="18" spans="1:16" x14ac:dyDescent="0.25">
      <c r="A18" s="115">
        <v>15</v>
      </c>
      <c r="B18" s="116">
        <v>46310</v>
      </c>
      <c r="C18" s="37"/>
      <c r="D18" s="37"/>
      <c r="E18" s="368"/>
      <c r="F18" s="74"/>
      <c r="G18" s="118">
        <f t="shared" si="0"/>
        <v>0</v>
      </c>
      <c r="H18" s="328">
        <v>30</v>
      </c>
      <c r="I18" s="328">
        <v>111.21</v>
      </c>
      <c r="J18" s="118">
        <f t="shared" si="1"/>
        <v>3336.2999999999997</v>
      </c>
      <c r="K18" s="118">
        <f t="shared" si="2"/>
        <v>3336.2999999999997</v>
      </c>
      <c r="L18" s="118"/>
      <c r="M18" s="118">
        <f t="shared" si="3"/>
        <v>46726.56679999967</v>
      </c>
      <c r="N18" s="37"/>
      <c r="P18" s="369"/>
    </row>
    <row r="19" spans="1:14" x14ac:dyDescent="0.25">
      <c r="A19" s="115">
        <v>16</v>
      </c>
      <c r="B19" s="116">
        <v>46311</v>
      </c>
      <c r="C19" s="37"/>
      <c r="D19" s="37"/>
      <c r="E19" s="368"/>
      <c r="F19" s="74"/>
      <c r="G19" s="118">
        <f t="shared" si="0"/>
        <v>0</v>
      </c>
      <c r="H19" s="328"/>
      <c r="I19" s="328"/>
      <c r="J19" s="118">
        <f t="shared" si="1"/>
        <v>0</v>
      </c>
      <c r="K19" s="118">
        <f t="shared" si="2"/>
        <v>0</v>
      </c>
      <c r="L19" s="118"/>
      <c r="M19" s="118">
        <f t="shared" si="3"/>
        <v>46726.56679999967</v>
      </c>
      <c r="N19" s="37"/>
    </row>
    <row r="20" spans="1:14" x14ac:dyDescent="0.25">
      <c r="A20" s="115">
        <v>17</v>
      </c>
      <c r="B20" s="116">
        <v>46312</v>
      </c>
      <c r="C20" s="37"/>
      <c r="D20" s="37"/>
      <c r="E20" s="368"/>
      <c r="F20" s="74"/>
      <c r="G20" s="118">
        <f t="shared" si="0"/>
        <v>0</v>
      </c>
      <c r="H20" s="328"/>
      <c r="I20" s="328"/>
      <c r="J20" s="118">
        <f t="shared" si="1"/>
        <v>0</v>
      </c>
      <c r="K20" s="118">
        <f t="shared" si="2"/>
        <v>0</v>
      </c>
      <c r="L20" s="118"/>
      <c r="M20" s="118">
        <f t="shared" si="3"/>
        <v>46726.56679999967</v>
      </c>
      <c r="N20" s="37"/>
    </row>
    <row r="21" spans="1:14" x14ac:dyDescent="0.25">
      <c r="A21" s="115">
        <v>18</v>
      </c>
      <c r="B21" s="116">
        <v>46313</v>
      </c>
      <c r="C21" s="37"/>
      <c r="D21" s="37"/>
      <c r="E21" s="368"/>
      <c r="F21" s="74"/>
      <c r="G21" s="118">
        <f t="shared" si="0"/>
        <v>0</v>
      </c>
      <c r="H21" s="328"/>
      <c r="I21" s="328"/>
      <c r="J21" s="118">
        <f t="shared" si="1"/>
        <v>0</v>
      </c>
      <c r="K21" s="118">
        <f t="shared" si="2"/>
        <v>0</v>
      </c>
      <c r="L21" s="118"/>
      <c r="M21" s="118">
        <f t="shared" si="3"/>
        <v>46726.56679999967</v>
      </c>
      <c r="N21" s="37"/>
    </row>
    <row r="22" spans="1:14" x14ac:dyDescent="0.25">
      <c r="A22" s="115">
        <v>19</v>
      </c>
      <c r="B22" s="116">
        <v>46314</v>
      </c>
      <c r="C22" s="37"/>
      <c r="D22" s="37"/>
      <c r="E22" s="368"/>
      <c r="F22" s="74"/>
      <c r="G22" s="118">
        <f t="shared" si="0"/>
        <v>0</v>
      </c>
      <c r="H22" s="328"/>
      <c r="I22" s="328"/>
      <c r="J22" s="118">
        <f t="shared" si="1"/>
        <v>0</v>
      </c>
      <c r="K22" s="118">
        <f t="shared" si="2"/>
        <v>0</v>
      </c>
      <c r="L22" s="118"/>
      <c r="M22" s="118">
        <f t="shared" si="3"/>
        <v>46726.56679999967</v>
      </c>
      <c r="N22" s="37"/>
    </row>
    <row r="23" spans="1:14" x14ac:dyDescent="0.25">
      <c r="A23" s="115">
        <v>20</v>
      </c>
      <c r="B23" s="116">
        <v>46315</v>
      </c>
      <c r="C23" s="37"/>
      <c r="D23" s="37"/>
      <c r="E23" s="368"/>
      <c r="F23" s="74"/>
      <c r="G23" s="118">
        <f t="shared" si="0"/>
        <v>0</v>
      </c>
      <c r="H23" s="328"/>
      <c r="I23" s="328"/>
      <c r="J23" s="118">
        <f t="shared" si="1"/>
        <v>0</v>
      </c>
      <c r="K23" s="118">
        <f t="shared" si="2"/>
        <v>0</v>
      </c>
      <c r="L23" s="118"/>
      <c r="M23" s="118">
        <f t="shared" si="3"/>
        <v>46726.56679999967</v>
      </c>
      <c r="N23" s="37"/>
    </row>
    <row r="24" spans="1:14" x14ac:dyDescent="0.25">
      <c r="A24" s="115">
        <v>22</v>
      </c>
      <c r="B24" s="116">
        <v>46316</v>
      </c>
      <c r="C24" s="37"/>
      <c r="D24" s="37"/>
      <c r="E24" s="368"/>
      <c r="F24" s="74"/>
      <c r="G24" s="118">
        <f t="shared" si="0"/>
        <v>0</v>
      </c>
      <c r="H24" s="328"/>
      <c r="I24" s="328"/>
      <c r="J24" s="118">
        <f t="shared" si="1"/>
        <v>0</v>
      </c>
      <c r="K24" s="118">
        <f t="shared" si="2"/>
        <v>0</v>
      </c>
      <c r="L24" s="118"/>
      <c r="M24" s="118">
        <f t="shared" si="3"/>
        <v>46726.56679999967</v>
      </c>
      <c r="N24" s="37"/>
    </row>
    <row r="25" spans="1:14" x14ac:dyDescent="0.25">
      <c r="A25" s="115">
        <v>23</v>
      </c>
      <c r="B25" s="116">
        <v>46317</v>
      </c>
      <c r="C25" s="37"/>
      <c r="D25" s="37"/>
      <c r="E25" s="368"/>
      <c r="F25" s="74"/>
      <c r="G25" s="118">
        <f t="shared" si="0"/>
        <v>0</v>
      </c>
      <c r="H25" s="328"/>
      <c r="I25" s="328"/>
      <c r="J25" s="118">
        <f t="shared" si="1"/>
        <v>0</v>
      </c>
      <c r="K25" s="118">
        <f t="shared" si="2"/>
        <v>0</v>
      </c>
      <c r="L25" s="118"/>
      <c r="M25" s="118">
        <f t="shared" si="3"/>
        <v>46726.56679999967</v>
      </c>
      <c r="N25" s="37"/>
    </row>
    <row r="26" spans="1:14" x14ac:dyDescent="0.25">
      <c r="A26" s="115">
        <v>24</v>
      </c>
      <c r="B26" s="116">
        <v>46318</v>
      </c>
      <c r="C26" s="37"/>
      <c r="D26" s="37"/>
      <c r="E26" s="368"/>
      <c r="F26" s="74"/>
      <c r="G26" s="118">
        <f t="shared" si="0"/>
        <v>0</v>
      </c>
      <c r="H26" s="328"/>
      <c r="I26" s="328"/>
      <c r="J26" s="118">
        <f t="shared" si="1"/>
        <v>0</v>
      </c>
      <c r="K26" s="118">
        <f t="shared" si="2"/>
        <v>0</v>
      </c>
      <c r="L26" s="118"/>
      <c r="M26" s="118">
        <f t="shared" si="3"/>
        <v>46726.56679999967</v>
      </c>
      <c r="N26" s="37"/>
    </row>
    <row r="27" spans="1:14" x14ac:dyDescent="0.25">
      <c r="A27" s="115">
        <v>25</v>
      </c>
      <c r="B27" s="116">
        <v>46319</v>
      </c>
      <c r="C27" s="37"/>
      <c r="D27" s="37"/>
      <c r="E27" s="368"/>
      <c r="F27" s="74"/>
      <c r="G27" s="118">
        <f t="shared" si="0"/>
        <v>0</v>
      </c>
      <c r="H27" s="328"/>
      <c r="I27" s="328"/>
      <c r="J27" s="118">
        <f t="shared" si="1"/>
        <v>0</v>
      </c>
      <c r="K27" s="118">
        <f t="shared" si="2"/>
        <v>0</v>
      </c>
      <c r="L27" s="118"/>
      <c r="M27" s="118">
        <f t="shared" si="3"/>
        <v>46726.56679999967</v>
      </c>
      <c r="N27" s="37"/>
    </row>
    <row r="28" spans="1:14" x14ac:dyDescent="0.25">
      <c r="A28" s="115">
        <v>26</v>
      </c>
      <c r="B28" s="116">
        <v>46320</v>
      </c>
      <c r="C28" s="37"/>
      <c r="D28" s="37"/>
      <c r="E28" s="368"/>
      <c r="F28" s="74"/>
      <c r="G28" s="118">
        <f t="shared" si="0"/>
        <v>0</v>
      </c>
      <c r="H28" s="328"/>
      <c r="I28" s="328"/>
      <c r="J28" s="118">
        <f t="shared" si="1"/>
        <v>0</v>
      </c>
      <c r="K28" s="118">
        <f t="shared" si="2"/>
        <v>0</v>
      </c>
      <c r="L28" s="118"/>
      <c r="M28" s="118">
        <f t="shared" si="3"/>
        <v>46726.56679999967</v>
      </c>
      <c r="N28" s="37"/>
    </row>
    <row r="29" spans="1:15" x14ac:dyDescent="0.25">
      <c r="A29" s="115">
        <v>27</v>
      </c>
      <c r="B29" s="116">
        <v>46321</v>
      </c>
      <c r="C29" s="37"/>
      <c r="D29" s="37"/>
      <c r="E29" s="368"/>
      <c r="F29" s="74"/>
      <c r="G29" s="118">
        <f t="shared" si="0"/>
        <v>0</v>
      </c>
      <c r="H29" s="328"/>
      <c r="I29" s="328"/>
      <c r="J29" s="118">
        <f t="shared" si="1"/>
        <v>0</v>
      </c>
      <c r="K29" s="118">
        <f t="shared" si="2"/>
        <v>0</v>
      </c>
      <c r="L29" s="118"/>
      <c r="M29" s="118">
        <f t="shared" si="3"/>
        <v>46726.56679999967</v>
      </c>
      <c r="N29" s="37"/>
      <c r="O29" s="114"/>
    </row>
    <row r="30" spans="1:14" x14ac:dyDescent="0.25">
      <c r="A30" s="115">
        <v>28</v>
      </c>
      <c r="B30" s="116">
        <v>46322</v>
      </c>
      <c r="C30" s="37"/>
      <c r="D30" s="37"/>
      <c r="E30" s="368"/>
      <c r="F30" s="74"/>
      <c r="G30" s="118">
        <f t="shared" si="0"/>
        <v>0</v>
      </c>
      <c r="H30" s="328"/>
      <c r="I30" s="328"/>
      <c r="J30" s="118">
        <f t="shared" si="1"/>
        <v>0</v>
      </c>
      <c r="K30" s="118">
        <f t="shared" si="2"/>
        <v>0</v>
      </c>
      <c r="L30" s="118"/>
      <c r="M30" s="118">
        <f t="shared" si="3"/>
        <v>46726.56679999967</v>
      </c>
      <c r="N30" s="37"/>
    </row>
    <row r="31" spans="1:14" x14ac:dyDescent="0.25">
      <c r="A31" s="115">
        <v>29</v>
      </c>
      <c r="B31" s="116">
        <v>46323</v>
      </c>
      <c r="C31" s="37"/>
      <c r="D31" s="132"/>
      <c r="E31" s="368"/>
      <c r="F31" s="74"/>
      <c r="G31" s="118">
        <f t="shared" si="0"/>
        <v>0</v>
      </c>
      <c r="H31" s="328"/>
      <c r="I31" s="328"/>
      <c r="J31" s="118">
        <f t="shared" si="1"/>
        <v>0</v>
      </c>
      <c r="K31" s="118">
        <f t="shared" si="2"/>
        <v>0</v>
      </c>
      <c r="L31" s="64"/>
      <c r="M31" s="118">
        <f t="shared" si="3"/>
        <v>46726.56679999967</v>
      </c>
      <c r="N31" s="37"/>
    </row>
    <row r="32" spans="1:14" x14ac:dyDescent="0.25">
      <c r="A32" s="115">
        <v>30</v>
      </c>
      <c r="B32" s="116">
        <v>46324</v>
      </c>
      <c r="C32" s="37"/>
      <c r="D32" s="37"/>
      <c r="E32" s="368"/>
      <c r="F32" s="74"/>
      <c r="G32" s="118">
        <f t="shared" si="0"/>
        <v>0</v>
      </c>
      <c r="H32" s="328"/>
      <c r="I32" s="328"/>
      <c r="J32" s="118">
        <f t="shared" si="1"/>
        <v>0</v>
      </c>
      <c r="K32" s="118">
        <f t="shared" si="2"/>
        <v>0</v>
      </c>
      <c r="L32" s="118"/>
      <c r="M32" s="118">
        <f t="shared" si="3"/>
        <v>46726.56679999967</v>
      </c>
      <c r="N32" s="37"/>
    </row>
    <row r="33" spans="1:14" x14ac:dyDescent="0.25">
      <c r="A33" s="115">
        <v>31</v>
      </c>
      <c r="B33" s="116">
        <v>46325</v>
      </c>
      <c r="C33" s="37"/>
      <c r="D33" s="37"/>
      <c r="E33" s="368"/>
      <c r="F33" s="74"/>
      <c r="G33" s="118">
        <f t="shared" si="0"/>
        <v>0</v>
      </c>
      <c r="H33" s="328"/>
      <c r="I33" s="328"/>
      <c r="J33" s="118">
        <f t="shared" si="1"/>
        <v>0</v>
      </c>
      <c r="K33" s="118">
        <f t="shared" si="2"/>
        <v>0</v>
      </c>
      <c r="L33" s="118"/>
      <c r="M33" s="118">
        <f t="shared" si="3"/>
        <v>46726.56679999967</v>
      </c>
      <c r="N33" s="37"/>
    </row>
    <row r="34" spans="1:14" x14ac:dyDescent="0.25">
      <c r="A34" s="115">
        <v>32</v>
      </c>
      <c r="B34" s="116">
        <v>46326</v>
      </c>
      <c r="C34" s="37"/>
      <c r="D34" s="37"/>
      <c r="E34" s="368"/>
      <c r="F34" s="74"/>
      <c r="G34" s="118">
        <f t="shared" si="0"/>
        <v>0</v>
      </c>
      <c r="H34" s="328"/>
      <c r="I34" s="328"/>
      <c r="J34" s="118">
        <f t="shared" si="1"/>
        <v>0</v>
      </c>
      <c r="K34" s="118">
        <f t="shared" si="2"/>
        <v>0</v>
      </c>
      <c r="L34" s="118"/>
      <c r="M34" s="118">
        <f t="shared" si="3"/>
        <v>46726.56679999967</v>
      </c>
      <c r="N34" s="37"/>
    </row>
    <row r="35" spans="1:14" x14ac:dyDescent="0.25">
      <c r="A35" s="115">
        <v>33</v>
      </c>
      <c r="B35" s="116"/>
      <c r="C35" s="37"/>
      <c r="D35" s="37"/>
      <c r="E35" s="368"/>
      <c r="F35" s="74"/>
      <c r="G35" s="118">
        <f t="shared" si="0"/>
        <v>0</v>
      </c>
      <c r="H35" s="328"/>
      <c r="I35" s="328"/>
      <c r="J35" s="118">
        <f t="shared" si="1"/>
        <v>0</v>
      </c>
      <c r="K35" s="118">
        <f t="shared" si="2"/>
        <v>0</v>
      </c>
      <c r="L35" s="118"/>
      <c r="M35" s="118">
        <f t="shared" si="3"/>
        <v>46726.56679999967</v>
      </c>
      <c r="N35" s="37"/>
    </row>
    <row r="36" spans="1:16" x14ac:dyDescent="0.25">
      <c r="A36" s="115">
        <v>34</v>
      </c>
      <c r="B36" s="116"/>
      <c r="C36" s="37"/>
      <c r="D36" s="37"/>
      <c r="E36" s="368"/>
      <c r="F36" s="74"/>
      <c r="G36" s="118">
        <f t="shared" si="0"/>
        <v>0</v>
      </c>
      <c r="H36" s="328"/>
      <c r="I36" s="328"/>
      <c r="J36" s="118">
        <f t="shared" si="1"/>
        <v>0</v>
      </c>
      <c r="K36" s="118">
        <f t="shared" si="2"/>
        <v>0</v>
      </c>
      <c r="L36" s="118"/>
      <c r="M36" s="118">
        <f t="shared" si="3"/>
        <v>46726.56679999967</v>
      </c>
      <c r="N36" s="37"/>
      <c r="P36" s="348"/>
    </row>
    <row r="37" spans="1:16" x14ac:dyDescent="0.25">
      <c r="A37" s="115">
        <v>35</v>
      </c>
      <c r="B37" s="116"/>
      <c r="C37" s="37"/>
      <c r="D37" s="37"/>
      <c r="E37" s="368"/>
      <c r="F37" s="74"/>
      <c r="G37" s="118">
        <f t="shared" si="0"/>
        <v>0</v>
      </c>
      <c r="H37" s="328"/>
      <c r="I37" s="328"/>
      <c r="J37" s="118">
        <f t="shared" si="1"/>
        <v>0</v>
      </c>
      <c r="K37" s="118">
        <f t="shared" si="2"/>
        <v>0</v>
      </c>
      <c r="L37" s="118"/>
      <c r="M37" s="118">
        <f t="shared" si="3"/>
        <v>46726.56679999967</v>
      </c>
      <c r="N37" s="37"/>
      <c r="P37" s="348"/>
    </row>
    <row r="38" spans="1:16" x14ac:dyDescent="0.25">
      <c r="A38" s="115">
        <v>36</v>
      </c>
      <c r="B38" s="116"/>
      <c r="C38" s="37"/>
      <c r="D38" s="37"/>
      <c r="E38" s="74"/>
      <c r="F38" s="74"/>
      <c r="G38" s="118">
        <f t="shared" si="0"/>
        <v>0</v>
      </c>
      <c r="H38" s="328"/>
      <c r="I38" s="328"/>
      <c r="J38" s="118">
        <f t="shared" si="1"/>
        <v>0</v>
      </c>
      <c r="K38" s="118">
        <f t="shared" si="2"/>
        <v>0</v>
      </c>
      <c r="L38" s="118"/>
      <c r="M38" s="118">
        <f t="shared" si="3"/>
        <v>46726.56679999967</v>
      </c>
      <c r="N38" s="37"/>
      <c r="P38" s="348"/>
    </row>
    <row r="39" spans="1:14" x14ac:dyDescent="0.25">
      <c r="A39" s="121"/>
      <c r="B39" s="121"/>
      <c r="C39" s="121"/>
      <c r="D39" s="121"/>
      <c r="E39" s="121">
        <f>SUM(E4:E38)</f>
        <v>0</v>
      </c>
      <c r="F39" s="121"/>
      <c r="G39" s="121">
        <f>SUM(G4:G38)</f>
        <v>0</v>
      </c>
      <c r="H39" s="121">
        <f>SUM(H4:H38)</f>
        <v>150</v>
      </c>
      <c r="I39" s="121"/>
      <c r="J39" s="121">
        <f>SUM(J4:J38)</f>
        <v>16681.5</v>
      </c>
      <c r="K39" s="121">
        <f>SUM(K4:K38)</f>
        <v>16681.5</v>
      </c>
      <c r="L39" s="121">
        <f>SUM(L4:L38)</f>
        <v>0</v>
      </c>
      <c r="M39" s="121"/>
      <c r="N39" s="121"/>
    </row>
  </sheetData>
  <mergeCells count="2">
    <mergeCell ref="A1:N1"/>
    <mergeCell ref="C3:D3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P35"/>
  <sheetViews>
    <sheetView workbookViewId="0" zoomScale="100" zoomScaleNormal="100">
      <pane ySplit="3" topLeftCell="A9" activePane="bottomLeft" state="frozen"/>
      <selection pane="bottomLeft" activeCell="J18" sqref="J18"/>
    </sheetView>
  </sheetViews>
  <sheetFormatPr defaultRowHeight="15" outlineLevelRow="0" outlineLevelCol="0" x14ac:dyDescent="0"/>
  <cols>
    <col min="2" max="2" width="9.85546875" customWidth="1"/>
    <col min="4" max="4" width="12.85546875" customWidth="1"/>
    <col min="5" max="5" width="13" customWidth="1"/>
    <col min="7" max="7" width="10" customWidth="1"/>
    <col min="8" max="8" width="12.5703125" customWidth="1"/>
    <col min="11" max="11" width="13.5703125" customWidth="1"/>
    <col min="12" max="12" width="23.42578125" customWidth="1"/>
    <col min="13" max="13" width="12.5703125" customWidth="1"/>
    <col min="14" max="14" width="18" customWidth="1"/>
    <col min="15" max="15" width="9.7109375" customWidth="1"/>
    <col min="18" max="18" width="13.7109375" customWidth="1"/>
  </cols>
  <sheetData>
    <row r="1" ht="15.75" customHeight="1" spans="1:14" x14ac:dyDescent="0.25">
      <c r="A1" s="509" t="s">
        <v>148</v>
      </c>
      <c r="B1" s="510"/>
      <c r="C1" s="510"/>
      <c r="D1" s="510"/>
      <c r="E1" s="510"/>
      <c r="F1" s="510"/>
      <c r="G1" s="510"/>
      <c r="H1" s="510"/>
      <c r="I1" s="510"/>
      <c r="J1" s="510"/>
      <c r="K1" s="510"/>
      <c r="L1" s="510"/>
      <c r="M1" s="510"/>
      <c r="N1" s="511"/>
    </row>
    <row r="2" ht="19.5" customHeight="1" spans="1:14" x14ac:dyDescent="0.25">
      <c r="A2" s="106" t="s">
        <v>0</v>
      </c>
      <c r="B2" s="512" t="s">
        <v>167</v>
      </c>
      <c r="C2" s="512" t="s">
        <v>168</v>
      </c>
      <c r="D2" s="512" t="s">
        <v>189</v>
      </c>
      <c r="E2" s="512" t="s">
        <v>170</v>
      </c>
      <c r="F2" s="512" t="s">
        <v>171</v>
      </c>
      <c r="G2" s="512" t="s">
        <v>172</v>
      </c>
      <c r="H2" s="512" t="s">
        <v>173</v>
      </c>
      <c r="I2" s="512" t="s">
        <v>171</v>
      </c>
      <c r="J2" s="512" t="s">
        <v>172</v>
      </c>
      <c r="K2" s="364" t="s">
        <v>174</v>
      </c>
      <c r="L2" s="364" t="s">
        <v>175</v>
      </c>
      <c r="M2" s="364" t="s">
        <v>190</v>
      </c>
      <c r="N2" s="512" t="s">
        <v>177</v>
      </c>
    </row>
    <row r="3" spans="1:14" x14ac:dyDescent="0.25">
      <c r="A3" s="513" t="s">
        <v>178</v>
      </c>
      <c r="B3" s="514"/>
      <c r="C3" s="514"/>
      <c r="D3" s="514"/>
      <c r="E3" s="514"/>
      <c r="F3" s="514"/>
      <c r="G3" s="514"/>
      <c r="H3" s="514"/>
      <c r="I3" s="514"/>
      <c r="J3" s="514"/>
      <c r="K3" s="514"/>
      <c r="L3" s="515"/>
      <c r="M3" s="513">
        <v>693317.08</v>
      </c>
      <c r="N3" s="515"/>
    </row>
    <row r="4" spans="1:14" x14ac:dyDescent="0.25">
      <c r="A4" s="183">
        <v>1</v>
      </c>
      <c r="B4" s="184">
        <v>46296</v>
      </c>
      <c r="C4" s="118"/>
      <c r="D4" s="118"/>
      <c r="E4" s="187">
        <v>515.93</v>
      </c>
      <c r="F4" s="195">
        <v>99.37</v>
      </c>
      <c r="G4" s="118">
        <f>E4*F4</f>
        <v>51267.9641</v>
      </c>
      <c r="H4" s="118">
        <v>5</v>
      </c>
      <c r="I4" s="118">
        <v>111.46</v>
      </c>
      <c r="J4" s="118">
        <f>H4*I4</f>
        <v>557.3</v>
      </c>
      <c r="K4" s="118">
        <f>G4+J4</f>
        <v>51825.2641</v>
      </c>
      <c r="L4" s="118"/>
      <c r="M4" s="118">
        <f>M3+K4-L4</f>
        <v>745142.3441</v>
      </c>
      <c r="N4" s="118"/>
    </row>
    <row r="5" spans="1:14" x14ac:dyDescent="0.25">
      <c r="A5" s="189">
        <v>2</v>
      </c>
      <c r="B5" s="184">
        <v>46297</v>
      </c>
      <c r="C5" s="118"/>
      <c r="D5" s="118"/>
      <c r="E5" s="187"/>
      <c r="F5" s="195"/>
      <c r="G5" s="118">
        <f t="shared" ref="G5:G34" si="0">E5*F5</f>
        <v>0</v>
      </c>
      <c r="H5" s="118">
        <v>20</v>
      </c>
      <c r="I5" s="118">
        <v>111.46</v>
      </c>
      <c r="J5" s="118">
        <f t="shared" ref="J5:J33" si="1">H5*I5</f>
        <v>2229.2</v>
      </c>
      <c r="K5" s="118">
        <f t="shared" ref="K5:K11" si="2">G5+J5</f>
        <v>2229.2</v>
      </c>
      <c r="L5" s="118"/>
      <c r="M5" s="118">
        <f t="shared" ref="M5:M14" si="3">M4+K5-L5</f>
        <v>747371.5440999999</v>
      </c>
      <c r="N5" s="118"/>
    </row>
    <row r="6" spans="1:14" x14ac:dyDescent="0.25">
      <c r="A6" s="183">
        <v>3</v>
      </c>
      <c r="B6" s="184">
        <v>46298</v>
      </c>
      <c r="C6" s="118"/>
      <c r="D6" s="118"/>
      <c r="E6" s="187">
        <v>445.59</v>
      </c>
      <c r="F6" s="195">
        <v>99.37</v>
      </c>
      <c r="G6" s="118">
        <f t="shared" si="0"/>
        <v>44278.2783</v>
      </c>
      <c r="H6" s="118">
        <v>25</v>
      </c>
      <c r="I6" s="118">
        <v>111.46</v>
      </c>
      <c r="J6" s="118">
        <f t="shared" si="1"/>
        <v>2786.5</v>
      </c>
      <c r="K6" s="118">
        <f t="shared" si="2"/>
        <v>47064.7783</v>
      </c>
      <c r="L6" s="118"/>
      <c r="M6" s="118">
        <f t="shared" si="3"/>
        <v>794436.3224</v>
      </c>
      <c r="N6" s="118"/>
    </row>
    <row r="7" spans="1:14" x14ac:dyDescent="0.25">
      <c r="A7" s="189">
        <v>4</v>
      </c>
      <c r="B7" s="184">
        <v>46299</v>
      </c>
      <c r="C7" s="118"/>
      <c r="D7" s="118"/>
      <c r="E7" s="187">
        <v>233.31</v>
      </c>
      <c r="F7" s="195">
        <v>99.37</v>
      </c>
      <c r="G7" s="118">
        <f t="shared" si="0"/>
        <v>23184.0147</v>
      </c>
      <c r="H7" s="118">
        <v>15</v>
      </c>
      <c r="I7" s="118">
        <v>111.46</v>
      </c>
      <c r="J7" s="118">
        <f t="shared" si="1"/>
        <v>1671.8999999999999</v>
      </c>
      <c r="K7" s="118">
        <f t="shared" si="2"/>
        <v>24855.9147</v>
      </c>
      <c r="L7" s="118"/>
      <c r="M7" s="118">
        <f t="shared" si="3"/>
        <v>819292.2370999999</v>
      </c>
      <c r="N7" s="118"/>
    </row>
    <row r="8" spans="1:14" x14ac:dyDescent="0.25">
      <c r="A8" s="183">
        <v>5</v>
      </c>
      <c r="B8" s="184">
        <v>46300</v>
      </c>
      <c r="C8" s="118"/>
      <c r="D8" s="118"/>
      <c r="E8" s="187">
        <v>311.4</v>
      </c>
      <c r="F8" s="195">
        <v>99.37</v>
      </c>
      <c r="G8" s="118">
        <f t="shared" si="0"/>
        <v>30943.818</v>
      </c>
      <c r="H8" s="118">
        <v>30</v>
      </c>
      <c r="I8" s="118">
        <v>111.46</v>
      </c>
      <c r="J8" s="118">
        <f t="shared" si="1"/>
        <v>3343.7999999999997</v>
      </c>
      <c r="K8" s="118">
        <f t="shared" si="2"/>
        <v>34287.618</v>
      </c>
      <c r="L8" s="118"/>
      <c r="M8" s="118">
        <f t="shared" si="3"/>
        <v>853579.8550999999</v>
      </c>
      <c r="N8" s="118"/>
    </row>
    <row r="9" spans="1:14" x14ac:dyDescent="0.25">
      <c r="A9" s="189">
        <v>6</v>
      </c>
      <c r="B9" s="184">
        <v>46301</v>
      </c>
      <c r="C9" s="118"/>
      <c r="D9" s="118"/>
      <c r="E9" s="187">
        <v>977.53</v>
      </c>
      <c r="F9" s="195">
        <v>99.37</v>
      </c>
      <c r="G9" s="118">
        <f t="shared" si="0"/>
        <v>97137.15610000001</v>
      </c>
      <c r="H9" s="118">
        <v>15</v>
      </c>
      <c r="I9" s="118">
        <v>111.46</v>
      </c>
      <c r="J9" s="118">
        <f t="shared" si="1"/>
        <v>1671.8999999999999</v>
      </c>
      <c r="K9" s="118">
        <f t="shared" si="2"/>
        <v>98809.0561</v>
      </c>
      <c r="L9" s="118"/>
      <c r="M9" s="118">
        <f t="shared" si="3"/>
        <v>952388.9112</v>
      </c>
      <c r="N9" s="118"/>
    </row>
    <row r="10" spans="1:14" x14ac:dyDescent="0.25">
      <c r="A10" s="183">
        <v>7</v>
      </c>
      <c r="B10" s="184">
        <v>46302</v>
      </c>
      <c r="C10" s="118"/>
      <c r="D10" s="118"/>
      <c r="E10" s="187">
        <v>474.5</v>
      </c>
      <c r="F10" s="195">
        <v>99.37</v>
      </c>
      <c r="G10" s="118">
        <f>E10*F10</f>
        <v>47151.065</v>
      </c>
      <c r="H10" s="118">
        <v>5</v>
      </c>
      <c r="I10" s="118">
        <v>111.46</v>
      </c>
      <c r="J10" s="118">
        <f t="shared" si="1"/>
        <v>557.3</v>
      </c>
      <c r="K10" s="118">
        <f>G10+J10</f>
        <v>47708.365000000005</v>
      </c>
      <c r="L10" s="118"/>
      <c r="M10" s="118">
        <f t="shared" si="3"/>
        <v>1000097.2762</v>
      </c>
      <c r="N10" s="118"/>
    </row>
    <row r="11" spans="1:16" x14ac:dyDescent="0.25">
      <c r="A11" s="189">
        <v>8</v>
      </c>
      <c r="B11" s="184">
        <v>46303</v>
      </c>
      <c r="C11" s="118"/>
      <c r="D11" s="118"/>
      <c r="E11" s="187">
        <v>735.61</v>
      </c>
      <c r="F11" s="195">
        <v>99.37</v>
      </c>
      <c r="G11" s="118">
        <f t="shared" si="0"/>
        <v>73097.5657</v>
      </c>
      <c r="H11" s="118">
        <v>10</v>
      </c>
      <c r="I11" s="118">
        <v>111.46</v>
      </c>
      <c r="J11" s="118">
        <f t="shared" si="1"/>
        <v>1114.6</v>
      </c>
      <c r="K11" s="118">
        <f t="shared" si="2"/>
        <v>74212.16570000001</v>
      </c>
      <c r="L11" s="118"/>
      <c r="M11" s="118">
        <f t="shared" si="3"/>
        <v>1074309.4419</v>
      </c>
      <c r="N11" s="118"/>
      <c r="P11" s="114"/>
    </row>
    <row r="12" spans="1:14" x14ac:dyDescent="0.25">
      <c r="A12" s="183">
        <v>9</v>
      </c>
      <c r="B12" s="184">
        <v>46304</v>
      </c>
      <c r="C12" s="118"/>
      <c r="D12" s="118"/>
      <c r="E12" s="187">
        <v>625.71</v>
      </c>
      <c r="F12" s="195">
        <v>99.37</v>
      </c>
      <c r="G12" s="118">
        <f t="shared" si="0"/>
        <v>62176.80270000001</v>
      </c>
      <c r="H12" s="118">
        <v>5</v>
      </c>
      <c r="I12" s="118">
        <v>111.46</v>
      </c>
      <c r="J12" s="118">
        <f t="shared" si="1"/>
        <v>557.3</v>
      </c>
      <c r="K12" s="118">
        <f t="shared" ref="K5:K33" si="4">G12+J12</f>
        <v>62734.10270000001</v>
      </c>
      <c r="L12" s="118"/>
      <c r="M12" s="118">
        <f t="shared" si="3"/>
        <v>1137043.5446</v>
      </c>
      <c r="N12" s="118"/>
    </row>
    <row r="13" spans="1:14" x14ac:dyDescent="0.25">
      <c r="A13" s="189">
        <v>10</v>
      </c>
      <c r="B13" s="184">
        <v>46305</v>
      </c>
      <c r="C13" s="118"/>
      <c r="D13" s="118"/>
      <c r="E13" s="187">
        <v>364.43</v>
      </c>
      <c r="F13" s="195">
        <v>99.37</v>
      </c>
      <c r="G13" s="118">
        <f t="shared" si="0"/>
        <v>36213.409100000004</v>
      </c>
      <c r="H13" s="118">
        <v>20</v>
      </c>
      <c r="I13" s="118">
        <v>111.46</v>
      </c>
      <c r="J13" s="118">
        <f t="shared" si="1"/>
        <v>2229.2</v>
      </c>
      <c r="K13" s="118">
        <f t="shared" si="4"/>
        <v>38442.6091</v>
      </c>
      <c r="L13" s="118"/>
      <c r="M13" s="118">
        <f t="shared" si="3"/>
        <v>1175486.1537</v>
      </c>
      <c r="N13" s="118"/>
    </row>
    <row r="14" spans="1:14" x14ac:dyDescent="0.25">
      <c r="A14" s="183">
        <v>11</v>
      </c>
      <c r="B14" s="184">
        <v>46306</v>
      </c>
      <c r="C14" s="118"/>
      <c r="D14" s="118"/>
      <c r="E14" s="187">
        <v>0</v>
      </c>
      <c r="F14" s="195">
        <v>99.37</v>
      </c>
      <c r="G14" s="118">
        <f t="shared" si="0"/>
        <v>0</v>
      </c>
      <c r="H14" s="118">
        <v>10</v>
      </c>
      <c r="I14" s="118">
        <v>111.46</v>
      </c>
      <c r="J14" s="118">
        <f t="shared" si="1"/>
        <v>1114.6</v>
      </c>
      <c r="K14" s="118">
        <f t="shared" si="4"/>
        <v>1114.6</v>
      </c>
      <c r="L14" s="118"/>
      <c r="M14" s="118">
        <f t="shared" si="3"/>
        <v>1176600.7537</v>
      </c>
      <c r="N14" s="118"/>
    </row>
    <row r="15" spans="1:14" x14ac:dyDescent="0.25">
      <c r="A15" s="189">
        <v>12</v>
      </c>
      <c r="B15" s="184">
        <v>46307</v>
      </c>
      <c r="C15" s="118"/>
      <c r="D15" s="118"/>
      <c r="E15" s="187">
        <v>310.9</v>
      </c>
      <c r="F15" s="195">
        <v>99.37</v>
      </c>
      <c r="G15" s="118">
        <f t="shared" si="0"/>
        <v>30894.132999999998</v>
      </c>
      <c r="H15" s="118">
        <v>20</v>
      </c>
      <c r="I15" s="118">
        <v>111.46</v>
      </c>
      <c r="J15" s="118">
        <f t="shared" si="1"/>
        <v>2229.2</v>
      </c>
      <c r="K15" s="118">
        <f t="shared" si="4"/>
        <v>33123.333</v>
      </c>
      <c r="L15" s="118"/>
      <c r="M15" s="118">
        <f t="shared" ref="M5:M34" si="5">M14+K15-L15</f>
        <v>1209724.0867</v>
      </c>
      <c r="N15" s="118"/>
    </row>
    <row r="16" spans="1:14" x14ac:dyDescent="0.25">
      <c r="A16" s="183">
        <v>13</v>
      </c>
      <c r="B16" s="184">
        <v>46308</v>
      </c>
      <c r="C16" s="118"/>
      <c r="D16" s="118"/>
      <c r="E16" s="187">
        <v>171.94</v>
      </c>
      <c r="F16" s="195">
        <v>99.37</v>
      </c>
      <c r="G16" s="118">
        <f t="shared" si="0"/>
        <v>17085.6778</v>
      </c>
      <c r="H16" s="118">
        <v>5</v>
      </c>
      <c r="I16" s="118">
        <v>111.46</v>
      </c>
      <c r="J16" s="118">
        <f t="shared" si="1"/>
        <v>557.3</v>
      </c>
      <c r="K16" s="118">
        <f t="shared" si="4"/>
        <v>17642.9778</v>
      </c>
      <c r="L16" s="118"/>
      <c r="M16" s="118">
        <f t="shared" si="5"/>
        <v>1227367.0645</v>
      </c>
      <c r="N16" s="118"/>
    </row>
    <row r="17" spans="1:14" x14ac:dyDescent="0.25">
      <c r="A17" s="189">
        <v>14</v>
      </c>
      <c r="B17" s="184">
        <v>46309</v>
      </c>
      <c r="C17" s="118"/>
      <c r="D17" s="118"/>
      <c r="E17" s="187">
        <v>27.76</v>
      </c>
      <c r="F17" s="195">
        <v>99.37</v>
      </c>
      <c r="G17" s="118">
        <f t="shared" si="0"/>
        <v>2758.5112000000004</v>
      </c>
      <c r="H17" s="118">
        <v>5</v>
      </c>
      <c r="I17" s="118">
        <v>111.46</v>
      </c>
      <c r="J17" s="118">
        <f t="shared" si="1"/>
        <v>557.3</v>
      </c>
      <c r="K17" s="118">
        <f t="shared" si="4"/>
        <v>3315.8112</v>
      </c>
      <c r="L17" s="118"/>
      <c r="M17" s="118">
        <f t="shared" si="5"/>
        <v>1230682.8757000002</v>
      </c>
      <c r="N17" s="118"/>
    </row>
    <row r="18" spans="1:14" x14ac:dyDescent="0.25">
      <c r="A18" s="183">
        <v>15</v>
      </c>
      <c r="B18" s="184">
        <v>46310</v>
      </c>
      <c r="C18" s="118"/>
      <c r="D18" s="118"/>
      <c r="E18" s="187"/>
      <c r="F18" s="195"/>
      <c r="G18" s="118">
        <f t="shared" si="0"/>
        <v>0</v>
      </c>
      <c r="H18" s="118">
        <v>25</v>
      </c>
      <c r="I18" s="118">
        <v>111.46</v>
      </c>
      <c r="J18" s="118">
        <f t="shared" si="1"/>
        <v>2786.5</v>
      </c>
      <c r="K18" s="118">
        <f t="shared" si="4"/>
        <v>2786.5</v>
      </c>
      <c r="L18" s="118"/>
      <c r="M18" s="118">
        <f t="shared" si="5"/>
        <v>1233469.3757000002</v>
      </c>
      <c r="N18" s="118"/>
    </row>
    <row r="19" spans="1:14" x14ac:dyDescent="0.25">
      <c r="A19" s="189">
        <v>16</v>
      </c>
      <c r="B19" s="184">
        <v>46311</v>
      </c>
      <c r="C19" s="118"/>
      <c r="D19" s="118"/>
      <c r="E19" s="187"/>
      <c r="F19" s="195"/>
      <c r="G19" s="118">
        <f t="shared" si="0"/>
        <v>0</v>
      </c>
      <c r="H19" s="118"/>
      <c r="I19" s="118"/>
      <c r="J19" s="118">
        <f t="shared" si="1"/>
        <v>0</v>
      </c>
      <c r="K19" s="118">
        <f t="shared" si="4"/>
        <v>0</v>
      </c>
      <c r="L19" s="118"/>
      <c r="M19" s="118">
        <f t="shared" si="5"/>
        <v>1233469.3757000002</v>
      </c>
      <c r="N19" s="118"/>
    </row>
    <row r="20" spans="1:15" x14ac:dyDescent="0.25">
      <c r="A20" s="183">
        <v>17</v>
      </c>
      <c r="B20" s="184">
        <v>46312</v>
      </c>
      <c r="C20" s="118"/>
      <c r="D20" s="118"/>
      <c r="E20" s="187"/>
      <c r="F20" s="195"/>
      <c r="G20" s="118">
        <f t="shared" si="0"/>
        <v>0</v>
      </c>
      <c r="H20" s="118"/>
      <c r="I20" s="118"/>
      <c r="J20" s="118">
        <f t="shared" si="1"/>
        <v>0</v>
      </c>
      <c r="K20" s="118">
        <f t="shared" si="4"/>
        <v>0</v>
      </c>
      <c r="L20" s="118"/>
      <c r="M20" s="118">
        <f t="shared" si="5"/>
        <v>1233469.3757000002</v>
      </c>
      <c r="N20" s="118"/>
      <c r="O20" s="114"/>
    </row>
    <row r="21" spans="1:14" x14ac:dyDescent="0.25">
      <c r="A21" s="189">
        <v>18</v>
      </c>
      <c r="B21" s="184">
        <v>46313</v>
      </c>
      <c r="C21" s="118"/>
      <c r="D21" s="118"/>
      <c r="E21" s="187"/>
      <c r="F21" s="195"/>
      <c r="G21" s="118">
        <f t="shared" si="0"/>
        <v>0</v>
      </c>
      <c r="H21" s="118"/>
      <c r="I21" s="118"/>
      <c r="J21" s="118">
        <f t="shared" si="1"/>
        <v>0</v>
      </c>
      <c r="K21" s="118">
        <f t="shared" si="4"/>
        <v>0</v>
      </c>
      <c r="L21" s="118"/>
      <c r="M21" s="118">
        <f>M20+K21-L21</f>
        <v>1233469.3757000002</v>
      </c>
      <c r="N21" s="118"/>
    </row>
    <row r="22" spans="1:14" x14ac:dyDescent="0.25">
      <c r="A22" s="183">
        <v>19</v>
      </c>
      <c r="B22" s="184">
        <v>46314</v>
      </c>
      <c r="C22" s="118"/>
      <c r="D22" s="118"/>
      <c r="E22" s="187"/>
      <c r="F22" s="195"/>
      <c r="G22" s="118">
        <f t="shared" si="0"/>
        <v>0</v>
      </c>
      <c r="H22" s="118"/>
      <c r="I22" s="118"/>
      <c r="J22" s="118">
        <f t="shared" si="1"/>
        <v>0</v>
      </c>
      <c r="K22" s="118">
        <f t="shared" si="4"/>
        <v>0</v>
      </c>
      <c r="L22" s="118"/>
      <c r="M22" s="118">
        <f t="shared" si="5"/>
        <v>1233469.3757000002</v>
      </c>
      <c r="N22" s="118"/>
    </row>
    <row r="23" spans="1:14" x14ac:dyDescent="0.25">
      <c r="A23" s="189">
        <v>20</v>
      </c>
      <c r="B23" s="184">
        <v>46315</v>
      </c>
      <c r="C23" s="118"/>
      <c r="D23" s="118"/>
      <c r="E23" s="187"/>
      <c r="F23" s="195"/>
      <c r="G23" s="118">
        <f t="shared" si="0"/>
        <v>0</v>
      </c>
      <c r="H23" s="118"/>
      <c r="I23" s="118"/>
      <c r="J23" s="118">
        <f t="shared" si="1"/>
        <v>0</v>
      </c>
      <c r="K23" s="118">
        <f t="shared" si="4"/>
        <v>0</v>
      </c>
      <c r="L23" s="118"/>
      <c r="M23" s="118">
        <f t="shared" si="5"/>
        <v>1233469.3757000002</v>
      </c>
      <c r="N23" s="118"/>
    </row>
    <row r="24" spans="1:14" x14ac:dyDescent="0.25">
      <c r="A24" s="183">
        <v>21</v>
      </c>
      <c r="B24" s="184">
        <v>46316</v>
      </c>
      <c r="C24" s="118"/>
      <c r="D24" s="118"/>
      <c r="E24" s="187"/>
      <c r="F24" s="195"/>
      <c r="G24" s="118">
        <f t="shared" si="0"/>
        <v>0</v>
      </c>
      <c r="H24" s="118"/>
      <c r="I24" s="118"/>
      <c r="J24" s="118">
        <f t="shared" si="1"/>
        <v>0</v>
      </c>
      <c r="K24" s="118">
        <f t="shared" si="4"/>
        <v>0</v>
      </c>
      <c r="L24" s="118"/>
      <c r="M24" s="118">
        <f t="shared" si="5"/>
        <v>1233469.3757000002</v>
      </c>
      <c r="N24" s="118"/>
    </row>
    <row r="25" spans="1:14" x14ac:dyDescent="0.25">
      <c r="A25" s="189">
        <v>22</v>
      </c>
      <c r="B25" s="184">
        <v>46317</v>
      </c>
      <c r="C25" s="118"/>
      <c r="D25" s="118"/>
      <c r="E25" s="187"/>
      <c r="F25" s="195"/>
      <c r="G25" s="118">
        <f t="shared" si="0"/>
        <v>0</v>
      </c>
      <c r="H25" s="118"/>
      <c r="I25" s="118"/>
      <c r="J25" s="118">
        <f t="shared" si="1"/>
        <v>0</v>
      </c>
      <c r="K25" s="118">
        <f t="shared" si="4"/>
        <v>0</v>
      </c>
      <c r="L25" s="118"/>
      <c r="M25" s="118">
        <f t="shared" si="5"/>
        <v>1233469.3757000002</v>
      </c>
      <c r="N25" s="118"/>
    </row>
    <row r="26" spans="1:14" x14ac:dyDescent="0.25">
      <c r="A26" s="183">
        <v>23</v>
      </c>
      <c r="B26" s="184">
        <v>46318</v>
      </c>
      <c r="C26" s="118"/>
      <c r="D26" s="118"/>
      <c r="E26" s="187"/>
      <c r="F26" s="195"/>
      <c r="G26" s="118">
        <f t="shared" si="0"/>
        <v>0</v>
      </c>
      <c r="H26" s="118"/>
      <c r="I26" s="118"/>
      <c r="J26" s="118">
        <f t="shared" si="1"/>
        <v>0</v>
      </c>
      <c r="K26" s="118">
        <f t="shared" si="4"/>
        <v>0</v>
      </c>
      <c r="L26" s="118"/>
      <c r="M26" s="118">
        <f t="shared" si="5"/>
        <v>1233469.3757000002</v>
      </c>
      <c r="N26" s="118"/>
    </row>
    <row r="27" spans="1:14" x14ac:dyDescent="0.25">
      <c r="A27" s="189">
        <v>24</v>
      </c>
      <c r="B27" s="184">
        <v>46319</v>
      </c>
      <c r="C27" s="118"/>
      <c r="D27" s="118"/>
      <c r="E27" s="187"/>
      <c r="F27" s="195"/>
      <c r="G27" s="118">
        <f t="shared" si="0"/>
        <v>0</v>
      </c>
      <c r="H27" s="118"/>
      <c r="I27" s="118"/>
      <c r="J27" s="118">
        <f t="shared" si="1"/>
        <v>0</v>
      </c>
      <c r="K27" s="118">
        <f t="shared" si="4"/>
        <v>0</v>
      </c>
      <c r="L27" s="118"/>
      <c r="M27" s="118">
        <f t="shared" si="5"/>
        <v>1233469.3757000002</v>
      </c>
      <c r="N27" s="118"/>
    </row>
    <row r="28" spans="1:14" x14ac:dyDescent="0.25">
      <c r="A28" s="183">
        <v>25</v>
      </c>
      <c r="B28" s="184">
        <v>46320</v>
      </c>
      <c r="C28" s="118"/>
      <c r="D28" s="118"/>
      <c r="E28" s="187"/>
      <c r="F28" s="195"/>
      <c r="G28" s="118">
        <f t="shared" si="0"/>
        <v>0</v>
      </c>
      <c r="H28" s="118"/>
      <c r="I28" s="118"/>
      <c r="J28" s="118">
        <f t="shared" si="1"/>
        <v>0</v>
      </c>
      <c r="K28" s="118">
        <f t="shared" si="4"/>
        <v>0</v>
      </c>
      <c r="L28" s="118"/>
      <c r="M28" s="118">
        <f t="shared" si="5"/>
        <v>1233469.3757000002</v>
      </c>
      <c r="N28" s="118"/>
    </row>
    <row r="29" spans="1:14" x14ac:dyDescent="0.25">
      <c r="A29" s="189">
        <v>26</v>
      </c>
      <c r="B29" s="184">
        <v>46321</v>
      </c>
      <c r="C29" s="118"/>
      <c r="D29" s="118"/>
      <c r="E29" s="187"/>
      <c r="F29" s="195"/>
      <c r="G29" s="118">
        <f t="shared" si="0"/>
        <v>0</v>
      </c>
      <c r="H29" s="118"/>
      <c r="I29" s="118"/>
      <c r="J29" s="118">
        <f t="shared" si="1"/>
        <v>0</v>
      </c>
      <c r="K29" s="118">
        <f t="shared" si="4"/>
        <v>0</v>
      </c>
      <c r="L29" s="118"/>
      <c r="M29" s="118">
        <f t="shared" si="5"/>
        <v>1233469.3757000002</v>
      </c>
      <c r="N29" s="118"/>
    </row>
    <row r="30" spans="1:14" x14ac:dyDescent="0.25">
      <c r="A30" s="183">
        <v>27</v>
      </c>
      <c r="B30" s="184">
        <v>46322</v>
      </c>
      <c r="C30" s="118"/>
      <c r="D30" s="118"/>
      <c r="E30" s="187"/>
      <c r="F30" s="195"/>
      <c r="G30" s="118">
        <f t="shared" si="0"/>
        <v>0</v>
      </c>
      <c r="H30" s="118"/>
      <c r="I30" s="118"/>
      <c r="J30" s="118">
        <f t="shared" si="1"/>
        <v>0</v>
      </c>
      <c r="K30" s="118">
        <f t="shared" si="4"/>
        <v>0</v>
      </c>
      <c r="L30" s="118"/>
      <c r="M30" s="118">
        <f t="shared" si="5"/>
        <v>1233469.3757000002</v>
      </c>
      <c r="N30" s="118"/>
    </row>
    <row r="31" spans="1:14" x14ac:dyDescent="0.25">
      <c r="A31" s="189">
        <v>28</v>
      </c>
      <c r="B31" s="184">
        <v>46323</v>
      </c>
      <c r="C31" s="111"/>
      <c r="D31" s="111"/>
      <c r="E31" s="198"/>
      <c r="F31" s="195"/>
      <c r="G31" s="111">
        <f t="shared" si="0"/>
        <v>0</v>
      </c>
      <c r="H31" s="111"/>
      <c r="I31" s="118"/>
      <c r="J31" s="111">
        <f t="shared" si="1"/>
        <v>0</v>
      </c>
      <c r="K31" s="111">
        <f t="shared" si="4"/>
        <v>0</v>
      </c>
      <c r="L31" s="111"/>
      <c r="M31" s="111">
        <f t="shared" si="5"/>
        <v>1233469.3757000002</v>
      </c>
      <c r="N31" s="111"/>
    </row>
    <row r="32" spans="1:14" x14ac:dyDescent="0.25">
      <c r="A32" s="183">
        <v>29</v>
      </c>
      <c r="B32" s="184">
        <v>46324</v>
      </c>
      <c r="C32" s="118"/>
      <c r="D32" s="118"/>
      <c r="E32" s="187"/>
      <c r="F32" s="195"/>
      <c r="G32" s="118">
        <f t="shared" si="0"/>
        <v>0</v>
      </c>
      <c r="H32" s="118"/>
      <c r="I32" s="118"/>
      <c r="J32" s="118">
        <f t="shared" si="1"/>
        <v>0</v>
      </c>
      <c r="K32" s="118">
        <f t="shared" si="4"/>
        <v>0</v>
      </c>
      <c r="L32" s="118"/>
      <c r="M32" s="118">
        <f t="shared" si="5"/>
        <v>1233469.3757000002</v>
      </c>
      <c r="N32" s="118"/>
    </row>
    <row r="33" spans="1:14" x14ac:dyDescent="0.25">
      <c r="A33" s="189">
        <v>30</v>
      </c>
      <c r="B33" s="184">
        <v>46325</v>
      </c>
      <c r="C33" s="118"/>
      <c r="D33" s="118"/>
      <c r="E33" s="187"/>
      <c r="F33" s="195"/>
      <c r="G33" s="118">
        <f t="shared" si="0"/>
        <v>0</v>
      </c>
      <c r="H33" s="118"/>
      <c r="I33" s="118"/>
      <c r="J33" s="118">
        <f t="shared" si="1"/>
        <v>0</v>
      </c>
      <c r="K33" s="118">
        <f t="shared" si="4"/>
        <v>0</v>
      </c>
      <c r="L33" s="118"/>
      <c r="M33" s="118">
        <f t="shared" si="5"/>
        <v>1233469.3757000002</v>
      </c>
      <c r="N33" s="118"/>
    </row>
    <row r="34" spans="1:14" x14ac:dyDescent="0.25">
      <c r="A34" s="183">
        <v>31</v>
      </c>
      <c r="B34" s="184">
        <v>46326</v>
      </c>
      <c r="C34" s="111"/>
      <c r="D34" s="111"/>
      <c r="E34" s="198"/>
      <c r="F34" s="195"/>
      <c r="G34" s="118">
        <f t="shared" si="0"/>
        <v>0</v>
      </c>
      <c r="H34" s="111"/>
      <c r="I34" s="118"/>
      <c r="J34" s="111">
        <f t="shared" ref="J34" si="6">H34*I34</f>
        <v>0</v>
      </c>
      <c r="K34" s="111">
        <f t="shared" ref="K34" si="7">G34+J34</f>
        <v>0</v>
      </c>
      <c r="L34" s="111"/>
      <c r="M34" s="111">
        <f t="shared" si="5"/>
        <v>1233469.3757000002</v>
      </c>
      <c r="N34" s="111"/>
    </row>
    <row r="35" spans="1:14" x14ac:dyDescent="0.25">
      <c r="A35" s="519"/>
      <c r="B35" s="520"/>
      <c r="C35" s="520"/>
      <c r="D35" s="520"/>
      <c r="E35" s="520">
        <f>SUM(E4:E34)</f>
        <v>5194.61</v>
      </c>
      <c r="F35" s="520"/>
      <c r="G35" s="520">
        <f>SUM(G4:G34)</f>
        <v>516188.3957</v>
      </c>
      <c r="H35" s="520">
        <f>SUM(H4:H34)</f>
        <v>215</v>
      </c>
      <c r="I35" s="520"/>
      <c r="J35" s="520">
        <f>SUM(J4:J34)</f>
        <v>23963.899999999994</v>
      </c>
      <c r="K35" s="520">
        <f>SUM(K4:K34)</f>
        <v>540152.2956999999</v>
      </c>
      <c r="L35" s="520">
        <f>SUM(L4:L33)</f>
        <v>0</v>
      </c>
      <c r="M35" s="520"/>
      <c r="N35" s="521"/>
    </row>
  </sheetData>
  <mergeCells count="3">
    <mergeCell ref="A1:N1"/>
    <mergeCell ref="A3:L3"/>
    <mergeCell ref="M3:N3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7"/>
  <sheetViews>
    <sheetView workbookViewId="0" zoomScale="100" zoomScaleNormal="100">
      <pane ySplit="3" topLeftCell="A4" activePane="bottomLeft" state="frozen"/>
      <selection pane="bottomLeft" activeCell="L18" sqref="L18"/>
    </sheetView>
  </sheetViews>
  <sheetFormatPr defaultRowHeight="15" outlineLevelRow="0" outlineLevelCol="0" x14ac:dyDescent="0"/>
  <cols>
    <col min="2" max="2" width="18.28515625" customWidth="1"/>
    <col min="4" max="4" width="11.42578125" customWidth="1"/>
    <col min="7" max="7" width="14.7109375" customWidth="1"/>
    <col min="10" max="10" width="13.7109375" customWidth="1"/>
    <col min="11" max="11" width="23.7109375" customWidth="1"/>
    <col min="12" max="12" width="19" customWidth="1"/>
    <col min="13" max="13" width="18.140625" customWidth="1"/>
    <col min="14" max="14" width="32.140625" customWidth="1"/>
  </cols>
  <sheetData>
    <row r="1" ht="15.75" customHeight="1" spans="1:17" x14ac:dyDescent="0.25">
      <c r="A1" s="286" t="s">
        <v>208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380"/>
      <c r="P1" s="380"/>
      <c r="Q1" s="380"/>
    </row>
    <row r="2" ht="30.75" customHeight="1" spans="1:17" x14ac:dyDescent="0.25">
      <c r="A2" s="173" t="s">
        <v>0</v>
      </c>
      <c r="B2" s="174" t="s">
        <v>167</v>
      </c>
      <c r="C2" s="174" t="s">
        <v>168</v>
      </c>
      <c r="D2" s="174" t="s">
        <v>189</v>
      </c>
      <c r="E2" s="174" t="s">
        <v>170</v>
      </c>
      <c r="F2" s="174" t="s">
        <v>171</v>
      </c>
      <c r="G2" s="174" t="s">
        <v>172</v>
      </c>
      <c r="H2" s="174" t="s">
        <v>173</v>
      </c>
      <c r="I2" s="174" t="s">
        <v>171</v>
      </c>
      <c r="J2" s="176" t="s">
        <v>172</v>
      </c>
      <c r="K2" s="177" t="s">
        <v>174</v>
      </c>
      <c r="L2" s="381" t="s">
        <v>175</v>
      </c>
      <c r="M2" s="179" t="s">
        <v>190</v>
      </c>
      <c r="N2" s="180" t="s">
        <v>177</v>
      </c>
      <c r="O2" s="380"/>
      <c r="P2" s="380"/>
      <c r="Q2" s="380"/>
    </row>
    <row r="3" spans="1:17" x14ac:dyDescent="0.25">
      <c r="A3" s="382" t="s">
        <v>178</v>
      </c>
      <c r="B3" s="383"/>
      <c r="C3" s="383"/>
      <c r="D3" s="383"/>
      <c r="E3" s="383"/>
      <c r="F3" s="383"/>
      <c r="G3" s="383"/>
      <c r="H3" s="383"/>
      <c r="I3" s="383"/>
      <c r="J3" s="384"/>
      <c r="K3" s="385"/>
      <c r="L3" s="385"/>
      <c r="M3" s="385">
        <v>158612.0531</v>
      </c>
      <c r="N3" s="182"/>
      <c r="O3" s="380"/>
      <c r="P3" s="380"/>
      <c r="Q3" s="380"/>
    </row>
    <row r="4" spans="1:17" x14ac:dyDescent="0.25">
      <c r="A4" s="115">
        <v>1</v>
      </c>
      <c r="B4" s="116">
        <v>46296</v>
      </c>
      <c r="C4" s="386"/>
      <c r="D4" s="387"/>
      <c r="E4" s="317">
        <v>136</v>
      </c>
      <c r="F4" s="317">
        <v>99.73</v>
      </c>
      <c r="G4" s="166">
        <f>E4*F4</f>
        <v>13563.28</v>
      </c>
      <c r="H4" s="317"/>
      <c r="I4" s="388"/>
      <c r="J4" s="166">
        <f>H4*I4</f>
        <v>0</v>
      </c>
      <c r="K4" s="166">
        <f>G4+J4</f>
        <v>13563.28</v>
      </c>
      <c r="L4" s="389"/>
      <c r="M4" s="166">
        <f>M3+K4-L4</f>
        <v>172175.3331</v>
      </c>
      <c r="N4" s="166"/>
      <c r="O4" s="380"/>
      <c r="P4" s="380"/>
      <c r="Q4" s="380"/>
    </row>
    <row r="5" spans="1:17" x14ac:dyDescent="0.25">
      <c r="A5" s="115">
        <v>2</v>
      </c>
      <c r="B5" s="116">
        <v>46297</v>
      </c>
      <c r="C5" s="386"/>
      <c r="D5" s="387"/>
      <c r="E5" s="317"/>
      <c r="F5" s="317"/>
      <c r="G5" s="166">
        <f t="shared" ref="G5:G37" si="0">E5*F5</f>
        <v>0</v>
      </c>
      <c r="H5" s="317"/>
      <c r="I5" s="388"/>
      <c r="J5" s="166">
        <f>H5*I5</f>
        <v>0</v>
      </c>
      <c r="K5" s="166">
        <f t="shared" ref="K5:K37" si="1">G5+J5</f>
        <v>0</v>
      </c>
      <c r="L5" s="389"/>
      <c r="M5" s="166">
        <f t="shared" ref="M5:M36" si="2">M4+K5-L5</f>
        <v>172175.3331</v>
      </c>
      <c r="N5" s="166"/>
      <c r="O5" s="380"/>
      <c r="P5" s="380"/>
      <c r="Q5" s="380"/>
    </row>
    <row r="6" spans="1:17" x14ac:dyDescent="0.25">
      <c r="A6" s="115">
        <v>3</v>
      </c>
      <c r="B6" s="116">
        <v>46298</v>
      </c>
      <c r="C6" s="386"/>
      <c r="D6" s="387"/>
      <c r="E6" s="317"/>
      <c r="F6" s="317"/>
      <c r="G6" s="166">
        <f t="shared" si="0"/>
        <v>0</v>
      </c>
      <c r="H6" s="317">
        <v>10</v>
      </c>
      <c r="I6" s="388">
        <v>111.85</v>
      </c>
      <c r="J6" s="166">
        <f t="shared" ref="J6:J37" si="3">H6*I6</f>
        <v>1118.5</v>
      </c>
      <c r="K6" s="166">
        <f t="shared" si="1"/>
        <v>1118.5</v>
      </c>
      <c r="L6" s="389"/>
      <c r="M6" s="166">
        <f t="shared" si="2"/>
        <v>173293.8331</v>
      </c>
      <c r="N6" s="166"/>
      <c r="O6" s="380"/>
      <c r="P6" s="380"/>
      <c r="Q6" s="380"/>
    </row>
    <row r="7" spans="1:17" x14ac:dyDescent="0.25">
      <c r="A7" s="115">
        <v>4</v>
      </c>
      <c r="B7" s="116">
        <v>46299</v>
      </c>
      <c r="C7" s="386"/>
      <c r="D7" s="387"/>
      <c r="E7" s="317"/>
      <c r="F7" s="317"/>
      <c r="G7" s="166">
        <f t="shared" si="0"/>
        <v>0</v>
      </c>
      <c r="H7" s="317"/>
      <c r="I7" s="388"/>
      <c r="J7" s="166">
        <f t="shared" si="3"/>
        <v>0</v>
      </c>
      <c r="K7" s="166">
        <f t="shared" si="1"/>
        <v>0</v>
      </c>
      <c r="L7" s="389"/>
      <c r="M7" s="166">
        <f t="shared" si="2"/>
        <v>173293.8331</v>
      </c>
      <c r="N7" s="166"/>
      <c r="O7" s="380"/>
      <c r="P7" s="380"/>
      <c r="Q7" s="380"/>
    </row>
    <row r="8" spans="1:17" x14ac:dyDescent="0.25">
      <c r="A8" s="115">
        <v>5</v>
      </c>
      <c r="B8" s="116">
        <v>46300</v>
      </c>
      <c r="C8" s="386"/>
      <c r="D8" s="387"/>
      <c r="E8" s="317">
        <v>200</v>
      </c>
      <c r="F8" s="317">
        <v>99.73</v>
      </c>
      <c r="G8" s="166">
        <f t="shared" si="0"/>
        <v>19946</v>
      </c>
      <c r="H8" s="317"/>
      <c r="I8" s="317"/>
      <c r="J8" s="166">
        <f t="shared" si="3"/>
        <v>0</v>
      </c>
      <c r="K8" s="166">
        <f t="shared" si="1"/>
        <v>19946</v>
      </c>
      <c r="L8" s="389"/>
      <c r="M8" s="166">
        <f t="shared" si="2"/>
        <v>193239.8331</v>
      </c>
      <c r="N8" s="166"/>
      <c r="O8" s="380"/>
      <c r="P8" s="380"/>
      <c r="Q8" s="380"/>
    </row>
    <row r="9" spans="1:17" x14ac:dyDescent="0.25">
      <c r="A9" s="115">
        <v>6</v>
      </c>
      <c r="B9" s="116">
        <v>46301</v>
      </c>
      <c r="C9" s="386"/>
      <c r="D9" s="387"/>
      <c r="E9" s="317">
        <v>40</v>
      </c>
      <c r="F9" s="317">
        <v>99.73</v>
      </c>
      <c r="G9" s="166">
        <f t="shared" si="0"/>
        <v>3989.2000000000003</v>
      </c>
      <c r="H9" s="317">
        <v>10</v>
      </c>
      <c r="I9" s="317">
        <v>111.85</v>
      </c>
      <c r="J9" s="166">
        <f t="shared" si="3"/>
        <v>1118.5</v>
      </c>
      <c r="K9" s="166">
        <f t="shared" si="1"/>
        <v>5107.700000000001</v>
      </c>
      <c r="L9" s="389"/>
      <c r="M9" s="166">
        <f t="shared" si="2"/>
        <v>198347.5331</v>
      </c>
      <c r="N9" s="166"/>
      <c r="O9" s="380"/>
      <c r="P9" s="380"/>
      <c r="Q9" s="380"/>
    </row>
    <row r="10" spans="1:17" x14ac:dyDescent="0.25">
      <c r="A10" s="115">
        <v>7</v>
      </c>
      <c r="B10" s="116">
        <v>46302</v>
      </c>
      <c r="C10" s="386"/>
      <c r="D10" s="387"/>
      <c r="E10" s="317">
        <v>100</v>
      </c>
      <c r="F10" s="317">
        <v>99.73</v>
      </c>
      <c r="G10" s="166">
        <f t="shared" si="0"/>
        <v>9973</v>
      </c>
      <c r="H10" s="317">
        <v>7</v>
      </c>
      <c r="I10" s="317">
        <v>111.85</v>
      </c>
      <c r="J10" s="166">
        <f t="shared" si="3"/>
        <v>782.9499999999999</v>
      </c>
      <c r="K10" s="166">
        <f t="shared" si="1"/>
        <v>10755.95</v>
      </c>
      <c r="L10" s="389"/>
      <c r="M10" s="166">
        <f t="shared" si="2"/>
        <v>209103.4831</v>
      </c>
      <c r="N10" s="166"/>
      <c r="O10" s="380"/>
      <c r="P10" s="380"/>
      <c r="Q10" s="380"/>
    </row>
    <row r="11" spans="1:17" x14ac:dyDescent="0.25">
      <c r="A11" s="115">
        <v>8</v>
      </c>
      <c r="B11" s="116">
        <v>46303</v>
      </c>
      <c r="C11" s="386"/>
      <c r="D11" s="387"/>
      <c r="E11" s="317"/>
      <c r="F11" s="317"/>
      <c r="G11" s="166">
        <f t="shared" si="0"/>
        <v>0</v>
      </c>
      <c r="H11" s="317"/>
      <c r="I11" s="317"/>
      <c r="J11" s="166">
        <f t="shared" si="3"/>
        <v>0</v>
      </c>
      <c r="K11" s="166">
        <f t="shared" si="1"/>
        <v>0</v>
      </c>
      <c r="L11" s="389"/>
      <c r="M11" s="166">
        <f t="shared" si="2"/>
        <v>209103.4831</v>
      </c>
      <c r="N11" s="166"/>
      <c r="O11" s="380"/>
      <c r="P11" s="380"/>
      <c r="Q11" s="380"/>
    </row>
    <row r="12" spans="1:17" x14ac:dyDescent="0.25">
      <c r="A12" s="115">
        <v>9</v>
      </c>
      <c r="B12" s="116">
        <v>46304</v>
      </c>
      <c r="C12" s="386"/>
      <c r="D12" s="387"/>
      <c r="E12" s="187">
        <v>100</v>
      </c>
      <c r="F12" s="195">
        <v>99.73</v>
      </c>
      <c r="G12" s="166">
        <f t="shared" si="0"/>
        <v>9973</v>
      </c>
      <c r="H12" s="187"/>
      <c r="I12" s="317"/>
      <c r="J12" s="166">
        <f t="shared" si="3"/>
        <v>0</v>
      </c>
      <c r="K12" s="166">
        <f t="shared" si="1"/>
        <v>9973</v>
      </c>
      <c r="L12" s="389"/>
      <c r="M12" s="166">
        <f t="shared" si="2"/>
        <v>219076.4831</v>
      </c>
      <c r="N12" s="166"/>
      <c r="O12" s="380"/>
      <c r="P12" s="380"/>
      <c r="Q12" s="380"/>
    </row>
    <row r="13" spans="1:17" x14ac:dyDescent="0.25">
      <c r="A13" s="115">
        <v>10</v>
      </c>
      <c r="B13" s="116">
        <v>46305</v>
      </c>
      <c r="C13" s="386"/>
      <c r="D13" s="387"/>
      <c r="E13" s="187"/>
      <c r="F13" s="195"/>
      <c r="G13" s="166">
        <f t="shared" si="0"/>
        <v>0</v>
      </c>
      <c r="H13" s="187"/>
      <c r="I13" s="317"/>
      <c r="J13" s="166">
        <f t="shared" si="3"/>
        <v>0</v>
      </c>
      <c r="K13" s="166">
        <f t="shared" si="1"/>
        <v>0</v>
      </c>
      <c r="L13" s="389"/>
      <c r="M13" s="166">
        <f t="shared" si="2"/>
        <v>219076.4831</v>
      </c>
      <c r="N13" s="262"/>
      <c r="O13" s="380"/>
      <c r="P13" s="380"/>
      <c r="Q13" s="380"/>
    </row>
    <row r="14" spans="1:17" x14ac:dyDescent="0.25">
      <c r="A14" s="115">
        <v>11</v>
      </c>
      <c r="B14" s="116">
        <v>46306</v>
      </c>
      <c r="C14" s="386"/>
      <c r="D14" s="387"/>
      <c r="E14" s="317"/>
      <c r="F14" s="317"/>
      <c r="G14" s="166">
        <f t="shared" si="0"/>
        <v>0</v>
      </c>
      <c r="H14" s="317"/>
      <c r="I14" s="195"/>
      <c r="J14" s="166">
        <f t="shared" si="3"/>
        <v>0</v>
      </c>
      <c r="K14" s="166">
        <f t="shared" si="1"/>
        <v>0</v>
      </c>
      <c r="L14" s="389"/>
      <c r="M14" s="166">
        <f t="shared" si="2"/>
        <v>219076.4831</v>
      </c>
      <c r="N14" s="262"/>
      <c r="O14" s="380"/>
      <c r="P14" s="380"/>
      <c r="Q14" s="380"/>
    </row>
    <row r="15" spans="1:17" x14ac:dyDescent="0.25">
      <c r="A15" s="115">
        <v>12</v>
      </c>
      <c r="B15" s="116">
        <v>46307</v>
      </c>
      <c r="C15" s="386"/>
      <c r="D15" s="387"/>
      <c r="E15" s="317"/>
      <c r="F15" s="317"/>
      <c r="G15" s="166">
        <f t="shared" si="0"/>
        <v>0</v>
      </c>
      <c r="H15" s="317"/>
      <c r="I15" s="317"/>
      <c r="J15" s="166">
        <f t="shared" si="3"/>
        <v>0</v>
      </c>
      <c r="K15" s="166">
        <f t="shared" si="1"/>
        <v>0</v>
      </c>
      <c r="L15" s="389"/>
      <c r="M15" s="166">
        <f t="shared" si="2"/>
        <v>219076.4831</v>
      </c>
      <c r="N15" s="262"/>
      <c r="O15" s="380"/>
      <c r="P15" s="380"/>
      <c r="Q15" s="380"/>
    </row>
    <row r="16" spans="1:17" x14ac:dyDescent="0.25">
      <c r="A16" s="115">
        <v>13</v>
      </c>
      <c r="B16" s="116">
        <v>46308</v>
      </c>
      <c r="C16" s="386"/>
      <c r="D16" s="387"/>
      <c r="E16" s="317">
        <v>240</v>
      </c>
      <c r="F16" s="317">
        <v>99.73</v>
      </c>
      <c r="G16" s="166">
        <f t="shared" si="0"/>
        <v>23935.2</v>
      </c>
      <c r="H16" s="317">
        <v>50</v>
      </c>
      <c r="I16" s="317">
        <v>111.85</v>
      </c>
      <c r="J16" s="166">
        <f t="shared" si="3"/>
        <v>5592.5</v>
      </c>
      <c r="K16" s="166">
        <f t="shared" si="1"/>
        <v>29527.7</v>
      </c>
      <c r="L16" s="389"/>
      <c r="M16" s="166">
        <f t="shared" si="2"/>
        <v>248604.18310000002</v>
      </c>
      <c r="N16" s="262"/>
      <c r="O16" s="380"/>
      <c r="P16" s="380"/>
      <c r="Q16" s="380"/>
    </row>
    <row r="17" spans="1:17" x14ac:dyDescent="0.25">
      <c r="A17" s="115">
        <v>14</v>
      </c>
      <c r="B17" s="116">
        <v>46309</v>
      </c>
      <c r="C17" s="386"/>
      <c r="D17" s="387"/>
      <c r="E17" s="317">
        <v>320</v>
      </c>
      <c r="F17" s="317">
        <v>99.73</v>
      </c>
      <c r="G17" s="166">
        <f t="shared" si="0"/>
        <v>31913.600000000002</v>
      </c>
      <c r="H17" s="317"/>
      <c r="I17" s="195"/>
      <c r="J17" s="166">
        <f t="shared" si="3"/>
        <v>0</v>
      </c>
      <c r="K17" s="166">
        <f t="shared" si="1"/>
        <v>31913.600000000002</v>
      </c>
      <c r="L17" s="389"/>
      <c r="M17" s="166">
        <f t="shared" si="2"/>
        <v>280517.7831</v>
      </c>
      <c r="N17" s="262"/>
      <c r="O17" s="380"/>
      <c r="P17" s="380"/>
      <c r="Q17" s="380"/>
    </row>
    <row r="18" spans="1:17" x14ac:dyDescent="0.25">
      <c r="A18" s="115">
        <v>15</v>
      </c>
      <c r="B18" s="116">
        <v>46310</v>
      </c>
      <c r="C18" s="386"/>
      <c r="D18" s="387"/>
      <c r="E18" s="317"/>
      <c r="F18" s="317"/>
      <c r="G18" s="166">
        <f t="shared" si="0"/>
        <v>0</v>
      </c>
      <c r="H18" s="317"/>
      <c r="I18" s="317"/>
      <c r="J18" s="166">
        <f t="shared" si="3"/>
        <v>0</v>
      </c>
      <c r="K18" s="166">
        <f t="shared" si="1"/>
        <v>0</v>
      </c>
      <c r="L18" s="389">
        <v>150000</v>
      </c>
      <c r="M18" s="166">
        <f t="shared" si="2"/>
        <v>130517.7831</v>
      </c>
      <c r="N18" s="262"/>
      <c r="O18" s="380"/>
      <c r="P18" s="380"/>
      <c r="Q18" s="380"/>
    </row>
    <row r="19" spans="1:17" x14ac:dyDescent="0.25">
      <c r="A19" s="115">
        <v>16</v>
      </c>
      <c r="B19" s="116">
        <v>46311</v>
      </c>
      <c r="C19" s="386"/>
      <c r="D19" s="387"/>
      <c r="E19" s="317"/>
      <c r="F19" s="317"/>
      <c r="G19" s="166">
        <f t="shared" si="0"/>
        <v>0</v>
      </c>
      <c r="H19" s="317"/>
      <c r="I19" s="317"/>
      <c r="J19" s="166">
        <f t="shared" si="3"/>
        <v>0</v>
      </c>
      <c r="K19" s="166">
        <f t="shared" si="1"/>
        <v>0</v>
      </c>
      <c r="L19" s="389"/>
      <c r="M19" s="166">
        <f t="shared" si="2"/>
        <v>130517.7831</v>
      </c>
      <c r="N19" s="262"/>
      <c r="O19" s="380"/>
      <c r="P19" s="380"/>
      <c r="Q19" s="380"/>
    </row>
    <row r="20" spans="1:17" x14ac:dyDescent="0.25">
      <c r="A20" s="115">
        <v>17</v>
      </c>
      <c r="B20" s="116">
        <v>46312</v>
      </c>
      <c r="C20" s="386"/>
      <c r="D20" s="390"/>
      <c r="E20" s="391"/>
      <c r="F20" s="392"/>
      <c r="G20" s="166">
        <f t="shared" si="0"/>
        <v>0</v>
      </c>
      <c r="H20" s="317"/>
      <c r="I20" s="317"/>
      <c r="J20" s="166">
        <f t="shared" si="3"/>
        <v>0</v>
      </c>
      <c r="K20" s="166">
        <f t="shared" si="1"/>
        <v>0</v>
      </c>
      <c r="L20" s="389"/>
      <c r="M20" s="166">
        <f t="shared" si="2"/>
        <v>130517.7831</v>
      </c>
      <c r="N20" s="262"/>
      <c r="O20" s="380"/>
      <c r="P20" s="380"/>
      <c r="Q20" s="380"/>
    </row>
    <row r="21" spans="1:17" x14ac:dyDescent="0.25">
      <c r="A21" s="115">
        <v>18</v>
      </c>
      <c r="B21" s="116">
        <v>46313</v>
      </c>
      <c r="C21" s="386"/>
      <c r="D21" s="390"/>
      <c r="E21" s="391"/>
      <c r="F21" s="392"/>
      <c r="G21" s="166">
        <f t="shared" si="0"/>
        <v>0</v>
      </c>
      <c r="H21" s="317"/>
      <c r="I21" s="317"/>
      <c r="J21" s="166">
        <f t="shared" si="3"/>
        <v>0</v>
      </c>
      <c r="K21" s="166">
        <f t="shared" si="1"/>
        <v>0</v>
      </c>
      <c r="L21" s="389"/>
      <c r="M21" s="166">
        <f t="shared" si="2"/>
        <v>130517.7831</v>
      </c>
      <c r="N21" s="262"/>
      <c r="O21" s="380"/>
      <c r="P21" s="380"/>
      <c r="Q21" s="380"/>
    </row>
    <row r="22" spans="1:17" x14ac:dyDescent="0.25">
      <c r="A22" s="115">
        <v>19</v>
      </c>
      <c r="B22" s="116">
        <v>46314</v>
      </c>
      <c r="C22" s="386"/>
      <c r="D22" s="390"/>
      <c r="E22" s="391"/>
      <c r="F22" s="392"/>
      <c r="G22" s="166">
        <f t="shared" si="0"/>
        <v>0</v>
      </c>
      <c r="H22" s="317"/>
      <c r="I22" s="317"/>
      <c r="J22" s="166">
        <f t="shared" si="3"/>
        <v>0</v>
      </c>
      <c r="K22" s="166">
        <f t="shared" si="1"/>
        <v>0</v>
      </c>
      <c r="L22" s="389"/>
      <c r="M22" s="166">
        <f t="shared" si="2"/>
        <v>130517.7831</v>
      </c>
      <c r="N22" s="262"/>
      <c r="O22" s="380"/>
      <c r="P22" s="380"/>
      <c r="Q22" s="380"/>
    </row>
    <row r="23" spans="1:17" x14ac:dyDescent="0.25">
      <c r="A23" s="115">
        <v>20</v>
      </c>
      <c r="B23" s="116">
        <v>46315</v>
      </c>
      <c r="C23" s="386"/>
      <c r="D23" s="387"/>
      <c r="E23" s="317"/>
      <c r="F23" s="317"/>
      <c r="G23" s="166">
        <f t="shared" si="0"/>
        <v>0</v>
      </c>
      <c r="H23" s="317"/>
      <c r="I23" s="317"/>
      <c r="J23" s="166">
        <f t="shared" si="3"/>
        <v>0</v>
      </c>
      <c r="K23" s="166">
        <f t="shared" si="1"/>
        <v>0</v>
      </c>
      <c r="L23" s="389"/>
      <c r="M23" s="166">
        <f t="shared" si="2"/>
        <v>130517.7831</v>
      </c>
      <c r="N23" s="262"/>
      <c r="O23" s="380"/>
      <c r="P23" s="380"/>
      <c r="Q23" s="380"/>
    </row>
    <row r="24" spans="1:17" x14ac:dyDescent="0.25">
      <c r="A24" s="115">
        <v>21</v>
      </c>
      <c r="B24" s="116">
        <v>46316</v>
      </c>
      <c r="C24" s="386"/>
      <c r="D24" s="387"/>
      <c r="E24" s="317"/>
      <c r="F24" s="317"/>
      <c r="G24" s="166">
        <f t="shared" si="0"/>
        <v>0</v>
      </c>
      <c r="H24" s="317"/>
      <c r="I24" s="317"/>
      <c r="J24" s="166">
        <f t="shared" si="3"/>
        <v>0</v>
      </c>
      <c r="K24" s="166">
        <f t="shared" si="1"/>
        <v>0</v>
      </c>
      <c r="L24" s="389"/>
      <c r="M24" s="166">
        <f t="shared" si="2"/>
        <v>130517.7831</v>
      </c>
      <c r="N24" s="262"/>
      <c r="O24" s="380"/>
      <c r="P24" s="380"/>
      <c r="Q24" s="380"/>
    </row>
    <row r="25" spans="1:17" x14ac:dyDescent="0.25">
      <c r="A25" s="115">
        <v>22</v>
      </c>
      <c r="B25" s="116">
        <v>46317</v>
      </c>
      <c r="C25" s="386"/>
      <c r="D25" s="387"/>
      <c r="E25" s="393"/>
      <c r="F25" s="388"/>
      <c r="G25" s="166">
        <f t="shared" si="0"/>
        <v>0</v>
      </c>
      <c r="H25" s="317"/>
      <c r="I25" s="317"/>
      <c r="J25" s="166">
        <f t="shared" si="3"/>
        <v>0</v>
      </c>
      <c r="K25" s="166">
        <f t="shared" si="1"/>
        <v>0</v>
      </c>
      <c r="L25" s="389"/>
      <c r="M25" s="166">
        <f t="shared" si="2"/>
        <v>130517.7831</v>
      </c>
      <c r="N25" s="262"/>
      <c r="O25" s="380"/>
      <c r="P25" s="380"/>
      <c r="Q25" s="380"/>
    </row>
    <row r="26" spans="1:17" x14ac:dyDescent="0.25">
      <c r="A26" s="115">
        <v>23</v>
      </c>
      <c r="B26" s="116">
        <v>46318</v>
      </c>
      <c r="C26" s="386"/>
      <c r="D26" s="387"/>
      <c r="E26" s="317"/>
      <c r="F26" s="317"/>
      <c r="G26" s="166">
        <f t="shared" si="0"/>
        <v>0</v>
      </c>
      <c r="H26" s="317"/>
      <c r="I26" s="317"/>
      <c r="J26" s="166">
        <f t="shared" si="3"/>
        <v>0</v>
      </c>
      <c r="K26" s="166">
        <f t="shared" si="1"/>
        <v>0</v>
      </c>
      <c r="L26" s="389"/>
      <c r="M26" s="166">
        <f t="shared" si="2"/>
        <v>130517.7831</v>
      </c>
      <c r="N26" s="262"/>
      <c r="O26" s="380"/>
      <c r="P26" s="380"/>
      <c r="Q26" s="380"/>
    </row>
    <row r="27" spans="1:17" x14ac:dyDescent="0.25">
      <c r="A27" s="115">
        <v>24</v>
      </c>
      <c r="B27" s="116">
        <v>46319</v>
      </c>
      <c r="C27" s="386"/>
      <c r="D27" s="387"/>
      <c r="E27" s="317"/>
      <c r="F27" s="317"/>
      <c r="G27" s="166">
        <f t="shared" si="0"/>
        <v>0</v>
      </c>
      <c r="H27" s="317"/>
      <c r="I27" s="317"/>
      <c r="J27" s="166">
        <f t="shared" si="3"/>
        <v>0</v>
      </c>
      <c r="K27" s="166">
        <f t="shared" si="1"/>
        <v>0</v>
      </c>
      <c r="L27" s="389"/>
      <c r="M27" s="166">
        <f t="shared" si="2"/>
        <v>130517.7831</v>
      </c>
      <c r="N27" s="262"/>
      <c r="O27" s="380"/>
      <c r="P27" s="380"/>
      <c r="Q27" s="380"/>
    </row>
    <row r="28" spans="1:17" x14ac:dyDescent="0.25">
      <c r="A28" s="115">
        <v>25</v>
      </c>
      <c r="B28" s="116">
        <v>46320</v>
      </c>
      <c r="C28" s="386"/>
      <c r="D28" s="387"/>
      <c r="E28" s="317"/>
      <c r="F28" s="317"/>
      <c r="G28" s="166">
        <f t="shared" si="0"/>
        <v>0</v>
      </c>
      <c r="H28" s="317"/>
      <c r="I28" s="317"/>
      <c r="J28" s="166">
        <f t="shared" si="3"/>
        <v>0</v>
      </c>
      <c r="K28" s="166">
        <f t="shared" si="1"/>
        <v>0</v>
      </c>
      <c r="L28" s="389"/>
      <c r="M28" s="166">
        <f t="shared" si="2"/>
        <v>130517.7831</v>
      </c>
      <c r="N28" s="262"/>
      <c r="O28" s="380"/>
      <c r="P28" s="380"/>
      <c r="Q28" s="380"/>
    </row>
    <row r="29" spans="1:17" x14ac:dyDescent="0.25">
      <c r="A29" s="115">
        <v>26</v>
      </c>
      <c r="B29" s="116">
        <v>46321</v>
      </c>
      <c r="C29" s="386"/>
      <c r="D29" s="387"/>
      <c r="E29" s="317"/>
      <c r="F29" s="317"/>
      <c r="G29" s="166">
        <f t="shared" si="0"/>
        <v>0</v>
      </c>
      <c r="H29" s="317"/>
      <c r="I29" s="317"/>
      <c r="J29" s="166">
        <f t="shared" si="3"/>
        <v>0</v>
      </c>
      <c r="K29" s="166">
        <f t="shared" si="1"/>
        <v>0</v>
      </c>
      <c r="L29" s="389"/>
      <c r="M29" s="166">
        <f t="shared" si="2"/>
        <v>130517.7831</v>
      </c>
      <c r="N29" s="262"/>
      <c r="O29" s="380"/>
      <c r="P29" s="380"/>
      <c r="Q29" s="380"/>
    </row>
    <row r="30" spans="1:17" x14ac:dyDescent="0.25">
      <c r="A30" s="115">
        <v>27</v>
      </c>
      <c r="B30" s="116">
        <v>46322</v>
      </c>
      <c r="C30" s="386"/>
      <c r="D30" s="387"/>
      <c r="E30" s="317"/>
      <c r="F30" s="317"/>
      <c r="G30" s="166">
        <f t="shared" si="0"/>
        <v>0</v>
      </c>
      <c r="H30" s="317"/>
      <c r="I30" s="317"/>
      <c r="J30" s="166">
        <f t="shared" si="3"/>
        <v>0</v>
      </c>
      <c r="K30" s="166">
        <f t="shared" si="1"/>
        <v>0</v>
      </c>
      <c r="L30" s="389"/>
      <c r="M30" s="166">
        <f t="shared" si="2"/>
        <v>130517.7831</v>
      </c>
      <c r="N30" s="262"/>
      <c r="O30" s="380"/>
      <c r="P30" s="380"/>
      <c r="Q30" s="380"/>
    </row>
    <row r="31" spans="1:17" x14ac:dyDescent="0.25">
      <c r="A31" s="115">
        <v>28</v>
      </c>
      <c r="B31" s="116">
        <v>46323</v>
      </c>
      <c r="C31" s="386"/>
      <c r="D31" s="387"/>
      <c r="E31" s="317"/>
      <c r="F31" s="317"/>
      <c r="G31" s="166">
        <f t="shared" si="0"/>
        <v>0</v>
      </c>
      <c r="H31" s="317"/>
      <c r="I31" s="317"/>
      <c r="J31" s="166">
        <f t="shared" si="3"/>
        <v>0</v>
      </c>
      <c r="K31" s="166">
        <f t="shared" si="1"/>
        <v>0</v>
      </c>
      <c r="L31" s="389"/>
      <c r="M31" s="166">
        <f t="shared" si="2"/>
        <v>130517.7831</v>
      </c>
      <c r="N31" s="262"/>
      <c r="O31" s="380"/>
      <c r="P31" s="380"/>
      <c r="Q31" s="380"/>
    </row>
    <row r="32" spans="1:17" x14ac:dyDescent="0.25">
      <c r="A32" s="115"/>
      <c r="B32" s="116">
        <v>46324</v>
      </c>
      <c r="C32" s="386"/>
      <c r="D32" s="387"/>
      <c r="E32" s="317"/>
      <c r="F32" s="317"/>
      <c r="G32" s="166">
        <f t="shared" si="0"/>
        <v>0</v>
      </c>
      <c r="H32" s="317"/>
      <c r="I32" s="317"/>
      <c r="J32" s="166"/>
      <c r="K32" s="166">
        <f t="shared" si="1"/>
        <v>0</v>
      </c>
      <c r="L32" s="389"/>
      <c r="M32" s="166">
        <f t="shared" si="2"/>
        <v>130517.7831</v>
      </c>
      <c r="N32" s="262"/>
      <c r="O32" s="380"/>
      <c r="P32" s="380"/>
      <c r="Q32" s="380"/>
    </row>
    <row r="33" spans="1:17" x14ac:dyDescent="0.25">
      <c r="A33" s="115">
        <v>29</v>
      </c>
      <c r="B33" s="116">
        <v>46325</v>
      </c>
      <c r="C33" s="386"/>
      <c r="D33" s="387"/>
      <c r="E33" s="317"/>
      <c r="F33" s="317"/>
      <c r="G33" s="166">
        <f t="shared" si="0"/>
        <v>0</v>
      </c>
      <c r="H33" s="317"/>
      <c r="I33" s="317"/>
      <c r="J33" s="166">
        <f t="shared" si="3"/>
        <v>0</v>
      </c>
      <c r="K33" s="166">
        <f t="shared" si="1"/>
        <v>0</v>
      </c>
      <c r="L33" s="389"/>
      <c r="M33" s="166">
        <f t="shared" si="2"/>
        <v>130517.7831</v>
      </c>
      <c r="N33" s="262"/>
      <c r="O33" s="380"/>
      <c r="P33" s="380"/>
      <c r="Q33" s="380"/>
    </row>
    <row r="34" spans="1:17" x14ac:dyDescent="0.25">
      <c r="A34" s="115">
        <v>30</v>
      </c>
      <c r="B34" s="116">
        <v>46326</v>
      </c>
      <c r="C34" s="386"/>
      <c r="D34" s="387"/>
      <c r="E34" s="317"/>
      <c r="F34" s="317"/>
      <c r="G34" s="166">
        <f t="shared" si="0"/>
        <v>0</v>
      </c>
      <c r="H34" s="317"/>
      <c r="I34" s="317"/>
      <c r="J34" s="166">
        <f t="shared" si="3"/>
        <v>0</v>
      </c>
      <c r="K34" s="166">
        <f t="shared" si="1"/>
        <v>0</v>
      </c>
      <c r="L34" s="389"/>
      <c r="M34" s="166">
        <f t="shared" si="2"/>
        <v>130517.7831</v>
      </c>
      <c r="N34" s="262"/>
      <c r="O34" s="380"/>
      <c r="P34" s="380"/>
      <c r="Q34" s="380"/>
    </row>
    <row r="35" spans="1:17" x14ac:dyDescent="0.25">
      <c r="A35" s="115">
        <v>31</v>
      </c>
      <c r="B35" s="116"/>
      <c r="C35" s="386"/>
      <c r="D35" s="387"/>
      <c r="E35" s="317"/>
      <c r="F35" s="317"/>
      <c r="G35" s="166">
        <f t="shared" si="0"/>
        <v>0</v>
      </c>
      <c r="H35" s="317"/>
      <c r="I35" s="317"/>
      <c r="J35" s="166">
        <f t="shared" si="3"/>
        <v>0</v>
      </c>
      <c r="K35" s="166">
        <f t="shared" si="1"/>
        <v>0</v>
      </c>
      <c r="L35" s="389"/>
      <c r="M35" s="166">
        <f t="shared" si="2"/>
        <v>130517.7831</v>
      </c>
      <c r="N35" s="262"/>
      <c r="O35" s="380"/>
      <c r="P35" s="380"/>
      <c r="Q35" s="380"/>
    </row>
    <row r="36" spans="1:17" x14ac:dyDescent="0.25">
      <c r="A36" s="115">
        <v>32</v>
      </c>
      <c r="B36" s="116"/>
      <c r="C36" s="386"/>
      <c r="D36" s="387"/>
      <c r="E36" s="317"/>
      <c r="F36" s="317"/>
      <c r="G36" s="166">
        <f t="shared" si="0"/>
        <v>0</v>
      </c>
      <c r="H36" s="317"/>
      <c r="I36" s="317"/>
      <c r="J36" s="166">
        <f t="shared" si="3"/>
        <v>0</v>
      </c>
      <c r="K36" s="166">
        <f t="shared" si="1"/>
        <v>0</v>
      </c>
      <c r="L36" s="389"/>
      <c r="M36" s="166">
        <f t="shared" si="2"/>
        <v>130517.7831</v>
      </c>
      <c r="N36" s="262"/>
      <c r="O36" s="380"/>
      <c r="P36" s="380"/>
      <c r="Q36" s="380"/>
    </row>
    <row r="37" spans="1:17" x14ac:dyDescent="0.25">
      <c r="A37" s="115">
        <v>33</v>
      </c>
      <c r="B37" s="116"/>
      <c r="C37" s="386"/>
      <c r="D37" s="387"/>
      <c r="E37" s="317"/>
      <c r="F37" s="317"/>
      <c r="G37" s="166">
        <f t="shared" si="0"/>
        <v>0</v>
      </c>
      <c r="H37" s="317"/>
      <c r="I37" s="388"/>
      <c r="J37" s="166">
        <f t="shared" si="3"/>
        <v>0</v>
      </c>
      <c r="K37" s="166">
        <f t="shared" si="1"/>
        <v>0</v>
      </c>
      <c r="L37" s="389"/>
      <c r="M37" s="166">
        <f>M36+K37-L37</f>
        <v>130517.7831</v>
      </c>
      <c r="N37" s="262"/>
      <c r="O37" s="380"/>
      <c r="P37" s="380"/>
      <c r="Q37" s="380"/>
    </row>
    <row r="38" spans="1:17" x14ac:dyDescent="0.25">
      <c r="A38" s="378"/>
      <c r="B38" s="378"/>
      <c r="C38" s="378"/>
      <c r="D38" s="378"/>
      <c r="E38" s="379">
        <f>SUM(E4:E37)</f>
        <v>1136</v>
      </c>
      <c r="F38" s="379"/>
      <c r="G38" s="379">
        <f>SUM(G4:G37)</f>
        <v>113293.28</v>
      </c>
      <c r="H38" s="379">
        <f>SUM(H4:H37)</f>
        <v>77</v>
      </c>
      <c r="I38" s="379"/>
      <c r="J38" s="379">
        <f>SUM(J4:J37)</f>
        <v>8612.45</v>
      </c>
      <c r="K38" s="379">
        <f>SUM(K4:K37)</f>
        <v>121905.73</v>
      </c>
      <c r="L38" s="379">
        <f>SUM(L4:L37)</f>
        <v>150000</v>
      </c>
      <c r="M38" s="379"/>
      <c r="N38" s="379"/>
      <c r="O38" s="380"/>
      <c r="P38" s="380"/>
      <c r="Q38" s="380"/>
    </row>
    <row r="39" spans="1:17" x14ac:dyDescent="0.25">
      <c r="A39" s="212"/>
      <c r="B39" s="212"/>
      <c r="C39" s="212"/>
      <c r="D39" s="212"/>
      <c r="E39" s="214"/>
      <c r="F39" s="214"/>
      <c r="G39" s="214"/>
      <c r="H39" s="214"/>
      <c r="I39" s="214"/>
      <c r="J39" s="214"/>
      <c r="K39" s="214"/>
      <c r="L39" s="212"/>
      <c r="M39" s="214"/>
      <c r="N39" s="214"/>
      <c r="O39" s="380"/>
      <c r="P39" s="380"/>
      <c r="Q39" s="380"/>
    </row>
    <row r="40" spans="1:17" x14ac:dyDescent="0.25">
      <c r="A40" s="380"/>
      <c r="B40" s="380"/>
      <c r="C40" s="380"/>
      <c r="D40" s="380"/>
      <c r="E40" s="394"/>
      <c r="F40" s="394"/>
      <c r="G40" s="394"/>
      <c r="H40" s="394"/>
      <c r="I40" s="394"/>
      <c r="J40" s="394"/>
      <c r="K40" s="394"/>
      <c r="L40" s="394"/>
      <c r="M40" s="380"/>
      <c r="N40" s="380"/>
      <c r="O40" s="380"/>
      <c r="P40" s="380"/>
      <c r="Q40" s="380"/>
    </row>
    <row r="41" spans="1:17" x14ac:dyDescent="0.25">
      <c r="A41" s="380"/>
      <c r="B41" s="380"/>
      <c r="C41" s="380"/>
      <c r="D41" s="380"/>
      <c r="E41" s="380"/>
      <c r="F41" s="380"/>
      <c r="G41" s="380"/>
      <c r="H41" s="380"/>
      <c r="I41" s="380"/>
      <c r="J41" s="380"/>
      <c r="K41" s="380"/>
      <c r="L41" s="395"/>
      <c r="M41" s="380"/>
      <c r="N41" s="380"/>
      <c r="O41" s="380"/>
      <c r="P41" s="380"/>
      <c r="Q41" s="380"/>
    </row>
    <row r="42" spans="1:17" x14ac:dyDescent="0.25">
      <c r="A42" s="380"/>
      <c r="B42" s="380"/>
      <c r="C42" s="380"/>
      <c r="D42" s="380"/>
      <c r="E42" s="380"/>
      <c r="F42" s="380"/>
      <c r="G42" s="380"/>
      <c r="H42" s="380"/>
      <c r="I42" s="380"/>
      <c r="J42" s="380"/>
      <c r="K42" s="380"/>
      <c r="L42" s="395"/>
      <c r="M42" s="380"/>
      <c r="N42" s="380"/>
      <c r="O42" s="380"/>
      <c r="P42" s="380"/>
      <c r="Q42" s="380"/>
    </row>
    <row r="43" spans="1:17" x14ac:dyDescent="0.25">
      <c r="A43" s="380"/>
      <c r="B43" s="380"/>
      <c r="C43" s="380"/>
      <c r="D43" s="380"/>
      <c r="E43" s="380"/>
      <c r="F43" s="380"/>
      <c r="G43" s="380"/>
      <c r="H43" s="380"/>
      <c r="I43" s="380"/>
      <c r="J43" s="380"/>
      <c r="K43" s="380"/>
      <c r="L43" s="395"/>
      <c r="M43" s="380"/>
      <c r="N43" s="380"/>
      <c r="O43" s="380"/>
      <c r="P43" s="380"/>
      <c r="Q43" s="380"/>
    </row>
    <row r="44" spans="1:17" x14ac:dyDescent="0.25">
      <c r="A44" s="380"/>
      <c r="B44" s="380"/>
      <c r="C44" s="380"/>
      <c r="D44" s="380"/>
      <c r="E44" s="380"/>
      <c r="F44" s="380"/>
      <c r="G44" s="380"/>
      <c r="H44" s="380"/>
      <c r="I44" s="380"/>
      <c r="J44" s="380"/>
      <c r="K44" s="380"/>
      <c r="L44" s="395"/>
      <c r="M44" s="380"/>
      <c r="N44" s="380"/>
      <c r="O44" s="380"/>
      <c r="P44" s="380"/>
      <c r="Q44" s="380"/>
    </row>
    <row r="45" spans="1:17" x14ac:dyDescent="0.25">
      <c r="A45" s="208"/>
      <c r="B45" s="208"/>
      <c r="C45" s="208"/>
      <c r="D45" s="208"/>
      <c r="E45" s="208"/>
      <c r="F45" s="208"/>
      <c r="G45" s="214"/>
      <c r="H45" s="208"/>
      <c r="I45" s="208"/>
      <c r="J45" s="208"/>
      <c r="K45" s="208"/>
      <c r="L45" s="212"/>
      <c r="M45" s="208"/>
      <c r="N45" s="208"/>
      <c r="O45" s="380"/>
      <c r="P45" s="380"/>
      <c r="Q45" s="380"/>
    </row>
    <row r="46" spans="1:17" x14ac:dyDescent="0.25">
      <c r="A46" s="208"/>
      <c r="B46" s="208"/>
      <c r="C46" s="208"/>
      <c r="D46" s="208"/>
      <c r="E46" s="208"/>
      <c r="F46" s="208"/>
      <c r="G46" s="208"/>
      <c r="H46" s="208"/>
      <c r="I46" s="208"/>
      <c r="J46" s="208"/>
      <c r="K46" s="208"/>
      <c r="L46" s="208"/>
      <c r="M46" s="208"/>
      <c r="N46" s="208"/>
      <c r="O46" s="380"/>
      <c r="P46" s="380"/>
      <c r="Q46" s="380"/>
    </row>
    <row r="47" spans="1:17" x14ac:dyDescent="0.25">
      <c r="A47" s="208"/>
      <c r="B47" s="208"/>
      <c r="C47" s="208"/>
      <c r="D47" s="208"/>
      <c r="E47" s="208"/>
      <c r="F47" s="208"/>
      <c r="G47" s="208"/>
      <c r="H47" s="208"/>
      <c r="I47" s="208"/>
      <c r="J47" s="208"/>
      <c r="K47" s="208"/>
      <c r="L47" s="212"/>
      <c r="M47" s="208"/>
      <c r="N47" s="208"/>
      <c r="O47" s="380"/>
      <c r="P47" s="380"/>
      <c r="Q47" s="380"/>
    </row>
  </sheetData>
  <mergeCells count="4">
    <mergeCell ref="A1:N1"/>
    <mergeCell ref="A3:J3"/>
    <mergeCell ref="B46:E46"/>
    <mergeCell ref="I46:N46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41"/>
  <sheetViews>
    <sheetView workbookViewId="0" zoomScale="100" zoomScaleNormal="100">
      <pane ySplit="3" topLeftCell="A4" activePane="bottomLeft" state="frozen"/>
      <selection pane="bottomLeft" activeCell="L14" sqref="L14"/>
    </sheetView>
  </sheetViews>
  <sheetFormatPr defaultRowHeight="15" outlineLevelRow="0" outlineLevelCol="0" x14ac:dyDescent="0"/>
  <cols>
    <col min="2" max="2" width="10.140625" customWidth="1"/>
    <col min="7" max="7" width="11.7109375" customWidth="1"/>
    <col min="11" max="11" width="10.7109375" customWidth="1"/>
    <col min="12" max="12" width="10.28515625" customWidth="1"/>
    <col min="13" max="13" width="11.7109375" customWidth="1"/>
  </cols>
  <sheetData>
    <row r="1" spans="1:33" x14ac:dyDescent="0.25">
      <c r="A1" s="307" t="s">
        <v>199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7"/>
      <c r="N1" s="307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308"/>
      <c r="AE1" s="308"/>
      <c r="AF1" s="308"/>
      <c r="AG1" s="308"/>
    </row>
    <row r="2" ht="27" customHeight="1" spans="1:33" x14ac:dyDescent="0.25">
      <c r="A2" s="287" t="s">
        <v>0</v>
      </c>
      <c r="B2" s="288" t="s">
        <v>167</v>
      </c>
      <c r="C2" s="288" t="s">
        <v>168</v>
      </c>
      <c r="D2" s="288" t="s">
        <v>169</v>
      </c>
      <c r="E2" s="288" t="s">
        <v>170</v>
      </c>
      <c r="F2" s="288" t="s">
        <v>171</v>
      </c>
      <c r="G2" s="288" t="s">
        <v>172</v>
      </c>
      <c r="H2" s="288" t="s">
        <v>173</v>
      </c>
      <c r="I2" s="288" t="s">
        <v>171</v>
      </c>
      <c r="J2" s="289" t="s">
        <v>172</v>
      </c>
      <c r="K2" s="288" t="s">
        <v>174</v>
      </c>
      <c r="L2" s="289" t="s">
        <v>175</v>
      </c>
      <c r="M2" s="324" t="s">
        <v>190</v>
      </c>
      <c r="N2" s="293" t="s">
        <v>177</v>
      </c>
      <c r="O2" s="303"/>
      <c r="P2" s="308"/>
      <c r="Q2" s="308"/>
      <c r="R2" s="308"/>
      <c r="S2" s="308"/>
      <c r="T2" s="308"/>
      <c r="U2" s="308"/>
      <c r="V2" s="308"/>
      <c r="W2" s="308"/>
      <c r="X2" s="308"/>
      <c r="Y2" s="308"/>
      <c r="Z2" s="308"/>
      <c r="AA2" s="308"/>
      <c r="AB2" s="308"/>
      <c r="AC2" s="308"/>
      <c r="AD2" s="308"/>
      <c r="AE2" s="308"/>
      <c r="AF2" s="308"/>
      <c r="AG2" s="308"/>
    </row>
    <row r="3" spans="1:33" x14ac:dyDescent="0.25">
      <c r="A3" s="148" t="s">
        <v>178</v>
      </c>
      <c r="B3" s="149"/>
      <c r="C3" s="149"/>
      <c r="D3" s="149"/>
      <c r="E3" s="149"/>
      <c r="F3" s="149"/>
      <c r="G3" s="149"/>
      <c r="H3" s="149"/>
      <c r="I3" s="149"/>
      <c r="J3" s="314"/>
      <c r="K3" s="315">
        <v>255923.31919999997</v>
      </c>
      <c r="L3" s="189"/>
      <c r="M3" s="316">
        <v>255923.31919999997</v>
      </c>
      <c r="N3" s="189"/>
      <c r="O3" s="303"/>
      <c r="P3" s="308"/>
      <c r="Q3" s="308"/>
      <c r="R3" s="308"/>
      <c r="S3" s="308"/>
      <c r="T3" s="308"/>
      <c r="U3" s="308"/>
      <c r="V3" s="308"/>
      <c r="W3" s="308"/>
      <c r="X3" s="308"/>
      <c r="Y3" s="308"/>
      <c r="Z3" s="308"/>
      <c r="AA3" s="308"/>
      <c r="AB3" s="308"/>
      <c r="AC3" s="308"/>
      <c r="AD3" s="308"/>
      <c r="AE3" s="308"/>
      <c r="AF3" s="308"/>
      <c r="AG3" s="308"/>
    </row>
    <row r="4" spans="1:33" x14ac:dyDescent="0.25">
      <c r="A4" s="115">
        <v>1</v>
      </c>
      <c r="B4" s="116">
        <v>46296</v>
      </c>
      <c r="C4" s="317" t="s">
        <v>180</v>
      </c>
      <c r="D4" s="318" t="s">
        <v>180</v>
      </c>
      <c r="E4" s="317"/>
      <c r="F4" s="317"/>
      <c r="G4" s="189">
        <f>E4*F4</f>
        <v>0</v>
      </c>
      <c r="H4" s="317"/>
      <c r="I4" s="317"/>
      <c r="J4" s="319">
        <f>H4*I4</f>
        <v>0</v>
      </c>
      <c r="K4" s="319">
        <f>G4+J4</f>
        <v>0</v>
      </c>
      <c r="L4" s="189"/>
      <c r="M4" s="319">
        <f>M3+K4-L4</f>
        <v>255923.31919999997</v>
      </c>
      <c r="N4" s="189"/>
      <c r="O4" s="308"/>
      <c r="P4" s="308"/>
      <c r="Q4" s="308"/>
      <c r="R4" s="308"/>
      <c r="S4" s="308"/>
      <c r="T4" s="308"/>
      <c r="U4" s="308"/>
      <c r="V4" s="308"/>
      <c r="W4" s="308"/>
      <c r="X4" s="308"/>
      <c r="Y4" s="308"/>
      <c r="Z4" s="308"/>
      <c r="AA4" s="308"/>
      <c r="AB4" s="308"/>
      <c r="AC4" s="308"/>
      <c r="AD4" s="308"/>
      <c r="AE4" s="308"/>
      <c r="AF4" s="308"/>
      <c r="AG4" s="308"/>
    </row>
    <row r="5" spans="1:33" x14ac:dyDescent="0.25">
      <c r="A5" s="115"/>
      <c r="B5" s="116">
        <v>46297</v>
      </c>
      <c r="C5" s="317"/>
      <c r="D5" s="318"/>
      <c r="E5" s="317"/>
      <c r="F5" s="317"/>
      <c r="G5" s="189">
        <f t="shared" ref="G5:G38" si="0">E5*F5</f>
        <v>0</v>
      </c>
      <c r="H5" s="317"/>
      <c r="I5" s="317"/>
      <c r="J5" s="319">
        <f>H5*I5</f>
        <v>0</v>
      </c>
      <c r="K5" s="319">
        <f t="shared" ref="K5:K38" si="1">G5+J5</f>
        <v>0</v>
      </c>
      <c r="L5" s="189"/>
      <c r="M5" s="319">
        <f>M4+K5-L5</f>
        <v>255923.31919999997</v>
      </c>
      <c r="N5" s="189"/>
      <c r="O5" s="308"/>
      <c r="P5" s="308"/>
      <c r="Q5" s="308"/>
      <c r="R5" s="308"/>
      <c r="S5" s="308"/>
      <c r="T5" s="308"/>
      <c r="U5" s="308"/>
      <c r="V5" s="308"/>
      <c r="W5" s="308"/>
      <c r="X5" s="308"/>
      <c r="Y5" s="308"/>
      <c r="Z5" s="308"/>
      <c r="AA5" s="308"/>
      <c r="AB5" s="308"/>
      <c r="AC5" s="308"/>
      <c r="AD5" s="308"/>
      <c r="AE5" s="308"/>
      <c r="AF5" s="308"/>
      <c r="AG5" s="308"/>
    </row>
    <row r="6" spans="1:33" x14ac:dyDescent="0.25">
      <c r="A6" s="115">
        <v>2</v>
      </c>
      <c r="B6" s="116">
        <v>46298</v>
      </c>
      <c r="C6" s="317" t="s">
        <v>180</v>
      </c>
      <c r="D6" s="318" t="s">
        <v>180</v>
      </c>
      <c r="E6" s="317"/>
      <c r="F6" s="317"/>
      <c r="G6" s="189">
        <f t="shared" si="0"/>
        <v>0</v>
      </c>
      <c r="H6" s="317"/>
      <c r="I6" s="317"/>
      <c r="J6" s="319">
        <f>H6*I6</f>
        <v>0</v>
      </c>
      <c r="K6" s="319">
        <f t="shared" si="1"/>
        <v>0</v>
      </c>
      <c r="L6" s="189"/>
      <c r="M6" s="319">
        <f>M4+K6-L6</f>
        <v>255923.31919999997</v>
      </c>
      <c r="N6" s="189"/>
      <c r="O6" s="308"/>
      <c r="P6" s="308"/>
      <c r="Q6" s="308"/>
      <c r="R6" s="308"/>
      <c r="S6" s="308"/>
      <c r="T6" s="308"/>
      <c r="U6" s="308"/>
      <c r="V6" s="308"/>
      <c r="W6" s="308"/>
      <c r="X6" s="308"/>
      <c r="Y6" s="308"/>
      <c r="Z6" s="308"/>
      <c r="AA6" s="308"/>
      <c r="AB6" s="308"/>
      <c r="AC6" s="308"/>
      <c r="AD6" s="308"/>
      <c r="AE6" s="308"/>
      <c r="AF6" s="308"/>
      <c r="AG6" s="308"/>
    </row>
    <row r="7" spans="1:33" x14ac:dyDescent="0.25">
      <c r="A7" s="115">
        <v>3</v>
      </c>
      <c r="B7" s="116">
        <v>46299</v>
      </c>
      <c r="C7" s="317" t="s">
        <v>180</v>
      </c>
      <c r="D7" s="318" t="s">
        <v>180</v>
      </c>
      <c r="E7" s="317"/>
      <c r="F7" s="317"/>
      <c r="G7" s="189">
        <f t="shared" si="0"/>
        <v>0</v>
      </c>
      <c r="H7" s="317"/>
      <c r="I7" s="317"/>
      <c r="J7" s="319">
        <f>H7*I7</f>
        <v>0</v>
      </c>
      <c r="K7" s="319">
        <f t="shared" si="1"/>
        <v>0</v>
      </c>
      <c r="L7" s="189"/>
      <c r="M7" s="319">
        <f t="shared" ref="M7:M38" si="2">M6+K7-L7</f>
        <v>255923.31919999997</v>
      </c>
      <c r="N7" s="189"/>
      <c r="O7" s="308"/>
      <c r="P7" s="308"/>
      <c r="Q7" s="308"/>
      <c r="R7" s="308"/>
      <c r="S7" s="308"/>
      <c r="T7" s="308"/>
      <c r="U7" s="308"/>
      <c r="V7" s="308"/>
      <c r="W7" s="308"/>
      <c r="X7" s="308"/>
      <c r="Y7" s="308"/>
      <c r="Z7" s="308"/>
      <c r="AA7" s="308"/>
      <c r="AB7" s="308"/>
      <c r="AC7" s="308"/>
      <c r="AD7" s="308"/>
      <c r="AE7" s="308"/>
      <c r="AF7" s="308"/>
      <c r="AG7" s="308"/>
    </row>
    <row r="8" spans="1:33" x14ac:dyDescent="0.25">
      <c r="A8" s="115">
        <v>4</v>
      </c>
      <c r="B8" s="116">
        <v>46300</v>
      </c>
      <c r="C8" s="317" t="s">
        <v>180</v>
      </c>
      <c r="D8" s="318" t="s">
        <v>180</v>
      </c>
      <c r="E8" s="317">
        <v>800</v>
      </c>
      <c r="F8" s="317">
        <v>99.02</v>
      </c>
      <c r="G8" s="189">
        <f t="shared" si="0"/>
        <v>79216</v>
      </c>
      <c r="H8" s="317">
        <v>35</v>
      </c>
      <c r="I8" s="317">
        <v>111.12</v>
      </c>
      <c r="J8" s="319">
        <f>H8*I8</f>
        <v>3889.2000000000003</v>
      </c>
      <c r="K8" s="319">
        <f t="shared" si="1"/>
        <v>83105.2</v>
      </c>
      <c r="L8" s="189"/>
      <c r="M8" s="319">
        <f t="shared" si="2"/>
        <v>339028.5192</v>
      </c>
      <c r="N8" s="321"/>
      <c r="O8" s="308"/>
      <c r="P8" s="308"/>
      <c r="Q8" s="308"/>
      <c r="R8" s="308"/>
      <c r="S8" s="308"/>
      <c r="T8" s="308"/>
      <c r="U8" s="308"/>
      <c r="V8" s="308"/>
      <c r="W8" s="308"/>
      <c r="X8" s="308"/>
      <c r="Y8" s="308"/>
      <c r="Z8" s="308"/>
      <c r="AA8" s="308"/>
      <c r="AB8" s="308"/>
      <c r="AC8" s="308"/>
      <c r="AD8" s="308"/>
      <c r="AE8" s="308"/>
      <c r="AF8" s="308"/>
      <c r="AG8" s="308"/>
    </row>
    <row r="9" spans="1:33" x14ac:dyDescent="0.25">
      <c r="A9" s="115">
        <v>5</v>
      </c>
      <c r="B9" s="116">
        <v>46301</v>
      </c>
      <c r="C9" s="317" t="s">
        <v>180</v>
      </c>
      <c r="D9" s="318" t="s">
        <v>180</v>
      </c>
      <c r="E9" s="317"/>
      <c r="F9" s="317"/>
      <c r="G9" s="189">
        <f t="shared" si="0"/>
        <v>0</v>
      </c>
      <c r="H9" s="317"/>
      <c r="I9" s="317"/>
      <c r="J9" s="319">
        <f>H9*I9</f>
        <v>0</v>
      </c>
      <c r="K9" s="319">
        <f t="shared" si="1"/>
        <v>0</v>
      </c>
      <c r="L9" s="189"/>
      <c r="M9" s="319">
        <f t="shared" si="2"/>
        <v>339028.5192</v>
      </c>
      <c r="N9" s="320"/>
      <c r="O9" s="308"/>
      <c r="P9" s="308"/>
      <c r="Q9" s="308"/>
      <c r="R9" s="308"/>
      <c r="S9" s="308"/>
      <c r="T9" s="308"/>
      <c r="U9" s="308"/>
      <c r="V9" s="308"/>
      <c r="W9" s="308"/>
      <c r="X9" s="308"/>
      <c r="Y9" s="308"/>
      <c r="Z9" s="308"/>
      <c r="AA9" s="308"/>
      <c r="AB9" s="308"/>
      <c r="AC9" s="308"/>
      <c r="AD9" s="308"/>
      <c r="AE9" s="308"/>
      <c r="AF9" s="308"/>
      <c r="AG9" s="308"/>
    </row>
    <row r="10" spans="1:33" x14ac:dyDescent="0.25">
      <c r="A10" s="115">
        <v>6</v>
      </c>
      <c r="B10" s="116">
        <v>46302</v>
      </c>
      <c r="C10" s="317" t="s">
        <v>180</v>
      </c>
      <c r="D10" s="318" t="s">
        <v>180</v>
      </c>
      <c r="E10" s="317"/>
      <c r="F10" s="317"/>
      <c r="G10" s="189">
        <f t="shared" si="0"/>
        <v>0</v>
      </c>
      <c r="H10" s="317"/>
      <c r="I10" s="317"/>
      <c r="J10" s="319">
        <f>H10*I10</f>
        <v>0</v>
      </c>
      <c r="K10" s="319">
        <f t="shared" si="1"/>
        <v>0</v>
      </c>
      <c r="L10" s="189"/>
      <c r="M10" s="319">
        <f t="shared" si="2"/>
        <v>339028.5192</v>
      </c>
      <c r="N10" s="321"/>
      <c r="O10" s="308"/>
      <c r="P10" s="308"/>
      <c r="Q10" s="308"/>
      <c r="R10" s="308"/>
      <c r="S10" s="308"/>
      <c r="T10" s="308"/>
      <c r="U10" s="308"/>
      <c r="V10" s="308"/>
      <c r="W10" s="308"/>
      <c r="X10" s="308"/>
      <c r="Y10" s="308"/>
      <c r="Z10" s="308"/>
      <c r="AA10" s="308"/>
      <c r="AB10" s="308"/>
      <c r="AC10" s="308"/>
      <c r="AD10" s="308"/>
      <c r="AE10" s="308"/>
      <c r="AF10" s="308"/>
      <c r="AG10" s="308"/>
    </row>
    <row r="11" spans="1:33" x14ac:dyDescent="0.25">
      <c r="A11" s="115">
        <v>7</v>
      </c>
      <c r="B11" s="116">
        <v>46303</v>
      </c>
      <c r="C11" s="317" t="s">
        <v>180</v>
      </c>
      <c r="D11" s="318" t="s">
        <v>180</v>
      </c>
      <c r="E11" s="317"/>
      <c r="F11" s="317"/>
      <c r="G11" s="189">
        <f t="shared" si="0"/>
        <v>0</v>
      </c>
      <c r="H11" s="317"/>
      <c r="I11" s="317"/>
      <c r="J11" s="319">
        <f>H11*I11</f>
        <v>0</v>
      </c>
      <c r="K11" s="319">
        <f t="shared" si="1"/>
        <v>0</v>
      </c>
      <c r="L11" s="189"/>
      <c r="M11" s="319">
        <f t="shared" si="2"/>
        <v>339028.5192</v>
      </c>
      <c r="N11" s="320"/>
      <c r="O11" s="308"/>
      <c r="P11" s="308"/>
      <c r="Q11" s="308"/>
      <c r="R11" s="308"/>
      <c r="S11" s="308"/>
      <c r="T11" s="308"/>
      <c r="U11" s="308"/>
      <c r="V11" s="308"/>
      <c r="W11" s="308"/>
      <c r="X11" s="308"/>
      <c r="Y11" s="308"/>
      <c r="Z11" s="308"/>
      <c r="AA11" s="308"/>
      <c r="AB11" s="308"/>
      <c r="AC11" s="308"/>
      <c r="AD11" s="308"/>
      <c r="AE11" s="308"/>
      <c r="AF11" s="308"/>
      <c r="AG11" s="308"/>
    </row>
    <row r="12" spans="1:33" x14ac:dyDescent="0.25">
      <c r="A12" s="115">
        <v>8</v>
      </c>
      <c r="B12" s="116">
        <v>46304</v>
      </c>
      <c r="C12" s="317" t="s">
        <v>180</v>
      </c>
      <c r="D12" s="318" t="s">
        <v>180</v>
      </c>
      <c r="E12" s="317"/>
      <c r="F12" s="317"/>
      <c r="G12" s="189">
        <f t="shared" si="0"/>
        <v>0</v>
      </c>
      <c r="H12" s="317"/>
      <c r="I12" s="317"/>
      <c r="J12" s="319">
        <f>H12*I12</f>
        <v>0</v>
      </c>
      <c r="K12" s="319">
        <f t="shared" si="1"/>
        <v>0</v>
      </c>
      <c r="L12" s="189"/>
      <c r="M12" s="319">
        <f t="shared" si="2"/>
        <v>339028.5192</v>
      </c>
      <c r="N12" s="322"/>
      <c r="O12" s="308"/>
      <c r="P12" s="308"/>
      <c r="Q12" s="308"/>
      <c r="R12" s="308"/>
      <c r="S12" s="308"/>
      <c r="T12" s="308"/>
      <c r="U12" s="308"/>
      <c r="V12" s="308"/>
      <c r="W12" s="308"/>
      <c r="X12" s="308"/>
      <c r="Y12" s="308"/>
      <c r="Z12" s="308"/>
      <c r="AA12" s="308"/>
      <c r="AB12" s="308"/>
      <c r="AC12" s="308"/>
      <c r="AD12" s="308"/>
      <c r="AE12" s="308"/>
      <c r="AF12" s="308"/>
      <c r="AG12" s="308"/>
    </row>
    <row r="13" spans="1:33" x14ac:dyDescent="0.25">
      <c r="A13" s="115">
        <v>9</v>
      </c>
      <c r="B13" s="116">
        <v>46305</v>
      </c>
      <c r="C13" s="317" t="s">
        <v>180</v>
      </c>
      <c r="D13" s="318" t="s">
        <v>180</v>
      </c>
      <c r="E13" s="317"/>
      <c r="F13" s="317"/>
      <c r="G13" s="189">
        <f t="shared" si="0"/>
        <v>0</v>
      </c>
      <c r="H13" s="317"/>
      <c r="I13" s="317"/>
      <c r="J13" s="319">
        <f>H13*I13</f>
        <v>0</v>
      </c>
      <c r="K13" s="319">
        <f t="shared" si="1"/>
        <v>0</v>
      </c>
      <c r="L13" s="189"/>
      <c r="M13" s="319">
        <f t="shared" si="2"/>
        <v>339028.5192</v>
      </c>
      <c r="N13" s="320"/>
      <c r="O13" s="308"/>
      <c r="P13" s="308"/>
      <c r="Q13" s="308"/>
      <c r="R13" s="308"/>
      <c r="S13" s="308"/>
      <c r="T13" s="308"/>
      <c r="U13" s="308"/>
      <c r="V13" s="308"/>
      <c r="W13" s="308"/>
      <c r="X13" s="308"/>
      <c r="Y13" s="308"/>
      <c r="Z13" s="308"/>
      <c r="AA13" s="308"/>
      <c r="AB13" s="308"/>
      <c r="AC13" s="308"/>
      <c r="AD13" s="308"/>
      <c r="AE13" s="308"/>
      <c r="AF13" s="308"/>
      <c r="AG13" s="308"/>
    </row>
    <row r="14" spans="1:33" x14ac:dyDescent="0.25">
      <c r="A14" s="115">
        <v>10</v>
      </c>
      <c r="B14" s="116">
        <v>46306</v>
      </c>
      <c r="C14" s="317" t="s">
        <v>180</v>
      </c>
      <c r="D14" s="318" t="s">
        <v>180</v>
      </c>
      <c r="E14" s="317"/>
      <c r="F14" s="317"/>
      <c r="G14" s="189">
        <f t="shared" si="0"/>
        <v>0</v>
      </c>
      <c r="H14" s="317"/>
      <c r="I14" s="317"/>
      <c r="J14" s="319">
        <f>H14*I14</f>
        <v>0</v>
      </c>
      <c r="K14" s="319">
        <f t="shared" si="1"/>
        <v>0</v>
      </c>
      <c r="L14" s="189">
        <v>200000</v>
      </c>
      <c r="M14" s="319">
        <f t="shared" si="2"/>
        <v>139028.51919999998</v>
      </c>
      <c r="N14" s="320"/>
      <c r="O14" s="308"/>
      <c r="P14" s="308"/>
      <c r="Q14" s="308"/>
      <c r="R14" s="308"/>
      <c r="S14" s="308"/>
      <c r="T14" s="308"/>
      <c r="U14" s="308"/>
      <c r="V14" s="308"/>
      <c r="W14" s="308"/>
      <c r="X14" s="308"/>
      <c r="Y14" s="308"/>
      <c r="Z14" s="308"/>
      <c r="AA14" s="308"/>
      <c r="AB14" s="308"/>
      <c r="AC14" s="308"/>
      <c r="AD14" s="308"/>
      <c r="AE14" s="308"/>
      <c r="AF14" s="308"/>
      <c r="AG14" s="308"/>
    </row>
    <row r="15" spans="1:33" x14ac:dyDescent="0.25">
      <c r="A15" s="115">
        <v>11</v>
      </c>
      <c r="B15" s="116">
        <v>46307</v>
      </c>
      <c r="C15" s="317" t="s">
        <v>180</v>
      </c>
      <c r="D15" s="318" t="s">
        <v>180</v>
      </c>
      <c r="E15" s="317"/>
      <c r="F15" s="317"/>
      <c r="G15" s="189">
        <f t="shared" si="0"/>
        <v>0</v>
      </c>
      <c r="H15" s="317"/>
      <c r="I15" s="317"/>
      <c r="J15" s="319">
        <f>H15*I15</f>
        <v>0</v>
      </c>
      <c r="K15" s="319">
        <f t="shared" si="1"/>
        <v>0</v>
      </c>
      <c r="L15" s="189"/>
      <c r="M15" s="319">
        <f t="shared" si="2"/>
        <v>139028.51919999998</v>
      </c>
      <c r="N15" s="320"/>
      <c r="O15" s="308"/>
      <c r="P15" s="308"/>
      <c r="Q15" s="308"/>
      <c r="R15" s="308"/>
      <c r="S15" s="308"/>
      <c r="T15" s="308"/>
      <c r="U15" s="308"/>
      <c r="V15" s="308"/>
      <c r="W15" s="308"/>
      <c r="X15" s="308"/>
      <c r="Y15" s="308"/>
      <c r="Z15" s="308"/>
      <c r="AA15" s="308"/>
      <c r="AB15" s="308"/>
      <c r="AC15" s="308"/>
      <c r="AD15" s="308"/>
      <c r="AE15" s="308"/>
      <c r="AF15" s="308"/>
      <c r="AG15" s="308"/>
    </row>
    <row r="16" spans="1:33" x14ac:dyDescent="0.25">
      <c r="A16" s="115">
        <v>12</v>
      </c>
      <c r="B16" s="116">
        <v>46308</v>
      </c>
      <c r="C16" s="317"/>
      <c r="D16" s="318"/>
      <c r="E16" s="317"/>
      <c r="F16" s="317"/>
      <c r="G16" s="189">
        <f t="shared" si="0"/>
        <v>0</v>
      </c>
      <c r="H16" s="317"/>
      <c r="I16" s="317"/>
      <c r="J16" s="319">
        <f>H16*I16</f>
        <v>0</v>
      </c>
      <c r="K16" s="319">
        <f t="shared" si="1"/>
        <v>0</v>
      </c>
      <c r="L16" s="189"/>
      <c r="M16" s="319">
        <f t="shared" si="2"/>
        <v>139028.51919999998</v>
      </c>
      <c r="N16" s="320"/>
      <c r="O16" s="308"/>
      <c r="P16" s="308"/>
      <c r="Q16" s="308"/>
      <c r="R16" s="308"/>
      <c r="S16" s="308"/>
      <c r="T16" s="308"/>
      <c r="U16" s="308"/>
      <c r="V16" s="308"/>
      <c r="W16" s="308"/>
      <c r="X16" s="308"/>
      <c r="Y16" s="308"/>
      <c r="Z16" s="308"/>
      <c r="AA16" s="308"/>
      <c r="AB16" s="308"/>
      <c r="AC16" s="308"/>
      <c r="AD16" s="308"/>
      <c r="AE16" s="308"/>
      <c r="AF16" s="308"/>
      <c r="AG16" s="308"/>
    </row>
    <row r="17" spans="1:33" x14ac:dyDescent="0.25">
      <c r="A17" s="115">
        <v>13</v>
      </c>
      <c r="B17" s="116">
        <v>46309</v>
      </c>
      <c r="C17" s="317" t="s">
        <v>180</v>
      </c>
      <c r="D17" s="318" t="s">
        <v>180</v>
      </c>
      <c r="E17" s="317"/>
      <c r="F17" s="317"/>
      <c r="G17" s="189">
        <f t="shared" si="0"/>
        <v>0</v>
      </c>
      <c r="H17" s="317"/>
      <c r="I17" s="317"/>
      <c r="J17" s="319">
        <f t="shared" ref="J6:J38" si="3">H17*I17</f>
        <v>0</v>
      </c>
      <c r="K17" s="319">
        <f t="shared" si="1"/>
        <v>0</v>
      </c>
      <c r="L17" s="189"/>
      <c r="M17" s="319">
        <f t="shared" si="2"/>
        <v>139028.51919999998</v>
      </c>
      <c r="N17" s="320"/>
      <c r="O17" s="308"/>
      <c r="P17" s="308"/>
      <c r="Q17" s="308"/>
      <c r="R17" s="308"/>
      <c r="S17" s="308"/>
      <c r="T17" s="308"/>
      <c r="U17" s="308"/>
      <c r="V17" s="308"/>
      <c r="W17" s="308"/>
      <c r="X17" s="308"/>
      <c r="Y17" s="308"/>
      <c r="Z17" s="308"/>
      <c r="AA17" s="308"/>
      <c r="AB17" s="308"/>
      <c r="AC17" s="308"/>
      <c r="AD17" s="308"/>
      <c r="AE17" s="308"/>
      <c r="AF17" s="308"/>
      <c r="AG17" s="308"/>
    </row>
    <row r="18" spans="1:33" x14ac:dyDescent="0.25">
      <c r="A18" s="115">
        <v>14</v>
      </c>
      <c r="B18" s="116">
        <v>46310</v>
      </c>
      <c r="C18" s="317" t="s">
        <v>180</v>
      </c>
      <c r="D18" s="318" t="s">
        <v>180</v>
      </c>
      <c r="E18" s="317"/>
      <c r="F18" s="317"/>
      <c r="G18" s="189">
        <f t="shared" si="0"/>
        <v>0</v>
      </c>
      <c r="H18" s="317"/>
      <c r="I18" s="317"/>
      <c r="J18" s="319">
        <f t="shared" si="3"/>
        <v>0</v>
      </c>
      <c r="K18" s="319">
        <f t="shared" si="1"/>
        <v>0</v>
      </c>
      <c r="L18" s="189"/>
      <c r="M18" s="319">
        <f t="shared" si="2"/>
        <v>139028.51919999998</v>
      </c>
      <c r="N18" s="320"/>
      <c r="O18" s="308"/>
      <c r="P18" s="308"/>
      <c r="Q18" s="308"/>
      <c r="R18" s="308"/>
      <c r="S18" s="308"/>
      <c r="T18" s="308"/>
      <c r="U18" s="308"/>
      <c r="V18" s="308"/>
      <c r="W18" s="308"/>
      <c r="X18" s="308"/>
      <c r="Y18" s="308"/>
      <c r="Z18" s="308"/>
      <c r="AA18" s="308"/>
      <c r="AB18" s="308"/>
      <c r="AC18" s="308"/>
      <c r="AD18" s="308"/>
      <c r="AE18" s="308"/>
      <c r="AF18" s="308"/>
      <c r="AG18" s="308"/>
    </row>
    <row r="19" spans="1:33" x14ac:dyDescent="0.25">
      <c r="A19" s="115">
        <v>15</v>
      </c>
      <c r="B19" s="116">
        <v>46311</v>
      </c>
      <c r="C19" s="317" t="s">
        <v>180</v>
      </c>
      <c r="D19" s="318" t="s">
        <v>180</v>
      </c>
      <c r="E19" s="317"/>
      <c r="F19" s="317"/>
      <c r="G19" s="189">
        <f t="shared" si="0"/>
        <v>0</v>
      </c>
      <c r="H19" s="317"/>
      <c r="I19" s="317"/>
      <c r="J19" s="319">
        <f t="shared" si="3"/>
        <v>0</v>
      </c>
      <c r="K19" s="319">
        <f t="shared" si="1"/>
        <v>0</v>
      </c>
      <c r="L19" s="189"/>
      <c r="M19" s="319">
        <f t="shared" si="2"/>
        <v>139028.51919999998</v>
      </c>
      <c r="N19" s="319"/>
      <c r="O19" s="308"/>
      <c r="P19" s="308"/>
      <c r="Q19" s="308"/>
      <c r="R19" s="308"/>
      <c r="S19" s="308"/>
      <c r="T19" s="308"/>
      <c r="U19" s="308"/>
      <c r="V19" s="308"/>
      <c r="W19" s="308"/>
      <c r="X19" s="308"/>
      <c r="Y19" s="308"/>
      <c r="Z19" s="308"/>
      <c r="AA19" s="308"/>
      <c r="AB19" s="308"/>
      <c r="AC19" s="308"/>
      <c r="AD19" s="308"/>
      <c r="AE19" s="308"/>
      <c r="AF19" s="308"/>
      <c r="AG19" s="308"/>
    </row>
    <row r="20" spans="1:33" x14ac:dyDescent="0.25">
      <c r="A20" s="115">
        <v>16</v>
      </c>
      <c r="B20" s="116">
        <v>46312</v>
      </c>
      <c r="C20" s="317" t="s">
        <v>180</v>
      </c>
      <c r="D20" s="318" t="s">
        <v>180</v>
      </c>
      <c r="E20" s="317"/>
      <c r="F20" s="317"/>
      <c r="G20" s="189">
        <f t="shared" si="0"/>
        <v>0</v>
      </c>
      <c r="H20" s="317"/>
      <c r="I20" s="317"/>
      <c r="J20" s="319">
        <f t="shared" si="3"/>
        <v>0</v>
      </c>
      <c r="K20" s="319">
        <f t="shared" si="1"/>
        <v>0</v>
      </c>
      <c r="L20" s="189"/>
      <c r="M20" s="319">
        <f t="shared" si="2"/>
        <v>139028.51919999998</v>
      </c>
      <c r="N20" s="320"/>
      <c r="O20" s="308"/>
      <c r="P20" s="308"/>
      <c r="Q20" s="308"/>
      <c r="R20" s="308"/>
      <c r="S20" s="308"/>
      <c r="T20" s="308"/>
      <c r="U20" s="308"/>
      <c r="V20" s="308"/>
      <c r="W20" s="308"/>
      <c r="X20" s="308"/>
      <c r="Y20" s="308"/>
      <c r="Z20" s="308"/>
      <c r="AA20" s="308"/>
      <c r="AB20" s="308"/>
      <c r="AC20" s="308"/>
      <c r="AD20" s="308"/>
      <c r="AE20" s="308"/>
      <c r="AF20" s="308"/>
      <c r="AG20" s="308"/>
    </row>
    <row r="21" spans="1:33" x14ac:dyDescent="0.25">
      <c r="A21" s="115">
        <v>17</v>
      </c>
      <c r="B21" s="116">
        <v>46313</v>
      </c>
      <c r="C21" s="317" t="s">
        <v>180</v>
      </c>
      <c r="D21" s="318" t="s">
        <v>180</v>
      </c>
      <c r="E21" s="317"/>
      <c r="F21" s="317"/>
      <c r="G21" s="189">
        <f t="shared" si="0"/>
        <v>0</v>
      </c>
      <c r="H21" s="317"/>
      <c r="I21" s="317"/>
      <c r="J21" s="319">
        <f t="shared" si="3"/>
        <v>0</v>
      </c>
      <c r="K21" s="319">
        <f t="shared" si="1"/>
        <v>0</v>
      </c>
      <c r="L21" s="189"/>
      <c r="M21" s="319">
        <f t="shared" si="2"/>
        <v>139028.51919999998</v>
      </c>
      <c r="N21" s="320"/>
      <c r="O21" s="308"/>
      <c r="P21" s="308"/>
      <c r="Q21" s="308"/>
      <c r="R21" s="308"/>
      <c r="S21" s="308"/>
      <c r="T21" s="308"/>
      <c r="U21" s="308"/>
      <c r="V21" s="308"/>
      <c r="W21" s="308"/>
      <c r="X21" s="308"/>
      <c r="Y21" s="308"/>
      <c r="Z21" s="308"/>
      <c r="AA21" s="308"/>
      <c r="AB21" s="308"/>
      <c r="AC21" s="308"/>
      <c r="AD21" s="308"/>
      <c r="AE21" s="308"/>
      <c r="AF21" s="308"/>
      <c r="AG21" s="308"/>
    </row>
    <row r="22" spans="1:33" x14ac:dyDescent="0.25">
      <c r="A22" s="115">
        <v>18</v>
      </c>
      <c r="B22" s="116">
        <v>46314</v>
      </c>
      <c r="C22" s="317" t="s">
        <v>180</v>
      </c>
      <c r="D22" s="318" t="s">
        <v>180</v>
      </c>
      <c r="E22" s="317"/>
      <c r="F22" s="317"/>
      <c r="G22" s="189">
        <f t="shared" si="0"/>
        <v>0</v>
      </c>
      <c r="H22" s="317"/>
      <c r="I22" s="317"/>
      <c r="J22" s="319">
        <f t="shared" si="3"/>
        <v>0</v>
      </c>
      <c r="K22" s="319">
        <f t="shared" si="1"/>
        <v>0</v>
      </c>
      <c r="L22" s="189"/>
      <c r="M22" s="319">
        <f t="shared" si="2"/>
        <v>139028.51919999998</v>
      </c>
      <c r="N22" s="320"/>
      <c r="O22" s="308"/>
      <c r="P22" s="308"/>
      <c r="Q22" s="308"/>
      <c r="R22" s="308"/>
      <c r="S22" s="308"/>
      <c r="T22" s="308"/>
      <c r="U22" s="308"/>
      <c r="V22" s="308"/>
      <c r="W22" s="308"/>
      <c r="X22" s="308"/>
      <c r="Y22" s="308"/>
      <c r="Z22" s="308"/>
      <c r="AA22" s="308"/>
      <c r="AB22" s="308"/>
      <c r="AC22" s="308"/>
      <c r="AD22" s="308"/>
      <c r="AE22" s="308"/>
      <c r="AF22" s="308"/>
      <c r="AG22" s="308"/>
    </row>
    <row r="23" spans="1:33" x14ac:dyDescent="0.25">
      <c r="A23" s="115">
        <v>19</v>
      </c>
      <c r="B23" s="116">
        <v>46315</v>
      </c>
      <c r="C23" s="317" t="s">
        <v>180</v>
      </c>
      <c r="D23" s="318" t="s">
        <v>180</v>
      </c>
      <c r="E23" s="317"/>
      <c r="F23" s="317"/>
      <c r="G23" s="189">
        <f t="shared" si="0"/>
        <v>0</v>
      </c>
      <c r="H23" s="317"/>
      <c r="I23" s="317"/>
      <c r="J23" s="319">
        <f t="shared" si="3"/>
        <v>0</v>
      </c>
      <c r="K23" s="319">
        <f t="shared" si="1"/>
        <v>0</v>
      </c>
      <c r="L23" s="189"/>
      <c r="M23" s="319">
        <f t="shared" si="2"/>
        <v>139028.51919999998</v>
      </c>
      <c r="N23" s="320"/>
      <c r="O23" s="308"/>
      <c r="P23" s="308"/>
      <c r="Q23" s="308"/>
      <c r="R23" s="308"/>
      <c r="S23" s="308"/>
      <c r="T23" s="308"/>
      <c r="U23" s="308"/>
      <c r="V23" s="308"/>
      <c r="W23" s="308"/>
      <c r="X23" s="308"/>
      <c r="Y23" s="308"/>
      <c r="Z23" s="308"/>
      <c r="AA23" s="308"/>
      <c r="AB23" s="308"/>
      <c r="AC23" s="308"/>
      <c r="AD23" s="308"/>
      <c r="AE23" s="308"/>
      <c r="AF23" s="308"/>
      <c r="AG23" s="308"/>
    </row>
    <row r="24" spans="1:33" x14ac:dyDescent="0.25">
      <c r="A24" s="115">
        <v>20</v>
      </c>
      <c r="B24" s="116">
        <v>46316</v>
      </c>
      <c r="C24" s="317" t="s">
        <v>180</v>
      </c>
      <c r="D24" s="318" t="s">
        <v>180</v>
      </c>
      <c r="E24" s="317"/>
      <c r="F24" s="317"/>
      <c r="G24" s="189">
        <f t="shared" si="0"/>
        <v>0</v>
      </c>
      <c r="H24" s="317"/>
      <c r="I24" s="317"/>
      <c r="J24" s="319">
        <f t="shared" si="3"/>
        <v>0</v>
      </c>
      <c r="K24" s="319">
        <f t="shared" si="1"/>
        <v>0</v>
      </c>
      <c r="L24" s="189"/>
      <c r="M24" s="319">
        <f t="shared" si="2"/>
        <v>139028.51919999998</v>
      </c>
      <c r="N24" s="320"/>
      <c r="O24" s="308"/>
      <c r="P24" s="308"/>
      <c r="Q24" s="308"/>
      <c r="R24" s="308"/>
      <c r="S24" s="308"/>
      <c r="T24" s="308"/>
      <c r="U24" s="308"/>
      <c r="V24" s="308"/>
      <c r="W24" s="308"/>
      <c r="X24" s="308"/>
      <c r="Y24" s="308"/>
      <c r="Z24" s="308"/>
      <c r="AA24" s="308"/>
      <c r="AB24" s="308"/>
      <c r="AC24" s="308"/>
      <c r="AD24" s="308"/>
      <c r="AE24" s="308"/>
      <c r="AF24" s="308"/>
      <c r="AG24" s="308"/>
    </row>
    <row r="25" spans="1:33" x14ac:dyDescent="0.25">
      <c r="A25" s="115">
        <v>21</v>
      </c>
      <c r="B25" s="116">
        <v>46317</v>
      </c>
      <c r="C25" s="317" t="s">
        <v>180</v>
      </c>
      <c r="D25" s="318" t="s">
        <v>180</v>
      </c>
      <c r="E25" s="317"/>
      <c r="F25" s="317"/>
      <c r="G25" s="189">
        <f t="shared" si="0"/>
        <v>0</v>
      </c>
      <c r="H25" s="317"/>
      <c r="I25" s="317"/>
      <c r="J25" s="319">
        <f t="shared" si="3"/>
        <v>0</v>
      </c>
      <c r="K25" s="319">
        <f t="shared" si="1"/>
        <v>0</v>
      </c>
      <c r="L25" s="189"/>
      <c r="M25" s="319">
        <f t="shared" si="2"/>
        <v>139028.51919999998</v>
      </c>
      <c r="N25" s="320"/>
      <c r="O25" s="308"/>
      <c r="P25" s="308"/>
      <c r="Q25" s="308"/>
      <c r="R25" s="308"/>
      <c r="S25" s="308"/>
      <c r="T25" s="308"/>
      <c r="U25" s="308"/>
      <c r="V25" s="308"/>
      <c r="W25" s="308"/>
      <c r="X25" s="308"/>
      <c r="Y25" s="308"/>
      <c r="Z25" s="308"/>
      <c r="AA25" s="308"/>
      <c r="AB25" s="308"/>
      <c r="AC25" s="308"/>
      <c r="AD25" s="308"/>
      <c r="AE25" s="308"/>
      <c r="AF25" s="308"/>
      <c r="AG25" s="308"/>
    </row>
    <row r="26" spans="1:33" x14ac:dyDescent="0.25">
      <c r="A26" s="115">
        <v>22</v>
      </c>
      <c r="B26" s="116">
        <v>46318</v>
      </c>
      <c r="C26" s="317" t="s">
        <v>180</v>
      </c>
      <c r="D26" s="318" t="s">
        <v>180</v>
      </c>
      <c r="E26" s="317"/>
      <c r="F26" s="317"/>
      <c r="G26" s="189">
        <f t="shared" si="0"/>
        <v>0</v>
      </c>
      <c r="H26" s="317"/>
      <c r="I26" s="317"/>
      <c r="J26" s="319">
        <f t="shared" si="3"/>
        <v>0</v>
      </c>
      <c r="K26" s="319">
        <f t="shared" si="1"/>
        <v>0</v>
      </c>
      <c r="L26" s="189"/>
      <c r="M26" s="319">
        <f t="shared" si="2"/>
        <v>139028.51919999998</v>
      </c>
      <c r="N26" s="320"/>
      <c r="O26" s="308"/>
      <c r="P26" s="308"/>
      <c r="Q26" s="308"/>
      <c r="R26" s="308"/>
      <c r="S26" s="308"/>
      <c r="T26" s="308"/>
      <c r="U26" s="308"/>
      <c r="V26" s="308"/>
      <c r="W26" s="308"/>
      <c r="X26" s="308"/>
      <c r="Y26" s="308"/>
      <c r="Z26" s="308"/>
      <c r="AA26" s="308"/>
      <c r="AB26" s="308"/>
      <c r="AC26" s="308"/>
      <c r="AD26" s="308"/>
      <c r="AE26" s="308"/>
      <c r="AF26" s="308"/>
      <c r="AG26" s="308"/>
    </row>
    <row r="27" spans="1:33" x14ac:dyDescent="0.25">
      <c r="A27" s="115">
        <v>23</v>
      </c>
      <c r="B27" s="116">
        <v>46319</v>
      </c>
      <c r="C27" s="317" t="s">
        <v>180</v>
      </c>
      <c r="D27" s="318" t="s">
        <v>180</v>
      </c>
      <c r="E27" s="317"/>
      <c r="F27" s="317"/>
      <c r="G27" s="189">
        <f t="shared" si="0"/>
        <v>0</v>
      </c>
      <c r="H27" s="317"/>
      <c r="I27" s="317"/>
      <c r="J27" s="319">
        <f t="shared" si="3"/>
        <v>0</v>
      </c>
      <c r="K27" s="319">
        <f t="shared" si="1"/>
        <v>0</v>
      </c>
      <c r="L27" s="189"/>
      <c r="M27" s="319">
        <f t="shared" si="2"/>
        <v>139028.51919999998</v>
      </c>
      <c r="N27" s="320"/>
      <c r="O27" s="308"/>
      <c r="P27" s="308"/>
      <c r="Q27" s="308"/>
      <c r="R27" s="308"/>
      <c r="S27" s="308"/>
      <c r="T27" s="308"/>
      <c r="U27" s="308"/>
      <c r="V27" s="308"/>
      <c r="W27" s="308"/>
      <c r="X27" s="308"/>
      <c r="Y27" s="308"/>
      <c r="Z27" s="308"/>
      <c r="AA27" s="308"/>
      <c r="AB27" s="308"/>
      <c r="AC27" s="308"/>
      <c r="AD27" s="308"/>
      <c r="AE27" s="308"/>
      <c r="AF27" s="308"/>
      <c r="AG27" s="308"/>
    </row>
    <row r="28" spans="1:33" x14ac:dyDescent="0.25">
      <c r="A28" s="115">
        <v>24</v>
      </c>
      <c r="B28" s="116">
        <v>46320</v>
      </c>
      <c r="C28" s="317" t="s">
        <v>180</v>
      </c>
      <c r="D28" s="318" t="s">
        <v>180</v>
      </c>
      <c r="E28" s="317"/>
      <c r="F28" s="317"/>
      <c r="G28" s="189">
        <f t="shared" si="0"/>
        <v>0</v>
      </c>
      <c r="H28" s="317"/>
      <c r="I28" s="317"/>
      <c r="J28" s="319">
        <f t="shared" si="3"/>
        <v>0</v>
      </c>
      <c r="K28" s="319">
        <f t="shared" si="1"/>
        <v>0</v>
      </c>
      <c r="L28" s="189"/>
      <c r="M28" s="319">
        <f t="shared" si="2"/>
        <v>139028.51919999998</v>
      </c>
      <c r="N28" s="320"/>
      <c r="O28" s="308"/>
      <c r="P28" s="308"/>
      <c r="Q28" s="308"/>
      <c r="R28" s="308"/>
      <c r="S28" s="308"/>
      <c r="T28" s="308"/>
      <c r="U28" s="308"/>
      <c r="V28" s="308"/>
      <c r="W28" s="308"/>
      <c r="X28" s="308"/>
      <c r="Y28" s="308"/>
      <c r="Z28" s="308"/>
      <c r="AA28" s="308"/>
      <c r="AB28" s="308"/>
      <c r="AC28" s="308"/>
      <c r="AD28" s="308"/>
      <c r="AE28" s="308"/>
      <c r="AF28" s="308"/>
      <c r="AG28" s="308"/>
    </row>
    <row r="29" spans="1:33" x14ac:dyDescent="0.25">
      <c r="A29" s="115">
        <v>25</v>
      </c>
      <c r="B29" s="116">
        <v>46321</v>
      </c>
      <c r="C29" s="317" t="s">
        <v>180</v>
      </c>
      <c r="D29" s="318" t="s">
        <v>180</v>
      </c>
      <c r="E29" s="317"/>
      <c r="F29" s="317"/>
      <c r="G29" s="189">
        <f t="shared" si="0"/>
        <v>0</v>
      </c>
      <c r="H29" s="317"/>
      <c r="I29" s="317"/>
      <c r="J29" s="319">
        <f t="shared" si="3"/>
        <v>0</v>
      </c>
      <c r="K29" s="319">
        <f t="shared" si="1"/>
        <v>0</v>
      </c>
      <c r="L29" s="189"/>
      <c r="M29" s="319">
        <f t="shared" si="2"/>
        <v>139028.51919999998</v>
      </c>
      <c r="N29" s="320"/>
      <c r="O29" s="308"/>
      <c r="P29" s="308"/>
      <c r="Q29" s="308"/>
      <c r="R29" s="308"/>
      <c r="S29" s="308"/>
      <c r="T29" s="308"/>
      <c r="U29" s="308"/>
      <c r="V29" s="308"/>
      <c r="W29" s="308"/>
      <c r="X29" s="308"/>
      <c r="Y29" s="308"/>
      <c r="Z29" s="308"/>
      <c r="AA29" s="308"/>
      <c r="AB29" s="308"/>
      <c r="AC29" s="308"/>
      <c r="AD29" s="308"/>
      <c r="AE29" s="308"/>
      <c r="AF29" s="308"/>
      <c r="AG29" s="308"/>
    </row>
    <row r="30" spans="1:33" x14ac:dyDescent="0.25">
      <c r="A30" s="115">
        <v>26</v>
      </c>
      <c r="B30" s="116">
        <v>46322</v>
      </c>
      <c r="C30" s="317"/>
      <c r="D30" s="318"/>
      <c r="E30" s="317"/>
      <c r="F30" s="317"/>
      <c r="G30" s="189">
        <f t="shared" si="0"/>
        <v>0</v>
      </c>
      <c r="H30" s="317"/>
      <c r="I30" s="317"/>
      <c r="J30" s="319">
        <f t="shared" si="3"/>
        <v>0</v>
      </c>
      <c r="K30" s="319">
        <f t="shared" si="1"/>
        <v>0</v>
      </c>
      <c r="L30" s="189"/>
      <c r="M30" s="319">
        <f t="shared" si="2"/>
        <v>139028.51919999998</v>
      </c>
      <c r="N30" s="320"/>
      <c r="O30" s="308"/>
      <c r="P30" s="308"/>
      <c r="Q30" s="308"/>
      <c r="R30" s="308"/>
      <c r="S30" s="308"/>
      <c r="T30" s="308"/>
      <c r="U30" s="308"/>
      <c r="V30" s="308"/>
      <c r="W30" s="308"/>
      <c r="X30" s="308"/>
      <c r="Y30" s="308"/>
      <c r="Z30" s="308"/>
      <c r="AA30" s="308"/>
      <c r="AB30" s="308"/>
      <c r="AC30" s="308"/>
      <c r="AD30" s="308"/>
      <c r="AE30" s="308"/>
      <c r="AF30" s="308"/>
      <c r="AG30" s="308"/>
    </row>
    <row r="31" spans="1:33" x14ac:dyDescent="0.25">
      <c r="A31" s="115">
        <v>27</v>
      </c>
      <c r="B31" s="116">
        <v>46323</v>
      </c>
      <c r="C31" s="317"/>
      <c r="D31" s="318"/>
      <c r="E31" s="317"/>
      <c r="F31" s="317"/>
      <c r="G31" s="189">
        <f t="shared" si="0"/>
        <v>0</v>
      </c>
      <c r="H31" s="317"/>
      <c r="I31" s="317"/>
      <c r="J31" s="319">
        <f>H31*I31</f>
        <v>0</v>
      </c>
      <c r="K31" s="319">
        <f t="shared" si="1"/>
        <v>0</v>
      </c>
      <c r="L31" s="189"/>
      <c r="M31" s="319">
        <f t="shared" si="2"/>
        <v>139028.51919999998</v>
      </c>
      <c r="N31" s="320"/>
      <c r="O31" s="308"/>
      <c r="P31" s="308"/>
      <c r="Q31" s="308"/>
      <c r="R31" s="308"/>
      <c r="S31" s="308"/>
      <c r="T31" s="308"/>
      <c r="U31" s="308"/>
      <c r="V31" s="308"/>
      <c r="W31" s="308"/>
      <c r="X31" s="308"/>
      <c r="Y31" s="308"/>
      <c r="Z31" s="308"/>
      <c r="AA31" s="308"/>
      <c r="AB31" s="308"/>
      <c r="AC31" s="308"/>
      <c r="AD31" s="308"/>
      <c r="AE31" s="308"/>
      <c r="AF31" s="308"/>
      <c r="AG31" s="308"/>
    </row>
    <row r="32" spans="1:33" x14ac:dyDescent="0.25">
      <c r="A32" s="115">
        <v>28</v>
      </c>
      <c r="B32" s="116">
        <v>46324</v>
      </c>
      <c r="C32" s="317" t="s">
        <v>180</v>
      </c>
      <c r="D32" s="318" t="s">
        <v>180</v>
      </c>
      <c r="E32" s="317"/>
      <c r="F32" s="317"/>
      <c r="G32" s="189">
        <f t="shared" si="0"/>
        <v>0</v>
      </c>
      <c r="H32" s="317"/>
      <c r="I32" s="317"/>
      <c r="J32" s="319">
        <f t="shared" si="3"/>
        <v>0</v>
      </c>
      <c r="K32" s="319">
        <f t="shared" si="1"/>
        <v>0</v>
      </c>
      <c r="L32" s="189"/>
      <c r="M32" s="319">
        <f t="shared" si="2"/>
        <v>139028.51919999998</v>
      </c>
      <c r="N32" s="320"/>
      <c r="O32" s="308"/>
      <c r="P32" s="308"/>
      <c r="Q32" s="308"/>
      <c r="R32" s="308"/>
      <c r="S32" s="308"/>
      <c r="T32" s="308"/>
      <c r="U32" s="308"/>
      <c r="V32" s="308"/>
      <c r="W32" s="308"/>
      <c r="X32" s="308"/>
      <c r="Y32" s="308"/>
      <c r="Z32" s="308"/>
      <c r="AA32" s="308"/>
      <c r="AB32" s="308"/>
      <c r="AC32" s="308"/>
      <c r="AD32" s="308"/>
      <c r="AE32" s="308"/>
      <c r="AF32" s="308"/>
      <c r="AG32" s="308"/>
    </row>
    <row r="33" spans="1:33" x14ac:dyDescent="0.25">
      <c r="A33" s="115">
        <v>29</v>
      </c>
      <c r="B33" s="116">
        <v>46325</v>
      </c>
      <c r="C33" s="317" t="s">
        <v>180</v>
      </c>
      <c r="D33" s="318" t="s">
        <v>180</v>
      </c>
      <c r="E33" s="317"/>
      <c r="F33" s="317"/>
      <c r="G33" s="189">
        <f t="shared" si="0"/>
        <v>0</v>
      </c>
      <c r="H33" s="317"/>
      <c r="I33" s="317"/>
      <c r="J33" s="319">
        <f t="shared" si="3"/>
        <v>0</v>
      </c>
      <c r="K33" s="319">
        <f t="shared" si="1"/>
        <v>0</v>
      </c>
      <c r="L33" s="189"/>
      <c r="M33" s="319">
        <f t="shared" si="2"/>
        <v>139028.51919999998</v>
      </c>
      <c r="N33" s="320"/>
      <c r="O33" s="308"/>
      <c r="P33" s="308"/>
      <c r="Q33" s="308"/>
      <c r="R33" s="308"/>
      <c r="S33" s="308"/>
      <c r="T33" s="308"/>
      <c r="U33" s="308"/>
      <c r="V33" s="308"/>
      <c r="W33" s="308"/>
      <c r="X33" s="308"/>
      <c r="Y33" s="308"/>
      <c r="Z33" s="308"/>
      <c r="AA33" s="308"/>
      <c r="AB33" s="308"/>
      <c r="AC33" s="308"/>
      <c r="AD33" s="308"/>
      <c r="AE33" s="308"/>
      <c r="AF33" s="308"/>
      <c r="AG33" s="308"/>
    </row>
    <row r="34" spans="1:33" x14ac:dyDescent="0.25">
      <c r="A34" s="115">
        <v>30</v>
      </c>
      <c r="B34" s="116">
        <v>46326</v>
      </c>
      <c r="C34" s="317" t="s">
        <v>180</v>
      </c>
      <c r="D34" s="318" t="s">
        <v>180</v>
      </c>
      <c r="E34" s="317"/>
      <c r="F34" s="317"/>
      <c r="G34" s="189">
        <f>E34*F34</f>
        <v>0</v>
      </c>
      <c r="H34" s="317"/>
      <c r="I34" s="317"/>
      <c r="J34" s="319">
        <f>H34*I34</f>
        <v>0</v>
      </c>
      <c r="K34" s="319">
        <f t="shared" si="1"/>
        <v>0</v>
      </c>
      <c r="L34" s="189"/>
      <c r="M34" s="319">
        <f t="shared" si="2"/>
        <v>139028.51919999998</v>
      </c>
      <c r="N34" s="320"/>
      <c r="O34" s="308"/>
      <c r="P34" s="308"/>
      <c r="Q34" s="308"/>
      <c r="R34" s="308"/>
      <c r="S34" s="308"/>
      <c r="T34" s="308"/>
      <c r="U34" s="308"/>
      <c r="V34" s="308"/>
      <c r="W34" s="308"/>
      <c r="X34" s="308"/>
      <c r="Y34" s="308"/>
      <c r="Z34" s="308"/>
      <c r="AA34" s="308"/>
      <c r="AB34" s="308"/>
      <c r="AC34" s="308"/>
      <c r="AD34" s="308"/>
      <c r="AE34" s="308"/>
      <c r="AF34" s="308"/>
      <c r="AG34" s="308"/>
    </row>
    <row r="35" spans="1:33" x14ac:dyDescent="0.25">
      <c r="A35" s="115">
        <v>31</v>
      </c>
      <c r="B35" s="116"/>
      <c r="C35" s="189"/>
      <c r="D35" s="318" t="s">
        <v>180</v>
      </c>
      <c r="E35" s="317"/>
      <c r="F35" s="317"/>
      <c r="G35" s="189">
        <f>E35*F35</f>
        <v>0</v>
      </c>
      <c r="H35" s="317"/>
      <c r="I35" s="317"/>
      <c r="J35" s="319">
        <f t="shared" si="3"/>
        <v>0</v>
      </c>
      <c r="K35" s="319">
        <f t="shared" si="1"/>
        <v>0</v>
      </c>
      <c r="L35" s="189"/>
      <c r="M35" s="319">
        <f t="shared" si="2"/>
        <v>139028.51919999998</v>
      </c>
      <c r="N35" s="320"/>
      <c r="O35" s="308"/>
      <c r="P35" s="308"/>
      <c r="Q35" s="308"/>
      <c r="R35" s="308"/>
      <c r="S35" s="308"/>
      <c r="T35" s="308"/>
      <c r="U35" s="308"/>
      <c r="V35" s="308"/>
      <c r="W35" s="308"/>
      <c r="X35" s="308"/>
      <c r="Y35" s="308"/>
      <c r="Z35" s="308"/>
      <c r="AA35" s="308"/>
      <c r="AB35" s="308"/>
      <c r="AC35" s="308"/>
      <c r="AD35" s="308"/>
      <c r="AE35" s="308"/>
      <c r="AF35" s="308"/>
      <c r="AG35" s="308"/>
    </row>
    <row r="36" spans="1:33" x14ac:dyDescent="0.25">
      <c r="A36" s="115">
        <v>32</v>
      </c>
      <c r="B36" s="116"/>
      <c r="C36" s="189"/>
      <c r="D36" s="318" t="s">
        <v>180</v>
      </c>
      <c r="E36" s="317"/>
      <c r="F36" s="317"/>
      <c r="G36" s="189">
        <f t="shared" si="0"/>
        <v>0</v>
      </c>
      <c r="H36" s="317"/>
      <c r="I36" s="317"/>
      <c r="J36" s="319">
        <f t="shared" si="3"/>
        <v>0</v>
      </c>
      <c r="K36" s="319">
        <f t="shared" si="1"/>
        <v>0</v>
      </c>
      <c r="L36" s="189"/>
      <c r="M36" s="319">
        <f t="shared" si="2"/>
        <v>139028.51919999998</v>
      </c>
      <c r="N36" s="320"/>
      <c r="O36" s="308"/>
      <c r="P36" s="308"/>
      <c r="Q36" s="308"/>
      <c r="R36" s="308"/>
      <c r="S36" s="308"/>
      <c r="T36" s="308"/>
      <c r="U36" s="308"/>
      <c r="V36" s="308"/>
      <c r="W36" s="308"/>
      <c r="X36" s="308"/>
      <c r="Y36" s="308"/>
      <c r="Z36" s="308"/>
      <c r="AA36" s="308"/>
      <c r="AB36" s="308"/>
      <c r="AC36" s="308"/>
      <c r="AD36" s="308"/>
      <c r="AE36" s="308"/>
      <c r="AF36" s="308"/>
      <c r="AG36" s="308"/>
    </row>
    <row r="37" spans="1:33" x14ac:dyDescent="0.25">
      <c r="A37" s="115">
        <v>33</v>
      </c>
      <c r="B37" s="116"/>
      <c r="C37" s="189"/>
      <c r="D37" s="318" t="s">
        <v>180</v>
      </c>
      <c r="E37" s="317"/>
      <c r="F37" s="317"/>
      <c r="G37" s="189">
        <f t="shared" si="0"/>
        <v>0</v>
      </c>
      <c r="H37" s="317"/>
      <c r="I37" s="317"/>
      <c r="J37" s="319">
        <f t="shared" si="3"/>
        <v>0</v>
      </c>
      <c r="K37" s="319">
        <f t="shared" si="1"/>
        <v>0</v>
      </c>
      <c r="L37" s="189"/>
      <c r="M37" s="319">
        <f t="shared" si="2"/>
        <v>139028.51919999998</v>
      </c>
      <c r="N37" s="320"/>
      <c r="O37" s="308"/>
      <c r="P37" s="308"/>
      <c r="Q37" s="308"/>
      <c r="R37" s="308"/>
      <c r="S37" s="308"/>
      <c r="T37" s="308"/>
      <c r="U37" s="308"/>
      <c r="V37" s="308"/>
      <c r="W37" s="308"/>
      <c r="X37" s="308"/>
      <c r="Y37" s="308"/>
      <c r="Z37" s="308"/>
      <c r="AA37" s="308"/>
      <c r="AB37" s="308"/>
      <c r="AC37" s="308"/>
      <c r="AD37" s="308"/>
      <c r="AE37" s="308"/>
      <c r="AF37" s="308"/>
      <c r="AG37" s="308"/>
    </row>
    <row r="38" spans="1:33" x14ac:dyDescent="0.25">
      <c r="A38" s="115">
        <v>34</v>
      </c>
      <c r="B38" s="116"/>
      <c r="C38" s="189"/>
      <c r="D38" s="318" t="s">
        <v>180</v>
      </c>
      <c r="E38" s="317"/>
      <c r="F38" s="317"/>
      <c r="G38" s="189">
        <f t="shared" si="0"/>
        <v>0</v>
      </c>
      <c r="H38" s="317"/>
      <c r="I38" s="317"/>
      <c r="J38" s="319">
        <f t="shared" si="3"/>
        <v>0</v>
      </c>
      <c r="K38" s="319">
        <f t="shared" si="1"/>
        <v>0</v>
      </c>
      <c r="L38" s="323"/>
      <c r="M38" s="319">
        <f t="shared" si="2"/>
        <v>139028.51919999998</v>
      </c>
      <c r="N38" s="320"/>
      <c r="O38" s="308"/>
      <c r="P38" s="308"/>
      <c r="Q38" s="308"/>
      <c r="R38" s="308"/>
      <c r="S38" s="308"/>
      <c r="T38" s="308"/>
      <c r="U38" s="308"/>
      <c r="V38" s="308"/>
      <c r="W38" s="308"/>
      <c r="X38" s="308"/>
      <c r="Y38" s="308"/>
      <c r="Z38" s="308"/>
      <c r="AA38" s="308"/>
      <c r="AB38" s="308"/>
      <c r="AC38" s="308"/>
      <c r="AD38" s="308"/>
      <c r="AE38" s="308"/>
      <c r="AF38" s="308"/>
      <c r="AG38" s="308"/>
    </row>
    <row r="39" spans="1:33" x14ac:dyDescent="0.25">
      <c r="A39" s="121"/>
      <c r="B39" s="121"/>
      <c r="C39" s="121"/>
      <c r="D39" s="121"/>
      <c r="E39" s="136">
        <f>SUM(E4:E38)</f>
        <v>800</v>
      </c>
      <c r="F39" s="136"/>
      <c r="G39" s="136">
        <f>SUM(G4:G38)</f>
        <v>79216</v>
      </c>
      <c r="H39" s="136">
        <f>SUM(H4:H38)</f>
        <v>35</v>
      </c>
      <c r="I39" s="136"/>
      <c r="J39" s="136">
        <f>SUM(J4:J38)</f>
        <v>3889.2000000000003</v>
      </c>
      <c r="K39" s="136">
        <f>SUM(K4:K38)</f>
        <v>83105.2</v>
      </c>
      <c r="L39" s="136">
        <f>SUM(L4:L38)</f>
        <v>200000</v>
      </c>
      <c r="M39" s="136"/>
      <c r="N39" s="136"/>
      <c r="O39" s="303"/>
      <c r="P39" s="308"/>
      <c r="Q39" s="308"/>
      <c r="R39" s="308"/>
      <c r="S39" s="308"/>
      <c r="T39" s="308"/>
      <c r="U39" s="308"/>
      <c r="V39" s="308"/>
      <c r="W39" s="308"/>
      <c r="X39" s="308"/>
      <c r="Y39" s="308"/>
      <c r="Z39" s="308"/>
      <c r="AA39" s="308"/>
      <c r="AB39" s="308"/>
      <c r="AC39" s="308"/>
      <c r="AD39" s="308"/>
      <c r="AE39" s="308"/>
      <c r="AF39" s="308"/>
      <c r="AG39" s="308"/>
    </row>
    <row r="40" spans="1:33" x14ac:dyDescent="0.25">
      <c r="A40" s="308"/>
      <c r="B40" s="308"/>
      <c r="C40" s="308"/>
      <c r="D40" s="308"/>
      <c r="E40" s="308"/>
      <c r="F40" s="308"/>
      <c r="G40" s="308"/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  <c r="U40" s="308"/>
      <c r="V40" s="308"/>
      <c r="W40" s="308"/>
      <c r="X40" s="308"/>
      <c r="Y40" s="308"/>
      <c r="Z40" s="308"/>
      <c r="AA40" s="308"/>
      <c r="AB40" s="308"/>
      <c r="AC40" s="308"/>
      <c r="AD40" s="308"/>
      <c r="AE40" s="308"/>
      <c r="AF40" s="308"/>
      <c r="AG40" s="308"/>
    </row>
    <row r="41" spans="1:33" x14ac:dyDescent="0.25">
      <c r="A41" s="308"/>
      <c r="B41" s="308"/>
      <c r="C41" s="308"/>
      <c r="D41" s="308"/>
      <c r="E41" s="308"/>
      <c r="F41" s="308"/>
      <c r="G41" s="308"/>
      <c r="H41" s="308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  <c r="U41" s="308"/>
      <c r="V41" s="308"/>
      <c r="W41" s="308"/>
      <c r="X41" s="308"/>
      <c r="Y41" s="308"/>
      <c r="Z41" s="308"/>
      <c r="AA41" s="308"/>
      <c r="AB41" s="308"/>
      <c r="AC41" s="308"/>
      <c r="AD41" s="308"/>
      <c r="AE41" s="308"/>
      <c r="AF41" s="308"/>
      <c r="AG41" s="308"/>
    </row>
  </sheetData>
  <mergeCells count="2">
    <mergeCell ref="A1:N1"/>
    <mergeCell ref="A3:J3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"/>
  </sheetPr>
  <dimension ref="A1:R46"/>
  <sheetViews>
    <sheetView workbookViewId="0" zoomScale="100" zoomScaleNormal="100">
      <pane ySplit="3" topLeftCell="A4" activePane="bottomLeft" state="frozen"/>
      <selection pane="bottomLeft" activeCell="L18" sqref="L18"/>
    </sheetView>
  </sheetViews>
  <sheetFormatPr defaultRowHeight="15" outlineLevelRow="0" outlineLevelCol="0" x14ac:dyDescent="0"/>
  <cols>
    <col min="2" max="2" width="11.140625" customWidth="1"/>
    <col min="4" max="4" width="12.7109375" customWidth="1"/>
    <col min="7" max="7" width="14.42578125" customWidth="1"/>
    <col min="11" max="11" width="13.5703125" customWidth="1"/>
    <col min="12" max="12" width="20" customWidth="1"/>
    <col min="13" max="13" width="11.5703125" customWidth="1"/>
  </cols>
  <sheetData>
    <row r="1" ht="15.75" customHeight="1" spans="1:15" x14ac:dyDescent="0.25">
      <c r="A1" s="172" t="s">
        <v>195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207"/>
    </row>
    <row r="2" ht="30.75" customHeight="1" spans="1:15" x14ac:dyDescent="0.25">
      <c r="A2" s="173" t="s">
        <v>0</v>
      </c>
      <c r="B2" s="174" t="s">
        <v>167</v>
      </c>
      <c r="C2" s="174" t="s">
        <v>168</v>
      </c>
      <c r="D2" s="174" t="s">
        <v>189</v>
      </c>
      <c r="E2" s="175" t="s">
        <v>170</v>
      </c>
      <c r="F2" s="175" t="s">
        <v>171</v>
      </c>
      <c r="G2" s="174" t="s">
        <v>172</v>
      </c>
      <c r="H2" s="174" t="s">
        <v>173</v>
      </c>
      <c r="I2" s="174" t="s">
        <v>171</v>
      </c>
      <c r="J2" s="176" t="s">
        <v>172</v>
      </c>
      <c r="K2" s="177" t="s">
        <v>174</v>
      </c>
      <c r="L2" s="178" t="s">
        <v>175</v>
      </c>
      <c r="M2" s="179" t="s">
        <v>190</v>
      </c>
      <c r="N2" s="180" t="s">
        <v>177</v>
      </c>
      <c r="O2" s="208"/>
    </row>
    <row r="3" spans="1:15" x14ac:dyDescent="0.25">
      <c r="A3" s="148" t="s">
        <v>178</v>
      </c>
      <c r="B3" s="149"/>
      <c r="C3" s="126"/>
      <c r="D3" s="126"/>
      <c r="E3" s="126"/>
      <c r="F3" s="126"/>
      <c r="G3" s="126"/>
      <c r="H3" s="126"/>
      <c r="I3" s="126"/>
      <c r="J3" s="126"/>
      <c r="K3" s="126"/>
      <c r="L3" s="150"/>
      <c r="M3" s="181">
        <v>17080.342799999984</v>
      </c>
      <c r="N3" s="182"/>
      <c r="O3" s="208"/>
    </row>
    <row r="4" spans="1:14" x14ac:dyDescent="0.25">
      <c r="A4" s="183">
        <v>1</v>
      </c>
      <c r="B4" s="184">
        <v>46296</v>
      </c>
      <c r="C4" s="185"/>
      <c r="D4" s="186"/>
      <c r="E4" s="165"/>
      <c r="F4" s="165"/>
      <c r="G4" s="166">
        <f t="shared" ref="G4:G36" si="0">E4*F4</f>
        <v>0</v>
      </c>
      <c r="H4" s="167"/>
      <c r="I4" s="168"/>
      <c r="J4" s="166">
        <f>H4*I4</f>
        <v>0</v>
      </c>
      <c r="K4" s="166">
        <f>G4+J4</f>
        <v>0</v>
      </c>
      <c r="L4" s="257"/>
      <c r="M4" s="188">
        <f>M3+K4-L4</f>
        <v>17080.342799999984</v>
      </c>
      <c r="N4" s="182"/>
    </row>
    <row r="5" spans="1:14" x14ac:dyDescent="0.25">
      <c r="A5" s="183">
        <v>2</v>
      </c>
      <c r="B5" s="184">
        <v>46297</v>
      </c>
      <c r="C5" s="185"/>
      <c r="D5" s="186"/>
      <c r="E5" s="165"/>
      <c r="F5" s="165"/>
      <c r="G5" s="166">
        <f t="shared" si="0"/>
        <v>0</v>
      </c>
      <c r="H5" s="167"/>
      <c r="I5" s="168"/>
      <c r="J5" s="166">
        <f>H5*I5</f>
        <v>0</v>
      </c>
      <c r="K5" s="166">
        <f>G5+J5</f>
        <v>0</v>
      </c>
      <c r="L5" s="257"/>
      <c r="M5" s="188">
        <f t="shared" ref="M5:M36" si="1">M4+K5-L5</f>
        <v>17080.342799999984</v>
      </c>
      <c r="N5" s="182"/>
    </row>
    <row r="6" spans="1:14" x14ac:dyDescent="0.25">
      <c r="A6" s="189">
        <v>3</v>
      </c>
      <c r="B6" s="184">
        <v>46298</v>
      </c>
      <c r="C6" s="185"/>
      <c r="D6" s="37"/>
      <c r="E6" s="165"/>
      <c r="F6" s="165"/>
      <c r="G6" s="166">
        <f t="shared" si="0"/>
        <v>0</v>
      </c>
      <c r="H6" s="167"/>
      <c r="I6" s="168"/>
      <c r="J6" s="166">
        <f t="shared" ref="J6:J36" si="2">H6*I6</f>
        <v>0</v>
      </c>
      <c r="K6" s="166">
        <f t="shared" ref="K6:K36" si="3">G6+J6</f>
        <v>0</v>
      </c>
      <c r="L6" s="257"/>
      <c r="M6" s="188">
        <f t="shared" si="1"/>
        <v>17080.342799999984</v>
      </c>
      <c r="N6" s="182"/>
    </row>
    <row r="7" spans="1:14" x14ac:dyDescent="0.25">
      <c r="A7" s="183">
        <v>4</v>
      </c>
      <c r="B7" s="184">
        <v>46299</v>
      </c>
      <c r="C7" s="185"/>
      <c r="D7" s="186"/>
      <c r="E7" s="165"/>
      <c r="F7" s="165"/>
      <c r="G7" s="166">
        <f t="shared" si="0"/>
        <v>0</v>
      </c>
      <c r="H7" s="167"/>
      <c r="I7" s="168"/>
      <c r="J7" s="166">
        <f t="shared" si="2"/>
        <v>0</v>
      </c>
      <c r="K7" s="166">
        <f t="shared" si="3"/>
        <v>0</v>
      </c>
      <c r="L7" s="257"/>
      <c r="M7" s="188">
        <f t="shared" si="1"/>
        <v>17080.342799999984</v>
      </c>
      <c r="N7" s="182"/>
    </row>
    <row r="8" spans="1:14" x14ac:dyDescent="0.25">
      <c r="A8" s="183">
        <v>5</v>
      </c>
      <c r="B8" s="184">
        <v>46300</v>
      </c>
      <c r="C8" s="185"/>
      <c r="D8" s="186"/>
      <c r="E8" s="165">
        <v>40</v>
      </c>
      <c r="F8" s="165">
        <v>105.46</v>
      </c>
      <c r="G8" s="166">
        <f t="shared" si="0"/>
        <v>4218.4</v>
      </c>
      <c r="H8" s="167"/>
      <c r="I8" s="168"/>
      <c r="J8" s="166">
        <f t="shared" si="2"/>
        <v>0</v>
      </c>
      <c r="K8" s="166">
        <f t="shared" si="3"/>
        <v>4218.4</v>
      </c>
      <c r="L8" s="257"/>
      <c r="M8" s="188">
        <f t="shared" si="1"/>
        <v>21298.742799999985</v>
      </c>
      <c r="N8" s="182"/>
    </row>
    <row r="9" spans="1:18" x14ac:dyDescent="0.25">
      <c r="A9" s="189">
        <v>6</v>
      </c>
      <c r="B9" s="184">
        <v>46301</v>
      </c>
      <c r="C9" s="185"/>
      <c r="D9" s="186"/>
      <c r="E9" s="165"/>
      <c r="F9" s="165"/>
      <c r="G9" s="166">
        <f t="shared" si="0"/>
        <v>0</v>
      </c>
      <c r="H9" s="167"/>
      <c r="I9" s="168"/>
      <c r="J9" s="166">
        <f t="shared" si="2"/>
        <v>0</v>
      </c>
      <c r="K9" s="166">
        <f t="shared" si="3"/>
        <v>0</v>
      </c>
      <c r="L9" s="257"/>
      <c r="M9" s="188">
        <f t="shared" si="1"/>
        <v>21298.742799999985</v>
      </c>
      <c r="N9" s="182"/>
      <c r="O9" s="209"/>
      <c r="R9" s="210"/>
    </row>
    <row r="10" spans="1:15" x14ac:dyDescent="0.25">
      <c r="A10" s="183">
        <v>7</v>
      </c>
      <c r="B10" s="184">
        <v>46302</v>
      </c>
      <c r="C10" s="185"/>
      <c r="D10" s="186"/>
      <c r="E10" s="165">
        <v>100</v>
      </c>
      <c r="F10" s="165">
        <v>105.46</v>
      </c>
      <c r="G10" s="166">
        <f t="shared" si="0"/>
        <v>10546</v>
      </c>
      <c r="H10" s="167">
        <v>5</v>
      </c>
      <c r="I10" s="168">
        <v>117.84</v>
      </c>
      <c r="J10" s="166">
        <f t="shared" si="2"/>
        <v>589.2</v>
      </c>
      <c r="K10" s="166">
        <f t="shared" si="3"/>
        <v>11135.2</v>
      </c>
      <c r="L10" s="257"/>
      <c r="M10" s="188">
        <f t="shared" si="1"/>
        <v>32433.942799999986</v>
      </c>
      <c r="N10" s="182"/>
      <c r="O10" s="209"/>
    </row>
    <row r="11" spans="1:15" x14ac:dyDescent="0.25">
      <c r="A11" s="183">
        <v>8</v>
      </c>
      <c r="B11" s="184">
        <v>46303</v>
      </c>
      <c r="C11" s="185"/>
      <c r="D11" s="186"/>
      <c r="E11" s="165">
        <v>30</v>
      </c>
      <c r="F11" s="165">
        <v>105.46</v>
      </c>
      <c r="G11" s="166">
        <f t="shared" si="0"/>
        <v>3163.7999999999997</v>
      </c>
      <c r="H11" s="167"/>
      <c r="I11" s="168"/>
      <c r="J11" s="166">
        <f t="shared" si="2"/>
        <v>0</v>
      </c>
      <c r="K11" s="166">
        <f t="shared" si="3"/>
        <v>3163.7999999999997</v>
      </c>
      <c r="L11" s="257"/>
      <c r="M11" s="188">
        <f t="shared" si="1"/>
        <v>35597.742799999985</v>
      </c>
      <c r="N11" s="182"/>
      <c r="O11" s="209"/>
    </row>
    <row r="12" spans="1:15" x14ac:dyDescent="0.25">
      <c r="A12" s="189">
        <v>9</v>
      </c>
      <c r="B12" s="184">
        <v>46304</v>
      </c>
      <c r="C12" s="185"/>
      <c r="D12" s="186"/>
      <c r="E12" s="165"/>
      <c r="F12" s="165"/>
      <c r="G12" s="166">
        <f t="shared" si="0"/>
        <v>0</v>
      </c>
      <c r="H12" s="167"/>
      <c r="I12" s="168"/>
      <c r="J12" s="166">
        <f t="shared" si="2"/>
        <v>0</v>
      </c>
      <c r="K12" s="166">
        <f t="shared" si="3"/>
        <v>0</v>
      </c>
      <c r="L12" s="257"/>
      <c r="M12" s="188">
        <f t="shared" si="1"/>
        <v>35597.742799999985</v>
      </c>
      <c r="N12" s="182"/>
      <c r="O12" s="209"/>
    </row>
    <row r="13" spans="1:15" x14ac:dyDescent="0.25">
      <c r="A13" s="183">
        <v>10</v>
      </c>
      <c r="B13" s="184">
        <v>46305</v>
      </c>
      <c r="C13" s="185"/>
      <c r="D13" s="186"/>
      <c r="E13" s="165">
        <v>47</v>
      </c>
      <c r="F13" s="165">
        <v>105.46</v>
      </c>
      <c r="G13" s="166">
        <f t="shared" si="0"/>
        <v>4956.62</v>
      </c>
      <c r="H13" s="167"/>
      <c r="I13" s="168"/>
      <c r="J13" s="166">
        <f t="shared" si="2"/>
        <v>0</v>
      </c>
      <c r="K13" s="166">
        <f t="shared" si="3"/>
        <v>4956.62</v>
      </c>
      <c r="L13" s="257"/>
      <c r="M13" s="188">
        <f t="shared" si="1"/>
        <v>40554.36279999999</v>
      </c>
      <c r="N13" s="182"/>
      <c r="O13" s="209"/>
    </row>
    <row r="14" spans="1:15" x14ac:dyDescent="0.25">
      <c r="A14" s="183">
        <v>11</v>
      </c>
      <c r="B14" s="184">
        <v>46306</v>
      </c>
      <c r="C14" s="185"/>
      <c r="D14" s="186"/>
      <c r="E14" s="165">
        <v>400</v>
      </c>
      <c r="F14" s="165">
        <v>105.46</v>
      </c>
      <c r="G14" s="166">
        <f t="shared" si="0"/>
        <v>42184</v>
      </c>
      <c r="H14" s="167">
        <v>50</v>
      </c>
      <c r="I14" s="168">
        <v>117.84</v>
      </c>
      <c r="J14" s="166">
        <f t="shared" si="2"/>
        <v>5892</v>
      </c>
      <c r="K14" s="166">
        <f t="shared" si="3"/>
        <v>48076</v>
      </c>
      <c r="L14" s="257"/>
      <c r="M14" s="188">
        <f t="shared" si="1"/>
        <v>88630.36279999999</v>
      </c>
      <c r="N14" s="182"/>
      <c r="O14" s="209"/>
    </row>
    <row r="15" spans="1:15" x14ac:dyDescent="0.25">
      <c r="A15" s="189">
        <v>12</v>
      </c>
      <c r="B15" s="184">
        <v>46307</v>
      </c>
      <c r="C15" s="185"/>
      <c r="D15" s="186"/>
      <c r="E15" s="165"/>
      <c r="F15" s="165"/>
      <c r="G15" s="166">
        <f t="shared" si="0"/>
        <v>0</v>
      </c>
      <c r="H15" s="167">
        <v>5</v>
      </c>
      <c r="I15" s="168">
        <v>117.84</v>
      </c>
      <c r="J15" s="166">
        <f t="shared" si="2"/>
        <v>589.2</v>
      </c>
      <c r="K15" s="166">
        <f>G15+J15</f>
        <v>589.2</v>
      </c>
      <c r="L15" s="257"/>
      <c r="M15" s="188">
        <f t="shared" si="1"/>
        <v>89219.56279999999</v>
      </c>
      <c r="N15" s="182"/>
      <c r="O15" s="209"/>
    </row>
    <row r="16" spans="1:15" x14ac:dyDescent="0.25">
      <c r="A16" s="183">
        <v>13</v>
      </c>
      <c r="B16" s="184">
        <v>46308</v>
      </c>
      <c r="C16" s="185"/>
      <c r="D16" s="186"/>
      <c r="E16" s="165"/>
      <c r="F16" s="165"/>
      <c r="G16" s="166">
        <f t="shared" si="0"/>
        <v>0</v>
      </c>
      <c r="H16" s="167"/>
      <c r="I16" s="168"/>
      <c r="J16" s="166">
        <f t="shared" si="2"/>
        <v>0</v>
      </c>
      <c r="K16" s="166">
        <f t="shared" si="3"/>
        <v>0</v>
      </c>
      <c r="L16" s="257"/>
      <c r="M16" s="188">
        <f t="shared" si="1"/>
        <v>89219.56279999999</v>
      </c>
      <c r="N16" s="166"/>
      <c r="O16" s="209"/>
    </row>
    <row r="17" spans="1:15" x14ac:dyDescent="0.25">
      <c r="A17" s="183">
        <v>14</v>
      </c>
      <c r="B17" s="184">
        <v>46309</v>
      </c>
      <c r="C17" s="185"/>
      <c r="D17" s="186"/>
      <c r="E17" s="165"/>
      <c r="F17" s="165"/>
      <c r="G17" s="166">
        <f t="shared" si="0"/>
        <v>0</v>
      </c>
      <c r="H17" s="167"/>
      <c r="I17" s="168"/>
      <c r="J17" s="166">
        <f t="shared" si="2"/>
        <v>0</v>
      </c>
      <c r="K17" s="166">
        <f t="shared" si="3"/>
        <v>0</v>
      </c>
      <c r="L17" s="257"/>
      <c r="M17" s="188">
        <f t="shared" si="1"/>
        <v>89219.56279999999</v>
      </c>
      <c r="N17" s="166"/>
      <c r="O17" s="209"/>
    </row>
    <row r="18" spans="1:15" x14ac:dyDescent="0.25">
      <c r="A18" s="189">
        <v>15</v>
      </c>
      <c r="B18" s="184">
        <v>46310</v>
      </c>
      <c r="C18" s="185"/>
      <c r="D18" s="186"/>
      <c r="E18" s="165">
        <v>470</v>
      </c>
      <c r="F18" s="165">
        <v>105.46</v>
      </c>
      <c r="G18" s="166">
        <f t="shared" si="0"/>
        <v>49566.2</v>
      </c>
      <c r="H18" s="167">
        <v>50</v>
      </c>
      <c r="I18" s="168">
        <v>117.84</v>
      </c>
      <c r="J18" s="166">
        <f t="shared" si="2"/>
        <v>5892</v>
      </c>
      <c r="K18" s="166">
        <f t="shared" si="3"/>
        <v>55458.2</v>
      </c>
      <c r="L18" s="257">
        <v>80000</v>
      </c>
      <c r="M18" s="188">
        <f t="shared" si="1"/>
        <v>64677.76279999997</v>
      </c>
      <c r="N18" s="166"/>
      <c r="O18" s="209"/>
    </row>
    <row r="19" spans="1:15" x14ac:dyDescent="0.25">
      <c r="A19" s="183">
        <v>16</v>
      </c>
      <c r="B19" s="184">
        <v>46311</v>
      </c>
      <c r="C19" s="185"/>
      <c r="D19" s="186"/>
      <c r="E19" s="165"/>
      <c r="F19" s="165"/>
      <c r="G19" s="166">
        <f t="shared" si="0"/>
        <v>0</v>
      </c>
      <c r="H19" s="167"/>
      <c r="I19" s="168"/>
      <c r="J19" s="166">
        <f t="shared" si="2"/>
        <v>0</v>
      </c>
      <c r="K19" s="166">
        <f t="shared" si="3"/>
        <v>0</v>
      </c>
      <c r="L19" s="265"/>
      <c r="M19" s="188">
        <f t="shared" si="1"/>
        <v>64677.76279999997</v>
      </c>
      <c r="N19" s="166"/>
      <c r="O19" s="209"/>
    </row>
    <row r="20" spans="1:15" x14ac:dyDescent="0.25">
      <c r="A20" s="183">
        <v>17</v>
      </c>
      <c r="B20" s="184">
        <v>46312</v>
      </c>
      <c r="C20" s="185"/>
      <c r="D20" s="186"/>
      <c r="E20" s="165"/>
      <c r="F20" s="165"/>
      <c r="G20" s="166">
        <f t="shared" si="0"/>
        <v>0</v>
      </c>
      <c r="H20" s="167"/>
      <c r="I20" s="168"/>
      <c r="J20" s="166">
        <f t="shared" si="2"/>
        <v>0</v>
      </c>
      <c r="K20" s="166">
        <f t="shared" si="3"/>
        <v>0</v>
      </c>
      <c r="L20" s="257"/>
      <c r="M20" s="188">
        <f t="shared" si="1"/>
        <v>64677.76279999997</v>
      </c>
      <c r="N20" s="259"/>
      <c r="O20" s="209"/>
    </row>
    <row r="21" spans="1:15" x14ac:dyDescent="0.25">
      <c r="A21" s="189">
        <v>18</v>
      </c>
      <c r="B21" s="184">
        <v>46313</v>
      </c>
      <c r="C21" s="185"/>
      <c r="D21" s="186"/>
      <c r="E21" s="165"/>
      <c r="F21" s="165"/>
      <c r="G21" s="166">
        <f t="shared" si="0"/>
        <v>0</v>
      </c>
      <c r="H21" s="167"/>
      <c r="I21" s="168"/>
      <c r="J21" s="166">
        <f t="shared" si="2"/>
        <v>0</v>
      </c>
      <c r="K21" s="166">
        <f t="shared" si="3"/>
        <v>0</v>
      </c>
      <c r="L21" s="257"/>
      <c r="M21" s="188">
        <f t="shared" si="1"/>
        <v>64677.76279999997</v>
      </c>
      <c r="N21" s="259"/>
      <c r="O21" s="209"/>
    </row>
    <row r="22" spans="1:15" x14ac:dyDescent="0.25">
      <c r="A22" s="183">
        <v>19</v>
      </c>
      <c r="B22" s="184">
        <v>46314</v>
      </c>
      <c r="C22" s="185"/>
      <c r="D22" s="186"/>
      <c r="E22" s="37"/>
      <c r="F22" s="37"/>
      <c r="G22" s="166">
        <f t="shared" si="0"/>
        <v>0</v>
      </c>
      <c r="H22" s="167"/>
      <c r="I22" s="168"/>
      <c r="J22" s="166">
        <f t="shared" si="2"/>
        <v>0</v>
      </c>
      <c r="K22" s="166">
        <f t="shared" si="3"/>
        <v>0</v>
      </c>
      <c r="L22" s="257"/>
      <c r="M22" s="188">
        <f t="shared" si="1"/>
        <v>64677.76279999997</v>
      </c>
      <c r="N22" s="259"/>
      <c r="O22" s="209"/>
    </row>
    <row r="23" spans="1:15" x14ac:dyDescent="0.25">
      <c r="A23" s="183">
        <v>20</v>
      </c>
      <c r="B23" s="184">
        <v>46315</v>
      </c>
      <c r="C23" s="185"/>
      <c r="D23" s="186"/>
      <c r="E23" s="37"/>
      <c r="F23" s="37"/>
      <c r="G23" s="166">
        <f t="shared" si="0"/>
        <v>0</v>
      </c>
      <c r="H23" s="167"/>
      <c r="I23" s="168"/>
      <c r="J23" s="166">
        <f t="shared" si="2"/>
        <v>0</v>
      </c>
      <c r="K23" s="166">
        <f t="shared" si="3"/>
        <v>0</v>
      </c>
      <c r="L23" s="257"/>
      <c r="M23" s="188">
        <f t="shared" si="1"/>
        <v>64677.76279999997</v>
      </c>
      <c r="N23" s="259"/>
      <c r="O23" s="209"/>
    </row>
    <row r="24" spans="1:15" x14ac:dyDescent="0.25">
      <c r="A24" s="189">
        <v>21</v>
      </c>
      <c r="B24" s="184">
        <v>46316</v>
      </c>
      <c r="C24" s="185"/>
      <c r="D24" s="186"/>
      <c r="E24" s="37"/>
      <c r="F24" s="37"/>
      <c r="G24" s="166">
        <f t="shared" si="0"/>
        <v>0</v>
      </c>
      <c r="H24" s="167"/>
      <c r="I24" s="168"/>
      <c r="J24" s="166">
        <f t="shared" si="2"/>
        <v>0</v>
      </c>
      <c r="K24" s="166">
        <f t="shared" si="3"/>
        <v>0</v>
      </c>
      <c r="L24" s="257"/>
      <c r="M24" s="188">
        <f t="shared" si="1"/>
        <v>64677.76279999997</v>
      </c>
      <c r="N24" s="259"/>
      <c r="O24" s="209"/>
    </row>
    <row r="25" spans="1:15" x14ac:dyDescent="0.25">
      <c r="A25" s="183">
        <v>22</v>
      </c>
      <c r="B25" s="184">
        <v>46317</v>
      </c>
      <c r="C25" s="185"/>
      <c r="D25" s="186"/>
      <c r="E25" s="37"/>
      <c r="F25" s="37"/>
      <c r="G25" s="166">
        <f t="shared" si="0"/>
        <v>0</v>
      </c>
      <c r="H25" s="167"/>
      <c r="I25" s="168"/>
      <c r="J25" s="166">
        <f t="shared" si="2"/>
        <v>0</v>
      </c>
      <c r="K25" s="166">
        <f t="shared" si="3"/>
        <v>0</v>
      </c>
      <c r="L25" s="257"/>
      <c r="M25" s="188">
        <f t="shared" si="1"/>
        <v>64677.76279999997</v>
      </c>
      <c r="N25" s="259"/>
      <c r="O25" s="209"/>
    </row>
    <row r="26" spans="1:15" x14ac:dyDescent="0.25">
      <c r="A26" s="183">
        <v>23</v>
      </c>
      <c r="B26" s="184">
        <v>46318</v>
      </c>
      <c r="C26" s="185"/>
      <c r="D26" s="186"/>
      <c r="E26" s="37"/>
      <c r="F26" s="37"/>
      <c r="G26" s="166">
        <f t="shared" si="0"/>
        <v>0</v>
      </c>
      <c r="H26" s="167"/>
      <c r="I26" s="168"/>
      <c r="J26" s="166">
        <f t="shared" si="2"/>
        <v>0</v>
      </c>
      <c r="K26" s="166">
        <f t="shared" si="3"/>
        <v>0</v>
      </c>
      <c r="L26" s="257"/>
      <c r="M26" s="188">
        <f t="shared" si="1"/>
        <v>64677.76279999997</v>
      </c>
      <c r="N26" s="259"/>
      <c r="O26" s="209"/>
    </row>
    <row r="27" spans="1:15" x14ac:dyDescent="0.25">
      <c r="A27" s="189">
        <v>24</v>
      </c>
      <c r="B27" s="184">
        <v>46319</v>
      </c>
      <c r="C27" s="185"/>
      <c r="D27" s="186"/>
      <c r="E27" s="37"/>
      <c r="F27" s="37"/>
      <c r="G27" s="166">
        <f t="shared" si="0"/>
        <v>0</v>
      </c>
      <c r="H27" s="167"/>
      <c r="I27" s="168"/>
      <c r="J27" s="166">
        <f t="shared" si="2"/>
        <v>0</v>
      </c>
      <c r="K27" s="166">
        <f t="shared" si="3"/>
        <v>0</v>
      </c>
      <c r="L27" s="257"/>
      <c r="M27" s="188">
        <f t="shared" si="1"/>
        <v>64677.76279999997</v>
      </c>
      <c r="N27" s="259"/>
      <c r="O27" s="209"/>
    </row>
    <row r="28" spans="1:15" x14ac:dyDescent="0.25">
      <c r="A28" s="183">
        <v>25</v>
      </c>
      <c r="B28" s="184">
        <v>46320</v>
      </c>
      <c r="C28" s="185"/>
      <c r="D28" s="186"/>
      <c r="E28" s="37"/>
      <c r="F28" s="37"/>
      <c r="G28" s="166">
        <f t="shared" si="0"/>
        <v>0</v>
      </c>
      <c r="H28" s="167"/>
      <c r="I28" s="168"/>
      <c r="J28" s="166">
        <f t="shared" si="2"/>
        <v>0</v>
      </c>
      <c r="K28" s="166">
        <f t="shared" si="3"/>
        <v>0</v>
      </c>
      <c r="L28" s="257"/>
      <c r="M28" s="188">
        <f t="shared" si="1"/>
        <v>64677.76279999997</v>
      </c>
      <c r="N28" s="259"/>
      <c r="O28" s="209"/>
    </row>
    <row r="29" spans="1:15" x14ac:dyDescent="0.25">
      <c r="A29" s="183">
        <v>26</v>
      </c>
      <c r="B29" s="184">
        <v>46321</v>
      </c>
      <c r="C29" s="185"/>
      <c r="D29" s="186"/>
      <c r="E29" s="37"/>
      <c r="F29" s="37"/>
      <c r="G29" s="166">
        <f t="shared" si="0"/>
        <v>0</v>
      </c>
      <c r="H29" s="167"/>
      <c r="I29" s="168"/>
      <c r="J29" s="166">
        <f t="shared" si="2"/>
        <v>0</v>
      </c>
      <c r="K29" s="166">
        <f t="shared" si="3"/>
        <v>0</v>
      </c>
      <c r="L29" s="257"/>
      <c r="M29" s="188">
        <f t="shared" si="1"/>
        <v>64677.76279999997</v>
      </c>
      <c r="N29" s="259"/>
      <c r="O29" s="209"/>
    </row>
    <row r="30" spans="1:15" x14ac:dyDescent="0.25">
      <c r="A30" s="189">
        <v>27</v>
      </c>
      <c r="B30" s="184">
        <v>46322</v>
      </c>
      <c r="C30" s="185"/>
      <c r="D30" s="186"/>
      <c r="E30" s="37"/>
      <c r="F30" s="37"/>
      <c r="G30" s="166"/>
      <c r="H30" s="167"/>
      <c r="I30" s="168"/>
      <c r="J30" s="166">
        <f t="shared" si="2"/>
        <v>0</v>
      </c>
      <c r="K30" s="166">
        <f t="shared" si="3"/>
        <v>0</v>
      </c>
      <c r="L30" s="257"/>
      <c r="M30" s="188">
        <f t="shared" si="1"/>
        <v>64677.76279999997</v>
      </c>
      <c r="N30" s="259"/>
      <c r="O30" s="209"/>
    </row>
    <row r="31" spans="1:15" x14ac:dyDescent="0.25">
      <c r="A31" s="183">
        <v>28</v>
      </c>
      <c r="B31" s="184">
        <v>46323</v>
      </c>
      <c r="C31" s="185"/>
      <c r="D31" s="186"/>
      <c r="E31" s="37"/>
      <c r="F31" s="37"/>
      <c r="G31" s="166">
        <f t="shared" si="0"/>
        <v>0</v>
      </c>
      <c r="H31" s="167"/>
      <c r="I31" s="168"/>
      <c r="J31" s="166">
        <f t="shared" si="2"/>
        <v>0</v>
      </c>
      <c r="K31" s="166">
        <f t="shared" si="3"/>
        <v>0</v>
      </c>
      <c r="L31" s="266"/>
      <c r="M31" s="188">
        <f t="shared" si="1"/>
        <v>64677.76279999997</v>
      </c>
      <c r="N31" s="166"/>
      <c r="O31" s="209"/>
    </row>
    <row r="32" spans="1:15" x14ac:dyDescent="0.25">
      <c r="A32" s="183">
        <v>29</v>
      </c>
      <c r="B32" s="184">
        <v>46324</v>
      </c>
      <c r="C32" s="185"/>
      <c r="D32" s="186"/>
      <c r="E32" s="37"/>
      <c r="F32" s="37"/>
      <c r="G32" s="166">
        <f t="shared" si="0"/>
        <v>0</v>
      </c>
      <c r="H32" s="167"/>
      <c r="I32" s="168"/>
      <c r="J32" s="166">
        <f t="shared" si="2"/>
        <v>0</v>
      </c>
      <c r="K32" s="166">
        <f t="shared" si="3"/>
        <v>0</v>
      </c>
      <c r="L32" s="257"/>
      <c r="M32" s="188">
        <f t="shared" si="1"/>
        <v>64677.76279999997</v>
      </c>
      <c r="N32" s="166"/>
      <c r="O32" s="209"/>
    </row>
    <row r="33" spans="1:15" x14ac:dyDescent="0.25">
      <c r="A33" s="189">
        <v>30</v>
      </c>
      <c r="B33" s="184">
        <v>46325</v>
      </c>
      <c r="C33" s="185"/>
      <c r="D33" s="186"/>
      <c r="E33" s="186"/>
      <c r="F33" s="37"/>
      <c r="G33" s="166">
        <f t="shared" si="0"/>
        <v>0</v>
      </c>
      <c r="H33" s="167"/>
      <c r="I33" s="168"/>
      <c r="J33" s="166">
        <f t="shared" si="2"/>
        <v>0</v>
      </c>
      <c r="K33" s="166">
        <f t="shared" si="3"/>
        <v>0</v>
      </c>
      <c r="L33" s="257"/>
      <c r="M33" s="188">
        <f t="shared" si="1"/>
        <v>64677.76279999997</v>
      </c>
      <c r="N33" s="166"/>
      <c r="O33" s="209"/>
    </row>
    <row r="34" spans="1:15" x14ac:dyDescent="0.25">
      <c r="A34" s="183">
        <v>31</v>
      </c>
      <c r="B34" s="184">
        <v>46326</v>
      </c>
      <c r="C34" s="185"/>
      <c r="D34" s="186"/>
      <c r="E34" s="37"/>
      <c r="F34" s="37"/>
      <c r="G34" s="166">
        <f t="shared" si="0"/>
        <v>0</v>
      </c>
      <c r="H34" s="167"/>
      <c r="I34" s="168"/>
      <c r="J34" s="166">
        <f t="shared" si="2"/>
        <v>0</v>
      </c>
      <c r="K34" s="166">
        <f t="shared" si="3"/>
        <v>0</v>
      </c>
      <c r="L34" s="257"/>
      <c r="M34" s="188">
        <f t="shared" si="1"/>
        <v>64677.76279999997</v>
      </c>
      <c r="N34" s="166"/>
      <c r="O34" s="209"/>
    </row>
    <row r="35" spans="1:15" x14ac:dyDescent="0.25">
      <c r="A35" s="183">
        <v>32</v>
      </c>
      <c r="B35" s="184"/>
      <c r="C35" s="185"/>
      <c r="D35" s="186"/>
      <c r="E35" s="37"/>
      <c r="F35" s="37"/>
      <c r="G35" s="166">
        <f t="shared" si="0"/>
        <v>0</v>
      </c>
      <c r="H35" s="167"/>
      <c r="I35" s="168"/>
      <c r="J35" s="166">
        <f t="shared" si="2"/>
        <v>0</v>
      </c>
      <c r="K35" s="166">
        <f t="shared" si="3"/>
        <v>0</v>
      </c>
      <c r="L35" s="257"/>
      <c r="M35" s="188">
        <f t="shared" si="1"/>
        <v>64677.76279999997</v>
      </c>
      <c r="N35" s="166"/>
      <c r="O35" s="209"/>
    </row>
    <row r="36" spans="1:15" x14ac:dyDescent="0.25">
      <c r="A36" s="189">
        <v>33</v>
      </c>
      <c r="B36" s="184"/>
      <c r="C36" s="260"/>
      <c r="D36" s="205"/>
      <c r="E36" s="206"/>
      <c r="F36" s="261"/>
      <c r="G36" s="262">
        <f t="shared" si="0"/>
        <v>0</v>
      </c>
      <c r="H36" s="263"/>
      <c r="I36" s="264"/>
      <c r="J36" s="262">
        <f t="shared" si="2"/>
        <v>0</v>
      </c>
      <c r="K36" s="262">
        <f t="shared" si="3"/>
        <v>0</v>
      </c>
      <c r="L36" s="188"/>
      <c r="M36" s="188">
        <f t="shared" si="1"/>
        <v>64677.76279999997</v>
      </c>
      <c r="N36" s="166"/>
      <c r="O36" s="209"/>
    </row>
    <row r="37" spans="1:15" x14ac:dyDescent="0.25">
      <c r="A37" s="169"/>
      <c r="B37" s="169"/>
      <c r="C37" s="169"/>
      <c r="D37" s="169"/>
      <c r="E37" s="170">
        <f>SUM(E4:E36)</f>
        <v>1087</v>
      </c>
      <c r="F37" s="170"/>
      <c r="G37" s="171">
        <f>SUM(G4:G36)</f>
        <v>114635.01999999999</v>
      </c>
      <c r="H37" s="171">
        <f>SUM(H4:H36)</f>
        <v>110</v>
      </c>
      <c r="I37" s="171"/>
      <c r="J37" s="171">
        <f>SUM(J4:J36)</f>
        <v>12962.4</v>
      </c>
      <c r="K37" s="171">
        <f>SUM(K4:K36)</f>
        <v>127597.42</v>
      </c>
      <c r="L37" s="171">
        <f>SUM(L4:L36)</f>
        <v>80000</v>
      </c>
      <c r="M37" s="171"/>
      <c r="N37" s="171"/>
      <c r="O37" s="208"/>
    </row>
    <row r="38" spans="1:15" x14ac:dyDescent="0.25">
      <c r="A38" s="211"/>
      <c r="B38" s="212"/>
      <c r="C38" s="211"/>
      <c r="D38" s="211"/>
      <c r="E38" s="213"/>
      <c r="F38" s="213"/>
      <c r="G38" s="213"/>
      <c r="H38" s="213"/>
      <c r="I38" s="213"/>
      <c r="J38" s="214"/>
      <c r="K38" s="214"/>
      <c r="L38" s="214"/>
      <c r="M38" s="214"/>
      <c r="N38" s="213"/>
      <c r="O38" s="209"/>
    </row>
    <row r="39" spans="15:15" x14ac:dyDescent="0.25">
      <c r="O39" s="209"/>
    </row>
    <row r="40" spans="15:15" x14ac:dyDescent="0.25">
      <c r="O40" s="209"/>
    </row>
    <row r="41" spans="15:15" x14ac:dyDescent="0.25">
      <c r="O41" s="209"/>
    </row>
    <row r="42" spans="15:15" x14ac:dyDescent="0.25">
      <c r="O42" s="209"/>
    </row>
    <row r="43" spans="15:15" x14ac:dyDescent="0.25">
      <c r="O43" s="209"/>
    </row>
    <row r="44" spans="1:15" x14ac:dyDescent="0.25">
      <c r="A44" s="209"/>
      <c r="B44" s="208"/>
      <c r="C44" s="209"/>
      <c r="D44" s="209"/>
      <c r="E44" s="209"/>
      <c r="F44" s="209"/>
      <c r="G44" s="213"/>
      <c r="H44" s="209"/>
      <c r="I44" s="209"/>
      <c r="J44" s="208"/>
      <c r="K44" s="208"/>
      <c r="L44" s="208"/>
      <c r="M44" s="208"/>
      <c r="N44" s="209"/>
      <c r="O44" s="213"/>
    </row>
    <row r="45" spans="1:15" x14ac:dyDescent="0.25">
      <c r="A45" s="209"/>
      <c r="B45" s="209"/>
      <c r="C45" s="209"/>
      <c r="D45" s="209"/>
      <c r="E45" s="209"/>
      <c r="F45" s="209"/>
      <c r="G45" s="209"/>
      <c r="H45" s="209"/>
      <c r="I45" s="209"/>
      <c r="J45" s="209"/>
      <c r="K45" s="209"/>
      <c r="L45" s="209"/>
      <c r="M45" s="209"/>
      <c r="N45" s="209"/>
      <c r="O45" s="213"/>
    </row>
    <row r="46" spans="1:15" x14ac:dyDescent="0.25">
      <c r="A46" s="209"/>
      <c r="B46" s="208"/>
      <c r="C46" s="209"/>
      <c r="D46" s="209"/>
      <c r="E46" s="209"/>
      <c r="F46" s="209"/>
      <c r="G46" s="209"/>
      <c r="H46" s="209"/>
      <c r="I46" s="209"/>
      <c r="J46" s="208"/>
      <c r="K46" s="208"/>
      <c r="L46" s="208"/>
      <c r="M46" s="208"/>
      <c r="N46" s="209"/>
      <c r="O46" s="213"/>
    </row>
  </sheetData>
  <mergeCells count="4">
    <mergeCell ref="A1:N1"/>
    <mergeCell ref="A3:L3"/>
    <mergeCell ref="B45:E45"/>
    <mergeCell ref="I45:N45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"/>
  </sheetPr>
  <dimension ref="A1:R46"/>
  <sheetViews>
    <sheetView workbookViewId="0" zoomScale="100" zoomScaleNormal="100">
      <pane ySplit="3" topLeftCell="A4" activePane="bottomLeft" state="frozen"/>
      <selection pane="bottomLeft" activeCell="F12" sqref="F12"/>
    </sheetView>
  </sheetViews>
  <sheetFormatPr defaultRowHeight="15" outlineLevelRow="0" outlineLevelCol="0" x14ac:dyDescent="0"/>
  <cols>
    <col min="2" max="2" width="10.42578125" customWidth="1"/>
    <col min="4" max="4" width="16.42578125" customWidth="1"/>
    <col min="7" max="7" width="15.42578125" customWidth="1"/>
    <col min="10" max="10" width="10.7109375" customWidth="1"/>
    <col min="11" max="11" width="15.28515625" customWidth="1"/>
    <col min="12" max="12" width="16.5703125" customWidth="1"/>
    <col min="13" max="13" width="15.42578125" customWidth="1"/>
    <col min="14" max="14" width="11" customWidth="1"/>
  </cols>
  <sheetData>
    <row r="1" ht="15.75" customHeight="1" spans="1:15" x14ac:dyDescent="0.25">
      <c r="A1" s="172" t="s">
        <v>194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207"/>
    </row>
    <row r="2" ht="30.75" customHeight="1" spans="1:15" x14ac:dyDescent="0.25">
      <c r="A2" s="173" t="s">
        <v>0</v>
      </c>
      <c r="B2" s="174" t="s">
        <v>167</v>
      </c>
      <c r="C2" s="174" t="s">
        <v>168</v>
      </c>
      <c r="D2" s="174" t="s">
        <v>189</v>
      </c>
      <c r="E2" s="175" t="s">
        <v>170</v>
      </c>
      <c r="F2" s="175" t="s">
        <v>171</v>
      </c>
      <c r="G2" s="174" t="s">
        <v>172</v>
      </c>
      <c r="H2" s="174" t="s">
        <v>173</v>
      </c>
      <c r="I2" s="174" t="s">
        <v>171</v>
      </c>
      <c r="J2" s="176" t="s">
        <v>172</v>
      </c>
      <c r="K2" s="177" t="s">
        <v>174</v>
      </c>
      <c r="L2" s="178" t="s">
        <v>175</v>
      </c>
      <c r="M2" s="179" t="s">
        <v>190</v>
      </c>
      <c r="N2" s="180" t="s">
        <v>177</v>
      </c>
      <c r="O2" s="208"/>
    </row>
    <row r="3" spans="1:15" x14ac:dyDescent="0.25">
      <c r="A3" s="148" t="s">
        <v>178</v>
      </c>
      <c r="B3" s="149"/>
      <c r="C3" s="126"/>
      <c r="D3" s="126"/>
      <c r="E3" s="126"/>
      <c r="F3" s="126"/>
      <c r="G3" s="126"/>
      <c r="H3" s="126"/>
      <c r="I3" s="126"/>
      <c r="J3" s="126"/>
      <c r="K3" s="126"/>
      <c r="L3" s="150"/>
      <c r="M3" s="181">
        <v>291832.9843</v>
      </c>
      <c r="N3" s="182"/>
      <c r="O3" s="208"/>
    </row>
    <row r="4" spans="1:14" x14ac:dyDescent="0.25">
      <c r="A4" s="183">
        <v>1</v>
      </c>
      <c r="B4" s="184">
        <v>46296</v>
      </c>
      <c r="C4" s="185"/>
      <c r="D4" s="186"/>
      <c r="E4" s="165">
        <v>120</v>
      </c>
      <c r="F4" s="165">
        <v>105.21</v>
      </c>
      <c r="G4" s="166">
        <f t="shared" ref="G4:G36" si="0">E4*F4</f>
        <v>12625.199999999999</v>
      </c>
      <c r="H4" s="256"/>
      <c r="I4" s="256"/>
      <c r="J4" s="166">
        <f>H4*I4</f>
        <v>0</v>
      </c>
      <c r="K4" s="166">
        <f>G4+J4</f>
        <v>12625.199999999999</v>
      </c>
      <c r="L4" s="257"/>
      <c r="M4" s="188">
        <f>M3+K4-L4</f>
        <v>304458.1843</v>
      </c>
      <c r="N4" s="182"/>
    </row>
    <row r="5" spans="1:14" x14ac:dyDescent="0.25">
      <c r="A5" s="183">
        <v>2</v>
      </c>
      <c r="B5" s="184">
        <v>46297</v>
      </c>
      <c r="C5" s="185"/>
      <c r="D5" s="186"/>
      <c r="E5" s="165">
        <v>430.04</v>
      </c>
      <c r="F5" s="165">
        <v>105.21</v>
      </c>
      <c r="G5" s="166">
        <f t="shared" si="0"/>
        <v>45244.5084</v>
      </c>
      <c r="H5" s="256">
        <v>55</v>
      </c>
      <c r="I5" s="256">
        <v>117.58</v>
      </c>
      <c r="J5" s="166">
        <f>H5*I5</f>
        <v>6466.9</v>
      </c>
      <c r="K5" s="166">
        <f>G5+J5</f>
        <v>51711.4084</v>
      </c>
      <c r="L5" s="257"/>
      <c r="M5" s="188">
        <f t="shared" ref="M5:M36" si="1">M4+K5-L5</f>
        <v>356169.59270000004</v>
      </c>
      <c r="N5" s="182"/>
    </row>
    <row r="6" spans="1:14" x14ac:dyDescent="0.25">
      <c r="A6" s="189">
        <v>3</v>
      </c>
      <c r="B6" s="184">
        <v>46298</v>
      </c>
      <c r="C6" s="185"/>
      <c r="D6" s="37"/>
      <c r="E6" s="165">
        <v>640</v>
      </c>
      <c r="F6" s="165">
        <v>105.21</v>
      </c>
      <c r="G6" s="166">
        <f t="shared" si="0"/>
        <v>67334.4</v>
      </c>
      <c r="H6" s="256"/>
      <c r="I6" s="256"/>
      <c r="J6" s="166">
        <f t="shared" ref="J6:J36" si="2">H6*I6</f>
        <v>0</v>
      </c>
      <c r="K6" s="166">
        <f t="shared" ref="K6:K36" si="3">G6+J6</f>
        <v>67334.4</v>
      </c>
      <c r="L6" s="257"/>
      <c r="M6" s="188">
        <f t="shared" si="1"/>
        <v>423503.99270000006</v>
      </c>
      <c r="N6" s="182"/>
    </row>
    <row r="7" spans="1:14" x14ac:dyDescent="0.25">
      <c r="A7" s="189">
        <v>4</v>
      </c>
      <c r="B7" s="184">
        <v>46299</v>
      </c>
      <c r="C7" s="185"/>
      <c r="D7" s="186"/>
      <c r="E7" s="165"/>
      <c r="F7" s="165"/>
      <c r="G7" s="166">
        <f t="shared" si="0"/>
        <v>0</v>
      </c>
      <c r="H7" s="167"/>
      <c r="I7" s="168"/>
      <c r="J7" s="166">
        <f t="shared" si="2"/>
        <v>0</v>
      </c>
      <c r="K7" s="166">
        <f t="shared" si="3"/>
        <v>0</v>
      </c>
      <c r="L7" s="257"/>
      <c r="M7" s="188">
        <f t="shared" si="1"/>
        <v>423503.99270000006</v>
      </c>
      <c r="N7" s="182"/>
    </row>
    <row r="8" spans="1:14" x14ac:dyDescent="0.25">
      <c r="A8" s="189">
        <v>5</v>
      </c>
      <c r="B8" s="184">
        <v>46300</v>
      </c>
      <c r="C8" s="185"/>
      <c r="D8" s="186"/>
      <c r="E8" s="165"/>
      <c r="F8" s="165"/>
      <c r="G8" s="166">
        <f t="shared" si="0"/>
        <v>0</v>
      </c>
      <c r="H8" s="167"/>
      <c r="I8" s="168"/>
      <c r="J8" s="166">
        <f t="shared" si="2"/>
        <v>0</v>
      </c>
      <c r="K8" s="166">
        <f t="shared" si="3"/>
        <v>0</v>
      </c>
      <c r="L8" s="257"/>
      <c r="M8" s="188">
        <f t="shared" si="1"/>
        <v>423503.99270000006</v>
      </c>
      <c r="N8" s="182"/>
    </row>
    <row r="9" spans="1:18" x14ac:dyDescent="0.25">
      <c r="A9" s="189">
        <v>6</v>
      </c>
      <c r="B9" s="184">
        <v>46301</v>
      </c>
      <c r="C9" s="185"/>
      <c r="D9" s="186"/>
      <c r="E9" s="165"/>
      <c r="F9" s="165"/>
      <c r="G9" s="166">
        <f t="shared" si="0"/>
        <v>0</v>
      </c>
      <c r="H9" s="167"/>
      <c r="I9" s="168"/>
      <c r="J9" s="166">
        <f t="shared" si="2"/>
        <v>0</v>
      </c>
      <c r="K9" s="166">
        <f>G9+J9</f>
        <v>0</v>
      </c>
      <c r="L9" s="257"/>
      <c r="M9" s="188">
        <f t="shared" si="1"/>
        <v>423503.99270000006</v>
      </c>
      <c r="N9" s="182"/>
      <c r="O9" s="209"/>
      <c r="R9" s="210"/>
    </row>
    <row r="10" spans="1:15" x14ac:dyDescent="0.25">
      <c r="A10" s="189">
        <v>7</v>
      </c>
      <c r="B10" s="184">
        <v>46302</v>
      </c>
      <c r="C10" s="185"/>
      <c r="D10" s="186"/>
      <c r="E10" s="165"/>
      <c r="F10" s="165"/>
      <c r="G10" s="166">
        <f t="shared" si="0"/>
        <v>0</v>
      </c>
      <c r="H10" s="167"/>
      <c r="I10" s="168"/>
      <c r="J10" s="166">
        <f t="shared" si="2"/>
        <v>0</v>
      </c>
      <c r="K10" s="166">
        <f t="shared" si="3"/>
        <v>0</v>
      </c>
      <c r="L10" s="257"/>
      <c r="M10" s="188">
        <f t="shared" si="1"/>
        <v>423503.99270000006</v>
      </c>
      <c r="N10" s="182"/>
      <c r="O10" s="209"/>
    </row>
    <row r="11" spans="1:15" x14ac:dyDescent="0.25">
      <c r="A11" s="189">
        <v>8</v>
      </c>
      <c r="B11" s="184">
        <v>46303</v>
      </c>
      <c r="C11" s="185"/>
      <c r="D11" s="186"/>
      <c r="E11" s="165"/>
      <c r="F11" s="165"/>
      <c r="G11" s="166">
        <f t="shared" si="0"/>
        <v>0</v>
      </c>
      <c r="H11" s="167"/>
      <c r="I11" s="168"/>
      <c r="J11" s="166">
        <f t="shared" si="2"/>
        <v>0</v>
      </c>
      <c r="K11" s="166">
        <f t="shared" si="3"/>
        <v>0</v>
      </c>
      <c r="L11" s="257">
        <v>423000</v>
      </c>
      <c r="M11" s="188">
        <f t="shared" si="1"/>
        <v>503.9927000000607</v>
      </c>
      <c r="N11" s="182"/>
      <c r="O11" s="209"/>
    </row>
    <row r="12" spans="1:15" x14ac:dyDescent="0.25">
      <c r="A12" s="189">
        <v>9</v>
      </c>
      <c r="B12" s="184">
        <v>46304</v>
      </c>
      <c r="C12" s="185"/>
      <c r="D12" s="186"/>
      <c r="E12" s="165">
        <v>32.5</v>
      </c>
      <c r="F12" s="165">
        <v>105.21</v>
      </c>
      <c r="G12" s="166">
        <f t="shared" si="0"/>
        <v>3419.325</v>
      </c>
      <c r="H12" s="167"/>
      <c r="I12" s="168"/>
      <c r="J12" s="166">
        <f t="shared" si="2"/>
        <v>0</v>
      </c>
      <c r="K12" s="166">
        <f t="shared" si="3"/>
        <v>3419.325</v>
      </c>
      <c r="L12" s="257"/>
      <c r="M12" s="188">
        <f t="shared" si="1"/>
        <v>3923.3177000000605</v>
      </c>
      <c r="N12" s="182"/>
      <c r="O12" s="209"/>
    </row>
    <row r="13" spans="1:15" x14ac:dyDescent="0.25">
      <c r="A13" s="189">
        <v>10</v>
      </c>
      <c r="B13" s="184">
        <v>46305</v>
      </c>
      <c r="C13" s="185"/>
      <c r="D13" s="186"/>
      <c r="E13" s="165"/>
      <c r="F13" s="165"/>
      <c r="G13" s="166">
        <f t="shared" si="0"/>
        <v>0</v>
      </c>
      <c r="H13" s="167"/>
      <c r="I13" s="168"/>
      <c r="J13" s="166">
        <f t="shared" si="2"/>
        <v>0</v>
      </c>
      <c r="K13" s="166">
        <f t="shared" si="3"/>
        <v>0</v>
      </c>
      <c r="L13" s="257"/>
      <c r="M13" s="188">
        <f t="shared" si="1"/>
        <v>3923.3177000000605</v>
      </c>
      <c r="N13" s="182"/>
      <c r="O13" s="209"/>
    </row>
    <row r="14" spans="1:15" x14ac:dyDescent="0.25">
      <c r="A14" s="189">
        <v>11</v>
      </c>
      <c r="B14" s="184">
        <v>46306</v>
      </c>
      <c r="C14" s="185"/>
      <c r="D14" s="186"/>
      <c r="E14" s="165"/>
      <c r="F14" s="165"/>
      <c r="G14" s="166">
        <f t="shared" si="0"/>
        <v>0</v>
      </c>
      <c r="H14" s="167"/>
      <c r="I14" s="168"/>
      <c r="J14" s="166">
        <f t="shared" si="2"/>
        <v>0</v>
      </c>
      <c r="K14" s="166">
        <f t="shared" si="3"/>
        <v>0</v>
      </c>
      <c r="L14" s="257"/>
      <c r="M14" s="188">
        <f t="shared" si="1"/>
        <v>3923.3177000000605</v>
      </c>
      <c r="N14" s="182"/>
      <c r="O14" s="209"/>
    </row>
    <row r="15" spans="1:16" x14ac:dyDescent="0.25">
      <c r="A15" s="189">
        <v>12</v>
      </c>
      <c r="B15" s="184">
        <v>46307</v>
      </c>
      <c r="C15" s="185"/>
      <c r="D15" s="186"/>
      <c r="E15" s="165"/>
      <c r="F15" s="165"/>
      <c r="G15" s="166">
        <f t="shared" si="0"/>
        <v>0</v>
      </c>
      <c r="H15" s="167"/>
      <c r="I15" s="168"/>
      <c r="J15" s="166">
        <f t="shared" si="2"/>
        <v>0</v>
      </c>
      <c r="K15" s="166">
        <f>G15+J15</f>
        <v>0</v>
      </c>
      <c r="L15" s="257"/>
      <c r="M15" s="188">
        <f t="shared" si="1"/>
        <v>3923.3177000000605</v>
      </c>
      <c r="N15" s="182"/>
      <c r="O15" s="209"/>
      <c r="P15" s="258"/>
    </row>
    <row r="16" spans="1:15" x14ac:dyDescent="0.25">
      <c r="A16" s="189">
        <v>13</v>
      </c>
      <c r="B16" s="184">
        <v>46308</v>
      </c>
      <c r="C16" s="185"/>
      <c r="D16" s="186"/>
      <c r="E16" s="165"/>
      <c r="F16" s="165"/>
      <c r="G16" s="166">
        <f t="shared" si="0"/>
        <v>0</v>
      </c>
      <c r="H16" s="167"/>
      <c r="I16" s="168"/>
      <c r="J16" s="166">
        <f t="shared" si="2"/>
        <v>0</v>
      </c>
      <c r="K16" s="166">
        <f t="shared" si="3"/>
        <v>0</v>
      </c>
      <c r="L16" s="257"/>
      <c r="M16" s="188">
        <f t="shared" si="1"/>
        <v>3923.3177000000605</v>
      </c>
      <c r="N16" s="166"/>
      <c r="O16" s="209"/>
    </row>
    <row r="17" spans="1:15" x14ac:dyDescent="0.25">
      <c r="A17" s="189">
        <v>14</v>
      </c>
      <c r="B17" s="184">
        <v>46309</v>
      </c>
      <c r="C17" s="185"/>
      <c r="D17" s="186"/>
      <c r="E17" s="165"/>
      <c r="F17" s="165"/>
      <c r="G17" s="166">
        <f t="shared" si="0"/>
        <v>0</v>
      </c>
      <c r="H17" s="167"/>
      <c r="I17" s="168"/>
      <c r="J17" s="166">
        <f t="shared" si="2"/>
        <v>0</v>
      </c>
      <c r="K17" s="166">
        <f t="shared" si="3"/>
        <v>0</v>
      </c>
      <c r="L17" s="257"/>
      <c r="M17" s="188">
        <f t="shared" si="1"/>
        <v>3923.3177000000605</v>
      </c>
      <c r="N17" s="166"/>
      <c r="O17" s="209"/>
    </row>
    <row r="18" spans="1:15" x14ac:dyDescent="0.25">
      <c r="A18" s="189">
        <v>15</v>
      </c>
      <c r="B18" s="184">
        <v>46310</v>
      </c>
      <c r="C18" s="185"/>
      <c r="D18" s="186"/>
      <c r="E18" s="165"/>
      <c r="F18" s="165"/>
      <c r="G18" s="166">
        <f t="shared" si="0"/>
        <v>0</v>
      </c>
      <c r="H18" s="167"/>
      <c r="I18" s="168"/>
      <c r="J18" s="166">
        <f t="shared" si="2"/>
        <v>0</v>
      </c>
      <c r="K18" s="166">
        <f t="shared" si="3"/>
        <v>0</v>
      </c>
      <c r="L18" s="257"/>
      <c r="M18" s="188">
        <f t="shared" si="1"/>
        <v>3923.3177000000605</v>
      </c>
      <c r="N18" s="166"/>
      <c r="O18" s="209"/>
    </row>
    <row r="19" spans="1:15" x14ac:dyDescent="0.25">
      <c r="A19" s="189">
        <v>16</v>
      </c>
      <c r="B19" s="184">
        <v>46311</v>
      </c>
      <c r="C19" s="185"/>
      <c r="D19" s="186"/>
      <c r="E19" s="165"/>
      <c r="F19" s="165"/>
      <c r="G19" s="166">
        <f t="shared" si="0"/>
        <v>0</v>
      </c>
      <c r="H19" s="167"/>
      <c r="I19" s="168"/>
      <c r="J19" s="166">
        <f t="shared" si="2"/>
        <v>0</v>
      </c>
      <c r="K19" s="166">
        <f t="shared" si="3"/>
        <v>0</v>
      </c>
      <c r="L19" s="257"/>
      <c r="M19" s="188">
        <f t="shared" si="1"/>
        <v>3923.3177000000605</v>
      </c>
      <c r="N19" s="166"/>
      <c r="O19" s="209"/>
    </row>
    <row r="20" spans="1:15" x14ac:dyDescent="0.25">
      <c r="A20" s="189">
        <v>17</v>
      </c>
      <c r="B20" s="184">
        <v>46312</v>
      </c>
      <c r="C20" s="185"/>
      <c r="D20" s="186"/>
      <c r="E20" s="165"/>
      <c r="F20" s="165"/>
      <c r="G20" s="166">
        <f t="shared" si="0"/>
        <v>0</v>
      </c>
      <c r="H20" s="167"/>
      <c r="I20" s="168"/>
      <c r="J20" s="166">
        <f t="shared" si="2"/>
        <v>0</v>
      </c>
      <c r="K20" s="166">
        <f t="shared" si="3"/>
        <v>0</v>
      </c>
      <c r="L20" s="257"/>
      <c r="M20" s="188">
        <f>M19+K20-L20</f>
        <v>3923.3177000000605</v>
      </c>
      <c r="N20" s="259"/>
      <c r="O20" s="209"/>
    </row>
    <row r="21" spans="1:15" x14ac:dyDescent="0.25">
      <c r="A21" s="189">
        <v>18</v>
      </c>
      <c r="B21" s="184">
        <v>46313</v>
      </c>
      <c r="C21" s="185"/>
      <c r="D21" s="186"/>
      <c r="E21" s="165"/>
      <c r="F21" s="165"/>
      <c r="G21" s="166">
        <f t="shared" si="0"/>
        <v>0</v>
      </c>
      <c r="H21" s="167"/>
      <c r="I21" s="168"/>
      <c r="J21" s="166">
        <f t="shared" si="2"/>
        <v>0</v>
      </c>
      <c r="K21" s="166">
        <f t="shared" si="3"/>
        <v>0</v>
      </c>
      <c r="L21" s="257"/>
      <c r="M21" s="188">
        <f t="shared" si="1"/>
        <v>3923.3177000000605</v>
      </c>
      <c r="N21" s="259"/>
      <c r="O21" s="209"/>
    </row>
    <row r="22" spans="1:15" x14ac:dyDescent="0.25">
      <c r="A22" s="189">
        <v>19</v>
      </c>
      <c r="B22" s="184">
        <v>46314</v>
      </c>
      <c r="C22" s="185"/>
      <c r="D22" s="186"/>
      <c r="E22" s="37"/>
      <c r="F22" s="37"/>
      <c r="G22" s="166">
        <f t="shared" si="0"/>
        <v>0</v>
      </c>
      <c r="H22" s="167"/>
      <c r="I22" s="168"/>
      <c r="J22" s="166">
        <f t="shared" si="2"/>
        <v>0</v>
      </c>
      <c r="K22" s="166">
        <f t="shared" si="3"/>
        <v>0</v>
      </c>
      <c r="L22" s="257"/>
      <c r="M22" s="188">
        <f t="shared" si="1"/>
        <v>3923.3177000000605</v>
      </c>
      <c r="N22" s="259"/>
      <c r="O22" s="209"/>
    </row>
    <row r="23" spans="1:15" x14ac:dyDescent="0.25">
      <c r="A23" s="189">
        <v>20</v>
      </c>
      <c r="B23" s="184">
        <v>46315</v>
      </c>
      <c r="C23" s="185"/>
      <c r="D23" s="186"/>
      <c r="E23" s="37"/>
      <c r="F23" s="37"/>
      <c r="G23" s="166">
        <f t="shared" si="0"/>
        <v>0</v>
      </c>
      <c r="H23" s="167"/>
      <c r="I23" s="168"/>
      <c r="J23" s="166">
        <f t="shared" si="2"/>
        <v>0</v>
      </c>
      <c r="K23" s="166">
        <f t="shared" si="3"/>
        <v>0</v>
      </c>
      <c r="L23" s="257"/>
      <c r="M23" s="188">
        <f t="shared" si="1"/>
        <v>3923.3177000000605</v>
      </c>
      <c r="N23" s="259"/>
      <c r="O23" s="209"/>
    </row>
    <row r="24" spans="1:15" x14ac:dyDescent="0.25">
      <c r="A24" s="189">
        <v>21</v>
      </c>
      <c r="B24" s="184">
        <v>46316</v>
      </c>
      <c r="C24" s="185"/>
      <c r="D24" s="186"/>
      <c r="E24" s="37"/>
      <c r="F24" s="37"/>
      <c r="G24" s="166">
        <f t="shared" si="0"/>
        <v>0</v>
      </c>
      <c r="H24" s="167"/>
      <c r="I24" s="168"/>
      <c r="J24" s="166">
        <f t="shared" si="2"/>
        <v>0</v>
      </c>
      <c r="K24" s="166">
        <f t="shared" si="3"/>
        <v>0</v>
      </c>
      <c r="L24" s="257"/>
      <c r="M24" s="188">
        <f>M23+K24-L24</f>
        <v>3923.3177000000605</v>
      </c>
      <c r="N24" s="259"/>
      <c r="O24" s="209"/>
    </row>
    <row r="25" spans="1:15" x14ac:dyDescent="0.25">
      <c r="A25" s="189">
        <v>22</v>
      </c>
      <c r="B25" s="184">
        <v>46317</v>
      </c>
      <c r="C25" s="185"/>
      <c r="D25" s="186"/>
      <c r="E25" s="37"/>
      <c r="F25" s="37"/>
      <c r="G25" s="166">
        <f t="shared" si="0"/>
        <v>0</v>
      </c>
      <c r="H25" s="167"/>
      <c r="I25" s="168"/>
      <c r="J25" s="166">
        <f t="shared" si="2"/>
        <v>0</v>
      </c>
      <c r="K25" s="166">
        <f t="shared" si="3"/>
        <v>0</v>
      </c>
      <c r="L25" s="257"/>
      <c r="M25" s="188">
        <f t="shared" si="1"/>
        <v>3923.3177000000605</v>
      </c>
      <c r="N25" s="259"/>
      <c r="O25" s="209"/>
    </row>
    <row r="26" spans="1:15" x14ac:dyDescent="0.25">
      <c r="A26" s="189">
        <v>23</v>
      </c>
      <c r="B26" s="184">
        <v>46318</v>
      </c>
      <c r="C26" s="185"/>
      <c r="D26" s="186"/>
      <c r="E26" s="37"/>
      <c r="F26" s="37"/>
      <c r="G26" s="166">
        <f t="shared" si="0"/>
        <v>0</v>
      </c>
      <c r="H26" s="167"/>
      <c r="I26" s="168"/>
      <c r="J26" s="166">
        <f t="shared" si="2"/>
        <v>0</v>
      </c>
      <c r="K26" s="166">
        <f t="shared" si="3"/>
        <v>0</v>
      </c>
      <c r="L26" s="257"/>
      <c r="M26" s="188">
        <f t="shared" si="1"/>
        <v>3923.3177000000605</v>
      </c>
      <c r="N26" s="259"/>
      <c r="O26" s="209"/>
    </row>
    <row r="27" spans="1:15" x14ac:dyDescent="0.25">
      <c r="A27" s="189">
        <v>24</v>
      </c>
      <c r="B27" s="184">
        <v>46319</v>
      </c>
      <c r="C27" s="185"/>
      <c r="D27" s="186"/>
      <c r="E27" s="37"/>
      <c r="F27" s="37"/>
      <c r="G27" s="166">
        <f t="shared" si="0"/>
        <v>0</v>
      </c>
      <c r="H27" s="167"/>
      <c r="I27" s="168"/>
      <c r="J27" s="166">
        <f t="shared" si="2"/>
        <v>0</v>
      </c>
      <c r="K27" s="166">
        <f t="shared" si="3"/>
        <v>0</v>
      </c>
      <c r="L27" s="257"/>
      <c r="M27" s="188">
        <f t="shared" si="1"/>
        <v>3923.3177000000605</v>
      </c>
      <c r="N27" s="259"/>
      <c r="O27" s="209"/>
    </row>
    <row r="28" spans="1:15" x14ac:dyDescent="0.25">
      <c r="A28" s="189">
        <v>25</v>
      </c>
      <c r="B28" s="184">
        <v>46320</v>
      </c>
      <c r="C28" s="185"/>
      <c r="D28" s="186"/>
      <c r="E28" s="37"/>
      <c r="F28" s="37"/>
      <c r="G28" s="166">
        <f t="shared" si="0"/>
        <v>0</v>
      </c>
      <c r="H28" s="167"/>
      <c r="I28" s="168"/>
      <c r="J28" s="166">
        <f t="shared" si="2"/>
        <v>0</v>
      </c>
      <c r="K28" s="166">
        <f t="shared" si="3"/>
        <v>0</v>
      </c>
      <c r="L28" s="257"/>
      <c r="M28" s="188">
        <f t="shared" si="1"/>
        <v>3923.3177000000605</v>
      </c>
      <c r="N28" s="259"/>
      <c r="O28" s="209"/>
    </row>
    <row r="29" spans="1:15" x14ac:dyDescent="0.25">
      <c r="A29" s="189">
        <v>26</v>
      </c>
      <c r="B29" s="184">
        <v>46321</v>
      </c>
      <c r="C29" s="185"/>
      <c r="D29" s="186"/>
      <c r="E29" s="37"/>
      <c r="F29" s="37"/>
      <c r="G29" s="166">
        <f t="shared" si="0"/>
        <v>0</v>
      </c>
      <c r="H29" s="167"/>
      <c r="I29" s="168"/>
      <c r="J29" s="166">
        <f t="shared" si="2"/>
        <v>0</v>
      </c>
      <c r="K29" s="166">
        <f t="shared" si="3"/>
        <v>0</v>
      </c>
      <c r="L29" s="257"/>
      <c r="M29" s="188">
        <f t="shared" si="1"/>
        <v>3923.3177000000605</v>
      </c>
      <c r="N29" s="259"/>
      <c r="O29" s="209"/>
    </row>
    <row r="30" spans="1:15" x14ac:dyDescent="0.25">
      <c r="A30" s="189">
        <v>27</v>
      </c>
      <c r="B30" s="184">
        <v>46322</v>
      </c>
      <c r="C30" s="185"/>
      <c r="D30" s="186"/>
      <c r="E30" s="37"/>
      <c r="F30" s="37"/>
      <c r="G30" s="166">
        <f t="shared" si="0"/>
        <v>0</v>
      </c>
      <c r="H30" s="167"/>
      <c r="I30" s="168"/>
      <c r="J30" s="166">
        <f t="shared" si="2"/>
        <v>0</v>
      </c>
      <c r="K30" s="166">
        <f t="shared" si="3"/>
        <v>0</v>
      </c>
      <c r="L30" s="257"/>
      <c r="M30" s="188">
        <f t="shared" si="1"/>
        <v>3923.3177000000605</v>
      </c>
      <c r="N30" s="259"/>
      <c r="O30" s="209"/>
    </row>
    <row r="31" spans="1:15" x14ac:dyDescent="0.25">
      <c r="A31" s="189">
        <v>28</v>
      </c>
      <c r="B31" s="184">
        <v>46323</v>
      </c>
      <c r="C31" s="185"/>
      <c r="D31" s="186"/>
      <c r="E31" s="37"/>
      <c r="F31" s="37"/>
      <c r="G31" s="166">
        <f t="shared" si="0"/>
        <v>0</v>
      </c>
      <c r="H31" s="167"/>
      <c r="I31" s="168"/>
      <c r="J31" s="166">
        <f t="shared" si="2"/>
        <v>0</v>
      </c>
      <c r="K31" s="166">
        <f t="shared" si="3"/>
        <v>0</v>
      </c>
      <c r="L31" s="257"/>
      <c r="M31" s="188">
        <f t="shared" si="1"/>
        <v>3923.3177000000605</v>
      </c>
      <c r="N31" s="166"/>
      <c r="O31" s="209"/>
    </row>
    <row r="32" spans="1:15" x14ac:dyDescent="0.25">
      <c r="A32" s="189">
        <v>29</v>
      </c>
      <c r="B32" s="184">
        <v>46324</v>
      </c>
      <c r="C32" s="185"/>
      <c r="D32" s="186"/>
      <c r="E32" s="37"/>
      <c r="F32" s="37"/>
      <c r="G32" s="166">
        <f t="shared" si="0"/>
        <v>0</v>
      </c>
      <c r="H32" s="167"/>
      <c r="I32" s="168"/>
      <c r="J32" s="166">
        <f t="shared" si="2"/>
        <v>0</v>
      </c>
      <c r="K32" s="166">
        <f t="shared" si="3"/>
        <v>0</v>
      </c>
      <c r="L32" s="257"/>
      <c r="M32" s="188">
        <f t="shared" si="1"/>
        <v>3923.3177000000605</v>
      </c>
      <c r="N32" s="166"/>
      <c r="O32" s="209"/>
    </row>
    <row r="33" spans="1:15" x14ac:dyDescent="0.25">
      <c r="A33" s="189">
        <v>30</v>
      </c>
      <c r="B33" s="184">
        <v>46325</v>
      </c>
      <c r="C33" s="185"/>
      <c r="D33" s="186"/>
      <c r="E33" s="186"/>
      <c r="F33" s="37"/>
      <c r="G33" s="166">
        <f t="shared" si="0"/>
        <v>0</v>
      </c>
      <c r="H33" s="167"/>
      <c r="I33" s="168"/>
      <c r="J33" s="166">
        <f t="shared" si="2"/>
        <v>0</v>
      </c>
      <c r="K33" s="166">
        <f t="shared" si="3"/>
        <v>0</v>
      </c>
      <c r="L33" s="257"/>
      <c r="M33" s="188">
        <f t="shared" si="1"/>
        <v>3923.3177000000605</v>
      </c>
      <c r="N33" s="166"/>
      <c r="O33" s="209"/>
    </row>
    <row r="34" spans="1:15" x14ac:dyDescent="0.25">
      <c r="A34" s="189">
        <v>31</v>
      </c>
      <c r="B34" s="184">
        <v>46326</v>
      </c>
      <c r="C34" s="260"/>
      <c r="D34" s="205"/>
      <c r="E34" s="261"/>
      <c r="F34" s="261"/>
      <c r="G34" s="262">
        <f t="shared" si="0"/>
        <v>0</v>
      </c>
      <c r="H34" s="263"/>
      <c r="I34" s="264"/>
      <c r="J34" s="262">
        <f t="shared" si="2"/>
        <v>0</v>
      </c>
      <c r="K34" s="262">
        <f t="shared" si="3"/>
        <v>0</v>
      </c>
      <c r="L34" s="188"/>
      <c r="M34" s="188">
        <f t="shared" si="1"/>
        <v>3923.3177000000605</v>
      </c>
      <c r="N34" s="166"/>
      <c r="O34" s="209"/>
    </row>
    <row r="35" spans="1:15" x14ac:dyDescent="0.25">
      <c r="A35" s="189">
        <v>32</v>
      </c>
      <c r="B35" s="184"/>
      <c r="C35" s="185"/>
      <c r="D35" s="186"/>
      <c r="E35" s="37"/>
      <c r="F35" s="37"/>
      <c r="G35" s="166">
        <f t="shared" si="0"/>
        <v>0</v>
      </c>
      <c r="H35" s="167"/>
      <c r="I35" s="168"/>
      <c r="J35" s="166">
        <f t="shared" si="2"/>
        <v>0</v>
      </c>
      <c r="K35" s="166">
        <f t="shared" si="3"/>
        <v>0</v>
      </c>
      <c r="L35" s="188"/>
      <c r="M35" s="188">
        <f t="shared" si="1"/>
        <v>3923.3177000000605</v>
      </c>
      <c r="N35" s="166"/>
      <c r="O35" s="209"/>
    </row>
    <row r="36" spans="1:15" x14ac:dyDescent="0.25">
      <c r="A36" s="189">
        <v>33</v>
      </c>
      <c r="B36" s="184"/>
      <c r="C36" s="185"/>
      <c r="D36" s="186"/>
      <c r="E36" s="165"/>
      <c r="F36" s="37"/>
      <c r="G36" s="166">
        <f t="shared" si="0"/>
        <v>0</v>
      </c>
      <c r="H36" s="167"/>
      <c r="I36" s="168"/>
      <c r="J36" s="166">
        <f t="shared" si="2"/>
        <v>0</v>
      </c>
      <c r="K36" s="166">
        <f t="shared" si="3"/>
        <v>0</v>
      </c>
      <c r="L36" s="188"/>
      <c r="M36" s="188">
        <f t="shared" si="1"/>
        <v>3923.3177000000605</v>
      </c>
      <c r="N36" s="166"/>
      <c r="O36" s="209"/>
    </row>
    <row r="37" spans="1:15" x14ac:dyDescent="0.25">
      <c r="A37" s="169"/>
      <c r="B37" s="169"/>
      <c r="C37" s="169"/>
      <c r="D37" s="169"/>
      <c r="E37" s="170">
        <f>SUM(E4:E36)</f>
        <v>1222.54</v>
      </c>
      <c r="F37" s="170"/>
      <c r="G37" s="171">
        <f>SUM(G4:G36)</f>
        <v>128623.4334</v>
      </c>
      <c r="H37" s="171">
        <f>SUM(H4:H36)</f>
        <v>55</v>
      </c>
      <c r="I37" s="171"/>
      <c r="J37" s="171">
        <f>SUM(J4:J36)</f>
        <v>6466.9</v>
      </c>
      <c r="K37" s="171">
        <f>SUM(K4:K36)</f>
        <v>135090.3334</v>
      </c>
      <c r="L37" s="171">
        <f>SUM(L4:L36)</f>
        <v>423000</v>
      </c>
      <c r="M37" s="171"/>
      <c r="N37" s="171"/>
      <c r="O37" s="208"/>
    </row>
    <row r="38" spans="1:15" x14ac:dyDescent="0.25">
      <c r="A38" s="211"/>
      <c r="B38" s="212"/>
      <c r="C38" s="211"/>
      <c r="D38" s="211"/>
      <c r="E38" s="213"/>
      <c r="F38" s="213"/>
      <c r="G38" s="213"/>
      <c r="H38" s="213"/>
      <c r="I38" s="213"/>
      <c r="J38" s="214"/>
      <c r="K38" s="214"/>
      <c r="L38" s="214"/>
      <c r="M38" s="214"/>
      <c r="N38" s="213"/>
      <c r="O38" s="209"/>
    </row>
    <row r="39" spans="15:15" x14ac:dyDescent="0.25">
      <c r="O39" s="209"/>
    </row>
    <row r="40" spans="15:15" x14ac:dyDescent="0.25">
      <c r="O40" s="209"/>
    </row>
    <row r="41" spans="15:15" x14ac:dyDescent="0.25">
      <c r="O41" s="209"/>
    </row>
    <row r="42" spans="15:15" x14ac:dyDescent="0.25">
      <c r="O42" s="209"/>
    </row>
    <row r="43" spans="15:15" x14ac:dyDescent="0.25">
      <c r="O43" s="209"/>
    </row>
    <row r="44" spans="1:15" x14ac:dyDescent="0.25">
      <c r="A44" s="209"/>
      <c r="B44" s="208"/>
      <c r="C44" s="209"/>
      <c r="D44" s="209"/>
      <c r="E44" s="209"/>
      <c r="F44" s="209"/>
      <c r="G44" s="213"/>
      <c r="H44" s="209"/>
      <c r="I44" s="209"/>
      <c r="J44" s="208"/>
      <c r="K44" s="208"/>
      <c r="L44" s="208"/>
      <c r="M44" s="208"/>
      <c r="N44" s="209"/>
      <c r="O44" s="213"/>
    </row>
    <row r="45" spans="1:15" x14ac:dyDescent="0.25">
      <c r="A45" s="209"/>
      <c r="B45" s="209"/>
      <c r="C45" s="209"/>
      <c r="D45" s="209"/>
      <c r="E45" s="209"/>
      <c r="F45" s="209"/>
      <c r="G45" s="209"/>
      <c r="H45" s="209"/>
      <c r="I45" s="209"/>
      <c r="J45" s="209"/>
      <c r="K45" s="209"/>
      <c r="L45" s="209"/>
      <c r="M45" s="209"/>
      <c r="N45" s="209"/>
      <c r="O45" s="213"/>
    </row>
    <row r="46" spans="1:15" x14ac:dyDescent="0.25">
      <c r="A46" s="209"/>
      <c r="B46" s="208"/>
      <c r="C46" s="209"/>
      <c r="D46" s="209"/>
      <c r="E46" s="209"/>
      <c r="F46" s="209"/>
      <c r="G46" s="209"/>
      <c r="H46" s="209"/>
      <c r="I46" s="209"/>
      <c r="J46" s="208"/>
      <c r="K46" s="208"/>
      <c r="L46" s="208"/>
      <c r="M46" s="208"/>
      <c r="N46" s="209"/>
      <c r="O46" s="213"/>
    </row>
  </sheetData>
  <mergeCells count="4">
    <mergeCell ref="A1:N1"/>
    <mergeCell ref="A3:L3"/>
    <mergeCell ref="B45:E45"/>
    <mergeCell ref="I45:N45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"/>
  </sheetPr>
  <dimension ref="A1:R46"/>
  <sheetViews>
    <sheetView workbookViewId="0" zoomScale="100" zoomScaleNormal="100">
      <pane ySplit="3" topLeftCell="A4" activePane="bottomLeft" state="frozen"/>
      <selection pane="bottomLeft" activeCell="L18" sqref="L18"/>
    </sheetView>
  </sheetViews>
  <sheetFormatPr defaultRowHeight="15" outlineLevelRow="0" outlineLevelCol="0" x14ac:dyDescent="0"/>
  <cols>
    <col min="2" max="2" width="11.28515625" customWidth="1"/>
    <col min="4" max="4" width="9.28515625" customWidth="1"/>
    <col min="7" max="7" width="12.5703125" customWidth="1"/>
    <col min="10" max="10" width="16.85546875" customWidth="1"/>
    <col min="11" max="11" width="13.5703125" customWidth="1"/>
    <col min="12" max="12" width="18" customWidth="1"/>
    <col min="13" max="13" width="20" customWidth="1"/>
  </cols>
  <sheetData>
    <row r="1" ht="15.75" customHeight="1" spans="1:15" x14ac:dyDescent="0.25">
      <c r="A1" s="172" t="s">
        <v>196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207"/>
    </row>
    <row r="2" ht="30.75" customHeight="1" spans="1:15" x14ac:dyDescent="0.25">
      <c r="A2" s="173" t="s">
        <v>0</v>
      </c>
      <c r="B2" s="174" t="s">
        <v>167</v>
      </c>
      <c r="C2" s="174" t="s">
        <v>168</v>
      </c>
      <c r="D2" s="174" t="s">
        <v>189</v>
      </c>
      <c r="E2" s="174" t="s">
        <v>170</v>
      </c>
      <c r="F2" s="174" t="s">
        <v>171</v>
      </c>
      <c r="G2" s="174" t="s">
        <v>172</v>
      </c>
      <c r="H2" s="174" t="s">
        <v>173</v>
      </c>
      <c r="I2" s="174" t="s">
        <v>171</v>
      </c>
      <c r="J2" s="176" t="s">
        <v>172</v>
      </c>
      <c r="K2" s="177" t="s">
        <v>174</v>
      </c>
      <c r="L2" s="178" t="s">
        <v>175</v>
      </c>
      <c r="M2" s="179" t="s">
        <v>190</v>
      </c>
      <c r="N2" s="180" t="s">
        <v>177</v>
      </c>
      <c r="O2" s="208"/>
    </row>
    <row r="3" spans="1:16" x14ac:dyDescent="0.25">
      <c r="A3" s="148" t="s">
        <v>178</v>
      </c>
      <c r="B3" s="149"/>
      <c r="C3" s="126"/>
      <c r="D3" s="126"/>
      <c r="E3" s="126"/>
      <c r="F3" s="126"/>
      <c r="G3" s="126"/>
      <c r="H3" s="126"/>
      <c r="I3" s="126"/>
      <c r="J3" s="126"/>
      <c r="K3" s="149"/>
      <c r="L3" s="150"/>
      <c r="M3" s="181">
        <v>519637.7649999999</v>
      </c>
      <c r="N3" s="182"/>
      <c r="O3" s="208"/>
      <c r="P3" s="258"/>
    </row>
    <row r="4" spans="1:14" x14ac:dyDescent="0.25">
      <c r="A4" s="183">
        <v>1</v>
      </c>
      <c r="B4" s="184">
        <v>46296</v>
      </c>
      <c r="C4" s="185"/>
      <c r="D4" s="186"/>
      <c r="E4" s="165">
        <v>419</v>
      </c>
      <c r="F4" s="165">
        <v>105.25</v>
      </c>
      <c r="G4" s="166">
        <f t="shared" ref="G4:G36" si="0">E4*F4</f>
        <v>44099.75</v>
      </c>
      <c r="H4" s="167">
        <v>6</v>
      </c>
      <c r="I4" s="168">
        <v>117.58</v>
      </c>
      <c r="J4" s="166">
        <f>H4*I4</f>
        <v>705.48</v>
      </c>
      <c r="K4" s="259">
        <f>G4+J4</f>
        <v>44805.23</v>
      </c>
      <c r="L4" s="188"/>
      <c r="M4" s="188">
        <f>M3+K4-L4</f>
        <v>564442.9949999999</v>
      </c>
      <c r="N4" s="182"/>
    </row>
    <row r="5" spans="1:14" x14ac:dyDescent="0.25">
      <c r="A5" s="183">
        <v>2</v>
      </c>
      <c r="B5" s="184">
        <v>46297</v>
      </c>
      <c r="C5" s="185"/>
      <c r="D5" s="186"/>
      <c r="E5" s="165">
        <v>935</v>
      </c>
      <c r="F5" s="165">
        <v>105.25</v>
      </c>
      <c r="G5" s="166">
        <f t="shared" si="0"/>
        <v>98408.75</v>
      </c>
      <c r="H5" s="167">
        <v>10</v>
      </c>
      <c r="I5" s="168">
        <v>117.58</v>
      </c>
      <c r="J5" s="166">
        <f>H5*I5</f>
        <v>1175.8</v>
      </c>
      <c r="K5" s="259">
        <f>G5+J5</f>
        <v>99584.55</v>
      </c>
      <c r="L5" s="188"/>
      <c r="M5" s="188">
        <f t="shared" ref="M5:M36" si="1">M4+K5-L5</f>
        <v>664027.5449999999</v>
      </c>
      <c r="N5" s="182"/>
    </row>
    <row r="6" spans="1:14" x14ac:dyDescent="0.25">
      <c r="A6" s="189">
        <v>3</v>
      </c>
      <c r="B6" s="184">
        <v>46298</v>
      </c>
      <c r="C6" s="185"/>
      <c r="D6" s="37"/>
      <c r="E6" s="165"/>
      <c r="F6" s="165"/>
      <c r="G6" s="166">
        <f t="shared" si="0"/>
        <v>0</v>
      </c>
      <c r="H6" s="167"/>
      <c r="I6" s="168"/>
      <c r="J6" s="166">
        <f t="shared" ref="J6:J36" si="2">H6*I6</f>
        <v>0</v>
      </c>
      <c r="K6" s="259">
        <f t="shared" ref="K6:K36" si="3">G6+J6</f>
        <v>0</v>
      </c>
      <c r="L6" s="188">
        <v>300000</v>
      </c>
      <c r="M6" s="188">
        <f t="shared" si="1"/>
        <v>364027.5449999999</v>
      </c>
      <c r="N6" s="182"/>
    </row>
    <row r="7" spans="1:14" x14ac:dyDescent="0.25">
      <c r="A7" s="183">
        <v>4</v>
      </c>
      <c r="B7" s="184">
        <v>46299</v>
      </c>
      <c r="C7" s="185"/>
      <c r="D7" s="186"/>
      <c r="E7" s="165"/>
      <c r="F7" s="165"/>
      <c r="G7" s="166">
        <f t="shared" si="0"/>
        <v>0</v>
      </c>
      <c r="H7" s="267">
        <v>8</v>
      </c>
      <c r="I7" s="268">
        <v>117.58</v>
      </c>
      <c r="J7" s="166">
        <f t="shared" si="2"/>
        <v>940.64</v>
      </c>
      <c r="K7" s="259">
        <f t="shared" si="3"/>
        <v>940.64</v>
      </c>
      <c r="L7" s="188"/>
      <c r="M7" s="188">
        <f t="shared" si="1"/>
        <v>364968.18499999994</v>
      </c>
      <c r="N7" s="182"/>
    </row>
    <row r="8" spans="1:14" x14ac:dyDescent="0.25">
      <c r="A8" s="183">
        <v>5</v>
      </c>
      <c r="B8" s="184">
        <v>46300</v>
      </c>
      <c r="C8" s="185"/>
      <c r="D8" s="186"/>
      <c r="E8" s="165">
        <v>820</v>
      </c>
      <c r="F8" s="165">
        <v>105.25</v>
      </c>
      <c r="G8" s="269">
        <f t="shared" si="0"/>
        <v>86305</v>
      </c>
      <c r="H8" s="270">
        <v>8.5</v>
      </c>
      <c r="I8" s="268">
        <v>117.58</v>
      </c>
      <c r="J8" s="259">
        <f t="shared" si="2"/>
        <v>999.43</v>
      </c>
      <c r="K8" s="259">
        <f t="shared" si="3"/>
        <v>87304.43</v>
      </c>
      <c r="L8" s="188"/>
      <c r="M8" s="188">
        <f t="shared" si="1"/>
        <v>452272.61499999993</v>
      </c>
      <c r="N8" s="182"/>
    </row>
    <row r="9" spans="1:18" x14ac:dyDescent="0.25">
      <c r="A9" s="189">
        <v>6</v>
      </c>
      <c r="B9" s="184">
        <v>46301</v>
      </c>
      <c r="C9" s="185"/>
      <c r="D9" s="186"/>
      <c r="E9" s="165"/>
      <c r="F9" s="165"/>
      <c r="G9" s="269">
        <f t="shared" si="0"/>
        <v>0</v>
      </c>
      <c r="H9" s="271">
        <v>11</v>
      </c>
      <c r="I9" s="268">
        <v>117.58</v>
      </c>
      <c r="J9" s="259">
        <f t="shared" si="2"/>
        <v>1293.3799999999999</v>
      </c>
      <c r="K9" s="259">
        <f t="shared" si="3"/>
        <v>1293.3799999999999</v>
      </c>
      <c r="L9" s="188"/>
      <c r="M9" s="188">
        <f t="shared" si="1"/>
        <v>453565.99499999994</v>
      </c>
      <c r="N9" s="182"/>
      <c r="O9" s="209"/>
      <c r="R9" s="210"/>
    </row>
    <row r="10" spans="1:15" x14ac:dyDescent="0.25">
      <c r="A10" s="183">
        <v>7</v>
      </c>
      <c r="B10" s="184">
        <v>46302</v>
      </c>
      <c r="C10" s="185"/>
      <c r="D10" s="186"/>
      <c r="E10" s="165">
        <v>1042</v>
      </c>
      <c r="F10" s="165">
        <v>105.25</v>
      </c>
      <c r="G10" s="269">
        <f t="shared" si="0"/>
        <v>109670.5</v>
      </c>
      <c r="H10" s="190">
        <v>42.05</v>
      </c>
      <c r="I10" s="272">
        <v>117.58</v>
      </c>
      <c r="J10" s="259">
        <f t="shared" si="2"/>
        <v>4944.239</v>
      </c>
      <c r="K10" s="259">
        <f t="shared" si="3"/>
        <v>114614.739</v>
      </c>
      <c r="L10" s="188"/>
      <c r="M10" s="188">
        <f t="shared" si="1"/>
        <v>568180.7339999999</v>
      </c>
      <c r="N10" s="182"/>
      <c r="O10" s="209"/>
    </row>
    <row r="11" spans="1:15" x14ac:dyDescent="0.25">
      <c r="A11" s="183">
        <v>8</v>
      </c>
      <c r="B11" s="184">
        <v>46303</v>
      </c>
      <c r="C11" s="185"/>
      <c r="D11" s="186"/>
      <c r="E11" s="165">
        <v>254</v>
      </c>
      <c r="F11" s="165">
        <v>105.25</v>
      </c>
      <c r="G11" s="269">
        <f t="shared" si="0"/>
        <v>26733.5</v>
      </c>
      <c r="H11" s="190">
        <v>5</v>
      </c>
      <c r="I11" s="272">
        <v>117.58</v>
      </c>
      <c r="J11" s="259">
        <f t="shared" si="2"/>
        <v>587.9</v>
      </c>
      <c r="K11" s="259">
        <f t="shared" si="3"/>
        <v>27321.4</v>
      </c>
      <c r="L11" s="188">
        <v>100000</v>
      </c>
      <c r="M11" s="188">
        <f t="shared" si="1"/>
        <v>495502.13399999996</v>
      </c>
      <c r="N11" s="182"/>
      <c r="O11" s="209"/>
    </row>
    <row r="12" spans="1:15" x14ac:dyDescent="0.25">
      <c r="A12" s="189">
        <v>9</v>
      </c>
      <c r="B12" s="184">
        <v>46304</v>
      </c>
      <c r="C12" s="185"/>
      <c r="D12" s="186"/>
      <c r="E12" s="165"/>
      <c r="F12" s="165"/>
      <c r="G12" s="269">
        <f t="shared" si="0"/>
        <v>0</v>
      </c>
      <c r="H12" s="190"/>
      <c r="I12" s="272"/>
      <c r="J12" s="259">
        <f t="shared" si="2"/>
        <v>0</v>
      </c>
      <c r="K12" s="259">
        <f t="shared" si="3"/>
        <v>0</v>
      </c>
      <c r="L12" s="188"/>
      <c r="M12" s="188">
        <f t="shared" si="1"/>
        <v>495502.13399999996</v>
      </c>
      <c r="N12" s="182"/>
      <c r="O12" s="209"/>
    </row>
    <row r="13" spans="1:15" x14ac:dyDescent="0.25">
      <c r="A13" s="183">
        <v>10</v>
      </c>
      <c r="B13" s="184">
        <v>46305</v>
      </c>
      <c r="C13" s="185"/>
      <c r="D13" s="186"/>
      <c r="E13" s="165">
        <v>1080</v>
      </c>
      <c r="F13" s="165">
        <v>105.25</v>
      </c>
      <c r="G13" s="269">
        <f t="shared" si="0"/>
        <v>113670</v>
      </c>
      <c r="H13" s="190">
        <v>5</v>
      </c>
      <c r="I13" s="272">
        <v>117.58</v>
      </c>
      <c r="J13" s="259">
        <f t="shared" si="2"/>
        <v>587.9</v>
      </c>
      <c r="K13" s="259">
        <f t="shared" si="3"/>
        <v>114257.9</v>
      </c>
      <c r="L13" s="188">
        <v>300000</v>
      </c>
      <c r="M13" s="188">
        <f t="shared" si="1"/>
        <v>309760.034</v>
      </c>
      <c r="N13" s="182"/>
      <c r="O13" s="209"/>
    </row>
    <row r="14" spans="1:15" x14ac:dyDescent="0.25">
      <c r="A14" s="183">
        <v>11</v>
      </c>
      <c r="B14" s="184">
        <v>46306</v>
      </c>
      <c r="C14" s="260"/>
      <c r="D14" s="205"/>
      <c r="E14" s="206"/>
      <c r="F14" s="206"/>
      <c r="G14" s="273">
        <f t="shared" si="0"/>
        <v>0</v>
      </c>
      <c r="H14" s="167">
        <v>6</v>
      </c>
      <c r="I14" s="272">
        <v>117.58</v>
      </c>
      <c r="J14" s="274">
        <f t="shared" si="2"/>
        <v>705.48</v>
      </c>
      <c r="K14" s="166">
        <f t="shared" si="3"/>
        <v>705.48</v>
      </c>
      <c r="L14" s="188"/>
      <c r="M14" s="188">
        <f t="shared" si="1"/>
        <v>310465.51399999997</v>
      </c>
      <c r="N14" s="182"/>
      <c r="O14" s="209"/>
    </row>
    <row r="15" spans="1:15" x14ac:dyDescent="0.25">
      <c r="A15" s="189">
        <v>12</v>
      </c>
      <c r="B15" s="184">
        <v>46307</v>
      </c>
      <c r="C15" s="185"/>
      <c r="D15" s="186"/>
      <c r="E15" s="165">
        <v>360</v>
      </c>
      <c r="F15" s="165">
        <v>105.25</v>
      </c>
      <c r="G15" s="269">
        <f t="shared" si="0"/>
        <v>37890</v>
      </c>
      <c r="H15" s="167"/>
      <c r="I15" s="168"/>
      <c r="J15" s="259">
        <f t="shared" si="2"/>
        <v>0</v>
      </c>
      <c r="K15" s="166">
        <f>G15+J15</f>
        <v>37890</v>
      </c>
      <c r="L15" s="188"/>
      <c r="M15" s="188">
        <f t="shared" si="1"/>
        <v>348355.51399999997</v>
      </c>
      <c r="N15" s="182"/>
      <c r="O15" s="209"/>
    </row>
    <row r="16" spans="1:15" x14ac:dyDescent="0.25">
      <c r="A16" s="183">
        <v>13</v>
      </c>
      <c r="B16" s="184">
        <v>46308</v>
      </c>
      <c r="C16" s="185"/>
      <c r="D16" s="186"/>
      <c r="E16" s="165"/>
      <c r="F16" s="165"/>
      <c r="G16" s="269">
        <f t="shared" si="0"/>
        <v>0</v>
      </c>
      <c r="H16" s="167"/>
      <c r="I16" s="168"/>
      <c r="J16" s="259">
        <f t="shared" si="2"/>
        <v>0</v>
      </c>
      <c r="K16" s="166">
        <f t="shared" si="3"/>
        <v>0</v>
      </c>
      <c r="L16" s="188"/>
      <c r="M16" s="188">
        <f t="shared" si="1"/>
        <v>348355.51399999997</v>
      </c>
      <c r="N16" s="166"/>
      <c r="O16" s="209"/>
    </row>
    <row r="17" spans="1:15" x14ac:dyDescent="0.25">
      <c r="A17" s="183">
        <v>14</v>
      </c>
      <c r="B17" s="184">
        <v>46309</v>
      </c>
      <c r="C17" s="185"/>
      <c r="D17" s="186"/>
      <c r="E17" s="165">
        <v>800</v>
      </c>
      <c r="F17" s="165">
        <v>105.25</v>
      </c>
      <c r="G17" s="269">
        <f t="shared" si="0"/>
        <v>84200</v>
      </c>
      <c r="H17" s="167">
        <v>6</v>
      </c>
      <c r="I17" s="168">
        <v>117.58</v>
      </c>
      <c r="J17" s="259">
        <f t="shared" si="2"/>
        <v>705.48</v>
      </c>
      <c r="K17" s="166">
        <f t="shared" si="3"/>
        <v>84905.48</v>
      </c>
      <c r="L17" s="188"/>
      <c r="M17" s="188">
        <f t="shared" si="1"/>
        <v>433260.99399999995</v>
      </c>
      <c r="N17" s="166"/>
      <c r="O17" s="209"/>
    </row>
    <row r="18" spans="1:15" x14ac:dyDescent="0.25">
      <c r="A18" s="189">
        <v>15</v>
      </c>
      <c r="B18" s="184">
        <v>46310</v>
      </c>
      <c r="C18" s="185"/>
      <c r="D18" s="186"/>
      <c r="E18" s="165"/>
      <c r="F18" s="165"/>
      <c r="G18" s="269">
        <f t="shared" si="0"/>
        <v>0</v>
      </c>
      <c r="H18" s="167">
        <v>6</v>
      </c>
      <c r="I18" s="272">
        <v>117.58</v>
      </c>
      <c r="J18" s="259">
        <f t="shared" si="2"/>
        <v>705.48</v>
      </c>
      <c r="K18" s="166">
        <f t="shared" si="3"/>
        <v>705.48</v>
      </c>
      <c r="L18" s="188">
        <v>300000</v>
      </c>
      <c r="M18" s="188">
        <f t="shared" si="1"/>
        <v>133966.47399999993</v>
      </c>
      <c r="N18" s="166"/>
      <c r="O18" s="209"/>
    </row>
    <row r="19" spans="1:15" x14ac:dyDescent="0.25">
      <c r="A19" s="183">
        <v>16</v>
      </c>
      <c r="B19" s="184">
        <v>46311</v>
      </c>
      <c r="C19" s="185"/>
      <c r="D19" s="186"/>
      <c r="E19" s="275"/>
      <c r="F19" s="275"/>
      <c r="G19" s="276">
        <f t="shared" si="0"/>
        <v>0</v>
      </c>
      <c r="H19" s="167"/>
      <c r="I19" s="168"/>
      <c r="J19" s="277">
        <f t="shared" si="2"/>
        <v>0</v>
      </c>
      <c r="K19" s="253">
        <f t="shared" si="3"/>
        <v>0</v>
      </c>
      <c r="L19" s="252"/>
      <c r="M19" s="188">
        <f t="shared" si="1"/>
        <v>133966.47399999993</v>
      </c>
      <c r="N19" s="166"/>
      <c r="O19" s="209"/>
    </row>
    <row r="20" spans="1:15" x14ac:dyDescent="0.25">
      <c r="A20" s="183">
        <v>17</v>
      </c>
      <c r="B20" s="184">
        <v>46312</v>
      </c>
      <c r="C20" s="185"/>
      <c r="D20" s="278"/>
      <c r="E20" s="165"/>
      <c r="F20" s="165"/>
      <c r="G20" s="269">
        <f t="shared" si="0"/>
        <v>0</v>
      </c>
      <c r="H20" s="167"/>
      <c r="I20" s="168"/>
      <c r="J20" s="259">
        <f t="shared" si="2"/>
        <v>0</v>
      </c>
      <c r="K20" s="166">
        <f t="shared" si="3"/>
        <v>0</v>
      </c>
      <c r="L20" s="188"/>
      <c r="M20" s="188">
        <f t="shared" si="1"/>
        <v>133966.47399999993</v>
      </c>
      <c r="N20" s="259"/>
      <c r="O20" s="209"/>
    </row>
    <row r="21" spans="1:15" x14ac:dyDescent="0.25">
      <c r="A21" s="189">
        <v>18</v>
      </c>
      <c r="B21" s="184">
        <v>46313</v>
      </c>
      <c r="C21" s="185"/>
      <c r="D21" s="278"/>
      <c r="E21" s="165"/>
      <c r="F21" s="275"/>
      <c r="G21" s="269">
        <f t="shared" si="0"/>
        <v>0</v>
      </c>
      <c r="H21" s="167"/>
      <c r="I21" s="168"/>
      <c r="J21" s="259">
        <f t="shared" si="2"/>
        <v>0</v>
      </c>
      <c r="K21" s="166">
        <f t="shared" si="3"/>
        <v>0</v>
      </c>
      <c r="L21" s="188"/>
      <c r="M21" s="188">
        <f t="shared" si="1"/>
        <v>133966.47399999993</v>
      </c>
      <c r="N21" s="259"/>
      <c r="O21" s="209"/>
    </row>
    <row r="22" spans="1:15" x14ac:dyDescent="0.25">
      <c r="A22" s="183">
        <v>19</v>
      </c>
      <c r="B22" s="184">
        <v>46314</v>
      </c>
      <c r="C22" s="185"/>
      <c r="D22" s="278"/>
      <c r="E22" s="37"/>
      <c r="F22" s="37"/>
      <c r="G22" s="269">
        <f t="shared" si="0"/>
        <v>0</v>
      </c>
      <c r="H22" s="167"/>
      <c r="I22" s="168"/>
      <c r="J22" s="259">
        <f t="shared" si="2"/>
        <v>0</v>
      </c>
      <c r="K22" s="166">
        <f t="shared" si="3"/>
        <v>0</v>
      </c>
      <c r="L22" s="188"/>
      <c r="M22" s="188">
        <f t="shared" si="1"/>
        <v>133966.47399999993</v>
      </c>
      <c r="N22" s="259"/>
      <c r="O22" s="209"/>
    </row>
    <row r="23" spans="1:15" x14ac:dyDescent="0.25">
      <c r="A23" s="183">
        <v>20</v>
      </c>
      <c r="B23" s="184">
        <v>46315</v>
      </c>
      <c r="C23" s="185"/>
      <c r="D23" s="278"/>
      <c r="E23" s="37"/>
      <c r="F23" s="37"/>
      <c r="G23" s="269">
        <f t="shared" si="0"/>
        <v>0</v>
      </c>
      <c r="H23" s="167"/>
      <c r="I23" s="168"/>
      <c r="J23" s="259">
        <f t="shared" si="2"/>
        <v>0</v>
      </c>
      <c r="K23" s="166">
        <f t="shared" si="3"/>
        <v>0</v>
      </c>
      <c r="L23" s="188"/>
      <c r="M23" s="188">
        <f t="shared" si="1"/>
        <v>133966.47399999993</v>
      </c>
      <c r="N23" s="259"/>
      <c r="O23" s="209"/>
    </row>
    <row r="24" spans="1:15" x14ac:dyDescent="0.25">
      <c r="A24" s="189">
        <v>21</v>
      </c>
      <c r="B24" s="184">
        <v>46316</v>
      </c>
      <c r="C24" s="185"/>
      <c r="D24" s="278"/>
      <c r="E24" s="37"/>
      <c r="F24" s="37"/>
      <c r="G24" s="269">
        <f t="shared" si="0"/>
        <v>0</v>
      </c>
      <c r="H24" s="167"/>
      <c r="I24" s="168"/>
      <c r="J24" s="259">
        <f t="shared" si="2"/>
        <v>0</v>
      </c>
      <c r="K24" s="166">
        <f t="shared" si="3"/>
        <v>0</v>
      </c>
      <c r="L24" s="188"/>
      <c r="M24" s="188">
        <f t="shared" si="1"/>
        <v>133966.47399999993</v>
      </c>
      <c r="N24" s="259"/>
      <c r="O24" s="209"/>
    </row>
    <row r="25" spans="1:15" x14ac:dyDescent="0.25">
      <c r="A25" s="183">
        <v>22</v>
      </c>
      <c r="B25" s="184">
        <v>46317</v>
      </c>
      <c r="C25" s="185"/>
      <c r="D25" s="278"/>
      <c r="E25" s="37"/>
      <c r="F25" s="37"/>
      <c r="G25" s="269">
        <f t="shared" si="0"/>
        <v>0</v>
      </c>
      <c r="H25" s="256"/>
      <c r="I25" s="256"/>
      <c r="J25" s="259">
        <f t="shared" si="2"/>
        <v>0</v>
      </c>
      <c r="K25" s="166">
        <f t="shared" si="3"/>
        <v>0</v>
      </c>
      <c r="L25" s="188"/>
      <c r="M25" s="188">
        <f>M24+K25-L25</f>
        <v>133966.47399999993</v>
      </c>
      <c r="N25" s="259"/>
      <c r="O25" s="209"/>
    </row>
    <row r="26" spans="1:15" x14ac:dyDescent="0.25">
      <c r="A26" s="183">
        <v>23</v>
      </c>
      <c r="B26" s="184">
        <v>46318</v>
      </c>
      <c r="C26" s="185"/>
      <c r="D26" s="278"/>
      <c r="E26" s="37"/>
      <c r="F26" s="37"/>
      <c r="G26" s="269">
        <f t="shared" si="0"/>
        <v>0</v>
      </c>
      <c r="H26" s="256"/>
      <c r="I26" s="256"/>
      <c r="J26" s="259">
        <f t="shared" si="2"/>
        <v>0</v>
      </c>
      <c r="K26" s="166">
        <f t="shared" si="3"/>
        <v>0</v>
      </c>
      <c r="L26" s="188"/>
      <c r="M26" s="188">
        <f t="shared" si="1"/>
        <v>133966.47399999993</v>
      </c>
      <c r="N26" s="259"/>
      <c r="O26" s="209"/>
    </row>
    <row r="27" spans="1:15" x14ac:dyDescent="0.25">
      <c r="A27" s="189">
        <v>24</v>
      </c>
      <c r="B27" s="184">
        <v>46319</v>
      </c>
      <c r="C27" s="185"/>
      <c r="D27" s="278"/>
      <c r="E27" s="37"/>
      <c r="F27" s="37"/>
      <c r="G27" s="269">
        <f t="shared" si="0"/>
        <v>0</v>
      </c>
      <c r="H27" s="167"/>
      <c r="I27" s="168"/>
      <c r="J27" s="259">
        <f t="shared" si="2"/>
        <v>0</v>
      </c>
      <c r="K27" s="166">
        <f t="shared" si="3"/>
        <v>0</v>
      </c>
      <c r="L27" s="188"/>
      <c r="M27" s="188">
        <f t="shared" si="1"/>
        <v>133966.47399999993</v>
      </c>
      <c r="N27" s="259"/>
      <c r="O27" s="209"/>
    </row>
    <row r="28" spans="1:15" x14ac:dyDescent="0.25">
      <c r="A28" s="183">
        <v>25</v>
      </c>
      <c r="B28" s="184">
        <v>46320</v>
      </c>
      <c r="C28" s="185"/>
      <c r="D28" s="278"/>
      <c r="E28" s="37"/>
      <c r="F28" s="37"/>
      <c r="G28" s="269">
        <f t="shared" si="0"/>
        <v>0</v>
      </c>
      <c r="H28" s="167"/>
      <c r="I28" s="168"/>
      <c r="J28" s="259">
        <f t="shared" si="2"/>
        <v>0</v>
      </c>
      <c r="K28" s="166">
        <f t="shared" si="3"/>
        <v>0</v>
      </c>
      <c r="L28" s="188"/>
      <c r="M28" s="188">
        <f t="shared" si="1"/>
        <v>133966.47399999993</v>
      </c>
      <c r="N28" s="259"/>
      <c r="O28" s="209"/>
    </row>
    <row r="29" spans="1:15" x14ac:dyDescent="0.25">
      <c r="A29" s="183">
        <v>26</v>
      </c>
      <c r="B29" s="184">
        <v>46321</v>
      </c>
      <c r="C29" s="185"/>
      <c r="D29" s="278"/>
      <c r="E29" s="37"/>
      <c r="F29" s="37"/>
      <c r="G29" s="269">
        <f t="shared" ref="G29" si="4">E29*F29</f>
        <v>0</v>
      </c>
      <c r="H29" s="167"/>
      <c r="I29" s="168"/>
      <c r="J29" s="259">
        <f t="shared" ref="J29" si="5">H29*I29</f>
        <v>0</v>
      </c>
      <c r="K29" s="166">
        <f t="shared" si="3"/>
        <v>0</v>
      </c>
      <c r="L29" s="188"/>
      <c r="M29" s="188">
        <f t="shared" si="1"/>
        <v>133966.47399999993</v>
      </c>
      <c r="N29" s="259"/>
      <c r="O29" s="209"/>
    </row>
    <row r="30" spans="1:15" x14ac:dyDescent="0.25">
      <c r="A30" s="189">
        <v>27</v>
      </c>
      <c r="B30" s="184">
        <v>46322</v>
      </c>
      <c r="C30" s="185"/>
      <c r="D30" s="278"/>
      <c r="E30" s="37"/>
      <c r="F30" s="37"/>
      <c r="G30" s="269">
        <f t="shared" si="0"/>
        <v>0</v>
      </c>
      <c r="H30" s="167"/>
      <c r="I30" s="168"/>
      <c r="J30" s="259">
        <f t="shared" si="2"/>
        <v>0</v>
      </c>
      <c r="K30" s="166">
        <f t="shared" si="3"/>
        <v>0</v>
      </c>
      <c r="L30" s="188"/>
      <c r="M30" s="188">
        <f t="shared" si="1"/>
        <v>133966.47399999993</v>
      </c>
      <c r="N30" s="259"/>
      <c r="O30" s="209"/>
    </row>
    <row r="31" spans="1:15" x14ac:dyDescent="0.25">
      <c r="A31" s="183">
        <v>28</v>
      </c>
      <c r="B31" s="184">
        <v>46323</v>
      </c>
      <c r="C31" s="185"/>
      <c r="D31" s="186"/>
      <c r="E31" s="37"/>
      <c r="F31" s="37"/>
      <c r="G31" s="273">
        <f t="shared" si="0"/>
        <v>0</v>
      </c>
      <c r="H31" s="167"/>
      <c r="I31" s="168"/>
      <c r="J31" s="274">
        <f t="shared" si="2"/>
        <v>0</v>
      </c>
      <c r="K31" s="262">
        <f t="shared" si="3"/>
        <v>0</v>
      </c>
      <c r="L31" s="279"/>
      <c r="M31" s="188">
        <f t="shared" si="1"/>
        <v>133966.47399999993</v>
      </c>
      <c r="N31" s="166"/>
      <c r="O31" s="209"/>
    </row>
    <row r="32" spans="1:15" x14ac:dyDescent="0.25">
      <c r="A32" s="183">
        <v>29</v>
      </c>
      <c r="B32" s="184">
        <v>46324</v>
      </c>
      <c r="C32" s="185"/>
      <c r="D32" s="186"/>
      <c r="E32" s="186"/>
      <c r="F32" s="37"/>
      <c r="G32" s="269">
        <f t="shared" si="0"/>
        <v>0</v>
      </c>
      <c r="H32" s="167"/>
      <c r="I32" s="168"/>
      <c r="J32" s="259">
        <f t="shared" si="2"/>
        <v>0</v>
      </c>
      <c r="K32" s="166">
        <f t="shared" si="3"/>
        <v>0</v>
      </c>
      <c r="L32" s="188"/>
      <c r="M32" s="188">
        <f t="shared" si="1"/>
        <v>133966.47399999993</v>
      </c>
      <c r="N32" s="166"/>
      <c r="O32" s="209"/>
    </row>
    <row r="33" spans="1:15" x14ac:dyDescent="0.25">
      <c r="A33" s="189">
        <v>30</v>
      </c>
      <c r="B33" s="184">
        <v>46325</v>
      </c>
      <c r="C33" s="185"/>
      <c r="D33" s="186"/>
      <c r="E33" s="186"/>
      <c r="F33" s="37"/>
      <c r="G33" s="269">
        <f t="shared" si="0"/>
        <v>0</v>
      </c>
      <c r="H33" s="167"/>
      <c r="I33" s="168"/>
      <c r="J33" s="259">
        <f t="shared" si="2"/>
        <v>0</v>
      </c>
      <c r="K33" s="166">
        <f t="shared" si="3"/>
        <v>0</v>
      </c>
      <c r="L33" s="188"/>
      <c r="M33" s="188">
        <f t="shared" si="1"/>
        <v>133966.47399999993</v>
      </c>
      <c r="N33" s="166"/>
      <c r="O33" s="209"/>
    </row>
    <row r="34" spans="1:15" x14ac:dyDescent="0.25">
      <c r="A34" s="183">
        <v>31</v>
      </c>
      <c r="B34" s="184">
        <v>46326</v>
      </c>
      <c r="C34" s="185"/>
      <c r="D34" s="186"/>
      <c r="E34" s="37"/>
      <c r="F34" s="37"/>
      <c r="G34" s="269">
        <f t="shared" si="0"/>
        <v>0</v>
      </c>
      <c r="H34" s="167"/>
      <c r="I34" s="168"/>
      <c r="J34" s="259">
        <f t="shared" si="2"/>
        <v>0</v>
      </c>
      <c r="K34" s="166">
        <f t="shared" si="3"/>
        <v>0</v>
      </c>
      <c r="L34" s="188"/>
      <c r="M34" s="188">
        <f t="shared" si="1"/>
        <v>133966.47399999993</v>
      </c>
      <c r="N34" s="166"/>
      <c r="O34" s="209"/>
    </row>
    <row r="35" spans="1:15" x14ac:dyDescent="0.25">
      <c r="A35" s="183">
        <v>32</v>
      </c>
      <c r="B35" s="184"/>
      <c r="C35" s="185"/>
      <c r="D35" s="186"/>
      <c r="E35" s="37"/>
      <c r="F35" s="37"/>
      <c r="G35" s="269">
        <f t="shared" si="0"/>
        <v>0</v>
      </c>
      <c r="H35" s="167"/>
      <c r="I35" s="168"/>
      <c r="J35" s="259">
        <f t="shared" si="2"/>
        <v>0</v>
      </c>
      <c r="K35" s="166">
        <f t="shared" si="3"/>
        <v>0</v>
      </c>
      <c r="L35" s="188"/>
      <c r="M35" s="188">
        <f t="shared" si="1"/>
        <v>133966.47399999993</v>
      </c>
      <c r="N35" s="166"/>
      <c r="O35" s="209"/>
    </row>
    <row r="36" spans="1:15" x14ac:dyDescent="0.25">
      <c r="A36" s="189">
        <v>33</v>
      </c>
      <c r="B36" s="184"/>
      <c r="C36" s="185"/>
      <c r="D36" s="186"/>
      <c r="E36" s="165"/>
      <c r="F36" s="37"/>
      <c r="G36" s="166">
        <f t="shared" si="0"/>
        <v>0</v>
      </c>
      <c r="H36" s="263"/>
      <c r="I36" s="264"/>
      <c r="J36" s="166">
        <f t="shared" si="2"/>
        <v>0</v>
      </c>
      <c r="K36" s="166">
        <f t="shared" si="3"/>
        <v>0</v>
      </c>
      <c r="L36" s="188"/>
      <c r="M36" s="188">
        <f t="shared" si="1"/>
        <v>133966.47399999993</v>
      </c>
      <c r="N36" s="166"/>
      <c r="O36" s="209"/>
    </row>
    <row r="37" spans="1:15" x14ac:dyDescent="0.25">
      <c r="A37" s="169"/>
      <c r="B37" s="169"/>
      <c r="C37" s="169"/>
      <c r="D37" s="169"/>
      <c r="E37" s="170">
        <f>SUM(E4:E36)</f>
        <v>5710</v>
      </c>
      <c r="F37" s="170"/>
      <c r="G37" s="171">
        <f>SUM(G4:G36)</f>
        <v>600977.5</v>
      </c>
      <c r="H37" s="171">
        <f>SUM(H4:H36)</f>
        <v>113.55</v>
      </c>
      <c r="I37" s="171"/>
      <c r="J37" s="171">
        <f>SUM(J4:J36)</f>
        <v>13351.208999999997</v>
      </c>
      <c r="K37" s="171">
        <f>SUM(K4:K36)</f>
        <v>614328.709</v>
      </c>
      <c r="L37" s="171">
        <f>SUM(L4:L36)</f>
        <v>1000000</v>
      </c>
      <c r="M37" s="171"/>
      <c r="N37" s="171"/>
      <c r="O37" s="208"/>
    </row>
    <row r="38" spans="1:15" x14ac:dyDescent="0.25">
      <c r="A38" s="211"/>
      <c r="B38" s="212"/>
      <c r="C38" s="211"/>
      <c r="D38" s="211"/>
      <c r="E38" s="213"/>
      <c r="F38" s="213"/>
      <c r="G38" s="213"/>
      <c r="H38" s="213"/>
      <c r="I38" s="213"/>
      <c r="J38" s="214"/>
      <c r="K38" s="214"/>
      <c r="L38" s="214"/>
      <c r="M38" s="214"/>
      <c r="N38" s="213"/>
      <c r="O38" s="209"/>
    </row>
    <row r="39" spans="15:15" x14ac:dyDescent="0.25">
      <c r="O39" s="209"/>
    </row>
    <row r="40" spans="15:15" x14ac:dyDescent="0.25">
      <c r="O40" s="209"/>
    </row>
    <row r="41" spans="15:15" x14ac:dyDescent="0.25">
      <c r="O41" s="209"/>
    </row>
    <row r="42" spans="15:15" x14ac:dyDescent="0.25">
      <c r="O42" s="209"/>
    </row>
    <row r="43" spans="15:15" x14ac:dyDescent="0.25">
      <c r="O43" s="209"/>
    </row>
    <row r="44" spans="1:15" x14ac:dyDescent="0.25">
      <c r="A44" s="209"/>
      <c r="B44" s="208"/>
      <c r="C44" s="209"/>
      <c r="D44" s="209"/>
      <c r="E44" s="209"/>
      <c r="F44" s="209"/>
      <c r="G44" s="213"/>
      <c r="H44" s="209"/>
      <c r="I44" s="209"/>
      <c r="J44" s="208"/>
      <c r="K44" s="208"/>
      <c r="L44" s="208"/>
      <c r="M44" s="208"/>
      <c r="N44" s="209"/>
      <c r="O44" s="213"/>
    </row>
    <row r="45" spans="1:15" x14ac:dyDescent="0.25">
      <c r="A45" s="209"/>
      <c r="B45" s="209"/>
      <c r="C45" s="209"/>
      <c r="D45" s="209"/>
      <c r="E45" s="209"/>
      <c r="F45" s="209"/>
      <c r="G45" s="209"/>
      <c r="H45" s="209"/>
      <c r="I45" s="209"/>
      <c r="J45" s="209"/>
      <c r="K45" s="209"/>
      <c r="L45" s="209"/>
      <c r="M45" s="209"/>
      <c r="N45" s="209"/>
      <c r="O45" s="213"/>
    </row>
    <row r="46" spans="1:15" x14ac:dyDescent="0.25">
      <c r="A46" s="209"/>
      <c r="B46" s="208"/>
      <c r="C46" s="209"/>
      <c r="D46" s="209"/>
      <c r="E46" s="209"/>
      <c r="F46" s="209"/>
      <c r="G46" s="209"/>
      <c r="H46" s="209"/>
      <c r="I46" s="209"/>
      <c r="J46" s="208"/>
      <c r="K46" s="208"/>
      <c r="L46" s="208"/>
      <c r="M46" s="208"/>
      <c r="N46" s="209"/>
      <c r="O46" s="213"/>
    </row>
  </sheetData>
  <mergeCells count="4">
    <mergeCell ref="A1:N1"/>
    <mergeCell ref="A3:L3"/>
    <mergeCell ref="B45:E45"/>
    <mergeCell ref="I45:N45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"/>
  </sheetPr>
  <dimension ref="A1:R46"/>
  <sheetViews>
    <sheetView workbookViewId="0" zoomScale="100" zoomScaleNormal="100">
      <pane ySplit="3" topLeftCell="A4" activePane="bottomLeft" state="frozen"/>
      <selection pane="bottomLeft" activeCell="G18" sqref="G18"/>
    </sheetView>
  </sheetViews>
  <sheetFormatPr defaultRowHeight="15" outlineLevelRow="0" outlineLevelCol="0" x14ac:dyDescent="0"/>
  <cols>
    <col min="2" max="2" width="11.85546875" customWidth="1"/>
    <col min="4" max="4" width="11.7109375" customWidth="1"/>
    <col min="7" max="7" width="14.28515625" customWidth="1"/>
    <col min="9" max="9" width="8.140625" customWidth="1"/>
    <col min="11" max="12" width="13.5703125" customWidth="1"/>
    <col min="13" max="13" width="11.85546875" customWidth="1"/>
    <col min="14" max="14" width="9.42578125" customWidth="1"/>
  </cols>
  <sheetData>
    <row r="1" ht="15.75" customHeight="1" spans="1:15" x14ac:dyDescent="0.25">
      <c r="A1" s="172" t="s">
        <v>197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207"/>
    </row>
    <row r="2" ht="30.75" customHeight="1" spans="1:15" x14ac:dyDescent="0.25">
      <c r="A2" s="173" t="s">
        <v>0</v>
      </c>
      <c r="B2" s="174" t="s">
        <v>167</v>
      </c>
      <c r="C2" s="174" t="s">
        <v>168</v>
      </c>
      <c r="D2" s="174" t="s">
        <v>189</v>
      </c>
      <c r="E2" s="175" t="s">
        <v>170</v>
      </c>
      <c r="F2" s="175" t="s">
        <v>171</v>
      </c>
      <c r="G2" s="174" t="s">
        <v>172</v>
      </c>
      <c r="H2" s="174" t="s">
        <v>173</v>
      </c>
      <c r="I2" s="174" t="s">
        <v>171</v>
      </c>
      <c r="J2" s="176" t="s">
        <v>172</v>
      </c>
      <c r="K2" s="177" t="s">
        <v>174</v>
      </c>
      <c r="L2" s="178" t="s">
        <v>175</v>
      </c>
      <c r="M2" s="179" t="s">
        <v>190</v>
      </c>
      <c r="N2" s="180" t="s">
        <v>177</v>
      </c>
      <c r="O2" s="208"/>
    </row>
    <row r="3" spans="1:15" x14ac:dyDescent="0.25">
      <c r="A3" s="148" t="s">
        <v>178</v>
      </c>
      <c r="B3" s="149"/>
      <c r="C3" s="126"/>
      <c r="D3" s="126"/>
      <c r="E3" s="126"/>
      <c r="F3" s="149"/>
      <c r="G3" s="149"/>
      <c r="H3" s="149"/>
      <c r="I3" s="149"/>
      <c r="J3" s="149"/>
      <c r="K3" s="149"/>
      <c r="L3" s="150"/>
      <c r="M3" s="181">
        <v>238901.5364</v>
      </c>
      <c r="N3" s="182"/>
      <c r="O3" s="208"/>
    </row>
    <row r="4" spans="1:14" x14ac:dyDescent="0.25">
      <c r="A4" s="183">
        <v>1</v>
      </c>
      <c r="B4" s="184">
        <v>46296</v>
      </c>
      <c r="C4" s="185"/>
      <c r="D4" s="186"/>
      <c r="E4" s="165">
        <v>227.72</v>
      </c>
      <c r="F4" s="204">
        <v>105.4</v>
      </c>
      <c r="G4" s="166">
        <f t="shared" ref="G4:G36" si="0">E4*F4</f>
        <v>24001.688000000002</v>
      </c>
      <c r="H4" s="167"/>
      <c r="I4" s="168"/>
      <c r="J4" s="166">
        <f>H4*I4</f>
        <v>0</v>
      </c>
      <c r="K4" s="166">
        <f>G4+J4</f>
        <v>24001.688000000002</v>
      </c>
      <c r="L4" s="188">
        <v>0</v>
      </c>
      <c r="M4" s="188">
        <f>M3+K4-L4</f>
        <v>262903.2244</v>
      </c>
      <c r="N4" s="182"/>
    </row>
    <row r="5" spans="1:14" x14ac:dyDescent="0.25">
      <c r="A5" s="183">
        <v>2</v>
      </c>
      <c r="B5" s="184">
        <v>46297</v>
      </c>
      <c r="C5" s="185"/>
      <c r="D5" s="186"/>
      <c r="E5" s="165">
        <v>100</v>
      </c>
      <c r="F5" s="204">
        <v>105.4</v>
      </c>
      <c r="G5" s="166">
        <f t="shared" si="0"/>
        <v>10540</v>
      </c>
      <c r="H5" s="167"/>
      <c r="I5" s="168"/>
      <c r="J5" s="166">
        <f>H5*I5</f>
        <v>0</v>
      </c>
      <c r="K5" s="166">
        <f>G5+J5</f>
        <v>10540</v>
      </c>
      <c r="L5" s="188"/>
      <c r="M5" s="188">
        <f t="shared" ref="M5:M36" si="1">M4+K5-L5</f>
        <v>273443.2244</v>
      </c>
      <c r="N5" s="182"/>
    </row>
    <row r="6" spans="1:14" x14ac:dyDescent="0.25">
      <c r="A6" s="189">
        <v>3</v>
      </c>
      <c r="B6" s="184">
        <v>46298</v>
      </c>
      <c r="C6" s="185"/>
      <c r="D6" s="37"/>
      <c r="E6" s="165">
        <v>199.01</v>
      </c>
      <c r="F6" s="204">
        <v>105.4</v>
      </c>
      <c r="G6" s="166">
        <f t="shared" si="0"/>
        <v>20975.654</v>
      </c>
      <c r="H6" s="267">
        <v>15</v>
      </c>
      <c r="I6" s="268">
        <v>117.74</v>
      </c>
      <c r="J6" s="166">
        <f t="shared" ref="J6:J36" si="2">H6*I6</f>
        <v>1766.1</v>
      </c>
      <c r="K6" s="166">
        <f t="shared" ref="K6:K36" si="3">G6+J6</f>
        <v>22741.753999999997</v>
      </c>
      <c r="L6" s="188"/>
      <c r="M6" s="188">
        <f t="shared" si="1"/>
        <v>296184.9784</v>
      </c>
      <c r="N6" s="182"/>
    </row>
    <row r="7" spans="1:14" x14ac:dyDescent="0.25">
      <c r="A7" s="183">
        <v>4</v>
      </c>
      <c r="B7" s="184">
        <v>46299</v>
      </c>
      <c r="C7" s="185"/>
      <c r="D7" s="186"/>
      <c r="E7" s="165">
        <v>140</v>
      </c>
      <c r="F7" s="204">
        <v>105.4</v>
      </c>
      <c r="G7" s="269">
        <f t="shared" si="0"/>
        <v>14756</v>
      </c>
      <c r="H7" s="167"/>
      <c r="I7" s="168"/>
      <c r="J7" s="259">
        <f t="shared" si="2"/>
        <v>0</v>
      </c>
      <c r="K7" s="166">
        <f t="shared" si="3"/>
        <v>14756</v>
      </c>
      <c r="L7" s="188"/>
      <c r="M7" s="188">
        <f t="shared" si="1"/>
        <v>310940.9784</v>
      </c>
      <c r="N7" s="182"/>
    </row>
    <row r="8" spans="1:14" x14ac:dyDescent="0.25">
      <c r="A8" s="183">
        <v>5</v>
      </c>
      <c r="B8" s="184">
        <v>46300</v>
      </c>
      <c r="C8" s="185"/>
      <c r="D8" s="186"/>
      <c r="E8" s="165">
        <v>152.33</v>
      </c>
      <c r="F8" s="204">
        <v>105.4</v>
      </c>
      <c r="G8" s="269">
        <f t="shared" si="0"/>
        <v>16055.582000000002</v>
      </c>
      <c r="H8" s="270"/>
      <c r="I8" s="270"/>
      <c r="J8" s="259">
        <f t="shared" si="2"/>
        <v>0</v>
      </c>
      <c r="K8" s="166">
        <f t="shared" si="3"/>
        <v>16055.582000000002</v>
      </c>
      <c r="L8" s="188"/>
      <c r="M8" s="188">
        <f t="shared" si="1"/>
        <v>326996.5604</v>
      </c>
      <c r="N8" s="182"/>
    </row>
    <row r="9" spans="1:18" x14ac:dyDescent="0.25">
      <c r="A9" s="189">
        <v>6</v>
      </c>
      <c r="B9" s="184">
        <v>46301</v>
      </c>
      <c r="C9" s="260"/>
      <c r="D9" s="205"/>
      <c r="E9" s="206">
        <v>43.27</v>
      </c>
      <c r="F9" s="204">
        <v>105.4</v>
      </c>
      <c r="G9" s="269">
        <f t="shared" si="0"/>
        <v>4560.658</v>
      </c>
      <c r="H9" s="271"/>
      <c r="I9" s="271"/>
      <c r="J9" s="259">
        <f t="shared" si="2"/>
        <v>0</v>
      </c>
      <c r="K9" s="166">
        <f t="shared" si="3"/>
        <v>4560.658</v>
      </c>
      <c r="L9" s="188"/>
      <c r="M9" s="188">
        <f t="shared" si="1"/>
        <v>331557.2184</v>
      </c>
      <c r="N9" s="182"/>
      <c r="O9" s="209"/>
      <c r="R9" s="210"/>
    </row>
    <row r="10" spans="1:15" x14ac:dyDescent="0.25">
      <c r="A10" s="183">
        <v>7</v>
      </c>
      <c r="B10" s="184">
        <v>46302</v>
      </c>
      <c r="C10" s="185"/>
      <c r="D10" s="186"/>
      <c r="E10" s="165">
        <v>300</v>
      </c>
      <c r="F10" s="165">
        <v>105.4</v>
      </c>
      <c r="G10" s="269">
        <f t="shared" si="0"/>
        <v>31620</v>
      </c>
      <c r="H10" s="190"/>
      <c r="I10" s="272"/>
      <c r="J10" s="259">
        <f t="shared" si="2"/>
        <v>0</v>
      </c>
      <c r="K10" s="166">
        <f t="shared" si="3"/>
        <v>31620</v>
      </c>
      <c r="L10" s="188"/>
      <c r="M10" s="188">
        <f t="shared" si="1"/>
        <v>363177.2184</v>
      </c>
      <c r="N10" s="182"/>
      <c r="O10" s="209"/>
    </row>
    <row r="11" spans="1:15" x14ac:dyDescent="0.25">
      <c r="A11" s="183">
        <v>8</v>
      </c>
      <c r="B11" s="184">
        <v>46303</v>
      </c>
      <c r="C11" s="185"/>
      <c r="D11" s="186"/>
      <c r="E11" s="165"/>
      <c r="F11" s="165"/>
      <c r="G11" s="269">
        <f t="shared" si="0"/>
        <v>0</v>
      </c>
      <c r="H11" s="190"/>
      <c r="I11" s="272"/>
      <c r="J11" s="259">
        <f t="shared" si="2"/>
        <v>0</v>
      </c>
      <c r="K11" s="166">
        <f t="shared" si="3"/>
        <v>0</v>
      </c>
      <c r="L11" s="188"/>
      <c r="M11" s="188">
        <f t="shared" si="1"/>
        <v>363177.2184</v>
      </c>
      <c r="N11" s="182"/>
      <c r="O11" s="209"/>
    </row>
    <row r="12" spans="1:15" x14ac:dyDescent="0.25">
      <c r="A12" s="189">
        <v>9</v>
      </c>
      <c r="B12" s="184">
        <v>46304</v>
      </c>
      <c r="C12" s="185"/>
      <c r="D12" s="186"/>
      <c r="E12" s="165">
        <v>200</v>
      </c>
      <c r="F12" s="165">
        <v>105.4</v>
      </c>
      <c r="G12" s="166">
        <f t="shared" si="0"/>
        <v>21080</v>
      </c>
      <c r="H12" s="280">
        <v>5.2</v>
      </c>
      <c r="I12" s="281">
        <v>117.74</v>
      </c>
      <c r="J12" s="166">
        <f t="shared" si="2"/>
        <v>612.248</v>
      </c>
      <c r="K12" s="166">
        <f t="shared" si="3"/>
        <v>21692.248</v>
      </c>
      <c r="L12" s="188"/>
      <c r="M12" s="188">
        <f t="shared" si="1"/>
        <v>384869.46640000003</v>
      </c>
      <c r="N12" s="182"/>
      <c r="O12" s="209"/>
    </row>
    <row r="13" spans="1:15" x14ac:dyDescent="0.25">
      <c r="A13" s="183">
        <v>10</v>
      </c>
      <c r="B13" s="184">
        <v>46305</v>
      </c>
      <c r="C13" s="185"/>
      <c r="D13" s="186"/>
      <c r="E13" s="165">
        <v>39.84</v>
      </c>
      <c r="F13" s="165">
        <v>105.4</v>
      </c>
      <c r="G13" s="166">
        <f t="shared" si="0"/>
        <v>4199.136</v>
      </c>
      <c r="H13" s="190"/>
      <c r="I13" s="272"/>
      <c r="J13" s="166">
        <f t="shared" si="2"/>
        <v>0</v>
      </c>
      <c r="K13" s="166">
        <f t="shared" si="3"/>
        <v>4199.136</v>
      </c>
      <c r="L13" s="188">
        <v>200000</v>
      </c>
      <c r="M13" s="188">
        <f t="shared" si="1"/>
        <v>189068.60240000003</v>
      </c>
      <c r="N13" s="182"/>
      <c r="O13" s="209"/>
    </row>
    <row r="14" spans="1:15" x14ac:dyDescent="0.25">
      <c r="A14" s="183">
        <v>11</v>
      </c>
      <c r="B14" s="184">
        <v>46306</v>
      </c>
      <c r="C14" s="185"/>
      <c r="D14" s="186"/>
      <c r="E14" s="165">
        <v>700</v>
      </c>
      <c r="F14" s="165">
        <v>105.4</v>
      </c>
      <c r="G14" s="166">
        <f t="shared" si="0"/>
        <v>73780</v>
      </c>
      <c r="H14" s="167">
        <v>20</v>
      </c>
      <c r="I14" s="272">
        <v>117.74</v>
      </c>
      <c r="J14" s="166">
        <f t="shared" si="2"/>
        <v>2354.7999999999997</v>
      </c>
      <c r="K14" s="166">
        <f t="shared" si="3"/>
        <v>76134.8</v>
      </c>
      <c r="L14" s="188"/>
      <c r="M14" s="188">
        <f t="shared" si="1"/>
        <v>265203.4024</v>
      </c>
      <c r="N14" s="182"/>
      <c r="O14" s="209"/>
    </row>
    <row r="15" spans="1:15" x14ac:dyDescent="0.25">
      <c r="A15" s="189">
        <v>12</v>
      </c>
      <c r="B15" s="184">
        <v>46307</v>
      </c>
      <c r="C15" s="185"/>
      <c r="D15" s="186"/>
      <c r="E15" s="165"/>
      <c r="F15" s="165"/>
      <c r="G15" s="166">
        <f t="shared" si="0"/>
        <v>0</v>
      </c>
      <c r="H15" s="167"/>
      <c r="I15" s="168"/>
      <c r="J15" s="166">
        <f t="shared" si="2"/>
        <v>0</v>
      </c>
      <c r="K15" s="166">
        <f>G15+J15</f>
        <v>0</v>
      </c>
      <c r="L15" s="188"/>
      <c r="M15" s="188">
        <f t="shared" si="1"/>
        <v>265203.4024</v>
      </c>
      <c r="N15" s="182"/>
      <c r="O15" s="209"/>
    </row>
    <row r="16" spans="1:15" x14ac:dyDescent="0.25">
      <c r="A16" s="183">
        <v>13</v>
      </c>
      <c r="B16" s="184">
        <v>46308</v>
      </c>
      <c r="C16" s="185"/>
      <c r="D16" s="186"/>
      <c r="E16" s="165"/>
      <c r="F16" s="165"/>
      <c r="G16" s="166">
        <f t="shared" si="0"/>
        <v>0</v>
      </c>
      <c r="H16" s="167"/>
      <c r="I16" s="168"/>
      <c r="J16" s="166">
        <f t="shared" si="2"/>
        <v>0</v>
      </c>
      <c r="K16" s="166">
        <f t="shared" si="3"/>
        <v>0</v>
      </c>
      <c r="L16" s="188"/>
      <c r="M16" s="188">
        <f t="shared" si="1"/>
        <v>265203.4024</v>
      </c>
      <c r="N16" s="166"/>
      <c r="O16" s="209"/>
    </row>
    <row r="17" spans="1:15" x14ac:dyDescent="0.25">
      <c r="A17" s="183">
        <v>14</v>
      </c>
      <c r="B17" s="184">
        <v>46309</v>
      </c>
      <c r="C17" s="185"/>
      <c r="D17" s="186"/>
      <c r="E17" s="165"/>
      <c r="F17" s="165"/>
      <c r="G17" s="166">
        <f t="shared" si="0"/>
        <v>0</v>
      </c>
      <c r="H17" s="167"/>
      <c r="I17" s="168"/>
      <c r="J17" s="166">
        <f t="shared" si="2"/>
        <v>0</v>
      </c>
      <c r="K17" s="166">
        <f t="shared" si="3"/>
        <v>0</v>
      </c>
      <c r="L17" s="188"/>
      <c r="M17" s="188">
        <f t="shared" si="1"/>
        <v>265203.4024</v>
      </c>
      <c r="N17" s="166"/>
      <c r="O17" s="209"/>
    </row>
    <row r="18" spans="1:15" x14ac:dyDescent="0.25">
      <c r="A18" s="189">
        <v>15</v>
      </c>
      <c r="B18" s="184">
        <v>46310</v>
      </c>
      <c r="C18" s="185"/>
      <c r="D18" s="186"/>
      <c r="E18" s="165">
        <v>150</v>
      </c>
      <c r="F18" s="165">
        <v>105.4</v>
      </c>
      <c r="G18" s="166">
        <f t="shared" si="0"/>
        <v>15810</v>
      </c>
      <c r="H18" s="167"/>
      <c r="I18" s="168"/>
      <c r="J18" s="166">
        <f t="shared" si="2"/>
        <v>0</v>
      </c>
      <c r="K18" s="166">
        <f t="shared" si="3"/>
        <v>15810</v>
      </c>
      <c r="L18" s="188"/>
      <c r="M18" s="188">
        <f t="shared" si="1"/>
        <v>281013.4024</v>
      </c>
      <c r="N18" s="166"/>
      <c r="O18" s="209"/>
    </row>
    <row r="19" spans="1:15" x14ac:dyDescent="0.25">
      <c r="A19" s="183">
        <v>16</v>
      </c>
      <c r="B19" s="184">
        <v>46311</v>
      </c>
      <c r="C19" s="185"/>
      <c r="D19" s="186"/>
      <c r="E19" s="275"/>
      <c r="F19" s="275"/>
      <c r="G19" s="253">
        <f t="shared" si="0"/>
        <v>0</v>
      </c>
      <c r="H19" s="167"/>
      <c r="I19" s="168"/>
      <c r="J19" s="253">
        <f t="shared" si="2"/>
        <v>0</v>
      </c>
      <c r="K19" s="253">
        <f t="shared" si="3"/>
        <v>0</v>
      </c>
      <c r="L19" s="188"/>
      <c r="M19" s="188">
        <f t="shared" si="1"/>
        <v>281013.4024</v>
      </c>
      <c r="N19" s="166"/>
      <c r="O19" s="209"/>
    </row>
    <row r="20" spans="1:15" x14ac:dyDescent="0.25">
      <c r="A20" s="183">
        <v>17</v>
      </c>
      <c r="B20" s="184">
        <v>46312</v>
      </c>
      <c r="C20" s="185"/>
      <c r="D20" s="278"/>
      <c r="E20" s="165"/>
      <c r="F20" s="165"/>
      <c r="G20" s="166">
        <f t="shared" si="0"/>
        <v>0</v>
      </c>
      <c r="H20" s="167"/>
      <c r="I20" s="168"/>
      <c r="J20" s="166">
        <f t="shared" si="2"/>
        <v>0</v>
      </c>
      <c r="K20" s="166">
        <f t="shared" si="3"/>
        <v>0</v>
      </c>
      <c r="L20" s="188"/>
      <c r="M20" s="188">
        <f t="shared" si="1"/>
        <v>281013.4024</v>
      </c>
      <c r="N20" s="259"/>
      <c r="O20" s="209"/>
    </row>
    <row r="21" spans="1:15" x14ac:dyDescent="0.25">
      <c r="A21" s="189">
        <v>18</v>
      </c>
      <c r="B21" s="184">
        <v>46313</v>
      </c>
      <c r="C21" s="185"/>
      <c r="D21" s="278"/>
      <c r="E21" s="165"/>
      <c r="F21" s="275"/>
      <c r="G21" s="166">
        <f t="shared" si="0"/>
        <v>0</v>
      </c>
      <c r="H21" s="167"/>
      <c r="I21" s="168"/>
      <c r="J21" s="166">
        <f t="shared" si="2"/>
        <v>0</v>
      </c>
      <c r="K21" s="166">
        <f t="shared" si="3"/>
        <v>0</v>
      </c>
      <c r="L21" s="188"/>
      <c r="M21" s="188">
        <f t="shared" si="1"/>
        <v>281013.4024</v>
      </c>
      <c r="N21" s="259"/>
      <c r="O21" s="209"/>
    </row>
    <row r="22" spans="1:15" x14ac:dyDescent="0.25">
      <c r="A22" s="183">
        <v>19</v>
      </c>
      <c r="B22" s="184">
        <v>46314</v>
      </c>
      <c r="C22" s="185"/>
      <c r="D22" s="278"/>
      <c r="E22" s="37"/>
      <c r="F22" s="37"/>
      <c r="G22" s="166">
        <f t="shared" si="0"/>
        <v>0</v>
      </c>
      <c r="H22" s="167"/>
      <c r="I22" s="168"/>
      <c r="J22" s="166">
        <f t="shared" si="2"/>
        <v>0</v>
      </c>
      <c r="K22" s="166">
        <f t="shared" si="3"/>
        <v>0</v>
      </c>
      <c r="L22" s="188"/>
      <c r="M22" s="188">
        <f t="shared" si="1"/>
        <v>281013.4024</v>
      </c>
      <c r="N22" s="259"/>
      <c r="O22" s="209"/>
    </row>
    <row r="23" spans="1:15" x14ac:dyDescent="0.25">
      <c r="A23" s="183">
        <v>20</v>
      </c>
      <c r="B23" s="184">
        <v>46315</v>
      </c>
      <c r="C23" s="185"/>
      <c r="D23" s="278"/>
      <c r="E23" s="37"/>
      <c r="F23" s="37"/>
      <c r="G23" s="166">
        <f t="shared" si="0"/>
        <v>0</v>
      </c>
      <c r="H23" s="167"/>
      <c r="I23" s="168"/>
      <c r="J23" s="166">
        <f t="shared" si="2"/>
        <v>0</v>
      </c>
      <c r="K23" s="166">
        <f t="shared" si="3"/>
        <v>0</v>
      </c>
      <c r="L23" s="188"/>
      <c r="M23" s="188">
        <f t="shared" si="1"/>
        <v>281013.4024</v>
      </c>
      <c r="N23" s="259"/>
      <c r="O23" s="209"/>
    </row>
    <row r="24" spans="1:15" x14ac:dyDescent="0.25">
      <c r="A24" s="189">
        <v>21</v>
      </c>
      <c r="B24" s="184">
        <v>46316</v>
      </c>
      <c r="C24" s="185"/>
      <c r="D24" s="278"/>
      <c r="E24" s="37"/>
      <c r="F24" s="37"/>
      <c r="G24" s="166">
        <f t="shared" si="0"/>
        <v>0</v>
      </c>
      <c r="H24" s="167"/>
      <c r="I24" s="168"/>
      <c r="J24" s="166">
        <f t="shared" si="2"/>
        <v>0</v>
      </c>
      <c r="K24" s="166">
        <f t="shared" si="3"/>
        <v>0</v>
      </c>
      <c r="L24" s="188"/>
      <c r="M24" s="188">
        <f t="shared" si="1"/>
        <v>281013.4024</v>
      </c>
      <c r="N24" s="259"/>
      <c r="O24" s="209"/>
    </row>
    <row r="25" spans="1:15" x14ac:dyDescent="0.25">
      <c r="A25" s="183">
        <v>22</v>
      </c>
      <c r="B25" s="184">
        <v>46317</v>
      </c>
      <c r="C25" s="185"/>
      <c r="D25" s="278"/>
      <c r="E25" s="37"/>
      <c r="F25" s="37"/>
      <c r="G25" s="166">
        <f t="shared" si="0"/>
        <v>0</v>
      </c>
      <c r="H25" s="167"/>
      <c r="I25" s="168"/>
      <c r="J25" s="166">
        <f t="shared" si="2"/>
        <v>0</v>
      </c>
      <c r="K25" s="166">
        <f t="shared" si="3"/>
        <v>0</v>
      </c>
      <c r="L25" s="188"/>
      <c r="M25" s="188">
        <f t="shared" si="1"/>
        <v>281013.4024</v>
      </c>
      <c r="N25" s="259"/>
      <c r="O25" s="209"/>
    </row>
    <row r="26" spans="1:15" x14ac:dyDescent="0.25">
      <c r="A26" s="183">
        <v>23</v>
      </c>
      <c r="B26" s="184">
        <v>46318</v>
      </c>
      <c r="C26" s="185"/>
      <c r="D26" s="278"/>
      <c r="E26" s="37"/>
      <c r="F26" s="37"/>
      <c r="G26" s="166">
        <f t="shared" si="0"/>
        <v>0</v>
      </c>
      <c r="H26" s="167"/>
      <c r="I26" s="168"/>
      <c r="J26" s="166">
        <f t="shared" si="2"/>
        <v>0</v>
      </c>
      <c r="K26" s="166">
        <f t="shared" si="3"/>
        <v>0</v>
      </c>
      <c r="L26" s="188"/>
      <c r="M26" s="188">
        <f t="shared" si="1"/>
        <v>281013.4024</v>
      </c>
      <c r="N26" s="259"/>
      <c r="O26" s="209"/>
    </row>
    <row r="27" spans="1:15" x14ac:dyDescent="0.25">
      <c r="A27" s="189">
        <v>24</v>
      </c>
      <c r="B27" s="184">
        <v>46319</v>
      </c>
      <c r="C27" s="185"/>
      <c r="D27" s="278"/>
      <c r="E27" s="37"/>
      <c r="F27" s="37"/>
      <c r="G27" s="166">
        <f t="shared" si="0"/>
        <v>0</v>
      </c>
      <c r="H27" s="167"/>
      <c r="I27" s="168"/>
      <c r="J27" s="166">
        <f t="shared" si="2"/>
        <v>0</v>
      </c>
      <c r="K27" s="166">
        <f t="shared" si="3"/>
        <v>0</v>
      </c>
      <c r="L27" s="188"/>
      <c r="M27" s="188">
        <f t="shared" si="1"/>
        <v>281013.4024</v>
      </c>
      <c r="N27" s="259"/>
      <c r="O27" s="209"/>
    </row>
    <row r="28" spans="1:15" x14ac:dyDescent="0.25">
      <c r="A28" s="183">
        <v>25</v>
      </c>
      <c r="B28" s="184">
        <v>46320</v>
      </c>
      <c r="C28" s="185"/>
      <c r="D28" s="278"/>
      <c r="E28" s="37"/>
      <c r="F28" s="37"/>
      <c r="G28" s="166">
        <f t="shared" si="0"/>
        <v>0</v>
      </c>
      <c r="H28" s="167"/>
      <c r="I28" s="168"/>
      <c r="J28" s="166">
        <f t="shared" si="2"/>
        <v>0</v>
      </c>
      <c r="K28" s="166">
        <f t="shared" si="3"/>
        <v>0</v>
      </c>
      <c r="L28" s="188"/>
      <c r="M28" s="188">
        <f t="shared" si="1"/>
        <v>281013.4024</v>
      </c>
      <c r="N28" s="259"/>
      <c r="O28" s="209"/>
    </row>
    <row r="29" spans="1:15" x14ac:dyDescent="0.25">
      <c r="A29" s="183">
        <v>26</v>
      </c>
      <c r="B29" s="184">
        <v>46321</v>
      </c>
      <c r="C29" s="185"/>
      <c r="D29" s="278"/>
      <c r="E29" s="37"/>
      <c r="F29" s="37"/>
      <c r="G29" s="166">
        <f t="shared" si="0"/>
        <v>0</v>
      </c>
      <c r="H29" s="167"/>
      <c r="I29" s="168"/>
      <c r="J29" s="166">
        <f t="shared" si="2"/>
        <v>0</v>
      </c>
      <c r="K29" s="166">
        <f t="shared" si="3"/>
        <v>0</v>
      </c>
      <c r="L29" s="188"/>
      <c r="M29" s="188">
        <f t="shared" si="1"/>
        <v>281013.4024</v>
      </c>
      <c r="N29" s="259"/>
      <c r="O29" s="209"/>
    </row>
    <row r="30" spans="1:15" x14ac:dyDescent="0.25">
      <c r="A30" s="189">
        <v>27</v>
      </c>
      <c r="B30" s="184">
        <v>46322</v>
      </c>
      <c r="C30" s="185"/>
      <c r="D30" s="278"/>
      <c r="E30" s="37"/>
      <c r="F30" s="37"/>
      <c r="G30" s="166">
        <f t="shared" si="0"/>
        <v>0</v>
      </c>
      <c r="H30" s="167"/>
      <c r="I30" s="168"/>
      <c r="J30" s="166">
        <f t="shared" si="2"/>
        <v>0</v>
      </c>
      <c r="K30" s="166">
        <f t="shared" si="3"/>
        <v>0</v>
      </c>
      <c r="L30" s="188"/>
      <c r="M30" s="188">
        <f t="shared" si="1"/>
        <v>281013.4024</v>
      </c>
      <c r="N30" s="259"/>
      <c r="O30" s="209"/>
    </row>
    <row r="31" spans="1:15" x14ac:dyDescent="0.25">
      <c r="A31" s="183">
        <v>28</v>
      </c>
      <c r="B31" s="184">
        <v>46323</v>
      </c>
      <c r="C31" s="185"/>
      <c r="D31" s="186"/>
      <c r="E31" s="37"/>
      <c r="F31" s="37"/>
      <c r="G31" s="262">
        <f t="shared" si="0"/>
        <v>0</v>
      </c>
      <c r="H31" s="167"/>
      <c r="I31" s="168"/>
      <c r="J31" s="262">
        <f t="shared" si="2"/>
        <v>0</v>
      </c>
      <c r="K31" s="262">
        <f t="shared" si="3"/>
        <v>0</v>
      </c>
      <c r="L31" s="279"/>
      <c r="M31" s="188">
        <f t="shared" si="1"/>
        <v>281013.4024</v>
      </c>
      <c r="N31" s="166"/>
      <c r="O31" s="209"/>
    </row>
    <row r="32" spans="1:15" x14ac:dyDescent="0.25">
      <c r="A32" s="183">
        <v>29</v>
      </c>
      <c r="B32" s="184">
        <v>46324</v>
      </c>
      <c r="C32" s="185"/>
      <c r="D32" s="186"/>
      <c r="E32" s="37"/>
      <c r="F32" s="37"/>
      <c r="G32" s="166">
        <f t="shared" si="0"/>
        <v>0</v>
      </c>
      <c r="H32" s="167"/>
      <c r="I32" s="168"/>
      <c r="J32" s="166">
        <f t="shared" si="2"/>
        <v>0</v>
      </c>
      <c r="K32" s="166">
        <f t="shared" si="3"/>
        <v>0</v>
      </c>
      <c r="L32" s="188"/>
      <c r="M32" s="188">
        <f t="shared" si="1"/>
        <v>281013.4024</v>
      </c>
      <c r="N32" s="166"/>
      <c r="O32" s="209"/>
    </row>
    <row r="33" spans="1:15" x14ac:dyDescent="0.25">
      <c r="A33" s="189">
        <v>30</v>
      </c>
      <c r="B33" s="184">
        <v>46325</v>
      </c>
      <c r="C33" s="185"/>
      <c r="D33" s="186"/>
      <c r="E33" s="186"/>
      <c r="F33" s="37"/>
      <c r="G33" s="166">
        <f t="shared" si="0"/>
        <v>0</v>
      </c>
      <c r="H33" s="167"/>
      <c r="I33" s="168"/>
      <c r="J33" s="166">
        <f t="shared" si="2"/>
        <v>0</v>
      </c>
      <c r="K33" s="166">
        <f t="shared" si="3"/>
        <v>0</v>
      </c>
      <c r="L33" s="188"/>
      <c r="M33" s="188">
        <f t="shared" si="1"/>
        <v>281013.4024</v>
      </c>
      <c r="N33" s="166"/>
      <c r="O33" s="209"/>
    </row>
    <row r="34" spans="1:15" x14ac:dyDescent="0.25">
      <c r="A34" s="183">
        <v>31</v>
      </c>
      <c r="B34" s="184">
        <v>46326</v>
      </c>
      <c r="C34" s="185"/>
      <c r="D34" s="186"/>
      <c r="E34" s="37"/>
      <c r="F34" s="37"/>
      <c r="G34" s="166">
        <f t="shared" si="0"/>
        <v>0</v>
      </c>
      <c r="H34" s="167"/>
      <c r="I34" s="168"/>
      <c r="J34" s="166">
        <f t="shared" si="2"/>
        <v>0</v>
      </c>
      <c r="K34" s="166">
        <f t="shared" si="3"/>
        <v>0</v>
      </c>
      <c r="L34" s="188"/>
      <c r="M34" s="188">
        <f t="shared" si="1"/>
        <v>281013.4024</v>
      </c>
      <c r="N34" s="166"/>
      <c r="O34" s="209"/>
    </row>
    <row r="35" spans="1:15" x14ac:dyDescent="0.25">
      <c r="A35" s="183">
        <v>32</v>
      </c>
      <c r="B35" s="184"/>
      <c r="C35" s="185"/>
      <c r="D35" s="186"/>
      <c r="E35" s="37"/>
      <c r="F35" s="37"/>
      <c r="G35" s="166">
        <f t="shared" si="0"/>
        <v>0</v>
      </c>
      <c r="H35" s="167"/>
      <c r="I35" s="168"/>
      <c r="J35" s="166">
        <f t="shared" si="2"/>
        <v>0</v>
      </c>
      <c r="K35" s="166">
        <f t="shared" si="3"/>
        <v>0</v>
      </c>
      <c r="L35" s="188"/>
      <c r="M35" s="188">
        <f t="shared" si="1"/>
        <v>281013.4024</v>
      </c>
      <c r="N35" s="166"/>
      <c r="O35" s="209"/>
    </row>
    <row r="36" spans="1:15" x14ac:dyDescent="0.25">
      <c r="A36" s="189">
        <v>33</v>
      </c>
      <c r="B36" s="184"/>
      <c r="C36" s="185"/>
      <c r="D36" s="186"/>
      <c r="E36" s="165"/>
      <c r="F36" s="37"/>
      <c r="G36" s="166">
        <f t="shared" si="0"/>
        <v>0</v>
      </c>
      <c r="H36" s="167"/>
      <c r="I36" s="168"/>
      <c r="J36" s="166">
        <f t="shared" si="2"/>
        <v>0</v>
      </c>
      <c r="K36" s="166">
        <f t="shared" si="3"/>
        <v>0</v>
      </c>
      <c r="L36" s="188"/>
      <c r="M36" s="188">
        <f t="shared" si="1"/>
        <v>281013.4024</v>
      </c>
      <c r="N36" s="166"/>
      <c r="O36" s="209"/>
    </row>
    <row r="37" spans="1:15" x14ac:dyDescent="0.25">
      <c r="A37" s="169"/>
      <c r="B37" s="169"/>
      <c r="C37" s="169"/>
      <c r="D37" s="169"/>
      <c r="E37" s="170">
        <f>SUM(E4:E36)</f>
        <v>2252.17</v>
      </c>
      <c r="F37" s="170"/>
      <c r="G37" s="171">
        <f>SUM(G4:G36)</f>
        <v>237378.718</v>
      </c>
      <c r="H37" s="171">
        <f>SUM(H4:H36)</f>
        <v>40.2</v>
      </c>
      <c r="I37" s="171"/>
      <c r="J37" s="171">
        <f>SUM(J4:J36)</f>
        <v>4733.147999999999</v>
      </c>
      <c r="K37" s="171">
        <f>SUM(K4:K36)</f>
        <v>242111.86599999998</v>
      </c>
      <c r="L37" s="171">
        <f>SUM(L4:L36)</f>
        <v>200000</v>
      </c>
      <c r="M37" s="171"/>
      <c r="N37" s="171"/>
      <c r="O37" s="208"/>
    </row>
    <row r="38" spans="1:15" x14ac:dyDescent="0.25">
      <c r="A38" s="211"/>
      <c r="B38" s="212"/>
      <c r="C38" s="211"/>
      <c r="D38" s="211"/>
      <c r="E38" s="213"/>
      <c r="F38" s="213"/>
      <c r="G38" s="213"/>
      <c r="H38" s="213"/>
      <c r="I38" s="213"/>
      <c r="J38" s="214"/>
      <c r="K38" s="214"/>
      <c r="L38" s="214"/>
      <c r="M38" s="214"/>
      <c r="N38" s="213"/>
      <c r="O38" s="209"/>
    </row>
    <row r="39" spans="15:15" x14ac:dyDescent="0.25">
      <c r="O39" s="209"/>
    </row>
    <row r="40" spans="15:15" x14ac:dyDescent="0.25">
      <c r="O40" s="209"/>
    </row>
    <row r="41" spans="15:15" x14ac:dyDescent="0.25">
      <c r="O41" s="209"/>
    </row>
    <row r="42" spans="15:15" x14ac:dyDescent="0.25">
      <c r="O42" s="209"/>
    </row>
    <row r="43" spans="15:15" x14ac:dyDescent="0.25">
      <c r="O43" s="209"/>
    </row>
    <row r="44" spans="1:15" x14ac:dyDescent="0.25">
      <c r="A44" s="209"/>
      <c r="B44" s="208"/>
      <c r="C44" s="209"/>
      <c r="D44" s="209"/>
      <c r="E44" s="209"/>
      <c r="F44" s="209"/>
      <c r="G44" s="213"/>
      <c r="H44" s="209"/>
      <c r="I44" s="209"/>
      <c r="J44" s="208"/>
      <c r="K44" s="208"/>
      <c r="L44" s="208"/>
      <c r="M44" s="208"/>
      <c r="N44" s="209"/>
      <c r="O44" s="213"/>
    </row>
    <row r="45" spans="1:15" x14ac:dyDescent="0.25">
      <c r="A45" s="209"/>
      <c r="B45" s="209"/>
      <c r="C45" s="209"/>
      <c r="D45" s="209"/>
      <c r="E45" s="209"/>
      <c r="F45" s="209"/>
      <c r="G45" s="209"/>
      <c r="H45" s="209"/>
      <c r="I45" s="209"/>
      <c r="J45" s="209"/>
      <c r="K45" s="209"/>
      <c r="L45" s="209"/>
      <c r="M45" s="209"/>
      <c r="N45" s="209"/>
      <c r="O45" s="213"/>
    </row>
    <row r="46" spans="1:15" x14ac:dyDescent="0.25">
      <c r="A46" s="209"/>
      <c r="B46" s="208"/>
      <c r="C46" s="209"/>
      <c r="D46" s="209"/>
      <c r="E46" s="209"/>
      <c r="F46" s="209"/>
      <c r="G46" s="209"/>
      <c r="H46" s="209"/>
      <c r="I46" s="209"/>
      <c r="J46" s="208"/>
      <c r="K46" s="208"/>
      <c r="L46" s="208"/>
      <c r="M46" s="208"/>
      <c r="N46" s="209"/>
      <c r="O46" s="213"/>
    </row>
  </sheetData>
  <mergeCells count="4">
    <mergeCell ref="A1:N1"/>
    <mergeCell ref="A3:L3"/>
    <mergeCell ref="B45:E45"/>
    <mergeCell ref="I45:N45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N37"/>
  <sheetViews>
    <sheetView workbookViewId="0" zoomScale="100" zoomScaleNormal="100">
      <pane ySplit="3" topLeftCell="A14" activePane="bottomLeft" state="frozen"/>
      <selection pane="bottomLeft" activeCell="L20" sqref="L20"/>
    </sheetView>
  </sheetViews>
  <sheetFormatPr defaultRowHeight="15" outlineLevelRow="0" outlineLevelCol="0" x14ac:dyDescent="0"/>
  <cols>
    <col min="2" max="2" width="10.5703125" customWidth="1"/>
    <col min="7" max="7" width="16.140625" customWidth="1"/>
    <col min="10" max="10" width="14.28515625" customWidth="1"/>
    <col min="11" max="11" width="24.140625" customWidth="1"/>
    <col min="12" max="12" width="20.7109375" customWidth="1"/>
    <col min="13" max="13" width="11.5703125" customWidth="1"/>
  </cols>
  <sheetData>
    <row r="1" ht="15.75" customHeight="1" spans="1:14" x14ac:dyDescent="0.25">
      <c r="A1" s="172" t="s">
        <v>88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</row>
    <row r="2" ht="30.75" customHeight="1" spans="1:14" x14ac:dyDescent="0.25">
      <c r="A2" s="173" t="s">
        <v>0</v>
      </c>
      <c r="B2" s="174" t="s">
        <v>167</v>
      </c>
      <c r="C2" s="174" t="s">
        <v>168</v>
      </c>
      <c r="D2" s="174" t="s">
        <v>189</v>
      </c>
      <c r="E2" s="175" t="s">
        <v>170</v>
      </c>
      <c r="F2" s="175" t="s">
        <v>171</v>
      </c>
      <c r="G2" s="174" t="s">
        <v>172</v>
      </c>
      <c r="H2" s="174" t="s">
        <v>173</v>
      </c>
      <c r="I2" s="174" t="s">
        <v>171</v>
      </c>
      <c r="J2" s="176" t="s">
        <v>172</v>
      </c>
      <c r="K2" s="177" t="s">
        <v>174</v>
      </c>
      <c r="L2" s="178" t="s">
        <v>175</v>
      </c>
      <c r="M2" s="179" t="s">
        <v>190</v>
      </c>
      <c r="N2" s="180" t="s">
        <v>177</v>
      </c>
    </row>
    <row r="3" spans="1:14" x14ac:dyDescent="0.25">
      <c r="A3" s="282" t="s">
        <v>178</v>
      </c>
      <c r="B3" s="282"/>
      <c r="C3" s="282"/>
      <c r="D3" s="282"/>
      <c r="E3" s="282"/>
      <c r="F3" s="282"/>
      <c r="G3" s="282"/>
      <c r="H3" s="282"/>
      <c r="I3" s="282"/>
      <c r="J3" s="282"/>
      <c r="K3" s="282"/>
      <c r="L3" s="282"/>
      <c r="M3" s="283">
        <v>115419.83792000005</v>
      </c>
      <c r="N3" s="182"/>
    </row>
    <row r="4" spans="1:14" x14ac:dyDescent="0.25">
      <c r="A4" s="189">
        <v>1</v>
      </c>
      <c r="B4" s="284">
        <v>46296</v>
      </c>
      <c r="C4" s="185"/>
      <c r="D4" s="186"/>
      <c r="E4" s="165">
        <v>335</v>
      </c>
      <c r="F4" s="165">
        <v>104.68</v>
      </c>
      <c r="G4" s="166">
        <f t="shared" ref="G4:G36" si="0">E4*F4</f>
        <v>35067.8</v>
      </c>
      <c r="H4" s="167">
        <v>65</v>
      </c>
      <c r="I4" s="168">
        <v>116.96</v>
      </c>
      <c r="J4" s="166">
        <f>H4*I4</f>
        <v>7602.4</v>
      </c>
      <c r="K4" s="166">
        <f>G4+J4</f>
        <v>42670.200000000004</v>
      </c>
      <c r="L4" s="188"/>
      <c r="M4" s="257">
        <f>M3+K4-L4</f>
        <v>158090.03792000006</v>
      </c>
      <c r="N4" s="182"/>
    </row>
    <row r="5" spans="1:14" x14ac:dyDescent="0.25">
      <c r="A5" s="189">
        <v>2</v>
      </c>
      <c r="B5" s="284">
        <v>46297</v>
      </c>
      <c r="C5" s="185"/>
      <c r="D5" s="186"/>
      <c r="E5" s="165"/>
      <c r="F5" s="165"/>
      <c r="G5" s="166">
        <f t="shared" si="0"/>
        <v>0</v>
      </c>
      <c r="H5" s="167">
        <v>5</v>
      </c>
      <c r="I5" s="168">
        <v>116.96</v>
      </c>
      <c r="J5" s="166">
        <f>H5*I5</f>
        <v>584.8</v>
      </c>
      <c r="K5" s="166">
        <f>G5+J5</f>
        <v>584.8</v>
      </c>
      <c r="L5" s="188"/>
      <c r="M5" s="257">
        <f t="shared" ref="M5:M36" si="1">M4+K5-L5</f>
        <v>158674.83792000005</v>
      </c>
      <c r="N5" s="182"/>
    </row>
    <row r="6" spans="1:14" x14ac:dyDescent="0.25">
      <c r="A6" s="189">
        <v>3</v>
      </c>
      <c r="B6" s="284">
        <v>46298</v>
      </c>
      <c r="C6" s="185"/>
      <c r="D6" s="37"/>
      <c r="E6" s="165">
        <v>200</v>
      </c>
      <c r="F6" s="165">
        <v>104.68</v>
      </c>
      <c r="G6" s="166">
        <f t="shared" si="0"/>
        <v>20936</v>
      </c>
      <c r="H6" s="167"/>
      <c r="I6" s="168"/>
      <c r="J6" s="166">
        <f t="shared" ref="J6:J36" si="2">H6*I6</f>
        <v>0</v>
      </c>
      <c r="K6" s="166">
        <f t="shared" ref="K6:K36" si="3">G6+J6</f>
        <v>20936</v>
      </c>
      <c r="L6" s="188">
        <v>80000</v>
      </c>
      <c r="M6" s="257">
        <f t="shared" si="1"/>
        <v>99610.83792000005</v>
      </c>
      <c r="N6" s="182"/>
    </row>
    <row r="7" spans="1:14" x14ac:dyDescent="0.25">
      <c r="A7" s="189">
        <v>4</v>
      </c>
      <c r="B7" s="284">
        <v>46299</v>
      </c>
      <c r="C7" s="185"/>
      <c r="D7" s="186"/>
      <c r="E7" s="165">
        <v>40</v>
      </c>
      <c r="F7" s="165">
        <v>104.68</v>
      </c>
      <c r="G7" s="166">
        <f>E7*F7</f>
        <v>4187.200000000001</v>
      </c>
      <c r="H7" s="167"/>
      <c r="I7" s="168"/>
      <c r="J7" s="166">
        <f t="shared" si="2"/>
        <v>0</v>
      </c>
      <c r="K7" s="166">
        <f t="shared" si="3"/>
        <v>4187.200000000001</v>
      </c>
      <c r="L7" s="188"/>
      <c r="M7" s="257">
        <f t="shared" si="1"/>
        <v>103798.03792000005</v>
      </c>
      <c r="N7" s="182"/>
    </row>
    <row r="8" spans="1:14" x14ac:dyDescent="0.25">
      <c r="A8" s="189">
        <v>5</v>
      </c>
      <c r="B8" s="284">
        <v>46300</v>
      </c>
      <c r="C8" s="185"/>
      <c r="D8" s="186"/>
      <c r="E8" s="165">
        <v>200</v>
      </c>
      <c r="F8" s="165">
        <v>104.68</v>
      </c>
      <c r="G8" s="166">
        <f t="shared" si="0"/>
        <v>20936</v>
      </c>
      <c r="H8" s="270">
        <v>5</v>
      </c>
      <c r="I8" s="270">
        <v>116.96</v>
      </c>
      <c r="J8" s="166">
        <f t="shared" si="2"/>
        <v>584.8</v>
      </c>
      <c r="K8" s="166">
        <f t="shared" si="3"/>
        <v>21520.8</v>
      </c>
      <c r="L8" s="188"/>
      <c r="M8" s="257">
        <f t="shared" si="1"/>
        <v>125318.83792000005</v>
      </c>
      <c r="N8" s="182"/>
    </row>
    <row r="9" spans="1:14" x14ac:dyDescent="0.25">
      <c r="A9" s="183">
        <v>6</v>
      </c>
      <c r="B9" s="284">
        <v>46301</v>
      </c>
      <c r="C9" s="260"/>
      <c r="D9" s="205"/>
      <c r="E9" s="206">
        <v>100</v>
      </c>
      <c r="F9" s="165">
        <v>104.68</v>
      </c>
      <c r="G9" s="262">
        <f t="shared" si="0"/>
        <v>10468</v>
      </c>
      <c r="H9" s="285">
        <v>60</v>
      </c>
      <c r="I9" s="270">
        <v>116.96</v>
      </c>
      <c r="J9" s="262">
        <f t="shared" si="2"/>
        <v>7017.599999999999</v>
      </c>
      <c r="K9" s="274">
        <f t="shared" si="3"/>
        <v>17485.6</v>
      </c>
      <c r="L9" s="279"/>
      <c r="M9" s="188">
        <f t="shared" si="1"/>
        <v>142804.43792000005</v>
      </c>
      <c r="N9" s="182"/>
    </row>
    <row r="10" spans="1:14" x14ac:dyDescent="0.25">
      <c r="A10" s="183">
        <v>7</v>
      </c>
      <c r="B10" s="284">
        <v>46302</v>
      </c>
      <c r="C10" s="185"/>
      <c r="D10" s="186"/>
      <c r="E10" s="165">
        <v>230</v>
      </c>
      <c r="F10" s="165">
        <v>104.68</v>
      </c>
      <c r="G10" s="166">
        <f t="shared" si="0"/>
        <v>24076.4</v>
      </c>
      <c r="H10" s="190">
        <v>80</v>
      </c>
      <c r="I10" s="270">
        <v>116.96</v>
      </c>
      <c r="J10" s="166">
        <f t="shared" si="2"/>
        <v>9356.8</v>
      </c>
      <c r="K10" s="259">
        <f t="shared" si="3"/>
        <v>33433.2</v>
      </c>
      <c r="L10" s="188"/>
      <c r="M10" s="188">
        <f t="shared" si="1"/>
        <v>176237.63792000007</v>
      </c>
      <c r="N10" s="182"/>
    </row>
    <row r="11" spans="1:14" x14ac:dyDescent="0.25">
      <c r="A11" s="183">
        <v>8</v>
      </c>
      <c r="B11" s="284">
        <v>46303</v>
      </c>
      <c r="C11" s="185"/>
      <c r="D11" s="186"/>
      <c r="E11" s="165">
        <v>21</v>
      </c>
      <c r="F11" s="165">
        <v>104.68</v>
      </c>
      <c r="G11" s="166">
        <f t="shared" si="0"/>
        <v>2198.28</v>
      </c>
      <c r="H11" s="190"/>
      <c r="I11" s="272"/>
      <c r="J11" s="166">
        <f t="shared" si="2"/>
        <v>0</v>
      </c>
      <c r="K11" s="259">
        <f t="shared" si="3"/>
        <v>2198.28</v>
      </c>
      <c r="L11" s="188"/>
      <c r="M11" s="188">
        <f t="shared" si="1"/>
        <v>178435.91792000007</v>
      </c>
      <c r="N11" s="182"/>
    </row>
    <row r="12" spans="1:14" x14ac:dyDescent="0.25">
      <c r="A12" s="189">
        <v>9</v>
      </c>
      <c r="B12" s="284">
        <v>46304</v>
      </c>
      <c r="C12" s="185"/>
      <c r="D12" s="186"/>
      <c r="E12" s="165"/>
      <c r="F12" s="165"/>
      <c r="G12" s="166"/>
      <c r="H12" s="190"/>
      <c r="I12" s="272"/>
      <c r="J12" s="166">
        <f t="shared" si="2"/>
        <v>0</v>
      </c>
      <c r="K12" s="259">
        <f t="shared" si="3"/>
        <v>0</v>
      </c>
      <c r="L12" s="188"/>
      <c r="M12" s="188">
        <f t="shared" si="1"/>
        <v>178435.91792000007</v>
      </c>
      <c r="N12" s="182"/>
    </row>
    <row r="13" spans="1:14" x14ac:dyDescent="0.25">
      <c r="A13" s="183">
        <v>10</v>
      </c>
      <c r="B13" s="284">
        <v>46305</v>
      </c>
      <c r="C13" s="185"/>
      <c r="D13" s="186"/>
      <c r="E13" s="165">
        <v>732.87</v>
      </c>
      <c r="F13" s="165">
        <v>104.68</v>
      </c>
      <c r="G13" s="262">
        <f t="shared" si="0"/>
        <v>76716.8316</v>
      </c>
      <c r="H13" s="190">
        <v>61</v>
      </c>
      <c r="I13" s="272">
        <v>116.96</v>
      </c>
      <c r="J13" s="262">
        <f t="shared" si="2"/>
        <v>7134.5599999999995</v>
      </c>
      <c r="K13" s="166">
        <f t="shared" si="3"/>
        <v>83851.3916</v>
      </c>
      <c r="L13" s="188">
        <v>178000</v>
      </c>
      <c r="M13" s="188">
        <f t="shared" si="1"/>
        <v>84287.30952000007</v>
      </c>
      <c r="N13" s="182"/>
    </row>
    <row r="14" spans="1:14" x14ac:dyDescent="0.25">
      <c r="A14" s="183">
        <v>11</v>
      </c>
      <c r="B14" s="284">
        <v>46306</v>
      </c>
      <c r="C14" s="185"/>
      <c r="D14" s="186"/>
      <c r="E14" s="165"/>
      <c r="F14" s="165"/>
      <c r="G14" s="166">
        <f t="shared" si="0"/>
        <v>0</v>
      </c>
      <c r="H14" s="190"/>
      <c r="I14" s="272"/>
      <c r="J14" s="166">
        <f t="shared" si="2"/>
        <v>0</v>
      </c>
      <c r="K14" s="166">
        <f t="shared" si="3"/>
        <v>0</v>
      </c>
      <c r="L14" s="188"/>
      <c r="M14" s="188">
        <f t="shared" si="1"/>
        <v>84287.30952000007</v>
      </c>
      <c r="N14" s="182"/>
    </row>
    <row r="15" spans="1:14" x14ac:dyDescent="0.25">
      <c r="A15" s="189">
        <v>12</v>
      </c>
      <c r="B15" s="284">
        <v>46307</v>
      </c>
      <c r="C15" s="185"/>
      <c r="D15" s="186"/>
      <c r="E15" s="165">
        <v>40</v>
      </c>
      <c r="F15" s="165">
        <v>104.68</v>
      </c>
      <c r="G15" s="166">
        <f t="shared" si="0"/>
        <v>4187.200000000001</v>
      </c>
      <c r="H15" s="190"/>
      <c r="I15" s="272"/>
      <c r="J15" s="166">
        <f t="shared" si="2"/>
        <v>0</v>
      </c>
      <c r="K15" s="166">
        <f>G15+J15</f>
        <v>4187.200000000001</v>
      </c>
      <c r="L15" s="188"/>
      <c r="M15" s="188">
        <f t="shared" si="1"/>
        <v>88474.50952000007</v>
      </c>
      <c r="N15" s="182"/>
    </row>
    <row r="16" spans="1:14" x14ac:dyDescent="0.25">
      <c r="A16" s="183">
        <v>13</v>
      </c>
      <c r="B16" s="284">
        <v>46308</v>
      </c>
      <c r="C16" s="185"/>
      <c r="D16" s="186"/>
      <c r="E16" s="165">
        <v>47</v>
      </c>
      <c r="F16" s="165">
        <v>104.68</v>
      </c>
      <c r="G16" s="166">
        <f t="shared" si="0"/>
        <v>4919.96</v>
      </c>
      <c r="H16" s="190">
        <v>20</v>
      </c>
      <c r="I16" s="272">
        <v>116.96</v>
      </c>
      <c r="J16" s="166">
        <f t="shared" si="2"/>
        <v>2339.2</v>
      </c>
      <c r="K16" s="166">
        <f t="shared" si="3"/>
        <v>7259.16</v>
      </c>
      <c r="L16" s="188"/>
      <c r="M16" s="188">
        <f t="shared" si="1"/>
        <v>95733.66952000007</v>
      </c>
      <c r="N16" s="166"/>
    </row>
    <row r="17" spans="1:14" x14ac:dyDescent="0.25">
      <c r="A17" s="183">
        <v>14</v>
      </c>
      <c r="B17" s="284">
        <v>46309</v>
      </c>
      <c r="C17" s="185"/>
      <c r="D17" s="186"/>
      <c r="E17" s="165">
        <v>328.5</v>
      </c>
      <c r="F17" s="165">
        <v>104.68</v>
      </c>
      <c r="G17" s="166">
        <f t="shared" si="0"/>
        <v>34387.380000000005</v>
      </c>
      <c r="H17" s="190">
        <v>95</v>
      </c>
      <c r="I17" s="272">
        <v>116.96</v>
      </c>
      <c r="J17" s="166">
        <f t="shared" si="2"/>
        <v>11111.199999999999</v>
      </c>
      <c r="K17" s="166">
        <f t="shared" si="3"/>
        <v>45498.58</v>
      </c>
      <c r="L17" s="188"/>
      <c r="M17" s="188">
        <f t="shared" si="1"/>
        <v>141232.24952000007</v>
      </c>
      <c r="N17" s="166"/>
    </row>
    <row r="18" spans="1:14" x14ac:dyDescent="0.25">
      <c r="A18" s="189">
        <v>15</v>
      </c>
      <c r="B18" s="284">
        <v>46310</v>
      </c>
      <c r="C18" s="185"/>
      <c r="D18" s="186"/>
      <c r="E18" s="165"/>
      <c r="F18" s="165"/>
      <c r="G18" s="166">
        <f t="shared" si="0"/>
        <v>0</v>
      </c>
      <c r="H18" s="190">
        <v>35</v>
      </c>
      <c r="I18" s="272">
        <v>116.96</v>
      </c>
      <c r="J18" s="166">
        <f t="shared" si="2"/>
        <v>4093.6</v>
      </c>
      <c r="K18" s="166">
        <f t="shared" si="3"/>
        <v>4093.6</v>
      </c>
      <c r="L18" s="188">
        <v>80000</v>
      </c>
      <c r="M18" s="188">
        <f t="shared" si="1"/>
        <v>65325.849520000076</v>
      </c>
      <c r="N18" s="166"/>
    </row>
    <row r="19" spans="1:14" x14ac:dyDescent="0.25">
      <c r="A19" s="183">
        <v>16</v>
      </c>
      <c r="B19" s="284">
        <v>46311</v>
      </c>
      <c r="C19" s="185"/>
      <c r="D19" s="186"/>
      <c r="E19" s="275"/>
      <c r="F19" s="275"/>
      <c r="G19" s="253">
        <f t="shared" si="0"/>
        <v>0</v>
      </c>
      <c r="H19" s="190"/>
      <c r="I19" s="272"/>
      <c r="J19" s="253">
        <f t="shared" si="2"/>
        <v>0</v>
      </c>
      <c r="K19" s="253">
        <f t="shared" si="3"/>
        <v>0</v>
      </c>
      <c r="L19" s="188"/>
      <c r="M19" s="188">
        <f t="shared" si="1"/>
        <v>65325.849520000076</v>
      </c>
      <c r="N19" s="166"/>
    </row>
    <row r="20" spans="1:14" x14ac:dyDescent="0.25">
      <c r="A20" s="183">
        <v>17</v>
      </c>
      <c r="B20" s="284">
        <v>46312</v>
      </c>
      <c r="C20" s="185"/>
      <c r="D20" s="278"/>
      <c r="E20" s="165"/>
      <c r="F20" s="275"/>
      <c r="G20" s="166">
        <f t="shared" si="0"/>
        <v>0</v>
      </c>
      <c r="H20" s="190"/>
      <c r="I20" s="272"/>
      <c r="J20" s="166">
        <f t="shared" si="2"/>
        <v>0</v>
      </c>
      <c r="K20" s="166">
        <f t="shared" si="3"/>
        <v>0</v>
      </c>
      <c r="L20" s="188"/>
      <c r="M20" s="188">
        <f t="shared" si="1"/>
        <v>65325.849520000076</v>
      </c>
      <c r="N20" s="259"/>
    </row>
    <row r="21" spans="1:14" x14ac:dyDescent="0.25">
      <c r="A21" s="189">
        <v>18</v>
      </c>
      <c r="B21" s="284">
        <v>46313</v>
      </c>
      <c r="C21" s="185"/>
      <c r="D21" s="278"/>
      <c r="E21" s="165"/>
      <c r="F21" s="275"/>
      <c r="G21" s="166">
        <f t="shared" si="0"/>
        <v>0</v>
      </c>
      <c r="H21" s="190"/>
      <c r="I21" s="272"/>
      <c r="J21" s="166">
        <f t="shared" si="2"/>
        <v>0</v>
      </c>
      <c r="K21" s="166">
        <f t="shared" si="3"/>
        <v>0</v>
      </c>
      <c r="L21" s="188"/>
      <c r="M21" s="188">
        <f t="shared" si="1"/>
        <v>65325.849520000076</v>
      </c>
      <c r="N21" s="259"/>
    </row>
    <row r="22" spans="1:14" x14ac:dyDescent="0.25">
      <c r="A22" s="183">
        <v>19</v>
      </c>
      <c r="B22" s="284">
        <v>46314</v>
      </c>
      <c r="C22" s="185"/>
      <c r="D22" s="278"/>
      <c r="E22" s="37"/>
      <c r="F22" s="37"/>
      <c r="G22" s="166">
        <f t="shared" si="0"/>
        <v>0</v>
      </c>
      <c r="H22" s="190"/>
      <c r="I22" s="272"/>
      <c r="J22" s="166">
        <f t="shared" si="2"/>
        <v>0</v>
      </c>
      <c r="K22" s="166">
        <f t="shared" si="3"/>
        <v>0</v>
      </c>
      <c r="L22" s="188"/>
      <c r="M22" s="188">
        <f t="shared" si="1"/>
        <v>65325.849520000076</v>
      </c>
      <c r="N22" s="259"/>
    </row>
    <row r="23" spans="1:14" x14ac:dyDescent="0.25">
      <c r="A23" s="183">
        <v>20</v>
      </c>
      <c r="B23" s="284">
        <v>46315</v>
      </c>
      <c r="C23" s="185"/>
      <c r="D23" s="278"/>
      <c r="E23" s="37"/>
      <c r="F23" s="37"/>
      <c r="G23" s="166">
        <f t="shared" si="0"/>
        <v>0</v>
      </c>
      <c r="H23" s="167"/>
      <c r="I23" s="168"/>
      <c r="J23" s="166">
        <f t="shared" si="2"/>
        <v>0</v>
      </c>
      <c r="K23" s="166">
        <f t="shared" si="3"/>
        <v>0</v>
      </c>
      <c r="L23" s="188"/>
      <c r="M23" s="188">
        <f t="shared" si="1"/>
        <v>65325.849520000076</v>
      </c>
      <c r="N23" s="259"/>
    </row>
    <row r="24" spans="1:14" x14ac:dyDescent="0.25">
      <c r="A24" s="189">
        <v>21</v>
      </c>
      <c r="B24" s="284">
        <v>46316</v>
      </c>
      <c r="C24" s="185"/>
      <c r="D24" s="278"/>
      <c r="E24" s="37"/>
      <c r="F24" s="37"/>
      <c r="G24" s="166">
        <f t="shared" si="0"/>
        <v>0</v>
      </c>
      <c r="H24" s="167"/>
      <c r="I24" s="168"/>
      <c r="J24" s="166">
        <f t="shared" si="2"/>
        <v>0</v>
      </c>
      <c r="K24" s="166">
        <f t="shared" si="3"/>
        <v>0</v>
      </c>
      <c r="L24" s="188"/>
      <c r="M24" s="188">
        <f t="shared" si="1"/>
        <v>65325.849520000076</v>
      </c>
      <c r="N24" s="259"/>
    </row>
    <row r="25" spans="1:14" x14ac:dyDescent="0.25">
      <c r="A25" s="183">
        <v>22</v>
      </c>
      <c r="B25" s="284">
        <v>46317</v>
      </c>
      <c r="C25" s="185"/>
      <c r="D25" s="278"/>
      <c r="E25" s="37"/>
      <c r="F25" s="37"/>
      <c r="G25" s="166">
        <f t="shared" si="0"/>
        <v>0</v>
      </c>
      <c r="H25" s="167"/>
      <c r="I25" s="168"/>
      <c r="J25" s="166">
        <f t="shared" si="2"/>
        <v>0</v>
      </c>
      <c r="K25" s="166">
        <f t="shared" si="3"/>
        <v>0</v>
      </c>
      <c r="L25" s="188"/>
      <c r="M25" s="188">
        <f t="shared" si="1"/>
        <v>65325.849520000076</v>
      </c>
      <c r="N25" s="259"/>
    </row>
    <row r="26" spans="1:14" x14ac:dyDescent="0.25">
      <c r="A26" s="183">
        <v>23</v>
      </c>
      <c r="B26" s="284">
        <v>46318</v>
      </c>
      <c r="C26" s="185"/>
      <c r="D26" s="278"/>
      <c r="E26" s="37"/>
      <c r="F26" s="37"/>
      <c r="G26" s="166">
        <f t="shared" si="0"/>
        <v>0</v>
      </c>
      <c r="H26" s="167"/>
      <c r="I26" s="168"/>
      <c r="J26" s="166">
        <f t="shared" si="2"/>
        <v>0</v>
      </c>
      <c r="K26" s="166">
        <f t="shared" si="3"/>
        <v>0</v>
      </c>
      <c r="L26" s="188"/>
      <c r="M26" s="188">
        <f t="shared" si="1"/>
        <v>65325.849520000076</v>
      </c>
      <c r="N26" s="259"/>
    </row>
    <row r="27" spans="1:14" x14ac:dyDescent="0.25">
      <c r="A27" s="189">
        <v>24</v>
      </c>
      <c r="B27" s="284">
        <v>46319</v>
      </c>
      <c r="C27" s="185"/>
      <c r="D27" s="278"/>
      <c r="E27" s="37"/>
      <c r="F27" s="37"/>
      <c r="G27" s="166">
        <f t="shared" si="0"/>
        <v>0</v>
      </c>
      <c r="H27" s="167"/>
      <c r="I27" s="168"/>
      <c r="J27" s="166">
        <f t="shared" si="2"/>
        <v>0</v>
      </c>
      <c r="K27" s="166">
        <f t="shared" si="3"/>
        <v>0</v>
      </c>
      <c r="L27" s="188"/>
      <c r="M27" s="188">
        <f t="shared" si="1"/>
        <v>65325.849520000076</v>
      </c>
      <c r="N27" s="259"/>
    </row>
    <row r="28" spans="1:14" x14ac:dyDescent="0.25">
      <c r="A28" s="183">
        <v>25</v>
      </c>
      <c r="B28" s="284">
        <v>46320</v>
      </c>
      <c r="C28" s="185"/>
      <c r="D28" s="278"/>
      <c r="E28" s="37"/>
      <c r="F28" s="37"/>
      <c r="G28" s="166">
        <f t="shared" si="0"/>
        <v>0</v>
      </c>
      <c r="H28" s="167"/>
      <c r="I28" s="168"/>
      <c r="J28" s="166">
        <f t="shared" si="2"/>
        <v>0</v>
      </c>
      <c r="K28" s="166">
        <f t="shared" si="3"/>
        <v>0</v>
      </c>
      <c r="L28" s="188"/>
      <c r="M28" s="188">
        <f t="shared" si="1"/>
        <v>65325.849520000076</v>
      </c>
      <c r="N28" s="259"/>
    </row>
    <row r="29" spans="1:14" x14ac:dyDescent="0.25">
      <c r="A29" s="183">
        <v>26</v>
      </c>
      <c r="B29" s="284">
        <v>46321</v>
      </c>
      <c r="C29" s="185"/>
      <c r="D29" s="278"/>
      <c r="E29" s="37"/>
      <c r="F29" s="37"/>
      <c r="G29" s="166">
        <f t="shared" si="0"/>
        <v>0</v>
      </c>
      <c r="H29" s="167"/>
      <c r="I29" s="168"/>
      <c r="J29" s="166">
        <f t="shared" si="2"/>
        <v>0</v>
      </c>
      <c r="K29" s="166">
        <f t="shared" si="3"/>
        <v>0</v>
      </c>
      <c r="L29" s="188"/>
      <c r="M29" s="188">
        <f t="shared" si="1"/>
        <v>65325.849520000076</v>
      </c>
      <c r="N29" s="259"/>
    </row>
    <row r="30" spans="1:14" x14ac:dyDescent="0.25">
      <c r="A30" s="189">
        <v>27</v>
      </c>
      <c r="B30" s="284">
        <v>46322</v>
      </c>
      <c r="C30" s="185"/>
      <c r="D30" s="278"/>
      <c r="E30" s="37"/>
      <c r="F30" s="37"/>
      <c r="G30" s="166">
        <f t="shared" si="0"/>
        <v>0</v>
      </c>
      <c r="H30" s="167"/>
      <c r="I30" s="168"/>
      <c r="J30" s="166">
        <f t="shared" si="2"/>
        <v>0</v>
      </c>
      <c r="K30" s="166">
        <f t="shared" si="3"/>
        <v>0</v>
      </c>
      <c r="L30" s="188"/>
      <c r="M30" s="188">
        <f t="shared" si="1"/>
        <v>65325.849520000076</v>
      </c>
      <c r="N30" s="259"/>
    </row>
    <row r="31" spans="1:14" x14ac:dyDescent="0.25">
      <c r="A31" s="183">
        <v>28</v>
      </c>
      <c r="B31" s="284">
        <v>46323</v>
      </c>
      <c r="C31" s="185"/>
      <c r="D31" s="186"/>
      <c r="E31" s="37"/>
      <c r="F31" s="37"/>
      <c r="G31" s="262">
        <f t="shared" si="0"/>
        <v>0</v>
      </c>
      <c r="H31" s="167"/>
      <c r="I31" s="168"/>
      <c r="J31" s="262">
        <f t="shared" si="2"/>
        <v>0</v>
      </c>
      <c r="K31" s="262">
        <f t="shared" si="3"/>
        <v>0</v>
      </c>
      <c r="L31" s="279"/>
      <c r="M31" s="188">
        <f t="shared" si="1"/>
        <v>65325.849520000076</v>
      </c>
      <c r="N31" s="166"/>
    </row>
    <row r="32" spans="1:14" x14ac:dyDescent="0.25">
      <c r="A32" s="183">
        <v>29</v>
      </c>
      <c r="B32" s="284">
        <v>46324</v>
      </c>
      <c r="C32" s="185"/>
      <c r="D32" s="186"/>
      <c r="E32" s="37"/>
      <c r="F32" s="37"/>
      <c r="G32" s="166">
        <f t="shared" si="0"/>
        <v>0</v>
      </c>
      <c r="H32" s="167"/>
      <c r="I32" s="168"/>
      <c r="J32" s="166">
        <f t="shared" si="2"/>
        <v>0</v>
      </c>
      <c r="K32" s="166">
        <f t="shared" si="3"/>
        <v>0</v>
      </c>
      <c r="L32" s="188"/>
      <c r="M32" s="188">
        <f t="shared" si="1"/>
        <v>65325.849520000076</v>
      </c>
      <c r="N32" s="166"/>
    </row>
    <row r="33" spans="1:14" x14ac:dyDescent="0.25">
      <c r="A33" s="189">
        <v>30</v>
      </c>
      <c r="B33" s="284">
        <v>46325</v>
      </c>
      <c r="C33" s="185"/>
      <c r="D33" s="186"/>
      <c r="E33" s="186"/>
      <c r="F33" s="37"/>
      <c r="G33" s="166">
        <f t="shared" si="0"/>
        <v>0</v>
      </c>
      <c r="H33" s="167"/>
      <c r="I33" s="168"/>
      <c r="J33" s="166">
        <f t="shared" si="2"/>
        <v>0</v>
      </c>
      <c r="K33" s="166">
        <f t="shared" si="3"/>
        <v>0</v>
      </c>
      <c r="L33" s="188"/>
      <c r="M33" s="188">
        <f t="shared" si="1"/>
        <v>65325.849520000076</v>
      </c>
      <c r="N33" s="166"/>
    </row>
    <row r="34" spans="1:14" x14ac:dyDescent="0.25">
      <c r="A34" s="183">
        <v>31</v>
      </c>
      <c r="B34" s="284">
        <v>46326</v>
      </c>
      <c r="C34" s="185"/>
      <c r="D34" s="186"/>
      <c r="E34" s="37"/>
      <c r="F34" s="37"/>
      <c r="G34" s="166">
        <f t="shared" si="0"/>
        <v>0</v>
      </c>
      <c r="H34" s="167"/>
      <c r="I34" s="168"/>
      <c r="J34" s="166">
        <f t="shared" si="2"/>
        <v>0</v>
      </c>
      <c r="K34" s="166">
        <f t="shared" si="3"/>
        <v>0</v>
      </c>
      <c r="L34" s="188"/>
      <c r="M34" s="188">
        <f t="shared" si="1"/>
        <v>65325.849520000076</v>
      </c>
      <c r="N34" s="166"/>
    </row>
    <row r="35" spans="1:14" x14ac:dyDescent="0.25">
      <c r="A35" s="183">
        <v>32</v>
      </c>
      <c r="B35" s="184"/>
      <c r="C35" s="185"/>
      <c r="D35" s="186"/>
      <c r="E35" s="37"/>
      <c r="F35" s="37"/>
      <c r="G35" s="166">
        <f t="shared" si="0"/>
        <v>0</v>
      </c>
      <c r="H35" s="167"/>
      <c r="I35" s="168"/>
      <c r="J35" s="166">
        <f t="shared" si="2"/>
        <v>0</v>
      </c>
      <c r="K35" s="166">
        <f t="shared" si="3"/>
        <v>0</v>
      </c>
      <c r="L35" s="188"/>
      <c r="M35" s="188">
        <f t="shared" si="1"/>
        <v>65325.849520000076</v>
      </c>
      <c r="N35" s="166"/>
    </row>
    <row r="36" spans="1:14" x14ac:dyDescent="0.25">
      <c r="A36" s="189">
        <v>33</v>
      </c>
      <c r="B36" s="184"/>
      <c r="C36" s="185"/>
      <c r="D36" s="186"/>
      <c r="E36" s="165"/>
      <c r="F36" s="37"/>
      <c r="G36" s="166">
        <f t="shared" si="0"/>
        <v>0</v>
      </c>
      <c r="H36" s="167"/>
      <c r="I36" s="168"/>
      <c r="J36" s="166">
        <f t="shared" si="2"/>
        <v>0</v>
      </c>
      <c r="K36" s="166">
        <f t="shared" si="3"/>
        <v>0</v>
      </c>
      <c r="L36" s="188"/>
      <c r="M36" s="188">
        <f t="shared" si="1"/>
        <v>65325.849520000076</v>
      </c>
      <c r="N36" s="166"/>
    </row>
    <row r="37" spans="1:14" x14ac:dyDescent="0.25">
      <c r="A37" s="169"/>
      <c r="B37" s="169"/>
      <c r="C37" s="169"/>
      <c r="D37" s="169"/>
      <c r="E37" s="170">
        <f>SUM(E4:E36)</f>
        <v>2274.37</v>
      </c>
      <c r="F37" s="170"/>
      <c r="G37" s="171">
        <f>SUM(G4:G36)</f>
        <v>238081.0516</v>
      </c>
      <c r="H37" s="171">
        <f>SUM(H4:H36)</f>
        <v>426</v>
      </c>
      <c r="I37" s="171"/>
      <c r="J37" s="171">
        <f>SUM(J4:J36)</f>
        <v>49824.95999999999</v>
      </c>
      <c r="K37" s="171">
        <f>SUM(K4:K36)</f>
        <v>287906.01159999997</v>
      </c>
      <c r="L37" s="171">
        <f>SUM(L4:L36)</f>
        <v>338000</v>
      </c>
      <c r="M37" s="171"/>
      <c r="N37" s="171"/>
    </row>
  </sheetData>
  <mergeCells count="2">
    <mergeCell ref="A1:N1"/>
    <mergeCell ref="A3:L3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P39"/>
  <sheetViews>
    <sheetView workbookViewId="0" zoomScale="100" zoomScaleNormal="100">
      <pane ySplit="3" topLeftCell="A4" activePane="bottomLeft" state="frozen"/>
      <selection pane="bottomLeft" activeCell="M5" sqref="M5"/>
    </sheetView>
  </sheetViews>
  <sheetFormatPr defaultRowHeight="15" outlineLevelRow="0" outlineLevelCol="0" x14ac:dyDescent="0"/>
  <cols>
    <col min="2" max="2" width="15.42578125" customWidth="1"/>
    <col min="4" max="4" width="15.5703125" customWidth="1"/>
    <col min="5" max="5" width="11.42578125" customWidth="1"/>
    <col min="7" max="7" width="19.28515625" customWidth="1"/>
    <col min="8" max="8" width="11.140625" customWidth="1"/>
    <col min="10" max="10" width="9.7109375" customWidth="1"/>
    <col min="11" max="11" width="21.85546875" customWidth="1"/>
    <col min="12" max="12" width="12.28515625" customWidth="1"/>
    <col min="13" max="13" width="11.42578125" customWidth="1"/>
  </cols>
  <sheetData>
    <row r="1" ht="15.75" customHeight="1" spans="1:14" x14ac:dyDescent="0.25">
      <c r="A1" s="105" t="s">
        <v>71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</row>
    <row r="2" ht="22.5" customHeight="1" spans="1:16" x14ac:dyDescent="0.25">
      <c r="A2" s="122" t="s">
        <v>0</v>
      </c>
      <c r="B2" s="123" t="s">
        <v>167</v>
      </c>
      <c r="C2" s="123" t="s">
        <v>168</v>
      </c>
      <c r="D2" s="123" t="s">
        <v>169</v>
      </c>
      <c r="E2" s="123" t="s">
        <v>170</v>
      </c>
      <c r="F2" s="123" t="s">
        <v>171</v>
      </c>
      <c r="G2" s="123" t="s">
        <v>172</v>
      </c>
      <c r="H2" s="123" t="s">
        <v>173</v>
      </c>
      <c r="I2" s="123" t="s">
        <v>171</v>
      </c>
      <c r="J2" s="124" t="s">
        <v>172</v>
      </c>
      <c r="K2" s="106" t="s">
        <v>174</v>
      </c>
      <c r="L2" s="109" t="s">
        <v>175</v>
      </c>
      <c r="M2" s="109" t="s">
        <v>184</v>
      </c>
      <c r="N2" s="107" t="s">
        <v>177</v>
      </c>
      <c r="O2" s="137"/>
      <c r="P2" s="114"/>
    </row>
    <row r="3" spans="1:14" x14ac:dyDescent="0.25">
      <c r="A3" s="125" t="s">
        <v>178</v>
      </c>
      <c r="B3" s="126"/>
      <c r="C3" s="126"/>
      <c r="D3" s="126"/>
      <c r="E3" s="126"/>
      <c r="F3" s="126"/>
      <c r="G3" s="126"/>
      <c r="H3" s="126"/>
      <c r="I3" s="126"/>
      <c r="J3" s="126"/>
      <c r="K3">
        <v>3141611.0999999996</v>
      </c>
      <c r="L3" s="112"/>
      <c r="M3">
        <v>3141611.0999999996</v>
      </c>
      <c r="N3" s="113"/>
    </row>
    <row r="4" spans="1:14" x14ac:dyDescent="0.25">
      <c r="A4" s="115">
        <v>1</v>
      </c>
      <c r="B4" s="116">
        <v>46296</v>
      </c>
      <c r="C4" s="37"/>
      <c r="D4" s="128"/>
      <c r="E4" s="131"/>
      <c r="F4" s="130"/>
      <c r="G4" s="37">
        <f>E4*F4</f>
        <v>0</v>
      </c>
      <c r="H4" s="37"/>
      <c r="I4" s="37"/>
      <c r="J4" s="37">
        <f>H4*I4</f>
        <v>0</v>
      </c>
      <c r="K4" s="37">
        <f>G4+J4</f>
        <v>0</v>
      </c>
      <c r="L4" s="37"/>
      <c r="M4" s="118">
        <f>M3+K4-L4</f>
        <v>3141611.0999999996</v>
      </c>
      <c r="N4" s="37"/>
    </row>
    <row r="5" spans="1:14" x14ac:dyDescent="0.25">
      <c r="A5" s="115">
        <v>2</v>
      </c>
      <c r="B5" s="116">
        <v>46297</v>
      </c>
      <c r="C5" s="37"/>
      <c r="D5" s="128"/>
      <c r="E5" s="131">
        <v>2700</v>
      </c>
      <c r="F5" s="130">
        <v>103.62</v>
      </c>
      <c r="G5" s="37">
        <f t="shared" ref="G5:G34" si="0">E5*F5</f>
        <v>279774</v>
      </c>
      <c r="H5" s="37">
        <v>75</v>
      </c>
      <c r="I5" s="37">
        <v>115.49</v>
      </c>
      <c r="J5" s="37">
        <f t="shared" ref="J5:J34" si="1">H5*I5</f>
        <v>8661.75</v>
      </c>
      <c r="K5" s="37">
        <f t="shared" ref="K5:K34" si="2">G5+J5</f>
        <v>288435.75</v>
      </c>
      <c r="L5" s="37">
        <v>288435.75</v>
      </c>
      <c r="M5" s="118">
        <f>M4+K5-L5</f>
        <v>3141611.0999999996</v>
      </c>
      <c r="N5" s="37"/>
    </row>
    <row r="6" spans="1:14" x14ac:dyDescent="0.25">
      <c r="A6" s="115">
        <v>3</v>
      </c>
      <c r="B6" s="116">
        <v>46298</v>
      </c>
      <c r="C6" s="37"/>
      <c r="D6" s="128"/>
      <c r="E6" s="131"/>
      <c r="F6" s="130"/>
      <c r="G6" s="37">
        <f t="shared" si="0"/>
        <v>0</v>
      </c>
      <c r="H6" s="37"/>
      <c r="I6" s="37"/>
      <c r="J6" s="37">
        <f t="shared" si="1"/>
        <v>0</v>
      </c>
      <c r="K6" s="37">
        <f t="shared" si="2"/>
        <v>0</v>
      </c>
      <c r="L6" s="37"/>
      <c r="M6" s="118">
        <f t="shared" ref="M6:M34" si="3">M5+K6-L6</f>
        <v>3141611.0999999996</v>
      </c>
      <c r="N6" s="37"/>
    </row>
    <row r="7" spans="1:14" x14ac:dyDescent="0.25">
      <c r="A7" s="115">
        <v>4</v>
      </c>
      <c r="B7" s="116">
        <v>46299</v>
      </c>
      <c r="C7" s="37"/>
      <c r="D7" s="128"/>
      <c r="E7" s="131"/>
      <c r="F7" s="130"/>
      <c r="G7" s="37">
        <f t="shared" si="0"/>
        <v>0</v>
      </c>
      <c r="H7" s="37"/>
      <c r="I7" s="37"/>
      <c r="J7" s="37">
        <f t="shared" si="1"/>
        <v>0</v>
      </c>
      <c r="K7" s="37">
        <f t="shared" si="2"/>
        <v>0</v>
      </c>
      <c r="L7" s="37"/>
      <c r="M7" s="118">
        <f>M6+K7-L7</f>
        <v>3141611.0999999996</v>
      </c>
      <c r="N7" s="37"/>
    </row>
    <row r="8" spans="1:14" x14ac:dyDescent="0.25">
      <c r="A8" s="115">
        <v>5</v>
      </c>
      <c r="B8" s="116">
        <v>46300</v>
      </c>
      <c r="C8" s="37"/>
      <c r="D8" s="128"/>
      <c r="E8" s="131"/>
      <c r="F8" s="130"/>
      <c r="G8" s="37">
        <f t="shared" si="0"/>
        <v>0</v>
      </c>
      <c r="H8" s="37"/>
      <c r="I8" s="37"/>
      <c r="J8" s="37">
        <f t="shared" si="1"/>
        <v>0</v>
      </c>
      <c r="K8" s="37">
        <f t="shared" si="2"/>
        <v>0</v>
      </c>
      <c r="L8" s="37"/>
      <c r="M8" s="118">
        <f t="shared" si="3"/>
        <v>3141611.0999999996</v>
      </c>
      <c r="N8" s="37"/>
    </row>
    <row r="9" spans="1:14" x14ac:dyDescent="0.25">
      <c r="A9" s="115">
        <v>6</v>
      </c>
      <c r="B9" s="116">
        <v>46301</v>
      </c>
      <c r="C9" s="37"/>
      <c r="D9" s="128"/>
      <c r="E9" s="131"/>
      <c r="F9" s="130"/>
      <c r="G9" s="37">
        <f t="shared" si="0"/>
        <v>0</v>
      </c>
      <c r="H9" s="37"/>
      <c r="I9" s="37"/>
      <c r="J9" s="37">
        <f t="shared" si="1"/>
        <v>0</v>
      </c>
      <c r="K9" s="37">
        <f t="shared" si="2"/>
        <v>0</v>
      </c>
      <c r="L9" s="37"/>
      <c r="M9" s="118">
        <f t="shared" si="3"/>
        <v>3141611.0999999996</v>
      </c>
      <c r="N9" s="132"/>
    </row>
    <row r="10" spans="1:14" x14ac:dyDescent="0.25">
      <c r="A10" s="115">
        <v>7</v>
      </c>
      <c r="B10" s="116">
        <v>46302</v>
      </c>
      <c r="C10" s="37"/>
      <c r="D10" s="128"/>
      <c r="E10" s="131"/>
      <c r="F10" s="130"/>
      <c r="G10" s="37">
        <f t="shared" si="0"/>
        <v>0</v>
      </c>
      <c r="H10" s="37"/>
      <c r="I10" s="37"/>
      <c r="J10" s="37">
        <f t="shared" si="1"/>
        <v>0</v>
      </c>
      <c r="K10" s="37">
        <f t="shared" si="2"/>
        <v>0</v>
      </c>
      <c r="L10" s="37"/>
      <c r="M10" s="118">
        <f t="shared" si="3"/>
        <v>3141611.0999999996</v>
      </c>
      <c r="N10" s="37"/>
    </row>
    <row r="11" spans="1:14" x14ac:dyDescent="0.25">
      <c r="A11" s="115">
        <v>8</v>
      </c>
      <c r="B11" s="116">
        <v>46303</v>
      </c>
      <c r="C11" s="37"/>
      <c r="D11" s="128"/>
      <c r="E11" s="131"/>
      <c r="F11" s="130"/>
      <c r="G11" s="37">
        <f t="shared" si="0"/>
        <v>0</v>
      </c>
      <c r="H11" s="37"/>
      <c r="I11" s="37"/>
      <c r="J11" s="37">
        <f t="shared" si="1"/>
        <v>0</v>
      </c>
      <c r="K11" s="37">
        <f t="shared" si="2"/>
        <v>0</v>
      </c>
      <c r="L11" s="37"/>
      <c r="M11" s="118">
        <f t="shared" si="3"/>
        <v>3141611.0999999996</v>
      </c>
      <c r="N11" s="37"/>
    </row>
    <row r="12" spans="1:14" x14ac:dyDescent="0.25">
      <c r="A12" s="115">
        <v>9</v>
      </c>
      <c r="B12" s="116">
        <v>46304</v>
      </c>
      <c r="C12" s="37"/>
      <c r="D12" s="128"/>
      <c r="E12" s="131"/>
      <c r="F12" s="130"/>
      <c r="G12" s="37">
        <f t="shared" si="0"/>
        <v>0</v>
      </c>
      <c r="H12" s="37"/>
      <c r="I12" s="37"/>
      <c r="J12" s="37">
        <f t="shared" si="1"/>
        <v>0</v>
      </c>
      <c r="K12" s="37">
        <f t="shared" si="2"/>
        <v>0</v>
      </c>
      <c r="L12" s="37"/>
      <c r="M12" s="118">
        <f t="shared" si="3"/>
        <v>3141611.0999999996</v>
      </c>
      <c r="N12" s="37"/>
    </row>
    <row r="13" spans="1:14" x14ac:dyDescent="0.25">
      <c r="A13" s="115">
        <v>10</v>
      </c>
      <c r="B13" s="116">
        <v>46305</v>
      </c>
      <c r="C13" s="37"/>
      <c r="D13" s="128"/>
      <c r="E13" s="131"/>
      <c r="F13" s="130"/>
      <c r="G13" s="37">
        <f t="shared" si="0"/>
        <v>0</v>
      </c>
      <c r="H13" s="37"/>
      <c r="I13" s="37"/>
      <c r="J13" s="37">
        <f t="shared" si="1"/>
        <v>0</v>
      </c>
      <c r="K13" s="37">
        <f t="shared" si="2"/>
        <v>0</v>
      </c>
      <c r="L13" s="37"/>
      <c r="M13" s="118">
        <f t="shared" si="3"/>
        <v>3141611.0999999996</v>
      </c>
      <c r="N13" s="37"/>
    </row>
    <row r="14" spans="1:14" x14ac:dyDescent="0.25">
      <c r="A14" s="115">
        <v>11</v>
      </c>
      <c r="B14" s="116">
        <v>46306</v>
      </c>
      <c r="C14" s="37"/>
      <c r="D14" s="128"/>
      <c r="E14" s="131"/>
      <c r="F14" s="130"/>
      <c r="G14" s="37">
        <f t="shared" si="0"/>
        <v>0</v>
      </c>
      <c r="H14" s="37"/>
      <c r="I14" s="37"/>
      <c r="J14" s="37">
        <f t="shared" si="1"/>
        <v>0</v>
      </c>
      <c r="K14" s="37">
        <f t="shared" si="2"/>
        <v>0</v>
      </c>
      <c r="L14" s="37"/>
      <c r="M14" s="118">
        <f t="shared" si="3"/>
        <v>3141611.0999999996</v>
      </c>
      <c r="N14" s="37"/>
    </row>
    <row r="15" spans="1:14" x14ac:dyDescent="0.25">
      <c r="A15" s="115">
        <v>12</v>
      </c>
      <c r="B15" s="116">
        <v>46307</v>
      </c>
      <c r="C15" s="37"/>
      <c r="D15" s="128"/>
      <c r="E15" s="131"/>
      <c r="F15" s="130"/>
      <c r="G15" s="37">
        <f t="shared" si="0"/>
        <v>0</v>
      </c>
      <c r="H15" s="37"/>
      <c r="I15" s="37"/>
      <c r="J15" s="37">
        <f t="shared" si="1"/>
        <v>0</v>
      </c>
      <c r="K15" s="37">
        <f t="shared" si="2"/>
        <v>0</v>
      </c>
      <c r="L15" s="37"/>
      <c r="M15" s="118">
        <f t="shared" si="3"/>
        <v>3141611.0999999996</v>
      </c>
      <c r="N15" s="37"/>
    </row>
    <row r="16" spans="1:14" x14ac:dyDescent="0.25">
      <c r="A16" s="115">
        <v>13</v>
      </c>
      <c r="B16" s="116">
        <v>46308</v>
      </c>
      <c r="C16" s="37"/>
      <c r="D16" s="128"/>
      <c r="E16" s="131"/>
      <c r="F16" s="130"/>
      <c r="G16" s="37">
        <f t="shared" si="0"/>
        <v>0</v>
      </c>
      <c r="H16" s="37"/>
      <c r="I16" s="37"/>
      <c r="J16" s="37">
        <f t="shared" si="1"/>
        <v>0</v>
      </c>
      <c r="K16" s="37">
        <f t="shared" si="2"/>
        <v>0</v>
      </c>
      <c r="L16" s="37"/>
      <c r="M16" s="118">
        <f>M15+K16-L16</f>
        <v>3141611.0999999996</v>
      </c>
      <c r="N16" s="37"/>
    </row>
    <row r="17" spans="1:14" x14ac:dyDescent="0.25">
      <c r="A17" s="115">
        <v>14</v>
      </c>
      <c r="B17" s="116">
        <v>46309</v>
      </c>
      <c r="C17" s="37"/>
      <c r="D17" s="128"/>
      <c r="E17" s="131"/>
      <c r="F17" s="130"/>
      <c r="G17" s="37">
        <f t="shared" si="0"/>
        <v>0</v>
      </c>
      <c r="H17" s="37"/>
      <c r="I17" s="37"/>
      <c r="J17" s="37">
        <f t="shared" si="1"/>
        <v>0</v>
      </c>
      <c r="K17" s="37">
        <f t="shared" si="2"/>
        <v>0</v>
      </c>
      <c r="L17" s="37"/>
      <c r="M17" s="118">
        <f t="shared" si="3"/>
        <v>3141611.0999999996</v>
      </c>
      <c r="N17" s="37"/>
    </row>
    <row r="18" spans="1:14" x14ac:dyDescent="0.25">
      <c r="A18" s="115">
        <v>15</v>
      </c>
      <c r="B18" s="116">
        <v>46310</v>
      </c>
      <c r="C18" s="37"/>
      <c r="D18" s="128"/>
      <c r="E18" s="131"/>
      <c r="F18" s="130"/>
      <c r="G18" s="37">
        <f t="shared" si="0"/>
        <v>0</v>
      </c>
      <c r="H18" s="37"/>
      <c r="I18" s="37"/>
      <c r="J18" s="37">
        <f t="shared" si="1"/>
        <v>0</v>
      </c>
      <c r="K18" s="37">
        <f t="shared" si="2"/>
        <v>0</v>
      </c>
      <c r="L18" s="37"/>
      <c r="M18" s="118">
        <f t="shared" si="3"/>
        <v>3141611.0999999996</v>
      </c>
      <c r="N18" s="37"/>
    </row>
    <row r="19" spans="1:14" x14ac:dyDescent="0.25">
      <c r="A19" s="115">
        <v>16</v>
      </c>
      <c r="B19" s="116">
        <v>46311</v>
      </c>
      <c r="C19" s="37"/>
      <c r="D19" s="128"/>
      <c r="E19" s="131"/>
      <c r="F19" s="130"/>
      <c r="G19" s="37">
        <f t="shared" si="0"/>
        <v>0</v>
      </c>
      <c r="H19" s="37"/>
      <c r="I19" s="37"/>
      <c r="J19" s="37">
        <f t="shared" si="1"/>
        <v>0</v>
      </c>
      <c r="K19" s="37">
        <f t="shared" si="2"/>
        <v>0</v>
      </c>
      <c r="L19" s="37"/>
      <c r="M19" s="118">
        <f t="shared" si="3"/>
        <v>3141611.0999999996</v>
      </c>
      <c r="N19" s="37"/>
    </row>
    <row r="20" spans="1:14" x14ac:dyDescent="0.25">
      <c r="A20" s="115">
        <v>17</v>
      </c>
      <c r="B20" s="116">
        <v>46312</v>
      </c>
      <c r="C20" s="37"/>
      <c r="D20" s="128"/>
      <c r="E20" s="131"/>
      <c r="F20" s="130"/>
      <c r="G20" s="37">
        <f t="shared" si="0"/>
        <v>0</v>
      </c>
      <c r="H20" s="37"/>
      <c r="I20" s="37"/>
      <c r="J20" s="37">
        <f t="shared" si="1"/>
        <v>0</v>
      </c>
      <c r="K20" s="37">
        <f t="shared" si="2"/>
        <v>0</v>
      </c>
      <c r="L20" s="37"/>
      <c r="M20" s="118">
        <f t="shared" si="3"/>
        <v>3141611.0999999996</v>
      </c>
      <c r="N20" s="37"/>
    </row>
    <row r="21" spans="1:14" x14ac:dyDescent="0.25">
      <c r="A21" s="115">
        <v>18</v>
      </c>
      <c r="B21" s="116">
        <v>46313</v>
      </c>
      <c r="C21" s="37"/>
      <c r="D21" s="128"/>
      <c r="E21" s="131"/>
      <c r="F21" s="130"/>
      <c r="G21" s="37">
        <f t="shared" si="0"/>
        <v>0</v>
      </c>
      <c r="H21" s="37"/>
      <c r="I21" s="37"/>
      <c r="J21" s="37">
        <f t="shared" si="1"/>
        <v>0</v>
      </c>
      <c r="K21" s="37">
        <f t="shared" si="2"/>
        <v>0</v>
      </c>
      <c r="L21" s="37"/>
      <c r="M21" s="118">
        <f t="shared" si="3"/>
        <v>3141611.0999999996</v>
      </c>
      <c r="N21" s="37"/>
    </row>
    <row r="22" spans="1:14" x14ac:dyDescent="0.25">
      <c r="A22" s="115">
        <v>19</v>
      </c>
      <c r="B22" s="116">
        <v>46314</v>
      </c>
      <c r="C22" s="37"/>
      <c r="D22" s="128"/>
      <c r="E22" s="131"/>
      <c r="F22" s="130"/>
      <c r="G22" s="37">
        <f t="shared" si="0"/>
        <v>0</v>
      </c>
      <c r="H22" s="37"/>
      <c r="I22" s="37"/>
      <c r="J22" s="37">
        <f t="shared" si="1"/>
        <v>0</v>
      </c>
      <c r="K22" s="37">
        <f t="shared" si="2"/>
        <v>0</v>
      </c>
      <c r="L22" s="37"/>
      <c r="M22" s="118">
        <f t="shared" si="3"/>
        <v>3141611.0999999996</v>
      </c>
      <c r="N22" s="37"/>
    </row>
    <row r="23" spans="1:14" x14ac:dyDescent="0.25">
      <c r="A23" s="115">
        <v>20</v>
      </c>
      <c r="B23" s="116">
        <v>46315</v>
      </c>
      <c r="C23" s="37"/>
      <c r="D23" s="128"/>
      <c r="E23" s="131"/>
      <c r="F23" s="130"/>
      <c r="G23" s="37">
        <f t="shared" si="0"/>
        <v>0</v>
      </c>
      <c r="H23" s="37"/>
      <c r="I23" s="37"/>
      <c r="J23" s="37">
        <f t="shared" si="1"/>
        <v>0</v>
      </c>
      <c r="K23" s="37">
        <f t="shared" si="2"/>
        <v>0</v>
      </c>
      <c r="L23" s="37"/>
      <c r="M23" s="118">
        <f t="shared" si="3"/>
        <v>3141611.0999999996</v>
      </c>
      <c r="N23" s="37"/>
    </row>
    <row r="24" spans="1:14" x14ac:dyDescent="0.25">
      <c r="A24" s="115">
        <v>21</v>
      </c>
      <c r="B24" s="116">
        <v>46316</v>
      </c>
      <c r="C24" s="37"/>
      <c r="D24" s="128"/>
      <c r="E24" s="131"/>
      <c r="F24" s="130"/>
      <c r="G24" s="37">
        <f t="shared" si="0"/>
        <v>0</v>
      </c>
      <c r="H24" s="37"/>
      <c r="I24" s="37"/>
      <c r="J24" s="37">
        <f t="shared" si="1"/>
        <v>0</v>
      </c>
      <c r="K24" s="37">
        <f t="shared" si="2"/>
        <v>0</v>
      </c>
      <c r="L24" s="37"/>
      <c r="M24" s="118">
        <f t="shared" si="3"/>
        <v>3141611.0999999996</v>
      </c>
      <c r="N24" s="37"/>
    </row>
    <row r="25" spans="1:14" x14ac:dyDescent="0.25">
      <c r="A25" s="115">
        <v>22</v>
      </c>
      <c r="B25" s="116">
        <v>46317</v>
      </c>
      <c r="C25" s="37"/>
      <c r="D25" s="128"/>
      <c r="E25" s="131"/>
      <c r="F25" s="130"/>
      <c r="G25" s="37">
        <f t="shared" si="0"/>
        <v>0</v>
      </c>
      <c r="H25" s="37"/>
      <c r="I25" s="37"/>
      <c r="J25" s="37">
        <f t="shared" si="1"/>
        <v>0</v>
      </c>
      <c r="K25" s="37">
        <f t="shared" si="2"/>
        <v>0</v>
      </c>
      <c r="L25" s="37"/>
      <c r="M25" s="118">
        <f t="shared" si="3"/>
        <v>3141611.0999999996</v>
      </c>
      <c r="N25" s="37"/>
    </row>
    <row r="26" spans="1:14" x14ac:dyDescent="0.25">
      <c r="A26" s="115">
        <v>23</v>
      </c>
      <c r="B26" s="116">
        <v>46318</v>
      </c>
      <c r="C26" s="37"/>
      <c r="D26" s="128"/>
      <c r="E26" s="131"/>
      <c r="F26" s="130"/>
      <c r="G26" s="37">
        <f t="shared" si="0"/>
        <v>0</v>
      </c>
      <c r="H26" s="37"/>
      <c r="I26" s="37"/>
      <c r="J26" s="37">
        <f t="shared" si="1"/>
        <v>0</v>
      </c>
      <c r="K26" s="37">
        <f t="shared" si="2"/>
        <v>0</v>
      </c>
      <c r="L26" s="37"/>
      <c r="M26" s="118">
        <f t="shared" si="3"/>
        <v>3141611.0999999996</v>
      </c>
      <c r="N26" s="37"/>
    </row>
    <row r="27" spans="1:14" x14ac:dyDescent="0.25">
      <c r="A27" s="115">
        <v>24</v>
      </c>
      <c r="B27" s="116">
        <v>46319</v>
      </c>
      <c r="C27" s="37"/>
      <c r="D27" s="128"/>
      <c r="E27" s="131"/>
      <c r="F27" s="130"/>
      <c r="G27" s="37">
        <f t="shared" si="0"/>
        <v>0</v>
      </c>
      <c r="H27" s="37"/>
      <c r="I27" s="37"/>
      <c r="J27" s="37">
        <f t="shared" si="1"/>
        <v>0</v>
      </c>
      <c r="K27" s="37">
        <f t="shared" si="2"/>
        <v>0</v>
      </c>
      <c r="L27" s="37"/>
      <c r="M27" s="118">
        <f t="shared" si="3"/>
        <v>3141611.0999999996</v>
      </c>
      <c r="N27" s="37"/>
    </row>
    <row r="28" spans="1:14" x14ac:dyDescent="0.25">
      <c r="A28" s="115">
        <v>25</v>
      </c>
      <c r="B28" s="116">
        <v>46320</v>
      </c>
      <c r="C28" s="37"/>
      <c r="D28" s="128"/>
      <c r="E28" s="131"/>
      <c r="F28" s="130"/>
      <c r="G28" s="37">
        <f t="shared" si="0"/>
        <v>0</v>
      </c>
      <c r="H28" s="37"/>
      <c r="I28" s="37"/>
      <c r="J28" s="37">
        <f t="shared" si="1"/>
        <v>0</v>
      </c>
      <c r="K28" s="37">
        <f t="shared" si="2"/>
        <v>0</v>
      </c>
      <c r="L28" s="37"/>
      <c r="M28" s="118">
        <f t="shared" si="3"/>
        <v>3141611.0999999996</v>
      </c>
      <c r="N28" s="37"/>
    </row>
    <row r="29" spans="1:14" x14ac:dyDescent="0.25">
      <c r="A29" s="115">
        <v>26</v>
      </c>
      <c r="B29" s="116">
        <v>46321</v>
      </c>
      <c r="C29" s="37"/>
      <c r="D29" s="128"/>
      <c r="E29" s="131"/>
      <c r="F29" s="130"/>
      <c r="G29" s="37">
        <f t="shared" si="0"/>
        <v>0</v>
      </c>
      <c r="H29" s="37"/>
      <c r="I29" s="37"/>
      <c r="J29" s="37">
        <f t="shared" si="1"/>
        <v>0</v>
      </c>
      <c r="K29" s="37">
        <f t="shared" si="2"/>
        <v>0</v>
      </c>
      <c r="L29" s="37"/>
      <c r="M29" s="118">
        <f t="shared" si="3"/>
        <v>3141611.0999999996</v>
      </c>
      <c r="N29" s="37"/>
    </row>
    <row r="30" spans="1:14" x14ac:dyDescent="0.25">
      <c r="A30" s="115">
        <v>27</v>
      </c>
      <c r="B30" s="116">
        <v>46322</v>
      </c>
      <c r="C30" s="37"/>
      <c r="D30" s="128"/>
      <c r="E30" s="131"/>
      <c r="F30" s="130"/>
      <c r="G30" s="37">
        <f t="shared" si="0"/>
        <v>0</v>
      </c>
      <c r="H30" s="37"/>
      <c r="I30" s="37"/>
      <c r="J30" s="37">
        <f t="shared" si="1"/>
        <v>0</v>
      </c>
      <c r="K30" s="37">
        <f t="shared" si="2"/>
        <v>0</v>
      </c>
      <c r="L30" s="37"/>
      <c r="M30" s="118">
        <f t="shared" si="3"/>
        <v>3141611.0999999996</v>
      </c>
      <c r="N30" s="37"/>
    </row>
    <row r="31" spans="1:14" x14ac:dyDescent="0.25">
      <c r="A31" s="115">
        <v>28</v>
      </c>
      <c r="B31" s="116">
        <v>46323</v>
      </c>
      <c r="C31" s="37"/>
      <c r="D31" s="128"/>
      <c r="E31" s="131"/>
      <c r="F31" s="130"/>
      <c r="G31" s="37">
        <f t="shared" si="0"/>
        <v>0</v>
      </c>
      <c r="H31" s="37"/>
      <c r="I31" s="37"/>
      <c r="J31" s="37">
        <f t="shared" si="1"/>
        <v>0</v>
      </c>
      <c r="K31" s="37">
        <f t="shared" si="2"/>
        <v>0</v>
      </c>
      <c r="L31" s="37"/>
      <c r="M31" s="118">
        <f t="shared" si="3"/>
        <v>3141611.0999999996</v>
      </c>
      <c r="N31" s="37"/>
    </row>
    <row r="32" spans="1:14" x14ac:dyDescent="0.25">
      <c r="A32" s="115">
        <v>29</v>
      </c>
      <c r="B32" s="116">
        <v>46324</v>
      </c>
      <c r="C32" s="37"/>
      <c r="D32" s="128"/>
      <c r="E32" s="131"/>
      <c r="F32" s="130"/>
      <c r="G32" s="37">
        <f t="shared" si="0"/>
        <v>0</v>
      </c>
      <c r="H32" s="37"/>
      <c r="I32" s="37"/>
      <c r="J32" s="37">
        <f t="shared" si="1"/>
        <v>0</v>
      </c>
      <c r="K32" s="37">
        <f t="shared" si="2"/>
        <v>0</v>
      </c>
      <c r="L32" s="37"/>
      <c r="M32" s="118">
        <f t="shared" si="3"/>
        <v>3141611.0999999996</v>
      </c>
      <c r="N32" s="37"/>
    </row>
    <row r="33" spans="1:14" x14ac:dyDescent="0.25">
      <c r="A33" s="115">
        <v>30</v>
      </c>
      <c r="B33" s="116">
        <v>46325</v>
      </c>
      <c r="C33" s="37"/>
      <c r="D33" s="128"/>
      <c r="E33" s="131"/>
      <c r="F33" s="130"/>
      <c r="G33" s="37">
        <f t="shared" si="0"/>
        <v>0</v>
      </c>
      <c r="H33" s="37"/>
      <c r="I33" s="37"/>
      <c r="J33" s="37">
        <f t="shared" si="1"/>
        <v>0</v>
      </c>
      <c r="K33" s="37">
        <f t="shared" si="2"/>
        <v>0</v>
      </c>
      <c r="L33" s="37"/>
      <c r="M33" s="118">
        <f t="shared" si="3"/>
        <v>3141611.0999999996</v>
      </c>
      <c r="N33" s="37"/>
    </row>
    <row r="34" spans="1:14" x14ac:dyDescent="0.25">
      <c r="A34" s="115">
        <v>31</v>
      </c>
      <c r="B34" s="116">
        <v>46326</v>
      </c>
      <c r="C34" s="37"/>
      <c r="D34" s="128"/>
      <c r="E34" s="131"/>
      <c r="F34" s="130"/>
      <c r="G34" s="37">
        <f t="shared" si="0"/>
        <v>0</v>
      </c>
      <c r="H34" s="37"/>
      <c r="I34" s="37"/>
      <c r="J34" s="37">
        <f t="shared" si="1"/>
        <v>0</v>
      </c>
      <c r="K34" s="37">
        <f t="shared" si="2"/>
        <v>0</v>
      </c>
      <c r="L34" s="37"/>
      <c r="M34" s="118">
        <f t="shared" si="3"/>
        <v>3141611.0999999996</v>
      </c>
      <c r="N34" s="37"/>
    </row>
    <row r="35" spans="1:14" x14ac:dyDescent="0.25">
      <c r="A35" s="121"/>
      <c r="B35" s="121"/>
      <c r="C35" s="121"/>
      <c r="D35" s="121"/>
      <c r="E35" s="136">
        <f>SUM(E4:E34)</f>
        <v>2700</v>
      </c>
      <c r="F35" s="136"/>
      <c r="G35" s="136">
        <f>SUM(G4:G34)</f>
        <v>279774</v>
      </c>
      <c r="H35" s="136">
        <f>SUM(H4:H34)</f>
        <v>75</v>
      </c>
      <c r="I35" s="136"/>
      <c r="J35" s="136">
        <f>SUM(J4:J34)</f>
        <v>8661.75</v>
      </c>
      <c r="K35" s="136">
        <f>SUM(K4:K34)</f>
        <v>288435.75</v>
      </c>
      <c r="L35" s="136">
        <f>SUM(L4:L34)</f>
        <v>288435.75</v>
      </c>
      <c r="M35" s="136"/>
      <c r="N35" s="136"/>
    </row>
    <row r="39" spans="13:13" x14ac:dyDescent="0.25">
      <c r="M39" s="114"/>
    </row>
  </sheetData>
  <mergeCells count="2">
    <mergeCell ref="A1:N1"/>
    <mergeCell ref="A3:J3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P39"/>
  <sheetViews>
    <sheetView workbookViewId="0" zoomScale="100" zoomScaleNormal="100">
      <pane ySplit="3" topLeftCell="A4" activePane="bottomLeft" state="frozen"/>
      <selection pane="bottomLeft" activeCell="N8" sqref="N8"/>
    </sheetView>
  </sheetViews>
  <sheetFormatPr defaultRowHeight="15" outlineLevelRow="0" outlineLevelCol="0" x14ac:dyDescent="0" defaultColWidth="14.28515625"/>
  <sheetData>
    <row r="1" ht="15.75" customHeight="1" spans="1:14" x14ac:dyDescent="0.25">
      <c r="A1" s="105" t="s">
        <v>186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</row>
    <row r="2" ht="30.75" customHeight="1" spans="1:16" x14ac:dyDescent="0.25">
      <c r="A2" s="122" t="s">
        <v>0</v>
      </c>
      <c r="B2" s="123" t="s">
        <v>167</v>
      </c>
      <c r="C2" s="123" t="s">
        <v>168</v>
      </c>
      <c r="D2" s="123" t="s">
        <v>169</v>
      </c>
      <c r="E2" s="123" t="s">
        <v>170</v>
      </c>
      <c r="F2" s="123" t="s">
        <v>171</v>
      </c>
      <c r="G2" s="123" t="s">
        <v>172</v>
      </c>
      <c r="H2" s="123" t="s">
        <v>173</v>
      </c>
      <c r="I2" s="123" t="s">
        <v>171</v>
      </c>
      <c r="J2" s="124" t="s">
        <v>172</v>
      </c>
      <c r="K2" s="106" t="s">
        <v>174</v>
      </c>
      <c r="L2" s="109" t="s">
        <v>175</v>
      </c>
      <c r="M2" s="109" t="s">
        <v>184</v>
      </c>
      <c r="N2" s="107" t="s">
        <v>177</v>
      </c>
      <c r="O2" s="137"/>
      <c r="P2" s="114"/>
    </row>
    <row r="3" spans="1:14" x14ac:dyDescent="0.25">
      <c r="A3" s="125" t="s">
        <v>178</v>
      </c>
      <c r="B3" s="126"/>
      <c r="C3" s="126"/>
      <c r="D3" s="126"/>
      <c r="E3" s="126"/>
      <c r="F3" s="126"/>
      <c r="G3" s="126"/>
      <c r="H3" s="126"/>
      <c r="I3" s="126"/>
      <c r="J3" s="126"/>
      <c r="K3">
        <v>1445001.85</v>
      </c>
      <c r="L3" s="112"/>
      <c r="M3">
        <v>1445001.85</v>
      </c>
      <c r="N3" s="113"/>
    </row>
    <row r="4" spans="1:15" x14ac:dyDescent="0.25">
      <c r="A4" s="115">
        <v>1</v>
      </c>
      <c r="B4" s="116">
        <v>46296</v>
      </c>
      <c r="C4" s="37"/>
      <c r="D4" s="128"/>
      <c r="E4" s="131"/>
      <c r="F4" s="130"/>
      <c r="G4" s="37">
        <f>E4*F4</f>
        <v>0</v>
      </c>
      <c r="H4" s="37"/>
      <c r="I4" s="37"/>
      <c r="J4" s="37">
        <f>H4*I4</f>
        <v>0</v>
      </c>
      <c r="K4" s="37">
        <f>G4+J4</f>
        <v>0</v>
      </c>
      <c r="L4" s="37"/>
      <c r="M4" s="118">
        <f>M3+K4-L4</f>
        <v>1445001.85</v>
      </c>
      <c r="N4" s="37"/>
      <c r="O4" s="118"/>
    </row>
    <row r="5" spans="1:14" x14ac:dyDescent="0.25">
      <c r="A5" s="115">
        <v>2</v>
      </c>
      <c r="B5" s="116">
        <v>46297</v>
      </c>
      <c r="C5" s="37"/>
      <c r="D5" s="128"/>
      <c r="E5" s="131"/>
      <c r="F5" s="130"/>
      <c r="G5" s="37">
        <f t="shared" ref="G5:G34" si="0">E5*F5</f>
        <v>0</v>
      </c>
      <c r="H5" s="37"/>
      <c r="I5" s="37"/>
      <c r="J5" s="37">
        <f t="shared" ref="J5:J34" si="1">H5*I5</f>
        <v>0</v>
      </c>
      <c r="K5" s="37">
        <f t="shared" ref="K5:K34" si="2">G5+J5</f>
        <v>0</v>
      </c>
      <c r="L5" s="37"/>
      <c r="M5" s="118">
        <f>M4+K5-L5</f>
        <v>1445001.85</v>
      </c>
      <c r="N5" s="37"/>
    </row>
    <row r="6" spans="1:14" x14ac:dyDescent="0.25">
      <c r="A6" s="115">
        <v>3</v>
      </c>
      <c r="B6" s="116">
        <v>46298</v>
      </c>
      <c r="C6" s="37"/>
      <c r="D6" s="128"/>
      <c r="E6" s="131"/>
      <c r="F6" s="130"/>
      <c r="G6" s="37">
        <f t="shared" si="0"/>
        <v>0</v>
      </c>
      <c r="H6" s="37"/>
      <c r="I6" s="37"/>
      <c r="J6" s="37">
        <f t="shared" si="1"/>
        <v>0</v>
      </c>
      <c r="K6" s="37">
        <f t="shared" si="2"/>
        <v>0</v>
      </c>
      <c r="L6" s="37"/>
      <c r="M6" s="118">
        <f t="shared" ref="M6:M34" si="3">M5+K6-L6</f>
        <v>1445001.85</v>
      </c>
      <c r="N6" s="37"/>
    </row>
    <row r="7" spans="1:14" x14ac:dyDescent="0.25">
      <c r="A7" s="115">
        <v>4</v>
      </c>
      <c r="B7" s="116">
        <v>46299</v>
      </c>
      <c r="C7" s="37"/>
      <c r="D7" s="128"/>
      <c r="E7" s="131"/>
      <c r="F7" s="130"/>
      <c r="G7" s="37">
        <f t="shared" si="0"/>
        <v>0</v>
      </c>
      <c r="H7" s="37"/>
      <c r="I7" s="37"/>
      <c r="J7" s="37">
        <f t="shared" si="1"/>
        <v>0</v>
      </c>
      <c r="K7" s="37">
        <f t="shared" si="2"/>
        <v>0</v>
      </c>
      <c r="L7" s="37"/>
      <c r="M7" s="118">
        <f>M6+K7-L7</f>
        <v>1445001.85</v>
      </c>
      <c r="N7" s="37"/>
    </row>
    <row r="8" spans="1:14" x14ac:dyDescent="0.25">
      <c r="A8" s="115">
        <v>5</v>
      </c>
      <c r="B8" s="116">
        <v>46300</v>
      </c>
      <c r="C8" s="37"/>
      <c r="D8" s="128"/>
      <c r="E8" s="131"/>
      <c r="F8" s="130"/>
      <c r="G8" s="37">
        <f t="shared" si="0"/>
        <v>0</v>
      </c>
      <c r="H8" s="37"/>
      <c r="I8" s="37"/>
      <c r="J8" s="37">
        <f t="shared" si="1"/>
        <v>0</v>
      </c>
      <c r="K8" s="37">
        <f t="shared" si="2"/>
        <v>0</v>
      </c>
      <c r="L8" s="37"/>
      <c r="M8" s="118">
        <f t="shared" si="3"/>
        <v>1445001.85</v>
      </c>
      <c r="N8" s="37"/>
    </row>
    <row r="9" spans="1:14" x14ac:dyDescent="0.25">
      <c r="A9" s="115">
        <v>6</v>
      </c>
      <c r="B9" s="116">
        <v>46301</v>
      </c>
      <c r="C9" s="37"/>
      <c r="D9" s="128"/>
      <c r="E9" s="131"/>
      <c r="F9" s="130"/>
      <c r="G9" s="37">
        <f t="shared" si="0"/>
        <v>0</v>
      </c>
      <c r="H9" s="37"/>
      <c r="I9" s="37"/>
      <c r="J9" s="37">
        <f t="shared" si="1"/>
        <v>0</v>
      </c>
      <c r="K9" s="37">
        <f t="shared" si="2"/>
        <v>0</v>
      </c>
      <c r="L9" s="37"/>
      <c r="M9" s="118">
        <f t="shared" si="3"/>
        <v>1445001.85</v>
      </c>
      <c r="N9" s="132"/>
    </row>
    <row r="10" spans="1:14" x14ac:dyDescent="0.25">
      <c r="A10" s="115">
        <v>7</v>
      </c>
      <c r="B10" s="116">
        <v>46302</v>
      </c>
      <c r="C10" s="37"/>
      <c r="D10" s="128"/>
      <c r="E10" s="131"/>
      <c r="F10" s="130"/>
      <c r="G10" s="37">
        <f t="shared" si="0"/>
        <v>0</v>
      </c>
      <c r="H10" s="37"/>
      <c r="I10" s="37"/>
      <c r="J10" s="37">
        <f t="shared" si="1"/>
        <v>0</v>
      </c>
      <c r="K10" s="37">
        <f t="shared" si="2"/>
        <v>0</v>
      </c>
      <c r="L10" s="37"/>
      <c r="M10" s="118">
        <f t="shared" si="3"/>
        <v>1445001.85</v>
      </c>
      <c r="N10" s="37"/>
    </row>
    <row r="11" spans="1:14" x14ac:dyDescent="0.25">
      <c r="A11" s="115">
        <v>8</v>
      </c>
      <c r="B11" s="116">
        <v>46303</v>
      </c>
      <c r="C11" s="37"/>
      <c r="D11" s="128"/>
      <c r="E11" s="131"/>
      <c r="F11" s="130"/>
      <c r="G11" s="37">
        <f t="shared" si="0"/>
        <v>0</v>
      </c>
      <c r="H11" s="37"/>
      <c r="I11" s="37"/>
      <c r="J11" s="37">
        <f t="shared" si="1"/>
        <v>0</v>
      </c>
      <c r="K11" s="37">
        <f t="shared" si="2"/>
        <v>0</v>
      </c>
      <c r="L11" s="37"/>
      <c r="M11" s="118">
        <f t="shared" si="3"/>
        <v>1445001.85</v>
      </c>
      <c r="N11" s="37"/>
    </row>
    <row r="12" spans="1:14" x14ac:dyDescent="0.25">
      <c r="A12" s="115">
        <v>9</v>
      </c>
      <c r="B12" s="116">
        <v>46304</v>
      </c>
      <c r="C12" s="37"/>
      <c r="D12" s="128"/>
      <c r="E12" s="131"/>
      <c r="F12" s="130"/>
      <c r="G12" s="37">
        <f t="shared" si="0"/>
        <v>0</v>
      </c>
      <c r="H12" s="37"/>
      <c r="I12" s="37"/>
      <c r="J12" s="37">
        <f t="shared" si="1"/>
        <v>0</v>
      </c>
      <c r="K12" s="37">
        <f t="shared" si="2"/>
        <v>0</v>
      </c>
      <c r="L12" s="37"/>
      <c r="M12" s="118">
        <f t="shared" si="3"/>
        <v>1445001.85</v>
      </c>
      <c r="N12" s="37"/>
    </row>
    <row r="13" spans="1:14" x14ac:dyDescent="0.25">
      <c r="A13" s="115">
        <v>10</v>
      </c>
      <c r="B13" s="116">
        <v>46305</v>
      </c>
      <c r="C13" s="37"/>
      <c r="D13" s="128"/>
      <c r="E13" s="131"/>
      <c r="F13" s="130"/>
      <c r="G13" s="37">
        <f t="shared" si="0"/>
        <v>0</v>
      </c>
      <c r="H13" s="37"/>
      <c r="I13" s="37"/>
      <c r="J13" s="37">
        <f t="shared" si="1"/>
        <v>0</v>
      </c>
      <c r="K13" s="37">
        <f t="shared" si="2"/>
        <v>0</v>
      </c>
      <c r="L13" s="37"/>
      <c r="M13" s="118">
        <f t="shared" si="3"/>
        <v>1445001.85</v>
      </c>
      <c r="N13" s="37"/>
    </row>
    <row r="14" spans="1:14" x14ac:dyDescent="0.25">
      <c r="A14" s="115">
        <v>11</v>
      </c>
      <c r="B14" s="116">
        <v>46306</v>
      </c>
      <c r="C14" s="37"/>
      <c r="D14" s="128"/>
      <c r="E14" s="131"/>
      <c r="F14" s="130"/>
      <c r="G14" s="37">
        <f t="shared" si="0"/>
        <v>0</v>
      </c>
      <c r="H14" s="37"/>
      <c r="I14" s="37"/>
      <c r="J14" s="37">
        <f t="shared" si="1"/>
        <v>0</v>
      </c>
      <c r="K14" s="37">
        <f t="shared" si="2"/>
        <v>0</v>
      </c>
      <c r="L14" s="37"/>
      <c r="M14" s="118">
        <f t="shared" si="3"/>
        <v>1445001.85</v>
      </c>
      <c r="N14" s="37"/>
    </row>
    <row r="15" spans="1:14" x14ac:dyDescent="0.25">
      <c r="A15" s="115">
        <v>12</v>
      </c>
      <c r="B15" s="116">
        <v>46307</v>
      </c>
      <c r="C15" s="37"/>
      <c r="D15" s="128"/>
      <c r="E15" s="131"/>
      <c r="F15" s="130"/>
      <c r="G15" s="37">
        <f t="shared" si="0"/>
        <v>0</v>
      </c>
      <c r="H15" s="37"/>
      <c r="I15" s="37"/>
      <c r="J15" s="37">
        <f t="shared" si="1"/>
        <v>0</v>
      </c>
      <c r="K15" s="37">
        <f t="shared" si="2"/>
        <v>0</v>
      </c>
      <c r="L15" s="37"/>
      <c r="M15" s="118">
        <f t="shared" si="3"/>
        <v>1445001.85</v>
      </c>
      <c r="N15" s="37"/>
    </row>
    <row r="16" spans="1:14" x14ac:dyDescent="0.25">
      <c r="A16" s="115">
        <v>13</v>
      </c>
      <c r="B16" s="116">
        <v>46308</v>
      </c>
      <c r="C16" s="37"/>
      <c r="D16" s="128"/>
      <c r="E16" s="131"/>
      <c r="F16" s="130"/>
      <c r="G16" s="37">
        <f t="shared" si="0"/>
        <v>0</v>
      </c>
      <c r="H16" s="37"/>
      <c r="I16" s="37"/>
      <c r="J16" s="37">
        <f t="shared" si="1"/>
        <v>0</v>
      </c>
      <c r="K16" s="37">
        <f t="shared" si="2"/>
        <v>0</v>
      </c>
      <c r="L16" s="37"/>
      <c r="M16" s="118">
        <f>M15+K16-L16</f>
        <v>1445001.85</v>
      </c>
      <c r="N16" s="37"/>
    </row>
    <row r="17" spans="1:14" x14ac:dyDescent="0.25">
      <c r="A17" s="115">
        <v>14</v>
      </c>
      <c r="B17" s="116">
        <v>46309</v>
      </c>
      <c r="C17" s="37"/>
      <c r="D17" s="128"/>
      <c r="E17" s="131"/>
      <c r="F17" s="130"/>
      <c r="G17" s="37">
        <f t="shared" si="0"/>
        <v>0</v>
      </c>
      <c r="H17" s="37"/>
      <c r="I17" s="37"/>
      <c r="J17" s="37">
        <f t="shared" si="1"/>
        <v>0</v>
      </c>
      <c r="K17" s="37">
        <f t="shared" si="2"/>
        <v>0</v>
      </c>
      <c r="L17" s="37"/>
      <c r="M17" s="118">
        <f t="shared" si="3"/>
        <v>1445001.85</v>
      </c>
      <c r="N17" s="37"/>
    </row>
    <row r="18" spans="1:14" x14ac:dyDescent="0.25">
      <c r="A18" s="115">
        <v>15</v>
      </c>
      <c r="B18" s="116">
        <v>46310</v>
      </c>
      <c r="C18" s="37"/>
      <c r="D18" s="128"/>
      <c r="E18" s="131"/>
      <c r="F18" s="130"/>
      <c r="G18" s="37">
        <f t="shared" si="0"/>
        <v>0</v>
      </c>
      <c r="H18" s="37"/>
      <c r="I18" s="37"/>
      <c r="J18" s="37">
        <f t="shared" si="1"/>
        <v>0</v>
      </c>
      <c r="K18" s="37">
        <f t="shared" si="2"/>
        <v>0</v>
      </c>
      <c r="L18" s="37"/>
      <c r="M18" s="118">
        <f t="shared" si="3"/>
        <v>1445001.85</v>
      </c>
      <c r="N18" s="37"/>
    </row>
    <row r="19" spans="1:14" x14ac:dyDescent="0.25">
      <c r="A19" s="115">
        <v>16</v>
      </c>
      <c r="B19" s="116">
        <v>46311</v>
      </c>
      <c r="C19" s="37"/>
      <c r="D19" s="128"/>
      <c r="E19" s="131"/>
      <c r="F19" s="130"/>
      <c r="G19" s="37">
        <f t="shared" si="0"/>
        <v>0</v>
      </c>
      <c r="H19" s="37"/>
      <c r="I19" s="37"/>
      <c r="J19" s="37">
        <f t="shared" si="1"/>
        <v>0</v>
      </c>
      <c r="K19" s="37">
        <f t="shared" si="2"/>
        <v>0</v>
      </c>
      <c r="L19" s="37"/>
      <c r="M19" s="118">
        <f t="shared" si="3"/>
        <v>1445001.85</v>
      </c>
      <c r="N19" s="37"/>
    </row>
    <row r="20" spans="1:14" x14ac:dyDescent="0.25">
      <c r="A20" s="115">
        <v>17</v>
      </c>
      <c r="B20" s="116">
        <v>46312</v>
      </c>
      <c r="C20" s="37"/>
      <c r="D20" s="128"/>
      <c r="E20" s="131"/>
      <c r="F20" s="130"/>
      <c r="G20" s="37">
        <f t="shared" si="0"/>
        <v>0</v>
      </c>
      <c r="H20" s="37"/>
      <c r="I20" s="37"/>
      <c r="J20" s="37">
        <f t="shared" si="1"/>
        <v>0</v>
      </c>
      <c r="K20" s="37">
        <f t="shared" si="2"/>
        <v>0</v>
      </c>
      <c r="L20" s="37"/>
      <c r="M20" s="118">
        <f t="shared" si="3"/>
        <v>1445001.85</v>
      </c>
      <c r="N20" s="37"/>
    </row>
    <row r="21" spans="1:14" x14ac:dyDescent="0.25">
      <c r="A21" s="115">
        <v>18</v>
      </c>
      <c r="B21" s="116">
        <v>46313</v>
      </c>
      <c r="C21" s="37"/>
      <c r="D21" s="128"/>
      <c r="E21" s="131"/>
      <c r="F21" s="130"/>
      <c r="G21" s="37">
        <f t="shared" si="0"/>
        <v>0</v>
      </c>
      <c r="H21" s="37"/>
      <c r="I21" s="37"/>
      <c r="J21" s="37">
        <f t="shared" si="1"/>
        <v>0</v>
      </c>
      <c r="K21" s="37">
        <f t="shared" si="2"/>
        <v>0</v>
      </c>
      <c r="L21" s="37"/>
      <c r="M21" s="118">
        <f t="shared" si="3"/>
        <v>1445001.85</v>
      </c>
      <c r="N21" s="37"/>
    </row>
    <row r="22" spans="1:14" x14ac:dyDescent="0.25">
      <c r="A22" s="115">
        <v>19</v>
      </c>
      <c r="B22" s="116">
        <v>46314</v>
      </c>
      <c r="C22" s="37"/>
      <c r="D22" s="128"/>
      <c r="E22" s="131"/>
      <c r="F22" s="130"/>
      <c r="G22" s="37">
        <f t="shared" si="0"/>
        <v>0</v>
      </c>
      <c r="H22" s="37"/>
      <c r="I22" s="37"/>
      <c r="J22" s="37">
        <f t="shared" si="1"/>
        <v>0</v>
      </c>
      <c r="K22" s="37">
        <f t="shared" si="2"/>
        <v>0</v>
      </c>
      <c r="L22" s="37"/>
      <c r="M22" s="118">
        <f t="shared" si="3"/>
        <v>1445001.85</v>
      </c>
      <c r="N22" s="37"/>
    </row>
    <row r="23" spans="1:14" x14ac:dyDescent="0.25">
      <c r="A23" s="115">
        <v>20</v>
      </c>
      <c r="B23" s="116">
        <v>46315</v>
      </c>
      <c r="C23" s="37"/>
      <c r="D23" s="128"/>
      <c r="E23" s="131"/>
      <c r="F23" s="130"/>
      <c r="G23" s="37">
        <f t="shared" si="0"/>
        <v>0</v>
      </c>
      <c r="H23" s="37"/>
      <c r="I23" s="37"/>
      <c r="J23" s="37">
        <f t="shared" si="1"/>
        <v>0</v>
      </c>
      <c r="K23" s="37">
        <f t="shared" si="2"/>
        <v>0</v>
      </c>
      <c r="L23" s="37"/>
      <c r="M23" s="118">
        <f t="shared" si="3"/>
        <v>1445001.85</v>
      </c>
      <c r="N23" s="37"/>
    </row>
    <row r="24" spans="1:14" x14ac:dyDescent="0.25">
      <c r="A24" s="115">
        <v>21</v>
      </c>
      <c r="B24" s="116">
        <v>46316</v>
      </c>
      <c r="C24" s="37"/>
      <c r="D24" s="128"/>
      <c r="E24" s="131"/>
      <c r="F24" s="130"/>
      <c r="G24" s="37">
        <f t="shared" si="0"/>
        <v>0</v>
      </c>
      <c r="H24" s="37"/>
      <c r="I24" s="37"/>
      <c r="J24" s="37">
        <f t="shared" si="1"/>
        <v>0</v>
      </c>
      <c r="K24" s="37">
        <f t="shared" si="2"/>
        <v>0</v>
      </c>
      <c r="L24" s="37"/>
      <c r="M24" s="118">
        <f t="shared" si="3"/>
        <v>1445001.85</v>
      </c>
      <c r="N24" s="37"/>
    </row>
    <row r="25" spans="1:14" x14ac:dyDescent="0.25">
      <c r="A25" s="115">
        <v>22</v>
      </c>
      <c r="B25" s="116">
        <v>46317</v>
      </c>
      <c r="C25" s="37"/>
      <c r="D25" s="128"/>
      <c r="E25" s="131"/>
      <c r="F25" s="130"/>
      <c r="G25" s="37">
        <f t="shared" si="0"/>
        <v>0</v>
      </c>
      <c r="H25" s="37"/>
      <c r="I25" s="37"/>
      <c r="J25" s="37">
        <f t="shared" si="1"/>
        <v>0</v>
      </c>
      <c r="K25" s="37">
        <f t="shared" si="2"/>
        <v>0</v>
      </c>
      <c r="L25" s="37"/>
      <c r="M25" s="118">
        <f t="shared" si="3"/>
        <v>1445001.85</v>
      </c>
      <c r="N25" s="37"/>
    </row>
    <row r="26" spans="1:14" x14ac:dyDescent="0.25">
      <c r="A26" s="115">
        <v>23</v>
      </c>
      <c r="B26" s="116">
        <v>46318</v>
      </c>
      <c r="C26" s="37"/>
      <c r="D26" s="128"/>
      <c r="E26" s="131"/>
      <c r="F26" s="130"/>
      <c r="G26" s="37">
        <f t="shared" si="0"/>
        <v>0</v>
      </c>
      <c r="H26" s="37"/>
      <c r="I26" s="37"/>
      <c r="J26" s="37">
        <f t="shared" si="1"/>
        <v>0</v>
      </c>
      <c r="K26" s="37">
        <f t="shared" si="2"/>
        <v>0</v>
      </c>
      <c r="L26" s="37"/>
      <c r="M26" s="118">
        <f t="shared" si="3"/>
        <v>1445001.85</v>
      </c>
      <c r="N26" s="37"/>
    </row>
    <row r="27" spans="1:14" x14ac:dyDescent="0.25">
      <c r="A27" s="115">
        <v>24</v>
      </c>
      <c r="B27" s="116">
        <v>46319</v>
      </c>
      <c r="C27" s="37"/>
      <c r="D27" s="128"/>
      <c r="E27" s="131"/>
      <c r="F27" s="130"/>
      <c r="G27" s="37">
        <f t="shared" si="0"/>
        <v>0</v>
      </c>
      <c r="H27" s="37"/>
      <c r="I27" s="37"/>
      <c r="J27" s="37">
        <f t="shared" si="1"/>
        <v>0</v>
      </c>
      <c r="K27" s="37">
        <f t="shared" si="2"/>
        <v>0</v>
      </c>
      <c r="L27" s="37"/>
      <c r="M27" s="118">
        <f t="shared" si="3"/>
        <v>1445001.85</v>
      </c>
      <c r="N27" s="37"/>
    </row>
    <row r="28" spans="1:14" x14ac:dyDescent="0.25">
      <c r="A28" s="115">
        <v>25</v>
      </c>
      <c r="B28" s="116">
        <v>46320</v>
      </c>
      <c r="C28" s="37"/>
      <c r="D28" s="128"/>
      <c r="E28" s="131"/>
      <c r="F28" s="130"/>
      <c r="G28" s="37">
        <f t="shared" si="0"/>
        <v>0</v>
      </c>
      <c r="H28" s="37"/>
      <c r="I28" s="37"/>
      <c r="J28" s="37">
        <f t="shared" si="1"/>
        <v>0</v>
      </c>
      <c r="K28" s="37">
        <f t="shared" si="2"/>
        <v>0</v>
      </c>
      <c r="L28" s="37"/>
      <c r="M28" s="118">
        <f t="shared" si="3"/>
        <v>1445001.85</v>
      </c>
      <c r="N28" s="37"/>
    </row>
    <row r="29" spans="1:14" x14ac:dyDescent="0.25">
      <c r="A29" s="115">
        <v>26</v>
      </c>
      <c r="B29" s="116">
        <v>46321</v>
      </c>
      <c r="C29" s="37"/>
      <c r="D29" s="128"/>
      <c r="E29" s="131"/>
      <c r="F29" s="130"/>
      <c r="G29" s="37">
        <f t="shared" si="0"/>
        <v>0</v>
      </c>
      <c r="H29" s="37"/>
      <c r="I29" s="37"/>
      <c r="J29" s="37">
        <f t="shared" si="1"/>
        <v>0</v>
      </c>
      <c r="K29" s="37">
        <f t="shared" si="2"/>
        <v>0</v>
      </c>
      <c r="L29" s="37"/>
      <c r="M29" s="118">
        <f t="shared" si="3"/>
        <v>1445001.85</v>
      </c>
      <c r="N29" s="37"/>
    </row>
    <row r="30" spans="1:14" x14ac:dyDescent="0.25">
      <c r="A30" s="115">
        <v>27</v>
      </c>
      <c r="B30" s="116">
        <v>46322</v>
      </c>
      <c r="C30" s="37"/>
      <c r="D30" s="128"/>
      <c r="E30" s="131"/>
      <c r="F30" s="130"/>
      <c r="G30" s="37">
        <f t="shared" si="0"/>
        <v>0</v>
      </c>
      <c r="H30" s="37"/>
      <c r="I30" s="37"/>
      <c r="J30" s="37">
        <f t="shared" si="1"/>
        <v>0</v>
      </c>
      <c r="K30" s="37">
        <f t="shared" si="2"/>
        <v>0</v>
      </c>
      <c r="L30" s="37"/>
      <c r="M30" s="118">
        <f t="shared" si="3"/>
        <v>1445001.85</v>
      </c>
      <c r="N30" s="37"/>
    </row>
    <row r="31" spans="1:14" x14ac:dyDescent="0.25">
      <c r="A31" s="115">
        <v>28</v>
      </c>
      <c r="B31" s="116">
        <v>46323</v>
      </c>
      <c r="C31" s="37"/>
      <c r="D31" s="128"/>
      <c r="E31" s="131"/>
      <c r="F31" s="130"/>
      <c r="G31" s="37">
        <f t="shared" si="0"/>
        <v>0</v>
      </c>
      <c r="H31" s="37"/>
      <c r="I31" s="37"/>
      <c r="J31" s="37">
        <f t="shared" si="1"/>
        <v>0</v>
      </c>
      <c r="K31" s="37">
        <f t="shared" si="2"/>
        <v>0</v>
      </c>
      <c r="L31" s="37"/>
      <c r="M31" s="118">
        <f t="shared" si="3"/>
        <v>1445001.85</v>
      </c>
      <c r="N31" s="37"/>
    </row>
    <row r="32" spans="1:14" x14ac:dyDescent="0.25">
      <c r="A32" s="115">
        <v>29</v>
      </c>
      <c r="B32" s="116">
        <v>46324</v>
      </c>
      <c r="C32" s="37"/>
      <c r="D32" s="128"/>
      <c r="E32" s="129"/>
      <c r="F32" s="130"/>
      <c r="G32" s="37">
        <f t="shared" si="0"/>
        <v>0</v>
      </c>
      <c r="H32" s="129"/>
      <c r="I32" s="130"/>
      <c r="J32" s="37">
        <f t="shared" si="1"/>
        <v>0</v>
      </c>
      <c r="K32" s="37">
        <f t="shared" si="2"/>
        <v>0</v>
      </c>
      <c r="L32" s="37"/>
      <c r="M32" s="118">
        <f t="shared" si="3"/>
        <v>1445001.85</v>
      </c>
      <c r="N32" s="37"/>
    </row>
    <row r="33" spans="1:14" x14ac:dyDescent="0.25">
      <c r="A33" s="115">
        <v>30</v>
      </c>
      <c r="B33" s="116">
        <v>46325</v>
      </c>
      <c r="C33" s="37"/>
      <c r="D33" s="128"/>
      <c r="E33" s="129"/>
      <c r="F33" s="130"/>
      <c r="G33" s="37">
        <f t="shared" si="0"/>
        <v>0</v>
      </c>
      <c r="H33" s="129"/>
      <c r="I33" s="130"/>
      <c r="J33" s="37">
        <f t="shared" si="1"/>
        <v>0</v>
      </c>
      <c r="K33" s="37">
        <f t="shared" si="2"/>
        <v>0</v>
      </c>
      <c r="L33" s="37"/>
      <c r="M33" s="118">
        <f t="shared" si="3"/>
        <v>1445001.85</v>
      </c>
      <c r="N33" s="37"/>
    </row>
    <row r="34" spans="1:14" x14ac:dyDescent="0.25">
      <c r="A34" s="115">
        <v>31</v>
      </c>
      <c r="B34" s="116">
        <v>46326</v>
      </c>
      <c r="C34" s="37"/>
      <c r="D34" s="128"/>
      <c r="E34" s="131"/>
      <c r="F34" s="130"/>
      <c r="G34" s="37">
        <f t="shared" si="0"/>
        <v>0</v>
      </c>
      <c r="H34" s="37"/>
      <c r="I34" s="37"/>
      <c r="J34" s="37">
        <f t="shared" si="1"/>
        <v>0</v>
      </c>
      <c r="K34" s="37">
        <f t="shared" si="2"/>
        <v>0</v>
      </c>
      <c r="L34" s="37"/>
      <c r="M34" s="118">
        <f t="shared" si="3"/>
        <v>1445001.85</v>
      </c>
      <c r="N34" s="37"/>
    </row>
    <row r="35" spans="1:14" x14ac:dyDescent="0.25">
      <c r="A35" s="121"/>
      <c r="B35" s="121"/>
      <c r="C35" s="121"/>
      <c r="D35" s="121"/>
      <c r="E35" s="136">
        <f>SUM(E4:E34)</f>
        <v>0</v>
      </c>
      <c r="F35" s="136"/>
      <c r="G35" s="136">
        <f>SUM(G4:G34)</f>
        <v>0</v>
      </c>
      <c r="H35" s="136">
        <f>SUM(H4:H34)</f>
        <v>0</v>
      </c>
      <c r="I35" s="136"/>
      <c r="J35" s="136">
        <f>SUM(J4:J34)</f>
        <v>0</v>
      </c>
      <c r="K35" s="136">
        <f>SUM(K4:K34)</f>
        <v>0</v>
      </c>
      <c r="L35" s="136">
        <f>SUM(L4:L34)</f>
        <v>0</v>
      </c>
      <c r="M35" s="136"/>
      <c r="N35" s="136"/>
    </row>
    <row r="39" spans="13:13" x14ac:dyDescent="0.25">
      <c r="M39" s="114"/>
    </row>
  </sheetData>
  <mergeCells count="2">
    <mergeCell ref="A1:N1"/>
    <mergeCell ref="A3:J3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N35"/>
  <sheetViews>
    <sheetView workbookViewId="0" zoomScale="100" zoomScaleNormal="100">
      <selection activeCell="L19" sqref="L19"/>
    </sheetView>
  </sheetViews>
  <sheetFormatPr defaultRowHeight="15" outlineLevelRow="0" outlineLevelCol="0" x14ac:dyDescent="0" defaultColWidth="14.7109375"/>
  <sheetData>
    <row r="1" ht="15.75" customHeight="1" spans="1:14" x14ac:dyDescent="0.25">
      <c r="A1" s="286" t="s">
        <v>198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</row>
    <row r="2" ht="27" customHeight="1" spans="1:14" x14ac:dyDescent="0.25">
      <c r="A2" s="287" t="s">
        <v>0</v>
      </c>
      <c r="B2" s="288" t="s">
        <v>167</v>
      </c>
      <c r="C2" s="288" t="s">
        <v>168</v>
      </c>
      <c r="D2" s="288" t="s">
        <v>169</v>
      </c>
      <c r="E2" s="288" t="s">
        <v>170</v>
      </c>
      <c r="F2" s="288" t="s">
        <v>171</v>
      </c>
      <c r="G2" s="288" t="s">
        <v>172</v>
      </c>
      <c r="H2" s="288" t="s">
        <v>173</v>
      </c>
      <c r="I2" s="288" t="s">
        <v>171</v>
      </c>
      <c r="J2" s="289" t="s">
        <v>172</v>
      </c>
      <c r="K2" s="290" t="s">
        <v>174</v>
      </c>
      <c r="L2" s="291" t="s">
        <v>175</v>
      </c>
      <c r="M2" s="292" t="s">
        <v>190</v>
      </c>
      <c r="N2" s="293" t="s">
        <v>177</v>
      </c>
    </row>
    <row r="3" spans="1:14" x14ac:dyDescent="0.25">
      <c r="A3" s="148" t="s">
        <v>178</v>
      </c>
      <c r="B3" s="149"/>
      <c r="C3" s="126"/>
      <c r="D3" s="126"/>
      <c r="E3" s="126"/>
      <c r="F3" s="126"/>
      <c r="G3" s="126"/>
      <c r="H3" s="126"/>
      <c r="I3" s="126"/>
      <c r="J3" s="215"/>
      <c r="K3" s="294"/>
      <c r="L3" s="295"/>
      <c r="M3" s="294">
        <v>14216.93</v>
      </c>
      <c r="N3" s="295"/>
    </row>
    <row r="4" spans="1:14" x14ac:dyDescent="0.25">
      <c r="A4" s="115">
        <v>1</v>
      </c>
      <c r="B4" s="116">
        <v>45931</v>
      </c>
      <c r="C4" s="153"/>
      <c r="D4" s="153"/>
      <c r="E4" s="155">
        <v>30</v>
      </c>
      <c r="F4" s="155">
        <v>105.59</v>
      </c>
      <c r="G4" s="155">
        <f>E4*F4</f>
        <v>3167.7000000000003</v>
      </c>
      <c r="H4" s="296">
        <v>9</v>
      </c>
      <c r="I4" s="296">
        <v>117.98</v>
      </c>
      <c r="J4" s="155">
        <f>H4*I4</f>
        <v>1061.82</v>
      </c>
      <c r="K4" s="155">
        <f>G4+J4</f>
        <v>4229.52</v>
      </c>
      <c r="L4" s="295"/>
      <c r="M4" s="294">
        <f>M3+K4-L4</f>
        <v>18446.45</v>
      </c>
      <c r="N4" s="155"/>
    </row>
    <row r="5" spans="1:14" x14ac:dyDescent="0.25">
      <c r="A5" s="115">
        <v>2</v>
      </c>
      <c r="B5" s="116">
        <v>45932</v>
      </c>
      <c r="C5" s="153"/>
      <c r="D5" s="153"/>
      <c r="E5" s="155"/>
      <c r="F5" s="155"/>
      <c r="G5" s="155">
        <f t="shared" ref="G5:G34" si="0">E5*F5</f>
        <v>0</v>
      </c>
      <c r="H5" s="296"/>
      <c r="I5" s="296"/>
      <c r="J5" s="155">
        <f t="shared" ref="J5:J34" si="1">H5*I5</f>
        <v>0</v>
      </c>
      <c r="K5" s="155">
        <f t="shared" ref="K5:K34" si="2">G5+J5</f>
        <v>0</v>
      </c>
      <c r="L5" s="295"/>
      <c r="M5" s="294">
        <f>M4+K5-L5</f>
        <v>18446.45</v>
      </c>
      <c r="N5" s="155"/>
    </row>
    <row r="6" spans="1:14" x14ac:dyDescent="0.25">
      <c r="A6" s="115">
        <v>3</v>
      </c>
      <c r="B6" s="116">
        <v>45933</v>
      </c>
      <c r="C6" s="153"/>
      <c r="D6" s="153"/>
      <c r="E6" s="155"/>
      <c r="F6" s="155"/>
      <c r="G6" s="155">
        <f t="shared" si="0"/>
        <v>0</v>
      </c>
      <c r="H6" s="296">
        <v>4</v>
      </c>
      <c r="I6" s="296">
        <v>117.98</v>
      </c>
      <c r="J6" s="155">
        <f t="shared" si="1"/>
        <v>471.92</v>
      </c>
      <c r="K6" s="155">
        <f t="shared" si="2"/>
        <v>471.92</v>
      </c>
      <c r="L6" s="295"/>
      <c r="M6" s="294">
        <f>M5+K6-L6</f>
        <v>18918.37</v>
      </c>
      <c r="N6" s="155"/>
    </row>
    <row r="7" spans="1:14" x14ac:dyDescent="0.25">
      <c r="A7" s="115">
        <v>4</v>
      </c>
      <c r="B7" s="116">
        <v>45934</v>
      </c>
      <c r="C7" s="153"/>
      <c r="D7" s="153"/>
      <c r="E7" s="155">
        <v>80</v>
      </c>
      <c r="F7" s="155">
        <v>105.59</v>
      </c>
      <c r="G7" s="155">
        <f t="shared" si="0"/>
        <v>8447.2</v>
      </c>
      <c r="H7" s="296">
        <v>4</v>
      </c>
      <c r="I7" s="296">
        <v>117.98</v>
      </c>
      <c r="J7" s="155">
        <f t="shared" si="1"/>
        <v>471.92</v>
      </c>
      <c r="K7" s="155">
        <f t="shared" si="2"/>
        <v>8919.12</v>
      </c>
      <c r="L7" s="295"/>
      <c r="M7" s="294">
        <f>M6+K7-L7</f>
        <v>27837.489999999998</v>
      </c>
      <c r="N7" s="155"/>
    </row>
    <row r="8" spans="1:14" x14ac:dyDescent="0.25">
      <c r="A8" s="115">
        <v>5</v>
      </c>
      <c r="B8" s="116">
        <v>45935</v>
      </c>
      <c r="C8" s="153"/>
      <c r="D8" s="153"/>
      <c r="E8" s="155">
        <v>430</v>
      </c>
      <c r="F8" s="155">
        <v>105.59</v>
      </c>
      <c r="G8" s="155">
        <f t="shared" si="0"/>
        <v>45403.700000000004</v>
      </c>
      <c r="H8" s="296">
        <v>59</v>
      </c>
      <c r="I8" s="296">
        <v>117.98</v>
      </c>
      <c r="J8" s="155">
        <f t="shared" si="1"/>
        <v>6960.820000000001</v>
      </c>
      <c r="K8" s="155">
        <f t="shared" si="2"/>
        <v>52364.520000000004</v>
      </c>
      <c r="L8" s="295"/>
      <c r="M8" s="294">
        <f>M7+K8-L8</f>
        <v>80202.01000000001</v>
      </c>
      <c r="N8" s="155"/>
    </row>
    <row r="9" spans="1:14" x14ac:dyDescent="0.25">
      <c r="A9" s="115">
        <v>6</v>
      </c>
      <c r="B9" s="116">
        <v>45936</v>
      </c>
      <c r="C9" s="153"/>
      <c r="D9" s="153"/>
      <c r="E9" s="155">
        <v>460</v>
      </c>
      <c r="F9" s="155">
        <v>105.59</v>
      </c>
      <c r="G9" s="155">
        <f t="shared" si="0"/>
        <v>48571.4</v>
      </c>
      <c r="H9" s="296">
        <v>40</v>
      </c>
      <c r="I9" s="296">
        <v>117.98</v>
      </c>
      <c r="J9" s="155">
        <f t="shared" si="1"/>
        <v>4719.2</v>
      </c>
      <c r="K9" s="155">
        <f t="shared" si="2"/>
        <v>53290.6</v>
      </c>
      <c r="L9" s="295"/>
      <c r="M9" s="294">
        <f t="shared" ref="M9:M33" si="3">M8+K9-L9</f>
        <v>133492.61000000002</v>
      </c>
      <c r="N9" s="155"/>
    </row>
    <row r="10" spans="1:14" x14ac:dyDescent="0.25">
      <c r="A10" s="115">
        <v>7</v>
      </c>
      <c r="B10" s="116">
        <v>45937</v>
      </c>
      <c r="C10" s="153"/>
      <c r="D10" s="153"/>
      <c r="E10" s="155">
        <v>400</v>
      </c>
      <c r="F10" s="155">
        <v>105.59</v>
      </c>
      <c r="G10" s="155">
        <f t="shared" si="0"/>
        <v>42236</v>
      </c>
      <c r="H10" s="296">
        <v>65</v>
      </c>
      <c r="I10" s="296">
        <v>117.98</v>
      </c>
      <c r="J10" s="155">
        <f t="shared" si="1"/>
        <v>7668.7</v>
      </c>
      <c r="K10" s="155">
        <f t="shared" si="2"/>
        <v>49904.7</v>
      </c>
      <c r="L10" s="295"/>
      <c r="M10" s="294">
        <f t="shared" si="3"/>
        <v>183397.31</v>
      </c>
      <c r="N10" s="155"/>
    </row>
    <row r="11" spans="1:14" x14ac:dyDescent="0.25">
      <c r="A11" s="115">
        <v>8</v>
      </c>
      <c r="B11" s="116">
        <v>45938</v>
      </c>
      <c r="C11" s="153"/>
      <c r="D11" s="153"/>
      <c r="E11" s="155">
        <v>45.41</v>
      </c>
      <c r="F11" s="155">
        <v>105.59</v>
      </c>
      <c r="G11" s="155">
        <f t="shared" si="0"/>
        <v>4794.841899999999</v>
      </c>
      <c r="H11" s="296"/>
      <c r="I11" s="296"/>
      <c r="J11" s="155">
        <f t="shared" si="1"/>
        <v>0</v>
      </c>
      <c r="K11" s="155">
        <f t="shared" si="2"/>
        <v>4794.841899999999</v>
      </c>
      <c r="L11" s="295"/>
      <c r="M11" s="294">
        <f t="shared" si="3"/>
        <v>188192.1519</v>
      </c>
      <c r="N11" s="155"/>
    </row>
    <row r="12" spans="1:14" x14ac:dyDescent="0.25">
      <c r="A12" s="115">
        <v>9</v>
      </c>
      <c r="B12" s="116">
        <v>45939</v>
      </c>
      <c r="C12" s="153"/>
      <c r="D12" s="153"/>
      <c r="E12" s="155">
        <v>680</v>
      </c>
      <c r="F12" s="155">
        <v>105.59</v>
      </c>
      <c r="G12" s="155">
        <f t="shared" si="0"/>
        <v>71801.2</v>
      </c>
      <c r="H12" s="296">
        <v>30</v>
      </c>
      <c r="I12" s="296">
        <v>117.98</v>
      </c>
      <c r="J12" s="155">
        <f t="shared" si="1"/>
        <v>3539.4</v>
      </c>
      <c r="K12" s="155">
        <f t="shared" si="2"/>
        <v>75340.59999999999</v>
      </c>
      <c r="L12" s="295"/>
      <c r="M12" s="294">
        <f t="shared" si="3"/>
        <v>263532.7519</v>
      </c>
      <c r="N12" s="155"/>
    </row>
    <row r="13" spans="1:14" x14ac:dyDescent="0.25">
      <c r="A13" s="115">
        <v>10</v>
      </c>
      <c r="B13" s="116">
        <v>45940</v>
      </c>
      <c r="C13" s="153"/>
      <c r="D13" s="153"/>
      <c r="E13" s="155"/>
      <c r="F13" s="155"/>
      <c r="G13" s="155">
        <f t="shared" si="0"/>
        <v>0</v>
      </c>
      <c r="H13" s="296"/>
      <c r="I13" s="296"/>
      <c r="J13" s="155">
        <f t="shared" si="1"/>
        <v>0</v>
      </c>
      <c r="K13" s="155">
        <f t="shared" si="2"/>
        <v>0</v>
      </c>
      <c r="L13" s="295"/>
      <c r="M13" s="294">
        <f t="shared" si="3"/>
        <v>263532.7519</v>
      </c>
      <c r="N13" s="155"/>
    </row>
    <row r="14" spans="1:14" x14ac:dyDescent="0.25">
      <c r="A14" s="115">
        <v>11</v>
      </c>
      <c r="B14" s="116">
        <v>45941</v>
      </c>
      <c r="C14" s="153"/>
      <c r="D14" s="153"/>
      <c r="E14" s="155"/>
      <c r="F14" s="155"/>
      <c r="G14" s="155">
        <f t="shared" si="0"/>
        <v>0</v>
      </c>
      <c r="H14" s="296"/>
      <c r="I14" s="296"/>
      <c r="J14" s="155">
        <f t="shared" si="1"/>
        <v>0</v>
      </c>
      <c r="K14" s="155">
        <f t="shared" si="2"/>
        <v>0</v>
      </c>
      <c r="L14" s="295"/>
      <c r="M14" s="294">
        <f t="shared" si="3"/>
        <v>263532.7519</v>
      </c>
      <c r="N14" s="155"/>
    </row>
    <row r="15" spans="1:14" x14ac:dyDescent="0.25">
      <c r="A15" s="115">
        <v>12</v>
      </c>
      <c r="B15" s="116">
        <v>45942</v>
      </c>
      <c r="C15" s="153"/>
      <c r="D15" s="153"/>
      <c r="E15" s="155">
        <v>30</v>
      </c>
      <c r="F15" s="155">
        <v>105.59</v>
      </c>
      <c r="G15" s="155">
        <f t="shared" si="0"/>
        <v>3167.7000000000003</v>
      </c>
      <c r="H15" s="296">
        <v>4</v>
      </c>
      <c r="I15" s="296">
        <v>117.98</v>
      </c>
      <c r="J15" s="155">
        <f t="shared" si="1"/>
        <v>471.92</v>
      </c>
      <c r="K15" s="155">
        <f t="shared" si="2"/>
        <v>3639.6200000000003</v>
      </c>
      <c r="L15" s="295"/>
      <c r="M15" s="294">
        <f t="shared" si="3"/>
        <v>267172.37189999997</v>
      </c>
      <c r="N15" s="155"/>
    </row>
    <row r="16" spans="1:14" x14ac:dyDescent="0.25">
      <c r="A16" s="115">
        <v>13</v>
      </c>
      <c r="B16" s="116">
        <v>45943</v>
      </c>
      <c r="C16" s="153"/>
      <c r="D16" s="153"/>
      <c r="E16" s="155">
        <v>430</v>
      </c>
      <c r="F16" s="155">
        <v>105.59</v>
      </c>
      <c r="G16" s="155">
        <f t="shared" si="0"/>
        <v>45403.700000000004</v>
      </c>
      <c r="H16" s="296">
        <v>20</v>
      </c>
      <c r="I16" s="296">
        <v>117.98</v>
      </c>
      <c r="J16" s="155">
        <f t="shared" si="1"/>
        <v>2359.6</v>
      </c>
      <c r="K16" s="155">
        <f t="shared" si="2"/>
        <v>47763.3</v>
      </c>
      <c r="L16" s="295"/>
      <c r="M16" s="294">
        <f t="shared" si="3"/>
        <v>314935.67189999996</v>
      </c>
      <c r="N16" s="155"/>
    </row>
    <row r="17" spans="1:14" x14ac:dyDescent="0.25">
      <c r="A17" s="115">
        <v>14</v>
      </c>
      <c r="B17" s="116">
        <v>45944</v>
      </c>
      <c r="C17" s="153"/>
      <c r="D17" s="153"/>
      <c r="E17" s="155">
        <v>200</v>
      </c>
      <c r="F17" s="155">
        <v>105.59</v>
      </c>
      <c r="G17" s="155">
        <f t="shared" si="0"/>
        <v>21118</v>
      </c>
      <c r="H17" s="296">
        <v>39</v>
      </c>
      <c r="I17" s="296">
        <v>117.98</v>
      </c>
      <c r="J17" s="155">
        <f t="shared" si="1"/>
        <v>4601.22</v>
      </c>
      <c r="K17" s="155">
        <f t="shared" si="2"/>
        <v>25719.22</v>
      </c>
      <c r="L17" s="295"/>
      <c r="M17" s="294">
        <f t="shared" si="3"/>
        <v>340654.89189999993</v>
      </c>
      <c r="N17" s="155"/>
    </row>
    <row r="18" spans="1:14" x14ac:dyDescent="0.25">
      <c r="A18" s="115">
        <v>15</v>
      </c>
      <c r="B18" s="116">
        <v>45945</v>
      </c>
      <c r="C18" s="153"/>
      <c r="D18" s="153"/>
      <c r="E18" s="155">
        <v>40</v>
      </c>
      <c r="F18" s="155">
        <v>105.59</v>
      </c>
      <c r="G18" s="155">
        <f t="shared" si="0"/>
        <v>4223.6</v>
      </c>
      <c r="H18" s="296">
        <v>14</v>
      </c>
      <c r="I18" s="296">
        <v>117.98</v>
      </c>
      <c r="J18" s="155">
        <f t="shared" si="1"/>
        <v>1651.72</v>
      </c>
      <c r="K18" s="155">
        <f t="shared" si="2"/>
        <v>5875.320000000001</v>
      </c>
      <c r="L18" s="295">
        <v>241000</v>
      </c>
      <c r="M18" s="294">
        <f t="shared" si="3"/>
        <v>105530.21189999994</v>
      </c>
      <c r="N18" s="155"/>
    </row>
    <row r="19" spans="1:14" x14ac:dyDescent="0.25">
      <c r="A19" s="115">
        <v>16</v>
      </c>
      <c r="B19" s="116">
        <v>45946</v>
      </c>
      <c r="C19" s="153"/>
      <c r="D19" s="153"/>
      <c r="E19" s="155"/>
      <c r="F19" s="155"/>
      <c r="G19" s="155">
        <f t="shared" si="0"/>
        <v>0</v>
      </c>
      <c r="H19" s="296"/>
      <c r="I19" s="296"/>
      <c r="J19" s="155">
        <f t="shared" si="1"/>
        <v>0</v>
      </c>
      <c r="K19" s="155">
        <f t="shared" si="2"/>
        <v>0</v>
      </c>
      <c r="L19" s="295"/>
      <c r="M19" s="294">
        <f t="shared" si="3"/>
        <v>105530.21189999994</v>
      </c>
      <c r="N19" s="155"/>
    </row>
    <row r="20" spans="1:14" x14ac:dyDescent="0.25">
      <c r="A20" s="115">
        <v>17</v>
      </c>
      <c r="B20" s="116">
        <v>45947</v>
      </c>
      <c r="C20" s="153"/>
      <c r="D20" s="153"/>
      <c r="E20" s="155"/>
      <c r="F20" s="155"/>
      <c r="G20" s="155">
        <f t="shared" si="0"/>
        <v>0</v>
      </c>
      <c r="H20" s="296"/>
      <c r="I20" s="296"/>
      <c r="J20" s="155">
        <f t="shared" si="1"/>
        <v>0</v>
      </c>
      <c r="K20" s="155">
        <f t="shared" si="2"/>
        <v>0</v>
      </c>
      <c r="L20" s="295"/>
      <c r="M20" s="294">
        <f t="shared" si="3"/>
        <v>105530.21189999994</v>
      </c>
      <c r="N20" s="155"/>
    </row>
    <row r="21" spans="1:14" x14ac:dyDescent="0.25">
      <c r="A21" s="115">
        <v>18</v>
      </c>
      <c r="B21" s="116">
        <v>45948</v>
      </c>
      <c r="C21" s="153"/>
      <c r="D21" s="153"/>
      <c r="E21" s="155"/>
      <c r="F21" s="155"/>
      <c r="G21" s="155">
        <f t="shared" si="0"/>
        <v>0</v>
      </c>
      <c r="H21" s="296"/>
      <c r="I21" s="296"/>
      <c r="J21" s="155">
        <f t="shared" si="1"/>
        <v>0</v>
      </c>
      <c r="K21" s="155">
        <f t="shared" si="2"/>
        <v>0</v>
      </c>
      <c r="L21" s="295"/>
      <c r="M21" s="294">
        <f t="shared" si="3"/>
        <v>105530.21189999994</v>
      </c>
      <c r="N21" s="155"/>
    </row>
    <row r="22" spans="1:14" x14ac:dyDescent="0.25">
      <c r="A22" s="115">
        <v>19</v>
      </c>
      <c r="B22" s="116">
        <v>45949</v>
      </c>
      <c r="C22" s="153"/>
      <c r="D22" s="153"/>
      <c r="E22" s="155"/>
      <c r="F22" s="155"/>
      <c r="G22" s="155"/>
      <c r="H22" s="296">
        <v>0</v>
      </c>
      <c r="I22" s="296">
        <v>0</v>
      </c>
      <c r="J22" s="155">
        <f t="shared" si="1"/>
        <v>0</v>
      </c>
      <c r="K22" s="155">
        <f t="shared" si="2"/>
        <v>0</v>
      </c>
      <c r="L22" s="295"/>
      <c r="M22" s="294">
        <f t="shared" si="3"/>
        <v>105530.21189999994</v>
      </c>
      <c r="N22" s="155"/>
    </row>
    <row r="23" spans="1:14" x14ac:dyDescent="0.25">
      <c r="A23" s="115">
        <v>20</v>
      </c>
      <c r="B23" s="116">
        <v>45950</v>
      </c>
      <c r="C23" s="153"/>
      <c r="D23" s="153"/>
      <c r="E23" s="155"/>
      <c r="F23" s="155"/>
      <c r="G23" s="155"/>
      <c r="H23" s="296">
        <v>0</v>
      </c>
      <c r="I23" s="296">
        <v>0</v>
      </c>
      <c r="J23" s="155">
        <f t="shared" si="1"/>
        <v>0</v>
      </c>
      <c r="K23" s="155">
        <f t="shared" si="2"/>
        <v>0</v>
      </c>
      <c r="L23" s="295"/>
      <c r="M23" s="294">
        <f t="shared" si="3"/>
        <v>105530.21189999994</v>
      </c>
      <c r="N23" s="155"/>
    </row>
    <row r="24" spans="1:14" x14ac:dyDescent="0.25">
      <c r="A24" s="115">
        <v>21</v>
      </c>
      <c r="B24" s="116">
        <v>45951</v>
      </c>
      <c r="C24" s="153"/>
      <c r="D24" s="153"/>
      <c r="E24" s="155"/>
      <c r="F24" s="155"/>
      <c r="G24" s="155"/>
      <c r="H24" s="296"/>
      <c r="I24" s="296"/>
      <c r="J24" s="155">
        <f t="shared" si="1"/>
        <v>0</v>
      </c>
      <c r="K24" s="155">
        <f t="shared" si="2"/>
        <v>0</v>
      </c>
      <c r="L24" s="295"/>
      <c r="M24" s="294">
        <f t="shared" si="3"/>
        <v>105530.21189999994</v>
      </c>
      <c r="N24" s="155"/>
    </row>
    <row r="25" spans="1:14" x14ac:dyDescent="0.25">
      <c r="A25" s="115">
        <v>22</v>
      </c>
      <c r="B25" s="116">
        <v>45952</v>
      </c>
      <c r="C25" s="153"/>
      <c r="D25" s="153"/>
      <c r="E25" s="155"/>
      <c r="F25" s="155"/>
      <c r="G25" s="155"/>
      <c r="H25" s="296"/>
      <c r="I25" s="296"/>
      <c r="J25" s="155">
        <f t="shared" si="1"/>
        <v>0</v>
      </c>
      <c r="K25" s="155">
        <f t="shared" si="2"/>
        <v>0</v>
      </c>
      <c r="L25" s="295"/>
      <c r="M25" s="294">
        <f t="shared" si="3"/>
        <v>105530.21189999994</v>
      </c>
      <c r="N25" s="155"/>
    </row>
    <row r="26" spans="1:14" x14ac:dyDescent="0.25">
      <c r="A26" s="115">
        <v>23</v>
      </c>
      <c r="B26" s="116">
        <v>45953</v>
      </c>
      <c r="C26" s="153"/>
      <c r="D26" s="153"/>
      <c r="E26" s="155"/>
      <c r="F26" s="155"/>
      <c r="G26" s="155"/>
      <c r="H26" s="296"/>
      <c r="I26" s="296"/>
      <c r="J26" s="155">
        <f t="shared" si="1"/>
        <v>0</v>
      </c>
      <c r="K26" s="155">
        <f t="shared" si="2"/>
        <v>0</v>
      </c>
      <c r="L26" s="295"/>
      <c r="M26" s="294">
        <f t="shared" si="3"/>
        <v>105530.21189999994</v>
      </c>
      <c r="N26" s="155"/>
    </row>
    <row r="27" spans="1:14" x14ac:dyDescent="0.25">
      <c r="A27" s="115">
        <v>24</v>
      </c>
      <c r="B27" s="116">
        <v>45954</v>
      </c>
      <c r="C27" s="153"/>
      <c r="D27" s="153"/>
      <c r="E27" s="155"/>
      <c r="F27" s="155"/>
      <c r="G27" s="155"/>
      <c r="H27" s="296"/>
      <c r="I27" s="296"/>
      <c r="J27" s="155">
        <f t="shared" si="1"/>
        <v>0</v>
      </c>
      <c r="K27" s="155">
        <f t="shared" si="2"/>
        <v>0</v>
      </c>
      <c r="L27" s="295"/>
      <c r="M27" s="294">
        <f t="shared" si="3"/>
        <v>105530.21189999994</v>
      </c>
      <c r="N27" s="155"/>
    </row>
    <row r="28" spans="1:14" x14ac:dyDescent="0.25">
      <c r="A28" s="115">
        <v>25</v>
      </c>
      <c r="B28" s="116">
        <v>45955</v>
      </c>
      <c r="C28" s="153"/>
      <c r="D28" s="153"/>
      <c r="E28" s="155"/>
      <c r="F28" s="155"/>
      <c r="G28" s="155"/>
      <c r="H28" s="296"/>
      <c r="I28" s="296"/>
      <c r="J28" s="155">
        <f t="shared" si="1"/>
        <v>0</v>
      </c>
      <c r="K28" s="155">
        <f t="shared" si="2"/>
        <v>0</v>
      </c>
      <c r="L28" s="295"/>
      <c r="M28" s="294">
        <f>M27+K28-L28</f>
        <v>105530.21189999994</v>
      </c>
      <c r="N28" s="155"/>
    </row>
    <row r="29" spans="1:14" x14ac:dyDescent="0.25">
      <c r="A29" s="115">
        <v>26</v>
      </c>
      <c r="B29" s="116">
        <v>45956</v>
      </c>
      <c r="C29" s="153"/>
      <c r="D29" s="153"/>
      <c r="E29" s="155"/>
      <c r="F29" s="155"/>
      <c r="G29" s="155"/>
      <c r="H29" s="296"/>
      <c r="I29" s="296"/>
      <c r="J29" s="155">
        <f t="shared" si="1"/>
        <v>0</v>
      </c>
      <c r="K29" s="155">
        <f t="shared" si="2"/>
        <v>0</v>
      </c>
      <c r="L29" s="295"/>
      <c r="M29" s="294">
        <f t="shared" si="3"/>
        <v>105530.21189999994</v>
      </c>
      <c r="N29" s="155"/>
    </row>
    <row r="30" spans="1:14" x14ac:dyDescent="0.25">
      <c r="A30" s="115">
        <v>27</v>
      </c>
      <c r="B30" s="116">
        <v>45957</v>
      </c>
      <c r="C30" s="153"/>
      <c r="D30" s="153"/>
      <c r="E30" s="155"/>
      <c r="F30" s="155"/>
      <c r="G30" s="155"/>
      <c r="H30" s="296"/>
      <c r="I30" s="296"/>
      <c r="J30" s="155">
        <f t="shared" si="1"/>
        <v>0</v>
      </c>
      <c r="K30" s="155">
        <f t="shared" si="2"/>
        <v>0</v>
      </c>
      <c r="L30" s="295"/>
      <c r="M30" s="294">
        <f t="shared" si="3"/>
        <v>105530.21189999994</v>
      </c>
      <c r="N30" s="155"/>
    </row>
    <row r="31" spans="1:14" x14ac:dyDescent="0.25">
      <c r="A31" s="115">
        <v>28</v>
      </c>
      <c r="B31" s="116">
        <v>45958</v>
      </c>
      <c r="C31" s="153"/>
      <c r="D31" s="153"/>
      <c r="E31" s="155"/>
      <c r="F31" s="155"/>
      <c r="G31" s="155"/>
      <c r="H31" s="296"/>
      <c r="I31" s="296"/>
      <c r="J31" s="155">
        <f t="shared" si="1"/>
        <v>0</v>
      </c>
      <c r="K31" s="155">
        <f t="shared" si="2"/>
        <v>0</v>
      </c>
      <c r="L31" s="295"/>
      <c r="M31" s="294">
        <f t="shared" si="3"/>
        <v>105530.21189999994</v>
      </c>
      <c r="N31" s="155"/>
    </row>
    <row r="32" spans="1:14" x14ac:dyDescent="0.25">
      <c r="A32" s="115">
        <v>29</v>
      </c>
      <c r="B32" s="116">
        <v>45959</v>
      </c>
      <c r="C32" s="153"/>
      <c r="D32" s="153"/>
      <c r="E32" s="155"/>
      <c r="F32" s="155"/>
      <c r="G32" s="155">
        <f t="shared" ref="G32" si="4">E32*F32</f>
        <v>0</v>
      </c>
      <c r="H32" s="296"/>
      <c r="I32" s="296"/>
      <c r="J32" s="155">
        <f t="shared" si="1"/>
        <v>0</v>
      </c>
      <c r="K32" s="155">
        <f t="shared" si="2"/>
        <v>0</v>
      </c>
      <c r="L32" s="295"/>
      <c r="M32" s="294">
        <f t="shared" si="3"/>
        <v>105530.21189999994</v>
      </c>
      <c r="N32" s="297"/>
    </row>
    <row r="33" spans="1:14" x14ac:dyDescent="0.25">
      <c r="A33" s="115">
        <v>30</v>
      </c>
      <c r="B33" s="116">
        <v>45960</v>
      </c>
      <c r="C33" s="153"/>
      <c r="D33" s="153"/>
      <c r="E33" s="155"/>
      <c r="F33" s="155"/>
      <c r="G33" s="155">
        <f t="shared" si="0"/>
        <v>0</v>
      </c>
      <c r="H33" s="296"/>
      <c r="I33" s="296"/>
      <c r="J33" s="155">
        <f t="shared" si="1"/>
        <v>0</v>
      </c>
      <c r="K33" s="155">
        <f t="shared" si="2"/>
        <v>0</v>
      </c>
      <c r="L33" s="295"/>
      <c r="M33" s="294">
        <f t="shared" si="3"/>
        <v>105530.21189999994</v>
      </c>
      <c r="N33" s="297"/>
    </row>
    <row r="34" spans="1:14" x14ac:dyDescent="0.25">
      <c r="A34" s="115">
        <v>31</v>
      </c>
      <c r="B34" s="116"/>
      <c r="C34" s="153"/>
      <c r="D34" s="153"/>
      <c r="E34" s="155"/>
      <c r="F34" s="155">
        <v>0</v>
      </c>
      <c r="G34" s="155">
        <f t="shared" si="0"/>
        <v>0</v>
      </c>
      <c r="H34" s="296"/>
      <c r="I34" s="296"/>
      <c r="J34" s="155">
        <f t="shared" si="1"/>
        <v>0</v>
      </c>
      <c r="K34" s="155">
        <f t="shared" si="2"/>
        <v>0</v>
      </c>
      <c r="L34" s="295"/>
      <c r="M34" s="297"/>
      <c r="N34" s="297"/>
    </row>
    <row r="35" spans="1:14" x14ac:dyDescent="0.25">
      <c r="A35" s="121"/>
      <c r="B35" s="121"/>
      <c r="C35" s="298"/>
      <c r="D35" s="298"/>
      <c r="E35" s="299">
        <f>SUM(E4:E34)</f>
        <v>2825.41</v>
      </c>
      <c r="F35" s="299"/>
      <c r="G35" s="299">
        <f>SUM(G4:G34)</f>
        <v>298335.0419</v>
      </c>
      <c r="H35" s="299">
        <f>SUM(H4:H34)</f>
        <v>288</v>
      </c>
      <c r="I35" s="299"/>
      <c r="J35" s="299">
        <f>SUM(J4:J34)</f>
        <v>33978.24</v>
      </c>
      <c r="K35" s="299">
        <f>SUM(K4:K34)</f>
        <v>332313.2819</v>
      </c>
      <c r="L35" s="299">
        <f>SUM(L4:L31)</f>
        <v>241000</v>
      </c>
      <c r="M35" s="299"/>
      <c r="N35" s="299"/>
    </row>
  </sheetData>
  <mergeCells count="2">
    <mergeCell ref="A1:N1"/>
    <mergeCell ref="A3:J3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P39"/>
  <sheetViews>
    <sheetView workbookViewId="0" zoomScale="100" zoomScaleNormal="100">
      <selection activeCell="M18" sqref="M18"/>
    </sheetView>
  </sheetViews>
  <sheetFormatPr defaultRowHeight="15" outlineLevelRow="0" outlineLevelCol="0" x14ac:dyDescent="0"/>
  <cols>
    <col min="5" max="5" width="14.85546875" customWidth="1"/>
    <col min="13" max="13" width="17.7109375" customWidth="1"/>
  </cols>
  <sheetData>
    <row r="1" ht="15.75" customHeight="1" spans="1:14" x14ac:dyDescent="0.25">
      <c r="A1" s="105" t="s">
        <v>187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</row>
    <row r="2" ht="30.75" customHeight="1" spans="1:16" x14ac:dyDescent="0.25">
      <c r="A2" s="122" t="s">
        <v>0</v>
      </c>
      <c r="B2" s="123" t="s">
        <v>167</v>
      </c>
      <c r="C2" s="123" t="s">
        <v>168</v>
      </c>
      <c r="D2" s="123" t="s">
        <v>169</v>
      </c>
      <c r="E2" s="123" t="s">
        <v>170</v>
      </c>
      <c r="F2" s="123" t="s">
        <v>171</v>
      </c>
      <c r="G2" s="123" t="s">
        <v>172</v>
      </c>
      <c r="H2" s="123" t="s">
        <v>173</v>
      </c>
      <c r="I2" s="123" t="s">
        <v>171</v>
      </c>
      <c r="J2" s="124" t="s">
        <v>172</v>
      </c>
      <c r="K2" s="106" t="s">
        <v>174</v>
      </c>
      <c r="L2" s="109" t="s">
        <v>175</v>
      </c>
      <c r="M2" s="109" t="s">
        <v>184</v>
      </c>
      <c r="N2" s="107" t="s">
        <v>177</v>
      </c>
      <c r="O2" s="137"/>
      <c r="P2" s="114"/>
    </row>
    <row r="3" spans="1:14" x14ac:dyDescent="0.25">
      <c r="A3" s="125" t="s">
        <v>178</v>
      </c>
      <c r="B3" s="126"/>
      <c r="C3" s="126"/>
      <c r="D3" s="126"/>
      <c r="E3" s="126"/>
      <c r="F3" s="126"/>
      <c r="G3" s="126"/>
      <c r="H3" s="126"/>
      <c r="I3" s="126"/>
      <c r="J3" s="126"/>
      <c r="K3">
        <v>0</v>
      </c>
      <c r="L3" s="112"/>
      <c r="M3">
        <v>0</v>
      </c>
      <c r="N3" s="113"/>
    </row>
    <row r="4" spans="1:15" x14ac:dyDescent="0.25">
      <c r="A4" s="115">
        <v>1</v>
      </c>
      <c r="B4" s="116">
        <v>46296</v>
      </c>
      <c r="C4" s="37"/>
      <c r="D4" s="128"/>
      <c r="E4" s="131"/>
      <c r="F4" s="130"/>
      <c r="G4" s="37">
        <f>E4*F4</f>
        <v>0</v>
      </c>
      <c r="H4" s="37"/>
      <c r="I4" s="37"/>
      <c r="J4" s="37">
        <f>H4*I4</f>
        <v>0</v>
      </c>
      <c r="K4" s="37">
        <f>G4+J4</f>
        <v>0</v>
      </c>
      <c r="L4" s="37"/>
      <c r="M4" s="118">
        <f>M3+K4-L4</f>
        <v>0</v>
      </c>
      <c r="N4" s="37"/>
      <c r="O4" s="118"/>
    </row>
    <row r="5" spans="1:14" x14ac:dyDescent="0.25">
      <c r="A5" s="115">
        <v>2</v>
      </c>
      <c r="B5" s="116">
        <v>46297</v>
      </c>
      <c r="C5" s="37"/>
      <c r="D5" s="128"/>
      <c r="E5" s="131"/>
      <c r="F5" s="130"/>
      <c r="G5" s="37">
        <f t="shared" ref="G5:G34" si="0">E5*F5</f>
        <v>0</v>
      </c>
      <c r="H5" s="37"/>
      <c r="I5" s="37"/>
      <c r="J5" s="37">
        <f t="shared" ref="J5:J34" si="1">H5*I5</f>
        <v>0</v>
      </c>
      <c r="K5" s="37">
        <f t="shared" ref="K5:K34" si="2">G5+J5</f>
        <v>0</v>
      </c>
      <c r="L5" s="37"/>
      <c r="M5" s="118">
        <f>M4+K5-L5</f>
        <v>0</v>
      </c>
      <c r="N5" s="37"/>
    </row>
    <row r="6" spans="1:14" x14ac:dyDescent="0.25">
      <c r="A6" s="115">
        <v>3</v>
      </c>
      <c r="B6" s="116">
        <v>46298</v>
      </c>
      <c r="C6" s="37"/>
      <c r="D6" s="128"/>
      <c r="E6" s="131">
        <v>5400</v>
      </c>
      <c r="F6" s="130">
        <v>103.84</v>
      </c>
      <c r="G6" s="37">
        <f t="shared" si="0"/>
        <v>560736</v>
      </c>
      <c r="H6" s="37"/>
      <c r="I6" s="37"/>
      <c r="J6" s="37">
        <f t="shared" si="1"/>
        <v>0</v>
      </c>
      <c r="K6" s="37">
        <f t="shared" si="2"/>
        <v>560736</v>
      </c>
      <c r="L6" s="37"/>
      <c r="M6" s="118">
        <f t="shared" ref="M6:M34" si="3">M5+K6-L6</f>
        <v>560736</v>
      </c>
      <c r="N6" s="37"/>
    </row>
    <row r="7" spans="1:14" x14ac:dyDescent="0.25">
      <c r="A7" s="115">
        <v>4</v>
      </c>
      <c r="B7" s="116">
        <v>46299</v>
      </c>
      <c r="C7" s="37"/>
      <c r="D7" s="128"/>
      <c r="E7" s="131"/>
      <c r="F7" s="130"/>
      <c r="G7" s="37">
        <f t="shared" si="0"/>
        <v>0</v>
      </c>
      <c r="H7" s="37"/>
      <c r="I7" s="37"/>
      <c r="J7" s="37">
        <f t="shared" si="1"/>
        <v>0</v>
      </c>
      <c r="K7" s="37">
        <f t="shared" si="2"/>
        <v>0</v>
      </c>
      <c r="L7" s="37"/>
      <c r="M7" s="118">
        <f>M6+K7-L7</f>
        <v>560736</v>
      </c>
      <c r="N7" s="37"/>
    </row>
    <row r="8" spans="1:14" x14ac:dyDescent="0.25">
      <c r="A8" s="115">
        <v>5</v>
      </c>
      <c r="B8" s="116">
        <v>46300</v>
      </c>
      <c r="C8" s="37"/>
      <c r="D8" s="128"/>
      <c r="E8" s="131">
        <v>2700</v>
      </c>
      <c r="F8" s="130">
        <v>103.84</v>
      </c>
      <c r="G8" s="37">
        <f t="shared" si="0"/>
        <v>280368</v>
      </c>
      <c r="H8" s="37"/>
      <c r="I8" s="37"/>
      <c r="J8" s="37">
        <f t="shared" si="1"/>
        <v>0</v>
      </c>
      <c r="K8" s="37">
        <f t="shared" si="2"/>
        <v>280368</v>
      </c>
      <c r="L8" s="37"/>
      <c r="M8" s="118">
        <f t="shared" si="3"/>
        <v>841104</v>
      </c>
      <c r="N8" s="37"/>
    </row>
    <row r="9" spans="1:14" x14ac:dyDescent="0.25">
      <c r="A9" s="115">
        <v>6</v>
      </c>
      <c r="B9" s="116">
        <v>46301</v>
      </c>
      <c r="C9" s="37"/>
      <c r="D9" s="128"/>
      <c r="E9" s="131">
        <v>2700</v>
      </c>
      <c r="F9" s="130">
        <v>103.84</v>
      </c>
      <c r="G9" s="37">
        <f t="shared" si="0"/>
        <v>280368</v>
      </c>
      <c r="H9" s="37"/>
      <c r="I9" s="37"/>
      <c r="J9" s="37">
        <f t="shared" si="1"/>
        <v>0</v>
      </c>
      <c r="K9" s="37">
        <f t="shared" si="2"/>
        <v>280368</v>
      </c>
      <c r="L9" s="37"/>
      <c r="M9" s="118">
        <f t="shared" si="3"/>
        <v>1121472</v>
      </c>
      <c r="N9" s="132"/>
    </row>
    <row r="10" spans="1:14" x14ac:dyDescent="0.25">
      <c r="A10" s="115">
        <v>7</v>
      </c>
      <c r="B10" s="116">
        <v>46302</v>
      </c>
      <c r="C10" s="37"/>
      <c r="D10" s="128"/>
      <c r="E10" s="131">
        <v>2700</v>
      </c>
      <c r="F10" s="130">
        <v>103.84</v>
      </c>
      <c r="G10" s="37">
        <f t="shared" si="0"/>
        <v>280368</v>
      </c>
      <c r="H10" s="37"/>
      <c r="I10" s="37"/>
      <c r="J10" s="37">
        <f t="shared" si="1"/>
        <v>0</v>
      </c>
      <c r="K10" s="37">
        <f t="shared" si="2"/>
        <v>280368</v>
      </c>
      <c r="L10" s="37"/>
      <c r="M10" s="118">
        <f t="shared" si="3"/>
        <v>1401840</v>
      </c>
      <c r="N10" s="37"/>
    </row>
    <row r="11" spans="1:14" x14ac:dyDescent="0.25">
      <c r="A11" s="115">
        <v>8</v>
      </c>
      <c r="B11" s="116">
        <v>46303</v>
      </c>
      <c r="C11" s="37"/>
      <c r="D11" s="128"/>
      <c r="E11" s="131">
        <v>2700</v>
      </c>
      <c r="F11" s="130">
        <v>103.84</v>
      </c>
      <c r="G11" s="37">
        <f t="shared" si="0"/>
        <v>280368</v>
      </c>
      <c r="H11" s="37"/>
      <c r="I11" s="37"/>
      <c r="J11" s="37">
        <f t="shared" si="1"/>
        <v>0</v>
      </c>
      <c r="K11" s="37">
        <f t="shared" si="2"/>
        <v>280368</v>
      </c>
      <c r="L11" s="37"/>
      <c r="M11" s="118">
        <f t="shared" si="3"/>
        <v>1682208</v>
      </c>
      <c r="N11" s="37"/>
    </row>
    <row r="12" spans="1:14" x14ac:dyDescent="0.25">
      <c r="A12" s="115">
        <v>9</v>
      </c>
      <c r="B12" s="116">
        <v>46304</v>
      </c>
      <c r="C12" s="37"/>
      <c r="D12" s="128"/>
      <c r="E12" s="131">
        <v>5400</v>
      </c>
      <c r="F12" s="130">
        <v>103.84</v>
      </c>
      <c r="G12" s="37">
        <f t="shared" si="0"/>
        <v>560736</v>
      </c>
      <c r="H12" s="37"/>
      <c r="I12" s="37"/>
      <c r="J12" s="37">
        <f t="shared" si="1"/>
        <v>0</v>
      </c>
      <c r="K12" s="37">
        <f t="shared" si="2"/>
        <v>560736</v>
      </c>
      <c r="L12" s="37"/>
      <c r="M12" s="118">
        <f t="shared" si="3"/>
        <v>2242944</v>
      </c>
      <c r="N12" s="37"/>
    </row>
    <row r="13" spans="1:14" x14ac:dyDescent="0.25">
      <c r="A13" s="115">
        <v>10</v>
      </c>
      <c r="B13" s="116">
        <v>46305</v>
      </c>
      <c r="C13" s="37"/>
      <c r="D13" s="128"/>
      <c r="E13" s="131">
        <v>5400</v>
      </c>
      <c r="F13" s="130">
        <v>103.84</v>
      </c>
      <c r="G13" s="37">
        <f t="shared" si="0"/>
        <v>560736</v>
      </c>
      <c r="H13" s="37"/>
      <c r="I13" s="37"/>
      <c r="J13" s="37">
        <f t="shared" si="1"/>
        <v>0</v>
      </c>
      <c r="K13" s="37">
        <f t="shared" si="2"/>
        <v>560736</v>
      </c>
      <c r="L13" s="37"/>
      <c r="M13" s="118">
        <f t="shared" si="3"/>
        <v>2803680</v>
      </c>
      <c r="N13" s="37"/>
    </row>
    <row r="14" spans="1:14" x14ac:dyDescent="0.25">
      <c r="A14" s="115">
        <v>11</v>
      </c>
      <c r="B14" s="116">
        <v>46306</v>
      </c>
      <c r="C14" s="37"/>
      <c r="D14" s="128"/>
      <c r="E14" s="131">
        <v>2700</v>
      </c>
      <c r="F14" s="130">
        <v>103.84</v>
      </c>
      <c r="G14" s="37">
        <f t="shared" si="0"/>
        <v>280368</v>
      </c>
      <c r="H14" s="37"/>
      <c r="I14" s="37"/>
      <c r="J14" s="37">
        <f t="shared" si="1"/>
        <v>0</v>
      </c>
      <c r="K14" s="37">
        <f t="shared" si="2"/>
        <v>280368</v>
      </c>
      <c r="L14" s="37"/>
      <c r="M14" s="118">
        <f t="shared" si="3"/>
        <v>3084048</v>
      </c>
      <c r="N14" s="37"/>
    </row>
    <row r="15" spans="1:14" x14ac:dyDescent="0.25">
      <c r="A15" s="115">
        <v>12</v>
      </c>
      <c r="B15" s="116">
        <v>46307</v>
      </c>
      <c r="C15" s="37"/>
      <c r="D15" s="128"/>
      <c r="E15" s="131">
        <v>2700</v>
      </c>
      <c r="F15" s="130">
        <v>103.84</v>
      </c>
      <c r="G15" s="37">
        <f t="shared" si="0"/>
        <v>280368</v>
      </c>
      <c r="H15" s="37"/>
      <c r="I15" s="37"/>
      <c r="J15" s="37">
        <f t="shared" si="1"/>
        <v>0</v>
      </c>
      <c r="K15" s="37">
        <f t="shared" si="2"/>
        <v>280368</v>
      </c>
      <c r="L15" s="37"/>
      <c r="M15" s="118">
        <f t="shared" si="3"/>
        <v>3364416</v>
      </c>
      <c r="N15" s="37"/>
    </row>
    <row r="16" spans="1:14" x14ac:dyDescent="0.25">
      <c r="A16" s="115">
        <v>13</v>
      </c>
      <c r="B16" s="116">
        <v>46308</v>
      </c>
      <c r="C16" s="37"/>
      <c r="D16" s="128"/>
      <c r="E16" s="131">
        <v>2700</v>
      </c>
      <c r="F16" s="130">
        <v>103.84</v>
      </c>
      <c r="G16" s="37">
        <f t="shared" si="0"/>
        <v>280368</v>
      </c>
      <c r="H16" s="37"/>
      <c r="I16" s="37"/>
      <c r="J16" s="37">
        <f t="shared" si="1"/>
        <v>0</v>
      </c>
      <c r="K16" s="37">
        <f t="shared" si="2"/>
        <v>280368</v>
      </c>
      <c r="L16" s="37"/>
      <c r="M16" s="118">
        <f>M15+K16-L16</f>
        <v>3644784</v>
      </c>
      <c r="N16" s="37"/>
    </row>
    <row r="17" spans="1:14" x14ac:dyDescent="0.25">
      <c r="A17" s="115">
        <v>14</v>
      </c>
      <c r="B17" s="116">
        <v>46309</v>
      </c>
      <c r="C17" s="37"/>
      <c r="D17" s="128"/>
      <c r="E17" s="131">
        <v>2700</v>
      </c>
      <c r="F17" s="130">
        <v>103.84</v>
      </c>
      <c r="G17" s="37">
        <f t="shared" si="0"/>
        <v>280368</v>
      </c>
      <c r="H17" s="37"/>
      <c r="I17" s="37"/>
      <c r="J17" s="37">
        <f t="shared" si="1"/>
        <v>0</v>
      </c>
      <c r="K17" s="37">
        <f t="shared" si="2"/>
        <v>280368</v>
      </c>
      <c r="L17" s="37"/>
      <c r="M17" s="118">
        <f t="shared" si="3"/>
        <v>3925152</v>
      </c>
      <c r="N17" s="37"/>
    </row>
    <row r="18" spans="1:14" x14ac:dyDescent="0.25">
      <c r="A18" s="115">
        <v>15</v>
      </c>
      <c r="B18" s="116">
        <v>46310</v>
      </c>
      <c r="C18" s="37"/>
      <c r="D18" s="128"/>
      <c r="E18" s="131">
        <v>2700</v>
      </c>
      <c r="F18" s="130">
        <v>103.84</v>
      </c>
      <c r="G18" s="37">
        <f t="shared" si="0"/>
        <v>280368</v>
      </c>
      <c r="H18" s="37"/>
      <c r="I18" s="37"/>
      <c r="J18" s="37">
        <f t="shared" si="1"/>
        <v>0</v>
      </c>
      <c r="K18" s="37">
        <f t="shared" si="2"/>
        <v>280368</v>
      </c>
      <c r="L18" s="37"/>
      <c r="M18" s="118">
        <f t="shared" si="3"/>
        <v>4205520</v>
      </c>
      <c r="N18" s="37"/>
    </row>
    <row r="19" spans="1:14" x14ac:dyDescent="0.25">
      <c r="A19" s="115">
        <v>16</v>
      </c>
      <c r="B19" s="116">
        <v>46311</v>
      </c>
      <c r="C19" s="37"/>
      <c r="D19" s="128"/>
      <c r="E19" s="131"/>
      <c r="F19" s="130"/>
      <c r="G19" s="37">
        <f t="shared" si="0"/>
        <v>0</v>
      </c>
      <c r="H19" s="37"/>
      <c r="I19" s="37"/>
      <c r="J19" s="37">
        <f t="shared" si="1"/>
        <v>0</v>
      </c>
      <c r="K19" s="37">
        <f t="shared" si="2"/>
        <v>0</v>
      </c>
      <c r="L19" s="37"/>
      <c r="M19" s="118">
        <f t="shared" si="3"/>
        <v>4205520</v>
      </c>
      <c r="N19" s="37"/>
    </row>
    <row r="20" spans="1:14" x14ac:dyDescent="0.25">
      <c r="A20" s="115">
        <v>17</v>
      </c>
      <c r="B20" s="116">
        <v>46312</v>
      </c>
      <c r="C20" s="37"/>
      <c r="D20" s="128"/>
      <c r="E20" s="131"/>
      <c r="F20" s="130"/>
      <c r="G20" s="37">
        <f t="shared" si="0"/>
        <v>0</v>
      </c>
      <c r="H20" s="37"/>
      <c r="I20" s="37"/>
      <c r="J20" s="37">
        <f t="shared" si="1"/>
        <v>0</v>
      </c>
      <c r="K20" s="37">
        <f t="shared" si="2"/>
        <v>0</v>
      </c>
      <c r="L20" s="37"/>
      <c r="M20" s="118">
        <f t="shared" si="3"/>
        <v>4205520</v>
      </c>
      <c r="N20" s="37"/>
    </row>
    <row r="21" spans="1:14" x14ac:dyDescent="0.25">
      <c r="A21" s="115">
        <v>18</v>
      </c>
      <c r="B21" s="116">
        <v>46313</v>
      </c>
      <c r="C21" s="37"/>
      <c r="D21" s="128"/>
      <c r="E21" s="131"/>
      <c r="F21" s="130"/>
      <c r="G21" s="37">
        <f t="shared" si="0"/>
        <v>0</v>
      </c>
      <c r="H21" s="37"/>
      <c r="I21" s="37"/>
      <c r="J21" s="37">
        <f t="shared" si="1"/>
        <v>0</v>
      </c>
      <c r="K21" s="37">
        <f t="shared" si="2"/>
        <v>0</v>
      </c>
      <c r="L21" s="37"/>
      <c r="M21" s="118">
        <f t="shared" si="3"/>
        <v>4205520</v>
      </c>
      <c r="N21" s="37"/>
    </row>
    <row r="22" spans="1:14" x14ac:dyDescent="0.25">
      <c r="A22" s="115">
        <v>19</v>
      </c>
      <c r="B22" s="116">
        <v>46314</v>
      </c>
      <c r="C22" s="37"/>
      <c r="D22" s="128"/>
      <c r="E22" s="131"/>
      <c r="F22" s="130"/>
      <c r="G22" s="37">
        <f t="shared" si="0"/>
        <v>0</v>
      </c>
      <c r="H22" s="37"/>
      <c r="I22" s="37"/>
      <c r="J22" s="37">
        <f t="shared" si="1"/>
        <v>0</v>
      </c>
      <c r="K22" s="37">
        <f t="shared" si="2"/>
        <v>0</v>
      </c>
      <c r="L22" s="37"/>
      <c r="M22" s="118">
        <f t="shared" si="3"/>
        <v>4205520</v>
      </c>
      <c r="N22" s="37"/>
    </row>
    <row r="23" spans="1:14" x14ac:dyDescent="0.25">
      <c r="A23" s="115">
        <v>20</v>
      </c>
      <c r="B23" s="116">
        <v>46315</v>
      </c>
      <c r="C23" s="37"/>
      <c r="D23" s="128"/>
      <c r="E23" s="131"/>
      <c r="F23" s="130"/>
      <c r="G23" s="37">
        <f t="shared" si="0"/>
        <v>0</v>
      </c>
      <c r="H23" s="37"/>
      <c r="I23" s="37"/>
      <c r="J23" s="37">
        <f t="shared" si="1"/>
        <v>0</v>
      </c>
      <c r="K23" s="37">
        <f t="shared" si="2"/>
        <v>0</v>
      </c>
      <c r="L23" s="37"/>
      <c r="M23" s="118">
        <f t="shared" si="3"/>
        <v>4205520</v>
      </c>
      <c r="N23" s="37"/>
    </row>
    <row r="24" spans="1:14" x14ac:dyDescent="0.25">
      <c r="A24" s="115">
        <v>21</v>
      </c>
      <c r="B24" s="116">
        <v>46316</v>
      </c>
      <c r="C24" s="37"/>
      <c r="D24" s="128"/>
      <c r="E24" s="131"/>
      <c r="F24" s="130"/>
      <c r="G24" s="37">
        <f t="shared" si="0"/>
        <v>0</v>
      </c>
      <c r="H24" s="37"/>
      <c r="I24" s="37"/>
      <c r="J24" s="37">
        <f t="shared" si="1"/>
        <v>0</v>
      </c>
      <c r="K24" s="37">
        <f t="shared" si="2"/>
        <v>0</v>
      </c>
      <c r="L24" s="37"/>
      <c r="M24" s="118">
        <f t="shared" si="3"/>
        <v>4205520</v>
      </c>
      <c r="N24" s="37"/>
    </row>
    <row r="25" spans="1:14" x14ac:dyDescent="0.25">
      <c r="A25" s="115">
        <v>22</v>
      </c>
      <c r="B25" s="116">
        <v>46317</v>
      </c>
      <c r="C25" s="37"/>
      <c r="D25" s="128"/>
      <c r="E25" s="131"/>
      <c r="F25" s="130"/>
      <c r="G25" s="37">
        <f t="shared" si="0"/>
        <v>0</v>
      </c>
      <c r="H25" s="37"/>
      <c r="I25" s="37"/>
      <c r="J25" s="37">
        <f t="shared" si="1"/>
        <v>0</v>
      </c>
      <c r="K25" s="37">
        <f t="shared" si="2"/>
        <v>0</v>
      </c>
      <c r="L25" s="37"/>
      <c r="M25" s="118">
        <f t="shared" si="3"/>
        <v>4205520</v>
      </c>
      <c r="N25" s="37"/>
    </row>
    <row r="26" spans="1:14" x14ac:dyDescent="0.25">
      <c r="A26" s="115">
        <v>23</v>
      </c>
      <c r="B26" s="116">
        <v>46318</v>
      </c>
      <c r="C26" s="37"/>
      <c r="D26" s="128"/>
      <c r="E26" s="131"/>
      <c r="F26" s="130"/>
      <c r="G26" s="37">
        <f t="shared" si="0"/>
        <v>0</v>
      </c>
      <c r="H26" s="37"/>
      <c r="I26" s="37"/>
      <c r="J26" s="37">
        <f t="shared" si="1"/>
        <v>0</v>
      </c>
      <c r="K26" s="37">
        <f t="shared" si="2"/>
        <v>0</v>
      </c>
      <c r="L26" s="37"/>
      <c r="M26" s="118">
        <f t="shared" si="3"/>
        <v>4205520</v>
      </c>
      <c r="N26" s="37"/>
    </row>
    <row r="27" spans="1:14" x14ac:dyDescent="0.25">
      <c r="A27" s="115">
        <v>24</v>
      </c>
      <c r="B27" s="116">
        <v>46319</v>
      </c>
      <c r="C27" s="37"/>
      <c r="D27" s="128"/>
      <c r="E27" s="131"/>
      <c r="F27" s="130"/>
      <c r="G27" s="37">
        <f t="shared" si="0"/>
        <v>0</v>
      </c>
      <c r="H27" s="37"/>
      <c r="I27" s="37"/>
      <c r="J27" s="37">
        <f t="shared" si="1"/>
        <v>0</v>
      </c>
      <c r="K27" s="37">
        <f t="shared" si="2"/>
        <v>0</v>
      </c>
      <c r="L27" s="37"/>
      <c r="M27" s="118">
        <f t="shared" si="3"/>
        <v>4205520</v>
      </c>
      <c r="N27" s="37"/>
    </row>
    <row r="28" spans="1:14" x14ac:dyDescent="0.25">
      <c r="A28" s="115">
        <v>25</v>
      </c>
      <c r="B28" s="116">
        <v>46320</v>
      </c>
      <c r="C28" s="37"/>
      <c r="D28" s="128"/>
      <c r="E28" s="131"/>
      <c r="F28" s="130"/>
      <c r="G28" s="37">
        <f t="shared" si="0"/>
        <v>0</v>
      </c>
      <c r="H28" s="37"/>
      <c r="I28" s="37"/>
      <c r="J28" s="37">
        <f t="shared" si="1"/>
        <v>0</v>
      </c>
      <c r="K28" s="37">
        <f t="shared" si="2"/>
        <v>0</v>
      </c>
      <c r="L28" s="37"/>
      <c r="M28" s="118">
        <f t="shared" si="3"/>
        <v>4205520</v>
      </c>
      <c r="N28" s="37"/>
    </row>
    <row r="29" spans="1:14" x14ac:dyDescent="0.25">
      <c r="A29" s="115">
        <v>26</v>
      </c>
      <c r="B29" s="116">
        <v>46321</v>
      </c>
      <c r="C29" s="37"/>
      <c r="D29" s="128"/>
      <c r="E29" s="131"/>
      <c r="F29" s="130"/>
      <c r="G29" s="37">
        <f t="shared" si="0"/>
        <v>0</v>
      </c>
      <c r="H29" s="37"/>
      <c r="I29" s="37"/>
      <c r="J29" s="37">
        <f t="shared" si="1"/>
        <v>0</v>
      </c>
      <c r="K29" s="37">
        <f t="shared" si="2"/>
        <v>0</v>
      </c>
      <c r="L29" s="37"/>
      <c r="M29" s="118">
        <f t="shared" si="3"/>
        <v>4205520</v>
      </c>
      <c r="N29" s="37"/>
    </row>
    <row r="30" spans="1:14" x14ac:dyDescent="0.25">
      <c r="A30" s="115">
        <v>27</v>
      </c>
      <c r="B30" s="116">
        <v>46322</v>
      </c>
      <c r="C30" s="37"/>
      <c r="D30" s="128"/>
      <c r="E30" s="131"/>
      <c r="F30" s="130"/>
      <c r="G30" s="37">
        <f t="shared" si="0"/>
        <v>0</v>
      </c>
      <c r="H30" s="37"/>
      <c r="I30" s="37"/>
      <c r="J30" s="37">
        <f t="shared" si="1"/>
        <v>0</v>
      </c>
      <c r="K30" s="37">
        <f t="shared" si="2"/>
        <v>0</v>
      </c>
      <c r="L30" s="37"/>
      <c r="M30" s="118">
        <f t="shared" si="3"/>
        <v>4205520</v>
      </c>
      <c r="N30" s="37"/>
    </row>
    <row r="31" spans="1:14" x14ac:dyDescent="0.25">
      <c r="A31" s="115">
        <v>28</v>
      </c>
      <c r="B31" s="116">
        <v>46323</v>
      </c>
      <c r="C31" s="37"/>
      <c r="D31" s="128"/>
      <c r="E31" s="131"/>
      <c r="F31" s="130"/>
      <c r="G31" s="37">
        <f t="shared" si="0"/>
        <v>0</v>
      </c>
      <c r="H31" s="37"/>
      <c r="I31" s="37"/>
      <c r="J31" s="37">
        <f t="shared" si="1"/>
        <v>0</v>
      </c>
      <c r="K31" s="37">
        <f t="shared" si="2"/>
        <v>0</v>
      </c>
      <c r="L31" s="37"/>
      <c r="M31" s="118">
        <f t="shared" si="3"/>
        <v>4205520</v>
      </c>
      <c r="N31" s="37"/>
    </row>
    <row r="32" spans="1:14" x14ac:dyDescent="0.25">
      <c r="A32" s="115">
        <v>29</v>
      </c>
      <c r="B32" s="116">
        <v>46324</v>
      </c>
      <c r="C32" s="37"/>
      <c r="D32" s="128"/>
      <c r="E32" s="129"/>
      <c r="F32" s="130"/>
      <c r="G32" s="37">
        <f t="shared" si="0"/>
        <v>0</v>
      </c>
      <c r="H32" s="129"/>
      <c r="I32" s="130"/>
      <c r="J32" s="37">
        <f t="shared" si="1"/>
        <v>0</v>
      </c>
      <c r="K32" s="37">
        <f t="shared" si="2"/>
        <v>0</v>
      </c>
      <c r="L32" s="37"/>
      <c r="M32" s="118">
        <f t="shared" si="3"/>
        <v>4205520</v>
      </c>
      <c r="N32" s="37"/>
    </row>
    <row r="33" spans="1:14" x14ac:dyDescent="0.25">
      <c r="A33" s="115">
        <v>30</v>
      </c>
      <c r="B33" s="116">
        <v>46325</v>
      </c>
      <c r="C33" s="37"/>
      <c r="D33" s="128"/>
      <c r="E33" s="129"/>
      <c r="F33" s="130"/>
      <c r="G33" s="37">
        <f t="shared" si="0"/>
        <v>0</v>
      </c>
      <c r="H33" s="129"/>
      <c r="I33" s="130"/>
      <c r="J33" s="37">
        <f t="shared" si="1"/>
        <v>0</v>
      </c>
      <c r="K33" s="37">
        <f t="shared" si="2"/>
        <v>0</v>
      </c>
      <c r="L33" s="37"/>
      <c r="M33" s="118">
        <f t="shared" si="3"/>
        <v>4205520</v>
      </c>
      <c r="N33" s="37"/>
    </row>
    <row r="34" spans="1:14" x14ac:dyDescent="0.25">
      <c r="A34" s="115">
        <v>31</v>
      </c>
      <c r="B34" s="116">
        <v>46326</v>
      </c>
      <c r="C34" s="37"/>
      <c r="D34" s="128"/>
      <c r="E34" s="131"/>
      <c r="F34" s="130"/>
      <c r="G34" s="37">
        <f t="shared" si="0"/>
        <v>0</v>
      </c>
      <c r="H34" s="37"/>
      <c r="I34" s="37"/>
      <c r="J34" s="37">
        <f t="shared" si="1"/>
        <v>0</v>
      </c>
      <c r="K34" s="37">
        <f t="shared" si="2"/>
        <v>0</v>
      </c>
      <c r="L34" s="37"/>
      <c r="M34" s="118">
        <f t="shared" si="3"/>
        <v>4205520</v>
      </c>
      <c r="N34" s="37"/>
    </row>
    <row r="35" spans="1:14" x14ac:dyDescent="0.25">
      <c r="A35" s="121"/>
      <c r="B35" s="121"/>
      <c r="C35" s="121"/>
      <c r="D35" s="121"/>
      <c r="E35" s="136">
        <f>SUM(E4:E34)</f>
        <v>40500</v>
      </c>
      <c r="F35" s="136"/>
      <c r="G35" s="136">
        <f>SUM(G4:G34)</f>
        <v>4205520</v>
      </c>
      <c r="H35" s="136">
        <f>SUM(H4:H34)</f>
        <v>0</v>
      </c>
      <c r="I35" s="136"/>
      <c r="J35" s="136">
        <f>SUM(J4:J34)</f>
        <v>0</v>
      </c>
      <c r="K35" s="136">
        <f>SUM(K4:K34)</f>
        <v>4205520</v>
      </c>
      <c r="L35" s="136">
        <f>SUM(L4:L34)</f>
        <v>0</v>
      </c>
      <c r="M35" s="136"/>
      <c r="N35" s="136"/>
    </row>
    <row r="39" spans="13:13" x14ac:dyDescent="0.25">
      <c r="M39" s="114"/>
    </row>
  </sheetData>
  <mergeCells count="2">
    <mergeCell ref="A1:N1"/>
    <mergeCell ref="A3:J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60</vt:i4>
      </vt:variant>
    </vt:vector>
  </HeadingPairs>
  <TitlesOfParts>
    <vt:vector size="60" baseType="lpstr">
      <vt:lpstr> MIs</vt:lpstr>
      <vt:lpstr>OCT-26</vt:lpstr>
      <vt:lpstr>HO(DG)</vt:lpstr>
      <vt:lpstr>Khammam-1</vt:lpstr>
      <vt:lpstr>Khammam-2</vt:lpstr>
      <vt:lpstr>Khammam-4</vt:lpstr>
      <vt:lpstr> Khammam-5</vt:lpstr>
      <vt:lpstr> Khammam-6</vt:lpstr>
      <vt:lpstr> Khammam&amp;Cash</vt:lpstr>
      <vt:lpstr>Jadcherla-4</vt:lpstr>
      <vt:lpstr> Sangareddy-2</vt:lpstr>
      <vt:lpstr> Sangareddy-3</vt:lpstr>
      <vt:lpstr>Narayankhed</vt:lpstr>
      <vt:lpstr>Dindi</vt:lpstr>
      <vt:lpstr>Multiple bunks(KKD)</vt:lpstr>
      <vt:lpstr> Pitapram(KKD)</vt:lpstr>
      <vt:lpstr>Yeleshwaram(KKD)</vt:lpstr>
      <vt:lpstr>Amalapuram(KKD)</vt:lpstr>
      <vt:lpstr> Solasa Krishna OIl</vt:lpstr>
      <vt:lpstr>Sri Venkateshwara Services</vt:lpstr>
      <vt:lpstr>Raja Filling Station</vt:lpstr>
      <vt:lpstr>Madana palli</vt:lpstr>
      <vt:lpstr>Kadur</vt:lpstr>
      <vt:lpstr>YG Gudda</vt:lpstr>
      <vt:lpstr> YG Gudda-2</vt:lpstr>
      <vt:lpstr>Hosadurga -2</vt:lpstr>
      <vt:lpstr>Hiriyur(VJNL)</vt:lpstr>
      <vt:lpstr>Malebenur(KUWSDB)</vt:lpstr>
      <vt:lpstr>Molakamuru</vt:lpstr>
      <vt:lpstr>Chellakere -1</vt:lpstr>
      <vt:lpstr> Chellakere-PKG-9</vt:lpstr>
      <vt:lpstr> Chennagiri</vt:lpstr>
      <vt:lpstr>Khanapur</vt:lpstr>
      <vt:lpstr>Munavali-2</vt:lpstr>
      <vt:lpstr> Munavali</vt:lpstr>
      <vt:lpstr>Ugar,Khagwad,Kudichi</vt:lpstr>
      <vt:lpstr>shedbal</vt:lpstr>
      <vt:lpstr>Kabbur</vt:lpstr>
      <vt:lpstr>kumta</vt:lpstr>
      <vt:lpstr>Jalgoan-2</vt:lpstr>
      <vt:lpstr>MKBD</vt:lpstr>
      <vt:lpstr> Haveri-2</vt:lpstr>
      <vt:lpstr> Guttal-2</vt:lpstr>
      <vt:lpstr>Rattihali-2</vt:lpstr>
      <vt:lpstr>Gajendragada</vt:lpstr>
      <vt:lpstr>Gokak Dharwad PKG 3</vt:lpstr>
      <vt:lpstr>Ankalgi</vt:lpstr>
      <vt:lpstr> TR Associates</vt:lpstr>
      <vt:lpstr>SHRI DESHPANDE</vt:lpstr>
      <vt:lpstr> Shankeshwar</vt:lpstr>
      <vt:lpstr> Talikote</vt:lpstr>
      <vt:lpstr>Chadchan</vt:lpstr>
      <vt:lpstr>Sindagi</vt:lpstr>
      <vt:lpstr>Muddebhihal-2</vt:lpstr>
      <vt:lpstr>Alemela</vt:lpstr>
      <vt:lpstr>Nalatwad</vt:lpstr>
      <vt:lpstr>Srirangapatna</vt:lpstr>
      <vt:lpstr>BPCL Oct-26</vt:lpstr>
      <vt:lpstr> HPCL Oct-26</vt:lpstr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MIS</cp:lastModifiedBy>
  <cp:contentStatus/>
  <dcterms:created xsi:type="dcterms:W3CDTF">2015-06-05T18:17:20Z</dcterms:created>
  <dcterms:modified xsi:type="dcterms:W3CDTF">2026-10-16T06:27:21Z</dcterms:modified>
</cp:coreProperties>
</file>