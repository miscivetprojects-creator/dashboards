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filterPrivacy="1"/>
  <xr:revisionPtr revIDLastSave="39639" documentId="8_{21E78461-8472-4FC4-9B9A-C4551723630E}" xr6:coauthVersionLast="47" xr6:coauthVersionMax="47" xr10:uidLastSave="{A6405EBB-F13F-4599-9858-5090A2313340}"/>
  <bookViews>
    <workbookView xWindow="-60" yWindow="-60" windowWidth="15480" windowHeight="11640" firstSheet="48" activeTab="25" xr2:uid="{00000000-000D-0000-FFFF-FFFF00000000}"/>
  </bookViews>
  <sheets>
    <sheet name=" MIs" sheetId="84" state="hidden" r:id="rId1"/>
    <sheet name="OCT-26" sheetId="56" r:id="rId2"/>
    <sheet name="HO(DG)" sheetId="81" r:id="rId3"/>
    <sheet name="Khammam-1" sheetId="50" r:id="rId4"/>
    <sheet name="Khammam-2" sheetId="47" r:id="rId5"/>
    <sheet name="Khammam-4" sheetId="109" r:id="rId6"/>
    <sheet name=" Khammam-5" sheetId="110" r:id="rId7"/>
    <sheet name=" Khammam-6" sheetId="113" r:id="rId8"/>
    <sheet name=" Khammam&amp;Cash" sheetId="95" r:id="rId9"/>
    <sheet name="Jadcherla-4" sheetId="78" r:id="rId10"/>
    <sheet name=" Sangareddy-2" sheetId="89" r:id="rId11"/>
    <sheet name=" Sangareddy-3" sheetId="93" r:id="rId12"/>
    <sheet name="Narayankhed" sheetId="98" r:id="rId13"/>
    <sheet name="Dindi" sheetId="58" r:id="rId14"/>
    <sheet name="Multiple bunks(KKD)" sheetId="65" r:id="rId15"/>
    <sheet name=" Pitapram(KKD)" sheetId="105" r:id="rId16"/>
    <sheet name="Yeleshwaram(KKD)" sheetId="104" r:id="rId17"/>
    <sheet name="Amalapuram(KKD)" sheetId="106" r:id="rId18"/>
    <sheet name=" Solasa Krishna OIl" sheetId="107" r:id="rId19"/>
    <sheet name="Sri Venkateshwara Services" sheetId="108" r:id="rId20"/>
    <sheet name="Raja Filling Station" sheetId="111" r:id="rId21"/>
    <sheet name="Madana palli" sheetId="71" r:id="rId22"/>
    <sheet name="Kadur" sheetId="7" r:id="rId23"/>
    <sheet name="YG Gudda" sheetId="62" r:id="rId24"/>
    <sheet name=" YG Gudda-2" sheetId="103" r:id="rId25"/>
    <sheet name="Hosadurga -2" sheetId="52" r:id="rId26"/>
    <sheet name="Hiriyur(VJNL)" sheetId="3" r:id="rId27"/>
    <sheet name="Malebenur(KUWSDB)" sheetId="16" r:id="rId28"/>
    <sheet name="Molakamuru" sheetId="63" r:id="rId29"/>
    <sheet name="Chellakere -1" sheetId="68" r:id="rId30"/>
    <sheet name=" Chellakere-PKG-9" sheetId="73" r:id="rId31"/>
    <sheet name=" Chennagiri" sheetId="74" r:id="rId32"/>
    <sheet name="Khanapur" sheetId="24" r:id="rId33"/>
    <sheet name="Munavali-2" sheetId="80" r:id="rId34"/>
    <sheet name=" Munavali" sheetId="99" r:id="rId35"/>
    <sheet name="Ugar,Khagwad,Kudichi" sheetId="11" r:id="rId36"/>
    <sheet name="shedbal" sheetId="101" r:id="rId37"/>
    <sheet name="Kabbur" sheetId="40" r:id="rId38"/>
    <sheet name="kumta" sheetId="25" r:id="rId39"/>
    <sheet name="Jalgoan-2" sheetId="85" r:id="rId40"/>
    <sheet name="MKBD" sheetId="14" r:id="rId41"/>
    <sheet name=" Haveri-2" sheetId="75" r:id="rId42"/>
    <sheet name=" Guttal-2" sheetId="79" r:id="rId43"/>
    <sheet name="Rattihali-2" sheetId="76" r:id="rId44"/>
    <sheet name="Gajendragada" sheetId="12" r:id="rId45"/>
    <sheet name="Gokak Dharwad PKG 3" sheetId="41" r:id="rId46"/>
    <sheet name="Ankalgi" sheetId="60" r:id="rId47"/>
    <sheet name=" TR Associates" sheetId="83" r:id="rId48"/>
    <sheet name="SHRI DESHPANDE" sheetId="100" r:id="rId49"/>
    <sheet name=" Shankeshwar" sheetId="57" r:id="rId50"/>
    <sheet name=" Talikote" sheetId="26" r:id="rId51"/>
    <sheet name="Chadchan" sheetId="9" r:id="rId52"/>
    <sheet name="Sindagi" sheetId="33" r:id="rId53"/>
    <sheet name="Muddebhihal-2" sheetId="69" r:id="rId54"/>
    <sheet name="Alemela" sheetId="35" r:id="rId55"/>
    <sheet name="Nalatwad" sheetId="51" r:id="rId56"/>
    <sheet name="Srirangapatna" sheetId="19" r:id="rId57"/>
    <sheet name="BPCL Oct-26" sheetId="44" r:id="rId58"/>
    <sheet name=" HPCL Oct-26" sheetId="45" r:id="rId59"/>
    <sheet name="Sheet1" sheetId="86" r:id="rId60"/>
  </sheets>
  <definedNames>
    <definedName name="_xlnm._FilterDatabase" localSheetId="58" hidden="1">' HPCL Oct-26'!$A$1:$O$78</definedName>
    <definedName name="_xlnm._FilterDatabase" localSheetId="57" hidden="1">'BPCL Oct-26'!$A$4:$U$4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50" l="1"/>
  <c r="J17" i="50"/>
  <c r="J18" i="50"/>
  <c r="G18" i="81"/>
  <c r="G19" i="81"/>
  <c r="G20" i="81"/>
  <c r="J18" i="81"/>
  <c r="K18" i="81"/>
  <c r="K19" i="81"/>
  <c r="K20" i="81"/>
  <c r="J19" i="81"/>
  <c r="J20" i="81"/>
  <c r="J10" i="81"/>
  <c r="J11" i="81"/>
  <c r="J12" i="81"/>
  <c r="J13" i="81"/>
  <c r="J14" i="81"/>
  <c r="J15" i="81"/>
  <c r="J16" i="81"/>
  <c r="J17" i="81"/>
  <c r="K10" i="81"/>
  <c r="K11" i="81"/>
  <c r="K12" i="81"/>
  <c r="K13" i="81"/>
  <c r="K14" i="81"/>
  <c r="K15" i="81"/>
  <c r="K16" i="81"/>
  <c r="G10" i="81"/>
  <c r="G11" i="81"/>
  <c r="G12" i="81"/>
  <c r="G13" i="81"/>
  <c r="G14" i="81"/>
  <c r="G15" i="81"/>
  <c r="G16" i="81"/>
  <c r="G17" i="81"/>
  <c r="K17" i="81" s="1"/>
  <c r="J13" i="50"/>
  <c r="J14" i="50"/>
  <c r="J15" i="50"/>
  <c r="G14" i="52"/>
  <c r="J14" i="52"/>
  <c r="K14" i="52"/>
  <c r="J12" i="50"/>
  <c r="J11" i="11"/>
  <c r="J12" i="11"/>
  <c r="K12" i="11"/>
  <c r="G12" i="11"/>
  <c r="M11" i="98"/>
  <c r="K11" i="98"/>
  <c r="G11" i="98"/>
  <c r="G7" i="81"/>
  <c r="G8" i="81"/>
  <c r="G9" i="81"/>
  <c r="G6" i="81"/>
  <c r="K9" i="81"/>
  <c r="K8" i="81"/>
  <c r="K7" i="81"/>
  <c r="K6" i="81"/>
  <c r="J7" i="81"/>
  <c r="J8" i="81"/>
  <c r="J9" i="81"/>
  <c r="J6" i="81"/>
  <c r="M8" i="26"/>
  <c r="G8" i="68"/>
  <c r="G6" i="113"/>
  <c r="L35" i="113"/>
  <c r="H35" i="113"/>
  <c r="E35" i="113"/>
  <c r="J34" i="113"/>
  <c r="G34" i="113"/>
  <c r="K34" i="113" s="1"/>
  <c r="J33" i="113"/>
  <c r="G33" i="113"/>
  <c r="K33" i="113" s="1"/>
  <c r="J32" i="113"/>
  <c r="G32" i="113"/>
  <c r="K32" i="113" s="1"/>
  <c r="J31" i="113"/>
  <c r="G31" i="113"/>
  <c r="K31" i="113" s="1"/>
  <c r="J30" i="113"/>
  <c r="G30" i="113"/>
  <c r="K30" i="113" s="1"/>
  <c r="J29" i="113"/>
  <c r="G29" i="113"/>
  <c r="K29" i="113" s="1"/>
  <c r="J28" i="113"/>
  <c r="G28" i="113"/>
  <c r="K28" i="113" s="1"/>
  <c r="J27" i="113"/>
  <c r="G27" i="113"/>
  <c r="K27" i="113" s="1"/>
  <c r="J26" i="113"/>
  <c r="G26" i="113"/>
  <c r="K26" i="113" s="1"/>
  <c r="J25" i="113"/>
  <c r="G25" i="113"/>
  <c r="K25" i="113" s="1"/>
  <c r="J24" i="113"/>
  <c r="G24" i="113"/>
  <c r="K24" i="113" s="1"/>
  <c r="J23" i="113"/>
  <c r="G23" i="113"/>
  <c r="K23" i="113" s="1"/>
  <c r="J22" i="113"/>
  <c r="G22" i="113"/>
  <c r="K22" i="113" s="1"/>
  <c r="J21" i="113"/>
  <c r="G21" i="113"/>
  <c r="K21" i="113" s="1"/>
  <c r="J20" i="113"/>
  <c r="G20" i="113"/>
  <c r="K20" i="113" s="1"/>
  <c r="J19" i="113"/>
  <c r="G19" i="113"/>
  <c r="K19" i="113" s="1"/>
  <c r="J18" i="113"/>
  <c r="G18" i="113"/>
  <c r="K18" i="113" s="1"/>
  <c r="J17" i="113"/>
  <c r="G17" i="113"/>
  <c r="K17" i="113" s="1"/>
  <c r="J16" i="113"/>
  <c r="G16" i="113"/>
  <c r="K16" i="113" s="1"/>
  <c r="J15" i="113"/>
  <c r="G15" i="113"/>
  <c r="K15" i="113" s="1"/>
  <c r="J14" i="113"/>
  <c r="G14" i="113"/>
  <c r="K14" i="113" s="1"/>
  <c r="J13" i="113"/>
  <c r="G13" i="113"/>
  <c r="K13" i="113" s="1"/>
  <c r="J12" i="113"/>
  <c r="G12" i="113"/>
  <c r="K12" i="113" s="1"/>
  <c r="J11" i="113"/>
  <c r="G11" i="113"/>
  <c r="K11" i="113" s="1"/>
  <c r="J10" i="113"/>
  <c r="G10" i="113"/>
  <c r="K10" i="113" s="1"/>
  <c r="J9" i="113"/>
  <c r="G9" i="113"/>
  <c r="K9" i="113" s="1"/>
  <c r="J8" i="113"/>
  <c r="G8" i="113"/>
  <c r="K8" i="113" s="1"/>
  <c r="J7" i="113"/>
  <c r="G7" i="113"/>
  <c r="K7" i="113" s="1"/>
  <c r="J6" i="113"/>
  <c r="K6" i="113"/>
  <c r="J5" i="113"/>
  <c r="G5" i="113"/>
  <c r="K5" i="113" s="1"/>
  <c r="J4" i="113"/>
  <c r="J35" i="113" s="1"/>
  <c r="G4" i="113"/>
  <c r="E6" i="47"/>
  <c r="G7" i="108"/>
  <c r="K7" i="74"/>
  <c r="E5" i="47"/>
  <c r="L35" i="111"/>
  <c r="H35" i="111"/>
  <c r="E35" i="111"/>
  <c r="J34" i="111"/>
  <c r="G34" i="111"/>
  <c r="K34" i="111" s="1"/>
  <c r="J33" i="111"/>
  <c r="G33" i="111"/>
  <c r="K33" i="111" s="1"/>
  <c r="J32" i="111"/>
  <c r="G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G21" i="111"/>
  <c r="K21" i="111" s="1"/>
  <c r="J20" i="111"/>
  <c r="G20" i="111"/>
  <c r="K20" i="111" s="1"/>
  <c r="J19" i="111"/>
  <c r="G19" i="111"/>
  <c r="K19" i="111" s="1"/>
  <c r="J18" i="111"/>
  <c r="G18" i="111"/>
  <c r="K18" i="111" s="1"/>
  <c r="J17" i="111"/>
  <c r="G17" i="111"/>
  <c r="K17" i="111" s="1"/>
  <c r="J16" i="111"/>
  <c r="G16" i="111"/>
  <c r="K16" i="111" s="1"/>
  <c r="J15" i="111"/>
  <c r="G15" i="111"/>
  <c r="K15" i="111" s="1"/>
  <c r="J14" i="111"/>
  <c r="G14" i="111"/>
  <c r="K14" i="111" s="1"/>
  <c r="J13" i="111"/>
  <c r="G13" i="111"/>
  <c r="K13" i="111" s="1"/>
  <c r="J12" i="111"/>
  <c r="G12" i="111"/>
  <c r="K12" i="111" s="1"/>
  <c r="J11" i="111"/>
  <c r="G11" i="111"/>
  <c r="K11" i="111" s="1"/>
  <c r="J10" i="111"/>
  <c r="G10" i="111"/>
  <c r="K10" i="111" s="1"/>
  <c r="J9" i="111"/>
  <c r="G9" i="111"/>
  <c r="K9" i="111" s="1"/>
  <c r="J8" i="111"/>
  <c r="G8" i="111"/>
  <c r="K8" i="111" s="1"/>
  <c r="J7" i="111"/>
  <c r="G7" i="111"/>
  <c r="K7" i="111" s="1"/>
  <c r="J6" i="111"/>
  <c r="G6" i="111"/>
  <c r="K6" i="111" s="1"/>
  <c r="J5" i="111"/>
  <c r="G5" i="111"/>
  <c r="K5" i="111" s="1"/>
  <c r="J4" i="111"/>
  <c r="J35" i="111" s="1"/>
  <c r="G4" i="111"/>
  <c r="K4" i="45"/>
  <c r="M5" i="44"/>
  <c r="M4" i="44"/>
  <c r="M6" i="44"/>
  <c r="K4" i="44"/>
  <c r="J4" i="44"/>
  <c r="G4" i="44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J27" i="57"/>
  <c r="J5" i="79"/>
  <c r="J6" i="79"/>
  <c r="J7" i="79"/>
  <c r="J8" i="79"/>
  <c r="J9" i="79"/>
  <c r="J10" i="79"/>
  <c r="J11" i="79"/>
  <c r="J12" i="79"/>
  <c r="J13" i="79"/>
  <c r="J14" i="79"/>
  <c r="J15" i="79"/>
  <c r="J16" i="79"/>
  <c r="J17" i="79"/>
  <c r="J18" i="79"/>
  <c r="J19" i="79"/>
  <c r="J20" i="79"/>
  <c r="J21" i="79"/>
  <c r="J22" i="79"/>
  <c r="J23" i="79"/>
  <c r="J24" i="79"/>
  <c r="J25" i="79"/>
  <c r="J26" i="79"/>
  <c r="J27" i="79"/>
  <c r="J28" i="79"/>
  <c r="J29" i="79"/>
  <c r="J30" i="79"/>
  <c r="J31" i="79"/>
  <c r="J32" i="79"/>
  <c r="M3" i="40"/>
  <c r="M4" i="40" s="1"/>
  <c r="M5" i="40" s="1"/>
  <c r="M6" i="40" s="1"/>
  <c r="M7" i="40" s="1"/>
  <c r="M8" i="40" s="1"/>
  <c r="M9" i="40" s="1"/>
  <c r="M10" i="40" s="1"/>
  <c r="M11" i="40" s="1"/>
  <c r="G5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8" i="63"/>
  <c r="G19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14" i="3"/>
  <c r="K4" i="3"/>
  <c r="J4" i="3"/>
  <c r="E35" i="52"/>
  <c r="G35" i="103"/>
  <c r="G4" i="103"/>
  <c r="J4" i="103"/>
  <c r="K5" i="103"/>
  <c r="K7" i="103"/>
  <c r="K9" i="103"/>
  <c r="K11" i="103"/>
  <c r="K12" i="103"/>
  <c r="K13" i="103"/>
  <c r="K14" i="103"/>
  <c r="K15" i="103"/>
  <c r="K16" i="103"/>
  <c r="K17" i="103"/>
  <c r="K18" i="103"/>
  <c r="K19" i="103"/>
  <c r="K20" i="103"/>
  <c r="K21" i="103"/>
  <c r="K22" i="103"/>
  <c r="K23" i="103"/>
  <c r="K24" i="103"/>
  <c r="K25" i="103"/>
  <c r="K26" i="103"/>
  <c r="K27" i="103"/>
  <c r="K28" i="103"/>
  <c r="K29" i="103"/>
  <c r="K30" i="103"/>
  <c r="K31" i="103"/>
  <c r="K32" i="103"/>
  <c r="K33" i="103"/>
  <c r="K34" i="103"/>
  <c r="K35" i="103"/>
  <c r="K36" i="103"/>
  <c r="K37" i="103"/>
  <c r="K38" i="103"/>
  <c r="K4" i="103"/>
  <c r="G4" i="62"/>
  <c r="L4" i="65"/>
  <c r="K43" i="65"/>
  <c r="K4" i="65"/>
  <c r="J5" i="65"/>
  <c r="J6" i="65"/>
  <c r="J7" i="65"/>
  <c r="J8" i="65"/>
  <c r="J9" i="65"/>
  <c r="J10" i="65"/>
  <c r="J11" i="65"/>
  <c r="J12" i="65"/>
  <c r="J13" i="65"/>
  <c r="J14" i="65"/>
  <c r="J15" i="65"/>
  <c r="J16" i="65"/>
  <c r="J17" i="65"/>
  <c r="J18" i="65"/>
  <c r="J19" i="65"/>
  <c r="J20" i="65"/>
  <c r="J21" i="65"/>
  <c r="J22" i="65"/>
  <c r="J23" i="65"/>
  <c r="J24" i="65"/>
  <c r="J25" i="65"/>
  <c r="J26" i="65"/>
  <c r="J27" i="65"/>
  <c r="J28" i="65"/>
  <c r="J29" i="65"/>
  <c r="J30" i="65"/>
  <c r="J31" i="65"/>
  <c r="J32" i="65"/>
  <c r="J33" i="65"/>
  <c r="J34" i="65"/>
  <c r="J35" i="65"/>
  <c r="J36" i="65"/>
  <c r="J37" i="65"/>
  <c r="J38" i="65"/>
  <c r="J39" i="65"/>
  <c r="J40" i="65"/>
  <c r="J41" i="65"/>
  <c r="J42" i="65"/>
  <c r="J43" i="65"/>
  <c r="J44" i="65"/>
  <c r="J45" i="65"/>
  <c r="J46" i="65"/>
  <c r="J47" i="65"/>
  <c r="J48" i="65"/>
  <c r="J49" i="65"/>
  <c r="J50" i="65"/>
  <c r="J51" i="65"/>
  <c r="J52" i="65"/>
  <c r="J53" i="65"/>
  <c r="J54" i="65"/>
  <c r="J55" i="65"/>
  <c r="J56" i="65"/>
  <c r="J57" i="65"/>
  <c r="J58" i="65"/>
  <c r="J59" i="65"/>
  <c r="J60" i="65"/>
  <c r="J61" i="65"/>
  <c r="J62" i="65"/>
  <c r="J63" i="65"/>
  <c r="J64" i="65"/>
  <c r="J65" i="65"/>
  <c r="J66" i="65"/>
  <c r="J4" i="65"/>
  <c r="G5" i="65"/>
  <c r="G6" i="65"/>
  <c r="G7" i="65"/>
  <c r="G8" i="65"/>
  <c r="G9" i="65"/>
  <c r="G10" i="65"/>
  <c r="G11" i="65"/>
  <c r="G12" i="65"/>
  <c r="G13" i="65"/>
  <c r="G14" i="65"/>
  <c r="G15" i="65"/>
  <c r="G16" i="65"/>
  <c r="G17" i="65"/>
  <c r="G18" i="65"/>
  <c r="G19" i="65"/>
  <c r="G20" i="65"/>
  <c r="G21" i="65"/>
  <c r="G22" i="65"/>
  <c r="G23" i="65"/>
  <c r="G24" i="65"/>
  <c r="G25" i="65"/>
  <c r="G26" i="65"/>
  <c r="G27" i="65"/>
  <c r="G28" i="65"/>
  <c r="G29" i="65"/>
  <c r="G30" i="65"/>
  <c r="G4" i="65"/>
  <c r="K35" i="110"/>
  <c r="J35" i="110"/>
  <c r="H35" i="110"/>
  <c r="G35" i="110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K19" i="65"/>
  <c r="K18" i="65"/>
  <c r="K17" i="65"/>
  <c r="K16" i="65"/>
  <c r="K15" i="65"/>
  <c r="K14" i="65"/>
  <c r="K13" i="65"/>
  <c r="K12" i="65"/>
  <c r="K11" i="65"/>
  <c r="K10" i="65"/>
  <c r="K9" i="65"/>
  <c r="K8" i="65"/>
  <c r="K7" i="65"/>
  <c r="K6" i="65"/>
  <c r="K5" i="65"/>
  <c r="J31" i="103"/>
  <c r="J28" i="103"/>
  <c r="G28" i="103"/>
  <c r="J26" i="73"/>
  <c r="J27" i="73"/>
  <c r="J28" i="73"/>
  <c r="J29" i="73"/>
  <c r="J30" i="73"/>
  <c r="K28" i="73"/>
  <c r="G28" i="16"/>
  <c r="K28" i="16" s="1"/>
  <c r="G26" i="73"/>
  <c r="K26" i="73" s="1"/>
  <c r="G25" i="47"/>
  <c r="K25" i="47" s="1"/>
  <c r="J16" i="68"/>
  <c r="J17" i="68"/>
  <c r="J18" i="68"/>
  <c r="J19" i="68"/>
  <c r="J20" i="68"/>
  <c r="J21" i="68"/>
  <c r="J22" i="68"/>
  <c r="J23" i="68"/>
  <c r="J24" i="68"/>
  <c r="G16" i="68"/>
  <c r="K16" i="68" s="1"/>
  <c r="G17" i="68"/>
  <c r="K17" i="68" s="1"/>
  <c r="G18" i="68"/>
  <c r="K18" i="68" s="1"/>
  <c r="G19" i="68"/>
  <c r="K19" i="68" s="1"/>
  <c r="G20" i="68"/>
  <c r="K20" i="68" s="1"/>
  <c r="G21" i="68"/>
  <c r="K21" i="68" s="1"/>
  <c r="G22" i="68"/>
  <c r="K22" i="68" s="1"/>
  <c r="G23" i="68"/>
  <c r="K23" i="68" s="1"/>
  <c r="G24" i="68"/>
  <c r="K24" i="68" s="1"/>
  <c r="G27" i="26"/>
  <c r="J20" i="69"/>
  <c r="J19" i="69"/>
  <c r="J18" i="69"/>
  <c r="J20" i="26"/>
  <c r="J21" i="26"/>
  <c r="J13" i="62"/>
  <c r="J14" i="62"/>
  <c r="J15" i="62"/>
  <c r="J16" i="62"/>
  <c r="G10" i="100"/>
  <c r="I22" i="56"/>
  <c r="I21" i="56"/>
  <c r="I41" i="56"/>
  <c r="I48" i="56"/>
  <c r="I47" i="56"/>
  <c r="I46" i="56"/>
  <c r="L35" i="3"/>
  <c r="I27" i="56"/>
  <c r="G5" i="69"/>
  <c r="J18" i="56"/>
  <c r="H18" i="56"/>
  <c r="G18" i="56"/>
  <c r="F18" i="56"/>
  <c r="E18" i="56"/>
  <c r="D18" i="56"/>
  <c r="P36" i="9"/>
  <c r="G5" i="89"/>
  <c r="G6" i="89"/>
  <c r="G7" i="89"/>
  <c r="G8" i="89"/>
  <c r="G9" i="89"/>
  <c r="H68" i="65"/>
  <c r="G68" i="65"/>
  <c r="J68" i="65"/>
  <c r="E68" i="65"/>
  <c r="G54" i="65"/>
  <c r="K54" i="65" s="1"/>
  <c r="G55" i="65"/>
  <c r="K55" i="65" s="1"/>
  <c r="G56" i="65"/>
  <c r="K56" i="65" s="1"/>
  <c r="G57" i="65"/>
  <c r="K57" i="65" s="1"/>
  <c r="G58" i="65"/>
  <c r="K58" i="65" s="1"/>
  <c r="G59" i="65"/>
  <c r="K59" i="65" s="1"/>
  <c r="G60" i="65"/>
  <c r="K60" i="65" s="1"/>
  <c r="G61" i="65"/>
  <c r="K61" i="65" s="1"/>
  <c r="G62" i="65"/>
  <c r="K62" i="65" s="1"/>
  <c r="G63" i="65"/>
  <c r="K63" i="65" s="1"/>
  <c r="G64" i="65"/>
  <c r="K64" i="65" s="1"/>
  <c r="G65" i="65"/>
  <c r="K65" i="65" s="1"/>
  <c r="G66" i="65"/>
  <c r="K66" i="65" s="1"/>
  <c r="G36" i="65"/>
  <c r="G37" i="65"/>
  <c r="G38" i="65"/>
  <c r="G39" i="65"/>
  <c r="G40" i="65"/>
  <c r="G41" i="65"/>
  <c r="G42" i="65"/>
  <c r="G43" i="65"/>
  <c r="G44" i="65"/>
  <c r="G45" i="65"/>
  <c r="G46" i="65"/>
  <c r="G47" i="65"/>
  <c r="G48" i="65"/>
  <c r="G49" i="65"/>
  <c r="G50" i="65"/>
  <c r="K50" i="65" s="1"/>
  <c r="G51" i="65"/>
  <c r="K51" i="65" s="1"/>
  <c r="G52" i="65"/>
  <c r="K52" i="65" s="1"/>
  <c r="G53" i="65"/>
  <c r="K53" i="65" s="1"/>
  <c r="J5" i="103"/>
  <c r="J6" i="103"/>
  <c r="J7" i="103"/>
  <c r="J8" i="103"/>
  <c r="J9" i="103"/>
  <c r="J10" i="103"/>
  <c r="J11" i="103"/>
  <c r="J12" i="103"/>
  <c r="J13" i="103"/>
  <c r="J14" i="103"/>
  <c r="J15" i="103"/>
  <c r="J17" i="80"/>
  <c r="G31" i="101"/>
  <c r="G32" i="101"/>
  <c r="K32" i="101" s="1"/>
  <c r="J21" i="101"/>
  <c r="J22" i="101"/>
  <c r="J23" i="101"/>
  <c r="G34" i="103"/>
  <c r="J34" i="103"/>
  <c r="E48" i="26"/>
  <c r="G30" i="108"/>
  <c r="G29" i="107"/>
  <c r="G30" i="107"/>
  <c r="G5" i="45"/>
  <c r="J5" i="45"/>
  <c r="J6" i="45"/>
  <c r="J7" i="45"/>
  <c r="J8" i="45"/>
  <c r="J9" i="45"/>
  <c r="J29" i="106"/>
  <c r="G29" i="106"/>
  <c r="G30" i="106"/>
  <c r="J22" i="45"/>
  <c r="J23" i="45"/>
  <c r="J24" i="45"/>
  <c r="J25" i="45"/>
  <c r="G24" i="45"/>
  <c r="K24" i="45" s="1"/>
  <c r="G7" i="45"/>
  <c r="K7" i="45" s="1"/>
  <c r="G55" i="45"/>
  <c r="J49" i="45"/>
  <c r="J50" i="45"/>
  <c r="J51" i="45"/>
  <c r="J52" i="45"/>
  <c r="J53" i="45"/>
  <c r="J54" i="45"/>
  <c r="J55" i="45"/>
  <c r="G54" i="45"/>
  <c r="G53" i="45"/>
  <c r="G52" i="45"/>
  <c r="G51" i="45"/>
  <c r="G50" i="45"/>
  <c r="J44" i="45"/>
  <c r="J45" i="45"/>
  <c r="J46" i="45"/>
  <c r="J47" i="45"/>
  <c r="J48" i="45"/>
  <c r="G49" i="45"/>
  <c r="G47" i="45"/>
  <c r="G48" i="45"/>
  <c r="G46" i="45"/>
  <c r="G4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G44" i="45"/>
  <c r="G43" i="45"/>
  <c r="G42" i="45"/>
  <c r="G41" i="45"/>
  <c r="G40" i="45"/>
  <c r="G39" i="45"/>
  <c r="G38" i="45"/>
  <c r="G37" i="45"/>
  <c r="G36" i="45"/>
  <c r="G35" i="45"/>
  <c r="G34" i="45"/>
  <c r="G33" i="45"/>
  <c r="G32" i="45"/>
  <c r="G31" i="45"/>
  <c r="G30" i="45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9" i="44"/>
  <c r="J39" i="44"/>
  <c r="K39" i="44"/>
  <c r="G97" i="44"/>
  <c r="G98" i="44"/>
  <c r="G99" i="44"/>
  <c r="J95" i="44"/>
  <c r="J96" i="44"/>
  <c r="J97" i="44"/>
  <c r="G95" i="44"/>
  <c r="G96" i="44"/>
  <c r="J56" i="44"/>
  <c r="I5" i="56"/>
  <c r="I4" i="56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L35" i="110"/>
  <c r="J5" i="56" s="1"/>
  <c r="F5" i="56"/>
  <c r="E35" i="110"/>
  <c r="D5" i="56" s="1"/>
  <c r="J34" i="110"/>
  <c r="G34" i="110"/>
  <c r="K34" i="110" s="1"/>
  <c r="J33" i="110"/>
  <c r="G33" i="110"/>
  <c r="K33" i="110" s="1"/>
  <c r="J32" i="110"/>
  <c r="G32" i="110"/>
  <c r="K32" i="110" s="1"/>
  <c r="J31" i="110"/>
  <c r="G31" i="110"/>
  <c r="K31" i="110" s="1"/>
  <c r="J30" i="110"/>
  <c r="G30" i="110"/>
  <c r="K30" i="110" s="1"/>
  <c r="J29" i="110"/>
  <c r="G29" i="110"/>
  <c r="K29" i="110" s="1"/>
  <c r="J28" i="110"/>
  <c r="G28" i="110"/>
  <c r="K28" i="110" s="1"/>
  <c r="J27" i="110"/>
  <c r="G27" i="110"/>
  <c r="K27" i="110" s="1"/>
  <c r="J26" i="110"/>
  <c r="G26" i="110"/>
  <c r="K26" i="110" s="1"/>
  <c r="J25" i="110"/>
  <c r="G25" i="110"/>
  <c r="K25" i="110" s="1"/>
  <c r="J24" i="110"/>
  <c r="G24" i="110"/>
  <c r="K24" i="110" s="1"/>
  <c r="J23" i="110"/>
  <c r="G23" i="110"/>
  <c r="K23" i="110" s="1"/>
  <c r="J22" i="110"/>
  <c r="G22" i="110"/>
  <c r="K22" i="110" s="1"/>
  <c r="J21" i="110"/>
  <c r="G21" i="110"/>
  <c r="K21" i="110" s="1"/>
  <c r="J20" i="110"/>
  <c r="G20" i="110"/>
  <c r="K20" i="110" s="1"/>
  <c r="J19" i="110"/>
  <c r="G19" i="110"/>
  <c r="K19" i="110" s="1"/>
  <c r="J18" i="110"/>
  <c r="G18" i="110"/>
  <c r="K18" i="110" s="1"/>
  <c r="J17" i="110"/>
  <c r="G17" i="110"/>
  <c r="K17" i="110" s="1"/>
  <c r="J16" i="110"/>
  <c r="G16" i="110"/>
  <c r="K16" i="110" s="1"/>
  <c r="J15" i="110"/>
  <c r="G15" i="110"/>
  <c r="K15" i="110" s="1"/>
  <c r="J14" i="110"/>
  <c r="G14" i="110"/>
  <c r="K14" i="110" s="1"/>
  <c r="J13" i="110"/>
  <c r="G13" i="110"/>
  <c r="K13" i="110" s="1"/>
  <c r="J12" i="110"/>
  <c r="G12" i="110"/>
  <c r="K12" i="110" s="1"/>
  <c r="J11" i="110"/>
  <c r="G11" i="110"/>
  <c r="K11" i="110" s="1"/>
  <c r="J10" i="110"/>
  <c r="G10" i="110"/>
  <c r="K10" i="110" s="1"/>
  <c r="J9" i="110"/>
  <c r="G9" i="110"/>
  <c r="K9" i="110" s="1"/>
  <c r="J8" i="110"/>
  <c r="G8" i="110"/>
  <c r="K8" i="110" s="1"/>
  <c r="J7" i="110"/>
  <c r="G7" i="110"/>
  <c r="K7" i="110" s="1"/>
  <c r="J6" i="110"/>
  <c r="G6" i="110"/>
  <c r="K6" i="110" s="1"/>
  <c r="J5" i="110"/>
  <c r="G5" i="110"/>
  <c r="K5" i="110" s="1"/>
  <c r="J4" i="110"/>
  <c r="G5" i="56" s="1"/>
  <c r="G4" i="110"/>
  <c r="L35" i="109"/>
  <c r="J4" i="56" s="1"/>
  <c r="H35" i="109"/>
  <c r="F4" i="56" s="1"/>
  <c r="E35" i="109"/>
  <c r="D4" i="56" s="1"/>
  <c r="J34" i="109"/>
  <c r="G34" i="109"/>
  <c r="K34" i="109" s="1"/>
  <c r="J33" i="109"/>
  <c r="G33" i="109"/>
  <c r="K33" i="109" s="1"/>
  <c r="J32" i="109"/>
  <c r="G32" i="109"/>
  <c r="K32" i="109" s="1"/>
  <c r="J31" i="109"/>
  <c r="G31" i="109"/>
  <c r="K31" i="109" s="1"/>
  <c r="J30" i="109"/>
  <c r="G30" i="109"/>
  <c r="K30" i="109" s="1"/>
  <c r="J29" i="109"/>
  <c r="G29" i="109"/>
  <c r="K29" i="109" s="1"/>
  <c r="J28" i="109"/>
  <c r="G28" i="109"/>
  <c r="K28" i="109" s="1"/>
  <c r="J27" i="109"/>
  <c r="G27" i="109"/>
  <c r="K27" i="109" s="1"/>
  <c r="J26" i="109"/>
  <c r="G26" i="109"/>
  <c r="K26" i="109" s="1"/>
  <c r="J25" i="109"/>
  <c r="G25" i="109"/>
  <c r="K25" i="109" s="1"/>
  <c r="J24" i="109"/>
  <c r="G24" i="109"/>
  <c r="K24" i="109" s="1"/>
  <c r="J23" i="109"/>
  <c r="G23" i="109"/>
  <c r="K23" i="109" s="1"/>
  <c r="J22" i="109"/>
  <c r="G22" i="109"/>
  <c r="K22" i="109" s="1"/>
  <c r="J21" i="109"/>
  <c r="G21" i="109"/>
  <c r="K21" i="109" s="1"/>
  <c r="J20" i="109"/>
  <c r="G20" i="109"/>
  <c r="K20" i="109" s="1"/>
  <c r="J19" i="109"/>
  <c r="G19" i="109"/>
  <c r="K19" i="109" s="1"/>
  <c r="J18" i="109"/>
  <c r="G18" i="109"/>
  <c r="K18" i="109" s="1"/>
  <c r="J17" i="109"/>
  <c r="G17" i="109"/>
  <c r="K17" i="109" s="1"/>
  <c r="J16" i="109"/>
  <c r="G16" i="109"/>
  <c r="K16" i="109" s="1"/>
  <c r="J15" i="109"/>
  <c r="G15" i="109"/>
  <c r="K15" i="109" s="1"/>
  <c r="J14" i="109"/>
  <c r="G14" i="109"/>
  <c r="K14" i="109" s="1"/>
  <c r="J13" i="109"/>
  <c r="G13" i="109"/>
  <c r="K13" i="109" s="1"/>
  <c r="J12" i="109"/>
  <c r="G12" i="109"/>
  <c r="K12" i="109" s="1"/>
  <c r="J11" i="109"/>
  <c r="G11" i="109"/>
  <c r="K11" i="109" s="1"/>
  <c r="J10" i="109"/>
  <c r="G10" i="109"/>
  <c r="K10" i="109" s="1"/>
  <c r="J9" i="109"/>
  <c r="G9" i="109"/>
  <c r="K9" i="109" s="1"/>
  <c r="J8" i="109"/>
  <c r="G8" i="109"/>
  <c r="K8" i="109" s="1"/>
  <c r="J7" i="109"/>
  <c r="G7" i="109"/>
  <c r="K7" i="109" s="1"/>
  <c r="J6" i="109"/>
  <c r="G6" i="109"/>
  <c r="K6" i="109" s="1"/>
  <c r="J5" i="109"/>
  <c r="J35" i="109" s="1"/>
  <c r="G5" i="109"/>
  <c r="J4" i="109"/>
  <c r="G4" i="56" s="1"/>
  <c r="G4" i="109"/>
  <c r="G16" i="80"/>
  <c r="G17" i="80"/>
  <c r="K17" i="80" s="1"/>
  <c r="G18" i="80"/>
  <c r="G19" i="80"/>
  <c r="G20" i="80"/>
  <c r="G21" i="80"/>
  <c r="G22" i="80"/>
  <c r="G23" i="80"/>
  <c r="K23" i="80" s="1"/>
  <c r="G24" i="80"/>
  <c r="G25" i="80"/>
  <c r="G26" i="80"/>
  <c r="G21" i="9"/>
  <c r="G22" i="9"/>
  <c r="G22" i="41"/>
  <c r="J18" i="41"/>
  <c r="J19" i="41"/>
  <c r="J20" i="41"/>
  <c r="J21" i="41"/>
  <c r="J22" i="41"/>
  <c r="J23" i="41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10" i="14"/>
  <c r="J25" i="14"/>
  <c r="J26" i="14"/>
  <c r="J27" i="14"/>
  <c r="J20" i="83"/>
  <c r="J21" i="83"/>
  <c r="G20" i="83"/>
  <c r="G21" i="83"/>
  <c r="J21" i="100"/>
  <c r="G21" i="100"/>
  <c r="I13" i="56"/>
  <c r="H37" i="108"/>
  <c r="F13" i="56" s="1"/>
  <c r="E37" i="108"/>
  <c r="D13" i="56" s="1"/>
  <c r="J36" i="108"/>
  <c r="G36" i="108"/>
  <c r="K36" i="108" s="1"/>
  <c r="J35" i="108"/>
  <c r="G35" i="108"/>
  <c r="K35" i="108" s="1"/>
  <c r="J34" i="108"/>
  <c r="G34" i="108"/>
  <c r="K34" i="108" s="1"/>
  <c r="J33" i="108"/>
  <c r="G33" i="108"/>
  <c r="K33" i="108" s="1"/>
  <c r="J32" i="108"/>
  <c r="G32" i="108"/>
  <c r="K32" i="108" s="1"/>
  <c r="J31" i="108"/>
  <c r="G31" i="108"/>
  <c r="K31" i="108" s="1"/>
  <c r="J30" i="108"/>
  <c r="K30" i="108" s="1"/>
  <c r="J29" i="108"/>
  <c r="G29" i="108"/>
  <c r="K29" i="108" s="1"/>
  <c r="J28" i="108"/>
  <c r="G28" i="108"/>
  <c r="K28" i="108" s="1"/>
  <c r="J27" i="108"/>
  <c r="G27" i="108"/>
  <c r="K27" i="108" s="1"/>
  <c r="J26" i="108"/>
  <c r="G26" i="108"/>
  <c r="K26" i="108" s="1"/>
  <c r="J25" i="108"/>
  <c r="G25" i="108"/>
  <c r="K25" i="108" s="1"/>
  <c r="J24" i="108"/>
  <c r="G24" i="108"/>
  <c r="K24" i="108" s="1"/>
  <c r="J23" i="108"/>
  <c r="G23" i="108"/>
  <c r="K23" i="108" s="1"/>
  <c r="J22" i="108"/>
  <c r="G22" i="108"/>
  <c r="K22" i="108" s="1"/>
  <c r="L37" i="108" s="1"/>
  <c r="J13" i="56" s="1"/>
  <c r="J21" i="108"/>
  <c r="G21" i="108"/>
  <c r="K21" i="108" s="1"/>
  <c r="J20" i="108"/>
  <c r="G20" i="108"/>
  <c r="K20" i="108" s="1"/>
  <c r="J19" i="108"/>
  <c r="G19" i="108"/>
  <c r="K19" i="108" s="1"/>
  <c r="J18" i="108"/>
  <c r="G18" i="108"/>
  <c r="K18" i="108" s="1"/>
  <c r="J17" i="108"/>
  <c r="G17" i="108"/>
  <c r="K17" i="108" s="1"/>
  <c r="J16" i="108"/>
  <c r="G16" i="108"/>
  <c r="K16" i="108" s="1"/>
  <c r="J15" i="108"/>
  <c r="G15" i="108"/>
  <c r="K15" i="108" s="1"/>
  <c r="J14" i="108"/>
  <c r="G14" i="108"/>
  <c r="K14" i="108" s="1"/>
  <c r="J13" i="108"/>
  <c r="G13" i="108"/>
  <c r="K13" i="108" s="1"/>
  <c r="J12" i="108"/>
  <c r="K12" i="108"/>
  <c r="J11" i="108"/>
  <c r="G11" i="108"/>
  <c r="K11" i="108" s="1"/>
  <c r="J10" i="108"/>
  <c r="G10" i="108"/>
  <c r="K10" i="108" s="1"/>
  <c r="J9" i="108"/>
  <c r="G9" i="108"/>
  <c r="K9" i="108" s="1"/>
  <c r="J8" i="108"/>
  <c r="G8" i="108"/>
  <c r="K8" i="108" s="1"/>
  <c r="J7" i="108"/>
  <c r="K7" i="108"/>
  <c r="J6" i="108"/>
  <c r="G6" i="108"/>
  <c r="K6" i="108" s="1"/>
  <c r="J5" i="108"/>
  <c r="G5" i="108"/>
  <c r="K5" i="108" s="1"/>
  <c r="J4" i="108"/>
  <c r="J37" i="108" s="1"/>
  <c r="G13" i="56" s="1"/>
  <c r="G4" i="108"/>
  <c r="H35" i="79"/>
  <c r="G17" i="100"/>
  <c r="G18" i="100"/>
  <c r="G21" i="75"/>
  <c r="G15" i="9"/>
  <c r="G16" i="9"/>
  <c r="O3" i="50"/>
  <c r="K49" i="65"/>
  <c r="L49" i="65" s="1"/>
  <c r="K48" i="65"/>
  <c r="L48" i="65" s="1"/>
  <c r="K47" i="65"/>
  <c r="L47" i="65" s="1"/>
  <c r="K46" i="65"/>
  <c r="L46" i="65" s="1"/>
  <c r="K45" i="65"/>
  <c r="L45" i="65" s="1"/>
  <c r="K44" i="65"/>
  <c r="L44" i="65" s="1"/>
  <c r="L43" i="65"/>
  <c r="K42" i="65"/>
  <c r="L42" i="65" s="1"/>
  <c r="K41" i="65"/>
  <c r="L41" i="65" s="1"/>
  <c r="K40" i="65"/>
  <c r="L40" i="65" s="1"/>
  <c r="K39" i="65"/>
  <c r="L39" i="65" s="1"/>
  <c r="K38" i="65"/>
  <c r="L38" i="65" s="1"/>
  <c r="K37" i="65"/>
  <c r="L37" i="65" s="1"/>
  <c r="K36" i="65"/>
  <c r="L35" i="65"/>
  <c r="L34" i="65"/>
  <c r="L33" i="65"/>
  <c r="L32" i="65"/>
  <c r="L31" i="65"/>
  <c r="L30" i="65"/>
  <c r="L29" i="65"/>
  <c r="L28" i="65"/>
  <c r="L27" i="65"/>
  <c r="L26" i="65"/>
  <c r="L25" i="65"/>
  <c r="L24" i="65"/>
  <c r="L23" i="65"/>
  <c r="L22" i="65"/>
  <c r="L21" i="65"/>
  <c r="L20" i="65"/>
  <c r="L19" i="65"/>
  <c r="L18" i="65"/>
  <c r="L17" i="65"/>
  <c r="L16" i="65"/>
  <c r="L15" i="65"/>
  <c r="L14" i="65"/>
  <c r="L13" i="65"/>
  <c r="L12" i="65"/>
  <c r="L11" i="65"/>
  <c r="L10" i="65"/>
  <c r="L9" i="65"/>
  <c r="L8" i="65"/>
  <c r="L7" i="65"/>
  <c r="L6" i="65"/>
  <c r="L5" i="65"/>
  <c r="I17" i="56"/>
  <c r="I14" i="56"/>
  <c r="I15" i="56"/>
  <c r="H37" i="107"/>
  <c r="F14" i="56" s="1"/>
  <c r="E37" i="107"/>
  <c r="D14" i="56" s="1"/>
  <c r="J36" i="107"/>
  <c r="G36" i="107"/>
  <c r="K36" i="107" s="1"/>
  <c r="J35" i="107"/>
  <c r="G35" i="107"/>
  <c r="K35" i="107" s="1"/>
  <c r="J34" i="107"/>
  <c r="G34" i="107"/>
  <c r="K34" i="107" s="1"/>
  <c r="J33" i="107"/>
  <c r="G33" i="107"/>
  <c r="K33" i="107" s="1"/>
  <c r="J32" i="107"/>
  <c r="G32" i="107"/>
  <c r="K32" i="107" s="1"/>
  <c r="J31" i="107"/>
  <c r="G31" i="107"/>
  <c r="K31" i="107" s="1"/>
  <c r="J30" i="107"/>
  <c r="K30" i="107" s="1"/>
  <c r="J29" i="107"/>
  <c r="K29" i="107"/>
  <c r="J28" i="107"/>
  <c r="G28" i="107"/>
  <c r="K28" i="107" s="1"/>
  <c r="J27" i="107"/>
  <c r="G27" i="107"/>
  <c r="K27" i="107" s="1"/>
  <c r="J26" i="107"/>
  <c r="G26" i="107"/>
  <c r="K26" i="107" s="1"/>
  <c r="J25" i="107"/>
  <c r="G25" i="107"/>
  <c r="K25" i="107" s="1"/>
  <c r="J24" i="107"/>
  <c r="G24" i="107"/>
  <c r="K24" i="107" s="1"/>
  <c r="J23" i="107"/>
  <c r="G23" i="107"/>
  <c r="K23" i="107" s="1"/>
  <c r="J22" i="107"/>
  <c r="G22" i="107"/>
  <c r="K22" i="107" s="1"/>
  <c r="J21" i="107"/>
  <c r="G21" i="107"/>
  <c r="K21" i="107" s="1"/>
  <c r="J20" i="107"/>
  <c r="G20" i="107"/>
  <c r="K20" i="107" s="1"/>
  <c r="J19" i="107"/>
  <c r="G19" i="107"/>
  <c r="K19" i="107" s="1"/>
  <c r="J18" i="107"/>
  <c r="G18" i="107"/>
  <c r="K18" i="107" s="1"/>
  <c r="J17" i="107"/>
  <c r="G17" i="107"/>
  <c r="K17" i="107" s="1"/>
  <c r="J16" i="107"/>
  <c r="G16" i="107"/>
  <c r="K16" i="107" s="1"/>
  <c r="L37" i="107" s="1"/>
  <c r="J14" i="56" s="1"/>
  <c r="J15" i="107"/>
  <c r="G15" i="107"/>
  <c r="K15" i="107" s="1"/>
  <c r="J14" i="107"/>
  <c r="G14" i="107"/>
  <c r="K14" i="107" s="1"/>
  <c r="J13" i="107"/>
  <c r="G13" i="107"/>
  <c r="K13" i="107" s="1"/>
  <c r="J12" i="107"/>
  <c r="G12" i="107"/>
  <c r="K12" i="107" s="1"/>
  <c r="J11" i="107"/>
  <c r="G11" i="107"/>
  <c r="K11" i="107" s="1"/>
  <c r="J10" i="107"/>
  <c r="G10" i="107"/>
  <c r="K10" i="107" s="1"/>
  <c r="J9" i="107"/>
  <c r="G9" i="107"/>
  <c r="K9" i="107" s="1"/>
  <c r="J8" i="107"/>
  <c r="G8" i="107"/>
  <c r="K8" i="107" s="1"/>
  <c r="J7" i="107"/>
  <c r="G7" i="107"/>
  <c r="K7" i="107" s="1"/>
  <c r="J6" i="107"/>
  <c r="G6" i="107"/>
  <c r="K6" i="107" s="1"/>
  <c r="J5" i="107"/>
  <c r="G5" i="107"/>
  <c r="K5" i="107" s="1"/>
  <c r="J4" i="107"/>
  <c r="J37" i="107" s="1"/>
  <c r="G14" i="56" s="1"/>
  <c r="G4" i="107"/>
  <c r="G11" i="9"/>
  <c r="H37" i="106"/>
  <c r="F15" i="56" s="1"/>
  <c r="E37" i="106"/>
  <c r="D15" i="56" s="1"/>
  <c r="J36" i="106"/>
  <c r="G36" i="106"/>
  <c r="K36" i="106" s="1"/>
  <c r="J35" i="106"/>
  <c r="G35" i="106"/>
  <c r="K35" i="106" s="1"/>
  <c r="J34" i="106"/>
  <c r="G34" i="106"/>
  <c r="K34" i="106" s="1"/>
  <c r="J33" i="106"/>
  <c r="G33" i="106"/>
  <c r="K33" i="106" s="1"/>
  <c r="J32" i="106"/>
  <c r="G32" i="106"/>
  <c r="K32" i="106" s="1"/>
  <c r="J31" i="106"/>
  <c r="G31" i="106"/>
  <c r="K31" i="106" s="1"/>
  <c r="J30" i="106"/>
  <c r="K30" i="106" s="1"/>
  <c r="K29" i="106"/>
  <c r="J28" i="106"/>
  <c r="G28" i="106"/>
  <c r="K28" i="106" s="1"/>
  <c r="J27" i="106"/>
  <c r="G27" i="106"/>
  <c r="K27" i="106" s="1"/>
  <c r="J26" i="106"/>
  <c r="G26" i="106"/>
  <c r="K26" i="106" s="1"/>
  <c r="J25" i="106"/>
  <c r="G25" i="106"/>
  <c r="K25" i="106" s="1"/>
  <c r="J24" i="106"/>
  <c r="G24" i="106"/>
  <c r="K24" i="106" s="1"/>
  <c r="J23" i="106"/>
  <c r="G23" i="106"/>
  <c r="K23" i="106" s="1"/>
  <c r="J22" i="106"/>
  <c r="G22" i="106"/>
  <c r="K22" i="106" s="1"/>
  <c r="J21" i="106"/>
  <c r="G21" i="106"/>
  <c r="K21" i="106" s="1"/>
  <c r="J20" i="106"/>
  <c r="G20" i="106"/>
  <c r="K20" i="106" s="1"/>
  <c r="J19" i="106"/>
  <c r="G19" i="106"/>
  <c r="K19" i="106" s="1"/>
  <c r="J18" i="106"/>
  <c r="G18" i="106"/>
  <c r="K18" i="106" s="1"/>
  <c r="J17" i="106"/>
  <c r="G17" i="106"/>
  <c r="K17" i="106" s="1"/>
  <c r="J16" i="106"/>
  <c r="G16" i="106"/>
  <c r="K16" i="106" s="1"/>
  <c r="J15" i="106"/>
  <c r="G15" i="106"/>
  <c r="K15" i="106" s="1"/>
  <c r="J14" i="106"/>
  <c r="G14" i="106"/>
  <c r="K14" i="106" s="1"/>
  <c r="J13" i="106"/>
  <c r="G13" i="106"/>
  <c r="K13" i="106" s="1"/>
  <c r="J12" i="106"/>
  <c r="G12" i="106"/>
  <c r="K12" i="106" s="1"/>
  <c r="J11" i="106"/>
  <c r="G11" i="106"/>
  <c r="K11" i="106" s="1"/>
  <c r="J10" i="106"/>
  <c r="G10" i="106"/>
  <c r="K10" i="106" s="1"/>
  <c r="J9" i="106"/>
  <c r="G9" i="106"/>
  <c r="K9" i="106" s="1"/>
  <c r="J8" i="106"/>
  <c r="G8" i="106"/>
  <c r="K8" i="106" s="1"/>
  <c r="J7" i="106"/>
  <c r="G7" i="106"/>
  <c r="K7" i="106" s="1"/>
  <c r="J6" i="106"/>
  <c r="G6" i="106"/>
  <c r="K6" i="106" s="1"/>
  <c r="J5" i="106"/>
  <c r="G5" i="106"/>
  <c r="K5" i="106" s="1"/>
  <c r="J4" i="106"/>
  <c r="J37" i="106" s="1"/>
  <c r="G15" i="56" s="1"/>
  <c r="G4" i="106"/>
  <c r="J10" i="19"/>
  <c r="J11" i="19"/>
  <c r="G9" i="62"/>
  <c r="G6" i="47"/>
  <c r="J34" i="74"/>
  <c r="G34" i="74"/>
  <c r="G5" i="104"/>
  <c r="G5" i="105"/>
  <c r="G4" i="9"/>
  <c r="J12" i="69"/>
  <c r="J13" i="69"/>
  <c r="J14" i="69"/>
  <c r="J15" i="69"/>
  <c r="J16" i="69"/>
  <c r="J17" i="69"/>
  <c r="J21" i="69"/>
  <c r="J22" i="69"/>
  <c r="J23" i="69"/>
  <c r="J24" i="69"/>
  <c r="J25" i="69"/>
  <c r="J26" i="69"/>
  <c r="J27" i="69"/>
  <c r="J28" i="69"/>
  <c r="J29" i="69"/>
  <c r="J30" i="69"/>
  <c r="G4" i="57"/>
  <c r="G5" i="103"/>
  <c r="G6" i="103"/>
  <c r="K6" i="103" s="1"/>
  <c r="G7" i="103"/>
  <c r="G8" i="103"/>
  <c r="K8" i="103" s="1"/>
  <c r="G9" i="103"/>
  <c r="G10" i="103"/>
  <c r="K10" i="103" s="1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9" i="103"/>
  <c r="G30" i="103"/>
  <c r="G31" i="103"/>
  <c r="G32" i="103"/>
  <c r="G33" i="103"/>
  <c r="G36" i="103"/>
  <c r="G37" i="103"/>
  <c r="G38" i="103"/>
  <c r="J16" i="103"/>
  <c r="J17" i="103"/>
  <c r="J18" i="103"/>
  <c r="J19" i="103"/>
  <c r="J20" i="103"/>
  <c r="J21" i="103"/>
  <c r="J22" i="103"/>
  <c r="J23" i="103"/>
  <c r="J24" i="103"/>
  <c r="J25" i="103"/>
  <c r="J26" i="103"/>
  <c r="J27" i="103"/>
  <c r="J29" i="103"/>
  <c r="J30" i="103"/>
  <c r="J32" i="103"/>
  <c r="J33" i="103"/>
  <c r="J35" i="103"/>
  <c r="J34" i="25"/>
  <c r="G34" i="100"/>
  <c r="G32" i="76"/>
  <c r="J32" i="76"/>
  <c r="K32" i="76"/>
  <c r="E37" i="76"/>
  <c r="H37" i="76"/>
  <c r="J31" i="75"/>
  <c r="G30" i="105"/>
  <c r="J28" i="78"/>
  <c r="J28" i="89"/>
  <c r="J24" i="75"/>
  <c r="J25" i="75"/>
  <c r="J26" i="75"/>
  <c r="J27" i="75"/>
  <c r="L66" i="65"/>
  <c r="L65" i="65"/>
  <c r="L64" i="65"/>
  <c r="L63" i="65"/>
  <c r="L62" i="65"/>
  <c r="L61" i="65"/>
  <c r="L60" i="65"/>
  <c r="L59" i="65"/>
  <c r="L58" i="65"/>
  <c r="L57" i="65"/>
  <c r="L56" i="65"/>
  <c r="L55" i="65"/>
  <c r="L50" i="65"/>
  <c r="L51" i="65"/>
  <c r="L52" i="65"/>
  <c r="L53" i="65"/>
  <c r="L54" i="65"/>
  <c r="I16" i="56"/>
  <c r="H37" i="105"/>
  <c r="F17" i="56" s="1"/>
  <c r="E37" i="105"/>
  <c r="D17" i="56" s="1"/>
  <c r="J36" i="105"/>
  <c r="G36" i="105"/>
  <c r="K36" i="105" s="1"/>
  <c r="J35" i="105"/>
  <c r="G35" i="105"/>
  <c r="K35" i="105" s="1"/>
  <c r="J34" i="105"/>
  <c r="G34" i="105"/>
  <c r="K34" i="105" s="1"/>
  <c r="J33" i="105"/>
  <c r="G33" i="105"/>
  <c r="K33" i="105" s="1"/>
  <c r="J32" i="105"/>
  <c r="G32" i="105"/>
  <c r="K32" i="105" s="1"/>
  <c r="J31" i="105"/>
  <c r="G31" i="105"/>
  <c r="K31" i="105" s="1"/>
  <c r="J30" i="105"/>
  <c r="K30" i="105" s="1"/>
  <c r="J29" i="105"/>
  <c r="G29" i="105"/>
  <c r="K29" i="105" s="1"/>
  <c r="J28" i="105"/>
  <c r="G28" i="105"/>
  <c r="K28" i="105" s="1"/>
  <c r="J27" i="105"/>
  <c r="G27" i="105"/>
  <c r="K27" i="105" s="1"/>
  <c r="J26" i="105"/>
  <c r="G26" i="105"/>
  <c r="K26" i="105" s="1"/>
  <c r="J25" i="105"/>
  <c r="G25" i="105"/>
  <c r="K25" i="105" s="1"/>
  <c r="J24" i="105"/>
  <c r="G24" i="105"/>
  <c r="K24" i="105" s="1"/>
  <c r="J23" i="105"/>
  <c r="G23" i="105"/>
  <c r="K23" i="105" s="1"/>
  <c r="J22" i="105"/>
  <c r="G22" i="105"/>
  <c r="K22" i="105" s="1"/>
  <c r="J21" i="105"/>
  <c r="G21" i="105"/>
  <c r="K21" i="105" s="1"/>
  <c r="J20" i="105"/>
  <c r="G20" i="105"/>
  <c r="K20" i="105" s="1"/>
  <c r="J19" i="105"/>
  <c r="G19" i="105"/>
  <c r="K19" i="105" s="1"/>
  <c r="J18" i="105"/>
  <c r="G18" i="105"/>
  <c r="K18" i="105" s="1"/>
  <c r="J17" i="105"/>
  <c r="G17" i="105"/>
  <c r="K17" i="105" s="1"/>
  <c r="J16" i="105"/>
  <c r="G16" i="105"/>
  <c r="K16" i="105" s="1"/>
  <c r="J15" i="105"/>
  <c r="G15" i="105"/>
  <c r="K15" i="105" s="1"/>
  <c r="J14" i="105"/>
  <c r="G14" i="105"/>
  <c r="K14" i="105" s="1"/>
  <c r="J13" i="105"/>
  <c r="G13" i="105"/>
  <c r="K13" i="105" s="1"/>
  <c r="J12" i="105"/>
  <c r="G12" i="105"/>
  <c r="K12" i="105" s="1"/>
  <c r="J11" i="105"/>
  <c r="G11" i="105"/>
  <c r="K11" i="105" s="1"/>
  <c r="J10" i="105"/>
  <c r="G10" i="105"/>
  <c r="K10" i="105" s="1"/>
  <c r="J9" i="105"/>
  <c r="G9" i="105"/>
  <c r="J8" i="105"/>
  <c r="G8" i="105"/>
  <c r="K8" i="105" s="1"/>
  <c r="J7" i="105"/>
  <c r="G7" i="105"/>
  <c r="K7" i="105" s="1"/>
  <c r="J6" i="105"/>
  <c r="G6" i="105"/>
  <c r="K6" i="105" s="1"/>
  <c r="J5" i="105"/>
  <c r="K5" i="105" s="1"/>
  <c r="J4" i="105"/>
  <c r="J37" i="105" s="1"/>
  <c r="G17" i="56" s="1"/>
  <c r="G4" i="105"/>
  <c r="G37" i="105" s="1"/>
  <c r="H37" i="104"/>
  <c r="F16" i="56" s="1"/>
  <c r="E37" i="104"/>
  <c r="D16" i="56" s="1"/>
  <c r="J36" i="104"/>
  <c r="G36" i="104"/>
  <c r="K36" i="104" s="1"/>
  <c r="J35" i="104"/>
  <c r="G35" i="104"/>
  <c r="K35" i="104" s="1"/>
  <c r="J34" i="104"/>
  <c r="G34" i="104"/>
  <c r="K34" i="104" s="1"/>
  <c r="J33" i="104"/>
  <c r="G33" i="104"/>
  <c r="K33" i="104" s="1"/>
  <c r="J32" i="104"/>
  <c r="G32" i="104"/>
  <c r="K32" i="104" s="1"/>
  <c r="J31" i="104"/>
  <c r="G31" i="104"/>
  <c r="K31" i="104" s="1"/>
  <c r="J30" i="104"/>
  <c r="K30" i="104" s="1"/>
  <c r="J29" i="104"/>
  <c r="G29" i="104"/>
  <c r="K29" i="104" s="1"/>
  <c r="J28" i="104"/>
  <c r="G28" i="104"/>
  <c r="K28" i="104" s="1"/>
  <c r="J27" i="104"/>
  <c r="G27" i="104"/>
  <c r="K27" i="104" s="1"/>
  <c r="J26" i="104"/>
  <c r="G26" i="104"/>
  <c r="K26" i="104" s="1"/>
  <c r="J25" i="104"/>
  <c r="G25" i="104"/>
  <c r="K25" i="104" s="1"/>
  <c r="J24" i="104"/>
  <c r="G24" i="104"/>
  <c r="K24" i="104" s="1"/>
  <c r="J23" i="104"/>
  <c r="G23" i="104"/>
  <c r="K23" i="104" s="1"/>
  <c r="J22" i="104"/>
  <c r="G22" i="104"/>
  <c r="K22" i="104" s="1"/>
  <c r="J21" i="104"/>
  <c r="G21" i="104"/>
  <c r="K21" i="104" s="1"/>
  <c r="J20" i="104"/>
  <c r="G20" i="104"/>
  <c r="K20" i="104" s="1"/>
  <c r="J19" i="104"/>
  <c r="G19" i="104"/>
  <c r="K19" i="104" s="1"/>
  <c r="J18" i="104"/>
  <c r="G18" i="104"/>
  <c r="K18" i="104" s="1"/>
  <c r="J17" i="104"/>
  <c r="G17" i="104"/>
  <c r="K17" i="104" s="1"/>
  <c r="J16" i="104"/>
  <c r="G16" i="104"/>
  <c r="K16" i="104" s="1"/>
  <c r="J15" i="104"/>
  <c r="G15" i="104"/>
  <c r="K15" i="104" s="1"/>
  <c r="J14" i="104"/>
  <c r="G14" i="104"/>
  <c r="K14" i="104" s="1"/>
  <c r="J13" i="104"/>
  <c r="G13" i="104"/>
  <c r="K13" i="104" s="1"/>
  <c r="J12" i="104"/>
  <c r="G12" i="104"/>
  <c r="K12" i="104" s="1"/>
  <c r="J11" i="104"/>
  <c r="G11" i="104"/>
  <c r="K11" i="104" s="1"/>
  <c r="J10" i="104"/>
  <c r="G10" i="104"/>
  <c r="K10" i="104" s="1"/>
  <c r="J9" i="104"/>
  <c r="G9" i="104"/>
  <c r="K9" i="104" s="1"/>
  <c r="J8" i="104"/>
  <c r="G8" i="104"/>
  <c r="K8" i="104" s="1"/>
  <c r="J7" i="104"/>
  <c r="G7" i="104"/>
  <c r="K7" i="104" s="1"/>
  <c r="J6" i="104"/>
  <c r="G6" i="104"/>
  <c r="K6" i="104" s="1"/>
  <c r="J5" i="104"/>
  <c r="J4" i="104"/>
  <c r="J37" i="104" s="1"/>
  <c r="G16" i="56" s="1"/>
  <c r="G4" i="104"/>
  <c r="K4" i="104" s="1"/>
  <c r="M4" i="104" s="1"/>
  <c r="J27" i="26"/>
  <c r="K27" i="26" s="1"/>
  <c r="G20" i="9"/>
  <c r="G22" i="75"/>
  <c r="G23" i="75"/>
  <c r="G21" i="101"/>
  <c r="K21" i="101" s="1"/>
  <c r="G22" i="101"/>
  <c r="K22" i="101" s="1"/>
  <c r="G20" i="24"/>
  <c r="G21" i="26"/>
  <c r="K21" i="26" s="1"/>
  <c r="G20" i="98"/>
  <c r="G19" i="3"/>
  <c r="G29" i="45"/>
  <c r="G28" i="45"/>
  <c r="G27" i="45"/>
  <c r="K27" i="45" s="1"/>
  <c r="G26" i="45"/>
  <c r="K26" i="45" s="1"/>
  <c r="G25" i="45"/>
  <c r="K25" i="45" s="1"/>
  <c r="G23" i="45"/>
  <c r="K23" i="45" s="1"/>
  <c r="J21" i="45"/>
  <c r="G22" i="45"/>
  <c r="K22" i="45" s="1"/>
  <c r="G20" i="45"/>
  <c r="G21" i="45"/>
  <c r="K21" i="45" s="1"/>
  <c r="J18" i="45"/>
  <c r="J19" i="45"/>
  <c r="J20" i="45"/>
  <c r="G19" i="45"/>
  <c r="G18" i="45"/>
  <c r="J16" i="45"/>
  <c r="J17" i="45"/>
  <c r="G17" i="45"/>
  <c r="G15" i="45"/>
  <c r="G16" i="45"/>
  <c r="J14" i="45"/>
  <c r="J15" i="45"/>
  <c r="G12" i="45"/>
  <c r="G13" i="45"/>
  <c r="G14" i="45"/>
  <c r="J10" i="45"/>
  <c r="J12" i="45"/>
  <c r="J13" i="45"/>
  <c r="J4" i="45"/>
  <c r="G10" i="45"/>
  <c r="G9" i="45"/>
  <c r="G8" i="45"/>
  <c r="G6" i="45"/>
  <c r="G4" i="45"/>
  <c r="J13" i="47"/>
  <c r="G13" i="47"/>
  <c r="K13" i="47" s="1"/>
  <c r="G10" i="75"/>
  <c r="J8" i="85"/>
  <c r="J9" i="85"/>
  <c r="J10" i="85"/>
  <c r="J11" i="85"/>
  <c r="J12" i="85"/>
  <c r="J13" i="85"/>
  <c r="J14" i="85"/>
  <c r="J15" i="85"/>
  <c r="J16" i="85"/>
  <c r="J33" i="83"/>
  <c r="G33" i="83"/>
  <c r="K33" i="83"/>
  <c r="G8" i="99"/>
  <c r="G9" i="99"/>
  <c r="G10" i="99"/>
  <c r="G11" i="99"/>
  <c r="G12" i="99"/>
  <c r="G13" i="99"/>
  <c r="G14" i="99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I52" i="56"/>
  <c r="G23" i="51"/>
  <c r="G33" i="100"/>
  <c r="J32" i="35"/>
  <c r="G32" i="100"/>
  <c r="J23" i="75"/>
  <c r="K23" i="75" s="1"/>
  <c r="E39" i="47"/>
  <c r="G31" i="24"/>
  <c r="G30" i="24"/>
  <c r="G30" i="100"/>
  <c r="G31" i="100"/>
  <c r="G26" i="26"/>
  <c r="G28" i="26"/>
  <c r="G29" i="26"/>
  <c r="G30" i="26"/>
  <c r="G31" i="26"/>
  <c r="G32" i="26"/>
  <c r="G29" i="100"/>
  <c r="K52" i="45"/>
  <c r="K53" i="45"/>
  <c r="K50" i="45"/>
  <c r="K49" i="45"/>
  <c r="K44" i="45"/>
  <c r="K42" i="45"/>
  <c r="K41" i="45"/>
  <c r="K39" i="45"/>
  <c r="K37" i="45"/>
  <c r="K36" i="45"/>
  <c r="K30" i="45"/>
  <c r="K29" i="45"/>
  <c r="K28" i="45"/>
  <c r="K34" i="45"/>
  <c r="M4" i="45"/>
  <c r="K33" i="45"/>
  <c r="K31" i="45"/>
  <c r="K32" i="45"/>
  <c r="K35" i="45"/>
  <c r="K38" i="45"/>
  <c r="K40" i="45"/>
  <c r="K43" i="45"/>
  <c r="K45" i="45"/>
  <c r="K46" i="45"/>
  <c r="K47" i="45"/>
  <c r="K48" i="45"/>
  <c r="K51" i="45"/>
  <c r="K54" i="45"/>
  <c r="K6" i="45"/>
  <c r="K8" i="45"/>
  <c r="K9" i="45"/>
  <c r="K10" i="45"/>
  <c r="K12" i="45"/>
  <c r="K13" i="45"/>
  <c r="K14" i="45"/>
  <c r="K15" i="45"/>
  <c r="K16" i="45"/>
  <c r="K17" i="45"/>
  <c r="K18" i="45"/>
  <c r="K19" i="45"/>
  <c r="I20" i="56"/>
  <c r="J21" i="99"/>
  <c r="J22" i="99"/>
  <c r="J23" i="99"/>
  <c r="G29" i="99"/>
  <c r="G28" i="100"/>
  <c r="J27" i="78"/>
  <c r="G27" i="78"/>
  <c r="K27" i="78" s="1"/>
  <c r="J26" i="78"/>
  <c r="G26" i="78"/>
  <c r="K26" i="78" s="1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G28" i="11"/>
  <c r="G27" i="100"/>
  <c r="G25" i="100"/>
  <c r="G26" i="100"/>
  <c r="G24" i="100"/>
  <c r="G23" i="100"/>
  <c r="G19" i="69"/>
  <c r="K19" i="69" s="1"/>
  <c r="J23" i="12"/>
  <c r="G22" i="100"/>
  <c r="G22" i="11"/>
  <c r="G19" i="100"/>
  <c r="G20" i="100"/>
  <c r="G16" i="100"/>
  <c r="G8" i="19"/>
  <c r="J8" i="19"/>
  <c r="K8" i="19"/>
  <c r="G9" i="19"/>
  <c r="J9" i="19"/>
  <c r="K9" i="19"/>
  <c r="G10" i="19"/>
  <c r="K10" i="19"/>
  <c r="G11" i="19"/>
  <c r="K11" i="19"/>
  <c r="G12" i="19"/>
  <c r="J12" i="19"/>
  <c r="K12" i="19"/>
  <c r="G13" i="19"/>
  <c r="J13" i="19"/>
  <c r="K13" i="19"/>
  <c r="G14" i="19"/>
  <c r="J14" i="19"/>
  <c r="K14" i="19"/>
  <c r="G15" i="19"/>
  <c r="J15" i="19"/>
  <c r="K15" i="19"/>
  <c r="G16" i="19"/>
  <c r="J16" i="19"/>
  <c r="K16" i="19"/>
  <c r="J17" i="19"/>
  <c r="K17" i="19"/>
  <c r="G18" i="19"/>
  <c r="J18" i="19"/>
  <c r="K18" i="19"/>
  <c r="G19" i="19"/>
  <c r="J19" i="19"/>
  <c r="K19" i="19"/>
  <c r="G20" i="19"/>
  <c r="J20" i="19"/>
  <c r="K20" i="19"/>
  <c r="G21" i="19"/>
  <c r="J21" i="19"/>
  <c r="K21" i="19"/>
  <c r="G22" i="19"/>
  <c r="J22" i="19"/>
  <c r="K22" i="19"/>
  <c r="G23" i="19"/>
  <c r="J23" i="19"/>
  <c r="K23" i="19"/>
  <c r="G24" i="19"/>
  <c r="J24" i="19"/>
  <c r="K24" i="19"/>
  <c r="G25" i="19"/>
  <c r="J25" i="19"/>
  <c r="K25" i="19"/>
  <c r="G26" i="19"/>
  <c r="J26" i="19"/>
  <c r="K26" i="19"/>
  <c r="G27" i="19"/>
  <c r="J27" i="19"/>
  <c r="K27" i="19"/>
  <c r="G28" i="19"/>
  <c r="J28" i="19"/>
  <c r="K28" i="19"/>
  <c r="G29" i="19"/>
  <c r="J29" i="19"/>
  <c r="K29" i="19"/>
  <c r="G30" i="19"/>
  <c r="J30" i="19"/>
  <c r="K30" i="19"/>
  <c r="G31" i="19"/>
  <c r="J31" i="19"/>
  <c r="K31" i="19"/>
  <c r="G32" i="19"/>
  <c r="J32" i="19"/>
  <c r="K32" i="19"/>
  <c r="G33" i="19"/>
  <c r="J33" i="19"/>
  <c r="K33" i="19"/>
  <c r="G17" i="89"/>
  <c r="G15" i="100"/>
  <c r="G14" i="100"/>
  <c r="G13" i="100"/>
  <c r="J15" i="75"/>
  <c r="H39" i="103"/>
  <c r="F20" i="56" s="1"/>
  <c r="E39" i="103"/>
  <c r="D20" i="56" s="1"/>
  <c r="J38" i="103"/>
  <c r="J37" i="103"/>
  <c r="J36" i="103"/>
  <c r="L39" i="103"/>
  <c r="J20" i="56" s="1"/>
  <c r="J39" i="103"/>
  <c r="G20" i="56" s="1"/>
  <c r="G15" i="93"/>
  <c r="K15" i="93" s="1"/>
  <c r="G12" i="100"/>
  <c r="G11" i="100"/>
  <c r="G12" i="85"/>
  <c r="J10" i="47"/>
  <c r="J11" i="47"/>
  <c r="J12" i="47"/>
  <c r="J14" i="47"/>
  <c r="J15" i="47"/>
  <c r="G10" i="47"/>
  <c r="K10" i="47" s="1"/>
  <c r="G11" i="47"/>
  <c r="K11" i="47" s="1"/>
  <c r="G12" i="47"/>
  <c r="K12" i="47" s="1"/>
  <c r="G14" i="47"/>
  <c r="K14" i="47" s="1"/>
  <c r="G15" i="47"/>
  <c r="K15" i="47" s="1"/>
  <c r="G16" i="47"/>
  <c r="G17" i="47"/>
  <c r="G18" i="47"/>
  <c r="G16" i="62"/>
  <c r="K16" i="62" s="1"/>
  <c r="G9" i="100"/>
  <c r="G8" i="100"/>
  <c r="J8" i="9"/>
  <c r="G8" i="9"/>
  <c r="K8" i="9" s="1"/>
  <c r="J10" i="25"/>
  <c r="G10" i="25"/>
  <c r="K10" i="25" s="1"/>
  <c r="J7" i="35"/>
  <c r="G5" i="100"/>
  <c r="G6" i="100"/>
  <c r="G7" i="100"/>
  <c r="G7" i="83"/>
  <c r="G7" i="14"/>
  <c r="J7" i="14"/>
  <c r="K7" i="14"/>
  <c r="J5" i="101"/>
  <c r="J5" i="71"/>
  <c r="K5" i="71" s="1"/>
  <c r="L5" i="71" s="1"/>
  <c r="G4" i="100"/>
  <c r="J5" i="25"/>
  <c r="G5" i="25"/>
  <c r="K5" i="25" s="1"/>
  <c r="J6" i="24"/>
  <c r="J7" i="24"/>
  <c r="J8" i="24"/>
  <c r="J5" i="24"/>
  <c r="J4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J20" i="24"/>
  <c r="K20" i="24"/>
  <c r="G4" i="76"/>
  <c r="G5" i="76"/>
  <c r="G5" i="62"/>
  <c r="K5" i="62" s="1"/>
  <c r="G5" i="85"/>
  <c r="J34" i="73"/>
  <c r="J35" i="73"/>
  <c r="J36" i="73"/>
  <c r="G33" i="73"/>
  <c r="G34" i="73"/>
  <c r="G35" i="73"/>
  <c r="G36" i="73"/>
  <c r="G8" i="16"/>
  <c r="G9" i="16"/>
  <c r="G10" i="16"/>
  <c r="G11" i="16"/>
  <c r="G12" i="16"/>
  <c r="G13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9" i="16"/>
  <c r="G30" i="16"/>
  <c r="G31" i="16"/>
  <c r="G32" i="16"/>
  <c r="G33" i="16"/>
  <c r="G34" i="16"/>
  <c r="G35" i="16"/>
  <c r="G36" i="16"/>
  <c r="I31" i="56"/>
  <c r="H35" i="100"/>
  <c r="G35" i="100"/>
  <c r="E35" i="100"/>
  <c r="I33" i="56"/>
  <c r="L38" i="101"/>
  <c r="J33" i="56" s="1"/>
  <c r="H38" i="101"/>
  <c r="F33" i="56" s="1"/>
  <c r="E38" i="101"/>
  <c r="D33" i="56" s="1"/>
  <c r="J37" i="101"/>
  <c r="G37" i="101"/>
  <c r="K37" i="101" s="1"/>
  <c r="J36" i="101"/>
  <c r="G36" i="101"/>
  <c r="K36" i="101" s="1"/>
  <c r="J35" i="101"/>
  <c r="G35" i="101"/>
  <c r="K35" i="101" s="1"/>
  <c r="J34" i="101"/>
  <c r="G34" i="101"/>
  <c r="K34" i="101" s="1"/>
  <c r="J33" i="101"/>
  <c r="G33" i="101"/>
  <c r="K33" i="101" s="1"/>
  <c r="J31" i="101"/>
  <c r="K31" i="10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G23" i="101"/>
  <c r="K23" i="101" s="1"/>
  <c r="J20" i="101"/>
  <c r="G20" i="101"/>
  <c r="K20" i="101" s="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G5" i="101"/>
  <c r="K5" i="101" s="1"/>
  <c r="J4" i="101"/>
  <c r="J38" i="101" s="1"/>
  <c r="G33" i="56" s="1"/>
  <c r="G4" i="101"/>
  <c r="I45" i="56"/>
  <c r="F45" i="56"/>
  <c r="E45" i="56"/>
  <c r="D45" i="56"/>
  <c r="J34" i="100"/>
  <c r="K34" i="100"/>
  <c r="G33" i="35"/>
  <c r="G34" i="35"/>
  <c r="G33" i="51"/>
  <c r="G34" i="51"/>
  <c r="G37" i="14"/>
  <c r="J28" i="11"/>
  <c r="K28" i="11" s="1"/>
  <c r="G30" i="35"/>
  <c r="G31" i="35"/>
  <c r="G32" i="35"/>
  <c r="G34" i="25"/>
  <c r="K34" i="25" s="1"/>
  <c r="K34" i="52"/>
  <c r="J15" i="25"/>
  <c r="G15" i="25"/>
  <c r="K15" i="25" s="1"/>
  <c r="G27" i="24"/>
  <c r="G28" i="24"/>
  <c r="G20" i="12"/>
  <c r="G21" i="12"/>
  <c r="G22" i="12"/>
  <c r="G23" i="12"/>
  <c r="K23" i="12" s="1"/>
  <c r="G24" i="12"/>
  <c r="G31" i="75"/>
  <c r="K31" i="75" s="1"/>
  <c r="G26" i="24"/>
  <c r="G25" i="24"/>
  <c r="L35" i="100"/>
  <c r="J45" i="56" s="1"/>
  <c r="J33" i="100"/>
  <c r="K33" i="100"/>
  <c r="J32" i="100"/>
  <c r="K32" i="100"/>
  <c r="J31" i="100"/>
  <c r="K31" i="100"/>
  <c r="J30" i="100"/>
  <c r="K30" i="100"/>
  <c r="J29" i="100"/>
  <c r="K29" i="100"/>
  <c r="J28" i="100"/>
  <c r="K28" i="100"/>
  <c r="J27" i="100"/>
  <c r="K27" i="100"/>
  <c r="J26" i="100"/>
  <c r="K26" i="100"/>
  <c r="J25" i="100"/>
  <c r="K25" i="100"/>
  <c r="J24" i="100"/>
  <c r="K24" i="100"/>
  <c r="J23" i="100"/>
  <c r="K23" i="100"/>
  <c r="J22" i="100"/>
  <c r="K22" i="100"/>
  <c r="K21" i="100"/>
  <c r="J20" i="100"/>
  <c r="K20" i="100"/>
  <c r="J19" i="100"/>
  <c r="K19" i="100"/>
  <c r="J18" i="100"/>
  <c r="K18" i="100"/>
  <c r="J17" i="100"/>
  <c r="K17" i="100"/>
  <c r="J16" i="100"/>
  <c r="K16" i="100"/>
  <c r="J15" i="100"/>
  <c r="K15" i="100"/>
  <c r="J14" i="100"/>
  <c r="K14" i="100"/>
  <c r="J13" i="100"/>
  <c r="K13" i="100"/>
  <c r="J12" i="100"/>
  <c r="K12" i="100"/>
  <c r="J11" i="100"/>
  <c r="K11" i="100" s="1"/>
  <c r="J10" i="100"/>
  <c r="K10" i="100" s="1"/>
  <c r="J9" i="100"/>
  <c r="J8" i="100"/>
  <c r="J7" i="100"/>
  <c r="J6" i="100"/>
  <c r="J5" i="100"/>
  <c r="J4" i="100"/>
  <c r="G24" i="24"/>
  <c r="G26" i="75"/>
  <c r="K26" i="75" s="1"/>
  <c r="G24" i="75"/>
  <c r="G25" i="75"/>
  <c r="K25" i="75" s="1"/>
  <c r="G24" i="3"/>
  <c r="G23" i="24"/>
  <c r="J24" i="85"/>
  <c r="G24" i="85"/>
  <c r="K24" i="85" s="1"/>
  <c r="G23" i="73"/>
  <c r="K23" i="73" s="1"/>
  <c r="G23" i="99"/>
  <c r="K23" i="99"/>
  <c r="J16" i="99"/>
  <c r="J17" i="99"/>
  <c r="J18" i="99"/>
  <c r="J19" i="99"/>
  <c r="L39" i="99"/>
  <c r="J31" i="56" s="1"/>
  <c r="H39" i="99"/>
  <c r="F31" i="56" s="1"/>
  <c r="E39" i="99"/>
  <c r="D31" i="56" s="1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G33" i="99"/>
  <c r="K33" i="99" s="1"/>
  <c r="J32" i="99"/>
  <c r="G32" i="99"/>
  <c r="K32" i="99" s="1"/>
  <c r="J31" i="99"/>
  <c r="G31" i="99"/>
  <c r="K31" i="99" s="1"/>
  <c r="J30" i="99"/>
  <c r="G30" i="99"/>
  <c r="K30" i="99" s="1"/>
  <c r="J29" i="99"/>
  <c r="K29" i="99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G22" i="99"/>
  <c r="K22" i="99" s="1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K14" i="99"/>
  <c r="J13" i="99"/>
  <c r="K13" i="99"/>
  <c r="J12" i="99"/>
  <c r="K12" i="99"/>
  <c r="J11" i="99"/>
  <c r="K11" i="99"/>
  <c r="J10" i="99"/>
  <c r="K10" i="99"/>
  <c r="J9" i="99"/>
  <c r="K9" i="99"/>
  <c r="J8" i="99"/>
  <c r="K8" i="99"/>
  <c r="J7" i="99"/>
  <c r="G7" i="99"/>
  <c r="K7" i="99" s="1"/>
  <c r="J6" i="99"/>
  <c r="G6" i="99"/>
  <c r="K6" i="99" s="1"/>
  <c r="J5" i="99"/>
  <c r="G5" i="99"/>
  <c r="K5" i="99" s="1"/>
  <c r="J4" i="99"/>
  <c r="J39" i="99" s="1"/>
  <c r="G31" i="56" s="1"/>
  <c r="G4" i="99"/>
  <c r="G21" i="24"/>
  <c r="G22" i="24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82" i="44"/>
  <c r="J22" i="11"/>
  <c r="K22" i="11" s="1"/>
  <c r="J19" i="75"/>
  <c r="J20" i="75"/>
  <c r="J57" i="44"/>
  <c r="K57" i="44" s="1"/>
  <c r="J58" i="44"/>
  <c r="K58" i="44" s="1"/>
  <c r="J59" i="44"/>
  <c r="K59" i="44" s="1"/>
  <c r="J60" i="44"/>
  <c r="K60" i="44" s="1"/>
  <c r="J61" i="44"/>
  <c r="K61" i="44" s="1"/>
  <c r="J62" i="44"/>
  <c r="K62" i="44" s="1"/>
  <c r="K96" i="44"/>
  <c r="K97" i="44"/>
  <c r="K98" i="44"/>
  <c r="J5" i="44"/>
  <c r="K5" i="44" s="1"/>
  <c r="J6" i="44"/>
  <c r="K6" i="44" s="1"/>
  <c r="J7" i="44"/>
  <c r="K7" i="44" s="1"/>
  <c r="J8" i="44"/>
  <c r="K8" i="44" s="1"/>
  <c r="J9" i="44"/>
  <c r="K9" i="44" s="1"/>
  <c r="J10" i="44"/>
  <c r="K10" i="44" s="1"/>
  <c r="J11" i="44"/>
  <c r="K11" i="44" s="1"/>
  <c r="J12" i="44"/>
  <c r="K12" i="44" s="1"/>
  <c r="J13" i="44"/>
  <c r="K13" i="44" s="1"/>
  <c r="J14" i="44"/>
  <c r="K14" i="44" s="1"/>
  <c r="J15" i="44"/>
  <c r="K15" i="44" s="1"/>
  <c r="J16" i="44"/>
  <c r="K16" i="44" s="1"/>
  <c r="J17" i="44"/>
  <c r="K17" i="44" s="1"/>
  <c r="J18" i="44"/>
  <c r="K18" i="44" s="1"/>
  <c r="J19" i="44"/>
  <c r="K19" i="44" s="1"/>
  <c r="J20" i="44"/>
  <c r="K20" i="44" s="1"/>
  <c r="J21" i="44"/>
  <c r="K21" i="44" s="1"/>
  <c r="J22" i="44"/>
  <c r="K22" i="44" s="1"/>
  <c r="J23" i="44"/>
  <c r="K23" i="44" s="1"/>
  <c r="J24" i="44"/>
  <c r="K24" i="44" s="1"/>
  <c r="J25" i="44"/>
  <c r="K25" i="44" s="1"/>
  <c r="J26" i="44"/>
  <c r="K26" i="44" s="1"/>
  <c r="J27" i="44"/>
  <c r="K27" i="44" s="1"/>
  <c r="J28" i="44"/>
  <c r="K28" i="44" s="1"/>
  <c r="J29" i="44"/>
  <c r="K29" i="44" s="1"/>
  <c r="J30" i="44"/>
  <c r="K30" i="44" s="1"/>
  <c r="J31" i="44"/>
  <c r="K31" i="44" s="1"/>
  <c r="J32" i="44"/>
  <c r="K32" i="44" s="1"/>
  <c r="J33" i="44"/>
  <c r="K33" i="44" s="1"/>
  <c r="J34" i="44"/>
  <c r="K34" i="44" s="1"/>
  <c r="J35" i="44"/>
  <c r="K35" i="44" s="1"/>
  <c r="J36" i="44"/>
  <c r="K36" i="44" s="1"/>
  <c r="J37" i="44"/>
  <c r="K37" i="44" s="1"/>
  <c r="J38" i="44"/>
  <c r="K38" i="44" s="1"/>
  <c r="J40" i="44"/>
  <c r="K40" i="44" s="1"/>
  <c r="J41" i="44"/>
  <c r="K41" i="44" s="1"/>
  <c r="J42" i="44"/>
  <c r="K42" i="44" s="1"/>
  <c r="J43" i="44"/>
  <c r="K43" i="44" s="1"/>
  <c r="J44" i="44"/>
  <c r="K44" i="44" s="1"/>
  <c r="J45" i="44"/>
  <c r="K45" i="44" s="1"/>
  <c r="J46" i="44"/>
  <c r="K46" i="44" s="1"/>
  <c r="J47" i="44"/>
  <c r="K47" i="44" s="1"/>
  <c r="J48" i="44"/>
  <c r="K48" i="44" s="1"/>
  <c r="J49" i="44"/>
  <c r="K49" i="44" s="1"/>
  <c r="J50" i="44"/>
  <c r="K50" i="44" s="1"/>
  <c r="J51" i="44"/>
  <c r="K51" i="44" s="1"/>
  <c r="J52" i="44"/>
  <c r="K52" i="44" s="1"/>
  <c r="J53" i="44"/>
  <c r="K53" i="44" s="1"/>
  <c r="J54" i="44"/>
  <c r="K54" i="44" s="1"/>
  <c r="J55" i="44"/>
  <c r="K55" i="44" s="1"/>
  <c r="K56" i="44"/>
  <c r="J63" i="44"/>
  <c r="K63" i="44" s="1"/>
  <c r="J64" i="44"/>
  <c r="K64" i="44" s="1"/>
  <c r="J65" i="44"/>
  <c r="K65" i="44" s="1"/>
  <c r="J66" i="44"/>
  <c r="K66" i="44" s="1"/>
  <c r="J67" i="44"/>
  <c r="K67" i="44" s="1"/>
  <c r="J68" i="44"/>
  <c r="K68" i="44" s="1"/>
  <c r="J69" i="44"/>
  <c r="K69" i="44" s="1"/>
  <c r="J70" i="44"/>
  <c r="K70" i="44" s="1"/>
  <c r="J71" i="44"/>
  <c r="K71" i="44" s="1"/>
  <c r="J72" i="44"/>
  <c r="K72" i="44" s="1"/>
  <c r="J73" i="44"/>
  <c r="K73" i="44" s="1"/>
  <c r="J22" i="25"/>
  <c r="G22" i="25"/>
  <c r="K22" i="25" s="1"/>
  <c r="S32" i="25"/>
  <c r="T32" i="25"/>
  <c r="U32" i="25"/>
  <c r="J10" i="24"/>
  <c r="J11" i="24"/>
  <c r="J12" i="24"/>
  <c r="J13" i="24"/>
  <c r="K16" i="14"/>
  <c r="K17" i="14"/>
  <c r="I10" i="56"/>
  <c r="I6" i="56"/>
  <c r="H36" i="98"/>
  <c r="F10" i="56" s="1"/>
  <c r="E36" i="98"/>
  <c r="D10" i="56" s="1"/>
  <c r="J35" i="98"/>
  <c r="G35" i="98"/>
  <c r="K35" i="98" s="1"/>
  <c r="J34" i="98"/>
  <c r="G34" i="98"/>
  <c r="K34" i="98" s="1"/>
  <c r="J33" i="98"/>
  <c r="G33" i="98"/>
  <c r="K33" i="98" s="1"/>
  <c r="J32" i="98"/>
  <c r="G32" i="98"/>
  <c r="K32" i="98" s="1"/>
  <c r="J31" i="98"/>
  <c r="G31" i="98"/>
  <c r="K31" i="98" s="1"/>
  <c r="J30" i="98"/>
  <c r="G30" i="98"/>
  <c r="K30" i="98" s="1"/>
  <c r="J29" i="98"/>
  <c r="G29" i="98"/>
  <c r="K29" i="98" s="1"/>
  <c r="J28" i="98"/>
  <c r="G28" i="98"/>
  <c r="K28" i="98" s="1"/>
  <c r="J27" i="98"/>
  <c r="G27" i="98"/>
  <c r="K27" i="98" s="1"/>
  <c r="J26" i="98"/>
  <c r="G26" i="98"/>
  <c r="K26" i="98" s="1"/>
  <c r="J25" i="98"/>
  <c r="G25" i="98"/>
  <c r="K25" i="98" s="1"/>
  <c r="J24" i="98"/>
  <c r="G24" i="98"/>
  <c r="K24" i="98" s="1"/>
  <c r="J23" i="98"/>
  <c r="G23" i="98"/>
  <c r="K23" i="98" s="1"/>
  <c r="J22" i="98"/>
  <c r="G22" i="98"/>
  <c r="K22" i="98" s="1"/>
  <c r="J21" i="98"/>
  <c r="G21" i="98"/>
  <c r="K21" i="98" s="1"/>
  <c r="J20" i="98"/>
  <c r="J19" i="98"/>
  <c r="G19" i="98"/>
  <c r="J18" i="98"/>
  <c r="G18" i="98"/>
  <c r="K18" i="98" s="1"/>
  <c r="J17" i="98"/>
  <c r="G17" i="98"/>
  <c r="K17" i="98" s="1"/>
  <c r="J16" i="98"/>
  <c r="G16" i="98"/>
  <c r="K16" i="98" s="1"/>
  <c r="J15" i="98"/>
  <c r="G15" i="98"/>
  <c r="K15" i="98" s="1"/>
  <c r="J14" i="98"/>
  <c r="G14" i="98"/>
  <c r="K14" i="98" s="1"/>
  <c r="J13" i="98"/>
  <c r="G13" i="98"/>
  <c r="K13" i="98" s="1"/>
  <c r="J12" i="98"/>
  <c r="G12" i="98"/>
  <c r="K12" i="98" s="1"/>
  <c r="J10" i="98"/>
  <c r="G10" i="98"/>
  <c r="K10" i="98" s="1"/>
  <c r="J9" i="98"/>
  <c r="G9" i="98"/>
  <c r="K9" i="98" s="1"/>
  <c r="L9" i="98" s="1"/>
  <c r="J8" i="98"/>
  <c r="G8" i="98"/>
  <c r="K8" i="98" s="1"/>
  <c r="J7" i="98"/>
  <c r="G7" i="98"/>
  <c r="K7" i="98" s="1"/>
  <c r="J6" i="98"/>
  <c r="G6" i="98"/>
  <c r="K6" i="98" s="1"/>
  <c r="J5" i="98"/>
  <c r="G5" i="98"/>
  <c r="K5" i="98" s="1"/>
  <c r="J4" i="98"/>
  <c r="J36" i="98" s="1"/>
  <c r="G10" i="56" s="1"/>
  <c r="G4" i="98"/>
  <c r="G5" i="24"/>
  <c r="K5" i="24" s="1"/>
  <c r="G6" i="24"/>
  <c r="K6" i="24" s="1"/>
  <c r="G7" i="24"/>
  <c r="K7" i="24" s="1"/>
  <c r="G8" i="24"/>
  <c r="G9" i="24"/>
  <c r="G10" i="24"/>
  <c r="K10" i="24" s="1"/>
  <c r="G11" i="24"/>
  <c r="K11" i="24" s="1"/>
  <c r="G12" i="24"/>
  <c r="K12" i="24" s="1"/>
  <c r="G13" i="24"/>
  <c r="K13" i="24" s="1"/>
  <c r="J9" i="24"/>
  <c r="J8" i="14"/>
  <c r="G5" i="79"/>
  <c r="G6" i="79"/>
  <c r="G4" i="25"/>
  <c r="G4" i="24"/>
  <c r="G40" i="95"/>
  <c r="K40" i="95" s="1"/>
  <c r="L40" i="95" s="1"/>
  <c r="G38" i="95"/>
  <c r="K38" i="95" s="1"/>
  <c r="L38" i="95" s="1"/>
  <c r="G39" i="95"/>
  <c r="K39" i="95" s="1"/>
  <c r="L39" i="95" s="1"/>
  <c r="J36" i="14"/>
  <c r="G36" i="14"/>
  <c r="J25" i="41"/>
  <c r="G37" i="25"/>
  <c r="J37" i="25"/>
  <c r="K37" i="25"/>
  <c r="G31" i="14"/>
  <c r="G32" i="14"/>
  <c r="G33" i="14"/>
  <c r="G34" i="14"/>
  <c r="G35" i="14"/>
  <c r="J31" i="14"/>
  <c r="J32" i="14"/>
  <c r="J33" i="14"/>
  <c r="J34" i="14"/>
  <c r="J35" i="14"/>
  <c r="G27" i="95"/>
  <c r="K27" i="95" s="1"/>
  <c r="L27" i="95" s="1"/>
  <c r="H46" i="95"/>
  <c r="F6" i="56" s="1"/>
  <c r="E46" i="95"/>
  <c r="D6" i="56" s="1"/>
  <c r="J45" i="95"/>
  <c r="G45" i="95"/>
  <c r="K45" i="95" s="1"/>
  <c r="J37" i="95"/>
  <c r="G37" i="95"/>
  <c r="K37" i="95" s="1"/>
  <c r="L37" i="95" s="1"/>
  <c r="J36" i="95"/>
  <c r="G36" i="95"/>
  <c r="K36" i="95" s="1"/>
  <c r="L36" i="95" s="1"/>
  <c r="G35" i="95"/>
  <c r="K35" i="95" s="1"/>
  <c r="L35" i="95" s="1"/>
  <c r="J34" i="95"/>
  <c r="G34" i="95"/>
  <c r="K34" i="95" s="1"/>
  <c r="L34" i="95" s="1"/>
  <c r="J33" i="95"/>
  <c r="G33" i="95"/>
  <c r="K33" i="95" s="1"/>
  <c r="L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J23" i="95"/>
  <c r="G23" i="95"/>
  <c r="K23" i="95" s="1"/>
  <c r="J22" i="95"/>
  <c r="G22" i="95"/>
  <c r="K22" i="95" s="1"/>
  <c r="L22" i="95" s="1"/>
  <c r="J21" i="95"/>
  <c r="G21" i="95"/>
  <c r="K21" i="95" s="1"/>
  <c r="L21" i="95" s="1"/>
  <c r="J20" i="95"/>
  <c r="G20" i="95"/>
  <c r="K20" i="95" s="1"/>
  <c r="L20" i="95" s="1"/>
  <c r="J19" i="95"/>
  <c r="G19" i="95"/>
  <c r="K19" i="95" s="1"/>
  <c r="L19" i="95" s="1"/>
  <c r="J18" i="95"/>
  <c r="G18" i="95"/>
  <c r="K18" i="95" s="1"/>
  <c r="L18" i="95" s="1"/>
  <c r="J17" i="95"/>
  <c r="G17" i="95"/>
  <c r="K17" i="95" s="1"/>
  <c r="L17" i="95" s="1"/>
  <c r="J16" i="95"/>
  <c r="G16" i="95"/>
  <c r="K16" i="95" s="1"/>
  <c r="L16" i="95" s="1"/>
  <c r="J15" i="95"/>
  <c r="G15" i="95"/>
  <c r="K15" i="95" s="1"/>
  <c r="L15" i="95" s="1"/>
  <c r="J14" i="95"/>
  <c r="G14" i="95"/>
  <c r="K14" i="95" s="1"/>
  <c r="L14" i="95" s="1"/>
  <c r="J13" i="95"/>
  <c r="G13" i="95"/>
  <c r="K13" i="95" s="1"/>
  <c r="L13" i="95" s="1"/>
  <c r="J12" i="95"/>
  <c r="G12" i="95"/>
  <c r="K12" i="95" s="1"/>
  <c r="L12" i="95" s="1"/>
  <c r="J11" i="95"/>
  <c r="G11" i="95"/>
  <c r="K11" i="95" s="1"/>
  <c r="L11" i="95" s="1"/>
  <c r="J10" i="95"/>
  <c r="G10" i="95"/>
  <c r="K10" i="95" s="1"/>
  <c r="L10" i="95" s="1"/>
  <c r="J9" i="95"/>
  <c r="G9" i="95"/>
  <c r="K9" i="95" s="1"/>
  <c r="L9" i="95" s="1"/>
  <c r="J8" i="95"/>
  <c r="G8" i="95"/>
  <c r="K8" i="95" s="1"/>
  <c r="L8" i="95" s="1"/>
  <c r="J7" i="95"/>
  <c r="G7" i="95"/>
  <c r="K7" i="95" s="1"/>
  <c r="L7" i="95" s="1"/>
  <c r="J6" i="95"/>
  <c r="G6" i="95"/>
  <c r="K6" i="95" s="1"/>
  <c r="L6" i="95" s="1"/>
  <c r="J5" i="95"/>
  <c r="J46" i="95" s="1"/>
  <c r="G6" i="56" s="1"/>
  <c r="G5" i="95"/>
  <c r="K5" i="95" s="1"/>
  <c r="L5" i="95" s="1"/>
  <c r="G4" i="95"/>
  <c r="J30" i="14"/>
  <c r="G30" i="14"/>
  <c r="G29" i="14"/>
  <c r="J29" i="14"/>
  <c r="K29" i="14"/>
  <c r="U22" i="76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8" i="14"/>
  <c r="G28" i="14"/>
  <c r="G21" i="85"/>
  <c r="G21" i="3"/>
  <c r="K24" i="14"/>
  <c r="K18" i="14"/>
  <c r="K20" i="14"/>
  <c r="I9" i="56"/>
  <c r="G16" i="41"/>
  <c r="J16" i="41"/>
  <c r="K16" i="41" s="1"/>
  <c r="J14" i="41"/>
  <c r="G14" i="41"/>
  <c r="K14" i="41" s="1"/>
  <c r="J22" i="76"/>
  <c r="K15" i="14"/>
  <c r="K14" i="14"/>
  <c r="G14" i="68"/>
  <c r="G12" i="14"/>
  <c r="H36" i="93"/>
  <c r="F9" i="56" s="1"/>
  <c r="E36" i="93"/>
  <c r="D9" i="56" s="1"/>
  <c r="J35" i="93"/>
  <c r="G35" i="93"/>
  <c r="K35" i="93" s="1"/>
  <c r="J34" i="93"/>
  <c r="G34" i="93"/>
  <c r="K34" i="93" s="1"/>
  <c r="J33" i="93"/>
  <c r="G33" i="93"/>
  <c r="K33" i="93" s="1"/>
  <c r="J32" i="93"/>
  <c r="G32" i="93"/>
  <c r="K32" i="93" s="1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6" i="93" s="1"/>
  <c r="G9" i="56" s="1"/>
  <c r="G4" i="93"/>
  <c r="J11" i="80"/>
  <c r="G11" i="80"/>
  <c r="K11" i="80" s="1"/>
  <c r="G11" i="14"/>
  <c r="J9" i="35"/>
  <c r="G10" i="14"/>
  <c r="G5" i="14"/>
  <c r="G6" i="14"/>
  <c r="G8" i="14"/>
  <c r="G9" i="14"/>
  <c r="G8" i="57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G13" i="69"/>
  <c r="G14" i="69"/>
  <c r="G15" i="69"/>
  <c r="G16" i="69"/>
  <c r="G17" i="69"/>
  <c r="G18" i="69"/>
  <c r="K18" i="69" s="1"/>
  <c r="G20" i="69"/>
  <c r="K20" i="69" s="1"/>
  <c r="G21" i="69"/>
  <c r="K21" i="69" s="1"/>
  <c r="G22" i="69"/>
  <c r="G23" i="69"/>
  <c r="K23" i="69" s="1"/>
  <c r="G24" i="69"/>
  <c r="G25" i="69"/>
  <c r="G26" i="69"/>
  <c r="G27" i="69"/>
  <c r="G28" i="69"/>
  <c r="G29" i="69"/>
  <c r="G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9" i="9"/>
  <c r="J9" i="9"/>
  <c r="G10" i="9"/>
  <c r="J10" i="9"/>
  <c r="J11" i="9"/>
  <c r="G12" i="9"/>
  <c r="J12" i="9"/>
  <c r="G13" i="9"/>
  <c r="J13" i="9"/>
  <c r="G14" i="9"/>
  <c r="J14" i="9"/>
  <c r="J15" i="9"/>
  <c r="J16" i="9"/>
  <c r="G17" i="9"/>
  <c r="J17" i="9"/>
  <c r="G18" i="9"/>
  <c r="J18" i="9"/>
  <c r="G19" i="9"/>
  <c r="J19" i="9"/>
  <c r="J20" i="9"/>
  <c r="J21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K20" i="26" s="1"/>
  <c r="G22" i="26"/>
  <c r="G23" i="26"/>
  <c r="G24" i="26"/>
  <c r="G25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G19" i="41"/>
  <c r="G20" i="41"/>
  <c r="G21" i="41"/>
  <c r="G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3" i="76"/>
  <c r="J33" i="76"/>
  <c r="G34" i="76"/>
  <c r="J34" i="76"/>
  <c r="G35" i="76"/>
  <c r="J35" i="76"/>
  <c r="G7" i="79"/>
  <c r="G8" i="79"/>
  <c r="G9" i="79"/>
  <c r="G10" i="79"/>
  <c r="G11" i="79"/>
  <c r="G12" i="79"/>
  <c r="G13" i="79"/>
  <c r="G14" i="79"/>
  <c r="G15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G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J10" i="75"/>
  <c r="G11" i="75"/>
  <c r="J11" i="75"/>
  <c r="G12" i="75"/>
  <c r="J12" i="75"/>
  <c r="G13" i="75"/>
  <c r="J13" i="75"/>
  <c r="G14" i="75"/>
  <c r="J14" i="75"/>
  <c r="G15" i="75"/>
  <c r="G16" i="75"/>
  <c r="J16" i="75"/>
  <c r="G17" i="75"/>
  <c r="J17" i="75"/>
  <c r="G18" i="75"/>
  <c r="J18" i="75"/>
  <c r="G19" i="75"/>
  <c r="G20" i="75"/>
  <c r="J21" i="75"/>
  <c r="J22" i="75"/>
  <c r="G27" i="75"/>
  <c r="G28" i="75"/>
  <c r="J28" i="75"/>
  <c r="G29" i="75"/>
  <c r="J29" i="75"/>
  <c r="G30" i="75"/>
  <c r="J30" i="75"/>
  <c r="G32" i="75"/>
  <c r="J32" i="75"/>
  <c r="G33" i="75"/>
  <c r="J33" i="75"/>
  <c r="G34" i="75"/>
  <c r="J34" i="75"/>
  <c r="J5" i="85"/>
  <c r="K5" i="85"/>
  <c r="G6" i="85"/>
  <c r="J6" i="85"/>
  <c r="K6" i="85"/>
  <c r="G7" i="85"/>
  <c r="J7" i="85"/>
  <c r="K7" i="85"/>
  <c r="G8" i="85"/>
  <c r="K8" i="85"/>
  <c r="G9" i="85"/>
  <c r="K9" i="85"/>
  <c r="G10" i="85"/>
  <c r="K10" i="85"/>
  <c r="G11" i="85"/>
  <c r="K11" i="85"/>
  <c r="K12" i="85"/>
  <c r="G13" i="85"/>
  <c r="K13" i="85"/>
  <c r="G14" i="85"/>
  <c r="K14" i="85"/>
  <c r="G15" i="85"/>
  <c r="K15" i="85"/>
  <c r="G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6" i="25"/>
  <c r="G7" i="25"/>
  <c r="G8" i="25"/>
  <c r="G9" i="25"/>
  <c r="G11" i="25"/>
  <c r="G12" i="25"/>
  <c r="G13" i="25"/>
  <c r="G14" i="25"/>
  <c r="G16" i="25"/>
  <c r="G17" i="25"/>
  <c r="G18" i="25"/>
  <c r="G19" i="25"/>
  <c r="G20" i="25"/>
  <c r="G21" i="25"/>
  <c r="G23" i="25"/>
  <c r="G24" i="25"/>
  <c r="G25" i="25"/>
  <c r="G26" i="25"/>
  <c r="G27" i="25"/>
  <c r="G28" i="25"/>
  <c r="G29" i="25"/>
  <c r="G30" i="25"/>
  <c r="G31" i="25"/>
  <c r="G32" i="25"/>
  <c r="G33" i="25"/>
  <c r="G35" i="25"/>
  <c r="G36" i="25"/>
  <c r="G38" i="25"/>
  <c r="G39" i="25"/>
  <c r="G40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3" i="11"/>
  <c r="J23" i="11"/>
  <c r="G24" i="11"/>
  <c r="J24" i="11"/>
  <c r="G25" i="11"/>
  <c r="J25" i="11"/>
  <c r="G26" i="11"/>
  <c r="J26" i="11"/>
  <c r="G27" i="11"/>
  <c r="J27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37" i="11"/>
  <c r="J37" i="11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J16" i="80"/>
  <c r="J18" i="80"/>
  <c r="J19" i="80"/>
  <c r="J20" i="80"/>
  <c r="J21" i="80"/>
  <c r="J22" i="80"/>
  <c r="J24" i="80"/>
  <c r="J25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1" i="24"/>
  <c r="J22" i="24"/>
  <c r="J23" i="24"/>
  <c r="J24" i="24"/>
  <c r="J25" i="24"/>
  <c r="J26" i="24"/>
  <c r="J27" i="24"/>
  <c r="J28" i="24"/>
  <c r="G29" i="24"/>
  <c r="J29" i="24"/>
  <c r="J30" i="24"/>
  <c r="J31" i="24"/>
  <c r="G32" i="24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7" i="73"/>
  <c r="K27" i="73" s="1"/>
  <c r="G29" i="73"/>
  <c r="G30" i="73"/>
  <c r="G31" i="73"/>
  <c r="J31" i="73"/>
  <c r="G32" i="73"/>
  <c r="J32" i="73"/>
  <c r="J33" i="73"/>
  <c r="G5" i="68"/>
  <c r="J5" i="68"/>
  <c r="K5" i="68"/>
  <c r="G6" i="68"/>
  <c r="J6" i="68"/>
  <c r="K6" i="68"/>
  <c r="G7" i="68"/>
  <c r="J7" i="68"/>
  <c r="K7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G35" i="68"/>
  <c r="J35" i="68"/>
  <c r="K35" i="68"/>
  <c r="J4" i="68"/>
  <c r="G4" i="68"/>
  <c r="J6" i="63"/>
  <c r="K6" i="63"/>
  <c r="J7" i="63"/>
  <c r="K7" i="63"/>
  <c r="J8" i="63"/>
  <c r="K8" i="63"/>
  <c r="J9" i="63"/>
  <c r="K9" i="63"/>
  <c r="J10" i="63"/>
  <c r="K10" i="63"/>
  <c r="J11" i="63"/>
  <c r="K11" i="63"/>
  <c r="J12" i="63"/>
  <c r="K12" i="63"/>
  <c r="J13" i="63"/>
  <c r="K13" i="63"/>
  <c r="J14" i="63"/>
  <c r="K14" i="63"/>
  <c r="J15" i="63"/>
  <c r="K15" i="63"/>
  <c r="J16" i="63"/>
  <c r="K16" i="63"/>
  <c r="J17" i="63"/>
  <c r="K17" i="63"/>
  <c r="J18" i="63"/>
  <c r="K18" i="63"/>
  <c r="J19" i="63"/>
  <c r="K19" i="63"/>
  <c r="J20" i="63"/>
  <c r="K20" i="63"/>
  <c r="J21" i="63"/>
  <c r="K21" i="63"/>
  <c r="J22" i="63"/>
  <c r="K22" i="63"/>
  <c r="J23" i="63"/>
  <c r="K23" i="63"/>
  <c r="J24" i="63"/>
  <c r="K24" i="63"/>
  <c r="J25" i="63"/>
  <c r="K25" i="63"/>
  <c r="J26" i="63"/>
  <c r="K26" i="63"/>
  <c r="J27" i="63"/>
  <c r="K27" i="63"/>
  <c r="J28" i="63"/>
  <c r="K28" i="63"/>
  <c r="J29" i="63"/>
  <c r="K29" i="63"/>
  <c r="J30" i="63"/>
  <c r="K30" i="63"/>
  <c r="J31" i="63"/>
  <c r="K31" i="63"/>
  <c r="J32" i="63"/>
  <c r="K32" i="63"/>
  <c r="J33" i="63"/>
  <c r="K33" i="63"/>
  <c r="G5" i="16"/>
  <c r="J5" i="16"/>
  <c r="K5" i="16"/>
  <c r="G6" i="16"/>
  <c r="J6" i="16"/>
  <c r="K6" i="16"/>
  <c r="G7" i="16"/>
  <c r="J7" i="16"/>
  <c r="K7" i="16"/>
  <c r="J8" i="16"/>
  <c r="K8" i="16"/>
  <c r="J9" i="16"/>
  <c r="K9" i="16"/>
  <c r="J10" i="16"/>
  <c r="K10" i="16"/>
  <c r="J11" i="16"/>
  <c r="K11" i="16"/>
  <c r="J12" i="16"/>
  <c r="K12" i="16"/>
  <c r="J13" i="16"/>
  <c r="K13" i="16"/>
  <c r="J15" i="16"/>
  <c r="K15" i="16"/>
  <c r="J16" i="16"/>
  <c r="K16" i="16"/>
  <c r="J17" i="16"/>
  <c r="K17" i="16"/>
  <c r="J18" i="16"/>
  <c r="K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J25" i="16"/>
  <c r="K25" i="16"/>
  <c r="J26" i="16"/>
  <c r="K26" i="16"/>
  <c r="J27" i="16"/>
  <c r="K27" i="16"/>
  <c r="J29" i="16"/>
  <c r="K29" i="16"/>
  <c r="J30" i="16"/>
  <c r="K30" i="16"/>
  <c r="J31" i="16"/>
  <c r="K31" i="16"/>
  <c r="J32" i="16"/>
  <c r="K32" i="16"/>
  <c r="J33" i="16"/>
  <c r="J34" i="16"/>
  <c r="K34" i="16"/>
  <c r="J35" i="16"/>
  <c r="K35" i="16"/>
  <c r="J36" i="16"/>
  <c r="K36" i="16"/>
  <c r="G37" i="16"/>
  <c r="J37" i="16"/>
  <c r="K37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10" i="62"/>
  <c r="G11" i="62"/>
  <c r="G12" i="62"/>
  <c r="G13" i="62"/>
  <c r="G14" i="62"/>
  <c r="G15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J5" i="89"/>
  <c r="K5" i="89"/>
  <c r="J6" i="89"/>
  <c r="K6" i="89"/>
  <c r="J7" i="89"/>
  <c r="K7" i="89"/>
  <c r="J8" i="89"/>
  <c r="K8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9" i="78"/>
  <c r="J30" i="78"/>
  <c r="J31" i="78"/>
  <c r="J32" i="78"/>
  <c r="J6" i="47"/>
  <c r="K6" i="47"/>
  <c r="G7" i="47"/>
  <c r="J7" i="47"/>
  <c r="K7" i="47"/>
  <c r="G8" i="47"/>
  <c r="J8" i="47"/>
  <c r="K8" i="47"/>
  <c r="G9" i="47"/>
  <c r="J9" i="47"/>
  <c r="J16" i="47"/>
  <c r="J17" i="47"/>
  <c r="J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36" i="47"/>
  <c r="J36" i="47"/>
  <c r="K36" i="47"/>
  <c r="G37" i="47"/>
  <c r="J37" i="47"/>
  <c r="K37" i="47"/>
  <c r="G5" i="50"/>
  <c r="K5" i="50" s="1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 s="1"/>
  <c r="G17" i="50"/>
  <c r="K17" i="50" s="1"/>
  <c r="G18" i="50"/>
  <c r="K18" i="50" s="1"/>
  <c r="G19" i="50"/>
  <c r="K19" i="50" s="1"/>
  <c r="G20" i="50"/>
  <c r="K20" i="50" s="1"/>
  <c r="G21" i="50"/>
  <c r="K21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K95" i="44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K81" i="44" s="1"/>
  <c r="G79" i="44"/>
  <c r="G80" i="44"/>
  <c r="K80" i="44" s="1"/>
  <c r="J79" i="44"/>
  <c r="J76" i="44"/>
  <c r="K76" i="44" s="1"/>
  <c r="J77" i="44"/>
  <c r="K77" i="44" s="1"/>
  <c r="J78" i="44"/>
  <c r="K78" i="44" s="1"/>
  <c r="J74" i="44"/>
  <c r="K74" i="44" s="1"/>
  <c r="J75" i="44"/>
  <c r="K75" i="44" s="1"/>
  <c r="H43" i="51"/>
  <c r="E35" i="24"/>
  <c r="K15" i="69"/>
  <c r="E50" i="69"/>
  <c r="J31" i="62"/>
  <c r="K31" i="62"/>
  <c r="J30" i="71"/>
  <c r="K30" i="71" s="1"/>
  <c r="L30" i="71" s="1"/>
  <c r="I8" i="56"/>
  <c r="H35" i="89"/>
  <c r="F8" i="56" s="1"/>
  <c r="E35" i="89"/>
  <c r="D8" i="56" s="1"/>
  <c r="J4" i="89"/>
  <c r="G4" i="89"/>
  <c r="K4" i="89" s="1"/>
  <c r="K15" i="75"/>
  <c r="J7" i="33"/>
  <c r="J6" i="33"/>
  <c r="J8" i="26"/>
  <c r="J9" i="26"/>
  <c r="G6" i="83"/>
  <c r="G6" i="71"/>
  <c r="G4" i="35"/>
  <c r="I35" i="56"/>
  <c r="J4" i="57"/>
  <c r="G11" i="40"/>
  <c r="G12" i="40"/>
  <c r="G13" i="40"/>
  <c r="G14" i="40"/>
  <c r="G8" i="62"/>
  <c r="G9" i="7"/>
  <c r="G10" i="7"/>
  <c r="G11" i="7"/>
  <c r="G12" i="7"/>
  <c r="G13" i="7"/>
  <c r="G14" i="7"/>
  <c r="G15" i="7"/>
  <c r="G16" i="7"/>
  <c r="G17" i="7"/>
  <c r="G18" i="7"/>
  <c r="K22" i="9"/>
  <c r="K10" i="9"/>
  <c r="K11" i="9"/>
  <c r="K9" i="9"/>
  <c r="H56" i="85"/>
  <c r="F36" i="56" s="1"/>
  <c r="E56" i="85"/>
  <c r="D36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6" i="56" s="1"/>
  <c r="J4" i="85"/>
  <c r="J56" i="85" s="1"/>
  <c r="G36" i="56" s="1"/>
  <c r="G4" i="85"/>
  <c r="I36" i="56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6" i="62"/>
  <c r="J6" i="62"/>
  <c r="K6" i="62"/>
  <c r="G7" i="62"/>
  <c r="J7" i="62"/>
  <c r="K7" i="62"/>
  <c r="J8" i="62"/>
  <c r="K8" i="62"/>
  <c r="J9" i="62"/>
  <c r="K9" i="62" s="1"/>
  <c r="J10" i="62"/>
  <c r="K10" i="62"/>
  <c r="J11" i="62"/>
  <c r="K11" i="62"/>
  <c r="J12" i="62"/>
  <c r="K12" i="62"/>
  <c r="K13" i="62"/>
  <c r="K14" i="62"/>
  <c r="K15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0" i="62"/>
  <c r="K30" i="62"/>
  <c r="J32" i="62"/>
  <c r="K32" i="62"/>
  <c r="J33" i="62"/>
  <c r="K33" i="62"/>
  <c r="J34" i="62"/>
  <c r="K34" i="62"/>
  <c r="J35" i="62"/>
  <c r="K35" i="62"/>
  <c r="J36" i="62"/>
  <c r="K36" i="62"/>
  <c r="G33" i="58"/>
  <c r="J5" i="47"/>
  <c r="J33" i="78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3" i="56"/>
  <c r="L35" i="83"/>
  <c r="J43" i="56" s="1"/>
  <c r="H35" i="83"/>
  <c r="F43" i="56" s="1"/>
  <c r="E35" i="83"/>
  <c r="D43" i="56" s="1"/>
  <c r="J34" i="83"/>
  <c r="G34" i="83"/>
  <c r="K34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K21" i="83"/>
  <c r="K20" i="83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K7" i="83"/>
  <c r="J6" i="83"/>
  <c r="K6" i="83" s="1"/>
  <c r="J5" i="83"/>
  <c r="G5" i="83"/>
  <c r="K5" i="83" s="1"/>
  <c r="J4" i="83"/>
  <c r="J35" i="83" s="1"/>
  <c r="G43" i="56" s="1"/>
  <c r="G4" i="83"/>
  <c r="J13" i="25"/>
  <c r="J14" i="25"/>
  <c r="J16" i="25"/>
  <c r="J17" i="25"/>
  <c r="I54" i="56"/>
  <c r="F54" i="56"/>
  <c r="D54" i="56"/>
  <c r="G54" i="56"/>
  <c r="I30" i="56"/>
  <c r="I39" i="56"/>
  <c r="L40" i="80"/>
  <c r="J30" i="56" s="1"/>
  <c r="F30" i="56"/>
  <c r="E40" i="80"/>
  <c r="D30" i="56" s="1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15" i="80"/>
  <c r="K14" i="80"/>
  <c r="K13" i="80"/>
  <c r="K12" i="80"/>
  <c r="K10" i="80"/>
  <c r="K9" i="80"/>
  <c r="K8" i="80"/>
  <c r="K7" i="80"/>
  <c r="K6" i="80"/>
  <c r="K5" i="80"/>
  <c r="J40" i="80"/>
  <c r="G30" i="56" s="1"/>
  <c r="L35" i="79"/>
  <c r="J39" i="56" s="1"/>
  <c r="F39" i="56"/>
  <c r="E35" i="79"/>
  <c r="D39" i="56" s="1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39" i="56" s="1"/>
  <c r="G4" i="79"/>
  <c r="J7" i="25"/>
  <c r="J8" i="25"/>
  <c r="J9" i="25"/>
  <c r="J11" i="25"/>
  <c r="J12" i="25"/>
  <c r="J18" i="25"/>
  <c r="J19" i="25"/>
  <c r="J20" i="25"/>
  <c r="J21" i="25"/>
  <c r="J23" i="25"/>
  <c r="J24" i="25"/>
  <c r="J25" i="25"/>
  <c r="J26" i="25"/>
  <c r="J27" i="25"/>
  <c r="J28" i="25"/>
  <c r="J29" i="25"/>
  <c r="J30" i="25"/>
  <c r="J31" i="25"/>
  <c r="J32" i="25"/>
  <c r="J33" i="25"/>
  <c r="J35" i="25"/>
  <c r="J36" i="25"/>
  <c r="J38" i="25"/>
  <c r="J39" i="25"/>
  <c r="J40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J5" i="51"/>
  <c r="J6" i="51"/>
  <c r="J7" i="51"/>
  <c r="J8" i="51"/>
  <c r="K8" i="51" s="1"/>
  <c r="J9" i="51"/>
  <c r="J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7" i="62"/>
  <c r="G4" i="75"/>
  <c r="J37" i="73"/>
  <c r="G37" i="73"/>
  <c r="K37" i="73" s="1"/>
  <c r="K34" i="24"/>
  <c r="K34" i="60"/>
  <c r="K34" i="63"/>
  <c r="E35" i="74"/>
  <c r="K33" i="74"/>
  <c r="K34" i="74"/>
  <c r="I7" i="56"/>
  <c r="G32" i="78"/>
  <c r="K32" i="78"/>
  <c r="G33" i="78"/>
  <c r="K33" i="78"/>
  <c r="G34" i="78"/>
  <c r="J34" i="78"/>
  <c r="K34" i="78"/>
  <c r="H35" i="78"/>
  <c r="F7" i="56" s="1"/>
  <c r="E35" i="78"/>
  <c r="D7" i="56" s="1"/>
  <c r="G31" i="78"/>
  <c r="K31" i="78" s="1"/>
  <c r="G30" i="78"/>
  <c r="K30" i="78" s="1"/>
  <c r="G29" i="78"/>
  <c r="K29" i="78" s="1"/>
  <c r="G28" i="78"/>
  <c r="K28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7" i="56" s="1"/>
  <c r="G14" i="78"/>
  <c r="K14" i="78" s="1"/>
  <c r="G13" i="78"/>
  <c r="K13" i="78" s="1"/>
  <c r="G12" i="78"/>
  <c r="K12" i="78" s="1"/>
  <c r="G11" i="78"/>
  <c r="K11" i="78" s="1"/>
  <c r="G10" i="78"/>
  <c r="K10" i="78" s="1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K33" i="14"/>
  <c r="J6" i="14"/>
  <c r="K27" i="14"/>
  <c r="I40" i="56"/>
  <c r="L37" i="76"/>
  <c r="J40" i="56" s="1"/>
  <c r="F40" i="56"/>
  <c r="D40" i="56"/>
  <c r="K35" i="76"/>
  <c r="K34" i="76"/>
  <c r="K33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8" i="56"/>
  <c r="E35" i="57"/>
  <c r="L35" i="9"/>
  <c r="E35" i="60"/>
  <c r="H42" i="75"/>
  <c r="F38" i="56" s="1"/>
  <c r="E42" i="75"/>
  <c r="D38" i="56" s="1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K33" i="75"/>
  <c r="K32" i="75"/>
  <c r="K30" i="75"/>
  <c r="K29" i="75"/>
  <c r="I45" i="75" s="1"/>
  <c r="K28" i="75"/>
  <c r="K27" i="75"/>
  <c r="K24" i="75"/>
  <c r="K22" i="75"/>
  <c r="K21" i="75"/>
  <c r="K20" i="75"/>
  <c r="K19" i="75"/>
  <c r="K18" i="75"/>
  <c r="K17" i="75"/>
  <c r="K16" i="75"/>
  <c r="K14" i="75"/>
  <c r="K13" i="75"/>
  <c r="K12" i="75"/>
  <c r="K11" i="75"/>
  <c r="K10" i="75"/>
  <c r="K9" i="75"/>
  <c r="K8" i="75"/>
  <c r="K7" i="75"/>
  <c r="K6" i="75"/>
  <c r="J4" i="75"/>
  <c r="I28" i="56"/>
  <c r="J4" i="25"/>
  <c r="K4" i="68"/>
  <c r="I26" i="56"/>
  <c r="H35" i="74"/>
  <c r="F28" i="56" s="1"/>
  <c r="D28" i="56"/>
  <c r="K29" i="74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K12" i="74"/>
  <c r="K11" i="74"/>
  <c r="K10" i="74"/>
  <c r="K9" i="74"/>
  <c r="K8" i="74"/>
  <c r="K6" i="74"/>
  <c r="J5" i="74"/>
  <c r="G5" i="74"/>
  <c r="K5" i="74" s="1"/>
  <c r="J4" i="74"/>
  <c r="J35" i="74" s="1"/>
  <c r="G28" i="56" s="1"/>
  <c r="G4" i="74"/>
  <c r="H38" i="73"/>
  <c r="F26" i="56" s="1"/>
  <c r="E38" i="73"/>
  <c r="D26" i="56" s="1"/>
  <c r="K36" i="73"/>
  <c r="K35" i="73"/>
  <c r="K34" i="73"/>
  <c r="K33" i="73"/>
  <c r="K32" i="73"/>
  <c r="K31" i="73"/>
  <c r="K30" i="73"/>
  <c r="K29" i="73"/>
  <c r="K25" i="73"/>
  <c r="K24" i="73"/>
  <c r="K22" i="73"/>
  <c r="K21" i="73"/>
  <c r="K20" i="73"/>
  <c r="K19" i="73"/>
  <c r="K18" i="73"/>
  <c r="K17" i="73"/>
  <c r="K16" i="73"/>
  <c r="K15" i="73"/>
  <c r="K14" i="73"/>
  <c r="K13" i="73"/>
  <c r="K12" i="73"/>
  <c r="K11" i="73"/>
  <c r="K10" i="73"/>
  <c r="K9" i="73"/>
  <c r="K8" i="73"/>
  <c r="K7" i="73"/>
  <c r="K6" i="73"/>
  <c r="K5" i="73"/>
  <c r="J4" i="73"/>
  <c r="J38" i="73" s="1"/>
  <c r="G26" i="56" s="1"/>
  <c r="G4" i="73"/>
  <c r="H35" i="9"/>
  <c r="I11" i="56"/>
  <c r="I25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J12" i="7"/>
  <c r="K12" i="7"/>
  <c r="J13" i="7"/>
  <c r="K13" i="7"/>
  <c r="J14" i="7"/>
  <c r="K14" i="7"/>
  <c r="J15" i="7"/>
  <c r="K15" i="7"/>
  <c r="J16" i="7"/>
  <c r="K16" i="7"/>
  <c r="J17" i="7"/>
  <c r="K17" i="7"/>
  <c r="H37" i="71"/>
  <c r="H43" i="35"/>
  <c r="I12" i="56"/>
  <c r="F12" i="56"/>
  <c r="E37" i="71"/>
  <c r="D12" i="56" s="1"/>
  <c r="J36" i="71"/>
  <c r="G36" i="71"/>
  <c r="K36" i="71" s="1"/>
  <c r="L36" i="71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K6" i="71"/>
  <c r="L6" i="71" s="1"/>
  <c r="J4" i="71"/>
  <c r="J37" i="71" s="1"/>
  <c r="G12" i="56" s="1"/>
  <c r="G4" i="71"/>
  <c r="I50" i="56"/>
  <c r="H48" i="26"/>
  <c r="H50" i="69"/>
  <c r="F50" i="56" s="1"/>
  <c r="J49" i="69"/>
  <c r="G49" i="69"/>
  <c r="K49" i="69" s="1"/>
  <c r="J48" i="69"/>
  <c r="G48" i="69"/>
  <c r="K48" i="69" s="1"/>
  <c r="L50" i="69" s="1"/>
  <c r="J50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50" i="56" s="1"/>
  <c r="G4" i="69"/>
  <c r="H38" i="68"/>
  <c r="F25" i="56" s="1"/>
  <c r="E38" i="68"/>
  <c r="D25" i="56" s="1"/>
  <c r="J38" i="68"/>
  <c r="G25" i="56" s="1"/>
  <c r="I29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10" i="14"/>
  <c r="K11" i="14"/>
  <c r="K12" i="14"/>
  <c r="K13" i="14"/>
  <c r="K19" i="14"/>
  <c r="K21" i="14"/>
  <c r="K22" i="14"/>
  <c r="K23" i="14"/>
  <c r="K25" i="14"/>
  <c r="K26" i="14"/>
  <c r="K28" i="14"/>
  <c r="K30" i="14"/>
  <c r="K31" i="14"/>
  <c r="K32" i="14"/>
  <c r="K34" i="14"/>
  <c r="K35" i="14"/>
  <c r="K36" i="14"/>
  <c r="K37" i="14"/>
  <c r="K38" i="14"/>
  <c r="G39" i="14"/>
  <c r="J39" i="14"/>
  <c r="K39" i="14"/>
  <c r="G40" i="14"/>
  <c r="J40" i="14"/>
  <c r="K40" i="14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4" i="19"/>
  <c r="J7" i="19"/>
  <c r="J6" i="25"/>
  <c r="K6" i="25"/>
  <c r="K7" i="25"/>
  <c r="K8" i="25"/>
  <c r="K9" i="25"/>
  <c r="K11" i="25"/>
  <c r="K12" i="25"/>
  <c r="K13" i="25"/>
  <c r="K14" i="25"/>
  <c r="K16" i="25"/>
  <c r="K17" i="25"/>
  <c r="K18" i="25"/>
  <c r="K19" i="25"/>
  <c r="K20" i="25"/>
  <c r="K21" i="25"/>
  <c r="K23" i="25"/>
  <c r="K24" i="25"/>
  <c r="K25" i="25"/>
  <c r="K26" i="25"/>
  <c r="K27" i="25"/>
  <c r="K28" i="25"/>
  <c r="K29" i="25"/>
  <c r="K30" i="25"/>
  <c r="K31" i="25"/>
  <c r="K32" i="25"/>
  <c r="K33" i="25"/>
  <c r="K35" i="25"/>
  <c r="K36" i="25"/>
  <c r="K38" i="25"/>
  <c r="K39" i="25"/>
  <c r="K40" i="25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9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2" i="26"/>
  <c r="K22" i="26"/>
  <c r="J23" i="26"/>
  <c r="K23" i="26"/>
  <c r="J24" i="26"/>
  <c r="K24" i="26"/>
  <c r="J25" i="26"/>
  <c r="K25" i="26"/>
  <c r="J26" i="26"/>
  <c r="K26" i="26"/>
  <c r="J28" i="26"/>
  <c r="K28" i="26"/>
  <c r="J29" i="26"/>
  <c r="K29" i="26"/>
  <c r="J30" i="26"/>
  <c r="K30" i="26"/>
  <c r="J31" i="26"/>
  <c r="K31" i="26"/>
  <c r="J32" i="26"/>
  <c r="K32" i="26"/>
  <c r="G33" i="26"/>
  <c r="J33" i="26"/>
  <c r="K33" i="26"/>
  <c r="G34" i="26"/>
  <c r="J34" i="26"/>
  <c r="K34" i="26"/>
  <c r="G45" i="26"/>
  <c r="J45" i="26"/>
  <c r="K45" i="26"/>
  <c r="G46" i="26"/>
  <c r="J46" i="26"/>
  <c r="K46" i="26"/>
  <c r="G5" i="19"/>
  <c r="J5" i="19"/>
  <c r="G6" i="19"/>
  <c r="J6" i="19"/>
  <c r="G7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K9" i="14"/>
  <c r="G41" i="14"/>
  <c r="J41" i="14"/>
  <c r="K41" i="14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K5" i="11"/>
  <c r="K6" i="11"/>
  <c r="K7" i="11"/>
  <c r="K8" i="11"/>
  <c r="K9" i="11"/>
  <c r="K10" i="11"/>
  <c r="K11" i="11"/>
  <c r="M11" i="11" s="1"/>
  <c r="M12" i="11" s="1"/>
  <c r="K13" i="11"/>
  <c r="K14" i="11"/>
  <c r="K15" i="11"/>
  <c r="K16" i="11"/>
  <c r="K17" i="11"/>
  <c r="K18" i="11"/>
  <c r="K19" i="11"/>
  <c r="K20" i="11"/>
  <c r="K21" i="11"/>
  <c r="K23" i="11"/>
  <c r="K24" i="11"/>
  <c r="K25" i="11"/>
  <c r="K26" i="11"/>
  <c r="K27" i="11"/>
  <c r="K29" i="11"/>
  <c r="K30" i="11"/>
  <c r="K31" i="11"/>
  <c r="K32" i="11"/>
  <c r="K33" i="11"/>
  <c r="K34" i="11"/>
  <c r="K35" i="11"/>
  <c r="K36" i="11"/>
  <c r="K37" i="11"/>
  <c r="G38" i="16"/>
  <c r="J38" i="16"/>
  <c r="K38" i="16"/>
  <c r="K37" i="62"/>
  <c r="G38" i="62"/>
  <c r="J38" i="62"/>
  <c r="K38" i="62"/>
  <c r="G5" i="58"/>
  <c r="J5" i="58"/>
  <c r="K5" i="58"/>
  <c r="L5" i="58"/>
  <c r="G6" i="58"/>
  <c r="J6" i="58"/>
  <c r="K6" i="58"/>
  <c r="L6" i="58"/>
  <c r="G7" i="58"/>
  <c r="J7" i="58"/>
  <c r="K7" i="58"/>
  <c r="L7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K12" i="58" s="1"/>
  <c r="L12" i="58" s="1"/>
  <c r="J13" i="58"/>
  <c r="K13" i="58" s="1"/>
  <c r="L13" i="58" s="1"/>
  <c r="J14" i="58"/>
  <c r="K14" i="58" s="1"/>
  <c r="L14" i="58" s="1"/>
  <c r="J15" i="58"/>
  <c r="K15" i="58" s="1"/>
  <c r="L15" i="58" s="1"/>
  <c r="J16" i="58"/>
  <c r="K16" i="58" s="1"/>
  <c r="L16" i="58" s="1"/>
  <c r="J17" i="58"/>
  <c r="K17" i="58" s="1"/>
  <c r="L17" i="58" s="1"/>
  <c r="J18" i="58"/>
  <c r="K18" i="58" s="1"/>
  <c r="L18" i="58" s="1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J29" i="58"/>
  <c r="K29" i="58"/>
  <c r="L29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K35" i="50"/>
  <c r="G36" i="50"/>
  <c r="J36" i="50"/>
  <c r="K36" i="50"/>
  <c r="G37" i="50"/>
  <c r="J37" i="50"/>
  <c r="K37" i="50"/>
  <c r="I18" i="56"/>
  <c r="H35" i="63"/>
  <c r="F27" i="56" s="1"/>
  <c r="E35" i="63"/>
  <c r="D27" i="56" s="1"/>
  <c r="J4" i="63"/>
  <c r="J35" i="63" s="1"/>
  <c r="G27" i="56" s="1"/>
  <c r="G4" i="63"/>
  <c r="I32" i="56"/>
  <c r="L39" i="62"/>
  <c r="J19" i="56" s="1"/>
  <c r="H39" i="62"/>
  <c r="F19" i="56" s="1"/>
  <c r="E39" i="62"/>
  <c r="D19" i="56" s="1"/>
  <c r="J4" i="62"/>
  <c r="J39" i="62" s="1"/>
  <c r="G19" i="56" s="1"/>
  <c r="I19" i="56"/>
  <c r="K5" i="19"/>
  <c r="L5" i="19"/>
  <c r="K6" i="19"/>
  <c r="L6" i="19"/>
  <c r="K7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8" i="11"/>
  <c r="H42" i="41"/>
  <c r="I44" i="56"/>
  <c r="H36" i="12"/>
  <c r="I51" i="56"/>
  <c r="I49" i="56"/>
  <c r="H35" i="60"/>
  <c r="F44" i="56" s="1"/>
  <c r="D44" i="56"/>
  <c r="J4" i="60"/>
  <c r="J35" i="60" s="1"/>
  <c r="G44" i="56" s="1"/>
  <c r="G4" i="52"/>
  <c r="J4" i="47"/>
  <c r="J5" i="14"/>
  <c r="L42" i="41"/>
  <c r="I42" i="56"/>
  <c r="I37" i="56"/>
  <c r="I24" i="56"/>
  <c r="I23" i="56"/>
  <c r="K34" i="19"/>
  <c r="L34" i="19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1" i="56" s="1"/>
  <c r="E35" i="58"/>
  <c r="D11" i="56" s="1"/>
  <c r="J35" i="58"/>
  <c r="G11" i="56" s="1"/>
  <c r="H35" i="19"/>
  <c r="E35" i="19"/>
  <c r="E43" i="51"/>
  <c r="F53" i="56"/>
  <c r="D53" i="56"/>
  <c r="F52" i="56"/>
  <c r="D52" i="56"/>
  <c r="D51" i="56"/>
  <c r="E35" i="33"/>
  <c r="D49" i="56" s="1"/>
  <c r="F48" i="56"/>
  <c r="E35" i="9"/>
  <c r="D48" i="56" s="1"/>
  <c r="F47" i="56"/>
  <c r="D47" i="56"/>
  <c r="H35" i="57"/>
  <c r="F46" i="56" s="1"/>
  <c r="D46" i="56"/>
  <c r="J35" i="57"/>
  <c r="G46" i="56" s="1"/>
  <c r="J42" i="56"/>
  <c r="F42" i="56"/>
  <c r="E42" i="41"/>
  <c r="D42" i="56" s="1"/>
  <c r="E36" i="12"/>
  <c r="L36" i="12"/>
  <c r="J41" i="56"/>
  <c r="F41" i="56"/>
  <c r="D41" i="56"/>
  <c r="E42" i="14"/>
  <c r="D37" i="56" s="1"/>
  <c r="E41" i="25"/>
  <c r="D35" i="56" s="1"/>
  <c r="E35" i="40"/>
  <c r="D34" i="56" s="1"/>
  <c r="D32" i="56"/>
  <c r="D29" i="56"/>
  <c r="E35" i="3"/>
  <c r="D24" i="56" s="1"/>
  <c r="E35" i="7"/>
  <c r="D23" i="56" s="1"/>
  <c r="E39" i="16"/>
  <c r="D22" i="56" s="1"/>
  <c r="L39" i="16"/>
  <c r="D21" i="56"/>
  <c r="J48" i="56"/>
  <c r="L38" i="11"/>
  <c r="H38" i="11"/>
  <c r="F32" i="56" s="1"/>
  <c r="H35" i="3"/>
  <c r="F24" i="56" s="1"/>
  <c r="J24" i="56"/>
  <c r="H35" i="7"/>
  <c r="F23" i="56" s="1"/>
  <c r="I3" i="56"/>
  <c r="I2" i="56"/>
  <c r="L38" i="50"/>
  <c r="J2" i="56" s="1"/>
  <c r="H38" i="50"/>
  <c r="F2" i="56" s="1"/>
  <c r="E38" i="50"/>
  <c r="D2" i="56" s="1"/>
  <c r="F51" i="56"/>
  <c r="L42" i="14"/>
  <c r="J37" i="56" s="1"/>
  <c r="H42" i="14"/>
  <c r="F37" i="56" s="1"/>
  <c r="H41" i="25"/>
  <c r="F35" i="56" s="1"/>
  <c r="J35" i="40"/>
  <c r="G34" i="56" s="1"/>
  <c r="H35" i="40"/>
  <c r="F34" i="56" s="1"/>
  <c r="F29" i="56"/>
  <c r="L35" i="52"/>
  <c r="J21" i="56" s="1"/>
  <c r="H35" i="52"/>
  <c r="F21" i="56" s="1"/>
  <c r="D3" i="56"/>
  <c r="L39" i="47"/>
  <c r="J3" i="56" s="1"/>
  <c r="H39" i="47"/>
  <c r="F3" i="56" s="1"/>
  <c r="G4" i="51"/>
  <c r="G43" i="51" s="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J47" i="26"/>
  <c r="J4" i="41"/>
  <c r="J42" i="51"/>
  <c r="K42" i="51"/>
  <c r="J4" i="51"/>
  <c r="G47" i="26"/>
  <c r="K47" i="26"/>
  <c r="G34" i="7"/>
  <c r="J34" i="7"/>
  <c r="K34" i="7"/>
  <c r="G4" i="47"/>
  <c r="G4" i="40"/>
  <c r="J35" i="24"/>
  <c r="G29" i="56" s="1"/>
  <c r="G4" i="12"/>
  <c r="G36" i="12" s="1"/>
  <c r="E41" i="56" s="1"/>
  <c r="H39" i="16"/>
  <c r="F22" i="56" s="1"/>
  <c r="J42" i="35"/>
  <c r="G42" i="35"/>
  <c r="K42" i="35" s="1"/>
  <c r="J4" i="35"/>
  <c r="H35" i="33"/>
  <c r="F49" i="56" s="1"/>
  <c r="J4" i="33"/>
  <c r="J35" i="33" s="1"/>
  <c r="G49" i="56" s="1"/>
  <c r="G4" i="33"/>
  <c r="L35" i="7"/>
  <c r="J23" i="56" s="1"/>
  <c r="J4" i="26"/>
  <c r="J4" i="9"/>
  <c r="G4" i="7"/>
  <c r="G4" i="19"/>
  <c r="G35" i="19" s="1"/>
  <c r="E53" i="56" s="1"/>
  <c r="J4" i="19"/>
  <c r="K4" i="19"/>
  <c r="J4" i="16"/>
  <c r="G4" i="16"/>
  <c r="K4" i="16" s="1"/>
  <c r="J4" i="14"/>
  <c r="G4" i="14"/>
  <c r="K4" i="14"/>
  <c r="J4" i="7"/>
  <c r="J35" i="7" s="1"/>
  <c r="G23" i="56" s="1"/>
  <c r="J4" i="12"/>
  <c r="G4" i="11"/>
  <c r="J4" i="11"/>
  <c r="J38" i="11" s="1"/>
  <c r="G32" i="56" s="1"/>
  <c r="K4" i="11"/>
  <c r="M4" i="11" s="1"/>
  <c r="M5" i="11" s="1"/>
  <c r="J35" i="3"/>
  <c r="G24" i="56" s="1"/>
  <c r="G4" i="3"/>
  <c r="G35" i="3" s="1"/>
  <c r="E24" i="56" s="1"/>
  <c r="M12" i="40" l="1"/>
  <c r="M13" i="40" s="1"/>
  <c r="M14" i="40" s="1"/>
  <c r="M15" i="40" s="1"/>
  <c r="M16" i="40" s="1"/>
  <c r="M17" i="40" s="1"/>
  <c r="M18" i="40" s="1"/>
  <c r="M19" i="40" s="1"/>
  <c r="M20" i="40" s="1"/>
  <c r="M21" i="40" s="1"/>
  <c r="M22" i="40" s="1"/>
  <c r="M23" i="40" s="1"/>
  <c r="M24" i="40" s="1"/>
  <c r="M25" i="40" s="1"/>
  <c r="M26" i="40" s="1"/>
  <c r="M27" i="40" s="1"/>
  <c r="M28" i="40" s="1"/>
  <c r="M29" i="40" s="1"/>
  <c r="M30" i="40" s="1"/>
  <c r="M31" i="40" s="1"/>
  <c r="M32" i="40" s="1"/>
  <c r="M33" i="40" s="1"/>
  <c r="M34" i="40" s="1"/>
  <c r="M13" i="11"/>
  <c r="M14" i="11" s="1"/>
  <c r="M15" i="11" s="1"/>
  <c r="M16" i="11" s="1"/>
  <c r="M17" i="11" s="1"/>
  <c r="M18" i="11" s="1"/>
  <c r="M19" i="11" s="1"/>
  <c r="K20" i="98"/>
  <c r="G35" i="113"/>
  <c r="K4" i="113"/>
  <c r="K39" i="103"/>
  <c r="K5" i="109"/>
  <c r="G35" i="109"/>
  <c r="G35" i="111"/>
  <c r="K4" i="111"/>
  <c r="K5" i="45"/>
  <c r="M5" i="45" s="1"/>
  <c r="M6" i="45"/>
  <c r="M7" i="45" s="1"/>
  <c r="M8" i="45" s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K10" i="51"/>
  <c r="K9" i="51"/>
  <c r="K7" i="51"/>
  <c r="K6" i="51"/>
  <c r="K5" i="51"/>
  <c r="K22" i="69"/>
  <c r="K29" i="57"/>
  <c r="K7" i="100"/>
  <c r="K6" i="100"/>
  <c r="K5" i="100"/>
  <c r="K8" i="100"/>
  <c r="K9" i="100"/>
  <c r="L36" i="65"/>
  <c r="K68" i="65"/>
  <c r="K5" i="104"/>
  <c r="K33" i="52"/>
  <c r="K22" i="80"/>
  <c r="K21" i="80"/>
  <c r="K20" i="80"/>
  <c r="K19" i="80"/>
  <c r="K18" i="80"/>
  <c r="K16" i="80"/>
  <c r="K20" i="45"/>
  <c r="K55" i="45"/>
  <c r="K82" i="44"/>
  <c r="K79" i="44"/>
  <c r="E5" i="56"/>
  <c r="H5" i="56" s="1"/>
  <c r="K5" i="56" s="1"/>
  <c r="K4" i="110"/>
  <c r="E4" i="56"/>
  <c r="H4" i="56" s="1"/>
  <c r="K4" i="56" s="1"/>
  <c r="K4" i="109"/>
  <c r="G37" i="108"/>
  <c r="E13" i="56" s="1"/>
  <c r="H13" i="56" s="1"/>
  <c r="K13" i="56" s="1"/>
  <c r="K4" i="108"/>
  <c r="L37" i="106"/>
  <c r="J15" i="56" s="1"/>
  <c r="G37" i="107"/>
  <c r="E14" i="56" s="1"/>
  <c r="H14" i="56" s="1"/>
  <c r="K14" i="56" s="1"/>
  <c r="K4" i="107"/>
  <c r="G37" i="106"/>
  <c r="E15" i="56" s="1"/>
  <c r="H15" i="56" s="1"/>
  <c r="K15" i="56" s="1"/>
  <c r="K4" i="106"/>
  <c r="K9" i="105"/>
  <c r="M5" i="104"/>
  <c r="K33" i="16"/>
  <c r="M6" i="104"/>
  <c r="M7" i="104" s="1"/>
  <c r="M8" i="104" s="1"/>
  <c r="M9" i="104" s="1"/>
  <c r="M10" i="104" s="1"/>
  <c r="M11" i="104" s="1"/>
  <c r="M12" i="104" s="1"/>
  <c r="M13" i="104" s="1"/>
  <c r="M14" i="104" s="1"/>
  <c r="M15" i="104" s="1"/>
  <c r="M16" i="104" s="1"/>
  <c r="M17" i="104" s="1"/>
  <c r="M18" i="104" s="1"/>
  <c r="M19" i="104" s="1"/>
  <c r="M20" i="104" s="1"/>
  <c r="M21" i="104" s="1"/>
  <c r="M22" i="104" s="1"/>
  <c r="M23" i="104" s="1"/>
  <c r="M24" i="104" s="1"/>
  <c r="M25" i="104" s="1"/>
  <c r="M26" i="104"/>
  <c r="M27" i="104" s="1"/>
  <c r="M28" i="104" s="1"/>
  <c r="M29" i="104" s="1"/>
  <c r="M30" i="104" s="1"/>
  <c r="M31" i="104" s="1"/>
  <c r="M32" i="104" s="1"/>
  <c r="M33" i="104" s="1"/>
  <c r="M34" i="104" s="1"/>
  <c r="M35" i="104" s="1"/>
  <c r="M36" i="104" s="1"/>
  <c r="E17" i="56"/>
  <c r="H17" i="56" s="1"/>
  <c r="K4" i="105"/>
  <c r="G37" i="104"/>
  <c r="E16" i="56" s="1"/>
  <c r="H16" i="56" s="1"/>
  <c r="K11" i="7"/>
  <c r="G39" i="103"/>
  <c r="E20" i="56" s="1"/>
  <c r="H20" i="56" s="1"/>
  <c r="K20" i="56" s="1"/>
  <c r="K9" i="47"/>
  <c r="K18" i="47"/>
  <c r="K17" i="47"/>
  <c r="K16" i="47"/>
  <c r="J35" i="100"/>
  <c r="G45" i="56" s="1"/>
  <c r="H45" i="56"/>
  <c r="K9" i="24"/>
  <c r="K8" i="24"/>
  <c r="K24" i="52"/>
  <c r="K23" i="52"/>
  <c r="K22" i="52"/>
  <c r="K21" i="52"/>
  <c r="K20" i="52"/>
  <c r="M20" i="52" s="1"/>
  <c r="M21" i="52" s="1"/>
  <c r="M22" i="52" s="1"/>
  <c r="M23" i="52" s="1"/>
  <c r="M24" i="52" s="1"/>
  <c r="K32" i="52"/>
  <c r="K30" i="52"/>
  <c r="K29" i="52"/>
  <c r="K28" i="52"/>
  <c r="K27" i="52"/>
  <c r="K26" i="52"/>
  <c r="K25" i="52"/>
  <c r="K19" i="98"/>
  <c r="K45" i="56"/>
  <c r="G38" i="101"/>
  <c r="E33" i="56" s="1"/>
  <c r="H33" i="56" s="1"/>
  <c r="K33" i="56" s="1"/>
  <c r="K4" i="101"/>
  <c r="K38" i="101" s="1"/>
  <c r="K31" i="52"/>
  <c r="I55" i="56"/>
  <c r="I57" i="56" s="1"/>
  <c r="K4" i="100"/>
  <c r="K35" i="100" s="1"/>
  <c r="L42" i="75"/>
  <c r="J38" i="56" s="1"/>
  <c r="G39" i="99"/>
  <c r="E31" i="56" s="1"/>
  <c r="H31" i="56" s="1"/>
  <c r="K31" i="56" s="1"/>
  <c r="K4" i="99"/>
  <c r="K85" i="44"/>
  <c r="K8" i="14"/>
  <c r="G36" i="98"/>
  <c r="E10" i="56" s="1"/>
  <c r="H10" i="56" s="1"/>
  <c r="K4" i="98"/>
  <c r="L36" i="98" s="1"/>
  <c r="J10" i="56" s="1"/>
  <c r="K25" i="60"/>
  <c r="K24" i="60"/>
  <c r="K23" i="60"/>
  <c r="K22" i="60"/>
  <c r="K21" i="60"/>
  <c r="K20" i="60"/>
  <c r="K19" i="60"/>
  <c r="K18" i="60"/>
  <c r="K17" i="60"/>
  <c r="K15" i="60"/>
  <c r="K26" i="41"/>
  <c r="L36" i="93"/>
  <c r="J9" i="56" s="1"/>
  <c r="K24" i="76"/>
  <c r="J54" i="56"/>
  <c r="G46" i="95"/>
  <c r="E6" i="56" s="1"/>
  <c r="H6" i="56" s="1"/>
  <c r="K4" i="95"/>
  <c r="L4" i="95" s="1"/>
  <c r="L46" i="95" s="1"/>
  <c r="J6" i="56" s="1"/>
  <c r="K23" i="76"/>
  <c r="G36" i="93"/>
  <c r="E9" i="56" s="1"/>
  <c r="H9" i="56" s="1"/>
  <c r="K9" i="56" s="1"/>
  <c r="K4" i="93"/>
  <c r="M4" i="89"/>
  <c r="M5" i="89" s="1"/>
  <c r="M6" i="89" s="1"/>
  <c r="M7" i="89" s="1"/>
  <c r="M8" i="89" s="1"/>
  <c r="M9" i="89" s="1"/>
  <c r="M10" i="89" s="1"/>
  <c r="J35" i="89"/>
  <c r="G8" i="56" s="1"/>
  <c r="J32" i="56"/>
  <c r="L35" i="89"/>
  <c r="J8" i="56" s="1"/>
  <c r="K35" i="89"/>
  <c r="G35" i="89"/>
  <c r="E8" i="56" s="1"/>
  <c r="H8" i="56" s="1"/>
  <c r="K8" i="56" s="1"/>
  <c r="G56" i="85"/>
  <c r="E36" i="56" s="1"/>
  <c r="H36" i="56" s="1"/>
  <c r="K36" i="56" s="1"/>
  <c r="K4" i="85"/>
  <c r="J35" i="78"/>
  <c r="G7" i="56" s="1"/>
  <c r="G35" i="83"/>
  <c r="E43" i="56" s="1"/>
  <c r="H43" i="56" s="1"/>
  <c r="K43" i="56" s="1"/>
  <c r="K4" i="83"/>
  <c r="F55" i="56"/>
  <c r="E54" i="56"/>
  <c r="H54" i="56" s="1"/>
  <c r="K54" i="56" s="1"/>
  <c r="G40" i="80"/>
  <c r="E30" i="56" s="1"/>
  <c r="H30" i="56" s="1"/>
  <c r="K30" i="56" s="1"/>
  <c r="K4" i="80"/>
  <c r="G35" i="79"/>
  <c r="E39" i="56" s="1"/>
  <c r="H39" i="56" s="1"/>
  <c r="K39" i="56" s="1"/>
  <c r="K4" i="79"/>
  <c r="K32" i="74"/>
  <c r="K31" i="74"/>
  <c r="K30" i="74"/>
  <c r="G35" i="78"/>
  <c r="E7" i="56" s="1"/>
  <c r="K6" i="14"/>
  <c r="J37" i="76"/>
  <c r="G40" i="56" s="1"/>
  <c r="K4" i="76"/>
  <c r="G37" i="76"/>
  <c r="E40" i="56" s="1"/>
  <c r="H40" i="56" s="1"/>
  <c r="K40" i="56" s="1"/>
  <c r="K5" i="76"/>
  <c r="J42" i="75"/>
  <c r="G38" i="56" s="1"/>
  <c r="K4" i="75"/>
  <c r="G42" i="75"/>
  <c r="E38" i="56" s="1"/>
  <c r="H38" i="56" s="1"/>
  <c r="K38" i="56" s="1"/>
  <c r="K5" i="75"/>
  <c r="G35" i="74"/>
  <c r="E28" i="56" s="1"/>
  <c r="H28" i="56" s="1"/>
  <c r="K4" i="74"/>
  <c r="G38" i="73"/>
  <c r="E26" i="56" s="1"/>
  <c r="H26" i="56" s="1"/>
  <c r="K4" i="73"/>
  <c r="H24" i="56"/>
  <c r="K24" i="56" s="1"/>
  <c r="K11" i="35"/>
  <c r="G37" i="71"/>
  <c r="E12" i="56" s="1"/>
  <c r="H12" i="56" s="1"/>
  <c r="K4" i="71"/>
  <c r="K4" i="69"/>
  <c r="D50" i="56"/>
  <c r="D55" i="56" s="1"/>
  <c r="G38" i="68"/>
  <c r="E25" i="56" s="1"/>
  <c r="M7" i="44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6" i="11"/>
  <c r="J39" i="16"/>
  <c r="G22" i="56" s="1"/>
  <c r="L48" i="26"/>
  <c r="G35" i="63"/>
  <c r="E27" i="56" s="1"/>
  <c r="H27" i="56" s="1"/>
  <c r="K4" i="63"/>
  <c r="M7" i="11"/>
  <c r="M8" i="11" s="1"/>
  <c r="G39" i="62"/>
  <c r="E19" i="56" s="1"/>
  <c r="H19" i="56" s="1"/>
  <c r="K19" i="56" s="1"/>
  <c r="K4" i="62"/>
  <c r="G35" i="60"/>
  <c r="E44" i="56" s="1"/>
  <c r="H44" i="56" s="1"/>
  <c r="K4" i="60"/>
  <c r="J43" i="51"/>
  <c r="G52" i="56" s="1"/>
  <c r="J22" i="56"/>
  <c r="K4" i="12"/>
  <c r="K36" i="12" s="1"/>
  <c r="J36" i="12"/>
  <c r="G41" i="56" s="1"/>
  <c r="H41" i="56"/>
  <c r="K41" i="56" s="1"/>
  <c r="G35" i="33"/>
  <c r="E49" i="56" s="1"/>
  <c r="H49" i="56" s="1"/>
  <c r="J35" i="9"/>
  <c r="G48" i="56" s="1"/>
  <c r="J48" i="26"/>
  <c r="G47" i="56" s="1"/>
  <c r="K4" i="40"/>
  <c r="G35" i="40"/>
  <c r="E34" i="56" s="1"/>
  <c r="H34" i="56" s="1"/>
  <c r="L35" i="40"/>
  <c r="J34" i="56" s="1"/>
  <c r="K34" i="56" s="1"/>
  <c r="K35" i="40"/>
  <c r="J35" i="52"/>
  <c r="G21" i="56" s="1"/>
  <c r="K35" i="52"/>
  <c r="H21" i="56" s="1"/>
  <c r="K21" i="56" s="1"/>
  <c r="G35" i="52"/>
  <c r="J42" i="41"/>
  <c r="G42" i="56" s="1"/>
  <c r="G38" i="11"/>
  <c r="E32" i="56" s="1"/>
  <c r="G43" i="35"/>
  <c r="E51" i="56" s="1"/>
  <c r="E52" i="56"/>
  <c r="H52" i="56" s="1"/>
  <c r="J47" i="56"/>
  <c r="G48" i="26"/>
  <c r="E47" i="56" s="1"/>
  <c r="J35" i="19"/>
  <c r="G53" i="56" s="1"/>
  <c r="H53" i="56" s="1"/>
  <c r="J43" i="35"/>
  <c r="G51" i="56" s="1"/>
  <c r="H51" i="56" s="1"/>
  <c r="G35" i="9"/>
  <c r="E48" i="56" s="1"/>
  <c r="G42" i="41"/>
  <c r="E42" i="56" s="1"/>
  <c r="H42" i="56" s="1"/>
  <c r="G35" i="58"/>
  <c r="E11" i="56" s="1"/>
  <c r="H11" i="56" s="1"/>
  <c r="K4" i="58"/>
  <c r="G35" i="57"/>
  <c r="E46" i="56" s="1"/>
  <c r="H46" i="56" s="1"/>
  <c r="K4" i="57"/>
  <c r="L35" i="57" s="1"/>
  <c r="J46" i="56" s="1"/>
  <c r="H32" i="56"/>
  <c r="K32" i="56" s="1"/>
  <c r="G35" i="7"/>
  <c r="E23" i="56" s="1"/>
  <c r="J39" i="47"/>
  <c r="G3" i="56" s="1"/>
  <c r="J42" i="14"/>
  <c r="G37" i="56" s="1"/>
  <c r="G42" i="14"/>
  <c r="E37" i="56" s="1"/>
  <c r="H37" i="56" s="1"/>
  <c r="K37" i="56" s="1"/>
  <c r="G39" i="47"/>
  <c r="E3" i="56" s="1"/>
  <c r="H3" i="56" s="1"/>
  <c r="K35" i="19"/>
  <c r="H25" i="56"/>
  <c r="J38" i="50"/>
  <c r="G2" i="56" s="1"/>
  <c r="G38" i="50"/>
  <c r="E2" i="56" s="1"/>
  <c r="G41" i="25"/>
  <c r="E35" i="56" s="1"/>
  <c r="J41" i="25"/>
  <c r="G35" i="56" s="1"/>
  <c r="H35" i="56" s="1"/>
  <c r="K38" i="11"/>
  <c r="G35" i="24"/>
  <c r="E29" i="56" s="1"/>
  <c r="H29" i="56" s="1"/>
  <c r="K4" i="41"/>
  <c r="K42" i="14"/>
  <c r="K4" i="51"/>
  <c r="K4" i="24"/>
  <c r="M4" i="24" s="1"/>
  <c r="K38" i="50"/>
  <c r="K4" i="47"/>
  <c r="K39" i="47" s="1"/>
  <c r="M4" i="47"/>
  <c r="G39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4" i="12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3" i="56" s="1"/>
  <c r="K4" i="7"/>
  <c r="K35" i="7" s="1"/>
  <c r="M4" i="14"/>
  <c r="M5" i="14" s="1"/>
  <c r="M6" i="14" s="1"/>
  <c r="M7" i="14" s="1"/>
  <c r="K4" i="9"/>
  <c r="K4" i="26"/>
  <c r="M4" i="26" s="1"/>
  <c r="M5" i="26" s="1"/>
  <c r="M15" i="12"/>
  <c r="K4" i="25"/>
  <c r="M4" i="25" s="1"/>
  <c r="K35" i="3"/>
  <c r="K35" i="113" l="1"/>
  <c r="M4" i="113"/>
  <c r="M5" i="113" s="1"/>
  <c r="M6" i="113" s="1"/>
  <c r="M7" i="113" s="1"/>
  <c r="M8" i="113" s="1"/>
  <c r="M9" i="113" s="1"/>
  <c r="M10" i="113" s="1"/>
  <c r="M11" i="113" s="1"/>
  <c r="M12" i="113" s="1"/>
  <c r="M13" i="113" s="1"/>
  <c r="M14" i="113" s="1"/>
  <c r="M15" i="113" s="1"/>
  <c r="M16" i="113" s="1"/>
  <c r="M17" i="113" s="1"/>
  <c r="M18" i="113" s="1"/>
  <c r="M19" i="113" s="1"/>
  <c r="M20" i="113" s="1"/>
  <c r="M21" i="113" s="1"/>
  <c r="M22" i="113" s="1"/>
  <c r="M23" i="113" s="1"/>
  <c r="M24" i="113" s="1"/>
  <c r="M25" i="113" s="1"/>
  <c r="M26" i="113" s="1"/>
  <c r="M27" i="113" s="1"/>
  <c r="M28" i="113" s="1"/>
  <c r="M29" i="113" s="1"/>
  <c r="M30" i="113" s="1"/>
  <c r="M31" i="113" s="1"/>
  <c r="M32" i="113" s="1"/>
  <c r="M33" i="113" s="1"/>
  <c r="M34" i="113" s="1"/>
  <c r="K35" i="111"/>
  <c r="M4" i="111"/>
  <c r="M5" i="111" s="1"/>
  <c r="M6" i="111" s="1"/>
  <c r="M7" i="111" s="1"/>
  <c r="M8" i="111" s="1"/>
  <c r="M9" i="111" s="1"/>
  <c r="M10" i="111" s="1"/>
  <c r="M11" i="111" s="1"/>
  <c r="M12" i="111" s="1"/>
  <c r="M13" i="111" s="1"/>
  <c r="M14" i="111" s="1"/>
  <c r="M15" i="111" s="1"/>
  <c r="M16" i="111" s="1"/>
  <c r="M17" i="111" s="1"/>
  <c r="M18" i="111" s="1"/>
  <c r="M19" i="111" s="1"/>
  <c r="M20" i="111" s="1"/>
  <c r="M21" i="111" s="1"/>
  <c r="M22" i="111" s="1"/>
  <c r="M23" i="111" s="1"/>
  <c r="M24" i="111" s="1"/>
  <c r="M25" i="111" s="1"/>
  <c r="M26" i="111" s="1"/>
  <c r="M27" i="111" s="1"/>
  <c r="M28" i="111" s="1"/>
  <c r="M29" i="111" s="1"/>
  <c r="M30" i="111" s="1"/>
  <c r="M31" i="111" s="1"/>
  <c r="M32" i="111" s="1"/>
  <c r="M33" i="111" s="1"/>
  <c r="M20" i="45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M39" i="45" s="1"/>
  <c r="M40" i="45" s="1"/>
  <c r="M41" i="45" s="1"/>
  <c r="M42" i="45" s="1"/>
  <c r="M43" i="45" s="1"/>
  <c r="M44" i="45" s="1"/>
  <c r="M45" i="45" s="1"/>
  <c r="M46" i="45" s="1"/>
  <c r="M47" i="45" s="1"/>
  <c r="M48" i="45" s="1"/>
  <c r="M49" i="45" s="1"/>
  <c r="M50" i="45" s="1"/>
  <c r="M51" i="45" s="1"/>
  <c r="M52" i="45" s="1"/>
  <c r="M53" i="45" s="1"/>
  <c r="M54" i="45" s="1"/>
  <c r="M55" i="45" s="1"/>
  <c r="M56" i="45" s="1"/>
  <c r="M57" i="45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H47" i="56"/>
  <c r="M4" i="105"/>
  <c r="M5" i="105" s="1"/>
  <c r="M6" i="105" s="1"/>
  <c r="M7" i="105" s="1"/>
  <c r="M8" i="105" s="1"/>
  <c r="M9" i="105" s="1"/>
  <c r="M10" i="105" s="1"/>
  <c r="M11" i="105" s="1"/>
  <c r="M12" i="105" s="1"/>
  <c r="M13" i="105" s="1"/>
  <c r="K6" i="56"/>
  <c r="M38" i="44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4" i="110"/>
  <c r="M5" i="110" s="1"/>
  <c r="M6" i="110" s="1"/>
  <c r="M7" i="110" s="1"/>
  <c r="M8" i="110" s="1"/>
  <c r="M9" i="110" s="1"/>
  <c r="M10" i="110" s="1"/>
  <c r="M11" i="110" s="1"/>
  <c r="M12" i="110" s="1"/>
  <c r="M13" i="110" s="1"/>
  <c r="M14" i="110" s="1"/>
  <c r="M15" i="110" s="1"/>
  <c r="M16" i="110" s="1"/>
  <c r="M17" i="110" s="1"/>
  <c r="M18" i="110" s="1"/>
  <c r="M19" i="110" s="1"/>
  <c r="M20" i="110" s="1"/>
  <c r="M21" i="110" s="1"/>
  <c r="M22" i="110" s="1"/>
  <c r="M23" i="110" s="1"/>
  <c r="M24" i="110" s="1"/>
  <c r="M25" i="110" s="1"/>
  <c r="M26" i="110" s="1"/>
  <c r="M27" i="110" s="1"/>
  <c r="M28" i="110" s="1"/>
  <c r="M29" i="110" s="1"/>
  <c r="M30" i="110" s="1"/>
  <c r="M31" i="110" s="1"/>
  <c r="M32" i="110" s="1"/>
  <c r="M33" i="110" s="1"/>
  <c r="M34" i="110" s="1"/>
  <c r="K35" i="109"/>
  <c r="M4" i="109"/>
  <c r="M5" i="109" s="1"/>
  <c r="M6" i="109" s="1"/>
  <c r="M7" i="109" s="1"/>
  <c r="M8" i="109" s="1"/>
  <c r="M9" i="109" s="1"/>
  <c r="M10" i="109" s="1"/>
  <c r="M11" i="109" s="1"/>
  <c r="M12" i="109" s="1"/>
  <c r="M13" i="109" s="1"/>
  <c r="M14" i="109" s="1"/>
  <c r="M15" i="109" s="1"/>
  <c r="M16" i="109" s="1"/>
  <c r="M17" i="109" s="1"/>
  <c r="M18" i="109" s="1"/>
  <c r="M19" i="109" s="1"/>
  <c r="M20" i="109" s="1"/>
  <c r="M21" i="109" s="1"/>
  <c r="M22" i="109" s="1"/>
  <c r="M23" i="109" s="1"/>
  <c r="M24" i="109" s="1"/>
  <c r="M25" i="109" s="1"/>
  <c r="M26" i="109" s="1"/>
  <c r="M27" i="109" s="1"/>
  <c r="M28" i="109" s="1"/>
  <c r="M29" i="109" s="1"/>
  <c r="M30" i="109" s="1"/>
  <c r="M31" i="109" s="1"/>
  <c r="M32" i="109" s="1"/>
  <c r="M33" i="109" s="1"/>
  <c r="M34" i="109" s="1"/>
  <c r="K37" i="108"/>
  <c r="M4" i="108"/>
  <c r="M5" i="108" s="1"/>
  <c r="M6" i="108" s="1"/>
  <c r="M7" i="108" s="1"/>
  <c r="M8" i="108" s="1"/>
  <c r="M9" i="108" s="1"/>
  <c r="M10" i="108" s="1"/>
  <c r="M11" i="108" s="1"/>
  <c r="M12" i="108" s="1"/>
  <c r="M13" i="108" s="1"/>
  <c r="M14" i="108" s="1"/>
  <c r="M15" i="108" s="1"/>
  <c r="M16" i="108" s="1"/>
  <c r="M17" i="108" s="1"/>
  <c r="M18" i="108" s="1"/>
  <c r="M19" i="108" s="1"/>
  <c r="M20" i="108" s="1"/>
  <c r="M21" i="108" s="1"/>
  <c r="M22" i="108" s="1"/>
  <c r="M23" i="108" s="1"/>
  <c r="M24" i="108" s="1"/>
  <c r="M25" i="108" s="1"/>
  <c r="M26" i="108" s="1"/>
  <c r="M27" i="108" s="1"/>
  <c r="M28" i="108" s="1"/>
  <c r="M29" i="108" s="1"/>
  <c r="M30" i="108" s="1"/>
  <c r="M31" i="108" s="1"/>
  <c r="M32" i="108" s="1"/>
  <c r="M33" i="108" s="1"/>
  <c r="M34" i="108" s="1"/>
  <c r="M35" i="108" s="1"/>
  <c r="M36" i="108" s="1"/>
  <c r="K37" i="107"/>
  <c r="M4" i="107"/>
  <c r="M5" i="107" s="1"/>
  <c r="M6" i="107" s="1"/>
  <c r="M7" i="107" s="1"/>
  <c r="M8" i="107" s="1"/>
  <c r="M9" i="107" s="1"/>
  <c r="M10" i="107" s="1"/>
  <c r="M11" i="107" s="1"/>
  <c r="M12" i="107" s="1"/>
  <c r="M13" i="107" s="1"/>
  <c r="M14" i="107" s="1"/>
  <c r="M15" i="107" s="1"/>
  <c r="M16" i="107" s="1"/>
  <c r="M17" i="107" s="1"/>
  <c r="M18" i="107" s="1"/>
  <c r="M19" i="107" s="1"/>
  <c r="M20" i="107" s="1"/>
  <c r="M21" i="107" s="1"/>
  <c r="M22" i="107" s="1"/>
  <c r="M23" i="107" s="1"/>
  <c r="M24" i="107" s="1"/>
  <c r="M25" i="107" s="1"/>
  <c r="M26" i="107" s="1"/>
  <c r="M27" i="107" s="1"/>
  <c r="M28" i="107" s="1"/>
  <c r="M29" i="107" s="1"/>
  <c r="M30" i="107" s="1"/>
  <c r="M31" i="107" s="1"/>
  <c r="M32" i="107" s="1"/>
  <c r="M33" i="107" s="1"/>
  <c r="M34" i="107" s="1"/>
  <c r="M35" i="107" s="1"/>
  <c r="M36" i="107" s="1"/>
  <c r="K37" i="106"/>
  <c r="M4" i="106"/>
  <c r="M5" i="106" s="1"/>
  <c r="M6" i="106" s="1"/>
  <c r="M7" i="106" s="1"/>
  <c r="M8" i="106" s="1"/>
  <c r="M9" i="106" s="1"/>
  <c r="M10" i="106" s="1"/>
  <c r="M11" i="106" s="1"/>
  <c r="M12" i="106" s="1"/>
  <c r="M11" i="89"/>
  <c r="M12" i="89" s="1"/>
  <c r="M13" i="89" s="1"/>
  <c r="M14" i="89" s="1"/>
  <c r="M15" i="89" s="1"/>
  <c r="M16" i="89" s="1"/>
  <c r="M17" i="89" s="1"/>
  <c r="M18" i="89" s="1"/>
  <c r="M19" i="89" s="1"/>
  <c r="M20" i="89" s="1"/>
  <c r="K37" i="105"/>
  <c r="L37" i="105"/>
  <c r="J17" i="56" s="1"/>
  <c r="K17" i="56" s="1"/>
  <c r="K37" i="104"/>
  <c r="M8" i="14"/>
  <c r="M9" i="14" s="1"/>
  <c r="M10" i="14" s="1"/>
  <c r="M11" i="14" s="1"/>
  <c r="M12" i="14" s="1"/>
  <c r="M13" i="14" s="1"/>
  <c r="M14" i="14" s="1"/>
  <c r="K43" i="51"/>
  <c r="M4" i="51"/>
  <c r="M21" i="89"/>
  <c r="M22" i="89" s="1"/>
  <c r="M23" i="89" s="1"/>
  <c r="M24" i="89" s="1"/>
  <c r="M25" i="89" s="1"/>
  <c r="M26" i="89" s="1"/>
  <c r="M27" i="89" s="1"/>
  <c r="M4" i="103"/>
  <c r="M16" i="47"/>
  <c r="M17" i="47" s="1"/>
  <c r="M18" i="47"/>
  <c r="M19" i="47" s="1"/>
  <c r="M20" i="47" s="1"/>
  <c r="M21" i="47" s="1"/>
  <c r="M22" i="47" s="1"/>
  <c r="M23" i="47" s="1"/>
  <c r="M24" i="47" s="1"/>
  <c r="M15" i="14"/>
  <c r="M16" i="14" s="1"/>
  <c r="M17" i="14" s="1"/>
  <c r="M18" i="14" s="1"/>
  <c r="M19" i="14" s="1"/>
  <c r="M20" i="14" s="1"/>
  <c r="M21" i="14" s="1"/>
  <c r="M22" i="14" s="1"/>
  <c r="M23" i="14" s="1"/>
  <c r="M25" i="52"/>
  <c r="M26" i="52" s="1"/>
  <c r="M27" i="52" s="1"/>
  <c r="M28" i="52" s="1"/>
  <c r="M29" i="52" s="1"/>
  <c r="M30" i="52" s="1"/>
  <c r="M31" i="52" s="1"/>
  <c r="M32" i="52" s="1"/>
  <c r="M33" i="52" s="1"/>
  <c r="K10" i="56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M18" i="101" s="1"/>
  <c r="M19" i="101" s="1"/>
  <c r="M20" i="101" s="1"/>
  <c r="M21" i="101" s="1"/>
  <c r="M22" i="101" s="1"/>
  <c r="K18" i="56"/>
  <c r="M4" i="100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K36" i="98"/>
  <c r="M4" i="98"/>
  <c r="M28" i="89"/>
  <c r="M29" i="89" s="1"/>
  <c r="M30" i="89" s="1"/>
  <c r="M31" i="89" s="1"/>
  <c r="M32" i="89" s="1"/>
  <c r="M33" i="89" s="1"/>
  <c r="M34" i="89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6" i="93"/>
  <c r="M4" i="93"/>
  <c r="M5" i="93" s="1"/>
  <c r="M6" i="93" s="1"/>
  <c r="M7" i="93" s="1"/>
  <c r="M8" i="93" s="1"/>
  <c r="M9" i="93" s="1"/>
  <c r="M10" i="93" s="1"/>
  <c r="M11" i="93" s="1"/>
  <c r="M12" i="93" s="1"/>
  <c r="H7" i="56"/>
  <c r="K7" i="56" s="1"/>
  <c r="K46" i="56"/>
  <c r="M9" i="11"/>
  <c r="M10" i="11" s="1"/>
  <c r="M20" i="11" s="1"/>
  <c r="M21" i="11" s="1"/>
  <c r="M22" i="11" s="1"/>
  <c r="M23" i="11" s="1"/>
  <c r="M24" i="11" s="1"/>
  <c r="M25" i="11" s="1"/>
  <c r="K56" i="85"/>
  <c r="M4" i="85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G55" i="56"/>
  <c r="H2" i="56"/>
  <c r="K40" i="80"/>
  <c r="M4" i="80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M38" i="75" s="1"/>
  <c r="M39" i="75" s="1"/>
  <c r="M40" i="75" s="1"/>
  <c r="K35" i="74"/>
  <c r="L35" i="74"/>
  <c r="J28" i="56" s="1"/>
  <c r="K28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8" i="73"/>
  <c r="L38" i="73"/>
  <c r="J26" i="56" s="1"/>
  <c r="K26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5" i="24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K35" i="24"/>
  <c r="K3" i="56"/>
  <c r="K37" i="71"/>
  <c r="L4" i="71"/>
  <c r="L37" i="71" s="1"/>
  <c r="J12" i="56" s="1"/>
  <c r="K12" i="56" s="1"/>
  <c r="G50" i="69"/>
  <c r="E50" i="56" s="1"/>
  <c r="K50" i="69"/>
  <c r="H50" i="56" s="1"/>
  <c r="M4" i="69"/>
  <c r="M5" i="69" s="1"/>
  <c r="M6" i="69" s="1"/>
  <c r="M7" i="69" s="1"/>
  <c r="M8" i="69" s="1"/>
  <c r="M9" i="69" s="1"/>
  <c r="K38" i="68"/>
  <c r="L38" i="68"/>
  <c r="J25" i="56" s="1"/>
  <c r="M4" i="68"/>
  <c r="M5" i="68" s="1"/>
  <c r="M6" i="68" s="1"/>
  <c r="M7" i="68" s="1"/>
  <c r="M8" i="68" s="1"/>
  <c r="M9" i="68" s="1"/>
  <c r="K41" i="25"/>
  <c r="H48" i="56"/>
  <c r="K48" i="56" s="1"/>
  <c r="H23" i="56"/>
  <c r="K23" i="56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E22" i="56"/>
  <c r="H22" i="56" s="1"/>
  <c r="K22" i="56" s="1"/>
  <c r="K35" i="63"/>
  <c r="L35" i="63"/>
  <c r="J27" i="56" s="1"/>
  <c r="K27" i="56" s="1"/>
  <c r="M4" i="63"/>
  <c r="M5" i="63" s="1"/>
  <c r="M6" i="63" s="1"/>
  <c r="K39" i="62"/>
  <c r="M4" i="62"/>
  <c r="L43" i="51"/>
  <c r="M5" i="5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K47" i="56"/>
  <c r="K42" i="56"/>
  <c r="K35" i="60"/>
  <c r="K48" i="26"/>
  <c r="K35" i="33"/>
  <c r="K35" i="9"/>
  <c r="M4" i="9"/>
  <c r="M24" i="14"/>
  <c r="M25" i="14" s="1"/>
  <c r="M26" i="14" s="1"/>
  <c r="M27" i="14" s="1"/>
  <c r="M28" i="14" s="1"/>
  <c r="M29" i="14" s="1"/>
  <c r="M30" i="14" s="1"/>
  <c r="E21" i="56"/>
  <c r="E55" i="56" s="1"/>
  <c r="M16" i="12"/>
  <c r="M17" i="12" s="1"/>
  <c r="M18" i="12" s="1"/>
  <c r="M19" i="12" s="1"/>
  <c r="M20" i="12" s="1"/>
  <c r="M21" i="12" s="1"/>
  <c r="M22" i="12" s="1"/>
  <c r="M4" i="41"/>
  <c r="K42" i="41"/>
  <c r="M4" i="16"/>
  <c r="K39" i="16"/>
  <c r="K53" i="56"/>
  <c r="K35" i="58"/>
  <c r="L4" i="58"/>
  <c r="L35" i="58" s="1"/>
  <c r="J11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2" i="56"/>
  <c r="M6" i="26"/>
  <c r="M7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K43" i="35"/>
  <c r="L43" i="35"/>
  <c r="J51" i="56" s="1"/>
  <c r="K51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5" i="56"/>
  <c r="M14" i="16" l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10" i="76"/>
  <c r="M11" i="76" s="1"/>
  <c r="M5" i="100"/>
  <c r="M6" i="100" s="1"/>
  <c r="M7" i="100" s="1"/>
  <c r="M8" i="100" s="1"/>
  <c r="M9" i="100" s="1"/>
  <c r="M10" i="100" s="1"/>
  <c r="M11" i="100" s="1"/>
  <c r="M12" i="100" s="1"/>
  <c r="M13" i="100" s="1"/>
  <c r="M14" i="100" s="1"/>
  <c r="M15" i="100" s="1"/>
  <c r="M16" i="100" s="1"/>
  <c r="M17" i="100" s="1"/>
  <c r="M18" i="100" s="1"/>
  <c r="M19" i="100" s="1"/>
  <c r="M20" i="100" s="1"/>
  <c r="M15" i="25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5" i="80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M14" i="105"/>
  <c r="M15" i="105" s="1"/>
  <c r="M16" i="105" s="1"/>
  <c r="M17" i="105" s="1"/>
  <c r="M18" i="105" s="1"/>
  <c r="M19" i="105" s="1"/>
  <c r="M5" i="98"/>
  <c r="M6" i="98" s="1"/>
  <c r="M7" i="98" s="1"/>
  <c r="M8" i="98" s="1"/>
  <c r="M9" i="98" s="1"/>
  <c r="M10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34" i="98" s="1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M35" i="47" s="1"/>
  <c r="M36" i="47" s="1"/>
  <c r="M37" i="47" s="1"/>
  <c r="M25" i="73"/>
  <c r="M26" i="73" s="1"/>
  <c r="M27" i="73" s="1"/>
  <c r="M13" i="106"/>
  <c r="M14" i="106" s="1"/>
  <c r="M15" i="106" s="1"/>
  <c r="M16" i="106" s="1"/>
  <c r="M17" i="106" s="1"/>
  <c r="M18" i="106" s="1"/>
  <c r="M19" i="106" s="1"/>
  <c r="M20" i="106" s="1"/>
  <c r="M21" i="106" s="1"/>
  <c r="M22" i="106" s="1"/>
  <c r="M23" i="106" s="1"/>
  <c r="M24" i="106" s="1"/>
  <c r="M23" i="101"/>
  <c r="M24" i="101" s="1"/>
  <c r="M25" i="101" s="1"/>
  <c r="M26" i="101" s="1"/>
  <c r="M27" i="101" s="1"/>
  <c r="M28" i="101" s="1"/>
  <c r="M29" i="101" s="1"/>
  <c r="M30" i="101" s="1"/>
  <c r="M31" i="101" s="1"/>
  <c r="L37" i="104"/>
  <c r="J16" i="56" s="1"/>
  <c r="M21" i="26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21" i="100"/>
  <c r="M22" i="100" s="1"/>
  <c r="M23" i="100" s="1"/>
  <c r="M24" i="100" s="1"/>
  <c r="M25" i="100" s="1"/>
  <c r="M26" i="100" s="1"/>
  <c r="M27" i="100" s="1"/>
  <c r="M28" i="100" s="1"/>
  <c r="M29" i="100" s="1"/>
  <c r="M30" i="100" s="1"/>
  <c r="M31" i="100" s="1"/>
  <c r="M32" i="100" s="1"/>
  <c r="M33" i="100" s="1"/>
  <c r="M34" i="100" s="1"/>
  <c r="M19" i="83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16" i="99"/>
  <c r="M17" i="99" s="1"/>
  <c r="M18" i="99" s="1"/>
  <c r="M19" i="99" s="1"/>
  <c r="M20" i="99" s="1"/>
  <c r="M21" i="99" s="1"/>
  <c r="M22" i="99" s="1"/>
  <c r="M5" i="62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M13" i="93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35" i="93" s="1"/>
  <c r="M6" i="103"/>
  <c r="M7" i="103" s="1"/>
  <c r="M8" i="103" s="1"/>
  <c r="M9" i="103" s="1"/>
  <c r="M10" i="103" s="1"/>
  <c r="M11" i="103" s="1"/>
  <c r="M12" i="103" s="1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5" i="103"/>
  <c r="M5" i="41"/>
  <c r="M6" i="41" s="1"/>
  <c r="M7" i="41" s="1"/>
  <c r="M8" i="41" s="1"/>
  <c r="M9" i="41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H55" i="56"/>
  <c r="M26" i="11"/>
  <c r="M27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33" i="16"/>
  <c r="M34" i="16" s="1"/>
  <c r="M35" i="16" s="1"/>
  <c r="M36" i="16" s="1"/>
  <c r="M37" i="16" s="1"/>
  <c r="M38" i="16" s="1"/>
  <c r="M10" i="85"/>
  <c r="M11" i="85" s="1"/>
  <c r="M12" i="85" s="1"/>
  <c r="M13" i="85" s="1"/>
  <c r="M14" i="85" s="1"/>
  <c r="J52" i="56"/>
  <c r="K52" i="56" s="1"/>
  <c r="M10" i="69"/>
  <c r="M11" i="69" s="1"/>
  <c r="M12" i="69" s="1"/>
  <c r="M13" i="69" s="1"/>
  <c r="M14" i="69" s="1"/>
  <c r="M15" i="69" s="1"/>
  <c r="M16" i="69" s="1"/>
  <c r="M17" i="69" s="1"/>
  <c r="C64" i="56" a="1"/>
  <c r="C64" i="56" s="1"/>
  <c r="M31" i="14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L41" i="25"/>
  <c r="J35" i="56" s="1"/>
  <c r="L35" i="60"/>
  <c r="J44" i="56" s="1"/>
  <c r="K44" i="56" s="1"/>
  <c r="M4" i="60"/>
  <c r="L35" i="33"/>
  <c r="J49" i="56" s="1"/>
  <c r="M4" i="33"/>
  <c r="K11" i="56"/>
  <c r="M5" i="50"/>
  <c r="M6" i="50" s="1"/>
  <c r="M7" i="50" s="1"/>
  <c r="M8" i="50" s="1"/>
  <c r="M9" i="50" s="1"/>
  <c r="M13" i="9"/>
  <c r="M14" i="9" s="1"/>
  <c r="M12" i="76" l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M25" i="106"/>
  <c r="M26" i="106" s="1"/>
  <c r="M27" i="106" s="1"/>
  <c r="M28" i="106" s="1"/>
  <c r="M29" i="106" s="1"/>
  <c r="M30" i="106" s="1"/>
  <c r="M31" i="106" s="1"/>
  <c r="M32" i="106" s="1"/>
  <c r="M33" i="106" s="1"/>
  <c r="M34" i="106" s="1"/>
  <c r="M35" i="106" s="1"/>
  <c r="M36" i="106" s="1"/>
  <c r="M20" i="105"/>
  <c r="M21" i="105" s="1"/>
  <c r="M22" i="105" s="1"/>
  <c r="M23" i="105" s="1"/>
  <c r="M24" i="105" s="1"/>
  <c r="M25" i="105" s="1"/>
  <c r="M26" i="105" s="1"/>
  <c r="M27" i="105" s="1"/>
  <c r="M28" i="105" s="1"/>
  <c r="M29" i="105" s="1"/>
  <c r="M30" i="105" s="1"/>
  <c r="M31" i="105" s="1"/>
  <c r="M32" i="105" s="1"/>
  <c r="M33" i="105" s="1"/>
  <c r="M34" i="105" s="1"/>
  <c r="M35" i="105" s="1"/>
  <c r="M36" i="105" s="1"/>
  <c r="M28" i="73"/>
  <c r="M29" i="73" s="1"/>
  <c r="M30" i="73" s="1"/>
  <c r="M31" i="73" s="1"/>
  <c r="M32" i="73" s="1"/>
  <c r="M33" i="73" s="1"/>
  <c r="M32" i="101"/>
  <c r="M33" i="101" s="1"/>
  <c r="M34" i="101" s="1"/>
  <c r="M35" i="101" s="1"/>
  <c r="M36" i="101" s="1"/>
  <c r="M37" i="101" s="1"/>
  <c r="M15" i="85"/>
  <c r="M16" i="85" s="1"/>
  <c r="M17" i="85" s="1"/>
  <c r="M18" i="85" s="1"/>
  <c r="M19" i="85" s="1"/>
  <c r="M20" i="85" s="1"/>
  <c r="M21" i="85" s="1"/>
  <c r="M22" i="85" s="1"/>
  <c r="K16" i="56"/>
  <c r="J55" i="56"/>
  <c r="M45" i="26"/>
  <c r="M46" i="26" s="1"/>
  <c r="M47" i="26" s="1"/>
  <c r="M18" i="69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4" i="83"/>
  <c r="M33" i="83"/>
  <c r="M10" i="4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41" i="75"/>
  <c r="M23" i="85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M20" i="68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8" i="11"/>
  <c r="M29" i="11" s="1"/>
  <c r="M30" i="11" s="1"/>
  <c r="M31" i="11" s="1"/>
  <c r="M32" i="11" s="1"/>
  <c r="M33" i="11" s="1"/>
  <c r="M34" i="11" s="1"/>
  <c r="M35" i="11" s="1"/>
  <c r="M36" i="11" s="1"/>
  <c r="M37" i="11" s="1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10" i="50"/>
  <c r="M11" i="50" s="1"/>
  <c r="M12" i="50" s="1"/>
  <c r="M13" i="50" s="1"/>
  <c r="M14" i="50" s="1"/>
  <c r="M15" i="50" s="1"/>
  <c r="M16" i="50" s="1"/>
  <c r="M17" i="50" s="1"/>
  <c r="M18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32" i="69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50" i="56" s="1"/>
  <c r="M16" i="5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K35" i="56"/>
  <c r="K49" i="56"/>
  <c r="B61" i="56" a="1"/>
  <c r="B61" i="56" s="1"/>
  <c r="M32" i="51"/>
  <c r="M33" i="51" s="1"/>
  <c r="M34" i="51" s="1"/>
  <c r="M35" i="51" s="1"/>
  <c r="M36" i="51" s="1"/>
  <c r="M37" i="51" s="1"/>
  <c r="M38" i="51" s="1"/>
  <c r="M39" i="51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28" i="9"/>
  <c r="M29" i="9" s="1"/>
  <c r="M30" i="9" s="1"/>
  <c r="M31" i="9" s="1"/>
  <c r="M32" i="9" s="1"/>
  <c r="M33" i="9" s="1"/>
  <c r="M34" i="9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l="1"/>
  <c r="M33" i="33" s="1"/>
  <c r="M34" i="33" s="1"/>
  <c r="M19" i="50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K55" i="56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94" i="44" l="1"/>
  <c r="M95" i="44" s="1"/>
  <c r="M96" i="44" s="1"/>
  <c r="M97" i="44" s="1"/>
  <c r="M98" i="44" l="1"/>
  <c r="M23" i="24" l="1"/>
  <c r="M24" i="24" l="1"/>
  <c r="M25" i="24" s="1"/>
  <c r="M26" i="24" s="1"/>
  <c r="M27" i="24" s="1"/>
  <c r="M28" i="24" s="1"/>
  <c r="M29" i="24" s="1"/>
  <c r="M30" i="24" s="1"/>
  <c r="M31" i="24" s="1"/>
  <c r="M32" i="24" l="1"/>
  <c r="M33" i="24" l="1"/>
  <c r="M34" i="24" s="1"/>
  <c r="M35" i="24"/>
  <c r="K29" i="5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<sst xmlns="http://schemas.openxmlformats.org/spreadsheetml/2006/main" count="1692" uniqueCount="233">
  <si>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</si>
  <si>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</si>
  <si>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</si>
  <si>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</si>
  <si>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</si>
  <si>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</si>
  <si>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</si>
  <si>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</si>
  <si>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</si>
  <si>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</si>
  <si>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</si>
  <si>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</si>
  <si>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</si>
  <si>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</si>
  <si>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</si>
  <si>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</si>
  <si>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</si>
  <si>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</si>
  <si>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</si>
  <si>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</si>
  <si>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</si>
  <si>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</si>
  <si>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</si>
  <si>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</si>
  <si>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</si>
  <si>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</si>
  <si>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</si>
  <si>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</si>
  <si>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</si>
  <si>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</si>
  <si>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</si>
  <si>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</si>
  <si>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</si>
  <si>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</si>
  <si>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</si>
  <si>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</si>
  <si>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</si>
  <si>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</si>
  <si>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</si>
  <si>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</si>
  <si>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</si>
  <si>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</si>
  <si>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</si>
  <si>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</si>
  <si>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</si>
  <si>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</si>
  <si>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</si>
  <si>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</si>
  <si>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</si>
  <si>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</si>
  <si>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</si>
  <si>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</si>
  <si>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</si>
  <si>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</si>
  <si>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</si>
  <si>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</si>
  <si>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</si>
  <si>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</si>
  <si>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</si>
  <si>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</si>
  <si>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</si>
  <si>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</si>
  <si>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</si>
  <si>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</si>
  <si>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</si>
  <si>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</si>
  <si>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</si>
  <si>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</si>
  <si>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</si>
  <si>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</si>
  <si>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</t>
  </si>
  <si>
    <t>Sai Madeana Filling Station</t>
  </si>
  <si>
    <t>Vajra mahalakshmi filling station</t>
  </si>
  <si>
    <t>Khammam-Cash&amp;Carry</t>
  </si>
  <si>
    <t xml:space="preserve">NA </t>
  </si>
  <si>
    <t>Jadcherla-2</t>
  </si>
  <si>
    <t>Shree Poornima F/S</t>
  </si>
  <si>
    <t>Sangareddy-2</t>
  </si>
  <si>
    <t>Durga Bhavani F/S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</si>
  <si>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</si>
  <si>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</si>
  <si>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</si>
  <si>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</si>
  <si>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</si>
  <si>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</si>
  <si>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</si>
  <si>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</si>
  <si>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Kovvur</t>
  </si>
  <si>
    <t>Sri Venkateshwara Services</t>
  </si>
  <si>
    <t>Jangareddygudem</t>
  </si>
  <si>
    <t>Solasa Krishna Oil Company</t>
  </si>
  <si>
    <t xml:space="preserve">Amalapuram  </t>
  </si>
  <si>
    <t>Royal Fill 'N' Fly</t>
  </si>
  <si>
    <t>Yeleshwaram</t>
  </si>
  <si>
    <t>Sri sathya Filling Station</t>
  </si>
  <si>
    <t>Pitapuam</t>
  </si>
  <si>
    <t>Satya Siva Durga Agencies, Chebrolu</t>
  </si>
  <si>
    <t>Kakinada</t>
  </si>
  <si>
    <t>Multiple bunks</t>
  </si>
  <si>
    <t>YG Gudda-2</t>
  </si>
  <si>
    <t>Pankaja HP Fuel Center</t>
  </si>
  <si>
    <t xml:space="preserve">One stop 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</si>
  <si>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</si>
  <si>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</si>
  <si>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</si>
  <si>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</si>
  <si>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</si>
  <si>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</si>
  <si>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</si>
  <si>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</si>
  <si>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</si>
  <si>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</si>
  <si>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</si>
  <si>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</si>
  <si>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</si>
  <si>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</si>
  <si>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</si>
  <si>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</si>
  <si>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</si>
  <si>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</si>
  <si>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</si>
  <si>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</si>
  <si>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</si>
  <si>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</si>
  <si>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</si>
  <si>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</si>
  <si>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</si>
  <si>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</si>
  <si>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</si>
  <si>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Jalgaon-2</t>
  </si>
  <si>
    <t>Nayara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</si>
  <si>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</si>
  <si>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</si>
  <si>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</si>
  <si>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</si>
  <si>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</si>
  <si>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</si>
  <si>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</si>
  <si>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</si>
  <si>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</si>
  <si>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</si>
  <si>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</si>
  <si>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</si>
  <si>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</si>
  <si>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</si>
  <si>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</si>
  <si>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</si>
  <si>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</si>
  <si>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</si>
  <si>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</si>
  <si>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</si>
  <si>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</si>
  <si>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</si>
  <si>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</si>
  <si>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</si>
  <si>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</si>
  <si>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</si>
  <si>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</si>
  <si>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</si>
  <si>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</si>
  <si>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</si>
  <si>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</si>
  <si>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</si>
  <si>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</si>
  <si>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</si>
  <si>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</si>
  <si>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 xml:space="preserve"> 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</si>
  <si>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</si>
  <si>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</si>
  <si>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</si>
  <si>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</si>
  <si>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</si>
  <si>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</si>
  <si>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</si>
  <si>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</si>
  <si>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</si>
  <si>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</si>
  <si>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</si>
  <si>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</si>
  <si>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 xml:space="preserve">                 -  </t>
  </si>
  <si>
    <t> </t>
  </si>
  <si>
    <t xml:space="preserve">             -  </t>
  </si>
  <si>
    <t xml:space="preserve">                   -  </t>
  </si>
  <si>
    <t xml:space="preserve">                    -  </t>
  </si>
  <si>
    <t>As 0n Date</t>
  </si>
  <si>
    <t>HPCL Card</t>
  </si>
  <si>
    <t xml:space="preserve"> Vajra mahalakshmi filling station</t>
  </si>
  <si>
    <t>Jai Sreeram</t>
  </si>
  <si>
    <t xml:space="preserve"> Cash &amp;Carry</t>
  </si>
  <si>
    <t>Ind no/Bill No</t>
  </si>
  <si>
    <t>As on Date</t>
  </si>
  <si>
    <t>SHIVA PARVATHI FILLING STATION SADASHIVPET</t>
  </si>
  <si>
    <t>BPCL</t>
  </si>
  <si>
    <t>HPCL</t>
  </si>
  <si>
    <t>SATYA SIVA DURGA AGENCIES, CHEBROLU (BPCL)</t>
  </si>
  <si>
    <t>SRI SATYA FILLING STATION, YELESWARAM (BPCL)</t>
  </si>
  <si>
    <t>ROYAL FILL 'N' FLY, AMALAPURAM(HPCL)</t>
  </si>
  <si>
    <t>SOLASA KRISHNA OIL COMPANY</t>
  </si>
  <si>
    <t>Raja Filling Station</t>
  </si>
  <si>
    <t>One Stop</t>
  </si>
  <si>
    <t>Sree Veerabhadreshwara Service Station</t>
  </si>
  <si>
    <t>Priyanka Petroleum</t>
  </si>
  <si>
    <t>Shivaganga Service Station (BPCL)</t>
  </si>
  <si>
    <t>Chellakere-PKG-09</t>
  </si>
  <si>
    <t>Date of payment</t>
  </si>
  <si>
    <t>Shiri Shiva Petroluem</t>
  </si>
  <si>
    <t>DANESHWARI  PETROLIUM(YERRAGATTI)</t>
  </si>
  <si>
    <t xml:space="preserve"> BHAVANI PETROLEUMS</t>
  </si>
  <si>
    <t>VARAD PETROLEUM SHEDBAL</t>
  </si>
  <si>
    <t xml:space="preserve">V.M.MIRJANKAR (KUMTA) BHARAT 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</si>
  <si>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</si>
  <si>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</si>
  <si>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</si>
  <si>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</si>
  <si>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</si>
  <si>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</si>
  <si>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</si>
  <si>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</si>
  <si>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</si>
  <si>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</si>
  <si>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 xml:space="preserve"> Magavi fuel F/S</t>
  </si>
  <si>
    <t>raja bhakshi</t>
  </si>
  <si>
    <t>Shiva ganga</t>
  </si>
  <si>
    <t xml:space="preserve">  TR Associates</t>
  </si>
  <si>
    <t xml:space="preserve"> S R PATIL</t>
  </si>
  <si>
    <t>Talikote</t>
  </si>
  <si>
    <t>`</t>
  </si>
  <si>
    <t>BPCL Card Ledger</t>
  </si>
  <si>
    <t>Petrol Bunk Name</t>
  </si>
  <si>
    <t>Card No</t>
  </si>
  <si>
    <t>Recharge Amount</t>
  </si>
  <si>
    <t>Redeem</t>
  </si>
  <si>
    <t>HPCL Card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</si>
</sst>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  <numFmt numFmtId="173" formatCode="[$-409]d\-mmm\-yyyy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34"/>
    </font>
    <font>
      <sz val="11"/>
      <color rgb="FF242424"/>
      <name val="Consolas"/>
      <family val="3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0"/>
      <name val="Calibri"/>
    </font>
    <font>
      <b/>
      <sz val="11"/>
      <color rgb="FF242424"/>
      <name val="Aptos Narrow"/>
      <charset val="1"/>
    </font>
    <font>
      <sz val="12"/>
      <color rgb="FFFFFFFF"/>
      <name val="Calibri"/>
    </font>
    <font>
      <sz val="10"/>
      <color rgb="FFFFFFFF"/>
      <name val="Calibri"/>
    </font>
    <font>
      <b/>
      <sz val="11"/>
      <color rgb="FF000000"/>
      <name val="Calibri"/>
      <family val="2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33C0C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</cellStyleXfs>
  <cellXfs count="666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0" fillId="0" borderId="10" xfId="0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5" fontId="19" fillId="2" borderId="5" xfId="0" applyNumberFormat="1" applyFont="1" applyFill="1" applyBorder="1"/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right" vertical="center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0" fillId="0" borderId="11" xfId="0" applyNumberFormat="1" applyBorder="1"/>
    <xf numFmtId="0" fontId="0" fillId="2" borderId="10" xfId="0" applyFill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0" fontId="19" fillId="2" borderId="13" xfId="0" applyFont="1" applyFill="1" applyBorder="1"/>
    <xf numFmtId="0" fontId="19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0" fillId="0" borderId="0" xfId="0" applyFont="1"/>
    <xf numFmtId="1" fontId="0" fillId="0" borderId="0" xfId="0" applyNumberFormat="1"/>
    <xf numFmtId="0" fontId="29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31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15" fillId="5" borderId="9" xfId="0" applyFont="1" applyFill="1" applyBorder="1" applyAlignment="1">
      <alignment horizontal="center" vertical="center"/>
    </xf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1" borderId="5" xfId="0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left" vertical="center" wrapText="1"/>
    </xf>
    <xf numFmtId="2" fontId="32" fillId="11" borderId="5" xfId="0" applyNumberFormat="1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center" vertical="center"/>
    </xf>
    <xf numFmtId="14" fontId="32" fillId="11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9" fillId="0" borderId="5" xfId="0" applyNumberFormat="1" applyFont="1" applyBorder="1"/>
    <xf numFmtId="0" fontId="34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6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2" fontId="0" fillId="0" borderId="33" xfId="0" applyNumberFormat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3" fontId="4" fillId="2" borderId="13" xfId="0" applyNumberFormat="1" applyFont="1" applyFill="1" applyBorder="1" applyAlignment="1">
      <alignment horizontal="center" vertical="center"/>
    </xf>
    <xf numFmtId="0" fontId="19" fillId="0" borderId="42" xfId="0" applyFont="1" applyBorder="1"/>
    <xf numFmtId="2" fontId="0" fillId="0" borderId="0" xfId="0" applyNumberFormat="1" applyAlignment="1">
      <alignment horizontal="right"/>
    </xf>
    <xf numFmtId="0" fontId="19" fillId="0" borderId="2" xfId="0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166" fontId="4" fillId="0" borderId="5" xfId="0" applyNumberFormat="1" applyFont="1" applyBorder="1" applyAlignment="1">
      <alignment horizontal="right"/>
    </xf>
    <xf numFmtId="172" fontId="29" fillId="0" borderId="11" xfId="0" applyNumberFormat="1" applyFont="1" applyBorder="1" applyAlignment="1">
      <alignment horizontal="left" vertical="center" wrapText="1"/>
    </xf>
    <xf numFmtId="166" fontId="29" fillId="0" borderId="5" xfId="0" applyNumberFormat="1" applyFont="1" applyBorder="1" applyAlignment="1">
      <alignment horizontal="right" vertical="center"/>
    </xf>
    <xf numFmtId="164" fontId="29" fillId="0" borderId="5" xfId="1" applyFont="1" applyBorder="1" applyAlignment="1">
      <alignment horizontal="right" vertical="center"/>
    </xf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0" fontId="0" fillId="0" borderId="27" xfId="0" applyBorder="1"/>
    <xf numFmtId="15" fontId="19" fillId="2" borderId="12" xfId="0" applyNumberFormat="1" applyFont="1" applyFill="1" applyBorder="1"/>
    <xf numFmtId="0" fontId="19" fillId="2" borderId="40" xfId="0" applyFont="1" applyFill="1" applyBorder="1"/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7" fillId="0" borderId="12" xfId="0" applyFont="1" applyBorder="1" applyAlignment="1">
      <alignment horizontal="center" vertical="top"/>
    </xf>
    <xf numFmtId="0" fontId="0" fillId="2" borderId="13" xfId="0" applyFill="1" applyBorder="1"/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0" fontId="6" fillId="0" borderId="2" xfId="0" applyFont="1" applyBorder="1"/>
    <xf numFmtId="0" fontId="19" fillId="0" borderId="13" xfId="0" applyFont="1" applyBorder="1"/>
    <xf numFmtId="2" fontId="0" fillId="0" borderId="13" xfId="0" applyNumberFormat="1" applyBorder="1" applyAlignment="1">
      <alignment horizontal="right"/>
    </xf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2" fontId="0" fillId="0" borderId="21" xfId="0" applyNumberFormat="1" applyBorder="1" applyAlignment="1">
      <alignment horizontal="right"/>
    </xf>
    <xf numFmtId="0" fontId="19" fillId="0" borderId="21" xfId="0" applyFont="1" applyBorder="1"/>
    <xf numFmtId="15" fontId="19" fillId="2" borderId="13" xfId="0" applyNumberFormat="1" applyFont="1" applyFill="1" applyBorder="1"/>
    <xf numFmtId="0" fontId="6" fillId="0" borderId="40" xfId="0" applyFont="1" applyBorder="1"/>
    <xf numFmtId="0" fontId="19" fillId="0" borderId="40" xfId="0" applyFont="1" applyBorder="1"/>
    <xf numFmtId="0" fontId="0" fillId="2" borderId="23" xfId="0" applyFill="1" applyBorder="1"/>
    <xf numFmtId="15" fontId="19" fillId="2" borderId="23" xfId="0" applyNumberFormat="1" applyFont="1" applyFill="1" applyBorder="1"/>
    <xf numFmtId="15" fontId="19" fillId="2" borderId="10" xfId="0" applyNumberFormat="1" applyFont="1" applyFill="1" applyBorder="1"/>
    <xf numFmtId="15" fontId="19" fillId="2" borderId="27" xfId="0" applyNumberFormat="1" applyFont="1" applyFill="1" applyBorder="1"/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0" fontId="0" fillId="0" borderId="23" xfId="0" applyBorder="1"/>
    <xf numFmtId="0" fontId="19" fillId="0" borderId="43" xfId="0" applyFont="1" applyBorder="1"/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37" fillId="0" borderId="2" xfId="0" applyFont="1" applyBorder="1"/>
    <xf numFmtId="0" fontId="0" fillId="0" borderId="13" xfId="0" applyBorder="1" applyAlignment="1">
      <alignment horizontal="right"/>
    </xf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38" fillId="0" borderId="5" xfId="0" applyFont="1" applyBorder="1"/>
    <xf numFmtId="0" fontId="39" fillId="0" borderId="5" xfId="0" applyFont="1" applyBorder="1"/>
    <xf numFmtId="2" fontId="40" fillId="0" borderId="5" xfId="0" applyNumberFormat="1" applyFont="1" applyBorder="1"/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2" fontId="0" fillId="0" borderId="10" xfId="0" applyNumberFormat="1" applyBorder="1"/>
    <xf numFmtId="166" fontId="37" fillId="0" borderId="5" xfId="0" applyNumberFormat="1" applyFont="1" applyBorder="1" applyAlignment="1">
      <alignment horizontal="center"/>
    </xf>
    <xf numFmtId="1" fontId="27" fillId="2" borderId="12" xfId="1" applyNumberFormat="1" applyFont="1" applyFill="1" applyBorder="1" applyAlignment="1">
      <alignment vertical="center"/>
    </xf>
    <xf numFmtId="166" fontId="37" fillId="0" borderId="13" xfId="0" applyNumberFormat="1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2" fontId="25" fillId="2" borderId="5" xfId="0" applyNumberFormat="1" applyFont="1" applyFill="1" applyBorder="1" applyAlignment="1">
      <alignment horizontal="center"/>
    </xf>
    <xf numFmtId="0" fontId="25" fillId="2" borderId="5" xfId="0" applyFont="1" applyFill="1" applyBorder="1"/>
    <xf numFmtId="166" fontId="25" fillId="0" borderId="12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center" indent="1"/>
    </xf>
    <xf numFmtId="166" fontId="29" fillId="0" borderId="5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43" fontId="4" fillId="0" borderId="0" xfId="0" applyNumberFormat="1" applyFont="1"/>
    <xf numFmtId="4" fontId="19" fillId="0" borderId="24" xfId="0" applyNumberFormat="1" applyFont="1" applyBorder="1"/>
    <xf numFmtId="1" fontId="0" fillId="0" borderId="10" xfId="0" applyNumberFormat="1" applyBorder="1"/>
    <xf numFmtId="0" fontId="13" fillId="0" borderId="5" xfId="0" quotePrefix="1" applyFont="1" applyBorder="1"/>
    <xf numFmtId="0" fontId="6" fillId="0" borderId="5" xfId="0" quotePrefix="1" applyFont="1" applyBorder="1"/>
    <xf numFmtId="166" fontId="37" fillId="0" borderId="2" xfId="0" applyNumberFormat="1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2" fontId="10" fillId="4" borderId="45" xfId="0" applyNumberFormat="1" applyFont="1" applyFill="1" applyBorder="1" applyAlignment="1">
      <alignment horizontal="center" vertical="center"/>
    </xf>
    <xf numFmtId="2" fontId="10" fillId="4" borderId="46" xfId="0" applyNumberFormat="1" applyFont="1" applyFill="1" applyBorder="1" applyAlignment="1">
      <alignment horizontal="center" vertical="center"/>
    </xf>
    <xf numFmtId="2" fontId="10" fillId="4" borderId="47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18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164" fontId="4" fillId="0" borderId="48" xfId="1" applyFont="1" applyBorder="1" applyAlignment="1">
      <alignment horizontal="center" vertical="center"/>
    </xf>
    <xf numFmtId="164" fontId="5" fillId="4" borderId="27" xfId="1" applyFont="1" applyFill="1" applyBorder="1" applyAlignment="1">
      <alignment horizontal="center" vertical="center"/>
    </xf>
    <xf numFmtId="164" fontId="5" fillId="4" borderId="33" xfId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top"/>
    </xf>
    <xf numFmtId="43" fontId="4" fillId="2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6" fillId="0" borderId="11" xfId="0" applyFont="1" applyBorder="1"/>
    <xf numFmtId="43" fontId="12" fillId="3" borderId="13" xfId="0" applyNumberFormat="1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164" fontId="41" fillId="2" borderId="5" xfId="0" applyNumberFormat="1" applyFont="1" applyFill="1" applyBorder="1"/>
    <xf numFmtId="164" fontId="41" fillId="2" borderId="7" xfId="0" applyNumberFormat="1" applyFont="1" applyFill="1" applyBorder="1"/>
    <xf numFmtId="169" fontId="4" fillId="0" borderId="5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top"/>
    </xf>
    <xf numFmtId="0" fontId="13" fillId="0" borderId="10" xfId="0" quotePrefix="1" applyFont="1" applyBorder="1"/>
    <xf numFmtId="0" fontId="13" fillId="0" borderId="13" xfId="0" applyFont="1" applyBorder="1"/>
    <xf numFmtId="0" fontId="13" fillId="0" borderId="12" xfId="0" applyFont="1" applyBorder="1"/>
    <xf numFmtId="166" fontId="20" fillId="0" borderId="5" xfId="0" applyNumberFormat="1" applyFont="1" applyBorder="1" applyAlignment="1">
      <alignment horizontal="center"/>
    </xf>
    <xf numFmtId="169" fontId="4" fillId="0" borderId="12" xfId="1" applyNumberFormat="1" applyFont="1" applyBorder="1" applyAlignment="1">
      <alignment horizontal="center" vertical="center"/>
    </xf>
    <xf numFmtId="0" fontId="2" fillId="0" borderId="5" xfId="4" applyBorder="1"/>
    <xf numFmtId="0" fontId="27" fillId="0" borderId="10" xfId="0" applyFont="1" applyBorder="1"/>
    <xf numFmtId="0" fontId="27" fillId="0" borderId="13" xfId="0" applyFont="1" applyBorder="1"/>
    <xf numFmtId="1" fontId="27" fillId="2" borderId="49" xfId="0" applyNumberFormat="1" applyFont="1" applyFill="1" applyBorder="1"/>
    <xf numFmtId="0" fontId="27" fillId="0" borderId="12" xfId="0" applyFont="1" applyBorder="1"/>
    <xf numFmtId="1" fontId="27" fillId="2" borderId="50" xfId="0" applyNumberFormat="1" applyFont="1" applyFill="1" applyBorder="1"/>
    <xf numFmtId="165" fontId="19" fillId="0" borderId="2" xfId="0" applyNumberFormat="1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166" fontId="25" fillId="0" borderId="2" xfId="0" applyNumberFormat="1" applyFont="1" applyBorder="1"/>
    <xf numFmtId="166" fontId="25" fillId="0" borderId="2" xfId="0" applyNumberFormat="1" applyFont="1" applyBorder="1" applyAlignment="1">
      <alignment horizontal="center"/>
    </xf>
    <xf numFmtId="164" fontId="25" fillId="0" borderId="2" xfId="1" applyFont="1" applyBorder="1" applyAlignment="1"/>
    <xf numFmtId="0" fontId="0" fillId="2" borderId="2" xfId="0" applyFill="1" applyBorder="1"/>
    <xf numFmtId="0" fontId="25" fillId="2" borderId="2" xfId="0" applyFont="1" applyFill="1" applyBorder="1" applyAlignment="1">
      <alignment horizontal="center"/>
    </xf>
    <xf numFmtId="166" fontId="25" fillId="2" borderId="2" xfId="0" applyNumberFormat="1" applyFont="1" applyFill="1" applyBorder="1" applyAlignment="1">
      <alignment horizontal="center"/>
    </xf>
    <xf numFmtId="166" fontId="25" fillId="2" borderId="2" xfId="0" applyNumberFormat="1" applyFont="1" applyFill="1" applyBorder="1"/>
    <xf numFmtId="0" fontId="0" fillId="0" borderId="2" xfId="0" applyBorder="1"/>
    <xf numFmtId="0" fontId="25" fillId="2" borderId="2" xfId="0" applyFont="1" applyFill="1" applyBorder="1"/>
    <xf numFmtId="0" fontId="25" fillId="0" borderId="6" xfId="0" applyFont="1" applyBorder="1" applyAlignment="1">
      <alignment horizontal="center"/>
    </xf>
    <xf numFmtId="166" fontId="25" fillId="0" borderId="6" xfId="0" applyNumberFormat="1" applyFont="1" applyBorder="1"/>
    <xf numFmtId="166" fontId="25" fillId="0" borderId="6" xfId="0" applyNumberFormat="1" applyFont="1" applyBorder="1" applyAlignment="1">
      <alignment horizontal="center"/>
    </xf>
    <xf numFmtId="166" fontId="25" fillId="2" borderId="6" xfId="0" applyNumberFormat="1" applyFont="1" applyFill="1" applyBorder="1"/>
    <xf numFmtId="166" fontId="25" fillId="2" borderId="6" xfId="0" applyNumberFormat="1" applyFont="1" applyFill="1" applyBorder="1" applyAlignment="1">
      <alignment horizontal="center"/>
    </xf>
    <xf numFmtId="164" fontId="25" fillId="2" borderId="2" xfId="1" applyFont="1" applyFill="1" applyBorder="1" applyAlignment="1"/>
    <xf numFmtId="164" fontId="25" fillId="0" borderId="2" xfId="1" applyFont="1" applyFill="1" applyBorder="1" applyAlignment="1"/>
    <xf numFmtId="165" fontId="19" fillId="0" borderId="6" xfId="0" applyNumberFormat="1" applyFont="1" applyBorder="1" applyAlignment="1">
      <alignment horizontal="center" vertical="center"/>
    </xf>
    <xf numFmtId="0" fontId="27" fillId="2" borderId="0" xfId="0" applyFont="1" applyFill="1"/>
    <xf numFmtId="166" fontId="20" fillId="0" borderId="5" xfId="0" applyNumberFormat="1" applyFont="1" applyBorder="1" applyAlignment="1">
      <alignment horizontal="center" indent="1"/>
    </xf>
    <xf numFmtId="2" fontId="7" fillId="0" borderId="5" xfId="0" applyNumberFormat="1" applyFont="1" applyBorder="1"/>
    <xf numFmtId="164" fontId="25" fillId="0" borderId="6" xfId="1" applyFont="1" applyBorder="1" applyAlignment="1">
      <alignment horizontal="center"/>
    </xf>
    <xf numFmtId="164" fontId="0" fillId="2" borderId="2" xfId="1" applyFont="1" applyFill="1" applyBorder="1" applyAlignment="1"/>
    <xf numFmtId="1" fontId="27" fillId="2" borderId="23" xfId="0" applyNumberFormat="1" applyFont="1" applyFill="1" applyBorder="1"/>
    <xf numFmtId="1" fontId="27" fillId="2" borderId="27" xfId="0" applyNumberFormat="1" applyFont="1" applyFill="1" applyBorder="1"/>
    <xf numFmtId="1" fontId="18" fillId="0" borderId="5" xfId="0" applyNumberFormat="1" applyFont="1" applyBorder="1"/>
    <xf numFmtId="2" fontId="25" fillId="0" borderId="5" xfId="0" applyNumberFormat="1" applyFont="1" applyBorder="1" applyAlignment="1">
      <alignment horizontal="center" vertical="center"/>
    </xf>
    <xf numFmtId="173" fontId="25" fillId="2" borderId="2" xfId="1" applyNumberFormat="1" applyFont="1" applyFill="1" applyBorder="1" applyAlignment="1">
      <alignment horizontal="center" vertical="center"/>
    </xf>
    <xf numFmtId="164" fontId="25" fillId="2" borderId="2" xfId="1" applyFont="1" applyFill="1" applyBorder="1" applyAlignment="1">
      <alignment horizontal="center"/>
    </xf>
    <xf numFmtId="164" fontId="42" fillId="2" borderId="2" xfId="0" applyNumberFormat="1" applyFont="1" applyFill="1" applyBorder="1"/>
    <xf numFmtId="164" fontId="42" fillId="0" borderId="2" xfId="0" applyNumberFormat="1" applyFont="1" applyBorder="1"/>
    <xf numFmtId="173" fontId="25" fillId="0" borderId="2" xfId="1" applyNumberFormat="1" applyFont="1" applyFill="1" applyBorder="1" applyAlignment="1">
      <alignment horizontal="center" vertical="center"/>
    </xf>
    <xf numFmtId="164" fontId="25" fillId="2" borderId="2" xfId="0" applyNumberFormat="1" applyFont="1" applyFill="1" applyBorder="1" applyAlignment="1">
      <alignment horizontal="center"/>
    </xf>
    <xf numFmtId="2" fontId="20" fillId="0" borderId="5" xfId="0" applyNumberFormat="1" applyFont="1" applyBorder="1"/>
    <xf numFmtId="0" fontId="4" fillId="2" borderId="5" xfId="0" applyFont="1" applyFill="1" applyBorder="1"/>
    <xf numFmtId="2" fontId="0" fillId="0" borderId="10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15" fontId="0" fillId="0" borderId="13" xfId="0" applyNumberFormat="1" applyBorder="1"/>
    <xf numFmtId="15" fontId="0" fillId="0" borderId="5" xfId="0" applyNumberFormat="1" applyBorder="1"/>
    <xf numFmtId="166" fontId="20" fillId="0" borderId="5" xfId="0" applyNumberFormat="1" applyFont="1" applyBorder="1" applyAlignment="1">
      <alignment horizontal="left" indent="1"/>
    </xf>
    <xf numFmtId="0" fontId="29" fillId="0" borderId="5" xfId="0" applyFont="1" applyBorder="1" applyAlignment="1">
      <alignment horizontal="center"/>
    </xf>
    <xf numFmtId="2" fontId="14" fillId="3" borderId="10" xfId="0" applyNumberFormat="1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right"/>
    </xf>
    <xf numFmtId="43" fontId="14" fillId="3" borderId="5" xfId="0" applyNumberFormat="1" applyFont="1" applyFill="1" applyBorder="1" applyAlignment="1">
      <alignment horizontal="right" vertical="center" wrapText="1"/>
    </xf>
    <xf numFmtId="0" fontId="14" fillId="3" borderId="17" xfId="0" applyFont="1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/>
    </xf>
    <xf numFmtId="2" fontId="14" fillId="3" borderId="20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/>
    </xf>
    <xf numFmtId="164" fontId="2" fillId="2" borderId="5" xfId="1" applyFont="1" applyFill="1" applyBorder="1" applyAlignment="1">
      <alignment horizontal="right" vertical="center"/>
    </xf>
    <xf numFmtId="164" fontId="2" fillId="0" borderId="5" xfId="1" applyFont="1" applyFill="1" applyBorder="1" applyAlignment="1">
      <alignment horizontal="right" vertical="center"/>
    </xf>
    <xf numFmtId="166" fontId="4" fillId="0" borderId="13" xfId="0" applyNumberFormat="1" applyFont="1" applyBorder="1" applyAlignment="1">
      <alignment horizontal="center"/>
    </xf>
    <xf numFmtId="166" fontId="4" fillId="0" borderId="12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horizontal="right"/>
    </xf>
    <xf numFmtId="43" fontId="4" fillId="2" borderId="11" xfId="0" applyNumberFormat="1" applyFont="1" applyFill="1" applyBorder="1" applyAlignment="1">
      <alignment horizontal="center" vertical="center"/>
    </xf>
    <xf numFmtId="164" fontId="4" fillId="0" borderId="11" xfId="1" applyFont="1" applyBorder="1" applyAlignment="1">
      <alignment horizontal="center" vertical="top"/>
    </xf>
    <xf numFmtId="166" fontId="4" fillId="0" borderId="12" xfId="0" applyNumberFormat="1" applyFont="1" applyBorder="1"/>
    <xf numFmtId="164" fontId="2" fillId="0" borderId="12" xfId="1" applyFont="1" applyFill="1" applyBorder="1" applyAlignment="1">
      <alignment horizontal="right" vertical="center"/>
    </xf>
    <xf numFmtId="164" fontId="4" fillId="0" borderId="33" xfId="1" applyFont="1" applyBorder="1" applyAlignment="1">
      <alignment horizontal="center" vertical="center"/>
    </xf>
    <xf numFmtId="166" fontId="4" fillId="0" borderId="11" xfId="0" applyNumberFormat="1" applyFont="1" applyBorder="1"/>
    <xf numFmtId="164" fontId="2" fillId="0" borderId="5" xfId="1" applyFont="1" applyBorder="1" applyAlignment="1">
      <alignment vertical="center"/>
    </xf>
    <xf numFmtId="164" fontId="4" fillId="0" borderId="27" xfId="1" applyFont="1" applyBorder="1" applyAlignment="1">
      <alignment horizontal="center" vertical="center"/>
    </xf>
    <xf numFmtId="164" fontId="4" fillId="0" borderId="23" xfId="1" applyFont="1" applyBorder="1" applyAlignment="1">
      <alignment horizontal="center" vertical="center"/>
    </xf>
    <xf numFmtId="164" fontId="4" fillId="0" borderId="24" xfId="1" applyFont="1" applyBorder="1" applyAlignment="1">
      <alignment horizontal="center" vertical="center"/>
    </xf>
    <xf numFmtId="164" fontId="4" fillId="0" borderId="24" xfId="1" applyFont="1" applyBorder="1" applyAlignment="1">
      <alignment horizontal="center" vertical="top"/>
    </xf>
    <xf numFmtId="164" fontId="4" fillId="0" borderId="33" xfId="1" applyFont="1" applyBorder="1" applyAlignment="1">
      <alignment horizontal="center" vertical="top"/>
    </xf>
    <xf numFmtId="164" fontId="4" fillId="2" borderId="2" xfId="1" applyFont="1" applyFill="1" applyBorder="1" applyAlignment="1">
      <alignment horizontal="center"/>
    </xf>
    <xf numFmtId="164" fontId="4" fillId="2" borderId="2" xfId="1" applyFont="1" applyFill="1" applyBorder="1"/>
    <xf numFmtId="164" fontId="4" fillId="2" borderId="2" xfId="0" applyNumberFormat="1" applyFont="1" applyFill="1" applyBorder="1" applyAlignment="1">
      <alignment horizontal="center"/>
    </xf>
    <xf numFmtId="0" fontId="25" fillId="0" borderId="6" xfId="0" applyFont="1" applyBorder="1"/>
    <xf numFmtId="164" fontId="25" fillId="0" borderId="6" xfId="1" applyFont="1" applyBorder="1" applyAlignment="1"/>
    <xf numFmtId="0" fontId="18" fillId="12" borderId="5" xfId="0" applyFont="1" applyFill="1" applyBorder="1"/>
    <xf numFmtId="166" fontId="18" fillId="12" borderId="5" xfId="0" applyNumberFormat="1" applyFont="1" applyFill="1" applyBorder="1"/>
    <xf numFmtId="0" fontId="4" fillId="0" borderId="10" xfId="0" applyFont="1" applyBorder="1" applyAlignment="1">
      <alignment vertical="center"/>
    </xf>
    <xf numFmtId="0" fontId="25" fillId="0" borderId="11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vertical="center"/>
    </xf>
    <xf numFmtId="166" fontId="37" fillId="2" borderId="2" xfId="0" applyNumberFormat="1" applyFont="1" applyFill="1" applyBorder="1" applyAlignment="1">
      <alignment horizontal="center"/>
    </xf>
    <xf numFmtId="0" fontId="37" fillId="2" borderId="2" xfId="0" applyFont="1" applyFill="1" applyBorder="1"/>
    <xf numFmtId="0" fontId="6" fillId="0" borderId="0" xfId="0" applyFont="1"/>
    <xf numFmtId="170" fontId="4" fillId="0" borderId="0" xfId="0" applyNumberFormat="1" applyFont="1"/>
    <xf numFmtId="43" fontId="5" fillId="2" borderId="10" xfId="0" applyNumberFormat="1" applyFont="1" applyFill="1" applyBorder="1" applyAlignment="1">
      <alignment vertical="center"/>
    </xf>
    <xf numFmtId="43" fontId="5" fillId="2" borderId="11" xfId="0" applyNumberFormat="1" applyFont="1" applyFill="1" applyBorder="1" applyAlignment="1">
      <alignment vertical="center"/>
    </xf>
    <xf numFmtId="168" fontId="4" fillId="0" borderId="5" xfId="1" applyNumberFormat="1" applyFont="1" applyBorder="1" applyAlignment="1">
      <alignment horizontal="center" vertical="center"/>
    </xf>
    <xf numFmtId="166" fontId="43" fillId="0" borderId="2" xfId="0" applyNumberFormat="1" applyFont="1" applyBorder="1" applyAlignment="1">
      <alignment horizontal="center"/>
    </xf>
    <xf numFmtId="0" fontId="43" fillId="0" borderId="2" xfId="0" applyFont="1" applyBorder="1"/>
    <xf numFmtId="2" fontId="4" fillId="2" borderId="5" xfId="0" applyNumberFormat="1" applyFont="1" applyFill="1" applyBorder="1"/>
    <xf numFmtId="0" fontId="0" fillId="2" borderId="2" xfId="0" applyFill="1" applyBorder="1" applyAlignment="1">
      <alignment vertical="center"/>
    </xf>
    <xf numFmtId="166" fontId="20" fillId="2" borderId="5" xfId="0" applyNumberFormat="1" applyFont="1" applyFill="1" applyBorder="1" applyAlignment="1">
      <alignment horizontal="center"/>
    </xf>
    <xf numFmtId="164" fontId="44" fillId="0" borderId="5" xfId="1" applyFont="1" applyBorder="1" applyAlignment="1">
      <alignment horizontal="center" vertical="center"/>
    </xf>
    <xf numFmtId="166" fontId="20" fillId="0" borderId="13" xfId="0" applyNumberFormat="1" applyFont="1" applyBorder="1" applyAlignment="1">
      <alignment horizontal="center" indent="1"/>
    </xf>
    <xf numFmtId="166" fontId="20" fillId="0" borderId="11" xfId="0" applyNumberFormat="1" applyFont="1" applyBorder="1" applyAlignment="1">
      <alignment horizontal="center"/>
    </xf>
    <xf numFmtId="2" fontId="25" fillId="2" borderId="2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/>
    </xf>
    <xf numFmtId="164" fontId="25" fillId="0" borderId="2" xfId="1" applyFont="1" applyBorder="1" applyAlignment="1">
      <alignment horizontal="center"/>
    </xf>
    <xf numFmtId="173" fontId="25" fillId="2" borderId="2" xfId="1" applyNumberFormat="1" applyFont="1" applyFill="1" applyBorder="1" applyAlignment="1">
      <alignment horizontal="center"/>
    </xf>
    <xf numFmtId="164" fontId="25" fillId="0" borderId="2" xfId="1" applyFont="1" applyFill="1" applyBorder="1" applyAlignment="1">
      <alignment horizontal="center"/>
    </xf>
    <xf numFmtId="164" fontId="29" fillId="0" borderId="5" xfId="1" applyFont="1" applyFill="1" applyBorder="1" applyAlignment="1">
      <alignment vertical="center"/>
    </xf>
    <xf numFmtId="0" fontId="45" fillId="3" borderId="14" xfId="0" applyFont="1" applyFill="1" applyBorder="1" applyAlignment="1">
      <alignment horizontal="center" vertical="center"/>
    </xf>
    <xf numFmtId="0" fontId="45" fillId="3" borderId="6" xfId="0" applyFont="1" applyFill="1" applyBorder="1" applyAlignment="1">
      <alignment horizontal="center" vertical="center" wrapText="1"/>
    </xf>
    <xf numFmtId="43" fontId="45" fillId="3" borderId="6" xfId="0" applyNumberFormat="1" applyFont="1" applyFill="1" applyBorder="1" applyAlignment="1">
      <alignment horizontal="center" vertical="center" wrapText="1"/>
    </xf>
    <xf numFmtId="43" fontId="45" fillId="3" borderId="17" xfId="0" applyNumberFormat="1" applyFont="1" applyFill="1" applyBorder="1" applyAlignment="1">
      <alignment horizontal="center" vertical="center" wrapText="1"/>
    </xf>
    <xf numFmtId="0" fontId="45" fillId="3" borderId="15" xfId="0" applyFont="1" applyFill="1" applyBorder="1" applyAlignment="1">
      <alignment horizontal="center" vertical="center" wrapText="1"/>
    </xf>
    <xf numFmtId="43" fontId="0" fillId="0" borderId="5" xfId="0" applyNumberFormat="1" applyBorder="1" applyAlignment="1">
      <alignment horizontal="center"/>
    </xf>
    <xf numFmtId="0" fontId="46" fillId="0" borderId="0" xfId="0" applyFont="1"/>
    <xf numFmtId="1" fontId="0" fillId="12" borderId="5" xfId="0" applyNumberFormat="1" applyFill="1" applyBorder="1"/>
    <xf numFmtId="166" fontId="25" fillId="2" borderId="5" xfId="0" applyNumberFormat="1" applyFont="1" applyFill="1" applyBorder="1" applyAlignment="1">
      <alignment horizontal="center"/>
    </xf>
    <xf numFmtId="164" fontId="0" fillId="2" borderId="5" xfId="1" applyFont="1" applyFill="1" applyBorder="1" applyAlignment="1">
      <alignment horizontal="right" vertical="center"/>
    </xf>
    <xf numFmtId="1" fontId="18" fillId="0" borderId="18" xfId="0" applyNumberFormat="1" applyFont="1" applyBorder="1" applyAlignment="1">
      <alignment vertical="center"/>
    </xf>
    <xf numFmtId="0" fontId="48" fillId="14" borderId="5" xfId="0" applyFont="1" applyFill="1" applyBorder="1"/>
    <xf numFmtId="0" fontId="48" fillId="14" borderId="11" xfId="0" applyFont="1" applyFill="1" applyBorder="1" applyAlignment="1">
      <alignment wrapText="1"/>
    </xf>
    <xf numFmtId="0" fontId="48" fillId="14" borderId="24" xfId="0" applyFont="1" applyFill="1" applyBorder="1" applyAlignment="1">
      <alignment wrapText="1"/>
    </xf>
    <xf numFmtId="0" fontId="50" fillId="0" borderId="11" xfId="0" applyFont="1" applyBorder="1"/>
    <xf numFmtId="0" fontId="50" fillId="0" borderId="21" xfId="0" applyFont="1" applyBorder="1"/>
    <xf numFmtId="0" fontId="6" fillId="0" borderId="33" xfId="0" applyFont="1" applyBorder="1"/>
    <xf numFmtId="15" fontId="6" fillId="0" borderId="33" xfId="0" applyNumberFormat="1" applyFont="1" applyBorder="1"/>
    <xf numFmtId="0" fontId="17" fillId="0" borderId="33" xfId="0" applyFont="1" applyBorder="1"/>
    <xf numFmtId="0" fontId="17" fillId="0" borderId="33" xfId="0" applyFont="1" applyBorder="1" applyAlignment="1">
      <alignment wrapText="1"/>
    </xf>
    <xf numFmtId="0" fontId="17" fillId="15" borderId="33" xfId="0" applyFont="1" applyFill="1" applyBorder="1"/>
    <xf numFmtId="0" fontId="17" fillId="0" borderId="41" xfId="0" applyFont="1" applyBorder="1"/>
    <xf numFmtId="0" fontId="17" fillId="0" borderId="5" xfId="0" applyFont="1" applyBorder="1"/>
    <xf numFmtId="0" fontId="17" fillId="0" borderId="8" xfId="0" applyFont="1" applyBorder="1"/>
    <xf numFmtId="0" fontId="17" fillId="0" borderId="12" xfId="0" applyFont="1" applyBorder="1"/>
    <xf numFmtId="0" fontId="17" fillId="0" borderId="18" xfId="0" applyFont="1" applyBorder="1"/>
    <xf numFmtId="4" fontId="17" fillId="0" borderId="33" xfId="0" applyNumberFormat="1" applyFont="1" applyBorder="1"/>
    <xf numFmtId="0" fontId="17" fillId="0" borderId="11" xfId="0" applyFont="1" applyBorder="1"/>
    <xf numFmtId="0" fontId="17" fillId="0" borderId="3" xfId="0" applyFont="1" applyBorder="1"/>
    <xf numFmtId="0" fontId="17" fillId="0" borderId="12" xfId="0" applyFont="1" applyBorder="1" applyAlignment="1">
      <alignment wrapText="1"/>
    </xf>
    <xf numFmtId="0" fontId="17" fillId="0" borderId="48" xfId="0" applyFont="1" applyBorder="1"/>
    <xf numFmtId="0" fontId="17" fillId="0" borderId="51" xfId="0" applyFont="1" applyBorder="1"/>
    <xf numFmtId="0" fontId="17" fillId="0" borderId="17" xfId="0" applyFont="1" applyBorder="1"/>
    <xf numFmtId="0" fontId="17" fillId="0" borderId="43" xfId="0" applyFont="1" applyBorder="1"/>
    <xf numFmtId="0" fontId="17" fillId="0" borderId="24" xfId="0" applyFont="1" applyBorder="1"/>
    <xf numFmtId="4" fontId="19" fillId="0" borderId="0" xfId="0" applyNumberFormat="1" applyFont="1"/>
    <xf numFmtId="0" fontId="17" fillId="0" borderId="0" xfId="0" applyFont="1"/>
    <xf numFmtId="0" fontId="17" fillId="0" borderId="0" xfId="0" applyFont="1" applyAlignment="1">
      <alignment wrapText="1"/>
    </xf>
    <xf numFmtId="0" fontId="50" fillId="16" borderId="26" xfId="0" applyFont="1" applyFill="1" applyBorder="1"/>
    <xf numFmtId="0" fontId="50" fillId="16" borderId="52" xfId="0" applyFont="1" applyFill="1" applyBorder="1"/>
    <xf numFmtId="0" fontId="50" fillId="16" borderId="53" xfId="0" applyFont="1" applyFill="1" applyBorder="1"/>
    <xf numFmtId="4" fontId="50" fillId="16" borderId="53" xfId="0" applyNumberFormat="1" applyFont="1" applyFill="1" applyBorder="1"/>
    <xf numFmtId="0" fontId="50" fillId="16" borderId="54" xfId="0" applyFont="1" applyFill="1" applyBorder="1"/>
    <xf numFmtId="0" fontId="50" fillId="16" borderId="55" xfId="0" applyFont="1" applyFill="1" applyBorder="1"/>
    <xf numFmtId="0" fontId="49" fillId="0" borderId="0" xfId="0" applyFont="1"/>
    <xf numFmtId="0" fontId="7" fillId="0" borderId="5" xfId="0" applyFont="1" applyBorder="1" applyAlignment="1">
      <alignment horizontal="center" vertical="top"/>
    </xf>
    <xf numFmtId="166" fontId="20" fillId="0" borderId="12" xfId="0" applyNumberFormat="1" applyFont="1" applyBorder="1" applyAlignment="1">
      <alignment horizontal="center"/>
    </xf>
    <xf numFmtId="2" fontId="20" fillId="0" borderId="5" xfId="0" applyNumberFormat="1" applyFont="1" applyBorder="1" applyAlignment="1">
      <alignment horizontal="left" indent="1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32" fillId="11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5" fillId="5" borderId="41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5" fillId="5" borderId="9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8" fillId="0" borderId="2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47" fillId="13" borderId="9" xfId="0" applyFont="1" applyFill="1" applyBorder="1" applyAlignment="1"/>
    <xf numFmtId="0" fontId="49" fillId="0" borderId="10" xfId="0" applyFont="1" applyBorder="1" applyAlignment="1"/>
    <xf numFmtId="0" fontId="49" fillId="0" borderId="21" xfId="0" applyFont="1" applyBorder="1" applyAlignment="1"/>
    <xf numFmtId="0" fontId="49" fillId="0" borderId="11" xfId="0" applyFont="1" applyBorder="1" applyAlignment="1"/>
    <xf numFmtId="0" fontId="1" fillId="0" borderId="5" xfId="0" quotePrefix="1" applyFont="1" applyBorder="1" applyAlignment="1">
      <alignment horizontal="left" wrapText="1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  <cellStyle name="Normal 3" xfId="4" xr:uid="{931265BE-D218-4258-80C5-9D4E7635D8EA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25" t="s">
        <v>0</v>
      </c>
      <c r="B2" s="326" t="s">
        <v>1</v>
      </c>
      <c r="C2" s="327" t="s">
        <v>2</v>
      </c>
      <c r="D2" s="327" t="s">
        <v>3</v>
      </c>
      <c r="E2" s="327" t="s">
        <v>3</v>
      </c>
      <c r="F2" s="327" t="s">
        <v>4</v>
      </c>
      <c r="G2" s="610" t="s">
        <v>5</v>
      </c>
      <c r="H2" s="610"/>
      <c r="I2" s="328" t="s">
        <v>6</v>
      </c>
      <c r="J2" s="328" t="s">
        <v>7</v>
      </c>
      <c r="K2" s="328" t="s">
        <v>8</v>
      </c>
      <c r="L2" s="328" t="s">
        <v>9</v>
      </c>
      <c r="M2" s="328" t="s">
        <v>10</v>
      </c>
      <c r="N2" s="328" t="s">
        <v>11</v>
      </c>
      <c r="O2" s="328" t="s">
        <v>12</v>
      </c>
      <c r="P2" s="328" t="s">
        <v>13</v>
      </c>
      <c r="Q2" s="328" t="s">
        <v>14</v>
      </c>
      <c r="R2" s="328" t="s">
        <v>15</v>
      </c>
      <c r="S2" s="328" t="s">
        <v>16</v>
      </c>
      <c r="T2" s="328" t="s">
        <v>17</v>
      </c>
      <c r="U2" s="328" t="s">
        <v>18</v>
      </c>
      <c r="V2" s="328" t="s">
        <v>19</v>
      </c>
      <c r="W2" s="328" t="s">
        <v>20</v>
      </c>
      <c r="X2" s="328" t="s">
        <v>21</v>
      </c>
      <c r="Y2" s="328" t="s">
        <v>22</v>
      </c>
      <c r="Z2" s="328" t="s">
        <v>23</v>
      </c>
      <c r="AA2" s="328" t="s">
        <v>24</v>
      </c>
      <c r="AB2" s="328" t="s">
        <v>25</v>
      </c>
      <c r="AC2" s="328" t="s">
        <v>26</v>
      </c>
      <c r="AD2" s="328" t="s">
        <v>27</v>
      </c>
      <c r="AE2" s="328" t="s">
        <v>28</v>
      </c>
      <c r="AF2" s="328" t="s">
        <v>29</v>
      </c>
      <c r="AG2" s="328" t="s">
        <v>30</v>
      </c>
      <c r="AH2" s="328" t="s">
        <v>31</v>
      </c>
      <c r="AI2" s="328" t="s">
        <v>32</v>
      </c>
      <c r="AJ2" s="328" t="s">
        <v>33</v>
      </c>
      <c r="AK2" s="328" t="s">
        <v>34</v>
      </c>
      <c r="AL2" s="328" t="s">
        <v>35</v>
      </c>
      <c r="AM2" s="329" t="s">
        <v>36</v>
      </c>
    </row>
    <row r="3" spans="1:39" s="322" customFormat="1">
      <c r="A3" s="330"/>
      <c r="B3" s="331"/>
      <c r="C3" s="332"/>
      <c r="D3" s="332"/>
      <c r="E3" s="332"/>
      <c r="F3" s="333" t="s">
        <v>37</v>
      </c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34"/>
    </row>
    <row r="4" spans="1:39" ht="15.75">
      <c r="A4" s="609">
        <v>1</v>
      </c>
      <c r="B4" s="608" t="s">
        <v>38</v>
      </c>
      <c r="C4" s="608" t="s">
        <v>39</v>
      </c>
      <c r="D4" s="611" t="s">
        <v>40</v>
      </c>
      <c r="E4" s="335" t="s">
        <v>37</v>
      </c>
      <c r="F4" s="324">
        <v>0</v>
      </c>
      <c r="G4" s="324">
        <v>0</v>
      </c>
      <c r="H4" s="324">
        <v>0</v>
      </c>
      <c r="I4" s="324">
        <v>0</v>
      </c>
      <c r="J4" s="324">
        <v>0</v>
      </c>
      <c r="K4" s="324">
        <v>0</v>
      </c>
      <c r="L4" s="324">
        <v>0</v>
      </c>
      <c r="M4" s="324">
        <v>0</v>
      </c>
      <c r="N4" s="324">
        <v>0</v>
      </c>
      <c r="O4" s="324">
        <v>0</v>
      </c>
      <c r="P4" s="324">
        <v>0</v>
      </c>
      <c r="Q4" s="324">
        <v>0</v>
      </c>
      <c r="R4" s="324">
        <v>0</v>
      </c>
      <c r="S4" s="324">
        <v>0</v>
      </c>
      <c r="T4" s="324">
        <v>0</v>
      </c>
      <c r="U4" s="324">
        <v>0</v>
      </c>
      <c r="V4" s="324">
        <v>0</v>
      </c>
      <c r="W4" s="324">
        <v>0</v>
      </c>
      <c r="X4" s="324">
        <v>5.22</v>
      </c>
      <c r="Y4" s="324">
        <v>0</v>
      </c>
      <c r="Z4" s="324">
        <v>0</v>
      </c>
      <c r="AA4" s="324">
        <v>0</v>
      </c>
      <c r="AB4" s="324">
        <v>0</v>
      </c>
      <c r="AC4" s="324">
        <v>0</v>
      </c>
      <c r="AD4" s="324">
        <v>60</v>
      </c>
      <c r="AE4" s="324">
        <v>0</v>
      </c>
      <c r="AF4" s="324">
        <v>0</v>
      </c>
      <c r="AG4" s="324">
        <v>0</v>
      </c>
      <c r="AH4" s="324">
        <v>4.5599999999999996</v>
      </c>
      <c r="AI4" s="324">
        <v>0</v>
      </c>
      <c r="AJ4" s="324">
        <v>0</v>
      </c>
      <c r="AK4" s="324">
        <v>0</v>
      </c>
      <c r="AL4" s="324">
        <v>0</v>
      </c>
      <c r="AM4" s="324">
        <f>SUM(F4:AL4)</f>
        <v>69.78</v>
      </c>
    </row>
    <row r="5" spans="1:39" ht="15.75">
      <c r="A5" s="609"/>
      <c r="B5" s="608"/>
      <c r="C5" s="608"/>
      <c r="D5" s="611"/>
      <c r="E5" s="336" t="s">
        <v>41</v>
      </c>
      <c r="F5" s="324">
        <v>0</v>
      </c>
      <c r="G5" s="324">
        <v>4.6900000000000004</v>
      </c>
      <c r="H5" s="324">
        <v>0</v>
      </c>
      <c r="I5" s="324">
        <v>0</v>
      </c>
      <c r="J5" s="324">
        <v>0</v>
      </c>
      <c r="K5" s="324">
        <v>0</v>
      </c>
      <c r="L5" s="324">
        <v>0</v>
      </c>
      <c r="M5" s="324">
        <v>0</v>
      </c>
      <c r="N5" s="324">
        <v>3.91</v>
      </c>
      <c r="O5" s="324">
        <v>0</v>
      </c>
      <c r="P5" s="324">
        <v>6.98</v>
      </c>
      <c r="Q5" s="324">
        <v>0</v>
      </c>
      <c r="R5" s="324">
        <v>0</v>
      </c>
      <c r="S5" s="324">
        <v>0</v>
      </c>
      <c r="T5" s="324">
        <v>0</v>
      </c>
      <c r="U5" s="324">
        <v>0</v>
      </c>
      <c r="V5" s="324">
        <v>0</v>
      </c>
      <c r="W5" s="324">
        <v>0</v>
      </c>
      <c r="X5" s="324">
        <v>0</v>
      </c>
      <c r="Y5" s="324">
        <v>0</v>
      </c>
      <c r="Z5" s="324">
        <v>0</v>
      </c>
      <c r="AA5" s="324"/>
      <c r="AB5" s="324">
        <v>0</v>
      </c>
      <c r="AC5" s="337">
        <v>0</v>
      </c>
      <c r="AD5" s="324">
        <v>0</v>
      </c>
      <c r="AE5" s="324">
        <v>0</v>
      </c>
      <c r="AF5" s="324">
        <v>0</v>
      </c>
      <c r="AG5" s="324">
        <v>0</v>
      </c>
      <c r="AH5" s="324">
        <v>0</v>
      </c>
      <c r="AI5" s="324">
        <v>0</v>
      </c>
      <c r="AJ5" s="324">
        <v>0</v>
      </c>
      <c r="AK5" s="324">
        <v>0</v>
      </c>
      <c r="AL5" s="324">
        <v>0</v>
      </c>
      <c r="AM5" s="324">
        <f t="shared" ref="AM5:AM15" si="0">SUM(F5:AL5)</f>
        <v>15.580000000000002</v>
      </c>
    </row>
    <row r="6" spans="1:39" ht="15.75">
      <c r="A6" s="609">
        <v>2</v>
      </c>
      <c r="B6" s="608" t="s">
        <v>42</v>
      </c>
      <c r="C6" s="608" t="s">
        <v>43</v>
      </c>
      <c r="D6" s="611" t="s">
        <v>44</v>
      </c>
      <c r="E6" s="338" t="s">
        <v>37</v>
      </c>
      <c r="F6" s="324">
        <v>0</v>
      </c>
      <c r="G6" s="324">
        <v>0</v>
      </c>
      <c r="H6" s="324">
        <v>0</v>
      </c>
      <c r="I6" s="324">
        <v>0</v>
      </c>
      <c r="J6" s="324">
        <v>0</v>
      </c>
      <c r="K6" s="324">
        <v>0</v>
      </c>
      <c r="L6" s="324">
        <v>0</v>
      </c>
      <c r="M6" s="324">
        <v>0</v>
      </c>
      <c r="N6" s="324">
        <v>0</v>
      </c>
      <c r="O6" s="324">
        <v>0</v>
      </c>
      <c r="P6" s="324">
        <v>0</v>
      </c>
      <c r="Q6" s="324">
        <v>0</v>
      </c>
      <c r="R6" s="324">
        <v>0</v>
      </c>
      <c r="S6" s="324">
        <v>0</v>
      </c>
      <c r="T6" s="324">
        <v>0</v>
      </c>
      <c r="U6" s="324">
        <v>0</v>
      </c>
      <c r="V6" s="324">
        <v>0</v>
      </c>
      <c r="W6" s="324">
        <v>0</v>
      </c>
      <c r="X6" s="324">
        <v>0</v>
      </c>
      <c r="Y6" s="324">
        <v>0</v>
      </c>
      <c r="Z6" s="324">
        <v>0</v>
      </c>
      <c r="AA6" s="324">
        <v>0</v>
      </c>
      <c r="AB6" s="324">
        <v>0</v>
      </c>
      <c r="AC6" s="324">
        <v>0</v>
      </c>
      <c r="AD6" s="324">
        <v>0</v>
      </c>
      <c r="AE6" s="324">
        <v>0</v>
      </c>
      <c r="AF6" s="324">
        <v>0</v>
      </c>
      <c r="AG6" s="324">
        <v>0</v>
      </c>
      <c r="AH6" s="324">
        <v>0</v>
      </c>
      <c r="AI6" s="324">
        <v>0</v>
      </c>
      <c r="AJ6" s="324">
        <v>0</v>
      </c>
      <c r="AK6" s="324">
        <v>0</v>
      </c>
      <c r="AL6" s="324">
        <v>0</v>
      </c>
      <c r="AM6" s="324">
        <f t="shared" si="0"/>
        <v>0</v>
      </c>
    </row>
    <row r="7" spans="1:39" ht="15.75">
      <c r="A7" s="609"/>
      <c r="B7" s="608"/>
      <c r="C7" s="608"/>
      <c r="D7" s="611"/>
      <c r="E7" s="336" t="s">
        <v>41</v>
      </c>
      <c r="F7" s="324">
        <v>0</v>
      </c>
      <c r="G7" s="324">
        <v>0</v>
      </c>
      <c r="H7" s="324">
        <v>0</v>
      </c>
      <c r="I7" s="324">
        <v>0</v>
      </c>
      <c r="J7" s="324">
        <v>0</v>
      </c>
      <c r="K7" s="324">
        <v>0</v>
      </c>
      <c r="L7" s="324">
        <v>0</v>
      </c>
      <c r="M7" s="324">
        <v>0</v>
      </c>
      <c r="N7" s="324">
        <v>0</v>
      </c>
      <c r="O7" s="324">
        <v>0</v>
      </c>
      <c r="P7" s="324">
        <v>0</v>
      </c>
      <c r="Q7" s="324">
        <v>0</v>
      </c>
      <c r="R7" s="324">
        <v>0</v>
      </c>
      <c r="S7" s="324">
        <v>0</v>
      </c>
      <c r="T7" s="324">
        <v>0</v>
      </c>
      <c r="U7" s="324">
        <v>0</v>
      </c>
      <c r="V7" s="324">
        <v>0</v>
      </c>
      <c r="W7" s="324">
        <v>0</v>
      </c>
      <c r="X7" s="324">
        <v>0</v>
      </c>
      <c r="Y7" s="324">
        <v>0</v>
      </c>
      <c r="Z7" s="324">
        <v>0</v>
      </c>
      <c r="AA7" s="324"/>
      <c r="AB7" s="324">
        <v>0</v>
      </c>
      <c r="AC7" s="337">
        <v>0</v>
      </c>
      <c r="AD7" s="324">
        <v>0</v>
      </c>
      <c r="AE7" s="324">
        <v>0</v>
      </c>
      <c r="AF7" s="324">
        <v>0</v>
      </c>
      <c r="AG7" s="324">
        <v>0</v>
      </c>
      <c r="AH7" s="324">
        <v>0</v>
      </c>
      <c r="AI7" s="324">
        <v>0</v>
      </c>
      <c r="AJ7" s="324">
        <v>0</v>
      </c>
      <c r="AK7" s="324">
        <v>0</v>
      </c>
      <c r="AL7" s="324">
        <v>0</v>
      </c>
      <c r="AM7" s="324">
        <f t="shared" si="0"/>
        <v>0</v>
      </c>
    </row>
    <row r="8" spans="1:39" ht="15.75">
      <c r="A8" s="609">
        <v>3</v>
      </c>
      <c r="B8" s="608" t="s">
        <v>45</v>
      </c>
      <c r="C8" s="608" t="s">
        <v>43</v>
      </c>
      <c r="D8" s="611" t="s">
        <v>46</v>
      </c>
      <c r="E8" s="338" t="s">
        <v>37</v>
      </c>
      <c r="F8" s="324">
        <v>0</v>
      </c>
      <c r="G8" s="324">
        <v>0</v>
      </c>
      <c r="H8" s="324">
        <v>0</v>
      </c>
      <c r="I8" s="324">
        <v>0</v>
      </c>
      <c r="J8" s="324">
        <v>33.44</v>
      </c>
      <c r="K8" s="324">
        <v>0</v>
      </c>
      <c r="L8" s="324">
        <v>0</v>
      </c>
      <c r="M8" s="324">
        <v>0</v>
      </c>
      <c r="N8" s="324">
        <v>0</v>
      </c>
      <c r="O8" s="324">
        <v>0</v>
      </c>
      <c r="P8" s="324">
        <v>0</v>
      </c>
      <c r="Q8" s="324">
        <v>0</v>
      </c>
      <c r="R8" s="324">
        <v>35.53</v>
      </c>
      <c r="S8" s="324">
        <v>0</v>
      </c>
      <c r="T8" s="324">
        <v>0</v>
      </c>
      <c r="U8" s="324">
        <v>0</v>
      </c>
      <c r="V8" s="324">
        <v>0</v>
      </c>
      <c r="W8" s="324">
        <v>0</v>
      </c>
      <c r="X8" s="324">
        <v>0</v>
      </c>
      <c r="Y8" s="324">
        <v>0</v>
      </c>
      <c r="Z8" s="324">
        <v>0</v>
      </c>
      <c r="AA8" s="324">
        <v>0</v>
      </c>
      <c r="AB8" s="324">
        <v>33.44</v>
      </c>
      <c r="AC8" s="324">
        <v>0</v>
      </c>
      <c r="AD8" s="324">
        <v>0</v>
      </c>
      <c r="AE8" s="324">
        <v>0</v>
      </c>
      <c r="AF8" s="324">
        <v>0</v>
      </c>
      <c r="AG8" s="324">
        <v>0</v>
      </c>
      <c r="AH8" s="324">
        <v>0</v>
      </c>
      <c r="AI8" s="324">
        <v>0</v>
      </c>
      <c r="AJ8" s="324">
        <v>0</v>
      </c>
      <c r="AK8" s="324">
        <v>0</v>
      </c>
      <c r="AL8" s="324">
        <v>0</v>
      </c>
      <c r="AM8" s="324">
        <f t="shared" si="0"/>
        <v>102.41</v>
      </c>
    </row>
    <row r="9" spans="1:39" ht="15.75">
      <c r="A9" s="609"/>
      <c r="B9" s="608"/>
      <c r="C9" s="608"/>
      <c r="D9" s="611"/>
      <c r="E9" s="336" t="s">
        <v>41</v>
      </c>
      <c r="F9" s="324">
        <v>0</v>
      </c>
      <c r="G9" s="324">
        <v>0</v>
      </c>
      <c r="H9" s="324">
        <v>0</v>
      </c>
      <c r="I9" s="324">
        <v>0</v>
      </c>
      <c r="J9" s="324">
        <v>0</v>
      </c>
      <c r="K9" s="324">
        <v>0</v>
      </c>
      <c r="L9" s="324">
        <v>0</v>
      </c>
      <c r="M9" s="324">
        <v>0</v>
      </c>
      <c r="N9" s="324">
        <v>0</v>
      </c>
      <c r="O9" s="324">
        <v>0</v>
      </c>
      <c r="P9" s="324">
        <v>0</v>
      </c>
      <c r="Q9" s="324">
        <v>0</v>
      </c>
      <c r="R9" s="324">
        <v>0</v>
      </c>
      <c r="S9" s="324">
        <v>0</v>
      </c>
      <c r="T9" s="324">
        <v>0</v>
      </c>
      <c r="U9" s="324">
        <v>0</v>
      </c>
      <c r="V9" s="324">
        <v>0</v>
      </c>
      <c r="W9" s="324">
        <v>0</v>
      </c>
      <c r="X9" s="324">
        <v>0</v>
      </c>
      <c r="Y9" s="324">
        <v>0</v>
      </c>
      <c r="Z9" s="324">
        <v>0</v>
      </c>
      <c r="AA9" s="324"/>
      <c r="AB9" s="324">
        <v>0</v>
      </c>
      <c r="AC9" s="337">
        <v>0</v>
      </c>
      <c r="AD9" s="324">
        <v>0</v>
      </c>
      <c r="AE9" s="324">
        <v>0</v>
      </c>
      <c r="AF9" s="324">
        <v>0</v>
      </c>
      <c r="AG9" s="324">
        <v>0</v>
      </c>
      <c r="AH9" s="324">
        <v>0</v>
      </c>
      <c r="AI9" s="324">
        <v>0</v>
      </c>
      <c r="AJ9" s="324">
        <v>0</v>
      </c>
      <c r="AK9" s="324">
        <v>0</v>
      </c>
      <c r="AL9" s="324">
        <v>0</v>
      </c>
      <c r="AM9" s="324">
        <f t="shared" si="0"/>
        <v>0</v>
      </c>
    </row>
    <row r="10" spans="1:39" ht="15.75">
      <c r="A10" s="609">
        <v>4</v>
      </c>
      <c r="B10" s="608" t="s">
        <v>47</v>
      </c>
      <c r="C10" s="608" t="s">
        <v>43</v>
      </c>
      <c r="D10" s="611" t="s">
        <v>48</v>
      </c>
      <c r="E10" s="338" t="s">
        <v>37</v>
      </c>
      <c r="F10" s="324">
        <v>0</v>
      </c>
      <c r="G10" s="324">
        <v>0</v>
      </c>
      <c r="H10" s="324">
        <v>0</v>
      </c>
      <c r="I10" s="324">
        <v>0</v>
      </c>
      <c r="J10" s="324">
        <v>0</v>
      </c>
      <c r="K10" s="324">
        <v>0</v>
      </c>
      <c r="L10" s="324">
        <v>0</v>
      </c>
      <c r="M10" s="324">
        <v>0</v>
      </c>
      <c r="N10" s="324">
        <v>0</v>
      </c>
      <c r="O10" s="324">
        <v>0</v>
      </c>
      <c r="P10" s="324">
        <v>49.22</v>
      </c>
      <c r="Q10" s="324">
        <v>0</v>
      </c>
      <c r="R10" s="324">
        <v>0</v>
      </c>
      <c r="S10" s="324">
        <v>0</v>
      </c>
      <c r="T10" s="324">
        <v>0</v>
      </c>
      <c r="U10" s="324">
        <v>54.57</v>
      </c>
      <c r="V10" s="324">
        <v>0</v>
      </c>
      <c r="W10" s="324">
        <v>0</v>
      </c>
      <c r="X10" s="324">
        <v>0</v>
      </c>
      <c r="Y10" s="324">
        <v>0</v>
      </c>
      <c r="Z10" s="324">
        <v>0</v>
      </c>
      <c r="AA10" s="324">
        <v>0</v>
      </c>
      <c r="AB10" s="324">
        <v>0</v>
      </c>
      <c r="AC10" s="324">
        <v>0</v>
      </c>
      <c r="AD10" s="324">
        <v>49.8</v>
      </c>
      <c r="AE10" s="324">
        <v>0</v>
      </c>
      <c r="AF10" s="324">
        <v>0</v>
      </c>
      <c r="AG10" s="324">
        <v>0</v>
      </c>
      <c r="AH10" s="324">
        <v>0</v>
      </c>
      <c r="AI10" s="324">
        <v>0</v>
      </c>
      <c r="AJ10" s="324">
        <v>0</v>
      </c>
      <c r="AK10" s="324">
        <v>0</v>
      </c>
      <c r="AL10" s="324">
        <v>0</v>
      </c>
      <c r="AM10" s="324">
        <f t="shared" si="0"/>
        <v>153.58999999999997</v>
      </c>
    </row>
    <row r="11" spans="1:39" ht="15.75">
      <c r="A11" s="609"/>
      <c r="B11" s="608"/>
      <c r="C11" s="608"/>
      <c r="D11" s="611"/>
      <c r="E11" s="336" t="s">
        <v>41</v>
      </c>
      <c r="F11" s="324">
        <v>0</v>
      </c>
      <c r="G11" s="324">
        <v>0</v>
      </c>
      <c r="H11" s="324">
        <v>0</v>
      </c>
      <c r="I11" s="324">
        <v>0</v>
      </c>
      <c r="J11" s="324">
        <v>0</v>
      </c>
      <c r="K11" s="324">
        <v>0</v>
      </c>
      <c r="L11" s="324">
        <v>0</v>
      </c>
      <c r="M11" s="324">
        <v>0</v>
      </c>
      <c r="N11" s="324">
        <v>0</v>
      </c>
      <c r="O11" s="324">
        <v>0</v>
      </c>
      <c r="P11" s="324">
        <v>0</v>
      </c>
      <c r="Q11" s="324">
        <v>0</v>
      </c>
      <c r="R11" s="324">
        <v>0</v>
      </c>
      <c r="S11" s="324">
        <v>0</v>
      </c>
      <c r="T11" s="324">
        <v>0</v>
      </c>
      <c r="U11" s="324">
        <v>0</v>
      </c>
      <c r="V11" s="324">
        <v>0</v>
      </c>
      <c r="W11" s="324">
        <v>0</v>
      </c>
      <c r="X11" s="324">
        <v>0</v>
      </c>
      <c r="Y11" s="324">
        <v>0</v>
      </c>
      <c r="Z11" s="324">
        <v>0</v>
      </c>
      <c r="AA11" s="324"/>
      <c r="AB11" s="324">
        <v>0</v>
      </c>
      <c r="AC11" s="337">
        <v>0</v>
      </c>
      <c r="AD11" s="324">
        <v>0</v>
      </c>
      <c r="AE11" s="324">
        <v>0</v>
      </c>
      <c r="AF11" s="324">
        <v>0</v>
      </c>
      <c r="AG11" s="324">
        <v>0</v>
      </c>
      <c r="AH11" s="324">
        <v>0</v>
      </c>
      <c r="AI11" s="324">
        <v>0</v>
      </c>
      <c r="AJ11" s="324">
        <v>0</v>
      </c>
      <c r="AK11" s="324">
        <v>0</v>
      </c>
      <c r="AL11" s="324">
        <v>0</v>
      </c>
      <c r="AM11" s="324">
        <f t="shared" si="0"/>
        <v>0</v>
      </c>
    </row>
    <row r="12" spans="1:39" ht="15.75">
      <c r="A12" s="609">
        <v>5</v>
      </c>
      <c r="B12" s="608" t="s">
        <v>49</v>
      </c>
      <c r="C12" s="608" t="s">
        <v>50</v>
      </c>
      <c r="D12" s="611" t="s">
        <v>51</v>
      </c>
      <c r="E12" s="338" t="s">
        <v>37</v>
      </c>
      <c r="F12" s="324">
        <v>0</v>
      </c>
      <c r="G12" s="324">
        <v>0</v>
      </c>
      <c r="H12" s="324">
        <v>0</v>
      </c>
      <c r="I12" s="324">
        <v>0</v>
      </c>
      <c r="J12" s="324">
        <v>0</v>
      </c>
      <c r="K12" s="324">
        <v>0</v>
      </c>
      <c r="L12" s="324">
        <v>0</v>
      </c>
      <c r="M12" s="324">
        <v>0</v>
      </c>
      <c r="N12" s="324">
        <v>86.29</v>
      </c>
      <c r="O12" s="324">
        <v>0</v>
      </c>
      <c r="P12" s="324">
        <v>0</v>
      </c>
      <c r="Q12" s="324">
        <v>0</v>
      </c>
      <c r="R12" s="324">
        <v>0</v>
      </c>
      <c r="S12" s="324">
        <v>0</v>
      </c>
      <c r="T12" s="324">
        <v>0</v>
      </c>
      <c r="U12" s="324">
        <v>0</v>
      </c>
      <c r="V12" s="324">
        <v>0</v>
      </c>
      <c r="W12" s="324">
        <v>0</v>
      </c>
      <c r="X12" s="324">
        <v>0</v>
      </c>
      <c r="Y12" s="324">
        <v>0</v>
      </c>
      <c r="Z12" s="324">
        <v>0</v>
      </c>
      <c r="AA12" s="324">
        <v>0</v>
      </c>
      <c r="AB12" s="324">
        <v>0</v>
      </c>
      <c r="AC12" s="324">
        <v>0</v>
      </c>
      <c r="AD12" s="324">
        <v>145.61000000000001</v>
      </c>
      <c r="AE12" s="324">
        <v>0</v>
      </c>
      <c r="AF12" s="324">
        <v>0</v>
      </c>
      <c r="AG12" s="324">
        <v>0</v>
      </c>
      <c r="AH12" s="324">
        <v>0</v>
      </c>
      <c r="AI12" s="324">
        <v>0</v>
      </c>
      <c r="AJ12" s="324">
        <v>0</v>
      </c>
      <c r="AK12" s="324">
        <v>0</v>
      </c>
      <c r="AL12" s="324">
        <v>0</v>
      </c>
      <c r="AM12" s="324">
        <f t="shared" si="0"/>
        <v>231.90000000000003</v>
      </c>
    </row>
    <row r="13" spans="1:39" ht="15.75">
      <c r="A13" s="609"/>
      <c r="B13" s="608"/>
      <c r="C13" s="608"/>
      <c r="D13" s="611"/>
      <c r="E13" s="336" t="s">
        <v>41</v>
      </c>
      <c r="F13" s="324">
        <v>0</v>
      </c>
      <c r="G13" s="324">
        <v>0</v>
      </c>
      <c r="H13" s="324">
        <v>0</v>
      </c>
      <c r="I13" s="324">
        <v>0</v>
      </c>
      <c r="J13" s="324">
        <v>0</v>
      </c>
      <c r="K13" s="324">
        <v>0</v>
      </c>
      <c r="L13" s="324">
        <v>0</v>
      </c>
      <c r="M13" s="324">
        <v>0</v>
      </c>
      <c r="N13" s="324">
        <v>0</v>
      </c>
      <c r="O13" s="324">
        <v>0</v>
      </c>
      <c r="P13" s="324">
        <v>0</v>
      </c>
      <c r="Q13" s="324">
        <v>0</v>
      </c>
      <c r="R13" s="324">
        <v>0</v>
      </c>
      <c r="S13" s="324">
        <v>0</v>
      </c>
      <c r="T13" s="324">
        <v>0</v>
      </c>
      <c r="U13" s="324">
        <v>0</v>
      </c>
      <c r="V13" s="324">
        <v>0</v>
      </c>
      <c r="W13" s="324">
        <v>0</v>
      </c>
      <c r="X13" s="324">
        <v>0</v>
      </c>
      <c r="Y13" s="324">
        <v>0</v>
      </c>
      <c r="Z13" s="324">
        <v>0</v>
      </c>
      <c r="AA13" s="324"/>
      <c r="AB13" s="324">
        <v>0</v>
      </c>
      <c r="AC13" s="337">
        <v>0</v>
      </c>
      <c r="AD13" s="324">
        <v>0</v>
      </c>
      <c r="AE13" s="324">
        <v>0</v>
      </c>
      <c r="AF13" s="324">
        <v>0</v>
      </c>
      <c r="AG13" s="324">
        <v>0</v>
      </c>
      <c r="AH13" s="324">
        <v>0</v>
      </c>
      <c r="AI13" s="324">
        <v>0</v>
      </c>
      <c r="AJ13" s="324">
        <v>0</v>
      </c>
      <c r="AK13" s="324">
        <v>0</v>
      </c>
      <c r="AL13" s="324">
        <v>0</v>
      </c>
      <c r="AM13" s="324">
        <f t="shared" si="0"/>
        <v>0</v>
      </c>
    </row>
    <row r="14" spans="1:39" ht="15.75">
      <c r="A14" s="609">
        <v>6</v>
      </c>
      <c r="B14" s="608" t="s">
        <v>49</v>
      </c>
      <c r="C14" s="608" t="s">
        <v>52</v>
      </c>
      <c r="D14" s="611" t="s">
        <v>53</v>
      </c>
      <c r="E14" s="338" t="s">
        <v>37</v>
      </c>
      <c r="F14" s="324">
        <v>0</v>
      </c>
      <c r="G14" s="324">
        <v>0</v>
      </c>
      <c r="H14" s="324">
        <v>0</v>
      </c>
      <c r="I14" s="324">
        <v>0</v>
      </c>
      <c r="J14" s="324">
        <v>0</v>
      </c>
      <c r="K14" s="324">
        <v>0</v>
      </c>
      <c r="L14" s="324">
        <v>40</v>
      </c>
      <c r="M14" s="324">
        <v>40</v>
      </c>
      <c r="N14" s="324">
        <v>0</v>
      </c>
      <c r="O14" s="324">
        <v>36</v>
      </c>
      <c r="P14" s="324">
        <v>35</v>
      </c>
      <c r="Q14" s="324">
        <v>0</v>
      </c>
      <c r="R14" s="324">
        <v>0</v>
      </c>
      <c r="S14" s="324">
        <v>0</v>
      </c>
      <c r="T14" s="324">
        <v>0</v>
      </c>
      <c r="U14" s="324">
        <v>0</v>
      </c>
      <c r="V14" s="324">
        <v>0</v>
      </c>
      <c r="W14" s="324">
        <v>45</v>
      </c>
      <c r="X14" s="324">
        <v>45</v>
      </c>
      <c r="Y14" s="324">
        <v>43.53</v>
      </c>
      <c r="Z14" s="324">
        <v>40</v>
      </c>
      <c r="AA14" s="324">
        <v>43</v>
      </c>
      <c r="AB14" s="324">
        <v>0</v>
      </c>
      <c r="AC14" s="324">
        <v>40</v>
      </c>
      <c r="AD14" s="324">
        <v>0</v>
      </c>
      <c r="AE14" s="324">
        <v>40</v>
      </c>
      <c r="AF14" s="324">
        <v>0</v>
      </c>
      <c r="AG14" s="324">
        <v>0</v>
      </c>
      <c r="AH14" s="324">
        <v>0</v>
      </c>
      <c r="AI14" s="324">
        <v>0</v>
      </c>
      <c r="AJ14" s="324">
        <v>0</v>
      </c>
      <c r="AK14" s="324">
        <v>0</v>
      </c>
      <c r="AL14" s="324">
        <v>0</v>
      </c>
      <c r="AM14" s="324">
        <f t="shared" si="0"/>
        <v>447.53</v>
      </c>
    </row>
    <row r="15" spans="1:39" ht="15.75">
      <c r="A15" s="609"/>
      <c r="B15" s="608"/>
      <c r="C15" s="608"/>
      <c r="D15" s="611"/>
      <c r="E15" s="336" t="s">
        <v>41</v>
      </c>
      <c r="F15" s="324">
        <v>0</v>
      </c>
      <c r="G15" s="324">
        <v>0</v>
      </c>
      <c r="H15" s="324">
        <v>0</v>
      </c>
      <c r="I15" s="324">
        <v>0</v>
      </c>
      <c r="J15" s="324">
        <v>0</v>
      </c>
      <c r="K15" s="324">
        <v>0</v>
      </c>
      <c r="L15" s="324">
        <v>0</v>
      </c>
      <c r="M15" s="324">
        <v>0</v>
      </c>
      <c r="N15" s="324">
        <v>0</v>
      </c>
      <c r="O15" s="324">
        <v>0</v>
      </c>
      <c r="P15" s="324">
        <v>0</v>
      </c>
      <c r="Q15" s="324">
        <v>0</v>
      </c>
      <c r="R15" s="324">
        <v>0</v>
      </c>
      <c r="S15" s="324">
        <v>0</v>
      </c>
      <c r="T15" s="324">
        <v>0</v>
      </c>
      <c r="U15" s="324">
        <v>0</v>
      </c>
      <c r="V15" s="324">
        <v>0</v>
      </c>
      <c r="W15" s="324">
        <v>0</v>
      </c>
      <c r="X15" s="324">
        <v>0</v>
      </c>
      <c r="Y15" s="324">
        <v>0</v>
      </c>
      <c r="Z15" s="324">
        <v>0</v>
      </c>
      <c r="AA15" s="324"/>
      <c r="AB15" s="324">
        <v>0</v>
      </c>
      <c r="AC15" s="337">
        <v>0</v>
      </c>
      <c r="AD15" s="324">
        <v>0</v>
      </c>
      <c r="AE15" s="324">
        <v>0</v>
      </c>
      <c r="AF15" s="324">
        <v>0</v>
      </c>
      <c r="AG15" s="324">
        <v>0</v>
      </c>
      <c r="AH15" s="324">
        <v>0</v>
      </c>
      <c r="AI15" s="324">
        <v>0</v>
      </c>
      <c r="AJ15" s="324">
        <v>0</v>
      </c>
      <c r="AK15" s="324">
        <v>0</v>
      </c>
      <c r="AL15" s="324">
        <v>0</v>
      </c>
      <c r="AM15" s="324">
        <f t="shared" si="0"/>
        <v>0</v>
      </c>
    </row>
    <row r="18" spans="7:7">
      <c r="G18" t="s">
        <v>54</v>
      </c>
    </row>
  </sheetData>
  <mergeCells count="25"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2"/>
  <sheetViews>
    <sheetView workbookViewId="0">
      <selection activeCell="K58" sqref="K58"/>
    </sheetView>
  </sheetViews>
  <sheetFormatPr defaultColWidth="8.28515625" defaultRowHeight="15.75"/>
  <cols>
    <col min="1" max="1" width="8.28515625" style="256"/>
    <col min="2" max="2" width="25" style="256" customWidth="1"/>
    <col min="3" max="3" width="34.5703125" style="256" bestFit="1" customWidth="1"/>
    <col min="4" max="4" width="13.5703125" style="256" bestFit="1" customWidth="1"/>
    <col min="5" max="5" width="15.42578125" style="256" customWidth="1"/>
    <col min="6" max="6" width="14.5703125" style="256" customWidth="1"/>
    <col min="7" max="7" width="16.5703125" style="256" customWidth="1"/>
    <col min="8" max="8" width="18" style="256" customWidth="1"/>
    <col min="9" max="9" width="17.42578125" style="256" customWidth="1"/>
    <col min="10" max="10" width="16.7109375" style="256" customWidth="1"/>
    <col min="11" max="11" width="20.42578125" style="256" customWidth="1"/>
    <col min="12" max="12" width="22.7109375" style="256" customWidth="1"/>
    <col min="13" max="13" width="16.85546875" style="256" customWidth="1"/>
    <col min="14" max="16384" width="8.28515625" style="256"/>
  </cols>
  <sheetData>
    <row r="1" spans="1:11">
      <c r="A1" s="252" t="s">
        <v>55</v>
      </c>
      <c r="B1" s="253" t="s">
        <v>56</v>
      </c>
      <c r="C1" s="253" t="s">
        <v>57</v>
      </c>
      <c r="D1" s="254" t="s">
        <v>58</v>
      </c>
      <c r="E1" s="254" t="s">
        <v>59</v>
      </c>
      <c r="F1" s="254" t="s">
        <v>60</v>
      </c>
      <c r="G1" s="254" t="s">
        <v>61</v>
      </c>
      <c r="H1" s="254" t="s">
        <v>62</v>
      </c>
      <c r="I1" s="254" t="s">
        <v>63</v>
      </c>
      <c r="J1" s="254" t="s">
        <v>64</v>
      </c>
      <c r="K1" s="255" t="s">
        <v>65</v>
      </c>
    </row>
    <row r="2" spans="1:11">
      <c r="A2" s="310">
        <v>1</v>
      </c>
      <c r="B2" s="257" t="s">
        <v>66</v>
      </c>
      <c r="C2" s="257" t="s">
        <v>67</v>
      </c>
      <c r="D2" s="258">
        <f>+'Khammam-1'!E38</f>
        <v>5000</v>
      </c>
      <c r="E2" s="258">
        <f>+'Khammam-1'!G38</f>
        <v>519000</v>
      </c>
      <c r="F2" s="258">
        <f>+'Khammam-1'!H38</f>
        <v>350</v>
      </c>
      <c r="G2" s="258">
        <f>+'Khammam-1'!J38</f>
        <v>40491.5</v>
      </c>
      <c r="H2" s="258">
        <f>E2+G2</f>
        <v>559491.5</v>
      </c>
      <c r="I2" s="258">
        <f>+'Khammam-1'!K3</f>
        <v>4131883.81</v>
      </c>
      <c r="J2" s="258">
        <f>+'Khammam-1'!L38</f>
        <v>400000</v>
      </c>
      <c r="K2" s="311">
        <f>H2+I2-J2</f>
        <v>4291375.3100000005</v>
      </c>
    </row>
    <row r="3" spans="1:11">
      <c r="A3" s="310">
        <v>2</v>
      </c>
      <c r="B3" s="257" t="s">
        <v>68</v>
      </c>
      <c r="C3" s="257" t="s">
        <v>69</v>
      </c>
      <c r="D3" s="258">
        <f>+'Khammam-2'!E39</f>
        <v>29600</v>
      </c>
      <c r="E3" s="258">
        <f>+'Khammam-2'!G39</f>
        <v>3073072</v>
      </c>
      <c r="F3" s="258">
        <f>+'Khammam-2'!H39</f>
        <v>130</v>
      </c>
      <c r="G3" s="258">
        <f>+'Khammam-2'!J39</f>
        <v>15043.599999999999</v>
      </c>
      <c r="H3" s="258">
        <f>E3+G3</f>
        <v>3088115.6</v>
      </c>
      <c r="I3" s="258">
        <f>+'Khammam-2'!K3</f>
        <v>4248603.5600000005</v>
      </c>
      <c r="J3" s="258">
        <f>+'Khammam-2'!L39</f>
        <v>2000000</v>
      </c>
      <c r="K3" s="311">
        <f>H3+I3-J3</f>
        <v>5336719.16</v>
      </c>
    </row>
    <row r="4" spans="1:11">
      <c r="A4" s="310">
        <v>4</v>
      </c>
      <c r="B4" s="492" t="s">
        <v>70</v>
      </c>
      <c r="C4" s="257" t="s">
        <v>71</v>
      </c>
      <c r="D4" s="258">
        <f>+'Khammam-4'!E35</f>
        <v>2700</v>
      </c>
      <c r="E4" s="258">
        <f>+'Khammam-4'!G35</f>
        <v>279774</v>
      </c>
      <c r="F4" s="258">
        <f>+'Khammam-4'!H35</f>
        <v>75</v>
      </c>
      <c r="G4" s="258">
        <f>+'Khammam-4'!J35</f>
        <v>8661.75</v>
      </c>
      <c r="H4" s="258">
        <f t="shared" ref="H4:H5" si="0">E4+G4</f>
        <v>288435.75</v>
      </c>
      <c r="I4" s="258">
        <f>+'Khammam-4'!M3</f>
        <v>3141611.0999999996</v>
      </c>
      <c r="J4" s="258">
        <f>+'Khammam-4'!L35</f>
        <v>288435.75</v>
      </c>
      <c r="K4" s="311">
        <f t="shared" ref="K4:K6" si="1">H4+I4-J4</f>
        <v>3141611.0999999996</v>
      </c>
    </row>
    <row r="5" spans="1:11">
      <c r="A5" s="310">
        <v>5</v>
      </c>
      <c r="B5" s="492" t="s">
        <v>70</v>
      </c>
      <c r="C5" s="257" t="s">
        <v>72</v>
      </c>
      <c r="D5" s="258">
        <f>+' Khammam-5'!E35</f>
        <v>0</v>
      </c>
      <c r="E5" s="258">
        <f>+' Khammam-5'!G35</f>
        <v>0</v>
      </c>
      <c r="F5" s="258">
        <f>+' Khammam-5'!H35</f>
        <v>0</v>
      </c>
      <c r="G5" s="258">
        <f>+' Khammam-5'!J35</f>
        <v>0</v>
      </c>
      <c r="H5" s="258">
        <f t="shared" si="0"/>
        <v>0</v>
      </c>
      <c r="I5" s="258">
        <f>+' Khammam-5'!M3</f>
        <v>1445001.85</v>
      </c>
      <c r="J5" s="258">
        <f>+' Khammam-5'!L35</f>
        <v>0</v>
      </c>
      <c r="K5" s="311">
        <f t="shared" si="1"/>
        <v>1445001.85</v>
      </c>
    </row>
    <row r="6" spans="1:11">
      <c r="A6" s="310">
        <v>6</v>
      </c>
      <c r="B6" s="257" t="s">
        <v>73</v>
      </c>
      <c r="C6" s="257" t="s">
        <v>74</v>
      </c>
      <c r="D6" s="258">
        <f>+' Khammam&amp;Cash'!E46</f>
        <v>0</v>
      </c>
      <c r="E6" s="258">
        <f>+' Khammam&amp;Cash'!G46</f>
        <v>0</v>
      </c>
      <c r="F6" s="258">
        <f>+' Khammam&amp;Cash'!H46</f>
        <v>0</v>
      </c>
      <c r="G6" s="258">
        <f>+' Khammam&amp;Cash'!J46</f>
        <v>0</v>
      </c>
      <c r="H6" s="258">
        <f>E6+G6</f>
        <v>0</v>
      </c>
      <c r="I6" s="258">
        <f>+' Khammam&amp;Cash'!M3</f>
        <v>0</v>
      </c>
      <c r="J6" s="258">
        <f>+' Khammam&amp;Cash'!L46</f>
        <v>0</v>
      </c>
      <c r="K6" s="311">
        <f t="shared" si="1"/>
        <v>0</v>
      </c>
    </row>
    <row r="7" spans="1:11">
      <c r="A7" s="310">
        <v>7</v>
      </c>
      <c r="B7" s="257" t="s">
        <v>75</v>
      </c>
      <c r="C7" s="257" t="s">
        <v>76</v>
      </c>
      <c r="D7" s="258">
        <f>+'Jadcherla-4'!E35</f>
        <v>100</v>
      </c>
      <c r="E7" s="258">
        <f>+'Jadcherla-4'!G35</f>
        <v>10442</v>
      </c>
      <c r="F7" s="258">
        <f>+'Jadcherla-4'!H35</f>
        <v>0</v>
      </c>
      <c r="G7" s="258">
        <f>+'Jadcherla-4'!J35</f>
        <v>0</v>
      </c>
      <c r="H7" s="258">
        <f>E7+G7</f>
        <v>10442</v>
      </c>
      <c r="I7" s="258">
        <f>+'Jadcherla-4'!M3</f>
        <v>47858.179999999993</v>
      </c>
      <c r="J7" s="258">
        <f>+'Jadcherla-4'!L35</f>
        <v>50000</v>
      </c>
      <c r="K7" s="311">
        <f>H7+I7-J7</f>
        <v>8300.179999999993</v>
      </c>
    </row>
    <row r="8" spans="1:11">
      <c r="A8" s="310">
        <v>8</v>
      </c>
      <c r="B8" s="257" t="s">
        <v>77</v>
      </c>
      <c r="C8" s="257" t="s">
        <v>78</v>
      </c>
      <c r="D8" s="258">
        <f>+' Sangareddy-2'!E35</f>
        <v>0</v>
      </c>
      <c r="E8" s="258">
        <f>+' Sangareddy-2'!G35</f>
        <v>0</v>
      </c>
      <c r="F8" s="258">
        <f>+' Sangareddy-2'!H35</f>
        <v>0</v>
      </c>
      <c r="G8" s="258">
        <f>+' Sangareddy-2'!J35</f>
        <v>0</v>
      </c>
      <c r="H8" s="258">
        <f>E8+G8</f>
        <v>0</v>
      </c>
      <c r="I8" s="258">
        <f>+' Sangareddy-2'!M3</f>
        <v>0</v>
      </c>
      <c r="J8" s="258">
        <f>+' Sangareddy-2'!L35</f>
        <v>0</v>
      </c>
      <c r="K8" s="311">
        <f>H8+I8-J8</f>
        <v>0</v>
      </c>
    </row>
    <row r="9" spans="1:11">
      <c r="A9" s="310">
        <v>9</v>
      </c>
      <c r="B9" s="257" t="s">
        <v>79</v>
      </c>
      <c r="C9" s="257" t="s">
        <v>80</v>
      </c>
      <c r="D9" s="258">
        <f>+' Sangareddy-3'!E36</f>
        <v>5520</v>
      </c>
      <c r="E9" s="258">
        <f>+' Sangareddy-3'!G36</f>
        <v>576012</v>
      </c>
      <c r="F9" s="258">
        <f>+' Sangareddy-3'!H36</f>
        <v>60</v>
      </c>
      <c r="G9" s="258">
        <f>+' Sangareddy-3'!J36</f>
        <v>6975</v>
      </c>
      <c r="H9" s="258">
        <f>E9+G9</f>
        <v>582987</v>
      </c>
      <c r="I9" s="258">
        <f>+' Sangareddy-3'!M3</f>
        <v>366809.49289999984</v>
      </c>
      <c r="J9" s="258">
        <f>+' Sangareddy-3'!L36</f>
        <v>0</v>
      </c>
      <c r="K9" s="453">
        <f>H9+I9-J9</f>
        <v>949796.49289999984</v>
      </c>
    </row>
    <row r="10" spans="1:11">
      <c r="A10" s="310">
        <v>10</v>
      </c>
      <c r="B10" s="257" t="s">
        <v>81</v>
      </c>
      <c r="C10" s="452" t="s">
        <v>82</v>
      </c>
      <c r="D10" s="316">
        <f>Narayankhed!E36</f>
        <v>1522.5610000000001</v>
      </c>
      <c r="E10" s="316">
        <f>+Narayankhed!G36</f>
        <v>160000.19883000001</v>
      </c>
      <c r="F10" s="316">
        <f>+Narayankhed!H36</f>
        <v>0</v>
      </c>
      <c r="G10" s="316">
        <f>+Narayankhed!J36</f>
        <v>0</v>
      </c>
      <c r="H10" s="316">
        <f>E10+G10</f>
        <v>160000.19883000001</v>
      </c>
      <c r="I10" s="316">
        <f>+Narayankhed!M3</f>
        <v>0</v>
      </c>
      <c r="J10" s="481">
        <f>+Narayankhed!L36</f>
        <v>160000.19883000001</v>
      </c>
      <c r="K10" s="311">
        <f>H10+I10-J10</f>
        <v>0</v>
      </c>
    </row>
    <row r="11" spans="1:11">
      <c r="A11" s="310">
        <v>11</v>
      </c>
      <c r="B11" s="451" t="s">
        <v>83</v>
      </c>
      <c r="C11" s="257" t="s">
        <v>84</v>
      </c>
      <c r="D11" s="258">
        <f>+Dindi!E35</f>
        <v>67.52</v>
      </c>
      <c r="E11" s="258">
        <f>+Dindi!G35</f>
        <v>7086.2240000000002</v>
      </c>
      <c r="F11" s="258">
        <f>+Dindi!H35</f>
        <v>0</v>
      </c>
      <c r="G11" s="258">
        <f>+Dindi!J35</f>
        <v>0</v>
      </c>
      <c r="H11" s="258">
        <f>E11+G11</f>
        <v>7086.2240000000002</v>
      </c>
      <c r="I11" s="258">
        <f>+Dindi!M3</f>
        <v>0</v>
      </c>
      <c r="J11" s="319">
        <f>+Dindi!L35</f>
        <v>7086.2240000000002</v>
      </c>
      <c r="K11" s="311">
        <f t="shared" ref="K11:K54" si="2">H11+I11-J11</f>
        <v>0</v>
      </c>
    </row>
    <row r="12" spans="1:11">
      <c r="A12" s="310">
        <v>12</v>
      </c>
      <c r="B12" s="451" t="s">
        <v>85</v>
      </c>
      <c r="C12" s="257" t="s">
        <v>86</v>
      </c>
      <c r="D12" s="258">
        <f>+'Madana palli'!E37</f>
        <v>0</v>
      </c>
      <c r="E12" s="258">
        <f>+'Madana palli'!G37</f>
        <v>0</v>
      </c>
      <c r="F12" s="258">
        <f>+'Madana palli'!H37</f>
        <v>0</v>
      </c>
      <c r="G12" s="258">
        <f>+'Madana palli'!J37</f>
        <v>0</v>
      </c>
      <c r="H12" s="258">
        <f>E12+G12</f>
        <v>0</v>
      </c>
      <c r="I12" s="258">
        <f>+'Madana palli'!M3</f>
        <v>0</v>
      </c>
      <c r="J12" s="319">
        <f>+'Madana palli'!L37</f>
        <v>0</v>
      </c>
      <c r="K12" s="311">
        <f t="shared" si="2"/>
        <v>0</v>
      </c>
    </row>
    <row r="13" spans="1:11">
      <c r="A13" s="310">
        <v>13</v>
      </c>
      <c r="B13" s="451" t="s">
        <v>87</v>
      </c>
      <c r="C13" s="257" t="s">
        <v>88</v>
      </c>
      <c r="D13" s="258">
        <f>+'Sri Venkateshwara Services'!E37</f>
        <v>2274.37</v>
      </c>
      <c r="E13" s="258">
        <f>+'Sri Venkateshwara Services'!G37</f>
        <v>238081.05160000001</v>
      </c>
      <c r="F13" s="258">
        <f>+'Sri Venkateshwara Services'!H37</f>
        <v>426</v>
      </c>
      <c r="G13" s="258">
        <f>+'Sri Venkateshwara Services'!J37</f>
        <v>49824.959999999992</v>
      </c>
      <c r="H13" s="258">
        <f>E13+G13</f>
        <v>287906.01159999997</v>
      </c>
      <c r="I13" s="258">
        <f>+'Sri Venkateshwara Services'!M3</f>
        <v>115419.83792000005</v>
      </c>
      <c r="J13" s="319">
        <f>+'Sri Venkateshwara Services'!L37</f>
        <v>338000</v>
      </c>
      <c r="K13" s="311">
        <f t="shared" si="2"/>
        <v>65325.849520000047</v>
      </c>
    </row>
    <row r="14" spans="1:11">
      <c r="A14" s="310">
        <v>14</v>
      </c>
      <c r="B14" s="451" t="s">
        <v>89</v>
      </c>
      <c r="C14" s="257" t="s">
        <v>90</v>
      </c>
      <c r="D14" s="258">
        <f>+' Solasa Krishna OIl'!E37</f>
        <v>2252.17</v>
      </c>
      <c r="E14" s="258">
        <f>+' Solasa Krishna OIl'!G37</f>
        <v>237378.71799999999</v>
      </c>
      <c r="F14" s="258">
        <f>+' Solasa Krishna OIl'!H37</f>
        <v>40.200000000000003</v>
      </c>
      <c r="G14" s="258">
        <f>+' Solasa Krishna OIl'!J37</f>
        <v>4733.1479999999992</v>
      </c>
      <c r="H14" s="258">
        <f t="shared" ref="H14:H15" si="3">E14+G14</f>
        <v>242111.86599999998</v>
      </c>
      <c r="I14" s="258">
        <f>+' Solasa Krishna OIl'!M3</f>
        <v>238901.53640000001</v>
      </c>
      <c r="J14" s="319">
        <f>+' Solasa Krishna OIl'!L37</f>
        <v>200000</v>
      </c>
      <c r="K14" s="311">
        <f t="shared" si="2"/>
        <v>281013.40240000002</v>
      </c>
    </row>
    <row r="15" spans="1:11">
      <c r="A15" s="310">
        <v>15</v>
      </c>
      <c r="B15" s="451" t="s">
        <v>91</v>
      </c>
      <c r="C15" s="257" t="s">
        <v>92</v>
      </c>
      <c r="D15" s="258">
        <f>+'Amalapuram(KKD)'!E37</f>
        <v>5710</v>
      </c>
      <c r="E15" s="258">
        <f>+'Amalapuram(KKD)'!G37</f>
        <v>600977.5</v>
      </c>
      <c r="F15" s="258">
        <f>+'Amalapuram(KKD)'!H37</f>
        <v>113.55</v>
      </c>
      <c r="G15" s="258">
        <f>+'Amalapuram(KKD)'!J37</f>
        <v>13351.208999999997</v>
      </c>
      <c r="H15" s="258">
        <f t="shared" si="3"/>
        <v>614328.70900000003</v>
      </c>
      <c r="I15" s="258">
        <f>+'Amalapuram(KKD)'!M3</f>
        <v>519637.7649999999</v>
      </c>
      <c r="J15" s="319">
        <f>+'Amalapuram(KKD)'!L37</f>
        <v>1000000</v>
      </c>
      <c r="K15" s="311">
        <f t="shared" si="2"/>
        <v>133966.47399999993</v>
      </c>
    </row>
    <row r="16" spans="1:11">
      <c r="A16" s="310">
        <v>16</v>
      </c>
      <c r="B16" s="451" t="s">
        <v>93</v>
      </c>
      <c r="C16" s="450" t="s">
        <v>94</v>
      </c>
      <c r="D16" s="258">
        <f>+'Yeleshwaram(KKD)'!E37</f>
        <v>1087</v>
      </c>
      <c r="E16" s="258">
        <f>+'Yeleshwaram(KKD)'!G37</f>
        <v>114635.01999999999</v>
      </c>
      <c r="F16" s="258">
        <f>+'Yeleshwaram(KKD)'!H37</f>
        <v>110</v>
      </c>
      <c r="G16" s="258">
        <f>+'Yeleshwaram(KKD)'!J37</f>
        <v>12962.4</v>
      </c>
      <c r="H16" s="258">
        <f>E16+G16</f>
        <v>127597.41999999998</v>
      </c>
      <c r="I16" s="258">
        <f>+'Yeleshwaram(KKD)'!M3</f>
        <v>17080.342799999984</v>
      </c>
      <c r="J16" s="319">
        <f>+'Yeleshwaram(KKD)'!L37</f>
        <v>80000</v>
      </c>
      <c r="K16" s="311">
        <f t="shared" si="2"/>
        <v>64677.762799999968</v>
      </c>
    </row>
    <row r="17" spans="1:11">
      <c r="A17" s="310">
        <v>17</v>
      </c>
      <c r="B17" s="451" t="s">
        <v>95</v>
      </c>
      <c r="C17" s="450" t="s">
        <v>96</v>
      </c>
      <c r="D17" s="258">
        <f>+' Pitapram(KKD)'!E37</f>
        <v>1222.54</v>
      </c>
      <c r="E17" s="258">
        <f>+' Pitapram(KKD)'!G37</f>
        <v>128623.43339999999</v>
      </c>
      <c r="F17" s="258">
        <f>+' Pitapram(KKD)'!H37</f>
        <v>55</v>
      </c>
      <c r="G17" s="258">
        <f>+' Pitapram(KKD)'!J37</f>
        <v>6466.9</v>
      </c>
      <c r="H17" s="258">
        <f>E17+G17</f>
        <v>135090.3334</v>
      </c>
      <c r="I17" s="258">
        <f>+' Pitapram(KKD)'!M3</f>
        <v>291832.98430000001</v>
      </c>
      <c r="J17" s="319">
        <f>+' Pitapram(KKD)'!L37</f>
        <v>423000</v>
      </c>
      <c r="K17" s="311">
        <f t="shared" si="2"/>
        <v>3923.3177000000142</v>
      </c>
    </row>
    <row r="18" spans="1:11">
      <c r="A18" s="310">
        <v>18</v>
      </c>
      <c r="B18" s="451" t="s">
        <v>97</v>
      </c>
      <c r="C18" s="257" t="s">
        <v>98</v>
      </c>
      <c r="D18" s="258">
        <f>+' Pitapram(KKD)'!E38</f>
        <v>0</v>
      </c>
      <c r="E18" s="258">
        <f>+' Pitapram(KKD)'!G38</f>
        <v>0</v>
      </c>
      <c r="F18" s="258">
        <f>+' Pitapram(KKD)'!H38</f>
        <v>0</v>
      </c>
      <c r="G18" s="258">
        <f>+' Pitapram(KKD)'!J38</f>
        <v>0</v>
      </c>
      <c r="H18" s="258">
        <f>E18+G18</f>
        <v>0</v>
      </c>
      <c r="I18" s="258">
        <f>+'Multiple bunks(KKD)'!M3</f>
        <v>0</v>
      </c>
      <c r="J18" s="319">
        <f>+' Pitapram(KKD)'!L38</f>
        <v>0</v>
      </c>
      <c r="K18" s="311">
        <f>H18+I18-J18</f>
        <v>0</v>
      </c>
    </row>
    <row r="19" spans="1:11">
      <c r="A19" s="310">
        <v>19</v>
      </c>
      <c r="B19" s="451" t="s">
        <v>99</v>
      </c>
      <c r="C19" s="257" t="s">
        <v>100</v>
      </c>
      <c r="D19" s="258">
        <f>+'YG Gudda'!E39</f>
        <v>4600</v>
      </c>
      <c r="E19" s="258">
        <f>+'YG Gudda'!G39</f>
        <v>456044</v>
      </c>
      <c r="F19" s="258">
        <f>+'YG Gudda'!H39</f>
        <v>210</v>
      </c>
      <c r="G19" s="258">
        <f>+'YG Gudda'!J39</f>
        <v>23360.400000000001</v>
      </c>
      <c r="H19" s="258">
        <f t="shared" ref="H19:H20" si="4">E19+G19</f>
        <v>479404.4</v>
      </c>
      <c r="I19" s="258">
        <f>+'YG Gudda'!M3</f>
        <v>305951.7599030002</v>
      </c>
      <c r="J19" s="319">
        <f>+'YG Gudda'!L39</f>
        <v>600000</v>
      </c>
      <c r="K19" s="311">
        <f t="shared" si="2"/>
        <v>185356.15990300023</v>
      </c>
    </row>
    <row r="20" spans="1:11">
      <c r="A20" s="310">
        <v>20</v>
      </c>
      <c r="B20" s="451" t="s">
        <v>99</v>
      </c>
      <c r="C20" s="257" t="s">
        <v>101</v>
      </c>
      <c r="D20" s="258">
        <f>+' YG Gudda-2'!E39</f>
        <v>800</v>
      </c>
      <c r="E20" s="258">
        <f>+' YG Gudda-2'!G39</f>
        <v>79216</v>
      </c>
      <c r="F20" s="258">
        <f>+' YG Gudda-2'!H39</f>
        <v>35</v>
      </c>
      <c r="G20" s="258">
        <f>+' YG Gudda-2'!J39</f>
        <v>3889.2000000000003</v>
      </c>
      <c r="H20" s="258">
        <f t="shared" si="4"/>
        <v>83105.2</v>
      </c>
      <c r="I20" s="258">
        <f>+' YG Gudda-2'!M3</f>
        <v>255923.31919999997</v>
      </c>
      <c r="J20" s="319">
        <f>+' YG Gudda-2'!L39</f>
        <v>200000</v>
      </c>
      <c r="K20" s="311">
        <f t="shared" si="2"/>
        <v>139028.51919999998</v>
      </c>
    </row>
    <row r="21" spans="1:11">
      <c r="A21" s="310">
        <v>21</v>
      </c>
      <c r="B21" s="257" t="s">
        <v>102</v>
      </c>
      <c r="C21" s="454" t="s">
        <v>103</v>
      </c>
      <c r="D21" s="342">
        <f>+'Hosadurga -2'!E35</f>
        <v>1000</v>
      </c>
      <c r="E21" s="342">
        <f>+'Hosadurga -2'!G35</f>
        <v>99360</v>
      </c>
      <c r="F21" s="342">
        <f>+'Hosadurga -2'!H35</f>
        <v>100</v>
      </c>
      <c r="G21" s="342">
        <f>+'Hosadurga -2'!J35</f>
        <v>11168</v>
      </c>
      <c r="H21" s="342">
        <f>+'Hosadurga -2'!K35</f>
        <v>110528</v>
      </c>
      <c r="I21" s="342">
        <f>+'Hosadurga -2'!M3</f>
        <v>126009.99409999978</v>
      </c>
      <c r="J21" s="482">
        <f>+'Hosadurga -2'!L35</f>
        <v>226000</v>
      </c>
      <c r="K21" s="311">
        <f>H21+I21-J21</f>
        <v>10537.994099999778</v>
      </c>
    </row>
    <row r="22" spans="1:11" ht="15.75" customHeight="1">
      <c r="A22" s="310">
        <v>22</v>
      </c>
      <c r="B22" s="259" t="s">
        <v>104</v>
      </c>
      <c r="C22" s="259" t="s">
        <v>105</v>
      </c>
      <c r="D22" s="258">
        <f>+'Malebenur(KUWSDB)'!E39</f>
        <v>3866.63</v>
      </c>
      <c r="E22" s="258">
        <f>+'Malebenur(KUWSDB)'!G39</f>
        <v>386591.66409999999</v>
      </c>
      <c r="F22" s="258">
        <f>+'Malebenur(KUWSDB)'!H39</f>
        <v>109.99</v>
      </c>
      <c r="G22" s="258">
        <f>+'Malebenur(KUWSDB)'!J39</f>
        <v>12319.979099999999</v>
      </c>
      <c r="H22" s="258">
        <f>E22+G22</f>
        <v>398911.64319999999</v>
      </c>
      <c r="I22" s="258">
        <f>+'Malebenur(KUWSDB)'!M3</f>
        <v>290892.10989999998</v>
      </c>
      <c r="J22" s="319">
        <f>+'Malebenur(KUWSDB)'!L39</f>
        <v>300029.24320000003</v>
      </c>
      <c r="K22" s="311">
        <f>H22+I22-J22</f>
        <v>389774.50989999995</v>
      </c>
    </row>
    <row r="23" spans="1:11">
      <c r="A23" s="310">
        <v>23</v>
      </c>
      <c r="B23" s="257" t="s">
        <v>106</v>
      </c>
      <c r="C23" s="257" t="s">
        <v>107</v>
      </c>
      <c r="D23" s="258">
        <f>+Kadur!E35</f>
        <v>0</v>
      </c>
      <c r="E23" s="258">
        <f>+Kadur!G35</f>
        <v>0</v>
      </c>
      <c r="F23" s="258">
        <f>+Kadur!H35</f>
        <v>0</v>
      </c>
      <c r="G23" s="258">
        <f>+Kadur!J35</f>
        <v>0</v>
      </c>
      <c r="H23" s="258">
        <f t="shared" ref="H23:H54" si="5">E23+G23</f>
        <v>0</v>
      </c>
      <c r="I23" s="258">
        <f>+Kadur!K3</f>
        <v>175658</v>
      </c>
      <c r="J23" s="319">
        <f>+Kadur!L35</f>
        <v>100000</v>
      </c>
      <c r="K23" s="311">
        <f>H23+I23-J23</f>
        <v>75658</v>
      </c>
    </row>
    <row r="24" spans="1:11">
      <c r="A24" s="310">
        <v>24</v>
      </c>
      <c r="B24" s="257" t="s">
        <v>108</v>
      </c>
      <c r="C24" s="257" t="s">
        <v>109</v>
      </c>
      <c r="D24" s="258">
        <f>+'Hiriyur(VJNL)'!E35</f>
        <v>2600</v>
      </c>
      <c r="E24" s="258">
        <f>+'Hiriyur(VJNL)'!G35</f>
        <v>260182</v>
      </c>
      <c r="F24" s="258">
        <f>+'Hiriyur(VJNL)'!H35</f>
        <v>120</v>
      </c>
      <c r="G24" s="258">
        <f>+'Hiriyur(VJNL)'!J35</f>
        <v>13450.8</v>
      </c>
      <c r="H24" s="258">
        <f t="shared" si="5"/>
        <v>273632.8</v>
      </c>
      <c r="I24" s="258">
        <f>+'Hiriyur(VJNL)'!K3</f>
        <v>212444.10000000006</v>
      </c>
      <c r="J24" s="258">
        <f>+'Hiriyur(VJNL)'!L35</f>
        <v>278000</v>
      </c>
      <c r="K24" s="455">
        <f t="shared" si="2"/>
        <v>208076.90000000002</v>
      </c>
    </row>
    <row r="25" spans="1:11">
      <c r="A25" s="310">
        <v>25</v>
      </c>
      <c r="B25" s="257" t="s">
        <v>110</v>
      </c>
      <c r="C25" s="257" t="s">
        <v>111</v>
      </c>
      <c r="D25" s="258">
        <f>+'Chellakere -1'!E38</f>
        <v>1800</v>
      </c>
      <c r="E25" s="258">
        <f>+'Chellakere -1'!G38</f>
        <v>180054</v>
      </c>
      <c r="F25" s="258">
        <f>+'Chellakere -1'!H38</f>
        <v>105</v>
      </c>
      <c r="G25" s="258">
        <f>+'Chellakere -1'!J38</f>
        <v>11764.2</v>
      </c>
      <c r="H25" s="258">
        <f t="shared" si="5"/>
        <v>191818.2</v>
      </c>
      <c r="I25" s="258">
        <f>+'Chellakere -1'!K3</f>
        <v>0</v>
      </c>
      <c r="J25" s="258">
        <f>+'Chellakere -1'!L38</f>
        <v>200000</v>
      </c>
      <c r="K25" s="311">
        <f t="shared" si="2"/>
        <v>-8181.7999999999884</v>
      </c>
    </row>
    <row r="26" spans="1:11">
      <c r="A26" s="310">
        <v>26</v>
      </c>
      <c r="B26" s="257" t="s">
        <v>112</v>
      </c>
      <c r="C26" s="257" t="s">
        <v>111</v>
      </c>
      <c r="D26" s="258">
        <f>+' Chellakere-PKG-9'!E38</f>
        <v>283.42</v>
      </c>
      <c r="E26" s="258">
        <f>+' Chellakere-PKG-9'!G38</f>
        <v>28349.9686</v>
      </c>
      <c r="F26" s="258">
        <f>+' Chellakere-PKG-9'!H38</f>
        <v>30</v>
      </c>
      <c r="G26" s="258">
        <f>+' Chellakere-PKG-9'!J38</f>
        <v>3361.2</v>
      </c>
      <c r="H26" s="258">
        <f t="shared" si="5"/>
        <v>31711.168600000001</v>
      </c>
      <c r="I26" s="258">
        <f>+' Chellakere-PKG-9'!M3</f>
        <v>0</v>
      </c>
      <c r="J26" s="258">
        <f>+' Chellakere-PKG-9'!L38</f>
        <v>21028.498599999999</v>
      </c>
      <c r="K26" s="311">
        <f t="shared" si="2"/>
        <v>10682.670000000002</v>
      </c>
    </row>
    <row r="27" spans="1:11">
      <c r="A27" s="310">
        <v>27</v>
      </c>
      <c r="B27" s="257" t="s">
        <v>113</v>
      </c>
      <c r="C27" s="286" t="s">
        <v>114</v>
      </c>
      <c r="D27" s="258">
        <f>+Molakamuru!E35</f>
        <v>500</v>
      </c>
      <c r="E27" s="258">
        <f>+Molakamuru!G35</f>
        <v>50015</v>
      </c>
      <c r="F27" s="258">
        <f>+Molakamuru!H35</f>
        <v>40</v>
      </c>
      <c r="G27" s="258">
        <f>+Molakamuru!J35</f>
        <v>4481.2</v>
      </c>
      <c r="H27" s="258">
        <f>E27+G27</f>
        <v>54496.2</v>
      </c>
      <c r="I27" s="258">
        <f>+Molakamuru!K3</f>
        <v>44770.66</v>
      </c>
      <c r="J27" s="258">
        <f>+Molakamuru!L35</f>
        <v>0</v>
      </c>
      <c r="K27" s="311">
        <f>H27+I27-J27</f>
        <v>99266.86</v>
      </c>
    </row>
    <row r="28" spans="1:11">
      <c r="A28" s="310">
        <v>28</v>
      </c>
      <c r="B28" s="257" t="s">
        <v>115</v>
      </c>
      <c r="C28" s="309" t="s">
        <v>86</v>
      </c>
      <c r="D28" s="258">
        <f>+' Chennagiri'!E35</f>
        <v>615</v>
      </c>
      <c r="E28" s="258">
        <f>+' Chennagiri'!G35</f>
        <v>61411.7</v>
      </c>
      <c r="F28" s="258">
        <f>+' Chennagiri'!H35</f>
        <v>35</v>
      </c>
      <c r="G28" s="258">
        <f>+' Chennagiri'!J35</f>
        <v>3921.05</v>
      </c>
      <c r="H28" s="258">
        <f t="shared" si="5"/>
        <v>65332.75</v>
      </c>
      <c r="I28" s="258">
        <f>+' Chennagiri'!K3</f>
        <v>0</v>
      </c>
      <c r="J28" s="258">
        <f>+' Chennagiri'!L35</f>
        <v>65332.75</v>
      </c>
      <c r="K28" s="311">
        <f t="shared" si="2"/>
        <v>0</v>
      </c>
    </row>
    <row r="29" spans="1:11">
      <c r="A29" s="310">
        <v>29</v>
      </c>
      <c r="B29" s="257" t="s">
        <v>116</v>
      </c>
      <c r="C29" s="257" t="s">
        <v>117</v>
      </c>
      <c r="D29" s="258">
        <f>+Khanapur!E35</f>
        <v>245.6</v>
      </c>
      <c r="E29" s="258">
        <f>+Khanapur!G35</f>
        <v>24266.905599999998</v>
      </c>
      <c r="F29" s="258">
        <f>+Khanapur!H35</f>
        <v>60</v>
      </c>
      <c r="G29" s="258">
        <f>+Khanapur!J35</f>
        <v>6644.3999999999987</v>
      </c>
      <c r="H29" s="258">
        <f t="shared" si="5"/>
        <v>30911.305599999996</v>
      </c>
      <c r="I29" s="258">
        <f>+Khanapur!M3</f>
        <v>120785.12899999997</v>
      </c>
      <c r="J29" s="258">
        <f>+Khanapur!L35</f>
        <v>100000</v>
      </c>
      <c r="K29" s="311">
        <f t="shared" si="2"/>
        <v>51696.434599999979</v>
      </c>
    </row>
    <row r="30" spans="1:11">
      <c r="A30" s="310">
        <v>30</v>
      </c>
      <c r="B30" s="257" t="s">
        <v>118</v>
      </c>
      <c r="C30" s="257" t="s">
        <v>119</v>
      </c>
      <c r="D30" s="258">
        <f>+'Munavali-2'!E40</f>
        <v>2000</v>
      </c>
      <c r="E30" s="258">
        <f>+'Munavali-2'!G40</f>
        <v>198700</v>
      </c>
      <c r="F30" s="258">
        <f>+'Munavali-2'!H40</f>
        <v>0</v>
      </c>
      <c r="G30" s="258">
        <f>+'Munavali-2'!J40</f>
        <v>0</v>
      </c>
      <c r="H30" s="258">
        <f t="shared" si="5"/>
        <v>198700</v>
      </c>
      <c r="I30" s="258">
        <f>+'Munavali-2'!M3</f>
        <v>263421.5</v>
      </c>
      <c r="J30" s="258">
        <f>+'Munavali-2'!L40</f>
        <v>363000</v>
      </c>
      <c r="K30" s="311">
        <f t="shared" si="2"/>
        <v>99121.5</v>
      </c>
    </row>
    <row r="31" spans="1:11">
      <c r="A31" s="310">
        <v>31</v>
      </c>
      <c r="B31" s="257" t="s">
        <v>118</v>
      </c>
      <c r="C31" s="257" t="s">
        <v>120</v>
      </c>
      <c r="D31" s="258">
        <f>+' Munavali'!E39</f>
        <v>0</v>
      </c>
      <c r="E31" s="258">
        <f>+' Munavali'!G39</f>
        <v>0</v>
      </c>
      <c r="F31" s="258">
        <f>+' Munavali'!H39</f>
        <v>150</v>
      </c>
      <c r="G31" s="258">
        <f>+' Munavali'!J39</f>
        <v>16681.5</v>
      </c>
      <c r="H31" s="258">
        <f t="shared" si="5"/>
        <v>16681.5</v>
      </c>
      <c r="I31" s="258">
        <f>+' Munavali'!M3</f>
        <v>30045.066799999659</v>
      </c>
      <c r="J31" s="258">
        <f>+' Munavali'!L39</f>
        <v>0</v>
      </c>
      <c r="K31" s="311">
        <f t="shared" si="2"/>
        <v>46726.566799999659</v>
      </c>
    </row>
    <row r="32" spans="1:11">
      <c r="A32" s="310">
        <v>33</v>
      </c>
      <c r="B32" s="257" t="s">
        <v>121</v>
      </c>
      <c r="C32" s="257" t="s">
        <v>122</v>
      </c>
      <c r="D32" s="258">
        <f>+'Ugar,Khagwad,Kudichi'!E38</f>
        <v>2722.45</v>
      </c>
      <c r="E32" s="258">
        <f>+'Ugar,Khagwad,Kudichi'!G38</f>
        <v>271502.23709999997</v>
      </c>
      <c r="F32" s="258">
        <f>+'Ugar,Khagwad,Kudichi'!H38</f>
        <v>215</v>
      </c>
      <c r="G32" s="258">
        <f>+'Ugar,Khagwad,Kudichi'!J38</f>
        <v>24048.799999999999</v>
      </c>
      <c r="H32" s="258">
        <f t="shared" si="5"/>
        <v>295551.03709999996</v>
      </c>
      <c r="I32" s="258">
        <f>+'Ugar,Khagwad,Kudichi'!M3</f>
        <v>300655.80450000026</v>
      </c>
      <c r="J32" s="258">
        <f>+'Ugar,Khagwad,Kudichi'!L38</f>
        <v>161435.4895</v>
      </c>
      <c r="K32" s="311">
        <f>H32+I32-J32</f>
        <v>434771.35210000013</v>
      </c>
    </row>
    <row r="33" spans="1:13">
      <c r="A33" s="310">
        <v>34</v>
      </c>
      <c r="B33" s="257" t="s">
        <v>123</v>
      </c>
      <c r="C33" s="257" t="s">
        <v>124</v>
      </c>
      <c r="D33" s="258">
        <f>+shedbal!E38</f>
        <v>1136</v>
      </c>
      <c r="E33" s="258">
        <f>+shedbal!G38</f>
        <v>113293.28</v>
      </c>
      <c r="F33" s="258">
        <f>+shedbal!H38</f>
        <v>77</v>
      </c>
      <c r="G33" s="258">
        <f>+shedbal!J38</f>
        <v>8612.4500000000007</v>
      </c>
      <c r="H33" s="258">
        <f t="shared" si="5"/>
        <v>121905.73</v>
      </c>
      <c r="I33" s="258">
        <f>+shedbal!M3</f>
        <v>158612.05309999999</v>
      </c>
      <c r="J33" s="258">
        <f>+shedbal!L38</f>
        <v>150000</v>
      </c>
      <c r="K33" s="311">
        <f>H33+I33-J33</f>
        <v>130517.7831</v>
      </c>
    </row>
    <row r="34" spans="1:13">
      <c r="A34" s="310">
        <v>35</v>
      </c>
      <c r="B34" s="257" t="s">
        <v>125</v>
      </c>
      <c r="C34" s="257" t="s">
        <v>126</v>
      </c>
      <c r="D34" s="258">
        <f>+Kabbur!E35</f>
        <v>30</v>
      </c>
      <c r="E34" s="258">
        <f>+Kabbur!G35</f>
        <v>2982.2999999999997</v>
      </c>
      <c r="F34" s="258">
        <f>+Kabbur!H35</f>
        <v>0</v>
      </c>
      <c r="G34" s="258">
        <f>+Kabbur!J35</f>
        <v>0</v>
      </c>
      <c r="H34" s="258">
        <f t="shared" si="5"/>
        <v>2982.2999999999997</v>
      </c>
      <c r="I34" s="258">
        <v>0</v>
      </c>
      <c r="J34" s="258">
        <f>+Kabbur!L35</f>
        <v>2982.2999999999997</v>
      </c>
      <c r="K34" s="311">
        <f>H34+I34-J34</f>
        <v>0</v>
      </c>
    </row>
    <row r="35" spans="1:13">
      <c r="A35" s="310">
        <v>36</v>
      </c>
      <c r="B35" s="257" t="s">
        <v>127</v>
      </c>
      <c r="C35" s="257" t="s">
        <v>128</v>
      </c>
      <c r="D35" s="258">
        <f>+kumta!E41</f>
        <v>894.81999999999994</v>
      </c>
      <c r="E35" s="258">
        <f>+kumta!G41</f>
        <v>89285.13959999998</v>
      </c>
      <c r="F35" s="258">
        <f>+kumta!H41</f>
        <v>39</v>
      </c>
      <c r="G35" s="258">
        <f>+kumta!J41</f>
        <v>4367.22</v>
      </c>
      <c r="H35" s="258">
        <f t="shared" si="5"/>
        <v>93652.359599999982</v>
      </c>
      <c r="I35" s="258">
        <f>kumta!M3</f>
        <v>84520.65800000001</v>
      </c>
      <c r="J35" s="258">
        <f>+kumta!L41</f>
        <v>100000</v>
      </c>
      <c r="K35" s="311">
        <f t="shared" si="2"/>
        <v>78173.017599999992</v>
      </c>
    </row>
    <row r="36" spans="1:13">
      <c r="A36" s="310">
        <v>37</v>
      </c>
      <c r="B36" s="257" t="s">
        <v>129</v>
      </c>
      <c r="C36" s="257" t="s">
        <v>130</v>
      </c>
      <c r="D36" s="258">
        <f>+'Jalgoan-2'!E56</f>
        <v>0</v>
      </c>
      <c r="E36" s="258">
        <f>'Jalgoan-2'!G56</f>
        <v>0</v>
      </c>
      <c r="F36" s="258">
        <f>+'Jalgoan-2'!H56</f>
        <v>60</v>
      </c>
      <c r="G36" s="258">
        <f>+'Jalgoan-2'!J56</f>
        <v>7090.8</v>
      </c>
      <c r="H36" s="258">
        <f t="shared" si="5"/>
        <v>7090.8</v>
      </c>
      <c r="I36" s="258">
        <f>+'Jalgoan-2'!M3</f>
        <v>605152.23820000002</v>
      </c>
      <c r="J36" s="258">
        <f>+'Jalgoan-2'!L56</f>
        <v>0</v>
      </c>
      <c r="K36" s="311">
        <f t="shared" si="2"/>
        <v>612243.03820000007</v>
      </c>
    </row>
    <row r="37" spans="1:13">
      <c r="A37" s="310">
        <v>38</v>
      </c>
      <c r="B37" s="257" t="s">
        <v>131</v>
      </c>
      <c r="C37" s="257" t="s">
        <v>132</v>
      </c>
      <c r="D37" s="258">
        <f>+MKBD!E42</f>
        <v>3800</v>
      </c>
      <c r="E37" s="258">
        <f>+MKBD!G42</f>
        <v>375972</v>
      </c>
      <c r="F37" s="258">
        <f>+MKBD!H42</f>
        <v>40</v>
      </c>
      <c r="G37" s="258">
        <f>+MKBD!J42</f>
        <v>4490.8</v>
      </c>
      <c r="H37" s="258">
        <f t="shared" si="5"/>
        <v>380462.8</v>
      </c>
      <c r="I37" s="258">
        <f>+MKBD!K3</f>
        <v>0</v>
      </c>
      <c r="J37" s="258">
        <f>+MKBD!L42</f>
        <v>0</v>
      </c>
      <c r="K37" s="311">
        <f t="shared" si="2"/>
        <v>380462.8</v>
      </c>
    </row>
    <row r="38" spans="1:13">
      <c r="A38" s="310">
        <v>39</v>
      </c>
      <c r="B38" s="257" t="s">
        <v>133</v>
      </c>
      <c r="C38" s="257" t="s">
        <v>134</v>
      </c>
      <c r="D38" s="258">
        <f>' Haveri-2'!E42</f>
        <v>3207.57</v>
      </c>
      <c r="E38" s="258">
        <f>' Haveri-2'!G42</f>
        <v>318511.70100000006</v>
      </c>
      <c r="F38" s="258">
        <f>' Haveri-2'!H42</f>
        <v>48</v>
      </c>
      <c r="G38" s="258">
        <f>' Haveri-2'!J42</f>
        <v>5347.2</v>
      </c>
      <c r="H38" s="258">
        <f t="shared" si="5"/>
        <v>323858.90100000007</v>
      </c>
      <c r="I38" s="258">
        <f>' Haveri-2'!M3</f>
        <v>82823.565499999837</v>
      </c>
      <c r="J38" s="258">
        <f>+' Haveri-2'!L42</f>
        <v>350000</v>
      </c>
      <c r="K38" s="311">
        <f t="shared" si="2"/>
        <v>56682.466499999922</v>
      </c>
    </row>
    <row r="39" spans="1:13">
      <c r="A39" s="310">
        <v>40</v>
      </c>
      <c r="B39" s="257" t="s">
        <v>135</v>
      </c>
      <c r="C39" s="257" t="s">
        <v>136</v>
      </c>
      <c r="D39" s="258">
        <f>+' Guttal-2'!E35</f>
        <v>1664</v>
      </c>
      <c r="E39" s="258">
        <f>+' Guttal-2'!G35</f>
        <v>165734.39999999999</v>
      </c>
      <c r="F39" s="258">
        <f>+' Guttal-2'!H35</f>
        <v>107.61</v>
      </c>
      <c r="G39" s="258">
        <f>+' Guttal-2'!J35</f>
        <v>12021.113099999999</v>
      </c>
      <c r="H39" s="258">
        <f t="shared" si="5"/>
        <v>177755.51309999998</v>
      </c>
      <c r="I39" s="258">
        <f>+' Guttal-2'!M3</f>
        <v>459610.05670000007</v>
      </c>
      <c r="J39" s="258">
        <f>+' Guttal-2'!L35</f>
        <v>550000</v>
      </c>
      <c r="K39" s="311">
        <f t="shared" si="2"/>
        <v>87365.569800000056</v>
      </c>
    </row>
    <row r="40" spans="1:13">
      <c r="A40" s="310">
        <v>41</v>
      </c>
      <c r="B40" s="257" t="s">
        <v>137</v>
      </c>
      <c r="C40" s="257" t="s">
        <v>138</v>
      </c>
      <c r="D40" s="258">
        <f>+'Rattihali-2'!E37</f>
        <v>1647.32</v>
      </c>
      <c r="E40" s="258">
        <f>+'Rattihali-2'!G37</f>
        <v>164237.804</v>
      </c>
      <c r="F40" s="258">
        <f>+'Rattihali-2'!H37</f>
        <v>95</v>
      </c>
      <c r="G40" s="258">
        <f>+'Rattihali-2'!J37</f>
        <v>10622.899999999998</v>
      </c>
      <c r="H40" s="258">
        <f t="shared" si="5"/>
        <v>174860.704</v>
      </c>
      <c r="I40" s="258">
        <f>+'Rattihali-2'!M3</f>
        <v>161393.37200000006</v>
      </c>
      <c r="J40" s="258">
        <f>+'Rattihali-2'!L37</f>
        <v>200000</v>
      </c>
      <c r="K40" s="311">
        <f t="shared" si="2"/>
        <v>136254.07600000006</v>
      </c>
    </row>
    <row r="41" spans="1:13">
      <c r="A41" s="310">
        <v>42</v>
      </c>
      <c r="B41" s="257" t="s">
        <v>139</v>
      </c>
      <c r="C41" s="257" t="s">
        <v>140</v>
      </c>
      <c r="D41" s="258">
        <f>+Gajendragada!E36</f>
        <v>336</v>
      </c>
      <c r="E41" s="258">
        <f>+Gajendragada!G36</f>
        <v>33479.040000000001</v>
      </c>
      <c r="F41" s="258">
        <f>+Gajendragada!H36</f>
        <v>60.730000000000004</v>
      </c>
      <c r="G41" s="258">
        <f>+Gajendragada!J36</f>
        <v>6787.7921000000006</v>
      </c>
      <c r="H41" s="258">
        <f t="shared" si="5"/>
        <v>40266.8321</v>
      </c>
      <c r="I41" s="258">
        <f>+Gajendragada!M3</f>
        <v>126924.9593</v>
      </c>
      <c r="J41" s="258">
        <f>+Gajendragada!L36</f>
        <v>0</v>
      </c>
      <c r="K41" s="311">
        <f t="shared" si="2"/>
        <v>167191.79139999999</v>
      </c>
    </row>
    <row r="42" spans="1:13">
      <c r="A42" s="310">
        <v>43</v>
      </c>
      <c r="B42" s="260" t="s">
        <v>141</v>
      </c>
      <c r="C42" s="260" t="s">
        <v>142</v>
      </c>
      <c r="D42" s="258">
        <f>+'Gokak Dharwad PKG 3'!E42</f>
        <v>2123.79</v>
      </c>
      <c r="E42" s="258">
        <f>+'Gokak Dharwad PKG 3'!G42</f>
        <v>210871.1091</v>
      </c>
      <c r="F42" s="258">
        <f>+'Gokak Dharwad PKG 3'!H42</f>
        <v>5</v>
      </c>
      <c r="G42" s="258">
        <f>+'Gokak Dharwad PKG 3'!J42</f>
        <v>556.9</v>
      </c>
      <c r="H42" s="258">
        <f t="shared" si="5"/>
        <v>211428.0091</v>
      </c>
      <c r="I42" s="321">
        <f>+'Gokak Dharwad PKG 3'!K3</f>
        <v>458335.93710000161</v>
      </c>
      <c r="J42" s="258">
        <f>+'Gokak Dharwad PKG 3'!L42</f>
        <v>550000</v>
      </c>
      <c r="K42" s="311">
        <f t="shared" si="2"/>
        <v>119763.94620000164</v>
      </c>
      <c r="M42" s="262"/>
    </row>
    <row r="43" spans="1:13">
      <c r="A43" s="310">
        <v>44</v>
      </c>
      <c r="B43" s="260" t="s">
        <v>143</v>
      </c>
      <c r="C43" s="260" t="s">
        <v>144</v>
      </c>
      <c r="D43" s="258">
        <f>+' TR Associates'!E35</f>
        <v>6567.0599999999995</v>
      </c>
      <c r="E43" s="258">
        <f>+' TR Associates'!G35</f>
        <v>650992.65779999993</v>
      </c>
      <c r="F43" s="258">
        <f>+' TR Associates'!H35</f>
        <v>0</v>
      </c>
      <c r="G43" s="258">
        <f>+' TR Associates'!J35</f>
        <v>0</v>
      </c>
      <c r="H43" s="319">
        <f t="shared" si="5"/>
        <v>650992.65779999993</v>
      </c>
      <c r="I43" s="318">
        <f>+' TR Associates'!M3</f>
        <v>703648.01</v>
      </c>
      <c r="J43" s="320">
        <f>+' TR Associates'!L35</f>
        <v>0</v>
      </c>
      <c r="K43" s="311">
        <f t="shared" si="2"/>
        <v>1354640.6677999999</v>
      </c>
      <c r="M43" s="262"/>
    </row>
    <row r="44" spans="1:13">
      <c r="A44" s="310">
        <v>45</v>
      </c>
      <c r="B44" s="260" t="s">
        <v>145</v>
      </c>
      <c r="C44" s="260" t="s">
        <v>146</v>
      </c>
      <c r="D44" s="258">
        <f>+Ankalgi!E35</f>
        <v>1506.28</v>
      </c>
      <c r="E44" s="258">
        <f>+Ankalgi!G35</f>
        <v>149317.53640000001</v>
      </c>
      <c r="F44" s="258">
        <f>+Ankalgi!H35</f>
        <v>15</v>
      </c>
      <c r="G44" s="258">
        <f>+Ankalgi!J35</f>
        <v>1668.1499999999999</v>
      </c>
      <c r="H44" s="258">
        <f t="shared" si="5"/>
        <v>150985.68640000001</v>
      </c>
      <c r="I44" s="278">
        <f>+Ankalgi!M3</f>
        <v>120724.02</v>
      </c>
      <c r="J44" s="258">
        <f>+Ankalgi!L35</f>
        <v>0</v>
      </c>
      <c r="K44" s="311">
        <f>H44+I44-J44</f>
        <v>271709.70640000002</v>
      </c>
    </row>
    <row r="45" spans="1:13">
      <c r="A45" s="310">
        <v>46</v>
      </c>
      <c r="B45" s="260" t="s">
        <v>147</v>
      </c>
      <c r="C45" s="260" t="s">
        <v>148</v>
      </c>
      <c r="D45" s="258">
        <f>+'SHRI DESHPANDE'!E35</f>
        <v>5194.6099999999997</v>
      </c>
      <c r="E45" s="258">
        <f>+'SHRI DESHPANDE'!G35</f>
        <v>516188.39569999999</v>
      </c>
      <c r="F45" s="258">
        <f>+'SHRI DESHPANDE'!H35</f>
        <v>215</v>
      </c>
      <c r="G45" s="258">
        <f>+'SHRI DESHPANDE'!J35</f>
        <v>23963.899999999994</v>
      </c>
      <c r="H45" s="319">
        <f>E45+G45</f>
        <v>540152.29570000002</v>
      </c>
      <c r="I45" s="318">
        <f>+'SHRI DESHPANDE'!M3</f>
        <v>693317.08</v>
      </c>
      <c r="J45" s="320">
        <f>+'SHRI DESHPANDE'!L35</f>
        <v>0</v>
      </c>
      <c r="K45" s="311">
        <f>H45+I45-J45</f>
        <v>1233469.3757</v>
      </c>
    </row>
    <row r="46" spans="1:13">
      <c r="A46" s="310">
        <v>47</v>
      </c>
      <c r="B46" s="260" t="s">
        <v>149</v>
      </c>
      <c r="C46" s="260" t="s">
        <v>150</v>
      </c>
      <c r="D46" s="258">
        <f>+' Shankeshwar'!E35</f>
        <v>0</v>
      </c>
      <c r="E46" s="258">
        <f>+' Shankeshwar'!G35</f>
        <v>0</v>
      </c>
      <c r="F46" s="258">
        <f>+' Shankeshwar'!H35</f>
        <v>10</v>
      </c>
      <c r="G46" s="258">
        <f>+' Shankeshwar'!J35</f>
        <v>1112</v>
      </c>
      <c r="H46" s="319">
        <f t="shared" si="5"/>
        <v>1112</v>
      </c>
      <c r="I46" s="405">
        <f>' Shankeshwar'!M3</f>
        <v>0</v>
      </c>
      <c r="J46" s="320">
        <f>+' Shankeshwar'!L35</f>
        <v>1112</v>
      </c>
      <c r="K46" s="311">
        <f t="shared" si="2"/>
        <v>0</v>
      </c>
    </row>
    <row r="47" spans="1:13">
      <c r="A47" s="310">
        <v>48</v>
      </c>
      <c r="B47" s="260" t="s">
        <v>151</v>
      </c>
      <c r="C47" s="260" t="s">
        <v>152</v>
      </c>
      <c r="D47" s="258">
        <f>+' Talikote'!E48</f>
        <v>25</v>
      </c>
      <c r="E47" s="258">
        <f>+' Talikote'!G48</f>
        <v>2480.75</v>
      </c>
      <c r="F47" s="258">
        <f>+' Talikote'!H48</f>
        <v>0.9</v>
      </c>
      <c r="G47" s="258">
        <f>+' Talikote'!J48</f>
        <v>100.27800000000001</v>
      </c>
      <c r="H47" s="258">
        <f>E47+G47</f>
        <v>2581.0279999999998</v>
      </c>
      <c r="I47" s="342">
        <f>+' Talikote'!M3</f>
        <v>74297.812119999973</v>
      </c>
      <c r="J47" s="258">
        <f>+' Talikote'!L48</f>
        <v>75100.28</v>
      </c>
      <c r="K47" s="311">
        <f t="shared" si="2"/>
        <v>1778.5601199999801</v>
      </c>
    </row>
    <row r="48" spans="1:13">
      <c r="A48" s="310">
        <v>49</v>
      </c>
      <c r="B48" s="260" t="s">
        <v>153</v>
      </c>
      <c r="C48" s="260" t="s">
        <v>154</v>
      </c>
      <c r="D48" s="258">
        <f>+Chadchan!E35</f>
        <v>405.85999999999996</v>
      </c>
      <c r="E48" s="258">
        <f>+Chadchan!G35</f>
        <v>40354.183200000007</v>
      </c>
      <c r="F48" s="258">
        <f>+Chadchan!H35</f>
        <v>50.97</v>
      </c>
      <c r="G48" s="258">
        <f>+Chadchan!J35</f>
        <v>5708.1043000000009</v>
      </c>
      <c r="H48" s="258">
        <f t="shared" si="5"/>
        <v>46062.287500000006</v>
      </c>
      <c r="I48" s="258">
        <f>+Chadchan!M3</f>
        <v>124570.70960000006</v>
      </c>
      <c r="J48" s="258">
        <f>+Chadchan!L35</f>
        <v>0</v>
      </c>
      <c r="K48" s="311">
        <f t="shared" si="2"/>
        <v>170632.99710000007</v>
      </c>
    </row>
    <row r="49" spans="1:13">
      <c r="A49" s="310">
        <v>50</v>
      </c>
      <c r="B49" s="260" t="s">
        <v>155</v>
      </c>
      <c r="C49" s="260" t="s">
        <v>156</v>
      </c>
      <c r="D49" s="258">
        <f>+Sindagi!E35</f>
        <v>150</v>
      </c>
      <c r="E49" s="258">
        <f>+Sindagi!G35</f>
        <v>14860.5</v>
      </c>
      <c r="F49" s="258">
        <f>+Sindagi!H35</f>
        <v>0</v>
      </c>
      <c r="G49" s="258">
        <f>+Sindagi!J35</f>
        <v>0</v>
      </c>
      <c r="H49" s="258">
        <f t="shared" si="5"/>
        <v>14860.5</v>
      </c>
      <c r="I49" s="258">
        <f>+Sindagi!M3</f>
        <v>27734.19</v>
      </c>
      <c r="J49" s="258">
        <f>+Sindagi!L35</f>
        <v>38500</v>
      </c>
      <c r="K49" s="311">
        <f t="shared" si="2"/>
        <v>4094.6900000000023</v>
      </c>
    </row>
    <row r="50" spans="1:13">
      <c r="A50" s="310">
        <v>51</v>
      </c>
      <c r="B50" s="260" t="s">
        <v>157</v>
      </c>
      <c r="C50" s="260" t="s">
        <v>158</v>
      </c>
      <c r="D50" s="258">
        <f>+'Muddebhihal-2'!E50</f>
        <v>1022.29</v>
      </c>
      <c r="E50" s="258">
        <f>+'Muddebhihal-2'!G50</f>
        <v>101441.8367</v>
      </c>
      <c r="F50" s="258">
        <f>+'Muddebhihal-2'!H50</f>
        <v>47</v>
      </c>
      <c r="G50" s="258">
        <f>+'Muddebhihal-2'!J50</f>
        <v>5250.84</v>
      </c>
      <c r="H50" s="258">
        <f>+'Muddebhihal-2'!K50</f>
        <v>106692.67669999998</v>
      </c>
      <c r="I50" s="258">
        <f>+'Muddebhihal-2'!M3</f>
        <v>178474.12</v>
      </c>
      <c r="J50" s="258">
        <f>+'Muddebhihal-2'!L50</f>
        <v>150000</v>
      </c>
      <c r="K50" s="311">
        <f>+'Muddebhihal-2'!M49</f>
        <v>135166.79670000001</v>
      </c>
    </row>
    <row r="51" spans="1:13">
      <c r="A51" s="310">
        <v>52</v>
      </c>
      <c r="B51" s="260" t="s">
        <v>159</v>
      </c>
      <c r="C51" s="260" t="s">
        <v>160</v>
      </c>
      <c r="D51" s="258">
        <f>+Alemela!E43</f>
        <v>174.75</v>
      </c>
      <c r="E51" s="258">
        <f>+Alemela!G43</f>
        <v>17349.18</v>
      </c>
      <c r="F51" s="258">
        <f>+Alemela!H43</f>
        <v>22.29</v>
      </c>
      <c r="G51" s="258">
        <f>+Alemela!J43</f>
        <v>2482.6601999999998</v>
      </c>
      <c r="H51" s="258">
        <f t="shared" si="5"/>
        <v>19831.840199999999</v>
      </c>
      <c r="I51" s="258">
        <f>+Alemela!M3</f>
        <v>23063</v>
      </c>
      <c r="J51" s="258">
        <f>+Alemela!L43</f>
        <v>29000</v>
      </c>
      <c r="K51" s="311">
        <f t="shared" si="2"/>
        <v>13894.840199999999</v>
      </c>
    </row>
    <row r="52" spans="1:13">
      <c r="A52" s="310">
        <v>53</v>
      </c>
      <c r="B52" s="260" t="s">
        <v>161</v>
      </c>
      <c r="C52" s="260" t="s">
        <v>162</v>
      </c>
      <c r="D52" s="258">
        <f>+Nalatwad!E43</f>
        <v>876.51</v>
      </c>
      <c r="E52" s="258">
        <f>+Nalatwad!G43</f>
        <v>87160.154399999999</v>
      </c>
      <c r="F52" s="258">
        <f>+Nalatwad!H43</f>
        <v>50.33</v>
      </c>
      <c r="G52" s="258">
        <f>+Nalatwad!J43</f>
        <v>5671.8550999999998</v>
      </c>
      <c r="H52" s="258">
        <f>E52+G52</f>
        <v>92832.0095</v>
      </c>
      <c r="I52" s="258">
        <f>+Nalatwad!M3</f>
        <v>135406.60999999999</v>
      </c>
      <c r="J52" s="258">
        <f>+Nalatwad!L43</f>
        <v>0</v>
      </c>
      <c r="K52" s="311">
        <f>H52+I52-J52</f>
        <v>228238.61949999997</v>
      </c>
    </row>
    <row r="53" spans="1:13">
      <c r="A53" s="310">
        <v>54</v>
      </c>
      <c r="B53" s="260" t="s">
        <v>163</v>
      </c>
      <c r="C53" s="260" t="s">
        <v>164</v>
      </c>
      <c r="D53" s="258">
        <f>+Srirangapatna!E35</f>
        <v>0</v>
      </c>
      <c r="E53" s="258">
        <f>+Srirangapatna!G35</f>
        <v>0</v>
      </c>
      <c r="F53" s="258">
        <f>+Srirangapatna!H35</f>
        <v>0</v>
      </c>
      <c r="G53" s="258">
        <f>+Srirangapatna!J35</f>
        <v>0</v>
      </c>
      <c r="H53" s="258">
        <f t="shared" si="5"/>
        <v>0</v>
      </c>
      <c r="I53" s="258">
        <v>0</v>
      </c>
      <c r="J53" s="258">
        <f>+Srirangapatna!L35</f>
        <v>0</v>
      </c>
      <c r="K53" s="311">
        <f t="shared" si="2"/>
        <v>0</v>
      </c>
    </row>
    <row r="54" spans="1:13">
      <c r="A54" s="310">
        <v>55</v>
      </c>
      <c r="B54" s="260" t="s">
        <v>165</v>
      </c>
      <c r="C54" s="257" t="s">
        <v>98</v>
      </c>
      <c r="D54" s="316">
        <f>+'HO(DG)'!E48</f>
        <v>150</v>
      </c>
      <c r="E54" s="316">
        <f>+'HO(DG)'!G48</f>
        <v>15564</v>
      </c>
      <c r="F54" s="316" t="str">
        <f>+'HO(DG)'!H48</f>
        <v xml:space="preserve">             -  </v>
      </c>
      <c r="G54" s="316" t="str">
        <f>+'HO(DG)'!J48</f>
        <v xml:space="preserve">             -  </v>
      </c>
      <c r="H54" s="258" t="e">
        <f t="shared" si="5"/>
        <v>#VALUE!</v>
      </c>
      <c r="I54" s="316">
        <f>+'HO(DG)'!M3</f>
        <v>0</v>
      </c>
      <c r="J54" s="316">
        <f>+'HO(DG)'!L48</f>
        <v>15564</v>
      </c>
      <c r="K54" s="311" t="e">
        <f t="shared" si="2"/>
        <v>#VALUE!</v>
      </c>
    </row>
    <row r="55" spans="1:13">
      <c r="A55" s="612" t="s">
        <v>36</v>
      </c>
      <c r="B55" s="613"/>
      <c r="C55" s="614"/>
      <c r="D55" s="312">
        <f>SUM(D2:D54)</f>
        <v>109001.121</v>
      </c>
      <c r="E55" s="312">
        <f t="shared" ref="E55:G55" si="6">SUM(E2:E54)</f>
        <v>11110851.589130001</v>
      </c>
      <c r="F55" s="312">
        <f t="shared" si="6"/>
        <v>3513.5699999999997</v>
      </c>
      <c r="G55" s="312">
        <f>SUM(G2:G54)</f>
        <v>399456.15890000004</v>
      </c>
      <c r="H55" s="312" t="e">
        <f>SUM(H2:H54)</f>
        <v>#VALUE!</v>
      </c>
      <c r="I55" s="312">
        <f>SUM(I2:I54)</f>
        <v>20909806.29434301</v>
      </c>
      <c r="J55" s="312">
        <f>SUM(J2:J54)</f>
        <v>9773606.7341300007</v>
      </c>
      <c r="K55" s="313" t="e">
        <f>H55+I55-J55</f>
        <v>#VALUE!</v>
      </c>
      <c r="M55" s="262"/>
    </row>
    <row r="56" spans="1:13">
      <c r="I56" s="262">
        <v>36038811.444932982</v>
      </c>
      <c r="K56" s="261"/>
    </row>
    <row r="57" spans="1:13">
      <c r="I57" s="262">
        <f>I55-I56</f>
        <v>-15129005.150589973</v>
      </c>
      <c r="K57" s="261"/>
    </row>
    <row r="58" spans="1:13">
      <c r="K58" s="261"/>
    </row>
    <row r="59" spans="1:13">
      <c r="K59" s="261"/>
    </row>
    <row r="60" spans="1:13">
      <c r="A60" s="291" t="s">
        <v>55</v>
      </c>
      <c r="B60" s="291" t="s">
        <v>56</v>
      </c>
      <c r="C60" s="291" t="s">
        <v>57</v>
      </c>
      <c r="D60" s="292" t="s">
        <v>58</v>
      </c>
      <c r="E60" s="292" t="s">
        <v>59</v>
      </c>
      <c r="F60" s="292" t="s">
        <v>60</v>
      </c>
      <c r="G60" s="292" t="s">
        <v>61</v>
      </c>
      <c r="H60" s="292" t="s">
        <v>62</v>
      </c>
      <c r="I60" s="292" t="s">
        <v>63</v>
      </c>
      <c r="J60" s="292" t="s">
        <v>64</v>
      </c>
      <c r="K60" s="292" t="s">
        <v>65</v>
      </c>
    </row>
    <row r="61" spans="1:13">
      <c r="A61" s="293">
        <v>39</v>
      </c>
      <c r="B61" s="293" t="str" cm="1">
        <f t="array" ref="B61:K61">VLOOKUP(A61,A1:K53,{2,3,4,5,6,7,8,9,10,11},FALSE)</f>
        <v>Haveri</v>
      </c>
      <c r="C61" s="293" t="str">
        <v>M/s Magavi City Fuels</v>
      </c>
      <c r="D61" s="293">
        <v>3207.57</v>
      </c>
      <c r="E61" s="293">
        <v>318511.70100000006</v>
      </c>
      <c r="F61" s="293">
        <v>48</v>
      </c>
      <c r="G61" s="293">
        <v>5347.2</v>
      </c>
      <c r="H61" s="293">
        <v>323858.90100000007</v>
      </c>
      <c r="I61" s="293">
        <v>82823.565499999837</v>
      </c>
      <c r="J61" s="293">
        <v>350000</v>
      </c>
      <c r="K61" s="293">
        <v>56682.466499999922</v>
      </c>
    </row>
    <row r="63" spans="1:13">
      <c r="B63" s="291" t="s">
        <v>56</v>
      </c>
      <c r="C63" s="291" t="s">
        <v>57</v>
      </c>
      <c r="D63" s="292" t="s">
        <v>58</v>
      </c>
      <c r="E63" s="292" t="s">
        <v>59</v>
      </c>
      <c r="F63" s="292" t="s">
        <v>60</v>
      </c>
      <c r="G63" s="292" t="s">
        <v>61</v>
      </c>
      <c r="H63" s="292" t="s">
        <v>62</v>
      </c>
      <c r="I63" s="292" t="s">
        <v>63</v>
      </c>
      <c r="J63" s="292" t="s">
        <v>64</v>
      </c>
      <c r="K63" s="292" t="s">
        <v>65</v>
      </c>
    </row>
    <row r="64" spans="1:13">
      <c r="B64" s="6" t="s">
        <v>129</v>
      </c>
      <c r="C64" s="256" t="str" cm="1">
        <f t="array" ref="C64:K64">VLOOKUP(B64,B1:K53,{2,3,4,5,6,7,8,9,10},FALSE)</f>
        <v>Nayara</v>
      </c>
      <c r="D64" s="256">
        <v>0</v>
      </c>
      <c r="E64" s="256">
        <v>0</v>
      </c>
      <c r="F64" s="256">
        <v>60</v>
      </c>
      <c r="G64" s="256">
        <v>7090.8</v>
      </c>
      <c r="H64" s="256">
        <v>7090.8</v>
      </c>
      <c r="I64" s="256">
        <v>605152.23820000002</v>
      </c>
      <c r="J64" s="256">
        <v>0</v>
      </c>
      <c r="K64" s="256">
        <v>612243.03820000007</v>
      </c>
    </row>
    <row r="71" spans="2:14">
      <c r="B71" s="256">
        <v>60000</v>
      </c>
    </row>
    <row r="72" spans="2:14">
      <c r="B72" s="256">
        <v>18000</v>
      </c>
    </row>
    <row r="73" spans="2:14">
      <c r="B73" s="256">
        <v>18000</v>
      </c>
    </row>
    <row r="74" spans="2:14">
      <c r="B74" s="256">
        <v>75000</v>
      </c>
    </row>
    <row r="75" spans="2:14">
      <c r="B75" s="256">
        <v>360000</v>
      </c>
      <c r="L75" s="476"/>
      <c r="M75" s="476"/>
      <c r="N75" s="476"/>
    </row>
    <row r="76" spans="2:14">
      <c r="L76" s="476"/>
      <c r="M76" s="476"/>
      <c r="N76" s="476"/>
    </row>
    <row r="77" spans="2:14">
      <c r="L77" s="476"/>
      <c r="M77" s="476"/>
      <c r="N77" s="476"/>
    </row>
    <row r="78" spans="2:14">
      <c r="L78" s="476"/>
      <c r="M78" s="476"/>
      <c r="N78" s="476"/>
    </row>
    <row r="79" spans="2:14">
      <c r="L79" s="476"/>
      <c r="M79" s="476"/>
      <c r="N79" s="476"/>
    </row>
    <row r="80" spans="2:14">
      <c r="L80" s="476"/>
      <c r="M80" s="476"/>
      <c r="N80" s="476"/>
    </row>
    <row r="81" spans="12:14">
      <c r="L81" s="476"/>
      <c r="M81" s="476"/>
      <c r="N81" s="476"/>
    </row>
    <row r="82" spans="12:14">
      <c r="L82" s="476"/>
      <c r="M82" s="476"/>
      <c r="N82" s="476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5:C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Q59"/>
  <sheetViews>
    <sheetView workbookViewId="0">
      <selection activeCell="K17" sqref="K17"/>
    </sheetView>
  </sheetViews>
  <sheetFormatPr defaultRowHeight="15"/>
  <cols>
    <col min="2" max="2" width="10.42578125" bestFit="1" customWidth="1"/>
    <col min="4" max="4" width="18.42578125" customWidth="1"/>
    <col min="5" max="5" width="12" customWidth="1"/>
    <col min="7" max="7" width="10.42578125" bestFit="1" customWidth="1"/>
    <col min="11" max="11" width="14.7109375" customWidth="1"/>
    <col min="12" max="12" width="10.42578125" bestFit="1" customWidth="1"/>
    <col min="13" max="13" width="11.42578125" bestFit="1" customWidth="1"/>
    <col min="14" max="14" width="11.42578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7" ht="15.75">
      <c r="A1" s="658" t="s">
        <v>166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353"/>
      <c r="P1" s="353"/>
      <c r="Q1" s="353"/>
    </row>
    <row r="2" spans="1:17" ht="27">
      <c r="A2" s="565" t="s">
        <v>0</v>
      </c>
      <c r="B2" s="566" t="s">
        <v>167</v>
      </c>
      <c r="C2" s="566" t="s">
        <v>168</v>
      </c>
      <c r="D2" s="566" t="s">
        <v>169</v>
      </c>
      <c r="E2" s="566" t="s">
        <v>170</v>
      </c>
      <c r="F2" s="566" t="s">
        <v>171</v>
      </c>
      <c r="G2" s="566" t="s">
        <v>172</v>
      </c>
      <c r="H2" s="566" t="s">
        <v>173</v>
      </c>
      <c r="I2" s="566" t="s">
        <v>171</v>
      </c>
      <c r="J2" s="566" t="s">
        <v>172</v>
      </c>
      <c r="K2" s="567" t="s">
        <v>174</v>
      </c>
      <c r="L2" s="567" t="s">
        <v>175</v>
      </c>
      <c r="M2" s="567" t="s">
        <v>176</v>
      </c>
      <c r="N2" s="566" t="s">
        <v>177</v>
      </c>
      <c r="O2" s="353"/>
      <c r="P2" s="353"/>
      <c r="Q2" s="353"/>
    </row>
    <row r="3" spans="1:17">
      <c r="A3" s="659" t="s">
        <v>178</v>
      </c>
      <c r="B3" s="660"/>
      <c r="C3" s="660"/>
      <c r="D3" s="660"/>
      <c r="E3" s="660"/>
      <c r="F3" s="660"/>
      <c r="G3" s="660"/>
      <c r="H3" s="660"/>
      <c r="I3" s="660"/>
      <c r="J3" s="661"/>
      <c r="K3" s="568" t="s">
        <v>179</v>
      </c>
      <c r="L3" s="569" t="s">
        <v>180</v>
      </c>
      <c r="M3" s="353">
        <v>0</v>
      </c>
      <c r="N3" s="299" t="s">
        <v>180</v>
      </c>
      <c r="O3" s="353"/>
      <c r="P3" s="353"/>
      <c r="Q3" s="353"/>
    </row>
    <row r="4" spans="1:17">
      <c r="A4" s="87">
        <v>1</v>
      </c>
      <c r="B4" s="571">
        <v>46296</v>
      </c>
      <c r="C4" s="572" t="s">
        <v>180</v>
      </c>
      <c r="D4" s="573" t="s">
        <v>180</v>
      </c>
      <c r="E4" s="572" t="s">
        <v>180</v>
      </c>
      <c r="F4" s="572" t="s">
        <v>180</v>
      </c>
      <c r="G4" s="572" t="s">
        <v>179</v>
      </c>
      <c r="H4" s="574" t="s">
        <v>181</v>
      </c>
      <c r="I4" s="574" t="s">
        <v>181</v>
      </c>
      <c r="J4" s="572" t="s">
        <v>181</v>
      </c>
      <c r="K4" s="572" t="s">
        <v>179</v>
      </c>
      <c r="L4" s="575" t="s">
        <v>179</v>
      </c>
      <c r="M4" s="576" t="s">
        <v>182</v>
      </c>
      <c r="N4" s="577" t="s">
        <v>180</v>
      </c>
      <c r="O4" s="353"/>
      <c r="P4" s="353"/>
      <c r="Q4" s="353"/>
    </row>
    <row r="5" spans="1:17">
      <c r="A5" s="87">
        <v>2</v>
      </c>
      <c r="B5" s="571">
        <v>46297</v>
      </c>
      <c r="C5" s="572" t="s">
        <v>180</v>
      </c>
      <c r="D5" s="573" t="s">
        <v>180</v>
      </c>
      <c r="E5" s="572" t="s">
        <v>180</v>
      </c>
      <c r="F5" s="572" t="s">
        <v>180</v>
      </c>
      <c r="G5" s="572" t="s">
        <v>179</v>
      </c>
      <c r="H5" s="574" t="s">
        <v>181</v>
      </c>
      <c r="I5" s="574" t="s">
        <v>181</v>
      </c>
      <c r="J5" s="572" t="s">
        <v>181</v>
      </c>
      <c r="K5" s="572" t="s">
        <v>179</v>
      </c>
      <c r="L5" s="575" t="s">
        <v>180</v>
      </c>
      <c r="M5" s="578" t="s">
        <v>182</v>
      </c>
      <c r="N5" s="579" t="s">
        <v>180</v>
      </c>
      <c r="O5" s="353"/>
      <c r="P5" s="353"/>
      <c r="Q5" s="353"/>
    </row>
    <row r="6" spans="1:17">
      <c r="A6" s="87">
        <v>3</v>
      </c>
      <c r="B6" s="571">
        <v>46298</v>
      </c>
      <c r="C6" s="572" t="s">
        <v>180</v>
      </c>
      <c r="D6" s="573" t="s">
        <v>180</v>
      </c>
      <c r="E6" s="572">
        <v>50</v>
      </c>
      <c r="F6" s="572">
        <v>103.76</v>
      </c>
      <c r="G6" s="580">
        <f>E6*F6</f>
        <v>5188</v>
      </c>
      <c r="H6" s="574">
        <v>0</v>
      </c>
      <c r="I6" s="574">
        <v>0</v>
      </c>
      <c r="J6" s="572">
        <f>H6*I6</f>
        <v>0</v>
      </c>
      <c r="K6" s="580">
        <f>G6+J6</f>
        <v>5188</v>
      </c>
      <c r="L6" s="580">
        <v>5188</v>
      </c>
      <c r="M6" s="572" t="s">
        <v>182</v>
      </c>
      <c r="N6" s="581" t="s">
        <v>180</v>
      </c>
      <c r="O6" s="353"/>
      <c r="P6" s="353"/>
      <c r="Q6" s="353"/>
    </row>
    <row r="7" spans="1:17">
      <c r="A7" s="87">
        <v>4</v>
      </c>
      <c r="B7" s="571">
        <v>46299</v>
      </c>
      <c r="C7" s="572" t="s">
        <v>180</v>
      </c>
      <c r="D7" s="573" t="s">
        <v>180</v>
      </c>
      <c r="E7" s="572">
        <v>0</v>
      </c>
      <c r="F7" s="572">
        <v>0</v>
      </c>
      <c r="G7" s="580">
        <f t="shared" ref="G7:G23" si="0">E7*F7</f>
        <v>0</v>
      </c>
      <c r="H7" s="574">
        <v>0</v>
      </c>
      <c r="I7" s="574">
        <v>0</v>
      </c>
      <c r="J7" s="572">
        <f t="shared" ref="J7:J9" si="1">H7*I7</f>
        <v>0</v>
      </c>
      <c r="K7" s="580">
        <f t="shared" ref="K7:K8" si="2">G7+J7</f>
        <v>0</v>
      </c>
      <c r="L7" s="572" t="s">
        <v>180</v>
      </c>
      <c r="M7" s="572" t="s">
        <v>182</v>
      </c>
      <c r="N7" s="572" t="s">
        <v>180</v>
      </c>
      <c r="O7" s="353"/>
      <c r="P7" s="353"/>
      <c r="Q7" s="353"/>
    </row>
    <row r="8" spans="1:17">
      <c r="A8" s="87">
        <v>5</v>
      </c>
      <c r="B8" s="571">
        <v>46300</v>
      </c>
      <c r="C8" s="572" t="s">
        <v>180</v>
      </c>
      <c r="D8" s="573" t="s">
        <v>180</v>
      </c>
      <c r="E8" s="572">
        <v>100</v>
      </c>
      <c r="F8" s="572">
        <v>103.76</v>
      </c>
      <c r="G8" s="580">
        <f t="shared" si="0"/>
        <v>10376</v>
      </c>
      <c r="H8" s="574">
        <v>0</v>
      </c>
      <c r="I8" s="574">
        <v>0</v>
      </c>
      <c r="J8" s="572">
        <f t="shared" si="1"/>
        <v>0</v>
      </c>
      <c r="K8" s="580">
        <f>G8+J8</f>
        <v>10376</v>
      </c>
      <c r="L8" s="580">
        <v>10376</v>
      </c>
      <c r="M8" s="572" t="s">
        <v>182</v>
      </c>
      <c r="N8" s="572" t="s">
        <v>180</v>
      </c>
      <c r="O8" s="353"/>
      <c r="P8" s="353"/>
      <c r="Q8" s="353"/>
    </row>
    <row r="9" spans="1:17">
      <c r="A9" s="87">
        <v>6</v>
      </c>
      <c r="B9" s="571">
        <v>46301</v>
      </c>
      <c r="C9" s="582" t="s">
        <v>180</v>
      </c>
      <c r="D9" s="583" t="s">
        <v>180</v>
      </c>
      <c r="E9" s="572">
        <v>40</v>
      </c>
      <c r="F9" s="572">
        <v>103.76</v>
      </c>
      <c r="G9" s="580">
        <f t="shared" si="0"/>
        <v>4150.4000000000005</v>
      </c>
      <c r="H9" s="574">
        <v>0</v>
      </c>
      <c r="I9" s="574">
        <v>0</v>
      </c>
      <c r="J9" s="572">
        <f t="shared" si="1"/>
        <v>0</v>
      </c>
      <c r="K9" s="580">
        <f>G9+J9</f>
        <v>4150.4000000000005</v>
      </c>
      <c r="L9" s="580">
        <v>4150.4000000000005</v>
      </c>
      <c r="M9" s="578" t="s">
        <v>182</v>
      </c>
      <c r="N9" s="572" t="s">
        <v>180</v>
      </c>
      <c r="O9" s="353"/>
      <c r="P9" s="353"/>
      <c r="Q9" s="353"/>
    </row>
    <row r="10" spans="1:17">
      <c r="A10" s="87">
        <v>7</v>
      </c>
      <c r="B10" s="571">
        <v>46302</v>
      </c>
      <c r="C10" s="584" t="s">
        <v>180</v>
      </c>
      <c r="D10" s="583" t="s">
        <v>180</v>
      </c>
      <c r="E10" s="572">
        <v>0</v>
      </c>
      <c r="F10" s="572">
        <v>0</v>
      </c>
      <c r="G10" s="580">
        <f t="shared" si="0"/>
        <v>0</v>
      </c>
      <c r="H10" s="574">
        <v>0</v>
      </c>
      <c r="I10" s="574">
        <v>0</v>
      </c>
      <c r="J10" s="572">
        <f t="shared" ref="J10:J18" si="3">H10*I10</f>
        <v>0</v>
      </c>
      <c r="K10" s="580">
        <f t="shared" ref="K10:K23" si="4">G10+J10</f>
        <v>0</v>
      </c>
      <c r="L10" s="572" t="s">
        <v>180</v>
      </c>
      <c r="M10" s="572" t="s">
        <v>182</v>
      </c>
      <c r="N10" s="572" t="s">
        <v>180</v>
      </c>
      <c r="O10" s="353"/>
      <c r="P10" s="353"/>
      <c r="Q10" s="353"/>
    </row>
    <row r="11" spans="1:17">
      <c r="A11" s="87">
        <v>8</v>
      </c>
      <c r="B11" s="571">
        <v>46303</v>
      </c>
      <c r="C11" s="584" t="s">
        <v>180</v>
      </c>
      <c r="D11" s="583" t="s">
        <v>180</v>
      </c>
      <c r="E11" s="572">
        <v>0</v>
      </c>
      <c r="F11" s="572">
        <v>0</v>
      </c>
      <c r="G11" s="580">
        <f t="shared" si="0"/>
        <v>0</v>
      </c>
      <c r="H11" s="574">
        <v>0</v>
      </c>
      <c r="I11" s="574">
        <v>0</v>
      </c>
      <c r="J11" s="572">
        <f t="shared" si="3"/>
        <v>0</v>
      </c>
      <c r="K11" s="580">
        <f t="shared" si="4"/>
        <v>0</v>
      </c>
      <c r="L11" s="572" t="s">
        <v>180</v>
      </c>
      <c r="M11" s="572" t="s">
        <v>182</v>
      </c>
      <c r="N11" s="572" t="s">
        <v>180</v>
      </c>
      <c r="O11" s="353"/>
      <c r="P11" s="353"/>
      <c r="Q11" s="353"/>
    </row>
    <row r="12" spans="1:17">
      <c r="A12" s="87">
        <v>9</v>
      </c>
      <c r="B12" s="571">
        <v>46304</v>
      </c>
      <c r="C12" s="584" t="s">
        <v>180</v>
      </c>
      <c r="D12" s="583" t="s">
        <v>180</v>
      </c>
      <c r="E12" s="572">
        <v>0</v>
      </c>
      <c r="F12" s="572">
        <v>0</v>
      </c>
      <c r="G12" s="580">
        <f t="shared" si="0"/>
        <v>0</v>
      </c>
      <c r="H12" s="574">
        <v>0</v>
      </c>
      <c r="I12" s="574">
        <v>0</v>
      </c>
      <c r="J12" s="572">
        <f t="shared" si="3"/>
        <v>0</v>
      </c>
      <c r="K12" s="580">
        <f t="shared" si="4"/>
        <v>0</v>
      </c>
      <c r="L12" s="572" t="s">
        <v>180</v>
      </c>
      <c r="M12" s="572" t="s">
        <v>182</v>
      </c>
      <c r="N12" s="572" t="s">
        <v>180</v>
      </c>
      <c r="O12" s="353"/>
      <c r="P12" s="353"/>
      <c r="Q12" s="353"/>
    </row>
    <row r="13" spans="1:17">
      <c r="A13" s="87">
        <v>10</v>
      </c>
      <c r="B13" s="571">
        <v>46305</v>
      </c>
      <c r="C13" s="584" t="s">
        <v>180</v>
      </c>
      <c r="D13" s="583" t="s">
        <v>180</v>
      </c>
      <c r="E13" s="572">
        <v>0</v>
      </c>
      <c r="F13" s="572">
        <v>0</v>
      </c>
      <c r="G13" s="580">
        <f t="shared" si="0"/>
        <v>0</v>
      </c>
      <c r="H13" s="574">
        <v>0</v>
      </c>
      <c r="I13" s="574">
        <v>0</v>
      </c>
      <c r="J13" s="572">
        <f t="shared" si="3"/>
        <v>0</v>
      </c>
      <c r="K13" s="580">
        <f t="shared" si="4"/>
        <v>0</v>
      </c>
      <c r="L13" s="572" t="s">
        <v>180</v>
      </c>
      <c r="M13" s="572" t="s">
        <v>182</v>
      </c>
      <c r="N13" s="572" t="s">
        <v>180</v>
      </c>
      <c r="O13" s="353"/>
      <c r="P13" s="353"/>
      <c r="Q13" s="353"/>
    </row>
    <row r="14" spans="1:17">
      <c r="A14" s="87">
        <v>11</v>
      </c>
      <c r="B14" s="571">
        <v>46306</v>
      </c>
      <c r="C14" s="584" t="s">
        <v>180</v>
      </c>
      <c r="D14" s="583" t="s">
        <v>180</v>
      </c>
      <c r="E14" s="572">
        <v>0</v>
      </c>
      <c r="F14" s="572">
        <v>0</v>
      </c>
      <c r="G14" s="580">
        <f t="shared" si="0"/>
        <v>0</v>
      </c>
      <c r="H14" s="574">
        <v>0</v>
      </c>
      <c r="I14" s="574">
        <v>0</v>
      </c>
      <c r="J14" s="572">
        <f t="shared" si="3"/>
        <v>0</v>
      </c>
      <c r="K14" s="580">
        <f t="shared" si="4"/>
        <v>0</v>
      </c>
      <c r="L14" s="572" t="s">
        <v>180</v>
      </c>
      <c r="M14" s="572" t="s">
        <v>182</v>
      </c>
      <c r="N14" s="572" t="s">
        <v>180</v>
      </c>
      <c r="O14" s="353"/>
      <c r="P14" s="353"/>
      <c r="Q14" s="353"/>
    </row>
    <row r="15" spans="1:17">
      <c r="A15" s="87">
        <v>12</v>
      </c>
      <c r="B15" s="571">
        <v>46307</v>
      </c>
      <c r="C15" s="584" t="s">
        <v>180</v>
      </c>
      <c r="D15" s="583" t="s">
        <v>180</v>
      </c>
      <c r="E15" s="572">
        <v>0</v>
      </c>
      <c r="F15" s="572">
        <v>0</v>
      </c>
      <c r="G15" s="580">
        <f t="shared" si="0"/>
        <v>0</v>
      </c>
      <c r="H15" s="574">
        <v>0</v>
      </c>
      <c r="I15" s="574">
        <v>0</v>
      </c>
      <c r="J15" s="572">
        <f t="shared" si="3"/>
        <v>0</v>
      </c>
      <c r="K15" s="580">
        <f t="shared" si="4"/>
        <v>0</v>
      </c>
      <c r="L15" s="572" t="s">
        <v>180</v>
      </c>
      <c r="M15" s="572" t="s">
        <v>182</v>
      </c>
      <c r="N15" s="572" t="s">
        <v>180</v>
      </c>
      <c r="O15" s="353"/>
      <c r="P15" s="353"/>
      <c r="Q15" s="353"/>
    </row>
    <row r="16" spans="1:17">
      <c r="A16" s="87">
        <v>13</v>
      </c>
      <c r="B16" s="571">
        <v>46308</v>
      </c>
      <c r="C16" s="584" t="s">
        <v>180</v>
      </c>
      <c r="D16" s="583" t="s">
        <v>180</v>
      </c>
      <c r="E16" s="572">
        <v>0</v>
      </c>
      <c r="F16" s="572">
        <v>0</v>
      </c>
      <c r="G16" s="580">
        <f t="shared" si="0"/>
        <v>0</v>
      </c>
      <c r="H16" s="574">
        <v>0</v>
      </c>
      <c r="I16" s="574">
        <v>0</v>
      </c>
      <c r="J16" s="572">
        <f t="shared" si="3"/>
        <v>0</v>
      </c>
      <c r="K16" s="580">
        <f t="shared" si="4"/>
        <v>0</v>
      </c>
      <c r="L16" s="572" t="s">
        <v>180</v>
      </c>
      <c r="M16" s="572" t="s">
        <v>182</v>
      </c>
      <c r="N16" s="572" t="s">
        <v>180</v>
      </c>
      <c r="O16" s="353"/>
      <c r="P16" s="353"/>
      <c r="Q16" s="353"/>
    </row>
    <row r="17" spans="1:17">
      <c r="A17" s="87">
        <v>14</v>
      </c>
      <c r="B17" s="571">
        <v>46309</v>
      </c>
      <c r="C17" s="584" t="s">
        <v>180</v>
      </c>
      <c r="D17" s="583" t="s">
        <v>180</v>
      </c>
      <c r="E17" s="572">
        <v>50</v>
      </c>
      <c r="F17" s="572">
        <v>103.76</v>
      </c>
      <c r="G17" s="580">
        <f t="shared" si="0"/>
        <v>5188</v>
      </c>
      <c r="H17" s="574">
        <v>0</v>
      </c>
      <c r="I17" s="574">
        <v>0</v>
      </c>
      <c r="J17" s="572">
        <f t="shared" si="3"/>
        <v>0</v>
      </c>
      <c r="K17" s="580">
        <f t="shared" si="4"/>
        <v>5188</v>
      </c>
      <c r="L17" s="572" t="s">
        <v>180</v>
      </c>
      <c r="M17" s="572" t="s">
        <v>182</v>
      </c>
      <c r="N17" s="572" t="s">
        <v>180</v>
      </c>
      <c r="O17" s="353"/>
      <c r="P17" s="353"/>
      <c r="Q17" s="353"/>
    </row>
    <row r="18" spans="1:17">
      <c r="A18" s="87">
        <v>15</v>
      </c>
      <c r="B18" s="571">
        <v>46310</v>
      </c>
      <c r="C18" s="584" t="s">
        <v>180</v>
      </c>
      <c r="D18" s="583" t="s">
        <v>180</v>
      </c>
      <c r="E18" s="572">
        <v>0</v>
      </c>
      <c r="F18" s="572">
        <v>0</v>
      </c>
      <c r="G18" s="580">
        <f t="shared" si="0"/>
        <v>0</v>
      </c>
      <c r="H18" s="574">
        <v>0</v>
      </c>
      <c r="I18" s="574">
        <v>0</v>
      </c>
      <c r="J18" s="572">
        <f>H18*I18</f>
        <v>0</v>
      </c>
      <c r="K18" s="580">
        <f t="shared" si="4"/>
        <v>0</v>
      </c>
      <c r="L18" s="572" t="s">
        <v>180</v>
      </c>
      <c r="M18" s="572" t="s">
        <v>182</v>
      </c>
      <c r="N18" s="572" t="s">
        <v>180</v>
      </c>
      <c r="O18" s="353"/>
      <c r="P18" s="353"/>
      <c r="Q18" s="353"/>
    </row>
    <row r="19" spans="1:17">
      <c r="A19" s="87">
        <v>16</v>
      </c>
      <c r="B19" s="571">
        <v>46311</v>
      </c>
      <c r="C19" s="584" t="s">
        <v>180</v>
      </c>
      <c r="D19" s="583" t="s">
        <v>180</v>
      </c>
      <c r="E19" s="572">
        <v>0</v>
      </c>
      <c r="F19" s="572">
        <v>0</v>
      </c>
      <c r="G19" s="580">
        <f t="shared" si="0"/>
        <v>0</v>
      </c>
      <c r="H19" s="574">
        <v>0</v>
      </c>
      <c r="I19" s="574">
        <v>0</v>
      </c>
      <c r="J19" s="572">
        <f t="shared" ref="J18:J20" si="5">H19*I19</f>
        <v>0</v>
      </c>
      <c r="K19" s="580">
        <f t="shared" si="4"/>
        <v>0</v>
      </c>
      <c r="L19" s="572" t="s">
        <v>180</v>
      </c>
      <c r="M19" s="572" t="s">
        <v>182</v>
      </c>
      <c r="N19" s="572" t="s">
        <v>180</v>
      </c>
      <c r="O19" s="353"/>
      <c r="P19" s="353"/>
      <c r="Q19" s="353"/>
    </row>
    <row r="20" spans="1:17">
      <c r="A20" s="87">
        <v>17</v>
      </c>
      <c r="B20" s="571">
        <v>46312</v>
      </c>
      <c r="C20" s="584" t="s">
        <v>180</v>
      </c>
      <c r="D20" s="583" t="s">
        <v>180</v>
      </c>
      <c r="E20" s="572">
        <v>0</v>
      </c>
      <c r="F20" s="572">
        <v>0</v>
      </c>
      <c r="G20" s="580">
        <f t="shared" si="0"/>
        <v>0</v>
      </c>
      <c r="H20" s="574">
        <v>0</v>
      </c>
      <c r="I20" s="574">
        <v>0</v>
      </c>
      <c r="J20" s="572">
        <f t="shared" si="5"/>
        <v>0</v>
      </c>
      <c r="K20" s="580">
        <f t="shared" si="4"/>
        <v>0</v>
      </c>
      <c r="L20" s="572" t="s">
        <v>180</v>
      </c>
      <c r="M20" s="572" t="s">
        <v>182</v>
      </c>
      <c r="N20" s="572" t="s">
        <v>180</v>
      </c>
      <c r="O20" s="353"/>
      <c r="P20" s="353"/>
      <c r="Q20" s="353"/>
    </row>
    <row r="21" spans="1:17">
      <c r="A21" s="87">
        <v>18</v>
      </c>
      <c r="B21" s="571">
        <v>46313</v>
      </c>
      <c r="C21" s="584" t="s">
        <v>180</v>
      </c>
      <c r="D21" s="583" t="s">
        <v>180</v>
      </c>
      <c r="E21" s="572" t="s">
        <v>180</v>
      </c>
      <c r="F21" s="572"/>
      <c r="G21" s="580"/>
      <c r="H21" s="574" t="s">
        <v>180</v>
      </c>
      <c r="I21" s="574" t="s">
        <v>180</v>
      </c>
      <c r="J21" s="572" t="s">
        <v>180</v>
      </c>
      <c r="K21" s="580"/>
      <c r="L21" s="572" t="s">
        <v>180</v>
      </c>
      <c r="M21" s="572" t="s">
        <v>182</v>
      </c>
      <c r="N21" s="572" t="s">
        <v>180</v>
      </c>
      <c r="O21" s="353"/>
      <c r="P21" s="353"/>
      <c r="Q21" s="353"/>
    </row>
    <row r="22" spans="1:17">
      <c r="A22" s="87">
        <v>19</v>
      </c>
      <c r="B22" s="571">
        <v>46314</v>
      </c>
      <c r="C22" s="584" t="s">
        <v>180</v>
      </c>
      <c r="D22" s="583" t="s">
        <v>180</v>
      </c>
      <c r="E22" s="572" t="s">
        <v>180</v>
      </c>
      <c r="F22" s="572"/>
      <c r="G22" s="580"/>
      <c r="H22" s="574" t="s">
        <v>180</v>
      </c>
      <c r="I22" s="574" t="s">
        <v>180</v>
      </c>
      <c r="J22" s="572" t="s">
        <v>180</v>
      </c>
      <c r="K22" s="572" t="s">
        <v>179</v>
      </c>
      <c r="L22" s="572" t="s">
        <v>180</v>
      </c>
      <c r="M22" s="572" t="s">
        <v>182</v>
      </c>
      <c r="N22" s="572" t="s">
        <v>180</v>
      </c>
      <c r="O22" s="353"/>
      <c r="P22" s="353"/>
      <c r="Q22" s="353"/>
    </row>
    <row r="23" spans="1:17">
      <c r="A23" s="87">
        <v>20</v>
      </c>
      <c r="B23" s="571">
        <v>46315</v>
      </c>
      <c r="C23" s="585" t="s">
        <v>180</v>
      </c>
      <c r="D23" s="583" t="s">
        <v>180</v>
      </c>
      <c r="E23" s="572" t="s">
        <v>180</v>
      </c>
      <c r="F23" s="572"/>
      <c r="G23" s="580"/>
      <c r="H23" s="574" t="s">
        <v>180</v>
      </c>
      <c r="I23" s="574" t="s">
        <v>180</v>
      </c>
      <c r="J23" s="572" t="s">
        <v>180</v>
      </c>
      <c r="K23" s="572" t="s">
        <v>179</v>
      </c>
      <c r="L23" s="572" t="s">
        <v>180</v>
      </c>
      <c r="M23" s="572" t="s">
        <v>182</v>
      </c>
      <c r="N23" s="572" t="s">
        <v>180</v>
      </c>
      <c r="O23" s="353"/>
      <c r="P23" s="353"/>
      <c r="Q23" s="353"/>
    </row>
    <row r="24" spans="1:17">
      <c r="A24" s="87">
        <v>21</v>
      </c>
      <c r="B24" s="571">
        <v>46316</v>
      </c>
      <c r="C24" s="586" t="s">
        <v>180</v>
      </c>
      <c r="D24" s="583" t="s">
        <v>180</v>
      </c>
      <c r="E24" s="572" t="s">
        <v>180</v>
      </c>
      <c r="F24" s="572" t="s">
        <v>180</v>
      </c>
      <c r="G24" s="572" t="s">
        <v>179</v>
      </c>
      <c r="H24" s="574" t="s">
        <v>180</v>
      </c>
      <c r="I24" s="574" t="s">
        <v>180</v>
      </c>
      <c r="J24" s="572" t="s">
        <v>180</v>
      </c>
      <c r="K24" s="572" t="s">
        <v>179</v>
      </c>
      <c r="L24" s="572" t="s">
        <v>180</v>
      </c>
      <c r="M24" s="572" t="s">
        <v>182</v>
      </c>
      <c r="N24" s="587" t="s">
        <v>180</v>
      </c>
      <c r="O24" s="353"/>
      <c r="P24" s="353"/>
      <c r="Q24" s="353"/>
    </row>
    <row r="25" spans="1:17">
      <c r="A25" s="87">
        <v>22</v>
      </c>
      <c r="B25" s="571">
        <v>46317</v>
      </c>
      <c r="C25" s="581" t="s">
        <v>180</v>
      </c>
      <c r="D25" s="573" t="s">
        <v>180</v>
      </c>
      <c r="E25" s="572" t="s">
        <v>180</v>
      </c>
      <c r="F25" s="572" t="s">
        <v>180</v>
      </c>
      <c r="G25" s="572" t="s">
        <v>179</v>
      </c>
      <c r="H25" s="574" t="s">
        <v>180</v>
      </c>
      <c r="I25" s="574" t="s">
        <v>180</v>
      </c>
      <c r="J25" s="572" t="s">
        <v>180</v>
      </c>
      <c r="K25" s="572" t="s">
        <v>179</v>
      </c>
      <c r="L25" s="572" t="s">
        <v>180</v>
      </c>
      <c r="M25" s="572" t="s">
        <v>182</v>
      </c>
      <c r="N25" s="588" t="s">
        <v>180</v>
      </c>
      <c r="O25" s="353"/>
      <c r="P25" s="353"/>
      <c r="Q25" s="353"/>
    </row>
    <row r="26" spans="1:17">
      <c r="A26" s="87">
        <v>23</v>
      </c>
      <c r="B26" s="571">
        <v>46318</v>
      </c>
      <c r="C26" s="587" t="s">
        <v>180</v>
      </c>
      <c r="D26" s="573" t="s">
        <v>180</v>
      </c>
      <c r="E26" s="572" t="s">
        <v>180</v>
      </c>
      <c r="F26" s="572" t="s">
        <v>180</v>
      </c>
      <c r="G26" s="572" t="s">
        <v>179</v>
      </c>
      <c r="H26" s="574" t="s">
        <v>180</v>
      </c>
      <c r="I26" s="574" t="s">
        <v>180</v>
      </c>
      <c r="J26" s="572" t="s">
        <v>180</v>
      </c>
      <c r="K26" s="572" t="s">
        <v>179</v>
      </c>
      <c r="L26" s="572" t="s">
        <v>180</v>
      </c>
      <c r="M26" s="572" t="s">
        <v>182</v>
      </c>
      <c r="N26" s="588" t="s">
        <v>180</v>
      </c>
      <c r="O26" s="353"/>
      <c r="P26" s="353"/>
      <c r="Q26" s="353"/>
    </row>
    <row r="27" spans="1:17">
      <c r="A27" s="87">
        <v>24</v>
      </c>
      <c r="B27" s="571">
        <v>46319</v>
      </c>
      <c r="C27" s="588" t="s">
        <v>180</v>
      </c>
      <c r="D27" s="573" t="s">
        <v>180</v>
      </c>
      <c r="E27" s="572" t="s">
        <v>180</v>
      </c>
      <c r="F27" s="572" t="s">
        <v>180</v>
      </c>
      <c r="G27" s="572" t="s">
        <v>179</v>
      </c>
      <c r="H27" s="574" t="s">
        <v>180</v>
      </c>
      <c r="I27" s="574" t="s">
        <v>180</v>
      </c>
      <c r="J27" s="572" t="s">
        <v>180</v>
      </c>
      <c r="K27" s="572" t="s">
        <v>179</v>
      </c>
      <c r="L27" s="572" t="s">
        <v>180</v>
      </c>
      <c r="M27" s="572" t="s">
        <v>182</v>
      </c>
      <c r="N27" s="588" t="s">
        <v>180</v>
      </c>
      <c r="O27" s="353"/>
      <c r="P27" s="353"/>
      <c r="Q27" s="353"/>
    </row>
    <row r="28" spans="1:17">
      <c r="A28" s="87">
        <v>25</v>
      </c>
      <c r="B28" s="571">
        <v>46320</v>
      </c>
      <c r="C28" s="581" t="s">
        <v>180</v>
      </c>
      <c r="D28" s="573" t="s">
        <v>180</v>
      </c>
      <c r="E28" s="572" t="s">
        <v>180</v>
      </c>
      <c r="F28" s="572" t="s">
        <v>180</v>
      </c>
      <c r="G28" s="572" t="s">
        <v>179</v>
      </c>
      <c r="H28" s="574" t="s">
        <v>180</v>
      </c>
      <c r="I28" s="574" t="s">
        <v>180</v>
      </c>
      <c r="J28" s="572" t="s">
        <v>180</v>
      </c>
      <c r="K28" s="572" t="s">
        <v>179</v>
      </c>
      <c r="L28" s="572" t="s">
        <v>180</v>
      </c>
      <c r="M28" s="572" t="s">
        <v>182</v>
      </c>
      <c r="N28" s="581" t="s">
        <v>180</v>
      </c>
      <c r="O28" s="353"/>
      <c r="P28" s="353"/>
      <c r="Q28" s="353"/>
    </row>
    <row r="29" spans="1:17">
      <c r="A29" s="87">
        <v>26</v>
      </c>
      <c r="B29" s="571">
        <v>46321</v>
      </c>
      <c r="C29" s="572" t="s">
        <v>180</v>
      </c>
      <c r="D29" s="573" t="s">
        <v>180</v>
      </c>
      <c r="E29" s="572" t="s">
        <v>180</v>
      </c>
      <c r="F29" s="572" t="s">
        <v>180</v>
      </c>
      <c r="G29" s="572" t="s">
        <v>179</v>
      </c>
      <c r="H29" s="574" t="s">
        <v>180</v>
      </c>
      <c r="I29" s="574" t="s">
        <v>180</v>
      </c>
      <c r="J29" s="572" t="s">
        <v>180</v>
      </c>
      <c r="K29" s="572" t="s">
        <v>179</v>
      </c>
      <c r="L29" s="572" t="s">
        <v>180</v>
      </c>
      <c r="M29" s="572" t="s">
        <v>182</v>
      </c>
      <c r="N29" s="572" t="s">
        <v>180</v>
      </c>
      <c r="O29" s="353"/>
      <c r="P29" s="353"/>
      <c r="Q29" s="353"/>
    </row>
    <row r="30" spans="1:17">
      <c r="A30" s="87">
        <v>27</v>
      </c>
      <c r="B30" s="571">
        <v>46322</v>
      </c>
      <c r="C30" s="572" t="s">
        <v>180</v>
      </c>
      <c r="D30" s="573" t="s">
        <v>180</v>
      </c>
      <c r="E30" s="572" t="s">
        <v>180</v>
      </c>
      <c r="F30" s="572" t="s">
        <v>180</v>
      </c>
      <c r="G30" s="572" t="s">
        <v>179</v>
      </c>
      <c r="H30" s="574" t="s">
        <v>180</v>
      </c>
      <c r="I30" s="574" t="s">
        <v>180</v>
      </c>
      <c r="J30" s="572" t="s">
        <v>180</v>
      </c>
      <c r="K30" s="572" t="s">
        <v>179</v>
      </c>
      <c r="L30" s="572" t="s">
        <v>180</v>
      </c>
      <c r="M30" s="572" t="s">
        <v>182</v>
      </c>
      <c r="N30" s="572" t="s">
        <v>180</v>
      </c>
      <c r="O30" s="353"/>
      <c r="P30" s="353"/>
      <c r="Q30" s="353"/>
    </row>
    <row r="31" spans="1:17">
      <c r="A31" s="87">
        <v>28</v>
      </c>
      <c r="B31" s="571">
        <v>46323</v>
      </c>
      <c r="C31" s="572" t="s">
        <v>180</v>
      </c>
      <c r="D31" s="573" t="s">
        <v>180</v>
      </c>
      <c r="E31" s="572" t="s">
        <v>180</v>
      </c>
      <c r="F31" s="572" t="s">
        <v>180</v>
      </c>
      <c r="G31" s="572" t="s">
        <v>179</v>
      </c>
      <c r="H31" s="574" t="s">
        <v>180</v>
      </c>
      <c r="I31" s="574" t="s">
        <v>180</v>
      </c>
      <c r="J31" s="572" t="s">
        <v>180</v>
      </c>
      <c r="K31" s="572" t="s">
        <v>179</v>
      </c>
      <c r="L31" s="572" t="s">
        <v>180</v>
      </c>
      <c r="M31" s="572" t="s">
        <v>182</v>
      </c>
      <c r="N31" s="572" t="s">
        <v>180</v>
      </c>
      <c r="O31" s="353"/>
      <c r="P31" s="353"/>
      <c r="Q31" s="353"/>
    </row>
    <row r="32" spans="1:17">
      <c r="A32" s="87">
        <v>29</v>
      </c>
      <c r="B32" s="571">
        <v>46324</v>
      </c>
      <c r="C32" s="572" t="s">
        <v>180</v>
      </c>
      <c r="D32" s="573" t="s">
        <v>180</v>
      </c>
      <c r="E32" s="572" t="s">
        <v>180</v>
      </c>
      <c r="F32" s="572" t="s">
        <v>180</v>
      </c>
      <c r="G32" s="572" t="s">
        <v>179</v>
      </c>
      <c r="H32" s="574" t="s">
        <v>180</v>
      </c>
      <c r="I32" s="574" t="s">
        <v>180</v>
      </c>
      <c r="J32" s="572" t="s">
        <v>180</v>
      </c>
      <c r="K32" s="572" t="s">
        <v>179</v>
      </c>
      <c r="L32" s="572" t="s">
        <v>180</v>
      </c>
      <c r="M32" s="572" t="s">
        <v>180</v>
      </c>
      <c r="N32" s="572" t="s">
        <v>180</v>
      </c>
      <c r="O32" s="353"/>
      <c r="P32" s="353"/>
      <c r="Q32" s="353"/>
    </row>
    <row r="33" spans="1:17">
      <c r="A33" s="87">
        <v>30</v>
      </c>
      <c r="B33" s="571">
        <v>46325</v>
      </c>
      <c r="C33" s="572" t="s">
        <v>180</v>
      </c>
      <c r="D33" s="573" t="s">
        <v>180</v>
      </c>
      <c r="E33" s="572" t="s">
        <v>180</v>
      </c>
      <c r="F33" s="572" t="s">
        <v>180</v>
      </c>
      <c r="G33" s="572" t="s">
        <v>179</v>
      </c>
      <c r="H33" s="574" t="s">
        <v>180</v>
      </c>
      <c r="I33" s="574" t="s">
        <v>180</v>
      </c>
      <c r="J33" s="572" t="s">
        <v>180</v>
      </c>
      <c r="K33" s="572" t="s">
        <v>179</v>
      </c>
      <c r="L33" s="572" t="s">
        <v>180</v>
      </c>
      <c r="M33" s="572" t="s">
        <v>182</v>
      </c>
      <c r="N33" s="572" t="s">
        <v>180</v>
      </c>
      <c r="O33" s="353"/>
      <c r="P33" s="353"/>
      <c r="Q33" s="353"/>
    </row>
    <row r="34" spans="1:17">
      <c r="A34" s="87">
        <v>31</v>
      </c>
      <c r="B34" s="571">
        <v>46326</v>
      </c>
      <c r="C34" s="572" t="s">
        <v>180</v>
      </c>
      <c r="D34" s="573" t="s">
        <v>180</v>
      </c>
      <c r="E34" s="572" t="s">
        <v>180</v>
      </c>
      <c r="F34" s="572" t="s">
        <v>180</v>
      </c>
      <c r="G34" s="572" t="s">
        <v>179</v>
      </c>
      <c r="H34" s="574" t="s">
        <v>180</v>
      </c>
      <c r="I34" s="574" t="s">
        <v>180</v>
      </c>
      <c r="J34" s="572" t="s">
        <v>180</v>
      </c>
      <c r="K34" s="572" t="s">
        <v>179</v>
      </c>
      <c r="L34" s="572" t="s">
        <v>180</v>
      </c>
      <c r="M34" s="572" t="s">
        <v>182</v>
      </c>
      <c r="N34" s="572" t="s">
        <v>180</v>
      </c>
      <c r="O34" s="353"/>
      <c r="P34" s="353"/>
      <c r="Q34" s="353"/>
    </row>
    <row r="35" spans="1:17">
      <c r="A35" s="87">
        <v>32</v>
      </c>
      <c r="B35" s="571">
        <v>46327</v>
      </c>
      <c r="C35" s="572" t="s">
        <v>180</v>
      </c>
      <c r="D35" s="573" t="s">
        <v>180</v>
      </c>
      <c r="E35" s="572" t="s">
        <v>180</v>
      </c>
      <c r="F35" s="572" t="s">
        <v>180</v>
      </c>
      <c r="G35" s="572" t="s">
        <v>179</v>
      </c>
      <c r="H35" s="574" t="s">
        <v>180</v>
      </c>
      <c r="I35" s="574" t="s">
        <v>180</v>
      </c>
      <c r="J35" s="572" t="s">
        <v>180</v>
      </c>
      <c r="K35" s="572" t="s">
        <v>179</v>
      </c>
      <c r="L35" s="572" t="s">
        <v>180</v>
      </c>
      <c r="M35" s="572" t="s">
        <v>182</v>
      </c>
      <c r="N35" s="572" t="s">
        <v>180</v>
      </c>
      <c r="O35" s="353"/>
      <c r="P35" s="353"/>
      <c r="Q35" s="353"/>
    </row>
    <row r="36" spans="1:17">
      <c r="A36" s="87">
        <v>33</v>
      </c>
      <c r="B36" s="571">
        <v>46328</v>
      </c>
      <c r="C36" s="572" t="s">
        <v>180</v>
      </c>
      <c r="D36" s="573" t="s">
        <v>180</v>
      </c>
      <c r="E36" s="572" t="s">
        <v>180</v>
      </c>
      <c r="F36" s="572" t="s">
        <v>180</v>
      </c>
      <c r="G36" s="572" t="s">
        <v>179</v>
      </c>
      <c r="H36" s="574" t="s">
        <v>180</v>
      </c>
      <c r="I36" s="574" t="s">
        <v>180</v>
      </c>
      <c r="J36" s="572" t="s">
        <v>180</v>
      </c>
      <c r="K36" s="572" t="s">
        <v>179</v>
      </c>
      <c r="L36" s="572" t="s">
        <v>180</v>
      </c>
      <c r="M36" s="572" t="s">
        <v>182</v>
      </c>
      <c r="N36" s="572" t="s">
        <v>180</v>
      </c>
      <c r="O36" s="353"/>
      <c r="P36" s="353"/>
      <c r="Q36" s="353"/>
    </row>
    <row r="37" spans="1:17">
      <c r="A37" s="87">
        <v>34</v>
      </c>
      <c r="B37" s="570" t="s">
        <v>180</v>
      </c>
      <c r="C37" s="572" t="s">
        <v>180</v>
      </c>
      <c r="D37" s="573" t="s">
        <v>180</v>
      </c>
      <c r="E37" s="572" t="s">
        <v>180</v>
      </c>
      <c r="F37" s="572" t="s">
        <v>180</v>
      </c>
      <c r="G37" s="572" t="s">
        <v>179</v>
      </c>
      <c r="H37" s="574" t="s">
        <v>180</v>
      </c>
      <c r="I37" s="574" t="s">
        <v>180</v>
      </c>
      <c r="J37" s="572" t="s">
        <v>180</v>
      </c>
      <c r="K37" s="572" t="s">
        <v>179</v>
      </c>
      <c r="L37" s="572" t="s">
        <v>180</v>
      </c>
      <c r="M37" s="572" t="s">
        <v>182</v>
      </c>
      <c r="N37" s="572" t="s">
        <v>180</v>
      </c>
      <c r="O37" s="353"/>
      <c r="P37" s="353"/>
      <c r="Q37" s="353"/>
    </row>
    <row r="38" spans="1:17">
      <c r="A38" s="87">
        <v>35</v>
      </c>
      <c r="B38" s="570" t="s">
        <v>180</v>
      </c>
      <c r="C38" s="572" t="s">
        <v>180</v>
      </c>
      <c r="D38" s="573" t="s">
        <v>180</v>
      </c>
      <c r="E38" s="572" t="s">
        <v>180</v>
      </c>
      <c r="F38" s="572" t="s">
        <v>180</v>
      </c>
      <c r="G38" s="572" t="s">
        <v>180</v>
      </c>
      <c r="H38" s="574" t="s">
        <v>180</v>
      </c>
      <c r="I38" s="574" t="s">
        <v>180</v>
      </c>
      <c r="J38" s="572" t="s">
        <v>180</v>
      </c>
      <c r="K38" s="572" t="s">
        <v>179</v>
      </c>
      <c r="L38" s="572" t="s">
        <v>180</v>
      </c>
      <c r="M38" s="572" t="s">
        <v>182</v>
      </c>
      <c r="N38" s="572" t="s">
        <v>180</v>
      </c>
      <c r="O38" s="353"/>
      <c r="P38" s="353"/>
      <c r="Q38" s="353"/>
    </row>
    <row r="39" spans="1:17">
      <c r="A39" s="87">
        <v>36</v>
      </c>
      <c r="B39" s="570" t="s">
        <v>180</v>
      </c>
      <c r="C39" s="572" t="s">
        <v>180</v>
      </c>
      <c r="D39" s="573" t="s">
        <v>180</v>
      </c>
      <c r="E39" s="572" t="s">
        <v>180</v>
      </c>
      <c r="F39" s="572" t="s">
        <v>180</v>
      </c>
      <c r="G39" s="572" t="s">
        <v>180</v>
      </c>
      <c r="H39" s="574" t="s">
        <v>180</v>
      </c>
      <c r="I39" s="574" t="s">
        <v>180</v>
      </c>
      <c r="J39" s="572" t="s">
        <v>180</v>
      </c>
      <c r="K39" s="572" t="s">
        <v>180</v>
      </c>
      <c r="L39" s="572" t="s">
        <v>180</v>
      </c>
      <c r="M39" s="572" t="s">
        <v>182</v>
      </c>
      <c r="N39" s="572" t="s">
        <v>180</v>
      </c>
      <c r="O39" s="353"/>
      <c r="P39" s="353"/>
      <c r="Q39" s="353"/>
    </row>
    <row r="40" spans="1:17">
      <c r="A40" s="87">
        <v>37</v>
      </c>
      <c r="B40" s="570" t="s">
        <v>180</v>
      </c>
      <c r="C40" s="572" t="s">
        <v>180</v>
      </c>
      <c r="D40" s="573" t="s">
        <v>180</v>
      </c>
      <c r="E40" s="572" t="s">
        <v>180</v>
      </c>
      <c r="F40" s="572" t="s">
        <v>180</v>
      </c>
      <c r="G40" s="572" t="s">
        <v>180</v>
      </c>
      <c r="H40" s="574" t="s">
        <v>180</v>
      </c>
      <c r="I40" s="574" t="s">
        <v>180</v>
      </c>
      <c r="J40" s="572" t="s">
        <v>180</v>
      </c>
      <c r="K40" s="572" t="s">
        <v>180</v>
      </c>
      <c r="L40" s="575" t="s">
        <v>180</v>
      </c>
      <c r="M40" s="578" t="s">
        <v>182</v>
      </c>
      <c r="N40" s="572" t="s">
        <v>180</v>
      </c>
      <c r="O40" s="353"/>
      <c r="P40" s="353"/>
      <c r="Q40" s="353"/>
    </row>
    <row r="41" spans="1:17">
      <c r="A41" s="87">
        <v>38</v>
      </c>
      <c r="B41" s="570" t="s">
        <v>180</v>
      </c>
      <c r="C41" s="572" t="s">
        <v>180</v>
      </c>
      <c r="D41" s="573" t="s">
        <v>180</v>
      </c>
      <c r="E41" s="572" t="s">
        <v>180</v>
      </c>
      <c r="F41" s="572" t="s">
        <v>180</v>
      </c>
      <c r="G41" s="572" t="s">
        <v>180</v>
      </c>
      <c r="H41" s="574" t="s">
        <v>180</v>
      </c>
      <c r="I41" s="574" t="s">
        <v>180</v>
      </c>
      <c r="J41" s="572" t="s">
        <v>180</v>
      </c>
      <c r="K41" s="572" t="s">
        <v>180</v>
      </c>
      <c r="L41" s="575" t="s">
        <v>180</v>
      </c>
      <c r="M41" s="578" t="s">
        <v>180</v>
      </c>
      <c r="N41" s="572" t="s">
        <v>180</v>
      </c>
      <c r="O41" s="353"/>
      <c r="P41" s="353"/>
      <c r="Q41" s="353"/>
    </row>
    <row r="42" spans="1:17">
      <c r="A42" s="87">
        <v>39</v>
      </c>
      <c r="B42" s="570" t="s">
        <v>180</v>
      </c>
      <c r="C42" s="572" t="s">
        <v>180</v>
      </c>
      <c r="D42" s="573" t="s">
        <v>180</v>
      </c>
      <c r="E42" s="572" t="s">
        <v>180</v>
      </c>
      <c r="F42" s="572" t="s">
        <v>180</v>
      </c>
      <c r="G42" s="572" t="s">
        <v>180</v>
      </c>
      <c r="H42" s="574" t="s">
        <v>180</v>
      </c>
      <c r="I42" s="574" t="s">
        <v>180</v>
      </c>
      <c r="J42" s="572" t="s">
        <v>180</v>
      </c>
      <c r="K42" s="572" t="s">
        <v>180</v>
      </c>
      <c r="L42" s="575" t="s">
        <v>180</v>
      </c>
      <c r="M42" s="578" t="s">
        <v>180</v>
      </c>
      <c r="N42" s="572" t="s">
        <v>180</v>
      </c>
      <c r="O42" s="353"/>
      <c r="P42" s="353"/>
      <c r="Q42" s="353"/>
    </row>
    <row r="43" spans="1:17">
      <c r="A43" s="87">
        <v>40</v>
      </c>
      <c r="B43" s="570" t="s">
        <v>180</v>
      </c>
      <c r="C43" s="572" t="s">
        <v>180</v>
      </c>
      <c r="D43" s="573" t="s">
        <v>180</v>
      </c>
      <c r="E43" s="572" t="s">
        <v>180</v>
      </c>
      <c r="F43" s="572" t="s">
        <v>180</v>
      </c>
      <c r="G43" s="572" t="s">
        <v>180</v>
      </c>
      <c r="H43" s="574" t="s">
        <v>180</v>
      </c>
      <c r="I43" s="574" t="s">
        <v>180</v>
      </c>
      <c r="J43" s="572" t="s">
        <v>180</v>
      </c>
      <c r="K43" s="572" t="s">
        <v>180</v>
      </c>
      <c r="L43" s="575" t="s">
        <v>180</v>
      </c>
      <c r="M43" s="578" t="s">
        <v>180</v>
      </c>
      <c r="N43" s="572" t="s">
        <v>180</v>
      </c>
      <c r="O43" s="353"/>
      <c r="P43" s="353"/>
      <c r="Q43" s="353"/>
    </row>
    <row r="44" spans="1:17">
      <c r="A44" s="87">
        <v>41</v>
      </c>
      <c r="B44" s="570" t="s">
        <v>180</v>
      </c>
      <c r="C44" s="572" t="s">
        <v>180</v>
      </c>
      <c r="D44" s="573" t="s">
        <v>180</v>
      </c>
      <c r="E44" s="572" t="s">
        <v>180</v>
      </c>
      <c r="F44" s="572" t="s">
        <v>180</v>
      </c>
      <c r="G44" s="572" t="s">
        <v>180</v>
      </c>
      <c r="H44" s="574" t="s">
        <v>180</v>
      </c>
      <c r="I44" s="574" t="s">
        <v>180</v>
      </c>
      <c r="J44" s="572" t="s">
        <v>180</v>
      </c>
      <c r="K44" s="572" t="s">
        <v>180</v>
      </c>
      <c r="L44" s="575" t="s">
        <v>180</v>
      </c>
      <c r="M44" s="578" t="s">
        <v>180</v>
      </c>
      <c r="N44" s="572" t="s">
        <v>180</v>
      </c>
      <c r="O44" s="353"/>
      <c r="P44" s="353"/>
      <c r="Q44" s="353"/>
    </row>
    <row r="45" spans="1:17">
      <c r="A45" s="87">
        <v>42</v>
      </c>
      <c r="B45" s="570" t="s">
        <v>180</v>
      </c>
      <c r="C45" s="572" t="s">
        <v>180</v>
      </c>
      <c r="D45" s="573" t="s">
        <v>180</v>
      </c>
      <c r="E45" s="572" t="s">
        <v>180</v>
      </c>
      <c r="F45" s="572" t="s">
        <v>180</v>
      </c>
      <c r="G45" s="572" t="s">
        <v>180</v>
      </c>
      <c r="H45" s="574" t="s">
        <v>180</v>
      </c>
      <c r="I45" s="574" t="s">
        <v>180</v>
      </c>
      <c r="J45" s="572" t="s">
        <v>180</v>
      </c>
      <c r="K45" s="572" t="s">
        <v>180</v>
      </c>
      <c r="L45" s="575" t="s">
        <v>180</v>
      </c>
      <c r="M45" s="578" t="s">
        <v>180</v>
      </c>
      <c r="N45" s="572" t="s">
        <v>180</v>
      </c>
      <c r="O45" s="353"/>
      <c r="P45" s="353"/>
      <c r="Q45" s="353"/>
    </row>
    <row r="46" spans="1:17">
      <c r="A46" s="87">
        <v>43</v>
      </c>
      <c r="B46" s="570" t="s">
        <v>180</v>
      </c>
      <c r="C46" s="572" t="s">
        <v>180</v>
      </c>
      <c r="D46" s="573" t="s">
        <v>180</v>
      </c>
      <c r="E46" s="572" t="s">
        <v>180</v>
      </c>
      <c r="F46" s="572" t="s">
        <v>180</v>
      </c>
      <c r="G46" s="572" t="s">
        <v>180</v>
      </c>
      <c r="H46" s="574" t="s">
        <v>180</v>
      </c>
      <c r="I46" s="574" t="s">
        <v>180</v>
      </c>
      <c r="J46" s="572" t="s">
        <v>180</v>
      </c>
      <c r="K46" s="572" t="s">
        <v>180</v>
      </c>
      <c r="L46" s="575" t="s">
        <v>180</v>
      </c>
      <c r="M46" s="578" t="s">
        <v>180</v>
      </c>
      <c r="N46" s="587" t="s">
        <v>180</v>
      </c>
      <c r="O46" s="353">
        <v>2669494</v>
      </c>
      <c r="P46" s="589">
        <v>2669494</v>
      </c>
      <c r="Q46" s="353"/>
    </row>
    <row r="47" spans="1:17">
      <c r="A47" s="535"/>
      <c r="B47" s="87" t="s">
        <v>180</v>
      </c>
      <c r="C47" s="590"/>
      <c r="D47" s="591"/>
      <c r="E47" s="578" t="s">
        <v>183</v>
      </c>
      <c r="F47" s="572" t="s">
        <v>181</v>
      </c>
      <c r="G47" s="572" t="s">
        <v>179</v>
      </c>
      <c r="H47" s="572" t="s">
        <v>180</v>
      </c>
      <c r="I47" s="572" t="s">
        <v>180</v>
      </c>
      <c r="J47" s="572" t="s">
        <v>181</v>
      </c>
      <c r="K47" s="572" t="s">
        <v>179</v>
      </c>
      <c r="L47" s="590"/>
      <c r="M47" s="578" t="s">
        <v>182</v>
      </c>
      <c r="N47" s="581" t="s">
        <v>180</v>
      </c>
      <c r="O47" s="353"/>
      <c r="P47" s="353"/>
      <c r="Q47" s="353"/>
    </row>
    <row r="48" spans="1:17">
      <c r="A48" s="592" t="s">
        <v>180</v>
      </c>
      <c r="B48" s="593" t="s">
        <v>180</v>
      </c>
      <c r="C48" s="594" t="s">
        <v>180</v>
      </c>
      <c r="D48" s="594" t="s">
        <v>180</v>
      </c>
      <c r="E48" s="594">
        <v>150</v>
      </c>
      <c r="F48" s="594" t="s">
        <v>180</v>
      </c>
      <c r="G48" s="595">
        <v>15564</v>
      </c>
      <c r="H48" s="594" t="s">
        <v>181</v>
      </c>
      <c r="I48" s="594" t="s">
        <v>180</v>
      </c>
      <c r="J48" s="594" t="s">
        <v>181</v>
      </c>
      <c r="K48" s="595">
        <v>15564</v>
      </c>
      <c r="L48" s="595">
        <v>15564</v>
      </c>
      <c r="M48" s="596" t="s">
        <v>180</v>
      </c>
      <c r="N48" s="597" t="s">
        <v>180</v>
      </c>
      <c r="O48" s="353"/>
      <c r="P48" s="353"/>
      <c r="Q48" s="353"/>
    </row>
    <row r="49" spans="1:17">
      <c r="A49" s="590"/>
      <c r="B49" s="590"/>
      <c r="C49" s="590"/>
      <c r="D49" s="590"/>
      <c r="E49" s="590"/>
      <c r="F49" s="590"/>
      <c r="G49" s="590"/>
      <c r="H49" s="590"/>
      <c r="I49" s="590"/>
      <c r="J49" s="590"/>
      <c r="K49" s="590"/>
      <c r="L49" s="590"/>
      <c r="M49" s="590"/>
      <c r="N49" s="590"/>
      <c r="O49" s="353"/>
      <c r="P49" s="353"/>
      <c r="Q49" s="353"/>
    </row>
    <row r="50" spans="1:17">
      <c r="A50" s="590"/>
      <c r="B50" s="590"/>
      <c r="C50" s="590"/>
      <c r="D50" s="590"/>
      <c r="E50" s="590"/>
      <c r="F50" s="590"/>
      <c r="G50" s="590"/>
      <c r="H50" s="590"/>
      <c r="I50" s="590"/>
      <c r="J50" s="590"/>
      <c r="K50" s="590"/>
      <c r="L50" s="590"/>
      <c r="M50" s="590"/>
      <c r="N50" s="590"/>
      <c r="O50" s="353"/>
      <c r="P50" s="353"/>
      <c r="Q50" s="353"/>
    </row>
    <row r="51" spans="1:17">
      <c r="A51" s="590"/>
      <c r="B51" s="590"/>
      <c r="C51" s="590"/>
      <c r="D51" s="590"/>
      <c r="E51" s="590"/>
      <c r="F51" s="590"/>
      <c r="G51" s="590"/>
      <c r="H51" s="590"/>
      <c r="I51" s="590"/>
      <c r="J51" s="590"/>
      <c r="K51" s="590"/>
      <c r="L51" s="590"/>
      <c r="M51" s="590"/>
      <c r="N51" s="590"/>
      <c r="O51" s="353"/>
      <c r="P51" s="353"/>
      <c r="Q51" s="353"/>
    </row>
    <row r="52" spans="1:17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</row>
    <row r="53" spans="1:17">
      <c r="A53" s="353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</row>
    <row r="54" spans="1:17">
      <c r="A54" s="353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  <c r="N54" s="353"/>
      <c r="O54" s="353"/>
      <c r="P54" s="353"/>
      <c r="Q54" s="353"/>
    </row>
    <row r="55" spans="1:17">
      <c r="A55" s="353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</row>
    <row r="56" spans="1:17">
      <c r="A56" s="353"/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P56" s="353"/>
      <c r="Q56" s="353"/>
    </row>
    <row r="57" spans="1:17">
      <c r="A57" s="353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>
        <v>2408309</v>
      </c>
      <c r="N57" s="353"/>
      <c r="O57" s="353"/>
      <c r="P57" s="353"/>
      <c r="Q57" s="353"/>
    </row>
    <row r="58" spans="1:17">
      <c r="A58" s="353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>
        <v>5327.86</v>
      </c>
      <c r="N58" s="353"/>
      <c r="O58" s="353"/>
      <c r="P58" s="353"/>
      <c r="Q58" s="353"/>
    </row>
    <row r="59" spans="1:17">
      <c r="A59" s="353"/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598">
        <v>2402981.14</v>
      </c>
      <c r="N59" s="353"/>
      <c r="O59" s="353"/>
      <c r="P59" s="353"/>
      <c r="Q59" s="353"/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workbookViewId="0">
      <pane ySplit="2" topLeftCell="A3" activePane="bottomLeft" state="frozen"/>
      <selection pane="bottomLeft" activeCell="L18" sqref="L18:M18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4" max="14" width="10.85546875" customWidth="1"/>
    <col min="15" max="15" width="10.42578125" bestFit="1" customWidth="1"/>
    <col min="16" max="16" width="12.140625" bestFit="1" customWidth="1"/>
    <col min="18" max="18" width="13" bestFit="1" customWidth="1"/>
  </cols>
  <sheetData>
    <row r="1" spans="1:18" ht="15.75">
      <c r="A1" s="615" t="s">
        <v>67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18" ht="30">
      <c r="A2" s="117" t="s">
        <v>0</v>
      </c>
      <c r="B2" s="118" t="s">
        <v>167</v>
      </c>
      <c r="C2" s="118" t="s">
        <v>168</v>
      </c>
      <c r="D2" s="118" t="s">
        <v>169</v>
      </c>
      <c r="E2" s="118" t="s">
        <v>170</v>
      </c>
      <c r="F2" s="118" t="s">
        <v>171</v>
      </c>
      <c r="G2" s="118" t="s">
        <v>172</v>
      </c>
      <c r="H2" s="118" t="s">
        <v>173</v>
      </c>
      <c r="I2" s="118" t="s">
        <v>171</v>
      </c>
      <c r="J2" s="119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</row>
    <row r="3" spans="1:18">
      <c r="A3" s="616" t="s">
        <v>178</v>
      </c>
      <c r="B3" s="616"/>
      <c r="C3" s="616"/>
      <c r="D3" s="616"/>
      <c r="E3" s="616"/>
      <c r="F3" s="616"/>
      <c r="G3" s="616"/>
      <c r="H3" s="616"/>
      <c r="I3" s="616"/>
      <c r="J3" s="616"/>
      <c r="K3" s="200">
        <v>4131883.81</v>
      </c>
      <c r="L3" s="215"/>
      <c r="M3" s="200">
        <v>4131883.81</v>
      </c>
      <c r="N3" s="88"/>
      <c r="O3" s="19">
        <f>K3-M3</f>
        <v>0</v>
      </c>
    </row>
    <row r="4" spans="1:18">
      <c r="A4" s="23">
        <v>1</v>
      </c>
      <c r="B4" s="24">
        <v>46296</v>
      </c>
      <c r="C4" s="14"/>
      <c r="D4" s="14"/>
      <c r="E4" s="14"/>
      <c r="F4" s="14"/>
      <c r="G4" s="14">
        <f>E4*F4</f>
        <v>0</v>
      </c>
      <c r="H4" s="295"/>
      <c r="I4" s="14"/>
      <c r="J4" s="14"/>
      <c r="K4" s="14">
        <f>G4+J4</f>
        <v>0</v>
      </c>
      <c r="L4" s="14"/>
      <c r="M4" s="34">
        <f>M3+K4-L4</f>
        <v>4131883.81</v>
      </c>
      <c r="N4" s="14"/>
    </row>
    <row r="5" spans="1:18">
      <c r="A5" s="23">
        <v>2</v>
      </c>
      <c r="B5" s="24">
        <v>46297</v>
      </c>
      <c r="C5" s="14"/>
      <c r="D5" s="14"/>
      <c r="E5" s="14"/>
      <c r="F5" s="14"/>
      <c r="G5" s="14">
        <f t="shared" ref="G5:G33" si="0">E5*F5</f>
        <v>0</v>
      </c>
      <c r="H5" s="295"/>
      <c r="I5" s="14"/>
      <c r="J5" s="14"/>
      <c r="K5" s="14">
        <f>G5+J5</f>
        <v>0</v>
      </c>
      <c r="L5" s="14"/>
      <c r="M5" s="34">
        <f>M4+K5-L5</f>
        <v>4131883.81</v>
      </c>
      <c r="N5" s="14"/>
    </row>
    <row r="6" spans="1:18">
      <c r="A6" s="23">
        <v>3</v>
      </c>
      <c r="B6" s="24">
        <v>46298</v>
      </c>
      <c r="C6" s="14"/>
      <c r="D6" s="14"/>
      <c r="E6" s="14"/>
      <c r="F6" s="14"/>
      <c r="G6" s="14">
        <f t="shared" si="0"/>
        <v>0</v>
      </c>
      <c r="H6" s="295"/>
      <c r="I6" s="14"/>
      <c r="J6" s="14"/>
      <c r="K6" s="14">
        <f t="shared" ref="K5:L33" si="1">G6+J6</f>
        <v>0</v>
      </c>
      <c r="L6" s="14"/>
      <c r="M6" s="34">
        <f t="shared" ref="M6:M8" si="2">M5+K6-L6</f>
        <v>4131883.81</v>
      </c>
      <c r="N6" s="14"/>
    </row>
    <row r="7" spans="1:18">
      <c r="A7" s="23">
        <v>4</v>
      </c>
      <c r="B7" s="24">
        <v>46299</v>
      </c>
      <c r="C7" s="14"/>
      <c r="D7" s="14"/>
      <c r="E7" s="14"/>
      <c r="F7" s="14"/>
      <c r="G7" s="14">
        <f t="shared" si="0"/>
        <v>0</v>
      </c>
      <c r="H7" s="295"/>
      <c r="I7" s="14"/>
      <c r="J7" s="14"/>
      <c r="K7" s="14">
        <f t="shared" si="1"/>
        <v>0</v>
      </c>
      <c r="L7" s="14"/>
      <c r="M7" s="34">
        <f t="shared" si="2"/>
        <v>4131883.81</v>
      </c>
      <c r="N7" s="14"/>
    </row>
    <row r="8" spans="1:18">
      <c r="A8" s="23">
        <v>5</v>
      </c>
      <c r="B8" s="24">
        <v>46300</v>
      </c>
      <c r="C8" s="14"/>
      <c r="D8" s="14"/>
      <c r="E8" s="14"/>
      <c r="F8" s="14"/>
      <c r="G8" s="14">
        <f t="shared" si="0"/>
        <v>0</v>
      </c>
      <c r="H8" s="295"/>
      <c r="I8" s="14"/>
      <c r="J8" s="14"/>
      <c r="K8" s="14">
        <f t="shared" si="1"/>
        <v>0</v>
      </c>
      <c r="L8" s="14"/>
      <c r="M8" s="34">
        <f t="shared" si="2"/>
        <v>4131883.81</v>
      </c>
      <c r="N8" s="14"/>
    </row>
    <row r="9" spans="1:18">
      <c r="A9" s="23">
        <v>6</v>
      </c>
      <c r="B9" s="24">
        <v>46301</v>
      </c>
      <c r="C9" s="14"/>
      <c r="D9" s="14"/>
      <c r="E9" s="14"/>
      <c r="F9" s="14"/>
      <c r="G9" s="14">
        <f t="shared" si="0"/>
        <v>0</v>
      </c>
      <c r="H9" s="295"/>
      <c r="I9" s="14"/>
      <c r="J9" s="14"/>
      <c r="K9" s="14">
        <f t="shared" si="1"/>
        <v>0</v>
      </c>
      <c r="L9" s="14"/>
      <c r="M9" s="34">
        <f>M8+K9-L9</f>
        <v>4131883.81</v>
      </c>
      <c r="N9" s="14"/>
    </row>
    <row r="10" spans="1:18">
      <c r="A10" s="23">
        <v>7</v>
      </c>
      <c r="B10" s="24">
        <v>46302</v>
      </c>
      <c r="C10" s="14"/>
      <c r="D10" s="14"/>
      <c r="E10" s="14"/>
      <c r="F10" s="14"/>
      <c r="G10" s="14">
        <f t="shared" si="0"/>
        <v>0</v>
      </c>
      <c r="H10" s="295"/>
      <c r="I10" s="14"/>
      <c r="J10" s="14"/>
      <c r="K10" s="14">
        <f t="shared" si="1"/>
        <v>0</v>
      </c>
      <c r="L10" s="14"/>
      <c r="M10" s="34">
        <f>M9+K10-L10</f>
        <v>4131883.81</v>
      </c>
      <c r="N10" s="14"/>
    </row>
    <row r="11" spans="1:18">
      <c r="A11" s="23">
        <v>8</v>
      </c>
      <c r="B11" s="24">
        <v>46303</v>
      </c>
      <c r="C11" s="14"/>
      <c r="D11" s="14"/>
      <c r="E11" s="14"/>
      <c r="F11" s="14"/>
      <c r="G11" s="14">
        <f t="shared" si="0"/>
        <v>0</v>
      </c>
      <c r="H11" s="295"/>
      <c r="I11" s="14"/>
      <c r="J11" s="14"/>
      <c r="K11" s="14">
        <f t="shared" si="1"/>
        <v>0</v>
      </c>
      <c r="L11" s="14"/>
      <c r="M11" s="34">
        <f>M10+K11-L11</f>
        <v>4131883.81</v>
      </c>
      <c r="N11" s="14"/>
    </row>
    <row r="12" spans="1:18">
      <c r="A12" s="23">
        <v>9</v>
      </c>
      <c r="B12" s="24">
        <v>46304</v>
      </c>
      <c r="C12" s="14"/>
      <c r="D12" s="14"/>
      <c r="E12" s="14">
        <v>2300</v>
      </c>
      <c r="F12" s="14">
        <v>103.8</v>
      </c>
      <c r="G12" s="14">
        <f t="shared" si="0"/>
        <v>238740</v>
      </c>
      <c r="H12" s="295">
        <v>110</v>
      </c>
      <c r="I12" s="14">
        <v>115.69</v>
      </c>
      <c r="J12" s="14">
        <f>H12*I12</f>
        <v>12725.9</v>
      </c>
      <c r="K12" s="14">
        <f t="shared" si="1"/>
        <v>251465.9</v>
      </c>
      <c r="L12" s="14"/>
      <c r="M12" s="34">
        <f>M11+K12-L12</f>
        <v>4383349.71</v>
      </c>
      <c r="N12" s="14"/>
    </row>
    <row r="13" spans="1:18">
      <c r="A13" s="23">
        <v>10</v>
      </c>
      <c r="B13" s="24">
        <v>46305</v>
      </c>
      <c r="C13" s="14"/>
      <c r="D13" s="14"/>
      <c r="E13" s="14"/>
      <c r="F13" s="14"/>
      <c r="G13" s="14">
        <f t="shared" si="0"/>
        <v>0</v>
      </c>
      <c r="H13" s="295"/>
      <c r="I13" s="14"/>
      <c r="J13" s="14">
        <f t="shared" ref="J13:J18" si="3">H13*I13</f>
        <v>0</v>
      </c>
      <c r="K13" s="14">
        <f t="shared" si="1"/>
        <v>0</v>
      </c>
      <c r="L13" s="14"/>
      <c r="M13" s="34">
        <f t="shared" ref="M13:M35" si="4">M12+K13-L13</f>
        <v>4383349.71</v>
      </c>
      <c r="N13" s="14"/>
      <c r="P13" s="19"/>
    </row>
    <row r="14" spans="1:18">
      <c r="A14" s="23">
        <v>11</v>
      </c>
      <c r="B14" s="24">
        <v>46306</v>
      </c>
      <c r="C14" s="14"/>
      <c r="D14" s="14"/>
      <c r="E14" s="14"/>
      <c r="F14" s="14"/>
      <c r="G14" s="14">
        <f t="shared" si="0"/>
        <v>0</v>
      </c>
      <c r="H14" s="295"/>
      <c r="I14" s="14"/>
      <c r="J14" s="14">
        <f t="shared" si="3"/>
        <v>0</v>
      </c>
      <c r="K14" s="14">
        <f t="shared" si="1"/>
        <v>0</v>
      </c>
      <c r="L14" s="14"/>
      <c r="M14" s="34">
        <f t="shared" si="4"/>
        <v>4383349.71</v>
      </c>
      <c r="N14" s="14"/>
    </row>
    <row r="15" spans="1:18">
      <c r="A15" s="23">
        <v>12</v>
      </c>
      <c r="B15" s="24">
        <v>46307</v>
      </c>
      <c r="C15" s="14"/>
      <c r="D15" s="14"/>
      <c r="E15" s="14"/>
      <c r="F15" s="14"/>
      <c r="G15" s="14">
        <f t="shared" si="0"/>
        <v>0</v>
      </c>
      <c r="H15" s="295">
        <v>110</v>
      </c>
      <c r="I15" s="14">
        <v>115.69</v>
      </c>
      <c r="J15" s="14">
        <f t="shared" si="3"/>
        <v>12725.9</v>
      </c>
      <c r="K15" s="14">
        <f t="shared" si="1"/>
        <v>12725.9</v>
      </c>
      <c r="L15" s="14"/>
      <c r="M15" s="34">
        <f t="shared" si="4"/>
        <v>4396075.6100000003</v>
      </c>
      <c r="N15" s="14"/>
      <c r="R15" s="19"/>
    </row>
    <row r="16" spans="1:18">
      <c r="A16" s="23">
        <v>13</v>
      </c>
      <c r="B16" s="24">
        <v>46308</v>
      </c>
      <c r="C16" s="14"/>
      <c r="D16" s="14"/>
      <c r="E16" s="34"/>
      <c r="F16" s="34"/>
      <c r="G16" s="34">
        <f t="shared" si="0"/>
        <v>0</v>
      </c>
      <c r="H16" s="367"/>
      <c r="I16" s="34"/>
      <c r="J16" s="14">
        <f t="shared" si="3"/>
        <v>0</v>
      </c>
      <c r="K16" s="14">
        <f>G16+J16</f>
        <v>0</v>
      </c>
      <c r="L16" s="14"/>
      <c r="M16" s="34">
        <f t="shared" si="4"/>
        <v>4396075.6100000003</v>
      </c>
      <c r="N16" s="14"/>
    </row>
    <row r="17" spans="1:16">
      <c r="A17" s="23">
        <v>14</v>
      </c>
      <c r="B17" s="24">
        <v>46309</v>
      </c>
      <c r="C17" s="14"/>
      <c r="D17" s="14"/>
      <c r="E17" s="34"/>
      <c r="F17" s="34"/>
      <c r="G17" s="34">
        <f t="shared" si="0"/>
        <v>0</v>
      </c>
      <c r="H17" s="367"/>
      <c r="I17" s="34"/>
      <c r="J17" s="14">
        <f t="shared" si="3"/>
        <v>0</v>
      </c>
      <c r="K17" s="14">
        <f>G17+J17</f>
        <v>0</v>
      </c>
      <c r="L17" s="14"/>
      <c r="M17" s="34">
        <f t="shared" si="4"/>
        <v>4396075.6100000003</v>
      </c>
      <c r="N17" s="14"/>
    </row>
    <row r="18" spans="1:16">
      <c r="A18" s="23">
        <v>15</v>
      </c>
      <c r="B18" s="24">
        <v>46310</v>
      </c>
      <c r="C18" s="14"/>
      <c r="D18" s="14"/>
      <c r="E18" s="34">
        <v>2700</v>
      </c>
      <c r="F18" s="34">
        <v>103.8</v>
      </c>
      <c r="G18" s="34">
        <f t="shared" si="0"/>
        <v>280260</v>
      </c>
      <c r="H18" s="367">
        <v>130</v>
      </c>
      <c r="I18" s="34">
        <v>115.69</v>
      </c>
      <c r="J18" s="14">
        <f t="shared" si="3"/>
        <v>15039.699999999999</v>
      </c>
      <c r="K18" s="14">
        <f>G18+J18</f>
        <v>295299.7</v>
      </c>
      <c r="L18" s="14">
        <v>400000</v>
      </c>
      <c r="M18" s="34">
        <f t="shared" si="4"/>
        <v>4291375.3100000005</v>
      </c>
      <c r="N18" s="14" t="s">
        <v>185</v>
      </c>
    </row>
    <row r="19" spans="1:16">
      <c r="A19" s="23">
        <v>16</v>
      </c>
      <c r="B19" s="24">
        <v>46311</v>
      </c>
      <c r="C19" s="14"/>
      <c r="D19" s="14"/>
      <c r="E19" s="314"/>
      <c r="F19" s="34"/>
      <c r="G19" s="34">
        <f t="shared" si="0"/>
        <v>0</v>
      </c>
      <c r="H19" s="367"/>
      <c r="I19" s="34"/>
      <c r="J19" s="14"/>
      <c r="K19" s="314">
        <f>G19+J19</f>
        <v>0</v>
      </c>
      <c r="L19" s="14"/>
      <c r="M19" s="34">
        <f t="shared" si="4"/>
        <v>4291375.3100000005</v>
      </c>
      <c r="N19" s="14"/>
    </row>
    <row r="20" spans="1:16">
      <c r="A20" s="23">
        <v>17</v>
      </c>
      <c r="B20" s="24">
        <v>46312</v>
      </c>
      <c r="C20" s="14"/>
      <c r="D20" s="14"/>
      <c r="E20" s="34"/>
      <c r="F20" s="34"/>
      <c r="G20" s="34">
        <f t="shared" si="0"/>
        <v>0</v>
      </c>
      <c r="H20" s="367"/>
      <c r="I20" s="34"/>
      <c r="J20" s="14"/>
      <c r="K20" s="314">
        <f>G20+J20</f>
        <v>0</v>
      </c>
      <c r="L20" s="14"/>
      <c r="M20" s="34">
        <f t="shared" si="4"/>
        <v>4291375.3100000005</v>
      </c>
      <c r="N20" s="14"/>
    </row>
    <row r="21" spans="1:16">
      <c r="A21" s="23">
        <v>18</v>
      </c>
      <c r="B21" s="24">
        <v>46313</v>
      </c>
      <c r="C21" s="14"/>
      <c r="D21" s="14"/>
      <c r="E21" s="14"/>
      <c r="F21" s="14"/>
      <c r="G21" s="14">
        <f t="shared" si="0"/>
        <v>0</v>
      </c>
      <c r="H21" s="295"/>
      <c r="I21" s="14"/>
      <c r="J21" s="14"/>
      <c r="K21" s="14">
        <f>G21+J21</f>
        <v>0</v>
      </c>
      <c r="L21" s="14"/>
      <c r="M21" s="34">
        <f t="shared" si="4"/>
        <v>4291375.3100000005</v>
      </c>
      <c r="N21" s="14"/>
    </row>
    <row r="22" spans="1:16">
      <c r="A22" s="23">
        <v>19</v>
      </c>
      <c r="B22" s="24">
        <v>46314</v>
      </c>
      <c r="C22" s="14"/>
      <c r="D22" s="14"/>
      <c r="E22" s="14"/>
      <c r="F22" s="14"/>
      <c r="G22" s="14">
        <f t="shared" si="0"/>
        <v>0</v>
      </c>
      <c r="H22" s="295"/>
      <c r="I22" s="34"/>
      <c r="J22" s="14"/>
      <c r="K22" s="14">
        <f t="shared" si="1"/>
        <v>0</v>
      </c>
      <c r="L22" s="14"/>
      <c r="M22" s="34">
        <f t="shared" si="4"/>
        <v>4291375.3100000005</v>
      </c>
      <c r="N22" s="14"/>
    </row>
    <row r="23" spans="1:16">
      <c r="A23" s="23">
        <v>20</v>
      </c>
      <c r="B23" s="24">
        <v>46315</v>
      </c>
      <c r="C23" s="14"/>
      <c r="D23" s="14"/>
      <c r="E23" s="14"/>
      <c r="F23" s="14"/>
      <c r="G23" s="14">
        <f t="shared" si="0"/>
        <v>0</v>
      </c>
      <c r="H23" s="295"/>
      <c r="I23" s="14"/>
      <c r="J23" s="14"/>
      <c r="K23" s="14">
        <f t="shared" si="1"/>
        <v>0</v>
      </c>
      <c r="L23" s="14"/>
      <c r="M23" s="34">
        <f t="shared" si="4"/>
        <v>4291375.3100000005</v>
      </c>
      <c r="N23" s="14"/>
    </row>
    <row r="24" spans="1:16">
      <c r="A24" s="23">
        <v>21</v>
      </c>
      <c r="B24" s="24">
        <v>46316</v>
      </c>
      <c r="C24" s="14"/>
      <c r="D24" s="14"/>
      <c r="E24" s="14"/>
      <c r="F24" s="14"/>
      <c r="G24" s="14">
        <f t="shared" si="0"/>
        <v>0</v>
      </c>
      <c r="H24" s="295"/>
      <c r="I24" s="14"/>
      <c r="J24" s="14"/>
      <c r="K24" s="14">
        <f t="shared" si="1"/>
        <v>0</v>
      </c>
      <c r="L24" s="14"/>
      <c r="M24" s="34">
        <f t="shared" si="4"/>
        <v>4291375.3100000005</v>
      </c>
      <c r="N24" s="14"/>
    </row>
    <row r="25" spans="1:16">
      <c r="A25" s="23">
        <v>22</v>
      </c>
      <c r="B25" s="24">
        <v>46317</v>
      </c>
      <c r="C25" s="14"/>
      <c r="D25" s="14"/>
      <c r="E25" s="14"/>
      <c r="F25" s="14"/>
      <c r="G25" s="14">
        <f t="shared" si="0"/>
        <v>0</v>
      </c>
      <c r="H25" s="295"/>
      <c r="I25" s="14"/>
      <c r="J25" s="14"/>
      <c r="K25" s="14">
        <f t="shared" si="1"/>
        <v>0</v>
      </c>
      <c r="L25" s="14"/>
      <c r="M25" s="34">
        <f t="shared" si="4"/>
        <v>4291375.3100000005</v>
      </c>
      <c r="N25" s="14"/>
    </row>
    <row r="26" spans="1:16">
      <c r="A26" s="23">
        <v>23</v>
      </c>
      <c r="B26" s="24">
        <v>46318</v>
      </c>
      <c r="C26" s="14"/>
      <c r="D26" s="14"/>
      <c r="E26" s="14"/>
      <c r="F26" s="14"/>
      <c r="G26" s="14">
        <f t="shared" si="0"/>
        <v>0</v>
      </c>
      <c r="H26" s="295"/>
      <c r="I26" s="14"/>
      <c r="J26" s="14"/>
      <c r="K26" s="14">
        <f t="shared" si="1"/>
        <v>0</v>
      </c>
      <c r="L26" s="14"/>
      <c r="M26" s="34">
        <f t="shared" si="4"/>
        <v>4291375.3100000005</v>
      </c>
      <c r="N26" s="14"/>
    </row>
    <row r="27" spans="1:16">
      <c r="A27" s="23">
        <v>24</v>
      </c>
      <c r="B27" s="24">
        <v>46319</v>
      </c>
      <c r="C27" s="14"/>
      <c r="D27" s="14"/>
      <c r="E27" s="14"/>
      <c r="F27" s="14"/>
      <c r="G27" s="14">
        <f t="shared" si="0"/>
        <v>0</v>
      </c>
      <c r="H27" s="295"/>
      <c r="I27" s="14"/>
      <c r="J27" s="14"/>
      <c r="K27" s="14">
        <f t="shared" si="1"/>
        <v>0</v>
      </c>
      <c r="L27" s="14"/>
      <c r="M27" s="34">
        <f t="shared" si="4"/>
        <v>4291375.3100000005</v>
      </c>
      <c r="N27" s="14"/>
    </row>
    <row r="28" spans="1:16">
      <c r="A28" s="23">
        <v>25</v>
      </c>
      <c r="B28" s="24">
        <v>46320</v>
      </c>
      <c r="C28" s="14"/>
      <c r="D28" s="14"/>
      <c r="E28" s="14"/>
      <c r="F28" s="14"/>
      <c r="G28" s="14">
        <f t="shared" si="0"/>
        <v>0</v>
      </c>
      <c r="H28" s="295"/>
      <c r="I28" s="14"/>
      <c r="J28" s="14"/>
      <c r="K28" s="14">
        <f t="shared" si="1"/>
        <v>0</v>
      </c>
      <c r="L28" s="14"/>
      <c r="M28" s="34">
        <f t="shared" si="4"/>
        <v>4291375.3100000005</v>
      </c>
      <c r="N28" s="14"/>
    </row>
    <row r="29" spans="1:16">
      <c r="A29" s="23">
        <v>26</v>
      </c>
      <c r="B29" s="24">
        <v>46321</v>
      </c>
      <c r="C29" s="14"/>
      <c r="D29" s="14"/>
      <c r="E29" s="14"/>
      <c r="F29" s="14"/>
      <c r="G29" s="14">
        <f t="shared" si="0"/>
        <v>0</v>
      </c>
      <c r="H29" s="295"/>
      <c r="I29" s="14"/>
      <c r="J29" s="14"/>
      <c r="K29" s="14">
        <f t="shared" si="1"/>
        <v>0</v>
      </c>
      <c r="L29" s="14"/>
      <c r="M29" s="34">
        <f t="shared" si="4"/>
        <v>4291375.3100000005</v>
      </c>
      <c r="N29" s="14"/>
    </row>
    <row r="30" spans="1:16">
      <c r="A30" s="23">
        <v>27</v>
      </c>
      <c r="B30" s="24">
        <v>46322</v>
      </c>
      <c r="C30" s="14"/>
      <c r="D30" s="14"/>
      <c r="E30" s="14"/>
      <c r="F30" s="14"/>
      <c r="G30" s="14">
        <f t="shared" si="0"/>
        <v>0</v>
      </c>
      <c r="H30" s="295"/>
      <c r="I30" s="14"/>
      <c r="J30" s="14"/>
      <c r="K30" s="14">
        <f t="shared" si="1"/>
        <v>0</v>
      </c>
      <c r="L30" s="14"/>
      <c r="M30" s="34">
        <f t="shared" si="4"/>
        <v>4291375.3100000005</v>
      </c>
      <c r="N30" s="14"/>
      <c r="P30" s="19"/>
    </row>
    <row r="31" spans="1:16">
      <c r="A31" s="23">
        <v>28</v>
      </c>
      <c r="B31" s="24">
        <v>46323</v>
      </c>
      <c r="C31" s="14"/>
      <c r="D31" s="14"/>
      <c r="E31" s="14"/>
      <c r="F31" s="14"/>
      <c r="G31" s="14">
        <f t="shared" si="0"/>
        <v>0</v>
      </c>
      <c r="H31" s="295"/>
      <c r="I31" s="14"/>
      <c r="J31" s="14"/>
      <c r="K31" s="14">
        <f t="shared" si="1"/>
        <v>0</v>
      </c>
      <c r="L31" s="14"/>
      <c r="M31" s="34">
        <f t="shared" si="4"/>
        <v>4291375.3100000005</v>
      </c>
      <c r="N31" s="14"/>
    </row>
    <row r="32" spans="1:16">
      <c r="A32" s="23">
        <v>29</v>
      </c>
      <c r="B32" s="24">
        <v>46324</v>
      </c>
      <c r="C32" s="14"/>
      <c r="D32" s="14"/>
      <c r="E32" s="14"/>
      <c r="F32" s="14"/>
      <c r="G32" s="14">
        <f t="shared" si="0"/>
        <v>0</v>
      </c>
      <c r="H32" s="295"/>
      <c r="I32" s="14"/>
      <c r="J32" s="14"/>
      <c r="K32" s="14">
        <f t="shared" si="1"/>
        <v>0</v>
      </c>
      <c r="L32" s="14"/>
      <c r="M32" s="34">
        <f t="shared" si="4"/>
        <v>4291375.3100000005</v>
      </c>
      <c r="N32" s="14"/>
      <c r="P32" s="19"/>
    </row>
    <row r="33" spans="1:16">
      <c r="A33" s="23">
        <v>30</v>
      </c>
      <c r="B33" s="24">
        <v>46325</v>
      </c>
      <c r="C33" s="14"/>
      <c r="D33" s="14"/>
      <c r="E33" s="14"/>
      <c r="F33" s="14"/>
      <c r="G33" s="14">
        <f t="shared" si="0"/>
        <v>0</v>
      </c>
      <c r="H33" s="295"/>
      <c r="I33" s="14"/>
      <c r="J33" s="14"/>
      <c r="K33" s="14">
        <f t="shared" si="1"/>
        <v>0</v>
      </c>
      <c r="L33" s="14"/>
      <c r="M33" s="34">
        <f t="shared" si="4"/>
        <v>4291375.3100000005</v>
      </c>
      <c r="N33" s="14"/>
    </row>
    <row r="34" spans="1:16">
      <c r="A34" s="23">
        <v>31</v>
      </c>
      <c r="B34" s="24">
        <v>46326</v>
      </c>
      <c r="C34" s="14"/>
      <c r="D34" s="14"/>
      <c r="E34" s="14"/>
      <c r="F34" s="14"/>
      <c r="G34" s="314">
        <f>E34*F34</f>
        <v>0</v>
      </c>
      <c r="H34" s="295"/>
      <c r="I34" s="14"/>
      <c r="J34" s="14"/>
      <c r="K34" s="14">
        <f t="shared" ref="K5:K37" si="5">G34+J34</f>
        <v>0</v>
      </c>
      <c r="L34" s="14"/>
      <c r="M34" s="34">
        <f t="shared" si="4"/>
        <v>4291375.3100000005</v>
      </c>
      <c r="N34" s="14"/>
    </row>
    <row r="35" spans="1:16">
      <c r="A35" s="23">
        <v>32</v>
      </c>
      <c r="B35" s="24"/>
      <c r="C35" s="14"/>
      <c r="D35" s="14"/>
      <c r="E35" s="14"/>
      <c r="F35" s="14"/>
      <c r="G35" s="314">
        <f>E35*F35</f>
        <v>0</v>
      </c>
      <c r="H35" s="295"/>
      <c r="I35" s="14"/>
      <c r="J35" s="14"/>
      <c r="K35" s="14">
        <f t="shared" si="5"/>
        <v>0</v>
      </c>
      <c r="L35" s="14"/>
      <c r="M35" s="34">
        <f t="shared" si="4"/>
        <v>4291375.3100000005</v>
      </c>
      <c r="N35" s="14"/>
      <c r="P35" s="19"/>
    </row>
    <row r="36" spans="1:16">
      <c r="A36" s="23">
        <v>33</v>
      </c>
      <c r="B36" s="24"/>
      <c r="C36" s="14"/>
      <c r="D36" s="14"/>
      <c r="E36" s="14"/>
      <c r="F36" s="14"/>
      <c r="G36" s="314">
        <f>E36*F36</f>
        <v>0</v>
      </c>
      <c r="H36" s="295"/>
      <c r="I36" s="14"/>
      <c r="J36" s="14">
        <f t="shared" ref="J5:J37" si="6">H36*I36</f>
        <v>0</v>
      </c>
      <c r="K36" s="14">
        <f t="shared" si="5"/>
        <v>0</v>
      </c>
      <c r="L36" s="14"/>
      <c r="M36" s="14"/>
      <c r="N36" s="14"/>
    </row>
    <row r="37" spans="1:16">
      <c r="A37" s="23">
        <v>34</v>
      </c>
      <c r="B37" s="24"/>
      <c r="C37" s="14"/>
      <c r="D37" s="14"/>
      <c r="E37" s="14"/>
      <c r="F37" s="14"/>
      <c r="G37" s="314">
        <f>E37*F37</f>
        <v>0</v>
      </c>
      <c r="H37" s="295"/>
      <c r="I37" s="14"/>
      <c r="J37" s="14">
        <f t="shared" si="6"/>
        <v>0</v>
      </c>
      <c r="K37" s="14">
        <f t="shared" si="5"/>
        <v>0</v>
      </c>
      <c r="L37" s="14"/>
      <c r="M37" s="14"/>
      <c r="N37" s="14"/>
    </row>
    <row r="38" spans="1:16">
      <c r="A38" s="36"/>
      <c r="B38" s="36"/>
      <c r="C38" s="36"/>
      <c r="D38" s="36"/>
      <c r="E38" s="216">
        <f>SUM(E3:E37)</f>
        <v>5000</v>
      </c>
      <c r="F38" s="216"/>
      <c r="G38" s="216">
        <f>SUM(G3:G37)</f>
        <v>519000</v>
      </c>
      <c r="H38" s="216">
        <f>SUM(H3:H37)</f>
        <v>350</v>
      </c>
      <c r="I38" s="216"/>
      <c r="J38" s="216">
        <f>SUM(J3:J37)</f>
        <v>40491.5</v>
      </c>
      <c r="K38" s="216">
        <f>SUM(K4:K37)</f>
        <v>559491.5</v>
      </c>
      <c r="L38" s="216">
        <f>SUM(L3:L37)</f>
        <v>400000</v>
      </c>
      <c r="M38" s="216"/>
      <c r="N38" s="216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V43"/>
  <sheetViews>
    <sheetView workbookViewId="0">
      <pane ySplit="2" topLeftCell="A3" activePane="bottomLeft" state="frozen"/>
      <selection pane="bottomLeft" activeCell="L18" sqref="L18:M18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</cols>
  <sheetData>
    <row r="1" spans="1:22" ht="15.75">
      <c r="A1" s="615" t="s">
        <v>69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22" ht="30.75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  <c r="O2" s="19"/>
    </row>
    <row r="3" spans="1:22">
      <c r="A3" s="617" t="s">
        <v>178</v>
      </c>
      <c r="B3" s="618"/>
      <c r="C3" s="618"/>
      <c r="D3" s="618"/>
      <c r="E3" s="618"/>
      <c r="F3" s="618"/>
      <c r="G3" s="618"/>
      <c r="H3" s="618"/>
      <c r="I3" s="618"/>
      <c r="J3" s="618"/>
      <c r="K3" s="297">
        <v>4248603.5600000005</v>
      </c>
      <c r="L3" s="215"/>
      <c r="M3">
        <v>4248603.5600000005</v>
      </c>
      <c r="N3" s="88"/>
    </row>
    <row r="4" spans="1:22">
      <c r="A4" s="23">
        <v>1</v>
      </c>
      <c r="B4" s="24">
        <v>46296</v>
      </c>
      <c r="C4" s="14"/>
      <c r="D4" s="245"/>
      <c r="E4" s="413">
        <v>1000</v>
      </c>
      <c r="F4" s="294">
        <v>103.82</v>
      </c>
      <c r="G4" s="314">
        <f>E4*F4</f>
        <v>103820</v>
      </c>
      <c r="H4" s="14"/>
      <c r="I4" s="14"/>
      <c r="J4" s="14">
        <f>H4*I4</f>
        <v>0</v>
      </c>
      <c r="K4" s="314">
        <f>G4+J4</f>
        <v>103820</v>
      </c>
      <c r="L4" s="14"/>
      <c r="M4" s="34">
        <f>M3+K4-L4</f>
        <v>4352423.5600000005</v>
      </c>
      <c r="N4" s="14"/>
    </row>
    <row r="5" spans="1:22">
      <c r="A5" s="23">
        <v>2</v>
      </c>
      <c r="B5" s="24">
        <v>46297</v>
      </c>
      <c r="C5" s="14"/>
      <c r="D5" s="245"/>
      <c r="E5" s="413">
        <f>1000+700</f>
        <v>1700</v>
      </c>
      <c r="F5" s="294">
        <v>103.82</v>
      </c>
      <c r="G5" s="314">
        <f t="shared" ref="G5:G37" si="0">E5*F5</f>
        <v>176494</v>
      </c>
      <c r="H5" s="14"/>
      <c r="I5" s="14"/>
      <c r="J5" s="14">
        <f t="shared" ref="J5:J36" si="1">H5*I5</f>
        <v>0</v>
      </c>
      <c r="K5" s="314">
        <f t="shared" ref="K5:K37" si="2">G5+J5</f>
        <v>176494</v>
      </c>
      <c r="L5" s="14"/>
      <c r="M5" s="34">
        <f t="shared" ref="M5:M19" si="3">M4+K5-L5</f>
        <v>4528917.5600000005</v>
      </c>
      <c r="N5" s="14"/>
    </row>
    <row r="6" spans="1:22">
      <c r="A6" s="23">
        <v>3</v>
      </c>
      <c r="B6" s="24">
        <v>46298</v>
      </c>
      <c r="C6" s="14"/>
      <c r="D6" s="245"/>
      <c r="E6" s="413">
        <f>2700+2500</f>
        <v>5200</v>
      </c>
      <c r="F6" s="294">
        <v>103.82</v>
      </c>
      <c r="G6" s="314">
        <f t="shared" ref="G6:G37" si="4">E6*F6</f>
        <v>539864</v>
      </c>
      <c r="H6" s="14"/>
      <c r="I6" s="14"/>
      <c r="J6" s="14">
        <f t="shared" ref="J6:J37" si="5">H6*I6</f>
        <v>0</v>
      </c>
      <c r="K6" s="314">
        <f t="shared" ref="K6:L37" si="6">G6+J6</f>
        <v>539864</v>
      </c>
      <c r="L6" s="14"/>
      <c r="M6" s="34">
        <f t="shared" si="3"/>
        <v>5068781.5600000005</v>
      </c>
      <c r="N6" s="14"/>
    </row>
    <row r="7" spans="1:22">
      <c r="A7" s="23">
        <v>4</v>
      </c>
      <c r="B7" s="24">
        <v>46299</v>
      </c>
      <c r="C7" s="14"/>
      <c r="D7" s="245"/>
      <c r="E7" s="413">
        <v>2700</v>
      </c>
      <c r="F7" s="294">
        <v>103.82</v>
      </c>
      <c r="G7" s="314">
        <f t="shared" si="4"/>
        <v>280314</v>
      </c>
      <c r="H7" s="14"/>
      <c r="I7" s="14"/>
      <c r="J7" s="14">
        <f t="shared" si="5"/>
        <v>0</v>
      </c>
      <c r="K7" s="314">
        <f t="shared" si="6"/>
        <v>280314</v>
      </c>
      <c r="L7" s="314"/>
      <c r="M7" s="34">
        <f t="shared" si="3"/>
        <v>5349095.5600000005</v>
      </c>
      <c r="N7" s="14"/>
    </row>
    <row r="8" spans="1:22">
      <c r="A8" s="23">
        <v>5</v>
      </c>
      <c r="B8" s="24">
        <v>46300</v>
      </c>
      <c r="C8" s="14"/>
      <c r="D8" s="245"/>
      <c r="E8" s="251"/>
      <c r="F8" s="294"/>
      <c r="G8" s="314">
        <f t="shared" si="4"/>
        <v>0</v>
      </c>
      <c r="H8" s="14"/>
      <c r="I8" s="14"/>
      <c r="J8" s="14">
        <f t="shared" si="5"/>
        <v>0</v>
      </c>
      <c r="K8" s="314">
        <f t="shared" si="6"/>
        <v>0</v>
      </c>
      <c r="L8" s="14"/>
      <c r="M8" s="34">
        <f t="shared" si="3"/>
        <v>5349095.5600000005</v>
      </c>
      <c r="N8" s="14"/>
    </row>
    <row r="9" spans="1:22">
      <c r="A9" s="23">
        <v>6</v>
      </c>
      <c r="B9" s="24">
        <v>46301</v>
      </c>
      <c r="C9" s="14"/>
      <c r="D9" s="245"/>
      <c r="E9" s="251">
        <v>2700</v>
      </c>
      <c r="F9" s="294">
        <v>103.82</v>
      </c>
      <c r="G9" s="314">
        <f t="shared" si="4"/>
        <v>280314</v>
      </c>
      <c r="H9" s="14">
        <v>90</v>
      </c>
      <c r="I9" s="14">
        <v>115.72</v>
      </c>
      <c r="J9" s="14">
        <f t="shared" si="5"/>
        <v>10414.799999999999</v>
      </c>
      <c r="K9" s="314">
        <f t="shared" si="6"/>
        <v>290728.8</v>
      </c>
      <c r="L9" s="14"/>
      <c r="M9" s="34">
        <f t="shared" si="3"/>
        <v>5639824.3600000003</v>
      </c>
      <c r="N9" s="217"/>
    </row>
    <row r="10" spans="1:22">
      <c r="A10" s="23">
        <v>7</v>
      </c>
      <c r="B10" s="24">
        <v>46302</v>
      </c>
      <c r="C10" s="14"/>
      <c r="D10" s="245"/>
      <c r="E10" s="251">
        <v>2700</v>
      </c>
      <c r="F10" s="294">
        <v>103.82</v>
      </c>
      <c r="G10" s="314">
        <f t="shared" si="4"/>
        <v>280314</v>
      </c>
      <c r="H10" s="14">
        <v>40</v>
      </c>
      <c r="I10" s="14">
        <v>115.72</v>
      </c>
      <c r="J10" s="14">
        <f t="shared" si="5"/>
        <v>4628.8</v>
      </c>
      <c r="K10" s="314">
        <f t="shared" si="6"/>
        <v>284942.8</v>
      </c>
      <c r="L10" s="14"/>
      <c r="M10" s="34">
        <f t="shared" si="3"/>
        <v>5924767.1600000001</v>
      </c>
      <c r="N10" s="217"/>
    </row>
    <row r="11" spans="1:22">
      <c r="A11" s="23">
        <v>8</v>
      </c>
      <c r="B11" s="24">
        <v>46303</v>
      </c>
      <c r="C11" s="14"/>
      <c r="D11" s="245"/>
      <c r="E11" s="251"/>
      <c r="F11" s="294"/>
      <c r="G11" s="314">
        <f t="shared" si="4"/>
        <v>0</v>
      </c>
      <c r="H11" s="14"/>
      <c r="I11" s="14"/>
      <c r="J11" s="14">
        <f t="shared" si="5"/>
        <v>0</v>
      </c>
      <c r="K11" s="314">
        <f t="shared" si="6"/>
        <v>0</v>
      </c>
      <c r="M11" s="200">
        <f t="shared" si="3"/>
        <v>5924767.1600000001</v>
      </c>
      <c r="N11" s="14"/>
    </row>
    <row r="12" spans="1:22">
      <c r="A12" s="23">
        <v>9</v>
      </c>
      <c r="B12" s="24">
        <v>46304</v>
      </c>
      <c r="C12" s="14"/>
      <c r="D12" s="245"/>
      <c r="E12" s="251"/>
      <c r="F12" s="294"/>
      <c r="G12" s="314">
        <f t="shared" si="4"/>
        <v>0</v>
      </c>
      <c r="H12" s="14"/>
      <c r="I12" s="14"/>
      <c r="J12" s="14">
        <f t="shared" si="5"/>
        <v>0</v>
      </c>
      <c r="K12" s="417">
        <f t="shared" si="6"/>
        <v>0</v>
      </c>
      <c r="L12" s="14"/>
      <c r="M12" s="34">
        <f t="shared" si="3"/>
        <v>5924767.1600000001</v>
      </c>
      <c r="N12" s="220"/>
    </row>
    <row r="13" spans="1:22">
      <c r="A13" s="23">
        <v>10</v>
      </c>
      <c r="B13" s="24">
        <v>46305</v>
      </c>
      <c r="C13" s="14"/>
      <c r="D13" s="245"/>
      <c r="E13" s="251">
        <v>5300</v>
      </c>
      <c r="F13" s="294">
        <v>103.82</v>
      </c>
      <c r="G13" s="314">
        <f t="shared" si="4"/>
        <v>550246</v>
      </c>
      <c r="H13" s="14"/>
      <c r="I13" s="14"/>
      <c r="J13" s="14">
        <f t="shared" si="5"/>
        <v>0</v>
      </c>
      <c r="K13" s="417">
        <f t="shared" si="6"/>
        <v>550246</v>
      </c>
      <c r="L13" s="14"/>
      <c r="M13" s="34">
        <f t="shared" si="3"/>
        <v>6475013.1600000001</v>
      </c>
      <c r="N13" s="220"/>
      <c r="V13">
        <v>250000</v>
      </c>
    </row>
    <row r="14" spans="1:22">
      <c r="A14" s="23">
        <v>11</v>
      </c>
      <c r="B14" s="24">
        <v>46306</v>
      </c>
      <c r="C14" s="14"/>
      <c r="D14" s="245"/>
      <c r="E14" s="251"/>
      <c r="F14" s="294"/>
      <c r="G14" s="314">
        <f t="shared" si="4"/>
        <v>0</v>
      </c>
      <c r="H14" s="14"/>
      <c r="I14" s="14"/>
      <c r="J14" s="14">
        <f t="shared" si="5"/>
        <v>0</v>
      </c>
      <c r="K14" s="417">
        <f t="shared" si="6"/>
        <v>0</v>
      </c>
      <c r="L14" s="14"/>
      <c r="M14" s="34">
        <f t="shared" si="3"/>
        <v>6475013.1600000001</v>
      </c>
      <c r="N14" s="220"/>
      <c r="V14">
        <v>70000</v>
      </c>
    </row>
    <row r="15" spans="1:22">
      <c r="A15" s="23">
        <v>12</v>
      </c>
      <c r="B15" s="24">
        <v>46307</v>
      </c>
      <c r="C15" s="14"/>
      <c r="D15" s="245"/>
      <c r="E15" s="251"/>
      <c r="F15" s="294"/>
      <c r="G15" s="314">
        <f t="shared" si="4"/>
        <v>0</v>
      </c>
      <c r="H15" s="14"/>
      <c r="I15" s="14"/>
      <c r="J15" s="14">
        <f t="shared" si="5"/>
        <v>0</v>
      </c>
      <c r="K15" s="314">
        <f t="shared" si="6"/>
        <v>0</v>
      </c>
      <c r="L15" s="314"/>
      <c r="M15" s="168">
        <f t="shared" si="3"/>
        <v>6475013.1600000001</v>
      </c>
      <c r="N15" s="220"/>
      <c r="V15">
        <v>46366</v>
      </c>
    </row>
    <row r="16" spans="1:22">
      <c r="A16" s="23">
        <v>13</v>
      </c>
      <c r="B16" s="24">
        <v>46308</v>
      </c>
      <c r="C16" s="14"/>
      <c r="D16" s="245"/>
      <c r="E16" s="251">
        <v>2800</v>
      </c>
      <c r="F16" s="294">
        <v>103.82</v>
      </c>
      <c r="G16" s="314">
        <f t="shared" si="4"/>
        <v>290696</v>
      </c>
      <c r="H16" s="14"/>
      <c r="I16" s="14"/>
      <c r="J16" s="14">
        <f t="shared" si="5"/>
        <v>0</v>
      </c>
      <c r="K16" s="314">
        <f t="shared" si="6"/>
        <v>290696</v>
      </c>
      <c r="L16" s="14"/>
      <c r="M16" s="34">
        <f t="shared" si="3"/>
        <v>6765709.1600000001</v>
      </c>
      <c r="N16" s="14"/>
    </row>
    <row r="17" spans="1:14">
      <c r="A17" s="23">
        <v>14</v>
      </c>
      <c r="B17" s="24">
        <v>46309</v>
      </c>
      <c r="C17" s="14"/>
      <c r="D17" s="245"/>
      <c r="E17" s="251">
        <v>2600</v>
      </c>
      <c r="F17" s="294">
        <v>103.82</v>
      </c>
      <c r="G17" s="314">
        <f t="shared" si="4"/>
        <v>269932</v>
      </c>
      <c r="H17" s="14"/>
      <c r="I17" s="14"/>
      <c r="J17" s="14">
        <f t="shared" si="5"/>
        <v>0</v>
      </c>
      <c r="K17" s="314">
        <f t="shared" si="6"/>
        <v>269932</v>
      </c>
      <c r="L17" s="14"/>
      <c r="M17" s="34">
        <f t="shared" si="3"/>
        <v>7035641.1600000001</v>
      </c>
      <c r="N17" s="14"/>
    </row>
    <row r="18" spans="1:14">
      <c r="A18" s="23">
        <v>15</v>
      </c>
      <c r="B18" s="24">
        <v>46310</v>
      </c>
      <c r="C18" s="14"/>
      <c r="D18" s="245"/>
      <c r="E18" s="251">
        <v>2900</v>
      </c>
      <c r="F18" s="294">
        <v>103.82</v>
      </c>
      <c r="G18" s="314">
        <f t="shared" si="4"/>
        <v>301078</v>
      </c>
      <c r="H18" s="14"/>
      <c r="I18" s="14"/>
      <c r="J18" s="14">
        <f t="shared" si="5"/>
        <v>0</v>
      </c>
      <c r="K18" s="314">
        <f t="shared" si="6"/>
        <v>301078</v>
      </c>
      <c r="L18" s="14">
        <v>2000000</v>
      </c>
      <c r="M18" s="34">
        <f t="shared" si="3"/>
        <v>5336719.16</v>
      </c>
      <c r="N18" s="14"/>
    </row>
    <row r="19" spans="1:14">
      <c r="A19" s="23">
        <v>16</v>
      </c>
      <c r="B19" s="24">
        <v>46311</v>
      </c>
      <c r="C19" s="14"/>
      <c r="D19" s="245"/>
      <c r="E19" s="251"/>
      <c r="F19" s="294"/>
      <c r="G19" s="314">
        <f t="shared" si="4"/>
        <v>0</v>
      </c>
      <c r="H19" s="14"/>
      <c r="I19" s="14"/>
      <c r="J19" s="14">
        <f t="shared" si="5"/>
        <v>0</v>
      </c>
      <c r="K19" s="314">
        <f t="shared" si="6"/>
        <v>0</v>
      </c>
      <c r="L19" s="14"/>
      <c r="M19" s="34">
        <f t="shared" si="3"/>
        <v>5336719.16</v>
      </c>
      <c r="N19" s="14"/>
    </row>
    <row r="20" spans="1:14">
      <c r="A20" s="23">
        <v>17</v>
      </c>
      <c r="B20" s="24">
        <v>46312</v>
      </c>
      <c r="C20" s="14"/>
      <c r="D20" s="245"/>
      <c r="E20" s="251"/>
      <c r="F20" s="294"/>
      <c r="G20" s="314">
        <f t="shared" si="4"/>
        <v>0</v>
      </c>
      <c r="H20" s="14"/>
      <c r="I20" s="14"/>
      <c r="J20" s="14">
        <f t="shared" si="5"/>
        <v>0</v>
      </c>
      <c r="K20" s="314">
        <f t="shared" si="6"/>
        <v>0</v>
      </c>
      <c r="L20" s="14"/>
      <c r="M20" s="34">
        <f t="shared" ref="M20:M37" si="7">M19+K20-L20</f>
        <v>5336719.16</v>
      </c>
      <c r="N20" s="14"/>
    </row>
    <row r="21" spans="1:14">
      <c r="A21" s="23">
        <v>18</v>
      </c>
      <c r="B21" s="24">
        <v>46313</v>
      </c>
      <c r="C21" s="14"/>
      <c r="D21" s="245"/>
      <c r="E21" s="251"/>
      <c r="F21" s="294"/>
      <c r="G21" s="314">
        <f t="shared" si="4"/>
        <v>0</v>
      </c>
      <c r="H21" s="14"/>
      <c r="I21" s="14"/>
      <c r="J21" s="14">
        <f t="shared" si="5"/>
        <v>0</v>
      </c>
      <c r="K21" s="314">
        <f t="shared" si="6"/>
        <v>0</v>
      </c>
      <c r="L21" s="14"/>
      <c r="M21" s="34">
        <f t="shared" si="7"/>
        <v>5336719.16</v>
      </c>
      <c r="N21" s="14"/>
    </row>
    <row r="22" spans="1:14">
      <c r="A22" s="23">
        <v>19</v>
      </c>
      <c r="B22" s="24">
        <v>46314</v>
      </c>
      <c r="C22" s="14"/>
      <c r="D22" s="245"/>
      <c r="E22" s="251"/>
      <c r="F22" s="294"/>
      <c r="G22" s="314">
        <f t="shared" si="4"/>
        <v>0</v>
      </c>
      <c r="H22" s="14"/>
      <c r="I22" s="14"/>
      <c r="J22" s="14">
        <f t="shared" si="5"/>
        <v>0</v>
      </c>
      <c r="K22" s="314">
        <f t="shared" si="6"/>
        <v>0</v>
      </c>
      <c r="L22" s="14"/>
      <c r="M22" s="34">
        <f t="shared" si="7"/>
        <v>5336719.16</v>
      </c>
      <c r="N22" s="14"/>
    </row>
    <row r="23" spans="1:14">
      <c r="A23" s="23">
        <v>20</v>
      </c>
      <c r="B23" s="24">
        <v>46315</v>
      </c>
      <c r="C23" s="14"/>
      <c r="D23" s="245"/>
      <c r="E23" s="251"/>
      <c r="F23" s="294"/>
      <c r="G23" s="314">
        <f t="shared" si="4"/>
        <v>0</v>
      </c>
      <c r="H23" s="14"/>
      <c r="I23" s="14"/>
      <c r="J23" s="14">
        <f t="shared" si="5"/>
        <v>0</v>
      </c>
      <c r="K23" s="314">
        <f t="shared" si="6"/>
        <v>0</v>
      </c>
      <c r="L23" s="14"/>
      <c r="M23" s="34">
        <f t="shared" si="7"/>
        <v>5336719.16</v>
      </c>
      <c r="N23" s="14"/>
    </row>
    <row r="24" spans="1:14">
      <c r="A24" s="23">
        <v>21</v>
      </c>
      <c r="B24" s="24">
        <v>46316</v>
      </c>
      <c r="C24" s="14"/>
      <c r="D24" s="245"/>
      <c r="E24" s="251"/>
      <c r="F24" s="294"/>
      <c r="G24" s="314">
        <f t="shared" si="4"/>
        <v>0</v>
      </c>
      <c r="H24" s="14"/>
      <c r="I24" s="14"/>
      <c r="J24" s="14">
        <f t="shared" si="5"/>
        <v>0</v>
      </c>
      <c r="K24" s="314">
        <f t="shared" si="6"/>
        <v>0</v>
      </c>
      <c r="L24" s="14"/>
      <c r="M24" s="34">
        <f t="shared" si="7"/>
        <v>5336719.16</v>
      </c>
      <c r="N24" s="14"/>
    </row>
    <row r="25" spans="1:14">
      <c r="A25" s="23"/>
      <c r="B25" s="24">
        <v>46317</v>
      </c>
      <c r="C25" s="14"/>
      <c r="D25" s="245"/>
      <c r="E25" s="251"/>
      <c r="F25" s="553"/>
      <c r="G25" s="314">
        <f t="shared" si="4"/>
        <v>0</v>
      </c>
      <c r="H25" s="14"/>
      <c r="I25" s="14"/>
      <c r="J25" s="14"/>
      <c r="K25" s="314">
        <f t="shared" si="6"/>
        <v>0</v>
      </c>
      <c r="L25" s="14"/>
      <c r="M25" s="34">
        <f t="shared" si="7"/>
        <v>5336719.16</v>
      </c>
      <c r="N25" s="14"/>
    </row>
    <row r="26" spans="1:14">
      <c r="A26" s="23">
        <v>22</v>
      </c>
      <c r="B26" s="24">
        <v>46318</v>
      </c>
      <c r="C26" s="14"/>
      <c r="D26" s="245"/>
      <c r="E26" s="413"/>
      <c r="F26" s="294"/>
      <c r="G26" s="314">
        <f t="shared" si="4"/>
        <v>0</v>
      </c>
      <c r="H26" s="14"/>
      <c r="I26" s="14"/>
      <c r="J26" s="14">
        <f t="shared" si="5"/>
        <v>0</v>
      </c>
      <c r="K26" s="314">
        <f t="shared" si="6"/>
        <v>0</v>
      </c>
      <c r="L26" s="14"/>
      <c r="M26" s="34">
        <f t="shared" si="7"/>
        <v>5336719.16</v>
      </c>
      <c r="N26" s="14"/>
    </row>
    <row r="27" spans="1:14">
      <c r="A27" s="23">
        <v>23</v>
      </c>
      <c r="B27" s="24">
        <v>46319</v>
      </c>
      <c r="C27" s="14"/>
      <c r="D27" s="245"/>
      <c r="E27" s="413"/>
      <c r="F27" s="294"/>
      <c r="G27" s="314">
        <f t="shared" si="4"/>
        <v>0</v>
      </c>
      <c r="H27" s="14"/>
      <c r="I27" s="14"/>
      <c r="J27" s="14">
        <f t="shared" si="5"/>
        <v>0</v>
      </c>
      <c r="K27" s="314">
        <f t="shared" si="6"/>
        <v>0</v>
      </c>
      <c r="L27" s="14"/>
      <c r="M27" s="34">
        <f t="shared" si="7"/>
        <v>5336719.16</v>
      </c>
      <c r="N27" s="14"/>
    </row>
    <row r="28" spans="1:14">
      <c r="A28" s="23">
        <v>24</v>
      </c>
      <c r="B28" s="24">
        <v>46320</v>
      </c>
      <c r="C28" s="14"/>
      <c r="D28" s="245"/>
      <c r="E28" s="413"/>
      <c r="F28" s="294"/>
      <c r="G28" s="314">
        <f t="shared" si="4"/>
        <v>0</v>
      </c>
      <c r="H28" s="14"/>
      <c r="I28" s="14"/>
      <c r="J28" s="14">
        <f t="shared" si="5"/>
        <v>0</v>
      </c>
      <c r="K28" s="314">
        <f t="shared" si="6"/>
        <v>0</v>
      </c>
      <c r="L28" s="14"/>
      <c r="M28" s="34">
        <f t="shared" si="7"/>
        <v>5336719.16</v>
      </c>
      <c r="N28" s="14"/>
    </row>
    <row r="29" spans="1:14">
      <c r="A29" s="23">
        <v>25</v>
      </c>
      <c r="B29" s="24">
        <v>46321</v>
      </c>
      <c r="C29" s="14"/>
      <c r="D29" s="245"/>
      <c r="E29" s="251"/>
      <c r="F29" s="294"/>
      <c r="G29" s="314">
        <f t="shared" si="4"/>
        <v>0</v>
      </c>
      <c r="H29" s="14"/>
      <c r="I29" s="14"/>
      <c r="J29" s="14">
        <f t="shared" si="5"/>
        <v>0</v>
      </c>
      <c r="K29" s="314">
        <f t="shared" si="6"/>
        <v>0</v>
      </c>
      <c r="L29" s="14"/>
      <c r="M29" s="34">
        <f t="shared" si="7"/>
        <v>5336719.16</v>
      </c>
      <c r="N29" s="14"/>
    </row>
    <row r="30" spans="1:14">
      <c r="A30" s="23">
        <v>26</v>
      </c>
      <c r="B30" s="24">
        <v>46322</v>
      </c>
      <c r="C30" s="14"/>
      <c r="D30" s="245"/>
      <c r="E30" s="413"/>
      <c r="F30" s="294"/>
      <c r="G30" s="314">
        <f t="shared" si="4"/>
        <v>0</v>
      </c>
      <c r="H30" s="14"/>
      <c r="I30" s="14"/>
      <c r="J30" s="14">
        <f t="shared" si="5"/>
        <v>0</v>
      </c>
      <c r="K30" s="314">
        <f t="shared" si="6"/>
        <v>0</v>
      </c>
      <c r="L30" s="14"/>
      <c r="M30" s="34">
        <f t="shared" si="7"/>
        <v>5336719.16</v>
      </c>
      <c r="N30" s="14"/>
    </row>
    <row r="31" spans="1:14">
      <c r="A31" s="23">
        <v>27</v>
      </c>
      <c r="B31" s="24">
        <v>46323</v>
      </c>
      <c r="C31" s="14"/>
      <c r="D31" s="245"/>
      <c r="E31" s="413"/>
      <c r="F31" s="294"/>
      <c r="G31" s="314">
        <f t="shared" si="4"/>
        <v>0</v>
      </c>
      <c r="H31" s="14"/>
      <c r="I31" s="14"/>
      <c r="J31" s="14">
        <f t="shared" si="5"/>
        <v>0</v>
      </c>
      <c r="K31" s="314">
        <f t="shared" si="6"/>
        <v>0</v>
      </c>
      <c r="L31" s="14"/>
      <c r="M31" s="34">
        <f t="shared" si="7"/>
        <v>5336719.16</v>
      </c>
      <c r="N31" s="14"/>
    </row>
    <row r="32" spans="1:14">
      <c r="A32" s="23">
        <v>28</v>
      </c>
      <c r="B32" s="24">
        <v>46324</v>
      </c>
      <c r="C32" s="14"/>
      <c r="D32" s="245"/>
      <c r="E32" s="251"/>
      <c r="F32" s="294"/>
      <c r="G32" s="314">
        <f t="shared" si="4"/>
        <v>0</v>
      </c>
      <c r="H32" s="14"/>
      <c r="I32" s="14"/>
      <c r="J32" s="14">
        <f t="shared" si="5"/>
        <v>0</v>
      </c>
      <c r="K32" s="314">
        <f t="shared" si="6"/>
        <v>0</v>
      </c>
      <c r="L32" s="14"/>
      <c r="M32" s="34">
        <f t="shared" si="7"/>
        <v>5336719.16</v>
      </c>
      <c r="N32" s="14"/>
    </row>
    <row r="33" spans="1:14">
      <c r="A33" s="23">
        <v>29</v>
      </c>
      <c r="B33" s="24">
        <v>46325</v>
      </c>
      <c r="C33" s="14"/>
      <c r="D33" s="245"/>
      <c r="E33" s="251"/>
      <c r="F33" s="294"/>
      <c r="G33" s="314">
        <f t="shared" si="4"/>
        <v>0</v>
      </c>
      <c r="H33" s="14"/>
      <c r="I33" s="14"/>
      <c r="J33" s="14">
        <f t="shared" si="5"/>
        <v>0</v>
      </c>
      <c r="K33" s="314">
        <f t="shared" si="6"/>
        <v>0</v>
      </c>
      <c r="L33" s="14"/>
      <c r="M33" s="34">
        <f t="shared" si="7"/>
        <v>5336719.16</v>
      </c>
      <c r="N33" s="14"/>
    </row>
    <row r="34" spans="1:14">
      <c r="A34" s="23">
        <v>30</v>
      </c>
      <c r="B34" s="24">
        <v>46326</v>
      </c>
      <c r="C34" s="14"/>
      <c r="D34" s="245"/>
      <c r="E34" s="251"/>
      <c r="F34" s="294"/>
      <c r="G34" s="314">
        <f t="shared" si="4"/>
        <v>0</v>
      </c>
      <c r="H34" s="14"/>
      <c r="I34" s="14"/>
      <c r="J34" s="14">
        <f t="shared" si="5"/>
        <v>0</v>
      </c>
      <c r="K34" s="314">
        <f t="shared" si="6"/>
        <v>0</v>
      </c>
      <c r="L34" s="14"/>
      <c r="M34" s="34">
        <f t="shared" si="7"/>
        <v>5336719.16</v>
      </c>
      <c r="N34" s="14"/>
    </row>
    <row r="35" spans="1:14">
      <c r="A35" s="23">
        <v>31</v>
      </c>
      <c r="B35" s="24">
        <v>46327</v>
      </c>
      <c r="C35" s="14"/>
      <c r="D35" s="245"/>
      <c r="E35" s="251"/>
      <c r="F35" s="294"/>
      <c r="G35" s="314">
        <f t="shared" si="4"/>
        <v>0</v>
      </c>
      <c r="H35" s="14"/>
      <c r="I35" s="14"/>
      <c r="J35" s="14">
        <f t="shared" si="5"/>
        <v>0</v>
      </c>
      <c r="K35" s="314">
        <f t="shared" si="6"/>
        <v>0</v>
      </c>
      <c r="L35" s="14"/>
      <c r="M35" s="34">
        <f t="shared" si="7"/>
        <v>5336719.16</v>
      </c>
      <c r="N35" s="14"/>
    </row>
    <row r="36" spans="1:14">
      <c r="A36" s="23">
        <v>32</v>
      </c>
      <c r="B36" s="24"/>
      <c r="C36" s="14"/>
      <c r="D36" s="245"/>
      <c r="E36" s="251"/>
      <c r="F36" s="294"/>
      <c r="G36" s="314">
        <f t="shared" si="4"/>
        <v>0</v>
      </c>
      <c r="H36" s="14"/>
      <c r="I36" s="14"/>
      <c r="J36" s="14">
        <f t="shared" si="5"/>
        <v>0</v>
      </c>
      <c r="K36" s="314">
        <f t="shared" si="6"/>
        <v>0</v>
      </c>
      <c r="L36" s="14"/>
      <c r="M36" s="34">
        <f t="shared" si="7"/>
        <v>5336719.16</v>
      </c>
      <c r="N36" s="14"/>
    </row>
    <row r="37" spans="1:14">
      <c r="A37" s="23">
        <v>33</v>
      </c>
      <c r="B37" s="24"/>
      <c r="C37" s="14"/>
      <c r="D37" s="245"/>
      <c r="E37" s="251"/>
      <c r="F37" s="294"/>
      <c r="G37" s="314">
        <f t="shared" si="4"/>
        <v>0</v>
      </c>
      <c r="H37" s="14"/>
      <c r="I37" s="14"/>
      <c r="J37" s="14">
        <f t="shared" si="5"/>
        <v>0</v>
      </c>
      <c r="K37" s="314">
        <f t="shared" si="6"/>
        <v>0</v>
      </c>
      <c r="L37" s="14"/>
      <c r="M37" s="34">
        <f t="shared" si="7"/>
        <v>5336719.16</v>
      </c>
      <c r="N37" s="14"/>
    </row>
    <row r="38" spans="1:14">
      <c r="A38" s="23"/>
      <c r="B38" s="24"/>
      <c r="C38" s="14"/>
      <c r="D38" s="245"/>
      <c r="E38" s="251"/>
      <c r="F38" s="294"/>
      <c r="G38" s="314"/>
      <c r="H38" s="14"/>
      <c r="I38" s="14"/>
      <c r="J38" s="14"/>
      <c r="K38" s="14"/>
      <c r="L38" s="14"/>
      <c r="M38" s="34"/>
      <c r="N38" s="14"/>
    </row>
    <row r="39" spans="1:14">
      <c r="A39" s="36"/>
      <c r="B39" s="36"/>
      <c r="C39" s="36"/>
      <c r="D39" s="36"/>
      <c r="E39" s="37">
        <f>SUM(E4:E37)</f>
        <v>29600</v>
      </c>
      <c r="F39" s="37"/>
      <c r="G39" s="37">
        <f>SUM(G4:G37)</f>
        <v>3073072</v>
      </c>
      <c r="H39" s="37">
        <f>SUM(H4:H37)</f>
        <v>130</v>
      </c>
      <c r="I39" s="37"/>
      <c r="J39" s="37">
        <f>SUM(J4:J37)</f>
        <v>15043.599999999999</v>
      </c>
      <c r="K39" s="37">
        <f>SUM(K4:K37)</f>
        <v>3088115.6</v>
      </c>
      <c r="L39" s="37">
        <f>SUM(L4:L37)</f>
        <v>2000000</v>
      </c>
      <c r="M39" s="37"/>
      <c r="N39" s="37"/>
    </row>
    <row r="43" spans="1:14">
      <c r="M43" s="19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BCDB-BE45-4288-B54E-A7E8EAEDB94B}">
  <sheetPr>
    <tabColor rgb="FF00B050"/>
  </sheetPr>
  <dimension ref="A1:P39"/>
  <sheetViews>
    <sheetView workbookViewId="0">
      <pane ySplit="3" topLeftCell="A4" activePane="bottomLeft" state="frozen"/>
      <selection pane="bottomLeft" activeCell="M5" sqref="M5"/>
    </sheetView>
  </sheetViews>
  <sheetFormatPr defaultRowHeight="15"/>
  <cols>
    <col min="2" max="2" width="15.42578125" customWidth="1"/>
    <col min="4" max="4" width="15.5703125" customWidth="1"/>
    <col min="5" max="5" width="11.42578125" customWidth="1"/>
    <col min="7" max="7" width="19.28515625" customWidth="1"/>
    <col min="8" max="8" width="11.140625" customWidth="1"/>
    <col min="10" max="10" width="9.7109375" customWidth="1"/>
    <col min="11" max="11" width="21.85546875" customWidth="1"/>
    <col min="12" max="12" width="12.28515625" customWidth="1"/>
    <col min="13" max="13" width="11.42578125" bestFit="1" customWidth="1"/>
  </cols>
  <sheetData>
    <row r="1" spans="1:16" ht="15.75">
      <c r="A1" s="615" t="s">
        <v>71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16" ht="22.5" customHeight="1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  <c r="O2" s="296"/>
      <c r="P2" s="19"/>
    </row>
    <row r="3" spans="1:16">
      <c r="A3" s="617" t="s">
        <v>178</v>
      </c>
      <c r="B3" s="618"/>
      <c r="C3" s="618"/>
      <c r="D3" s="618"/>
      <c r="E3" s="618"/>
      <c r="F3" s="618"/>
      <c r="G3" s="618"/>
      <c r="H3" s="618"/>
      <c r="I3" s="618"/>
      <c r="J3" s="618"/>
      <c r="K3">
        <v>3141611.0999999996</v>
      </c>
      <c r="L3" s="215"/>
      <c r="M3">
        <v>3141611.0999999996</v>
      </c>
      <c r="N3" s="88"/>
    </row>
    <row r="4" spans="1:16">
      <c r="A4" s="23">
        <v>1</v>
      </c>
      <c r="B4" s="24">
        <v>46296</v>
      </c>
      <c r="C4" s="14"/>
      <c r="D4" s="245"/>
      <c r="E4" s="251"/>
      <c r="F4" s="294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4">
        <f>M3+K4-L4</f>
        <v>3141611.0999999996</v>
      </c>
      <c r="N4" s="14"/>
    </row>
    <row r="5" spans="1:16">
      <c r="A5" s="23">
        <v>2</v>
      </c>
      <c r="B5" s="24">
        <v>46297</v>
      </c>
      <c r="C5" s="14"/>
      <c r="D5" s="245"/>
      <c r="E5" s="251">
        <v>2700</v>
      </c>
      <c r="F5" s="294">
        <v>103.62</v>
      </c>
      <c r="G5" s="14">
        <f t="shared" ref="G5:G34" si="0">E5*F5</f>
        <v>279774</v>
      </c>
      <c r="H5" s="14">
        <v>75</v>
      </c>
      <c r="I5" s="14">
        <v>115.49</v>
      </c>
      <c r="J5" s="14">
        <f t="shared" ref="J5:J34" si="1">H5*I5</f>
        <v>8661.75</v>
      </c>
      <c r="K5" s="14">
        <f t="shared" ref="K5:K34" si="2">G5+J5</f>
        <v>288435.75</v>
      </c>
      <c r="L5" s="14">
        <v>288435.75</v>
      </c>
      <c r="M5" s="34">
        <f>M4+K5-L5</f>
        <v>3141611.0999999996</v>
      </c>
      <c r="N5" s="14"/>
    </row>
    <row r="6" spans="1:16">
      <c r="A6" s="23">
        <v>3</v>
      </c>
      <c r="B6" s="24">
        <v>46298</v>
      </c>
      <c r="C6" s="14"/>
      <c r="D6" s="245"/>
      <c r="E6" s="251"/>
      <c r="F6" s="294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4">
        <f t="shared" ref="M6:M34" si="3">M5+K6-L6</f>
        <v>3141611.0999999996</v>
      </c>
      <c r="N6" s="14"/>
    </row>
    <row r="7" spans="1:16">
      <c r="A7" s="23">
        <v>4</v>
      </c>
      <c r="B7" s="24">
        <v>46299</v>
      </c>
      <c r="C7" s="14"/>
      <c r="D7" s="245"/>
      <c r="E7" s="251"/>
      <c r="F7" s="294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4">
        <f>M6+K7-L7</f>
        <v>3141611.0999999996</v>
      </c>
      <c r="N7" s="14"/>
    </row>
    <row r="8" spans="1:16">
      <c r="A8" s="23">
        <v>5</v>
      </c>
      <c r="B8" s="24">
        <v>46300</v>
      </c>
      <c r="C8" s="14"/>
      <c r="D8" s="245"/>
      <c r="E8" s="251"/>
      <c r="F8" s="294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4">
        <f t="shared" si="3"/>
        <v>3141611.0999999996</v>
      </c>
      <c r="N8" s="14"/>
    </row>
    <row r="9" spans="1:16">
      <c r="A9" s="23">
        <v>6</v>
      </c>
      <c r="B9" s="24">
        <v>46301</v>
      </c>
      <c r="C9" s="14"/>
      <c r="D9" s="245"/>
      <c r="E9" s="251"/>
      <c r="F9" s="294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4">
        <f t="shared" si="3"/>
        <v>3141611.0999999996</v>
      </c>
      <c r="N9" s="217"/>
    </row>
    <row r="10" spans="1:16">
      <c r="A10" s="23">
        <v>7</v>
      </c>
      <c r="B10" s="24">
        <v>46302</v>
      </c>
      <c r="C10" s="14"/>
      <c r="D10" s="245"/>
      <c r="E10" s="251"/>
      <c r="F10" s="294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4">
        <f t="shared" si="3"/>
        <v>3141611.0999999996</v>
      </c>
      <c r="N10" s="14"/>
    </row>
    <row r="11" spans="1:16">
      <c r="A11" s="23">
        <v>8</v>
      </c>
      <c r="B11" s="24">
        <v>46303</v>
      </c>
      <c r="C11" s="14"/>
      <c r="D11" s="245"/>
      <c r="E11" s="251"/>
      <c r="F11" s="294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4">
        <f t="shared" si="3"/>
        <v>3141611.0999999996</v>
      </c>
      <c r="N11" s="14"/>
    </row>
    <row r="12" spans="1:16">
      <c r="A12" s="23">
        <v>9</v>
      </c>
      <c r="B12" s="24">
        <v>46304</v>
      </c>
      <c r="C12" s="14"/>
      <c r="D12" s="245"/>
      <c r="E12" s="251"/>
      <c r="F12" s="294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4">
        <f t="shared" si="3"/>
        <v>3141611.0999999996</v>
      </c>
      <c r="N12" s="14"/>
    </row>
    <row r="13" spans="1:16">
      <c r="A13" s="23">
        <v>10</v>
      </c>
      <c r="B13" s="24">
        <v>46305</v>
      </c>
      <c r="C13" s="14"/>
      <c r="D13" s="245"/>
      <c r="E13" s="251"/>
      <c r="F13" s="294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4">
        <f t="shared" si="3"/>
        <v>3141611.0999999996</v>
      </c>
      <c r="N13" s="14"/>
    </row>
    <row r="14" spans="1:16">
      <c r="A14" s="23">
        <v>11</v>
      </c>
      <c r="B14" s="24">
        <v>46306</v>
      </c>
      <c r="C14" s="14"/>
      <c r="D14" s="245"/>
      <c r="E14" s="251"/>
      <c r="F14" s="294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4">
        <f t="shared" si="3"/>
        <v>3141611.0999999996</v>
      </c>
      <c r="N14" s="14"/>
    </row>
    <row r="15" spans="1:16">
      <c r="A15" s="23">
        <v>12</v>
      </c>
      <c r="B15" s="24">
        <v>46307</v>
      </c>
      <c r="C15" s="14"/>
      <c r="D15" s="245"/>
      <c r="E15" s="251"/>
      <c r="F15" s="294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4">
        <f t="shared" si="3"/>
        <v>3141611.0999999996</v>
      </c>
      <c r="N15" s="14"/>
    </row>
    <row r="16" spans="1:16">
      <c r="A16" s="23">
        <v>13</v>
      </c>
      <c r="B16" s="24">
        <v>46308</v>
      </c>
      <c r="C16" s="14"/>
      <c r="D16" s="245"/>
      <c r="E16" s="251"/>
      <c r="F16" s="294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4">
        <f>M15+K16-L16</f>
        <v>3141611.0999999996</v>
      </c>
      <c r="N16" s="14"/>
    </row>
    <row r="17" spans="1:14">
      <c r="A17" s="23">
        <v>14</v>
      </c>
      <c r="B17" s="24">
        <v>46309</v>
      </c>
      <c r="C17" s="14"/>
      <c r="D17" s="245"/>
      <c r="E17" s="251"/>
      <c r="F17" s="294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4">
        <f t="shared" si="3"/>
        <v>3141611.0999999996</v>
      </c>
      <c r="N17" s="14"/>
    </row>
    <row r="18" spans="1:14">
      <c r="A18" s="23">
        <v>15</v>
      </c>
      <c r="B18" s="24">
        <v>46310</v>
      </c>
      <c r="C18" s="14"/>
      <c r="D18" s="245"/>
      <c r="E18" s="251"/>
      <c r="F18" s="294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4">
        <f t="shared" si="3"/>
        <v>3141611.0999999996</v>
      </c>
      <c r="N18" s="14"/>
    </row>
    <row r="19" spans="1:14">
      <c r="A19" s="23">
        <v>16</v>
      </c>
      <c r="B19" s="24">
        <v>46311</v>
      </c>
      <c r="C19" s="14"/>
      <c r="D19" s="245"/>
      <c r="E19" s="251"/>
      <c r="F19" s="294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4">
        <f t="shared" si="3"/>
        <v>3141611.0999999996</v>
      </c>
      <c r="N19" s="14"/>
    </row>
    <row r="20" spans="1:14">
      <c r="A20" s="23">
        <v>17</v>
      </c>
      <c r="B20" s="24">
        <v>46312</v>
      </c>
      <c r="C20" s="14"/>
      <c r="D20" s="245"/>
      <c r="E20" s="251"/>
      <c r="F20" s="294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4">
        <f t="shared" si="3"/>
        <v>3141611.0999999996</v>
      </c>
      <c r="N20" s="14"/>
    </row>
    <row r="21" spans="1:14">
      <c r="A21" s="23">
        <v>18</v>
      </c>
      <c r="B21" s="24">
        <v>46313</v>
      </c>
      <c r="C21" s="14"/>
      <c r="D21" s="245"/>
      <c r="E21" s="251"/>
      <c r="F21" s="294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4">
        <f t="shared" si="3"/>
        <v>3141611.0999999996</v>
      </c>
      <c r="N21" s="14"/>
    </row>
    <row r="22" spans="1:14">
      <c r="A22" s="23">
        <v>19</v>
      </c>
      <c r="B22" s="24">
        <v>46314</v>
      </c>
      <c r="C22" s="14"/>
      <c r="D22" s="245"/>
      <c r="E22" s="251"/>
      <c r="F22" s="294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4">
        <f t="shared" si="3"/>
        <v>3141611.0999999996</v>
      </c>
      <c r="N22" s="14"/>
    </row>
    <row r="23" spans="1:14">
      <c r="A23" s="23">
        <v>20</v>
      </c>
      <c r="B23" s="24">
        <v>46315</v>
      </c>
      <c r="C23" s="14"/>
      <c r="D23" s="245"/>
      <c r="E23" s="251"/>
      <c r="F23" s="294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4">
        <f t="shared" si="3"/>
        <v>3141611.0999999996</v>
      </c>
      <c r="N23" s="14"/>
    </row>
    <row r="24" spans="1:14">
      <c r="A24" s="23">
        <v>21</v>
      </c>
      <c r="B24" s="24">
        <v>46316</v>
      </c>
      <c r="C24" s="14"/>
      <c r="D24" s="245"/>
      <c r="E24" s="251"/>
      <c r="F24" s="294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4">
        <f t="shared" si="3"/>
        <v>3141611.0999999996</v>
      </c>
      <c r="N24" s="14"/>
    </row>
    <row r="25" spans="1:14">
      <c r="A25" s="23">
        <v>22</v>
      </c>
      <c r="B25" s="24">
        <v>46317</v>
      </c>
      <c r="C25" s="14"/>
      <c r="D25" s="245"/>
      <c r="E25" s="251"/>
      <c r="F25" s="294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4">
        <f t="shared" si="3"/>
        <v>3141611.0999999996</v>
      </c>
      <c r="N25" s="14"/>
    </row>
    <row r="26" spans="1:14">
      <c r="A26" s="23">
        <v>23</v>
      </c>
      <c r="B26" s="24">
        <v>46318</v>
      </c>
      <c r="C26" s="14"/>
      <c r="D26" s="245"/>
      <c r="E26" s="251"/>
      <c r="F26" s="294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4">
        <f t="shared" si="3"/>
        <v>3141611.0999999996</v>
      </c>
      <c r="N26" s="14"/>
    </row>
    <row r="27" spans="1:14">
      <c r="A27" s="23">
        <v>24</v>
      </c>
      <c r="B27" s="24">
        <v>46319</v>
      </c>
      <c r="C27" s="14"/>
      <c r="D27" s="245"/>
      <c r="E27" s="251"/>
      <c r="F27" s="294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4">
        <f t="shared" si="3"/>
        <v>3141611.0999999996</v>
      </c>
      <c r="N27" s="14"/>
    </row>
    <row r="28" spans="1:14">
      <c r="A28" s="23">
        <v>25</v>
      </c>
      <c r="B28" s="24">
        <v>46320</v>
      </c>
      <c r="C28" s="14"/>
      <c r="D28" s="245"/>
      <c r="E28" s="251"/>
      <c r="F28" s="294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4">
        <f t="shared" si="3"/>
        <v>3141611.0999999996</v>
      </c>
      <c r="N28" s="14"/>
    </row>
    <row r="29" spans="1:14">
      <c r="A29" s="23">
        <v>26</v>
      </c>
      <c r="B29" s="24">
        <v>46321</v>
      </c>
      <c r="C29" s="14"/>
      <c r="D29" s="245"/>
      <c r="E29" s="251"/>
      <c r="F29" s="294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4">
        <f t="shared" si="3"/>
        <v>3141611.0999999996</v>
      </c>
      <c r="N29" s="14"/>
    </row>
    <row r="30" spans="1:14">
      <c r="A30" s="23">
        <v>27</v>
      </c>
      <c r="B30" s="24">
        <v>46322</v>
      </c>
      <c r="C30" s="14"/>
      <c r="D30" s="245"/>
      <c r="E30" s="251"/>
      <c r="F30" s="294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4">
        <f t="shared" si="3"/>
        <v>3141611.0999999996</v>
      </c>
      <c r="N30" s="14"/>
    </row>
    <row r="31" spans="1:14">
      <c r="A31" s="23">
        <v>28</v>
      </c>
      <c r="B31" s="24">
        <v>46323</v>
      </c>
      <c r="C31" s="14"/>
      <c r="D31" s="245"/>
      <c r="E31" s="251"/>
      <c r="F31" s="294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4">
        <f t="shared" si="3"/>
        <v>3141611.0999999996</v>
      </c>
      <c r="N31" s="14"/>
    </row>
    <row r="32" spans="1:14">
      <c r="A32" s="23">
        <v>29</v>
      </c>
      <c r="B32" s="24">
        <v>46324</v>
      </c>
      <c r="C32" s="14"/>
      <c r="D32" s="245"/>
      <c r="E32" s="251"/>
      <c r="F32" s="294"/>
      <c r="G32" s="14">
        <f t="shared" si="0"/>
        <v>0</v>
      </c>
      <c r="H32" s="14"/>
      <c r="I32" s="14"/>
      <c r="J32" s="14">
        <f t="shared" si="1"/>
        <v>0</v>
      </c>
      <c r="K32" s="14">
        <f t="shared" si="2"/>
        <v>0</v>
      </c>
      <c r="L32" s="14"/>
      <c r="M32" s="34">
        <f t="shared" si="3"/>
        <v>3141611.0999999996</v>
      </c>
      <c r="N32" s="14"/>
    </row>
    <row r="33" spans="1:14">
      <c r="A33" s="23">
        <v>30</v>
      </c>
      <c r="B33" s="24">
        <v>46325</v>
      </c>
      <c r="C33" s="14"/>
      <c r="D33" s="245"/>
      <c r="E33" s="251"/>
      <c r="F33" s="294"/>
      <c r="G33" s="14">
        <f t="shared" si="0"/>
        <v>0</v>
      </c>
      <c r="H33" s="14"/>
      <c r="I33" s="14"/>
      <c r="J33" s="14">
        <f t="shared" si="1"/>
        <v>0</v>
      </c>
      <c r="K33" s="14">
        <f t="shared" si="2"/>
        <v>0</v>
      </c>
      <c r="L33" s="14"/>
      <c r="M33" s="34">
        <f t="shared" si="3"/>
        <v>3141611.0999999996</v>
      </c>
      <c r="N33" s="14"/>
    </row>
    <row r="34" spans="1:14">
      <c r="A34" s="23">
        <v>31</v>
      </c>
      <c r="B34" s="24">
        <v>46326</v>
      </c>
      <c r="C34" s="14"/>
      <c r="D34" s="245"/>
      <c r="E34" s="251"/>
      <c r="F34" s="294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4">
        <f t="shared" si="3"/>
        <v>3141611.0999999996</v>
      </c>
      <c r="N34" s="14"/>
    </row>
    <row r="35" spans="1:14">
      <c r="A35" s="36"/>
      <c r="B35" s="36"/>
      <c r="C35" s="36"/>
      <c r="D35" s="36"/>
      <c r="E35" s="37">
        <f>SUM(E4:E34)</f>
        <v>2700</v>
      </c>
      <c r="F35" s="37"/>
      <c r="G35" s="37">
        <f>SUM(G4:G34)</f>
        <v>279774</v>
      </c>
      <c r="H35" s="37">
        <f>SUM(H4:H34)</f>
        <v>75</v>
      </c>
      <c r="I35" s="37"/>
      <c r="J35" s="37">
        <f>SUM(J4:J34)</f>
        <v>8661.75</v>
      </c>
      <c r="K35" s="37">
        <f>SUM(K4:K34)</f>
        <v>288435.75</v>
      </c>
      <c r="L35" s="37">
        <f>SUM(L4:L34)</f>
        <v>288435.75</v>
      </c>
      <c r="M35" s="37"/>
      <c r="N35" s="37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E37A-4563-4C33-A700-EDC78F1D03A3}">
  <sheetPr>
    <tabColor rgb="FF00B050"/>
  </sheetPr>
  <dimension ref="A1:P39"/>
  <sheetViews>
    <sheetView workbookViewId="0">
      <pane ySplit="3" topLeftCell="A4" activePane="bottomLeft" state="frozen"/>
      <selection pane="bottomLeft" activeCell="N8" sqref="N8"/>
    </sheetView>
  </sheetViews>
  <sheetFormatPr defaultColWidth="14.28515625" defaultRowHeight="15"/>
  <sheetData>
    <row r="1" spans="1:16" ht="15.75">
      <c r="A1" s="615" t="s">
        <v>186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16" ht="30.75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  <c r="O2" s="296"/>
      <c r="P2" s="19"/>
    </row>
    <row r="3" spans="1:16">
      <c r="A3" s="617" t="s">
        <v>178</v>
      </c>
      <c r="B3" s="618"/>
      <c r="C3" s="618"/>
      <c r="D3" s="618"/>
      <c r="E3" s="618"/>
      <c r="F3" s="618"/>
      <c r="G3" s="618"/>
      <c r="H3" s="618"/>
      <c r="I3" s="618"/>
      <c r="J3" s="618"/>
      <c r="K3">
        <v>1445001.85</v>
      </c>
      <c r="L3" s="215"/>
      <c r="M3">
        <v>1445001.85</v>
      </c>
      <c r="N3" s="88"/>
    </row>
    <row r="4" spans="1:16">
      <c r="A4" s="23">
        <v>1</v>
      </c>
      <c r="B4" s="24">
        <v>46296</v>
      </c>
      <c r="C4" s="14"/>
      <c r="D4" s="245"/>
      <c r="E4" s="251"/>
      <c r="F4" s="294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4">
        <f>M3+K4-L4</f>
        <v>1445001.85</v>
      </c>
      <c r="N4" s="14"/>
      <c r="O4" s="34"/>
    </row>
    <row r="5" spans="1:16">
      <c r="A5" s="23">
        <v>2</v>
      </c>
      <c r="B5" s="24">
        <v>46297</v>
      </c>
      <c r="C5" s="14"/>
      <c r="D5" s="245"/>
      <c r="E5" s="251"/>
      <c r="F5" s="294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4">
        <f>M4+K5-L5</f>
        <v>1445001.85</v>
      </c>
      <c r="N5" s="14"/>
    </row>
    <row r="6" spans="1:16">
      <c r="A6" s="23">
        <v>3</v>
      </c>
      <c r="B6" s="24">
        <v>46298</v>
      </c>
      <c r="C6" s="14"/>
      <c r="D6" s="245"/>
      <c r="E6" s="251"/>
      <c r="F6" s="294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4">
        <f t="shared" ref="M6:M34" si="3">M5+K6-L6</f>
        <v>1445001.85</v>
      </c>
      <c r="N6" s="14"/>
    </row>
    <row r="7" spans="1:16">
      <c r="A7" s="23">
        <v>4</v>
      </c>
      <c r="B7" s="24">
        <v>46299</v>
      </c>
      <c r="C7" s="14"/>
      <c r="D7" s="245"/>
      <c r="E7" s="251"/>
      <c r="F7" s="294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4">
        <f>M6+K7-L7</f>
        <v>1445001.85</v>
      </c>
      <c r="N7" s="14"/>
    </row>
    <row r="8" spans="1:16">
      <c r="A8" s="23">
        <v>5</v>
      </c>
      <c r="B8" s="24">
        <v>46300</v>
      </c>
      <c r="C8" s="14"/>
      <c r="D8" s="245"/>
      <c r="E8" s="251"/>
      <c r="F8" s="294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4">
        <f t="shared" si="3"/>
        <v>1445001.85</v>
      </c>
      <c r="N8" s="14"/>
    </row>
    <row r="9" spans="1:16">
      <c r="A9" s="23">
        <v>6</v>
      </c>
      <c r="B9" s="24">
        <v>46301</v>
      </c>
      <c r="C9" s="14"/>
      <c r="D9" s="245"/>
      <c r="E9" s="251"/>
      <c r="F9" s="294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4">
        <f t="shared" si="3"/>
        <v>1445001.85</v>
      </c>
      <c r="N9" s="217"/>
    </row>
    <row r="10" spans="1:16">
      <c r="A10" s="23">
        <v>7</v>
      </c>
      <c r="B10" s="24">
        <v>46302</v>
      </c>
      <c r="C10" s="14"/>
      <c r="D10" s="245"/>
      <c r="E10" s="251"/>
      <c r="F10" s="294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4">
        <f t="shared" si="3"/>
        <v>1445001.85</v>
      </c>
      <c r="N10" s="14"/>
    </row>
    <row r="11" spans="1:16">
      <c r="A11" s="23">
        <v>8</v>
      </c>
      <c r="B11" s="24">
        <v>46303</v>
      </c>
      <c r="C11" s="14"/>
      <c r="D11" s="245"/>
      <c r="E11" s="251"/>
      <c r="F11" s="294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4">
        <f t="shared" si="3"/>
        <v>1445001.85</v>
      </c>
      <c r="N11" s="14"/>
    </row>
    <row r="12" spans="1:16">
      <c r="A12" s="23">
        <v>9</v>
      </c>
      <c r="B12" s="24">
        <v>46304</v>
      </c>
      <c r="C12" s="14"/>
      <c r="D12" s="245"/>
      <c r="E12" s="251"/>
      <c r="F12" s="294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4">
        <f t="shared" si="3"/>
        <v>1445001.85</v>
      </c>
      <c r="N12" s="14"/>
    </row>
    <row r="13" spans="1:16">
      <c r="A13" s="23">
        <v>10</v>
      </c>
      <c r="B13" s="24">
        <v>46305</v>
      </c>
      <c r="C13" s="14"/>
      <c r="D13" s="245"/>
      <c r="E13" s="251"/>
      <c r="F13" s="294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4">
        <f t="shared" si="3"/>
        <v>1445001.85</v>
      </c>
      <c r="N13" s="14"/>
    </row>
    <row r="14" spans="1:16">
      <c r="A14" s="23">
        <v>11</v>
      </c>
      <c r="B14" s="24">
        <v>46306</v>
      </c>
      <c r="C14" s="14"/>
      <c r="D14" s="245"/>
      <c r="E14" s="251"/>
      <c r="F14" s="294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4">
        <f t="shared" si="3"/>
        <v>1445001.85</v>
      </c>
      <c r="N14" s="14"/>
    </row>
    <row r="15" spans="1:16">
      <c r="A15" s="23">
        <v>12</v>
      </c>
      <c r="B15" s="24">
        <v>46307</v>
      </c>
      <c r="C15" s="14"/>
      <c r="D15" s="245"/>
      <c r="E15" s="251"/>
      <c r="F15" s="294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4">
        <f t="shared" si="3"/>
        <v>1445001.85</v>
      </c>
      <c r="N15" s="14"/>
    </row>
    <row r="16" spans="1:16">
      <c r="A16" s="23">
        <v>13</v>
      </c>
      <c r="B16" s="24">
        <v>46308</v>
      </c>
      <c r="C16" s="14"/>
      <c r="D16" s="245"/>
      <c r="E16" s="251"/>
      <c r="F16" s="294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4">
        <f>M15+K16-L16</f>
        <v>1445001.85</v>
      </c>
      <c r="N16" s="14"/>
    </row>
    <row r="17" spans="1:14">
      <c r="A17" s="23">
        <v>14</v>
      </c>
      <c r="B17" s="24">
        <v>46309</v>
      </c>
      <c r="C17" s="14"/>
      <c r="D17" s="245"/>
      <c r="E17" s="251"/>
      <c r="F17" s="294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4">
        <f t="shared" si="3"/>
        <v>1445001.85</v>
      </c>
      <c r="N17" s="14"/>
    </row>
    <row r="18" spans="1:14">
      <c r="A18" s="23">
        <v>15</v>
      </c>
      <c r="B18" s="24">
        <v>46310</v>
      </c>
      <c r="C18" s="14"/>
      <c r="D18" s="245"/>
      <c r="E18" s="251"/>
      <c r="F18" s="294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4">
        <f t="shared" si="3"/>
        <v>1445001.85</v>
      </c>
      <c r="N18" s="14"/>
    </row>
    <row r="19" spans="1:14">
      <c r="A19" s="23">
        <v>16</v>
      </c>
      <c r="B19" s="24">
        <v>46311</v>
      </c>
      <c r="C19" s="14"/>
      <c r="D19" s="245"/>
      <c r="E19" s="251"/>
      <c r="F19" s="294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4">
        <f t="shared" si="3"/>
        <v>1445001.85</v>
      </c>
      <c r="N19" s="14"/>
    </row>
    <row r="20" spans="1:14">
      <c r="A20" s="23">
        <v>17</v>
      </c>
      <c r="B20" s="24">
        <v>46312</v>
      </c>
      <c r="C20" s="14"/>
      <c r="D20" s="245"/>
      <c r="E20" s="251"/>
      <c r="F20" s="294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4">
        <f t="shared" si="3"/>
        <v>1445001.85</v>
      </c>
      <c r="N20" s="14"/>
    </row>
    <row r="21" spans="1:14">
      <c r="A21" s="23">
        <v>18</v>
      </c>
      <c r="B21" s="24">
        <v>46313</v>
      </c>
      <c r="C21" s="14"/>
      <c r="D21" s="245"/>
      <c r="E21" s="251"/>
      <c r="F21" s="294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4">
        <f t="shared" si="3"/>
        <v>1445001.85</v>
      </c>
      <c r="N21" s="14"/>
    </row>
    <row r="22" spans="1:14">
      <c r="A22" s="23">
        <v>19</v>
      </c>
      <c r="B22" s="24">
        <v>46314</v>
      </c>
      <c r="C22" s="14"/>
      <c r="D22" s="245"/>
      <c r="E22" s="251"/>
      <c r="F22" s="294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4">
        <f t="shared" si="3"/>
        <v>1445001.85</v>
      </c>
      <c r="N22" s="14"/>
    </row>
    <row r="23" spans="1:14">
      <c r="A23" s="23">
        <v>20</v>
      </c>
      <c r="B23" s="24">
        <v>46315</v>
      </c>
      <c r="C23" s="14"/>
      <c r="D23" s="245"/>
      <c r="E23" s="251"/>
      <c r="F23" s="294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4">
        <f t="shared" si="3"/>
        <v>1445001.85</v>
      </c>
      <c r="N23" s="14"/>
    </row>
    <row r="24" spans="1:14">
      <c r="A24" s="23">
        <v>21</v>
      </c>
      <c r="B24" s="24">
        <v>46316</v>
      </c>
      <c r="C24" s="14"/>
      <c r="D24" s="245"/>
      <c r="E24" s="251"/>
      <c r="F24" s="294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4">
        <f t="shared" si="3"/>
        <v>1445001.85</v>
      </c>
      <c r="N24" s="14"/>
    </row>
    <row r="25" spans="1:14">
      <c r="A25" s="23">
        <v>22</v>
      </c>
      <c r="B25" s="24">
        <v>46317</v>
      </c>
      <c r="C25" s="14"/>
      <c r="D25" s="245"/>
      <c r="E25" s="251"/>
      <c r="F25" s="294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4">
        <f t="shared" si="3"/>
        <v>1445001.85</v>
      </c>
      <c r="N25" s="14"/>
    </row>
    <row r="26" spans="1:14">
      <c r="A26" s="23">
        <v>23</v>
      </c>
      <c r="B26" s="24">
        <v>46318</v>
      </c>
      <c r="C26" s="14"/>
      <c r="D26" s="245"/>
      <c r="E26" s="251"/>
      <c r="F26" s="294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4">
        <f t="shared" si="3"/>
        <v>1445001.85</v>
      </c>
      <c r="N26" s="14"/>
    </row>
    <row r="27" spans="1:14">
      <c r="A27" s="23">
        <v>24</v>
      </c>
      <c r="B27" s="24">
        <v>46319</v>
      </c>
      <c r="C27" s="14"/>
      <c r="D27" s="245"/>
      <c r="E27" s="251"/>
      <c r="F27" s="294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4">
        <f t="shared" si="3"/>
        <v>1445001.85</v>
      </c>
      <c r="N27" s="14"/>
    </row>
    <row r="28" spans="1:14">
      <c r="A28" s="23">
        <v>25</v>
      </c>
      <c r="B28" s="24">
        <v>46320</v>
      </c>
      <c r="C28" s="14"/>
      <c r="D28" s="245"/>
      <c r="E28" s="251"/>
      <c r="F28" s="294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4">
        <f t="shared" si="3"/>
        <v>1445001.85</v>
      </c>
      <c r="N28" s="14"/>
    </row>
    <row r="29" spans="1:14">
      <c r="A29" s="23">
        <v>26</v>
      </c>
      <c r="B29" s="24">
        <v>46321</v>
      </c>
      <c r="C29" s="14"/>
      <c r="D29" s="245"/>
      <c r="E29" s="251"/>
      <c r="F29" s="294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4">
        <f t="shared" si="3"/>
        <v>1445001.85</v>
      </c>
      <c r="N29" s="14"/>
    </row>
    <row r="30" spans="1:14">
      <c r="A30" s="23">
        <v>27</v>
      </c>
      <c r="B30" s="24">
        <v>46322</v>
      </c>
      <c r="C30" s="14"/>
      <c r="D30" s="245"/>
      <c r="E30" s="251"/>
      <c r="F30" s="294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4">
        <f t="shared" si="3"/>
        <v>1445001.85</v>
      </c>
      <c r="N30" s="14"/>
    </row>
    <row r="31" spans="1:14">
      <c r="A31" s="23">
        <v>28</v>
      </c>
      <c r="B31" s="24">
        <v>46323</v>
      </c>
      <c r="C31" s="14"/>
      <c r="D31" s="245"/>
      <c r="E31" s="251"/>
      <c r="F31" s="294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4">
        <f t="shared" si="3"/>
        <v>1445001.85</v>
      </c>
      <c r="N31" s="14"/>
    </row>
    <row r="32" spans="1:14">
      <c r="A32" s="23">
        <v>29</v>
      </c>
      <c r="B32" s="24">
        <v>46324</v>
      </c>
      <c r="C32" s="14"/>
      <c r="D32" s="245"/>
      <c r="E32" s="413"/>
      <c r="F32" s="294"/>
      <c r="G32" s="14">
        <f t="shared" si="0"/>
        <v>0</v>
      </c>
      <c r="H32" s="413"/>
      <c r="I32" s="294"/>
      <c r="J32" s="14">
        <f t="shared" si="1"/>
        <v>0</v>
      </c>
      <c r="K32" s="14">
        <f t="shared" si="2"/>
        <v>0</v>
      </c>
      <c r="L32" s="14"/>
      <c r="M32" s="34">
        <f t="shared" si="3"/>
        <v>1445001.85</v>
      </c>
      <c r="N32" s="14"/>
    </row>
    <row r="33" spans="1:14">
      <c r="A33" s="23">
        <v>30</v>
      </c>
      <c r="B33" s="24">
        <v>46325</v>
      </c>
      <c r="C33" s="14"/>
      <c r="D33" s="245"/>
      <c r="E33" s="413"/>
      <c r="F33" s="294"/>
      <c r="G33" s="14">
        <f t="shared" si="0"/>
        <v>0</v>
      </c>
      <c r="H33" s="413"/>
      <c r="I33" s="294"/>
      <c r="J33" s="14">
        <f t="shared" si="1"/>
        <v>0</v>
      </c>
      <c r="K33" s="14">
        <f t="shared" si="2"/>
        <v>0</v>
      </c>
      <c r="L33" s="14"/>
      <c r="M33" s="34">
        <f t="shared" si="3"/>
        <v>1445001.85</v>
      </c>
      <c r="N33" s="14"/>
    </row>
    <row r="34" spans="1:14">
      <c r="A34" s="23">
        <v>31</v>
      </c>
      <c r="B34" s="24">
        <v>46326</v>
      </c>
      <c r="C34" s="14"/>
      <c r="D34" s="245"/>
      <c r="E34" s="251"/>
      <c r="F34" s="294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4">
        <f t="shared" si="3"/>
        <v>1445001.85</v>
      </c>
      <c r="N34" s="14"/>
    </row>
    <row r="35" spans="1:14">
      <c r="A35" s="36"/>
      <c r="B35" s="36"/>
      <c r="C35" s="36"/>
      <c r="D35" s="36"/>
      <c r="E35" s="37">
        <f>SUM(E4:E34)</f>
        <v>0</v>
      </c>
      <c r="F35" s="37"/>
      <c r="G35" s="37">
        <f>SUM(G4:G34)</f>
        <v>0</v>
      </c>
      <c r="H35" s="37">
        <f>SUM(H4:H34)</f>
        <v>0</v>
      </c>
      <c r="I35" s="37"/>
      <c r="J35" s="37">
        <f>SUM(J4:J34)</f>
        <v>0</v>
      </c>
      <c r="K35" s="37">
        <f>SUM(K4:K34)</f>
        <v>0</v>
      </c>
      <c r="L35" s="37">
        <f>SUM(L4:L34)</f>
        <v>0</v>
      </c>
      <c r="M35" s="37"/>
      <c r="N35" s="37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A6E2-AF2C-47F7-88BC-A49393896CDA}">
  <sheetPr>
    <tabColor rgb="FF00B050"/>
  </sheetPr>
  <dimension ref="A1:P39"/>
  <sheetViews>
    <sheetView topLeftCell="A6" workbookViewId="0">
      <selection activeCell="M18" sqref="M18"/>
    </sheetView>
  </sheetViews>
  <sheetFormatPr defaultRowHeight="15"/>
  <cols>
    <col min="5" max="5" width="14.85546875" customWidth="1"/>
    <col min="13" max="13" width="17.7109375" customWidth="1"/>
  </cols>
  <sheetData>
    <row r="1" spans="1:16" ht="15.75">
      <c r="A1" s="615" t="s">
        <v>187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16" ht="30.75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  <c r="O2" s="296"/>
      <c r="P2" s="19"/>
    </row>
    <row r="3" spans="1:16">
      <c r="A3" s="617" t="s">
        <v>178</v>
      </c>
      <c r="B3" s="618"/>
      <c r="C3" s="618"/>
      <c r="D3" s="618"/>
      <c r="E3" s="618"/>
      <c r="F3" s="618"/>
      <c r="G3" s="618"/>
      <c r="H3" s="618"/>
      <c r="I3" s="618"/>
      <c r="J3" s="618"/>
      <c r="K3">
        <v>0</v>
      </c>
      <c r="L3" s="215"/>
      <c r="M3">
        <v>0</v>
      </c>
      <c r="N3" s="88"/>
    </row>
    <row r="4" spans="1:16">
      <c r="A4" s="23">
        <v>1</v>
      </c>
      <c r="B4" s="24">
        <v>46296</v>
      </c>
      <c r="C4" s="14"/>
      <c r="D4" s="245"/>
      <c r="E4" s="251"/>
      <c r="F4" s="294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4">
        <f>M3+K4-L4</f>
        <v>0</v>
      </c>
      <c r="N4" s="14"/>
      <c r="O4" s="34"/>
    </row>
    <row r="5" spans="1:16">
      <c r="A5" s="23">
        <v>2</v>
      </c>
      <c r="B5" s="24">
        <v>46297</v>
      </c>
      <c r="C5" s="14"/>
      <c r="D5" s="245"/>
      <c r="E5" s="251"/>
      <c r="F5" s="294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4">
        <f>M4+K5-L5</f>
        <v>0</v>
      </c>
      <c r="N5" s="14"/>
    </row>
    <row r="6" spans="1:16">
      <c r="A6" s="23">
        <v>3</v>
      </c>
      <c r="B6" s="24">
        <v>46298</v>
      </c>
      <c r="C6" s="14"/>
      <c r="D6" s="245"/>
      <c r="E6" s="251">
        <v>5400</v>
      </c>
      <c r="F6" s="294">
        <v>103.84</v>
      </c>
      <c r="G6" s="14">
        <f t="shared" si="0"/>
        <v>560736</v>
      </c>
      <c r="H6" s="14"/>
      <c r="I6" s="14"/>
      <c r="J6" s="14">
        <f t="shared" si="1"/>
        <v>0</v>
      </c>
      <c r="K6" s="14">
        <f t="shared" si="2"/>
        <v>560736</v>
      </c>
      <c r="L6" s="14"/>
      <c r="M6" s="34">
        <f t="shared" ref="M6:M34" si="3">M5+K6-L6</f>
        <v>560736</v>
      </c>
      <c r="N6" s="14"/>
    </row>
    <row r="7" spans="1:16">
      <c r="A7" s="23">
        <v>4</v>
      </c>
      <c r="B7" s="24">
        <v>46299</v>
      </c>
      <c r="C7" s="14"/>
      <c r="D7" s="245"/>
      <c r="E7" s="251"/>
      <c r="F7" s="294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4">
        <f>M6+K7-L7</f>
        <v>560736</v>
      </c>
      <c r="N7" s="14"/>
    </row>
    <row r="8" spans="1:16">
      <c r="A8" s="23">
        <v>5</v>
      </c>
      <c r="B8" s="24">
        <v>46300</v>
      </c>
      <c r="C8" s="14"/>
      <c r="D8" s="245"/>
      <c r="E8" s="251">
        <v>2700</v>
      </c>
      <c r="F8" s="294">
        <v>103.84</v>
      </c>
      <c r="G8" s="14">
        <f t="shared" si="0"/>
        <v>280368</v>
      </c>
      <c r="H8" s="14"/>
      <c r="I8" s="14"/>
      <c r="J8" s="14">
        <f t="shared" si="1"/>
        <v>0</v>
      </c>
      <c r="K8" s="14">
        <f t="shared" si="2"/>
        <v>280368</v>
      </c>
      <c r="L8" s="14"/>
      <c r="M8" s="34">
        <f t="shared" si="3"/>
        <v>841104</v>
      </c>
      <c r="N8" s="14"/>
    </row>
    <row r="9" spans="1:16">
      <c r="A9" s="23">
        <v>6</v>
      </c>
      <c r="B9" s="24">
        <v>46301</v>
      </c>
      <c r="C9" s="14"/>
      <c r="D9" s="245"/>
      <c r="E9" s="251">
        <v>2700</v>
      </c>
      <c r="F9" s="294">
        <v>103.84</v>
      </c>
      <c r="G9" s="14">
        <f t="shared" si="0"/>
        <v>280368</v>
      </c>
      <c r="H9" s="14"/>
      <c r="I9" s="14"/>
      <c r="J9" s="14">
        <f t="shared" si="1"/>
        <v>0</v>
      </c>
      <c r="K9" s="14">
        <f t="shared" si="2"/>
        <v>280368</v>
      </c>
      <c r="L9" s="14"/>
      <c r="M9" s="34">
        <f t="shared" si="3"/>
        <v>1121472</v>
      </c>
      <c r="N9" s="217"/>
    </row>
    <row r="10" spans="1:16">
      <c r="A10" s="23">
        <v>7</v>
      </c>
      <c r="B10" s="24">
        <v>46302</v>
      </c>
      <c r="C10" s="14"/>
      <c r="D10" s="245"/>
      <c r="E10" s="251">
        <v>2700</v>
      </c>
      <c r="F10" s="294">
        <v>103.84</v>
      </c>
      <c r="G10" s="14">
        <f t="shared" si="0"/>
        <v>280368</v>
      </c>
      <c r="H10" s="14"/>
      <c r="I10" s="14"/>
      <c r="J10" s="14">
        <f t="shared" si="1"/>
        <v>0</v>
      </c>
      <c r="K10" s="14">
        <f t="shared" si="2"/>
        <v>280368</v>
      </c>
      <c r="L10" s="14"/>
      <c r="M10" s="34">
        <f t="shared" si="3"/>
        <v>1401840</v>
      </c>
      <c r="N10" s="14"/>
    </row>
    <row r="11" spans="1:16">
      <c r="A11" s="23">
        <v>8</v>
      </c>
      <c r="B11" s="24">
        <v>46303</v>
      </c>
      <c r="C11" s="14"/>
      <c r="D11" s="245"/>
      <c r="E11" s="251">
        <v>2700</v>
      </c>
      <c r="F11" s="294">
        <v>103.84</v>
      </c>
      <c r="G11" s="14">
        <f t="shared" si="0"/>
        <v>280368</v>
      </c>
      <c r="H11" s="14"/>
      <c r="I11" s="14"/>
      <c r="J11" s="14">
        <f t="shared" si="1"/>
        <v>0</v>
      </c>
      <c r="K11" s="14">
        <f t="shared" si="2"/>
        <v>280368</v>
      </c>
      <c r="L11" s="14"/>
      <c r="M11" s="34">
        <f t="shared" si="3"/>
        <v>1682208</v>
      </c>
      <c r="N11" s="14"/>
    </row>
    <row r="12" spans="1:16">
      <c r="A12" s="23">
        <v>9</v>
      </c>
      <c r="B12" s="24">
        <v>46304</v>
      </c>
      <c r="C12" s="14"/>
      <c r="D12" s="245"/>
      <c r="E12" s="251">
        <v>5400</v>
      </c>
      <c r="F12" s="294">
        <v>103.84</v>
      </c>
      <c r="G12" s="14">
        <f t="shared" si="0"/>
        <v>560736</v>
      </c>
      <c r="H12" s="14"/>
      <c r="I12" s="14"/>
      <c r="J12" s="14">
        <f t="shared" si="1"/>
        <v>0</v>
      </c>
      <c r="K12" s="14">
        <f t="shared" si="2"/>
        <v>560736</v>
      </c>
      <c r="L12" s="14"/>
      <c r="M12" s="34">
        <f t="shared" si="3"/>
        <v>2242944</v>
      </c>
      <c r="N12" s="14"/>
    </row>
    <row r="13" spans="1:16">
      <c r="A13" s="23">
        <v>10</v>
      </c>
      <c r="B13" s="24">
        <v>46305</v>
      </c>
      <c r="C13" s="14"/>
      <c r="D13" s="245"/>
      <c r="E13" s="251">
        <v>5400</v>
      </c>
      <c r="F13" s="294">
        <v>103.84</v>
      </c>
      <c r="G13" s="14">
        <f t="shared" si="0"/>
        <v>560736</v>
      </c>
      <c r="H13" s="14"/>
      <c r="I13" s="14"/>
      <c r="J13" s="14">
        <f t="shared" si="1"/>
        <v>0</v>
      </c>
      <c r="K13" s="14">
        <f t="shared" si="2"/>
        <v>560736</v>
      </c>
      <c r="L13" s="14"/>
      <c r="M13" s="34">
        <f t="shared" si="3"/>
        <v>2803680</v>
      </c>
      <c r="N13" s="14"/>
    </row>
    <row r="14" spans="1:16">
      <c r="A14" s="23">
        <v>11</v>
      </c>
      <c r="B14" s="24">
        <v>46306</v>
      </c>
      <c r="C14" s="14"/>
      <c r="D14" s="245"/>
      <c r="E14" s="251">
        <v>2700</v>
      </c>
      <c r="F14" s="294">
        <v>103.84</v>
      </c>
      <c r="G14" s="14">
        <f t="shared" si="0"/>
        <v>280368</v>
      </c>
      <c r="H14" s="14"/>
      <c r="I14" s="14"/>
      <c r="J14" s="14">
        <f t="shared" si="1"/>
        <v>0</v>
      </c>
      <c r="K14" s="14">
        <f t="shared" si="2"/>
        <v>280368</v>
      </c>
      <c r="L14" s="14"/>
      <c r="M14" s="34">
        <f t="shared" si="3"/>
        <v>3084048</v>
      </c>
      <c r="N14" s="14"/>
    </row>
    <row r="15" spans="1:16">
      <c r="A15" s="23">
        <v>12</v>
      </c>
      <c r="B15" s="24">
        <v>46307</v>
      </c>
      <c r="C15" s="14"/>
      <c r="D15" s="245"/>
      <c r="E15" s="251">
        <v>2700</v>
      </c>
      <c r="F15" s="294">
        <v>103.84</v>
      </c>
      <c r="G15" s="14">
        <f t="shared" si="0"/>
        <v>280368</v>
      </c>
      <c r="H15" s="14"/>
      <c r="I15" s="14"/>
      <c r="J15" s="14">
        <f t="shared" si="1"/>
        <v>0</v>
      </c>
      <c r="K15" s="14">
        <f t="shared" si="2"/>
        <v>280368</v>
      </c>
      <c r="L15" s="14"/>
      <c r="M15" s="34">
        <f t="shared" si="3"/>
        <v>3364416</v>
      </c>
      <c r="N15" s="14"/>
    </row>
    <row r="16" spans="1:16">
      <c r="A16" s="23">
        <v>13</v>
      </c>
      <c r="B16" s="24">
        <v>46308</v>
      </c>
      <c r="C16" s="14"/>
      <c r="D16" s="245"/>
      <c r="E16" s="251">
        <v>2700</v>
      </c>
      <c r="F16" s="294">
        <v>103.84</v>
      </c>
      <c r="G16" s="14">
        <f t="shared" si="0"/>
        <v>280368</v>
      </c>
      <c r="H16" s="14"/>
      <c r="I16" s="14"/>
      <c r="J16" s="14">
        <f t="shared" si="1"/>
        <v>0</v>
      </c>
      <c r="K16" s="14">
        <f t="shared" si="2"/>
        <v>280368</v>
      </c>
      <c r="L16" s="14"/>
      <c r="M16" s="34">
        <f>M15+K16-L16</f>
        <v>3644784</v>
      </c>
      <c r="N16" s="14"/>
    </row>
    <row r="17" spans="1:14">
      <c r="A17" s="23">
        <v>14</v>
      </c>
      <c r="B17" s="24">
        <v>46309</v>
      </c>
      <c r="C17" s="14"/>
      <c r="D17" s="245"/>
      <c r="E17" s="251">
        <v>2700</v>
      </c>
      <c r="F17" s="294">
        <v>103.84</v>
      </c>
      <c r="G17" s="14">
        <f t="shared" si="0"/>
        <v>280368</v>
      </c>
      <c r="H17" s="14"/>
      <c r="I17" s="14"/>
      <c r="J17" s="14">
        <f t="shared" si="1"/>
        <v>0</v>
      </c>
      <c r="K17" s="14">
        <f t="shared" si="2"/>
        <v>280368</v>
      </c>
      <c r="L17" s="14"/>
      <c r="M17" s="34">
        <f t="shared" si="3"/>
        <v>3925152</v>
      </c>
      <c r="N17" s="14"/>
    </row>
    <row r="18" spans="1:14">
      <c r="A18" s="23">
        <v>15</v>
      </c>
      <c r="B18" s="24">
        <v>46310</v>
      </c>
      <c r="C18" s="14"/>
      <c r="D18" s="245"/>
      <c r="E18" s="251">
        <v>2700</v>
      </c>
      <c r="F18" s="294">
        <v>103.84</v>
      </c>
      <c r="G18" s="14">
        <f t="shared" si="0"/>
        <v>280368</v>
      </c>
      <c r="H18" s="14"/>
      <c r="I18" s="14"/>
      <c r="J18" s="14">
        <f t="shared" si="1"/>
        <v>0</v>
      </c>
      <c r="K18" s="14">
        <f t="shared" si="2"/>
        <v>280368</v>
      </c>
      <c r="L18" s="14"/>
      <c r="M18" s="34">
        <f t="shared" si="3"/>
        <v>4205520</v>
      </c>
      <c r="N18" s="14"/>
    </row>
    <row r="19" spans="1:14">
      <c r="A19" s="23">
        <v>16</v>
      </c>
      <c r="B19" s="24">
        <v>46311</v>
      </c>
      <c r="C19" s="14"/>
      <c r="D19" s="245"/>
      <c r="E19" s="251"/>
      <c r="F19" s="294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4">
        <f t="shared" si="3"/>
        <v>4205520</v>
      </c>
      <c r="N19" s="14"/>
    </row>
    <row r="20" spans="1:14">
      <c r="A20" s="23">
        <v>17</v>
      </c>
      <c r="B20" s="24">
        <v>46312</v>
      </c>
      <c r="C20" s="14"/>
      <c r="D20" s="245"/>
      <c r="E20" s="251"/>
      <c r="F20" s="294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4">
        <f t="shared" si="3"/>
        <v>4205520</v>
      </c>
      <c r="N20" s="14"/>
    </row>
    <row r="21" spans="1:14">
      <c r="A21" s="23">
        <v>18</v>
      </c>
      <c r="B21" s="24">
        <v>46313</v>
      </c>
      <c r="C21" s="14"/>
      <c r="D21" s="245"/>
      <c r="E21" s="251"/>
      <c r="F21" s="294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4">
        <f t="shared" si="3"/>
        <v>4205520</v>
      </c>
      <c r="N21" s="14"/>
    </row>
    <row r="22" spans="1:14">
      <c r="A22" s="23">
        <v>19</v>
      </c>
      <c r="B22" s="24">
        <v>46314</v>
      </c>
      <c r="C22" s="14"/>
      <c r="D22" s="245"/>
      <c r="E22" s="251"/>
      <c r="F22" s="294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4">
        <f t="shared" si="3"/>
        <v>4205520</v>
      </c>
      <c r="N22" s="14"/>
    </row>
    <row r="23" spans="1:14">
      <c r="A23" s="23">
        <v>20</v>
      </c>
      <c r="B23" s="24">
        <v>46315</v>
      </c>
      <c r="C23" s="14"/>
      <c r="D23" s="245"/>
      <c r="E23" s="251"/>
      <c r="F23" s="294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4">
        <f t="shared" si="3"/>
        <v>4205520</v>
      </c>
      <c r="N23" s="14"/>
    </row>
    <row r="24" spans="1:14">
      <c r="A24" s="23">
        <v>21</v>
      </c>
      <c r="B24" s="24">
        <v>46316</v>
      </c>
      <c r="C24" s="14"/>
      <c r="D24" s="245"/>
      <c r="E24" s="251"/>
      <c r="F24" s="294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4">
        <f t="shared" si="3"/>
        <v>4205520</v>
      </c>
      <c r="N24" s="14"/>
    </row>
    <row r="25" spans="1:14">
      <c r="A25" s="23">
        <v>22</v>
      </c>
      <c r="B25" s="24">
        <v>46317</v>
      </c>
      <c r="C25" s="14"/>
      <c r="D25" s="245"/>
      <c r="E25" s="251"/>
      <c r="F25" s="294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4">
        <f t="shared" si="3"/>
        <v>4205520</v>
      </c>
      <c r="N25" s="14"/>
    </row>
    <row r="26" spans="1:14">
      <c r="A26" s="23">
        <v>23</v>
      </c>
      <c r="B26" s="24">
        <v>46318</v>
      </c>
      <c r="C26" s="14"/>
      <c r="D26" s="245"/>
      <c r="E26" s="251"/>
      <c r="F26" s="294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4">
        <f t="shared" si="3"/>
        <v>4205520</v>
      </c>
      <c r="N26" s="14"/>
    </row>
    <row r="27" spans="1:14">
      <c r="A27" s="23">
        <v>24</v>
      </c>
      <c r="B27" s="24">
        <v>46319</v>
      </c>
      <c r="C27" s="14"/>
      <c r="D27" s="245"/>
      <c r="E27" s="251"/>
      <c r="F27" s="294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4">
        <f t="shared" si="3"/>
        <v>4205520</v>
      </c>
      <c r="N27" s="14"/>
    </row>
    <row r="28" spans="1:14">
      <c r="A28" s="23">
        <v>25</v>
      </c>
      <c r="B28" s="24">
        <v>46320</v>
      </c>
      <c r="C28" s="14"/>
      <c r="D28" s="245"/>
      <c r="E28" s="251"/>
      <c r="F28" s="294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4">
        <f t="shared" si="3"/>
        <v>4205520</v>
      </c>
      <c r="N28" s="14"/>
    </row>
    <row r="29" spans="1:14">
      <c r="A29" s="23">
        <v>26</v>
      </c>
      <c r="B29" s="24">
        <v>46321</v>
      </c>
      <c r="C29" s="14"/>
      <c r="D29" s="245"/>
      <c r="E29" s="251"/>
      <c r="F29" s="294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4">
        <f t="shared" si="3"/>
        <v>4205520</v>
      </c>
      <c r="N29" s="14"/>
    </row>
    <row r="30" spans="1:14">
      <c r="A30" s="23">
        <v>27</v>
      </c>
      <c r="B30" s="24">
        <v>46322</v>
      </c>
      <c r="C30" s="14"/>
      <c r="D30" s="245"/>
      <c r="E30" s="251"/>
      <c r="F30" s="294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4">
        <f t="shared" si="3"/>
        <v>4205520</v>
      </c>
      <c r="N30" s="14"/>
    </row>
    <row r="31" spans="1:14">
      <c r="A31" s="23">
        <v>28</v>
      </c>
      <c r="B31" s="24">
        <v>46323</v>
      </c>
      <c r="C31" s="14"/>
      <c r="D31" s="245"/>
      <c r="E31" s="251"/>
      <c r="F31" s="294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4">
        <f t="shared" si="3"/>
        <v>4205520</v>
      </c>
      <c r="N31" s="14"/>
    </row>
    <row r="32" spans="1:14">
      <c r="A32" s="23">
        <v>29</v>
      </c>
      <c r="B32" s="24">
        <v>46324</v>
      </c>
      <c r="C32" s="14"/>
      <c r="D32" s="245"/>
      <c r="E32" s="413"/>
      <c r="F32" s="294"/>
      <c r="G32" s="14">
        <f t="shared" si="0"/>
        <v>0</v>
      </c>
      <c r="H32" s="413"/>
      <c r="I32" s="294"/>
      <c r="J32" s="14">
        <f t="shared" si="1"/>
        <v>0</v>
      </c>
      <c r="K32" s="14">
        <f t="shared" si="2"/>
        <v>0</v>
      </c>
      <c r="L32" s="14"/>
      <c r="M32" s="34">
        <f t="shared" si="3"/>
        <v>4205520</v>
      </c>
      <c r="N32" s="14"/>
    </row>
    <row r="33" spans="1:14">
      <c r="A33" s="23">
        <v>30</v>
      </c>
      <c r="B33" s="24">
        <v>46325</v>
      </c>
      <c r="C33" s="14"/>
      <c r="D33" s="245"/>
      <c r="E33" s="413"/>
      <c r="F33" s="294"/>
      <c r="G33" s="14">
        <f t="shared" si="0"/>
        <v>0</v>
      </c>
      <c r="H33" s="413"/>
      <c r="I33" s="294"/>
      <c r="J33" s="14">
        <f t="shared" si="1"/>
        <v>0</v>
      </c>
      <c r="K33" s="14">
        <f t="shared" si="2"/>
        <v>0</v>
      </c>
      <c r="L33" s="14"/>
      <c r="M33" s="34">
        <f t="shared" si="3"/>
        <v>4205520</v>
      </c>
      <c r="N33" s="14"/>
    </row>
    <row r="34" spans="1:14">
      <c r="A34" s="23">
        <v>31</v>
      </c>
      <c r="B34" s="24">
        <v>46326</v>
      </c>
      <c r="C34" s="14"/>
      <c r="D34" s="245"/>
      <c r="E34" s="251"/>
      <c r="F34" s="294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4">
        <f t="shared" si="3"/>
        <v>4205520</v>
      </c>
      <c r="N34" s="14"/>
    </row>
    <row r="35" spans="1:14">
      <c r="A35" s="36"/>
      <c r="B35" s="36"/>
      <c r="C35" s="36"/>
      <c r="D35" s="36"/>
      <c r="E35" s="37">
        <f>SUM(E4:E34)</f>
        <v>40500</v>
      </c>
      <c r="F35" s="37"/>
      <c r="G35" s="37">
        <f>SUM(G4:G34)</f>
        <v>4205520</v>
      </c>
      <c r="H35" s="37">
        <f>SUM(H4:H34)</f>
        <v>0</v>
      </c>
      <c r="I35" s="37"/>
      <c r="J35" s="37">
        <f>SUM(J4:J34)</f>
        <v>0</v>
      </c>
      <c r="K35" s="37">
        <f>SUM(K4:K34)</f>
        <v>4205520</v>
      </c>
      <c r="L35" s="37">
        <f>SUM(L4:L34)</f>
        <v>0</v>
      </c>
      <c r="M35" s="37"/>
      <c r="N35" s="37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R46"/>
  <sheetViews>
    <sheetView workbookViewId="0">
      <pane ySplit="3" topLeftCell="A4" activePane="bottomLeft" state="frozen"/>
      <selection pane="bottomLeft" activeCell="F16" sqref="F16"/>
    </sheetView>
  </sheetViews>
  <sheetFormatPr defaultRowHeight="15"/>
  <cols>
    <col min="2" max="2" width="16.140625" customWidth="1"/>
    <col min="3" max="3" width="37" bestFit="1" customWidth="1"/>
    <col min="4" max="4" width="20.7109375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5" ht="15.75">
      <c r="A1" s="615" t="s">
        <v>188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1:15" ht="30.75">
      <c r="A2" s="117" t="s">
        <v>0</v>
      </c>
      <c r="B2" s="118" t="s">
        <v>167</v>
      </c>
      <c r="C2" s="118"/>
      <c r="D2" s="118" t="s">
        <v>169</v>
      </c>
      <c r="E2" s="118" t="s">
        <v>170</v>
      </c>
      <c r="F2" s="118" t="s">
        <v>171</v>
      </c>
      <c r="G2" s="118" t="s">
        <v>172</v>
      </c>
      <c r="H2" s="118" t="s">
        <v>173</v>
      </c>
      <c r="I2" s="118" t="s">
        <v>171</v>
      </c>
      <c r="J2" s="119" t="s">
        <v>172</v>
      </c>
      <c r="K2" s="117" t="s">
        <v>174</v>
      </c>
      <c r="L2" s="120" t="s">
        <v>175</v>
      </c>
      <c r="M2" s="120" t="s">
        <v>184</v>
      </c>
      <c r="N2" s="118" t="s">
        <v>177</v>
      </c>
    </row>
    <row r="3" spans="1:15">
      <c r="A3" s="616" t="s">
        <v>178</v>
      </c>
      <c r="B3" s="616"/>
      <c r="C3" s="616"/>
      <c r="D3" s="616"/>
      <c r="E3" s="616"/>
      <c r="F3" s="616"/>
      <c r="G3" s="616"/>
      <c r="H3" s="616"/>
      <c r="I3" s="616"/>
      <c r="J3" s="616"/>
      <c r="K3" s="200">
        <v>0</v>
      </c>
      <c r="L3" s="215"/>
      <c r="M3" s="200">
        <v>0</v>
      </c>
      <c r="N3" s="88"/>
    </row>
    <row r="4" spans="1:15">
      <c r="A4" s="23">
        <v>1</v>
      </c>
      <c r="B4" s="24"/>
      <c r="C4" s="14"/>
      <c r="D4" s="14"/>
      <c r="E4" s="314"/>
      <c r="F4" s="14"/>
      <c r="G4" s="314">
        <f>E4*F4</f>
        <v>0</v>
      </c>
      <c r="H4" s="295"/>
      <c r="I4" s="14"/>
      <c r="J4" s="14"/>
      <c r="K4" s="314">
        <f>G4+J4</f>
        <v>0</v>
      </c>
      <c r="L4" s="314">
        <f>H4+K4</f>
        <v>0</v>
      </c>
      <c r="M4" s="34">
        <f>M3+K4-L4</f>
        <v>0</v>
      </c>
      <c r="N4" s="14"/>
    </row>
    <row r="5" spans="1:15">
      <c r="A5" s="23">
        <v>2</v>
      </c>
      <c r="B5" s="24"/>
      <c r="C5" s="14"/>
      <c r="D5" s="14"/>
      <c r="E5" s="414"/>
      <c r="F5" s="294"/>
      <c r="G5" s="314">
        <f>E5*F5</f>
        <v>0</v>
      </c>
      <c r="H5" s="295"/>
      <c r="I5" s="14"/>
      <c r="J5" s="14">
        <f>H5*I5</f>
        <v>0</v>
      </c>
      <c r="K5" s="314">
        <f>G5+J5</f>
        <v>0</v>
      </c>
      <c r="L5" s="314">
        <f>H5+K5</f>
        <v>0</v>
      </c>
      <c r="M5" s="34">
        <f>M4+K5-L5</f>
        <v>0</v>
      </c>
      <c r="N5" s="14"/>
    </row>
    <row r="6" spans="1:15">
      <c r="A6" s="23">
        <v>3</v>
      </c>
      <c r="B6" s="24"/>
      <c r="C6" s="14"/>
      <c r="D6" s="14"/>
      <c r="E6" s="14"/>
      <c r="F6" s="14"/>
      <c r="G6" s="14">
        <f>E6*F6</f>
        <v>0</v>
      </c>
      <c r="H6" s="295"/>
      <c r="I6" s="14"/>
      <c r="J6" s="14">
        <f>H6*I6</f>
        <v>0</v>
      </c>
      <c r="K6" s="314">
        <f>G6+J6</f>
        <v>0</v>
      </c>
      <c r="L6" s="314">
        <f t="shared" ref="L6:L22" si="0">H6+K6</f>
        <v>0</v>
      </c>
      <c r="M6" s="34">
        <f>M5+K6-L6</f>
        <v>0</v>
      </c>
      <c r="N6" s="14"/>
    </row>
    <row r="7" spans="1:15">
      <c r="A7" s="23">
        <v>4</v>
      </c>
      <c r="B7" s="24"/>
      <c r="C7" s="14"/>
      <c r="D7" s="14"/>
      <c r="E7" s="14"/>
      <c r="F7" s="14"/>
      <c r="G7" s="14">
        <f>E7*F7</f>
        <v>0</v>
      </c>
      <c r="H7" s="295"/>
      <c r="I7" s="14"/>
      <c r="J7" s="14">
        <f>H7*I7</f>
        <v>0</v>
      </c>
      <c r="K7" s="14">
        <f>G7+J7</f>
        <v>0</v>
      </c>
      <c r="L7" s="14">
        <f t="shared" si="0"/>
        <v>0</v>
      </c>
      <c r="M7" s="34">
        <f>M6+K7-L7</f>
        <v>0</v>
      </c>
      <c r="N7" s="14"/>
    </row>
    <row r="8" spans="1:15">
      <c r="A8" s="23">
        <v>5</v>
      </c>
      <c r="B8" s="24"/>
      <c r="C8" s="14"/>
      <c r="D8" s="14"/>
      <c r="E8" s="14"/>
      <c r="F8" s="14"/>
      <c r="G8" s="34">
        <f>E8*F8</f>
        <v>0</v>
      </c>
      <c r="H8" s="295"/>
      <c r="I8" s="14"/>
      <c r="J8" s="14">
        <f>H8*I8</f>
        <v>0</v>
      </c>
      <c r="K8" s="34">
        <f>G8+J8</f>
        <v>0</v>
      </c>
      <c r="L8" s="14">
        <f t="shared" si="0"/>
        <v>0</v>
      </c>
      <c r="M8" s="34">
        <f>M7+K8-L8</f>
        <v>0</v>
      </c>
      <c r="N8" s="14"/>
    </row>
    <row r="9" spans="1:15">
      <c r="A9" s="23">
        <v>6</v>
      </c>
      <c r="B9" s="24"/>
      <c r="C9" s="14"/>
      <c r="D9" s="14"/>
      <c r="E9" s="14"/>
      <c r="F9" s="14"/>
      <c r="G9" s="34">
        <f>E9*F9</f>
        <v>0</v>
      </c>
      <c r="H9" s="295"/>
      <c r="I9" s="14"/>
      <c r="J9" s="14">
        <f>H9*I9</f>
        <v>0</v>
      </c>
      <c r="K9" s="34">
        <f>G9+J9</f>
        <v>0</v>
      </c>
      <c r="L9" s="14">
        <f t="shared" si="0"/>
        <v>0</v>
      </c>
      <c r="M9" s="34">
        <f>M8+K9-L9</f>
        <v>0</v>
      </c>
      <c r="N9" s="14"/>
    </row>
    <row r="10" spans="1:15">
      <c r="A10" s="23">
        <v>7</v>
      </c>
      <c r="B10" s="24"/>
      <c r="C10" s="14"/>
      <c r="D10" s="14"/>
      <c r="E10" s="14"/>
      <c r="F10" s="14"/>
      <c r="G10" s="34">
        <f>E10*F10</f>
        <v>0</v>
      </c>
      <c r="H10" s="295"/>
      <c r="I10" s="14"/>
      <c r="J10" s="14">
        <f>H10*I10</f>
        <v>0</v>
      </c>
      <c r="K10" s="34">
        <f>G10+J10</f>
        <v>0</v>
      </c>
      <c r="L10" s="14">
        <f t="shared" si="0"/>
        <v>0</v>
      </c>
      <c r="M10" s="34">
        <f>M9+K10-L10</f>
        <v>0</v>
      </c>
      <c r="N10" s="14"/>
    </row>
    <row r="11" spans="1:15">
      <c r="A11" s="23">
        <v>8</v>
      </c>
      <c r="B11" s="24"/>
      <c r="C11" s="14"/>
      <c r="D11" s="14"/>
      <c r="E11" s="14"/>
      <c r="F11" s="14"/>
      <c r="G11" s="34">
        <f>E11*F11</f>
        <v>0</v>
      </c>
      <c r="H11" s="295"/>
      <c r="I11" s="14"/>
      <c r="J11" s="14">
        <f>H11*I11</f>
        <v>0</v>
      </c>
      <c r="K11" s="34">
        <f>G11+J11</f>
        <v>0</v>
      </c>
      <c r="L11" s="14">
        <f t="shared" si="0"/>
        <v>0</v>
      </c>
      <c r="M11" s="34">
        <f>M10+K11-L11</f>
        <v>0</v>
      </c>
      <c r="N11" s="14"/>
    </row>
    <row r="12" spans="1:15">
      <c r="A12" s="23">
        <v>9</v>
      </c>
      <c r="B12" s="24"/>
      <c r="C12" s="14"/>
      <c r="D12" s="14"/>
      <c r="E12" s="14"/>
      <c r="F12" s="14"/>
      <c r="G12" s="34">
        <f>E12*F12</f>
        <v>0</v>
      </c>
      <c r="H12" s="295"/>
      <c r="I12" s="14"/>
      <c r="J12" s="14">
        <f>H12*I12</f>
        <v>0</v>
      </c>
      <c r="K12" s="34">
        <f>G12+J12</f>
        <v>0</v>
      </c>
      <c r="L12" s="14">
        <f t="shared" si="0"/>
        <v>0</v>
      </c>
      <c r="M12" s="34">
        <f>M11+K12-L12</f>
        <v>0</v>
      </c>
      <c r="N12" s="14"/>
    </row>
    <row r="13" spans="1:15">
      <c r="A13" s="23">
        <v>10</v>
      </c>
      <c r="B13" s="24"/>
      <c r="C13" s="14"/>
      <c r="D13" s="14"/>
      <c r="E13" s="14"/>
      <c r="F13" s="14"/>
      <c r="G13" s="34">
        <f>E13*F13</f>
        <v>0</v>
      </c>
      <c r="H13" s="295"/>
      <c r="I13" s="14"/>
      <c r="J13" s="14">
        <f>H13*I13</f>
        <v>0</v>
      </c>
      <c r="K13" s="34">
        <f>G13+J13</f>
        <v>0</v>
      </c>
      <c r="L13" s="14">
        <f t="shared" si="0"/>
        <v>0</v>
      </c>
      <c r="M13" s="34">
        <f>M12+K13-L13</f>
        <v>0</v>
      </c>
      <c r="N13" s="14"/>
    </row>
    <row r="14" spans="1:15">
      <c r="A14" s="23">
        <v>11</v>
      </c>
      <c r="B14" s="24"/>
      <c r="C14" s="14"/>
      <c r="D14" s="14"/>
      <c r="E14" s="14"/>
      <c r="F14" s="14"/>
      <c r="G14" s="34">
        <f>E14*F14</f>
        <v>0</v>
      </c>
      <c r="H14" s="295"/>
      <c r="I14" s="14"/>
      <c r="J14" s="14">
        <f>H14*I14</f>
        <v>0</v>
      </c>
      <c r="K14" s="34">
        <f>G14+J14</f>
        <v>0</v>
      </c>
      <c r="L14" s="14">
        <f t="shared" si="0"/>
        <v>0</v>
      </c>
      <c r="M14" s="34">
        <f>M13+K14-L14</f>
        <v>0</v>
      </c>
      <c r="N14" s="14"/>
    </row>
    <row r="15" spans="1:15">
      <c r="A15" s="23">
        <v>12</v>
      </c>
      <c r="B15" s="24"/>
      <c r="C15" s="14"/>
      <c r="D15" s="14"/>
      <c r="E15" s="14"/>
      <c r="F15" s="14"/>
      <c r="G15" s="34">
        <f>E15*F15</f>
        <v>0</v>
      </c>
      <c r="H15" s="295"/>
      <c r="I15" s="14"/>
      <c r="J15" s="14">
        <f>H15*I15</f>
        <v>0</v>
      </c>
      <c r="K15" s="34">
        <f>G15+J15</f>
        <v>0</v>
      </c>
      <c r="L15" s="14">
        <f t="shared" si="0"/>
        <v>0</v>
      </c>
      <c r="M15" s="34">
        <f>M14+K15-L15</f>
        <v>0</v>
      </c>
      <c r="N15" s="14"/>
      <c r="O15" s="19"/>
    </row>
    <row r="16" spans="1:15">
      <c r="A16" s="23">
        <v>13</v>
      </c>
      <c r="B16" s="24"/>
      <c r="C16" s="14"/>
      <c r="D16" s="14"/>
      <c r="E16" s="14"/>
      <c r="F16" s="14"/>
      <c r="G16" s="34">
        <f>E16*F16</f>
        <v>0</v>
      </c>
      <c r="H16" s="295"/>
      <c r="I16" s="14"/>
      <c r="J16" s="14">
        <f>H16*I16</f>
        <v>0</v>
      </c>
      <c r="K16" s="34">
        <f>G16+J16</f>
        <v>0</v>
      </c>
      <c r="L16" s="14">
        <f t="shared" si="0"/>
        <v>0</v>
      </c>
      <c r="M16" s="34">
        <f>M15+K16-L16</f>
        <v>0</v>
      </c>
      <c r="N16" s="14"/>
    </row>
    <row r="17" spans="1:18">
      <c r="A17" s="23">
        <v>14</v>
      </c>
      <c r="B17" s="24"/>
      <c r="C17" s="14"/>
      <c r="D17" s="14"/>
      <c r="E17" s="14"/>
      <c r="F17" s="14"/>
      <c r="G17" s="34">
        <f>E17*F17</f>
        <v>0</v>
      </c>
      <c r="H17" s="295"/>
      <c r="I17" s="14"/>
      <c r="J17" s="14">
        <f>H17*I17</f>
        <v>0</v>
      </c>
      <c r="K17" s="14">
        <f>G17+J17</f>
        <v>0</v>
      </c>
      <c r="L17" s="14">
        <f t="shared" si="0"/>
        <v>0</v>
      </c>
      <c r="M17" s="34">
        <f>M16+K17-L17</f>
        <v>0</v>
      </c>
      <c r="N17" s="14"/>
      <c r="R17" s="346"/>
    </row>
    <row r="18" spans="1:18">
      <c r="A18" s="23">
        <v>15</v>
      </c>
      <c r="B18" s="24"/>
      <c r="C18" s="14"/>
      <c r="D18" s="14"/>
      <c r="E18" s="14"/>
      <c r="F18" s="14"/>
      <c r="G18" s="34">
        <f>E18*F18</f>
        <v>0</v>
      </c>
      <c r="H18" s="295"/>
      <c r="I18" s="14"/>
      <c r="J18" s="14">
        <f>H18*I18</f>
        <v>0</v>
      </c>
      <c r="K18" s="14">
        <f>G18+J18</f>
        <v>0</v>
      </c>
      <c r="L18" s="14">
        <f t="shared" si="0"/>
        <v>0</v>
      </c>
      <c r="M18" s="34">
        <f>M17+K18-L18</f>
        <v>0</v>
      </c>
      <c r="N18" s="14"/>
      <c r="R18" s="346"/>
    </row>
    <row r="19" spans="1:18">
      <c r="A19" s="23">
        <v>16</v>
      </c>
      <c r="B19" s="24"/>
      <c r="C19" s="14"/>
      <c r="D19" s="14"/>
      <c r="E19" s="14"/>
      <c r="F19" s="14"/>
      <c r="G19" s="34">
        <f>E19*F19</f>
        <v>0</v>
      </c>
      <c r="H19" s="295"/>
      <c r="I19" s="14"/>
      <c r="J19" s="14">
        <f>H19*I19</f>
        <v>0</v>
      </c>
      <c r="K19" s="14">
        <f>G19+J19</f>
        <v>0</v>
      </c>
      <c r="L19" s="14">
        <f t="shared" si="0"/>
        <v>0</v>
      </c>
      <c r="M19" s="34">
        <f>M18+K19-L19</f>
        <v>0</v>
      </c>
      <c r="N19" s="14"/>
      <c r="R19" s="346"/>
    </row>
    <row r="20" spans="1:18">
      <c r="A20" s="23">
        <v>17</v>
      </c>
      <c r="B20" s="24"/>
      <c r="C20" s="14"/>
      <c r="D20" s="14"/>
      <c r="E20" s="14"/>
      <c r="F20" s="14"/>
      <c r="G20" s="34">
        <f>E20*F20</f>
        <v>0</v>
      </c>
      <c r="H20" s="295"/>
      <c r="I20" s="14"/>
      <c r="J20" s="14">
        <f>H20*I20</f>
        <v>0</v>
      </c>
      <c r="K20" s="14">
        <f>G20+J20</f>
        <v>0</v>
      </c>
      <c r="L20" s="14">
        <f t="shared" si="0"/>
        <v>0</v>
      </c>
      <c r="M20" s="34">
        <f>M19+K20-L20</f>
        <v>0</v>
      </c>
      <c r="N20" s="14"/>
      <c r="R20" s="346"/>
    </row>
    <row r="21" spans="1:18">
      <c r="A21" s="23">
        <v>18</v>
      </c>
      <c r="B21" s="24"/>
      <c r="C21" s="14"/>
      <c r="D21" s="14"/>
      <c r="E21" s="14"/>
      <c r="F21" s="14"/>
      <c r="G21" s="34">
        <f>E21*F21</f>
        <v>0</v>
      </c>
      <c r="H21" s="295"/>
      <c r="I21" s="14"/>
      <c r="J21" s="14">
        <f>H21*I21</f>
        <v>0</v>
      </c>
      <c r="K21" s="14">
        <f>G21+J21</f>
        <v>0</v>
      </c>
      <c r="L21" s="14">
        <f t="shared" si="0"/>
        <v>0</v>
      </c>
      <c r="M21" s="34">
        <f>M20+K21-L21</f>
        <v>0</v>
      </c>
      <c r="N21" s="14"/>
    </row>
    <row r="22" spans="1:18">
      <c r="A22" s="23">
        <v>19</v>
      </c>
      <c r="B22" s="24"/>
      <c r="C22" s="14"/>
      <c r="D22" s="14"/>
      <c r="E22" s="14"/>
      <c r="F22" s="14"/>
      <c r="G22" s="314">
        <f>E22*F22</f>
        <v>0</v>
      </c>
      <c r="H22" s="295"/>
      <c r="I22" s="14"/>
      <c r="J22" s="14">
        <f>H22*I22</f>
        <v>0</v>
      </c>
      <c r="K22" s="14">
        <f>G22+J22</f>
        <v>0</v>
      </c>
      <c r="L22" s="14">
        <f t="shared" si="0"/>
        <v>0</v>
      </c>
      <c r="M22" s="34">
        <f>M21+K22-L22</f>
        <v>0</v>
      </c>
      <c r="N22" s="14"/>
    </row>
    <row r="23" spans="1:18">
      <c r="A23" s="23">
        <v>20</v>
      </c>
      <c r="B23" s="24"/>
      <c r="C23" s="14"/>
      <c r="D23" s="14"/>
      <c r="E23" s="14"/>
      <c r="F23" s="14"/>
      <c r="G23" s="314">
        <f>E23*F23</f>
        <v>0</v>
      </c>
      <c r="H23" s="295"/>
      <c r="I23" s="14"/>
      <c r="J23" s="14">
        <f>H23*I23</f>
        <v>0</v>
      </c>
      <c r="K23" s="14">
        <f>G23+J23</f>
        <v>0</v>
      </c>
      <c r="L23" s="14">
        <v>0</v>
      </c>
      <c r="M23" s="34">
        <f>M22+K23-L23</f>
        <v>0</v>
      </c>
      <c r="N23" s="14"/>
    </row>
    <row r="24" spans="1:18">
      <c r="A24" s="23">
        <v>21</v>
      </c>
      <c r="B24" s="24"/>
      <c r="C24" s="14"/>
      <c r="D24" s="14"/>
      <c r="E24" s="14"/>
      <c r="F24" s="14"/>
      <c r="G24" s="314">
        <f>E24*F24</f>
        <v>0</v>
      </c>
      <c r="H24" s="295"/>
      <c r="I24" s="14"/>
      <c r="J24" s="14">
        <f>H24*I24</f>
        <v>0</v>
      </c>
      <c r="K24" s="14">
        <f>G24+J24</f>
        <v>0</v>
      </c>
      <c r="L24" s="314">
        <f>H24+K24</f>
        <v>0</v>
      </c>
      <c r="M24" s="34">
        <f>M23+K24-L24</f>
        <v>0</v>
      </c>
      <c r="N24" s="14"/>
    </row>
    <row r="25" spans="1:18">
      <c r="A25" s="23">
        <v>22</v>
      </c>
      <c r="B25" s="24"/>
      <c r="C25" s="14"/>
      <c r="D25" s="14"/>
      <c r="E25" s="173"/>
      <c r="F25" s="173"/>
      <c r="G25" s="314">
        <f>E25*F25</f>
        <v>0</v>
      </c>
      <c r="H25" s="295"/>
      <c r="I25" s="14"/>
      <c r="J25" s="14">
        <f>H25*I25</f>
        <v>0</v>
      </c>
      <c r="K25" s="14">
        <f>G25+J25</f>
        <v>0</v>
      </c>
      <c r="L25" s="14">
        <f>H25+K25</f>
        <v>0</v>
      </c>
      <c r="M25" s="34">
        <f>M24+K25-L25</f>
        <v>0</v>
      </c>
      <c r="N25" s="14"/>
    </row>
    <row r="26" spans="1:18">
      <c r="A26" s="23">
        <v>23</v>
      </c>
      <c r="B26" s="24"/>
      <c r="C26" s="355"/>
      <c r="D26" s="14"/>
      <c r="E26" s="356"/>
      <c r="F26" s="357"/>
      <c r="G26" s="314">
        <f>E26*F26</f>
        <v>0</v>
      </c>
      <c r="H26" s="295"/>
      <c r="I26" s="14"/>
      <c r="J26" s="14">
        <f>H26*I26</f>
        <v>0</v>
      </c>
      <c r="K26" s="14">
        <f>G26+J26</f>
        <v>0</v>
      </c>
      <c r="L26" s="14">
        <f>H26+K26</f>
        <v>0</v>
      </c>
      <c r="M26" s="34">
        <f>M25+K26-L26</f>
        <v>0</v>
      </c>
      <c r="N26" s="14"/>
    </row>
    <row r="27" spans="1:18">
      <c r="A27" s="23">
        <v>24</v>
      </c>
      <c r="B27" s="24"/>
      <c r="C27" s="355"/>
      <c r="D27" s="14"/>
      <c r="E27" s="356"/>
      <c r="F27" s="357"/>
      <c r="G27" s="314">
        <f>E27*F27</f>
        <v>0</v>
      </c>
      <c r="H27" s="295"/>
      <c r="I27" s="14"/>
      <c r="J27" s="14"/>
      <c r="K27" s="14">
        <f>G27+J27</f>
        <v>0</v>
      </c>
      <c r="L27" s="14">
        <f>H27+K27</f>
        <v>0</v>
      </c>
      <c r="M27" s="34">
        <f>M26+K27-L27</f>
        <v>0</v>
      </c>
      <c r="N27" s="14"/>
    </row>
    <row r="28" spans="1:18">
      <c r="A28" s="23">
        <v>25</v>
      </c>
      <c r="B28" s="24"/>
      <c r="C28" s="355"/>
      <c r="D28" s="14"/>
      <c r="E28" s="356"/>
      <c r="F28" s="357"/>
      <c r="G28" s="314">
        <f>E28*F28</f>
        <v>0</v>
      </c>
      <c r="H28" s="295"/>
      <c r="I28" s="14"/>
      <c r="J28" s="14">
        <f>H28*I28</f>
        <v>0</v>
      </c>
      <c r="K28" s="14">
        <f>G28+J28</f>
        <v>0</v>
      </c>
      <c r="L28" s="14">
        <f>H28+K28</f>
        <v>0</v>
      </c>
      <c r="M28" s="34">
        <f>M26+K28-L28</f>
        <v>0</v>
      </c>
      <c r="N28" s="14"/>
    </row>
    <row r="29" spans="1:18">
      <c r="A29" s="23">
        <v>26</v>
      </c>
      <c r="B29" s="24"/>
      <c r="C29" s="355"/>
      <c r="D29" s="14"/>
      <c r="E29" s="356"/>
      <c r="F29" s="357"/>
      <c r="G29" s="314">
        <f>E29*F29</f>
        <v>0</v>
      </c>
      <c r="H29" s="295"/>
      <c r="I29" s="14"/>
      <c r="J29" s="14">
        <f>H29*I29</f>
        <v>0</v>
      </c>
      <c r="K29" s="14">
        <f>G29+J29</f>
        <v>0</v>
      </c>
      <c r="L29" s="14">
        <f>H29+K29</f>
        <v>0</v>
      </c>
      <c r="M29" s="34">
        <f>M28+K29-L29</f>
        <v>0</v>
      </c>
      <c r="N29" s="14"/>
    </row>
    <row r="30" spans="1:18">
      <c r="A30" s="23">
        <v>27</v>
      </c>
      <c r="B30" s="24"/>
      <c r="C30" s="355"/>
      <c r="D30" s="14"/>
      <c r="E30" s="356"/>
      <c r="F30" s="357"/>
      <c r="G30" s="314">
        <f>E30*F30</f>
        <v>0</v>
      </c>
      <c r="H30" s="295"/>
      <c r="I30" s="14"/>
      <c r="J30" s="14">
        <f>H30*I30</f>
        <v>0</v>
      </c>
      <c r="K30" s="14">
        <f>G30+J30</f>
        <v>0</v>
      </c>
      <c r="L30" s="14">
        <f t="shared" ref="L30:L37" si="1">H30+K30</f>
        <v>0</v>
      </c>
      <c r="M30" s="34">
        <f>M29+K30-L30</f>
        <v>0</v>
      </c>
      <c r="N30" s="14"/>
    </row>
    <row r="31" spans="1:18">
      <c r="A31" s="23">
        <v>28</v>
      </c>
      <c r="B31" s="24"/>
      <c r="C31" s="355"/>
      <c r="D31" s="14"/>
      <c r="E31" s="173"/>
      <c r="F31" s="173"/>
      <c r="G31" s="314">
        <f>E31*F31</f>
        <v>0</v>
      </c>
      <c r="H31" s="295"/>
      <c r="I31" s="14"/>
      <c r="J31" s="14">
        <f>H31*I31</f>
        <v>0</v>
      </c>
      <c r="K31" s="14">
        <f>G31+J31</f>
        <v>0</v>
      </c>
      <c r="L31" s="14">
        <f t="shared" si="1"/>
        <v>0</v>
      </c>
      <c r="M31" s="34">
        <f>M30+K31-L31</f>
        <v>0</v>
      </c>
      <c r="N31" s="14"/>
    </row>
    <row r="32" spans="1:18">
      <c r="A32" s="23">
        <v>29</v>
      </c>
      <c r="B32" s="24"/>
      <c r="C32" s="355"/>
      <c r="D32" s="14"/>
      <c r="E32" s="173"/>
      <c r="F32" s="173"/>
      <c r="G32" s="314">
        <f>E32*F32</f>
        <v>0</v>
      </c>
      <c r="H32" s="295"/>
      <c r="I32" s="14"/>
      <c r="J32" s="14">
        <f>H32*I32</f>
        <v>0</v>
      </c>
      <c r="K32" s="14">
        <f>G32+J32</f>
        <v>0</v>
      </c>
      <c r="L32" s="14">
        <f t="shared" si="1"/>
        <v>0</v>
      </c>
      <c r="M32" s="34">
        <f>M31+K32-L32</f>
        <v>0</v>
      </c>
      <c r="N32" s="14"/>
    </row>
    <row r="33" spans="1:14">
      <c r="A33" s="23">
        <v>30</v>
      </c>
      <c r="B33" s="24"/>
      <c r="C33" s="14"/>
      <c r="D33" s="14"/>
      <c r="E33" s="173"/>
      <c r="F33" s="173"/>
      <c r="G33" s="314">
        <f>E33*F33</f>
        <v>0</v>
      </c>
      <c r="H33" s="295"/>
      <c r="I33" s="14"/>
      <c r="J33" s="14">
        <f>H33*I33</f>
        <v>0</v>
      </c>
      <c r="K33" s="14">
        <f>G33+J33</f>
        <v>0</v>
      </c>
      <c r="L33" s="14">
        <f t="shared" si="1"/>
        <v>0</v>
      </c>
      <c r="M33" s="34">
        <f>M32+K33-L33</f>
        <v>0</v>
      </c>
      <c r="N33" s="14"/>
    </row>
    <row r="34" spans="1:14">
      <c r="A34" s="23">
        <v>31</v>
      </c>
      <c r="B34" s="24"/>
      <c r="C34" s="14"/>
      <c r="D34" s="14"/>
      <c r="E34" s="173"/>
      <c r="F34" s="173"/>
      <c r="G34" s="314">
        <f>E34*F34</f>
        <v>0</v>
      </c>
      <c r="H34" s="295"/>
      <c r="I34" s="14"/>
      <c r="J34" s="14">
        <f>H34*I34</f>
        <v>0</v>
      </c>
      <c r="K34" s="14">
        <f>G34+J34</f>
        <v>0</v>
      </c>
      <c r="L34" s="14">
        <f t="shared" si="1"/>
        <v>0</v>
      </c>
      <c r="M34" s="34">
        <f>M33+K34-L34</f>
        <v>0</v>
      </c>
      <c r="N34" s="14"/>
    </row>
    <row r="35" spans="1:14">
      <c r="A35" s="23">
        <v>32</v>
      </c>
      <c r="B35" s="24"/>
      <c r="C35" s="14"/>
      <c r="D35" s="14"/>
      <c r="E35" s="173"/>
      <c r="F35" s="173"/>
      <c r="G35" s="314">
        <f>E35*F35</f>
        <v>0</v>
      </c>
      <c r="H35" s="295"/>
      <c r="I35" s="14"/>
      <c r="J35" s="14"/>
      <c r="K35" s="14">
        <f>G35+J35</f>
        <v>0</v>
      </c>
      <c r="L35" s="14">
        <f t="shared" si="1"/>
        <v>0</v>
      </c>
      <c r="M35" s="34">
        <f>M34+K35-L35</f>
        <v>0</v>
      </c>
      <c r="N35" s="14"/>
    </row>
    <row r="36" spans="1:14">
      <c r="A36" s="23">
        <v>33</v>
      </c>
      <c r="B36" s="24"/>
      <c r="C36" s="14"/>
      <c r="D36" s="14"/>
      <c r="E36" s="173"/>
      <c r="F36" s="173"/>
      <c r="G36" s="314">
        <f>E36*F36</f>
        <v>0</v>
      </c>
      <c r="H36" s="295"/>
      <c r="I36" s="14"/>
      <c r="J36" s="14">
        <f>H36*I36</f>
        <v>0</v>
      </c>
      <c r="K36" s="14">
        <f>G36+J36</f>
        <v>0</v>
      </c>
      <c r="L36" s="14">
        <f t="shared" si="1"/>
        <v>0</v>
      </c>
      <c r="M36" s="34">
        <f>M35+K36-L36</f>
        <v>0</v>
      </c>
      <c r="N36" s="14"/>
    </row>
    <row r="37" spans="1:14">
      <c r="A37" s="23">
        <v>34</v>
      </c>
      <c r="B37" s="24"/>
      <c r="C37" s="14"/>
      <c r="D37" s="14"/>
      <c r="E37" s="14"/>
      <c r="F37" s="14"/>
      <c r="G37" s="314">
        <f>E37*F37</f>
        <v>0</v>
      </c>
      <c r="H37" s="295"/>
      <c r="I37" s="14"/>
      <c r="J37" s="14">
        <f>H37*I37</f>
        <v>0</v>
      </c>
      <c r="K37" s="14">
        <f>G37+J37</f>
        <v>0</v>
      </c>
      <c r="L37" s="14">
        <f t="shared" si="1"/>
        <v>0</v>
      </c>
      <c r="M37" s="34">
        <f t="shared" ref="M37:M41" si="2">M36+K37-L37</f>
        <v>0</v>
      </c>
      <c r="N37" s="14"/>
    </row>
    <row r="38" spans="1:14">
      <c r="A38" s="23"/>
      <c r="B38" s="24"/>
      <c r="C38" s="14"/>
      <c r="D38" s="14"/>
      <c r="E38" s="14"/>
      <c r="F38" s="14"/>
      <c r="G38" s="314">
        <f t="shared" ref="G38:G40" si="3">E38*F38</f>
        <v>0</v>
      </c>
      <c r="H38" s="295"/>
      <c r="I38" s="14"/>
      <c r="J38" s="14"/>
      <c r="K38" s="14">
        <f t="shared" ref="K38:K40" si="4">G38+J38</f>
        <v>0</v>
      </c>
      <c r="L38" s="14">
        <f t="shared" ref="L37:L40" si="5">H38+K38</f>
        <v>0</v>
      </c>
      <c r="M38" s="34">
        <f t="shared" si="2"/>
        <v>0</v>
      </c>
      <c r="N38" s="14"/>
    </row>
    <row r="39" spans="1:14">
      <c r="A39" s="23"/>
      <c r="B39" s="24"/>
      <c r="C39" s="14"/>
      <c r="D39" s="14"/>
      <c r="E39" s="14"/>
      <c r="F39" s="14"/>
      <c r="G39" s="314">
        <f t="shared" si="3"/>
        <v>0</v>
      </c>
      <c r="H39" s="295"/>
      <c r="I39" s="14"/>
      <c r="J39" s="14"/>
      <c r="K39" s="14">
        <f t="shared" si="4"/>
        <v>0</v>
      </c>
      <c r="L39" s="14">
        <f t="shared" si="5"/>
        <v>0</v>
      </c>
      <c r="M39" s="34">
        <f t="shared" si="2"/>
        <v>0</v>
      </c>
      <c r="N39" s="14"/>
    </row>
    <row r="40" spans="1:14">
      <c r="A40" s="23"/>
      <c r="B40" s="24"/>
      <c r="C40" s="14"/>
      <c r="D40" s="14"/>
      <c r="E40" s="14"/>
      <c r="F40" s="14"/>
      <c r="G40" s="314">
        <f t="shared" si="3"/>
        <v>0</v>
      </c>
      <c r="H40" s="295"/>
      <c r="I40" s="14"/>
      <c r="J40" s="14"/>
      <c r="K40" s="14">
        <f t="shared" si="4"/>
        <v>0</v>
      </c>
      <c r="L40" s="14">
        <f t="shared" si="5"/>
        <v>0</v>
      </c>
      <c r="M40" s="34">
        <f t="shared" si="2"/>
        <v>0</v>
      </c>
      <c r="N40" s="14"/>
    </row>
    <row r="41" spans="1:14">
      <c r="A41" s="23"/>
      <c r="B41" s="24"/>
      <c r="C41" s="14"/>
      <c r="D41" s="14"/>
      <c r="E41" s="14"/>
      <c r="F41" s="14"/>
      <c r="G41" s="314"/>
      <c r="H41" s="295"/>
      <c r="I41" s="14"/>
      <c r="J41" s="14"/>
      <c r="K41" s="14"/>
      <c r="L41" s="14"/>
      <c r="M41" s="34">
        <f t="shared" si="2"/>
        <v>0</v>
      </c>
      <c r="N41" s="14"/>
    </row>
    <row r="42" spans="1:14">
      <c r="A42" s="23"/>
      <c r="B42" s="24"/>
      <c r="C42" s="14"/>
      <c r="D42" s="14"/>
      <c r="E42" s="14"/>
      <c r="F42" s="14"/>
      <c r="G42" s="314"/>
      <c r="H42" s="295"/>
      <c r="I42" s="14"/>
      <c r="J42" s="14"/>
      <c r="K42" s="14"/>
      <c r="L42" s="14"/>
      <c r="M42" s="14"/>
      <c r="N42" s="14"/>
    </row>
    <row r="43" spans="1:14">
      <c r="A43" s="23"/>
      <c r="B43" s="24"/>
      <c r="C43" s="14"/>
      <c r="D43" s="14"/>
      <c r="E43" s="14"/>
      <c r="F43" s="14"/>
      <c r="G43" s="314"/>
      <c r="H43" s="295"/>
      <c r="I43" s="14"/>
      <c r="J43" s="14"/>
      <c r="K43" s="14"/>
      <c r="L43" s="14"/>
      <c r="M43" s="14"/>
      <c r="N43" s="14"/>
    </row>
    <row r="44" spans="1:14">
      <c r="A44" s="23"/>
      <c r="B44" s="24"/>
      <c r="C44" s="14"/>
      <c r="D44" s="14"/>
      <c r="E44" s="14"/>
      <c r="F44" s="14"/>
      <c r="G44" s="314"/>
      <c r="H44" s="295"/>
      <c r="I44" s="14"/>
      <c r="J44" s="14"/>
      <c r="K44" s="14"/>
      <c r="L44" s="14"/>
      <c r="M44" s="14"/>
      <c r="N44" s="14"/>
    </row>
    <row r="45" spans="1:14">
      <c r="A45" s="23">
        <v>35</v>
      </c>
      <c r="B45" s="24"/>
      <c r="C45" s="14"/>
      <c r="D45" s="14"/>
      <c r="E45" s="14"/>
      <c r="F45" s="14"/>
      <c r="G45" s="314">
        <f>E45*F45</f>
        <v>0</v>
      </c>
      <c r="H45" s="295"/>
      <c r="I45" s="14"/>
      <c r="J45" s="14">
        <f>H45*I45</f>
        <v>0</v>
      </c>
      <c r="K45" s="14">
        <f>G45+J45</f>
        <v>0</v>
      </c>
      <c r="L45" s="14"/>
      <c r="M45" s="14"/>
      <c r="N45" s="14"/>
    </row>
    <row r="46" spans="1:14">
      <c r="A46" s="36"/>
      <c r="B46" s="36"/>
      <c r="C46" s="36"/>
      <c r="D46" s="36"/>
      <c r="E46" s="216">
        <f>SUM(E3:E45)</f>
        <v>0</v>
      </c>
      <c r="F46" s="216"/>
      <c r="G46" s="216">
        <f>SUM(G3:G45)</f>
        <v>0</v>
      </c>
      <c r="H46" s="216">
        <f>SUM(H3:H45)</f>
        <v>0</v>
      </c>
      <c r="I46" s="216"/>
      <c r="J46" s="216">
        <f>SUM(J3:J45)</f>
        <v>0</v>
      </c>
      <c r="K46" s="216">
        <f>SUM(K4:K45)</f>
        <v>0</v>
      </c>
      <c r="L46" s="216">
        <f>SUM(L3:L45)</f>
        <v>0</v>
      </c>
      <c r="M46" s="216"/>
      <c r="N46" s="216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0.140625" bestFit="1" customWidth="1"/>
    <col min="7" max="7" width="11.85546875" bestFit="1" customWidth="1"/>
    <col min="10" max="11" width="10.85546875" bestFit="1" customWidth="1"/>
    <col min="12" max="12" width="19.5703125" customWidth="1"/>
    <col min="13" max="13" width="10.7109375" customWidth="1"/>
    <col min="14" max="14" width="22" bestFit="1" customWidth="1"/>
  </cols>
  <sheetData>
    <row r="1" spans="1:14" ht="15.75">
      <c r="A1" s="619" t="s">
        <v>76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</row>
    <row r="2" spans="1:14" ht="27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135" t="s">
        <v>174</v>
      </c>
      <c r="L2" s="135" t="s">
        <v>175</v>
      </c>
      <c r="M2" s="135" t="s">
        <v>176</v>
      </c>
      <c r="N2" s="99" t="s">
        <v>177</v>
      </c>
    </row>
    <row r="3" spans="1:14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2"/>
      <c r="K3" s="124">
        <v>47858.179999999993</v>
      </c>
      <c r="L3" s="219"/>
      <c r="M3" s="297">
        <v>47858.179999999993</v>
      </c>
      <c r="N3" s="220"/>
    </row>
    <row r="4" spans="1:14">
      <c r="A4" s="23">
        <v>1</v>
      </c>
      <c r="B4" s="24">
        <v>46296</v>
      </c>
      <c r="C4" s="100"/>
      <c r="D4" s="32"/>
      <c r="E4" s="33"/>
      <c r="F4" s="33"/>
      <c r="G4" s="33">
        <f>E4*F4</f>
        <v>0</v>
      </c>
      <c r="H4" s="303"/>
      <c r="I4" s="303"/>
      <c r="J4" s="33">
        <f>H4*I4</f>
        <v>0</v>
      </c>
      <c r="K4" s="33">
        <f t="shared" ref="K4:K31" si="0">G4+J4</f>
        <v>0</v>
      </c>
      <c r="L4" s="185">
        <v>0</v>
      </c>
      <c r="M4" s="33">
        <f>M3+K4-L4</f>
        <v>47858.179999999993</v>
      </c>
      <c r="N4" s="221"/>
    </row>
    <row r="5" spans="1:14">
      <c r="A5" s="23">
        <v>2</v>
      </c>
      <c r="B5" s="24">
        <v>46297</v>
      </c>
      <c r="C5" s="100"/>
      <c r="D5" s="32"/>
      <c r="E5" s="33"/>
      <c r="F5" s="33"/>
      <c r="G5" s="33">
        <f>E5*F5</f>
        <v>0</v>
      </c>
      <c r="H5" s="33"/>
      <c r="I5" s="33"/>
      <c r="J5" s="33">
        <f t="shared" ref="J5:J32" si="1">H5*I5</f>
        <v>0</v>
      </c>
      <c r="K5" s="33">
        <f t="shared" si="0"/>
        <v>0</v>
      </c>
      <c r="L5" s="185">
        <v>0</v>
      </c>
      <c r="M5" s="33">
        <f t="shared" ref="M5:M31" si="2">M4+K5-L5</f>
        <v>47858.179999999993</v>
      </c>
      <c r="N5" s="222"/>
    </row>
    <row r="6" spans="1:14">
      <c r="A6" s="23">
        <v>3</v>
      </c>
      <c r="B6" s="24">
        <v>46298</v>
      </c>
      <c r="C6" s="100"/>
      <c r="D6" s="32"/>
      <c r="E6" s="33"/>
      <c r="F6" s="33"/>
      <c r="G6" s="33">
        <f t="shared" ref="G6:G31" si="3">E6*F6</f>
        <v>0</v>
      </c>
      <c r="H6" s="303"/>
      <c r="I6" s="303"/>
      <c r="J6" s="33">
        <f t="shared" si="1"/>
        <v>0</v>
      </c>
      <c r="K6" s="33">
        <f t="shared" si="0"/>
        <v>0</v>
      </c>
      <c r="L6" s="185">
        <v>0</v>
      </c>
      <c r="M6" s="33">
        <f t="shared" si="2"/>
        <v>47858.179999999993</v>
      </c>
      <c r="N6" s="223"/>
    </row>
    <row r="7" spans="1:14">
      <c r="A7" s="23">
        <v>4</v>
      </c>
      <c r="B7" s="24">
        <v>46299</v>
      </c>
      <c r="C7" s="100"/>
      <c r="D7" s="32"/>
      <c r="E7" s="33"/>
      <c r="F7" s="33"/>
      <c r="G7" s="33">
        <f t="shared" si="3"/>
        <v>0</v>
      </c>
      <c r="H7" s="303"/>
      <c r="I7" s="303"/>
      <c r="J7" s="33">
        <f t="shared" si="1"/>
        <v>0</v>
      </c>
      <c r="K7" s="33">
        <f t="shared" si="0"/>
        <v>0</v>
      </c>
      <c r="L7" s="185">
        <v>0</v>
      </c>
      <c r="M7" s="33">
        <f>M6+K7-L7</f>
        <v>47858.179999999993</v>
      </c>
      <c r="N7" s="186"/>
    </row>
    <row r="8" spans="1:14">
      <c r="A8" s="23">
        <v>5</v>
      </c>
      <c r="B8" s="24">
        <v>46300</v>
      </c>
      <c r="C8" s="31"/>
      <c r="D8" s="32"/>
      <c r="E8" s="33"/>
      <c r="F8" s="33"/>
      <c r="G8" s="33">
        <f t="shared" si="3"/>
        <v>0</v>
      </c>
      <c r="H8" s="303"/>
      <c r="I8" s="303"/>
      <c r="J8" s="33">
        <f t="shared" si="1"/>
        <v>0</v>
      </c>
      <c r="K8" s="33">
        <f t="shared" si="0"/>
        <v>0</v>
      </c>
      <c r="L8" s="185">
        <v>0</v>
      </c>
      <c r="M8" s="33">
        <f>M7+K8-L8</f>
        <v>47858.179999999993</v>
      </c>
      <c r="N8" s="186"/>
    </row>
    <row r="9" spans="1:14">
      <c r="A9" s="23">
        <v>6</v>
      </c>
      <c r="B9" s="24">
        <v>46301</v>
      </c>
      <c r="C9" s="31"/>
      <c r="D9" s="32"/>
      <c r="E9" s="33"/>
      <c r="F9" s="33"/>
      <c r="G9" s="33">
        <f t="shared" si="3"/>
        <v>0</v>
      </c>
      <c r="H9" s="303"/>
      <c r="I9" s="303"/>
      <c r="J9" s="33">
        <f t="shared" si="1"/>
        <v>0</v>
      </c>
      <c r="K9" s="33">
        <f t="shared" si="0"/>
        <v>0</v>
      </c>
      <c r="L9" s="185">
        <v>0</v>
      </c>
      <c r="M9" s="33">
        <f t="shared" si="2"/>
        <v>47858.179999999993</v>
      </c>
      <c r="N9" s="186"/>
    </row>
    <row r="10" spans="1:14">
      <c r="A10" s="23">
        <v>7</v>
      </c>
      <c r="B10" s="24">
        <v>46302</v>
      </c>
      <c r="C10" s="31"/>
      <c r="D10" s="32"/>
      <c r="E10" s="33"/>
      <c r="F10" s="33"/>
      <c r="G10" s="33">
        <f t="shared" si="3"/>
        <v>0</v>
      </c>
      <c r="H10" s="303"/>
      <c r="I10" s="303"/>
      <c r="J10" s="33">
        <f t="shared" si="1"/>
        <v>0</v>
      </c>
      <c r="K10" s="33">
        <f t="shared" ref="K10:K15" si="4">G10+J10</f>
        <v>0</v>
      </c>
      <c r="L10" s="185">
        <v>0</v>
      </c>
      <c r="M10" s="33">
        <f t="shared" si="2"/>
        <v>47858.179999999993</v>
      </c>
      <c r="N10" s="186"/>
    </row>
    <row r="11" spans="1:14">
      <c r="A11" s="23">
        <v>8</v>
      </c>
      <c r="B11" s="24">
        <v>46303</v>
      </c>
      <c r="C11" s="31"/>
      <c r="D11" s="32"/>
      <c r="E11" s="33"/>
      <c r="F11" s="33"/>
      <c r="G11" s="33">
        <f t="shared" si="3"/>
        <v>0</v>
      </c>
      <c r="H11" s="303"/>
      <c r="I11" s="303"/>
      <c r="J11" s="33">
        <f t="shared" si="1"/>
        <v>0</v>
      </c>
      <c r="K11" s="33">
        <f t="shared" si="4"/>
        <v>0</v>
      </c>
      <c r="L11" s="185">
        <v>0</v>
      </c>
      <c r="M11" s="33">
        <f t="shared" si="2"/>
        <v>47858.179999999993</v>
      </c>
      <c r="N11" s="186"/>
    </row>
    <row r="12" spans="1:14">
      <c r="A12" s="23">
        <v>9</v>
      </c>
      <c r="B12" s="24">
        <v>46304</v>
      </c>
      <c r="C12" s="31"/>
      <c r="D12" s="32"/>
      <c r="E12" s="33">
        <v>100</v>
      </c>
      <c r="F12" s="33">
        <v>104.42</v>
      </c>
      <c r="G12" s="33">
        <f t="shared" si="3"/>
        <v>10442</v>
      </c>
      <c r="H12" s="303"/>
      <c r="I12" s="303"/>
      <c r="J12" s="33">
        <f t="shared" si="1"/>
        <v>0</v>
      </c>
      <c r="K12" s="33">
        <f t="shared" si="4"/>
        <v>10442</v>
      </c>
      <c r="L12" s="185">
        <v>0</v>
      </c>
      <c r="M12" s="33">
        <f t="shared" si="2"/>
        <v>58300.179999999993</v>
      </c>
      <c r="N12" s="186"/>
    </row>
    <row r="13" spans="1:14">
      <c r="A13" s="23">
        <v>10</v>
      </c>
      <c r="B13" s="24">
        <v>46305</v>
      </c>
      <c r="C13" s="31"/>
      <c r="D13" s="32"/>
      <c r="E13" s="33"/>
      <c r="F13" s="33"/>
      <c r="G13" s="33">
        <f t="shared" si="3"/>
        <v>0</v>
      </c>
      <c r="H13" s="303"/>
      <c r="I13" s="303"/>
      <c r="J13" s="33">
        <f t="shared" si="1"/>
        <v>0</v>
      </c>
      <c r="K13" s="33">
        <f t="shared" si="4"/>
        <v>0</v>
      </c>
      <c r="L13" s="185">
        <v>0</v>
      </c>
      <c r="M13" s="33">
        <f>M12+K13-L13</f>
        <v>58300.179999999993</v>
      </c>
      <c r="N13" s="186"/>
    </row>
    <row r="14" spans="1:14">
      <c r="A14" s="23">
        <v>11</v>
      </c>
      <c r="B14" s="24">
        <v>46306</v>
      </c>
      <c r="C14" s="31"/>
      <c r="D14" s="32"/>
      <c r="E14" s="33"/>
      <c r="F14" s="33"/>
      <c r="G14" s="33">
        <f t="shared" si="3"/>
        <v>0</v>
      </c>
      <c r="H14" s="303"/>
      <c r="I14" s="303"/>
      <c r="J14" s="33">
        <f t="shared" si="1"/>
        <v>0</v>
      </c>
      <c r="K14" s="33">
        <f t="shared" si="4"/>
        <v>0</v>
      </c>
      <c r="L14" s="185">
        <v>0</v>
      </c>
      <c r="M14" s="33">
        <f>M13+K14-L14</f>
        <v>58300.179999999993</v>
      </c>
      <c r="N14" s="186"/>
    </row>
    <row r="15" spans="1:14">
      <c r="A15" s="23">
        <v>12</v>
      </c>
      <c r="B15" s="24">
        <v>46307</v>
      </c>
      <c r="C15" s="31"/>
      <c r="D15" s="32"/>
      <c r="E15" s="33"/>
      <c r="F15" s="33"/>
      <c r="G15" s="33">
        <f t="shared" si="3"/>
        <v>0</v>
      </c>
      <c r="H15" s="303"/>
      <c r="I15" s="303"/>
      <c r="J15" s="33">
        <f t="shared" si="1"/>
        <v>0</v>
      </c>
      <c r="K15" s="33">
        <f>G15+J15</f>
        <v>0</v>
      </c>
      <c r="L15" s="185">
        <v>0</v>
      </c>
      <c r="M15" s="33">
        <f t="shared" si="2"/>
        <v>58300.179999999993</v>
      </c>
      <c r="N15" s="186"/>
    </row>
    <row r="16" spans="1:14">
      <c r="A16" s="23">
        <v>13</v>
      </c>
      <c r="B16" s="24">
        <v>46308</v>
      </c>
      <c r="C16" s="31"/>
      <c r="D16" s="32"/>
      <c r="E16" s="33"/>
      <c r="F16" s="33"/>
      <c r="G16" s="33">
        <f t="shared" si="3"/>
        <v>0</v>
      </c>
      <c r="H16" s="303"/>
      <c r="I16" s="303"/>
      <c r="J16" s="33">
        <f t="shared" si="1"/>
        <v>0</v>
      </c>
      <c r="K16" s="33">
        <f t="shared" si="0"/>
        <v>0</v>
      </c>
      <c r="L16" s="185">
        <v>0</v>
      </c>
      <c r="M16" s="33">
        <f t="shared" si="2"/>
        <v>58300.179999999993</v>
      </c>
      <c r="N16" s="186"/>
    </row>
    <row r="17" spans="1:14">
      <c r="A17" s="23">
        <v>14</v>
      </c>
      <c r="B17" s="24">
        <v>46309</v>
      </c>
      <c r="C17" s="31"/>
      <c r="D17" s="32"/>
      <c r="E17" s="33"/>
      <c r="F17" s="33"/>
      <c r="G17" s="33">
        <f t="shared" si="3"/>
        <v>0</v>
      </c>
      <c r="H17" s="303"/>
      <c r="I17" s="303"/>
      <c r="J17" s="33">
        <f t="shared" si="1"/>
        <v>0</v>
      </c>
      <c r="K17" s="33">
        <f t="shared" si="0"/>
        <v>0</v>
      </c>
      <c r="L17" s="185">
        <v>0</v>
      </c>
      <c r="M17" s="33">
        <f t="shared" si="2"/>
        <v>58300.179999999993</v>
      </c>
      <c r="N17" s="186"/>
    </row>
    <row r="18" spans="1:14">
      <c r="A18" s="23">
        <v>15</v>
      </c>
      <c r="B18" s="24">
        <v>46310</v>
      </c>
      <c r="C18" s="157"/>
      <c r="D18" s="32"/>
      <c r="E18" s="33"/>
      <c r="F18" s="33"/>
      <c r="G18" s="33">
        <f t="shared" si="3"/>
        <v>0</v>
      </c>
      <c r="H18" s="303"/>
      <c r="I18" s="303"/>
      <c r="J18" s="33">
        <f t="shared" si="1"/>
        <v>0</v>
      </c>
      <c r="K18" s="33">
        <f t="shared" si="0"/>
        <v>0</v>
      </c>
      <c r="L18" s="185">
        <v>50000</v>
      </c>
      <c r="M18" s="33">
        <f t="shared" si="2"/>
        <v>8300.179999999993</v>
      </c>
      <c r="N18" s="186"/>
    </row>
    <row r="19" spans="1:14">
      <c r="A19" s="23">
        <v>16</v>
      </c>
      <c r="B19" s="24">
        <v>46311</v>
      </c>
      <c r="C19" s="100"/>
      <c r="D19" s="32"/>
      <c r="E19" s="33"/>
      <c r="F19" s="33"/>
      <c r="G19" s="33">
        <v>0</v>
      </c>
      <c r="H19" s="303"/>
      <c r="I19" s="303"/>
      <c r="J19" s="33">
        <v>0</v>
      </c>
      <c r="K19" s="33">
        <v>0</v>
      </c>
      <c r="L19" s="185">
        <v>0</v>
      </c>
      <c r="M19" s="33">
        <f t="shared" si="2"/>
        <v>8300.179999999993</v>
      </c>
      <c r="N19" s="186"/>
    </row>
    <row r="20" spans="1:14" ht="15" customHeight="1">
      <c r="A20" s="23">
        <v>17</v>
      </c>
      <c r="B20" s="24">
        <v>46312</v>
      </c>
      <c r="C20" s="169"/>
      <c r="D20" s="32"/>
      <c r="E20" s="33"/>
      <c r="F20" s="33"/>
      <c r="G20" s="33">
        <f t="shared" si="3"/>
        <v>0</v>
      </c>
      <c r="H20" s="303"/>
      <c r="I20" s="303"/>
      <c r="J20" s="33">
        <f t="shared" si="1"/>
        <v>0</v>
      </c>
      <c r="K20" s="33">
        <f t="shared" si="0"/>
        <v>0</v>
      </c>
      <c r="L20" s="185">
        <v>0</v>
      </c>
      <c r="M20" s="33">
        <f t="shared" si="2"/>
        <v>8300.179999999993</v>
      </c>
      <c r="N20" s="186"/>
    </row>
    <row r="21" spans="1:14">
      <c r="A21" s="23">
        <v>18</v>
      </c>
      <c r="B21" s="24">
        <v>46313</v>
      </c>
      <c r="C21" s="169"/>
      <c r="D21" s="32"/>
      <c r="E21" s="242"/>
      <c r="F21" s="242"/>
      <c r="G21" s="8">
        <f t="shared" si="3"/>
        <v>0</v>
      </c>
      <c r="H21" s="303"/>
      <c r="I21" s="303"/>
      <c r="J21" s="8">
        <f t="shared" si="1"/>
        <v>0</v>
      </c>
      <c r="K21" s="8">
        <f t="shared" si="0"/>
        <v>0</v>
      </c>
      <c r="L21" s="185">
        <v>0</v>
      </c>
      <c r="M21" s="33">
        <f t="shared" si="2"/>
        <v>8300.179999999993</v>
      </c>
      <c r="N21" s="186"/>
    </row>
    <row r="22" spans="1:14">
      <c r="A22" s="23">
        <v>19</v>
      </c>
      <c r="B22" s="24">
        <v>46314</v>
      </c>
      <c r="C22" s="100"/>
      <c r="D22" s="32"/>
      <c r="E22" s="242"/>
      <c r="F22" s="242"/>
      <c r="G22" s="8">
        <f t="shared" si="3"/>
        <v>0</v>
      </c>
      <c r="H22" s="59"/>
      <c r="I22" s="60"/>
      <c r="J22" s="8">
        <f t="shared" si="1"/>
        <v>0</v>
      </c>
      <c r="K22" s="8">
        <f t="shared" si="0"/>
        <v>0</v>
      </c>
      <c r="L22" s="185">
        <v>0</v>
      </c>
      <c r="M22" s="33">
        <f t="shared" si="2"/>
        <v>8300.179999999993</v>
      </c>
      <c r="N22" s="186"/>
    </row>
    <row r="23" spans="1:14">
      <c r="A23" s="23">
        <v>20</v>
      </c>
      <c r="B23" s="24">
        <v>46315</v>
      </c>
      <c r="C23" s="100"/>
      <c r="D23" s="32"/>
      <c r="E23" s="242"/>
      <c r="F23" s="242"/>
      <c r="G23" s="8">
        <f t="shared" si="3"/>
        <v>0</v>
      </c>
      <c r="H23" s="59"/>
      <c r="I23" s="60"/>
      <c r="J23" s="8">
        <f t="shared" si="1"/>
        <v>0</v>
      </c>
      <c r="K23" s="8">
        <f t="shared" si="0"/>
        <v>0</v>
      </c>
      <c r="L23" s="185">
        <v>0</v>
      </c>
      <c r="M23" s="33">
        <f t="shared" si="2"/>
        <v>8300.179999999993</v>
      </c>
      <c r="N23" s="186"/>
    </row>
    <row r="24" spans="1:14">
      <c r="A24" s="23">
        <v>21</v>
      </c>
      <c r="B24" s="24">
        <v>46316</v>
      </c>
      <c r="C24" s="100"/>
      <c r="D24" s="32"/>
      <c r="E24" s="242"/>
      <c r="F24" s="242"/>
      <c r="G24" s="8">
        <f t="shared" si="3"/>
        <v>0</v>
      </c>
      <c r="H24" s="59"/>
      <c r="I24" s="60"/>
      <c r="J24" s="8">
        <f t="shared" si="1"/>
        <v>0</v>
      </c>
      <c r="K24" s="8">
        <f t="shared" si="0"/>
        <v>0</v>
      </c>
      <c r="L24" s="185">
        <v>0</v>
      </c>
      <c r="M24" s="33">
        <f t="shared" si="2"/>
        <v>8300.179999999993</v>
      </c>
      <c r="N24" s="186"/>
    </row>
    <row r="25" spans="1:14">
      <c r="A25" s="23">
        <v>22</v>
      </c>
      <c r="B25" s="24">
        <v>46317</v>
      </c>
      <c r="C25" s="100"/>
      <c r="D25" s="32"/>
      <c r="E25" s="242"/>
      <c r="F25" s="242"/>
      <c r="G25" s="8">
        <f t="shared" si="3"/>
        <v>0</v>
      </c>
      <c r="H25" s="59"/>
      <c r="I25" s="60"/>
      <c r="J25" s="8">
        <f t="shared" si="1"/>
        <v>0</v>
      </c>
      <c r="K25" s="8">
        <f t="shared" si="0"/>
        <v>0</v>
      </c>
      <c r="L25" s="185">
        <v>0</v>
      </c>
      <c r="M25" s="33">
        <f t="shared" si="2"/>
        <v>8300.179999999993</v>
      </c>
      <c r="N25" s="186"/>
    </row>
    <row r="26" spans="1:14">
      <c r="A26" s="23">
        <v>23</v>
      </c>
      <c r="B26" s="24">
        <v>46318</v>
      </c>
      <c r="C26" s="100"/>
      <c r="D26" s="32"/>
      <c r="E26" s="242"/>
      <c r="F26" s="242"/>
      <c r="G26" s="8">
        <f t="shared" si="3"/>
        <v>0</v>
      </c>
      <c r="H26" s="59"/>
      <c r="I26" s="60"/>
      <c r="J26" s="8">
        <f t="shared" si="1"/>
        <v>0</v>
      </c>
      <c r="K26" s="8">
        <f t="shared" si="0"/>
        <v>0</v>
      </c>
      <c r="L26" s="185">
        <v>0</v>
      </c>
      <c r="M26" s="33">
        <f t="shared" si="2"/>
        <v>8300.179999999993</v>
      </c>
      <c r="N26" s="186"/>
    </row>
    <row r="27" spans="1:14">
      <c r="A27" s="23">
        <v>24</v>
      </c>
      <c r="B27" s="24">
        <v>46319</v>
      </c>
      <c r="C27" s="100"/>
      <c r="D27" s="32"/>
      <c r="E27" s="242"/>
      <c r="F27" s="242"/>
      <c r="G27" s="8">
        <f t="shared" si="3"/>
        <v>0</v>
      </c>
      <c r="H27" s="59"/>
      <c r="I27" s="60"/>
      <c r="J27" s="8">
        <f t="shared" si="1"/>
        <v>0</v>
      </c>
      <c r="K27" s="8">
        <f t="shared" si="0"/>
        <v>0</v>
      </c>
      <c r="L27" s="185">
        <v>0</v>
      </c>
      <c r="M27" s="33">
        <f t="shared" si="2"/>
        <v>8300.179999999993</v>
      </c>
      <c r="N27" s="186"/>
    </row>
    <row r="28" spans="1:14">
      <c r="A28" s="23">
        <v>25</v>
      </c>
      <c r="B28" s="24">
        <v>46320</v>
      </c>
      <c r="C28" s="100"/>
      <c r="D28" s="32"/>
      <c r="E28" s="33"/>
      <c r="F28" s="33"/>
      <c r="G28" s="33">
        <f t="shared" si="3"/>
        <v>0</v>
      </c>
      <c r="H28" s="303"/>
      <c r="I28" s="33"/>
      <c r="J28" s="8">
        <f t="shared" si="1"/>
        <v>0</v>
      </c>
      <c r="K28" s="33">
        <f t="shared" si="0"/>
        <v>0</v>
      </c>
      <c r="L28" s="185">
        <v>0</v>
      </c>
      <c r="M28" s="33">
        <f t="shared" si="2"/>
        <v>8300.179999999993</v>
      </c>
      <c r="N28" s="186"/>
    </row>
    <row r="29" spans="1:14">
      <c r="A29" s="23">
        <v>26</v>
      </c>
      <c r="B29" s="24">
        <v>46321</v>
      </c>
      <c r="C29" s="100"/>
      <c r="D29" s="32"/>
      <c r="E29" s="33"/>
      <c r="F29" s="33"/>
      <c r="G29" s="33">
        <f t="shared" si="3"/>
        <v>0</v>
      </c>
      <c r="H29" s="303"/>
      <c r="I29" s="303"/>
      <c r="J29" s="33">
        <f t="shared" si="1"/>
        <v>0</v>
      </c>
      <c r="K29" s="33">
        <f t="shared" si="0"/>
        <v>0</v>
      </c>
      <c r="L29" s="185">
        <v>0</v>
      </c>
      <c r="M29" s="33">
        <f t="shared" si="2"/>
        <v>8300.179999999993</v>
      </c>
      <c r="N29" s="186"/>
    </row>
    <row r="30" spans="1:14">
      <c r="A30" s="23">
        <v>27</v>
      </c>
      <c r="B30" s="24">
        <v>46322</v>
      </c>
      <c r="C30" s="100"/>
      <c r="D30" s="32"/>
      <c r="E30" s="33"/>
      <c r="F30" s="33"/>
      <c r="G30" s="33">
        <f t="shared" si="3"/>
        <v>0</v>
      </c>
      <c r="H30" s="303"/>
      <c r="I30" s="303"/>
      <c r="J30" s="33">
        <f t="shared" si="1"/>
        <v>0</v>
      </c>
      <c r="K30" s="33">
        <f t="shared" si="0"/>
        <v>0</v>
      </c>
      <c r="L30" s="185">
        <v>0</v>
      </c>
      <c r="M30" s="33">
        <f>M29+K30-L30</f>
        <v>8300.179999999993</v>
      </c>
      <c r="N30" s="186"/>
    </row>
    <row r="31" spans="1:14">
      <c r="A31" s="23">
        <v>28</v>
      </c>
      <c r="B31" s="24">
        <v>46323</v>
      </c>
      <c r="C31" s="100"/>
      <c r="D31" s="32"/>
      <c r="E31" s="33"/>
      <c r="F31" s="33"/>
      <c r="G31" s="33">
        <f t="shared" si="3"/>
        <v>0</v>
      </c>
      <c r="H31" s="303"/>
      <c r="I31" s="303"/>
      <c r="J31" s="33">
        <f t="shared" si="1"/>
        <v>0</v>
      </c>
      <c r="K31" s="33">
        <f t="shared" si="0"/>
        <v>0</v>
      </c>
      <c r="L31" s="185">
        <v>0</v>
      </c>
      <c r="M31" s="33">
        <f t="shared" si="2"/>
        <v>8300.179999999993</v>
      </c>
      <c r="N31" s="186"/>
    </row>
    <row r="32" spans="1:14">
      <c r="A32" s="23">
        <v>29</v>
      </c>
      <c r="B32" s="24">
        <v>46324</v>
      </c>
      <c r="C32" s="100"/>
      <c r="D32" s="32"/>
      <c r="E32" s="33"/>
      <c r="F32" s="33"/>
      <c r="G32" s="33">
        <f t="shared" ref="G32:G34" si="5">E32*F32</f>
        <v>0</v>
      </c>
      <c r="H32" s="303"/>
      <c r="I32" s="303"/>
      <c r="J32" s="33">
        <f t="shared" si="1"/>
        <v>0</v>
      </c>
      <c r="K32" s="33">
        <f t="shared" ref="K32:K34" si="6">G32+J32</f>
        <v>0</v>
      </c>
      <c r="L32" s="185">
        <v>0</v>
      </c>
      <c r="M32" s="33">
        <f t="shared" ref="M32:M34" si="7">M31+K32-L32</f>
        <v>8300.179999999993</v>
      </c>
      <c r="N32" s="186"/>
    </row>
    <row r="33" spans="1:14">
      <c r="A33" s="23">
        <v>30</v>
      </c>
      <c r="B33" s="24">
        <v>46325</v>
      </c>
      <c r="C33" s="100"/>
      <c r="D33" s="32"/>
      <c r="E33" s="33"/>
      <c r="F33" s="33"/>
      <c r="G33" s="33">
        <f t="shared" si="5"/>
        <v>0</v>
      </c>
      <c r="H33" s="303"/>
      <c r="I33" s="303"/>
      <c r="J33" s="33">
        <f t="shared" ref="J16:J33" si="8">H33*I33</f>
        <v>0</v>
      </c>
      <c r="K33" s="33">
        <f t="shared" si="6"/>
        <v>0</v>
      </c>
      <c r="L33" s="185">
        <v>0</v>
      </c>
      <c r="M33" s="33">
        <f t="shared" si="7"/>
        <v>8300.179999999993</v>
      </c>
      <c r="N33" s="186"/>
    </row>
    <row r="34" spans="1:14">
      <c r="A34" s="23">
        <v>31</v>
      </c>
      <c r="B34" s="24">
        <v>46326</v>
      </c>
      <c r="C34" s="100"/>
      <c r="D34" s="32"/>
      <c r="E34" s="33"/>
      <c r="F34" s="33"/>
      <c r="G34" s="33">
        <f t="shared" si="5"/>
        <v>0</v>
      </c>
      <c r="H34" s="303"/>
      <c r="I34" s="303"/>
      <c r="J34" s="33">
        <f t="shared" ref="J32:J34" si="9">H34*I34</f>
        <v>0</v>
      </c>
      <c r="K34" s="33">
        <f t="shared" si="6"/>
        <v>0</v>
      </c>
      <c r="L34" s="185"/>
      <c r="M34" s="33">
        <f t="shared" si="7"/>
        <v>8300.179999999993</v>
      </c>
      <c r="N34" s="186"/>
    </row>
    <row r="35" spans="1:14">
      <c r="A35" s="56"/>
      <c r="B35" s="56"/>
      <c r="C35" s="56"/>
      <c r="D35" s="56"/>
      <c r="E35" s="243">
        <f>SUM(E4:E34)</f>
        <v>100</v>
      </c>
      <c r="F35" s="243"/>
      <c r="G35" s="57">
        <f>SUM(G4:G34)</f>
        <v>10442</v>
      </c>
      <c r="H35" s="57">
        <f>SUM(H4:H34)</f>
        <v>0</v>
      </c>
      <c r="I35" s="57"/>
      <c r="J35" s="57">
        <f>SUM(J4:J34)</f>
        <v>0</v>
      </c>
      <c r="K35" s="57">
        <f>SUM(K4:K34)</f>
        <v>10442</v>
      </c>
      <c r="L35" s="57">
        <f>SUM(L4:L34)</f>
        <v>50000</v>
      </c>
      <c r="M35" s="57"/>
      <c r="N35" s="57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N35"/>
  <sheetViews>
    <sheetView workbookViewId="0">
      <pane ySplit="3" topLeftCell="A4" activePane="bottomLeft" state="frozen"/>
      <selection pane="bottomLeft" activeCell="K15" sqref="K15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85546875" customWidth="1"/>
    <col min="13" max="13" width="11.85546875" bestFit="1" customWidth="1"/>
  </cols>
  <sheetData>
    <row r="1" spans="1:14" ht="15.75">
      <c r="A1" s="623" t="s">
        <v>78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14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14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2"/>
      <c r="M3" s="139">
        <v>0</v>
      </c>
      <c r="N3" s="145"/>
    </row>
    <row r="4" spans="1:14">
      <c r="A4" s="184">
        <v>1</v>
      </c>
      <c r="B4" s="207">
        <v>46266</v>
      </c>
      <c r="C4" s="61"/>
      <c r="D4" s="148"/>
      <c r="E4" s="242"/>
      <c r="F4" s="242"/>
      <c r="G4" s="8">
        <f t="shared" ref="G4:G34" si="0">E4*F4</f>
        <v>0</v>
      </c>
      <c r="H4" s="250"/>
      <c r="I4" s="60"/>
      <c r="J4" s="8">
        <f>H4*I4</f>
        <v>0</v>
      </c>
      <c r="K4" s="8">
        <f>G4+J4</f>
        <v>0</v>
      </c>
      <c r="L4" s="62"/>
      <c r="M4" s="34">
        <f t="shared" ref="M3:M34" si="1">M3+K4-L4</f>
        <v>0</v>
      </c>
      <c r="N4" s="8"/>
    </row>
    <row r="5" spans="1:14">
      <c r="A5" s="40">
        <v>2</v>
      </c>
      <c r="B5" s="207">
        <v>46267</v>
      </c>
      <c r="C5" s="61"/>
      <c r="D5" s="148"/>
      <c r="E5" s="242"/>
      <c r="F5" s="242"/>
      <c r="G5" s="8">
        <f t="shared" ref="G5:G9" si="2">E5*F5</f>
        <v>0</v>
      </c>
      <c r="H5" s="250"/>
      <c r="I5" s="60"/>
      <c r="J5" s="8">
        <f t="shared" ref="J5:J34" si="3">H5*I5</f>
        <v>0</v>
      </c>
      <c r="K5" s="8">
        <f t="shared" ref="K5:L34" si="4">G5+J5</f>
        <v>0</v>
      </c>
      <c r="L5" s="62"/>
      <c r="M5" s="34">
        <f t="shared" si="1"/>
        <v>0</v>
      </c>
      <c r="N5" s="8"/>
    </row>
    <row r="6" spans="1:14">
      <c r="A6" s="40">
        <v>3</v>
      </c>
      <c r="B6" s="207">
        <v>46268</v>
      </c>
      <c r="C6" s="61"/>
      <c r="D6" s="148"/>
      <c r="E6" s="242"/>
      <c r="F6" s="242"/>
      <c r="G6" s="8">
        <f t="shared" si="2"/>
        <v>0</v>
      </c>
      <c r="H6" s="250"/>
      <c r="I6" s="60"/>
      <c r="J6" s="8">
        <f t="shared" si="3"/>
        <v>0</v>
      </c>
      <c r="K6" s="8">
        <f t="shared" si="4"/>
        <v>0</v>
      </c>
      <c r="L6" s="62"/>
      <c r="M6" s="34">
        <f t="shared" si="1"/>
        <v>0</v>
      </c>
      <c r="N6" s="8"/>
    </row>
    <row r="7" spans="1:14">
      <c r="A7" s="40">
        <v>4</v>
      </c>
      <c r="B7" s="207">
        <v>46269</v>
      </c>
      <c r="C7" s="61"/>
      <c r="D7" s="148"/>
      <c r="E7" s="242"/>
      <c r="F7" s="242"/>
      <c r="G7" s="8">
        <f t="shared" si="2"/>
        <v>0</v>
      </c>
      <c r="H7" s="59"/>
      <c r="I7" s="60"/>
      <c r="J7" s="8">
        <f t="shared" si="3"/>
        <v>0</v>
      </c>
      <c r="K7" s="8">
        <f t="shared" si="4"/>
        <v>0</v>
      </c>
      <c r="L7" s="62"/>
      <c r="M7" s="34">
        <f t="shared" si="1"/>
        <v>0</v>
      </c>
      <c r="N7" s="8"/>
    </row>
    <row r="8" spans="1:14">
      <c r="A8" s="40">
        <v>5</v>
      </c>
      <c r="B8" s="207">
        <v>46270</v>
      </c>
      <c r="C8" s="61"/>
      <c r="D8" s="148"/>
      <c r="E8" s="242"/>
      <c r="F8" s="242"/>
      <c r="G8" s="8">
        <f t="shared" si="2"/>
        <v>0</v>
      </c>
      <c r="H8" s="59"/>
      <c r="I8" s="60"/>
      <c r="J8" s="8">
        <f t="shared" si="3"/>
        <v>0</v>
      </c>
      <c r="K8" s="8">
        <f t="shared" si="4"/>
        <v>0</v>
      </c>
      <c r="L8" s="62"/>
      <c r="M8" s="34">
        <f t="shared" si="1"/>
        <v>0</v>
      </c>
      <c r="N8" s="8"/>
    </row>
    <row r="9" spans="1:14">
      <c r="A9" s="40">
        <v>6</v>
      </c>
      <c r="B9" s="207">
        <v>46271</v>
      </c>
      <c r="C9" s="61"/>
      <c r="D9" s="148"/>
      <c r="E9" s="242"/>
      <c r="F9" s="242"/>
      <c r="G9" s="8">
        <f t="shared" si="2"/>
        <v>0</v>
      </c>
      <c r="H9" s="59"/>
      <c r="I9" s="60"/>
      <c r="J9" s="8">
        <f t="shared" si="3"/>
        <v>0</v>
      </c>
      <c r="K9" s="8">
        <f t="shared" si="4"/>
        <v>0</v>
      </c>
      <c r="L9" s="62"/>
      <c r="M9" s="34">
        <f t="shared" si="1"/>
        <v>0</v>
      </c>
      <c r="N9" s="8"/>
    </row>
    <row r="10" spans="1:14">
      <c r="A10" s="40">
        <v>7</v>
      </c>
      <c r="B10" s="207">
        <v>46272</v>
      </c>
      <c r="C10" s="61"/>
      <c r="D10" s="148"/>
      <c r="E10" s="242"/>
      <c r="F10" s="242"/>
      <c r="G10" s="8">
        <f t="shared" ref="G5:G34" si="5">E10*F10</f>
        <v>0</v>
      </c>
      <c r="H10" s="59"/>
      <c r="I10" s="60"/>
      <c r="J10" s="8">
        <f t="shared" si="3"/>
        <v>0</v>
      </c>
      <c r="K10" s="8">
        <f t="shared" si="4"/>
        <v>0</v>
      </c>
      <c r="L10" s="62"/>
      <c r="M10" s="34">
        <f t="shared" si="1"/>
        <v>0</v>
      </c>
      <c r="N10" s="8"/>
    </row>
    <row r="11" spans="1:14">
      <c r="A11" s="40">
        <v>8</v>
      </c>
      <c r="B11" s="207">
        <v>46273</v>
      </c>
      <c r="C11" s="61"/>
      <c r="D11" s="148"/>
      <c r="E11" s="242"/>
      <c r="F11" s="242"/>
      <c r="G11" s="8">
        <f t="shared" si="5"/>
        <v>0</v>
      </c>
      <c r="H11" s="59"/>
      <c r="I11" s="60"/>
      <c r="J11" s="8">
        <f t="shared" si="3"/>
        <v>0</v>
      </c>
      <c r="K11" s="8">
        <f t="shared" si="4"/>
        <v>0</v>
      </c>
      <c r="L11" s="62"/>
      <c r="M11" s="34">
        <f>M10+K11-L11</f>
        <v>0</v>
      </c>
      <c r="N11" s="8"/>
    </row>
    <row r="12" spans="1:14">
      <c r="A12" s="40">
        <v>9</v>
      </c>
      <c r="B12" s="207">
        <v>46274</v>
      </c>
      <c r="C12" s="61"/>
      <c r="D12" s="148"/>
      <c r="E12" s="242"/>
      <c r="F12" s="242"/>
      <c r="G12" s="8">
        <f t="shared" si="5"/>
        <v>0</v>
      </c>
      <c r="H12" s="59"/>
      <c r="I12" s="60"/>
      <c r="J12" s="8">
        <f t="shared" si="3"/>
        <v>0</v>
      </c>
      <c r="K12" s="8">
        <f t="shared" si="4"/>
        <v>0</v>
      </c>
      <c r="L12" s="62"/>
      <c r="M12" s="34">
        <f t="shared" si="1"/>
        <v>0</v>
      </c>
      <c r="N12" s="8"/>
    </row>
    <row r="13" spans="1:14">
      <c r="A13" s="40">
        <v>10</v>
      </c>
      <c r="B13" s="207">
        <v>46275</v>
      </c>
      <c r="C13" s="61"/>
      <c r="D13" s="148"/>
      <c r="E13" s="242"/>
      <c r="F13" s="242"/>
      <c r="G13" s="8">
        <f t="shared" si="5"/>
        <v>0</v>
      </c>
      <c r="H13" s="59"/>
      <c r="I13" s="60"/>
      <c r="J13" s="8">
        <f t="shared" si="3"/>
        <v>0</v>
      </c>
      <c r="K13" s="8">
        <f t="shared" si="4"/>
        <v>0</v>
      </c>
      <c r="L13" s="62"/>
      <c r="M13" s="34">
        <f t="shared" si="1"/>
        <v>0</v>
      </c>
      <c r="N13" s="8"/>
    </row>
    <row r="14" spans="1:14">
      <c r="A14" s="40">
        <v>11</v>
      </c>
      <c r="B14" s="207">
        <v>46276</v>
      </c>
      <c r="C14" s="61"/>
      <c r="D14" s="148"/>
      <c r="E14" s="242"/>
      <c r="F14" s="242"/>
      <c r="G14" s="8">
        <f t="shared" si="5"/>
        <v>0</v>
      </c>
      <c r="H14" s="59"/>
      <c r="I14" s="60"/>
      <c r="J14" s="8">
        <f t="shared" si="3"/>
        <v>0</v>
      </c>
      <c r="K14" s="8">
        <f t="shared" si="4"/>
        <v>0</v>
      </c>
      <c r="L14" s="62"/>
      <c r="M14" s="34">
        <f t="shared" si="1"/>
        <v>0</v>
      </c>
      <c r="N14" s="8"/>
    </row>
    <row r="15" spans="1:14">
      <c r="A15" s="40">
        <v>12</v>
      </c>
      <c r="B15" s="207">
        <v>46277</v>
      </c>
      <c r="C15" s="61"/>
      <c r="D15" s="148"/>
      <c r="E15" s="242"/>
      <c r="F15" s="242"/>
      <c r="G15" s="8">
        <f t="shared" si="5"/>
        <v>0</v>
      </c>
      <c r="H15" s="59"/>
      <c r="I15" s="60"/>
      <c r="J15" s="8">
        <f t="shared" si="3"/>
        <v>0</v>
      </c>
      <c r="K15" s="8">
        <f t="shared" si="4"/>
        <v>0</v>
      </c>
      <c r="L15" s="62"/>
      <c r="M15" s="34">
        <f t="shared" si="1"/>
        <v>0</v>
      </c>
      <c r="N15" s="8"/>
    </row>
    <row r="16" spans="1:14">
      <c r="A16" s="40">
        <v>13</v>
      </c>
      <c r="B16" s="207">
        <v>46278</v>
      </c>
      <c r="C16" s="61"/>
      <c r="D16" s="148"/>
      <c r="E16" s="242"/>
      <c r="F16" s="242"/>
      <c r="G16" s="8">
        <f t="shared" si="5"/>
        <v>0</v>
      </c>
      <c r="H16" s="59"/>
      <c r="I16" s="60"/>
      <c r="J16" s="8">
        <f t="shared" si="3"/>
        <v>0</v>
      </c>
      <c r="K16" s="8">
        <f t="shared" si="4"/>
        <v>0</v>
      </c>
      <c r="L16" s="62"/>
      <c r="M16" s="34">
        <f t="shared" si="1"/>
        <v>0</v>
      </c>
      <c r="N16" s="8"/>
    </row>
    <row r="17" spans="1:14">
      <c r="A17" s="40">
        <v>14</v>
      </c>
      <c r="B17" s="207">
        <v>46279</v>
      </c>
      <c r="C17" s="61"/>
      <c r="D17" s="148"/>
      <c r="E17" s="242"/>
      <c r="F17" s="242"/>
      <c r="G17" s="8">
        <f t="shared" si="5"/>
        <v>0</v>
      </c>
      <c r="H17" s="59"/>
      <c r="I17" s="60"/>
      <c r="J17" s="8">
        <f t="shared" si="3"/>
        <v>0</v>
      </c>
      <c r="K17" s="8">
        <f t="shared" si="4"/>
        <v>0</v>
      </c>
      <c r="L17" s="62"/>
      <c r="M17" s="34">
        <f t="shared" si="1"/>
        <v>0</v>
      </c>
      <c r="N17" s="8"/>
    </row>
    <row r="18" spans="1:14">
      <c r="A18" s="40">
        <v>15</v>
      </c>
      <c r="B18" s="207">
        <v>46280</v>
      </c>
      <c r="C18" s="61"/>
      <c r="D18" s="148"/>
      <c r="E18" s="354"/>
      <c r="F18" s="242"/>
      <c r="G18" s="8">
        <f t="shared" si="5"/>
        <v>0</v>
      </c>
      <c r="H18" s="59"/>
      <c r="I18" s="60"/>
      <c r="J18" s="8">
        <f t="shared" si="3"/>
        <v>0</v>
      </c>
      <c r="K18" s="8">
        <f t="shared" si="4"/>
        <v>0</v>
      </c>
      <c r="L18" s="62"/>
      <c r="M18" s="34">
        <f t="shared" si="1"/>
        <v>0</v>
      </c>
      <c r="N18" s="8"/>
    </row>
    <row r="19" spans="1:14">
      <c r="A19" s="40">
        <v>16</v>
      </c>
      <c r="B19" s="207">
        <v>46281</v>
      </c>
      <c r="C19" s="61"/>
      <c r="D19" s="148"/>
      <c r="E19" s="242"/>
      <c r="F19" s="242"/>
      <c r="G19" s="8">
        <f t="shared" si="5"/>
        <v>0</v>
      </c>
      <c r="H19" s="59"/>
      <c r="I19" s="60"/>
      <c r="J19" s="8">
        <f t="shared" si="3"/>
        <v>0</v>
      </c>
      <c r="K19" s="8">
        <f t="shared" si="4"/>
        <v>0</v>
      </c>
      <c r="L19" s="62"/>
      <c r="M19" s="34">
        <f t="shared" si="1"/>
        <v>0</v>
      </c>
      <c r="N19" s="8"/>
    </row>
    <row r="20" spans="1:14">
      <c r="A20" s="40">
        <v>17</v>
      </c>
      <c r="B20" s="207">
        <v>46282</v>
      </c>
      <c r="C20" s="61"/>
      <c r="D20" s="148"/>
      <c r="E20" s="242"/>
      <c r="F20" s="242"/>
      <c r="G20" s="8">
        <f t="shared" si="5"/>
        <v>0</v>
      </c>
      <c r="H20" s="59"/>
      <c r="I20" s="60"/>
      <c r="J20" s="8">
        <f t="shared" si="3"/>
        <v>0</v>
      </c>
      <c r="K20" s="8">
        <f t="shared" si="4"/>
        <v>0</v>
      </c>
      <c r="L20" s="62"/>
      <c r="M20" s="34">
        <f t="shared" si="1"/>
        <v>0</v>
      </c>
      <c r="N20" s="8"/>
    </row>
    <row r="21" spans="1:14">
      <c r="A21" s="40">
        <v>18</v>
      </c>
      <c r="B21" s="207">
        <v>46283</v>
      </c>
      <c r="C21" s="61"/>
      <c r="D21" s="148"/>
      <c r="E21" s="354"/>
      <c r="F21" s="242"/>
      <c r="G21" s="8">
        <f t="shared" si="5"/>
        <v>0</v>
      </c>
      <c r="H21" s="59"/>
      <c r="I21" s="60"/>
      <c r="J21" s="8">
        <f t="shared" si="3"/>
        <v>0</v>
      </c>
      <c r="K21" s="8">
        <f t="shared" si="4"/>
        <v>0</v>
      </c>
      <c r="L21" s="62"/>
      <c r="M21" s="34">
        <f>M20+K21-L21</f>
        <v>0</v>
      </c>
      <c r="N21" s="8"/>
    </row>
    <row r="22" spans="1:14">
      <c r="A22" s="40">
        <v>19</v>
      </c>
      <c r="B22" s="207">
        <v>46284</v>
      </c>
      <c r="C22" s="61"/>
      <c r="D22" s="148"/>
      <c r="E22" s="59"/>
      <c r="F22" s="242"/>
      <c r="G22" s="8">
        <f t="shared" si="5"/>
        <v>0</v>
      </c>
      <c r="H22" s="59"/>
      <c r="I22" s="60"/>
      <c r="J22" s="8">
        <f t="shared" si="3"/>
        <v>0</v>
      </c>
      <c r="K22" s="8">
        <f t="shared" si="4"/>
        <v>0</v>
      </c>
      <c r="L22" s="62"/>
      <c r="M22" s="34">
        <f t="shared" si="1"/>
        <v>0</v>
      </c>
      <c r="N22" s="8"/>
    </row>
    <row r="23" spans="1:14">
      <c r="A23" s="40">
        <v>20</v>
      </c>
      <c r="B23" s="207">
        <v>46285</v>
      </c>
      <c r="C23" s="61"/>
      <c r="D23" s="148"/>
      <c r="E23" s="242"/>
      <c r="F23" s="242"/>
      <c r="G23" s="8">
        <f t="shared" si="5"/>
        <v>0</v>
      </c>
      <c r="H23" s="59"/>
      <c r="I23" s="60"/>
      <c r="J23" s="8">
        <f t="shared" si="3"/>
        <v>0</v>
      </c>
      <c r="K23" s="8">
        <f t="shared" si="4"/>
        <v>0</v>
      </c>
      <c r="L23" s="62"/>
      <c r="M23" s="34">
        <f t="shared" si="1"/>
        <v>0</v>
      </c>
      <c r="N23" s="8"/>
    </row>
    <row r="24" spans="1:14">
      <c r="A24" s="40">
        <v>21</v>
      </c>
      <c r="B24" s="207">
        <v>46286</v>
      </c>
      <c r="C24" s="61"/>
      <c r="D24" s="148"/>
      <c r="E24" s="242"/>
      <c r="F24" s="242"/>
      <c r="G24" s="8">
        <f t="shared" si="5"/>
        <v>0</v>
      </c>
      <c r="H24" s="59"/>
      <c r="I24" s="60"/>
      <c r="J24" s="8">
        <f t="shared" si="3"/>
        <v>0</v>
      </c>
      <c r="K24" s="8">
        <f t="shared" si="4"/>
        <v>0</v>
      </c>
      <c r="L24" s="62"/>
      <c r="M24" s="34">
        <f t="shared" si="1"/>
        <v>0</v>
      </c>
      <c r="N24" s="8"/>
    </row>
    <row r="25" spans="1:14">
      <c r="A25" s="40">
        <v>22</v>
      </c>
      <c r="B25" s="207">
        <v>46287</v>
      </c>
      <c r="C25" s="61"/>
      <c r="D25" s="148"/>
      <c r="E25" s="242"/>
      <c r="F25" s="242"/>
      <c r="G25" s="8">
        <f t="shared" si="5"/>
        <v>0</v>
      </c>
      <c r="H25" s="59"/>
      <c r="I25" s="60"/>
      <c r="J25" s="8">
        <f t="shared" si="3"/>
        <v>0</v>
      </c>
      <c r="K25" s="8">
        <f t="shared" si="4"/>
        <v>0</v>
      </c>
      <c r="L25" s="62"/>
      <c r="M25" s="34">
        <f t="shared" si="1"/>
        <v>0</v>
      </c>
      <c r="N25" s="8"/>
    </row>
    <row r="26" spans="1:14">
      <c r="A26" s="40">
        <v>23</v>
      </c>
      <c r="B26" s="207">
        <v>46288</v>
      </c>
      <c r="C26" s="61"/>
      <c r="D26" s="148"/>
      <c r="E26" s="242"/>
      <c r="F26" s="242"/>
      <c r="G26" s="8">
        <f t="shared" si="5"/>
        <v>0</v>
      </c>
      <c r="H26" s="59"/>
      <c r="I26" s="60"/>
      <c r="J26" s="8">
        <f t="shared" si="3"/>
        <v>0</v>
      </c>
      <c r="K26" s="8">
        <f t="shared" si="4"/>
        <v>0</v>
      </c>
      <c r="L26" s="62"/>
      <c r="M26" s="34">
        <f t="shared" si="1"/>
        <v>0</v>
      </c>
      <c r="N26" s="8"/>
    </row>
    <row r="27" spans="1:14">
      <c r="A27" s="40">
        <v>24</v>
      </c>
      <c r="B27" s="207">
        <v>46289</v>
      </c>
      <c r="C27" s="61"/>
      <c r="D27" s="148"/>
      <c r="E27" s="242"/>
      <c r="F27" s="242"/>
      <c r="G27" s="8">
        <f t="shared" si="5"/>
        <v>0</v>
      </c>
      <c r="H27" s="59"/>
      <c r="I27" s="60"/>
      <c r="J27" s="8">
        <f t="shared" si="3"/>
        <v>0</v>
      </c>
      <c r="K27" s="8">
        <f t="shared" si="4"/>
        <v>0</v>
      </c>
      <c r="L27" s="62"/>
      <c r="M27" s="34">
        <f t="shared" si="1"/>
        <v>0</v>
      </c>
      <c r="N27" s="8"/>
    </row>
    <row r="28" spans="1:14">
      <c r="A28" s="208">
        <v>25</v>
      </c>
      <c r="B28" s="207">
        <v>46290</v>
      </c>
      <c r="C28" s="61"/>
      <c r="D28" s="148"/>
      <c r="E28" s="242"/>
      <c r="F28" s="242"/>
      <c r="G28" s="8">
        <f t="shared" si="5"/>
        <v>0</v>
      </c>
      <c r="H28" s="59"/>
      <c r="I28" s="478"/>
      <c r="J28" s="8">
        <f t="shared" si="3"/>
        <v>0</v>
      </c>
      <c r="K28" s="8">
        <f t="shared" si="4"/>
        <v>0</v>
      </c>
      <c r="L28" s="62"/>
      <c r="M28" s="34">
        <f>M27+K28-L28</f>
        <v>0</v>
      </c>
      <c r="N28" s="8"/>
    </row>
    <row r="29" spans="1:14">
      <c r="A29" s="208">
        <v>26</v>
      </c>
      <c r="B29" s="207">
        <v>46291</v>
      </c>
      <c r="C29" s="61"/>
      <c r="D29" s="148"/>
      <c r="E29" s="242"/>
      <c r="F29" s="242"/>
      <c r="G29" s="8">
        <f t="shared" si="5"/>
        <v>0</v>
      </c>
      <c r="H29" s="59"/>
      <c r="I29" s="478"/>
      <c r="J29" s="8">
        <f t="shared" si="3"/>
        <v>0</v>
      </c>
      <c r="K29" s="8">
        <f t="shared" si="4"/>
        <v>0</v>
      </c>
      <c r="L29" s="62"/>
      <c r="M29" s="34">
        <f t="shared" si="1"/>
        <v>0</v>
      </c>
      <c r="N29" s="8"/>
    </row>
    <row r="30" spans="1:14">
      <c r="A30" s="208">
        <v>27</v>
      </c>
      <c r="B30" s="207">
        <v>46292</v>
      </c>
      <c r="C30" s="61"/>
      <c r="D30" s="148"/>
      <c r="E30" s="242"/>
      <c r="F30" s="242"/>
      <c r="G30" s="8">
        <f t="shared" si="5"/>
        <v>0</v>
      </c>
      <c r="H30" s="59"/>
      <c r="I30" s="60"/>
      <c r="J30" s="8">
        <f t="shared" si="3"/>
        <v>0</v>
      </c>
      <c r="K30" s="8">
        <f t="shared" si="4"/>
        <v>0</v>
      </c>
      <c r="L30" s="62"/>
      <c r="M30" s="34">
        <f t="shared" si="1"/>
        <v>0</v>
      </c>
      <c r="N30" s="8"/>
    </row>
    <row r="31" spans="1:14">
      <c r="A31" s="208">
        <v>28</v>
      </c>
      <c r="B31" s="207">
        <v>46293</v>
      </c>
      <c r="C31" s="61"/>
      <c r="D31" s="148"/>
      <c r="E31" s="242"/>
      <c r="F31" s="242"/>
      <c r="G31" s="8">
        <f t="shared" si="5"/>
        <v>0</v>
      </c>
      <c r="H31" s="59"/>
      <c r="I31" s="60"/>
      <c r="J31" s="8">
        <f t="shared" si="3"/>
        <v>0</v>
      </c>
      <c r="K31" s="8">
        <f t="shared" si="4"/>
        <v>0</v>
      </c>
      <c r="L31" s="62"/>
      <c r="M31" s="34">
        <f t="shared" si="1"/>
        <v>0</v>
      </c>
      <c r="N31" s="8"/>
    </row>
    <row r="32" spans="1:14">
      <c r="A32" s="209">
        <v>29</v>
      </c>
      <c r="B32" s="207">
        <v>46294</v>
      </c>
      <c r="C32" s="61"/>
      <c r="D32" s="148"/>
      <c r="E32" s="242"/>
      <c r="F32" s="242"/>
      <c r="G32" s="8">
        <f t="shared" si="5"/>
        <v>0</v>
      </c>
      <c r="H32" s="59"/>
      <c r="I32" s="60"/>
      <c r="J32" s="8">
        <f t="shared" si="3"/>
        <v>0</v>
      </c>
      <c r="K32" s="8">
        <f t="shared" si="4"/>
        <v>0</v>
      </c>
      <c r="L32" s="62"/>
      <c r="M32" s="34">
        <f t="shared" si="1"/>
        <v>0</v>
      </c>
      <c r="N32" s="8"/>
    </row>
    <row r="33" spans="1:14">
      <c r="A33" s="209">
        <v>30</v>
      </c>
      <c r="B33" s="207">
        <v>46295</v>
      </c>
      <c r="C33" s="61"/>
      <c r="D33" s="148"/>
      <c r="E33" s="242"/>
      <c r="F33" s="242"/>
      <c r="G33" s="8">
        <f t="shared" si="5"/>
        <v>0</v>
      </c>
      <c r="H33" s="59"/>
      <c r="I33" s="60"/>
      <c r="J33" s="8">
        <f t="shared" si="3"/>
        <v>0</v>
      </c>
      <c r="K33" s="8">
        <f t="shared" si="4"/>
        <v>0</v>
      </c>
      <c r="L33" s="62">
        <v>0</v>
      </c>
      <c r="M33" s="34">
        <f t="shared" si="1"/>
        <v>0</v>
      </c>
      <c r="N33" s="8"/>
    </row>
    <row r="34" spans="1:14">
      <c r="A34" s="209">
        <v>31</v>
      </c>
      <c r="B34" s="207"/>
      <c r="C34" s="61"/>
      <c r="D34" s="148"/>
      <c r="E34" s="242"/>
      <c r="F34" s="242"/>
      <c r="G34" s="8">
        <f t="shared" si="5"/>
        <v>0</v>
      </c>
      <c r="H34" s="59"/>
      <c r="I34" s="60"/>
      <c r="J34" s="8">
        <f t="shared" si="3"/>
        <v>0</v>
      </c>
      <c r="K34" s="8">
        <f t="shared" si="4"/>
        <v>0</v>
      </c>
      <c r="L34" s="62">
        <v>0</v>
      </c>
      <c r="M34" s="34">
        <f t="shared" si="1"/>
        <v>0</v>
      </c>
      <c r="N34" s="8"/>
    </row>
    <row r="35" spans="1:14">
      <c r="A35" s="56"/>
      <c r="B35" s="56"/>
      <c r="C35" s="56"/>
      <c r="D35" s="56"/>
      <c r="E35" s="243">
        <f>SUM(E4:E34)</f>
        <v>0</v>
      </c>
      <c r="F35" s="243"/>
      <c r="G35" s="57">
        <f>SUM(G4:G34)</f>
        <v>0</v>
      </c>
      <c r="H35" s="57">
        <f>SUM(H4:H34)</f>
        <v>0</v>
      </c>
      <c r="I35" s="57"/>
      <c r="J35" s="57">
        <f>SUM(J4:J34)</f>
        <v>0</v>
      </c>
      <c r="K35" s="57">
        <f>SUM(K4:K34)</f>
        <v>0</v>
      </c>
      <c r="L35" s="57">
        <f>SUM(L4:L34)</f>
        <v>0</v>
      </c>
      <c r="M35" s="57"/>
      <c r="N35" s="57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6"/>
  <sheetViews>
    <sheetView workbookViewId="0">
      <pane ySplit="3" topLeftCell="A4" activePane="bottomLeft" state="frozen"/>
      <selection pane="bottomLeft" activeCell="P12" sqref="P12"/>
    </sheetView>
  </sheetViews>
  <sheetFormatPr defaultRowHeight="15"/>
  <cols>
    <col min="2" max="2" width="11.42578125" customWidth="1"/>
    <col min="4" max="4" width="14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623" t="s">
        <v>191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14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14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2"/>
      <c r="M3" s="139">
        <v>366809.49289999984</v>
      </c>
      <c r="N3" s="145"/>
    </row>
    <row r="4" spans="1:14">
      <c r="A4" s="184">
        <v>1</v>
      </c>
      <c r="B4" s="207">
        <v>46296</v>
      </c>
      <c r="C4" s="61"/>
      <c r="D4" s="148"/>
      <c r="E4" s="250">
        <v>690</v>
      </c>
      <c r="F4" s="484">
        <v>104.35</v>
      </c>
      <c r="G4" s="8">
        <f t="shared" ref="G4:G35" si="0">E4*F4</f>
        <v>72001.5</v>
      </c>
      <c r="H4" s="250"/>
      <c r="I4" s="277"/>
      <c r="J4" s="8">
        <f>H4*I4</f>
        <v>0</v>
      </c>
      <c r="K4" s="8">
        <f>G4+J4</f>
        <v>72001.5</v>
      </c>
      <c r="L4" s="62"/>
      <c r="M4" s="34">
        <f>M3+K4-L4</f>
        <v>438810.99289999984</v>
      </c>
      <c r="N4" s="8"/>
    </row>
    <row r="5" spans="1:14">
      <c r="A5" s="40">
        <v>2</v>
      </c>
      <c r="B5" s="207">
        <v>46297</v>
      </c>
      <c r="C5" s="61"/>
      <c r="D5" s="148"/>
      <c r="E5" s="250"/>
      <c r="F5" s="484"/>
      <c r="G5" s="8">
        <f t="shared" si="0"/>
        <v>0</v>
      </c>
      <c r="H5" s="250"/>
      <c r="I5" s="277"/>
      <c r="J5" s="8">
        <f t="shared" ref="J5:J35" si="1">H5*I5</f>
        <v>0</v>
      </c>
      <c r="K5" s="8">
        <f t="shared" ref="K5:K35" si="2">G5+J5</f>
        <v>0</v>
      </c>
      <c r="L5" s="62"/>
      <c r="M5" s="34">
        <f t="shared" ref="M5:M35" si="3">M4+K5-L5</f>
        <v>438810.99289999984</v>
      </c>
      <c r="N5" s="8"/>
    </row>
    <row r="6" spans="1:14">
      <c r="A6" s="40">
        <v>3</v>
      </c>
      <c r="B6" s="207">
        <v>46298</v>
      </c>
      <c r="C6" s="61"/>
      <c r="D6" s="148"/>
      <c r="E6" s="250">
        <v>690</v>
      </c>
      <c r="F6" s="345">
        <v>104.35</v>
      </c>
      <c r="G6" s="8">
        <f t="shared" si="0"/>
        <v>72001.5</v>
      </c>
      <c r="H6" s="250"/>
      <c r="I6" s="277"/>
      <c r="J6" s="8">
        <f t="shared" si="1"/>
        <v>0</v>
      </c>
      <c r="K6" s="8">
        <f t="shared" si="2"/>
        <v>72001.5</v>
      </c>
      <c r="L6" s="62"/>
      <c r="M6" s="34">
        <f t="shared" si="3"/>
        <v>510812.49289999984</v>
      </c>
      <c r="N6" s="8"/>
    </row>
    <row r="7" spans="1:14">
      <c r="A7" s="40">
        <v>4</v>
      </c>
      <c r="B7" s="207">
        <v>46299</v>
      </c>
      <c r="C7" s="61"/>
      <c r="D7" s="148"/>
      <c r="E7" s="250"/>
      <c r="F7" s="345"/>
      <c r="G7" s="8">
        <f t="shared" si="0"/>
        <v>0</v>
      </c>
      <c r="H7" s="250"/>
      <c r="I7" s="277"/>
      <c r="J7" s="8">
        <f t="shared" si="1"/>
        <v>0</v>
      </c>
      <c r="K7" s="8">
        <f t="shared" si="2"/>
        <v>0</v>
      </c>
      <c r="L7" s="62"/>
      <c r="M7" s="34">
        <f t="shared" si="3"/>
        <v>510812.49289999984</v>
      </c>
      <c r="N7" s="8"/>
    </row>
    <row r="8" spans="1:14">
      <c r="A8" s="40">
        <v>5</v>
      </c>
      <c r="B8" s="207">
        <v>46300</v>
      </c>
      <c r="C8" s="61"/>
      <c r="D8" s="148"/>
      <c r="E8" s="250">
        <v>690</v>
      </c>
      <c r="F8" s="484">
        <v>104.35</v>
      </c>
      <c r="G8" s="8">
        <f t="shared" si="0"/>
        <v>72001.5</v>
      </c>
      <c r="H8" s="250">
        <v>20</v>
      </c>
      <c r="I8" s="277">
        <v>116.25</v>
      </c>
      <c r="J8" s="8">
        <f t="shared" si="1"/>
        <v>2325</v>
      </c>
      <c r="K8" s="8">
        <f t="shared" si="2"/>
        <v>74326.5</v>
      </c>
      <c r="L8" s="62"/>
      <c r="M8" s="34">
        <f t="shared" si="3"/>
        <v>585138.99289999984</v>
      </c>
      <c r="N8" s="8"/>
    </row>
    <row r="9" spans="1:14">
      <c r="A9" s="184">
        <v>6</v>
      </c>
      <c r="B9" s="207">
        <v>46301</v>
      </c>
      <c r="C9" s="61"/>
      <c r="D9" s="148"/>
      <c r="E9" s="250"/>
      <c r="F9" s="345"/>
      <c r="G9" s="8">
        <f t="shared" si="0"/>
        <v>0</v>
      </c>
      <c r="H9" s="250"/>
      <c r="I9" s="277"/>
      <c r="J9" s="8">
        <f t="shared" si="1"/>
        <v>0</v>
      </c>
      <c r="K9" s="8">
        <f t="shared" si="2"/>
        <v>0</v>
      </c>
      <c r="L9" s="62"/>
      <c r="M9" s="34">
        <f t="shared" si="3"/>
        <v>585138.99289999984</v>
      </c>
      <c r="N9" s="8"/>
    </row>
    <row r="10" spans="1:14">
      <c r="A10" s="40">
        <v>7</v>
      </c>
      <c r="B10" s="207">
        <v>46302</v>
      </c>
      <c r="C10" s="61"/>
      <c r="D10" s="148"/>
      <c r="E10" s="250">
        <v>690</v>
      </c>
      <c r="F10" s="345">
        <v>104.35</v>
      </c>
      <c r="G10" s="8">
        <f t="shared" si="0"/>
        <v>72001.5</v>
      </c>
      <c r="H10" s="250"/>
      <c r="I10" s="277"/>
      <c r="J10" s="8">
        <f t="shared" si="1"/>
        <v>0</v>
      </c>
      <c r="K10" s="8">
        <f t="shared" si="2"/>
        <v>72001.5</v>
      </c>
      <c r="L10" s="62"/>
      <c r="M10" s="34">
        <f t="shared" si="3"/>
        <v>657140.49289999984</v>
      </c>
      <c r="N10" s="8"/>
    </row>
    <row r="11" spans="1:14">
      <c r="A11" s="40">
        <v>8</v>
      </c>
      <c r="B11" s="207">
        <v>46303</v>
      </c>
      <c r="C11" s="61"/>
      <c r="D11" s="148"/>
      <c r="E11" s="250"/>
      <c r="F11" s="345"/>
      <c r="G11" s="8">
        <f t="shared" si="0"/>
        <v>0</v>
      </c>
      <c r="H11" s="250"/>
      <c r="I11" s="277"/>
      <c r="J11" s="8">
        <f t="shared" si="1"/>
        <v>0</v>
      </c>
      <c r="K11" s="8">
        <f t="shared" si="2"/>
        <v>0</v>
      </c>
      <c r="L11" s="62"/>
      <c r="M11" s="34">
        <f t="shared" si="3"/>
        <v>657140.49289999984</v>
      </c>
      <c r="N11" s="8"/>
    </row>
    <row r="12" spans="1:14">
      <c r="A12" s="40">
        <v>9</v>
      </c>
      <c r="B12" s="207">
        <v>46304</v>
      </c>
      <c r="C12" s="61"/>
      <c r="D12" s="148"/>
      <c r="E12" s="250">
        <v>690</v>
      </c>
      <c r="F12" s="345">
        <v>104.35</v>
      </c>
      <c r="G12" s="8">
        <f t="shared" si="0"/>
        <v>72001.5</v>
      </c>
      <c r="H12" s="250"/>
      <c r="I12" s="277"/>
      <c r="J12" s="8">
        <f t="shared" si="1"/>
        <v>0</v>
      </c>
      <c r="K12" s="8">
        <f t="shared" si="2"/>
        <v>72001.5</v>
      </c>
      <c r="L12" s="62"/>
      <c r="M12" s="34">
        <f t="shared" si="3"/>
        <v>729141.99289999984</v>
      </c>
      <c r="N12" s="8"/>
    </row>
    <row r="13" spans="1:14">
      <c r="A13" s="40">
        <v>10</v>
      </c>
      <c r="B13" s="207">
        <v>46305</v>
      </c>
      <c r="C13" s="61"/>
      <c r="D13" s="148"/>
      <c r="E13" s="250">
        <v>690</v>
      </c>
      <c r="F13" s="345">
        <v>104.35</v>
      </c>
      <c r="G13" s="8">
        <f t="shared" si="0"/>
        <v>72001.5</v>
      </c>
      <c r="H13" s="250"/>
      <c r="I13" s="277"/>
      <c r="J13" s="8">
        <f t="shared" si="1"/>
        <v>0</v>
      </c>
      <c r="K13" s="8">
        <f t="shared" si="2"/>
        <v>72001.5</v>
      </c>
      <c r="L13" s="62"/>
      <c r="M13" s="34">
        <f t="shared" si="3"/>
        <v>801143.49289999984</v>
      </c>
      <c r="N13" s="8"/>
    </row>
    <row r="14" spans="1:14">
      <c r="A14" s="184">
        <v>11</v>
      </c>
      <c r="B14" s="207">
        <v>46306</v>
      </c>
      <c r="C14" s="61"/>
      <c r="D14" s="148"/>
      <c r="E14" s="250"/>
      <c r="F14" s="345"/>
      <c r="G14" s="8">
        <f t="shared" si="0"/>
        <v>0</v>
      </c>
      <c r="H14" s="250"/>
      <c r="I14" s="277"/>
      <c r="J14" s="8">
        <f t="shared" si="1"/>
        <v>0</v>
      </c>
      <c r="K14" s="8">
        <f t="shared" si="2"/>
        <v>0</v>
      </c>
      <c r="L14" s="62"/>
      <c r="M14" s="34">
        <f t="shared" si="3"/>
        <v>801143.49289999984</v>
      </c>
      <c r="N14" s="8"/>
    </row>
    <row r="15" spans="1:14">
      <c r="A15" s="40">
        <v>12</v>
      </c>
      <c r="B15" s="207">
        <v>46307</v>
      </c>
      <c r="C15" s="61"/>
      <c r="D15" s="148"/>
      <c r="E15" s="250"/>
      <c r="F15" s="345"/>
      <c r="G15" s="8">
        <f t="shared" si="0"/>
        <v>0</v>
      </c>
      <c r="H15" s="250"/>
      <c r="I15" s="277"/>
      <c r="J15" s="8"/>
      <c r="K15" s="8">
        <f t="shared" si="2"/>
        <v>0</v>
      </c>
      <c r="L15" s="62"/>
      <c r="M15" s="34">
        <f t="shared" si="3"/>
        <v>801143.49289999984</v>
      </c>
      <c r="N15" s="8"/>
    </row>
    <row r="16" spans="1:14">
      <c r="A16" s="40">
        <v>13</v>
      </c>
      <c r="B16" s="207">
        <v>46308</v>
      </c>
      <c r="C16" s="61"/>
      <c r="D16" s="148"/>
      <c r="E16" s="250">
        <v>690</v>
      </c>
      <c r="F16" s="345">
        <v>104.35</v>
      </c>
      <c r="G16" s="8">
        <f t="shared" si="0"/>
        <v>72001.5</v>
      </c>
      <c r="H16" s="250">
        <v>20</v>
      </c>
      <c r="I16" s="277">
        <v>116.25</v>
      </c>
      <c r="J16" s="8">
        <f t="shared" si="1"/>
        <v>2325</v>
      </c>
      <c r="K16" s="8">
        <f t="shared" si="2"/>
        <v>74326.5</v>
      </c>
      <c r="L16" s="62"/>
      <c r="M16" s="34">
        <f t="shared" si="3"/>
        <v>875469.99289999984</v>
      </c>
      <c r="N16" s="8"/>
    </row>
    <row r="17" spans="1:14">
      <c r="A17" s="40">
        <v>14</v>
      </c>
      <c r="B17" s="207">
        <v>46309</v>
      </c>
      <c r="C17" s="61"/>
      <c r="D17" s="148"/>
      <c r="E17" s="250"/>
      <c r="F17" s="345"/>
      <c r="G17" s="8">
        <f t="shared" si="0"/>
        <v>0</v>
      </c>
      <c r="H17" s="250"/>
      <c r="I17" s="277"/>
      <c r="J17" s="8">
        <f t="shared" si="1"/>
        <v>0</v>
      </c>
      <c r="K17" s="8">
        <f t="shared" si="2"/>
        <v>0</v>
      </c>
      <c r="L17" s="62"/>
      <c r="M17" s="34">
        <f t="shared" si="3"/>
        <v>875469.99289999984</v>
      </c>
      <c r="N17" s="8"/>
    </row>
    <row r="18" spans="1:14">
      <c r="A18" s="40">
        <v>15</v>
      </c>
      <c r="B18" s="207">
        <v>46310</v>
      </c>
      <c r="C18" s="61"/>
      <c r="D18" s="148"/>
      <c r="E18" s="250">
        <v>690</v>
      </c>
      <c r="F18" s="345">
        <v>104.35</v>
      </c>
      <c r="G18" s="8">
        <f t="shared" si="0"/>
        <v>72001.5</v>
      </c>
      <c r="H18" s="250">
        <v>20</v>
      </c>
      <c r="I18" s="277">
        <v>116.25</v>
      </c>
      <c r="J18" s="8">
        <f t="shared" si="1"/>
        <v>2325</v>
      </c>
      <c r="K18" s="8">
        <f t="shared" si="2"/>
        <v>74326.5</v>
      </c>
      <c r="L18" s="62"/>
      <c r="M18" s="34">
        <f t="shared" si="3"/>
        <v>949796.49289999984</v>
      </c>
      <c r="N18" s="8"/>
    </row>
    <row r="19" spans="1:14">
      <c r="A19" s="184">
        <v>16</v>
      </c>
      <c r="B19" s="207">
        <v>46311</v>
      </c>
      <c r="C19" s="61"/>
      <c r="D19" s="148"/>
      <c r="E19" s="250"/>
      <c r="F19" s="345"/>
      <c r="G19" s="8">
        <f t="shared" si="0"/>
        <v>0</v>
      </c>
      <c r="H19" s="250"/>
      <c r="I19" s="277"/>
      <c r="J19" s="8">
        <f t="shared" si="1"/>
        <v>0</v>
      </c>
      <c r="K19" s="8">
        <f t="shared" si="2"/>
        <v>0</v>
      </c>
      <c r="L19" s="62"/>
      <c r="M19" s="34">
        <f t="shared" si="3"/>
        <v>949796.49289999984</v>
      </c>
      <c r="N19" s="8"/>
    </row>
    <row r="20" spans="1:14">
      <c r="A20" s="40">
        <v>17</v>
      </c>
      <c r="B20" s="207">
        <v>46312</v>
      </c>
      <c r="C20" s="61"/>
      <c r="D20" s="148"/>
      <c r="E20" s="250"/>
      <c r="F20" s="345"/>
      <c r="G20" s="8">
        <f t="shared" si="0"/>
        <v>0</v>
      </c>
      <c r="H20" s="250"/>
      <c r="I20" s="277"/>
      <c r="J20" s="8">
        <f t="shared" si="1"/>
        <v>0</v>
      </c>
      <c r="K20" s="8">
        <f t="shared" si="2"/>
        <v>0</v>
      </c>
      <c r="L20" s="62"/>
      <c r="M20" s="34">
        <f t="shared" si="3"/>
        <v>949796.49289999984</v>
      </c>
      <c r="N20" s="8"/>
    </row>
    <row r="21" spans="1:14">
      <c r="A21" s="40">
        <v>18</v>
      </c>
      <c r="B21" s="207">
        <v>46313</v>
      </c>
      <c r="C21" s="61"/>
      <c r="D21" s="148"/>
      <c r="E21" s="250"/>
      <c r="F21" s="345"/>
      <c r="G21" s="8">
        <f t="shared" si="0"/>
        <v>0</v>
      </c>
      <c r="H21" s="250"/>
      <c r="I21" s="277"/>
      <c r="J21" s="8">
        <f t="shared" si="1"/>
        <v>0</v>
      </c>
      <c r="K21" s="8">
        <f t="shared" si="2"/>
        <v>0</v>
      </c>
      <c r="L21" s="62"/>
      <c r="M21" s="34">
        <f t="shared" si="3"/>
        <v>949796.49289999984</v>
      </c>
      <c r="N21" s="8"/>
    </row>
    <row r="22" spans="1:14">
      <c r="A22" s="40">
        <v>19</v>
      </c>
      <c r="B22" s="207">
        <v>46314</v>
      </c>
      <c r="C22" s="61"/>
      <c r="D22" s="148"/>
      <c r="E22" s="250"/>
      <c r="F22" s="345"/>
      <c r="G22" s="8">
        <f t="shared" si="0"/>
        <v>0</v>
      </c>
      <c r="H22" s="250"/>
      <c r="I22" s="277"/>
      <c r="J22" s="8">
        <f t="shared" si="1"/>
        <v>0</v>
      </c>
      <c r="K22" s="8">
        <f t="shared" si="2"/>
        <v>0</v>
      </c>
      <c r="L22" s="62"/>
      <c r="M22" s="34">
        <f t="shared" si="3"/>
        <v>949796.49289999984</v>
      </c>
      <c r="N22" s="8"/>
    </row>
    <row r="23" spans="1:14">
      <c r="A23" s="40">
        <v>20</v>
      </c>
      <c r="B23" s="207">
        <v>46315</v>
      </c>
      <c r="C23" s="61"/>
      <c r="D23" s="148"/>
      <c r="E23" s="250"/>
      <c r="F23" s="345"/>
      <c r="G23" s="8">
        <f t="shared" si="0"/>
        <v>0</v>
      </c>
      <c r="H23" s="250"/>
      <c r="I23" s="277"/>
      <c r="J23" s="8">
        <f t="shared" si="1"/>
        <v>0</v>
      </c>
      <c r="K23" s="8">
        <f t="shared" si="2"/>
        <v>0</v>
      </c>
      <c r="L23" s="62"/>
      <c r="M23" s="34">
        <f t="shared" si="3"/>
        <v>949796.49289999984</v>
      </c>
      <c r="N23" s="8"/>
    </row>
    <row r="24" spans="1:14">
      <c r="A24" s="184">
        <v>21</v>
      </c>
      <c r="B24" s="207">
        <v>46316</v>
      </c>
      <c r="C24" s="61"/>
      <c r="D24" s="148"/>
      <c r="E24" s="250"/>
      <c r="F24" s="345"/>
      <c r="G24" s="8">
        <f t="shared" si="0"/>
        <v>0</v>
      </c>
      <c r="H24" s="250"/>
      <c r="I24" s="277"/>
      <c r="J24" s="8">
        <f t="shared" si="1"/>
        <v>0</v>
      </c>
      <c r="K24" s="8">
        <f t="shared" si="2"/>
        <v>0</v>
      </c>
      <c r="L24" s="62"/>
      <c r="M24" s="34">
        <f t="shared" si="3"/>
        <v>949796.49289999984</v>
      </c>
      <c r="N24" s="8"/>
    </row>
    <row r="25" spans="1:14">
      <c r="A25" s="40">
        <v>22</v>
      </c>
      <c r="B25" s="207">
        <v>46317</v>
      </c>
      <c r="C25" s="61"/>
      <c r="D25" s="148"/>
      <c r="E25" s="250"/>
      <c r="F25" s="345"/>
      <c r="G25" s="8">
        <f t="shared" si="0"/>
        <v>0</v>
      </c>
      <c r="H25" s="250"/>
      <c r="I25" s="277"/>
      <c r="J25" s="8">
        <f t="shared" si="1"/>
        <v>0</v>
      </c>
      <c r="K25" s="8">
        <f t="shared" si="2"/>
        <v>0</v>
      </c>
      <c r="L25" s="62"/>
      <c r="M25" s="34">
        <f t="shared" si="3"/>
        <v>949796.49289999984</v>
      </c>
      <c r="N25" s="8"/>
    </row>
    <row r="26" spans="1:14">
      <c r="A26" s="40">
        <v>23</v>
      </c>
      <c r="B26" s="207">
        <v>46318</v>
      </c>
      <c r="C26" s="61"/>
      <c r="D26" s="148"/>
      <c r="E26" s="250"/>
      <c r="F26" s="345"/>
      <c r="G26" s="8">
        <f t="shared" si="0"/>
        <v>0</v>
      </c>
      <c r="H26" s="250"/>
      <c r="I26" s="277"/>
      <c r="J26" s="8">
        <f t="shared" si="1"/>
        <v>0</v>
      </c>
      <c r="K26" s="8">
        <f t="shared" si="2"/>
        <v>0</v>
      </c>
      <c r="L26" s="62"/>
      <c r="M26" s="34">
        <f t="shared" si="3"/>
        <v>949796.49289999984</v>
      </c>
      <c r="N26" s="8"/>
    </row>
    <row r="27" spans="1:14">
      <c r="A27" s="40">
        <v>24</v>
      </c>
      <c r="B27" s="207">
        <v>46319</v>
      </c>
      <c r="C27" s="61"/>
      <c r="D27" s="148"/>
      <c r="E27" s="250"/>
      <c r="F27" s="345"/>
      <c r="G27" s="8">
        <f t="shared" si="0"/>
        <v>0</v>
      </c>
      <c r="H27" s="250"/>
      <c r="I27" s="277"/>
      <c r="J27" s="8">
        <f t="shared" si="1"/>
        <v>0</v>
      </c>
      <c r="K27" s="8">
        <f t="shared" si="2"/>
        <v>0</v>
      </c>
      <c r="L27" s="62"/>
      <c r="M27" s="34">
        <f t="shared" si="3"/>
        <v>949796.49289999984</v>
      </c>
      <c r="N27" s="8"/>
    </row>
    <row r="28" spans="1:14">
      <c r="A28" s="40">
        <v>25</v>
      </c>
      <c r="B28" s="207">
        <v>46320</v>
      </c>
      <c r="C28" s="61"/>
      <c r="D28" s="148"/>
      <c r="E28" s="250"/>
      <c r="F28" s="345"/>
      <c r="G28" s="8">
        <f t="shared" si="0"/>
        <v>0</v>
      </c>
      <c r="H28" s="250"/>
      <c r="I28" s="277"/>
      <c r="J28" s="8">
        <f t="shared" si="1"/>
        <v>0</v>
      </c>
      <c r="K28" s="8">
        <f t="shared" si="2"/>
        <v>0</v>
      </c>
      <c r="L28" s="62"/>
      <c r="M28" s="34">
        <f t="shared" si="3"/>
        <v>949796.49289999984</v>
      </c>
      <c r="N28" s="8"/>
    </row>
    <row r="29" spans="1:14">
      <c r="A29" s="184">
        <v>26</v>
      </c>
      <c r="B29" s="207">
        <v>46321</v>
      </c>
      <c r="C29" s="61"/>
      <c r="D29" s="148"/>
      <c r="E29" s="250"/>
      <c r="F29" s="345"/>
      <c r="G29" s="8">
        <f t="shared" si="0"/>
        <v>0</v>
      </c>
      <c r="H29" s="250"/>
      <c r="I29" s="277"/>
      <c r="J29" s="8">
        <f t="shared" si="1"/>
        <v>0</v>
      </c>
      <c r="K29" s="8">
        <f t="shared" si="2"/>
        <v>0</v>
      </c>
      <c r="L29" s="62"/>
      <c r="M29" s="34">
        <f t="shared" si="3"/>
        <v>949796.49289999984</v>
      </c>
      <c r="N29" s="8"/>
    </row>
    <row r="30" spans="1:14">
      <c r="A30" s="40">
        <v>27</v>
      </c>
      <c r="B30" s="207">
        <v>46322</v>
      </c>
      <c r="C30" s="61"/>
      <c r="D30" s="148"/>
      <c r="E30" s="250"/>
      <c r="F30" s="345"/>
      <c r="G30" s="8">
        <f t="shared" si="0"/>
        <v>0</v>
      </c>
      <c r="H30" s="59"/>
      <c r="I30" s="60"/>
      <c r="J30" s="8">
        <f t="shared" si="1"/>
        <v>0</v>
      </c>
      <c r="K30" s="8">
        <f t="shared" si="2"/>
        <v>0</v>
      </c>
      <c r="L30" s="62"/>
      <c r="M30" s="34">
        <f t="shared" si="3"/>
        <v>949796.49289999984</v>
      </c>
      <c r="N30" s="8"/>
    </row>
    <row r="31" spans="1:14">
      <c r="A31" s="40">
        <v>28</v>
      </c>
      <c r="B31" s="207">
        <v>46323</v>
      </c>
      <c r="C31" s="61"/>
      <c r="D31" s="148"/>
      <c r="E31" s="250"/>
      <c r="F31" s="345"/>
      <c r="G31" s="8">
        <f t="shared" si="0"/>
        <v>0</v>
      </c>
      <c r="H31" s="59"/>
      <c r="I31" s="60"/>
      <c r="J31" s="8">
        <f t="shared" si="1"/>
        <v>0</v>
      </c>
      <c r="K31" s="8">
        <f t="shared" si="2"/>
        <v>0</v>
      </c>
      <c r="L31" s="62"/>
      <c r="M31" s="34">
        <f t="shared" si="3"/>
        <v>949796.49289999984</v>
      </c>
      <c r="N31" s="8"/>
    </row>
    <row r="32" spans="1:14">
      <c r="A32" s="40">
        <v>29</v>
      </c>
      <c r="B32" s="207">
        <v>46324</v>
      </c>
      <c r="C32" s="61"/>
      <c r="D32" s="148"/>
      <c r="E32" s="250"/>
      <c r="F32" s="345"/>
      <c r="G32" s="8">
        <f t="shared" si="0"/>
        <v>0</v>
      </c>
      <c r="H32" s="59"/>
      <c r="I32" s="60"/>
      <c r="J32" s="8">
        <f t="shared" si="1"/>
        <v>0</v>
      </c>
      <c r="K32" s="8">
        <f t="shared" si="2"/>
        <v>0</v>
      </c>
      <c r="L32" s="62"/>
      <c r="M32" s="34">
        <f t="shared" si="3"/>
        <v>949796.49289999984</v>
      </c>
      <c r="N32" s="8"/>
    </row>
    <row r="33" spans="1:14">
      <c r="A33" s="40">
        <v>30</v>
      </c>
      <c r="B33" s="207">
        <v>46325</v>
      </c>
      <c r="C33" s="61"/>
      <c r="D33" s="148"/>
      <c r="E33" s="250"/>
      <c r="F33" s="345"/>
      <c r="G33" s="8">
        <f t="shared" si="0"/>
        <v>0</v>
      </c>
      <c r="H33" s="59"/>
      <c r="I33" s="60"/>
      <c r="J33" s="8">
        <f t="shared" si="1"/>
        <v>0</v>
      </c>
      <c r="K33" s="8">
        <f t="shared" si="2"/>
        <v>0</v>
      </c>
      <c r="L33" s="62"/>
      <c r="M33" s="34">
        <f t="shared" si="3"/>
        <v>949796.49289999984</v>
      </c>
      <c r="N33" s="8"/>
    </row>
    <row r="34" spans="1:14">
      <c r="A34" s="184">
        <v>31</v>
      </c>
      <c r="B34" s="207">
        <v>46326</v>
      </c>
      <c r="C34" s="61"/>
      <c r="D34" s="148"/>
      <c r="E34" s="250"/>
      <c r="F34" s="401"/>
      <c r="G34" s="8">
        <f t="shared" si="0"/>
        <v>0</v>
      </c>
      <c r="H34" s="59"/>
      <c r="I34" s="60"/>
      <c r="J34" s="8">
        <f t="shared" si="1"/>
        <v>0</v>
      </c>
      <c r="K34" s="8">
        <f t="shared" si="2"/>
        <v>0</v>
      </c>
      <c r="L34" s="62"/>
      <c r="M34" s="34">
        <f t="shared" si="3"/>
        <v>949796.49289999984</v>
      </c>
      <c r="N34" s="8"/>
    </row>
    <row r="35" spans="1:14">
      <c r="A35" s="40">
        <v>32</v>
      </c>
      <c r="B35" s="207"/>
      <c r="C35" s="61"/>
      <c r="D35" s="148"/>
      <c r="E35" s="402"/>
      <c r="F35" s="401"/>
      <c r="G35" s="8">
        <f t="shared" si="0"/>
        <v>0</v>
      </c>
      <c r="H35" s="59"/>
      <c r="I35" s="60"/>
      <c r="J35" s="8">
        <f t="shared" si="1"/>
        <v>0</v>
      </c>
      <c r="K35" s="8">
        <f t="shared" si="2"/>
        <v>0</v>
      </c>
      <c r="L35" s="62"/>
      <c r="M35" s="34">
        <f t="shared" si="3"/>
        <v>949796.49289999984</v>
      </c>
      <c r="N35" s="8"/>
    </row>
    <row r="36" spans="1:14">
      <c r="A36" s="56"/>
      <c r="B36" s="56"/>
      <c r="C36" s="56"/>
      <c r="D36" s="56"/>
      <c r="E36" s="243">
        <f>SUM(E4:E35)</f>
        <v>5520</v>
      </c>
      <c r="F36" s="243"/>
      <c r="G36" s="57">
        <f>SUM(G4:G35)</f>
        <v>576012</v>
      </c>
      <c r="H36" s="57">
        <f>SUM(H4:H35)</f>
        <v>60</v>
      </c>
      <c r="I36" s="57"/>
      <c r="J36" s="57">
        <f>SUM(J4:J35)</f>
        <v>6975</v>
      </c>
      <c r="K36" s="57">
        <f>SUM(K4:K35)</f>
        <v>582987</v>
      </c>
      <c r="L36" s="57">
        <f>SUM(L4:L35)</f>
        <v>0</v>
      </c>
      <c r="M36" s="57"/>
      <c r="N36" s="57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U36"/>
  <sheetViews>
    <sheetView workbookViewId="0">
      <pane ySplit="3" topLeftCell="A4" activePane="bottomLeft" state="frozen"/>
      <selection pane="bottomLeft" activeCell="N18" sqref="N18"/>
    </sheetView>
  </sheetViews>
  <sheetFormatPr defaultRowHeight="15"/>
  <cols>
    <col min="2" max="2" width="15" customWidth="1"/>
    <col min="4" max="4" width="13.28515625" bestFit="1" customWidth="1"/>
    <col min="6" max="6" width="9.7109375" bestFit="1" customWidth="1"/>
    <col min="7" max="7" width="11.85546875" bestFit="1" customWidth="1"/>
    <col min="11" max="12" width="13.5703125" bestFit="1" customWidth="1"/>
    <col min="13" max="13" width="11" customWidth="1"/>
    <col min="14" max="14" width="11" bestFit="1" customWidth="1"/>
    <col min="15" max="15" width="13.85546875" customWidth="1"/>
    <col min="21" max="21" width="15" bestFit="1" customWidth="1"/>
  </cols>
  <sheetData>
    <row r="1" spans="1:20" ht="15.75">
      <c r="A1" s="623" t="s">
        <v>166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20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20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2"/>
      <c r="M3" s="139"/>
      <c r="N3" s="145"/>
    </row>
    <row r="4" spans="1:20">
      <c r="A4" s="184">
        <v>1</v>
      </c>
      <c r="B4" s="207">
        <v>46296</v>
      </c>
      <c r="C4" s="61"/>
      <c r="D4" s="148"/>
      <c r="E4" s="148">
        <v>285.39</v>
      </c>
      <c r="F4" s="345">
        <v>105.12</v>
      </c>
      <c r="G4" s="8">
        <f t="shared" ref="G4:G35" si="0">E4*F4</f>
        <v>30000.196800000002</v>
      </c>
      <c r="H4" s="250"/>
      <c r="I4" s="277"/>
      <c r="J4" s="8">
        <f>H4*I4</f>
        <v>0</v>
      </c>
      <c r="K4" s="8">
        <f>G4+J4</f>
        <v>30000.196800000002</v>
      </c>
      <c r="L4" s="8">
        <v>30000.196800000002</v>
      </c>
      <c r="M4" s="34">
        <f>M3+K4-L4</f>
        <v>0</v>
      </c>
      <c r="N4" s="8" t="s">
        <v>192</v>
      </c>
    </row>
    <row r="5" spans="1:20">
      <c r="A5" s="40">
        <v>2</v>
      </c>
      <c r="B5" s="207">
        <v>46297</v>
      </c>
      <c r="C5" s="61"/>
      <c r="D5" s="148"/>
      <c r="E5" s="250"/>
      <c r="F5" s="345"/>
      <c r="G5" s="8">
        <f t="shared" si="0"/>
        <v>0</v>
      </c>
      <c r="H5" s="250"/>
      <c r="I5" s="277"/>
      <c r="J5" s="8">
        <f t="shared" ref="J5:J35" si="1">H5*I5</f>
        <v>0</v>
      </c>
      <c r="K5" s="8">
        <f t="shared" ref="K5:L35" si="2">G5+J5</f>
        <v>0</v>
      </c>
      <c r="L5" s="443"/>
      <c r="M5" s="34">
        <f>M4+K5-L5</f>
        <v>0</v>
      </c>
      <c r="N5" s="8"/>
    </row>
    <row r="6" spans="1:20">
      <c r="A6" s="40">
        <v>3</v>
      </c>
      <c r="B6" s="207">
        <v>46298</v>
      </c>
      <c r="C6" s="61"/>
      <c r="D6" s="148"/>
      <c r="E6" s="250"/>
      <c r="F6" s="345"/>
      <c r="G6" s="8">
        <f t="shared" si="0"/>
        <v>0</v>
      </c>
      <c r="H6" s="250"/>
      <c r="I6" s="277"/>
      <c r="J6" s="8">
        <f t="shared" si="1"/>
        <v>0</v>
      </c>
      <c r="K6" s="8">
        <f>G6+J6</f>
        <v>0</v>
      </c>
      <c r="L6" s="8"/>
      <c r="M6" s="34">
        <f t="shared" ref="M6:M34" si="3">M5+K6-L6</f>
        <v>0</v>
      </c>
      <c r="N6" s="8"/>
    </row>
    <row r="7" spans="1:20">
      <c r="A7" s="40">
        <v>4</v>
      </c>
      <c r="B7" s="207">
        <v>46299</v>
      </c>
      <c r="C7" s="61"/>
      <c r="D7" s="148"/>
      <c r="E7" s="250"/>
      <c r="F7" s="345"/>
      <c r="G7" s="8">
        <f t="shared" si="0"/>
        <v>0</v>
      </c>
      <c r="H7" s="250"/>
      <c r="I7" s="277"/>
      <c r="J7" s="8">
        <f t="shared" si="1"/>
        <v>0</v>
      </c>
      <c r="K7" s="8">
        <f t="shared" ref="K7:L12" si="4">G7+J7</f>
        <v>0</v>
      </c>
      <c r="L7" s="8"/>
      <c r="M7" s="34">
        <f t="shared" si="3"/>
        <v>0</v>
      </c>
      <c r="N7" s="8"/>
    </row>
    <row r="8" spans="1:20">
      <c r="A8" s="40">
        <v>5</v>
      </c>
      <c r="B8" s="207">
        <v>46300</v>
      </c>
      <c r="C8" s="61"/>
      <c r="D8" s="148"/>
      <c r="E8" s="250">
        <v>285.39</v>
      </c>
      <c r="F8" s="345">
        <v>105.12</v>
      </c>
      <c r="G8" s="8">
        <f t="shared" si="0"/>
        <v>30000.196800000002</v>
      </c>
      <c r="H8" s="250"/>
      <c r="I8" s="277"/>
      <c r="J8" s="8">
        <f t="shared" si="1"/>
        <v>0</v>
      </c>
      <c r="K8" s="8">
        <f t="shared" si="4"/>
        <v>30000.196800000002</v>
      </c>
      <c r="L8" s="539">
        <v>30000.196800000002</v>
      </c>
      <c r="M8" s="34">
        <f t="shared" si="3"/>
        <v>0</v>
      </c>
      <c r="N8" s="8" t="s">
        <v>192</v>
      </c>
    </row>
    <row r="9" spans="1:20">
      <c r="A9" s="40">
        <v>6</v>
      </c>
      <c r="B9" s="207">
        <v>46301</v>
      </c>
      <c r="C9" s="61"/>
      <c r="D9" s="148"/>
      <c r="E9" s="250">
        <v>285.63</v>
      </c>
      <c r="F9" s="345">
        <v>105.03</v>
      </c>
      <c r="G9" s="8">
        <f t="shared" si="0"/>
        <v>29999.7189</v>
      </c>
      <c r="H9" s="250"/>
      <c r="I9" s="277"/>
      <c r="J9" s="8">
        <f t="shared" si="1"/>
        <v>0</v>
      </c>
      <c r="K9" s="8">
        <f t="shared" si="4"/>
        <v>29999.7189</v>
      </c>
      <c r="L9" s="8">
        <f t="shared" si="4"/>
        <v>29999.7189</v>
      </c>
      <c r="M9" s="34">
        <f t="shared" si="3"/>
        <v>0</v>
      </c>
      <c r="N9" s="8" t="s">
        <v>192</v>
      </c>
      <c r="T9" s="19"/>
    </row>
    <row r="10" spans="1:20">
      <c r="A10" s="40">
        <v>7</v>
      </c>
      <c r="B10" s="207">
        <v>46302</v>
      </c>
      <c r="C10" s="61"/>
      <c r="D10" s="148"/>
      <c r="E10" s="250">
        <v>95.13</v>
      </c>
      <c r="F10" s="345">
        <v>105.12</v>
      </c>
      <c r="G10" s="8">
        <f t="shared" si="0"/>
        <v>10000.0656</v>
      </c>
      <c r="H10" s="250"/>
      <c r="I10" s="277"/>
      <c r="J10" s="8">
        <f t="shared" si="1"/>
        <v>0</v>
      </c>
      <c r="K10" s="8">
        <f t="shared" si="4"/>
        <v>10000.0656</v>
      </c>
      <c r="L10" s="62">
        <v>10000.0656</v>
      </c>
      <c r="M10" s="34">
        <f t="shared" si="3"/>
        <v>0</v>
      </c>
      <c r="N10" s="8" t="s">
        <v>192</v>
      </c>
    </row>
    <row r="11" spans="1:20">
      <c r="A11" s="40"/>
      <c r="B11" s="207">
        <v>46302</v>
      </c>
      <c r="C11" s="61"/>
      <c r="D11" s="148"/>
      <c r="E11" s="250">
        <v>95.210999999999999</v>
      </c>
      <c r="F11" s="345">
        <v>105.03</v>
      </c>
      <c r="G11" s="8">
        <f>E11*F11</f>
        <v>10000.011329999999</v>
      </c>
      <c r="H11" s="250"/>
      <c r="I11" s="277"/>
      <c r="J11" s="8"/>
      <c r="K11" s="8">
        <f t="shared" si="4"/>
        <v>10000.011329999999</v>
      </c>
      <c r="L11" s="62">
        <v>10000.011329999999</v>
      </c>
      <c r="M11" s="34">
        <f t="shared" si="3"/>
        <v>0</v>
      </c>
      <c r="N11" s="8" t="s">
        <v>193</v>
      </c>
    </row>
    <row r="12" spans="1:20">
      <c r="A12" s="40">
        <v>8</v>
      </c>
      <c r="B12" s="207">
        <v>46303</v>
      </c>
      <c r="C12" s="61"/>
      <c r="D12" s="148"/>
      <c r="E12" s="250"/>
      <c r="F12" s="345"/>
      <c r="G12" s="443">
        <f t="shared" si="0"/>
        <v>0</v>
      </c>
      <c r="H12" s="250"/>
      <c r="I12" s="277"/>
      <c r="J12" s="8">
        <f t="shared" si="1"/>
        <v>0</v>
      </c>
      <c r="K12" s="8">
        <f t="shared" si="4"/>
        <v>0</v>
      </c>
      <c r="L12" s="443"/>
      <c r="M12" s="34">
        <f>M10+K12-L12</f>
        <v>0</v>
      </c>
      <c r="N12" s="8"/>
    </row>
    <row r="13" spans="1:20">
      <c r="A13" s="40">
        <v>9</v>
      </c>
      <c r="B13" s="207">
        <v>46304</v>
      </c>
      <c r="C13" s="61"/>
      <c r="D13" s="148"/>
      <c r="E13" s="250">
        <v>285.39</v>
      </c>
      <c r="F13" s="345">
        <v>105.12</v>
      </c>
      <c r="G13" s="8">
        <f t="shared" si="0"/>
        <v>30000.196800000002</v>
      </c>
      <c r="H13" s="250"/>
      <c r="I13" s="277"/>
      <c r="J13" s="8">
        <f t="shared" si="1"/>
        <v>0</v>
      </c>
      <c r="K13" s="8">
        <f t="shared" si="2"/>
        <v>30000.196800000002</v>
      </c>
      <c r="L13" s="62">
        <v>30000.196800000002</v>
      </c>
      <c r="M13" s="34">
        <f t="shared" si="3"/>
        <v>0</v>
      </c>
      <c r="N13" s="8" t="s">
        <v>192</v>
      </c>
    </row>
    <row r="14" spans="1:20">
      <c r="A14" s="40">
        <v>10</v>
      </c>
      <c r="B14" s="207">
        <v>46305</v>
      </c>
      <c r="C14" s="61"/>
      <c r="D14" s="148"/>
      <c r="E14" s="250"/>
      <c r="F14" s="345"/>
      <c r="G14" s="443">
        <f t="shared" si="0"/>
        <v>0</v>
      </c>
      <c r="H14" s="250"/>
      <c r="I14" s="277"/>
      <c r="J14" s="8">
        <f t="shared" si="1"/>
        <v>0</v>
      </c>
      <c r="K14" s="443">
        <f t="shared" si="2"/>
        <v>0</v>
      </c>
      <c r="L14" s="443"/>
      <c r="M14" s="34">
        <f t="shared" si="3"/>
        <v>0</v>
      </c>
      <c r="N14" s="8"/>
    </row>
    <row r="15" spans="1:20">
      <c r="A15" s="40">
        <v>11</v>
      </c>
      <c r="B15" s="207">
        <v>46306</v>
      </c>
      <c r="C15" s="61"/>
      <c r="D15" s="148"/>
      <c r="E15" s="250"/>
      <c r="F15" s="345"/>
      <c r="G15" s="8">
        <f t="shared" si="0"/>
        <v>0</v>
      </c>
      <c r="H15" s="250"/>
      <c r="I15" s="277"/>
      <c r="J15" s="8">
        <f t="shared" si="1"/>
        <v>0</v>
      </c>
      <c r="K15" s="8">
        <f t="shared" si="2"/>
        <v>0</v>
      </c>
      <c r="L15" s="8"/>
      <c r="M15" s="34">
        <f t="shared" si="3"/>
        <v>0</v>
      </c>
      <c r="N15" s="8"/>
    </row>
    <row r="16" spans="1:20">
      <c r="A16" s="40">
        <v>12</v>
      </c>
      <c r="B16" s="207">
        <v>46307</v>
      </c>
      <c r="C16" s="61"/>
      <c r="D16" s="148"/>
      <c r="E16" s="250"/>
      <c r="F16" s="345"/>
      <c r="G16" s="443">
        <f t="shared" si="0"/>
        <v>0</v>
      </c>
      <c r="H16" s="250"/>
      <c r="I16" s="277"/>
      <c r="J16" s="8">
        <f t="shared" si="1"/>
        <v>0</v>
      </c>
      <c r="K16" s="443">
        <f t="shared" si="2"/>
        <v>0</v>
      </c>
      <c r="L16" s="443"/>
      <c r="M16" s="34">
        <f t="shared" si="3"/>
        <v>0</v>
      </c>
      <c r="N16" s="8"/>
    </row>
    <row r="17" spans="1:21">
      <c r="A17" s="40">
        <v>13</v>
      </c>
      <c r="B17" s="207">
        <v>46308</v>
      </c>
      <c r="C17" s="61"/>
      <c r="D17" s="148"/>
      <c r="E17" s="250"/>
      <c r="F17" s="345"/>
      <c r="G17" s="8">
        <f t="shared" si="0"/>
        <v>0</v>
      </c>
      <c r="H17" s="250"/>
      <c r="I17" s="277"/>
      <c r="J17" s="8">
        <f t="shared" si="1"/>
        <v>0</v>
      </c>
      <c r="K17" s="8">
        <f t="shared" si="2"/>
        <v>0</v>
      </c>
      <c r="L17" s="8"/>
      <c r="M17" s="34">
        <f t="shared" si="3"/>
        <v>0</v>
      </c>
      <c r="N17" s="8"/>
    </row>
    <row r="18" spans="1:21">
      <c r="A18" s="40">
        <v>14</v>
      </c>
      <c r="B18" s="207">
        <v>46309</v>
      </c>
      <c r="C18" s="61"/>
      <c r="D18" s="148"/>
      <c r="E18" s="250">
        <v>190.42</v>
      </c>
      <c r="F18" s="345">
        <v>105.03</v>
      </c>
      <c r="G18" s="8">
        <f t="shared" si="0"/>
        <v>19999.812599999997</v>
      </c>
      <c r="H18" s="250"/>
      <c r="I18" s="277"/>
      <c r="J18" s="8">
        <f t="shared" si="1"/>
        <v>0</v>
      </c>
      <c r="K18" s="8">
        <f t="shared" si="2"/>
        <v>19999.812599999997</v>
      </c>
      <c r="L18" s="8">
        <v>19999.812599999997</v>
      </c>
      <c r="M18" s="34">
        <f t="shared" si="3"/>
        <v>0</v>
      </c>
      <c r="N18" s="8"/>
      <c r="U18" s="19"/>
    </row>
    <row r="19" spans="1:21">
      <c r="A19" s="40">
        <v>15</v>
      </c>
      <c r="B19" s="207">
        <v>46310</v>
      </c>
      <c r="C19" s="61"/>
      <c r="D19" s="148"/>
      <c r="E19" s="250"/>
      <c r="F19" s="345"/>
      <c r="G19" s="8">
        <f t="shared" si="0"/>
        <v>0</v>
      </c>
      <c r="H19" s="250"/>
      <c r="I19" s="277"/>
      <c r="J19" s="8">
        <f t="shared" si="1"/>
        <v>0</v>
      </c>
      <c r="K19" s="443">
        <f t="shared" si="2"/>
        <v>0</v>
      </c>
      <c r="L19" s="443"/>
      <c r="M19" s="34">
        <f t="shared" si="3"/>
        <v>0</v>
      </c>
      <c r="N19" s="8"/>
    </row>
    <row r="20" spans="1:21">
      <c r="A20" s="40">
        <v>16</v>
      </c>
      <c r="B20" s="207">
        <v>46311</v>
      </c>
      <c r="C20" s="61"/>
      <c r="D20" s="148"/>
      <c r="E20" s="250"/>
      <c r="F20" s="345"/>
      <c r="G20" s="8">
        <f t="shared" ref="G20" si="5">E20*F20</f>
        <v>0</v>
      </c>
      <c r="H20" s="250"/>
      <c r="I20" s="277"/>
      <c r="J20" s="8">
        <f t="shared" si="1"/>
        <v>0</v>
      </c>
      <c r="K20" s="443">
        <f t="shared" ref="K20" si="6">G20+J20</f>
        <v>0</v>
      </c>
      <c r="L20" s="443"/>
      <c r="M20" s="34">
        <f t="shared" si="3"/>
        <v>0</v>
      </c>
      <c r="N20" s="8"/>
    </row>
    <row r="21" spans="1:21">
      <c r="A21" s="40">
        <v>17</v>
      </c>
      <c r="B21" s="207">
        <v>46312</v>
      </c>
      <c r="C21" s="61"/>
      <c r="D21" s="148"/>
      <c r="E21" s="250"/>
      <c r="F21" s="345"/>
      <c r="G21" s="8">
        <f t="shared" si="0"/>
        <v>0</v>
      </c>
      <c r="H21" s="250"/>
      <c r="I21" s="277"/>
      <c r="J21" s="8">
        <f t="shared" si="1"/>
        <v>0</v>
      </c>
      <c r="K21" s="443">
        <f t="shared" si="2"/>
        <v>0</v>
      </c>
      <c r="L21" s="443"/>
      <c r="M21" s="34">
        <f t="shared" si="3"/>
        <v>0</v>
      </c>
      <c r="N21" s="8"/>
    </row>
    <row r="22" spans="1:21">
      <c r="A22" s="40">
        <v>18</v>
      </c>
      <c r="B22" s="207">
        <v>46313</v>
      </c>
      <c r="C22" s="61"/>
      <c r="D22" s="148"/>
      <c r="E22" s="250"/>
      <c r="F22" s="345"/>
      <c r="G22" s="8">
        <f t="shared" si="0"/>
        <v>0</v>
      </c>
      <c r="H22" s="250"/>
      <c r="I22" s="277"/>
      <c r="J22" s="8">
        <f t="shared" si="1"/>
        <v>0</v>
      </c>
      <c r="K22" s="8">
        <f t="shared" si="2"/>
        <v>0</v>
      </c>
      <c r="L22" s="8"/>
      <c r="M22" s="34">
        <f t="shared" si="3"/>
        <v>0</v>
      </c>
      <c r="N22" s="8"/>
    </row>
    <row r="23" spans="1:21">
      <c r="A23" s="40">
        <v>19</v>
      </c>
      <c r="B23" s="207">
        <v>46314</v>
      </c>
      <c r="C23" s="61"/>
      <c r="D23" s="148"/>
      <c r="E23" s="250"/>
      <c r="F23" s="345"/>
      <c r="G23" s="8">
        <f t="shared" si="0"/>
        <v>0</v>
      </c>
      <c r="H23" s="250"/>
      <c r="I23" s="277"/>
      <c r="J23" s="8">
        <f t="shared" si="1"/>
        <v>0</v>
      </c>
      <c r="K23" s="8">
        <f t="shared" si="2"/>
        <v>0</v>
      </c>
      <c r="L23" s="8"/>
      <c r="M23" s="34">
        <f t="shared" si="3"/>
        <v>0</v>
      </c>
      <c r="N23" s="8"/>
    </row>
    <row r="24" spans="1:21">
      <c r="A24" s="40">
        <v>20</v>
      </c>
      <c r="B24" s="207">
        <v>46315</v>
      </c>
      <c r="C24" s="61"/>
      <c r="D24" s="148"/>
      <c r="E24" s="250"/>
      <c r="F24" s="345"/>
      <c r="G24" s="8">
        <f t="shared" si="0"/>
        <v>0</v>
      </c>
      <c r="H24" s="250"/>
      <c r="I24" s="277"/>
      <c r="J24" s="8">
        <f t="shared" si="1"/>
        <v>0</v>
      </c>
      <c r="K24" s="8">
        <f t="shared" si="2"/>
        <v>0</v>
      </c>
      <c r="L24" s="8"/>
      <c r="M24" s="34">
        <f t="shared" si="3"/>
        <v>0</v>
      </c>
      <c r="N24" s="8"/>
    </row>
    <row r="25" spans="1:21">
      <c r="A25" s="40">
        <v>21</v>
      </c>
      <c r="B25" s="207">
        <v>46316</v>
      </c>
      <c r="C25" s="61"/>
      <c r="D25" s="532"/>
      <c r="E25" s="402"/>
      <c r="F25" s="345"/>
      <c r="G25" s="8">
        <f t="shared" si="0"/>
        <v>0</v>
      </c>
      <c r="H25" s="250"/>
      <c r="I25" s="277"/>
      <c r="J25" s="8">
        <f t="shared" si="1"/>
        <v>0</v>
      </c>
      <c r="K25" s="8">
        <f t="shared" si="2"/>
        <v>0</v>
      </c>
      <c r="L25" s="8"/>
      <c r="M25" s="34">
        <f t="shared" si="3"/>
        <v>0</v>
      </c>
      <c r="N25" s="8"/>
    </row>
    <row r="26" spans="1:21">
      <c r="A26" s="40">
        <v>22</v>
      </c>
      <c r="B26" s="207">
        <v>46317</v>
      </c>
      <c r="C26" s="530"/>
      <c r="D26" s="148"/>
      <c r="E26" s="250"/>
      <c r="F26" s="531"/>
      <c r="G26" s="8">
        <f t="shared" si="0"/>
        <v>0</v>
      </c>
      <c r="H26" s="250"/>
      <c r="I26" s="277"/>
      <c r="J26" s="8">
        <f t="shared" si="1"/>
        <v>0</v>
      </c>
      <c r="K26" s="8">
        <f t="shared" si="2"/>
        <v>0</v>
      </c>
      <c r="L26" s="8"/>
      <c r="M26" s="34">
        <f t="shared" si="3"/>
        <v>0</v>
      </c>
      <c r="N26" s="8"/>
    </row>
    <row r="27" spans="1:21">
      <c r="A27" s="40">
        <v>23</v>
      </c>
      <c r="B27" s="207">
        <v>46318</v>
      </c>
      <c r="C27" s="530"/>
      <c r="D27" s="148"/>
      <c r="E27" s="250"/>
      <c r="F27" s="531"/>
      <c r="G27" s="8">
        <f t="shared" si="0"/>
        <v>0</v>
      </c>
      <c r="H27" s="250"/>
      <c r="I27" s="277"/>
      <c r="J27" s="8">
        <f t="shared" si="1"/>
        <v>0</v>
      </c>
      <c r="K27" s="8">
        <f t="shared" si="2"/>
        <v>0</v>
      </c>
      <c r="L27" s="62"/>
      <c r="M27" s="34">
        <f t="shared" si="3"/>
        <v>0</v>
      </c>
      <c r="N27" s="8"/>
    </row>
    <row r="28" spans="1:21">
      <c r="A28" s="40">
        <v>24</v>
      </c>
      <c r="B28" s="207">
        <v>46319</v>
      </c>
      <c r="C28" s="530"/>
      <c r="D28" s="148"/>
      <c r="E28" s="250"/>
      <c r="F28" s="531"/>
      <c r="G28" s="8">
        <f t="shared" si="0"/>
        <v>0</v>
      </c>
      <c r="H28" s="250"/>
      <c r="I28" s="277"/>
      <c r="J28" s="8">
        <f t="shared" si="1"/>
        <v>0</v>
      </c>
      <c r="K28" s="8">
        <f t="shared" si="2"/>
        <v>0</v>
      </c>
      <c r="L28" s="62"/>
      <c r="M28" s="34">
        <f t="shared" si="3"/>
        <v>0</v>
      </c>
      <c r="N28" s="8"/>
    </row>
    <row r="29" spans="1:21">
      <c r="A29" s="208">
        <v>25</v>
      </c>
      <c r="B29" s="207">
        <v>46320</v>
      </c>
      <c r="C29" s="530"/>
      <c r="D29" s="148"/>
      <c r="E29" s="14"/>
      <c r="F29" s="531"/>
      <c r="G29" s="8">
        <f t="shared" si="0"/>
        <v>0</v>
      </c>
      <c r="H29" s="250"/>
      <c r="I29" s="277"/>
      <c r="J29" s="8">
        <f t="shared" si="1"/>
        <v>0</v>
      </c>
      <c r="K29" s="8">
        <f t="shared" si="2"/>
        <v>0</v>
      </c>
      <c r="L29" s="62"/>
      <c r="M29" s="34">
        <f t="shared" si="3"/>
        <v>0</v>
      </c>
      <c r="N29" s="8"/>
    </row>
    <row r="30" spans="1:21">
      <c r="A30" s="208">
        <v>26</v>
      </c>
      <c r="B30" s="207">
        <v>46321</v>
      </c>
      <c r="C30" s="530"/>
      <c r="D30" s="148"/>
      <c r="E30" s="14"/>
      <c r="F30" s="531"/>
      <c r="G30" s="8">
        <f t="shared" si="0"/>
        <v>0</v>
      </c>
      <c r="H30" s="59"/>
      <c r="I30" s="60"/>
      <c r="J30" s="8">
        <f t="shared" si="1"/>
        <v>0</v>
      </c>
      <c r="K30" s="8">
        <f t="shared" si="2"/>
        <v>0</v>
      </c>
      <c r="L30" s="62"/>
      <c r="M30" s="34">
        <f t="shared" si="3"/>
        <v>0</v>
      </c>
      <c r="N30" s="8"/>
      <c r="U30" s="19"/>
    </row>
    <row r="31" spans="1:21">
      <c r="A31" s="208">
        <v>27</v>
      </c>
      <c r="B31" s="207">
        <v>46322</v>
      </c>
      <c r="C31" s="530"/>
      <c r="D31" s="148"/>
      <c r="E31" s="242"/>
      <c r="F31" s="516"/>
      <c r="G31" s="8">
        <f t="shared" si="0"/>
        <v>0</v>
      </c>
      <c r="H31" s="59"/>
      <c r="I31" s="60"/>
      <c r="J31" s="8">
        <f t="shared" si="1"/>
        <v>0</v>
      </c>
      <c r="K31" s="8">
        <f t="shared" si="2"/>
        <v>0</v>
      </c>
      <c r="L31" s="62"/>
      <c r="M31" s="34">
        <f t="shared" si="3"/>
        <v>0</v>
      </c>
      <c r="N31" s="8"/>
    </row>
    <row r="32" spans="1:21">
      <c r="A32" s="208">
        <v>28</v>
      </c>
      <c r="B32" s="207">
        <v>46323</v>
      </c>
      <c r="C32" s="61"/>
      <c r="D32" s="122"/>
      <c r="E32" s="513"/>
      <c r="F32" s="242"/>
      <c r="G32" s="8">
        <f t="shared" si="0"/>
        <v>0</v>
      </c>
      <c r="H32" s="59"/>
      <c r="I32" s="60"/>
      <c r="J32" s="8">
        <f t="shared" si="1"/>
        <v>0</v>
      </c>
      <c r="K32" s="8">
        <f t="shared" si="2"/>
        <v>0</v>
      </c>
      <c r="L32" s="62"/>
      <c r="M32" s="34">
        <f t="shared" si="3"/>
        <v>0</v>
      </c>
      <c r="N32" s="8"/>
    </row>
    <row r="33" spans="1:14">
      <c r="A33" s="209">
        <v>29</v>
      </c>
      <c r="B33" s="207">
        <v>46324</v>
      </c>
      <c r="C33" s="61"/>
      <c r="D33" s="148"/>
      <c r="E33" s="242"/>
      <c r="F33" s="242"/>
      <c r="G33" s="8">
        <f t="shared" si="0"/>
        <v>0</v>
      </c>
      <c r="H33" s="59"/>
      <c r="I33" s="60"/>
      <c r="J33" s="8">
        <f t="shared" si="1"/>
        <v>0</v>
      </c>
      <c r="K33" s="8">
        <f t="shared" si="2"/>
        <v>0</v>
      </c>
      <c r="L33" s="62"/>
      <c r="M33" s="34">
        <f t="shared" si="3"/>
        <v>0</v>
      </c>
      <c r="N33" s="8"/>
    </row>
    <row r="34" spans="1:14">
      <c r="A34" s="209">
        <v>30</v>
      </c>
      <c r="B34" s="207">
        <v>46325</v>
      </c>
      <c r="C34" s="61"/>
      <c r="D34" s="148"/>
      <c r="E34" s="242"/>
      <c r="F34" s="242"/>
      <c r="G34" s="8">
        <f t="shared" si="0"/>
        <v>0</v>
      </c>
      <c r="H34" s="59"/>
      <c r="I34" s="60"/>
      <c r="J34" s="8">
        <f t="shared" si="1"/>
        <v>0</v>
      </c>
      <c r="K34" s="8">
        <f t="shared" si="2"/>
        <v>0</v>
      </c>
      <c r="L34" s="62"/>
      <c r="M34" s="34">
        <f t="shared" si="3"/>
        <v>0</v>
      </c>
      <c r="N34" s="8"/>
    </row>
    <row r="35" spans="1:14">
      <c r="A35" s="209">
        <v>31</v>
      </c>
      <c r="B35" s="207">
        <v>46326</v>
      </c>
      <c r="C35" s="61"/>
      <c r="D35" s="148"/>
      <c r="E35" s="242"/>
      <c r="F35" s="242"/>
      <c r="G35" s="8">
        <f t="shared" si="0"/>
        <v>0</v>
      </c>
      <c r="H35" s="59"/>
      <c r="I35" s="60"/>
      <c r="J35" s="8">
        <f t="shared" si="1"/>
        <v>0</v>
      </c>
      <c r="K35" s="8">
        <f t="shared" si="2"/>
        <v>0</v>
      </c>
      <c r="L35" s="62"/>
      <c r="M35" s="62">
        <v>0</v>
      </c>
      <c r="N35" s="8"/>
    </row>
    <row r="36" spans="1:14">
      <c r="A36" s="56"/>
      <c r="B36" s="56"/>
      <c r="C36" s="56"/>
      <c r="D36" s="56"/>
      <c r="E36" s="243">
        <f>SUM(E4:E35)</f>
        <v>1522.5610000000001</v>
      </c>
      <c r="F36" s="243"/>
      <c r="G36" s="57">
        <f>SUM(G4:G35)</f>
        <v>160000.19883000001</v>
      </c>
      <c r="H36" s="57">
        <f>SUM(H4:H35)</f>
        <v>0</v>
      </c>
      <c r="I36" s="57"/>
      <c r="J36" s="57">
        <f>SUM(J4:J35)</f>
        <v>0</v>
      </c>
      <c r="K36" s="57">
        <f>SUM(K4:K35)</f>
        <v>160000.19883000001</v>
      </c>
      <c r="L36" s="57">
        <f>SUM(L4:L35)</f>
        <v>160000.19883000001</v>
      </c>
      <c r="M36" s="57"/>
      <c r="N36" s="57"/>
    </row>
  </sheetData>
  <mergeCells count="2">
    <mergeCell ref="A1:N1"/>
    <mergeCell ref="A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pane ySplit="3" topLeftCell="A4" activePane="bottomLeft" state="frozen"/>
      <selection pane="bottomLeft" activeCell="L18" sqref="L18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16.42578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623" t="s">
        <v>84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2"/>
      <c r="M3" s="139">
        <v>0</v>
      </c>
      <c r="N3" s="145"/>
      <c r="O3" s="53"/>
    </row>
    <row r="4" spans="1:18">
      <c r="A4" s="184">
        <v>1</v>
      </c>
      <c r="B4" s="207">
        <v>45931</v>
      </c>
      <c r="C4" s="61"/>
      <c r="D4" s="148"/>
      <c r="E4" s="242"/>
      <c r="F4" s="242"/>
      <c r="G4" s="8">
        <f t="shared" ref="G4" si="0">E4*F4</f>
        <v>0</v>
      </c>
      <c r="H4" s="59"/>
      <c r="I4" s="60"/>
      <c r="J4" s="8">
        <f>H4*I4</f>
        <v>0</v>
      </c>
      <c r="K4" s="8">
        <f>G4+J4</f>
        <v>0</v>
      </c>
      <c r="L4" s="62">
        <f>+K4</f>
        <v>0</v>
      </c>
      <c r="M4" s="62">
        <v>0</v>
      </c>
      <c r="N4" s="8"/>
    </row>
    <row r="5" spans="1:18">
      <c r="A5" s="40">
        <v>2</v>
      </c>
      <c r="B5" s="207">
        <v>45932</v>
      </c>
      <c r="C5" s="61"/>
      <c r="D5" s="148"/>
      <c r="E5" s="242"/>
      <c r="F5" s="242"/>
      <c r="G5" s="8">
        <f t="shared" ref="G5:G33" si="1">E5*F5</f>
        <v>0</v>
      </c>
      <c r="H5" s="59"/>
      <c r="I5" s="60"/>
      <c r="J5" s="8">
        <f t="shared" ref="J5:J33" si="2">H5*I5</f>
        <v>0</v>
      </c>
      <c r="K5" s="8">
        <f t="shared" ref="K5:K33" si="3">G5+J5</f>
        <v>0</v>
      </c>
      <c r="L5" s="62">
        <f t="shared" ref="L5:L33" si="4">+K5</f>
        <v>0</v>
      </c>
      <c r="M5" s="62">
        <v>0</v>
      </c>
      <c r="N5" s="8"/>
    </row>
    <row r="6" spans="1:18">
      <c r="A6" s="40">
        <v>3</v>
      </c>
      <c r="B6" s="207">
        <v>45933</v>
      </c>
      <c r="C6" s="61"/>
      <c r="D6" s="148"/>
      <c r="E6" s="242">
        <v>28.59</v>
      </c>
      <c r="F6" s="242">
        <v>104.95</v>
      </c>
      <c r="G6" s="8">
        <f t="shared" si="1"/>
        <v>3000.5205000000001</v>
      </c>
      <c r="H6" s="59"/>
      <c r="I6" s="60"/>
      <c r="J6" s="8">
        <f t="shared" si="2"/>
        <v>0</v>
      </c>
      <c r="K6" s="8">
        <f t="shared" si="3"/>
        <v>3000.5205000000001</v>
      </c>
      <c r="L6" s="62">
        <f t="shared" si="4"/>
        <v>3000.5205000000001</v>
      </c>
      <c r="M6" s="62">
        <v>0</v>
      </c>
      <c r="N6" s="8"/>
    </row>
    <row r="7" spans="1:18">
      <c r="A7" s="40">
        <v>4</v>
      </c>
      <c r="B7" s="207">
        <v>45934</v>
      </c>
      <c r="C7" s="61"/>
      <c r="D7" s="148"/>
      <c r="E7" s="242"/>
      <c r="F7" s="242"/>
      <c r="G7" s="8">
        <f t="shared" si="1"/>
        <v>0</v>
      </c>
      <c r="H7" s="59"/>
      <c r="I7" s="60"/>
      <c r="J7" s="8">
        <f t="shared" si="2"/>
        <v>0</v>
      </c>
      <c r="K7" s="8">
        <f t="shared" si="3"/>
        <v>0</v>
      </c>
      <c r="L7" s="62">
        <f t="shared" si="4"/>
        <v>0</v>
      </c>
      <c r="M7" s="62">
        <v>0</v>
      </c>
      <c r="N7" s="8"/>
    </row>
    <row r="8" spans="1:18">
      <c r="A8" s="40">
        <v>5</v>
      </c>
      <c r="B8" s="207">
        <v>45935</v>
      </c>
      <c r="C8" s="61"/>
      <c r="D8" s="148"/>
      <c r="E8" s="242"/>
      <c r="F8" s="242"/>
      <c r="G8" s="8">
        <f t="shared" si="1"/>
        <v>0</v>
      </c>
      <c r="H8" s="59"/>
      <c r="I8" s="60"/>
      <c r="J8" s="8">
        <f t="shared" si="2"/>
        <v>0</v>
      </c>
      <c r="K8" s="8">
        <f t="shared" si="3"/>
        <v>0</v>
      </c>
      <c r="L8" s="62">
        <f t="shared" si="4"/>
        <v>0</v>
      </c>
      <c r="M8" s="62">
        <v>0</v>
      </c>
      <c r="N8" s="8"/>
      <c r="O8" s="63"/>
      <c r="R8" s="212"/>
    </row>
    <row r="9" spans="1:18">
      <c r="A9" s="40">
        <v>6</v>
      </c>
      <c r="B9" s="207">
        <v>45936</v>
      </c>
      <c r="C9" s="61"/>
      <c r="D9" s="148"/>
      <c r="E9" s="242"/>
      <c r="F9" s="242"/>
      <c r="G9" s="8">
        <f t="shared" si="1"/>
        <v>0</v>
      </c>
      <c r="H9" s="59"/>
      <c r="I9" s="60"/>
      <c r="J9" s="8">
        <f t="shared" si="2"/>
        <v>0</v>
      </c>
      <c r="K9" s="8">
        <f t="shared" si="3"/>
        <v>0</v>
      </c>
      <c r="L9" s="62">
        <f t="shared" si="4"/>
        <v>0</v>
      </c>
      <c r="M9" s="62">
        <v>0</v>
      </c>
      <c r="N9" s="8"/>
      <c r="O9" s="63"/>
    </row>
    <row r="10" spans="1:18">
      <c r="A10" s="40">
        <v>7</v>
      </c>
      <c r="B10" s="207">
        <v>45937</v>
      </c>
      <c r="C10" s="61"/>
      <c r="D10" s="148"/>
      <c r="E10" s="242"/>
      <c r="F10" s="242"/>
      <c r="G10" s="8">
        <f t="shared" si="1"/>
        <v>0</v>
      </c>
      <c r="H10" s="59"/>
      <c r="I10" s="60"/>
      <c r="J10" s="8">
        <f t="shared" si="2"/>
        <v>0</v>
      </c>
      <c r="K10" s="8">
        <f t="shared" si="3"/>
        <v>0</v>
      </c>
      <c r="L10" s="62">
        <f t="shared" si="4"/>
        <v>0</v>
      </c>
      <c r="M10" s="62">
        <v>0</v>
      </c>
      <c r="N10" s="8"/>
      <c r="O10" s="63"/>
    </row>
    <row r="11" spans="1:18">
      <c r="A11" s="40">
        <v>8</v>
      </c>
      <c r="B11" s="207">
        <v>45938</v>
      </c>
      <c r="C11" s="61"/>
      <c r="D11" s="148"/>
      <c r="E11" s="242"/>
      <c r="F11" s="242"/>
      <c r="G11" s="8">
        <f t="shared" si="1"/>
        <v>0</v>
      </c>
      <c r="H11" s="59"/>
      <c r="I11" s="60"/>
      <c r="J11" s="8">
        <f t="shared" si="2"/>
        <v>0</v>
      </c>
      <c r="K11" s="8">
        <f t="shared" si="3"/>
        <v>0</v>
      </c>
      <c r="L11" s="62">
        <f t="shared" si="4"/>
        <v>0</v>
      </c>
      <c r="M11" s="62">
        <v>0</v>
      </c>
      <c r="N11" s="8"/>
      <c r="O11" s="63"/>
    </row>
    <row r="12" spans="1:18">
      <c r="A12" s="40">
        <v>9</v>
      </c>
      <c r="B12" s="207">
        <v>45939</v>
      </c>
      <c r="C12" s="61"/>
      <c r="D12" s="148"/>
      <c r="E12" s="242"/>
      <c r="F12" s="242"/>
      <c r="G12" s="8">
        <f t="shared" si="1"/>
        <v>0</v>
      </c>
      <c r="H12" s="59"/>
      <c r="I12" s="60"/>
      <c r="J12" s="8">
        <f t="shared" si="2"/>
        <v>0</v>
      </c>
      <c r="K12" s="8">
        <f t="shared" ref="K12:K18" si="5">G12+J12</f>
        <v>0</v>
      </c>
      <c r="L12" s="62">
        <f t="shared" ref="L12:L18" si="6">+K12</f>
        <v>0</v>
      </c>
      <c r="M12" s="62">
        <v>0</v>
      </c>
      <c r="N12" s="8"/>
      <c r="O12" s="63"/>
    </row>
    <row r="13" spans="1:18">
      <c r="A13" s="40">
        <v>10</v>
      </c>
      <c r="B13" s="207">
        <v>45940</v>
      </c>
      <c r="C13" s="61"/>
      <c r="D13" s="148"/>
      <c r="E13" s="242"/>
      <c r="F13" s="242"/>
      <c r="G13" s="8">
        <f t="shared" si="1"/>
        <v>0</v>
      </c>
      <c r="H13" s="59"/>
      <c r="I13" s="60"/>
      <c r="J13" s="8">
        <f t="shared" si="2"/>
        <v>0</v>
      </c>
      <c r="K13" s="8">
        <f t="shared" si="5"/>
        <v>0</v>
      </c>
      <c r="L13" s="62">
        <f t="shared" si="6"/>
        <v>0</v>
      </c>
      <c r="M13" s="62">
        <v>0</v>
      </c>
      <c r="N13" s="8"/>
      <c r="O13" s="63"/>
    </row>
    <row r="14" spans="1:18">
      <c r="A14" s="40">
        <v>11</v>
      </c>
      <c r="B14" s="207">
        <v>45941</v>
      </c>
      <c r="C14" s="61"/>
      <c r="D14" s="148"/>
      <c r="E14" s="242"/>
      <c r="F14" s="242"/>
      <c r="G14" s="8">
        <f t="shared" si="1"/>
        <v>0</v>
      </c>
      <c r="H14" s="59"/>
      <c r="I14" s="60"/>
      <c r="J14" s="8">
        <f t="shared" si="2"/>
        <v>0</v>
      </c>
      <c r="K14" s="8">
        <f t="shared" si="5"/>
        <v>0</v>
      </c>
      <c r="L14" s="62">
        <f t="shared" si="6"/>
        <v>0</v>
      </c>
      <c r="M14" s="62">
        <v>0</v>
      </c>
      <c r="N14" s="8"/>
      <c r="O14" s="63"/>
    </row>
    <row r="15" spans="1:18">
      <c r="A15" s="40">
        <v>12</v>
      </c>
      <c r="B15" s="207">
        <v>45942</v>
      </c>
      <c r="C15" s="61"/>
      <c r="D15" s="148"/>
      <c r="E15" s="242"/>
      <c r="F15" s="242"/>
      <c r="G15" s="8">
        <f t="shared" si="1"/>
        <v>0</v>
      </c>
      <c r="H15" s="59"/>
      <c r="I15" s="60"/>
      <c r="J15" s="8">
        <f t="shared" si="2"/>
        <v>0</v>
      </c>
      <c r="K15" s="8">
        <f t="shared" si="5"/>
        <v>0</v>
      </c>
      <c r="L15" s="62">
        <f t="shared" si="6"/>
        <v>0</v>
      </c>
      <c r="M15" s="62">
        <v>0</v>
      </c>
      <c r="N15" s="8"/>
      <c r="O15" s="63"/>
    </row>
    <row r="16" spans="1:18">
      <c r="A16" s="40">
        <v>13</v>
      </c>
      <c r="B16" s="207">
        <v>45943</v>
      </c>
      <c r="C16" s="61"/>
      <c r="D16" s="148"/>
      <c r="E16" s="242"/>
      <c r="F16" s="242"/>
      <c r="G16" s="8">
        <f t="shared" si="1"/>
        <v>0</v>
      </c>
      <c r="H16" s="59"/>
      <c r="I16" s="60"/>
      <c r="J16" s="8">
        <f t="shared" si="2"/>
        <v>0</v>
      </c>
      <c r="K16" s="8">
        <f t="shared" si="5"/>
        <v>0</v>
      </c>
      <c r="L16" s="62">
        <f t="shared" si="6"/>
        <v>0</v>
      </c>
      <c r="M16" s="62">
        <v>0</v>
      </c>
      <c r="N16" s="8"/>
      <c r="O16" s="63"/>
    </row>
    <row r="17" spans="1:15">
      <c r="A17" s="40">
        <v>14</v>
      </c>
      <c r="B17" s="207">
        <v>45944</v>
      </c>
      <c r="C17" s="61"/>
      <c r="D17" s="148"/>
      <c r="E17" s="242"/>
      <c r="F17" s="242"/>
      <c r="G17" s="8">
        <f t="shared" si="1"/>
        <v>0</v>
      </c>
      <c r="H17" s="59"/>
      <c r="I17" s="60"/>
      <c r="J17" s="8">
        <f t="shared" si="2"/>
        <v>0</v>
      </c>
      <c r="K17" s="8">
        <f t="shared" si="5"/>
        <v>0</v>
      </c>
      <c r="L17" s="62">
        <f t="shared" si="6"/>
        <v>0</v>
      </c>
      <c r="M17" s="62">
        <v>0</v>
      </c>
      <c r="N17" s="8"/>
      <c r="O17" s="63"/>
    </row>
    <row r="18" spans="1:15">
      <c r="A18" s="40">
        <v>15</v>
      </c>
      <c r="B18" s="207">
        <v>45945</v>
      </c>
      <c r="C18" s="61"/>
      <c r="D18" s="148"/>
      <c r="E18" s="242">
        <v>38.93</v>
      </c>
      <c r="F18" s="242">
        <v>104.95</v>
      </c>
      <c r="G18" s="8">
        <f t="shared" si="1"/>
        <v>4085.7035000000001</v>
      </c>
      <c r="H18" s="59"/>
      <c r="I18" s="60"/>
      <c r="J18" s="8">
        <f t="shared" si="2"/>
        <v>0</v>
      </c>
      <c r="K18" s="8">
        <f t="shared" si="5"/>
        <v>4085.7035000000001</v>
      </c>
      <c r="L18" s="62">
        <f t="shared" si="6"/>
        <v>4085.7035000000001</v>
      </c>
      <c r="M18" s="62">
        <v>0</v>
      </c>
      <c r="N18" s="8"/>
      <c r="O18" s="63"/>
    </row>
    <row r="19" spans="1:15">
      <c r="A19" s="40">
        <v>16</v>
      </c>
      <c r="B19" s="207">
        <v>45946</v>
      </c>
      <c r="C19" s="61"/>
      <c r="D19" s="148"/>
      <c r="E19" s="242"/>
      <c r="F19" s="242"/>
      <c r="G19" s="8">
        <f t="shared" si="1"/>
        <v>0</v>
      </c>
      <c r="H19" s="59"/>
      <c r="I19" s="60"/>
      <c r="J19" s="8">
        <f t="shared" si="2"/>
        <v>0</v>
      </c>
      <c r="K19" s="8">
        <f t="shared" si="3"/>
        <v>0</v>
      </c>
      <c r="L19" s="62">
        <f t="shared" si="4"/>
        <v>0</v>
      </c>
      <c r="M19" s="62">
        <v>0</v>
      </c>
      <c r="N19" s="8"/>
      <c r="O19" s="63"/>
    </row>
    <row r="20" spans="1:15">
      <c r="A20" s="40">
        <v>17</v>
      </c>
      <c r="B20" s="207">
        <v>45947</v>
      </c>
      <c r="C20" s="61"/>
      <c r="D20" s="148"/>
      <c r="E20" s="242"/>
      <c r="F20" s="242"/>
      <c r="G20" s="8">
        <f t="shared" si="1"/>
        <v>0</v>
      </c>
      <c r="H20" s="59"/>
      <c r="I20" s="60"/>
      <c r="J20" s="8">
        <f t="shared" si="2"/>
        <v>0</v>
      </c>
      <c r="K20" s="8">
        <f t="shared" si="3"/>
        <v>0</v>
      </c>
      <c r="L20" s="62">
        <f t="shared" si="4"/>
        <v>0</v>
      </c>
      <c r="M20" s="62">
        <v>0</v>
      </c>
      <c r="N20" s="8"/>
      <c r="O20" s="63"/>
    </row>
    <row r="21" spans="1:15">
      <c r="A21" s="40">
        <v>18</v>
      </c>
      <c r="B21" s="207">
        <v>45948</v>
      </c>
      <c r="C21" s="61"/>
      <c r="D21" s="148"/>
      <c r="E21" s="242"/>
      <c r="F21" s="242"/>
      <c r="G21" s="8">
        <f t="shared" si="1"/>
        <v>0</v>
      </c>
      <c r="H21" s="59"/>
      <c r="I21" s="60"/>
      <c r="J21" s="8">
        <f t="shared" si="2"/>
        <v>0</v>
      </c>
      <c r="K21" s="8">
        <f t="shared" si="3"/>
        <v>0</v>
      </c>
      <c r="L21" s="62">
        <f t="shared" si="4"/>
        <v>0</v>
      </c>
      <c r="M21" s="62">
        <v>0</v>
      </c>
      <c r="N21" s="8"/>
      <c r="O21" s="63"/>
    </row>
    <row r="22" spans="1:15">
      <c r="A22" s="40">
        <v>19</v>
      </c>
      <c r="B22" s="207">
        <v>45949</v>
      </c>
      <c r="C22" s="61"/>
      <c r="D22" s="148"/>
      <c r="E22" s="242"/>
      <c r="F22" s="242"/>
      <c r="G22" s="8">
        <f t="shared" si="1"/>
        <v>0</v>
      </c>
      <c r="H22" s="59"/>
      <c r="I22" s="60"/>
      <c r="J22" s="8">
        <f t="shared" si="2"/>
        <v>0</v>
      </c>
      <c r="K22" s="8">
        <f t="shared" si="3"/>
        <v>0</v>
      </c>
      <c r="L22" s="62">
        <f t="shared" si="4"/>
        <v>0</v>
      </c>
      <c r="M22" s="62">
        <v>0</v>
      </c>
      <c r="N22" s="8"/>
      <c r="O22" s="63"/>
    </row>
    <row r="23" spans="1:15">
      <c r="A23" s="40">
        <v>20</v>
      </c>
      <c r="B23" s="207">
        <v>45950</v>
      </c>
      <c r="C23" s="61"/>
      <c r="D23" s="148"/>
      <c r="E23" s="242"/>
      <c r="F23" s="242"/>
      <c r="G23" s="8">
        <f t="shared" si="1"/>
        <v>0</v>
      </c>
      <c r="H23" s="59"/>
      <c r="I23" s="60"/>
      <c r="J23" s="8">
        <f t="shared" si="2"/>
        <v>0</v>
      </c>
      <c r="K23" s="8">
        <f t="shared" si="3"/>
        <v>0</v>
      </c>
      <c r="L23" s="62">
        <f t="shared" si="4"/>
        <v>0</v>
      </c>
      <c r="M23" s="62">
        <v>0</v>
      </c>
      <c r="N23" s="8"/>
      <c r="O23" s="63"/>
    </row>
    <row r="24" spans="1:15">
      <c r="A24" s="40">
        <v>21</v>
      </c>
      <c r="B24" s="207">
        <v>45951</v>
      </c>
      <c r="C24" s="61"/>
      <c r="D24" s="148"/>
      <c r="E24" s="242"/>
      <c r="F24" s="242"/>
      <c r="G24" s="8">
        <f t="shared" si="1"/>
        <v>0</v>
      </c>
      <c r="H24" s="59"/>
      <c r="I24" s="60"/>
      <c r="J24" s="8">
        <f t="shared" si="2"/>
        <v>0</v>
      </c>
      <c r="K24" s="8">
        <f t="shared" si="3"/>
        <v>0</v>
      </c>
      <c r="L24" s="62">
        <f t="shared" si="4"/>
        <v>0</v>
      </c>
      <c r="M24" s="62">
        <v>0</v>
      </c>
      <c r="N24" s="8"/>
      <c r="O24" s="63"/>
    </row>
    <row r="25" spans="1:15">
      <c r="A25" s="40">
        <v>22</v>
      </c>
      <c r="B25" s="207">
        <v>45952</v>
      </c>
      <c r="C25" s="61"/>
      <c r="D25" s="148"/>
      <c r="E25" s="242"/>
      <c r="F25" s="242"/>
      <c r="G25" s="8">
        <f t="shared" si="1"/>
        <v>0</v>
      </c>
      <c r="H25" s="59"/>
      <c r="I25" s="60"/>
      <c r="J25" s="8">
        <f t="shared" si="2"/>
        <v>0</v>
      </c>
      <c r="K25" s="8">
        <f t="shared" si="3"/>
        <v>0</v>
      </c>
      <c r="L25" s="62">
        <f t="shared" si="4"/>
        <v>0</v>
      </c>
      <c r="M25" s="62">
        <v>0</v>
      </c>
      <c r="N25" s="8"/>
      <c r="O25" s="63"/>
    </row>
    <row r="26" spans="1:15">
      <c r="A26" s="40">
        <v>23</v>
      </c>
      <c r="B26" s="207">
        <v>45953</v>
      </c>
      <c r="C26" s="61"/>
      <c r="D26" s="148"/>
      <c r="E26" s="242"/>
      <c r="F26" s="242"/>
      <c r="G26" s="8">
        <f t="shared" si="1"/>
        <v>0</v>
      </c>
      <c r="H26" s="59"/>
      <c r="I26" s="60"/>
      <c r="J26" s="8">
        <f t="shared" si="2"/>
        <v>0</v>
      </c>
      <c r="K26" s="8">
        <f t="shared" si="3"/>
        <v>0</v>
      </c>
      <c r="L26" s="62">
        <f t="shared" si="4"/>
        <v>0</v>
      </c>
      <c r="M26" s="62">
        <v>0</v>
      </c>
      <c r="N26" s="8"/>
      <c r="O26" s="63"/>
    </row>
    <row r="27" spans="1:15">
      <c r="A27" s="40">
        <v>24</v>
      </c>
      <c r="B27" s="207">
        <v>45954</v>
      </c>
      <c r="C27" s="61"/>
      <c r="D27" s="148"/>
      <c r="E27" s="242"/>
      <c r="F27" s="242"/>
      <c r="G27" s="8">
        <f t="shared" si="1"/>
        <v>0</v>
      </c>
      <c r="H27" s="59"/>
      <c r="I27" s="60"/>
      <c r="J27" s="8">
        <f t="shared" si="2"/>
        <v>0</v>
      </c>
      <c r="K27" s="8">
        <f t="shared" si="3"/>
        <v>0</v>
      </c>
      <c r="L27" s="62">
        <f t="shared" si="4"/>
        <v>0</v>
      </c>
      <c r="M27" s="62">
        <v>0</v>
      </c>
      <c r="N27" s="8"/>
      <c r="O27" s="63"/>
    </row>
    <row r="28" spans="1:15">
      <c r="A28" s="208">
        <v>25</v>
      </c>
      <c r="B28" s="207">
        <v>45955</v>
      </c>
      <c r="C28" s="61"/>
      <c r="D28" s="148"/>
      <c r="E28" s="242"/>
      <c r="F28" s="242"/>
      <c r="G28" s="8">
        <f t="shared" si="1"/>
        <v>0</v>
      </c>
      <c r="H28" s="59"/>
      <c r="I28" s="60"/>
      <c r="J28" s="8">
        <f t="shared" si="2"/>
        <v>0</v>
      </c>
      <c r="K28" s="8">
        <f t="shared" si="3"/>
        <v>0</v>
      </c>
      <c r="L28" s="62">
        <f t="shared" si="4"/>
        <v>0</v>
      </c>
      <c r="M28" s="62">
        <v>0</v>
      </c>
      <c r="N28" s="8"/>
      <c r="O28" s="63"/>
    </row>
    <row r="29" spans="1:15">
      <c r="A29" s="208">
        <v>26</v>
      </c>
      <c r="B29" s="207">
        <v>45956</v>
      </c>
      <c r="C29" s="61"/>
      <c r="D29" s="148"/>
      <c r="E29" s="242"/>
      <c r="F29" s="242"/>
      <c r="G29" s="8">
        <f t="shared" si="1"/>
        <v>0</v>
      </c>
      <c r="H29" s="59"/>
      <c r="I29" s="60"/>
      <c r="J29" s="8">
        <f t="shared" si="2"/>
        <v>0</v>
      </c>
      <c r="K29" s="8">
        <f t="shared" si="3"/>
        <v>0</v>
      </c>
      <c r="L29" s="62">
        <f t="shared" si="4"/>
        <v>0</v>
      </c>
      <c r="M29" s="62">
        <v>0</v>
      </c>
      <c r="N29" s="8"/>
      <c r="O29" s="63"/>
    </row>
    <row r="30" spans="1:15">
      <c r="A30" s="208">
        <v>27</v>
      </c>
      <c r="B30" s="207">
        <v>45957</v>
      </c>
      <c r="C30" s="61"/>
      <c r="D30" s="148"/>
      <c r="E30" s="242"/>
      <c r="F30" s="242"/>
      <c r="G30" s="8">
        <f t="shared" si="1"/>
        <v>0</v>
      </c>
      <c r="H30" s="59"/>
      <c r="I30" s="60"/>
      <c r="J30" s="8">
        <f t="shared" si="2"/>
        <v>0</v>
      </c>
      <c r="K30" s="8">
        <f t="shared" si="3"/>
        <v>0</v>
      </c>
      <c r="L30" s="62">
        <f t="shared" si="4"/>
        <v>0</v>
      </c>
      <c r="M30" s="62">
        <v>0</v>
      </c>
      <c r="N30" s="8"/>
      <c r="O30" s="63"/>
    </row>
    <row r="31" spans="1:15">
      <c r="A31" s="208">
        <v>28</v>
      </c>
      <c r="B31" s="207">
        <v>45958</v>
      </c>
      <c r="C31" s="61"/>
      <c r="D31" s="148"/>
      <c r="E31" s="242"/>
      <c r="F31" s="242"/>
      <c r="G31" s="8">
        <f t="shared" si="1"/>
        <v>0</v>
      </c>
      <c r="H31" s="59"/>
      <c r="I31" s="60"/>
      <c r="J31" s="8">
        <f t="shared" si="2"/>
        <v>0</v>
      </c>
      <c r="K31" s="8">
        <f t="shared" si="3"/>
        <v>0</v>
      </c>
      <c r="L31" s="62">
        <f t="shared" si="4"/>
        <v>0</v>
      </c>
      <c r="M31" s="62">
        <v>0</v>
      </c>
      <c r="N31" s="8"/>
      <c r="O31" s="63"/>
    </row>
    <row r="32" spans="1:15">
      <c r="A32" s="209">
        <v>29</v>
      </c>
      <c r="B32" s="207">
        <v>45959</v>
      </c>
      <c r="C32" s="61"/>
      <c r="D32" s="148"/>
      <c r="E32" s="242"/>
      <c r="F32" s="242"/>
      <c r="G32" s="8">
        <f t="shared" si="1"/>
        <v>0</v>
      </c>
      <c r="H32" s="59"/>
      <c r="I32" s="60"/>
      <c r="J32" s="8">
        <f t="shared" si="2"/>
        <v>0</v>
      </c>
      <c r="K32" s="8">
        <f t="shared" si="3"/>
        <v>0</v>
      </c>
      <c r="L32" s="62">
        <f t="shared" si="4"/>
        <v>0</v>
      </c>
      <c r="M32" s="62">
        <v>0</v>
      </c>
      <c r="N32" s="8"/>
      <c r="O32" s="63"/>
    </row>
    <row r="33" spans="1:15">
      <c r="A33" s="209">
        <v>30</v>
      </c>
      <c r="B33" s="207">
        <v>45960</v>
      </c>
      <c r="C33" s="61"/>
      <c r="D33" s="148"/>
      <c r="E33" s="242"/>
      <c r="F33" s="242"/>
      <c r="G33" s="8">
        <f t="shared" ref="G33" si="7">E33*F33</f>
        <v>0</v>
      </c>
      <c r="H33" s="59"/>
      <c r="I33" s="60"/>
      <c r="J33" s="8">
        <f t="shared" si="2"/>
        <v>0</v>
      </c>
      <c r="K33" s="8">
        <f t="shared" si="3"/>
        <v>0</v>
      </c>
      <c r="L33" s="62">
        <f t="shared" si="4"/>
        <v>0</v>
      </c>
      <c r="M33" s="62">
        <v>0</v>
      </c>
      <c r="N33" s="8"/>
      <c r="O33" s="63"/>
    </row>
    <row r="34" spans="1:15">
      <c r="A34" s="209">
        <v>31</v>
      </c>
      <c r="B34" s="207">
        <v>45961</v>
      </c>
      <c r="C34" s="61"/>
      <c r="D34" s="148"/>
      <c r="E34" s="242"/>
      <c r="F34" s="242"/>
      <c r="G34" s="8">
        <f t="shared" ref="G34" si="8">E34*F34</f>
        <v>0</v>
      </c>
      <c r="H34" s="59"/>
      <c r="I34" s="60"/>
      <c r="J34" s="8">
        <f t="shared" ref="J34" si="9">H34*I34</f>
        <v>0</v>
      </c>
      <c r="K34" s="8">
        <f t="shared" ref="K34" si="10">G34+J34</f>
        <v>0</v>
      </c>
      <c r="L34" s="62">
        <f t="shared" ref="L34" si="11">+K34</f>
        <v>0</v>
      </c>
      <c r="M34" s="62">
        <v>0</v>
      </c>
      <c r="N34" s="8"/>
      <c r="O34" s="63"/>
    </row>
    <row r="35" spans="1:15">
      <c r="A35" s="56"/>
      <c r="B35" s="56"/>
      <c r="C35" s="56"/>
      <c r="D35" s="56"/>
      <c r="E35" s="243">
        <f>SUM(E4:E34)</f>
        <v>67.52</v>
      </c>
      <c r="F35" s="243"/>
      <c r="G35" s="57">
        <f>SUM(G4:G34)</f>
        <v>7086.2240000000002</v>
      </c>
      <c r="H35" s="57">
        <f>SUM(H4:H34)</f>
        <v>0</v>
      </c>
      <c r="I35" s="57"/>
      <c r="J35" s="57">
        <f>SUM(J4:J34)</f>
        <v>0</v>
      </c>
      <c r="K35" s="57">
        <f>SUM(K4:K34)</f>
        <v>7086.2240000000002</v>
      </c>
      <c r="L35" s="57">
        <f>SUM(L4:L34)</f>
        <v>7086.2240000000002</v>
      </c>
      <c r="M35" s="57"/>
      <c r="N35" s="57"/>
      <c r="O35" s="53"/>
    </row>
    <row r="36" spans="1:15">
      <c r="A36" s="66"/>
      <c r="B36" s="67"/>
      <c r="C36" s="66"/>
      <c r="D36" s="66"/>
      <c r="E36" s="68"/>
      <c r="F36" s="68"/>
      <c r="G36" s="68"/>
      <c r="H36" s="68"/>
      <c r="I36" s="68"/>
      <c r="J36" s="69"/>
      <c r="K36" s="69"/>
      <c r="L36" s="69"/>
      <c r="M36" s="69"/>
      <c r="N36" s="68"/>
      <c r="O36" s="63"/>
    </row>
    <row r="37" spans="1:15">
      <c r="O37" s="63"/>
    </row>
    <row r="38" spans="1:15"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A42" s="63"/>
      <c r="B42" s="53"/>
      <c r="C42" s="63"/>
      <c r="D42" s="63"/>
      <c r="E42" s="63"/>
      <c r="F42" s="63"/>
      <c r="G42" s="70"/>
      <c r="H42" s="63"/>
      <c r="I42" s="63"/>
      <c r="J42" s="53"/>
      <c r="K42" s="53"/>
      <c r="L42" s="53"/>
      <c r="M42" s="53"/>
      <c r="N42" s="63"/>
      <c r="O42" s="68"/>
    </row>
    <row r="43" spans="1:15">
      <c r="A43" s="63"/>
      <c r="B43" s="624"/>
      <c r="C43" s="624"/>
      <c r="D43" s="624"/>
      <c r="E43" s="624"/>
      <c r="F43" s="63"/>
      <c r="G43" s="63"/>
      <c r="H43" s="63"/>
      <c r="I43" s="624"/>
      <c r="J43" s="624"/>
      <c r="K43" s="624"/>
      <c r="L43" s="624"/>
      <c r="M43" s="624"/>
      <c r="N43" s="624"/>
      <c r="O43" s="68"/>
    </row>
    <row r="44" spans="1:15">
      <c r="A44" s="63"/>
      <c r="B44" s="53"/>
      <c r="C44" s="63"/>
      <c r="D44" s="63"/>
      <c r="E44" s="63"/>
      <c r="F44" s="63"/>
      <c r="G44" s="63"/>
      <c r="H44" s="63"/>
      <c r="I44" s="63"/>
      <c r="J44" s="53"/>
      <c r="K44" s="53"/>
      <c r="L44" s="53"/>
      <c r="M44" s="53"/>
      <c r="N44" s="63"/>
      <c r="O44" s="68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sheetPr>
    <tabColor theme="7" tint="0.39997558519241921"/>
  </sheetPr>
  <dimension ref="A1:N68"/>
  <sheetViews>
    <sheetView workbookViewId="0">
      <pane ySplit="3" topLeftCell="A4" activePane="bottomLeft" state="frozen"/>
      <selection pane="bottomLeft" activeCell="K81" sqref="K81"/>
    </sheetView>
  </sheetViews>
  <sheetFormatPr defaultColWidth="18.28515625" defaultRowHeight="15"/>
  <cols>
    <col min="1" max="1" width="13.42578125" customWidth="1"/>
    <col min="2" max="2" width="12.28515625" bestFit="1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10" customWidth="1"/>
    <col min="10" max="10" width="16.5703125" customWidth="1"/>
  </cols>
  <sheetData>
    <row r="1" spans="1:14" ht="15.75">
      <c r="A1" s="317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</row>
    <row r="2" spans="1:14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14">
      <c r="A3" s="620" t="s">
        <v>178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25"/>
      <c r="M3" s="348"/>
      <c r="N3" s="203"/>
    </row>
    <row r="4" spans="1:14">
      <c r="A4" s="209">
        <v>1</v>
      </c>
      <c r="B4" s="485"/>
      <c r="C4" s="467"/>
      <c r="D4" s="463"/>
      <c r="E4" s="465"/>
      <c r="F4" s="465"/>
      <c r="G4" s="486">
        <f>E4*F4</f>
        <v>0</v>
      </c>
      <c r="H4" s="464"/>
      <c r="I4" s="464"/>
      <c r="J4" s="486">
        <f>H4*I4</f>
        <v>0</v>
      </c>
      <c r="K4" s="473">
        <f>G4+J4</f>
        <v>0</v>
      </c>
      <c r="L4" s="490">
        <f>+K4</f>
        <v>0</v>
      </c>
      <c r="M4" s="473"/>
      <c r="N4" s="487"/>
    </row>
    <row r="5" spans="1:14">
      <c r="A5" s="208">
        <v>2</v>
      </c>
      <c r="B5" s="485"/>
      <c r="C5" s="467"/>
      <c r="D5" s="463"/>
      <c r="E5" s="465"/>
      <c r="F5" s="465"/>
      <c r="G5" s="486">
        <f t="shared" ref="G5:G30" si="0">E5*F5</f>
        <v>0</v>
      </c>
      <c r="H5" s="464"/>
      <c r="I5" s="464"/>
      <c r="J5" s="486">
        <f t="shared" ref="J5:J66" si="1">H5*I5</f>
        <v>0</v>
      </c>
      <c r="K5" s="473">
        <f t="shared" ref="K5:K35" si="2">G5+J5</f>
        <v>0</v>
      </c>
      <c r="L5" s="490">
        <f>+K5</f>
        <v>0</v>
      </c>
      <c r="M5" s="473"/>
      <c r="N5" s="487"/>
    </row>
    <row r="6" spans="1:14">
      <c r="A6" s="208">
        <v>3</v>
      </c>
      <c r="B6" s="485"/>
      <c r="C6" s="467"/>
      <c r="D6" s="463"/>
      <c r="E6" s="465"/>
      <c r="F6" s="465"/>
      <c r="G6" s="486">
        <f t="shared" si="0"/>
        <v>0</v>
      </c>
      <c r="H6" s="464"/>
      <c r="I6" s="464"/>
      <c r="J6" s="486">
        <f t="shared" si="1"/>
        <v>0</v>
      </c>
      <c r="K6" s="473">
        <f t="shared" si="2"/>
        <v>0</v>
      </c>
      <c r="L6" s="490">
        <f t="shared" ref="L5:L49" si="3">+K6</f>
        <v>0</v>
      </c>
      <c r="M6" s="473"/>
      <c r="N6" s="487"/>
    </row>
    <row r="7" spans="1:14">
      <c r="A7" s="209">
        <v>4</v>
      </c>
      <c r="B7" s="485"/>
      <c r="C7" s="462"/>
      <c r="D7" s="463"/>
      <c r="E7" s="465"/>
      <c r="F7" s="464"/>
      <c r="G7" s="486">
        <f t="shared" si="0"/>
        <v>0</v>
      </c>
      <c r="H7" s="464"/>
      <c r="I7" s="464"/>
      <c r="J7" s="486">
        <f t="shared" si="1"/>
        <v>0</v>
      </c>
      <c r="K7" s="473">
        <f t="shared" si="2"/>
        <v>0</v>
      </c>
      <c r="L7" s="490">
        <f t="shared" si="3"/>
        <v>0</v>
      </c>
      <c r="M7" s="473"/>
      <c r="N7" s="487"/>
    </row>
    <row r="8" spans="1:14">
      <c r="A8" s="208">
        <v>5</v>
      </c>
      <c r="B8" s="485"/>
      <c r="C8" s="467"/>
      <c r="D8" s="463"/>
      <c r="E8" s="465"/>
      <c r="F8" s="464"/>
      <c r="G8" s="486">
        <f t="shared" si="0"/>
        <v>0</v>
      </c>
      <c r="H8" s="464"/>
      <c r="I8" s="464"/>
      <c r="J8" s="486">
        <f t="shared" si="1"/>
        <v>0</v>
      </c>
      <c r="K8" s="473">
        <f t="shared" si="2"/>
        <v>0</v>
      </c>
      <c r="L8" s="490">
        <f t="shared" si="3"/>
        <v>0</v>
      </c>
      <c r="M8" s="473"/>
      <c r="N8" s="487"/>
    </row>
    <row r="9" spans="1:14">
      <c r="A9" s="208">
        <v>6</v>
      </c>
      <c r="B9" s="485"/>
      <c r="C9" s="467"/>
      <c r="D9" s="463"/>
      <c r="E9" s="465"/>
      <c r="F9" s="464"/>
      <c r="G9" s="486">
        <f t="shared" si="0"/>
        <v>0</v>
      </c>
      <c r="H9" s="464"/>
      <c r="I9" s="464"/>
      <c r="J9" s="486">
        <f t="shared" si="1"/>
        <v>0</v>
      </c>
      <c r="K9" s="473">
        <f t="shared" si="2"/>
        <v>0</v>
      </c>
      <c r="L9" s="490">
        <f t="shared" si="3"/>
        <v>0</v>
      </c>
      <c r="M9" s="473"/>
      <c r="N9" s="487"/>
    </row>
    <row r="10" spans="1:14">
      <c r="A10" s="209">
        <v>7</v>
      </c>
      <c r="B10" s="485"/>
      <c r="C10" s="467"/>
      <c r="D10" s="463"/>
      <c r="E10" s="465"/>
      <c r="F10" s="465"/>
      <c r="G10" s="486">
        <f t="shared" si="0"/>
        <v>0</v>
      </c>
      <c r="H10" s="464"/>
      <c r="I10" s="464"/>
      <c r="J10" s="486">
        <f t="shared" si="1"/>
        <v>0</v>
      </c>
      <c r="K10" s="473">
        <f t="shared" si="2"/>
        <v>0</v>
      </c>
      <c r="L10" s="490">
        <f t="shared" si="3"/>
        <v>0</v>
      </c>
      <c r="M10" s="473"/>
      <c r="N10" s="487"/>
    </row>
    <row r="11" spans="1:14">
      <c r="A11" s="208">
        <v>8</v>
      </c>
      <c r="B11" s="485"/>
      <c r="C11" s="457"/>
      <c r="D11" s="463"/>
      <c r="E11" s="459"/>
      <c r="F11" s="464"/>
      <c r="G11" s="486">
        <f t="shared" si="0"/>
        <v>0</v>
      </c>
      <c r="H11" s="460"/>
      <c r="I11" s="460"/>
      <c r="J11" s="486">
        <f t="shared" si="1"/>
        <v>0</v>
      </c>
      <c r="K11" s="461">
        <f t="shared" si="2"/>
        <v>0</v>
      </c>
      <c r="L11" s="490">
        <f t="shared" si="3"/>
        <v>0</v>
      </c>
      <c r="M11" s="461"/>
      <c r="N11" s="488"/>
    </row>
    <row r="12" spans="1:14">
      <c r="A12" s="208">
        <v>9</v>
      </c>
      <c r="B12" s="485"/>
      <c r="C12" s="467"/>
      <c r="D12" s="463"/>
      <c r="E12" s="459"/>
      <c r="F12" s="459"/>
      <c r="G12" s="486">
        <f t="shared" si="0"/>
        <v>0</v>
      </c>
      <c r="H12" s="460"/>
      <c r="I12" s="464"/>
      <c r="J12" s="486">
        <f t="shared" si="1"/>
        <v>0</v>
      </c>
      <c r="K12" s="461">
        <f t="shared" si="2"/>
        <v>0</v>
      </c>
      <c r="L12" s="490">
        <f t="shared" si="3"/>
        <v>0</v>
      </c>
      <c r="M12" s="461"/>
      <c r="N12" s="488"/>
    </row>
    <row r="13" spans="1:14">
      <c r="A13" s="209">
        <v>10</v>
      </c>
      <c r="B13" s="485"/>
      <c r="C13" s="467"/>
      <c r="D13" s="463"/>
      <c r="E13" s="465"/>
      <c r="F13" s="464"/>
      <c r="G13" s="486">
        <f t="shared" si="0"/>
        <v>0</v>
      </c>
      <c r="H13" s="460"/>
      <c r="I13" s="460"/>
      <c r="J13" s="486">
        <f t="shared" si="1"/>
        <v>0</v>
      </c>
      <c r="K13" s="461">
        <f t="shared" si="2"/>
        <v>0</v>
      </c>
      <c r="L13" s="490">
        <f t="shared" si="3"/>
        <v>0</v>
      </c>
      <c r="M13" s="461"/>
      <c r="N13" s="488"/>
    </row>
    <row r="14" spans="1:14">
      <c r="A14" s="208">
        <v>11</v>
      </c>
      <c r="B14" s="485"/>
      <c r="C14" s="462"/>
      <c r="D14" s="463"/>
      <c r="E14" s="465"/>
      <c r="F14" s="464"/>
      <c r="G14" s="486">
        <f t="shared" si="0"/>
        <v>0</v>
      </c>
      <c r="H14" s="460"/>
      <c r="I14" s="460"/>
      <c r="J14" s="486">
        <f t="shared" si="1"/>
        <v>0</v>
      </c>
      <c r="K14" s="461">
        <f t="shared" si="2"/>
        <v>0</v>
      </c>
      <c r="L14" s="490">
        <f t="shared" si="3"/>
        <v>0</v>
      </c>
      <c r="M14" s="461"/>
      <c r="N14" s="488"/>
    </row>
    <row r="15" spans="1:14">
      <c r="A15" s="208">
        <v>12</v>
      </c>
      <c r="B15" s="551"/>
      <c r="C15" s="467"/>
      <c r="D15" s="463"/>
      <c r="E15" s="465"/>
      <c r="F15" s="464"/>
      <c r="G15" s="486">
        <f t="shared" si="0"/>
        <v>0</v>
      </c>
      <c r="H15" s="464"/>
      <c r="I15" s="464"/>
      <c r="J15" s="486">
        <f t="shared" si="1"/>
        <v>0</v>
      </c>
      <c r="K15" s="461">
        <f t="shared" si="2"/>
        <v>0</v>
      </c>
      <c r="L15" s="490">
        <f t="shared" si="3"/>
        <v>0</v>
      </c>
      <c r="M15" s="461"/>
      <c r="N15" s="488"/>
    </row>
    <row r="16" spans="1:14">
      <c r="A16" s="209">
        <v>13</v>
      </c>
      <c r="B16" s="551"/>
      <c r="C16" s="462"/>
      <c r="D16" s="463"/>
      <c r="E16" s="465"/>
      <c r="F16" s="459"/>
      <c r="G16" s="486">
        <f t="shared" si="0"/>
        <v>0</v>
      </c>
      <c r="H16" s="464"/>
      <c r="I16" s="464"/>
      <c r="J16" s="486">
        <f t="shared" si="1"/>
        <v>0</v>
      </c>
      <c r="K16" s="461">
        <f t="shared" si="2"/>
        <v>0</v>
      </c>
      <c r="L16" s="490">
        <f t="shared" si="3"/>
        <v>0</v>
      </c>
      <c r="M16" s="461"/>
      <c r="N16" s="488"/>
    </row>
    <row r="17" spans="1:14">
      <c r="A17" s="208">
        <v>14</v>
      </c>
      <c r="B17" s="551"/>
      <c r="C17" s="462"/>
      <c r="D17" s="463"/>
      <c r="E17" s="465"/>
      <c r="F17" s="459"/>
      <c r="G17" s="486">
        <f t="shared" si="0"/>
        <v>0</v>
      </c>
      <c r="H17" s="464"/>
      <c r="I17" s="464"/>
      <c r="J17" s="486">
        <f t="shared" si="1"/>
        <v>0</v>
      </c>
      <c r="K17" s="461">
        <f t="shared" si="2"/>
        <v>0</v>
      </c>
      <c r="L17" s="490">
        <f t="shared" si="3"/>
        <v>0</v>
      </c>
      <c r="M17" s="461"/>
      <c r="N17" s="488"/>
    </row>
    <row r="18" spans="1:14">
      <c r="A18" s="208">
        <v>15</v>
      </c>
      <c r="B18" s="551"/>
      <c r="C18" s="462"/>
      <c r="D18" s="463"/>
      <c r="E18" s="465"/>
      <c r="F18" s="464"/>
      <c r="G18" s="486">
        <f t="shared" si="0"/>
        <v>0</v>
      </c>
      <c r="H18" s="464"/>
      <c r="I18" s="460"/>
      <c r="J18" s="486">
        <f t="shared" si="1"/>
        <v>0</v>
      </c>
      <c r="K18" s="461">
        <f t="shared" si="2"/>
        <v>0</v>
      </c>
      <c r="L18" s="490">
        <f t="shared" si="3"/>
        <v>0</v>
      </c>
      <c r="M18" s="461"/>
      <c r="N18" s="488"/>
    </row>
    <row r="19" spans="1:14">
      <c r="A19" s="209">
        <v>16</v>
      </c>
      <c r="B19" s="551"/>
      <c r="C19" s="462"/>
      <c r="D19" s="463"/>
      <c r="E19" s="465"/>
      <c r="F19" s="464"/>
      <c r="G19" s="486">
        <f t="shared" si="0"/>
        <v>0</v>
      </c>
      <c r="H19" s="460"/>
      <c r="I19" s="460"/>
      <c r="J19" s="486">
        <f t="shared" si="1"/>
        <v>0</v>
      </c>
      <c r="K19" s="461">
        <f t="shared" si="2"/>
        <v>0</v>
      </c>
      <c r="L19" s="490">
        <f t="shared" si="3"/>
        <v>0</v>
      </c>
      <c r="M19" s="461"/>
      <c r="N19" s="488"/>
    </row>
    <row r="20" spans="1:14">
      <c r="A20" s="208">
        <v>17</v>
      </c>
      <c r="B20" s="551"/>
      <c r="C20" s="462"/>
      <c r="D20" s="463"/>
      <c r="E20" s="465"/>
      <c r="F20" s="464"/>
      <c r="G20" s="486">
        <f t="shared" si="0"/>
        <v>0</v>
      </c>
      <c r="H20" s="460"/>
      <c r="I20" s="460"/>
      <c r="J20" s="486">
        <f t="shared" si="1"/>
        <v>0</v>
      </c>
      <c r="K20" s="461">
        <f t="shared" si="2"/>
        <v>0</v>
      </c>
      <c r="L20" s="490">
        <f t="shared" si="3"/>
        <v>0</v>
      </c>
      <c r="M20" s="461"/>
      <c r="N20" s="488"/>
    </row>
    <row r="21" spans="1:14">
      <c r="A21" s="208">
        <v>18</v>
      </c>
      <c r="B21" s="551"/>
      <c r="C21" s="457"/>
      <c r="D21" s="458"/>
      <c r="E21" s="459"/>
      <c r="F21" s="464"/>
      <c r="G21" s="486">
        <f t="shared" si="0"/>
        <v>0</v>
      </c>
      <c r="H21" s="460"/>
      <c r="I21" s="460"/>
      <c r="J21" s="486">
        <f t="shared" si="1"/>
        <v>0</v>
      </c>
      <c r="K21" s="461">
        <f t="shared" si="2"/>
        <v>0</v>
      </c>
      <c r="L21" s="490">
        <f t="shared" si="3"/>
        <v>0</v>
      </c>
      <c r="M21" s="461"/>
      <c r="N21" s="488"/>
    </row>
    <row r="22" spans="1:14">
      <c r="A22" s="209">
        <v>19</v>
      </c>
      <c r="B22" s="551"/>
      <c r="C22" s="462"/>
      <c r="D22" s="463"/>
      <c r="E22" s="459"/>
      <c r="F22" s="459"/>
      <c r="G22" s="486">
        <f t="shared" si="0"/>
        <v>0</v>
      </c>
      <c r="H22" s="460"/>
      <c r="I22" s="460"/>
      <c r="J22" s="486">
        <f t="shared" si="1"/>
        <v>0</v>
      </c>
      <c r="K22" s="461">
        <f t="shared" si="2"/>
        <v>0</v>
      </c>
      <c r="L22" s="490">
        <f t="shared" si="3"/>
        <v>0</v>
      </c>
      <c r="M22" s="461"/>
      <c r="N22" s="488"/>
    </row>
    <row r="23" spans="1:14">
      <c r="A23" s="208">
        <v>20</v>
      </c>
      <c r="B23" s="485"/>
      <c r="C23" s="457"/>
      <c r="D23" s="458"/>
      <c r="E23" s="459"/>
      <c r="F23" s="459"/>
      <c r="G23" s="486">
        <f t="shared" si="0"/>
        <v>0</v>
      </c>
      <c r="H23" s="460"/>
      <c r="I23" s="460"/>
      <c r="J23" s="486">
        <f t="shared" si="1"/>
        <v>0</v>
      </c>
      <c r="K23" s="461">
        <f t="shared" si="2"/>
        <v>0</v>
      </c>
      <c r="L23" s="490">
        <f t="shared" si="3"/>
        <v>0</v>
      </c>
      <c r="M23" s="461"/>
      <c r="N23" s="488"/>
    </row>
    <row r="24" spans="1:14">
      <c r="A24" s="208">
        <v>21</v>
      </c>
      <c r="B24" s="485"/>
      <c r="C24" s="462"/>
      <c r="D24" s="458"/>
      <c r="E24" s="459"/>
      <c r="F24" s="459"/>
      <c r="G24" s="486">
        <f t="shared" si="0"/>
        <v>0</v>
      </c>
      <c r="H24" s="460"/>
      <c r="I24" s="460"/>
      <c r="J24" s="486">
        <f t="shared" si="1"/>
        <v>0</v>
      </c>
      <c r="K24" s="461">
        <f t="shared" si="2"/>
        <v>0</v>
      </c>
      <c r="L24" s="490">
        <f t="shared" si="3"/>
        <v>0</v>
      </c>
      <c r="M24" s="461"/>
      <c r="N24" s="488"/>
    </row>
    <row r="25" spans="1:14">
      <c r="A25" s="209">
        <v>22</v>
      </c>
      <c r="B25" s="485"/>
      <c r="C25" s="457"/>
      <c r="D25" s="458"/>
      <c r="E25" s="459"/>
      <c r="F25" s="459"/>
      <c r="G25" s="486">
        <f t="shared" si="0"/>
        <v>0</v>
      </c>
      <c r="H25" s="460"/>
      <c r="I25" s="464"/>
      <c r="J25" s="486">
        <f t="shared" si="1"/>
        <v>0</v>
      </c>
      <c r="K25" s="461">
        <f t="shared" si="2"/>
        <v>0</v>
      </c>
      <c r="L25" s="490">
        <f t="shared" si="3"/>
        <v>0</v>
      </c>
      <c r="M25" s="461"/>
      <c r="N25" s="488"/>
    </row>
    <row r="26" spans="1:14">
      <c r="A26" s="208">
        <v>23</v>
      </c>
      <c r="B26" s="489"/>
      <c r="C26" s="466"/>
      <c r="D26" s="458"/>
      <c r="E26" s="459"/>
      <c r="F26" s="459"/>
      <c r="G26" s="486">
        <f t="shared" si="0"/>
        <v>0</v>
      </c>
      <c r="H26" s="460"/>
      <c r="I26" s="460"/>
      <c r="J26" s="486">
        <f t="shared" si="1"/>
        <v>0</v>
      </c>
      <c r="K26" s="474">
        <f t="shared" si="2"/>
        <v>0</v>
      </c>
      <c r="L26" s="490">
        <f t="shared" si="3"/>
        <v>0</v>
      </c>
      <c r="M26" s="474"/>
      <c r="N26" s="488"/>
    </row>
    <row r="27" spans="1:14">
      <c r="A27" s="208">
        <v>24</v>
      </c>
      <c r="B27" s="489"/>
      <c r="C27" s="457"/>
      <c r="D27" s="458"/>
      <c r="E27" s="459"/>
      <c r="F27" s="459"/>
      <c r="G27" s="486">
        <f t="shared" si="0"/>
        <v>0</v>
      </c>
      <c r="H27" s="460"/>
      <c r="I27" s="460"/>
      <c r="J27" s="486">
        <f t="shared" si="1"/>
        <v>0</v>
      </c>
      <c r="K27" s="474">
        <f t="shared" si="2"/>
        <v>0</v>
      </c>
      <c r="L27" s="490">
        <f t="shared" si="3"/>
        <v>0</v>
      </c>
      <c r="M27" s="474"/>
      <c r="N27" s="488"/>
    </row>
    <row r="28" spans="1:14">
      <c r="A28" s="209">
        <v>25</v>
      </c>
      <c r="B28" s="489"/>
      <c r="C28" s="466"/>
      <c r="D28" s="458"/>
      <c r="E28" s="459"/>
      <c r="F28" s="459"/>
      <c r="G28" s="486">
        <f t="shared" si="0"/>
        <v>0</v>
      </c>
      <c r="H28" s="460"/>
      <c r="I28" s="460"/>
      <c r="J28" s="486">
        <f t="shared" si="1"/>
        <v>0</v>
      </c>
      <c r="K28" s="474">
        <f t="shared" si="2"/>
        <v>0</v>
      </c>
      <c r="L28" s="490">
        <f t="shared" si="3"/>
        <v>0</v>
      </c>
      <c r="M28" s="474"/>
      <c r="N28" s="488"/>
    </row>
    <row r="29" spans="1:14">
      <c r="A29" s="208">
        <v>26</v>
      </c>
      <c r="B29" s="489"/>
      <c r="C29" s="466"/>
      <c r="D29" s="458"/>
      <c r="E29" s="459"/>
      <c r="F29" s="459"/>
      <c r="G29" s="486">
        <f t="shared" si="0"/>
        <v>0</v>
      </c>
      <c r="H29" s="460"/>
      <c r="I29" s="460"/>
      <c r="J29" s="486">
        <f t="shared" si="1"/>
        <v>0</v>
      </c>
      <c r="K29" s="474">
        <f t="shared" si="2"/>
        <v>0</v>
      </c>
      <c r="L29" s="490">
        <f t="shared" si="3"/>
        <v>0</v>
      </c>
      <c r="M29" s="474"/>
      <c r="N29" s="488"/>
    </row>
    <row r="30" spans="1:14">
      <c r="A30" s="208">
        <v>27</v>
      </c>
      <c r="B30" s="489"/>
      <c r="C30" s="466"/>
      <c r="D30" s="458"/>
      <c r="E30" s="459"/>
      <c r="F30" s="459"/>
      <c r="G30" s="486">
        <f t="shared" si="0"/>
        <v>0</v>
      </c>
      <c r="H30" s="460"/>
      <c r="I30" s="460"/>
      <c r="J30" s="486">
        <f t="shared" si="1"/>
        <v>0</v>
      </c>
      <c r="K30" s="474">
        <f t="shared" si="2"/>
        <v>0</v>
      </c>
      <c r="L30" s="490">
        <f t="shared" si="3"/>
        <v>0</v>
      </c>
      <c r="M30" s="474"/>
      <c r="N30" s="488"/>
    </row>
    <row r="31" spans="1:14">
      <c r="A31" s="209">
        <v>28</v>
      </c>
      <c r="B31" s="489"/>
      <c r="C31" s="466"/>
      <c r="D31" s="458"/>
      <c r="E31" s="459"/>
      <c r="F31" s="459"/>
      <c r="G31" s="552"/>
      <c r="H31" s="460"/>
      <c r="I31" s="460"/>
      <c r="J31" s="486">
        <f t="shared" si="1"/>
        <v>0</v>
      </c>
      <c r="K31" s="474">
        <f t="shared" si="2"/>
        <v>0</v>
      </c>
      <c r="L31" s="490">
        <f t="shared" si="3"/>
        <v>0</v>
      </c>
      <c r="M31" s="474"/>
      <c r="N31" s="488"/>
    </row>
    <row r="32" spans="1:14">
      <c r="A32" s="208">
        <v>29</v>
      </c>
      <c r="B32" s="489"/>
      <c r="C32" s="457"/>
      <c r="D32" s="458"/>
      <c r="E32" s="459"/>
      <c r="F32" s="459"/>
      <c r="G32" s="552"/>
      <c r="H32" s="460"/>
      <c r="I32" s="460"/>
      <c r="J32" s="486">
        <f t="shared" si="1"/>
        <v>0</v>
      </c>
      <c r="K32" s="474">
        <f t="shared" si="2"/>
        <v>0</v>
      </c>
      <c r="L32" s="490">
        <f t="shared" si="3"/>
        <v>0</v>
      </c>
      <c r="M32" s="474"/>
      <c r="N32" s="488"/>
    </row>
    <row r="33" spans="1:14">
      <c r="A33" s="208">
        <v>30</v>
      </c>
      <c r="B33" s="489"/>
      <c r="C33" s="457"/>
      <c r="D33" s="458"/>
      <c r="E33" s="459"/>
      <c r="F33" s="459"/>
      <c r="G33" s="552"/>
      <c r="H33" s="460"/>
      <c r="I33" s="460"/>
      <c r="J33" s="486">
        <f t="shared" si="1"/>
        <v>0</v>
      </c>
      <c r="K33" s="474">
        <f t="shared" si="2"/>
        <v>0</v>
      </c>
      <c r="L33" s="490">
        <f t="shared" si="3"/>
        <v>0</v>
      </c>
      <c r="M33" s="474"/>
      <c r="N33" s="488"/>
    </row>
    <row r="34" spans="1:14">
      <c r="A34" s="209">
        <v>31</v>
      </c>
      <c r="B34" s="489"/>
      <c r="C34" s="457"/>
      <c r="D34" s="458"/>
      <c r="E34" s="459"/>
      <c r="F34" s="459"/>
      <c r="G34" s="552"/>
      <c r="H34" s="460"/>
      <c r="I34" s="460"/>
      <c r="J34" s="486">
        <f t="shared" si="1"/>
        <v>0</v>
      </c>
      <c r="K34" s="474">
        <f t="shared" si="2"/>
        <v>0</v>
      </c>
      <c r="L34" s="490">
        <f t="shared" si="3"/>
        <v>0</v>
      </c>
      <c r="M34" s="474"/>
      <c r="N34" s="488"/>
    </row>
    <row r="35" spans="1:14">
      <c r="A35" s="208">
        <v>32</v>
      </c>
      <c r="B35" s="489"/>
      <c r="C35" s="462"/>
      <c r="D35" s="458"/>
      <c r="E35" s="465"/>
      <c r="F35" s="459"/>
      <c r="G35" s="550"/>
      <c r="H35" s="464"/>
      <c r="I35" s="460"/>
      <c r="J35" s="486">
        <f t="shared" si="1"/>
        <v>0</v>
      </c>
      <c r="K35" s="461">
        <f t="shared" si="2"/>
        <v>0</v>
      </c>
      <c r="L35" s="490">
        <f t="shared" si="3"/>
        <v>0</v>
      </c>
      <c r="M35" s="461"/>
      <c r="N35" s="488"/>
    </row>
    <row r="36" spans="1:14">
      <c r="A36" s="208">
        <v>33</v>
      </c>
      <c r="B36" s="489"/>
      <c r="C36" s="466"/>
      <c r="D36" s="458"/>
      <c r="E36" s="465"/>
      <c r="F36" s="480"/>
      <c r="G36" s="523">
        <f>E36*F36</f>
        <v>0</v>
      </c>
      <c r="H36" s="464"/>
      <c r="I36" s="460"/>
      <c r="J36" s="486">
        <f t="shared" si="1"/>
        <v>0</v>
      </c>
      <c r="K36" s="524">
        <f t="shared" ref="K5:K49" si="4">G36+J36</f>
        <v>0</v>
      </c>
      <c r="L36" s="490">
        <f t="shared" si="3"/>
        <v>0</v>
      </c>
      <c r="M36" s="461"/>
      <c r="N36" s="488"/>
    </row>
    <row r="37" spans="1:14">
      <c r="A37" s="209">
        <v>34</v>
      </c>
      <c r="B37" s="489"/>
      <c r="C37" s="462"/>
      <c r="D37" s="458"/>
      <c r="E37" s="465"/>
      <c r="F37" s="459"/>
      <c r="G37" s="523">
        <f>E37*F37</f>
        <v>0</v>
      </c>
      <c r="H37" s="464"/>
      <c r="I37" s="460"/>
      <c r="J37" s="486">
        <f t="shared" si="1"/>
        <v>0</v>
      </c>
      <c r="K37" s="524">
        <f t="shared" si="4"/>
        <v>0</v>
      </c>
      <c r="L37" s="490">
        <f t="shared" si="3"/>
        <v>0</v>
      </c>
      <c r="M37" s="461"/>
      <c r="N37" s="488"/>
    </row>
    <row r="38" spans="1:14">
      <c r="A38" s="208">
        <v>35</v>
      </c>
      <c r="B38" s="489"/>
      <c r="C38" s="457"/>
      <c r="D38" s="458"/>
      <c r="E38" s="459"/>
      <c r="F38" s="459"/>
      <c r="G38" s="523">
        <f>E38*F38</f>
        <v>0</v>
      </c>
      <c r="H38" s="460"/>
      <c r="I38" s="460"/>
      <c r="J38" s="486">
        <f t="shared" si="1"/>
        <v>0</v>
      </c>
      <c r="K38" s="524">
        <f t="shared" si="4"/>
        <v>0</v>
      </c>
      <c r="L38" s="490">
        <f t="shared" si="3"/>
        <v>0</v>
      </c>
      <c r="M38" s="461"/>
      <c r="N38" s="488"/>
    </row>
    <row r="39" spans="1:14">
      <c r="A39" s="208">
        <v>36</v>
      </c>
      <c r="B39" s="489"/>
      <c r="C39" s="457"/>
      <c r="D39" s="458"/>
      <c r="E39" s="459"/>
      <c r="F39" s="459"/>
      <c r="G39" s="523">
        <f>E39*F39</f>
        <v>0</v>
      </c>
      <c r="H39" s="460"/>
      <c r="I39" s="460"/>
      <c r="J39" s="486">
        <f t="shared" si="1"/>
        <v>0</v>
      </c>
      <c r="K39" s="524">
        <f t="shared" si="4"/>
        <v>0</v>
      </c>
      <c r="L39" s="490">
        <f t="shared" si="3"/>
        <v>0</v>
      </c>
      <c r="M39" s="461"/>
      <c r="N39" s="488"/>
    </row>
    <row r="40" spans="1:14">
      <c r="A40" s="209">
        <v>37</v>
      </c>
      <c r="B40" s="489"/>
      <c r="C40" s="457"/>
      <c r="D40" s="458"/>
      <c r="E40" s="459"/>
      <c r="F40" s="459"/>
      <c r="G40" s="523">
        <f>E40*F40</f>
        <v>0</v>
      </c>
      <c r="H40" s="460"/>
      <c r="I40" s="460"/>
      <c r="J40" s="486">
        <f t="shared" si="1"/>
        <v>0</v>
      </c>
      <c r="K40" s="524">
        <f t="shared" si="4"/>
        <v>0</v>
      </c>
      <c r="L40" s="490">
        <f t="shared" si="3"/>
        <v>0</v>
      </c>
      <c r="M40" s="461"/>
      <c r="N40" s="488"/>
    </row>
    <row r="41" spans="1:14">
      <c r="A41" s="208">
        <v>38</v>
      </c>
      <c r="B41" s="489"/>
      <c r="C41" s="462"/>
      <c r="D41" s="458"/>
      <c r="E41" s="459"/>
      <c r="F41" s="459"/>
      <c r="G41" s="523">
        <f>E41*F41</f>
        <v>0</v>
      </c>
      <c r="H41" s="460"/>
      <c r="I41" s="460"/>
      <c r="J41" s="486">
        <f t="shared" si="1"/>
        <v>0</v>
      </c>
      <c r="K41" s="524">
        <f t="shared" si="4"/>
        <v>0</v>
      </c>
      <c r="L41" s="490">
        <f t="shared" si="3"/>
        <v>0</v>
      </c>
      <c r="M41" s="461"/>
      <c r="N41" s="488"/>
    </row>
    <row r="42" spans="1:14">
      <c r="A42" s="208">
        <v>39</v>
      </c>
      <c r="B42" s="489"/>
      <c r="C42" s="462"/>
      <c r="D42" s="458"/>
      <c r="E42" s="459"/>
      <c r="F42" s="459"/>
      <c r="G42" s="523">
        <f>E42*F42</f>
        <v>0</v>
      </c>
      <c r="H42" s="460"/>
      <c r="I42" s="460"/>
      <c r="J42" s="486">
        <f t="shared" si="1"/>
        <v>0</v>
      </c>
      <c r="K42" s="524">
        <f t="shared" si="4"/>
        <v>0</v>
      </c>
      <c r="L42" s="490">
        <f t="shared" si="3"/>
        <v>0</v>
      </c>
      <c r="M42" s="461"/>
      <c r="N42" s="488"/>
    </row>
    <row r="43" spans="1:14">
      <c r="A43" s="209">
        <v>40</v>
      </c>
      <c r="B43" s="489"/>
      <c r="C43" s="462"/>
      <c r="D43" s="458"/>
      <c r="E43" s="459"/>
      <c r="F43" s="459"/>
      <c r="G43" s="523">
        <f>E43*F43</f>
        <v>0</v>
      </c>
      <c r="H43" s="460"/>
      <c r="I43" s="460"/>
      <c r="J43" s="486">
        <f t="shared" si="1"/>
        <v>0</v>
      </c>
      <c r="K43" s="524">
        <f>G43+J43</f>
        <v>0</v>
      </c>
      <c r="L43" s="490">
        <f t="shared" si="3"/>
        <v>0</v>
      </c>
      <c r="M43" s="461"/>
      <c r="N43" s="488"/>
    </row>
    <row r="44" spans="1:14">
      <c r="A44" s="208">
        <v>41</v>
      </c>
      <c r="B44" s="489"/>
      <c r="C44" s="457"/>
      <c r="D44" s="458"/>
      <c r="E44" s="459"/>
      <c r="F44" s="459"/>
      <c r="G44" s="523">
        <f>E44*F44</f>
        <v>0</v>
      </c>
      <c r="H44" s="460"/>
      <c r="I44" s="460"/>
      <c r="J44" s="486">
        <f t="shared" si="1"/>
        <v>0</v>
      </c>
      <c r="K44" s="524">
        <f t="shared" si="4"/>
        <v>0</v>
      </c>
      <c r="L44" s="490">
        <f t="shared" si="3"/>
        <v>0</v>
      </c>
      <c r="M44" s="474"/>
      <c r="N44" s="488"/>
    </row>
    <row r="45" spans="1:14">
      <c r="A45" s="208">
        <v>42</v>
      </c>
      <c r="B45" s="489"/>
      <c r="C45" s="457"/>
      <c r="D45" s="458"/>
      <c r="E45" s="459"/>
      <c r="F45" s="459"/>
      <c r="G45" s="523">
        <f>E45*F45</f>
        <v>0</v>
      </c>
      <c r="H45" s="460"/>
      <c r="I45" s="460"/>
      <c r="J45" s="486">
        <f t="shared" si="1"/>
        <v>0</v>
      </c>
      <c r="K45" s="524">
        <f t="shared" si="4"/>
        <v>0</v>
      </c>
      <c r="L45" s="490">
        <f t="shared" si="3"/>
        <v>0</v>
      </c>
      <c r="M45" s="461"/>
      <c r="N45" s="488"/>
    </row>
    <row r="46" spans="1:14">
      <c r="A46" s="209">
        <v>43</v>
      </c>
      <c r="B46" s="489"/>
      <c r="C46" s="457"/>
      <c r="D46" s="458"/>
      <c r="E46" s="459"/>
      <c r="F46" s="459"/>
      <c r="G46" s="523">
        <f>E46*F46</f>
        <v>0</v>
      </c>
      <c r="H46" s="460"/>
      <c r="I46" s="460"/>
      <c r="J46" s="486">
        <f t="shared" si="1"/>
        <v>0</v>
      </c>
      <c r="K46" s="524">
        <f t="shared" si="4"/>
        <v>0</v>
      </c>
      <c r="L46" s="490">
        <f t="shared" si="3"/>
        <v>0</v>
      </c>
      <c r="M46" s="461"/>
      <c r="N46" s="488"/>
    </row>
    <row r="47" spans="1:14">
      <c r="A47" s="208">
        <v>44</v>
      </c>
      <c r="B47" s="489"/>
      <c r="C47" s="457"/>
      <c r="D47" s="458"/>
      <c r="E47" s="465"/>
      <c r="F47" s="459"/>
      <c r="G47" s="523">
        <f>E47*F47</f>
        <v>0</v>
      </c>
      <c r="H47" s="460"/>
      <c r="I47" s="460"/>
      <c r="J47" s="486">
        <f t="shared" si="1"/>
        <v>0</v>
      </c>
      <c r="K47" s="524">
        <f t="shared" si="4"/>
        <v>0</v>
      </c>
      <c r="L47" s="490">
        <f t="shared" si="3"/>
        <v>0</v>
      </c>
      <c r="M47" s="461"/>
      <c r="N47" s="488"/>
    </row>
    <row r="48" spans="1:14">
      <c r="A48" s="208">
        <v>45</v>
      </c>
      <c r="B48" s="489"/>
      <c r="C48" s="457"/>
      <c r="D48" s="458"/>
      <c r="E48" s="465"/>
      <c r="F48" s="459"/>
      <c r="G48" s="523">
        <f>E48*F48</f>
        <v>0</v>
      </c>
      <c r="H48" s="460"/>
      <c r="I48" s="460"/>
      <c r="J48" s="486">
        <f t="shared" si="1"/>
        <v>0</v>
      </c>
      <c r="K48" s="524">
        <f t="shared" si="4"/>
        <v>0</v>
      </c>
      <c r="L48" s="490">
        <f t="shared" si="3"/>
        <v>0</v>
      </c>
      <c r="M48" s="461"/>
      <c r="N48" s="488"/>
    </row>
    <row r="49" spans="1:14">
      <c r="A49" s="209">
        <v>46</v>
      </c>
      <c r="B49" s="489"/>
      <c r="C49" s="457"/>
      <c r="D49" s="458"/>
      <c r="E49" s="465"/>
      <c r="F49" s="459"/>
      <c r="G49" s="523">
        <f>E49*F49</f>
        <v>0</v>
      </c>
      <c r="H49" s="460"/>
      <c r="I49" s="460"/>
      <c r="J49" s="486">
        <f t="shared" si="1"/>
        <v>0</v>
      </c>
      <c r="K49" s="524">
        <f t="shared" si="4"/>
        <v>0</v>
      </c>
      <c r="L49" s="490">
        <f t="shared" si="3"/>
        <v>0</v>
      </c>
      <c r="M49" s="461"/>
      <c r="N49" s="488"/>
    </row>
    <row r="50" spans="1:14">
      <c r="A50" s="208">
        <v>47</v>
      </c>
      <c r="B50" s="456"/>
      <c r="C50" s="457"/>
      <c r="D50" s="458"/>
      <c r="E50" s="465"/>
      <c r="F50" s="459"/>
      <c r="G50" s="523">
        <f>E50*F50</f>
        <v>0</v>
      </c>
      <c r="H50" s="460"/>
      <c r="I50" s="460"/>
      <c r="J50" s="486">
        <f t="shared" si="1"/>
        <v>0</v>
      </c>
      <c r="K50" s="524">
        <f>G50+J50</f>
        <v>0</v>
      </c>
      <c r="L50" s="525">
        <f t="shared" ref="L50:L66" si="5">+K50</f>
        <v>0</v>
      </c>
      <c r="M50" s="62"/>
      <c r="N50" s="8"/>
    </row>
    <row r="51" spans="1:14">
      <c r="A51" s="208">
        <v>48</v>
      </c>
      <c r="B51" s="456"/>
      <c r="C51" s="457"/>
      <c r="D51" s="458"/>
      <c r="E51" s="465"/>
      <c r="F51" s="459"/>
      <c r="G51" s="523">
        <f>E51*F51</f>
        <v>0</v>
      </c>
      <c r="H51" s="460"/>
      <c r="I51" s="460"/>
      <c r="J51" s="486">
        <f t="shared" si="1"/>
        <v>0</v>
      </c>
      <c r="K51" s="524">
        <f>G51+J51</f>
        <v>0</v>
      </c>
      <c r="L51" s="525">
        <f t="shared" si="5"/>
        <v>0</v>
      </c>
      <c r="M51" s="62"/>
      <c r="N51" s="8"/>
    </row>
    <row r="52" spans="1:14">
      <c r="A52" s="209">
        <v>49</v>
      </c>
      <c r="B52" s="456"/>
      <c r="C52" s="457"/>
      <c r="D52" s="458"/>
      <c r="E52" s="465"/>
      <c r="F52" s="459"/>
      <c r="G52" s="523">
        <f>E52*F52</f>
        <v>0</v>
      </c>
      <c r="H52" s="460"/>
      <c r="I52" s="460"/>
      <c r="J52" s="486">
        <f t="shared" si="1"/>
        <v>0</v>
      </c>
      <c r="K52" s="524">
        <f>G52+J52</f>
        <v>0</v>
      </c>
      <c r="L52" s="525">
        <f t="shared" si="5"/>
        <v>0</v>
      </c>
      <c r="M52" s="62"/>
      <c r="N52" s="8"/>
    </row>
    <row r="53" spans="1:14">
      <c r="A53" s="208">
        <v>50</v>
      </c>
      <c r="B53" s="456"/>
      <c r="C53" s="457"/>
      <c r="D53" s="458"/>
      <c r="E53" s="459"/>
      <c r="F53" s="459"/>
      <c r="G53" s="523">
        <f>E53*F53</f>
        <v>0</v>
      </c>
      <c r="H53" s="460"/>
      <c r="I53" s="460"/>
      <c r="J53" s="486">
        <f t="shared" si="1"/>
        <v>0</v>
      </c>
      <c r="K53" s="524">
        <f>G53+J53</f>
        <v>0</v>
      </c>
      <c r="L53" s="525">
        <f t="shared" si="5"/>
        <v>0</v>
      </c>
      <c r="M53" s="62"/>
      <c r="N53" s="8"/>
    </row>
    <row r="54" spans="1:14">
      <c r="A54" s="208">
        <v>51</v>
      </c>
      <c r="B54" s="456"/>
      <c r="C54" s="457"/>
      <c r="D54" s="458"/>
      <c r="E54" s="459"/>
      <c r="F54" s="459"/>
      <c r="G54" s="523">
        <f>E54*F54</f>
        <v>0</v>
      </c>
      <c r="H54" s="460"/>
      <c r="I54" s="460"/>
      <c r="J54" s="486">
        <f t="shared" si="1"/>
        <v>0</v>
      </c>
      <c r="K54" s="524">
        <f>G54+J54</f>
        <v>0</v>
      </c>
      <c r="L54" s="525">
        <f t="shared" si="5"/>
        <v>0</v>
      </c>
      <c r="M54" s="62"/>
      <c r="N54" s="8"/>
    </row>
    <row r="55" spans="1:14">
      <c r="A55" s="209">
        <v>52</v>
      </c>
      <c r="B55" s="456"/>
      <c r="C55" s="457"/>
      <c r="D55" s="458"/>
      <c r="E55" s="459"/>
      <c r="F55" s="459"/>
      <c r="G55" s="523">
        <f>E55*F55</f>
        <v>0</v>
      </c>
      <c r="H55" s="460"/>
      <c r="I55" s="460"/>
      <c r="J55" s="486">
        <f t="shared" si="1"/>
        <v>0</v>
      </c>
      <c r="K55" s="524">
        <f>G55+J55</f>
        <v>0</v>
      </c>
      <c r="L55" s="525">
        <f t="shared" si="5"/>
        <v>0</v>
      </c>
      <c r="M55" s="62"/>
      <c r="N55" s="8"/>
    </row>
    <row r="56" spans="1:14">
      <c r="A56" s="208">
        <v>53</v>
      </c>
      <c r="B56" s="456"/>
      <c r="C56" s="457"/>
      <c r="D56" s="458"/>
      <c r="E56" s="459"/>
      <c r="F56" s="459"/>
      <c r="G56" s="523">
        <f>E56*F56</f>
        <v>0</v>
      </c>
      <c r="H56" s="460"/>
      <c r="I56" s="460"/>
      <c r="J56" s="486">
        <f t="shared" si="1"/>
        <v>0</v>
      </c>
      <c r="K56" s="524">
        <f>G56+J56</f>
        <v>0</v>
      </c>
      <c r="L56" s="525">
        <f t="shared" si="5"/>
        <v>0</v>
      </c>
      <c r="M56" s="62"/>
      <c r="N56" s="8"/>
    </row>
    <row r="57" spans="1:14">
      <c r="A57" s="208">
        <v>54</v>
      </c>
      <c r="B57" s="456"/>
      <c r="C57" s="457"/>
      <c r="D57" s="458"/>
      <c r="E57" s="459"/>
      <c r="F57" s="459"/>
      <c r="G57" s="523">
        <f>E57*F57</f>
        <v>0</v>
      </c>
      <c r="H57" s="460"/>
      <c r="I57" s="460"/>
      <c r="J57" s="486">
        <f t="shared" si="1"/>
        <v>0</v>
      </c>
      <c r="K57" s="524">
        <f>G57+J57</f>
        <v>0</v>
      </c>
      <c r="L57" s="525">
        <f t="shared" si="5"/>
        <v>0</v>
      </c>
      <c r="M57" s="62"/>
      <c r="N57" s="8"/>
    </row>
    <row r="58" spans="1:14">
      <c r="A58" s="209">
        <v>55</v>
      </c>
      <c r="B58" s="456"/>
      <c r="C58" s="462"/>
      <c r="D58" s="463"/>
      <c r="E58" s="459"/>
      <c r="F58" s="459"/>
      <c r="G58" s="523">
        <f>E58*F58</f>
        <v>0</v>
      </c>
      <c r="H58" s="460"/>
      <c r="I58" s="460"/>
      <c r="J58" s="486">
        <f t="shared" si="1"/>
        <v>0</v>
      </c>
      <c r="K58" s="524">
        <f>G58+J58</f>
        <v>0</v>
      </c>
      <c r="L58" s="525">
        <f t="shared" si="5"/>
        <v>0</v>
      </c>
      <c r="M58" s="62"/>
      <c r="N58" s="8"/>
    </row>
    <row r="59" spans="1:14">
      <c r="A59" s="208">
        <v>56</v>
      </c>
      <c r="B59" s="456"/>
      <c r="C59" s="457"/>
      <c r="D59" s="458"/>
      <c r="E59" s="459"/>
      <c r="F59" s="459"/>
      <c r="G59" s="523">
        <f>E59*F59</f>
        <v>0</v>
      </c>
      <c r="H59" s="460"/>
      <c r="I59" s="460"/>
      <c r="J59" s="486">
        <f t="shared" si="1"/>
        <v>0</v>
      </c>
      <c r="K59" s="524">
        <f>G59+J59</f>
        <v>0</v>
      </c>
      <c r="L59" s="525">
        <f t="shared" si="5"/>
        <v>0</v>
      </c>
      <c r="M59" s="62"/>
      <c r="N59" s="8"/>
    </row>
    <row r="60" spans="1:14">
      <c r="A60" s="208">
        <v>57</v>
      </c>
      <c r="B60" s="456"/>
      <c r="C60" s="457"/>
      <c r="D60" s="458"/>
      <c r="E60" s="459"/>
      <c r="F60" s="459"/>
      <c r="G60" s="523">
        <f>E60*F60</f>
        <v>0</v>
      </c>
      <c r="H60" s="460"/>
      <c r="I60" s="460"/>
      <c r="J60" s="486">
        <f t="shared" si="1"/>
        <v>0</v>
      </c>
      <c r="K60" s="524">
        <f>G60+J60</f>
        <v>0</v>
      </c>
      <c r="L60" s="525">
        <f t="shared" si="5"/>
        <v>0</v>
      </c>
      <c r="M60" s="62"/>
      <c r="N60" s="8"/>
    </row>
    <row r="61" spans="1:14">
      <c r="A61" s="209">
        <v>58</v>
      </c>
      <c r="B61" s="456"/>
      <c r="C61" s="457"/>
      <c r="D61" s="458"/>
      <c r="E61" s="459"/>
      <c r="F61" s="459"/>
      <c r="G61" s="523">
        <f>E61*F61</f>
        <v>0</v>
      </c>
      <c r="H61" s="464"/>
      <c r="I61" s="460"/>
      <c r="J61" s="486">
        <f t="shared" si="1"/>
        <v>0</v>
      </c>
      <c r="K61" s="524">
        <f>G61+J61</f>
        <v>0</v>
      </c>
      <c r="L61" s="525">
        <f t="shared" si="5"/>
        <v>0</v>
      </c>
      <c r="M61" s="62"/>
      <c r="N61" s="8"/>
    </row>
    <row r="62" spans="1:14">
      <c r="A62" s="208">
        <v>59</v>
      </c>
      <c r="B62" s="456"/>
      <c r="C62" s="457"/>
      <c r="D62" s="458"/>
      <c r="E62" s="465"/>
      <c r="F62" s="459"/>
      <c r="G62" s="523">
        <f>E62*F62</f>
        <v>0</v>
      </c>
      <c r="H62" s="464"/>
      <c r="I62" s="460"/>
      <c r="J62" s="486">
        <f t="shared" si="1"/>
        <v>0</v>
      </c>
      <c r="K62" s="524">
        <f>G62+J62</f>
        <v>0</v>
      </c>
      <c r="L62" s="525">
        <f t="shared" si="5"/>
        <v>0</v>
      </c>
      <c r="M62" s="62"/>
      <c r="N62" s="8"/>
    </row>
    <row r="63" spans="1:14">
      <c r="A63" s="208">
        <v>60</v>
      </c>
      <c r="B63" s="456"/>
      <c r="C63" s="457"/>
      <c r="D63" s="458"/>
      <c r="E63" s="465"/>
      <c r="F63" s="459"/>
      <c r="G63" s="523">
        <f>E63*F63</f>
        <v>0</v>
      </c>
      <c r="H63" s="464"/>
      <c r="I63" s="460"/>
      <c r="J63" s="486">
        <f t="shared" si="1"/>
        <v>0</v>
      </c>
      <c r="K63" s="524">
        <f>G63+J63</f>
        <v>0</v>
      </c>
      <c r="L63" s="525">
        <f t="shared" si="5"/>
        <v>0</v>
      </c>
      <c r="M63" s="62"/>
      <c r="N63" s="8"/>
    </row>
    <row r="64" spans="1:14">
      <c r="A64" s="209">
        <v>61</v>
      </c>
      <c r="B64" s="456"/>
      <c r="C64" s="457"/>
      <c r="D64" s="458"/>
      <c r="E64" s="465"/>
      <c r="F64" s="459"/>
      <c r="G64" s="523">
        <f>E64*F64</f>
        <v>0</v>
      </c>
      <c r="H64" s="464"/>
      <c r="I64" s="460"/>
      <c r="J64" s="486">
        <f t="shared" si="1"/>
        <v>0</v>
      </c>
      <c r="K64" s="524">
        <f>G64+J64</f>
        <v>0</v>
      </c>
      <c r="L64" s="525">
        <f t="shared" si="5"/>
        <v>0</v>
      </c>
      <c r="M64" s="62"/>
      <c r="N64" s="8"/>
    </row>
    <row r="65" spans="1:14">
      <c r="A65" s="208">
        <v>62</v>
      </c>
      <c r="B65" s="456"/>
      <c r="C65" s="462"/>
      <c r="D65" s="458"/>
      <c r="E65" s="465"/>
      <c r="F65" s="459"/>
      <c r="G65" s="523">
        <f>E65*F65</f>
        <v>0</v>
      </c>
      <c r="H65" s="464"/>
      <c r="I65" s="460"/>
      <c r="J65" s="486">
        <f t="shared" si="1"/>
        <v>0</v>
      </c>
      <c r="K65" s="524">
        <f>G65+J65</f>
        <v>0</v>
      </c>
      <c r="L65" s="525">
        <f t="shared" si="5"/>
        <v>0</v>
      </c>
      <c r="M65" s="62"/>
      <c r="N65" s="8"/>
    </row>
    <row r="66" spans="1:14">
      <c r="A66" s="208">
        <v>63</v>
      </c>
      <c r="B66" s="456"/>
      <c r="C66" s="457"/>
      <c r="D66" s="458"/>
      <c r="E66" s="465"/>
      <c r="F66" s="459"/>
      <c r="G66" s="523">
        <f>E66*F66</f>
        <v>0</v>
      </c>
      <c r="H66" s="464"/>
      <c r="I66" s="460"/>
      <c r="J66" s="486">
        <f t="shared" si="1"/>
        <v>0</v>
      </c>
      <c r="K66" s="524">
        <f>G66+J66</f>
        <v>0</v>
      </c>
      <c r="L66" s="525">
        <f t="shared" si="5"/>
        <v>0</v>
      </c>
      <c r="M66" s="62"/>
      <c r="N66" s="8"/>
    </row>
    <row r="67" spans="1:14">
      <c r="A67" s="421">
        <v>64</v>
      </c>
      <c r="B67" s="475"/>
      <c r="C67" s="526"/>
      <c r="D67" s="468"/>
      <c r="E67" s="471"/>
      <c r="F67" s="469"/>
      <c r="G67" s="479"/>
      <c r="H67" s="472"/>
      <c r="I67" s="470"/>
      <c r="J67" s="479"/>
      <c r="K67" s="527"/>
      <c r="L67" s="416"/>
      <c r="M67" s="302"/>
      <c r="N67" s="171"/>
    </row>
    <row r="68" spans="1:14">
      <c r="A68" s="528"/>
      <c r="B68" s="528"/>
      <c r="C68" s="528"/>
      <c r="D68" s="528"/>
      <c r="E68" s="529">
        <f>SUM(E4:E67)</f>
        <v>0</v>
      </c>
      <c r="F68" s="529"/>
      <c r="G68" s="529">
        <f>SUM(G4:G67)</f>
        <v>0</v>
      </c>
      <c r="H68" s="529">
        <f>SUM(H4:H67)</f>
        <v>0</v>
      </c>
      <c r="I68" s="529"/>
      <c r="J68" s="529">
        <f>SUM(J4:J67)</f>
        <v>0</v>
      </c>
      <c r="K68" s="529">
        <f>SUM(K4:K67)</f>
        <v>0</v>
      </c>
      <c r="L68" s="528"/>
      <c r="M68" s="528"/>
      <c r="N68" s="528"/>
    </row>
  </sheetData>
  <mergeCells count="1">
    <mergeCell ref="A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9A6A-79F9-4FB1-82F0-A26938E2E479}">
  <sheetPr>
    <tabColor theme="7" tint="0.39997558519241921"/>
  </sheetPr>
  <dimension ref="A1:R46"/>
  <sheetViews>
    <sheetView workbookViewId="0">
      <pane ySplit="3" topLeftCell="A4" activePane="bottomLeft" state="frozen"/>
      <selection pane="bottomLeft" activeCell="F12" sqref="F12"/>
    </sheetView>
  </sheetViews>
  <sheetFormatPr defaultRowHeight="15"/>
  <cols>
    <col min="2" max="2" width="10.42578125" customWidth="1"/>
    <col min="4" max="4" width="16.42578125" customWidth="1"/>
    <col min="7" max="7" width="15.42578125" customWidth="1"/>
    <col min="10" max="10" width="10.7109375" customWidth="1"/>
    <col min="11" max="11" width="15.28515625" customWidth="1"/>
    <col min="12" max="12" width="16.5703125" customWidth="1"/>
    <col min="13" max="13" width="15.42578125" customWidth="1"/>
    <col min="14" max="14" width="11" customWidth="1"/>
  </cols>
  <sheetData>
    <row r="1" spans="1:18" ht="15.75">
      <c r="A1" s="623" t="s">
        <v>194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18"/>
      <c r="D3" s="618"/>
      <c r="E3" s="618"/>
      <c r="F3" s="618"/>
      <c r="G3" s="618"/>
      <c r="H3" s="618"/>
      <c r="I3" s="618"/>
      <c r="J3" s="618"/>
      <c r="K3" s="618"/>
      <c r="L3" s="622"/>
      <c r="M3" s="139">
        <v>291832.98430000001</v>
      </c>
      <c r="N3" s="145"/>
      <c r="O3" s="53"/>
    </row>
    <row r="4" spans="1:18">
      <c r="A4" s="184">
        <v>1</v>
      </c>
      <c r="B4" s="207">
        <v>46296</v>
      </c>
      <c r="C4" s="61"/>
      <c r="D4" s="148"/>
      <c r="E4" s="242">
        <v>120</v>
      </c>
      <c r="F4" s="242">
        <v>105.21</v>
      </c>
      <c r="G4" s="8">
        <f t="shared" ref="G4:G36" si="0">E4*F4</f>
        <v>12625.199999999999</v>
      </c>
      <c r="H4" s="517"/>
      <c r="I4" s="517"/>
      <c r="J4" s="8">
        <f>H4*I4</f>
        <v>0</v>
      </c>
      <c r="K4" s="8">
        <f>G4+J4</f>
        <v>12625.199999999999</v>
      </c>
      <c r="L4" s="512"/>
      <c r="M4" s="62">
        <f>M3+K4-L4</f>
        <v>304458.18430000002</v>
      </c>
      <c r="N4" s="145"/>
    </row>
    <row r="5" spans="1:18">
      <c r="A5" s="184">
        <v>2</v>
      </c>
      <c r="B5" s="207">
        <v>46297</v>
      </c>
      <c r="C5" s="61"/>
      <c r="D5" s="148"/>
      <c r="E5" s="242">
        <v>430.04</v>
      </c>
      <c r="F5" s="242">
        <v>105.21</v>
      </c>
      <c r="G5" s="8">
        <f t="shared" si="0"/>
        <v>45244.508399999999</v>
      </c>
      <c r="H5" s="517">
        <v>55</v>
      </c>
      <c r="I5" s="517">
        <v>117.58</v>
      </c>
      <c r="J5" s="8">
        <f>H5*I5</f>
        <v>6466.9</v>
      </c>
      <c r="K5" s="8">
        <f>G5+J5</f>
        <v>51711.4084</v>
      </c>
      <c r="L5" s="512"/>
      <c r="M5" s="62">
        <f t="shared" ref="M5:M36" si="1">M4+K5-L5</f>
        <v>356169.59270000004</v>
      </c>
      <c r="N5" s="145"/>
    </row>
    <row r="6" spans="1:18">
      <c r="A6" s="40">
        <v>3</v>
      </c>
      <c r="B6" s="207">
        <v>46298</v>
      </c>
      <c r="C6" s="61"/>
      <c r="D6" s="14"/>
      <c r="E6" s="242">
        <v>640</v>
      </c>
      <c r="F6" s="242">
        <v>105.21</v>
      </c>
      <c r="G6" s="8">
        <f t="shared" si="0"/>
        <v>67334.399999999994</v>
      </c>
      <c r="H6" s="517"/>
      <c r="I6" s="517"/>
      <c r="J6" s="8">
        <f t="shared" ref="J6:J36" si="2">H6*I6</f>
        <v>0</v>
      </c>
      <c r="K6" s="8">
        <f t="shared" ref="K6:K36" si="3">G6+J6</f>
        <v>67334.399999999994</v>
      </c>
      <c r="L6" s="512"/>
      <c r="M6" s="62">
        <f t="shared" si="1"/>
        <v>423503.99270000006</v>
      </c>
      <c r="N6" s="145"/>
    </row>
    <row r="7" spans="1:18">
      <c r="A7" s="40">
        <v>4</v>
      </c>
      <c r="B7" s="207">
        <v>46299</v>
      </c>
      <c r="C7" s="61"/>
      <c r="D7" s="148"/>
      <c r="E7" s="242"/>
      <c r="F7" s="242"/>
      <c r="G7" s="8">
        <f t="shared" si="0"/>
        <v>0</v>
      </c>
      <c r="H7" s="59"/>
      <c r="I7" s="60"/>
      <c r="J7" s="8">
        <f t="shared" si="2"/>
        <v>0</v>
      </c>
      <c r="K7" s="8">
        <f t="shared" si="3"/>
        <v>0</v>
      </c>
      <c r="L7" s="512"/>
      <c r="M7" s="62">
        <f t="shared" si="1"/>
        <v>423503.99270000006</v>
      </c>
      <c r="N7" s="145"/>
    </row>
    <row r="8" spans="1:18">
      <c r="A8" s="40">
        <v>5</v>
      </c>
      <c r="B8" s="207">
        <v>46300</v>
      </c>
      <c r="C8" s="61"/>
      <c r="D8" s="148"/>
      <c r="E8" s="242"/>
      <c r="F8" s="242"/>
      <c r="G8" s="8">
        <f t="shared" si="0"/>
        <v>0</v>
      </c>
      <c r="H8" s="59"/>
      <c r="I8" s="60"/>
      <c r="J8" s="8">
        <f t="shared" si="2"/>
        <v>0</v>
      </c>
      <c r="K8" s="8">
        <f t="shared" si="3"/>
        <v>0</v>
      </c>
      <c r="L8" s="512"/>
      <c r="M8" s="62">
        <f t="shared" si="1"/>
        <v>423503.99270000006</v>
      </c>
      <c r="N8" s="145"/>
    </row>
    <row r="9" spans="1:18">
      <c r="A9" s="40">
        <v>6</v>
      </c>
      <c r="B9" s="207">
        <v>46301</v>
      </c>
      <c r="C9" s="61"/>
      <c r="D9" s="148"/>
      <c r="E9" s="242"/>
      <c r="F9" s="242"/>
      <c r="G9" s="8">
        <f t="shared" si="0"/>
        <v>0</v>
      </c>
      <c r="H9" s="59"/>
      <c r="I9" s="60"/>
      <c r="J9" s="8">
        <f t="shared" si="2"/>
        <v>0</v>
      </c>
      <c r="K9" s="8">
        <f>G9+J9</f>
        <v>0</v>
      </c>
      <c r="L9" s="512"/>
      <c r="M9" s="62">
        <f t="shared" si="1"/>
        <v>423503.99270000006</v>
      </c>
      <c r="N9" s="145"/>
      <c r="O9" s="63"/>
      <c r="R9" s="212"/>
    </row>
    <row r="10" spans="1:18">
      <c r="A10" s="40">
        <v>7</v>
      </c>
      <c r="B10" s="207">
        <v>46302</v>
      </c>
      <c r="C10" s="61"/>
      <c r="D10" s="148"/>
      <c r="E10" s="242"/>
      <c r="F10" s="242"/>
      <c r="G10" s="8">
        <f t="shared" si="0"/>
        <v>0</v>
      </c>
      <c r="H10" s="59"/>
      <c r="I10" s="60"/>
      <c r="J10" s="8">
        <f t="shared" si="2"/>
        <v>0</v>
      </c>
      <c r="K10" s="8">
        <f t="shared" si="3"/>
        <v>0</v>
      </c>
      <c r="L10" s="512"/>
      <c r="M10" s="62">
        <f t="shared" si="1"/>
        <v>423503.99270000006</v>
      </c>
      <c r="N10" s="145"/>
      <c r="O10" s="63"/>
    </row>
    <row r="11" spans="1:18">
      <c r="A11" s="40">
        <v>8</v>
      </c>
      <c r="B11" s="207">
        <v>46303</v>
      </c>
      <c r="C11" s="61"/>
      <c r="D11" s="148"/>
      <c r="E11" s="242"/>
      <c r="F11" s="242"/>
      <c r="G11" s="8">
        <f t="shared" si="0"/>
        <v>0</v>
      </c>
      <c r="H11" s="59"/>
      <c r="I11" s="60"/>
      <c r="J11" s="8">
        <f t="shared" si="2"/>
        <v>0</v>
      </c>
      <c r="K11" s="8">
        <f t="shared" si="3"/>
        <v>0</v>
      </c>
      <c r="L11" s="512">
        <v>423000</v>
      </c>
      <c r="M11" s="62">
        <f t="shared" si="1"/>
        <v>503.99270000006072</v>
      </c>
      <c r="N11" s="145"/>
      <c r="O11" s="63"/>
    </row>
    <row r="12" spans="1:18">
      <c r="A12" s="40">
        <v>9</v>
      </c>
      <c r="B12" s="207">
        <v>46304</v>
      </c>
      <c r="C12" s="61"/>
      <c r="D12" s="148"/>
      <c r="E12" s="242">
        <v>32.5</v>
      </c>
      <c r="F12" s="242">
        <v>105.21</v>
      </c>
      <c r="G12" s="8">
        <f t="shared" si="0"/>
        <v>3419.3249999999998</v>
      </c>
      <c r="H12" s="59"/>
      <c r="I12" s="60"/>
      <c r="J12" s="8">
        <f t="shared" si="2"/>
        <v>0</v>
      </c>
      <c r="K12" s="8">
        <f t="shared" si="3"/>
        <v>3419.3249999999998</v>
      </c>
      <c r="L12" s="512"/>
      <c r="M12" s="62">
        <f t="shared" si="1"/>
        <v>3923.3177000000605</v>
      </c>
      <c r="N12" s="145"/>
      <c r="O12" s="63"/>
    </row>
    <row r="13" spans="1:18">
      <c r="A13" s="40">
        <v>10</v>
      </c>
      <c r="B13" s="207">
        <v>46305</v>
      </c>
      <c r="C13" s="61"/>
      <c r="D13" s="148"/>
      <c r="E13" s="242"/>
      <c r="F13" s="242"/>
      <c r="G13" s="8">
        <f t="shared" si="0"/>
        <v>0</v>
      </c>
      <c r="H13" s="59"/>
      <c r="I13" s="60"/>
      <c r="J13" s="8">
        <f t="shared" si="2"/>
        <v>0</v>
      </c>
      <c r="K13" s="8">
        <f t="shared" si="3"/>
        <v>0</v>
      </c>
      <c r="L13" s="512"/>
      <c r="M13" s="62">
        <f t="shared" si="1"/>
        <v>3923.3177000000605</v>
      </c>
      <c r="N13" s="145"/>
      <c r="O13" s="63"/>
    </row>
    <row r="14" spans="1:18">
      <c r="A14" s="40">
        <v>11</v>
      </c>
      <c r="B14" s="207">
        <v>46306</v>
      </c>
      <c r="C14" s="61"/>
      <c r="D14" s="148"/>
      <c r="E14" s="242"/>
      <c r="F14" s="242"/>
      <c r="G14" s="8">
        <f t="shared" si="0"/>
        <v>0</v>
      </c>
      <c r="H14" s="59"/>
      <c r="I14" s="60"/>
      <c r="J14" s="8">
        <f t="shared" si="2"/>
        <v>0</v>
      </c>
      <c r="K14" s="8">
        <f t="shared" si="3"/>
        <v>0</v>
      </c>
      <c r="L14" s="512"/>
      <c r="M14" s="62">
        <f t="shared" si="1"/>
        <v>3923.3177000000605</v>
      </c>
      <c r="N14" s="145"/>
      <c r="O14" s="63"/>
    </row>
    <row r="15" spans="1:18">
      <c r="A15" s="40">
        <v>12</v>
      </c>
      <c r="B15" s="207">
        <v>46307</v>
      </c>
      <c r="C15" s="61"/>
      <c r="D15" s="148"/>
      <c r="E15" s="242"/>
      <c r="F15" s="242"/>
      <c r="G15" s="8">
        <f t="shared" si="0"/>
        <v>0</v>
      </c>
      <c r="H15" s="59"/>
      <c r="I15" s="60"/>
      <c r="J15" s="8">
        <f t="shared" si="2"/>
        <v>0</v>
      </c>
      <c r="K15" s="8">
        <f>G15+J15</f>
        <v>0</v>
      </c>
      <c r="L15" s="512"/>
      <c r="M15" s="62">
        <f t="shared" si="1"/>
        <v>3923.3177000000605</v>
      </c>
      <c r="N15" s="145"/>
      <c r="O15" s="63"/>
      <c r="P15" s="163"/>
    </row>
    <row r="16" spans="1:18">
      <c r="A16" s="40">
        <v>13</v>
      </c>
      <c r="B16" s="207">
        <v>46308</v>
      </c>
      <c r="C16" s="61"/>
      <c r="D16" s="148"/>
      <c r="E16" s="242"/>
      <c r="F16" s="242"/>
      <c r="G16" s="8">
        <f t="shared" si="0"/>
        <v>0</v>
      </c>
      <c r="H16" s="59"/>
      <c r="I16" s="60"/>
      <c r="J16" s="8">
        <f t="shared" si="2"/>
        <v>0</v>
      </c>
      <c r="K16" s="8">
        <f t="shared" si="3"/>
        <v>0</v>
      </c>
      <c r="L16" s="512"/>
      <c r="M16" s="62">
        <f t="shared" si="1"/>
        <v>3923.3177000000605</v>
      </c>
      <c r="N16" s="8"/>
      <c r="O16" s="63"/>
    </row>
    <row r="17" spans="1:15">
      <c r="A17" s="40">
        <v>14</v>
      </c>
      <c r="B17" s="207">
        <v>46309</v>
      </c>
      <c r="C17" s="61"/>
      <c r="D17" s="148"/>
      <c r="E17" s="242"/>
      <c r="F17" s="242"/>
      <c r="G17" s="8">
        <f t="shared" si="0"/>
        <v>0</v>
      </c>
      <c r="H17" s="59"/>
      <c r="I17" s="60"/>
      <c r="J17" s="8">
        <f t="shared" si="2"/>
        <v>0</v>
      </c>
      <c r="K17" s="8">
        <f t="shared" si="3"/>
        <v>0</v>
      </c>
      <c r="L17" s="512"/>
      <c r="M17" s="62">
        <f t="shared" si="1"/>
        <v>3923.3177000000605</v>
      </c>
      <c r="N17" s="8"/>
      <c r="O17" s="63"/>
    </row>
    <row r="18" spans="1:15">
      <c r="A18" s="40">
        <v>15</v>
      </c>
      <c r="B18" s="207">
        <v>46310</v>
      </c>
      <c r="C18" s="61"/>
      <c r="D18" s="148"/>
      <c r="E18" s="242"/>
      <c r="F18" s="242"/>
      <c r="G18" s="8">
        <f t="shared" si="0"/>
        <v>0</v>
      </c>
      <c r="H18" s="59"/>
      <c r="I18" s="60"/>
      <c r="J18" s="8">
        <f t="shared" si="2"/>
        <v>0</v>
      </c>
      <c r="K18" s="8">
        <f t="shared" si="3"/>
        <v>0</v>
      </c>
      <c r="L18" s="512"/>
      <c r="M18" s="62">
        <f t="shared" si="1"/>
        <v>3923.3177000000605</v>
      </c>
      <c r="N18" s="8"/>
      <c r="O18" s="63"/>
    </row>
    <row r="19" spans="1:15">
      <c r="A19" s="40">
        <v>16</v>
      </c>
      <c r="B19" s="207">
        <v>46311</v>
      </c>
      <c r="C19" s="61"/>
      <c r="D19" s="148"/>
      <c r="E19" s="242"/>
      <c r="F19" s="242"/>
      <c r="G19" s="8">
        <f t="shared" si="0"/>
        <v>0</v>
      </c>
      <c r="H19" s="59"/>
      <c r="I19" s="60"/>
      <c r="J19" s="8">
        <f t="shared" si="2"/>
        <v>0</v>
      </c>
      <c r="K19" s="8">
        <f t="shared" si="3"/>
        <v>0</v>
      </c>
      <c r="L19" s="512"/>
      <c r="M19" s="62">
        <f t="shared" si="1"/>
        <v>3923.3177000000605</v>
      </c>
      <c r="N19" s="8"/>
      <c r="O19" s="63"/>
    </row>
    <row r="20" spans="1:15">
      <c r="A20" s="40">
        <v>17</v>
      </c>
      <c r="B20" s="207">
        <v>46312</v>
      </c>
      <c r="C20" s="61"/>
      <c r="D20" s="148"/>
      <c r="E20" s="242"/>
      <c r="F20" s="242"/>
      <c r="G20" s="8">
        <f t="shared" si="0"/>
        <v>0</v>
      </c>
      <c r="H20" s="59"/>
      <c r="I20" s="60"/>
      <c r="J20" s="8">
        <f t="shared" si="2"/>
        <v>0</v>
      </c>
      <c r="K20" s="8">
        <f t="shared" si="3"/>
        <v>0</v>
      </c>
      <c r="L20" s="512"/>
      <c r="M20" s="62">
        <f>M19+K20-L20</f>
        <v>3923.3177000000605</v>
      </c>
      <c r="N20" s="181"/>
      <c r="O20" s="63"/>
    </row>
    <row r="21" spans="1:15">
      <c r="A21" s="40">
        <v>18</v>
      </c>
      <c r="B21" s="207">
        <v>46313</v>
      </c>
      <c r="C21" s="61"/>
      <c r="D21" s="148"/>
      <c r="E21" s="242"/>
      <c r="F21" s="242"/>
      <c r="G21" s="8">
        <f t="shared" si="0"/>
        <v>0</v>
      </c>
      <c r="H21" s="59"/>
      <c r="I21" s="60"/>
      <c r="J21" s="8">
        <f t="shared" si="2"/>
        <v>0</v>
      </c>
      <c r="K21" s="8">
        <f t="shared" si="3"/>
        <v>0</v>
      </c>
      <c r="L21" s="512"/>
      <c r="M21" s="62">
        <f t="shared" si="1"/>
        <v>3923.3177000000605</v>
      </c>
      <c r="N21" s="181"/>
      <c r="O21" s="63"/>
    </row>
    <row r="22" spans="1:15">
      <c r="A22" s="40">
        <v>19</v>
      </c>
      <c r="B22" s="207">
        <v>46314</v>
      </c>
      <c r="C22" s="61"/>
      <c r="D22" s="148"/>
      <c r="E22" s="14"/>
      <c r="F22" s="14"/>
      <c r="G22" s="8">
        <f t="shared" si="0"/>
        <v>0</v>
      </c>
      <c r="H22" s="59"/>
      <c r="I22" s="60"/>
      <c r="J22" s="8">
        <f t="shared" si="2"/>
        <v>0</v>
      </c>
      <c r="K22" s="8">
        <f t="shared" si="3"/>
        <v>0</v>
      </c>
      <c r="L22" s="512"/>
      <c r="M22" s="62">
        <f t="shared" si="1"/>
        <v>3923.3177000000605</v>
      </c>
      <c r="N22" s="181"/>
      <c r="O22" s="63"/>
    </row>
    <row r="23" spans="1:15">
      <c r="A23" s="40">
        <v>20</v>
      </c>
      <c r="B23" s="207">
        <v>46315</v>
      </c>
      <c r="C23" s="61"/>
      <c r="D23" s="148"/>
      <c r="E23" s="14"/>
      <c r="F23" s="14"/>
      <c r="G23" s="8">
        <f t="shared" si="0"/>
        <v>0</v>
      </c>
      <c r="H23" s="59"/>
      <c r="I23" s="60"/>
      <c r="J23" s="8">
        <f t="shared" si="2"/>
        <v>0</v>
      </c>
      <c r="K23" s="8">
        <f t="shared" si="3"/>
        <v>0</v>
      </c>
      <c r="L23" s="512"/>
      <c r="M23" s="62">
        <f t="shared" si="1"/>
        <v>3923.3177000000605</v>
      </c>
      <c r="N23" s="181"/>
      <c r="O23" s="63"/>
    </row>
    <row r="24" spans="1:15">
      <c r="A24" s="40">
        <v>21</v>
      </c>
      <c r="B24" s="207">
        <v>46316</v>
      </c>
      <c r="C24" s="61"/>
      <c r="D24" s="148"/>
      <c r="E24" s="14"/>
      <c r="F24" s="14"/>
      <c r="G24" s="8">
        <f t="shared" si="0"/>
        <v>0</v>
      </c>
      <c r="H24" s="59"/>
      <c r="I24" s="60"/>
      <c r="J24" s="8">
        <f t="shared" si="2"/>
        <v>0</v>
      </c>
      <c r="K24" s="8">
        <f t="shared" si="3"/>
        <v>0</v>
      </c>
      <c r="L24" s="512"/>
      <c r="M24" s="62">
        <f>M23+K24-L24</f>
        <v>3923.3177000000605</v>
      </c>
      <c r="N24" s="181"/>
      <c r="O24" s="63"/>
    </row>
    <row r="25" spans="1:15">
      <c r="A25" s="40">
        <v>22</v>
      </c>
      <c r="B25" s="207">
        <v>46317</v>
      </c>
      <c r="C25" s="61"/>
      <c r="D25" s="148"/>
      <c r="E25" s="14"/>
      <c r="F25" s="14"/>
      <c r="G25" s="8">
        <f t="shared" si="0"/>
        <v>0</v>
      </c>
      <c r="H25" s="59"/>
      <c r="I25" s="60"/>
      <c r="J25" s="8">
        <f t="shared" si="2"/>
        <v>0</v>
      </c>
      <c r="K25" s="8">
        <f t="shared" si="3"/>
        <v>0</v>
      </c>
      <c r="L25" s="512"/>
      <c r="M25" s="62">
        <f t="shared" si="1"/>
        <v>3923.3177000000605</v>
      </c>
      <c r="N25" s="181"/>
      <c r="O25" s="63"/>
    </row>
    <row r="26" spans="1:15">
      <c r="A26" s="40">
        <v>23</v>
      </c>
      <c r="B26" s="207">
        <v>46318</v>
      </c>
      <c r="C26" s="61"/>
      <c r="D26" s="148"/>
      <c r="E26" s="14"/>
      <c r="F26" s="14"/>
      <c r="G26" s="8">
        <f t="shared" si="0"/>
        <v>0</v>
      </c>
      <c r="H26" s="59"/>
      <c r="I26" s="60"/>
      <c r="J26" s="8">
        <f t="shared" si="2"/>
        <v>0</v>
      </c>
      <c r="K26" s="8">
        <f t="shared" si="3"/>
        <v>0</v>
      </c>
      <c r="L26" s="512"/>
      <c r="M26" s="62">
        <f t="shared" si="1"/>
        <v>3923.3177000000605</v>
      </c>
      <c r="N26" s="181"/>
      <c r="O26" s="63"/>
    </row>
    <row r="27" spans="1:15">
      <c r="A27" s="40">
        <v>24</v>
      </c>
      <c r="B27" s="207">
        <v>46319</v>
      </c>
      <c r="C27" s="61"/>
      <c r="D27" s="148"/>
      <c r="E27" s="14"/>
      <c r="F27" s="14"/>
      <c r="G27" s="8">
        <f t="shared" si="0"/>
        <v>0</v>
      </c>
      <c r="H27" s="59"/>
      <c r="I27" s="60"/>
      <c r="J27" s="8">
        <f t="shared" si="2"/>
        <v>0</v>
      </c>
      <c r="K27" s="8">
        <f t="shared" si="3"/>
        <v>0</v>
      </c>
      <c r="L27" s="512"/>
      <c r="M27" s="62">
        <f t="shared" si="1"/>
        <v>3923.3177000000605</v>
      </c>
      <c r="N27" s="181"/>
      <c r="O27" s="63"/>
    </row>
    <row r="28" spans="1:15">
      <c r="A28" s="40">
        <v>25</v>
      </c>
      <c r="B28" s="207">
        <v>46320</v>
      </c>
      <c r="C28" s="61"/>
      <c r="D28" s="148"/>
      <c r="E28" s="14"/>
      <c r="F28" s="14"/>
      <c r="G28" s="8">
        <f t="shared" si="0"/>
        <v>0</v>
      </c>
      <c r="H28" s="59"/>
      <c r="I28" s="60"/>
      <c r="J28" s="8">
        <f t="shared" si="2"/>
        <v>0</v>
      </c>
      <c r="K28" s="8">
        <f t="shared" si="3"/>
        <v>0</v>
      </c>
      <c r="L28" s="512"/>
      <c r="M28" s="62">
        <f t="shared" si="1"/>
        <v>3923.3177000000605</v>
      </c>
      <c r="N28" s="181"/>
      <c r="O28" s="63"/>
    </row>
    <row r="29" spans="1:15">
      <c r="A29" s="40">
        <v>26</v>
      </c>
      <c r="B29" s="207">
        <v>46321</v>
      </c>
      <c r="C29" s="61"/>
      <c r="D29" s="148"/>
      <c r="E29" s="14"/>
      <c r="F29" s="14"/>
      <c r="G29" s="8">
        <f t="shared" si="0"/>
        <v>0</v>
      </c>
      <c r="H29" s="59"/>
      <c r="I29" s="60"/>
      <c r="J29" s="8">
        <f t="shared" si="2"/>
        <v>0</v>
      </c>
      <c r="K29" s="8">
        <f t="shared" si="3"/>
        <v>0</v>
      </c>
      <c r="L29" s="512"/>
      <c r="M29" s="62">
        <f t="shared" si="1"/>
        <v>3923.3177000000605</v>
      </c>
      <c r="N29" s="181"/>
      <c r="O29" s="63"/>
    </row>
    <row r="30" spans="1:15">
      <c r="A30" s="40">
        <v>27</v>
      </c>
      <c r="B30" s="207">
        <v>46322</v>
      </c>
      <c r="C30" s="61"/>
      <c r="D30" s="148"/>
      <c r="E30" s="14"/>
      <c r="F30" s="14"/>
      <c r="G30" s="8">
        <f t="shared" si="0"/>
        <v>0</v>
      </c>
      <c r="H30" s="59"/>
      <c r="I30" s="60"/>
      <c r="J30" s="8">
        <f t="shared" si="2"/>
        <v>0</v>
      </c>
      <c r="K30" s="8">
        <f t="shared" si="3"/>
        <v>0</v>
      </c>
      <c r="L30" s="512"/>
      <c r="M30" s="62">
        <f t="shared" si="1"/>
        <v>3923.3177000000605</v>
      </c>
      <c r="N30" s="181"/>
      <c r="O30" s="63"/>
    </row>
    <row r="31" spans="1:15">
      <c r="A31" s="40">
        <v>28</v>
      </c>
      <c r="B31" s="207">
        <v>46323</v>
      </c>
      <c r="C31" s="61"/>
      <c r="D31" s="148"/>
      <c r="E31" s="14"/>
      <c r="F31" s="14"/>
      <c r="G31" s="8">
        <f t="shared" si="0"/>
        <v>0</v>
      </c>
      <c r="H31" s="59"/>
      <c r="I31" s="60"/>
      <c r="J31" s="8">
        <f t="shared" si="2"/>
        <v>0</v>
      </c>
      <c r="K31" s="8">
        <f t="shared" si="3"/>
        <v>0</v>
      </c>
      <c r="L31" s="512"/>
      <c r="M31" s="62">
        <f t="shared" si="1"/>
        <v>3923.3177000000605</v>
      </c>
      <c r="N31" s="8"/>
      <c r="O31" s="63"/>
    </row>
    <row r="32" spans="1:15">
      <c r="A32" s="40">
        <v>29</v>
      </c>
      <c r="B32" s="207">
        <v>46324</v>
      </c>
      <c r="C32" s="61"/>
      <c r="D32" s="148"/>
      <c r="E32" s="14"/>
      <c r="F32" s="14"/>
      <c r="G32" s="8">
        <f t="shared" si="0"/>
        <v>0</v>
      </c>
      <c r="H32" s="59"/>
      <c r="I32" s="60"/>
      <c r="J32" s="8">
        <f t="shared" si="2"/>
        <v>0</v>
      </c>
      <c r="K32" s="8">
        <f t="shared" si="3"/>
        <v>0</v>
      </c>
      <c r="L32" s="512"/>
      <c r="M32" s="62">
        <f t="shared" si="1"/>
        <v>3923.3177000000605</v>
      </c>
      <c r="N32" s="8"/>
      <c r="O32" s="63"/>
    </row>
    <row r="33" spans="1:15">
      <c r="A33" s="40">
        <v>30</v>
      </c>
      <c r="B33" s="207">
        <v>46325</v>
      </c>
      <c r="C33" s="61"/>
      <c r="D33" s="148"/>
      <c r="E33" s="148"/>
      <c r="F33" s="14"/>
      <c r="G33" s="8">
        <f t="shared" si="0"/>
        <v>0</v>
      </c>
      <c r="H33" s="59"/>
      <c r="I33" s="60"/>
      <c r="J33" s="8">
        <f t="shared" si="2"/>
        <v>0</v>
      </c>
      <c r="K33" s="8">
        <f t="shared" si="3"/>
        <v>0</v>
      </c>
      <c r="L33" s="512"/>
      <c r="M33" s="62">
        <f t="shared" si="1"/>
        <v>3923.3177000000605</v>
      </c>
      <c r="N33" s="8"/>
      <c r="O33" s="63"/>
    </row>
    <row r="34" spans="1:15">
      <c r="A34" s="40">
        <v>31</v>
      </c>
      <c r="B34" s="207">
        <v>46326</v>
      </c>
      <c r="C34" s="121"/>
      <c r="D34" s="122"/>
      <c r="E34" s="129"/>
      <c r="F34" s="129"/>
      <c r="G34" s="16">
        <f t="shared" si="0"/>
        <v>0</v>
      </c>
      <c r="H34" s="142"/>
      <c r="I34" s="143"/>
      <c r="J34" s="16">
        <f t="shared" si="2"/>
        <v>0</v>
      </c>
      <c r="K34" s="16">
        <f t="shared" si="3"/>
        <v>0</v>
      </c>
      <c r="L34" s="62"/>
      <c r="M34" s="62">
        <f t="shared" si="1"/>
        <v>3923.3177000000605</v>
      </c>
      <c r="N34" s="8"/>
      <c r="O34" s="63"/>
    </row>
    <row r="35" spans="1:15">
      <c r="A35" s="40">
        <v>32</v>
      </c>
      <c r="B35" s="207"/>
      <c r="C35" s="61"/>
      <c r="D35" s="148"/>
      <c r="E35" s="14"/>
      <c r="F35" s="14"/>
      <c r="G35" s="8">
        <f t="shared" si="0"/>
        <v>0</v>
      </c>
      <c r="H35" s="59"/>
      <c r="I35" s="60"/>
      <c r="J35" s="8">
        <f t="shared" si="2"/>
        <v>0</v>
      </c>
      <c r="K35" s="8">
        <f t="shared" si="3"/>
        <v>0</v>
      </c>
      <c r="L35" s="62"/>
      <c r="M35" s="62">
        <f t="shared" si="1"/>
        <v>3923.3177000000605</v>
      </c>
      <c r="N35" s="8"/>
      <c r="O35" s="63"/>
    </row>
    <row r="36" spans="1:15">
      <c r="A36" s="40">
        <v>33</v>
      </c>
      <c r="B36" s="207"/>
      <c r="C36" s="61"/>
      <c r="D36" s="148"/>
      <c r="E36" s="242"/>
      <c r="F36" s="14"/>
      <c r="G36" s="8">
        <f t="shared" si="0"/>
        <v>0</v>
      </c>
      <c r="H36" s="59"/>
      <c r="I36" s="60"/>
      <c r="J36" s="8">
        <f t="shared" si="2"/>
        <v>0</v>
      </c>
      <c r="K36" s="8">
        <f t="shared" si="3"/>
        <v>0</v>
      </c>
      <c r="L36" s="62"/>
      <c r="M36" s="62">
        <f t="shared" si="1"/>
        <v>3923.3177000000605</v>
      </c>
      <c r="N36" s="8"/>
      <c r="O36" s="63"/>
    </row>
    <row r="37" spans="1:15">
      <c r="A37" s="56"/>
      <c r="B37" s="56"/>
      <c r="C37" s="56"/>
      <c r="D37" s="56"/>
      <c r="E37" s="243">
        <f>SUM(E4:E36)</f>
        <v>1222.54</v>
      </c>
      <c r="F37" s="243"/>
      <c r="G37" s="57">
        <f>SUM(G4:G36)</f>
        <v>128623.43339999999</v>
      </c>
      <c r="H37" s="57">
        <f>SUM(H4:H36)</f>
        <v>55</v>
      </c>
      <c r="I37" s="57"/>
      <c r="J37" s="57">
        <f>SUM(J4:J36)</f>
        <v>6466.9</v>
      </c>
      <c r="K37" s="57">
        <f>SUM(K4:K36)</f>
        <v>135090.3334</v>
      </c>
      <c r="L37" s="57">
        <f>SUM(L4:L36)</f>
        <v>423000</v>
      </c>
      <c r="M37" s="57"/>
      <c r="N37" s="57"/>
      <c r="O37" s="53"/>
    </row>
    <row r="38" spans="1:15">
      <c r="A38" s="66"/>
      <c r="B38" s="67"/>
      <c r="C38" s="66"/>
      <c r="D38" s="66"/>
      <c r="E38" s="68"/>
      <c r="F38" s="68"/>
      <c r="G38" s="68"/>
      <c r="H38" s="68"/>
      <c r="I38" s="68"/>
      <c r="J38" s="69"/>
      <c r="K38" s="69"/>
      <c r="L38" s="69"/>
      <c r="M38" s="69"/>
      <c r="N38" s="68"/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O43" s="63"/>
    </row>
    <row r="44" spans="1:15">
      <c r="A44" s="63"/>
      <c r="B44" s="53"/>
      <c r="C44" s="63"/>
      <c r="D44" s="63"/>
      <c r="E44" s="63"/>
      <c r="F44" s="63"/>
      <c r="G44" s="70"/>
      <c r="H44" s="63"/>
      <c r="I44" s="63"/>
      <c r="J44" s="53"/>
      <c r="K44" s="53"/>
      <c r="L44" s="53"/>
      <c r="M44" s="53"/>
      <c r="N44" s="63"/>
      <c r="O44" s="68"/>
    </row>
    <row r="45" spans="1:15">
      <c r="A45" s="63"/>
      <c r="B45" s="624"/>
      <c r="C45" s="624"/>
      <c r="D45" s="624"/>
      <c r="E45" s="624"/>
      <c r="F45" s="63"/>
      <c r="G45" s="63"/>
      <c r="H45" s="63"/>
      <c r="I45" s="624"/>
      <c r="J45" s="624"/>
      <c r="K45" s="624"/>
      <c r="L45" s="624"/>
      <c r="M45" s="624"/>
      <c r="N45" s="624"/>
      <c r="O45" s="68"/>
    </row>
    <row r="46" spans="1:15">
      <c r="A46" s="63"/>
      <c r="B46" s="53"/>
      <c r="C46" s="63"/>
      <c r="D46" s="63"/>
      <c r="E46" s="63"/>
      <c r="F46" s="63"/>
      <c r="G46" s="63"/>
      <c r="H46" s="63"/>
      <c r="I46" s="63"/>
      <c r="J46" s="53"/>
      <c r="K46" s="53"/>
      <c r="L46" s="53"/>
      <c r="M46" s="53"/>
      <c r="N46" s="63"/>
      <c r="O46" s="68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AD2-7836-4B7B-A3FA-065AF83176ED}">
  <sheetPr>
    <tabColor theme="7" tint="0.39997558519241921"/>
  </sheetPr>
  <dimension ref="A1:R46"/>
  <sheetViews>
    <sheetView workbookViewId="0">
      <pane ySplit="3" topLeftCell="A4" activePane="bottomLeft" state="frozen"/>
      <selection pane="bottomLeft" activeCell="L18" sqref="L18"/>
    </sheetView>
  </sheetViews>
  <sheetFormatPr defaultRowHeight="15"/>
  <cols>
    <col min="2" max="2" width="11.140625" customWidth="1"/>
    <col min="4" max="4" width="12.7109375" customWidth="1"/>
    <col min="7" max="7" width="14.42578125" customWidth="1"/>
    <col min="11" max="11" width="13.5703125" bestFit="1" customWidth="1"/>
    <col min="12" max="12" width="20" customWidth="1"/>
    <col min="13" max="13" width="11.5703125" bestFit="1" customWidth="1"/>
  </cols>
  <sheetData>
    <row r="1" spans="1:18" ht="15.75">
      <c r="A1" s="623" t="s">
        <v>195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18"/>
      <c r="D3" s="618"/>
      <c r="E3" s="618"/>
      <c r="F3" s="618"/>
      <c r="G3" s="618"/>
      <c r="H3" s="618"/>
      <c r="I3" s="618"/>
      <c r="J3" s="618"/>
      <c r="K3" s="618"/>
      <c r="L3" s="622"/>
      <c r="M3" s="139">
        <v>17080.342799999984</v>
      </c>
      <c r="N3" s="145"/>
      <c r="O3" s="53"/>
    </row>
    <row r="4" spans="1:18">
      <c r="A4" s="184">
        <v>1</v>
      </c>
      <c r="B4" s="207">
        <v>46296</v>
      </c>
      <c r="C4" s="61"/>
      <c r="D4" s="148"/>
      <c r="E4" s="242"/>
      <c r="F4" s="242"/>
      <c r="G4" s="8">
        <f t="shared" ref="G4:G36" si="0">E4*F4</f>
        <v>0</v>
      </c>
      <c r="H4" s="59"/>
      <c r="I4" s="60"/>
      <c r="J4" s="8">
        <f>H4*I4</f>
        <v>0</v>
      </c>
      <c r="K4" s="8">
        <f>G4+J4</f>
        <v>0</v>
      </c>
      <c r="L4" s="512"/>
      <c r="M4" s="62">
        <f>M3+K4-L4</f>
        <v>17080.342799999984</v>
      </c>
      <c r="N4" s="145"/>
    </row>
    <row r="5" spans="1:18">
      <c r="A5" s="184">
        <v>2</v>
      </c>
      <c r="B5" s="207">
        <v>46297</v>
      </c>
      <c r="C5" s="61"/>
      <c r="D5" s="148"/>
      <c r="E5" s="242"/>
      <c r="F5" s="242"/>
      <c r="G5" s="8">
        <f t="shared" si="0"/>
        <v>0</v>
      </c>
      <c r="H5" s="59"/>
      <c r="I5" s="60"/>
      <c r="J5" s="8">
        <f>H5*I5</f>
        <v>0</v>
      </c>
      <c r="K5" s="8">
        <f>G5+J5</f>
        <v>0</v>
      </c>
      <c r="L5" s="512"/>
      <c r="M5" s="62">
        <f t="shared" ref="M5:M36" si="1">M4+K5-L5</f>
        <v>17080.342799999984</v>
      </c>
      <c r="N5" s="145"/>
    </row>
    <row r="6" spans="1:18">
      <c r="A6" s="40">
        <v>3</v>
      </c>
      <c r="B6" s="207">
        <v>46298</v>
      </c>
      <c r="C6" s="61"/>
      <c r="D6" s="14"/>
      <c r="E6" s="242"/>
      <c r="F6" s="242"/>
      <c r="G6" s="8">
        <f t="shared" si="0"/>
        <v>0</v>
      </c>
      <c r="H6" s="59"/>
      <c r="I6" s="60"/>
      <c r="J6" s="8">
        <f t="shared" ref="J6:J36" si="2">H6*I6</f>
        <v>0</v>
      </c>
      <c r="K6" s="8">
        <f t="shared" ref="K6:K36" si="3">G6+J6</f>
        <v>0</v>
      </c>
      <c r="L6" s="512"/>
      <c r="M6" s="62">
        <f t="shared" si="1"/>
        <v>17080.342799999984</v>
      </c>
      <c r="N6" s="145"/>
    </row>
    <row r="7" spans="1:18">
      <c r="A7" s="184">
        <v>4</v>
      </c>
      <c r="B7" s="207">
        <v>46299</v>
      </c>
      <c r="C7" s="61"/>
      <c r="D7" s="148"/>
      <c r="E7" s="242"/>
      <c r="F7" s="242"/>
      <c r="G7" s="8">
        <f t="shared" si="0"/>
        <v>0</v>
      </c>
      <c r="H7" s="59"/>
      <c r="I7" s="60"/>
      <c r="J7" s="8">
        <f t="shared" si="2"/>
        <v>0</v>
      </c>
      <c r="K7" s="8">
        <f t="shared" si="3"/>
        <v>0</v>
      </c>
      <c r="L7" s="512"/>
      <c r="M7" s="62">
        <f t="shared" si="1"/>
        <v>17080.342799999984</v>
      </c>
      <c r="N7" s="145"/>
    </row>
    <row r="8" spans="1:18">
      <c r="A8" s="184">
        <v>5</v>
      </c>
      <c r="B8" s="207">
        <v>46300</v>
      </c>
      <c r="C8" s="61"/>
      <c r="D8" s="148"/>
      <c r="E8" s="242">
        <v>40</v>
      </c>
      <c r="F8" s="242">
        <v>105.46</v>
      </c>
      <c r="G8" s="8">
        <f t="shared" si="0"/>
        <v>4218.3999999999996</v>
      </c>
      <c r="H8" s="59"/>
      <c r="I8" s="60"/>
      <c r="J8" s="8">
        <f t="shared" si="2"/>
        <v>0</v>
      </c>
      <c r="K8" s="8">
        <f t="shared" si="3"/>
        <v>4218.3999999999996</v>
      </c>
      <c r="L8" s="512"/>
      <c r="M8" s="62">
        <f t="shared" si="1"/>
        <v>21298.742799999985</v>
      </c>
      <c r="N8" s="145"/>
    </row>
    <row r="9" spans="1:18">
      <c r="A9" s="40">
        <v>6</v>
      </c>
      <c r="B9" s="207">
        <v>46301</v>
      </c>
      <c r="C9" s="61"/>
      <c r="D9" s="148"/>
      <c r="E9" s="242"/>
      <c r="F9" s="242"/>
      <c r="G9" s="8">
        <f t="shared" si="0"/>
        <v>0</v>
      </c>
      <c r="H9" s="59"/>
      <c r="I9" s="60"/>
      <c r="J9" s="8">
        <f t="shared" si="2"/>
        <v>0</v>
      </c>
      <c r="K9" s="8">
        <f t="shared" si="3"/>
        <v>0</v>
      </c>
      <c r="L9" s="512"/>
      <c r="M9" s="62">
        <f t="shared" si="1"/>
        <v>21298.742799999985</v>
      </c>
      <c r="N9" s="145"/>
      <c r="O9" s="63"/>
      <c r="R9" s="212"/>
    </row>
    <row r="10" spans="1:18">
      <c r="A10" s="184">
        <v>7</v>
      </c>
      <c r="B10" s="207">
        <v>46302</v>
      </c>
      <c r="C10" s="61"/>
      <c r="D10" s="148"/>
      <c r="E10" s="242">
        <v>100</v>
      </c>
      <c r="F10" s="242">
        <v>105.46</v>
      </c>
      <c r="G10" s="8">
        <f t="shared" si="0"/>
        <v>10546</v>
      </c>
      <c r="H10" s="59">
        <v>5</v>
      </c>
      <c r="I10" s="60">
        <v>117.84</v>
      </c>
      <c r="J10" s="8">
        <f t="shared" si="2"/>
        <v>589.20000000000005</v>
      </c>
      <c r="K10" s="8">
        <f t="shared" si="3"/>
        <v>11135.2</v>
      </c>
      <c r="L10" s="512"/>
      <c r="M10" s="62">
        <f t="shared" si="1"/>
        <v>32433.942799999986</v>
      </c>
      <c r="N10" s="145"/>
      <c r="O10" s="63"/>
    </row>
    <row r="11" spans="1:18">
      <c r="A11" s="184">
        <v>8</v>
      </c>
      <c r="B11" s="207">
        <v>46303</v>
      </c>
      <c r="C11" s="61"/>
      <c r="D11" s="148"/>
      <c r="E11" s="242">
        <v>30</v>
      </c>
      <c r="F11" s="242">
        <v>105.46</v>
      </c>
      <c r="G11" s="8">
        <f t="shared" si="0"/>
        <v>3163.7999999999997</v>
      </c>
      <c r="H11" s="59"/>
      <c r="I11" s="60"/>
      <c r="J11" s="8">
        <f t="shared" si="2"/>
        <v>0</v>
      </c>
      <c r="K11" s="8">
        <f t="shared" si="3"/>
        <v>3163.7999999999997</v>
      </c>
      <c r="L11" s="512"/>
      <c r="M11" s="62">
        <f t="shared" si="1"/>
        <v>35597.742799999985</v>
      </c>
      <c r="N11" s="145"/>
      <c r="O11" s="63"/>
    </row>
    <row r="12" spans="1:18">
      <c r="A12" s="40">
        <v>9</v>
      </c>
      <c r="B12" s="207">
        <v>46304</v>
      </c>
      <c r="C12" s="61"/>
      <c r="D12" s="148"/>
      <c r="E12" s="242"/>
      <c r="F12" s="242"/>
      <c r="G12" s="8">
        <f t="shared" si="0"/>
        <v>0</v>
      </c>
      <c r="H12" s="59"/>
      <c r="I12" s="60"/>
      <c r="J12" s="8">
        <f t="shared" si="2"/>
        <v>0</v>
      </c>
      <c r="K12" s="8">
        <f t="shared" si="3"/>
        <v>0</v>
      </c>
      <c r="L12" s="512"/>
      <c r="M12" s="62">
        <f t="shared" si="1"/>
        <v>35597.742799999985</v>
      </c>
      <c r="N12" s="145"/>
      <c r="O12" s="63"/>
    </row>
    <row r="13" spans="1:18">
      <c r="A13" s="184">
        <v>10</v>
      </c>
      <c r="B13" s="207">
        <v>46305</v>
      </c>
      <c r="C13" s="61"/>
      <c r="D13" s="148"/>
      <c r="E13" s="242">
        <v>47</v>
      </c>
      <c r="F13" s="242">
        <v>105.46</v>
      </c>
      <c r="G13" s="8">
        <f t="shared" si="0"/>
        <v>4956.62</v>
      </c>
      <c r="H13" s="59"/>
      <c r="I13" s="60"/>
      <c r="J13" s="8">
        <f t="shared" si="2"/>
        <v>0</v>
      </c>
      <c r="K13" s="8">
        <f t="shared" si="3"/>
        <v>4956.62</v>
      </c>
      <c r="L13" s="512"/>
      <c r="M13" s="62">
        <f t="shared" si="1"/>
        <v>40554.362799999988</v>
      </c>
      <c r="N13" s="145"/>
      <c r="O13" s="63"/>
    </row>
    <row r="14" spans="1:18">
      <c r="A14" s="184">
        <v>11</v>
      </c>
      <c r="B14" s="207">
        <v>46306</v>
      </c>
      <c r="C14" s="61"/>
      <c r="D14" s="148"/>
      <c r="E14" s="242">
        <v>400</v>
      </c>
      <c r="F14" s="242">
        <v>105.46</v>
      </c>
      <c r="G14" s="8">
        <f t="shared" si="0"/>
        <v>42184</v>
      </c>
      <c r="H14" s="59">
        <v>50</v>
      </c>
      <c r="I14" s="60">
        <v>117.84</v>
      </c>
      <c r="J14" s="8">
        <f t="shared" si="2"/>
        <v>5892</v>
      </c>
      <c r="K14" s="8">
        <f t="shared" si="3"/>
        <v>48076</v>
      </c>
      <c r="L14" s="512"/>
      <c r="M14" s="62">
        <f t="shared" si="1"/>
        <v>88630.362799999988</v>
      </c>
      <c r="N14" s="145"/>
      <c r="O14" s="63"/>
    </row>
    <row r="15" spans="1:18">
      <c r="A15" s="40">
        <v>12</v>
      </c>
      <c r="B15" s="207">
        <v>46307</v>
      </c>
      <c r="C15" s="61"/>
      <c r="D15" s="148"/>
      <c r="E15" s="242"/>
      <c r="F15" s="242"/>
      <c r="G15" s="8">
        <f t="shared" si="0"/>
        <v>0</v>
      </c>
      <c r="H15" s="59">
        <v>5</v>
      </c>
      <c r="I15" s="60">
        <v>117.84</v>
      </c>
      <c r="J15" s="8">
        <f t="shared" si="2"/>
        <v>589.20000000000005</v>
      </c>
      <c r="K15" s="8">
        <f>G15+J15</f>
        <v>589.20000000000005</v>
      </c>
      <c r="L15" s="512"/>
      <c r="M15" s="62">
        <f t="shared" si="1"/>
        <v>89219.562799999985</v>
      </c>
      <c r="N15" s="145"/>
      <c r="O15" s="63"/>
    </row>
    <row r="16" spans="1:18">
      <c r="A16" s="184">
        <v>13</v>
      </c>
      <c r="B16" s="207">
        <v>46308</v>
      </c>
      <c r="C16" s="61"/>
      <c r="D16" s="148"/>
      <c r="E16" s="242"/>
      <c r="F16" s="242"/>
      <c r="G16" s="8">
        <f t="shared" si="0"/>
        <v>0</v>
      </c>
      <c r="H16" s="59"/>
      <c r="I16" s="60"/>
      <c r="J16" s="8">
        <f t="shared" si="2"/>
        <v>0</v>
      </c>
      <c r="K16" s="8">
        <f t="shared" si="3"/>
        <v>0</v>
      </c>
      <c r="L16" s="512"/>
      <c r="M16" s="62">
        <f t="shared" si="1"/>
        <v>89219.562799999985</v>
      </c>
      <c r="N16" s="8"/>
      <c r="O16" s="63"/>
    </row>
    <row r="17" spans="1:15">
      <c r="A17" s="184">
        <v>14</v>
      </c>
      <c r="B17" s="207">
        <v>46309</v>
      </c>
      <c r="C17" s="61"/>
      <c r="D17" s="148"/>
      <c r="E17" s="242"/>
      <c r="F17" s="242"/>
      <c r="G17" s="8">
        <f t="shared" si="0"/>
        <v>0</v>
      </c>
      <c r="H17" s="59"/>
      <c r="I17" s="60"/>
      <c r="J17" s="8">
        <f t="shared" si="2"/>
        <v>0</v>
      </c>
      <c r="K17" s="8">
        <f t="shared" si="3"/>
        <v>0</v>
      </c>
      <c r="L17" s="512"/>
      <c r="M17" s="62">
        <f t="shared" si="1"/>
        <v>89219.562799999985</v>
      </c>
      <c r="N17" s="8"/>
      <c r="O17" s="63"/>
    </row>
    <row r="18" spans="1:15">
      <c r="A18" s="40">
        <v>15</v>
      </c>
      <c r="B18" s="207">
        <v>46310</v>
      </c>
      <c r="C18" s="61"/>
      <c r="D18" s="148"/>
      <c r="E18" s="242">
        <v>470</v>
      </c>
      <c r="F18" s="242">
        <v>105.46</v>
      </c>
      <c r="G18" s="8">
        <f t="shared" si="0"/>
        <v>49566.2</v>
      </c>
      <c r="H18" s="59">
        <v>50</v>
      </c>
      <c r="I18" s="60">
        <v>117.84</v>
      </c>
      <c r="J18" s="8">
        <f t="shared" si="2"/>
        <v>5892</v>
      </c>
      <c r="K18" s="8">
        <f t="shared" si="3"/>
        <v>55458.2</v>
      </c>
      <c r="L18" s="512">
        <v>80000</v>
      </c>
      <c r="M18" s="62">
        <f t="shared" si="1"/>
        <v>64677.762799999968</v>
      </c>
      <c r="N18" s="8"/>
      <c r="O18" s="63"/>
    </row>
    <row r="19" spans="1:15">
      <c r="A19" s="184">
        <v>16</v>
      </c>
      <c r="B19" s="207">
        <v>46311</v>
      </c>
      <c r="C19" s="61"/>
      <c r="D19" s="148"/>
      <c r="E19" s="242"/>
      <c r="F19" s="242"/>
      <c r="G19" s="8">
        <f t="shared" si="0"/>
        <v>0</v>
      </c>
      <c r="H19" s="59"/>
      <c r="I19" s="60"/>
      <c r="J19" s="8">
        <f t="shared" si="2"/>
        <v>0</v>
      </c>
      <c r="K19" s="8">
        <f t="shared" si="3"/>
        <v>0</v>
      </c>
      <c r="L19" s="521"/>
      <c r="M19" s="62">
        <f t="shared" si="1"/>
        <v>64677.762799999968</v>
      </c>
      <c r="N19" s="8"/>
      <c r="O19" s="63"/>
    </row>
    <row r="20" spans="1:15">
      <c r="A20" s="184">
        <v>17</v>
      </c>
      <c r="B20" s="207">
        <v>46312</v>
      </c>
      <c r="C20" s="61"/>
      <c r="D20" s="148"/>
      <c r="E20" s="242"/>
      <c r="F20" s="242"/>
      <c r="G20" s="8">
        <f t="shared" si="0"/>
        <v>0</v>
      </c>
      <c r="H20" s="59"/>
      <c r="I20" s="60"/>
      <c r="J20" s="8">
        <f t="shared" si="2"/>
        <v>0</v>
      </c>
      <c r="K20" s="8">
        <f t="shared" si="3"/>
        <v>0</v>
      </c>
      <c r="L20" s="512"/>
      <c r="M20" s="62">
        <f t="shared" si="1"/>
        <v>64677.762799999968</v>
      </c>
      <c r="N20" s="181"/>
      <c r="O20" s="63"/>
    </row>
    <row r="21" spans="1:15">
      <c r="A21" s="40">
        <v>18</v>
      </c>
      <c r="B21" s="207">
        <v>46313</v>
      </c>
      <c r="C21" s="61"/>
      <c r="D21" s="148"/>
      <c r="E21" s="242"/>
      <c r="F21" s="242"/>
      <c r="G21" s="8">
        <f t="shared" si="0"/>
        <v>0</v>
      </c>
      <c r="H21" s="59"/>
      <c r="I21" s="60"/>
      <c r="J21" s="8">
        <f t="shared" si="2"/>
        <v>0</v>
      </c>
      <c r="K21" s="8">
        <f t="shared" si="3"/>
        <v>0</v>
      </c>
      <c r="L21" s="512"/>
      <c r="M21" s="62">
        <f t="shared" si="1"/>
        <v>64677.762799999968</v>
      </c>
      <c r="N21" s="181"/>
      <c r="O21" s="63"/>
    </row>
    <row r="22" spans="1:15">
      <c r="A22" s="184">
        <v>19</v>
      </c>
      <c r="B22" s="207">
        <v>46314</v>
      </c>
      <c r="C22" s="61"/>
      <c r="D22" s="148"/>
      <c r="E22" s="14"/>
      <c r="F22" s="14"/>
      <c r="G22" s="8">
        <f t="shared" si="0"/>
        <v>0</v>
      </c>
      <c r="H22" s="59"/>
      <c r="I22" s="60"/>
      <c r="J22" s="8">
        <f t="shared" si="2"/>
        <v>0</v>
      </c>
      <c r="K22" s="8">
        <f t="shared" si="3"/>
        <v>0</v>
      </c>
      <c r="L22" s="512"/>
      <c r="M22" s="62">
        <f t="shared" si="1"/>
        <v>64677.762799999968</v>
      </c>
      <c r="N22" s="181"/>
      <c r="O22" s="63"/>
    </row>
    <row r="23" spans="1:15">
      <c r="A23" s="184">
        <v>20</v>
      </c>
      <c r="B23" s="207">
        <v>46315</v>
      </c>
      <c r="C23" s="61"/>
      <c r="D23" s="148"/>
      <c r="E23" s="14"/>
      <c r="F23" s="14"/>
      <c r="G23" s="8">
        <f t="shared" si="0"/>
        <v>0</v>
      </c>
      <c r="H23" s="59"/>
      <c r="I23" s="60"/>
      <c r="J23" s="8">
        <f t="shared" si="2"/>
        <v>0</v>
      </c>
      <c r="K23" s="8">
        <f t="shared" si="3"/>
        <v>0</v>
      </c>
      <c r="L23" s="512"/>
      <c r="M23" s="62">
        <f t="shared" si="1"/>
        <v>64677.762799999968</v>
      </c>
      <c r="N23" s="181"/>
      <c r="O23" s="63"/>
    </row>
    <row r="24" spans="1:15">
      <c r="A24" s="40">
        <v>21</v>
      </c>
      <c r="B24" s="207">
        <v>46316</v>
      </c>
      <c r="C24" s="61"/>
      <c r="D24" s="148"/>
      <c r="E24" s="14"/>
      <c r="F24" s="14"/>
      <c r="G24" s="8">
        <f t="shared" si="0"/>
        <v>0</v>
      </c>
      <c r="H24" s="59"/>
      <c r="I24" s="60"/>
      <c r="J24" s="8">
        <f t="shared" si="2"/>
        <v>0</v>
      </c>
      <c r="K24" s="8">
        <f t="shared" si="3"/>
        <v>0</v>
      </c>
      <c r="L24" s="512"/>
      <c r="M24" s="62">
        <f t="shared" si="1"/>
        <v>64677.762799999968</v>
      </c>
      <c r="N24" s="181"/>
      <c r="O24" s="63"/>
    </row>
    <row r="25" spans="1:15">
      <c r="A25" s="184">
        <v>22</v>
      </c>
      <c r="B25" s="207">
        <v>46317</v>
      </c>
      <c r="C25" s="61"/>
      <c r="D25" s="148"/>
      <c r="E25" s="14"/>
      <c r="F25" s="14"/>
      <c r="G25" s="8">
        <f t="shared" si="0"/>
        <v>0</v>
      </c>
      <c r="H25" s="59"/>
      <c r="I25" s="60"/>
      <c r="J25" s="8">
        <f t="shared" si="2"/>
        <v>0</v>
      </c>
      <c r="K25" s="8">
        <f t="shared" si="3"/>
        <v>0</v>
      </c>
      <c r="L25" s="512"/>
      <c r="M25" s="62">
        <f t="shared" si="1"/>
        <v>64677.762799999968</v>
      </c>
      <c r="N25" s="181"/>
      <c r="O25" s="63"/>
    </row>
    <row r="26" spans="1:15">
      <c r="A26" s="184">
        <v>23</v>
      </c>
      <c r="B26" s="207">
        <v>46318</v>
      </c>
      <c r="C26" s="61"/>
      <c r="D26" s="148"/>
      <c r="E26" s="14"/>
      <c r="F26" s="14"/>
      <c r="G26" s="8">
        <f t="shared" si="0"/>
        <v>0</v>
      </c>
      <c r="H26" s="59"/>
      <c r="I26" s="60"/>
      <c r="J26" s="8">
        <f t="shared" si="2"/>
        <v>0</v>
      </c>
      <c r="K26" s="8">
        <f t="shared" si="3"/>
        <v>0</v>
      </c>
      <c r="L26" s="512"/>
      <c r="M26" s="62">
        <f t="shared" si="1"/>
        <v>64677.762799999968</v>
      </c>
      <c r="N26" s="181"/>
      <c r="O26" s="63"/>
    </row>
    <row r="27" spans="1:15">
      <c r="A27" s="40">
        <v>24</v>
      </c>
      <c r="B27" s="207">
        <v>46319</v>
      </c>
      <c r="C27" s="61"/>
      <c r="D27" s="148"/>
      <c r="E27" s="14"/>
      <c r="F27" s="14"/>
      <c r="G27" s="8">
        <f t="shared" si="0"/>
        <v>0</v>
      </c>
      <c r="H27" s="59"/>
      <c r="I27" s="60"/>
      <c r="J27" s="8">
        <f t="shared" si="2"/>
        <v>0</v>
      </c>
      <c r="K27" s="8">
        <f t="shared" si="3"/>
        <v>0</v>
      </c>
      <c r="L27" s="512"/>
      <c r="M27" s="62">
        <f t="shared" si="1"/>
        <v>64677.762799999968</v>
      </c>
      <c r="N27" s="181"/>
      <c r="O27" s="63"/>
    </row>
    <row r="28" spans="1:15">
      <c r="A28" s="184">
        <v>25</v>
      </c>
      <c r="B28" s="207">
        <v>46320</v>
      </c>
      <c r="C28" s="61"/>
      <c r="D28" s="148"/>
      <c r="E28" s="14"/>
      <c r="F28" s="14"/>
      <c r="G28" s="8">
        <f t="shared" si="0"/>
        <v>0</v>
      </c>
      <c r="H28" s="59"/>
      <c r="I28" s="60"/>
      <c r="J28" s="8">
        <f t="shared" si="2"/>
        <v>0</v>
      </c>
      <c r="K28" s="8">
        <f t="shared" si="3"/>
        <v>0</v>
      </c>
      <c r="L28" s="512"/>
      <c r="M28" s="62">
        <f t="shared" si="1"/>
        <v>64677.762799999968</v>
      </c>
      <c r="N28" s="181"/>
      <c r="O28" s="63"/>
    </row>
    <row r="29" spans="1:15">
      <c r="A29" s="184">
        <v>26</v>
      </c>
      <c r="B29" s="207">
        <v>46321</v>
      </c>
      <c r="C29" s="61"/>
      <c r="D29" s="148"/>
      <c r="E29" s="14"/>
      <c r="F29" s="14"/>
      <c r="G29" s="8">
        <f t="shared" si="0"/>
        <v>0</v>
      </c>
      <c r="H29" s="59"/>
      <c r="I29" s="60"/>
      <c r="J29" s="8">
        <f t="shared" si="2"/>
        <v>0</v>
      </c>
      <c r="K29" s="8">
        <f t="shared" si="3"/>
        <v>0</v>
      </c>
      <c r="L29" s="512"/>
      <c r="M29" s="62">
        <f t="shared" si="1"/>
        <v>64677.762799999968</v>
      </c>
      <c r="N29" s="181"/>
      <c r="O29" s="63"/>
    </row>
    <row r="30" spans="1:15">
      <c r="A30" s="40">
        <v>27</v>
      </c>
      <c r="B30" s="207">
        <v>46322</v>
      </c>
      <c r="C30" s="61"/>
      <c r="D30" s="148"/>
      <c r="E30" s="14"/>
      <c r="F30" s="14"/>
      <c r="G30" s="8"/>
      <c r="H30" s="59"/>
      <c r="I30" s="60"/>
      <c r="J30" s="8">
        <f t="shared" si="2"/>
        <v>0</v>
      </c>
      <c r="K30" s="8">
        <f t="shared" si="3"/>
        <v>0</v>
      </c>
      <c r="L30" s="512"/>
      <c r="M30" s="62">
        <f t="shared" si="1"/>
        <v>64677.762799999968</v>
      </c>
      <c r="N30" s="181"/>
      <c r="O30" s="63"/>
    </row>
    <row r="31" spans="1:15">
      <c r="A31" s="184">
        <v>28</v>
      </c>
      <c r="B31" s="207">
        <v>46323</v>
      </c>
      <c r="C31" s="61"/>
      <c r="D31" s="148"/>
      <c r="E31" s="14"/>
      <c r="F31" s="14"/>
      <c r="G31" s="8">
        <f t="shared" si="0"/>
        <v>0</v>
      </c>
      <c r="H31" s="59"/>
      <c r="I31" s="60"/>
      <c r="J31" s="8">
        <f t="shared" si="2"/>
        <v>0</v>
      </c>
      <c r="K31" s="8">
        <f t="shared" si="3"/>
        <v>0</v>
      </c>
      <c r="L31" s="522"/>
      <c r="M31" s="62">
        <f t="shared" si="1"/>
        <v>64677.762799999968</v>
      </c>
      <c r="N31" s="8"/>
      <c r="O31" s="63"/>
    </row>
    <row r="32" spans="1:15">
      <c r="A32" s="184">
        <v>29</v>
      </c>
      <c r="B32" s="207">
        <v>46324</v>
      </c>
      <c r="C32" s="61"/>
      <c r="D32" s="148"/>
      <c r="E32" s="14"/>
      <c r="F32" s="14"/>
      <c r="G32" s="8">
        <f t="shared" si="0"/>
        <v>0</v>
      </c>
      <c r="H32" s="59"/>
      <c r="I32" s="60"/>
      <c r="J32" s="8">
        <f t="shared" si="2"/>
        <v>0</v>
      </c>
      <c r="K32" s="8">
        <f t="shared" si="3"/>
        <v>0</v>
      </c>
      <c r="L32" s="512"/>
      <c r="M32" s="62">
        <f t="shared" si="1"/>
        <v>64677.762799999968</v>
      </c>
      <c r="N32" s="8"/>
      <c r="O32" s="63"/>
    </row>
    <row r="33" spans="1:15">
      <c r="A33" s="40">
        <v>30</v>
      </c>
      <c r="B33" s="207">
        <v>46325</v>
      </c>
      <c r="C33" s="61"/>
      <c r="D33" s="148"/>
      <c r="E33" s="148"/>
      <c r="F33" s="14"/>
      <c r="G33" s="8">
        <f t="shared" si="0"/>
        <v>0</v>
      </c>
      <c r="H33" s="59"/>
      <c r="I33" s="60"/>
      <c r="J33" s="8">
        <f t="shared" si="2"/>
        <v>0</v>
      </c>
      <c r="K33" s="8">
        <f t="shared" si="3"/>
        <v>0</v>
      </c>
      <c r="L33" s="512"/>
      <c r="M33" s="62">
        <f t="shared" si="1"/>
        <v>64677.762799999968</v>
      </c>
      <c r="N33" s="8"/>
      <c r="O33" s="63"/>
    </row>
    <row r="34" spans="1:15">
      <c r="A34" s="184">
        <v>31</v>
      </c>
      <c r="B34" s="207">
        <v>46326</v>
      </c>
      <c r="C34" s="61"/>
      <c r="D34" s="148"/>
      <c r="E34" s="14"/>
      <c r="F34" s="14"/>
      <c r="G34" s="8">
        <f t="shared" si="0"/>
        <v>0</v>
      </c>
      <c r="H34" s="59"/>
      <c r="I34" s="60"/>
      <c r="J34" s="8">
        <f t="shared" si="2"/>
        <v>0</v>
      </c>
      <c r="K34" s="8">
        <f t="shared" si="3"/>
        <v>0</v>
      </c>
      <c r="L34" s="512"/>
      <c r="M34" s="62">
        <f t="shared" si="1"/>
        <v>64677.762799999968</v>
      </c>
      <c r="N34" s="8"/>
      <c r="O34" s="63"/>
    </row>
    <row r="35" spans="1:15">
      <c r="A35" s="184">
        <v>32</v>
      </c>
      <c r="B35" s="207"/>
      <c r="C35" s="61"/>
      <c r="D35" s="148"/>
      <c r="E35" s="14"/>
      <c r="F35" s="14"/>
      <c r="G35" s="8">
        <f t="shared" si="0"/>
        <v>0</v>
      </c>
      <c r="H35" s="59"/>
      <c r="I35" s="60"/>
      <c r="J35" s="8">
        <f t="shared" si="2"/>
        <v>0</v>
      </c>
      <c r="K35" s="8">
        <f t="shared" si="3"/>
        <v>0</v>
      </c>
      <c r="L35" s="512"/>
      <c r="M35" s="62">
        <f t="shared" si="1"/>
        <v>64677.762799999968</v>
      </c>
      <c r="N35" s="8"/>
      <c r="O35" s="63"/>
    </row>
    <row r="36" spans="1:15">
      <c r="A36" s="40">
        <v>33</v>
      </c>
      <c r="B36" s="207"/>
      <c r="C36" s="121"/>
      <c r="D36" s="122"/>
      <c r="E36" s="513"/>
      <c r="F36" s="129"/>
      <c r="G36" s="16">
        <f t="shared" si="0"/>
        <v>0</v>
      </c>
      <c r="H36" s="142"/>
      <c r="I36" s="143"/>
      <c r="J36" s="16">
        <f t="shared" si="2"/>
        <v>0</v>
      </c>
      <c r="K36" s="16">
        <f t="shared" si="3"/>
        <v>0</v>
      </c>
      <c r="L36" s="62"/>
      <c r="M36" s="62">
        <f t="shared" si="1"/>
        <v>64677.762799999968</v>
      </c>
      <c r="N36" s="8"/>
      <c r="O36" s="63"/>
    </row>
    <row r="37" spans="1:15">
      <c r="A37" s="56"/>
      <c r="B37" s="56"/>
      <c r="C37" s="56"/>
      <c r="D37" s="56"/>
      <c r="E37" s="243">
        <f>SUM(E4:E36)</f>
        <v>1087</v>
      </c>
      <c r="F37" s="243"/>
      <c r="G37" s="57">
        <f>SUM(G4:G36)</f>
        <v>114635.01999999999</v>
      </c>
      <c r="H37" s="57">
        <f>SUM(H4:H36)</f>
        <v>110</v>
      </c>
      <c r="I37" s="57"/>
      <c r="J37" s="57">
        <f>SUM(J4:J36)</f>
        <v>12962.4</v>
      </c>
      <c r="K37" s="57">
        <f>SUM(K4:K36)</f>
        <v>127597.42</v>
      </c>
      <c r="L37" s="57">
        <f>SUM(L4:L36)</f>
        <v>80000</v>
      </c>
      <c r="M37" s="57"/>
      <c r="N37" s="57"/>
      <c r="O37" s="53"/>
    </row>
    <row r="38" spans="1:15">
      <c r="A38" s="66"/>
      <c r="B38" s="67"/>
      <c r="C38" s="66"/>
      <c r="D38" s="66"/>
      <c r="E38" s="68"/>
      <c r="F38" s="68"/>
      <c r="G38" s="68"/>
      <c r="H38" s="68"/>
      <c r="I38" s="68"/>
      <c r="J38" s="69"/>
      <c r="K38" s="69"/>
      <c r="L38" s="69"/>
      <c r="M38" s="69"/>
      <c r="N38" s="68"/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O43" s="63"/>
    </row>
    <row r="44" spans="1:15">
      <c r="A44" s="63"/>
      <c r="B44" s="53"/>
      <c r="C44" s="63"/>
      <c r="D44" s="63"/>
      <c r="E44" s="63"/>
      <c r="F44" s="63"/>
      <c r="G44" s="70"/>
      <c r="H44" s="63"/>
      <c r="I44" s="63"/>
      <c r="J44" s="53"/>
      <c r="K44" s="53"/>
      <c r="L44" s="53"/>
      <c r="M44" s="53"/>
      <c r="N44" s="63"/>
      <c r="O44" s="68"/>
    </row>
    <row r="45" spans="1:15">
      <c r="A45" s="63"/>
      <c r="B45" s="624"/>
      <c r="C45" s="624"/>
      <c r="D45" s="624"/>
      <c r="E45" s="624"/>
      <c r="F45" s="63"/>
      <c r="G45" s="63"/>
      <c r="H45" s="63"/>
      <c r="I45" s="624"/>
      <c r="J45" s="624"/>
      <c r="K45" s="624"/>
      <c r="L45" s="624"/>
      <c r="M45" s="624"/>
      <c r="N45" s="624"/>
      <c r="O45" s="68"/>
    </row>
    <row r="46" spans="1:15">
      <c r="A46" s="63"/>
      <c r="B46" s="53"/>
      <c r="C46" s="63"/>
      <c r="D46" s="63"/>
      <c r="E46" s="63"/>
      <c r="F46" s="63"/>
      <c r="G46" s="63"/>
      <c r="H46" s="63"/>
      <c r="I46" s="63"/>
      <c r="J46" s="53"/>
      <c r="K46" s="53"/>
      <c r="L46" s="53"/>
      <c r="M46" s="53"/>
      <c r="N46" s="63"/>
      <c r="O46" s="68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8046-1CAF-4759-A03B-C51E0353CEB0}">
  <sheetPr>
    <tabColor theme="7" tint="0.39997558519241921"/>
  </sheetPr>
  <dimension ref="A1:R46"/>
  <sheetViews>
    <sheetView workbookViewId="0">
      <pane ySplit="3" topLeftCell="A4" activePane="bottomLeft" state="frozen"/>
      <selection pane="bottomLeft" activeCell="L18" sqref="L18"/>
    </sheetView>
  </sheetViews>
  <sheetFormatPr defaultRowHeight="15"/>
  <cols>
    <col min="2" max="2" width="11.28515625" customWidth="1"/>
    <col min="4" max="4" width="9.28515625" customWidth="1"/>
    <col min="7" max="7" width="12.5703125" customWidth="1"/>
    <col min="10" max="10" width="16.85546875" customWidth="1"/>
    <col min="11" max="11" width="13.5703125" bestFit="1" customWidth="1"/>
    <col min="12" max="12" width="18" customWidth="1"/>
    <col min="13" max="13" width="20" customWidth="1"/>
  </cols>
  <sheetData>
    <row r="1" spans="1:18" ht="15.75">
      <c r="A1" s="623" t="s">
        <v>196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 ht="30.75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18"/>
      <c r="D3" s="618"/>
      <c r="E3" s="618"/>
      <c r="F3" s="618"/>
      <c r="G3" s="618"/>
      <c r="H3" s="618"/>
      <c r="I3" s="618"/>
      <c r="J3" s="618"/>
      <c r="K3" s="621"/>
      <c r="L3" s="622"/>
      <c r="M3" s="139">
        <v>519637.7649999999</v>
      </c>
      <c r="N3" s="145"/>
      <c r="O3" s="53"/>
      <c r="P3" s="163"/>
    </row>
    <row r="4" spans="1:18">
      <c r="A4" s="184">
        <v>1</v>
      </c>
      <c r="B4" s="207">
        <v>46296</v>
      </c>
      <c r="C4" s="61"/>
      <c r="D4" s="148"/>
      <c r="E4" s="242">
        <v>419</v>
      </c>
      <c r="F4" s="242">
        <v>105.25</v>
      </c>
      <c r="G4" s="8">
        <f t="shared" ref="G4:G36" si="0">E4*F4</f>
        <v>44099.75</v>
      </c>
      <c r="H4" s="59">
        <v>6</v>
      </c>
      <c r="I4" s="60">
        <v>117.58</v>
      </c>
      <c r="J4" s="8">
        <f>H4*I4</f>
        <v>705.48</v>
      </c>
      <c r="K4" s="181">
        <f>G4+J4</f>
        <v>44805.23</v>
      </c>
      <c r="L4" s="62"/>
      <c r="M4" s="62">
        <f>M3+K4-L4</f>
        <v>564442.99499999988</v>
      </c>
      <c r="N4" s="145"/>
    </row>
    <row r="5" spans="1:18">
      <c r="A5" s="184">
        <v>2</v>
      </c>
      <c r="B5" s="207">
        <v>46297</v>
      </c>
      <c r="C5" s="61"/>
      <c r="D5" s="148"/>
      <c r="E5" s="242">
        <v>935</v>
      </c>
      <c r="F5" s="242">
        <v>105.25</v>
      </c>
      <c r="G5" s="8">
        <f t="shared" si="0"/>
        <v>98408.75</v>
      </c>
      <c r="H5" s="59">
        <v>10</v>
      </c>
      <c r="I5" s="60">
        <v>117.58</v>
      </c>
      <c r="J5" s="8">
        <f>H5*I5</f>
        <v>1175.8</v>
      </c>
      <c r="K5" s="181">
        <f>G5+J5</f>
        <v>99584.55</v>
      </c>
      <c r="L5" s="62"/>
      <c r="M5" s="62">
        <f t="shared" ref="M5:M36" si="1">M4+K5-L5</f>
        <v>664027.54499999993</v>
      </c>
      <c r="N5" s="145"/>
    </row>
    <row r="6" spans="1:18">
      <c r="A6" s="40">
        <v>3</v>
      </c>
      <c r="B6" s="207">
        <v>46298</v>
      </c>
      <c r="C6" s="61"/>
      <c r="D6" s="14"/>
      <c r="E6" s="242"/>
      <c r="F6" s="242"/>
      <c r="G6" s="8">
        <f t="shared" si="0"/>
        <v>0</v>
      </c>
      <c r="H6" s="59"/>
      <c r="I6" s="60"/>
      <c r="J6" s="8">
        <f t="shared" ref="J6:J36" si="2">H6*I6</f>
        <v>0</v>
      </c>
      <c r="K6" s="181">
        <f t="shared" ref="K6:K36" si="3">G6+J6</f>
        <v>0</v>
      </c>
      <c r="L6" s="62">
        <v>300000</v>
      </c>
      <c r="M6" s="62">
        <f t="shared" si="1"/>
        <v>364027.54499999993</v>
      </c>
      <c r="N6" s="145"/>
    </row>
    <row r="7" spans="1:18">
      <c r="A7" s="184">
        <v>4</v>
      </c>
      <c r="B7" s="207">
        <v>46299</v>
      </c>
      <c r="C7" s="61"/>
      <c r="D7" s="148"/>
      <c r="E7" s="242"/>
      <c r="F7" s="242"/>
      <c r="G7" s="8">
        <f t="shared" si="0"/>
        <v>0</v>
      </c>
      <c r="H7" s="508">
        <v>8</v>
      </c>
      <c r="I7" s="160">
        <v>117.58</v>
      </c>
      <c r="J7" s="8">
        <f t="shared" si="2"/>
        <v>940.64</v>
      </c>
      <c r="K7" s="181">
        <f t="shared" si="3"/>
        <v>940.64</v>
      </c>
      <c r="L7" s="62"/>
      <c r="M7" s="62">
        <f t="shared" si="1"/>
        <v>364968.18499999994</v>
      </c>
      <c r="N7" s="145"/>
    </row>
    <row r="8" spans="1:18">
      <c r="A8" s="184">
        <v>5</v>
      </c>
      <c r="B8" s="207">
        <v>46300</v>
      </c>
      <c r="C8" s="61"/>
      <c r="D8" s="148"/>
      <c r="E8" s="242">
        <v>820</v>
      </c>
      <c r="F8" s="242">
        <v>105.25</v>
      </c>
      <c r="G8" s="436">
        <f t="shared" si="0"/>
        <v>86305</v>
      </c>
      <c r="H8" s="506">
        <v>8.5</v>
      </c>
      <c r="I8" s="160">
        <v>117.58</v>
      </c>
      <c r="J8" s="181">
        <f t="shared" si="2"/>
        <v>999.43</v>
      </c>
      <c r="K8" s="181">
        <f t="shared" si="3"/>
        <v>87304.43</v>
      </c>
      <c r="L8" s="62"/>
      <c r="M8" s="62">
        <f t="shared" si="1"/>
        <v>452272.61499999993</v>
      </c>
      <c r="N8" s="145"/>
    </row>
    <row r="9" spans="1:18">
      <c r="A9" s="40">
        <v>6</v>
      </c>
      <c r="B9" s="207">
        <v>46301</v>
      </c>
      <c r="C9" s="61"/>
      <c r="D9" s="148"/>
      <c r="E9" s="242"/>
      <c r="F9" s="242"/>
      <c r="G9" s="436">
        <f t="shared" si="0"/>
        <v>0</v>
      </c>
      <c r="H9" s="507">
        <v>11</v>
      </c>
      <c r="I9" s="160">
        <v>117.58</v>
      </c>
      <c r="J9" s="181">
        <f t="shared" si="2"/>
        <v>1293.3799999999999</v>
      </c>
      <c r="K9" s="181">
        <f t="shared" si="3"/>
        <v>1293.3799999999999</v>
      </c>
      <c r="L9" s="62"/>
      <c r="M9" s="62">
        <f t="shared" si="1"/>
        <v>453565.99499999994</v>
      </c>
      <c r="N9" s="145"/>
      <c r="O9" s="63"/>
      <c r="R9" s="212"/>
    </row>
    <row r="10" spans="1:18">
      <c r="A10" s="184">
        <v>7</v>
      </c>
      <c r="B10" s="207">
        <v>46302</v>
      </c>
      <c r="C10" s="61"/>
      <c r="D10" s="148"/>
      <c r="E10" s="242">
        <v>1042</v>
      </c>
      <c r="F10" s="242">
        <v>105.25</v>
      </c>
      <c r="G10" s="436">
        <f t="shared" si="0"/>
        <v>109670.5</v>
      </c>
      <c r="H10" s="354">
        <v>42.05</v>
      </c>
      <c r="I10" s="151">
        <v>117.58</v>
      </c>
      <c r="J10" s="181">
        <f t="shared" si="2"/>
        <v>4944.2389999999996</v>
      </c>
      <c r="K10" s="181">
        <f t="shared" si="3"/>
        <v>114614.739</v>
      </c>
      <c r="L10" s="62"/>
      <c r="M10" s="62">
        <f t="shared" si="1"/>
        <v>568180.73399999994</v>
      </c>
      <c r="N10" s="145"/>
      <c r="O10" s="63"/>
    </row>
    <row r="11" spans="1:18">
      <c r="A11" s="184">
        <v>8</v>
      </c>
      <c r="B11" s="207">
        <v>46303</v>
      </c>
      <c r="C11" s="61"/>
      <c r="D11" s="148"/>
      <c r="E11" s="242">
        <v>254</v>
      </c>
      <c r="F11" s="242">
        <v>105.25</v>
      </c>
      <c r="G11" s="436">
        <f t="shared" si="0"/>
        <v>26733.5</v>
      </c>
      <c r="H11" s="354">
        <v>5</v>
      </c>
      <c r="I11" s="151">
        <v>117.58</v>
      </c>
      <c r="J11" s="181">
        <f t="shared" si="2"/>
        <v>587.9</v>
      </c>
      <c r="K11" s="181">
        <f t="shared" si="3"/>
        <v>27321.4</v>
      </c>
      <c r="L11" s="62">
        <v>100000</v>
      </c>
      <c r="M11" s="62">
        <f t="shared" si="1"/>
        <v>495502.13399999996</v>
      </c>
      <c r="N11" s="145"/>
      <c r="O11" s="63"/>
    </row>
    <row r="12" spans="1:18">
      <c r="A12" s="40">
        <v>9</v>
      </c>
      <c r="B12" s="207">
        <v>46304</v>
      </c>
      <c r="C12" s="61"/>
      <c r="D12" s="148"/>
      <c r="E12" s="242"/>
      <c r="F12" s="242"/>
      <c r="G12" s="436">
        <f t="shared" si="0"/>
        <v>0</v>
      </c>
      <c r="H12" s="354"/>
      <c r="I12" s="151"/>
      <c r="J12" s="181">
        <f t="shared" si="2"/>
        <v>0</v>
      </c>
      <c r="K12" s="181">
        <f t="shared" si="3"/>
        <v>0</v>
      </c>
      <c r="L12" s="62"/>
      <c r="M12" s="62">
        <f t="shared" si="1"/>
        <v>495502.13399999996</v>
      </c>
      <c r="N12" s="145"/>
      <c r="O12" s="63"/>
    </row>
    <row r="13" spans="1:18">
      <c r="A13" s="184">
        <v>10</v>
      </c>
      <c r="B13" s="207">
        <v>46305</v>
      </c>
      <c r="C13" s="61"/>
      <c r="D13" s="148"/>
      <c r="E13" s="242">
        <v>1080</v>
      </c>
      <c r="F13" s="242">
        <v>105.25</v>
      </c>
      <c r="G13" s="436">
        <f t="shared" si="0"/>
        <v>113670</v>
      </c>
      <c r="H13" s="354">
        <v>5</v>
      </c>
      <c r="I13" s="151">
        <v>117.58</v>
      </c>
      <c r="J13" s="181">
        <f t="shared" si="2"/>
        <v>587.9</v>
      </c>
      <c r="K13" s="181">
        <f t="shared" si="3"/>
        <v>114257.9</v>
      </c>
      <c r="L13" s="62">
        <v>300000</v>
      </c>
      <c r="M13" s="62">
        <f t="shared" si="1"/>
        <v>309760.03399999999</v>
      </c>
      <c r="N13" s="145"/>
      <c r="O13" s="63"/>
    </row>
    <row r="14" spans="1:18">
      <c r="A14" s="184">
        <v>11</v>
      </c>
      <c r="B14" s="207">
        <v>46306</v>
      </c>
      <c r="C14" s="121"/>
      <c r="D14" s="122"/>
      <c r="E14" s="513"/>
      <c r="F14" s="513"/>
      <c r="G14" s="518">
        <f t="shared" si="0"/>
        <v>0</v>
      </c>
      <c r="H14" s="59">
        <v>6</v>
      </c>
      <c r="I14" s="151">
        <v>117.58</v>
      </c>
      <c r="J14" s="515">
        <f t="shared" si="2"/>
        <v>705.48</v>
      </c>
      <c r="K14" s="8">
        <f t="shared" si="3"/>
        <v>705.48</v>
      </c>
      <c r="L14" s="62"/>
      <c r="M14" s="62">
        <f t="shared" si="1"/>
        <v>310465.51399999997</v>
      </c>
      <c r="N14" s="145"/>
      <c r="O14" s="63"/>
    </row>
    <row r="15" spans="1:18">
      <c r="A15" s="40">
        <v>12</v>
      </c>
      <c r="B15" s="207">
        <v>46307</v>
      </c>
      <c r="C15" s="61"/>
      <c r="D15" s="148"/>
      <c r="E15" s="242">
        <v>360</v>
      </c>
      <c r="F15" s="242">
        <v>105.25</v>
      </c>
      <c r="G15" s="436">
        <f t="shared" si="0"/>
        <v>37890</v>
      </c>
      <c r="H15" s="59"/>
      <c r="I15" s="60"/>
      <c r="J15" s="181">
        <f t="shared" si="2"/>
        <v>0</v>
      </c>
      <c r="K15" s="8">
        <f>G15+J15</f>
        <v>37890</v>
      </c>
      <c r="L15" s="62"/>
      <c r="M15" s="62">
        <f t="shared" si="1"/>
        <v>348355.51399999997</v>
      </c>
      <c r="N15" s="145"/>
      <c r="O15" s="63"/>
    </row>
    <row r="16" spans="1:18">
      <c r="A16" s="184">
        <v>13</v>
      </c>
      <c r="B16" s="207">
        <v>46308</v>
      </c>
      <c r="C16" s="61"/>
      <c r="D16" s="148"/>
      <c r="E16" s="242"/>
      <c r="F16" s="242"/>
      <c r="G16" s="436">
        <f t="shared" si="0"/>
        <v>0</v>
      </c>
      <c r="H16" s="59"/>
      <c r="I16" s="60"/>
      <c r="J16" s="181">
        <f t="shared" si="2"/>
        <v>0</v>
      </c>
      <c r="K16" s="8">
        <f t="shared" si="3"/>
        <v>0</v>
      </c>
      <c r="L16" s="62"/>
      <c r="M16" s="62">
        <f t="shared" si="1"/>
        <v>348355.51399999997</v>
      </c>
      <c r="N16" s="8"/>
      <c r="O16" s="63"/>
    </row>
    <row r="17" spans="1:15">
      <c r="A17" s="184">
        <v>14</v>
      </c>
      <c r="B17" s="207">
        <v>46309</v>
      </c>
      <c r="C17" s="61"/>
      <c r="D17" s="148"/>
      <c r="E17" s="242">
        <v>800</v>
      </c>
      <c r="F17" s="242">
        <v>105.25</v>
      </c>
      <c r="G17" s="436">
        <f t="shared" si="0"/>
        <v>84200</v>
      </c>
      <c r="H17" s="59">
        <v>6</v>
      </c>
      <c r="I17" s="60">
        <v>117.58</v>
      </c>
      <c r="J17" s="181">
        <f t="shared" si="2"/>
        <v>705.48</v>
      </c>
      <c r="K17" s="8">
        <f t="shared" si="3"/>
        <v>84905.48</v>
      </c>
      <c r="L17" s="62"/>
      <c r="M17" s="62">
        <f t="shared" si="1"/>
        <v>433260.99399999995</v>
      </c>
      <c r="N17" s="8"/>
      <c r="O17" s="63"/>
    </row>
    <row r="18" spans="1:15">
      <c r="A18" s="40">
        <v>15</v>
      </c>
      <c r="B18" s="207">
        <v>46310</v>
      </c>
      <c r="C18" s="61"/>
      <c r="D18" s="148"/>
      <c r="E18" s="242"/>
      <c r="F18" s="242"/>
      <c r="G18" s="436">
        <f t="shared" si="0"/>
        <v>0</v>
      </c>
      <c r="H18" s="59">
        <v>6</v>
      </c>
      <c r="I18" s="151">
        <v>117.58</v>
      </c>
      <c r="J18" s="181">
        <f t="shared" si="2"/>
        <v>705.48</v>
      </c>
      <c r="K18" s="8">
        <f t="shared" si="3"/>
        <v>705.48</v>
      </c>
      <c r="L18" s="62">
        <v>300000</v>
      </c>
      <c r="M18" s="62">
        <f t="shared" si="1"/>
        <v>133966.47399999993</v>
      </c>
      <c r="N18" s="8"/>
      <c r="O18" s="63"/>
    </row>
    <row r="19" spans="1:15">
      <c r="A19" s="184">
        <v>16</v>
      </c>
      <c r="B19" s="207">
        <v>46311</v>
      </c>
      <c r="C19" s="61"/>
      <c r="D19" s="148"/>
      <c r="E19" s="301"/>
      <c r="F19" s="301"/>
      <c r="G19" s="519">
        <f t="shared" si="0"/>
        <v>0</v>
      </c>
      <c r="H19" s="59"/>
      <c r="I19" s="60"/>
      <c r="J19" s="520">
        <f t="shared" si="2"/>
        <v>0</v>
      </c>
      <c r="K19" s="171">
        <f t="shared" si="3"/>
        <v>0</v>
      </c>
      <c r="L19" s="302"/>
      <c r="M19" s="62">
        <f t="shared" si="1"/>
        <v>133966.47399999993</v>
      </c>
      <c r="N19" s="8"/>
      <c r="O19" s="63"/>
    </row>
    <row r="20" spans="1:15">
      <c r="A20" s="184">
        <v>17</v>
      </c>
      <c r="B20" s="207">
        <v>46312</v>
      </c>
      <c r="C20" s="61"/>
      <c r="D20" s="300"/>
      <c r="E20" s="242"/>
      <c r="F20" s="242"/>
      <c r="G20" s="436">
        <f t="shared" si="0"/>
        <v>0</v>
      </c>
      <c r="H20" s="59"/>
      <c r="I20" s="60"/>
      <c r="J20" s="181">
        <f t="shared" si="2"/>
        <v>0</v>
      </c>
      <c r="K20" s="8">
        <f t="shared" si="3"/>
        <v>0</v>
      </c>
      <c r="L20" s="62"/>
      <c r="M20" s="62">
        <f t="shared" si="1"/>
        <v>133966.47399999993</v>
      </c>
      <c r="N20" s="181"/>
      <c r="O20" s="63"/>
    </row>
    <row r="21" spans="1:15">
      <c r="A21" s="40">
        <v>18</v>
      </c>
      <c r="B21" s="207">
        <v>46313</v>
      </c>
      <c r="C21" s="61"/>
      <c r="D21" s="300"/>
      <c r="E21" s="242"/>
      <c r="F21" s="301"/>
      <c r="G21" s="436">
        <f t="shared" si="0"/>
        <v>0</v>
      </c>
      <c r="H21" s="59"/>
      <c r="I21" s="60"/>
      <c r="J21" s="181">
        <f t="shared" si="2"/>
        <v>0</v>
      </c>
      <c r="K21" s="8">
        <f t="shared" si="3"/>
        <v>0</v>
      </c>
      <c r="L21" s="62"/>
      <c r="M21" s="62">
        <f t="shared" si="1"/>
        <v>133966.47399999993</v>
      </c>
      <c r="N21" s="181"/>
      <c r="O21" s="63"/>
    </row>
    <row r="22" spans="1:15">
      <c r="A22" s="184">
        <v>19</v>
      </c>
      <c r="B22" s="207">
        <v>46314</v>
      </c>
      <c r="C22" s="61"/>
      <c r="D22" s="300"/>
      <c r="E22" s="14"/>
      <c r="F22" s="14"/>
      <c r="G22" s="436">
        <f t="shared" si="0"/>
        <v>0</v>
      </c>
      <c r="H22" s="59"/>
      <c r="I22" s="60"/>
      <c r="J22" s="181">
        <f t="shared" si="2"/>
        <v>0</v>
      </c>
      <c r="K22" s="8">
        <f t="shared" si="3"/>
        <v>0</v>
      </c>
      <c r="L22" s="62"/>
      <c r="M22" s="62">
        <f t="shared" si="1"/>
        <v>133966.47399999993</v>
      </c>
      <c r="N22" s="181"/>
      <c r="O22" s="63"/>
    </row>
    <row r="23" spans="1:15">
      <c r="A23" s="184">
        <v>20</v>
      </c>
      <c r="B23" s="207">
        <v>46315</v>
      </c>
      <c r="C23" s="61"/>
      <c r="D23" s="300"/>
      <c r="E23" s="14"/>
      <c r="F23" s="14"/>
      <c r="G23" s="436">
        <f t="shared" si="0"/>
        <v>0</v>
      </c>
      <c r="H23" s="59"/>
      <c r="I23" s="60"/>
      <c r="J23" s="181">
        <f t="shared" si="2"/>
        <v>0</v>
      </c>
      <c r="K23" s="8">
        <f t="shared" si="3"/>
        <v>0</v>
      </c>
      <c r="L23" s="62"/>
      <c r="M23" s="62">
        <f t="shared" si="1"/>
        <v>133966.47399999993</v>
      </c>
      <c r="N23" s="181"/>
      <c r="O23" s="63"/>
    </row>
    <row r="24" spans="1:15">
      <c r="A24" s="40">
        <v>21</v>
      </c>
      <c r="B24" s="207">
        <v>46316</v>
      </c>
      <c r="C24" s="61"/>
      <c r="D24" s="300"/>
      <c r="E24" s="14"/>
      <c r="F24" s="14"/>
      <c r="G24" s="436">
        <f t="shared" si="0"/>
        <v>0</v>
      </c>
      <c r="H24" s="59"/>
      <c r="I24" s="60"/>
      <c r="J24" s="181">
        <f t="shared" si="2"/>
        <v>0</v>
      </c>
      <c r="K24" s="8">
        <f t="shared" si="3"/>
        <v>0</v>
      </c>
      <c r="L24" s="62"/>
      <c r="M24" s="62">
        <f t="shared" si="1"/>
        <v>133966.47399999993</v>
      </c>
      <c r="N24" s="181"/>
      <c r="O24" s="63"/>
    </row>
    <row r="25" spans="1:15">
      <c r="A25" s="184">
        <v>22</v>
      </c>
      <c r="B25" s="207">
        <v>46317</v>
      </c>
      <c r="C25" s="61"/>
      <c r="D25" s="300"/>
      <c r="E25" s="14"/>
      <c r="F25" s="14"/>
      <c r="G25" s="436">
        <f t="shared" si="0"/>
        <v>0</v>
      </c>
      <c r="H25" s="517"/>
      <c r="I25" s="517"/>
      <c r="J25" s="181">
        <f t="shared" si="2"/>
        <v>0</v>
      </c>
      <c r="K25" s="8">
        <f t="shared" si="3"/>
        <v>0</v>
      </c>
      <c r="L25" s="62"/>
      <c r="M25" s="62">
        <f>M24+K25-L25</f>
        <v>133966.47399999993</v>
      </c>
      <c r="N25" s="181"/>
      <c r="O25" s="63"/>
    </row>
    <row r="26" spans="1:15">
      <c r="A26" s="184">
        <v>23</v>
      </c>
      <c r="B26" s="207">
        <v>46318</v>
      </c>
      <c r="C26" s="61"/>
      <c r="D26" s="300"/>
      <c r="E26" s="14"/>
      <c r="F26" s="14"/>
      <c r="G26" s="436">
        <f t="shared" si="0"/>
        <v>0</v>
      </c>
      <c r="H26" s="517"/>
      <c r="I26" s="517"/>
      <c r="J26" s="181">
        <f t="shared" si="2"/>
        <v>0</v>
      </c>
      <c r="K26" s="8">
        <f t="shared" si="3"/>
        <v>0</v>
      </c>
      <c r="L26" s="62"/>
      <c r="M26" s="62">
        <f t="shared" si="1"/>
        <v>133966.47399999993</v>
      </c>
      <c r="N26" s="181"/>
      <c r="O26" s="63"/>
    </row>
    <row r="27" spans="1:15">
      <c r="A27" s="40">
        <v>24</v>
      </c>
      <c r="B27" s="207">
        <v>46319</v>
      </c>
      <c r="C27" s="61"/>
      <c r="D27" s="300"/>
      <c r="E27" s="14"/>
      <c r="F27" s="14"/>
      <c r="G27" s="436">
        <f t="shared" si="0"/>
        <v>0</v>
      </c>
      <c r="H27" s="59"/>
      <c r="I27" s="60"/>
      <c r="J27" s="181">
        <f t="shared" si="2"/>
        <v>0</v>
      </c>
      <c r="K27" s="8">
        <f t="shared" si="3"/>
        <v>0</v>
      </c>
      <c r="L27" s="62"/>
      <c r="M27" s="62">
        <f t="shared" si="1"/>
        <v>133966.47399999993</v>
      </c>
      <c r="N27" s="181"/>
      <c r="O27" s="63"/>
    </row>
    <row r="28" spans="1:15">
      <c r="A28" s="184">
        <v>25</v>
      </c>
      <c r="B28" s="207">
        <v>46320</v>
      </c>
      <c r="C28" s="61"/>
      <c r="D28" s="300"/>
      <c r="E28" s="14"/>
      <c r="F28" s="14"/>
      <c r="G28" s="436">
        <f t="shared" si="0"/>
        <v>0</v>
      </c>
      <c r="H28" s="59"/>
      <c r="I28" s="60"/>
      <c r="J28" s="181">
        <f t="shared" si="2"/>
        <v>0</v>
      </c>
      <c r="K28" s="8">
        <f t="shared" si="3"/>
        <v>0</v>
      </c>
      <c r="L28" s="62"/>
      <c r="M28" s="62">
        <f t="shared" si="1"/>
        <v>133966.47399999993</v>
      </c>
      <c r="N28" s="181"/>
      <c r="O28" s="63"/>
    </row>
    <row r="29" spans="1:15">
      <c r="A29" s="184">
        <v>26</v>
      </c>
      <c r="B29" s="207">
        <v>46321</v>
      </c>
      <c r="C29" s="61"/>
      <c r="D29" s="300"/>
      <c r="E29" s="14"/>
      <c r="F29" s="14"/>
      <c r="G29" s="436">
        <f t="shared" ref="G29" si="4">E29*F29</f>
        <v>0</v>
      </c>
      <c r="H29" s="59"/>
      <c r="I29" s="60"/>
      <c r="J29" s="181">
        <f t="shared" ref="J29" si="5">H29*I29</f>
        <v>0</v>
      </c>
      <c r="K29" s="8">
        <f t="shared" si="3"/>
        <v>0</v>
      </c>
      <c r="L29" s="62"/>
      <c r="M29" s="62">
        <f t="shared" si="1"/>
        <v>133966.47399999993</v>
      </c>
      <c r="N29" s="181"/>
      <c r="O29" s="63"/>
    </row>
    <row r="30" spans="1:15">
      <c r="A30" s="40">
        <v>27</v>
      </c>
      <c r="B30" s="207">
        <v>46322</v>
      </c>
      <c r="C30" s="61"/>
      <c r="D30" s="300"/>
      <c r="E30" s="14"/>
      <c r="F30" s="14"/>
      <c r="G30" s="436">
        <f t="shared" si="0"/>
        <v>0</v>
      </c>
      <c r="H30" s="59"/>
      <c r="I30" s="60"/>
      <c r="J30" s="181">
        <f t="shared" si="2"/>
        <v>0</v>
      </c>
      <c r="K30" s="8">
        <f t="shared" si="3"/>
        <v>0</v>
      </c>
      <c r="L30" s="62"/>
      <c r="M30" s="62">
        <f t="shared" si="1"/>
        <v>133966.47399999993</v>
      </c>
      <c r="N30" s="181"/>
      <c r="O30" s="63"/>
    </row>
    <row r="31" spans="1:15">
      <c r="A31" s="184">
        <v>28</v>
      </c>
      <c r="B31" s="207">
        <v>46323</v>
      </c>
      <c r="C31" s="61"/>
      <c r="D31" s="148"/>
      <c r="E31" s="14"/>
      <c r="F31" s="14"/>
      <c r="G31" s="518">
        <f t="shared" si="0"/>
        <v>0</v>
      </c>
      <c r="H31" s="59"/>
      <c r="I31" s="60"/>
      <c r="J31" s="515">
        <f t="shared" si="2"/>
        <v>0</v>
      </c>
      <c r="K31" s="16">
        <f t="shared" si="3"/>
        <v>0</v>
      </c>
      <c r="L31" s="123"/>
      <c r="M31" s="62">
        <f t="shared" si="1"/>
        <v>133966.47399999993</v>
      </c>
      <c r="N31" s="8"/>
      <c r="O31" s="63"/>
    </row>
    <row r="32" spans="1:15">
      <c r="A32" s="184">
        <v>29</v>
      </c>
      <c r="B32" s="207">
        <v>46324</v>
      </c>
      <c r="C32" s="61"/>
      <c r="D32" s="148"/>
      <c r="E32" s="148"/>
      <c r="F32" s="14"/>
      <c r="G32" s="436">
        <f t="shared" si="0"/>
        <v>0</v>
      </c>
      <c r="H32" s="59"/>
      <c r="I32" s="60"/>
      <c r="J32" s="181">
        <f t="shared" si="2"/>
        <v>0</v>
      </c>
      <c r="K32" s="8">
        <f t="shared" si="3"/>
        <v>0</v>
      </c>
      <c r="L32" s="62"/>
      <c r="M32" s="62">
        <f t="shared" si="1"/>
        <v>133966.47399999993</v>
      </c>
      <c r="N32" s="8"/>
      <c r="O32" s="63"/>
    </row>
    <row r="33" spans="1:15">
      <c r="A33" s="40">
        <v>30</v>
      </c>
      <c r="B33" s="207">
        <v>46325</v>
      </c>
      <c r="C33" s="61"/>
      <c r="D33" s="148"/>
      <c r="E33" s="148"/>
      <c r="F33" s="14"/>
      <c r="G33" s="436">
        <f t="shared" si="0"/>
        <v>0</v>
      </c>
      <c r="H33" s="59"/>
      <c r="I33" s="60"/>
      <c r="J33" s="181">
        <f t="shared" si="2"/>
        <v>0</v>
      </c>
      <c r="K33" s="8">
        <f t="shared" si="3"/>
        <v>0</v>
      </c>
      <c r="L33" s="62"/>
      <c r="M33" s="62">
        <f t="shared" si="1"/>
        <v>133966.47399999993</v>
      </c>
      <c r="N33" s="8"/>
      <c r="O33" s="63"/>
    </row>
    <row r="34" spans="1:15">
      <c r="A34" s="184">
        <v>31</v>
      </c>
      <c r="B34" s="207">
        <v>46326</v>
      </c>
      <c r="C34" s="61"/>
      <c r="D34" s="148"/>
      <c r="E34" s="14"/>
      <c r="F34" s="14"/>
      <c r="G34" s="436">
        <f t="shared" si="0"/>
        <v>0</v>
      </c>
      <c r="H34" s="59"/>
      <c r="I34" s="60"/>
      <c r="J34" s="181">
        <f t="shared" si="2"/>
        <v>0</v>
      </c>
      <c r="K34" s="8">
        <f t="shared" si="3"/>
        <v>0</v>
      </c>
      <c r="L34" s="62"/>
      <c r="M34" s="62">
        <f t="shared" si="1"/>
        <v>133966.47399999993</v>
      </c>
      <c r="N34" s="8"/>
      <c r="O34" s="63"/>
    </row>
    <row r="35" spans="1:15">
      <c r="A35" s="184">
        <v>32</v>
      </c>
      <c r="B35" s="207"/>
      <c r="C35" s="61"/>
      <c r="D35" s="148"/>
      <c r="E35" s="14"/>
      <c r="F35" s="14"/>
      <c r="G35" s="436">
        <f t="shared" si="0"/>
        <v>0</v>
      </c>
      <c r="H35" s="59"/>
      <c r="I35" s="60"/>
      <c r="J35" s="181">
        <f t="shared" si="2"/>
        <v>0</v>
      </c>
      <c r="K35" s="8">
        <f t="shared" si="3"/>
        <v>0</v>
      </c>
      <c r="L35" s="62"/>
      <c r="M35" s="62">
        <f t="shared" si="1"/>
        <v>133966.47399999993</v>
      </c>
      <c r="N35" s="8"/>
      <c r="O35" s="63"/>
    </row>
    <row r="36" spans="1:15">
      <c r="A36" s="40">
        <v>33</v>
      </c>
      <c r="B36" s="207"/>
      <c r="C36" s="61"/>
      <c r="D36" s="148"/>
      <c r="E36" s="242"/>
      <c r="F36" s="14"/>
      <c r="G36" s="8">
        <f t="shared" si="0"/>
        <v>0</v>
      </c>
      <c r="H36" s="142"/>
      <c r="I36" s="143"/>
      <c r="J36" s="8">
        <f t="shared" si="2"/>
        <v>0</v>
      </c>
      <c r="K36" s="8">
        <f t="shared" si="3"/>
        <v>0</v>
      </c>
      <c r="L36" s="62"/>
      <c r="M36" s="62">
        <f t="shared" si="1"/>
        <v>133966.47399999993</v>
      </c>
      <c r="N36" s="8"/>
      <c r="O36" s="63"/>
    </row>
    <row r="37" spans="1:15">
      <c r="A37" s="56"/>
      <c r="B37" s="56"/>
      <c r="C37" s="56"/>
      <c r="D37" s="56"/>
      <c r="E37" s="243">
        <f>SUM(E4:E36)</f>
        <v>5710</v>
      </c>
      <c r="F37" s="243"/>
      <c r="G37" s="57">
        <f>SUM(G4:G36)</f>
        <v>600977.5</v>
      </c>
      <c r="H37" s="57">
        <f>SUM(H4:H36)</f>
        <v>113.55</v>
      </c>
      <c r="I37" s="57"/>
      <c r="J37" s="57">
        <f>SUM(J4:J36)</f>
        <v>13351.208999999997</v>
      </c>
      <c r="K37" s="57">
        <f>SUM(K4:K36)</f>
        <v>614328.70900000003</v>
      </c>
      <c r="L37" s="57">
        <f>SUM(L4:L36)</f>
        <v>1000000</v>
      </c>
      <c r="M37" s="57"/>
      <c r="N37" s="57"/>
      <c r="O37" s="53"/>
    </row>
    <row r="38" spans="1:15">
      <c r="A38" s="66"/>
      <c r="B38" s="67"/>
      <c r="C38" s="66"/>
      <c r="D38" s="66"/>
      <c r="E38" s="68"/>
      <c r="F38" s="68"/>
      <c r="G38" s="68"/>
      <c r="H38" s="68"/>
      <c r="I38" s="68"/>
      <c r="J38" s="69"/>
      <c r="K38" s="69"/>
      <c r="L38" s="69"/>
      <c r="M38" s="69"/>
      <c r="N38" s="68"/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O43" s="63"/>
    </row>
    <row r="44" spans="1:15">
      <c r="A44" s="63"/>
      <c r="B44" s="53"/>
      <c r="C44" s="63"/>
      <c r="D44" s="63"/>
      <c r="E44" s="63"/>
      <c r="F44" s="63"/>
      <c r="G44" s="70"/>
      <c r="H44" s="63"/>
      <c r="I44" s="63"/>
      <c r="J44" s="53"/>
      <c r="K44" s="53"/>
      <c r="L44" s="53"/>
      <c r="M44" s="53"/>
      <c r="N44" s="63"/>
      <c r="O44" s="68"/>
    </row>
    <row r="45" spans="1:15">
      <c r="A45" s="63"/>
      <c r="B45" s="624"/>
      <c r="C45" s="624"/>
      <c r="D45" s="624"/>
      <c r="E45" s="624"/>
      <c r="F45" s="63"/>
      <c r="G45" s="63"/>
      <c r="H45" s="63"/>
      <c r="I45" s="624"/>
      <c r="J45" s="624"/>
      <c r="K45" s="624"/>
      <c r="L45" s="624"/>
      <c r="M45" s="624"/>
      <c r="N45" s="624"/>
      <c r="O45" s="68"/>
    </row>
    <row r="46" spans="1:15">
      <c r="A46" s="63"/>
      <c r="B46" s="53"/>
      <c r="C46" s="63"/>
      <c r="D46" s="63"/>
      <c r="E46" s="63"/>
      <c r="F46" s="63"/>
      <c r="G46" s="63"/>
      <c r="H46" s="63"/>
      <c r="I46" s="63"/>
      <c r="J46" s="53"/>
      <c r="K46" s="53"/>
      <c r="L46" s="53"/>
      <c r="M46" s="53"/>
      <c r="N46" s="63"/>
      <c r="O46" s="68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8EC8-CB56-4E93-A7E2-0DB29CC799CC}">
  <sheetPr>
    <tabColor theme="7" tint="0.39997558519241921"/>
  </sheetPr>
  <dimension ref="A1:R46"/>
  <sheetViews>
    <sheetView workbookViewId="0">
      <pane ySplit="3" topLeftCell="A4" activePane="bottomLeft" state="frozen"/>
      <selection pane="bottomLeft" activeCell="G18" sqref="G18"/>
    </sheetView>
  </sheetViews>
  <sheetFormatPr defaultRowHeight="15"/>
  <cols>
    <col min="2" max="2" width="11.85546875" customWidth="1"/>
    <col min="4" max="4" width="11.7109375" customWidth="1"/>
    <col min="7" max="7" width="14.28515625" customWidth="1"/>
    <col min="9" max="9" width="8.140625" bestFit="1" customWidth="1"/>
    <col min="11" max="12" width="13.5703125" bestFit="1" customWidth="1"/>
    <col min="13" max="13" width="11.85546875" bestFit="1" customWidth="1"/>
    <col min="14" max="14" width="9.42578125" customWidth="1"/>
  </cols>
  <sheetData>
    <row r="1" spans="1:18" ht="15.75">
      <c r="A1" s="623" t="s">
        <v>197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18"/>
      <c r="D3" s="618"/>
      <c r="E3" s="618"/>
      <c r="F3" s="621"/>
      <c r="G3" s="621"/>
      <c r="H3" s="621"/>
      <c r="I3" s="621"/>
      <c r="J3" s="621"/>
      <c r="K3" s="621"/>
      <c r="L3" s="622"/>
      <c r="M3" s="139">
        <v>238901.53640000001</v>
      </c>
      <c r="N3" s="145"/>
      <c r="O3" s="53"/>
    </row>
    <row r="4" spans="1:18">
      <c r="A4" s="184">
        <v>1</v>
      </c>
      <c r="B4" s="207">
        <v>46296</v>
      </c>
      <c r="C4" s="61"/>
      <c r="D4" s="148"/>
      <c r="E4" s="242">
        <v>227.72</v>
      </c>
      <c r="F4" s="516">
        <v>105.4</v>
      </c>
      <c r="G4" s="8">
        <f t="shared" ref="G4:G36" si="0">E4*F4</f>
        <v>24001.688000000002</v>
      </c>
      <c r="H4" s="59"/>
      <c r="I4" s="60"/>
      <c r="J4" s="8">
        <f>H4*I4</f>
        <v>0</v>
      </c>
      <c r="K4" s="8">
        <f>G4+J4</f>
        <v>24001.688000000002</v>
      </c>
      <c r="L4" s="62">
        <v>0</v>
      </c>
      <c r="M4" s="62">
        <f>M3+K4-L4</f>
        <v>262903.22440000001</v>
      </c>
      <c r="N4" s="145"/>
    </row>
    <row r="5" spans="1:18">
      <c r="A5" s="184">
        <v>2</v>
      </c>
      <c r="B5" s="207">
        <v>46297</v>
      </c>
      <c r="C5" s="61"/>
      <c r="D5" s="148"/>
      <c r="E5" s="242">
        <v>100</v>
      </c>
      <c r="F5" s="516">
        <v>105.4</v>
      </c>
      <c r="G5" s="8">
        <f t="shared" si="0"/>
        <v>10540</v>
      </c>
      <c r="H5" s="59"/>
      <c r="I5" s="60"/>
      <c r="J5" s="8">
        <f>H5*I5</f>
        <v>0</v>
      </c>
      <c r="K5" s="8">
        <f>G5+J5</f>
        <v>10540</v>
      </c>
      <c r="L5" s="62"/>
      <c r="M5" s="62">
        <f t="shared" ref="M5:M36" si="1">M4+K5-L5</f>
        <v>273443.22440000001</v>
      </c>
      <c r="N5" s="145"/>
    </row>
    <row r="6" spans="1:18">
      <c r="A6" s="40">
        <v>3</v>
      </c>
      <c r="B6" s="207">
        <v>46298</v>
      </c>
      <c r="C6" s="61"/>
      <c r="D6" s="14"/>
      <c r="E6" s="242">
        <v>199.01</v>
      </c>
      <c r="F6" s="516">
        <v>105.4</v>
      </c>
      <c r="G6" s="8">
        <f t="shared" si="0"/>
        <v>20975.653999999999</v>
      </c>
      <c r="H6" s="508">
        <v>15</v>
      </c>
      <c r="I6" s="160">
        <v>117.74</v>
      </c>
      <c r="J6" s="8">
        <f t="shared" ref="J6:J36" si="2">H6*I6</f>
        <v>1766.1</v>
      </c>
      <c r="K6" s="8">
        <f t="shared" ref="K6:K36" si="3">G6+J6</f>
        <v>22741.753999999997</v>
      </c>
      <c r="L6" s="62"/>
      <c r="M6" s="62">
        <f t="shared" si="1"/>
        <v>296184.97840000002</v>
      </c>
      <c r="N6" s="145"/>
    </row>
    <row r="7" spans="1:18">
      <c r="A7" s="184">
        <v>4</v>
      </c>
      <c r="B7" s="207">
        <v>46299</v>
      </c>
      <c r="C7" s="61"/>
      <c r="D7" s="148"/>
      <c r="E7" s="242">
        <v>140</v>
      </c>
      <c r="F7" s="516">
        <v>105.4</v>
      </c>
      <c r="G7" s="436">
        <f t="shared" si="0"/>
        <v>14756</v>
      </c>
      <c r="H7" s="59"/>
      <c r="I7" s="60"/>
      <c r="J7" s="181">
        <f t="shared" si="2"/>
        <v>0</v>
      </c>
      <c r="K7" s="8">
        <f t="shared" si="3"/>
        <v>14756</v>
      </c>
      <c r="L7" s="62"/>
      <c r="M7" s="62">
        <f t="shared" si="1"/>
        <v>310940.97840000002</v>
      </c>
      <c r="N7" s="145"/>
    </row>
    <row r="8" spans="1:18">
      <c r="A8" s="184">
        <v>5</v>
      </c>
      <c r="B8" s="207">
        <v>46300</v>
      </c>
      <c r="C8" s="61"/>
      <c r="D8" s="148"/>
      <c r="E8" s="242">
        <v>152.33000000000001</v>
      </c>
      <c r="F8" s="516">
        <v>105.4</v>
      </c>
      <c r="G8" s="436">
        <f t="shared" si="0"/>
        <v>16055.582000000002</v>
      </c>
      <c r="H8" s="506"/>
      <c r="I8" s="506"/>
      <c r="J8" s="181">
        <f t="shared" si="2"/>
        <v>0</v>
      </c>
      <c r="K8" s="8">
        <f t="shared" si="3"/>
        <v>16055.582000000002</v>
      </c>
      <c r="L8" s="62"/>
      <c r="M8" s="62">
        <f t="shared" si="1"/>
        <v>326996.56040000002</v>
      </c>
      <c r="N8" s="145"/>
    </row>
    <row r="9" spans="1:18">
      <c r="A9" s="40">
        <v>6</v>
      </c>
      <c r="B9" s="207">
        <v>46301</v>
      </c>
      <c r="C9" s="121"/>
      <c r="D9" s="122"/>
      <c r="E9" s="513">
        <v>43.27</v>
      </c>
      <c r="F9" s="516">
        <v>105.4</v>
      </c>
      <c r="G9" s="436">
        <f t="shared" si="0"/>
        <v>4560.6580000000004</v>
      </c>
      <c r="H9" s="507"/>
      <c r="I9" s="507"/>
      <c r="J9" s="181">
        <f t="shared" si="2"/>
        <v>0</v>
      </c>
      <c r="K9" s="8">
        <f t="shared" si="3"/>
        <v>4560.6580000000004</v>
      </c>
      <c r="L9" s="62"/>
      <c r="M9" s="62">
        <f t="shared" si="1"/>
        <v>331557.21840000001</v>
      </c>
      <c r="N9" s="145"/>
      <c r="O9" s="63"/>
      <c r="R9" s="212"/>
    </row>
    <row r="10" spans="1:18">
      <c r="A10" s="184">
        <v>7</v>
      </c>
      <c r="B10" s="207">
        <v>46302</v>
      </c>
      <c r="C10" s="61"/>
      <c r="D10" s="148"/>
      <c r="E10" s="242">
        <v>300</v>
      </c>
      <c r="F10" s="242">
        <v>105.4</v>
      </c>
      <c r="G10" s="436">
        <f t="shared" si="0"/>
        <v>31620</v>
      </c>
      <c r="H10" s="354"/>
      <c r="I10" s="151"/>
      <c r="J10" s="181">
        <f t="shared" si="2"/>
        <v>0</v>
      </c>
      <c r="K10" s="8">
        <f t="shared" si="3"/>
        <v>31620</v>
      </c>
      <c r="L10" s="62"/>
      <c r="M10" s="62">
        <f t="shared" si="1"/>
        <v>363177.21840000001</v>
      </c>
      <c r="N10" s="145"/>
      <c r="O10" s="63"/>
    </row>
    <row r="11" spans="1:18">
      <c r="A11" s="184">
        <v>8</v>
      </c>
      <c r="B11" s="207">
        <v>46303</v>
      </c>
      <c r="C11" s="61"/>
      <c r="D11" s="148"/>
      <c r="E11" s="242"/>
      <c r="F11" s="242"/>
      <c r="G11" s="436">
        <f t="shared" si="0"/>
        <v>0</v>
      </c>
      <c r="H11" s="354"/>
      <c r="I11" s="151"/>
      <c r="J11" s="181">
        <f t="shared" si="2"/>
        <v>0</v>
      </c>
      <c r="K11" s="8">
        <f t="shared" si="3"/>
        <v>0</v>
      </c>
      <c r="L11" s="62"/>
      <c r="M11" s="62">
        <f t="shared" si="1"/>
        <v>363177.21840000001</v>
      </c>
      <c r="N11" s="145"/>
      <c r="O11" s="63"/>
    </row>
    <row r="12" spans="1:18">
      <c r="A12" s="40">
        <v>9</v>
      </c>
      <c r="B12" s="207">
        <v>46304</v>
      </c>
      <c r="C12" s="61"/>
      <c r="D12" s="148"/>
      <c r="E12" s="242">
        <v>200</v>
      </c>
      <c r="F12" s="242">
        <v>105.4</v>
      </c>
      <c r="G12" s="8">
        <f t="shared" si="0"/>
        <v>21080</v>
      </c>
      <c r="H12" s="509">
        <v>5.2</v>
      </c>
      <c r="I12" s="510">
        <v>117.74</v>
      </c>
      <c r="J12" s="8">
        <f t="shared" si="2"/>
        <v>612.24800000000005</v>
      </c>
      <c r="K12" s="8">
        <f t="shared" si="3"/>
        <v>21692.248</v>
      </c>
      <c r="L12" s="62"/>
      <c r="M12" s="62">
        <f t="shared" si="1"/>
        <v>384869.46640000003</v>
      </c>
      <c r="N12" s="145"/>
      <c r="O12" s="63"/>
    </row>
    <row r="13" spans="1:18">
      <c r="A13" s="184">
        <v>10</v>
      </c>
      <c r="B13" s="207">
        <v>46305</v>
      </c>
      <c r="C13" s="61"/>
      <c r="D13" s="148"/>
      <c r="E13" s="242">
        <v>39.840000000000003</v>
      </c>
      <c r="F13" s="242">
        <v>105.4</v>
      </c>
      <c r="G13" s="8">
        <f t="shared" si="0"/>
        <v>4199.1360000000004</v>
      </c>
      <c r="H13" s="354"/>
      <c r="I13" s="151"/>
      <c r="J13" s="8">
        <f t="shared" si="2"/>
        <v>0</v>
      </c>
      <c r="K13" s="8">
        <f t="shared" si="3"/>
        <v>4199.1360000000004</v>
      </c>
      <c r="L13" s="62">
        <v>200000</v>
      </c>
      <c r="M13" s="62">
        <f t="shared" si="1"/>
        <v>189068.60240000003</v>
      </c>
      <c r="N13" s="145"/>
      <c r="O13" s="63"/>
    </row>
    <row r="14" spans="1:18">
      <c r="A14" s="184">
        <v>11</v>
      </c>
      <c r="B14" s="207">
        <v>46306</v>
      </c>
      <c r="C14" s="61"/>
      <c r="D14" s="148"/>
      <c r="E14" s="242">
        <v>700</v>
      </c>
      <c r="F14" s="242">
        <v>105.4</v>
      </c>
      <c r="G14" s="8">
        <f t="shared" si="0"/>
        <v>73780</v>
      </c>
      <c r="H14" s="59">
        <v>20</v>
      </c>
      <c r="I14" s="151">
        <v>117.74</v>
      </c>
      <c r="J14" s="8">
        <f t="shared" si="2"/>
        <v>2354.7999999999997</v>
      </c>
      <c r="K14" s="8">
        <f t="shared" si="3"/>
        <v>76134.8</v>
      </c>
      <c r="L14" s="62"/>
      <c r="M14" s="62">
        <f t="shared" si="1"/>
        <v>265203.40240000002</v>
      </c>
      <c r="N14" s="145"/>
      <c r="O14" s="63"/>
    </row>
    <row r="15" spans="1:18">
      <c r="A15" s="40">
        <v>12</v>
      </c>
      <c r="B15" s="207">
        <v>46307</v>
      </c>
      <c r="C15" s="61"/>
      <c r="D15" s="148"/>
      <c r="E15" s="242"/>
      <c r="F15" s="242"/>
      <c r="G15" s="8">
        <f t="shared" si="0"/>
        <v>0</v>
      </c>
      <c r="H15" s="59"/>
      <c r="I15" s="60"/>
      <c r="J15" s="8">
        <f t="shared" si="2"/>
        <v>0</v>
      </c>
      <c r="K15" s="8">
        <f>G15+J15</f>
        <v>0</v>
      </c>
      <c r="L15" s="62"/>
      <c r="M15" s="62">
        <f t="shared" si="1"/>
        <v>265203.40240000002</v>
      </c>
      <c r="N15" s="145"/>
      <c r="O15" s="63"/>
    </row>
    <row r="16" spans="1:18">
      <c r="A16" s="184">
        <v>13</v>
      </c>
      <c r="B16" s="207">
        <v>46308</v>
      </c>
      <c r="C16" s="61"/>
      <c r="D16" s="148"/>
      <c r="E16" s="242"/>
      <c r="F16" s="242"/>
      <c r="G16" s="8">
        <f t="shared" si="0"/>
        <v>0</v>
      </c>
      <c r="H16" s="59"/>
      <c r="I16" s="60"/>
      <c r="J16" s="8">
        <f t="shared" si="2"/>
        <v>0</v>
      </c>
      <c r="K16" s="8">
        <f t="shared" si="3"/>
        <v>0</v>
      </c>
      <c r="L16" s="62"/>
      <c r="M16" s="62">
        <f t="shared" si="1"/>
        <v>265203.40240000002</v>
      </c>
      <c r="N16" s="8"/>
      <c r="O16" s="63"/>
    </row>
    <row r="17" spans="1:15">
      <c r="A17" s="184">
        <v>14</v>
      </c>
      <c r="B17" s="207">
        <v>46309</v>
      </c>
      <c r="C17" s="61"/>
      <c r="D17" s="148"/>
      <c r="E17" s="242"/>
      <c r="F17" s="242"/>
      <c r="G17" s="8">
        <f t="shared" si="0"/>
        <v>0</v>
      </c>
      <c r="H17" s="59"/>
      <c r="I17" s="60"/>
      <c r="J17" s="8">
        <f t="shared" si="2"/>
        <v>0</v>
      </c>
      <c r="K17" s="8">
        <f t="shared" si="3"/>
        <v>0</v>
      </c>
      <c r="L17" s="62"/>
      <c r="M17" s="62">
        <f t="shared" si="1"/>
        <v>265203.40240000002</v>
      </c>
      <c r="N17" s="8"/>
      <c r="O17" s="63"/>
    </row>
    <row r="18" spans="1:15">
      <c r="A18" s="40">
        <v>15</v>
      </c>
      <c r="B18" s="207">
        <v>46310</v>
      </c>
      <c r="C18" s="61"/>
      <c r="D18" s="148"/>
      <c r="E18" s="242">
        <v>150</v>
      </c>
      <c r="F18" s="242">
        <v>105.4</v>
      </c>
      <c r="G18" s="8">
        <f t="shared" si="0"/>
        <v>15810</v>
      </c>
      <c r="H18" s="59"/>
      <c r="I18" s="60"/>
      <c r="J18" s="8">
        <f t="shared" si="2"/>
        <v>0</v>
      </c>
      <c r="K18" s="8">
        <f t="shared" si="3"/>
        <v>15810</v>
      </c>
      <c r="L18" s="62"/>
      <c r="M18" s="62">
        <f t="shared" si="1"/>
        <v>281013.40240000002</v>
      </c>
      <c r="N18" s="8"/>
      <c r="O18" s="63"/>
    </row>
    <row r="19" spans="1:15">
      <c r="A19" s="184">
        <v>16</v>
      </c>
      <c r="B19" s="207">
        <v>46311</v>
      </c>
      <c r="C19" s="61"/>
      <c r="D19" s="148"/>
      <c r="E19" s="301"/>
      <c r="F19" s="301"/>
      <c r="G19" s="171">
        <f t="shared" si="0"/>
        <v>0</v>
      </c>
      <c r="H19" s="59"/>
      <c r="I19" s="60"/>
      <c r="J19" s="171">
        <f t="shared" si="2"/>
        <v>0</v>
      </c>
      <c r="K19" s="171">
        <f t="shared" si="3"/>
        <v>0</v>
      </c>
      <c r="L19" s="62"/>
      <c r="M19" s="62">
        <f t="shared" si="1"/>
        <v>281013.40240000002</v>
      </c>
      <c r="N19" s="8"/>
      <c r="O19" s="63"/>
    </row>
    <row r="20" spans="1:15">
      <c r="A20" s="184">
        <v>17</v>
      </c>
      <c r="B20" s="207">
        <v>46312</v>
      </c>
      <c r="C20" s="61"/>
      <c r="D20" s="300"/>
      <c r="E20" s="242"/>
      <c r="F20" s="242"/>
      <c r="G20" s="8">
        <f t="shared" si="0"/>
        <v>0</v>
      </c>
      <c r="H20" s="59"/>
      <c r="I20" s="60"/>
      <c r="J20" s="8">
        <f t="shared" si="2"/>
        <v>0</v>
      </c>
      <c r="K20" s="8">
        <f t="shared" si="3"/>
        <v>0</v>
      </c>
      <c r="L20" s="62"/>
      <c r="M20" s="62">
        <f t="shared" si="1"/>
        <v>281013.40240000002</v>
      </c>
      <c r="N20" s="181"/>
      <c r="O20" s="63"/>
    </row>
    <row r="21" spans="1:15">
      <c r="A21" s="40">
        <v>18</v>
      </c>
      <c r="B21" s="207">
        <v>46313</v>
      </c>
      <c r="C21" s="61"/>
      <c r="D21" s="300"/>
      <c r="E21" s="242"/>
      <c r="F21" s="301"/>
      <c r="G21" s="8">
        <f t="shared" si="0"/>
        <v>0</v>
      </c>
      <c r="H21" s="59"/>
      <c r="I21" s="60"/>
      <c r="J21" s="8">
        <f t="shared" si="2"/>
        <v>0</v>
      </c>
      <c r="K21" s="8">
        <f t="shared" si="3"/>
        <v>0</v>
      </c>
      <c r="L21" s="62"/>
      <c r="M21" s="62">
        <f t="shared" si="1"/>
        <v>281013.40240000002</v>
      </c>
      <c r="N21" s="181"/>
      <c r="O21" s="63"/>
    </row>
    <row r="22" spans="1:15">
      <c r="A22" s="184">
        <v>19</v>
      </c>
      <c r="B22" s="207">
        <v>46314</v>
      </c>
      <c r="C22" s="61"/>
      <c r="D22" s="300"/>
      <c r="E22" s="14"/>
      <c r="F22" s="14"/>
      <c r="G22" s="8">
        <f t="shared" si="0"/>
        <v>0</v>
      </c>
      <c r="H22" s="59"/>
      <c r="I22" s="60"/>
      <c r="J22" s="8">
        <f t="shared" si="2"/>
        <v>0</v>
      </c>
      <c r="K22" s="8">
        <f t="shared" si="3"/>
        <v>0</v>
      </c>
      <c r="L22" s="62"/>
      <c r="M22" s="62">
        <f t="shared" si="1"/>
        <v>281013.40240000002</v>
      </c>
      <c r="N22" s="181"/>
      <c r="O22" s="63"/>
    </row>
    <row r="23" spans="1:15">
      <c r="A23" s="184">
        <v>20</v>
      </c>
      <c r="B23" s="207">
        <v>46315</v>
      </c>
      <c r="C23" s="61"/>
      <c r="D23" s="300"/>
      <c r="E23" s="14"/>
      <c r="F23" s="14"/>
      <c r="G23" s="8">
        <f t="shared" si="0"/>
        <v>0</v>
      </c>
      <c r="H23" s="59"/>
      <c r="I23" s="60"/>
      <c r="J23" s="8">
        <f t="shared" si="2"/>
        <v>0</v>
      </c>
      <c r="K23" s="8">
        <f t="shared" si="3"/>
        <v>0</v>
      </c>
      <c r="L23" s="62"/>
      <c r="M23" s="62">
        <f t="shared" si="1"/>
        <v>281013.40240000002</v>
      </c>
      <c r="N23" s="181"/>
      <c r="O23" s="63"/>
    </row>
    <row r="24" spans="1:15">
      <c r="A24" s="40">
        <v>21</v>
      </c>
      <c r="B24" s="207">
        <v>46316</v>
      </c>
      <c r="C24" s="61"/>
      <c r="D24" s="300"/>
      <c r="E24" s="14"/>
      <c r="F24" s="14"/>
      <c r="G24" s="8">
        <f t="shared" si="0"/>
        <v>0</v>
      </c>
      <c r="H24" s="59"/>
      <c r="I24" s="60"/>
      <c r="J24" s="8">
        <f t="shared" si="2"/>
        <v>0</v>
      </c>
      <c r="K24" s="8">
        <f t="shared" si="3"/>
        <v>0</v>
      </c>
      <c r="L24" s="62"/>
      <c r="M24" s="62">
        <f t="shared" si="1"/>
        <v>281013.40240000002</v>
      </c>
      <c r="N24" s="181"/>
      <c r="O24" s="63"/>
    </row>
    <row r="25" spans="1:15">
      <c r="A25" s="184">
        <v>22</v>
      </c>
      <c r="B25" s="207">
        <v>46317</v>
      </c>
      <c r="C25" s="61"/>
      <c r="D25" s="300"/>
      <c r="E25" s="14"/>
      <c r="F25" s="14"/>
      <c r="G25" s="8">
        <f t="shared" si="0"/>
        <v>0</v>
      </c>
      <c r="H25" s="59"/>
      <c r="I25" s="60"/>
      <c r="J25" s="8">
        <f t="shared" si="2"/>
        <v>0</v>
      </c>
      <c r="K25" s="8">
        <f t="shared" si="3"/>
        <v>0</v>
      </c>
      <c r="L25" s="62"/>
      <c r="M25" s="62">
        <f t="shared" si="1"/>
        <v>281013.40240000002</v>
      </c>
      <c r="N25" s="181"/>
      <c r="O25" s="63"/>
    </row>
    <row r="26" spans="1:15">
      <c r="A26" s="184">
        <v>23</v>
      </c>
      <c r="B26" s="207">
        <v>46318</v>
      </c>
      <c r="C26" s="61"/>
      <c r="D26" s="300"/>
      <c r="E26" s="14"/>
      <c r="F26" s="14"/>
      <c r="G26" s="8">
        <f t="shared" si="0"/>
        <v>0</v>
      </c>
      <c r="H26" s="59"/>
      <c r="I26" s="60"/>
      <c r="J26" s="8">
        <f t="shared" si="2"/>
        <v>0</v>
      </c>
      <c r="K26" s="8">
        <f t="shared" si="3"/>
        <v>0</v>
      </c>
      <c r="L26" s="62"/>
      <c r="M26" s="62">
        <f t="shared" si="1"/>
        <v>281013.40240000002</v>
      </c>
      <c r="N26" s="181"/>
      <c r="O26" s="63"/>
    </row>
    <row r="27" spans="1:15">
      <c r="A27" s="40">
        <v>24</v>
      </c>
      <c r="B27" s="207">
        <v>46319</v>
      </c>
      <c r="C27" s="61"/>
      <c r="D27" s="300"/>
      <c r="E27" s="14"/>
      <c r="F27" s="14"/>
      <c r="G27" s="8">
        <f t="shared" si="0"/>
        <v>0</v>
      </c>
      <c r="H27" s="59"/>
      <c r="I27" s="60"/>
      <c r="J27" s="8">
        <f t="shared" si="2"/>
        <v>0</v>
      </c>
      <c r="K27" s="8">
        <f t="shared" si="3"/>
        <v>0</v>
      </c>
      <c r="L27" s="62"/>
      <c r="M27" s="62">
        <f t="shared" si="1"/>
        <v>281013.40240000002</v>
      </c>
      <c r="N27" s="181"/>
      <c r="O27" s="63"/>
    </row>
    <row r="28" spans="1:15">
      <c r="A28" s="184">
        <v>25</v>
      </c>
      <c r="B28" s="207">
        <v>46320</v>
      </c>
      <c r="C28" s="61"/>
      <c r="D28" s="300"/>
      <c r="E28" s="14"/>
      <c r="F28" s="14"/>
      <c r="G28" s="8">
        <f t="shared" si="0"/>
        <v>0</v>
      </c>
      <c r="H28" s="59"/>
      <c r="I28" s="60"/>
      <c r="J28" s="8">
        <f t="shared" si="2"/>
        <v>0</v>
      </c>
      <c r="K28" s="8">
        <f t="shared" si="3"/>
        <v>0</v>
      </c>
      <c r="L28" s="62"/>
      <c r="M28" s="62">
        <f t="shared" si="1"/>
        <v>281013.40240000002</v>
      </c>
      <c r="N28" s="181"/>
      <c r="O28" s="63"/>
    </row>
    <row r="29" spans="1:15">
      <c r="A29" s="184">
        <v>26</v>
      </c>
      <c r="B29" s="207">
        <v>46321</v>
      </c>
      <c r="C29" s="61"/>
      <c r="D29" s="300"/>
      <c r="E29" s="14"/>
      <c r="F29" s="14"/>
      <c r="G29" s="8">
        <f t="shared" si="0"/>
        <v>0</v>
      </c>
      <c r="H29" s="59"/>
      <c r="I29" s="60"/>
      <c r="J29" s="8">
        <f t="shared" si="2"/>
        <v>0</v>
      </c>
      <c r="K29" s="8">
        <f t="shared" si="3"/>
        <v>0</v>
      </c>
      <c r="L29" s="62"/>
      <c r="M29" s="62">
        <f t="shared" si="1"/>
        <v>281013.40240000002</v>
      </c>
      <c r="N29" s="181"/>
      <c r="O29" s="63"/>
    </row>
    <row r="30" spans="1:15">
      <c r="A30" s="40">
        <v>27</v>
      </c>
      <c r="B30" s="207">
        <v>46322</v>
      </c>
      <c r="C30" s="61"/>
      <c r="D30" s="300"/>
      <c r="E30" s="14"/>
      <c r="F30" s="14"/>
      <c r="G30" s="8">
        <f t="shared" si="0"/>
        <v>0</v>
      </c>
      <c r="H30" s="59"/>
      <c r="I30" s="60"/>
      <c r="J30" s="8">
        <f t="shared" si="2"/>
        <v>0</v>
      </c>
      <c r="K30" s="8">
        <f t="shared" si="3"/>
        <v>0</v>
      </c>
      <c r="L30" s="62"/>
      <c r="M30" s="62">
        <f t="shared" si="1"/>
        <v>281013.40240000002</v>
      </c>
      <c r="N30" s="181"/>
      <c r="O30" s="63"/>
    </row>
    <row r="31" spans="1:15">
      <c r="A31" s="184">
        <v>28</v>
      </c>
      <c r="B31" s="207">
        <v>46323</v>
      </c>
      <c r="C31" s="61"/>
      <c r="D31" s="148"/>
      <c r="E31" s="14"/>
      <c r="F31" s="14"/>
      <c r="G31" s="16">
        <f t="shared" si="0"/>
        <v>0</v>
      </c>
      <c r="H31" s="59"/>
      <c r="I31" s="60"/>
      <c r="J31" s="16">
        <f t="shared" si="2"/>
        <v>0</v>
      </c>
      <c r="K31" s="16">
        <f t="shared" si="3"/>
        <v>0</v>
      </c>
      <c r="L31" s="123"/>
      <c r="M31" s="62">
        <f t="shared" si="1"/>
        <v>281013.40240000002</v>
      </c>
      <c r="N31" s="8"/>
      <c r="O31" s="63"/>
    </row>
    <row r="32" spans="1:15">
      <c r="A32" s="184">
        <v>29</v>
      </c>
      <c r="B32" s="207">
        <v>46324</v>
      </c>
      <c r="C32" s="61"/>
      <c r="D32" s="148"/>
      <c r="E32" s="14"/>
      <c r="F32" s="14"/>
      <c r="G32" s="8">
        <f t="shared" si="0"/>
        <v>0</v>
      </c>
      <c r="H32" s="59"/>
      <c r="I32" s="60"/>
      <c r="J32" s="8">
        <f t="shared" si="2"/>
        <v>0</v>
      </c>
      <c r="K32" s="8">
        <f t="shared" si="3"/>
        <v>0</v>
      </c>
      <c r="L32" s="62"/>
      <c r="M32" s="62">
        <f t="shared" si="1"/>
        <v>281013.40240000002</v>
      </c>
      <c r="N32" s="8"/>
      <c r="O32" s="63"/>
    </row>
    <row r="33" spans="1:15">
      <c r="A33" s="40">
        <v>30</v>
      </c>
      <c r="B33" s="207">
        <v>46325</v>
      </c>
      <c r="C33" s="61"/>
      <c r="D33" s="148"/>
      <c r="E33" s="148"/>
      <c r="F33" s="14"/>
      <c r="G33" s="8">
        <f t="shared" si="0"/>
        <v>0</v>
      </c>
      <c r="H33" s="59"/>
      <c r="I33" s="60"/>
      <c r="J33" s="8">
        <f t="shared" si="2"/>
        <v>0</v>
      </c>
      <c r="K33" s="8">
        <f t="shared" si="3"/>
        <v>0</v>
      </c>
      <c r="L33" s="62"/>
      <c r="M33" s="62">
        <f t="shared" si="1"/>
        <v>281013.40240000002</v>
      </c>
      <c r="N33" s="8"/>
      <c r="O33" s="63"/>
    </row>
    <row r="34" spans="1:15">
      <c r="A34" s="184">
        <v>31</v>
      </c>
      <c r="B34" s="207">
        <v>46326</v>
      </c>
      <c r="C34" s="61"/>
      <c r="D34" s="148"/>
      <c r="E34" s="14"/>
      <c r="F34" s="14"/>
      <c r="G34" s="8">
        <f t="shared" si="0"/>
        <v>0</v>
      </c>
      <c r="H34" s="59"/>
      <c r="I34" s="60"/>
      <c r="J34" s="8">
        <f t="shared" si="2"/>
        <v>0</v>
      </c>
      <c r="K34" s="8">
        <f t="shared" si="3"/>
        <v>0</v>
      </c>
      <c r="L34" s="62"/>
      <c r="M34" s="62">
        <f t="shared" si="1"/>
        <v>281013.40240000002</v>
      </c>
      <c r="N34" s="8"/>
      <c r="O34" s="63"/>
    </row>
    <row r="35" spans="1:15">
      <c r="A35" s="184">
        <v>32</v>
      </c>
      <c r="B35" s="207"/>
      <c r="C35" s="61"/>
      <c r="D35" s="148"/>
      <c r="E35" s="14"/>
      <c r="F35" s="14"/>
      <c r="G35" s="8">
        <f t="shared" si="0"/>
        <v>0</v>
      </c>
      <c r="H35" s="59"/>
      <c r="I35" s="60"/>
      <c r="J35" s="8">
        <f t="shared" si="2"/>
        <v>0</v>
      </c>
      <c r="K35" s="8">
        <f t="shared" si="3"/>
        <v>0</v>
      </c>
      <c r="L35" s="62"/>
      <c r="M35" s="62">
        <f t="shared" si="1"/>
        <v>281013.40240000002</v>
      </c>
      <c r="N35" s="8"/>
      <c r="O35" s="63"/>
    </row>
    <row r="36" spans="1:15">
      <c r="A36" s="40">
        <v>33</v>
      </c>
      <c r="B36" s="207"/>
      <c r="C36" s="61"/>
      <c r="D36" s="148"/>
      <c r="E36" s="242"/>
      <c r="F36" s="14"/>
      <c r="G36" s="8">
        <f t="shared" si="0"/>
        <v>0</v>
      </c>
      <c r="H36" s="59"/>
      <c r="I36" s="60"/>
      <c r="J36" s="8">
        <f t="shared" si="2"/>
        <v>0</v>
      </c>
      <c r="K36" s="8">
        <f t="shared" si="3"/>
        <v>0</v>
      </c>
      <c r="L36" s="62"/>
      <c r="M36" s="62">
        <f t="shared" si="1"/>
        <v>281013.40240000002</v>
      </c>
      <c r="N36" s="8"/>
      <c r="O36" s="63"/>
    </row>
    <row r="37" spans="1:15">
      <c r="A37" s="56"/>
      <c r="B37" s="56"/>
      <c r="C37" s="56"/>
      <c r="D37" s="56"/>
      <c r="E37" s="243">
        <f>SUM(E4:E36)</f>
        <v>2252.17</v>
      </c>
      <c r="F37" s="243"/>
      <c r="G37" s="57">
        <f>SUM(G4:G36)</f>
        <v>237378.71799999999</v>
      </c>
      <c r="H37" s="57">
        <f>SUM(H4:H36)</f>
        <v>40.200000000000003</v>
      </c>
      <c r="I37" s="57"/>
      <c r="J37" s="57">
        <f>SUM(J4:J36)</f>
        <v>4733.1479999999992</v>
      </c>
      <c r="K37" s="57">
        <f>SUM(K4:K36)</f>
        <v>242111.86599999998</v>
      </c>
      <c r="L37" s="57">
        <f>SUM(L4:L36)</f>
        <v>200000</v>
      </c>
      <c r="M37" s="57"/>
      <c r="N37" s="57"/>
      <c r="O37" s="53"/>
    </row>
    <row r="38" spans="1:15">
      <c r="A38" s="66"/>
      <c r="B38" s="67"/>
      <c r="C38" s="66"/>
      <c r="D38" s="66"/>
      <c r="E38" s="68"/>
      <c r="F38" s="68"/>
      <c r="G38" s="68"/>
      <c r="H38" s="68"/>
      <c r="I38" s="68"/>
      <c r="J38" s="69"/>
      <c r="K38" s="69"/>
      <c r="L38" s="69"/>
      <c r="M38" s="69"/>
      <c r="N38" s="68"/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O43" s="63"/>
    </row>
    <row r="44" spans="1:15">
      <c r="A44" s="63"/>
      <c r="B44" s="53"/>
      <c r="C44" s="63"/>
      <c r="D44" s="63"/>
      <c r="E44" s="63"/>
      <c r="F44" s="63"/>
      <c r="G44" s="70"/>
      <c r="H44" s="63"/>
      <c r="I44" s="63"/>
      <c r="J44" s="53"/>
      <c r="K44" s="53"/>
      <c r="L44" s="53"/>
      <c r="M44" s="53"/>
      <c r="N44" s="63"/>
      <c r="O44" s="68"/>
    </row>
    <row r="45" spans="1:15">
      <c r="A45" s="63"/>
      <c r="B45" s="624"/>
      <c r="C45" s="624"/>
      <c r="D45" s="624"/>
      <c r="E45" s="624"/>
      <c r="F45" s="63"/>
      <c r="G45" s="63"/>
      <c r="H45" s="63"/>
      <c r="I45" s="624"/>
      <c r="J45" s="624"/>
      <c r="K45" s="624"/>
      <c r="L45" s="624"/>
      <c r="M45" s="624"/>
      <c r="N45" s="624"/>
      <c r="O45" s="68"/>
    </row>
    <row r="46" spans="1:15">
      <c r="A46" s="63"/>
      <c r="B46" s="53"/>
      <c r="C46" s="63"/>
      <c r="D46" s="63"/>
      <c r="E46" s="63"/>
      <c r="F46" s="63"/>
      <c r="G46" s="63"/>
      <c r="H46" s="63"/>
      <c r="I46" s="63"/>
      <c r="J46" s="53"/>
      <c r="K46" s="53"/>
      <c r="L46" s="53"/>
      <c r="M46" s="53"/>
      <c r="N46" s="63"/>
      <c r="O46" s="68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3470-408F-4CE1-88D9-EA4E7C7D01D3}">
  <sheetPr>
    <tabColor rgb="FFFFC000"/>
  </sheetPr>
  <dimension ref="A1:N37"/>
  <sheetViews>
    <sheetView workbookViewId="0">
      <pane ySplit="3" topLeftCell="A14" activePane="bottomLeft" state="frozen"/>
      <selection pane="bottomLeft" activeCell="L20" sqref="L20"/>
    </sheetView>
  </sheetViews>
  <sheetFormatPr defaultRowHeight="15"/>
  <cols>
    <col min="2" max="2" width="10.5703125" customWidth="1"/>
    <col min="7" max="7" width="16.140625" customWidth="1"/>
    <col min="10" max="10" width="14.28515625" customWidth="1"/>
    <col min="11" max="11" width="24.140625" customWidth="1"/>
    <col min="12" max="12" width="20.7109375" customWidth="1"/>
    <col min="13" max="13" width="11.5703125" bestFit="1" customWidth="1"/>
  </cols>
  <sheetData>
    <row r="1" spans="1:14" ht="15.75">
      <c r="A1" s="623" t="s">
        <v>88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14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14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511">
        <v>115419.83792000005</v>
      </c>
      <c r="N3" s="145"/>
    </row>
    <row r="4" spans="1:14">
      <c r="A4" s="40">
        <v>1</v>
      </c>
      <c r="B4" s="304">
        <v>46296</v>
      </c>
      <c r="C4" s="61"/>
      <c r="D4" s="148"/>
      <c r="E4" s="242">
        <v>335</v>
      </c>
      <c r="F4" s="242">
        <v>104.68</v>
      </c>
      <c r="G4" s="8">
        <f t="shared" ref="G4:G36" si="0">E4*F4</f>
        <v>35067.800000000003</v>
      </c>
      <c r="H4" s="59">
        <v>65</v>
      </c>
      <c r="I4" s="60">
        <v>116.96</v>
      </c>
      <c r="J4" s="8">
        <f>H4*I4</f>
        <v>7602.4</v>
      </c>
      <c r="K4" s="8">
        <f>G4+J4</f>
        <v>42670.200000000004</v>
      </c>
      <c r="L4" s="62"/>
      <c r="M4" s="512">
        <f>M3+K4-L4</f>
        <v>158090.03792000006</v>
      </c>
      <c r="N4" s="145"/>
    </row>
    <row r="5" spans="1:14">
      <c r="A5" s="40">
        <v>2</v>
      </c>
      <c r="B5" s="304">
        <v>46297</v>
      </c>
      <c r="C5" s="61"/>
      <c r="D5" s="148"/>
      <c r="E5" s="242"/>
      <c r="F5" s="242"/>
      <c r="G5" s="8">
        <f t="shared" si="0"/>
        <v>0</v>
      </c>
      <c r="H5" s="59">
        <v>5</v>
      </c>
      <c r="I5" s="60">
        <v>116.96</v>
      </c>
      <c r="J5" s="8">
        <f>H5*I5</f>
        <v>584.79999999999995</v>
      </c>
      <c r="K5" s="8">
        <f>G5+J5</f>
        <v>584.79999999999995</v>
      </c>
      <c r="L5" s="62"/>
      <c r="M5" s="512">
        <f t="shared" ref="M5:M36" si="1">M4+K5-L5</f>
        <v>158674.83792000005</v>
      </c>
      <c r="N5" s="145"/>
    </row>
    <row r="6" spans="1:14">
      <c r="A6" s="40">
        <v>3</v>
      </c>
      <c r="B6" s="304">
        <v>46298</v>
      </c>
      <c r="C6" s="61"/>
      <c r="D6" s="14"/>
      <c r="E6" s="242">
        <v>200</v>
      </c>
      <c r="F6" s="242">
        <v>104.68</v>
      </c>
      <c r="G6" s="8">
        <f t="shared" si="0"/>
        <v>20936</v>
      </c>
      <c r="H6" s="59"/>
      <c r="I6" s="60"/>
      <c r="J6" s="8">
        <f t="shared" ref="J6:J36" si="2">H6*I6</f>
        <v>0</v>
      </c>
      <c r="K6" s="8">
        <f t="shared" ref="K6:K36" si="3">G6+J6</f>
        <v>20936</v>
      </c>
      <c r="L6" s="62">
        <v>80000</v>
      </c>
      <c r="M6" s="512">
        <f t="shared" si="1"/>
        <v>99610.837920000049</v>
      </c>
      <c r="N6" s="145"/>
    </row>
    <row r="7" spans="1:14">
      <c r="A7" s="40">
        <v>4</v>
      </c>
      <c r="B7" s="304">
        <v>46299</v>
      </c>
      <c r="C7" s="61"/>
      <c r="D7" s="148"/>
      <c r="E7" s="242">
        <v>40</v>
      </c>
      <c r="F7" s="242">
        <v>104.68</v>
      </c>
      <c r="G7" s="8">
        <f>E7*F7</f>
        <v>4187.2000000000007</v>
      </c>
      <c r="H7" s="59"/>
      <c r="I7" s="60"/>
      <c r="J7" s="8">
        <f t="shared" si="2"/>
        <v>0</v>
      </c>
      <c r="K7" s="8">
        <f t="shared" si="3"/>
        <v>4187.2000000000007</v>
      </c>
      <c r="L7" s="62"/>
      <c r="M7" s="512">
        <f t="shared" si="1"/>
        <v>103798.03792000005</v>
      </c>
      <c r="N7" s="145"/>
    </row>
    <row r="8" spans="1:14">
      <c r="A8" s="40">
        <v>5</v>
      </c>
      <c r="B8" s="304">
        <v>46300</v>
      </c>
      <c r="C8" s="61"/>
      <c r="D8" s="148"/>
      <c r="E8" s="242">
        <v>200</v>
      </c>
      <c r="F8" s="242">
        <v>104.68</v>
      </c>
      <c r="G8" s="8">
        <f t="shared" si="0"/>
        <v>20936</v>
      </c>
      <c r="H8" s="506">
        <v>5</v>
      </c>
      <c r="I8" s="506">
        <v>116.96</v>
      </c>
      <c r="J8" s="8">
        <f t="shared" si="2"/>
        <v>584.79999999999995</v>
      </c>
      <c r="K8" s="8">
        <f t="shared" si="3"/>
        <v>21520.799999999999</v>
      </c>
      <c r="L8" s="62"/>
      <c r="M8" s="512">
        <f t="shared" si="1"/>
        <v>125318.83792000005</v>
      </c>
      <c r="N8" s="145"/>
    </row>
    <row r="9" spans="1:14">
      <c r="A9" s="184">
        <v>6</v>
      </c>
      <c r="B9" s="304">
        <v>46301</v>
      </c>
      <c r="C9" s="121"/>
      <c r="D9" s="122"/>
      <c r="E9" s="513">
        <v>100</v>
      </c>
      <c r="F9" s="242">
        <v>104.68</v>
      </c>
      <c r="G9" s="16">
        <f t="shared" si="0"/>
        <v>10468</v>
      </c>
      <c r="H9" s="514">
        <v>60</v>
      </c>
      <c r="I9" s="563">
        <v>116.96</v>
      </c>
      <c r="J9" s="16">
        <f t="shared" si="2"/>
        <v>7017.5999999999995</v>
      </c>
      <c r="K9" s="515">
        <f t="shared" si="3"/>
        <v>17485.599999999999</v>
      </c>
      <c r="L9" s="123"/>
      <c r="M9" s="62">
        <f t="shared" si="1"/>
        <v>142804.43792000005</v>
      </c>
      <c r="N9" s="145"/>
    </row>
    <row r="10" spans="1:14">
      <c r="A10" s="184">
        <v>7</v>
      </c>
      <c r="B10" s="304">
        <v>46302</v>
      </c>
      <c r="C10" s="61"/>
      <c r="D10" s="148"/>
      <c r="E10" s="242">
        <v>230</v>
      </c>
      <c r="F10" s="242">
        <v>104.68</v>
      </c>
      <c r="G10" s="8">
        <f t="shared" si="0"/>
        <v>24076.400000000001</v>
      </c>
      <c r="H10" s="354">
        <v>80</v>
      </c>
      <c r="I10" s="563">
        <v>116.96</v>
      </c>
      <c r="J10" s="8">
        <f t="shared" si="2"/>
        <v>9356.7999999999993</v>
      </c>
      <c r="K10" s="181">
        <f t="shared" si="3"/>
        <v>33433.199999999997</v>
      </c>
      <c r="L10" s="62"/>
      <c r="M10" s="62">
        <f t="shared" si="1"/>
        <v>176237.63792000007</v>
      </c>
      <c r="N10" s="145"/>
    </row>
    <row r="11" spans="1:14">
      <c r="A11" s="184">
        <v>8</v>
      </c>
      <c r="B11" s="304">
        <v>46303</v>
      </c>
      <c r="C11" s="61"/>
      <c r="D11" s="148"/>
      <c r="E11" s="242">
        <v>21</v>
      </c>
      <c r="F11" s="242">
        <v>104.68</v>
      </c>
      <c r="G11" s="8">
        <f t="shared" si="0"/>
        <v>2198.2800000000002</v>
      </c>
      <c r="H11" s="354"/>
      <c r="I11" s="151"/>
      <c r="J11" s="8">
        <f t="shared" si="2"/>
        <v>0</v>
      </c>
      <c r="K11" s="181">
        <f t="shared" si="3"/>
        <v>2198.2800000000002</v>
      </c>
      <c r="L11" s="62"/>
      <c r="M11" s="62">
        <f t="shared" si="1"/>
        <v>178435.91792000007</v>
      </c>
      <c r="N11" s="145"/>
    </row>
    <row r="12" spans="1:14">
      <c r="A12" s="40">
        <v>9</v>
      </c>
      <c r="B12" s="304">
        <v>46304</v>
      </c>
      <c r="C12" s="61"/>
      <c r="D12" s="148"/>
      <c r="E12" s="242"/>
      <c r="F12" s="242"/>
      <c r="G12" s="8"/>
      <c r="H12" s="354"/>
      <c r="I12" s="151"/>
      <c r="J12" s="8">
        <f t="shared" si="2"/>
        <v>0</v>
      </c>
      <c r="K12" s="181">
        <f t="shared" si="3"/>
        <v>0</v>
      </c>
      <c r="L12" s="62"/>
      <c r="M12" s="62">
        <f t="shared" si="1"/>
        <v>178435.91792000007</v>
      </c>
      <c r="N12" s="145"/>
    </row>
    <row r="13" spans="1:14">
      <c r="A13" s="184">
        <v>10</v>
      </c>
      <c r="B13" s="304">
        <v>46305</v>
      </c>
      <c r="C13" s="61"/>
      <c r="D13" s="148"/>
      <c r="E13" s="242">
        <v>732.87</v>
      </c>
      <c r="F13" s="242">
        <v>104.68</v>
      </c>
      <c r="G13" s="16">
        <f t="shared" si="0"/>
        <v>76716.831600000005</v>
      </c>
      <c r="H13" s="354">
        <v>61</v>
      </c>
      <c r="I13" s="151">
        <v>116.96</v>
      </c>
      <c r="J13" s="16">
        <f t="shared" si="2"/>
        <v>7134.5599999999995</v>
      </c>
      <c r="K13" s="8">
        <f t="shared" si="3"/>
        <v>83851.391600000003</v>
      </c>
      <c r="L13" s="62">
        <v>178000</v>
      </c>
      <c r="M13" s="62">
        <f t="shared" si="1"/>
        <v>84287.309520000068</v>
      </c>
      <c r="N13" s="145"/>
    </row>
    <row r="14" spans="1:14">
      <c r="A14" s="184">
        <v>11</v>
      </c>
      <c r="B14" s="304">
        <v>46306</v>
      </c>
      <c r="C14" s="61"/>
      <c r="D14" s="148"/>
      <c r="E14" s="242"/>
      <c r="F14" s="242"/>
      <c r="G14" s="8">
        <f t="shared" si="0"/>
        <v>0</v>
      </c>
      <c r="H14" s="354"/>
      <c r="I14" s="151"/>
      <c r="J14" s="8">
        <f t="shared" si="2"/>
        <v>0</v>
      </c>
      <c r="K14" s="8">
        <f t="shared" si="3"/>
        <v>0</v>
      </c>
      <c r="L14" s="62"/>
      <c r="M14" s="62">
        <f t="shared" si="1"/>
        <v>84287.309520000068</v>
      </c>
      <c r="N14" s="145"/>
    </row>
    <row r="15" spans="1:14">
      <c r="A15" s="40">
        <v>12</v>
      </c>
      <c r="B15" s="304">
        <v>46307</v>
      </c>
      <c r="C15" s="61"/>
      <c r="D15" s="148"/>
      <c r="E15" s="242">
        <v>40</v>
      </c>
      <c r="F15" s="242">
        <v>104.68</v>
      </c>
      <c r="G15" s="8">
        <f t="shared" si="0"/>
        <v>4187.2000000000007</v>
      </c>
      <c r="H15" s="354"/>
      <c r="I15" s="151"/>
      <c r="J15" s="8">
        <f t="shared" si="2"/>
        <v>0</v>
      </c>
      <c r="K15" s="8">
        <f>G15+J15</f>
        <v>4187.2000000000007</v>
      </c>
      <c r="L15" s="62"/>
      <c r="M15" s="62">
        <f t="shared" si="1"/>
        <v>88474.509520000065</v>
      </c>
      <c r="N15" s="145"/>
    </row>
    <row r="16" spans="1:14">
      <c r="A16" s="184">
        <v>13</v>
      </c>
      <c r="B16" s="304">
        <v>46308</v>
      </c>
      <c r="C16" s="61"/>
      <c r="D16" s="148"/>
      <c r="E16" s="242">
        <v>47</v>
      </c>
      <c r="F16" s="242">
        <v>104.68</v>
      </c>
      <c r="G16" s="8">
        <f t="shared" si="0"/>
        <v>4919.96</v>
      </c>
      <c r="H16" s="354">
        <v>20</v>
      </c>
      <c r="I16" s="151">
        <v>116.96</v>
      </c>
      <c r="J16" s="8">
        <f t="shared" si="2"/>
        <v>2339.1999999999998</v>
      </c>
      <c r="K16" s="8">
        <f t="shared" si="3"/>
        <v>7259.16</v>
      </c>
      <c r="L16" s="62"/>
      <c r="M16" s="62">
        <f t="shared" si="1"/>
        <v>95733.669520000069</v>
      </c>
      <c r="N16" s="8"/>
    </row>
    <row r="17" spans="1:14">
      <c r="A17" s="184">
        <v>14</v>
      </c>
      <c r="B17" s="304">
        <v>46309</v>
      </c>
      <c r="C17" s="61"/>
      <c r="D17" s="148"/>
      <c r="E17" s="242">
        <v>328.5</v>
      </c>
      <c r="F17" s="242">
        <v>104.68</v>
      </c>
      <c r="G17" s="8">
        <f t="shared" si="0"/>
        <v>34387.380000000005</v>
      </c>
      <c r="H17" s="354">
        <v>95</v>
      </c>
      <c r="I17" s="151">
        <v>116.96</v>
      </c>
      <c r="J17" s="8">
        <f t="shared" si="2"/>
        <v>11111.199999999999</v>
      </c>
      <c r="K17" s="8">
        <f t="shared" si="3"/>
        <v>45498.58</v>
      </c>
      <c r="L17" s="62"/>
      <c r="M17" s="62">
        <f t="shared" si="1"/>
        <v>141232.24952000007</v>
      </c>
      <c r="N17" s="8"/>
    </row>
    <row r="18" spans="1:14">
      <c r="A18" s="40">
        <v>15</v>
      </c>
      <c r="B18" s="304">
        <v>46310</v>
      </c>
      <c r="C18" s="61"/>
      <c r="D18" s="148"/>
      <c r="E18" s="242"/>
      <c r="F18" s="242"/>
      <c r="G18" s="8">
        <f t="shared" si="0"/>
        <v>0</v>
      </c>
      <c r="H18" s="354">
        <v>35</v>
      </c>
      <c r="I18" s="151">
        <v>116.96</v>
      </c>
      <c r="J18" s="8">
        <f t="shared" si="2"/>
        <v>4093.6</v>
      </c>
      <c r="K18" s="8">
        <f t="shared" si="3"/>
        <v>4093.6</v>
      </c>
      <c r="L18" s="62">
        <v>80000</v>
      </c>
      <c r="M18" s="62">
        <f t="shared" si="1"/>
        <v>65325.849520000076</v>
      </c>
      <c r="N18" s="8"/>
    </row>
    <row r="19" spans="1:14">
      <c r="A19" s="184">
        <v>16</v>
      </c>
      <c r="B19" s="304">
        <v>46311</v>
      </c>
      <c r="C19" s="61"/>
      <c r="D19" s="148"/>
      <c r="E19" s="301"/>
      <c r="F19" s="301"/>
      <c r="G19" s="171">
        <f t="shared" si="0"/>
        <v>0</v>
      </c>
      <c r="H19" s="354"/>
      <c r="I19" s="151"/>
      <c r="J19" s="171">
        <f t="shared" si="2"/>
        <v>0</v>
      </c>
      <c r="K19" s="171">
        <f t="shared" si="3"/>
        <v>0</v>
      </c>
      <c r="L19" s="62"/>
      <c r="M19" s="62">
        <f t="shared" si="1"/>
        <v>65325.849520000076</v>
      </c>
      <c r="N19" s="8"/>
    </row>
    <row r="20" spans="1:14">
      <c r="A20" s="184">
        <v>17</v>
      </c>
      <c r="B20" s="304">
        <v>46312</v>
      </c>
      <c r="C20" s="61"/>
      <c r="D20" s="300"/>
      <c r="E20" s="242"/>
      <c r="F20" s="301"/>
      <c r="G20" s="8">
        <f t="shared" si="0"/>
        <v>0</v>
      </c>
      <c r="H20" s="354"/>
      <c r="I20" s="151"/>
      <c r="J20" s="8">
        <f t="shared" si="2"/>
        <v>0</v>
      </c>
      <c r="K20" s="8">
        <f t="shared" si="3"/>
        <v>0</v>
      </c>
      <c r="L20" s="62"/>
      <c r="M20" s="62">
        <f t="shared" si="1"/>
        <v>65325.849520000076</v>
      </c>
      <c r="N20" s="181"/>
    </row>
    <row r="21" spans="1:14">
      <c r="A21" s="40">
        <v>18</v>
      </c>
      <c r="B21" s="304">
        <v>46313</v>
      </c>
      <c r="C21" s="61"/>
      <c r="D21" s="300"/>
      <c r="E21" s="242"/>
      <c r="F21" s="301"/>
      <c r="G21" s="8">
        <f t="shared" si="0"/>
        <v>0</v>
      </c>
      <c r="H21" s="354"/>
      <c r="I21" s="151"/>
      <c r="J21" s="8">
        <f t="shared" si="2"/>
        <v>0</v>
      </c>
      <c r="K21" s="8">
        <f t="shared" si="3"/>
        <v>0</v>
      </c>
      <c r="L21" s="62"/>
      <c r="M21" s="62">
        <f t="shared" si="1"/>
        <v>65325.849520000076</v>
      </c>
      <c r="N21" s="181"/>
    </row>
    <row r="22" spans="1:14">
      <c r="A22" s="184">
        <v>19</v>
      </c>
      <c r="B22" s="304">
        <v>46314</v>
      </c>
      <c r="C22" s="61"/>
      <c r="D22" s="300"/>
      <c r="E22" s="14"/>
      <c r="F22" s="14"/>
      <c r="G22" s="8">
        <f t="shared" si="0"/>
        <v>0</v>
      </c>
      <c r="H22" s="354"/>
      <c r="I22" s="151"/>
      <c r="J22" s="8">
        <f t="shared" si="2"/>
        <v>0</v>
      </c>
      <c r="K22" s="8">
        <f t="shared" si="3"/>
        <v>0</v>
      </c>
      <c r="L22" s="62"/>
      <c r="M22" s="62">
        <f t="shared" si="1"/>
        <v>65325.849520000076</v>
      </c>
      <c r="N22" s="181"/>
    </row>
    <row r="23" spans="1:14">
      <c r="A23" s="184">
        <v>20</v>
      </c>
      <c r="B23" s="304">
        <v>46315</v>
      </c>
      <c r="C23" s="61"/>
      <c r="D23" s="300"/>
      <c r="E23" s="14"/>
      <c r="F23" s="14"/>
      <c r="G23" s="8">
        <f t="shared" si="0"/>
        <v>0</v>
      </c>
      <c r="H23" s="59"/>
      <c r="I23" s="60"/>
      <c r="J23" s="8">
        <f t="shared" si="2"/>
        <v>0</v>
      </c>
      <c r="K23" s="8">
        <f t="shared" si="3"/>
        <v>0</v>
      </c>
      <c r="L23" s="62"/>
      <c r="M23" s="62">
        <f t="shared" si="1"/>
        <v>65325.849520000076</v>
      </c>
      <c r="N23" s="181"/>
    </row>
    <row r="24" spans="1:14">
      <c r="A24" s="40">
        <v>21</v>
      </c>
      <c r="B24" s="304">
        <v>46316</v>
      </c>
      <c r="C24" s="61"/>
      <c r="D24" s="300"/>
      <c r="E24" s="14"/>
      <c r="F24" s="14"/>
      <c r="G24" s="8">
        <f t="shared" si="0"/>
        <v>0</v>
      </c>
      <c r="H24" s="59"/>
      <c r="I24" s="60"/>
      <c r="J24" s="8">
        <f t="shared" si="2"/>
        <v>0</v>
      </c>
      <c r="K24" s="8">
        <f t="shared" si="3"/>
        <v>0</v>
      </c>
      <c r="L24" s="62"/>
      <c r="M24" s="62">
        <f t="shared" si="1"/>
        <v>65325.849520000076</v>
      </c>
      <c r="N24" s="181"/>
    </row>
    <row r="25" spans="1:14">
      <c r="A25" s="184">
        <v>22</v>
      </c>
      <c r="B25" s="304">
        <v>46317</v>
      </c>
      <c r="C25" s="61"/>
      <c r="D25" s="300"/>
      <c r="E25" s="14"/>
      <c r="F25" s="14"/>
      <c r="G25" s="8">
        <f t="shared" si="0"/>
        <v>0</v>
      </c>
      <c r="H25" s="59"/>
      <c r="I25" s="60"/>
      <c r="J25" s="8">
        <f t="shared" si="2"/>
        <v>0</v>
      </c>
      <c r="K25" s="8">
        <f t="shared" si="3"/>
        <v>0</v>
      </c>
      <c r="L25" s="62"/>
      <c r="M25" s="62">
        <f t="shared" si="1"/>
        <v>65325.849520000076</v>
      </c>
      <c r="N25" s="181"/>
    </row>
    <row r="26" spans="1:14">
      <c r="A26" s="184">
        <v>23</v>
      </c>
      <c r="B26" s="304">
        <v>46318</v>
      </c>
      <c r="C26" s="61"/>
      <c r="D26" s="300"/>
      <c r="E26" s="14"/>
      <c r="F26" s="14"/>
      <c r="G26" s="8">
        <f t="shared" si="0"/>
        <v>0</v>
      </c>
      <c r="H26" s="59"/>
      <c r="I26" s="60"/>
      <c r="J26" s="8">
        <f t="shared" si="2"/>
        <v>0</v>
      </c>
      <c r="K26" s="8">
        <f t="shared" si="3"/>
        <v>0</v>
      </c>
      <c r="L26" s="62"/>
      <c r="M26" s="62">
        <f t="shared" si="1"/>
        <v>65325.849520000076</v>
      </c>
      <c r="N26" s="181"/>
    </row>
    <row r="27" spans="1:14">
      <c r="A27" s="40">
        <v>24</v>
      </c>
      <c r="B27" s="304">
        <v>46319</v>
      </c>
      <c r="C27" s="61"/>
      <c r="D27" s="300"/>
      <c r="E27" s="14"/>
      <c r="F27" s="14"/>
      <c r="G27" s="8">
        <f t="shared" si="0"/>
        <v>0</v>
      </c>
      <c r="H27" s="59"/>
      <c r="I27" s="60"/>
      <c r="J27" s="8">
        <f t="shared" si="2"/>
        <v>0</v>
      </c>
      <c r="K27" s="8">
        <f t="shared" si="3"/>
        <v>0</v>
      </c>
      <c r="L27" s="62"/>
      <c r="M27" s="62">
        <f t="shared" si="1"/>
        <v>65325.849520000076</v>
      </c>
      <c r="N27" s="181"/>
    </row>
    <row r="28" spans="1:14">
      <c r="A28" s="184">
        <v>25</v>
      </c>
      <c r="B28" s="304">
        <v>46320</v>
      </c>
      <c r="C28" s="61"/>
      <c r="D28" s="300"/>
      <c r="E28" s="14"/>
      <c r="F28" s="14"/>
      <c r="G28" s="8">
        <f t="shared" si="0"/>
        <v>0</v>
      </c>
      <c r="H28" s="59"/>
      <c r="I28" s="60"/>
      <c r="J28" s="8">
        <f t="shared" si="2"/>
        <v>0</v>
      </c>
      <c r="K28" s="8">
        <f t="shared" si="3"/>
        <v>0</v>
      </c>
      <c r="L28" s="62"/>
      <c r="M28" s="62">
        <f t="shared" si="1"/>
        <v>65325.849520000076</v>
      </c>
      <c r="N28" s="181"/>
    </row>
    <row r="29" spans="1:14">
      <c r="A29" s="184">
        <v>26</v>
      </c>
      <c r="B29" s="304">
        <v>46321</v>
      </c>
      <c r="C29" s="61"/>
      <c r="D29" s="300"/>
      <c r="E29" s="14"/>
      <c r="F29" s="14"/>
      <c r="G29" s="8">
        <f t="shared" si="0"/>
        <v>0</v>
      </c>
      <c r="H29" s="59"/>
      <c r="I29" s="60"/>
      <c r="J29" s="8">
        <f t="shared" si="2"/>
        <v>0</v>
      </c>
      <c r="K29" s="8">
        <f t="shared" si="3"/>
        <v>0</v>
      </c>
      <c r="L29" s="62"/>
      <c r="M29" s="62">
        <f t="shared" si="1"/>
        <v>65325.849520000076</v>
      </c>
      <c r="N29" s="181"/>
    </row>
    <row r="30" spans="1:14">
      <c r="A30" s="40">
        <v>27</v>
      </c>
      <c r="B30" s="304">
        <v>46322</v>
      </c>
      <c r="C30" s="61"/>
      <c r="D30" s="300"/>
      <c r="E30" s="14"/>
      <c r="F30" s="14"/>
      <c r="G30" s="8">
        <f t="shared" si="0"/>
        <v>0</v>
      </c>
      <c r="H30" s="59"/>
      <c r="I30" s="60"/>
      <c r="J30" s="8">
        <f t="shared" si="2"/>
        <v>0</v>
      </c>
      <c r="K30" s="8">
        <f t="shared" si="3"/>
        <v>0</v>
      </c>
      <c r="L30" s="62"/>
      <c r="M30" s="62">
        <f t="shared" si="1"/>
        <v>65325.849520000076</v>
      </c>
      <c r="N30" s="181"/>
    </row>
    <row r="31" spans="1:14">
      <c r="A31" s="184">
        <v>28</v>
      </c>
      <c r="B31" s="304">
        <v>46323</v>
      </c>
      <c r="C31" s="61"/>
      <c r="D31" s="148"/>
      <c r="E31" s="14"/>
      <c r="F31" s="14"/>
      <c r="G31" s="16">
        <f t="shared" si="0"/>
        <v>0</v>
      </c>
      <c r="H31" s="59"/>
      <c r="I31" s="60"/>
      <c r="J31" s="16">
        <f t="shared" si="2"/>
        <v>0</v>
      </c>
      <c r="K31" s="16">
        <f t="shared" si="3"/>
        <v>0</v>
      </c>
      <c r="L31" s="123"/>
      <c r="M31" s="62">
        <f t="shared" si="1"/>
        <v>65325.849520000076</v>
      </c>
      <c r="N31" s="8"/>
    </row>
    <row r="32" spans="1:14">
      <c r="A32" s="184">
        <v>29</v>
      </c>
      <c r="B32" s="304">
        <v>46324</v>
      </c>
      <c r="C32" s="61"/>
      <c r="D32" s="148"/>
      <c r="E32" s="14"/>
      <c r="F32" s="14"/>
      <c r="G32" s="8">
        <f t="shared" si="0"/>
        <v>0</v>
      </c>
      <c r="H32" s="59"/>
      <c r="I32" s="60"/>
      <c r="J32" s="8">
        <f t="shared" si="2"/>
        <v>0</v>
      </c>
      <c r="K32" s="8">
        <f t="shared" si="3"/>
        <v>0</v>
      </c>
      <c r="L32" s="62"/>
      <c r="M32" s="62">
        <f t="shared" si="1"/>
        <v>65325.849520000076</v>
      </c>
      <c r="N32" s="8"/>
    </row>
    <row r="33" spans="1:14">
      <c r="A33" s="40">
        <v>30</v>
      </c>
      <c r="B33" s="304">
        <v>46325</v>
      </c>
      <c r="C33" s="61"/>
      <c r="D33" s="148"/>
      <c r="E33" s="148"/>
      <c r="F33" s="14"/>
      <c r="G33" s="8">
        <f t="shared" si="0"/>
        <v>0</v>
      </c>
      <c r="H33" s="59"/>
      <c r="I33" s="60"/>
      <c r="J33" s="8">
        <f t="shared" si="2"/>
        <v>0</v>
      </c>
      <c r="K33" s="8">
        <f t="shared" si="3"/>
        <v>0</v>
      </c>
      <c r="L33" s="62"/>
      <c r="M33" s="62">
        <f t="shared" si="1"/>
        <v>65325.849520000076</v>
      </c>
      <c r="N33" s="8"/>
    </row>
    <row r="34" spans="1:14">
      <c r="A34" s="184">
        <v>31</v>
      </c>
      <c r="B34" s="304">
        <v>46326</v>
      </c>
      <c r="C34" s="61"/>
      <c r="D34" s="148"/>
      <c r="E34" s="14"/>
      <c r="F34" s="14"/>
      <c r="G34" s="8">
        <f t="shared" si="0"/>
        <v>0</v>
      </c>
      <c r="H34" s="59"/>
      <c r="I34" s="60"/>
      <c r="J34" s="8">
        <f t="shared" si="2"/>
        <v>0</v>
      </c>
      <c r="K34" s="8">
        <f t="shared" si="3"/>
        <v>0</v>
      </c>
      <c r="L34" s="62"/>
      <c r="M34" s="62">
        <f t="shared" si="1"/>
        <v>65325.849520000076</v>
      </c>
      <c r="N34" s="8"/>
    </row>
    <row r="35" spans="1:14">
      <c r="A35" s="184">
        <v>32</v>
      </c>
      <c r="B35" s="207"/>
      <c r="C35" s="61"/>
      <c r="D35" s="148"/>
      <c r="E35" s="14"/>
      <c r="F35" s="14"/>
      <c r="G35" s="8">
        <f t="shared" si="0"/>
        <v>0</v>
      </c>
      <c r="H35" s="59"/>
      <c r="I35" s="60"/>
      <c r="J35" s="8">
        <f t="shared" si="2"/>
        <v>0</v>
      </c>
      <c r="K35" s="8">
        <f t="shared" si="3"/>
        <v>0</v>
      </c>
      <c r="L35" s="62"/>
      <c r="M35" s="62">
        <f t="shared" si="1"/>
        <v>65325.849520000076</v>
      </c>
      <c r="N35" s="8"/>
    </row>
    <row r="36" spans="1:14">
      <c r="A36" s="40">
        <v>33</v>
      </c>
      <c r="B36" s="207"/>
      <c r="C36" s="61"/>
      <c r="D36" s="148"/>
      <c r="E36" s="242"/>
      <c r="F36" s="14"/>
      <c r="G36" s="8">
        <f t="shared" si="0"/>
        <v>0</v>
      </c>
      <c r="H36" s="59"/>
      <c r="I36" s="60"/>
      <c r="J36" s="8">
        <f t="shared" si="2"/>
        <v>0</v>
      </c>
      <c r="K36" s="8">
        <f t="shared" si="3"/>
        <v>0</v>
      </c>
      <c r="L36" s="62"/>
      <c r="M36" s="62">
        <f t="shared" si="1"/>
        <v>65325.849520000076</v>
      </c>
      <c r="N36" s="8"/>
    </row>
    <row r="37" spans="1:14">
      <c r="A37" s="56"/>
      <c r="B37" s="56"/>
      <c r="C37" s="56"/>
      <c r="D37" s="56"/>
      <c r="E37" s="243">
        <f>SUM(E4:E36)</f>
        <v>2274.37</v>
      </c>
      <c r="F37" s="243"/>
      <c r="G37" s="57">
        <f>SUM(G4:G36)</f>
        <v>238081.05160000001</v>
      </c>
      <c r="H37" s="57">
        <f>SUM(H4:H36)</f>
        <v>426</v>
      </c>
      <c r="I37" s="57"/>
      <c r="J37" s="57">
        <f>SUM(J4:J36)</f>
        <v>49824.959999999992</v>
      </c>
      <c r="K37" s="57">
        <f>SUM(K4:K36)</f>
        <v>287906.01159999997</v>
      </c>
      <c r="L37" s="57">
        <f>SUM(L4:L36)</f>
        <v>338000</v>
      </c>
      <c r="M37" s="57"/>
      <c r="N37" s="57"/>
    </row>
  </sheetData>
  <mergeCells count="2">
    <mergeCell ref="A1:N1"/>
    <mergeCell ref="A3:L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226B-5794-4F74-A46A-3888E697DF3B}">
  <sheetPr>
    <tabColor rgb="FFFFC000"/>
  </sheetPr>
  <dimension ref="A1:N35"/>
  <sheetViews>
    <sheetView topLeftCell="A5" workbookViewId="0">
      <selection activeCell="L19" sqref="L19"/>
    </sheetView>
  </sheetViews>
  <sheetFormatPr defaultColWidth="14.7109375" defaultRowHeight="15"/>
  <sheetData>
    <row r="1" spans="1:14" ht="15.75">
      <c r="A1" s="627" t="s">
        <v>198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</row>
    <row r="2" spans="1:14" ht="27">
      <c r="A2" s="81" t="s">
        <v>0</v>
      </c>
      <c r="B2" s="82" t="s">
        <v>167</v>
      </c>
      <c r="C2" s="82" t="s">
        <v>168</v>
      </c>
      <c r="D2" s="82" t="s">
        <v>169</v>
      </c>
      <c r="E2" s="82" t="s">
        <v>170</v>
      </c>
      <c r="F2" s="82" t="s">
        <v>171</v>
      </c>
      <c r="G2" s="82" t="s">
        <v>172</v>
      </c>
      <c r="H2" s="82" t="s">
        <v>173</v>
      </c>
      <c r="I2" s="82" t="s">
        <v>171</v>
      </c>
      <c r="J2" s="105" t="s">
        <v>172</v>
      </c>
      <c r="K2" s="107" t="s">
        <v>174</v>
      </c>
      <c r="L2" s="108" t="s">
        <v>175</v>
      </c>
      <c r="M2" s="109" t="s">
        <v>190</v>
      </c>
      <c r="N2" s="83" t="s">
        <v>177</v>
      </c>
    </row>
    <row r="3" spans="1:14">
      <c r="A3" s="620" t="s">
        <v>178</v>
      </c>
      <c r="B3" s="621"/>
      <c r="C3" s="618"/>
      <c r="D3" s="618"/>
      <c r="E3" s="618"/>
      <c r="F3" s="618"/>
      <c r="G3" s="618"/>
      <c r="H3" s="618"/>
      <c r="I3" s="618"/>
      <c r="J3" s="625"/>
      <c r="K3" s="188"/>
      <c r="L3" s="191"/>
      <c r="M3" s="188">
        <v>14216.93</v>
      </c>
      <c r="N3" s="191"/>
    </row>
    <row r="4" spans="1:14">
      <c r="A4" s="23">
        <v>1</v>
      </c>
      <c r="B4" s="24">
        <v>45931</v>
      </c>
      <c r="C4" s="100"/>
      <c r="D4" s="100"/>
      <c r="E4" s="33">
        <v>30</v>
      </c>
      <c r="F4" s="33">
        <v>105.59</v>
      </c>
      <c r="G4" s="33">
        <f>E4*F4</f>
        <v>3167.7000000000003</v>
      </c>
      <c r="H4" s="187">
        <v>9</v>
      </c>
      <c r="I4" s="187">
        <v>117.98</v>
      </c>
      <c r="J4" s="33">
        <f>H4*I4</f>
        <v>1061.82</v>
      </c>
      <c r="K4" s="33">
        <f>G4+J4</f>
        <v>4229.5200000000004</v>
      </c>
      <c r="L4" s="191"/>
      <c r="M4" s="188">
        <f>M3+K4-L4</f>
        <v>18446.45</v>
      </c>
      <c r="N4" s="33"/>
    </row>
    <row r="5" spans="1:14">
      <c r="A5" s="23">
        <v>2</v>
      </c>
      <c r="B5" s="24">
        <v>45932</v>
      </c>
      <c r="C5" s="100"/>
      <c r="D5" s="100"/>
      <c r="E5" s="33"/>
      <c r="F5" s="33"/>
      <c r="G5" s="33">
        <f t="shared" ref="G5:G34" si="0">E5*F5</f>
        <v>0</v>
      </c>
      <c r="H5" s="187"/>
      <c r="I5" s="187"/>
      <c r="J5" s="33">
        <f t="shared" ref="J5:J34" si="1">H5*I5</f>
        <v>0</v>
      </c>
      <c r="K5" s="33">
        <f t="shared" ref="K5:K34" si="2">G5+J5</f>
        <v>0</v>
      </c>
      <c r="L5" s="191"/>
      <c r="M5" s="188">
        <f>M4+K5-L5</f>
        <v>18446.45</v>
      </c>
      <c r="N5" s="33"/>
    </row>
    <row r="6" spans="1:14">
      <c r="A6" s="23">
        <v>3</v>
      </c>
      <c r="B6" s="24">
        <v>45933</v>
      </c>
      <c r="C6" s="100"/>
      <c r="D6" s="100"/>
      <c r="E6" s="33"/>
      <c r="F6" s="33"/>
      <c r="G6" s="33">
        <f t="shared" si="0"/>
        <v>0</v>
      </c>
      <c r="H6" s="187">
        <v>4</v>
      </c>
      <c r="I6" s="187">
        <v>117.98</v>
      </c>
      <c r="J6" s="33">
        <f t="shared" si="1"/>
        <v>471.92</v>
      </c>
      <c r="K6" s="33">
        <f t="shared" si="2"/>
        <v>471.92</v>
      </c>
      <c r="L6" s="191"/>
      <c r="M6" s="188">
        <f>M5+K6-L6</f>
        <v>18918.37</v>
      </c>
      <c r="N6" s="33"/>
    </row>
    <row r="7" spans="1:14">
      <c r="A7" s="23">
        <v>4</v>
      </c>
      <c r="B7" s="24">
        <v>45934</v>
      </c>
      <c r="C7" s="100"/>
      <c r="D7" s="100"/>
      <c r="E7" s="33">
        <v>80</v>
      </c>
      <c r="F7" s="33">
        <v>105.59</v>
      </c>
      <c r="G7" s="33">
        <f t="shared" si="0"/>
        <v>8447.2000000000007</v>
      </c>
      <c r="H7" s="187">
        <v>4</v>
      </c>
      <c r="I7" s="187">
        <v>117.98</v>
      </c>
      <c r="J7" s="33">
        <f t="shared" si="1"/>
        <v>471.92</v>
      </c>
      <c r="K7" s="33">
        <f t="shared" si="2"/>
        <v>8919.1200000000008</v>
      </c>
      <c r="L7" s="191"/>
      <c r="M7" s="188">
        <f>M6+K7-L7</f>
        <v>27837.489999999998</v>
      </c>
      <c r="N7" s="33"/>
    </row>
    <row r="8" spans="1:14">
      <c r="A8" s="23">
        <v>5</v>
      </c>
      <c r="B8" s="24">
        <v>45935</v>
      </c>
      <c r="C8" s="100"/>
      <c r="D8" s="100"/>
      <c r="E8" s="33">
        <v>430</v>
      </c>
      <c r="F8" s="33">
        <v>105.59</v>
      </c>
      <c r="G8" s="33">
        <f t="shared" si="0"/>
        <v>45403.700000000004</v>
      </c>
      <c r="H8" s="187">
        <v>59</v>
      </c>
      <c r="I8" s="187">
        <v>117.98</v>
      </c>
      <c r="J8" s="33">
        <f t="shared" si="1"/>
        <v>6960.8200000000006</v>
      </c>
      <c r="K8" s="33">
        <f t="shared" si="2"/>
        <v>52364.520000000004</v>
      </c>
      <c r="L8" s="191"/>
      <c r="M8" s="188">
        <f>M7+K8-L8</f>
        <v>80202.010000000009</v>
      </c>
      <c r="N8" s="33"/>
    </row>
    <row r="9" spans="1:14">
      <c r="A9" s="23">
        <v>6</v>
      </c>
      <c r="B9" s="24">
        <v>45936</v>
      </c>
      <c r="C9" s="100"/>
      <c r="D9" s="100"/>
      <c r="E9" s="33">
        <v>460</v>
      </c>
      <c r="F9" s="33">
        <v>105.59</v>
      </c>
      <c r="G9" s="33">
        <f t="shared" si="0"/>
        <v>48571.4</v>
      </c>
      <c r="H9" s="187">
        <v>40</v>
      </c>
      <c r="I9" s="187">
        <v>117.98</v>
      </c>
      <c r="J9" s="33">
        <f t="shared" si="1"/>
        <v>4719.2</v>
      </c>
      <c r="K9" s="33">
        <f t="shared" si="2"/>
        <v>53290.6</v>
      </c>
      <c r="L9" s="191"/>
      <c r="M9" s="188">
        <f t="shared" ref="M9:M33" si="3">M8+K9-L9</f>
        <v>133492.61000000002</v>
      </c>
      <c r="N9" s="33"/>
    </row>
    <row r="10" spans="1:14">
      <c r="A10" s="23">
        <v>7</v>
      </c>
      <c r="B10" s="24">
        <v>45937</v>
      </c>
      <c r="C10" s="100"/>
      <c r="D10" s="100"/>
      <c r="E10" s="33">
        <v>400</v>
      </c>
      <c r="F10" s="33">
        <v>105.59</v>
      </c>
      <c r="G10" s="33">
        <f t="shared" si="0"/>
        <v>42236</v>
      </c>
      <c r="H10" s="187">
        <v>65</v>
      </c>
      <c r="I10" s="187">
        <v>117.98</v>
      </c>
      <c r="J10" s="33">
        <f t="shared" si="1"/>
        <v>7668.7</v>
      </c>
      <c r="K10" s="33">
        <f t="shared" si="2"/>
        <v>49904.7</v>
      </c>
      <c r="L10" s="191"/>
      <c r="M10" s="188">
        <f t="shared" si="3"/>
        <v>183397.31</v>
      </c>
      <c r="N10" s="33"/>
    </row>
    <row r="11" spans="1:14">
      <c r="A11" s="23">
        <v>8</v>
      </c>
      <c r="B11" s="24">
        <v>45938</v>
      </c>
      <c r="C11" s="100"/>
      <c r="D11" s="100"/>
      <c r="E11" s="33">
        <v>45.41</v>
      </c>
      <c r="F11" s="33">
        <v>105.59</v>
      </c>
      <c r="G11" s="33">
        <f t="shared" si="0"/>
        <v>4794.8418999999994</v>
      </c>
      <c r="H11" s="187"/>
      <c r="I11" s="187"/>
      <c r="J11" s="33">
        <f t="shared" si="1"/>
        <v>0</v>
      </c>
      <c r="K11" s="33">
        <f t="shared" si="2"/>
        <v>4794.8418999999994</v>
      </c>
      <c r="L11" s="191"/>
      <c r="M11" s="188">
        <f t="shared" si="3"/>
        <v>188192.1519</v>
      </c>
      <c r="N11" s="33"/>
    </row>
    <row r="12" spans="1:14">
      <c r="A12" s="23">
        <v>9</v>
      </c>
      <c r="B12" s="24">
        <v>45939</v>
      </c>
      <c r="C12" s="100"/>
      <c r="D12" s="100"/>
      <c r="E12" s="33">
        <v>680</v>
      </c>
      <c r="F12" s="33">
        <v>105.59</v>
      </c>
      <c r="G12" s="33">
        <f t="shared" si="0"/>
        <v>71801.2</v>
      </c>
      <c r="H12" s="187">
        <v>30</v>
      </c>
      <c r="I12" s="187">
        <v>117.98</v>
      </c>
      <c r="J12" s="33">
        <f t="shared" si="1"/>
        <v>3539.4</v>
      </c>
      <c r="K12" s="33">
        <f t="shared" si="2"/>
        <v>75340.599999999991</v>
      </c>
      <c r="L12" s="191"/>
      <c r="M12" s="188">
        <f t="shared" si="3"/>
        <v>263532.75189999997</v>
      </c>
      <c r="N12" s="33"/>
    </row>
    <row r="13" spans="1:14">
      <c r="A13" s="23">
        <v>10</v>
      </c>
      <c r="B13" s="24">
        <v>45940</v>
      </c>
      <c r="C13" s="100"/>
      <c r="D13" s="100"/>
      <c r="E13" s="33"/>
      <c r="F13" s="33"/>
      <c r="G13" s="33">
        <f t="shared" si="0"/>
        <v>0</v>
      </c>
      <c r="H13" s="187"/>
      <c r="I13" s="187"/>
      <c r="J13" s="33">
        <f t="shared" si="1"/>
        <v>0</v>
      </c>
      <c r="K13" s="33">
        <f t="shared" si="2"/>
        <v>0</v>
      </c>
      <c r="L13" s="191"/>
      <c r="M13" s="188">
        <f t="shared" si="3"/>
        <v>263532.75189999997</v>
      </c>
      <c r="N13" s="33"/>
    </row>
    <row r="14" spans="1:14">
      <c r="A14" s="23">
        <v>11</v>
      </c>
      <c r="B14" s="24">
        <v>45941</v>
      </c>
      <c r="C14" s="100"/>
      <c r="D14" s="100"/>
      <c r="E14" s="33"/>
      <c r="F14" s="33"/>
      <c r="G14" s="33">
        <f t="shared" si="0"/>
        <v>0</v>
      </c>
      <c r="H14" s="187"/>
      <c r="I14" s="187"/>
      <c r="J14" s="33">
        <f t="shared" si="1"/>
        <v>0</v>
      </c>
      <c r="K14" s="33">
        <f t="shared" si="2"/>
        <v>0</v>
      </c>
      <c r="L14" s="191"/>
      <c r="M14" s="188">
        <f t="shared" si="3"/>
        <v>263532.75189999997</v>
      </c>
      <c r="N14" s="33"/>
    </row>
    <row r="15" spans="1:14">
      <c r="A15" s="23">
        <v>12</v>
      </c>
      <c r="B15" s="24">
        <v>45942</v>
      </c>
      <c r="C15" s="100"/>
      <c r="D15" s="100"/>
      <c r="E15" s="33">
        <v>30</v>
      </c>
      <c r="F15" s="33">
        <v>105.59</v>
      </c>
      <c r="G15" s="33">
        <f t="shared" si="0"/>
        <v>3167.7000000000003</v>
      </c>
      <c r="H15" s="187">
        <v>4</v>
      </c>
      <c r="I15" s="187">
        <v>117.98</v>
      </c>
      <c r="J15" s="33">
        <f t="shared" si="1"/>
        <v>471.92</v>
      </c>
      <c r="K15" s="33">
        <f t="shared" si="2"/>
        <v>3639.6200000000003</v>
      </c>
      <c r="L15" s="191"/>
      <c r="M15" s="188">
        <f t="shared" si="3"/>
        <v>267172.37189999997</v>
      </c>
      <c r="N15" s="33"/>
    </row>
    <row r="16" spans="1:14">
      <c r="A16" s="23">
        <v>13</v>
      </c>
      <c r="B16" s="24">
        <v>45943</v>
      </c>
      <c r="C16" s="100"/>
      <c r="D16" s="100"/>
      <c r="E16" s="33">
        <v>430</v>
      </c>
      <c r="F16" s="33">
        <v>105.59</v>
      </c>
      <c r="G16" s="33">
        <f t="shared" si="0"/>
        <v>45403.700000000004</v>
      </c>
      <c r="H16" s="187">
        <v>20</v>
      </c>
      <c r="I16" s="187">
        <v>117.98</v>
      </c>
      <c r="J16" s="33">
        <f t="shared" si="1"/>
        <v>2359.6</v>
      </c>
      <c r="K16" s="33">
        <f t="shared" si="2"/>
        <v>47763.3</v>
      </c>
      <c r="L16" s="191"/>
      <c r="M16" s="188">
        <f t="shared" si="3"/>
        <v>314935.67189999996</v>
      </c>
      <c r="N16" s="33"/>
    </row>
    <row r="17" spans="1:14">
      <c r="A17" s="23">
        <v>14</v>
      </c>
      <c r="B17" s="24">
        <v>45944</v>
      </c>
      <c r="C17" s="100"/>
      <c r="D17" s="100"/>
      <c r="E17" s="33">
        <v>200</v>
      </c>
      <c r="F17" s="33">
        <v>105.59</v>
      </c>
      <c r="G17" s="33">
        <f t="shared" si="0"/>
        <v>21118</v>
      </c>
      <c r="H17" s="187">
        <v>39</v>
      </c>
      <c r="I17" s="187">
        <v>117.98</v>
      </c>
      <c r="J17" s="33">
        <f t="shared" si="1"/>
        <v>4601.22</v>
      </c>
      <c r="K17" s="33">
        <f t="shared" si="2"/>
        <v>25719.22</v>
      </c>
      <c r="L17" s="191"/>
      <c r="M17" s="188">
        <f t="shared" si="3"/>
        <v>340654.89189999993</v>
      </c>
      <c r="N17" s="33"/>
    </row>
    <row r="18" spans="1:14">
      <c r="A18" s="23">
        <v>15</v>
      </c>
      <c r="B18" s="24">
        <v>45945</v>
      </c>
      <c r="C18" s="100"/>
      <c r="D18" s="100"/>
      <c r="E18" s="33">
        <v>40</v>
      </c>
      <c r="F18" s="33">
        <v>105.59</v>
      </c>
      <c r="G18" s="33">
        <f t="shared" si="0"/>
        <v>4223.6000000000004</v>
      </c>
      <c r="H18" s="187">
        <v>14</v>
      </c>
      <c r="I18" s="187">
        <v>117.98</v>
      </c>
      <c r="J18" s="33">
        <f t="shared" si="1"/>
        <v>1651.72</v>
      </c>
      <c r="K18" s="33">
        <f t="shared" si="2"/>
        <v>5875.3200000000006</v>
      </c>
      <c r="L18" s="191">
        <v>241000</v>
      </c>
      <c r="M18" s="188">
        <f t="shared" si="3"/>
        <v>105530.21189999994</v>
      </c>
      <c r="N18" s="33"/>
    </row>
    <row r="19" spans="1:14">
      <c r="A19" s="23">
        <v>16</v>
      </c>
      <c r="B19" s="24">
        <v>45946</v>
      </c>
      <c r="C19" s="100"/>
      <c r="D19" s="100"/>
      <c r="E19" s="33"/>
      <c r="F19" s="33"/>
      <c r="G19" s="33">
        <f t="shared" si="0"/>
        <v>0</v>
      </c>
      <c r="H19" s="187"/>
      <c r="I19" s="187"/>
      <c r="J19" s="33">
        <f t="shared" si="1"/>
        <v>0</v>
      </c>
      <c r="K19" s="33">
        <f t="shared" si="2"/>
        <v>0</v>
      </c>
      <c r="L19" s="191"/>
      <c r="M19" s="188">
        <f t="shared" si="3"/>
        <v>105530.21189999994</v>
      </c>
      <c r="N19" s="33"/>
    </row>
    <row r="20" spans="1:14">
      <c r="A20" s="23">
        <v>17</v>
      </c>
      <c r="B20" s="24">
        <v>45947</v>
      </c>
      <c r="C20" s="100"/>
      <c r="D20" s="100"/>
      <c r="E20" s="33"/>
      <c r="F20" s="33"/>
      <c r="G20" s="33">
        <f t="shared" si="0"/>
        <v>0</v>
      </c>
      <c r="H20" s="187"/>
      <c r="I20" s="187"/>
      <c r="J20" s="33">
        <f t="shared" si="1"/>
        <v>0</v>
      </c>
      <c r="K20" s="33">
        <f t="shared" si="2"/>
        <v>0</v>
      </c>
      <c r="L20" s="191"/>
      <c r="M20" s="188">
        <f t="shared" si="3"/>
        <v>105530.21189999994</v>
      </c>
      <c r="N20" s="33"/>
    </row>
    <row r="21" spans="1:14">
      <c r="A21" s="23">
        <v>18</v>
      </c>
      <c r="B21" s="24">
        <v>45948</v>
      </c>
      <c r="C21" s="100"/>
      <c r="D21" s="100"/>
      <c r="E21" s="33"/>
      <c r="F21" s="33"/>
      <c r="G21" s="33">
        <f t="shared" si="0"/>
        <v>0</v>
      </c>
      <c r="H21" s="187"/>
      <c r="I21" s="187"/>
      <c r="J21" s="33">
        <f t="shared" si="1"/>
        <v>0</v>
      </c>
      <c r="K21" s="33">
        <f t="shared" si="2"/>
        <v>0</v>
      </c>
      <c r="L21" s="191"/>
      <c r="M21" s="188">
        <f t="shared" si="3"/>
        <v>105530.21189999994</v>
      </c>
      <c r="N21" s="33"/>
    </row>
    <row r="22" spans="1:14">
      <c r="A22" s="23">
        <v>19</v>
      </c>
      <c r="B22" s="24">
        <v>45949</v>
      </c>
      <c r="C22" s="100"/>
      <c r="D22" s="100"/>
      <c r="E22" s="33"/>
      <c r="F22" s="33"/>
      <c r="G22" s="33"/>
      <c r="H22" s="187">
        <v>0</v>
      </c>
      <c r="I22" s="187">
        <v>0</v>
      </c>
      <c r="J22" s="33">
        <f t="shared" si="1"/>
        <v>0</v>
      </c>
      <c r="K22" s="33">
        <f t="shared" si="2"/>
        <v>0</v>
      </c>
      <c r="L22" s="191"/>
      <c r="M22" s="188">
        <f t="shared" si="3"/>
        <v>105530.21189999994</v>
      </c>
      <c r="N22" s="33"/>
    </row>
    <row r="23" spans="1:14">
      <c r="A23" s="23">
        <v>20</v>
      </c>
      <c r="B23" s="24">
        <v>45950</v>
      </c>
      <c r="C23" s="100"/>
      <c r="D23" s="100"/>
      <c r="E23" s="33"/>
      <c r="F23" s="33"/>
      <c r="G23" s="33"/>
      <c r="H23" s="187">
        <v>0</v>
      </c>
      <c r="I23" s="187">
        <v>0</v>
      </c>
      <c r="J23" s="33">
        <f t="shared" si="1"/>
        <v>0</v>
      </c>
      <c r="K23" s="33">
        <f t="shared" si="2"/>
        <v>0</v>
      </c>
      <c r="L23" s="191"/>
      <c r="M23" s="188">
        <f t="shared" si="3"/>
        <v>105530.21189999994</v>
      </c>
      <c r="N23" s="33"/>
    </row>
    <row r="24" spans="1:14">
      <c r="A24" s="23">
        <v>21</v>
      </c>
      <c r="B24" s="24">
        <v>45951</v>
      </c>
      <c r="C24" s="100"/>
      <c r="D24" s="100"/>
      <c r="E24" s="33"/>
      <c r="F24" s="33"/>
      <c r="G24" s="33"/>
      <c r="H24" s="187"/>
      <c r="I24" s="187"/>
      <c r="J24" s="33">
        <f t="shared" si="1"/>
        <v>0</v>
      </c>
      <c r="K24" s="33">
        <f t="shared" si="2"/>
        <v>0</v>
      </c>
      <c r="L24" s="191"/>
      <c r="M24" s="188">
        <f t="shared" si="3"/>
        <v>105530.21189999994</v>
      </c>
      <c r="N24" s="33"/>
    </row>
    <row r="25" spans="1:14">
      <c r="A25" s="23">
        <v>22</v>
      </c>
      <c r="B25" s="24">
        <v>45952</v>
      </c>
      <c r="C25" s="100"/>
      <c r="D25" s="100"/>
      <c r="E25" s="33"/>
      <c r="F25" s="33"/>
      <c r="G25" s="33"/>
      <c r="H25" s="187"/>
      <c r="I25" s="187"/>
      <c r="J25" s="33">
        <f t="shared" si="1"/>
        <v>0</v>
      </c>
      <c r="K25" s="33">
        <f t="shared" si="2"/>
        <v>0</v>
      </c>
      <c r="L25" s="191"/>
      <c r="M25" s="188">
        <f t="shared" si="3"/>
        <v>105530.21189999994</v>
      </c>
      <c r="N25" s="33"/>
    </row>
    <row r="26" spans="1:14">
      <c r="A26" s="23">
        <v>23</v>
      </c>
      <c r="B26" s="24">
        <v>45953</v>
      </c>
      <c r="C26" s="100"/>
      <c r="D26" s="100"/>
      <c r="E26" s="33"/>
      <c r="F26" s="33"/>
      <c r="G26" s="33"/>
      <c r="H26" s="187"/>
      <c r="I26" s="187"/>
      <c r="J26" s="33">
        <f t="shared" si="1"/>
        <v>0</v>
      </c>
      <c r="K26" s="33">
        <f t="shared" si="2"/>
        <v>0</v>
      </c>
      <c r="L26" s="191"/>
      <c r="M26" s="188">
        <f t="shared" si="3"/>
        <v>105530.21189999994</v>
      </c>
      <c r="N26" s="33"/>
    </row>
    <row r="27" spans="1:14">
      <c r="A27" s="23">
        <v>24</v>
      </c>
      <c r="B27" s="24">
        <v>45954</v>
      </c>
      <c r="C27" s="100"/>
      <c r="D27" s="100"/>
      <c r="E27" s="33"/>
      <c r="F27" s="33"/>
      <c r="G27" s="33"/>
      <c r="H27" s="187"/>
      <c r="I27" s="187"/>
      <c r="J27" s="33">
        <f t="shared" si="1"/>
        <v>0</v>
      </c>
      <c r="K27" s="33">
        <f t="shared" si="2"/>
        <v>0</v>
      </c>
      <c r="L27" s="191"/>
      <c r="M27" s="188">
        <f t="shared" si="3"/>
        <v>105530.21189999994</v>
      </c>
      <c r="N27" s="33"/>
    </row>
    <row r="28" spans="1:14">
      <c r="A28" s="23">
        <v>25</v>
      </c>
      <c r="B28" s="24">
        <v>45955</v>
      </c>
      <c r="C28" s="100"/>
      <c r="D28" s="100"/>
      <c r="E28" s="33"/>
      <c r="F28" s="33"/>
      <c r="G28" s="33"/>
      <c r="H28" s="187"/>
      <c r="I28" s="187"/>
      <c r="J28" s="33">
        <f t="shared" si="1"/>
        <v>0</v>
      </c>
      <c r="K28" s="33">
        <f t="shared" si="2"/>
        <v>0</v>
      </c>
      <c r="L28" s="191"/>
      <c r="M28" s="188">
        <f>M27+K28-L28</f>
        <v>105530.21189999994</v>
      </c>
      <c r="N28" s="33"/>
    </row>
    <row r="29" spans="1:14">
      <c r="A29" s="23">
        <v>26</v>
      </c>
      <c r="B29" s="24">
        <v>45956</v>
      </c>
      <c r="C29" s="100"/>
      <c r="D29" s="100"/>
      <c r="E29" s="33"/>
      <c r="F29" s="33"/>
      <c r="G29" s="33"/>
      <c r="H29" s="187"/>
      <c r="I29" s="187"/>
      <c r="J29" s="33">
        <f t="shared" si="1"/>
        <v>0</v>
      </c>
      <c r="K29" s="33">
        <f t="shared" si="2"/>
        <v>0</v>
      </c>
      <c r="L29" s="191"/>
      <c r="M29" s="188">
        <f t="shared" si="3"/>
        <v>105530.21189999994</v>
      </c>
      <c r="N29" s="33"/>
    </row>
    <row r="30" spans="1:14">
      <c r="A30" s="23">
        <v>27</v>
      </c>
      <c r="B30" s="24">
        <v>45957</v>
      </c>
      <c r="C30" s="100"/>
      <c r="D30" s="100"/>
      <c r="E30" s="33"/>
      <c r="F30" s="33"/>
      <c r="G30" s="33"/>
      <c r="H30" s="187"/>
      <c r="I30" s="187"/>
      <c r="J30" s="33">
        <f t="shared" si="1"/>
        <v>0</v>
      </c>
      <c r="K30" s="33">
        <f t="shared" si="2"/>
        <v>0</v>
      </c>
      <c r="L30" s="191"/>
      <c r="M30" s="188">
        <f t="shared" si="3"/>
        <v>105530.21189999994</v>
      </c>
      <c r="N30" s="33"/>
    </row>
    <row r="31" spans="1:14">
      <c r="A31" s="23">
        <v>28</v>
      </c>
      <c r="B31" s="24">
        <v>45958</v>
      </c>
      <c r="C31" s="100"/>
      <c r="D31" s="100"/>
      <c r="E31" s="33"/>
      <c r="F31" s="33"/>
      <c r="G31" s="33"/>
      <c r="H31" s="187"/>
      <c r="I31" s="187"/>
      <c r="J31" s="33">
        <f t="shared" si="1"/>
        <v>0</v>
      </c>
      <c r="K31" s="33">
        <f t="shared" si="2"/>
        <v>0</v>
      </c>
      <c r="L31" s="191"/>
      <c r="M31" s="188">
        <f t="shared" si="3"/>
        <v>105530.21189999994</v>
      </c>
      <c r="N31" s="33"/>
    </row>
    <row r="32" spans="1:14">
      <c r="A32" s="23">
        <v>29</v>
      </c>
      <c r="B32" s="24">
        <v>45959</v>
      </c>
      <c r="C32" s="100"/>
      <c r="D32" s="100"/>
      <c r="E32" s="33"/>
      <c r="F32" s="33"/>
      <c r="G32" s="33">
        <f t="shared" ref="G32" si="4">E32*F32</f>
        <v>0</v>
      </c>
      <c r="H32" s="187"/>
      <c r="I32" s="187"/>
      <c r="J32" s="33">
        <f t="shared" si="1"/>
        <v>0</v>
      </c>
      <c r="K32" s="33">
        <f t="shared" si="2"/>
        <v>0</v>
      </c>
      <c r="L32" s="191"/>
      <c r="M32" s="188">
        <f t="shared" si="3"/>
        <v>105530.21189999994</v>
      </c>
      <c r="N32" s="204"/>
    </row>
    <row r="33" spans="1:14">
      <c r="A33" s="23">
        <v>30</v>
      </c>
      <c r="B33" s="24">
        <v>45960</v>
      </c>
      <c r="C33" s="100"/>
      <c r="D33" s="100"/>
      <c r="E33" s="33"/>
      <c r="F33" s="33"/>
      <c r="G33" s="33">
        <f t="shared" si="0"/>
        <v>0</v>
      </c>
      <c r="H33" s="187"/>
      <c r="I33" s="187"/>
      <c r="J33" s="33">
        <f t="shared" si="1"/>
        <v>0</v>
      </c>
      <c r="K33" s="33">
        <f t="shared" si="2"/>
        <v>0</v>
      </c>
      <c r="L33" s="191"/>
      <c r="M33" s="188">
        <f t="shared" si="3"/>
        <v>105530.21189999994</v>
      </c>
      <c r="N33" s="204"/>
    </row>
    <row r="34" spans="1:14">
      <c r="A34" s="23">
        <v>31</v>
      </c>
      <c r="B34" s="24"/>
      <c r="C34" s="100"/>
      <c r="D34" s="100"/>
      <c r="E34" s="33"/>
      <c r="F34" s="33">
        <v>0</v>
      </c>
      <c r="G34" s="33">
        <f t="shared" si="0"/>
        <v>0</v>
      </c>
      <c r="H34" s="187"/>
      <c r="I34" s="187"/>
      <c r="J34" s="33">
        <f t="shared" si="1"/>
        <v>0</v>
      </c>
      <c r="K34" s="33">
        <f t="shared" si="2"/>
        <v>0</v>
      </c>
      <c r="L34" s="191"/>
      <c r="M34" s="204"/>
      <c r="N34" s="204"/>
    </row>
    <row r="35" spans="1:14">
      <c r="A35" s="36"/>
      <c r="B35" s="36"/>
      <c r="C35" s="192"/>
      <c r="D35" s="192"/>
      <c r="E35" s="193">
        <f>SUM(E4:E34)</f>
        <v>2825.41</v>
      </c>
      <c r="F35" s="193"/>
      <c r="G35" s="193">
        <f>SUM(G4:G34)</f>
        <v>298335.04190000001</v>
      </c>
      <c r="H35" s="193">
        <f>SUM(H4:H34)</f>
        <v>288</v>
      </c>
      <c r="I35" s="193"/>
      <c r="J35" s="193">
        <f>SUM(J4:J34)</f>
        <v>33978.239999999998</v>
      </c>
      <c r="K35" s="193">
        <f>SUM(K4:K34)</f>
        <v>332313.2819</v>
      </c>
      <c r="L35" s="193">
        <f>SUM(L4:L31)</f>
        <v>241000</v>
      </c>
      <c r="M35" s="193"/>
      <c r="N35" s="193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6"/>
  <sheetViews>
    <sheetView workbookViewId="0">
      <pane ySplit="3" topLeftCell="A4" activePane="bottomLeft" state="frozen"/>
      <selection pane="bottomLeft" activeCell="O33" sqref="O33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623" t="s">
        <v>166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8" ht="30.75">
      <c r="A2" s="92" t="s">
        <v>0</v>
      </c>
      <c r="B2" s="93" t="s">
        <v>167</v>
      </c>
      <c r="C2" s="93" t="s">
        <v>168</v>
      </c>
      <c r="D2" s="93" t="s">
        <v>189</v>
      </c>
      <c r="E2" s="241" t="s">
        <v>170</v>
      </c>
      <c r="F2" s="241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8">
      <c r="A3" s="620" t="s">
        <v>178</v>
      </c>
      <c r="B3" s="621"/>
      <c r="C3" s="618"/>
      <c r="D3" s="618"/>
      <c r="E3" s="621"/>
      <c r="F3" s="621"/>
      <c r="G3" s="621"/>
      <c r="H3" s="621"/>
      <c r="I3" s="621"/>
      <c r="J3" s="621"/>
      <c r="K3" s="621"/>
      <c r="L3" s="622"/>
      <c r="M3" s="139">
        <v>0</v>
      </c>
      <c r="N3" s="145"/>
      <c r="O3" s="53"/>
    </row>
    <row r="4" spans="1:18">
      <c r="A4" s="184">
        <v>1</v>
      </c>
      <c r="B4" s="207">
        <v>46296</v>
      </c>
      <c r="C4" s="61"/>
      <c r="D4" s="148"/>
      <c r="E4" s="516"/>
      <c r="F4" s="242"/>
      <c r="G4" s="8">
        <f t="shared" ref="G4:G36" si="0">E4*F4</f>
        <v>0</v>
      </c>
      <c r="H4" s="59"/>
      <c r="I4" s="60"/>
      <c r="J4" s="8">
        <f>H4*I4</f>
        <v>0</v>
      </c>
      <c r="K4" s="8">
        <f>G4+J4</f>
        <v>0</v>
      </c>
      <c r="L4" s="62">
        <f>+K4</f>
        <v>0</v>
      </c>
      <c r="M4" s="62">
        <v>0</v>
      </c>
      <c r="N4" s="8"/>
    </row>
    <row r="5" spans="1:18">
      <c r="A5" s="184"/>
      <c r="B5" s="207">
        <v>46297</v>
      </c>
      <c r="C5" s="61"/>
      <c r="D5" s="148"/>
      <c r="E5" s="516"/>
      <c r="F5" s="242"/>
      <c r="G5" s="8"/>
      <c r="H5" s="59"/>
      <c r="I5" s="60"/>
      <c r="J5" s="8">
        <f>H5*I5</f>
        <v>0</v>
      </c>
      <c r="K5" s="8">
        <f>G5+J5</f>
        <v>0</v>
      </c>
      <c r="L5" s="62">
        <f>+K5</f>
        <v>0</v>
      </c>
      <c r="M5" s="62"/>
      <c r="N5" s="171"/>
    </row>
    <row r="6" spans="1:18">
      <c r="A6" s="40">
        <v>2</v>
      </c>
      <c r="B6" s="207">
        <v>46298</v>
      </c>
      <c r="C6" s="61"/>
      <c r="D6" s="14"/>
      <c r="E6" s="516"/>
      <c r="F6" s="242"/>
      <c r="G6" s="8">
        <f t="shared" si="0"/>
        <v>0</v>
      </c>
      <c r="H6" s="59"/>
      <c r="I6" s="60"/>
      <c r="J6" s="8">
        <f t="shared" ref="J6:J36" si="1">H6*I6</f>
        <v>0</v>
      </c>
      <c r="K6" s="8">
        <f t="shared" ref="K6:K36" si="2">G6+J6</f>
        <v>0</v>
      </c>
      <c r="L6" s="62">
        <f t="shared" ref="L6:L36" si="3">+K6</f>
        <v>0</v>
      </c>
      <c r="M6" s="62">
        <v>0</v>
      </c>
      <c r="N6" s="171"/>
    </row>
    <row r="7" spans="1:18">
      <c r="A7" s="40">
        <v>3</v>
      </c>
      <c r="B7" s="207">
        <v>46299</v>
      </c>
      <c r="C7" s="61"/>
      <c r="D7" s="148"/>
      <c r="E7" s="516"/>
      <c r="F7" s="242"/>
      <c r="G7" s="8">
        <f t="shared" si="0"/>
        <v>0</v>
      </c>
      <c r="H7" s="59"/>
      <c r="I7" s="60"/>
      <c r="J7" s="8">
        <f t="shared" si="1"/>
        <v>0</v>
      </c>
      <c r="K7" s="8">
        <f t="shared" si="2"/>
        <v>0</v>
      </c>
      <c r="L7" s="62">
        <f t="shared" si="3"/>
        <v>0</v>
      </c>
      <c r="M7" s="343">
        <v>0</v>
      </c>
      <c r="N7" s="14"/>
    </row>
    <row r="8" spans="1:18">
      <c r="A8" s="40">
        <v>4</v>
      </c>
      <c r="B8" s="207">
        <v>46300</v>
      </c>
      <c r="C8" s="61"/>
      <c r="D8" s="148"/>
      <c r="E8" s="516"/>
      <c r="F8" s="242"/>
      <c r="G8" s="8">
        <f t="shared" si="0"/>
        <v>0</v>
      </c>
      <c r="H8" s="59"/>
      <c r="I8" s="60"/>
      <c r="J8" s="8">
        <f t="shared" si="1"/>
        <v>0</v>
      </c>
      <c r="K8" s="8">
        <f t="shared" si="2"/>
        <v>0</v>
      </c>
      <c r="L8" s="62">
        <f t="shared" si="3"/>
        <v>0</v>
      </c>
      <c r="M8" s="343">
        <v>0</v>
      </c>
      <c r="N8" s="8"/>
    </row>
    <row r="9" spans="1:18">
      <c r="A9" s="40">
        <v>5</v>
      </c>
      <c r="B9" s="207">
        <v>46301</v>
      </c>
      <c r="C9" s="121"/>
      <c r="D9" s="122"/>
      <c r="E9" s="242"/>
      <c r="F9" s="242"/>
      <c r="G9" s="8">
        <f t="shared" si="0"/>
        <v>0</v>
      </c>
      <c r="H9" s="59"/>
      <c r="I9" s="60"/>
      <c r="J9" s="8">
        <f t="shared" si="1"/>
        <v>0</v>
      </c>
      <c r="K9" s="8">
        <f t="shared" si="2"/>
        <v>0</v>
      </c>
      <c r="L9" s="62">
        <f t="shared" si="3"/>
        <v>0</v>
      </c>
      <c r="M9" s="343">
        <v>0</v>
      </c>
      <c r="N9" s="8"/>
      <c r="O9" s="63"/>
      <c r="R9" s="212"/>
    </row>
    <row r="10" spans="1:18">
      <c r="A10" s="40">
        <v>6</v>
      </c>
      <c r="B10" s="207">
        <v>46302</v>
      </c>
      <c r="C10" s="61"/>
      <c r="D10" s="148"/>
      <c r="E10" s="242"/>
      <c r="F10" s="242"/>
      <c r="G10" s="8">
        <f t="shared" si="0"/>
        <v>0</v>
      </c>
      <c r="H10" s="59"/>
      <c r="I10" s="60"/>
      <c r="J10" s="8">
        <f t="shared" si="1"/>
        <v>0</v>
      </c>
      <c r="K10" s="8">
        <f t="shared" si="2"/>
        <v>0</v>
      </c>
      <c r="L10" s="62">
        <f t="shared" si="3"/>
        <v>0</v>
      </c>
      <c r="M10" s="62">
        <v>0</v>
      </c>
      <c r="N10" s="16"/>
      <c r="O10" s="63"/>
    </row>
    <row r="11" spans="1:18">
      <c r="A11" s="40">
        <v>7</v>
      </c>
      <c r="B11" s="207">
        <v>46303</v>
      </c>
      <c r="C11" s="61"/>
      <c r="D11" s="148"/>
      <c r="E11" s="242"/>
      <c r="F11" s="242"/>
      <c r="G11" s="8">
        <f t="shared" si="0"/>
        <v>0</v>
      </c>
      <c r="H11" s="59"/>
      <c r="I11" s="60"/>
      <c r="J11" s="8">
        <f t="shared" si="1"/>
        <v>0</v>
      </c>
      <c r="K11" s="8">
        <f t="shared" si="2"/>
        <v>0</v>
      </c>
      <c r="L11" s="62">
        <f t="shared" si="3"/>
        <v>0</v>
      </c>
      <c r="M11" s="62">
        <v>0</v>
      </c>
      <c r="N11" s="8"/>
      <c r="O11" s="63"/>
    </row>
    <row r="12" spans="1:18">
      <c r="A12" s="40">
        <v>8</v>
      </c>
      <c r="B12" s="207">
        <v>46304</v>
      </c>
      <c r="C12" s="61"/>
      <c r="D12" s="148"/>
      <c r="E12" s="242"/>
      <c r="F12" s="242"/>
      <c r="G12" s="8">
        <f t="shared" si="0"/>
        <v>0</v>
      </c>
      <c r="H12" s="59"/>
      <c r="I12" s="60"/>
      <c r="J12" s="8">
        <f t="shared" si="1"/>
        <v>0</v>
      </c>
      <c r="K12" s="8">
        <f t="shared" si="2"/>
        <v>0</v>
      </c>
      <c r="L12" s="62">
        <f t="shared" si="3"/>
        <v>0</v>
      </c>
      <c r="M12" s="62">
        <v>0</v>
      </c>
      <c r="N12" s="8"/>
      <c r="O12" s="63"/>
    </row>
    <row r="13" spans="1:18">
      <c r="A13" s="40">
        <v>9</v>
      </c>
      <c r="B13" s="207">
        <v>46305</v>
      </c>
      <c r="C13" s="61"/>
      <c r="D13" s="148"/>
      <c r="E13" s="242"/>
      <c r="F13" s="242"/>
      <c r="G13" s="8">
        <f t="shared" si="0"/>
        <v>0</v>
      </c>
      <c r="H13" s="59"/>
      <c r="I13" s="60"/>
      <c r="J13" s="8">
        <f t="shared" si="1"/>
        <v>0</v>
      </c>
      <c r="K13" s="8">
        <f t="shared" si="2"/>
        <v>0</v>
      </c>
      <c r="L13" s="62">
        <f t="shared" si="3"/>
        <v>0</v>
      </c>
      <c r="M13" s="62">
        <v>0</v>
      </c>
      <c r="N13" s="8"/>
      <c r="O13" s="63"/>
    </row>
    <row r="14" spans="1:18">
      <c r="A14" s="40">
        <v>10</v>
      </c>
      <c r="B14" s="207">
        <v>46306</v>
      </c>
      <c r="C14" s="61"/>
      <c r="D14" s="148"/>
      <c r="E14" s="242"/>
      <c r="F14" s="242"/>
      <c r="G14" s="8">
        <f t="shared" si="0"/>
        <v>0</v>
      </c>
      <c r="H14" s="59"/>
      <c r="I14" s="60"/>
      <c r="J14" s="8">
        <f t="shared" si="1"/>
        <v>0</v>
      </c>
      <c r="K14" s="8">
        <f t="shared" si="2"/>
        <v>0</v>
      </c>
      <c r="L14" s="62">
        <f t="shared" si="3"/>
        <v>0</v>
      </c>
      <c r="M14" s="62">
        <v>0</v>
      </c>
      <c r="N14" s="8"/>
      <c r="O14" s="63"/>
    </row>
    <row r="15" spans="1:18">
      <c r="A15" s="40">
        <v>11</v>
      </c>
      <c r="B15" s="207">
        <v>46307</v>
      </c>
      <c r="C15" s="61"/>
      <c r="D15" s="148"/>
      <c r="E15" s="242"/>
      <c r="F15" s="242"/>
      <c r="G15" s="8">
        <f t="shared" si="0"/>
        <v>0</v>
      </c>
      <c r="H15" s="59"/>
      <c r="I15" s="60"/>
      <c r="J15" s="8">
        <f t="shared" si="1"/>
        <v>0</v>
      </c>
      <c r="K15" s="8">
        <f>G15+J15</f>
        <v>0</v>
      </c>
      <c r="L15" s="62">
        <f>+K15</f>
        <v>0</v>
      </c>
      <c r="M15" s="62">
        <v>0</v>
      </c>
      <c r="N15" s="8"/>
      <c r="O15" s="63"/>
    </row>
    <row r="16" spans="1:18">
      <c r="A16" s="40">
        <v>12</v>
      </c>
      <c r="B16" s="207">
        <v>46308</v>
      </c>
      <c r="C16" s="61"/>
      <c r="D16" s="148"/>
      <c r="E16" s="242"/>
      <c r="F16" s="242"/>
      <c r="G16" s="8">
        <f t="shared" si="0"/>
        <v>0</v>
      </c>
      <c r="H16" s="59"/>
      <c r="I16" s="60"/>
      <c r="J16" s="8">
        <f t="shared" si="1"/>
        <v>0</v>
      </c>
      <c r="K16" s="8">
        <f t="shared" si="2"/>
        <v>0</v>
      </c>
      <c r="L16" s="62">
        <f t="shared" si="3"/>
        <v>0</v>
      </c>
      <c r="M16" s="62">
        <v>0</v>
      </c>
      <c r="N16" s="8"/>
      <c r="O16" s="63"/>
    </row>
    <row r="17" spans="1:15">
      <c r="A17" s="40">
        <v>13</v>
      </c>
      <c r="B17" s="207">
        <v>46309</v>
      </c>
      <c r="C17" s="61"/>
      <c r="D17" s="148"/>
      <c r="E17" s="242"/>
      <c r="F17" s="242"/>
      <c r="G17" s="8">
        <f t="shared" si="0"/>
        <v>0</v>
      </c>
      <c r="H17" s="59"/>
      <c r="I17" s="60"/>
      <c r="J17" s="8">
        <f t="shared" si="1"/>
        <v>0</v>
      </c>
      <c r="K17" s="8">
        <f t="shared" si="2"/>
        <v>0</v>
      </c>
      <c r="L17" s="62">
        <f t="shared" si="3"/>
        <v>0</v>
      </c>
      <c r="M17" s="62">
        <v>0</v>
      </c>
      <c r="N17" s="8"/>
      <c r="O17" s="63"/>
    </row>
    <row r="18" spans="1:15">
      <c r="A18" s="40">
        <v>14</v>
      </c>
      <c r="B18" s="207">
        <v>46310</v>
      </c>
      <c r="C18" s="61"/>
      <c r="D18" s="148"/>
      <c r="E18" s="242"/>
      <c r="F18" s="242"/>
      <c r="G18" s="8">
        <f t="shared" si="0"/>
        <v>0</v>
      </c>
      <c r="H18" s="59"/>
      <c r="I18" s="60"/>
      <c r="J18" s="8">
        <f t="shared" si="1"/>
        <v>0</v>
      </c>
      <c r="K18" s="8">
        <f t="shared" si="2"/>
        <v>0</v>
      </c>
      <c r="L18" s="62">
        <f t="shared" si="3"/>
        <v>0</v>
      </c>
      <c r="M18" s="62">
        <v>0</v>
      </c>
      <c r="N18" s="8"/>
      <c r="O18" s="63"/>
    </row>
    <row r="19" spans="1:15">
      <c r="A19" s="40">
        <v>15</v>
      </c>
      <c r="B19" s="207">
        <v>46311</v>
      </c>
      <c r="C19" s="61"/>
      <c r="D19" s="148"/>
      <c r="E19" s="301"/>
      <c r="F19" s="301"/>
      <c r="G19" s="171">
        <f t="shared" si="0"/>
        <v>0</v>
      </c>
      <c r="H19" s="59"/>
      <c r="I19" s="60"/>
      <c r="J19" s="171">
        <f t="shared" si="1"/>
        <v>0</v>
      </c>
      <c r="K19" s="171">
        <f t="shared" si="2"/>
        <v>0</v>
      </c>
      <c r="L19" s="302">
        <f t="shared" si="3"/>
        <v>0</v>
      </c>
      <c r="M19" s="302">
        <v>0</v>
      </c>
      <c r="N19" s="8"/>
      <c r="O19" s="63"/>
    </row>
    <row r="20" spans="1:15">
      <c r="A20" s="40">
        <v>16</v>
      </c>
      <c r="B20" s="207">
        <v>46312</v>
      </c>
      <c r="C20" s="61"/>
      <c r="D20" s="300"/>
      <c r="E20" s="242"/>
      <c r="F20" s="242"/>
      <c r="G20" s="8">
        <f t="shared" si="0"/>
        <v>0</v>
      </c>
      <c r="H20" s="59"/>
      <c r="I20" s="60"/>
      <c r="J20" s="8">
        <f t="shared" si="1"/>
        <v>0</v>
      </c>
      <c r="K20" s="8">
        <f t="shared" si="2"/>
        <v>0</v>
      </c>
      <c r="L20" s="62">
        <f>+K20</f>
        <v>0</v>
      </c>
      <c r="M20" s="62">
        <v>0</v>
      </c>
      <c r="N20" s="181"/>
      <c r="O20" s="63"/>
    </row>
    <row r="21" spans="1:15">
      <c r="A21" s="40">
        <v>17</v>
      </c>
      <c r="B21" s="207">
        <v>46313</v>
      </c>
      <c r="C21" s="61"/>
      <c r="D21" s="300"/>
      <c r="E21" s="242"/>
      <c r="F21" s="242"/>
      <c r="G21" s="8">
        <f t="shared" si="0"/>
        <v>0</v>
      </c>
      <c r="H21" s="59"/>
      <c r="I21" s="60"/>
      <c r="J21" s="8">
        <f t="shared" si="1"/>
        <v>0</v>
      </c>
      <c r="K21" s="8">
        <f t="shared" si="2"/>
        <v>0</v>
      </c>
      <c r="L21" s="62">
        <f t="shared" si="3"/>
        <v>0</v>
      </c>
      <c r="M21" s="62">
        <v>0</v>
      </c>
      <c r="N21" s="181"/>
      <c r="O21" s="63"/>
    </row>
    <row r="22" spans="1:15">
      <c r="A22" s="40">
        <v>18</v>
      </c>
      <c r="B22" s="207">
        <v>46314</v>
      </c>
      <c r="C22" s="61"/>
      <c r="D22" s="300"/>
      <c r="E22" s="14"/>
      <c r="F22" s="14"/>
      <c r="G22" s="8">
        <f t="shared" si="0"/>
        <v>0</v>
      </c>
      <c r="H22" s="59"/>
      <c r="I22" s="60"/>
      <c r="J22" s="8">
        <f t="shared" si="1"/>
        <v>0</v>
      </c>
      <c r="K22" s="8">
        <f t="shared" si="2"/>
        <v>0</v>
      </c>
      <c r="L22" s="62">
        <f t="shared" si="3"/>
        <v>0</v>
      </c>
      <c r="M22" s="62">
        <v>0</v>
      </c>
      <c r="N22" s="181"/>
      <c r="O22" s="63"/>
    </row>
    <row r="23" spans="1:15">
      <c r="A23" s="40">
        <v>19</v>
      </c>
      <c r="B23" s="207">
        <v>46315</v>
      </c>
      <c r="C23" s="61"/>
      <c r="D23" s="300"/>
      <c r="E23" s="14"/>
      <c r="F23" s="14"/>
      <c r="G23" s="8">
        <f t="shared" si="0"/>
        <v>0</v>
      </c>
      <c r="H23" s="59"/>
      <c r="I23" s="60"/>
      <c r="J23" s="8">
        <f t="shared" si="1"/>
        <v>0</v>
      </c>
      <c r="K23" s="8">
        <f t="shared" si="2"/>
        <v>0</v>
      </c>
      <c r="L23" s="62">
        <f t="shared" si="3"/>
        <v>0</v>
      </c>
      <c r="M23" s="62">
        <v>0</v>
      </c>
      <c r="N23" s="181"/>
      <c r="O23" s="63"/>
    </row>
    <row r="24" spans="1:15">
      <c r="A24" s="40">
        <v>20</v>
      </c>
      <c r="B24" s="207">
        <v>46316</v>
      </c>
      <c r="C24" s="61"/>
      <c r="D24" s="300"/>
      <c r="E24" s="14"/>
      <c r="F24" s="14"/>
      <c r="G24" s="8">
        <f t="shared" si="0"/>
        <v>0</v>
      </c>
      <c r="H24" s="59"/>
      <c r="I24" s="60"/>
      <c r="J24" s="8">
        <f t="shared" si="1"/>
        <v>0</v>
      </c>
      <c r="K24" s="8">
        <f t="shared" si="2"/>
        <v>0</v>
      </c>
      <c r="L24" s="62">
        <f t="shared" si="3"/>
        <v>0</v>
      </c>
      <c r="M24" s="62">
        <v>0</v>
      </c>
      <c r="N24" s="181"/>
      <c r="O24" s="63"/>
    </row>
    <row r="25" spans="1:15">
      <c r="A25" s="40">
        <v>21</v>
      </c>
      <c r="B25" s="207">
        <v>46317</v>
      </c>
      <c r="C25" s="61"/>
      <c r="D25" s="300"/>
      <c r="E25" s="14"/>
      <c r="F25" s="14"/>
      <c r="G25" s="8">
        <f t="shared" si="0"/>
        <v>0</v>
      </c>
      <c r="H25" s="59"/>
      <c r="I25" s="60"/>
      <c r="J25" s="8">
        <f t="shared" si="1"/>
        <v>0</v>
      </c>
      <c r="K25" s="8">
        <f t="shared" si="2"/>
        <v>0</v>
      </c>
      <c r="L25" s="62">
        <f t="shared" si="3"/>
        <v>0</v>
      </c>
      <c r="M25" s="62">
        <v>0</v>
      </c>
      <c r="N25" s="181"/>
      <c r="O25" s="63"/>
    </row>
    <row r="26" spans="1:15">
      <c r="A26" s="40">
        <v>22</v>
      </c>
      <c r="B26" s="207">
        <v>46318</v>
      </c>
      <c r="C26" s="61"/>
      <c r="D26" s="300"/>
      <c r="E26" s="14"/>
      <c r="F26" s="14"/>
      <c r="G26" s="8">
        <f t="shared" si="0"/>
        <v>0</v>
      </c>
      <c r="H26" s="59"/>
      <c r="I26" s="60"/>
      <c r="J26" s="8">
        <f t="shared" si="1"/>
        <v>0</v>
      </c>
      <c r="K26" s="8">
        <f t="shared" si="2"/>
        <v>0</v>
      </c>
      <c r="L26" s="62">
        <f t="shared" si="3"/>
        <v>0</v>
      </c>
      <c r="M26" s="62">
        <v>0</v>
      </c>
      <c r="N26" s="181"/>
      <c r="O26" s="63"/>
    </row>
    <row r="27" spans="1:15">
      <c r="A27" s="40">
        <v>23</v>
      </c>
      <c r="B27" s="207">
        <v>46319</v>
      </c>
      <c r="C27" s="61"/>
      <c r="D27" s="300"/>
      <c r="E27" s="14"/>
      <c r="F27" s="14"/>
      <c r="G27" s="8">
        <f t="shared" si="0"/>
        <v>0</v>
      </c>
      <c r="H27" s="59"/>
      <c r="I27" s="60"/>
      <c r="J27" s="8">
        <f t="shared" si="1"/>
        <v>0</v>
      </c>
      <c r="K27" s="8">
        <f t="shared" si="2"/>
        <v>0</v>
      </c>
      <c r="L27" s="62">
        <f t="shared" si="3"/>
        <v>0</v>
      </c>
      <c r="M27" s="62">
        <v>0</v>
      </c>
      <c r="N27" s="181"/>
      <c r="O27" s="63"/>
    </row>
    <row r="28" spans="1:15">
      <c r="A28" s="40">
        <v>24</v>
      </c>
      <c r="B28" s="207">
        <v>46320</v>
      </c>
      <c r="C28" s="61"/>
      <c r="D28" s="300"/>
      <c r="E28" s="14"/>
      <c r="F28" s="14"/>
      <c r="G28" s="8">
        <f t="shared" si="0"/>
        <v>0</v>
      </c>
      <c r="H28" s="59"/>
      <c r="I28" s="60"/>
      <c r="J28" s="8">
        <f t="shared" si="1"/>
        <v>0</v>
      </c>
      <c r="K28" s="8">
        <f t="shared" si="2"/>
        <v>0</v>
      </c>
      <c r="L28" s="62">
        <f t="shared" si="3"/>
        <v>0</v>
      </c>
      <c r="M28" s="62">
        <v>0</v>
      </c>
      <c r="N28" s="181"/>
      <c r="O28" s="63"/>
    </row>
    <row r="29" spans="1:15">
      <c r="A29" s="208">
        <v>25</v>
      </c>
      <c r="B29" s="207">
        <v>46321</v>
      </c>
      <c r="C29" s="61"/>
      <c r="D29" s="300"/>
      <c r="E29" s="14"/>
      <c r="F29" s="14"/>
      <c r="G29" s="8">
        <f t="shared" si="0"/>
        <v>0</v>
      </c>
      <c r="H29" s="59"/>
      <c r="I29" s="60"/>
      <c r="J29" s="8">
        <f t="shared" si="1"/>
        <v>0</v>
      </c>
      <c r="K29" s="8">
        <f t="shared" si="2"/>
        <v>0</v>
      </c>
      <c r="L29" s="62">
        <f t="shared" si="3"/>
        <v>0</v>
      </c>
      <c r="M29" s="62">
        <v>0</v>
      </c>
      <c r="N29" s="181"/>
      <c r="O29" s="63"/>
    </row>
    <row r="30" spans="1:15">
      <c r="A30" s="208"/>
      <c r="B30" s="207">
        <v>46322</v>
      </c>
      <c r="C30" s="61"/>
      <c r="D30" s="300"/>
      <c r="E30" s="14"/>
      <c r="F30" s="14"/>
      <c r="G30" s="16"/>
      <c r="H30" s="59"/>
      <c r="I30" s="60"/>
      <c r="J30" s="8">
        <f t="shared" si="1"/>
        <v>0</v>
      </c>
      <c r="K30" s="8">
        <f t="shared" si="2"/>
        <v>0</v>
      </c>
      <c r="L30" s="62">
        <f t="shared" si="3"/>
        <v>0</v>
      </c>
      <c r="M30" s="123"/>
      <c r="N30" s="181"/>
      <c r="O30" s="63"/>
    </row>
    <row r="31" spans="1:15">
      <c r="A31" s="208">
        <v>26</v>
      </c>
      <c r="B31" s="207">
        <v>46323</v>
      </c>
      <c r="C31" s="61"/>
      <c r="D31" s="148"/>
      <c r="E31" s="14"/>
      <c r="F31" s="14"/>
      <c r="G31" s="16">
        <f t="shared" si="0"/>
        <v>0</v>
      </c>
      <c r="H31" s="59"/>
      <c r="I31" s="60"/>
      <c r="J31" s="16">
        <f t="shared" si="1"/>
        <v>0</v>
      </c>
      <c r="K31" s="16">
        <f t="shared" si="2"/>
        <v>0</v>
      </c>
      <c r="L31" s="123">
        <f t="shared" si="3"/>
        <v>0</v>
      </c>
      <c r="M31" s="123">
        <v>0</v>
      </c>
      <c r="N31" s="8"/>
      <c r="O31" s="63"/>
    </row>
    <row r="32" spans="1:15">
      <c r="A32" s="208">
        <v>27</v>
      </c>
      <c r="B32" s="207">
        <v>46324</v>
      </c>
      <c r="C32" s="61"/>
      <c r="D32" s="148"/>
      <c r="E32" s="14"/>
      <c r="F32" s="14"/>
      <c r="G32" s="8">
        <f t="shared" si="0"/>
        <v>0</v>
      </c>
      <c r="H32" s="59"/>
      <c r="I32" s="60"/>
      <c r="J32" s="8">
        <f t="shared" si="1"/>
        <v>0</v>
      </c>
      <c r="K32" s="8">
        <f t="shared" si="2"/>
        <v>0</v>
      </c>
      <c r="L32" s="62">
        <f t="shared" si="3"/>
        <v>0</v>
      </c>
      <c r="M32" s="62">
        <v>0</v>
      </c>
      <c r="N32" s="8"/>
      <c r="O32" s="63"/>
    </row>
    <row r="33" spans="1:15">
      <c r="A33" s="208">
        <v>28</v>
      </c>
      <c r="B33" s="207">
        <v>46325</v>
      </c>
      <c r="C33" s="61"/>
      <c r="D33" s="148"/>
      <c r="E33" s="148"/>
      <c r="F33" s="14"/>
      <c r="G33" s="8">
        <f t="shared" si="0"/>
        <v>0</v>
      </c>
      <c r="H33" s="59"/>
      <c r="I33" s="60"/>
      <c r="J33" s="8">
        <f t="shared" si="1"/>
        <v>0</v>
      </c>
      <c r="K33" s="8">
        <f t="shared" si="2"/>
        <v>0</v>
      </c>
      <c r="L33" s="62">
        <f t="shared" si="3"/>
        <v>0</v>
      </c>
      <c r="M33" s="62">
        <v>0</v>
      </c>
      <c r="N33" s="8"/>
      <c r="O33" s="63"/>
    </row>
    <row r="34" spans="1:15">
      <c r="A34" s="209">
        <v>29</v>
      </c>
      <c r="B34" s="207">
        <v>46326</v>
      </c>
      <c r="C34" s="61"/>
      <c r="D34" s="148"/>
      <c r="E34" s="14"/>
      <c r="F34" s="14"/>
      <c r="G34" s="8">
        <f t="shared" si="0"/>
        <v>0</v>
      </c>
      <c r="H34" s="59"/>
      <c r="I34" s="60"/>
      <c r="J34" s="8">
        <f t="shared" si="1"/>
        <v>0</v>
      </c>
      <c r="K34" s="8">
        <f t="shared" si="2"/>
        <v>0</v>
      </c>
      <c r="L34" s="62">
        <f t="shared" si="3"/>
        <v>0</v>
      </c>
      <c r="M34" s="62">
        <v>0</v>
      </c>
      <c r="N34" s="8"/>
      <c r="O34" s="63"/>
    </row>
    <row r="35" spans="1:15">
      <c r="A35" s="209">
        <v>30</v>
      </c>
      <c r="B35" s="207"/>
      <c r="C35" s="61"/>
      <c r="D35" s="148"/>
      <c r="E35" s="14"/>
      <c r="F35" s="14"/>
      <c r="G35" s="8">
        <f t="shared" si="0"/>
        <v>0</v>
      </c>
      <c r="H35" s="59"/>
      <c r="I35" s="60"/>
      <c r="J35" s="8">
        <f t="shared" si="1"/>
        <v>0</v>
      </c>
      <c r="K35" s="8">
        <f t="shared" si="2"/>
        <v>0</v>
      </c>
      <c r="L35" s="62">
        <f t="shared" si="3"/>
        <v>0</v>
      </c>
      <c r="M35" s="62">
        <v>0</v>
      </c>
      <c r="N35" s="8"/>
      <c r="O35" s="63"/>
    </row>
    <row r="36" spans="1:15">
      <c r="A36" s="209">
        <v>31</v>
      </c>
      <c r="B36" s="207"/>
      <c r="C36" s="61"/>
      <c r="D36" s="148"/>
      <c r="E36" s="242"/>
      <c r="F36" s="14"/>
      <c r="G36" s="8">
        <f t="shared" si="0"/>
        <v>0</v>
      </c>
      <c r="H36" s="59"/>
      <c r="I36" s="60"/>
      <c r="J36" s="8">
        <f t="shared" si="1"/>
        <v>0</v>
      </c>
      <c r="K36" s="8">
        <f t="shared" si="2"/>
        <v>0</v>
      </c>
      <c r="L36" s="62">
        <f t="shared" si="3"/>
        <v>0</v>
      </c>
      <c r="M36" s="62">
        <v>0</v>
      </c>
      <c r="N36" s="8"/>
      <c r="O36" s="63"/>
    </row>
    <row r="37" spans="1:15">
      <c r="A37" s="56"/>
      <c r="B37" s="56"/>
      <c r="C37" s="56"/>
      <c r="D37" s="56"/>
      <c r="E37" s="243">
        <f>SUM(E4:E36)</f>
        <v>0</v>
      </c>
      <c r="F37" s="243"/>
      <c r="G37" s="57">
        <f>SUM(G4:G36)</f>
        <v>0</v>
      </c>
      <c r="H37" s="57">
        <f>SUM(H4:H36)</f>
        <v>0</v>
      </c>
      <c r="I37" s="57"/>
      <c r="J37" s="57">
        <f>SUM(J4:J36)</f>
        <v>0</v>
      </c>
      <c r="K37" s="57">
        <f>SUM(K4:K36)</f>
        <v>0</v>
      </c>
      <c r="L37" s="57">
        <f>SUM(L4:L36)</f>
        <v>0</v>
      </c>
      <c r="M37" s="57"/>
      <c r="N37" s="57"/>
      <c r="O37" s="53"/>
    </row>
    <row r="38" spans="1:15">
      <c r="A38" s="66"/>
      <c r="B38" s="67"/>
      <c r="C38" s="66"/>
      <c r="D38" s="66"/>
      <c r="E38" s="68"/>
      <c r="F38" s="68"/>
      <c r="G38" s="68"/>
      <c r="H38" s="68"/>
      <c r="I38" s="68"/>
      <c r="J38" s="69"/>
      <c r="K38" s="69"/>
      <c r="L38" s="69"/>
      <c r="M38" s="69"/>
      <c r="N38" s="68"/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O43" s="63"/>
    </row>
    <row r="44" spans="1:15">
      <c r="A44" s="63"/>
      <c r="B44" s="53"/>
      <c r="C44" s="63"/>
      <c r="D44" s="63"/>
      <c r="E44" s="63"/>
      <c r="F44" s="63"/>
      <c r="G44" s="70"/>
      <c r="H44" s="63"/>
      <c r="I44" s="63"/>
      <c r="J44" s="53"/>
      <c r="K44" s="53"/>
      <c r="L44" s="53"/>
      <c r="M44" s="53"/>
      <c r="N44" s="63"/>
      <c r="O44" s="68"/>
    </row>
    <row r="45" spans="1:15">
      <c r="A45" s="63"/>
      <c r="B45" s="624"/>
      <c r="C45" s="624"/>
      <c r="D45" s="624"/>
      <c r="E45" s="624"/>
      <c r="F45" s="63"/>
      <c r="G45" s="63"/>
      <c r="H45" s="63"/>
      <c r="I45" s="624"/>
      <c r="J45" s="624"/>
      <c r="K45" s="624"/>
      <c r="L45" s="624"/>
      <c r="M45" s="624"/>
      <c r="N45" s="624"/>
      <c r="O45" s="68"/>
    </row>
    <row r="46" spans="1:15">
      <c r="A46" s="63"/>
      <c r="B46" s="53"/>
      <c r="C46" s="63"/>
      <c r="D46" s="63"/>
      <c r="E46" s="63"/>
      <c r="F46" s="63"/>
      <c r="G46" s="63"/>
      <c r="H46" s="63"/>
      <c r="I46" s="63"/>
      <c r="J46" s="53"/>
      <c r="K46" s="53"/>
      <c r="L46" s="53"/>
      <c r="M46" s="53"/>
      <c r="N46" s="63"/>
      <c r="O46" s="68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3" topLeftCell="A4" activePane="bottomLeft" state="frozen"/>
      <selection pane="bottomLeft" activeCell="M13" sqref="M13"/>
    </sheetView>
  </sheetViews>
  <sheetFormatPr defaultColWidth="12.28515625" defaultRowHeight="12.75"/>
  <cols>
    <col min="1" max="1" width="8.42578125" style="55" customWidth="1"/>
    <col min="2" max="3" width="12.28515625" style="55"/>
    <col min="4" max="4" width="13.5703125" style="55" customWidth="1"/>
    <col min="5" max="5" width="12.28515625" style="55"/>
    <col min="6" max="6" width="13.7109375" style="55" bestFit="1" customWidth="1"/>
    <col min="7" max="16384" width="12.28515625" style="55"/>
  </cols>
  <sheetData>
    <row r="1" spans="1:15" ht="15.75" customHeight="1">
      <c r="A1" s="627" t="s">
        <v>107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54"/>
    </row>
    <row r="2" spans="1:15" ht="15.75" customHeight="1">
      <c r="A2" s="81" t="s">
        <v>0</v>
      </c>
      <c r="B2" s="82" t="s">
        <v>167</v>
      </c>
      <c r="C2" s="82" t="s">
        <v>168</v>
      </c>
      <c r="D2" s="82" t="s">
        <v>169</v>
      </c>
      <c r="E2" s="82" t="s">
        <v>170</v>
      </c>
      <c r="F2" s="82" t="s">
        <v>171</v>
      </c>
      <c r="G2" s="82" t="s">
        <v>172</v>
      </c>
      <c r="H2" s="82" t="s">
        <v>173</v>
      </c>
      <c r="I2" s="82" t="s">
        <v>171</v>
      </c>
      <c r="J2" s="105" t="s">
        <v>172</v>
      </c>
      <c r="K2" s="107" t="s">
        <v>174</v>
      </c>
      <c r="L2" s="108" t="s">
        <v>175</v>
      </c>
      <c r="M2" s="109" t="s">
        <v>190</v>
      </c>
      <c r="N2" s="83" t="s">
        <v>177</v>
      </c>
      <c r="O2" s="30"/>
    </row>
    <row r="3" spans="1:15" ht="15.75" customHeight="1">
      <c r="A3" s="620" t="s">
        <v>178</v>
      </c>
      <c r="B3" s="621"/>
      <c r="C3" s="618"/>
      <c r="D3" s="618"/>
      <c r="E3" s="618"/>
      <c r="F3" s="618"/>
      <c r="G3" s="618"/>
      <c r="H3" s="618"/>
      <c r="I3" s="618"/>
      <c r="J3" s="625"/>
      <c r="K3" s="188">
        <v>175658</v>
      </c>
      <c r="L3" s="191"/>
      <c r="M3" s="188">
        <v>175658</v>
      </c>
      <c r="N3" s="191"/>
      <c r="O3" s="30"/>
    </row>
    <row r="4" spans="1:15" ht="15">
      <c r="A4" s="23">
        <v>1</v>
      </c>
      <c r="B4" s="24">
        <v>46296</v>
      </c>
      <c r="C4" s="100"/>
      <c r="D4" s="100"/>
      <c r="E4" s="33"/>
      <c r="F4" s="33"/>
      <c r="G4" s="33">
        <f>E4*F4</f>
        <v>0</v>
      </c>
      <c r="H4" s="187"/>
      <c r="I4" s="187"/>
      <c r="J4" s="33">
        <f>H4*I4</f>
        <v>0</v>
      </c>
      <c r="K4" s="33">
        <f>G4+J4</f>
        <v>0</v>
      </c>
      <c r="L4" s="191"/>
      <c r="M4" s="188">
        <f>M3+K4-L4</f>
        <v>175658</v>
      </c>
      <c r="N4" s="33"/>
      <c r="O4" s="25"/>
    </row>
    <row r="5" spans="1:15" ht="15">
      <c r="A5" s="23">
        <v>2</v>
      </c>
      <c r="B5" s="24">
        <v>46297</v>
      </c>
      <c r="C5" s="100"/>
      <c r="D5" s="100"/>
      <c r="E5" s="33"/>
      <c r="F5" s="33"/>
      <c r="G5" s="33">
        <f t="shared" ref="G5:G33" si="0">E5*F5</f>
        <v>0</v>
      </c>
      <c r="H5" s="187"/>
      <c r="I5" s="187"/>
      <c r="J5" s="33">
        <f t="shared" ref="J5:J33" si="1">H5*I5</f>
        <v>0</v>
      </c>
      <c r="K5" s="33">
        <f t="shared" ref="K5:K33" si="2">G5+J5</f>
        <v>0</v>
      </c>
      <c r="L5" s="191"/>
      <c r="M5" s="188">
        <f>M4+K5-L5</f>
        <v>175658</v>
      </c>
      <c r="N5" s="33"/>
      <c r="O5" s="25"/>
    </row>
    <row r="6" spans="1:15" ht="15">
      <c r="A6" s="23">
        <v>3</v>
      </c>
      <c r="B6" s="24">
        <v>46298</v>
      </c>
      <c r="C6" s="100"/>
      <c r="D6" s="100"/>
      <c r="E6" s="33"/>
      <c r="F6" s="33"/>
      <c r="G6" s="33">
        <f t="shared" si="0"/>
        <v>0</v>
      </c>
      <c r="H6" s="187"/>
      <c r="I6" s="187"/>
      <c r="J6" s="33">
        <f t="shared" si="1"/>
        <v>0</v>
      </c>
      <c r="K6" s="33">
        <f t="shared" si="2"/>
        <v>0</v>
      </c>
      <c r="L6" s="191"/>
      <c r="M6" s="188">
        <f>M5+K6-L6</f>
        <v>175658</v>
      </c>
      <c r="N6" s="33"/>
      <c r="O6" s="25"/>
    </row>
    <row r="7" spans="1:15" ht="15">
      <c r="A7" s="23">
        <v>4</v>
      </c>
      <c r="B7" s="24">
        <v>46299</v>
      </c>
      <c r="C7" s="100"/>
      <c r="D7" s="100"/>
      <c r="E7" s="33"/>
      <c r="F7" s="33"/>
      <c r="G7" s="33">
        <f t="shared" si="0"/>
        <v>0</v>
      </c>
      <c r="H7" s="187"/>
      <c r="I7" s="187"/>
      <c r="J7" s="33">
        <f t="shared" si="1"/>
        <v>0</v>
      </c>
      <c r="K7" s="33">
        <f t="shared" si="2"/>
        <v>0</v>
      </c>
      <c r="L7" s="191"/>
      <c r="M7" s="188">
        <f>M6+K7-L7</f>
        <v>175658</v>
      </c>
      <c r="N7" s="33"/>
      <c r="O7" s="25"/>
    </row>
    <row r="8" spans="1:15" ht="15">
      <c r="A8" s="23">
        <v>5</v>
      </c>
      <c r="B8" s="24">
        <v>46300</v>
      </c>
      <c r="C8" s="100"/>
      <c r="D8" s="100"/>
      <c r="E8" s="33"/>
      <c r="F8" s="33"/>
      <c r="G8" s="33">
        <f t="shared" si="0"/>
        <v>0</v>
      </c>
      <c r="H8" s="187"/>
      <c r="I8" s="187"/>
      <c r="J8" s="33">
        <f t="shared" si="1"/>
        <v>0</v>
      </c>
      <c r="K8" s="33">
        <f t="shared" si="2"/>
        <v>0</v>
      </c>
      <c r="L8" s="191"/>
      <c r="M8" s="188">
        <f>M7+K8-L8</f>
        <v>175658</v>
      </c>
      <c r="N8" s="33"/>
      <c r="O8" s="25"/>
    </row>
    <row r="9" spans="1:15" ht="15">
      <c r="A9" s="23">
        <v>6</v>
      </c>
      <c r="B9" s="24">
        <v>46301</v>
      </c>
      <c r="C9" s="100"/>
      <c r="D9" s="100"/>
      <c r="E9" s="33"/>
      <c r="F9" s="33"/>
      <c r="G9" s="33">
        <f t="shared" ref="G9:G18" si="3">E9*F9</f>
        <v>0</v>
      </c>
      <c r="H9" s="187"/>
      <c r="I9" s="187"/>
      <c r="J9" s="33">
        <f t="shared" si="1"/>
        <v>0</v>
      </c>
      <c r="K9" s="33">
        <f t="shared" si="2"/>
        <v>0</v>
      </c>
      <c r="L9" s="191"/>
      <c r="M9" s="188">
        <f t="shared" ref="M9:M33" si="4">M8+K9-L9</f>
        <v>175658</v>
      </c>
      <c r="N9" s="33"/>
      <c r="O9" s="25"/>
    </row>
    <row r="10" spans="1:15" ht="15">
      <c r="A10" s="23">
        <v>7</v>
      </c>
      <c r="B10" s="24">
        <v>46302</v>
      </c>
      <c r="C10" s="100"/>
      <c r="D10" s="100"/>
      <c r="E10" s="33"/>
      <c r="F10" s="33"/>
      <c r="G10" s="33">
        <f t="shared" si="3"/>
        <v>0</v>
      </c>
      <c r="H10" s="187"/>
      <c r="I10" s="187"/>
      <c r="J10" s="33">
        <f t="shared" ref="J10:J17" si="5">H10*I10</f>
        <v>0</v>
      </c>
      <c r="K10" s="33">
        <f t="shared" ref="K10:K17" si="6">G10+J10</f>
        <v>0</v>
      </c>
      <c r="L10" s="191"/>
      <c r="M10" s="188">
        <f t="shared" si="4"/>
        <v>175658</v>
      </c>
      <c r="N10" s="33"/>
      <c r="O10" s="25"/>
    </row>
    <row r="11" spans="1:15" ht="15">
      <c r="A11" s="23">
        <v>8</v>
      </c>
      <c r="B11" s="24">
        <v>46303</v>
      </c>
      <c r="C11" s="100"/>
      <c r="D11" s="100"/>
      <c r="E11" s="33"/>
      <c r="F11" s="33"/>
      <c r="G11" s="33">
        <f t="shared" si="3"/>
        <v>0</v>
      </c>
      <c r="H11" s="187"/>
      <c r="I11" s="187"/>
      <c r="J11" s="33">
        <f t="shared" si="5"/>
        <v>0</v>
      </c>
      <c r="K11" s="33">
        <f t="shared" si="6"/>
        <v>0</v>
      </c>
      <c r="L11" s="191"/>
      <c r="M11" s="188">
        <f t="shared" si="4"/>
        <v>175658</v>
      </c>
      <c r="N11" s="33"/>
      <c r="O11" s="25"/>
    </row>
    <row r="12" spans="1:15" ht="15">
      <c r="A12" s="23">
        <v>9</v>
      </c>
      <c r="B12" s="24">
        <v>46304</v>
      </c>
      <c r="C12" s="100"/>
      <c r="D12" s="100"/>
      <c r="E12" s="33"/>
      <c r="F12" s="33"/>
      <c r="G12" s="33">
        <f t="shared" si="3"/>
        <v>0</v>
      </c>
      <c r="H12" s="187"/>
      <c r="I12" s="187"/>
      <c r="J12" s="33">
        <f t="shared" si="5"/>
        <v>0</v>
      </c>
      <c r="K12" s="33">
        <f t="shared" si="6"/>
        <v>0</v>
      </c>
      <c r="L12" s="191"/>
      <c r="M12" s="188">
        <f t="shared" si="4"/>
        <v>175658</v>
      </c>
      <c r="N12" s="33"/>
      <c r="O12" s="25"/>
    </row>
    <row r="13" spans="1:15" ht="15">
      <c r="A13" s="23">
        <v>10</v>
      </c>
      <c r="B13" s="24">
        <v>46305</v>
      </c>
      <c r="C13" s="100"/>
      <c r="D13" s="100"/>
      <c r="E13" s="33"/>
      <c r="F13" s="33"/>
      <c r="G13" s="33">
        <f t="shared" si="3"/>
        <v>0</v>
      </c>
      <c r="H13" s="187"/>
      <c r="I13" s="187"/>
      <c r="J13" s="33">
        <f t="shared" si="5"/>
        <v>0</v>
      </c>
      <c r="K13" s="33">
        <f t="shared" si="6"/>
        <v>0</v>
      </c>
      <c r="L13" s="191">
        <v>100000</v>
      </c>
      <c r="M13" s="188">
        <f t="shared" si="4"/>
        <v>75658</v>
      </c>
      <c r="N13" s="33"/>
      <c r="O13" s="25"/>
    </row>
    <row r="14" spans="1:15" ht="15">
      <c r="A14" s="23">
        <v>11</v>
      </c>
      <c r="B14" s="24">
        <v>46306</v>
      </c>
      <c r="C14" s="100"/>
      <c r="D14" s="100"/>
      <c r="E14" s="33"/>
      <c r="F14" s="33"/>
      <c r="G14" s="33">
        <f t="shared" si="3"/>
        <v>0</v>
      </c>
      <c r="H14" s="187"/>
      <c r="I14" s="187"/>
      <c r="J14" s="33">
        <f t="shared" si="5"/>
        <v>0</v>
      </c>
      <c r="K14" s="33">
        <f t="shared" si="6"/>
        <v>0</v>
      </c>
      <c r="L14" s="191"/>
      <c r="M14" s="188">
        <f t="shared" si="4"/>
        <v>75658</v>
      </c>
      <c r="N14" s="33"/>
      <c r="O14" s="25"/>
    </row>
    <row r="15" spans="1:15" ht="15">
      <c r="A15" s="23">
        <v>12</v>
      </c>
      <c r="B15" s="24">
        <v>46307</v>
      </c>
      <c r="C15" s="100"/>
      <c r="D15" s="100"/>
      <c r="E15" s="33"/>
      <c r="F15" s="33"/>
      <c r="G15" s="33">
        <f t="shared" si="3"/>
        <v>0</v>
      </c>
      <c r="H15" s="187"/>
      <c r="I15" s="187"/>
      <c r="J15" s="33">
        <f t="shared" si="5"/>
        <v>0</v>
      </c>
      <c r="K15" s="33">
        <f t="shared" si="6"/>
        <v>0</v>
      </c>
      <c r="L15" s="191"/>
      <c r="M15" s="188">
        <f t="shared" si="4"/>
        <v>75658</v>
      </c>
      <c r="N15" s="33"/>
      <c r="O15" s="25"/>
    </row>
    <row r="16" spans="1:15" ht="15">
      <c r="A16" s="23">
        <v>13</v>
      </c>
      <c r="B16" s="24">
        <v>46308</v>
      </c>
      <c r="C16" s="100"/>
      <c r="D16" s="100"/>
      <c r="E16" s="33"/>
      <c r="F16" s="33"/>
      <c r="G16" s="33">
        <f t="shared" si="3"/>
        <v>0</v>
      </c>
      <c r="H16" s="187"/>
      <c r="I16" s="187"/>
      <c r="J16" s="33">
        <f t="shared" si="5"/>
        <v>0</v>
      </c>
      <c r="K16" s="33">
        <f t="shared" si="6"/>
        <v>0</v>
      </c>
      <c r="L16" s="191"/>
      <c r="M16" s="188">
        <f t="shared" si="4"/>
        <v>75658</v>
      </c>
      <c r="N16" s="33"/>
      <c r="O16" s="25"/>
    </row>
    <row r="17" spans="1:15" ht="15">
      <c r="A17" s="23">
        <v>14</v>
      </c>
      <c r="B17" s="24">
        <v>46309</v>
      </c>
      <c r="C17" s="100"/>
      <c r="D17" s="100"/>
      <c r="E17" s="33"/>
      <c r="F17" s="33"/>
      <c r="G17" s="33">
        <f t="shared" si="3"/>
        <v>0</v>
      </c>
      <c r="H17" s="187"/>
      <c r="I17" s="187"/>
      <c r="J17" s="33">
        <f t="shared" si="5"/>
        <v>0</v>
      </c>
      <c r="K17" s="33">
        <f t="shared" si="6"/>
        <v>0</v>
      </c>
      <c r="L17" s="191"/>
      <c r="M17" s="188">
        <f t="shared" si="4"/>
        <v>75658</v>
      </c>
      <c r="N17" s="33"/>
      <c r="O17" s="25"/>
    </row>
    <row r="18" spans="1:15" ht="15">
      <c r="A18" s="23">
        <v>15</v>
      </c>
      <c r="B18" s="24">
        <v>46310</v>
      </c>
      <c r="C18" s="100"/>
      <c r="D18" s="100"/>
      <c r="E18" s="33"/>
      <c r="F18" s="33"/>
      <c r="G18" s="33">
        <f t="shared" si="3"/>
        <v>0</v>
      </c>
      <c r="H18" s="187"/>
      <c r="I18" s="187"/>
      <c r="J18" s="33">
        <f t="shared" si="1"/>
        <v>0</v>
      </c>
      <c r="K18" s="33">
        <f t="shared" si="2"/>
        <v>0</v>
      </c>
      <c r="L18" s="191"/>
      <c r="M18" s="188">
        <f t="shared" si="4"/>
        <v>75658</v>
      </c>
      <c r="N18" s="33"/>
      <c r="O18" s="25"/>
    </row>
    <row r="19" spans="1:15" ht="15">
      <c r="A19" s="23">
        <v>16</v>
      </c>
      <c r="B19" s="24">
        <v>46311</v>
      </c>
      <c r="C19" s="100"/>
      <c r="D19" s="100"/>
      <c r="E19" s="33"/>
      <c r="F19" s="33"/>
      <c r="G19" s="33">
        <f t="shared" si="0"/>
        <v>0</v>
      </c>
      <c r="H19" s="187"/>
      <c r="I19" s="187"/>
      <c r="J19" s="33">
        <f t="shared" si="1"/>
        <v>0</v>
      </c>
      <c r="K19" s="33">
        <f t="shared" si="2"/>
        <v>0</v>
      </c>
      <c r="L19" s="191"/>
      <c r="M19" s="188">
        <f t="shared" si="4"/>
        <v>75658</v>
      </c>
      <c r="N19" s="33"/>
      <c r="O19" s="25"/>
    </row>
    <row r="20" spans="1:15" ht="15">
      <c r="A20" s="23">
        <v>17</v>
      </c>
      <c r="B20" s="24">
        <v>46312</v>
      </c>
      <c r="C20" s="100"/>
      <c r="D20" s="100"/>
      <c r="E20" s="33"/>
      <c r="F20" s="33"/>
      <c r="G20" s="33">
        <f t="shared" si="0"/>
        <v>0</v>
      </c>
      <c r="H20" s="187"/>
      <c r="I20" s="187"/>
      <c r="J20" s="33">
        <f t="shared" si="1"/>
        <v>0</v>
      </c>
      <c r="K20" s="33">
        <f t="shared" si="2"/>
        <v>0</v>
      </c>
      <c r="L20" s="191"/>
      <c r="M20" s="188">
        <f t="shared" si="4"/>
        <v>75658</v>
      </c>
      <c r="N20" s="33"/>
      <c r="O20" s="25"/>
    </row>
    <row r="21" spans="1:15" ht="15">
      <c r="A21" s="23">
        <v>18</v>
      </c>
      <c r="B21" s="24">
        <v>46313</v>
      </c>
      <c r="C21" s="100"/>
      <c r="D21" s="100"/>
      <c r="E21" s="33"/>
      <c r="F21" s="33"/>
      <c r="G21" s="33">
        <f t="shared" si="0"/>
        <v>0</v>
      </c>
      <c r="H21" s="187"/>
      <c r="I21" s="187"/>
      <c r="J21" s="33">
        <f t="shared" si="1"/>
        <v>0</v>
      </c>
      <c r="K21" s="33">
        <f t="shared" si="2"/>
        <v>0</v>
      </c>
      <c r="L21" s="191"/>
      <c r="M21" s="188">
        <f t="shared" si="4"/>
        <v>75658</v>
      </c>
      <c r="N21" s="33"/>
      <c r="O21" s="25"/>
    </row>
    <row r="22" spans="1:15" ht="15">
      <c r="A22" s="23">
        <v>19</v>
      </c>
      <c r="B22" s="24">
        <v>46314</v>
      </c>
      <c r="C22" s="100"/>
      <c r="D22" s="100"/>
      <c r="E22" s="33"/>
      <c r="F22" s="33"/>
      <c r="G22" s="33"/>
      <c r="H22" s="187">
        <v>0</v>
      </c>
      <c r="I22" s="187">
        <v>0</v>
      </c>
      <c r="J22" s="33">
        <f t="shared" si="1"/>
        <v>0</v>
      </c>
      <c r="K22" s="33">
        <f t="shared" si="2"/>
        <v>0</v>
      </c>
      <c r="L22" s="191"/>
      <c r="M22" s="188">
        <f t="shared" si="4"/>
        <v>75658</v>
      </c>
      <c r="N22" s="33"/>
      <c r="O22" s="25"/>
    </row>
    <row r="23" spans="1:15" ht="15">
      <c r="A23" s="23">
        <v>20</v>
      </c>
      <c r="B23" s="24">
        <v>46315</v>
      </c>
      <c r="C23" s="100"/>
      <c r="D23" s="100"/>
      <c r="E23" s="33"/>
      <c r="F23" s="33"/>
      <c r="G23" s="33"/>
      <c r="H23" s="187">
        <v>0</v>
      </c>
      <c r="I23" s="187">
        <v>0</v>
      </c>
      <c r="J23" s="33">
        <f t="shared" ref="J23:J32" si="7">H23*I23</f>
        <v>0</v>
      </c>
      <c r="K23" s="33">
        <f t="shared" ref="K23:K32" si="8">G23+J23</f>
        <v>0</v>
      </c>
      <c r="L23" s="191"/>
      <c r="M23" s="188">
        <f t="shared" si="4"/>
        <v>75658</v>
      </c>
      <c r="N23" s="33"/>
      <c r="O23" s="25"/>
    </row>
    <row r="24" spans="1:15" ht="15">
      <c r="A24" s="23">
        <v>21</v>
      </c>
      <c r="B24" s="24">
        <v>46316</v>
      </c>
      <c r="C24" s="100"/>
      <c r="D24" s="100"/>
      <c r="E24" s="33"/>
      <c r="F24" s="33"/>
      <c r="G24" s="33"/>
      <c r="H24" s="187"/>
      <c r="I24" s="187"/>
      <c r="J24" s="33">
        <f t="shared" si="7"/>
        <v>0</v>
      </c>
      <c r="K24" s="33">
        <f t="shared" si="8"/>
        <v>0</v>
      </c>
      <c r="L24" s="191"/>
      <c r="M24" s="188">
        <f t="shared" si="4"/>
        <v>75658</v>
      </c>
      <c r="N24" s="33"/>
      <c r="O24" s="25"/>
    </row>
    <row r="25" spans="1:15" ht="15">
      <c r="A25" s="23">
        <v>22</v>
      </c>
      <c r="B25" s="24">
        <v>46317</v>
      </c>
      <c r="C25" s="100"/>
      <c r="D25" s="100"/>
      <c r="E25" s="33"/>
      <c r="F25" s="33"/>
      <c r="G25" s="33"/>
      <c r="H25" s="187"/>
      <c r="I25" s="187"/>
      <c r="J25" s="33">
        <f t="shared" si="7"/>
        <v>0</v>
      </c>
      <c r="K25" s="33">
        <f t="shared" si="8"/>
        <v>0</v>
      </c>
      <c r="L25" s="191"/>
      <c r="M25" s="188">
        <f t="shared" si="4"/>
        <v>75658</v>
      </c>
      <c r="N25" s="33"/>
      <c r="O25" s="25"/>
    </row>
    <row r="26" spans="1:15" ht="15">
      <c r="A26" s="23">
        <v>23</v>
      </c>
      <c r="B26" s="24">
        <v>46318</v>
      </c>
      <c r="C26" s="100"/>
      <c r="D26" s="100"/>
      <c r="E26" s="33"/>
      <c r="F26" s="33"/>
      <c r="G26" s="33"/>
      <c r="H26" s="187"/>
      <c r="I26" s="187"/>
      <c r="J26" s="33">
        <f t="shared" si="7"/>
        <v>0</v>
      </c>
      <c r="K26" s="33">
        <f t="shared" si="8"/>
        <v>0</v>
      </c>
      <c r="L26" s="191"/>
      <c r="M26" s="188">
        <f t="shared" si="4"/>
        <v>75658</v>
      </c>
      <c r="N26" s="33"/>
      <c r="O26" s="25"/>
    </row>
    <row r="27" spans="1:15" ht="15">
      <c r="A27" s="23">
        <v>24</v>
      </c>
      <c r="B27" s="24">
        <v>46319</v>
      </c>
      <c r="C27" s="100"/>
      <c r="D27" s="100"/>
      <c r="E27" s="33"/>
      <c r="F27" s="33"/>
      <c r="G27" s="33"/>
      <c r="H27" s="187"/>
      <c r="I27" s="187"/>
      <c r="J27" s="33">
        <f t="shared" si="7"/>
        <v>0</v>
      </c>
      <c r="K27" s="33">
        <f t="shared" si="8"/>
        <v>0</v>
      </c>
      <c r="L27" s="191"/>
      <c r="M27" s="188">
        <f t="shared" si="4"/>
        <v>75658</v>
      </c>
      <c r="N27" s="33"/>
      <c r="O27" s="25"/>
    </row>
    <row r="28" spans="1:15" ht="15">
      <c r="A28" s="23">
        <v>25</v>
      </c>
      <c r="B28" s="24">
        <v>46320</v>
      </c>
      <c r="C28" s="100"/>
      <c r="D28" s="100"/>
      <c r="E28" s="33"/>
      <c r="F28" s="33"/>
      <c r="G28" s="33"/>
      <c r="H28" s="187"/>
      <c r="I28" s="187"/>
      <c r="J28" s="33">
        <f t="shared" si="7"/>
        <v>0</v>
      </c>
      <c r="K28" s="33">
        <f t="shared" si="8"/>
        <v>0</v>
      </c>
      <c r="L28" s="191"/>
      <c r="M28" s="188">
        <f>M27+K28-L28</f>
        <v>75658</v>
      </c>
      <c r="N28" s="33"/>
      <c r="O28" s="25"/>
    </row>
    <row r="29" spans="1:15" ht="15">
      <c r="A29" s="23">
        <v>26</v>
      </c>
      <c r="B29" s="24">
        <v>46321</v>
      </c>
      <c r="C29" s="100"/>
      <c r="D29" s="100"/>
      <c r="E29" s="33"/>
      <c r="F29" s="33"/>
      <c r="G29" s="33"/>
      <c r="H29" s="187"/>
      <c r="I29" s="187"/>
      <c r="J29" s="33">
        <f t="shared" si="7"/>
        <v>0</v>
      </c>
      <c r="K29" s="33">
        <f t="shared" si="8"/>
        <v>0</v>
      </c>
      <c r="L29" s="191"/>
      <c r="M29" s="188">
        <f t="shared" si="4"/>
        <v>75658</v>
      </c>
      <c r="N29" s="33"/>
      <c r="O29" s="25"/>
    </row>
    <row r="30" spans="1:15" ht="15">
      <c r="A30" s="23">
        <v>27</v>
      </c>
      <c r="B30" s="24">
        <v>46322</v>
      </c>
      <c r="C30" s="100"/>
      <c r="D30" s="100"/>
      <c r="E30" s="33"/>
      <c r="F30" s="33"/>
      <c r="G30" s="33"/>
      <c r="H30" s="187"/>
      <c r="I30" s="187"/>
      <c r="J30" s="33">
        <f t="shared" si="7"/>
        <v>0</v>
      </c>
      <c r="K30" s="33">
        <f t="shared" si="8"/>
        <v>0</v>
      </c>
      <c r="L30" s="191"/>
      <c r="M30" s="188">
        <f t="shared" si="4"/>
        <v>75658</v>
      </c>
      <c r="N30" s="33"/>
      <c r="O30" s="25"/>
    </row>
    <row r="31" spans="1:15" ht="15">
      <c r="A31" s="23">
        <v>28</v>
      </c>
      <c r="B31" s="24">
        <v>46323</v>
      </c>
      <c r="C31" s="100"/>
      <c r="D31" s="100"/>
      <c r="E31" s="33"/>
      <c r="F31" s="33"/>
      <c r="G31" s="33"/>
      <c r="H31" s="187"/>
      <c r="I31" s="187"/>
      <c r="J31" s="33">
        <f t="shared" si="7"/>
        <v>0</v>
      </c>
      <c r="K31" s="33">
        <f t="shared" si="8"/>
        <v>0</v>
      </c>
      <c r="L31" s="191"/>
      <c r="M31" s="188">
        <f t="shared" si="4"/>
        <v>75658</v>
      </c>
      <c r="N31" s="33"/>
      <c r="O31" s="25"/>
    </row>
    <row r="32" spans="1:15" ht="15">
      <c r="A32" s="23">
        <v>29</v>
      </c>
      <c r="B32" s="24">
        <v>46324</v>
      </c>
      <c r="C32" s="100"/>
      <c r="D32" s="100"/>
      <c r="E32" s="33"/>
      <c r="F32" s="33"/>
      <c r="G32" s="33">
        <f t="shared" ref="G32" si="9">E32*F32</f>
        <v>0</v>
      </c>
      <c r="H32" s="187">
        <v>0</v>
      </c>
      <c r="I32" s="187">
        <v>0</v>
      </c>
      <c r="J32" s="33">
        <f t="shared" si="7"/>
        <v>0</v>
      </c>
      <c r="K32" s="33">
        <f t="shared" si="8"/>
        <v>0</v>
      </c>
      <c r="L32" s="191"/>
      <c r="M32" s="188">
        <f t="shared" si="4"/>
        <v>75658</v>
      </c>
      <c r="N32" s="204"/>
      <c r="O32" s="25"/>
    </row>
    <row r="33" spans="1:15" ht="15">
      <c r="A33" s="23">
        <v>30</v>
      </c>
      <c r="B33" s="24">
        <v>46325</v>
      </c>
      <c r="C33" s="100"/>
      <c r="D33" s="100"/>
      <c r="E33" s="33"/>
      <c r="F33" s="33">
        <v>0</v>
      </c>
      <c r="G33" s="33">
        <f t="shared" si="0"/>
        <v>0</v>
      </c>
      <c r="H33" s="187">
        <v>0</v>
      </c>
      <c r="I33" s="187">
        <v>0</v>
      </c>
      <c r="J33" s="33">
        <f t="shared" si="1"/>
        <v>0</v>
      </c>
      <c r="K33" s="33">
        <f t="shared" si="2"/>
        <v>0</v>
      </c>
      <c r="L33" s="191"/>
      <c r="M33" s="188">
        <f t="shared" si="4"/>
        <v>75658</v>
      </c>
      <c r="N33" s="204"/>
      <c r="O33" s="25"/>
    </row>
    <row r="34" spans="1:15" ht="15">
      <c r="A34" s="23">
        <v>31</v>
      </c>
      <c r="B34" s="24">
        <v>46326</v>
      </c>
      <c r="C34" s="100"/>
      <c r="D34" s="100"/>
      <c r="E34" s="33"/>
      <c r="F34" s="33">
        <v>0</v>
      </c>
      <c r="G34" s="33">
        <f t="shared" ref="G34" si="10">E34*F34</f>
        <v>0</v>
      </c>
      <c r="H34" s="187"/>
      <c r="I34" s="187"/>
      <c r="J34" s="33">
        <f t="shared" ref="J34" si="11">H34*I34</f>
        <v>0</v>
      </c>
      <c r="K34" s="33">
        <f t="shared" ref="K34" si="12">G34+J34</f>
        <v>0</v>
      </c>
      <c r="L34" s="191"/>
      <c r="M34" s="204"/>
      <c r="N34" s="204"/>
      <c r="O34" s="25"/>
    </row>
    <row r="35" spans="1:15">
      <c r="A35" s="36"/>
      <c r="B35" s="36"/>
      <c r="C35" s="192"/>
      <c r="D35" s="192"/>
      <c r="E35" s="193">
        <f>SUM(E4:E34)</f>
        <v>0</v>
      </c>
      <c r="F35" s="193"/>
      <c r="G35" s="193">
        <f>SUM(G4:G34)</f>
        <v>0</v>
      </c>
      <c r="H35" s="193">
        <f>SUM(H4:H34)</f>
        <v>0</v>
      </c>
      <c r="I35" s="193"/>
      <c r="J35" s="193">
        <f>SUM(J4:J34)</f>
        <v>0</v>
      </c>
      <c r="K35" s="193">
        <f>SUM(K4:K34)</f>
        <v>0</v>
      </c>
      <c r="L35" s="193">
        <f>SUM(L4:L31)</f>
        <v>100000</v>
      </c>
      <c r="M35" s="193"/>
      <c r="N35" s="193"/>
      <c r="O35" s="30"/>
    </row>
    <row r="36" spans="1:15">
      <c r="A36" s="27"/>
      <c r="B36" s="27"/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5"/>
    </row>
    <row r="37" spans="1:15">
      <c r="A37" s="25"/>
      <c r="B37" s="25"/>
      <c r="C37" s="25"/>
      <c r="D37" s="25"/>
      <c r="E37" s="25"/>
      <c r="F37" s="25"/>
      <c r="G37" s="28"/>
      <c r="H37" s="25"/>
      <c r="I37" s="25"/>
      <c r="J37" s="25"/>
      <c r="K37" s="25"/>
      <c r="L37" s="25"/>
      <c r="M37" s="25"/>
      <c r="N37" s="25"/>
      <c r="O37" s="29"/>
    </row>
    <row r="38" spans="1:15">
      <c r="A38" s="25"/>
      <c r="B38" s="628"/>
      <c r="C38" s="628"/>
      <c r="D38" s="628"/>
      <c r="E38" s="628"/>
      <c r="F38" s="25"/>
      <c r="G38" s="25"/>
      <c r="H38" s="25"/>
      <c r="I38" s="628"/>
      <c r="J38" s="628"/>
      <c r="K38" s="628"/>
      <c r="L38" s="628"/>
      <c r="M38" s="628"/>
      <c r="N38" s="628"/>
      <c r="O38" s="29"/>
    </row>
    <row r="39" spans="1: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9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G41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2" width="11.85546875" bestFit="1" customWidth="1"/>
    <col min="13" max="13" width="13.5703125" bestFit="1" customWidth="1"/>
    <col min="14" max="14" width="25.28515625" bestFit="1" customWidth="1"/>
  </cols>
  <sheetData>
    <row r="1" spans="1:33">
      <c r="A1" s="629" t="s">
        <v>100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ht="27">
      <c r="A2" s="554" t="s">
        <v>0</v>
      </c>
      <c r="B2" s="555" t="s">
        <v>167</v>
      </c>
      <c r="C2" s="555" t="s">
        <v>168</v>
      </c>
      <c r="D2" s="555" t="s">
        <v>169</v>
      </c>
      <c r="E2" s="555" t="s">
        <v>170</v>
      </c>
      <c r="F2" s="555" t="s">
        <v>171</v>
      </c>
      <c r="G2" s="555" t="s">
        <v>172</v>
      </c>
      <c r="H2" s="555" t="s">
        <v>173</v>
      </c>
      <c r="I2" s="555" t="s">
        <v>171</v>
      </c>
      <c r="J2" s="556" t="s">
        <v>172</v>
      </c>
      <c r="K2" s="555" t="s">
        <v>174</v>
      </c>
      <c r="L2" s="556" t="s">
        <v>175</v>
      </c>
      <c r="M2" s="557" t="s">
        <v>190</v>
      </c>
      <c r="N2" s="558" t="s">
        <v>177</v>
      </c>
      <c r="O2" s="30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</row>
    <row r="3" spans="1:33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30"/>
      <c r="K3" s="26"/>
      <c r="L3" s="40"/>
      <c r="M3" s="106">
        <v>305951.7599030002</v>
      </c>
      <c r="N3" s="40"/>
      <c r="O3" s="30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1:33">
      <c r="A4" s="23">
        <v>1</v>
      </c>
      <c r="B4" s="24">
        <v>46296</v>
      </c>
      <c r="C4" s="41" t="s">
        <v>180</v>
      </c>
      <c r="D4" s="42" t="s">
        <v>180</v>
      </c>
      <c r="E4" s="41"/>
      <c r="F4" s="41"/>
      <c r="G4" s="40">
        <f>E4*F4</f>
        <v>0</v>
      </c>
      <c r="H4" s="41"/>
      <c r="I4" s="41"/>
      <c r="J4" s="43">
        <f t="shared" ref="J4" si="0">H4*I4</f>
        <v>0</v>
      </c>
      <c r="K4" s="40">
        <f t="shared" ref="K4:L5" si="1">G4+J4</f>
        <v>0</v>
      </c>
      <c r="L4" s="40"/>
      <c r="M4" s="43">
        <f>M3+K4-L4</f>
        <v>305951.7599030002</v>
      </c>
      <c r="N4" s="98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1:33">
      <c r="A5" s="23"/>
      <c r="B5" s="24">
        <v>46297</v>
      </c>
      <c r="C5" s="41"/>
      <c r="D5" s="42"/>
      <c r="E5" s="41"/>
      <c r="F5" s="41"/>
      <c r="G5" s="40">
        <f t="shared" ref="G4:G5" si="2">E5*F5</f>
        <v>0</v>
      </c>
      <c r="H5" s="41"/>
      <c r="I5" s="41"/>
      <c r="J5" s="43"/>
      <c r="K5" s="40">
        <f t="shared" si="1"/>
        <v>0</v>
      </c>
      <c r="L5" s="40"/>
      <c r="M5" s="43">
        <f>M4+K5-L5</f>
        <v>305951.7599030002</v>
      </c>
      <c r="N5" s="98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1:33">
      <c r="A6" s="23">
        <v>2</v>
      </c>
      <c r="B6" s="24">
        <v>46298</v>
      </c>
      <c r="C6" s="41" t="s">
        <v>180</v>
      </c>
      <c r="D6" s="42" t="s">
        <v>180</v>
      </c>
      <c r="E6" s="41">
        <v>1000</v>
      </c>
      <c r="F6" s="41">
        <v>99.14</v>
      </c>
      <c r="G6" s="40">
        <f t="shared" ref="G6:G36" si="3">E6*F6</f>
        <v>99140</v>
      </c>
      <c r="H6" s="41">
        <v>70</v>
      </c>
      <c r="I6" s="41">
        <v>111.24</v>
      </c>
      <c r="J6" s="43">
        <f t="shared" ref="J6:J36" si="4">H6*I6</f>
        <v>7786.7999999999993</v>
      </c>
      <c r="K6" s="40">
        <f t="shared" ref="K6:L36" si="5">G6+J6</f>
        <v>106926.8</v>
      </c>
      <c r="L6" s="40"/>
      <c r="M6" s="43">
        <f t="shared" ref="M6:M38" si="6">M5+K6-L6</f>
        <v>412878.55990300019</v>
      </c>
      <c r="N6" s="9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 spans="1:33">
      <c r="A7" s="23">
        <v>3</v>
      </c>
      <c r="B7" s="24">
        <v>46299</v>
      </c>
      <c r="C7" s="41" t="s">
        <v>180</v>
      </c>
      <c r="D7" s="42" t="s">
        <v>180</v>
      </c>
      <c r="E7" s="41"/>
      <c r="F7" s="41"/>
      <c r="G7" s="40">
        <f t="shared" si="3"/>
        <v>0</v>
      </c>
      <c r="H7" s="41"/>
      <c r="I7" s="41"/>
      <c r="J7" s="43">
        <f t="shared" si="4"/>
        <v>0</v>
      </c>
      <c r="K7" s="40">
        <f t="shared" si="5"/>
        <v>0</v>
      </c>
      <c r="L7" s="40"/>
      <c r="M7" s="43">
        <f t="shared" si="6"/>
        <v>412878.55990300019</v>
      </c>
      <c r="N7" s="98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 spans="1:33">
      <c r="A8" s="23">
        <v>4</v>
      </c>
      <c r="B8" s="24">
        <v>46300</v>
      </c>
      <c r="C8" s="41" t="s">
        <v>180</v>
      </c>
      <c r="D8" s="42" t="s">
        <v>180</v>
      </c>
      <c r="E8" s="41"/>
      <c r="F8" s="41"/>
      <c r="G8" s="40">
        <f t="shared" ref="G8:G17" si="7">E8*F8</f>
        <v>0</v>
      </c>
      <c r="H8" s="41"/>
      <c r="I8" s="41"/>
      <c r="J8" s="43">
        <f t="shared" si="4"/>
        <v>0</v>
      </c>
      <c r="K8" s="40">
        <f t="shared" si="5"/>
        <v>0</v>
      </c>
      <c r="L8" s="40"/>
      <c r="M8" s="43">
        <f t="shared" si="6"/>
        <v>412878.55990300019</v>
      </c>
      <c r="N8" s="103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>
      <c r="A9" s="23">
        <v>5</v>
      </c>
      <c r="B9" s="24">
        <v>46301</v>
      </c>
      <c r="C9" s="41" t="s">
        <v>180</v>
      </c>
      <c r="D9" s="42" t="s">
        <v>180</v>
      </c>
      <c r="E9" s="41">
        <v>1200</v>
      </c>
      <c r="F9" s="41">
        <v>99.14</v>
      </c>
      <c r="G9" s="40">
        <f t="shared" si="3"/>
        <v>118968</v>
      </c>
      <c r="H9" s="41"/>
      <c r="I9" s="41"/>
      <c r="J9" s="43">
        <f t="shared" si="4"/>
        <v>0</v>
      </c>
      <c r="K9" s="43">
        <f>G9+J9</f>
        <v>118968</v>
      </c>
      <c r="L9" s="40"/>
      <c r="M9" s="43">
        <f t="shared" si="6"/>
        <v>531846.55990300025</v>
      </c>
      <c r="N9" s="98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>
      <c r="A10" s="23">
        <v>6</v>
      </c>
      <c r="B10" s="24">
        <v>46302</v>
      </c>
      <c r="C10" s="41" t="s">
        <v>180</v>
      </c>
      <c r="D10" s="42" t="s">
        <v>180</v>
      </c>
      <c r="E10" s="41"/>
      <c r="F10" s="41"/>
      <c r="G10" s="40">
        <f t="shared" ref="G9:G37" si="8">E10*F10</f>
        <v>0</v>
      </c>
      <c r="H10" s="41"/>
      <c r="I10" s="41"/>
      <c r="J10" s="43">
        <f t="shared" si="4"/>
        <v>0</v>
      </c>
      <c r="K10" s="40">
        <f t="shared" si="5"/>
        <v>0</v>
      </c>
      <c r="L10" s="40"/>
      <c r="M10" s="43">
        <f t="shared" si="6"/>
        <v>531846.55990300025</v>
      </c>
      <c r="N10" s="103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>
      <c r="A11" s="23">
        <v>7</v>
      </c>
      <c r="B11" s="24">
        <v>46303</v>
      </c>
      <c r="C11" s="41" t="s">
        <v>180</v>
      </c>
      <c r="D11" s="42" t="s">
        <v>180</v>
      </c>
      <c r="E11" s="41"/>
      <c r="F11" s="41"/>
      <c r="G11" s="40">
        <f t="shared" si="8"/>
        <v>0</v>
      </c>
      <c r="H11" s="41"/>
      <c r="I11" s="41"/>
      <c r="J11" s="43">
        <f t="shared" si="4"/>
        <v>0</v>
      </c>
      <c r="K11" s="40">
        <f t="shared" si="5"/>
        <v>0</v>
      </c>
      <c r="L11" s="40">
        <v>200000</v>
      </c>
      <c r="M11" s="43">
        <f t="shared" si="6"/>
        <v>331846.55990300025</v>
      </c>
      <c r="N11" s="98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>
      <c r="A12" s="23">
        <v>8</v>
      </c>
      <c r="B12" s="24">
        <v>46304</v>
      </c>
      <c r="C12" s="41" t="s">
        <v>180</v>
      </c>
      <c r="D12" s="42" t="s">
        <v>180</v>
      </c>
      <c r="E12" s="41"/>
      <c r="F12" s="41"/>
      <c r="G12" s="40">
        <f t="shared" si="8"/>
        <v>0</v>
      </c>
      <c r="H12" s="41"/>
      <c r="I12" s="41"/>
      <c r="J12" s="43">
        <f t="shared" si="4"/>
        <v>0</v>
      </c>
      <c r="K12" s="40">
        <f t="shared" si="5"/>
        <v>0</v>
      </c>
      <c r="L12" s="40"/>
      <c r="M12" s="43">
        <f t="shared" si="6"/>
        <v>331846.55990300025</v>
      </c>
      <c r="N12" s="102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1:33">
      <c r="A13" s="23">
        <v>9</v>
      </c>
      <c r="B13" s="24">
        <v>46305</v>
      </c>
      <c r="C13" s="41" t="s">
        <v>180</v>
      </c>
      <c r="D13" s="42" t="s">
        <v>180</v>
      </c>
      <c r="E13" s="41">
        <v>1200</v>
      </c>
      <c r="F13" s="41">
        <v>99.14</v>
      </c>
      <c r="G13" s="40">
        <f t="shared" si="8"/>
        <v>118968</v>
      </c>
      <c r="H13" s="41">
        <v>105</v>
      </c>
      <c r="I13" s="41">
        <v>111.24</v>
      </c>
      <c r="J13" s="43">
        <f t="shared" si="4"/>
        <v>11680.199999999999</v>
      </c>
      <c r="K13" s="40">
        <f t="shared" si="5"/>
        <v>130648.2</v>
      </c>
      <c r="L13" s="40">
        <v>150000</v>
      </c>
      <c r="M13" s="43">
        <f t="shared" si="6"/>
        <v>312494.75990300026</v>
      </c>
      <c r="N13" s="98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r="14" spans="1:33">
      <c r="A14" s="23">
        <v>10</v>
      </c>
      <c r="B14" s="24">
        <v>46306</v>
      </c>
      <c r="C14" s="41" t="s">
        <v>180</v>
      </c>
      <c r="D14" s="42" t="s">
        <v>180</v>
      </c>
      <c r="E14" s="41"/>
      <c r="F14" s="41"/>
      <c r="G14" s="40">
        <f t="shared" si="8"/>
        <v>0</v>
      </c>
      <c r="H14" s="41"/>
      <c r="I14" s="41"/>
      <c r="J14" s="43">
        <f t="shared" si="4"/>
        <v>0</v>
      </c>
      <c r="K14" s="40">
        <f t="shared" si="5"/>
        <v>0</v>
      </c>
      <c r="L14" s="40"/>
      <c r="M14" s="43">
        <f t="shared" si="6"/>
        <v>312494.75990300026</v>
      </c>
      <c r="N14" s="98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>
      <c r="A15" s="23">
        <v>11</v>
      </c>
      <c r="B15" s="24">
        <v>46307</v>
      </c>
      <c r="C15" s="41" t="s">
        <v>180</v>
      </c>
      <c r="D15" s="42" t="s">
        <v>180</v>
      </c>
      <c r="E15" s="41"/>
      <c r="F15" s="41"/>
      <c r="G15" s="40">
        <f t="shared" si="8"/>
        <v>0</v>
      </c>
      <c r="H15" s="41"/>
      <c r="I15" s="41"/>
      <c r="J15" s="43">
        <f t="shared" si="4"/>
        <v>0</v>
      </c>
      <c r="K15" s="40">
        <f t="shared" si="5"/>
        <v>0</v>
      </c>
      <c r="L15" s="40"/>
      <c r="M15" s="43">
        <f t="shared" si="6"/>
        <v>312494.75990300026</v>
      </c>
      <c r="N15" s="98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 spans="1:33">
      <c r="A16" s="23">
        <v>12</v>
      </c>
      <c r="B16" s="24">
        <v>46308</v>
      </c>
      <c r="C16" s="41"/>
      <c r="D16" s="42"/>
      <c r="E16" s="41"/>
      <c r="F16" s="41"/>
      <c r="G16" s="40">
        <f t="shared" si="8"/>
        <v>0</v>
      </c>
      <c r="H16" s="41"/>
      <c r="I16" s="41"/>
      <c r="J16" s="43">
        <f t="shared" si="4"/>
        <v>0</v>
      </c>
      <c r="K16" s="40">
        <f t="shared" si="5"/>
        <v>0</v>
      </c>
      <c r="L16" s="40"/>
      <c r="M16" s="43">
        <f t="shared" si="6"/>
        <v>312494.75990300026</v>
      </c>
      <c r="N16" s="9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>
      <c r="A17" s="23">
        <v>13</v>
      </c>
      <c r="B17" s="24">
        <v>46309</v>
      </c>
      <c r="C17" s="41" t="s">
        <v>180</v>
      </c>
      <c r="D17" s="42" t="s">
        <v>180</v>
      </c>
      <c r="E17" s="41">
        <v>1200</v>
      </c>
      <c r="F17" s="41">
        <v>99.14</v>
      </c>
      <c r="G17" s="40">
        <f t="shared" si="8"/>
        <v>118968</v>
      </c>
      <c r="H17" s="41">
        <v>35</v>
      </c>
      <c r="I17" s="41">
        <v>111.24</v>
      </c>
      <c r="J17" s="43">
        <f t="shared" si="4"/>
        <v>3893.3999999999996</v>
      </c>
      <c r="K17" s="40">
        <f t="shared" si="5"/>
        <v>122861.4</v>
      </c>
      <c r="L17" s="40"/>
      <c r="M17" s="43">
        <f t="shared" si="6"/>
        <v>435356.15990300023</v>
      </c>
      <c r="N17" s="9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>
      <c r="A18" s="23">
        <v>14</v>
      </c>
      <c r="B18" s="24">
        <v>46310</v>
      </c>
      <c r="C18" s="41" t="s">
        <v>180</v>
      </c>
      <c r="D18" s="42" t="s">
        <v>180</v>
      </c>
      <c r="E18" s="41"/>
      <c r="F18" s="41"/>
      <c r="G18" s="40">
        <f t="shared" si="8"/>
        <v>0</v>
      </c>
      <c r="H18" s="41"/>
      <c r="I18" s="41"/>
      <c r="J18" s="43">
        <f t="shared" si="4"/>
        <v>0</v>
      </c>
      <c r="K18" s="40">
        <f t="shared" si="5"/>
        <v>0</v>
      </c>
      <c r="L18" s="40">
        <v>250000</v>
      </c>
      <c r="M18" s="43">
        <f t="shared" si="6"/>
        <v>185356.15990300023</v>
      </c>
      <c r="N18" s="98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 spans="1:33">
      <c r="A19" s="23">
        <v>15</v>
      </c>
      <c r="B19" s="24">
        <v>46311</v>
      </c>
      <c r="C19" s="41" t="s">
        <v>180</v>
      </c>
      <c r="D19" s="42" t="s">
        <v>180</v>
      </c>
      <c r="E19" s="41"/>
      <c r="F19" s="41"/>
      <c r="G19" s="40">
        <f t="shared" si="8"/>
        <v>0</v>
      </c>
      <c r="H19" s="41"/>
      <c r="I19" s="41"/>
      <c r="J19" s="43">
        <f t="shared" si="4"/>
        <v>0</v>
      </c>
      <c r="K19" s="40">
        <f t="shared" si="5"/>
        <v>0</v>
      </c>
      <c r="L19" s="40"/>
      <c r="M19" s="43">
        <f t="shared" si="6"/>
        <v>185356.15990300023</v>
      </c>
      <c r="N19" s="43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>
      <c r="A20" s="23">
        <v>16</v>
      </c>
      <c r="B20" s="24">
        <v>46312</v>
      </c>
      <c r="C20" s="41" t="s">
        <v>180</v>
      </c>
      <c r="D20" s="42" t="s">
        <v>180</v>
      </c>
      <c r="E20" s="41"/>
      <c r="F20" s="41"/>
      <c r="G20" s="40">
        <f t="shared" si="8"/>
        <v>0</v>
      </c>
      <c r="H20" s="41"/>
      <c r="I20" s="41"/>
      <c r="J20" s="43">
        <f t="shared" si="4"/>
        <v>0</v>
      </c>
      <c r="K20" s="40">
        <f t="shared" si="5"/>
        <v>0</v>
      </c>
      <c r="L20" s="40"/>
      <c r="M20" s="43">
        <f t="shared" si="6"/>
        <v>185356.15990300023</v>
      </c>
      <c r="N20" s="98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 spans="1:33">
      <c r="A21" s="23">
        <v>17</v>
      </c>
      <c r="B21" s="24">
        <v>46313</v>
      </c>
      <c r="C21" s="41" t="s">
        <v>180</v>
      </c>
      <c r="D21" s="42" t="s">
        <v>180</v>
      </c>
      <c r="E21" s="41"/>
      <c r="F21" s="41"/>
      <c r="G21" s="40">
        <f t="shared" si="8"/>
        <v>0</v>
      </c>
      <c r="H21" s="413"/>
      <c r="I21" s="41"/>
      <c r="J21" s="43">
        <f t="shared" si="4"/>
        <v>0</v>
      </c>
      <c r="K21" s="40">
        <f t="shared" si="5"/>
        <v>0</v>
      </c>
      <c r="L21" s="40"/>
      <c r="M21" s="43">
        <f t="shared" si="6"/>
        <v>185356.15990300023</v>
      </c>
      <c r="N21" s="98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1:33">
      <c r="A22" s="23">
        <v>18</v>
      </c>
      <c r="B22" s="24">
        <v>46314</v>
      </c>
      <c r="C22" s="41" t="s">
        <v>180</v>
      </c>
      <c r="D22" s="42" t="s">
        <v>180</v>
      </c>
      <c r="E22" s="41"/>
      <c r="F22" s="41"/>
      <c r="G22" s="40">
        <f t="shared" si="8"/>
        <v>0</v>
      </c>
      <c r="H22" s="41"/>
      <c r="I22" s="41"/>
      <c r="J22" s="43">
        <f t="shared" si="4"/>
        <v>0</v>
      </c>
      <c r="K22" s="40">
        <f t="shared" si="5"/>
        <v>0</v>
      </c>
      <c r="L22" s="40"/>
      <c r="M22" s="43">
        <f t="shared" si="6"/>
        <v>185356.15990300023</v>
      </c>
      <c r="N22" s="98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>
      <c r="A23" s="23">
        <v>19</v>
      </c>
      <c r="B23" s="24">
        <v>46315</v>
      </c>
      <c r="C23" s="41" t="s">
        <v>180</v>
      </c>
      <c r="D23" s="42" t="s">
        <v>180</v>
      </c>
      <c r="E23" s="41"/>
      <c r="F23" s="41"/>
      <c r="G23" s="40">
        <f t="shared" si="8"/>
        <v>0</v>
      </c>
      <c r="H23" s="41"/>
      <c r="I23" s="41"/>
      <c r="J23" s="43">
        <f t="shared" si="4"/>
        <v>0</v>
      </c>
      <c r="K23" s="40">
        <f t="shared" si="5"/>
        <v>0</v>
      </c>
      <c r="L23" s="40"/>
      <c r="M23" s="43">
        <f t="shared" si="6"/>
        <v>185356.15990300023</v>
      </c>
      <c r="N23" s="98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1:33">
      <c r="A24" s="23">
        <v>20</v>
      </c>
      <c r="B24" s="24">
        <v>46316</v>
      </c>
      <c r="C24" s="41" t="s">
        <v>180</v>
      </c>
      <c r="D24" s="42" t="s">
        <v>180</v>
      </c>
      <c r="E24" s="41"/>
      <c r="F24" s="41"/>
      <c r="G24" s="40">
        <f t="shared" si="8"/>
        <v>0</v>
      </c>
      <c r="H24" s="41"/>
      <c r="I24" s="41"/>
      <c r="J24" s="43">
        <f t="shared" si="4"/>
        <v>0</v>
      </c>
      <c r="K24" s="40">
        <f t="shared" si="5"/>
        <v>0</v>
      </c>
      <c r="L24" s="40"/>
      <c r="M24" s="43">
        <f t="shared" si="6"/>
        <v>185356.15990300023</v>
      </c>
      <c r="N24" s="98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1:33">
      <c r="A25" s="23">
        <v>21</v>
      </c>
      <c r="B25" s="24">
        <v>46317</v>
      </c>
      <c r="C25" s="41" t="s">
        <v>180</v>
      </c>
      <c r="D25" s="42" t="s">
        <v>180</v>
      </c>
      <c r="E25" s="41"/>
      <c r="F25" s="41"/>
      <c r="G25" s="40">
        <f t="shared" si="8"/>
        <v>0</v>
      </c>
      <c r="H25" s="41"/>
      <c r="I25" s="41"/>
      <c r="J25" s="43">
        <f t="shared" si="4"/>
        <v>0</v>
      </c>
      <c r="K25" s="40">
        <f t="shared" si="5"/>
        <v>0</v>
      </c>
      <c r="L25" s="40"/>
      <c r="M25" s="43">
        <f t="shared" si="6"/>
        <v>185356.15990300023</v>
      </c>
      <c r="N25" s="98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>
      <c r="A26" s="23">
        <v>22</v>
      </c>
      <c r="B26" s="24">
        <v>46318</v>
      </c>
      <c r="C26" s="41" t="s">
        <v>180</v>
      </c>
      <c r="D26" s="42" t="s">
        <v>180</v>
      </c>
      <c r="E26" s="41"/>
      <c r="F26" s="41"/>
      <c r="G26" s="40">
        <f t="shared" si="8"/>
        <v>0</v>
      </c>
      <c r="H26" s="41"/>
      <c r="I26" s="41"/>
      <c r="J26" s="43">
        <f t="shared" si="4"/>
        <v>0</v>
      </c>
      <c r="K26" s="40">
        <f t="shared" si="5"/>
        <v>0</v>
      </c>
      <c r="L26" s="40"/>
      <c r="M26" s="43">
        <f t="shared" si="6"/>
        <v>185356.15990300023</v>
      </c>
      <c r="N26" s="98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</row>
    <row r="27" spans="1:33">
      <c r="A27" s="23">
        <v>23</v>
      </c>
      <c r="B27" s="24">
        <v>46319</v>
      </c>
      <c r="C27" s="41" t="s">
        <v>180</v>
      </c>
      <c r="D27" s="42" t="s">
        <v>180</v>
      </c>
      <c r="E27" s="41"/>
      <c r="F27" s="41"/>
      <c r="G27" s="40">
        <f t="shared" si="8"/>
        <v>0</v>
      </c>
      <c r="H27" s="41"/>
      <c r="I27" s="41"/>
      <c r="J27" s="43">
        <f t="shared" si="4"/>
        <v>0</v>
      </c>
      <c r="K27" s="40">
        <f t="shared" si="5"/>
        <v>0</v>
      </c>
      <c r="L27" s="40"/>
      <c r="M27" s="43">
        <f t="shared" si="6"/>
        <v>185356.15990300023</v>
      </c>
      <c r="N27" s="98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1:33">
      <c r="A28" s="23">
        <v>24</v>
      </c>
      <c r="B28" s="24">
        <v>46320</v>
      </c>
      <c r="C28" s="41" t="s">
        <v>180</v>
      </c>
      <c r="D28" s="42" t="s">
        <v>180</v>
      </c>
      <c r="E28" s="41"/>
      <c r="F28" s="41"/>
      <c r="G28" s="40">
        <f t="shared" si="8"/>
        <v>0</v>
      </c>
      <c r="H28" s="41"/>
      <c r="I28" s="41"/>
      <c r="J28" s="43">
        <f t="shared" si="4"/>
        <v>0</v>
      </c>
      <c r="K28" s="40">
        <f t="shared" si="5"/>
        <v>0</v>
      </c>
      <c r="L28" s="40"/>
      <c r="M28" s="43">
        <f t="shared" si="6"/>
        <v>185356.15990300023</v>
      </c>
      <c r="N28" s="98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3">
      <c r="A29" s="23">
        <v>25</v>
      </c>
      <c r="B29" s="24">
        <v>46321</v>
      </c>
      <c r="C29" s="41" t="s">
        <v>180</v>
      </c>
      <c r="D29" s="42" t="s">
        <v>180</v>
      </c>
      <c r="E29" s="41"/>
      <c r="F29" s="41"/>
      <c r="G29" s="40">
        <f t="shared" si="8"/>
        <v>0</v>
      </c>
      <c r="H29" s="41"/>
      <c r="I29" s="41"/>
      <c r="J29" s="43">
        <f t="shared" si="4"/>
        <v>0</v>
      </c>
      <c r="K29" s="40">
        <f t="shared" si="5"/>
        <v>0</v>
      </c>
      <c r="L29" s="40"/>
      <c r="M29" s="43">
        <f t="shared" si="6"/>
        <v>185356.15990300023</v>
      </c>
      <c r="N29" s="9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 spans="1:33">
      <c r="A30" s="23">
        <v>26</v>
      </c>
      <c r="B30" s="24">
        <v>46322</v>
      </c>
      <c r="C30" s="41"/>
      <c r="D30" s="42"/>
      <c r="E30" s="41"/>
      <c r="F30" s="41"/>
      <c r="G30" s="40">
        <f t="shared" si="8"/>
        <v>0</v>
      </c>
      <c r="H30" s="41"/>
      <c r="I30" s="41"/>
      <c r="J30" s="43">
        <f t="shared" si="4"/>
        <v>0</v>
      </c>
      <c r="K30" s="40">
        <f t="shared" si="5"/>
        <v>0</v>
      </c>
      <c r="L30" s="40"/>
      <c r="M30" s="43">
        <f t="shared" si="6"/>
        <v>185356.15990300023</v>
      </c>
      <c r="N30" s="98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 spans="1:33">
      <c r="A31" s="23">
        <v>27</v>
      </c>
      <c r="B31" s="24">
        <v>46323</v>
      </c>
      <c r="C31" s="41"/>
      <c r="D31" s="42"/>
      <c r="E31" s="41"/>
      <c r="F31" s="41"/>
      <c r="G31" s="40">
        <f t="shared" si="8"/>
        <v>0</v>
      </c>
      <c r="H31" s="41"/>
      <c r="I31" s="41"/>
      <c r="J31" s="43">
        <f t="shared" si="4"/>
        <v>0</v>
      </c>
      <c r="K31" s="40">
        <f t="shared" si="5"/>
        <v>0</v>
      </c>
      <c r="L31" s="40"/>
      <c r="M31" s="43">
        <f t="shared" si="6"/>
        <v>185356.15990300023</v>
      </c>
      <c r="N31" s="98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 spans="1:33">
      <c r="A32" s="23">
        <v>28</v>
      </c>
      <c r="B32" s="24">
        <v>46324</v>
      </c>
      <c r="C32" s="41" t="s">
        <v>180</v>
      </c>
      <c r="D32" s="42" t="s">
        <v>180</v>
      </c>
      <c r="E32" s="41"/>
      <c r="F32" s="41"/>
      <c r="G32" s="40">
        <f t="shared" si="8"/>
        <v>0</v>
      </c>
      <c r="H32" s="41"/>
      <c r="I32" s="41"/>
      <c r="J32" s="43">
        <f t="shared" si="4"/>
        <v>0</v>
      </c>
      <c r="K32" s="40">
        <f t="shared" si="5"/>
        <v>0</v>
      </c>
      <c r="L32" s="40"/>
      <c r="M32" s="43">
        <f t="shared" si="6"/>
        <v>185356.15990300023</v>
      </c>
      <c r="N32" s="98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 spans="1:33">
      <c r="A33" s="23">
        <v>29</v>
      </c>
      <c r="B33" s="24">
        <v>46325</v>
      </c>
      <c r="C33" s="41" t="s">
        <v>180</v>
      </c>
      <c r="D33" s="42" t="s">
        <v>180</v>
      </c>
      <c r="E33" s="41"/>
      <c r="F33" s="41"/>
      <c r="G33" s="40">
        <f t="shared" si="8"/>
        <v>0</v>
      </c>
      <c r="H33" s="41"/>
      <c r="I33" s="41"/>
      <c r="J33" s="43">
        <f t="shared" si="4"/>
        <v>0</v>
      </c>
      <c r="K33" s="40">
        <f t="shared" si="5"/>
        <v>0</v>
      </c>
      <c r="L33" s="40"/>
      <c r="M33" s="43">
        <f t="shared" si="6"/>
        <v>185356.15990300023</v>
      </c>
      <c r="N33" s="9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1:33">
      <c r="A34" s="23">
        <v>30</v>
      </c>
      <c r="B34" s="24">
        <v>46326</v>
      </c>
      <c r="C34" s="41" t="s">
        <v>180</v>
      </c>
      <c r="D34" s="42" t="s">
        <v>180</v>
      </c>
      <c r="E34" s="41"/>
      <c r="F34" s="41"/>
      <c r="G34" s="40">
        <f t="shared" si="8"/>
        <v>0</v>
      </c>
      <c r="H34" s="41"/>
      <c r="I34" s="41"/>
      <c r="J34" s="43">
        <f t="shared" si="4"/>
        <v>0</v>
      </c>
      <c r="K34" s="40">
        <f t="shared" si="5"/>
        <v>0</v>
      </c>
      <c r="L34" s="40"/>
      <c r="M34" s="43">
        <f t="shared" si="6"/>
        <v>185356.15990300023</v>
      </c>
      <c r="N34" s="9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1:33">
      <c r="A35" s="23">
        <v>31</v>
      </c>
      <c r="B35" s="24"/>
      <c r="C35" s="40"/>
      <c r="D35" s="42" t="s">
        <v>180</v>
      </c>
      <c r="E35" s="41"/>
      <c r="F35" s="41"/>
      <c r="G35" s="40">
        <f t="shared" si="8"/>
        <v>0</v>
      </c>
      <c r="H35" s="41"/>
      <c r="I35" s="41"/>
      <c r="J35" s="43">
        <f t="shared" si="4"/>
        <v>0</v>
      </c>
      <c r="K35" s="40">
        <f t="shared" si="5"/>
        <v>0</v>
      </c>
      <c r="L35" s="40"/>
      <c r="M35" s="43">
        <f t="shared" si="6"/>
        <v>185356.15990300023</v>
      </c>
      <c r="N35" s="9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 spans="1:33">
      <c r="A36" s="23">
        <v>32</v>
      </c>
      <c r="B36" s="24"/>
      <c r="C36" s="40"/>
      <c r="D36" s="42" t="s">
        <v>180</v>
      </c>
      <c r="E36" s="41"/>
      <c r="F36" s="41"/>
      <c r="G36" s="40">
        <f t="shared" si="8"/>
        <v>0</v>
      </c>
      <c r="H36" s="41"/>
      <c r="I36" s="41"/>
      <c r="J36" s="43">
        <f t="shared" si="4"/>
        <v>0</v>
      </c>
      <c r="K36" s="40">
        <f t="shared" si="5"/>
        <v>0</v>
      </c>
      <c r="L36" s="40"/>
      <c r="M36" s="43">
        <f t="shared" si="6"/>
        <v>185356.15990300023</v>
      </c>
      <c r="N36" s="98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>
      <c r="A37" s="23">
        <v>33</v>
      </c>
      <c r="B37" s="24"/>
      <c r="C37" s="40"/>
      <c r="D37" s="42" t="s">
        <v>180</v>
      </c>
      <c r="E37" s="41"/>
      <c r="F37" s="41"/>
      <c r="G37" s="40">
        <f t="shared" si="8"/>
        <v>0</v>
      </c>
      <c r="H37" s="41"/>
      <c r="I37" s="41"/>
      <c r="J37" s="43">
        <f t="shared" ref="J6:J37" si="9">H37*I37</f>
        <v>0</v>
      </c>
      <c r="K37" s="40">
        <f t="shared" ref="K6:K38" si="10">G37+J37</f>
        <v>0</v>
      </c>
      <c r="L37" s="40"/>
      <c r="M37" s="43">
        <f t="shared" si="6"/>
        <v>185356.15990300023</v>
      </c>
      <c r="N37" s="98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>
      <c r="A38" s="23">
        <v>34</v>
      </c>
      <c r="B38" s="24"/>
      <c r="C38" s="40"/>
      <c r="D38" s="42" t="s">
        <v>180</v>
      </c>
      <c r="E38" s="41"/>
      <c r="F38" s="41"/>
      <c r="G38" s="40">
        <f t="shared" ref="G6:G38" si="11">E38*F38</f>
        <v>0</v>
      </c>
      <c r="H38" s="41"/>
      <c r="I38" s="41"/>
      <c r="J38" s="43">
        <f t="shared" ref="J6:J38" si="12">H38*I38</f>
        <v>0</v>
      </c>
      <c r="K38" s="40">
        <f t="shared" si="10"/>
        <v>0</v>
      </c>
      <c r="L38" s="101"/>
      <c r="M38" s="43">
        <f t="shared" si="6"/>
        <v>185356.15990300023</v>
      </c>
      <c r="N38" s="9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33">
      <c r="A39" s="36"/>
      <c r="B39" s="36"/>
      <c r="C39" s="36"/>
      <c r="D39" s="36"/>
      <c r="E39" s="37">
        <f>SUM(E4:E38)</f>
        <v>4600</v>
      </c>
      <c r="F39" s="37"/>
      <c r="G39" s="37">
        <f>SUM(G4:G38)</f>
        <v>456044</v>
      </c>
      <c r="H39" s="37">
        <f>SUM(H4:H38)</f>
        <v>210</v>
      </c>
      <c r="I39" s="37"/>
      <c r="J39" s="37">
        <f>SUM(J4:J38)</f>
        <v>23360.400000000001</v>
      </c>
      <c r="K39" s="37">
        <f>SUM(K4:K38)</f>
        <v>479404.4</v>
      </c>
      <c r="L39" s="37">
        <f>SUM(L4:L38)</f>
        <v>600000</v>
      </c>
      <c r="M39" s="37"/>
      <c r="N39" s="37"/>
      <c r="O39" s="30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60B-2832-46A0-9F46-5DA983B0C51D}">
  <dimension ref="A1:AG41"/>
  <sheetViews>
    <sheetView workbookViewId="0">
      <pane ySplit="3" topLeftCell="A4" activePane="bottomLeft" state="frozen"/>
      <selection pane="bottomLeft" activeCell="L14" sqref="L14:M14"/>
    </sheetView>
  </sheetViews>
  <sheetFormatPr defaultRowHeight="15"/>
  <cols>
    <col min="2" max="2" width="10.140625" customWidth="1"/>
    <col min="7" max="7" width="11.7109375" customWidth="1"/>
    <col min="11" max="11" width="10.7109375" customWidth="1"/>
    <col min="12" max="12" width="10.28515625" customWidth="1"/>
    <col min="13" max="13" width="11.7109375" customWidth="1"/>
  </cols>
  <sheetData>
    <row r="1" spans="1:33">
      <c r="A1" s="629" t="s">
        <v>199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ht="27">
      <c r="A2" s="81" t="s">
        <v>0</v>
      </c>
      <c r="B2" s="82" t="s">
        <v>167</v>
      </c>
      <c r="C2" s="82" t="s">
        <v>168</v>
      </c>
      <c r="D2" s="82" t="s">
        <v>169</v>
      </c>
      <c r="E2" s="82" t="s">
        <v>170</v>
      </c>
      <c r="F2" s="82" t="s">
        <v>171</v>
      </c>
      <c r="G2" s="82" t="s">
        <v>172</v>
      </c>
      <c r="H2" s="82" t="s">
        <v>173</v>
      </c>
      <c r="I2" s="82" t="s">
        <v>171</v>
      </c>
      <c r="J2" s="105" t="s">
        <v>172</v>
      </c>
      <c r="K2" s="82" t="s">
        <v>174</v>
      </c>
      <c r="L2" s="105" t="s">
        <v>175</v>
      </c>
      <c r="M2" s="104" t="s">
        <v>190</v>
      </c>
      <c r="N2" s="83" t="s">
        <v>177</v>
      </c>
      <c r="O2" s="30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</row>
    <row r="3" spans="1:33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30"/>
      <c r="K3" s="26">
        <v>255923.31919999997</v>
      </c>
      <c r="L3" s="40"/>
      <c r="M3" s="106">
        <v>255923.31919999997</v>
      </c>
      <c r="N3" s="40"/>
      <c r="O3" s="30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1:33">
      <c r="A4" s="23">
        <v>1</v>
      </c>
      <c r="B4" s="24">
        <v>46296</v>
      </c>
      <c r="C4" s="41" t="s">
        <v>180</v>
      </c>
      <c r="D4" s="42" t="s">
        <v>180</v>
      </c>
      <c r="E4" s="41"/>
      <c r="F4" s="41"/>
      <c r="G4" s="40">
        <f>E4*F4</f>
        <v>0</v>
      </c>
      <c r="H4" s="41"/>
      <c r="I4" s="41"/>
      <c r="J4" s="43">
        <f>H4*I4</f>
        <v>0</v>
      </c>
      <c r="K4" s="43">
        <f>G4+J4</f>
        <v>0</v>
      </c>
      <c r="L4" s="40"/>
      <c r="M4" s="43">
        <f>M3+K4-L4</f>
        <v>255923.31919999997</v>
      </c>
      <c r="N4" s="40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1:33">
      <c r="A5" s="23"/>
      <c r="B5" s="24">
        <v>46297</v>
      </c>
      <c r="C5" s="41"/>
      <c r="D5" s="42"/>
      <c r="E5" s="41"/>
      <c r="F5" s="41"/>
      <c r="G5" s="40">
        <f t="shared" ref="G5:G38" si="0">E5*F5</f>
        <v>0</v>
      </c>
      <c r="H5" s="41"/>
      <c r="I5" s="41"/>
      <c r="J5" s="43">
        <f>H5*I5</f>
        <v>0</v>
      </c>
      <c r="K5" s="43">
        <f t="shared" ref="K5:K38" si="1">G5+J5</f>
        <v>0</v>
      </c>
      <c r="L5" s="40"/>
      <c r="M5" s="43">
        <f>M4+K5-L5</f>
        <v>255923.31919999997</v>
      </c>
      <c r="N5" s="40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1:33">
      <c r="A6" s="23">
        <v>2</v>
      </c>
      <c r="B6" s="24">
        <v>46298</v>
      </c>
      <c r="C6" s="41" t="s">
        <v>180</v>
      </c>
      <c r="D6" s="42" t="s">
        <v>180</v>
      </c>
      <c r="E6" s="41"/>
      <c r="F6" s="41"/>
      <c r="G6" s="40">
        <f t="shared" si="0"/>
        <v>0</v>
      </c>
      <c r="H6" s="41"/>
      <c r="I6" s="41"/>
      <c r="J6" s="43">
        <f>H6*I6</f>
        <v>0</v>
      </c>
      <c r="K6" s="43">
        <f t="shared" si="1"/>
        <v>0</v>
      </c>
      <c r="L6" s="40"/>
      <c r="M6" s="43">
        <f>M4+K6-L6</f>
        <v>255923.31919999997</v>
      </c>
      <c r="N6" s="40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 spans="1:33">
      <c r="A7" s="23">
        <v>3</v>
      </c>
      <c r="B7" s="24">
        <v>46299</v>
      </c>
      <c r="C7" s="41" t="s">
        <v>180</v>
      </c>
      <c r="D7" s="42" t="s">
        <v>180</v>
      </c>
      <c r="E7" s="41"/>
      <c r="F7" s="41"/>
      <c r="G7" s="40">
        <f t="shared" si="0"/>
        <v>0</v>
      </c>
      <c r="H7" s="41"/>
      <c r="I7" s="41"/>
      <c r="J7" s="43">
        <f>H7*I7</f>
        <v>0</v>
      </c>
      <c r="K7" s="43">
        <f t="shared" si="1"/>
        <v>0</v>
      </c>
      <c r="L7" s="40"/>
      <c r="M7" s="43">
        <f t="shared" ref="M7:M38" si="2">M6+K7-L7</f>
        <v>255923.31919999997</v>
      </c>
      <c r="N7" s="40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 spans="1:33">
      <c r="A8" s="23">
        <v>4</v>
      </c>
      <c r="B8" s="24">
        <v>46300</v>
      </c>
      <c r="C8" s="41" t="s">
        <v>180</v>
      </c>
      <c r="D8" s="42" t="s">
        <v>180</v>
      </c>
      <c r="E8" s="41">
        <v>800</v>
      </c>
      <c r="F8" s="41">
        <v>99.02</v>
      </c>
      <c r="G8" s="40">
        <f t="shared" si="0"/>
        <v>79216</v>
      </c>
      <c r="H8" s="41">
        <v>35</v>
      </c>
      <c r="I8" s="41">
        <v>111.12</v>
      </c>
      <c r="J8" s="43">
        <f>H8*I8</f>
        <v>3889.2000000000003</v>
      </c>
      <c r="K8" s="43">
        <f t="shared" si="1"/>
        <v>83105.2</v>
      </c>
      <c r="L8" s="40"/>
      <c r="M8" s="43">
        <f t="shared" si="2"/>
        <v>339028.51919999998</v>
      </c>
      <c r="N8" s="103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>
      <c r="A9" s="23">
        <v>5</v>
      </c>
      <c r="B9" s="24">
        <v>46301</v>
      </c>
      <c r="C9" s="41" t="s">
        <v>180</v>
      </c>
      <c r="D9" s="42" t="s">
        <v>180</v>
      </c>
      <c r="E9" s="41"/>
      <c r="F9" s="41"/>
      <c r="G9" s="40">
        <f t="shared" si="0"/>
        <v>0</v>
      </c>
      <c r="H9" s="41"/>
      <c r="I9" s="41"/>
      <c r="J9" s="43">
        <f>H9*I9</f>
        <v>0</v>
      </c>
      <c r="K9" s="43">
        <f t="shared" si="1"/>
        <v>0</v>
      </c>
      <c r="L9" s="40"/>
      <c r="M9" s="43">
        <f t="shared" si="2"/>
        <v>339028.51919999998</v>
      </c>
      <c r="N9" s="98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>
      <c r="A10" s="23">
        <v>6</v>
      </c>
      <c r="B10" s="24">
        <v>46302</v>
      </c>
      <c r="C10" s="41" t="s">
        <v>180</v>
      </c>
      <c r="D10" s="42" t="s">
        <v>180</v>
      </c>
      <c r="E10" s="41"/>
      <c r="F10" s="41"/>
      <c r="G10" s="40">
        <f t="shared" si="0"/>
        <v>0</v>
      </c>
      <c r="H10" s="41"/>
      <c r="I10" s="41"/>
      <c r="J10" s="43">
        <f>H10*I10</f>
        <v>0</v>
      </c>
      <c r="K10" s="43">
        <f t="shared" si="1"/>
        <v>0</v>
      </c>
      <c r="L10" s="40"/>
      <c r="M10" s="43">
        <f t="shared" si="2"/>
        <v>339028.51919999998</v>
      </c>
      <c r="N10" s="103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>
      <c r="A11" s="23">
        <v>7</v>
      </c>
      <c r="B11" s="24">
        <v>46303</v>
      </c>
      <c r="C11" s="41" t="s">
        <v>180</v>
      </c>
      <c r="D11" s="42" t="s">
        <v>180</v>
      </c>
      <c r="E11" s="41"/>
      <c r="F11" s="41"/>
      <c r="G11" s="40">
        <f t="shared" si="0"/>
        <v>0</v>
      </c>
      <c r="H11" s="41"/>
      <c r="I11" s="41"/>
      <c r="J11" s="43">
        <f>H11*I11</f>
        <v>0</v>
      </c>
      <c r="K11" s="43">
        <f t="shared" si="1"/>
        <v>0</v>
      </c>
      <c r="L11" s="40"/>
      <c r="M11" s="43">
        <f t="shared" si="2"/>
        <v>339028.51919999998</v>
      </c>
      <c r="N11" s="98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>
      <c r="A12" s="23">
        <v>8</v>
      </c>
      <c r="B12" s="24">
        <v>46304</v>
      </c>
      <c r="C12" s="41" t="s">
        <v>180</v>
      </c>
      <c r="D12" s="42" t="s">
        <v>180</v>
      </c>
      <c r="E12" s="41"/>
      <c r="F12" s="41"/>
      <c r="G12" s="40">
        <f t="shared" si="0"/>
        <v>0</v>
      </c>
      <c r="H12" s="41"/>
      <c r="I12" s="41"/>
      <c r="J12" s="43">
        <f>H12*I12</f>
        <v>0</v>
      </c>
      <c r="K12" s="43">
        <f t="shared" si="1"/>
        <v>0</v>
      </c>
      <c r="L12" s="40"/>
      <c r="M12" s="43">
        <f t="shared" si="2"/>
        <v>339028.51919999998</v>
      </c>
      <c r="N12" s="102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1:33">
      <c r="A13" s="23">
        <v>9</v>
      </c>
      <c r="B13" s="24">
        <v>46305</v>
      </c>
      <c r="C13" s="41" t="s">
        <v>180</v>
      </c>
      <c r="D13" s="42" t="s">
        <v>180</v>
      </c>
      <c r="E13" s="41"/>
      <c r="F13" s="41"/>
      <c r="G13" s="40">
        <f t="shared" si="0"/>
        <v>0</v>
      </c>
      <c r="H13" s="41"/>
      <c r="I13" s="41"/>
      <c r="J13" s="43">
        <f>H13*I13</f>
        <v>0</v>
      </c>
      <c r="K13" s="43">
        <f t="shared" si="1"/>
        <v>0</v>
      </c>
      <c r="L13" s="40"/>
      <c r="M13" s="43">
        <f t="shared" si="2"/>
        <v>339028.51919999998</v>
      </c>
      <c r="N13" s="98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r="14" spans="1:33">
      <c r="A14" s="23">
        <v>10</v>
      </c>
      <c r="B14" s="24">
        <v>46306</v>
      </c>
      <c r="C14" s="41" t="s">
        <v>180</v>
      </c>
      <c r="D14" s="42" t="s">
        <v>180</v>
      </c>
      <c r="E14" s="41"/>
      <c r="F14" s="41"/>
      <c r="G14" s="40">
        <f t="shared" si="0"/>
        <v>0</v>
      </c>
      <c r="H14" s="41"/>
      <c r="I14" s="41"/>
      <c r="J14" s="43">
        <f>H14*I14</f>
        <v>0</v>
      </c>
      <c r="K14" s="43">
        <f t="shared" si="1"/>
        <v>0</v>
      </c>
      <c r="L14" s="40">
        <v>200000</v>
      </c>
      <c r="M14" s="43">
        <f t="shared" si="2"/>
        <v>139028.51919999998</v>
      </c>
      <c r="N14" s="98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>
      <c r="A15" s="23">
        <v>11</v>
      </c>
      <c r="B15" s="24">
        <v>46307</v>
      </c>
      <c r="C15" s="41" t="s">
        <v>180</v>
      </c>
      <c r="D15" s="42" t="s">
        <v>180</v>
      </c>
      <c r="E15" s="41"/>
      <c r="F15" s="41"/>
      <c r="G15" s="40">
        <f t="shared" si="0"/>
        <v>0</v>
      </c>
      <c r="H15" s="41"/>
      <c r="I15" s="41"/>
      <c r="J15" s="43">
        <f>H15*I15</f>
        <v>0</v>
      </c>
      <c r="K15" s="43">
        <f t="shared" si="1"/>
        <v>0</v>
      </c>
      <c r="L15" s="40"/>
      <c r="M15" s="43">
        <f t="shared" si="2"/>
        <v>139028.51919999998</v>
      </c>
      <c r="N15" s="98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 spans="1:33">
      <c r="A16" s="23">
        <v>12</v>
      </c>
      <c r="B16" s="24">
        <v>46308</v>
      </c>
      <c r="C16" s="41"/>
      <c r="D16" s="42"/>
      <c r="E16" s="41"/>
      <c r="F16" s="41"/>
      <c r="G16" s="40">
        <f t="shared" si="0"/>
        <v>0</v>
      </c>
      <c r="H16" s="41"/>
      <c r="I16" s="41"/>
      <c r="J16" s="43">
        <f>H16*I16</f>
        <v>0</v>
      </c>
      <c r="K16" s="43">
        <f t="shared" si="1"/>
        <v>0</v>
      </c>
      <c r="L16" s="40"/>
      <c r="M16" s="43">
        <f t="shared" si="2"/>
        <v>139028.51919999998</v>
      </c>
      <c r="N16" s="9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>
      <c r="A17" s="23">
        <v>13</v>
      </c>
      <c r="B17" s="24">
        <v>46309</v>
      </c>
      <c r="C17" s="41" t="s">
        <v>180</v>
      </c>
      <c r="D17" s="42" t="s">
        <v>180</v>
      </c>
      <c r="E17" s="41"/>
      <c r="F17" s="41"/>
      <c r="G17" s="40">
        <f t="shared" si="0"/>
        <v>0</v>
      </c>
      <c r="H17" s="41"/>
      <c r="I17" s="41"/>
      <c r="J17" s="43">
        <f t="shared" ref="J6:J38" si="3">H17*I17</f>
        <v>0</v>
      </c>
      <c r="K17" s="43">
        <f t="shared" si="1"/>
        <v>0</v>
      </c>
      <c r="L17" s="40"/>
      <c r="M17" s="43">
        <f t="shared" si="2"/>
        <v>139028.51919999998</v>
      </c>
      <c r="N17" s="9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>
      <c r="A18" s="23">
        <v>14</v>
      </c>
      <c r="B18" s="24">
        <v>46310</v>
      </c>
      <c r="C18" s="41" t="s">
        <v>180</v>
      </c>
      <c r="D18" s="42" t="s">
        <v>180</v>
      </c>
      <c r="E18" s="41"/>
      <c r="F18" s="41"/>
      <c r="G18" s="40">
        <f t="shared" si="0"/>
        <v>0</v>
      </c>
      <c r="H18" s="41"/>
      <c r="I18" s="41"/>
      <c r="J18" s="43">
        <f t="shared" si="3"/>
        <v>0</v>
      </c>
      <c r="K18" s="43">
        <f t="shared" si="1"/>
        <v>0</v>
      </c>
      <c r="L18" s="40"/>
      <c r="M18" s="43">
        <f t="shared" si="2"/>
        <v>139028.51919999998</v>
      </c>
      <c r="N18" s="98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 spans="1:33">
      <c r="A19" s="23">
        <v>15</v>
      </c>
      <c r="B19" s="24">
        <v>46311</v>
      </c>
      <c r="C19" s="41" t="s">
        <v>180</v>
      </c>
      <c r="D19" s="42" t="s">
        <v>180</v>
      </c>
      <c r="E19" s="41"/>
      <c r="F19" s="41"/>
      <c r="G19" s="40">
        <f t="shared" si="0"/>
        <v>0</v>
      </c>
      <c r="H19" s="41"/>
      <c r="I19" s="41"/>
      <c r="J19" s="43">
        <f t="shared" si="3"/>
        <v>0</v>
      </c>
      <c r="K19" s="43">
        <f t="shared" si="1"/>
        <v>0</v>
      </c>
      <c r="L19" s="40"/>
      <c r="M19" s="43">
        <f t="shared" si="2"/>
        <v>139028.51919999998</v>
      </c>
      <c r="N19" s="43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>
      <c r="A20" s="23">
        <v>16</v>
      </c>
      <c r="B20" s="24">
        <v>46312</v>
      </c>
      <c r="C20" s="41" t="s">
        <v>180</v>
      </c>
      <c r="D20" s="42" t="s">
        <v>180</v>
      </c>
      <c r="E20" s="41"/>
      <c r="F20" s="41"/>
      <c r="G20" s="40">
        <f t="shared" si="0"/>
        <v>0</v>
      </c>
      <c r="H20" s="41"/>
      <c r="I20" s="41"/>
      <c r="J20" s="43">
        <f t="shared" si="3"/>
        <v>0</v>
      </c>
      <c r="K20" s="43">
        <f t="shared" si="1"/>
        <v>0</v>
      </c>
      <c r="L20" s="40"/>
      <c r="M20" s="43">
        <f t="shared" si="2"/>
        <v>139028.51919999998</v>
      </c>
      <c r="N20" s="98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 spans="1:33">
      <c r="A21" s="23">
        <v>17</v>
      </c>
      <c r="B21" s="24">
        <v>46313</v>
      </c>
      <c r="C21" s="41" t="s">
        <v>180</v>
      </c>
      <c r="D21" s="42" t="s">
        <v>180</v>
      </c>
      <c r="E21" s="41"/>
      <c r="F21" s="41"/>
      <c r="G21" s="40">
        <f t="shared" si="0"/>
        <v>0</v>
      </c>
      <c r="H21" s="41"/>
      <c r="I21" s="41"/>
      <c r="J21" s="43">
        <f t="shared" si="3"/>
        <v>0</v>
      </c>
      <c r="K21" s="43">
        <f t="shared" si="1"/>
        <v>0</v>
      </c>
      <c r="L21" s="40"/>
      <c r="M21" s="43">
        <f t="shared" si="2"/>
        <v>139028.51919999998</v>
      </c>
      <c r="N21" s="98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1:33">
      <c r="A22" s="23">
        <v>18</v>
      </c>
      <c r="B22" s="24">
        <v>46314</v>
      </c>
      <c r="C22" s="41" t="s">
        <v>180</v>
      </c>
      <c r="D22" s="42" t="s">
        <v>180</v>
      </c>
      <c r="E22" s="41"/>
      <c r="F22" s="41"/>
      <c r="G22" s="40">
        <f t="shared" si="0"/>
        <v>0</v>
      </c>
      <c r="H22" s="41"/>
      <c r="I22" s="41"/>
      <c r="J22" s="43">
        <f t="shared" si="3"/>
        <v>0</v>
      </c>
      <c r="K22" s="43">
        <f t="shared" si="1"/>
        <v>0</v>
      </c>
      <c r="L22" s="40"/>
      <c r="M22" s="43">
        <f t="shared" si="2"/>
        <v>139028.51919999998</v>
      </c>
      <c r="N22" s="98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>
      <c r="A23" s="23">
        <v>19</v>
      </c>
      <c r="B23" s="24">
        <v>46315</v>
      </c>
      <c r="C23" s="41" t="s">
        <v>180</v>
      </c>
      <c r="D23" s="42" t="s">
        <v>180</v>
      </c>
      <c r="E23" s="41"/>
      <c r="F23" s="41"/>
      <c r="G23" s="40">
        <f t="shared" si="0"/>
        <v>0</v>
      </c>
      <c r="H23" s="41"/>
      <c r="I23" s="41"/>
      <c r="J23" s="43">
        <f t="shared" si="3"/>
        <v>0</v>
      </c>
      <c r="K23" s="43">
        <f t="shared" si="1"/>
        <v>0</v>
      </c>
      <c r="L23" s="40"/>
      <c r="M23" s="43">
        <f t="shared" si="2"/>
        <v>139028.51919999998</v>
      </c>
      <c r="N23" s="98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1:33">
      <c r="A24" s="23">
        <v>20</v>
      </c>
      <c r="B24" s="24">
        <v>46316</v>
      </c>
      <c r="C24" s="41" t="s">
        <v>180</v>
      </c>
      <c r="D24" s="42" t="s">
        <v>180</v>
      </c>
      <c r="E24" s="41"/>
      <c r="F24" s="41"/>
      <c r="G24" s="40">
        <f t="shared" si="0"/>
        <v>0</v>
      </c>
      <c r="H24" s="41"/>
      <c r="I24" s="41"/>
      <c r="J24" s="43">
        <f t="shared" si="3"/>
        <v>0</v>
      </c>
      <c r="K24" s="43">
        <f t="shared" si="1"/>
        <v>0</v>
      </c>
      <c r="L24" s="40"/>
      <c r="M24" s="43">
        <f t="shared" si="2"/>
        <v>139028.51919999998</v>
      </c>
      <c r="N24" s="98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1:33">
      <c r="A25" s="23">
        <v>21</v>
      </c>
      <c r="B25" s="24">
        <v>46317</v>
      </c>
      <c r="C25" s="41" t="s">
        <v>180</v>
      </c>
      <c r="D25" s="42" t="s">
        <v>180</v>
      </c>
      <c r="E25" s="41"/>
      <c r="F25" s="41"/>
      <c r="G25" s="40">
        <f t="shared" si="0"/>
        <v>0</v>
      </c>
      <c r="H25" s="41"/>
      <c r="I25" s="41"/>
      <c r="J25" s="43">
        <f t="shared" si="3"/>
        <v>0</v>
      </c>
      <c r="K25" s="43">
        <f t="shared" si="1"/>
        <v>0</v>
      </c>
      <c r="L25" s="40"/>
      <c r="M25" s="43">
        <f t="shared" si="2"/>
        <v>139028.51919999998</v>
      </c>
      <c r="N25" s="98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>
      <c r="A26" s="23">
        <v>22</v>
      </c>
      <c r="B26" s="24">
        <v>46318</v>
      </c>
      <c r="C26" s="41" t="s">
        <v>180</v>
      </c>
      <c r="D26" s="42" t="s">
        <v>180</v>
      </c>
      <c r="E26" s="41"/>
      <c r="F26" s="41"/>
      <c r="G26" s="40">
        <f t="shared" si="0"/>
        <v>0</v>
      </c>
      <c r="H26" s="41"/>
      <c r="I26" s="41"/>
      <c r="J26" s="43">
        <f t="shared" si="3"/>
        <v>0</v>
      </c>
      <c r="K26" s="43">
        <f t="shared" si="1"/>
        <v>0</v>
      </c>
      <c r="L26" s="40"/>
      <c r="M26" s="43">
        <f t="shared" si="2"/>
        <v>139028.51919999998</v>
      </c>
      <c r="N26" s="98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</row>
    <row r="27" spans="1:33">
      <c r="A27" s="23">
        <v>23</v>
      </c>
      <c r="B27" s="24">
        <v>46319</v>
      </c>
      <c r="C27" s="41" t="s">
        <v>180</v>
      </c>
      <c r="D27" s="42" t="s">
        <v>180</v>
      </c>
      <c r="E27" s="41"/>
      <c r="F27" s="41"/>
      <c r="G27" s="40">
        <f t="shared" si="0"/>
        <v>0</v>
      </c>
      <c r="H27" s="41"/>
      <c r="I27" s="41"/>
      <c r="J27" s="43">
        <f t="shared" si="3"/>
        <v>0</v>
      </c>
      <c r="K27" s="43">
        <f t="shared" si="1"/>
        <v>0</v>
      </c>
      <c r="L27" s="40"/>
      <c r="M27" s="43">
        <f t="shared" si="2"/>
        <v>139028.51919999998</v>
      </c>
      <c r="N27" s="98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1:33">
      <c r="A28" s="23">
        <v>24</v>
      </c>
      <c r="B28" s="24">
        <v>46320</v>
      </c>
      <c r="C28" s="41" t="s">
        <v>180</v>
      </c>
      <c r="D28" s="42" t="s">
        <v>180</v>
      </c>
      <c r="E28" s="41"/>
      <c r="F28" s="41"/>
      <c r="G28" s="40">
        <f t="shared" si="0"/>
        <v>0</v>
      </c>
      <c r="H28" s="41"/>
      <c r="I28" s="41"/>
      <c r="J28" s="43">
        <f t="shared" si="3"/>
        <v>0</v>
      </c>
      <c r="K28" s="43">
        <f t="shared" si="1"/>
        <v>0</v>
      </c>
      <c r="L28" s="40"/>
      <c r="M28" s="43">
        <f t="shared" si="2"/>
        <v>139028.51919999998</v>
      </c>
      <c r="N28" s="98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3">
      <c r="A29" s="23">
        <v>25</v>
      </c>
      <c r="B29" s="24">
        <v>46321</v>
      </c>
      <c r="C29" s="41" t="s">
        <v>180</v>
      </c>
      <c r="D29" s="42" t="s">
        <v>180</v>
      </c>
      <c r="E29" s="41"/>
      <c r="F29" s="41"/>
      <c r="G29" s="40">
        <f t="shared" si="0"/>
        <v>0</v>
      </c>
      <c r="H29" s="41"/>
      <c r="I29" s="41"/>
      <c r="J29" s="43">
        <f t="shared" si="3"/>
        <v>0</v>
      </c>
      <c r="K29" s="43">
        <f t="shared" si="1"/>
        <v>0</v>
      </c>
      <c r="L29" s="40"/>
      <c r="M29" s="43">
        <f t="shared" si="2"/>
        <v>139028.51919999998</v>
      </c>
      <c r="N29" s="9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 spans="1:33">
      <c r="A30" s="23">
        <v>26</v>
      </c>
      <c r="B30" s="24">
        <v>46322</v>
      </c>
      <c r="C30" s="41"/>
      <c r="D30" s="42"/>
      <c r="E30" s="41"/>
      <c r="F30" s="41"/>
      <c r="G30" s="40">
        <f t="shared" si="0"/>
        <v>0</v>
      </c>
      <c r="H30" s="41"/>
      <c r="I30" s="41"/>
      <c r="J30" s="43">
        <f t="shared" si="3"/>
        <v>0</v>
      </c>
      <c r="K30" s="43">
        <f t="shared" si="1"/>
        <v>0</v>
      </c>
      <c r="L30" s="40"/>
      <c r="M30" s="43">
        <f t="shared" si="2"/>
        <v>139028.51919999998</v>
      </c>
      <c r="N30" s="98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 spans="1:33">
      <c r="A31" s="23">
        <v>27</v>
      </c>
      <c r="B31" s="24">
        <v>46323</v>
      </c>
      <c r="C31" s="41"/>
      <c r="D31" s="42"/>
      <c r="E31" s="41"/>
      <c r="F31" s="41"/>
      <c r="G31" s="40">
        <f t="shared" si="0"/>
        <v>0</v>
      </c>
      <c r="H31" s="41"/>
      <c r="I31" s="41"/>
      <c r="J31" s="43">
        <f>H31*I31</f>
        <v>0</v>
      </c>
      <c r="K31" s="43">
        <f t="shared" si="1"/>
        <v>0</v>
      </c>
      <c r="L31" s="40"/>
      <c r="M31" s="43">
        <f t="shared" si="2"/>
        <v>139028.51919999998</v>
      </c>
      <c r="N31" s="98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 spans="1:33">
      <c r="A32" s="23">
        <v>28</v>
      </c>
      <c r="B32" s="24">
        <v>46324</v>
      </c>
      <c r="C32" s="41" t="s">
        <v>180</v>
      </c>
      <c r="D32" s="42" t="s">
        <v>180</v>
      </c>
      <c r="E32" s="41"/>
      <c r="F32" s="41"/>
      <c r="G32" s="40">
        <f t="shared" si="0"/>
        <v>0</v>
      </c>
      <c r="H32" s="41"/>
      <c r="I32" s="41"/>
      <c r="J32" s="43">
        <f t="shared" si="3"/>
        <v>0</v>
      </c>
      <c r="K32" s="43">
        <f t="shared" si="1"/>
        <v>0</v>
      </c>
      <c r="L32" s="40"/>
      <c r="M32" s="43">
        <f t="shared" si="2"/>
        <v>139028.51919999998</v>
      </c>
      <c r="N32" s="98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 spans="1:33">
      <c r="A33" s="23">
        <v>29</v>
      </c>
      <c r="B33" s="24">
        <v>46325</v>
      </c>
      <c r="C33" s="41" t="s">
        <v>180</v>
      </c>
      <c r="D33" s="42" t="s">
        <v>180</v>
      </c>
      <c r="E33" s="41"/>
      <c r="F33" s="41"/>
      <c r="G33" s="40">
        <f t="shared" si="0"/>
        <v>0</v>
      </c>
      <c r="H33" s="41"/>
      <c r="I33" s="41"/>
      <c r="J33" s="43">
        <f t="shared" si="3"/>
        <v>0</v>
      </c>
      <c r="K33" s="43">
        <f t="shared" si="1"/>
        <v>0</v>
      </c>
      <c r="L33" s="40"/>
      <c r="M33" s="43">
        <f t="shared" si="2"/>
        <v>139028.51919999998</v>
      </c>
      <c r="N33" s="9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1:33">
      <c r="A34" s="23">
        <v>30</v>
      </c>
      <c r="B34" s="24">
        <v>46326</v>
      </c>
      <c r="C34" s="41" t="s">
        <v>180</v>
      </c>
      <c r="D34" s="42" t="s">
        <v>180</v>
      </c>
      <c r="E34" s="41"/>
      <c r="F34" s="41"/>
      <c r="G34" s="40">
        <f>E34*F34</f>
        <v>0</v>
      </c>
      <c r="H34" s="41"/>
      <c r="I34" s="41"/>
      <c r="J34" s="43">
        <f>H34*I34</f>
        <v>0</v>
      </c>
      <c r="K34" s="43">
        <f t="shared" si="1"/>
        <v>0</v>
      </c>
      <c r="L34" s="40"/>
      <c r="M34" s="43">
        <f t="shared" si="2"/>
        <v>139028.51919999998</v>
      </c>
      <c r="N34" s="9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1:33">
      <c r="A35" s="23">
        <v>31</v>
      </c>
      <c r="B35" s="24"/>
      <c r="C35" s="40"/>
      <c r="D35" s="42" t="s">
        <v>180</v>
      </c>
      <c r="E35" s="41"/>
      <c r="F35" s="41"/>
      <c r="G35" s="40">
        <f>E35*F35</f>
        <v>0</v>
      </c>
      <c r="H35" s="41"/>
      <c r="I35" s="41"/>
      <c r="J35" s="43">
        <f t="shared" si="3"/>
        <v>0</v>
      </c>
      <c r="K35" s="43">
        <f t="shared" si="1"/>
        <v>0</v>
      </c>
      <c r="L35" s="40"/>
      <c r="M35" s="43">
        <f t="shared" si="2"/>
        <v>139028.51919999998</v>
      </c>
      <c r="N35" s="9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 spans="1:33">
      <c r="A36" s="23">
        <v>32</v>
      </c>
      <c r="B36" s="24"/>
      <c r="C36" s="40"/>
      <c r="D36" s="42" t="s">
        <v>180</v>
      </c>
      <c r="E36" s="41"/>
      <c r="F36" s="41"/>
      <c r="G36" s="40">
        <f t="shared" si="0"/>
        <v>0</v>
      </c>
      <c r="H36" s="41"/>
      <c r="I36" s="41"/>
      <c r="J36" s="43">
        <f t="shared" si="3"/>
        <v>0</v>
      </c>
      <c r="K36" s="43">
        <f t="shared" si="1"/>
        <v>0</v>
      </c>
      <c r="L36" s="40"/>
      <c r="M36" s="43">
        <f t="shared" si="2"/>
        <v>139028.51919999998</v>
      </c>
      <c r="N36" s="98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>
      <c r="A37" s="23">
        <v>33</v>
      </c>
      <c r="B37" s="24"/>
      <c r="C37" s="40"/>
      <c r="D37" s="42" t="s">
        <v>180</v>
      </c>
      <c r="E37" s="41"/>
      <c r="F37" s="41"/>
      <c r="G37" s="40">
        <f t="shared" si="0"/>
        <v>0</v>
      </c>
      <c r="H37" s="41"/>
      <c r="I37" s="41"/>
      <c r="J37" s="43">
        <f t="shared" si="3"/>
        <v>0</v>
      </c>
      <c r="K37" s="43">
        <f t="shared" si="1"/>
        <v>0</v>
      </c>
      <c r="L37" s="40"/>
      <c r="M37" s="43">
        <f t="shared" si="2"/>
        <v>139028.51919999998</v>
      </c>
      <c r="N37" s="98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>
      <c r="A38" s="23">
        <v>34</v>
      </c>
      <c r="B38" s="24"/>
      <c r="C38" s="40"/>
      <c r="D38" s="42" t="s">
        <v>180</v>
      </c>
      <c r="E38" s="41"/>
      <c r="F38" s="41"/>
      <c r="G38" s="40">
        <f t="shared" si="0"/>
        <v>0</v>
      </c>
      <c r="H38" s="41"/>
      <c r="I38" s="41"/>
      <c r="J38" s="43">
        <f t="shared" si="3"/>
        <v>0</v>
      </c>
      <c r="K38" s="43">
        <f t="shared" si="1"/>
        <v>0</v>
      </c>
      <c r="L38" s="101"/>
      <c r="M38" s="43">
        <f t="shared" si="2"/>
        <v>139028.51919999998</v>
      </c>
      <c r="N38" s="9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33">
      <c r="A39" s="36"/>
      <c r="B39" s="36"/>
      <c r="C39" s="36"/>
      <c r="D39" s="36"/>
      <c r="E39" s="37">
        <f>SUM(E4:E38)</f>
        <v>800</v>
      </c>
      <c r="F39" s="37"/>
      <c r="G39" s="37">
        <f>SUM(G4:G38)</f>
        <v>79216</v>
      </c>
      <c r="H39" s="37">
        <f>SUM(H4:H38)</f>
        <v>35</v>
      </c>
      <c r="I39" s="37"/>
      <c r="J39" s="37">
        <f>SUM(J4:J38)</f>
        <v>3889.2000000000003</v>
      </c>
      <c r="K39" s="37">
        <f>SUM(K4:K38)</f>
        <v>83105.2</v>
      </c>
      <c r="L39" s="37">
        <f>SUM(L4:L38)</f>
        <v>200000</v>
      </c>
      <c r="M39" s="37"/>
      <c r="N39" s="37"/>
      <c r="O39" s="30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abSelected="1" workbookViewId="0">
      <pane ySplit="3" topLeftCell="A4" activePane="bottomLeft" state="frozen"/>
      <selection pane="bottomLeft" activeCell="M19" sqref="M19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4" max="14" width="14.85546875" bestFit="1" customWidth="1"/>
    <col min="16" max="16" width="10" customWidth="1"/>
  </cols>
  <sheetData>
    <row r="1" spans="1:14" ht="15.75" customHeight="1">
      <c r="A1" s="631" t="s">
        <v>103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ht="25.5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99" t="s">
        <v>174</v>
      </c>
      <c r="L2" s="99" t="s">
        <v>175</v>
      </c>
      <c r="M2" s="99" t="s">
        <v>190</v>
      </c>
      <c r="N2" s="99" t="s">
        <v>177</v>
      </c>
    </row>
    <row r="3" spans="1:14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2"/>
      <c r="K3">
        <v>126009.99409999978</v>
      </c>
      <c r="L3" s="141"/>
      <c r="M3" s="141">
        <v>126009.99409999978</v>
      </c>
      <c r="N3" s="100"/>
    </row>
    <row r="4" spans="1:14">
      <c r="A4" s="23">
        <v>1</v>
      </c>
      <c r="B4" s="24">
        <v>46296</v>
      </c>
      <c r="C4" s="100"/>
      <c r="D4" s="114"/>
      <c r="E4" s="33"/>
      <c r="F4" s="33"/>
      <c r="G4" s="33">
        <f>E4*F4</f>
        <v>0</v>
      </c>
      <c r="H4" s="115"/>
      <c r="I4" s="115"/>
      <c r="J4" s="33">
        <f>H4*I4</f>
        <v>0</v>
      </c>
      <c r="K4" s="33">
        <f>G4+J4</f>
        <v>0</v>
      </c>
      <c r="L4" s="33"/>
      <c r="M4" s="33">
        <f t="shared" ref="M4:M33" si="0">M3+K4-L4</f>
        <v>126009.99409999978</v>
      </c>
      <c r="N4" s="100"/>
    </row>
    <row r="5" spans="1:14">
      <c r="A5" s="23">
        <v>2</v>
      </c>
      <c r="B5" s="24">
        <v>46297</v>
      </c>
      <c r="C5" s="100"/>
      <c r="D5" s="114"/>
      <c r="E5" s="33"/>
      <c r="F5" s="33"/>
      <c r="G5" s="33">
        <f t="shared" ref="G5:G31" si="1">E5*F5</f>
        <v>0</v>
      </c>
      <c r="H5" s="115"/>
      <c r="I5" s="115"/>
      <c r="J5" s="33">
        <f t="shared" ref="J5:J31" si="2">H5*I5</f>
        <v>0</v>
      </c>
      <c r="K5" s="33">
        <f t="shared" ref="K5:K31" si="3">G5+J5</f>
        <v>0</v>
      </c>
      <c r="L5" s="33"/>
      <c r="M5" s="33">
        <f t="shared" si="0"/>
        <v>126009.99409999978</v>
      </c>
      <c r="N5" s="100"/>
    </row>
    <row r="6" spans="1:14">
      <c r="A6" s="23">
        <v>3</v>
      </c>
      <c r="B6" s="24">
        <v>46298</v>
      </c>
      <c r="C6" s="100"/>
      <c r="D6" s="114"/>
      <c r="E6" s="33"/>
      <c r="F6" s="33"/>
      <c r="G6" s="33">
        <f t="shared" si="1"/>
        <v>0</v>
      </c>
      <c r="H6" s="115"/>
      <c r="I6" s="115"/>
      <c r="J6" s="33">
        <f t="shared" si="2"/>
        <v>0</v>
      </c>
      <c r="K6" s="33">
        <f t="shared" si="3"/>
        <v>0</v>
      </c>
      <c r="L6" s="33"/>
      <c r="M6" s="33">
        <f t="shared" si="0"/>
        <v>126009.99409999978</v>
      </c>
      <c r="N6" s="38"/>
    </row>
    <row r="7" spans="1:14">
      <c r="A7" s="23">
        <v>4</v>
      </c>
      <c r="B7" s="24">
        <v>46299</v>
      </c>
      <c r="C7" s="100"/>
      <c r="D7" s="114"/>
      <c r="E7" s="33"/>
      <c r="F7" s="33"/>
      <c r="G7" s="33">
        <f t="shared" si="1"/>
        <v>0</v>
      </c>
      <c r="H7" s="115"/>
      <c r="I7" s="115"/>
      <c r="J7" s="33">
        <f t="shared" si="2"/>
        <v>0</v>
      </c>
      <c r="K7" s="33">
        <f t="shared" si="3"/>
        <v>0</v>
      </c>
      <c r="L7" s="33"/>
      <c r="M7" s="33">
        <f t="shared" si="0"/>
        <v>126009.99409999978</v>
      </c>
      <c r="N7" s="38"/>
    </row>
    <row r="8" spans="1:14">
      <c r="A8" s="23">
        <v>5</v>
      </c>
      <c r="B8" s="24">
        <v>46300</v>
      </c>
      <c r="C8" s="100"/>
      <c r="D8" s="114"/>
      <c r="E8" s="33"/>
      <c r="F8" s="33"/>
      <c r="G8" s="33">
        <f t="shared" ref="G8:G20" si="4">E8*F8</f>
        <v>0</v>
      </c>
      <c r="H8" s="115"/>
      <c r="I8" s="115"/>
      <c r="J8" s="33">
        <f t="shared" ref="J8:J20" si="5">H8*I8</f>
        <v>0</v>
      </c>
      <c r="K8" s="33">
        <f t="shared" ref="K8:K34" si="6">G8+J8</f>
        <v>0</v>
      </c>
      <c r="L8" s="33"/>
      <c r="M8" s="33">
        <f t="shared" si="0"/>
        <v>126009.99409999978</v>
      </c>
      <c r="N8" s="38"/>
    </row>
    <row r="9" spans="1:14">
      <c r="A9" s="23">
        <v>6</v>
      </c>
      <c r="B9" s="24">
        <v>46301</v>
      </c>
      <c r="C9" s="100"/>
      <c r="D9" s="114"/>
      <c r="E9" s="33"/>
      <c r="F9" s="33"/>
      <c r="G9" s="33">
        <f t="shared" si="4"/>
        <v>0</v>
      </c>
      <c r="H9" s="115"/>
      <c r="I9" s="115"/>
      <c r="J9" s="33">
        <f t="shared" si="5"/>
        <v>0</v>
      </c>
      <c r="K9" s="33">
        <f t="shared" si="6"/>
        <v>0</v>
      </c>
      <c r="L9" s="33"/>
      <c r="M9" s="33">
        <f t="shared" si="0"/>
        <v>126009.99409999978</v>
      </c>
      <c r="N9" s="38"/>
    </row>
    <row r="10" spans="1:14">
      <c r="A10" s="23">
        <v>7</v>
      </c>
      <c r="B10" s="24">
        <v>46302</v>
      </c>
      <c r="C10" s="100"/>
      <c r="D10" s="114"/>
      <c r="E10" s="33"/>
      <c r="F10" s="33"/>
      <c r="G10" s="33">
        <f t="shared" si="4"/>
        <v>0</v>
      </c>
      <c r="H10" s="115"/>
      <c r="I10" s="115"/>
      <c r="J10" s="33">
        <f t="shared" si="5"/>
        <v>0</v>
      </c>
      <c r="K10" s="33">
        <f t="shared" si="6"/>
        <v>0</v>
      </c>
      <c r="L10" s="33"/>
      <c r="M10" s="33">
        <f t="shared" si="0"/>
        <v>126009.99409999978</v>
      </c>
      <c r="N10" s="38"/>
    </row>
    <row r="11" spans="1:14">
      <c r="A11" s="23">
        <v>8</v>
      </c>
      <c r="B11" s="24">
        <v>46303</v>
      </c>
      <c r="C11" s="100"/>
      <c r="D11" s="114"/>
      <c r="E11" s="33"/>
      <c r="F11" s="33"/>
      <c r="G11" s="33">
        <f t="shared" si="4"/>
        <v>0</v>
      </c>
      <c r="H11" s="115"/>
      <c r="I11" s="115"/>
      <c r="J11" s="33">
        <f t="shared" si="5"/>
        <v>0</v>
      </c>
      <c r="K11" s="33">
        <f t="shared" si="6"/>
        <v>0</v>
      </c>
      <c r="L11" s="33"/>
      <c r="M11" s="33">
        <f t="shared" si="0"/>
        <v>126009.99409999978</v>
      </c>
      <c r="N11" s="38"/>
    </row>
    <row r="12" spans="1:14">
      <c r="A12" s="23">
        <v>9</v>
      </c>
      <c r="B12" s="24">
        <v>46304</v>
      </c>
      <c r="C12" s="100"/>
      <c r="D12" s="114"/>
      <c r="E12" s="33"/>
      <c r="F12" s="33"/>
      <c r="G12" s="33">
        <f t="shared" si="4"/>
        <v>0</v>
      </c>
      <c r="H12" s="115"/>
      <c r="I12" s="115"/>
      <c r="J12" s="33">
        <f t="shared" si="5"/>
        <v>0</v>
      </c>
      <c r="K12" s="33">
        <f t="shared" si="6"/>
        <v>0</v>
      </c>
      <c r="L12" s="33"/>
      <c r="M12" s="33">
        <f t="shared" si="0"/>
        <v>126009.99409999978</v>
      </c>
      <c r="N12" s="38"/>
    </row>
    <row r="13" spans="1:14">
      <c r="A13" s="23">
        <v>10</v>
      </c>
      <c r="B13" s="24">
        <v>46305</v>
      </c>
      <c r="C13" s="100"/>
      <c r="D13" s="114"/>
      <c r="E13" s="33">
        <v>0</v>
      </c>
      <c r="F13" s="33">
        <v>0</v>
      </c>
      <c r="G13" s="33">
        <f t="shared" si="4"/>
        <v>0</v>
      </c>
      <c r="H13" s="115">
        <v>0</v>
      </c>
      <c r="I13" s="115">
        <v>0</v>
      </c>
      <c r="J13" s="33">
        <f t="shared" si="5"/>
        <v>0</v>
      </c>
      <c r="K13" s="33">
        <f t="shared" si="6"/>
        <v>0</v>
      </c>
      <c r="L13" s="33">
        <v>0</v>
      </c>
      <c r="M13" s="33">
        <f t="shared" si="0"/>
        <v>126009.99409999978</v>
      </c>
      <c r="N13" s="38"/>
    </row>
    <row r="14" spans="1:14">
      <c r="A14" s="23">
        <v>11</v>
      </c>
      <c r="B14" s="24">
        <v>46306</v>
      </c>
      <c r="C14" s="100"/>
      <c r="D14" s="114"/>
      <c r="E14" s="33">
        <v>1000</v>
      </c>
      <c r="F14" s="33">
        <v>99.36</v>
      </c>
      <c r="G14" s="33">
        <f t="shared" ref="G14" si="7">E14*F14</f>
        <v>99360</v>
      </c>
      <c r="H14" s="115">
        <v>100</v>
      </c>
      <c r="I14" s="115">
        <v>111.68</v>
      </c>
      <c r="J14" s="33">
        <f t="shared" ref="J14" si="8">H14*I14</f>
        <v>11168</v>
      </c>
      <c r="K14" s="33">
        <f t="shared" ref="K14" si="9">G14+J14</f>
        <v>110528</v>
      </c>
      <c r="L14" s="33">
        <v>126000</v>
      </c>
      <c r="M14" s="33">
        <f t="shared" si="0"/>
        <v>110537.99409999978</v>
      </c>
      <c r="N14" s="38"/>
    </row>
    <row r="15" spans="1:14">
      <c r="A15" s="23">
        <v>12</v>
      </c>
      <c r="B15" s="24">
        <v>46307</v>
      </c>
      <c r="C15" s="100"/>
      <c r="D15" s="114"/>
      <c r="E15" s="33"/>
      <c r="F15" s="33"/>
      <c r="G15" s="33">
        <f t="shared" si="4"/>
        <v>0</v>
      </c>
      <c r="H15" s="115"/>
      <c r="I15" s="115"/>
      <c r="J15" s="33">
        <f t="shared" si="5"/>
        <v>0</v>
      </c>
      <c r="K15" s="33">
        <f t="shared" si="6"/>
        <v>0</v>
      </c>
      <c r="L15" s="33"/>
      <c r="M15" s="33">
        <f t="shared" si="0"/>
        <v>110537.99409999978</v>
      </c>
      <c r="N15" s="38"/>
    </row>
    <row r="16" spans="1:14">
      <c r="A16" s="23">
        <v>13</v>
      </c>
      <c r="B16" s="24">
        <v>46308</v>
      </c>
      <c r="C16" s="100"/>
      <c r="D16" s="114"/>
      <c r="E16" s="33"/>
      <c r="F16" s="33"/>
      <c r="G16" s="33">
        <f t="shared" si="4"/>
        <v>0</v>
      </c>
      <c r="H16" s="115"/>
      <c r="I16" s="115"/>
      <c r="J16" s="33">
        <f t="shared" si="5"/>
        <v>0</v>
      </c>
      <c r="K16" s="33">
        <f t="shared" si="6"/>
        <v>0</v>
      </c>
      <c r="L16" s="33"/>
      <c r="M16" s="33">
        <f t="shared" si="0"/>
        <v>110537.99409999978</v>
      </c>
      <c r="N16" s="38"/>
    </row>
    <row r="17" spans="1:14">
      <c r="A17" s="23">
        <v>14</v>
      </c>
      <c r="B17" s="24">
        <v>46309</v>
      </c>
      <c r="C17" s="100"/>
      <c r="D17" s="114"/>
      <c r="E17" s="33"/>
      <c r="F17" s="33"/>
      <c r="G17" s="33">
        <f t="shared" si="4"/>
        <v>0</v>
      </c>
      <c r="H17" s="115"/>
      <c r="I17" s="115"/>
      <c r="J17" s="33">
        <f t="shared" si="5"/>
        <v>0</v>
      </c>
      <c r="K17" s="33">
        <f t="shared" si="6"/>
        <v>0</v>
      </c>
      <c r="L17" s="33"/>
      <c r="M17" s="33">
        <f t="shared" si="0"/>
        <v>110537.99409999978</v>
      </c>
      <c r="N17" s="38"/>
    </row>
    <row r="18" spans="1:14">
      <c r="A18" s="23">
        <v>15</v>
      </c>
      <c r="B18" s="24">
        <v>46310</v>
      </c>
      <c r="C18" s="100"/>
      <c r="D18" s="114"/>
      <c r="E18" s="33"/>
      <c r="F18" s="33"/>
      <c r="G18" s="33">
        <f t="shared" si="4"/>
        <v>0</v>
      </c>
      <c r="H18" s="115"/>
      <c r="I18" s="115"/>
      <c r="J18" s="33">
        <f t="shared" si="5"/>
        <v>0</v>
      </c>
      <c r="K18" s="33">
        <f t="shared" si="6"/>
        <v>0</v>
      </c>
      <c r="L18" s="33"/>
      <c r="M18" s="33">
        <f t="shared" si="0"/>
        <v>110537.99409999978</v>
      </c>
      <c r="N18" s="38"/>
    </row>
    <row r="19" spans="1:14">
      <c r="A19" s="23">
        <v>16</v>
      </c>
      <c r="B19" s="24">
        <v>46311</v>
      </c>
      <c r="C19" s="100"/>
      <c r="D19" s="114"/>
      <c r="E19" s="33"/>
      <c r="F19" s="33"/>
      <c r="G19" s="33">
        <f t="shared" si="4"/>
        <v>0</v>
      </c>
      <c r="H19" s="115"/>
      <c r="I19" s="115"/>
      <c r="J19" s="33">
        <f t="shared" si="5"/>
        <v>0</v>
      </c>
      <c r="K19" s="33">
        <f t="shared" si="6"/>
        <v>0</v>
      </c>
      <c r="L19" s="33">
        <v>100000</v>
      </c>
      <c r="M19" s="33">
        <f t="shared" si="0"/>
        <v>10537.994099999778</v>
      </c>
      <c r="N19" s="38"/>
    </row>
    <row r="20" spans="1:14">
      <c r="A20" s="23">
        <v>17</v>
      </c>
      <c r="B20" s="24">
        <v>46312</v>
      </c>
      <c r="C20" s="100"/>
      <c r="D20" s="114"/>
      <c r="E20" s="33"/>
      <c r="F20" s="33"/>
      <c r="G20" s="33">
        <f t="shared" si="4"/>
        <v>0</v>
      </c>
      <c r="H20" s="115"/>
      <c r="I20" s="115"/>
      <c r="J20" s="33">
        <f t="shared" si="5"/>
        <v>0</v>
      </c>
      <c r="K20" s="33">
        <f t="shared" si="6"/>
        <v>0</v>
      </c>
      <c r="L20" s="33"/>
      <c r="M20" s="33">
        <f t="shared" si="0"/>
        <v>10537.994099999778</v>
      </c>
      <c r="N20" s="38"/>
    </row>
    <row r="21" spans="1:14">
      <c r="A21" s="23">
        <v>18</v>
      </c>
      <c r="B21" s="24">
        <v>46313</v>
      </c>
      <c r="C21" s="100"/>
      <c r="D21" s="114"/>
      <c r="E21" s="33"/>
      <c r="F21" s="33"/>
      <c r="G21" s="33">
        <f t="shared" si="1"/>
        <v>0</v>
      </c>
      <c r="H21" s="115"/>
      <c r="I21" s="115"/>
      <c r="J21" s="33">
        <f t="shared" si="2"/>
        <v>0</v>
      </c>
      <c r="K21" s="33">
        <f t="shared" si="6"/>
        <v>0</v>
      </c>
      <c r="L21" s="33"/>
      <c r="M21" s="33">
        <f t="shared" si="0"/>
        <v>10537.994099999778</v>
      </c>
      <c r="N21" s="38"/>
    </row>
    <row r="22" spans="1:14">
      <c r="A22" s="23">
        <v>19</v>
      </c>
      <c r="B22" s="24">
        <v>46314</v>
      </c>
      <c r="C22" s="100"/>
      <c r="D22" s="114"/>
      <c r="E22" s="33"/>
      <c r="F22" s="33"/>
      <c r="G22" s="33">
        <f t="shared" si="1"/>
        <v>0</v>
      </c>
      <c r="H22" s="115"/>
      <c r="I22" s="115"/>
      <c r="J22" s="33">
        <f t="shared" si="2"/>
        <v>0</v>
      </c>
      <c r="K22" s="33">
        <f t="shared" si="6"/>
        <v>0</v>
      </c>
      <c r="L22" s="33"/>
      <c r="M22" s="33">
        <f t="shared" si="0"/>
        <v>10537.994099999778</v>
      </c>
      <c r="N22" s="38"/>
    </row>
    <row r="23" spans="1:14">
      <c r="A23" s="23">
        <v>20</v>
      </c>
      <c r="B23" s="24">
        <v>46315</v>
      </c>
      <c r="C23" s="100"/>
      <c r="D23" s="114"/>
      <c r="E23" s="33"/>
      <c r="F23" s="33"/>
      <c r="G23" s="33">
        <f t="shared" si="1"/>
        <v>0</v>
      </c>
      <c r="H23" s="115"/>
      <c r="I23" s="115"/>
      <c r="J23" s="33">
        <f t="shared" si="2"/>
        <v>0</v>
      </c>
      <c r="K23" s="33">
        <f t="shared" si="6"/>
        <v>0</v>
      </c>
      <c r="L23" s="33"/>
      <c r="M23" s="33">
        <f t="shared" si="0"/>
        <v>10537.994099999778</v>
      </c>
      <c r="N23" s="38"/>
    </row>
    <row r="24" spans="1:14">
      <c r="A24" s="23">
        <v>21</v>
      </c>
      <c r="B24" s="24">
        <v>46316</v>
      </c>
      <c r="C24" s="100"/>
      <c r="D24" s="114"/>
      <c r="E24" s="33"/>
      <c r="F24" s="33"/>
      <c r="G24" s="33">
        <f t="shared" si="1"/>
        <v>0</v>
      </c>
      <c r="H24" s="115"/>
      <c r="I24" s="115"/>
      <c r="J24" s="33">
        <f t="shared" si="2"/>
        <v>0</v>
      </c>
      <c r="K24" s="33">
        <f t="shared" si="6"/>
        <v>0</v>
      </c>
      <c r="L24" s="33"/>
      <c r="M24" s="33">
        <f t="shared" si="0"/>
        <v>10537.994099999778</v>
      </c>
      <c r="N24" s="38"/>
    </row>
    <row r="25" spans="1:14">
      <c r="A25" s="23">
        <v>22</v>
      </c>
      <c r="B25" s="24">
        <v>46317</v>
      </c>
      <c r="C25" s="100"/>
      <c r="D25" s="114"/>
      <c r="E25" s="33"/>
      <c r="F25" s="33"/>
      <c r="G25" s="33">
        <f t="shared" ref="G25:G33" si="10">E25*F25</f>
        <v>0</v>
      </c>
      <c r="H25" s="115"/>
      <c r="I25" s="115"/>
      <c r="J25" s="33">
        <f t="shared" ref="J25:J33" si="11">H25*I25</f>
        <v>0</v>
      </c>
      <c r="K25" s="33">
        <f t="shared" si="6"/>
        <v>0</v>
      </c>
      <c r="L25" s="33"/>
      <c r="M25" s="33">
        <f t="shared" si="0"/>
        <v>10537.994099999778</v>
      </c>
      <c r="N25" s="38"/>
    </row>
    <row r="26" spans="1:14">
      <c r="A26" s="23">
        <v>23</v>
      </c>
      <c r="B26" s="24">
        <v>46318</v>
      </c>
      <c r="C26" s="100"/>
      <c r="D26" s="114"/>
      <c r="E26" s="33"/>
      <c r="F26" s="33"/>
      <c r="G26" s="33">
        <f t="shared" si="10"/>
        <v>0</v>
      </c>
      <c r="H26" s="115"/>
      <c r="I26" s="115"/>
      <c r="J26" s="33">
        <f t="shared" si="11"/>
        <v>0</v>
      </c>
      <c r="K26" s="33">
        <f t="shared" si="6"/>
        <v>0</v>
      </c>
      <c r="L26" s="33"/>
      <c r="M26" s="33">
        <f t="shared" si="0"/>
        <v>10537.994099999778</v>
      </c>
      <c r="N26" s="38"/>
    </row>
    <row r="27" spans="1:14">
      <c r="A27" s="23">
        <v>24</v>
      </c>
      <c r="B27" s="24">
        <v>46319</v>
      </c>
      <c r="C27" s="100"/>
      <c r="D27" s="114"/>
      <c r="E27" s="33"/>
      <c r="F27" s="33"/>
      <c r="G27" s="33">
        <f t="shared" si="10"/>
        <v>0</v>
      </c>
      <c r="H27" s="115"/>
      <c r="I27" s="115"/>
      <c r="J27" s="33">
        <f t="shared" si="11"/>
        <v>0</v>
      </c>
      <c r="K27" s="33">
        <f t="shared" si="6"/>
        <v>0</v>
      </c>
      <c r="L27" s="33"/>
      <c r="M27" s="33">
        <f t="shared" si="0"/>
        <v>10537.994099999778</v>
      </c>
      <c r="N27" s="38"/>
    </row>
    <row r="28" spans="1:14">
      <c r="A28" s="23">
        <v>25</v>
      </c>
      <c r="B28" s="24">
        <v>46320</v>
      </c>
      <c r="C28" s="100"/>
      <c r="D28" s="114"/>
      <c r="E28" s="33"/>
      <c r="F28" s="33"/>
      <c r="G28" s="33">
        <f t="shared" si="10"/>
        <v>0</v>
      </c>
      <c r="H28" s="115"/>
      <c r="I28" s="115"/>
      <c r="J28" s="33">
        <f t="shared" si="11"/>
        <v>0</v>
      </c>
      <c r="K28" s="33">
        <f t="shared" si="6"/>
        <v>0</v>
      </c>
      <c r="L28" s="33"/>
      <c r="M28" s="33">
        <f t="shared" si="0"/>
        <v>10537.994099999778</v>
      </c>
      <c r="N28" s="38"/>
    </row>
    <row r="29" spans="1:14">
      <c r="A29" s="23">
        <v>26</v>
      </c>
      <c r="B29" s="24">
        <v>46321</v>
      </c>
      <c r="C29" s="100"/>
      <c r="D29" s="114"/>
      <c r="E29" s="33"/>
      <c r="F29" s="33"/>
      <c r="G29" s="33">
        <f t="shared" si="10"/>
        <v>0</v>
      </c>
      <c r="H29" s="115"/>
      <c r="I29" s="115"/>
      <c r="J29" s="33">
        <f t="shared" si="11"/>
        <v>0</v>
      </c>
      <c r="K29" s="33">
        <f t="shared" si="6"/>
        <v>0</v>
      </c>
      <c r="L29" s="33"/>
      <c r="M29" s="33">
        <f t="shared" si="0"/>
        <v>10537.994099999778</v>
      </c>
      <c r="N29" s="38"/>
    </row>
    <row r="30" spans="1:14">
      <c r="A30" s="23">
        <v>27</v>
      </c>
      <c r="B30" s="24">
        <v>46322</v>
      </c>
      <c r="C30" s="100"/>
      <c r="D30" s="114"/>
      <c r="E30" s="33"/>
      <c r="F30" s="33"/>
      <c r="G30" s="33">
        <f t="shared" si="10"/>
        <v>0</v>
      </c>
      <c r="H30" s="115"/>
      <c r="I30" s="115"/>
      <c r="J30" s="33">
        <f t="shared" si="11"/>
        <v>0</v>
      </c>
      <c r="K30" s="33">
        <f t="shared" si="6"/>
        <v>0</v>
      </c>
      <c r="L30" s="33"/>
      <c r="M30" s="33">
        <f t="shared" si="0"/>
        <v>10537.994099999778</v>
      </c>
      <c r="N30" s="38"/>
    </row>
    <row r="31" spans="1:14">
      <c r="A31" s="23">
        <v>28</v>
      </c>
      <c r="B31" s="24">
        <v>46323</v>
      </c>
      <c r="C31" s="100"/>
      <c r="D31" s="114"/>
      <c r="E31" s="33"/>
      <c r="F31" s="33"/>
      <c r="G31" s="33">
        <f t="shared" si="10"/>
        <v>0</v>
      </c>
      <c r="H31" s="115"/>
      <c r="I31" s="115"/>
      <c r="J31" s="33">
        <f t="shared" si="11"/>
        <v>0</v>
      </c>
      <c r="K31" s="33">
        <f t="shared" si="6"/>
        <v>0</v>
      </c>
      <c r="L31" s="33"/>
      <c r="M31" s="33">
        <f t="shared" si="0"/>
        <v>10537.994099999778</v>
      </c>
      <c r="N31" s="38"/>
    </row>
    <row r="32" spans="1:14">
      <c r="A32" s="23">
        <v>29</v>
      </c>
      <c r="B32" s="24">
        <v>46324</v>
      </c>
      <c r="C32" s="100"/>
      <c r="D32" s="114"/>
      <c r="E32" s="33"/>
      <c r="F32" s="33"/>
      <c r="G32" s="33">
        <f t="shared" si="10"/>
        <v>0</v>
      </c>
      <c r="H32" s="115"/>
      <c r="I32" s="115"/>
      <c r="J32" s="33">
        <f t="shared" si="11"/>
        <v>0</v>
      </c>
      <c r="K32" s="33">
        <f t="shared" si="6"/>
        <v>0</v>
      </c>
      <c r="L32" s="33"/>
      <c r="M32" s="33">
        <f t="shared" si="0"/>
        <v>10537.994099999778</v>
      </c>
      <c r="N32" s="38"/>
    </row>
    <row r="33" spans="1:14">
      <c r="A33" s="23">
        <v>30</v>
      </c>
      <c r="B33" s="24">
        <v>46325</v>
      </c>
      <c r="C33" s="100"/>
      <c r="D33" s="114"/>
      <c r="E33" s="33"/>
      <c r="F33" s="33"/>
      <c r="G33" s="33">
        <f t="shared" si="10"/>
        <v>0</v>
      </c>
      <c r="H33" s="115"/>
      <c r="I33" s="115"/>
      <c r="J33" s="33">
        <f t="shared" si="11"/>
        <v>0</v>
      </c>
      <c r="K33" s="33">
        <f t="shared" si="6"/>
        <v>0</v>
      </c>
      <c r="L33" s="33"/>
      <c r="M33" s="33">
        <f t="shared" si="0"/>
        <v>10537.994099999778</v>
      </c>
      <c r="N33" s="38"/>
    </row>
    <row r="34" spans="1:14">
      <c r="A34" s="23">
        <v>31</v>
      </c>
      <c r="B34" s="24">
        <v>46326</v>
      </c>
      <c r="C34" s="100"/>
      <c r="D34" s="114"/>
      <c r="E34" s="33"/>
      <c r="F34" s="33"/>
      <c r="G34" s="33"/>
      <c r="H34" s="115"/>
      <c r="I34" s="115"/>
      <c r="J34" s="33"/>
      <c r="K34" s="33">
        <f t="shared" si="6"/>
        <v>0</v>
      </c>
      <c r="L34" s="33"/>
      <c r="M34" s="33"/>
      <c r="N34" s="38"/>
    </row>
    <row r="35" spans="1:14">
      <c r="A35" s="36"/>
      <c r="B35" s="36"/>
      <c r="C35" s="36"/>
      <c r="D35" s="36"/>
      <c r="E35" s="37">
        <f>SUM(E4:E34)</f>
        <v>1000</v>
      </c>
      <c r="F35" s="37"/>
      <c r="G35" s="37">
        <f>SUM(G4:G34)</f>
        <v>99360</v>
      </c>
      <c r="H35" s="37">
        <f>SUM(H4:H34)</f>
        <v>100</v>
      </c>
      <c r="I35" s="37"/>
      <c r="J35" s="37">
        <f>SUM(J4:J34)</f>
        <v>11168</v>
      </c>
      <c r="K35" s="37">
        <f>SUM(K4:K34)</f>
        <v>110528</v>
      </c>
      <c r="L35" s="37">
        <f>SUM(L4:L34)</f>
        <v>226000</v>
      </c>
      <c r="M35" s="37"/>
      <c r="N35" s="37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3" topLeftCell="A4" activePane="bottomLeft" state="frozen"/>
      <selection pane="bottomLeft" activeCell="Q19" sqref="Q19"/>
    </sheetView>
  </sheetViews>
  <sheetFormatPr defaultColWidth="9.28515625" defaultRowHeight="15"/>
  <cols>
    <col min="1" max="1" width="5.42578125" style="45" bestFit="1" customWidth="1"/>
    <col min="2" max="2" width="11" style="45" bestFit="1" customWidth="1"/>
    <col min="3" max="3" width="7.140625" style="45" bestFit="1" customWidth="1"/>
    <col min="4" max="4" width="15.140625" style="45" bestFit="1" customWidth="1"/>
    <col min="5" max="5" width="9.28515625" style="45"/>
    <col min="6" max="6" width="9.85546875" style="45" bestFit="1" customWidth="1"/>
    <col min="7" max="7" width="10.42578125" style="45" bestFit="1" customWidth="1"/>
    <col min="8" max="8" width="9.28515625" style="45"/>
    <col min="9" max="9" width="11.7109375" style="45" customWidth="1"/>
    <col min="10" max="10" width="9.5703125" style="45" bestFit="1" customWidth="1"/>
    <col min="11" max="11" width="12.28515625" style="45" customWidth="1"/>
    <col min="12" max="12" width="11.7109375" style="45" bestFit="1" customWidth="1"/>
    <col min="13" max="13" width="11.7109375" style="45" customWidth="1"/>
    <col min="14" max="14" width="17.7109375" style="45" bestFit="1" customWidth="1"/>
    <col min="15" max="16384" width="9.28515625" style="45"/>
  </cols>
  <sheetData>
    <row r="1" spans="1:15" ht="15.75">
      <c r="A1" s="632" t="s">
        <v>109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</row>
    <row r="2" spans="1:15" ht="25.5">
      <c r="A2" s="81" t="s">
        <v>0</v>
      </c>
      <c r="B2" s="82" t="s">
        <v>167</v>
      </c>
      <c r="C2" s="82" t="s">
        <v>168</v>
      </c>
      <c r="D2" s="82" t="s">
        <v>169</v>
      </c>
      <c r="E2" s="82" t="s">
        <v>170</v>
      </c>
      <c r="F2" s="82" t="s">
        <v>171</v>
      </c>
      <c r="G2" s="82" t="s">
        <v>172</v>
      </c>
      <c r="H2" s="82" t="s">
        <v>173</v>
      </c>
      <c r="I2" s="82" t="s">
        <v>171</v>
      </c>
      <c r="J2" s="105" t="s">
        <v>172</v>
      </c>
      <c r="K2" s="107" t="s">
        <v>174</v>
      </c>
      <c r="L2" s="108" t="s">
        <v>175</v>
      </c>
      <c r="M2" s="109" t="s">
        <v>190</v>
      </c>
      <c r="N2" s="83" t="s">
        <v>177</v>
      </c>
      <c r="O2" s="30"/>
    </row>
    <row r="3" spans="1:15" ht="15.75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2"/>
      <c r="K3" s="46">
        <v>212444.10000000006</v>
      </c>
      <c r="L3" s="116"/>
      <c r="M3" s="113">
        <v>212444.10000000006</v>
      </c>
      <c r="N3" s="44"/>
    </row>
    <row r="4" spans="1:15" ht="15.75">
      <c r="A4" s="23">
        <v>1</v>
      </c>
      <c r="B4" s="24">
        <v>46296</v>
      </c>
      <c r="C4" s="111"/>
      <c r="D4" s="112"/>
      <c r="E4" s="73"/>
      <c r="F4" s="110"/>
      <c r="G4" s="110">
        <f>E4*F4</f>
        <v>0</v>
      </c>
      <c r="H4" s="110"/>
      <c r="I4" s="110"/>
      <c r="J4" s="110">
        <f>H4*I4</f>
        <v>0</v>
      </c>
      <c r="K4" s="110">
        <f>G4+J4</f>
        <v>0</v>
      </c>
      <c r="L4" s="110"/>
      <c r="M4" s="116">
        <f>M3+K4-L4</f>
        <v>212444.10000000006</v>
      </c>
      <c r="N4" s="110"/>
    </row>
    <row r="5" spans="1:15" ht="15.75">
      <c r="A5" s="23">
        <v>2</v>
      </c>
      <c r="B5" s="24">
        <v>46297</v>
      </c>
      <c r="C5" s="20"/>
      <c r="D5" s="21"/>
      <c r="E5" s="73"/>
      <c r="F5" s="110"/>
      <c r="G5" s="110">
        <f t="shared" ref="G5:G33" si="0">E5*F5</f>
        <v>0</v>
      </c>
      <c r="H5" s="110"/>
      <c r="I5" s="110"/>
      <c r="J5" s="110">
        <f t="shared" ref="J5:J33" si="1">H5*I5</f>
        <v>0</v>
      </c>
      <c r="K5" s="110">
        <f t="shared" ref="K5:K33" si="2">G5+J5</f>
        <v>0</v>
      </c>
      <c r="L5" s="110"/>
      <c r="M5" s="116">
        <f>M4+K5-L5</f>
        <v>212444.10000000006</v>
      </c>
      <c r="N5" s="38"/>
    </row>
    <row r="6" spans="1:15" ht="18.75" customHeight="1">
      <c r="A6" s="23">
        <v>3</v>
      </c>
      <c r="B6" s="24">
        <v>46298</v>
      </c>
      <c r="C6" s="196"/>
      <c r="D6" s="177"/>
      <c r="E6" s="73">
        <v>300</v>
      </c>
      <c r="F6" s="110">
        <v>100.07</v>
      </c>
      <c r="G6" s="110">
        <f t="shared" si="0"/>
        <v>30020.999999999996</v>
      </c>
      <c r="H6" s="110"/>
      <c r="I6" s="110"/>
      <c r="J6" s="110">
        <f t="shared" si="1"/>
        <v>0</v>
      </c>
      <c r="K6" s="110">
        <f t="shared" si="2"/>
        <v>30020.999999999996</v>
      </c>
      <c r="L6" s="110"/>
      <c r="M6" s="116">
        <f>M5+K6-L6</f>
        <v>242465.10000000006</v>
      </c>
      <c r="N6" s="44"/>
    </row>
    <row r="7" spans="1:15" ht="15.75">
      <c r="A7" s="23">
        <v>4</v>
      </c>
      <c r="B7" s="24">
        <v>46299</v>
      </c>
      <c r="C7" s="194"/>
      <c r="D7" s="195"/>
      <c r="E7" s="73"/>
      <c r="F7" s="110"/>
      <c r="G7" s="110">
        <f t="shared" si="0"/>
        <v>0</v>
      </c>
      <c r="H7" s="110"/>
      <c r="I7" s="110"/>
      <c r="J7" s="110">
        <f t="shared" si="1"/>
        <v>0</v>
      </c>
      <c r="K7" s="110">
        <f t="shared" si="2"/>
        <v>0</v>
      </c>
      <c r="L7" s="110"/>
      <c r="M7" s="116">
        <f>M6+K7-L7</f>
        <v>242465.10000000006</v>
      </c>
      <c r="N7" s="38"/>
    </row>
    <row r="8" spans="1:15" ht="15.75" customHeight="1">
      <c r="A8" s="23">
        <v>5</v>
      </c>
      <c r="B8" s="24">
        <v>46300</v>
      </c>
      <c r="C8" s="110"/>
      <c r="D8" s="110"/>
      <c r="E8" s="73"/>
      <c r="F8" s="110"/>
      <c r="G8" s="110">
        <f t="shared" si="0"/>
        <v>0</v>
      </c>
      <c r="H8" s="110"/>
      <c r="I8" s="110"/>
      <c r="J8" s="110">
        <f t="shared" si="1"/>
        <v>0</v>
      </c>
      <c r="K8" s="110">
        <f t="shared" si="2"/>
        <v>0</v>
      </c>
      <c r="L8" s="110"/>
      <c r="M8" s="116">
        <f t="shared" ref="M8:M34" si="3">M7+K8-L8</f>
        <v>242465.10000000006</v>
      </c>
      <c r="N8" s="44"/>
    </row>
    <row r="9" spans="1:15" ht="15.75" customHeight="1">
      <c r="A9" s="23">
        <v>6</v>
      </c>
      <c r="B9" s="24">
        <v>46301</v>
      </c>
      <c r="C9" s="44"/>
      <c r="D9" s="110"/>
      <c r="E9" s="73"/>
      <c r="F9" s="110"/>
      <c r="G9" s="110">
        <f t="shared" si="0"/>
        <v>0</v>
      </c>
      <c r="H9" s="110"/>
      <c r="I9" s="110"/>
      <c r="J9" s="110">
        <f t="shared" si="1"/>
        <v>0</v>
      </c>
      <c r="K9" s="110">
        <f t="shared" si="2"/>
        <v>0</v>
      </c>
      <c r="L9" s="110"/>
      <c r="M9" s="116">
        <f t="shared" si="3"/>
        <v>242465.10000000006</v>
      </c>
      <c r="N9" s="44"/>
    </row>
    <row r="10" spans="1:15" ht="15.75" customHeight="1">
      <c r="A10" s="23">
        <v>7</v>
      </c>
      <c r="B10" s="24">
        <v>46302</v>
      </c>
      <c r="C10" s="44"/>
      <c r="D10" s="110"/>
      <c r="E10" s="73"/>
      <c r="F10" s="110"/>
      <c r="G10" s="110">
        <f t="shared" si="0"/>
        <v>0</v>
      </c>
      <c r="H10" s="110"/>
      <c r="I10" s="110"/>
      <c r="J10" s="110">
        <f t="shared" si="1"/>
        <v>0</v>
      </c>
      <c r="K10" s="110">
        <f t="shared" si="2"/>
        <v>0</v>
      </c>
      <c r="L10" s="110"/>
      <c r="M10" s="116">
        <f t="shared" si="3"/>
        <v>242465.10000000006</v>
      </c>
      <c r="N10" s="44"/>
    </row>
    <row r="11" spans="1:15" ht="15.75" customHeight="1">
      <c r="A11" s="23">
        <v>8</v>
      </c>
      <c r="B11" s="24">
        <v>46303</v>
      </c>
      <c r="C11" s="44"/>
      <c r="D11" s="110"/>
      <c r="E11" s="73"/>
      <c r="F11" s="110"/>
      <c r="G11" s="110">
        <f t="shared" si="0"/>
        <v>0</v>
      </c>
      <c r="H11" s="110"/>
      <c r="I11" s="110"/>
      <c r="J11" s="110">
        <f t="shared" si="1"/>
        <v>0</v>
      </c>
      <c r="K11" s="110">
        <f t="shared" si="2"/>
        <v>0</v>
      </c>
      <c r="L11" s="110"/>
      <c r="M11" s="116">
        <f t="shared" si="3"/>
        <v>242465.10000000006</v>
      </c>
      <c r="N11" s="44"/>
    </row>
    <row r="12" spans="1:15" ht="15.75" customHeight="1">
      <c r="A12" s="23">
        <v>9</v>
      </c>
      <c r="B12" s="24">
        <v>46304</v>
      </c>
      <c r="C12" s="44"/>
      <c r="D12" s="110"/>
      <c r="E12" s="73">
        <v>300</v>
      </c>
      <c r="F12" s="110">
        <v>100.07</v>
      </c>
      <c r="G12" s="110">
        <f t="shared" si="0"/>
        <v>30020.999999999996</v>
      </c>
      <c r="H12" s="110">
        <v>50</v>
      </c>
      <c r="I12" s="110">
        <v>112.09</v>
      </c>
      <c r="J12" s="110">
        <f t="shared" si="1"/>
        <v>5604.5</v>
      </c>
      <c r="K12" s="110">
        <f t="shared" si="2"/>
        <v>35625.5</v>
      </c>
      <c r="L12" s="110">
        <v>150000</v>
      </c>
      <c r="M12" s="116">
        <f t="shared" si="3"/>
        <v>128090.60000000009</v>
      </c>
      <c r="N12" s="44"/>
    </row>
    <row r="13" spans="1:15" ht="15.75" customHeight="1">
      <c r="A13" s="23">
        <v>10</v>
      </c>
      <c r="B13" s="24">
        <v>46305</v>
      </c>
      <c r="C13" s="44"/>
      <c r="D13" s="110"/>
      <c r="E13" s="73"/>
      <c r="F13" s="110"/>
      <c r="G13" s="110">
        <f t="shared" si="0"/>
        <v>0</v>
      </c>
      <c r="H13" s="110"/>
      <c r="I13" s="110"/>
      <c r="J13" s="110">
        <f t="shared" si="1"/>
        <v>0</v>
      </c>
      <c r="K13" s="110">
        <f t="shared" si="2"/>
        <v>0</v>
      </c>
      <c r="L13" s="110"/>
      <c r="M13" s="116">
        <f t="shared" si="3"/>
        <v>128090.60000000009</v>
      </c>
      <c r="N13" s="44"/>
    </row>
    <row r="14" spans="1:15" ht="15.75" customHeight="1">
      <c r="A14" s="23">
        <v>11</v>
      </c>
      <c r="B14" s="24">
        <v>46306</v>
      </c>
      <c r="C14" s="44"/>
      <c r="D14" s="110"/>
      <c r="E14" s="73"/>
      <c r="F14" s="110"/>
      <c r="G14" s="110">
        <f>E14*F14</f>
        <v>0</v>
      </c>
      <c r="H14" s="110"/>
      <c r="I14" s="110"/>
      <c r="J14" s="110">
        <f t="shared" si="1"/>
        <v>0</v>
      </c>
      <c r="K14" s="110">
        <f t="shared" si="2"/>
        <v>0</v>
      </c>
      <c r="L14" s="110"/>
      <c r="M14" s="116">
        <f t="shared" si="3"/>
        <v>128090.60000000009</v>
      </c>
      <c r="N14" s="44"/>
    </row>
    <row r="15" spans="1:15" ht="15.75" customHeight="1">
      <c r="A15" s="23">
        <v>12</v>
      </c>
      <c r="B15" s="24">
        <v>46307</v>
      </c>
      <c r="C15" s="44"/>
      <c r="D15" s="110"/>
      <c r="E15" s="73"/>
      <c r="F15" s="110"/>
      <c r="G15" s="110">
        <f t="shared" si="0"/>
        <v>0</v>
      </c>
      <c r="H15" s="110"/>
      <c r="I15" s="110"/>
      <c r="J15" s="110">
        <f t="shared" si="1"/>
        <v>0</v>
      </c>
      <c r="K15" s="110">
        <f t="shared" si="2"/>
        <v>0</v>
      </c>
      <c r="L15" s="110"/>
      <c r="M15" s="116">
        <f t="shared" si="3"/>
        <v>128090.60000000009</v>
      </c>
      <c r="N15" s="44"/>
    </row>
    <row r="16" spans="1:15" ht="15.75" customHeight="1">
      <c r="A16" s="23">
        <v>13</v>
      </c>
      <c r="B16" s="24">
        <v>46308</v>
      </c>
      <c r="C16" s="44"/>
      <c r="D16" s="110"/>
      <c r="E16" s="73"/>
      <c r="F16" s="110"/>
      <c r="G16" s="110">
        <f t="shared" si="0"/>
        <v>0</v>
      </c>
      <c r="H16" s="110"/>
      <c r="I16" s="110"/>
      <c r="J16" s="110">
        <f t="shared" si="1"/>
        <v>0</v>
      </c>
      <c r="K16" s="110">
        <f t="shared" si="2"/>
        <v>0</v>
      </c>
      <c r="L16" s="110"/>
      <c r="M16" s="116">
        <f t="shared" si="3"/>
        <v>128090.60000000009</v>
      </c>
      <c r="N16" s="44"/>
    </row>
    <row r="17" spans="1:14" ht="15.75" customHeight="1">
      <c r="A17" s="23">
        <v>14</v>
      </c>
      <c r="B17" s="24">
        <v>46309</v>
      </c>
      <c r="C17" s="44"/>
      <c r="D17" s="110"/>
      <c r="E17" s="73"/>
      <c r="F17" s="110"/>
      <c r="G17" s="110">
        <f t="shared" si="0"/>
        <v>0</v>
      </c>
      <c r="H17" s="110"/>
      <c r="I17" s="110"/>
      <c r="J17" s="110">
        <f t="shared" si="1"/>
        <v>0</v>
      </c>
      <c r="K17" s="110">
        <f t="shared" si="2"/>
        <v>0</v>
      </c>
      <c r="L17" s="110"/>
      <c r="M17" s="116">
        <f t="shared" si="3"/>
        <v>128090.60000000009</v>
      </c>
      <c r="N17" s="44"/>
    </row>
    <row r="18" spans="1:14" ht="15.75" customHeight="1">
      <c r="A18" s="23">
        <v>15</v>
      </c>
      <c r="B18" s="24">
        <v>46310</v>
      </c>
      <c r="C18" s="44"/>
      <c r="D18" s="110"/>
      <c r="E18" s="73">
        <v>2000</v>
      </c>
      <c r="F18" s="110">
        <v>100.07</v>
      </c>
      <c r="G18" s="110">
        <f t="shared" si="0"/>
        <v>200140</v>
      </c>
      <c r="H18" s="110">
        <v>70</v>
      </c>
      <c r="I18" s="110">
        <v>112.09</v>
      </c>
      <c r="J18" s="110">
        <f t="shared" si="1"/>
        <v>7846.3</v>
      </c>
      <c r="K18" s="110">
        <f t="shared" si="2"/>
        <v>207986.3</v>
      </c>
      <c r="L18" s="110">
        <v>128000</v>
      </c>
      <c r="M18" s="116">
        <f t="shared" si="3"/>
        <v>208076.90000000008</v>
      </c>
      <c r="N18" s="44"/>
    </row>
    <row r="19" spans="1:14" ht="15.75" customHeight="1">
      <c r="A19" s="23">
        <v>16</v>
      </c>
      <c r="B19" s="24">
        <v>46311</v>
      </c>
      <c r="C19" s="44"/>
      <c r="D19" s="110"/>
      <c r="E19" s="73"/>
      <c r="F19" s="110"/>
      <c r="G19" s="110">
        <f>E19*F19</f>
        <v>0</v>
      </c>
      <c r="H19" s="110"/>
      <c r="I19" s="110"/>
      <c r="J19" s="110">
        <f t="shared" si="1"/>
        <v>0</v>
      </c>
      <c r="K19" s="110">
        <f t="shared" si="2"/>
        <v>0</v>
      </c>
      <c r="L19" s="110"/>
      <c r="M19" s="116">
        <f t="shared" si="3"/>
        <v>208076.90000000008</v>
      </c>
      <c r="N19" s="44"/>
    </row>
    <row r="20" spans="1:14" ht="15.75" customHeight="1">
      <c r="A20" s="23">
        <v>17</v>
      </c>
      <c r="B20" s="24">
        <v>46312</v>
      </c>
      <c r="C20" s="44"/>
      <c r="D20" s="110"/>
      <c r="E20" s="73"/>
      <c r="F20" s="110"/>
      <c r="G20" s="110">
        <f t="shared" si="0"/>
        <v>0</v>
      </c>
      <c r="H20" s="110"/>
      <c r="I20" s="110"/>
      <c r="J20" s="110">
        <f t="shared" si="1"/>
        <v>0</v>
      </c>
      <c r="K20" s="110">
        <f t="shared" si="2"/>
        <v>0</v>
      </c>
      <c r="L20" s="110"/>
      <c r="M20" s="116">
        <f t="shared" si="3"/>
        <v>208076.90000000008</v>
      </c>
      <c r="N20" s="44"/>
    </row>
    <row r="21" spans="1:14" ht="15.75" customHeight="1">
      <c r="A21" s="23">
        <v>18</v>
      </c>
      <c r="B21" s="24">
        <v>46313</v>
      </c>
      <c r="C21" s="44"/>
      <c r="D21" s="110"/>
      <c r="E21" s="73"/>
      <c r="F21" s="110"/>
      <c r="G21" s="110">
        <f t="shared" si="0"/>
        <v>0</v>
      </c>
      <c r="H21" s="110"/>
      <c r="I21" s="110"/>
      <c r="J21" s="110">
        <f t="shared" si="1"/>
        <v>0</v>
      </c>
      <c r="K21" s="110">
        <f t="shared" si="2"/>
        <v>0</v>
      </c>
      <c r="L21" s="110"/>
      <c r="M21" s="116">
        <f t="shared" si="3"/>
        <v>208076.90000000008</v>
      </c>
      <c r="N21" s="44"/>
    </row>
    <row r="22" spans="1:14" ht="15.75" customHeight="1">
      <c r="A22" s="23">
        <v>19</v>
      </c>
      <c r="B22" s="24">
        <v>46314</v>
      </c>
      <c r="C22" s="44"/>
      <c r="D22" s="110"/>
      <c r="E22" s="73"/>
      <c r="F22" s="110"/>
      <c r="G22" s="110">
        <f t="shared" si="0"/>
        <v>0</v>
      </c>
      <c r="H22" s="110"/>
      <c r="I22" s="110"/>
      <c r="J22" s="110">
        <f t="shared" si="1"/>
        <v>0</v>
      </c>
      <c r="K22" s="110">
        <f t="shared" si="2"/>
        <v>0</v>
      </c>
      <c r="L22" s="110"/>
      <c r="M22" s="116">
        <f t="shared" si="3"/>
        <v>208076.90000000008</v>
      </c>
      <c r="N22" s="44"/>
    </row>
    <row r="23" spans="1:14" ht="15.75" customHeight="1">
      <c r="A23" s="23">
        <v>20</v>
      </c>
      <c r="B23" s="24">
        <v>46315</v>
      </c>
      <c r="C23" s="44"/>
      <c r="D23" s="110"/>
      <c r="E23" s="73"/>
      <c r="F23" s="110"/>
      <c r="G23" s="110">
        <f t="shared" si="0"/>
        <v>0</v>
      </c>
      <c r="H23" s="110"/>
      <c r="I23" s="110"/>
      <c r="J23" s="110">
        <f t="shared" si="1"/>
        <v>0</v>
      </c>
      <c r="K23" s="110">
        <f t="shared" si="2"/>
        <v>0</v>
      </c>
      <c r="L23" s="110"/>
      <c r="M23" s="116">
        <f t="shared" si="3"/>
        <v>208076.90000000008</v>
      </c>
      <c r="N23" s="44"/>
    </row>
    <row r="24" spans="1:14" ht="15.75" customHeight="1">
      <c r="A24" s="23">
        <v>21</v>
      </c>
      <c r="B24" s="24">
        <v>46316</v>
      </c>
      <c r="C24" s="44"/>
      <c r="D24" s="110"/>
      <c r="E24" s="73"/>
      <c r="F24" s="110"/>
      <c r="G24" s="110">
        <f t="shared" si="0"/>
        <v>0</v>
      </c>
      <c r="H24" s="110"/>
      <c r="I24" s="110"/>
      <c r="J24" s="110">
        <f t="shared" si="1"/>
        <v>0</v>
      </c>
      <c r="K24" s="110">
        <f t="shared" si="2"/>
        <v>0</v>
      </c>
      <c r="L24" s="110"/>
      <c r="M24" s="116">
        <f t="shared" si="3"/>
        <v>208076.90000000008</v>
      </c>
      <c r="N24" s="44"/>
    </row>
    <row r="25" spans="1:14" ht="15.75" customHeight="1">
      <c r="A25" s="23">
        <v>22</v>
      </c>
      <c r="B25" s="24">
        <v>46317</v>
      </c>
      <c r="C25" s="44"/>
      <c r="D25" s="110"/>
      <c r="E25" s="73"/>
      <c r="F25" s="110"/>
      <c r="G25" s="110">
        <f t="shared" si="0"/>
        <v>0</v>
      </c>
      <c r="H25" s="110"/>
      <c r="I25" s="110"/>
      <c r="J25" s="110">
        <f t="shared" si="1"/>
        <v>0</v>
      </c>
      <c r="K25" s="110">
        <f t="shared" si="2"/>
        <v>0</v>
      </c>
      <c r="L25" s="110"/>
      <c r="M25" s="116">
        <f t="shared" si="3"/>
        <v>208076.90000000008</v>
      </c>
      <c r="N25" s="44"/>
    </row>
    <row r="26" spans="1:14" ht="15.75" customHeight="1">
      <c r="A26" s="23">
        <v>23</v>
      </c>
      <c r="B26" s="24">
        <v>46318</v>
      </c>
      <c r="C26" s="44"/>
      <c r="D26" s="110"/>
      <c r="E26" s="73"/>
      <c r="F26" s="110"/>
      <c r="G26" s="110">
        <f t="shared" si="0"/>
        <v>0</v>
      </c>
      <c r="H26" s="110"/>
      <c r="I26" s="110"/>
      <c r="J26" s="110">
        <f t="shared" si="1"/>
        <v>0</v>
      </c>
      <c r="K26" s="110">
        <f t="shared" si="2"/>
        <v>0</v>
      </c>
      <c r="L26" s="110"/>
      <c r="M26" s="116">
        <f t="shared" si="3"/>
        <v>208076.90000000008</v>
      </c>
      <c r="N26" s="44"/>
    </row>
    <row r="27" spans="1:14" ht="15.75" customHeight="1">
      <c r="A27" s="23">
        <v>24</v>
      </c>
      <c r="B27" s="24">
        <v>46319</v>
      </c>
      <c r="C27" s="44"/>
      <c r="D27" s="110"/>
      <c r="E27" s="73"/>
      <c r="F27" s="110"/>
      <c r="G27" s="110">
        <f t="shared" si="0"/>
        <v>0</v>
      </c>
      <c r="H27" s="110"/>
      <c r="I27" s="110"/>
      <c r="J27" s="110">
        <f t="shared" si="1"/>
        <v>0</v>
      </c>
      <c r="K27" s="110">
        <f t="shared" si="2"/>
        <v>0</v>
      </c>
      <c r="L27" s="110"/>
      <c r="M27" s="116">
        <f t="shared" si="3"/>
        <v>208076.90000000008</v>
      </c>
      <c r="N27" s="44"/>
    </row>
    <row r="28" spans="1:14" ht="15.75" customHeight="1">
      <c r="A28" s="23">
        <v>25</v>
      </c>
      <c r="B28" s="24">
        <v>46320</v>
      </c>
      <c r="C28" s="44"/>
      <c r="D28" s="110"/>
      <c r="E28" s="73"/>
      <c r="F28" s="110"/>
      <c r="G28" s="110">
        <f t="shared" si="0"/>
        <v>0</v>
      </c>
      <c r="H28" s="110"/>
      <c r="I28" s="110"/>
      <c r="J28" s="110">
        <f t="shared" si="1"/>
        <v>0</v>
      </c>
      <c r="K28" s="110">
        <f t="shared" si="2"/>
        <v>0</v>
      </c>
      <c r="L28" s="110"/>
      <c r="M28" s="116">
        <f t="shared" si="3"/>
        <v>208076.90000000008</v>
      </c>
      <c r="N28" s="44"/>
    </row>
    <row r="29" spans="1:14" ht="15.75" customHeight="1">
      <c r="A29" s="23">
        <v>26</v>
      </c>
      <c r="B29" s="24">
        <v>46321</v>
      </c>
      <c r="C29" s="44"/>
      <c r="D29" s="110"/>
      <c r="E29" s="73"/>
      <c r="F29" s="110"/>
      <c r="G29" s="110">
        <f t="shared" si="0"/>
        <v>0</v>
      </c>
      <c r="H29" s="110"/>
      <c r="I29" s="110"/>
      <c r="J29" s="110">
        <f t="shared" si="1"/>
        <v>0</v>
      </c>
      <c r="K29" s="110">
        <f t="shared" si="2"/>
        <v>0</v>
      </c>
      <c r="L29" s="110"/>
      <c r="M29" s="116">
        <f t="shared" si="3"/>
        <v>208076.90000000008</v>
      </c>
      <c r="N29" s="44"/>
    </row>
    <row r="30" spans="1:14" ht="15.75" customHeight="1">
      <c r="A30" s="23">
        <v>27</v>
      </c>
      <c r="B30" s="24">
        <v>46322</v>
      </c>
      <c r="C30" s="44"/>
      <c r="D30" s="110"/>
      <c r="E30" s="73"/>
      <c r="F30" s="110"/>
      <c r="G30" s="110">
        <f t="shared" si="0"/>
        <v>0</v>
      </c>
      <c r="H30" s="110"/>
      <c r="I30" s="110"/>
      <c r="J30" s="110">
        <f t="shared" si="1"/>
        <v>0</v>
      </c>
      <c r="K30" s="110">
        <f t="shared" si="2"/>
        <v>0</v>
      </c>
      <c r="L30" s="110"/>
      <c r="M30" s="116">
        <f t="shared" si="3"/>
        <v>208076.90000000008</v>
      </c>
      <c r="N30" s="44"/>
    </row>
    <row r="31" spans="1:14" ht="15.75" customHeight="1">
      <c r="A31" s="23">
        <v>28</v>
      </c>
      <c r="B31" s="24">
        <v>46323</v>
      </c>
      <c r="C31" s="44"/>
      <c r="D31" s="110"/>
      <c r="E31" s="73"/>
      <c r="F31" s="110"/>
      <c r="G31" s="110">
        <f t="shared" si="0"/>
        <v>0</v>
      </c>
      <c r="H31" s="110"/>
      <c r="I31" s="110"/>
      <c r="J31" s="110">
        <f t="shared" si="1"/>
        <v>0</v>
      </c>
      <c r="K31" s="110">
        <f t="shared" si="2"/>
        <v>0</v>
      </c>
      <c r="L31" s="110"/>
      <c r="M31" s="116">
        <f t="shared" si="3"/>
        <v>208076.90000000008</v>
      </c>
      <c r="N31" s="44"/>
    </row>
    <row r="32" spans="1:14" ht="15.75" customHeight="1">
      <c r="A32" s="23">
        <v>29</v>
      </c>
      <c r="B32" s="24">
        <v>46324</v>
      </c>
      <c r="C32" s="44"/>
      <c r="D32" s="110"/>
      <c r="E32" s="73"/>
      <c r="F32" s="110"/>
      <c r="G32" s="110">
        <f t="shared" si="0"/>
        <v>0</v>
      </c>
      <c r="H32" s="110"/>
      <c r="I32" s="110"/>
      <c r="J32" s="110">
        <f t="shared" si="1"/>
        <v>0</v>
      </c>
      <c r="K32" s="110">
        <f t="shared" si="2"/>
        <v>0</v>
      </c>
      <c r="L32" s="110"/>
      <c r="M32" s="116">
        <f t="shared" si="3"/>
        <v>208076.90000000008</v>
      </c>
      <c r="N32" s="44"/>
    </row>
    <row r="33" spans="1:15" ht="15.75" customHeight="1">
      <c r="A33" s="23">
        <v>30</v>
      </c>
      <c r="B33" s="24">
        <v>46325</v>
      </c>
      <c r="C33" s="44"/>
      <c r="D33" s="110"/>
      <c r="E33" s="73"/>
      <c r="F33" s="110"/>
      <c r="G33" s="110">
        <f t="shared" si="0"/>
        <v>0</v>
      </c>
      <c r="H33" s="110"/>
      <c r="I33" s="110"/>
      <c r="J33" s="110">
        <f t="shared" si="1"/>
        <v>0</v>
      </c>
      <c r="K33" s="110">
        <f t="shared" si="2"/>
        <v>0</v>
      </c>
      <c r="L33" s="110"/>
      <c r="M33" s="116">
        <f t="shared" si="3"/>
        <v>208076.90000000008</v>
      </c>
      <c r="N33" s="44"/>
    </row>
    <row r="34" spans="1:15" ht="15.75" customHeight="1">
      <c r="A34" s="23">
        <v>31</v>
      </c>
      <c r="B34" s="24">
        <v>46326</v>
      </c>
      <c r="C34" s="44"/>
      <c r="D34" s="110"/>
      <c r="E34" s="73"/>
      <c r="F34" s="110"/>
      <c r="G34" s="110">
        <f t="shared" ref="G34" si="4">E34*F34</f>
        <v>0</v>
      </c>
      <c r="H34" s="110"/>
      <c r="I34" s="110"/>
      <c r="J34" s="110">
        <f t="shared" ref="J34" si="5">H34*I34</f>
        <v>0</v>
      </c>
      <c r="K34" s="110">
        <f t="shared" ref="K34" si="6">G34+J34</f>
        <v>0</v>
      </c>
      <c r="L34" s="110"/>
      <c r="M34" s="116">
        <f t="shared" si="3"/>
        <v>208076.90000000008</v>
      </c>
      <c r="N34" s="44"/>
    </row>
    <row r="35" spans="1:15">
      <c r="A35" s="36"/>
      <c r="B35" s="36"/>
      <c r="C35" s="36"/>
      <c r="D35" s="36"/>
      <c r="E35" s="37">
        <f>SUM(E4:E34)</f>
        <v>2600</v>
      </c>
      <c r="F35" s="37"/>
      <c r="G35" s="37">
        <f>SUM(G4:G34)</f>
        <v>260182</v>
      </c>
      <c r="H35" s="37">
        <f>SUM(H4:H34)</f>
        <v>120</v>
      </c>
      <c r="I35" s="37"/>
      <c r="J35" s="37">
        <f>SUM(J4:J34)</f>
        <v>13450.8</v>
      </c>
      <c r="K35" s="37">
        <f>SUM(K4:K34)</f>
        <v>273632.8</v>
      </c>
      <c r="L35" s="37">
        <f>SUM(L4:L34)</f>
        <v>278000</v>
      </c>
      <c r="M35" s="37"/>
      <c r="N35" s="37"/>
      <c r="O35" s="30"/>
    </row>
    <row r="37" spans="1:15">
      <c r="D37" s="39"/>
      <c r="E37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8"/>
  <sheetViews>
    <sheetView workbookViewId="0">
      <pane ySplit="3" topLeftCell="A9" activePane="bottomLeft" state="frozen"/>
      <selection pane="bottomLeft" activeCell="M19" sqref="M19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10.7109375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23.28515625" customWidth="1"/>
    <col min="15" max="15" width="10" customWidth="1"/>
    <col min="16" max="16" width="12" bestFit="1" customWidth="1"/>
    <col min="19" max="19" width="12" bestFit="1" customWidth="1"/>
  </cols>
  <sheetData>
    <row r="1" spans="1:15">
      <c r="A1" s="633" t="s">
        <v>200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76"/>
    </row>
    <row r="2" spans="1:15">
      <c r="A2" s="117" t="s">
        <v>0</v>
      </c>
      <c r="B2" s="118" t="s">
        <v>167</v>
      </c>
      <c r="C2" s="118" t="s">
        <v>168</v>
      </c>
      <c r="D2" s="118" t="s">
        <v>169</v>
      </c>
      <c r="E2" s="118" t="s">
        <v>170</v>
      </c>
      <c r="F2" s="118" t="s">
        <v>171</v>
      </c>
      <c r="G2" s="118" t="s">
        <v>172</v>
      </c>
      <c r="H2" s="118" t="s">
        <v>173</v>
      </c>
      <c r="I2" s="118" t="s">
        <v>171</v>
      </c>
      <c r="J2" s="119" t="s">
        <v>172</v>
      </c>
      <c r="K2" s="117" t="s">
        <v>174</v>
      </c>
      <c r="L2" s="120" t="s">
        <v>175</v>
      </c>
      <c r="M2" s="120" t="s">
        <v>190</v>
      </c>
      <c r="N2" s="118" t="s">
        <v>177</v>
      </c>
      <c r="O2" s="53"/>
    </row>
    <row r="3" spans="1:15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2"/>
      <c r="K3" s="90">
        <v>290892.10989999998</v>
      </c>
      <c r="L3" s="34"/>
      <c r="M3" s="34">
        <v>290892.10989999998</v>
      </c>
      <c r="N3" s="14"/>
      <c r="O3" s="53"/>
    </row>
    <row r="4" spans="1:15">
      <c r="A4" s="23">
        <v>1</v>
      </c>
      <c r="B4" s="24">
        <v>46296</v>
      </c>
      <c r="C4" s="121"/>
      <c r="D4" s="122"/>
      <c r="E4" s="87">
        <v>800</v>
      </c>
      <c r="F4" s="87">
        <v>99.98</v>
      </c>
      <c r="G4" s="16">
        <f>E4*F4</f>
        <v>79984</v>
      </c>
      <c r="H4" s="87">
        <v>20</v>
      </c>
      <c r="I4" s="308">
        <v>111.98</v>
      </c>
      <c r="J4" s="16">
        <f>H4*I4</f>
        <v>2239.6</v>
      </c>
      <c r="K4" s="16">
        <f>G4+J4</f>
        <v>82223.600000000006</v>
      </c>
      <c r="L4" s="123"/>
      <c r="M4" s="123">
        <f>M3+K4-L4</f>
        <v>373115.70990000002</v>
      </c>
      <c r="N4" s="38"/>
    </row>
    <row r="5" spans="1:15">
      <c r="A5" s="23">
        <v>2</v>
      </c>
      <c r="B5" s="24">
        <v>46297</v>
      </c>
      <c r="C5" s="121"/>
      <c r="D5" s="122"/>
      <c r="E5" s="87"/>
      <c r="F5" s="87"/>
      <c r="G5" s="16">
        <f t="shared" ref="G5:G37" si="0">E5*F5</f>
        <v>0</v>
      </c>
      <c r="H5" s="87"/>
      <c r="I5" s="308"/>
      <c r="J5" s="16">
        <f t="shared" ref="J5:J37" si="1">H5*I5</f>
        <v>0</v>
      </c>
      <c r="K5" s="16">
        <f t="shared" ref="K5:L37" si="2">G5+J5</f>
        <v>0</v>
      </c>
      <c r="L5" s="123"/>
      <c r="M5" s="123">
        <f>M4+K5-L5</f>
        <v>373115.70990000002</v>
      </c>
      <c r="N5" s="38"/>
    </row>
    <row r="6" spans="1:15">
      <c r="A6" s="23">
        <v>3</v>
      </c>
      <c r="B6" s="24">
        <v>46298</v>
      </c>
      <c r="C6" s="121"/>
      <c r="D6" s="122"/>
      <c r="E6" s="87"/>
      <c r="F6" s="87"/>
      <c r="G6" s="16">
        <f t="shared" si="0"/>
        <v>0</v>
      </c>
      <c r="H6" s="87"/>
      <c r="I6" s="308"/>
      <c r="J6" s="16">
        <f t="shared" si="1"/>
        <v>0</v>
      </c>
      <c r="K6" s="16">
        <f t="shared" si="2"/>
        <v>0</v>
      </c>
      <c r="L6" s="123"/>
      <c r="M6" s="123">
        <f>M5+K6-L6</f>
        <v>373115.70990000002</v>
      </c>
      <c r="N6" s="38"/>
    </row>
    <row r="7" spans="1:15">
      <c r="A7" s="23">
        <v>4</v>
      </c>
      <c r="B7" s="24">
        <v>46299</v>
      </c>
      <c r="C7" s="121"/>
      <c r="D7" s="122"/>
      <c r="E7" s="87">
        <v>800</v>
      </c>
      <c r="F7" s="87">
        <v>99.98</v>
      </c>
      <c r="G7" s="16">
        <f t="shared" si="0"/>
        <v>79984</v>
      </c>
      <c r="H7" s="87">
        <v>30</v>
      </c>
      <c r="I7" s="308">
        <v>111.98</v>
      </c>
      <c r="J7" s="16">
        <f t="shared" si="1"/>
        <v>3359.4</v>
      </c>
      <c r="K7" s="16">
        <f t="shared" si="2"/>
        <v>83343.399999999994</v>
      </c>
      <c r="L7" s="123"/>
      <c r="M7" s="123">
        <f>M6+K7-L7</f>
        <v>456459.10990000004</v>
      </c>
      <c r="N7" s="38"/>
    </row>
    <row r="8" spans="1:15">
      <c r="A8" s="23">
        <v>5</v>
      </c>
      <c r="B8" s="24">
        <v>46300</v>
      </c>
      <c r="C8" s="121"/>
      <c r="D8" s="122"/>
      <c r="E8" s="87"/>
      <c r="F8" s="87"/>
      <c r="G8" s="16">
        <f t="shared" ref="G8:G36" si="3">E8*F8</f>
        <v>0</v>
      </c>
      <c r="H8" s="87"/>
      <c r="I8" s="308"/>
      <c r="J8" s="16">
        <f t="shared" si="1"/>
        <v>0</v>
      </c>
      <c r="K8" s="16">
        <f t="shared" si="2"/>
        <v>0</v>
      </c>
      <c r="L8" s="123"/>
      <c r="M8" s="123">
        <f t="shared" ref="M8:M38" si="4">M7+K8-L8</f>
        <v>456459.10990000004</v>
      </c>
      <c r="N8" s="38"/>
      <c r="O8" s="63"/>
    </row>
    <row r="9" spans="1:15">
      <c r="A9" s="23">
        <v>6</v>
      </c>
      <c r="B9" s="24">
        <v>46301</v>
      </c>
      <c r="C9" s="121"/>
      <c r="D9" s="122"/>
      <c r="E9" s="87"/>
      <c r="F9" s="87"/>
      <c r="G9" s="16">
        <f t="shared" si="3"/>
        <v>0</v>
      </c>
      <c r="H9" s="87"/>
      <c r="I9" s="308"/>
      <c r="J9" s="16">
        <f t="shared" si="1"/>
        <v>0</v>
      </c>
      <c r="K9" s="16">
        <f t="shared" si="2"/>
        <v>0</v>
      </c>
      <c r="L9" s="123"/>
      <c r="M9" s="123">
        <f t="shared" si="4"/>
        <v>456459.10990000004</v>
      </c>
      <c r="N9" s="38"/>
      <c r="O9" s="63"/>
    </row>
    <row r="10" spans="1:15">
      <c r="A10" s="23">
        <v>7</v>
      </c>
      <c r="B10" s="24">
        <v>46302</v>
      </c>
      <c r="C10" s="121"/>
      <c r="D10" s="122"/>
      <c r="E10" s="87"/>
      <c r="F10" s="87"/>
      <c r="G10" s="16">
        <f t="shared" si="3"/>
        <v>0</v>
      </c>
      <c r="H10" s="87"/>
      <c r="I10" s="308"/>
      <c r="J10" s="16">
        <f t="shared" si="1"/>
        <v>0</v>
      </c>
      <c r="K10" s="16">
        <f t="shared" si="2"/>
        <v>0</v>
      </c>
      <c r="L10" s="123"/>
      <c r="M10" s="123">
        <f t="shared" si="4"/>
        <v>456459.10990000004</v>
      </c>
      <c r="N10" s="38"/>
      <c r="O10" s="63"/>
    </row>
    <row r="11" spans="1:15">
      <c r="A11" s="23">
        <v>8</v>
      </c>
      <c r="B11" s="24">
        <v>46303</v>
      </c>
      <c r="C11" s="121"/>
      <c r="D11" s="122"/>
      <c r="E11" s="87"/>
      <c r="F11" s="87"/>
      <c r="G11" s="16">
        <f t="shared" si="3"/>
        <v>0</v>
      </c>
      <c r="H11" s="87"/>
      <c r="I11" s="308"/>
      <c r="J11" s="16">
        <f t="shared" si="1"/>
        <v>0</v>
      </c>
      <c r="K11" s="16">
        <f t="shared" si="2"/>
        <v>0</v>
      </c>
      <c r="L11" s="123"/>
      <c r="M11" s="123">
        <f t="shared" si="4"/>
        <v>456459.10990000004</v>
      </c>
      <c r="N11" s="38"/>
      <c r="O11" s="63"/>
    </row>
    <row r="12" spans="1:15">
      <c r="A12" s="23">
        <v>9</v>
      </c>
      <c r="B12" s="24">
        <v>46304</v>
      </c>
      <c r="C12" s="121"/>
      <c r="D12" s="122"/>
      <c r="E12" s="87"/>
      <c r="F12" s="87"/>
      <c r="G12" s="16">
        <f t="shared" si="3"/>
        <v>0</v>
      </c>
      <c r="H12" s="87"/>
      <c r="I12" s="308"/>
      <c r="J12" s="16">
        <f t="shared" si="1"/>
        <v>0</v>
      </c>
      <c r="K12" s="16">
        <f t="shared" si="2"/>
        <v>0</v>
      </c>
      <c r="L12" s="123"/>
      <c r="M12" s="123">
        <f t="shared" si="4"/>
        <v>456459.10990000004</v>
      </c>
      <c r="N12" s="38"/>
      <c r="O12" s="63"/>
    </row>
    <row r="13" spans="1:15">
      <c r="A13" s="23">
        <v>10</v>
      </c>
      <c r="B13" s="24">
        <v>46305</v>
      </c>
      <c r="C13" s="121"/>
      <c r="D13" s="122"/>
      <c r="E13" s="87">
        <v>66.63</v>
      </c>
      <c r="F13" s="87">
        <v>100.07</v>
      </c>
      <c r="G13" s="16">
        <f t="shared" si="3"/>
        <v>6667.6640999999991</v>
      </c>
      <c r="H13" s="87">
        <v>29.99</v>
      </c>
      <c r="I13" s="308">
        <v>112.09</v>
      </c>
      <c r="J13" s="16">
        <f t="shared" si="1"/>
        <v>3361.5790999999999</v>
      </c>
      <c r="K13" s="16">
        <f t="shared" si="2"/>
        <v>10029.243199999999</v>
      </c>
      <c r="L13" s="123">
        <v>10029.243199999999</v>
      </c>
      <c r="M13" s="123">
        <f t="shared" si="4"/>
        <v>456459.10990000004</v>
      </c>
      <c r="N13" s="38"/>
      <c r="O13" s="63"/>
    </row>
    <row r="14" spans="1:15">
      <c r="A14" s="23">
        <v>11</v>
      </c>
      <c r="B14" s="24">
        <v>46305</v>
      </c>
      <c r="C14" s="121"/>
      <c r="D14" s="122"/>
      <c r="E14" s="87"/>
      <c r="F14" s="87"/>
      <c r="G14" s="16"/>
      <c r="H14" s="87"/>
      <c r="I14" s="308"/>
      <c r="J14" s="16"/>
      <c r="K14" s="16"/>
      <c r="L14" s="123">
        <v>290000</v>
      </c>
      <c r="M14" s="123">
        <f>M13+K14-L14</f>
        <v>166459.10990000004</v>
      </c>
      <c r="N14" s="38"/>
      <c r="O14" s="63"/>
    </row>
    <row r="15" spans="1:15">
      <c r="A15" s="23">
        <v>12</v>
      </c>
      <c r="B15" s="24">
        <v>46306</v>
      </c>
      <c r="C15" s="121"/>
      <c r="D15" s="122"/>
      <c r="E15" s="87">
        <v>800</v>
      </c>
      <c r="F15" s="87">
        <v>99.98</v>
      </c>
      <c r="G15" s="16">
        <f t="shared" si="3"/>
        <v>79984</v>
      </c>
      <c r="H15" s="87">
        <v>30</v>
      </c>
      <c r="I15" s="308">
        <v>111.98</v>
      </c>
      <c r="J15" s="16">
        <f t="shared" si="1"/>
        <v>3359.4</v>
      </c>
      <c r="K15" s="16">
        <f t="shared" si="2"/>
        <v>83343.399999999994</v>
      </c>
      <c r="L15" s="123"/>
      <c r="M15" s="123">
        <f t="shared" ref="M15:M16" si="5">M14+K15-L15</f>
        <v>249802.50990000003</v>
      </c>
      <c r="N15" s="38"/>
      <c r="O15" s="63"/>
    </row>
    <row r="16" spans="1:15">
      <c r="A16" s="23">
        <v>13</v>
      </c>
      <c r="B16" s="24">
        <v>46307</v>
      </c>
      <c r="C16" s="121"/>
      <c r="D16" s="122"/>
      <c r="E16" s="87"/>
      <c r="F16" s="87"/>
      <c r="G16" s="16">
        <f t="shared" si="3"/>
        <v>0</v>
      </c>
      <c r="H16" s="87"/>
      <c r="I16" s="308"/>
      <c r="J16" s="16">
        <f t="shared" si="1"/>
        <v>0</v>
      </c>
      <c r="K16" s="16">
        <f t="shared" si="2"/>
        <v>0</v>
      </c>
      <c r="L16" s="123"/>
      <c r="M16" s="123">
        <f t="shared" si="5"/>
        <v>249802.50990000003</v>
      </c>
      <c r="N16" s="38"/>
      <c r="O16" s="63"/>
    </row>
    <row r="17" spans="1:19">
      <c r="A17" s="23">
        <v>14</v>
      </c>
      <c r="B17" s="24">
        <v>46308</v>
      </c>
      <c r="C17" s="121"/>
      <c r="D17" s="122"/>
      <c r="E17" s="87">
        <v>600</v>
      </c>
      <c r="F17" s="87">
        <v>99.98</v>
      </c>
      <c r="G17" s="16">
        <f t="shared" si="3"/>
        <v>59988</v>
      </c>
      <c r="H17" s="87"/>
      <c r="I17" s="308"/>
      <c r="J17" s="16">
        <f t="shared" si="1"/>
        <v>0</v>
      </c>
      <c r="K17" s="16">
        <f t="shared" si="2"/>
        <v>59988</v>
      </c>
      <c r="L17" s="123"/>
      <c r="M17" s="123">
        <f t="shared" si="4"/>
        <v>309790.50990000006</v>
      </c>
      <c r="N17" s="38"/>
      <c r="O17" s="63"/>
    </row>
    <row r="18" spans="1:19">
      <c r="A18" s="23">
        <v>15</v>
      </c>
      <c r="B18" s="24">
        <v>46309</v>
      </c>
      <c r="C18" s="121"/>
      <c r="D18" s="122"/>
      <c r="E18" s="87"/>
      <c r="F18" s="87"/>
      <c r="G18" s="16">
        <f t="shared" si="3"/>
        <v>0</v>
      </c>
      <c r="H18" s="87"/>
      <c r="I18" s="308"/>
      <c r="J18" s="16">
        <f t="shared" si="1"/>
        <v>0</v>
      </c>
      <c r="K18" s="16">
        <f t="shared" si="2"/>
        <v>0</v>
      </c>
      <c r="L18" s="123"/>
      <c r="M18" s="123">
        <f t="shared" si="4"/>
        <v>309790.50990000006</v>
      </c>
      <c r="N18" s="38"/>
      <c r="O18" s="63"/>
    </row>
    <row r="19" spans="1:19">
      <c r="A19" s="23">
        <v>16</v>
      </c>
      <c r="B19" s="24">
        <v>46310</v>
      </c>
      <c r="C19" s="121"/>
      <c r="D19" s="122"/>
      <c r="E19" s="87">
        <v>800</v>
      </c>
      <c r="F19" s="87">
        <v>99.98</v>
      </c>
      <c r="G19" s="16">
        <f t="shared" si="3"/>
        <v>79984</v>
      </c>
      <c r="H19" s="87"/>
      <c r="I19" s="308"/>
      <c r="J19" s="16">
        <f t="shared" si="1"/>
        <v>0</v>
      </c>
      <c r="K19" s="16">
        <f t="shared" si="2"/>
        <v>79984</v>
      </c>
      <c r="L19" s="123"/>
      <c r="M19" s="123">
        <f t="shared" si="4"/>
        <v>389774.50990000006</v>
      </c>
      <c r="N19" s="38"/>
      <c r="O19" s="63"/>
      <c r="Q19" s="227"/>
      <c r="S19" s="163"/>
    </row>
    <row r="20" spans="1:19">
      <c r="A20" s="23">
        <v>17</v>
      </c>
      <c r="B20" s="24">
        <v>46311</v>
      </c>
      <c r="C20" s="121"/>
      <c r="D20" s="122"/>
      <c r="E20" s="87"/>
      <c r="F20" s="87"/>
      <c r="G20" s="16">
        <f t="shared" si="3"/>
        <v>0</v>
      </c>
      <c r="H20" s="87"/>
      <c r="I20" s="308"/>
      <c r="J20" s="16">
        <f t="shared" si="1"/>
        <v>0</v>
      </c>
      <c r="K20" s="16">
        <f t="shared" si="2"/>
        <v>0</v>
      </c>
      <c r="L20" s="123"/>
      <c r="M20" s="123">
        <f t="shared" si="4"/>
        <v>389774.50990000006</v>
      </c>
      <c r="N20" s="38"/>
      <c r="O20" s="63"/>
    </row>
    <row r="21" spans="1:19">
      <c r="A21" s="23">
        <v>18</v>
      </c>
      <c r="B21" s="24">
        <v>46312</v>
      </c>
      <c r="C21" s="121"/>
      <c r="D21" s="122"/>
      <c r="E21" s="87"/>
      <c r="F21" s="87"/>
      <c r="G21" s="16">
        <f t="shared" si="3"/>
        <v>0</v>
      </c>
      <c r="H21" s="87"/>
      <c r="I21" s="308"/>
      <c r="J21" s="16">
        <f t="shared" si="1"/>
        <v>0</v>
      </c>
      <c r="K21" s="16">
        <f t="shared" si="2"/>
        <v>0</v>
      </c>
      <c r="L21" s="123"/>
      <c r="M21" s="123">
        <f t="shared" si="4"/>
        <v>389774.50990000006</v>
      </c>
      <c r="N21" s="38"/>
      <c r="O21" s="63"/>
    </row>
    <row r="22" spans="1:19">
      <c r="A22" s="23">
        <v>19</v>
      </c>
      <c r="B22" s="24">
        <v>46313</v>
      </c>
      <c r="C22" s="121"/>
      <c r="D22" s="122"/>
      <c r="E22" s="87"/>
      <c r="F22" s="87"/>
      <c r="G22" s="16">
        <f t="shared" si="3"/>
        <v>0</v>
      </c>
      <c r="H22" s="87"/>
      <c r="I22" s="308"/>
      <c r="J22" s="16">
        <f t="shared" si="1"/>
        <v>0</v>
      </c>
      <c r="K22" s="16">
        <f t="shared" si="2"/>
        <v>0</v>
      </c>
      <c r="L22" s="123"/>
      <c r="M22" s="123">
        <f t="shared" si="4"/>
        <v>389774.50990000006</v>
      </c>
      <c r="N22" s="38"/>
      <c r="O22" s="63"/>
    </row>
    <row r="23" spans="1:19">
      <c r="A23" s="23">
        <v>20</v>
      </c>
      <c r="B23" s="24">
        <v>46314</v>
      </c>
      <c r="C23" s="121"/>
      <c r="D23" s="122"/>
      <c r="E23" s="87"/>
      <c r="F23" s="87"/>
      <c r="G23" s="16">
        <f t="shared" si="3"/>
        <v>0</v>
      </c>
      <c r="H23" s="87"/>
      <c r="I23" s="308"/>
      <c r="J23" s="16">
        <f t="shared" si="1"/>
        <v>0</v>
      </c>
      <c r="K23" s="16">
        <f t="shared" si="2"/>
        <v>0</v>
      </c>
      <c r="L23" s="123"/>
      <c r="M23" s="123">
        <f t="shared" si="4"/>
        <v>389774.50990000006</v>
      </c>
      <c r="N23" s="38"/>
      <c r="O23" s="63"/>
    </row>
    <row r="24" spans="1:19">
      <c r="A24" s="23">
        <v>21</v>
      </c>
      <c r="B24" s="24">
        <v>46315</v>
      </c>
      <c r="C24" s="121"/>
      <c r="D24" s="122"/>
      <c r="E24" s="87"/>
      <c r="F24" s="87"/>
      <c r="G24" s="16">
        <f t="shared" si="3"/>
        <v>0</v>
      </c>
      <c r="H24" s="87"/>
      <c r="I24" s="308"/>
      <c r="J24" s="16">
        <f t="shared" si="1"/>
        <v>0</v>
      </c>
      <c r="K24" s="16">
        <f t="shared" si="2"/>
        <v>0</v>
      </c>
      <c r="L24" s="16"/>
      <c r="M24" s="123">
        <f t="shared" si="4"/>
        <v>389774.50990000006</v>
      </c>
      <c r="N24" s="38"/>
      <c r="O24" s="63"/>
    </row>
    <row r="25" spans="1:19">
      <c r="A25" s="23">
        <v>22</v>
      </c>
      <c r="B25" s="24">
        <v>46316</v>
      </c>
      <c r="C25" s="121"/>
      <c r="D25" s="122"/>
      <c r="E25" s="87"/>
      <c r="F25" s="87"/>
      <c r="G25" s="16">
        <f t="shared" si="3"/>
        <v>0</v>
      </c>
      <c r="H25" s="87"/>
      <c r="I25" s="308"/>
      <c r="J25" s="16">
        <f t="shared" si="1"/>
        <v>0</v>
      </c>
      <c r="K25" s="16">
        <f t="shared" si="2"/>
        <v>0</v>
      </c>
      <c r="L25" s="123"/>
      <c r="M25" s="123">
        <f t="shared" si="4"/>
        <v>389774.50990000006</v>
      </c>
      <c r="N25" s="38"/>
      <c r="O25" s="226"/>
    </row>
    <row r="26" spans="1:19">
      <c r="A26" s="23">
        <v>23</v>
      </c>
      <c r="B26" s="24">
        <v>46317</v>
      </c>
      <c r="C26" s="121"/>
      <c r="D26" s="122"/>
      <c r="E26" s="87"/>
      <c r="F26" s="87"/>
      <c r="G26" s="16">
        <f t="shared" si="3"/>
        <v>0</v>
      </c>
      <c r="H26" s="87"/>
      <c r="I26" s="308"/>
      <c r="J26" s="16">
        <f t="shared" si="1"/>
        <v>0</v>
      </c>
      <c r="K26" s="449">
        <f t="shared" si="2"/>
        <v>0</v>
      </c>
      <c r="L26" s="449"/>
      <c r="M26" s="123">
        <f t="shared" si="4"/>
        <v>389774.50990000006</v>
      </c>
      <c r="N26" s="38"/>
      <c r="O26" s="63"/>
    </row>
    <row r="27" spans="1:19">
      <c r="A27" s="23">
        <v>24</v>
      </c>
      <c r="B27" s="24">
        <v>46318</v>
      </c>
      <c r="C27" s="121"/>
      <c r="D27" s="122"/>
      <c r="E27" s="87"/>
      <c r="F27" s="87"/>
      <c r="G27" s="16">
        <f t="shared" si="3"/>
        <v>0</v>
      </c>
      <c r="H27" s="87"/>
      <c r="I27" s="308"/>
      <c r="J27" s="16">
        <f t="shared" si="1"/>
        <v>0</v>
      </c>
      <c r="K27" s="16">
        <f t="shared" si="2"/>
        <v>0</v>
      </c>
      <c r="L27" s="123"/>
      <c r="M27" s="123">
        <f t="shared" si="4"/>
        <v>389774.50990000006</v>
      </c>
      <c r="N27" s="38"/>
      <c r="O27" s="63"/>
    </row>
    <row r="28" spans="1:19">
      <c r="A28" s="23">
        <v>25</v>
      </c>
      <c r="B28" s="24">
        <v>46319</v>
      </c>
      <c r="C28" s="121"/>
      <c r="D28" s="122"/>
      <c r="E28" s="87"/>
      <c r="F28" s="87"/>
      <c r="G28" s="16">
        <f t="shared" si="3"/>
        <v>0</v>
      </c>
      <c r="H28" s="87"/>
      <c r="I28" s="308"/>
      <c r="J28" s="16"/>
      <c r="K28" s="16">
        <f t="shared" si="2"/>
        <v>0</v>
      </c>
      <c r="L28" s="123"/>
      <c r="M28" s="123">
        <f t="shared" si="4"/>
        <v>389774.50990000006</v>
      </c>
      <c r="N28" s="38"/>
      <c r="O28" s="63"/>
    </row>
    <row r="29" spans="1:19">
      <c r="A29" s="23">
        <v>26</v>
      </c>
      <c r="B29" s="24">
        <v>46320</v>
      </c>
      <c r="C29" s="121"/>
      <c r="D29" s="122"/>
      <c r="E29" s="87"/>
      <c r="F29" s="87"/>
      <c r="G29" s="16">
        <f t="shared" si="3"/>
        <v>0</v>
      </c>
      <c r="H29" s="87"/>
      <c r="I29" s="308"/>
      <c r="J29" s="16">
        <f t="shared" si="1"/>
        <v>0</v>
      </c>
      <c r="K29" s="16">
        <f t="shared" si="2"/>
        <v>0</v>
      </c>
      <c r="L29" s="123"/>
      <c r="M29" s="123">
        <f t="shared" si="4"/>
        <v>389774.50990000006</v>
      </c>
      <c r="N29" s="38"/>
      <c r="O29" s="63"/>
    </row>
    <row r="30" spans="1:19">
      <c r="A30" s="23">
        <v>27</v>
      </c>
      <c r="B30" s="24">
        <v>46321</v>
      </c>
      <c r="C30" s="121"/>
      <c r="D30" s="122"/>
      <c r="E30" s="87"/>
      <c r="F30" s="87"/>
      <c r="G30" s="16">
        <f t="shared" si="3"/>
        <v>0</v>
      </c>
      <c r="H30" s="87"/>
      <c r="I30" s="308"/>
      <c r="J30" s="16">
        <f t="shared" si="1"/>
        <v>0</v>
      </c>
      <c r="K30" s="16">
        <f t="shared" si="2"/>
        <v>0</v>
      </c>
      <c r="L30" s="16"/>
      <c r="M30" s="123">
        <f t="shared" si="4"/>
        <v>389774.50990000006</v>
      </c>
      <c r="N30" s="38"/>
      <c r="O30" s="63"/>
    </row>
    <row r="31" spans="1:19">
      <c r="A31" s="23">
        <v>28</v>
      </c>
      <c r="B31" s="24">
        <v>46322</v>
      </c>
      <c r="C31" s="121"/>
      <c r="D31" s="122"/>
      <c r="E31" s="545"/>
      <c r="F31" s="545"/>
      <c r="G31" s="16">
        <f t="shared" si="3"/>
        <v>0</v>
      </c>
      <c r="H31" s="87"/>
      <c r="I31" s="308"/>
      <c r="J31" s="16">
        <f t="shared" si="1"/>
        <v>0</v>
      </c>
      <c r="K31" s="16">
        <f t="shared" si="2"/>
        <v>0</v>
      </c>
      <c r="L31" s="123"/>
      <c r="M31" s="123">
        <f t="shared" si="4"/>
        <v>389774.50990000006</v>
      </c>
      <c r="N31" s="38"/>
      <c r="O31" s="63"/>
    </row>
    <row r="32" spans="1:19">
      <c r="A32" s="23">
        <v>29</v>
      </c>
      <c r="B32" s="24">
        <v>46323</v>
      </c>
      <c r="C32" s="121"/>
      <c r="D32" s="122"/>
      <c r="E32" s="87"/>
      <c r="F32" s="87"/>
      <c r="G32" s="16">
        <f t="shared" si="3"/>
        <v>0</v>
      </c>
      <c r="H32" s="87"/>
      <c r="I32" s="308"/>
      <c r="J32" s="16">
        <f t="shared" si="1"/>
        <v>0</v>
      </c>
      <c r="K32" s="449">
        <f t="shared" si="2"/>
        <v>0</v>
      </c>
      <c r="L32" s="449"/>
      <c r="M32" s="123">
        <f t="shared" si="4"/>
        <v>389774.50990000006</v>
      </c>
      <c r="N32" s="38"/>
      <c r="O32" s="63"/>
    </row>
    <row r="33" spans="1:19">
      <c r="A33" s="23">
        <v>30</v>
      </c>
      <c r="B33" s="24">
        <v>46324</v>
      </c>
      <c r="C33" s="121"/>
      <c r="D33" s="122"/>
      <c r="E33" s="545"/>
      <c r="F33" s="545"/>
      <c r="G33" s="16">
        <f t="shared" si="3"/>
        <v>0</v>
      </c>
      <c r="H33" s="87"/>
      <c r="I33" s="308"/>
      <c r="J33" s="16">
        <f t="shared" si="1"/>
        <v>0</v>
      </c>
      <c r="K33" s="449">
        <f t="shared" si="2"/>
        <v>0</v>
      </c>
      <c r="L33" s="449"/>
      <c r="M33" s="123">
        <f t="shared" si="4"/>
        <v>389774.50990000006</v>
      </c>
      <c r="N33" s="38"/>
      <c r="O33" s="63"/>
      <c r="P33" s="227"/>
    </row>
    <row r="34" spans="1:19">
      <c r="A34" s="23">
        <v>31</v>
      </c>
      <c r="B34" s="24">
        <v>46325</v>
      </c>
      <c r="C34" s="121"/>
      <c r="D34" s="122"/>
      <c r="E34" s="87"/>
      <c r="F34" s="87"/>
      <c r="G34" s="16">
        <f t="shared" si="3"/>
        <v>0</v>
      </c>
      <c r="H34" s="87"/>
      <c r="I34" s="308"/>
      <c r="J34" s="16">
        <f t="shared" si="1"/>
        <v>0</v>
      </c>
      <c r="K34" s="16">
        <f t="shared" si="2"/>
        <v>0</v>
      </c>
      <c r="L34" s="123"/>
      <c r="M34" s="123">
        <f t="shared" si="4"/>
        <v>389774.50990000006</v>
      </c>
      <c r="N34" s="38"/>
      <c r="O34" s="63"/>
    </row>
    <row r="35" spans="1:19">
      <c r="A35" s="23">
        <v>32</v>
      </c>
      <c r="B35" s="24">
        <v>46326</v>
      </c>
      <c r="C35" s="121"/>
      <c r="D35" s="122"/>
      <c r="E35" s="87"/>
      <c r="F35" s="87"/>
      <c r="G35" s="16">
        <f t="shared" si="3"/>
        <v>0</v>
      </c>
      <c r="H35" s="87"/>
      <c r="I35" s="308"/>
      <c r="J35" s="16">
        <f t="shared" si="1"/>
        <v>0</v>
      </c>
      <c r="K35" s="16">
        <f t="shared" si="2"/>
        <v>0</v>
      </c>
      <c r="L35" s="123"/>
      <c r="M35" s="123">
        <f t="shared" si="4"/>
        <v>389774.50990000006</v>
      </c>
      <c r="N35" s="38"/>
      <c r="O35" s="63"/>
      <c r="P35" s="227"/>
    </row>
    <row r="36" spans="1:19">
      <c r="A36" s="23">
        <v>33</v>
      </c>
      <c r="B36" s="24"/>
      <c r="C36" s="121"/>
      <c r="D36" s="122"/>
      <c r="E36" s="87"/>
      <c r="F36" s="87"/>
      <c r="G36" s="16">
        <f t="shared" si="3"/>
        <v>0</v>
      </c>
      <c r="H36" s="87"/>
      <c r="I36" s="308"/>
      <c r="J36" s="16">
        <f t="shared" si="1"/>
        <v>0</v>
      </c>
      <c r="K36" s="16">
        <f t="shared" si="2"/>
        <v>0</v>
      </c>
      <c r="L36" s="123"/>
      <c r="M36" s="123">
        <f t="shared" si="4"/>
        <v>389774.50990000006</v>
      </c>
      <c r="N36" s="38"/>
      <c r="O36" s="63"/>
    </row>
    <row r="37" spans="1:19">
      <c r="A37" s="23"/>
      <c r="B37" s="24"/>
      <c r="C37" s="121"/>
      <c r="D37" s="122"/>
      <c r="E37" s="87"/>
      <c r="F37" s="87"/>
      <c r="G37" s="16">
        <f t="shared" si="0"/>
        <v>0</v>
      </c>
      <c r="H37" s="87"/>
      <c r="I37" s="308"/>
      <c r="J37" s="16">
        <f t="shared" si="1"/>
        <v>0</v>
      </c>
      <c r="K37" s="16">
        <f t="shared" si="2"/>
        <v>0</v>
      </c>
      <c r="L37" s="123"/>
      <c r="M37" s="123">
        <f t="shared" si="4"/>
        <v>389774.50990000006</v>
      </c>
      <c r="N37" s="38"/>
      <c r="O37" s="63"/>
    </row>
    <row r="38" spans="1:19">
      <c r="A38" s="23"/>
      <c r="B38" s="24"/>
      <c r="C38" s="121"/>
      <c r="D38" s="122"/>
      <c r="E38" s="87"/>
      <c r="F38" s="87"/>
      <c r="G38" s="16">
        <f t="shared" ref="G38" si="6">E38*F38</f>
        <v>0</v>
      </c>
      <c r="H38" s="87"/>
      <c r="I38" s="308"/>
      <c r="J38" s="16">
        <f t="shared" ref="J38" si="7">H38*I38</f>
        <v>0</v>
      </c>
      <c r="K38" s="16">
        <f t="shared" ref="K38" si="8">G38+J38</f>
        <v>0</v>
      </c>
      <c r="L38" s="123"/>
      <c r="M38" s="123">
        <f t="shared" si="4"/>
        <v>389774.50990000006</v>
      </c>
      <c r="N38" s="38"/>
      <c r="O38" s="63"/>
    </row>
    <row r="39" spans="1:19">
      <c r="A39" s="36"/>
      <c r="B39" s="36"/>
      <c r="C39" s="36"/>
      <c r="D39" s="36"/>
      <c r="E39" s="37">
        <f>SUM(E4:E37)</f>
        <v>3866.63</v>
      </c>
      <c r="F39" s="37"/>
      <c r="G39" s="37">
        <f>SUM(G4:G37)</f>
        <v>386591.66409999999</v>
      </c>
      <c r="H39" s="37">
        <f>SUM(H4:H37)</f>
        <v>109.99</v>
      </c>
      <c r="I39" s="37"/>
      <c r="J39" s="37">
        <f>SUM(J4:J37)</f>
        <v>12319.979099999999</v>
      </c>
      <c r="K39" s="37">
        <f>SUM(K4:K37)</f>
        <v>398911.64319999999</v>
      </c>
      <c r="L39" s="37">
        <f>SUM(L4:L37)</f>
        <v>300029.24320000003</v>
      </c>
      <c r="M39" s="37"/>
      <c r="N39" s="37"/>
      <c r="O39" s="30"/>
    </row>
    <row r="40" spans="1:19">
      <c r="A40" s="66"/>
      <c r="B40" s="67"/>
      <c r="C40" s="66"/>
      <c r="D40" s="66"/>
      <c r="E40" s="68"/>
      <c r="F40" s="68"/>
      <c r="G40" s="68"/>
      <c r="H40" s="68"/>
      <c r="I40" s="68"/>
      <c r="J40" s="69"/>
      <c r="K40" s="69"/>
      <c r="L40" s="69"/>
      <c r="M40" s="69"/>
      <c r="N40" s="68"/>
      <c r="O40" s="63"/>
    </row>
    <row r="41" spans="1:19">
      <c r="E41" s="127"/>
      <c r="F41" s="127"/>
      <c r="G41" s="127"/>
      <c r="H41" s="127"/>
      <c r="I41" s="127"/>
      <c r="J41" s="127"/>
      <c r="K41" s="127"/>
      <c r="L41" s="127"/>
      <c r="M41" s="227"/>
      <c r="O41" s="63"/>
    </row>
    <row r="42" spans="1:19">
      <c r="O42" s="63"/>
    </row>
    <row r="43" spans="1:19">
      <c r="M43" s="163"/>
      <c r="O43" s="63"/>
    </row>
    <row r="44" spans="1:19">
      <c r="O44" s="63"/>
    </row>
    <row r="45" spans="1:19">
      <c r="O45" s="63"/>
      <c r="S45">
        <v>9052944708</v>
      </c>
    </row>
    <row r="46" spans="1:19">
      <c r="A46" s="63"/>
      <c r="B46" s="53"/>
      <c r="C46" s="63"/>
      <c r="D46" s="63"/>
      <c r="E46" s="63"/>
      <c r="F46" s="63"/>
      <c r="G46" s="70"/>
      <c r="H46" s="63"/>
      <c r="I46" s="63"/>
      <c r="J46" s="53"/>
      <c r="K46" s="53"/>
      <c r="L46" s="53"/>
      <c r="M46" s="53"/>
      <c r="N46" s="63"/>
      <c r="O46" s="68"/>
    </row>
    <row r="47" spans="1:19">
      <c r="A47" s="63"/>
      <c r="B47" s="624"/>
      <c r="C47" s="624"/>
      <c r="D47" s="624"/>
      <c r="E47" s="624"/>
      <c r="F47" s="63"/>
      <c r="G47" s="63"/>
      <c r="H47" s="63"/>
      <c r="I47" s="624"/>
      <c r="J47" s="624"/>
      <c r="K47" s="624"/>
      <c r="L47" s="624"/>
      <c r="M47" s="624"/>
      <c r="N47" s="624"/>
      <c r="O47" s="68"/>
    </row>
    <row r="48" spans="1:19">
      <c r="A48" s="63"/>
      <c r="B48" s="53"/>
      <c r="C48" s="63"/>
      <c r="D48" s="63"/>
      <c r="E48" s="63"/>
      <c r="F48" s="63"/>
      <c r="G48" s="63"/>
      <c r="H48" s="63"/>
      <c r="I48" s="63"/>
      <c r="J48" s="53"/>
      <c r="K48" s="53"/>
      <c r="L48" s="53"/>
      <c r="M48" s="53"/>
      <c r="N48" s="63"/>
      <c r="O48" s="68"/>
    </row>
  </sheetData>
  <mergeCells count="4">
    <mergeCell ref="A1:N1"/>
    <mergeCell ref="B47:E47"/>
    <mergeCell ref="I47:N47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workbookViewId="0">
      <pane ySplit="3" topLeftCell="A4" activePane="bottomLeft" state="frozen"/>
      <selection pane="bottomLeft" activeCell="M17" sqref="M17"/>
    </sheetView>
  </sheetViews>
  <sheetFormatPr defaultRowHeight="15"/>
  <cols>
    <col min="2" max="2" width="10.140625" bestFit="1" customWidth="1"/>
    <col min="4" max="4" width="24.85546875" bestFit="1" customWidth="1"/>
    <col min="7" max="7" width="8.28515625" bestFit="1" customWidth="1"/>
    <col min="12" max="12" width="9.28515625" bestFit="1" customWidth="1"/>
    <col min="13" max="13" width="10.42578125" bestFit="1" customWidth="1"/>
    <col min="14" max="14" width="12.7109375" customWidth="1"/>
  </cols>
  <sheetData>
    <row r="1" spans="1:14" ht="15.75">
      <c r="A1" s="631" t="s">
        <v>201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ht="25.5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99" t="s">
        <v>174</v>
      </c>
      <c r="L2" s="99" t="s">
        <v>175</v>
      </c>
      <c r="M2" s="99" t="s">
        <v>190</v>
      </c>
      <c r="N2" s="99" t="s">
        <v>177</v>
      </c>
    </row>
    <row r="3" spans="1:14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89">
        <v>44770.66</v>
      </c>
      <c r="L3" s="89"/>
      <c r="M3" s="89">
        <v>44770.66</v>
      </c>
      <c r="N3" s="14"/>
    </row>
    <row r="4" spans="1:14">
      <c r="A4" s="23">
        <v>1</v>
      </c>
      <c r="B4" s="24">
        <v>46296</v>
      </c>
      <c r="C4" s="14"/>
      <c r="D4" s="14"/>
      <c r="E4" s="80"/>
      <c r="F4" s="80"/>
      <c r="G4" s="14">
        <f>E4*F4</f>
        <v>0</v>
      </c>
      <c r="H4" s="80"/>
      <c r="I4" s="80"/>
      <c r="J4" s="14">
        <f>H4*I4</f>
        <v>0</v>
      </c>
      <c r="K4" s="14">
        <f>G4+J4</f>
        <v>0</v>
      </c>
      <c r="L4" s="14"/>
      <c r="M4" s="14">
        <f>M3+K4-L4</f>
        <v>44770.66</v>
      </c>
      <c r="N4" s="211"/>
    </row>
    <row r="5" spans="1:14">
      <c r="A5" s="23">
        <v>2</v>
      </c>
      <c r="B5" s="24">
        <v>46297</v>
      </c>
      <c r="C5" s="14"/>
      <c r="D5" s="14"/>
      <c r="E5" s="80"/>
      <c r="F5" s="80"/>
      <c r="G5" s="14">
        <f t="shared" ref="G5:G34" si="0">E5*F5</f>
        <v>0</v>
      </c>
      <c r="H5" s="80"/>
      <c r="I5" s="80"/>
      <c r="J5" s="14">
        <f t="shared" ref="J5" si="1">H5*I5</f>
        <v>0</v>
      </c>
      <c r="K5" s="14">
        <f t="shared" ref="K5" si="2">G5+J5</f>
        <v>0</v>
      </c>
      <c r="L5" s="14"/>
      <c r="M5" s="91">
        <f t="shared" ref="M5:M34" si="3">M4+K5-L5</f>
        <v>44770.66</v>
      </c>
      <c r="N5" s="38"/>
    </row>
    <row r="6" spans="1:14">
      <c r="A6" s="23">
        <v>3</v>
      </c>
      <c r="B6" s="24">
        <v>46298</v>
      </c>
      <c r="C6" s="14"/>
      <c r="D6" s="14"/>
      <c r="E6" s="80">
        <v>300</v>
      </c>
      <c r="F6" s="80">
        <v>100.03</v>
      </c>
      <c r="G6" s="14">
        <f t="shared" si="0"/>
        <v>30009</v>
      </c>
      <c r="H6" s="80">
        <v>20</v>
      </c>
      <c r="I6" s="80">
        <v>112.03</v>
      </c>
      <c r="J6" s="14">
        <f t="shared" ref="J6:J33" si="4">H6*I6</f>
        <v>2240.6</v>
      </c>
      <c r="K6" s="14">
        <f t="shared" ref="K6:K33" si="5">G6+J6</f>
        <v>32249.599999999999</v>
      </c>
      <c r="L6" s="14"/>
      <c r="M6" s="91">
        <f t="shared" si="3"/>
        <v>77020.260000000009</v>
      </c>
      <c r="N6" s="38"/>
    </row>
    <row r="7" spans="1:14">
      <c r="A7" s="23">
        <v>4</v>
      </c>
      <c r="B7" s="24">
        <v>46299</v>
      </c>
      <c r="C7" s="14"/>
      <c r="D7" s="14"/>
      <c r="E7" s="80"/>
      <c r="F7" s="80"/>
      <c r="G7" s="14">
        <f t="shared" si="0"/>
        <v>0</v>
      </c>
      <c r="H7" s="80"/>
      <c r="I7" s="80"/>
      <c r="J7" s="14">
        <f t="shared" si="4"/>
        <v>0</v>
      </c>
      <c r="K7" s="14">
        <f t="shared" si="5"/>
        <v>0</v>
      </c>
      <c r="L7" s="14"/>
      <c r="M7" s="403">
        <f t="shared" si="3"/>
        <v>77020.260000000009</v>
      </c>
      <c r="N7" s="14"/>
    </row>
    <row r="8" spans="1:14">
      <c r="A8" s="23">
        <v>5</v>
      </c>
      <c r="B8" s="24">
        <v>46300</v>
      </c>
      <c r="C8" s="14"/>
      <c r="D8" s="14"/>
      <c r="E8" s="80"/>
      <c r="F8" s="80"/>
      <c r="G8" s="14">
        <f t="shared" si="0"/>
        <v>0</v>
      </c>
      <c r="H8" s="80"/>
      <c r="I8" s="80"/>
      <c r="J8" s="14">
        <f t="shared" si="4"/>
        <v>0</v>
      </c>
      <c r="K8" s="14">
        <f t="shared" si="5"/>
        <v>0</v>
      </c>
      <c r="L8" s="14"/>
      <c r="M8" s="403">
        <f t="shared" si="3"/>
        <v>77020.260000000009</v>
      </c>
      <c r="N8" s="38"/>
    </row>
    <row r="9" spans="1:14">
      <c r="A9" s="23">
        <v>6</v>
      </c>
      <c r="B9" s="24">
        <v>46301</v>
      </c>
      <c r="C9" s="14"/>
      <c r="D9" s="14"/>
      <c r="E9" s="80"/>
      <c r="F9" s="80"/>
      <c r="G9" s="14">
        <f t="shared" si="0"/>
        <v>0</v>
      </c>
      <c r="H9" s="80"/>
      <c r="I9" s="80"/>
      <c r="J9" s="14">
        <f t="shared" si="4"/>
        <v>0</v>
      </c>
      <c r="K9" s="14">
        <f t="shared" si="5"/>
        <v>0</v>
      </c>
      <c r="L9" s="14"/>
      <c r="M9" s="403">
        <f t="shared" si="3"/>
        <v>77020.260000000009</v>
      </c>
      <c r="N9" s="38"/>
    </row>
    <row r="10" spans="1:14">
      <c r="A10" s="23">
        <v>7</v>
      </c>
      <c r="B10" s="24">
        <v>46302</v>
      </c>
      <c r="C10" s="14"/>
      <c r="D10" s="14"/>
      <c r="E10" s="80"/>
      <c r="F10" s="80"/>
      <c r="G10" s="14">
        <f t="shared" si="0"/>
        <v>0</v>
      </c>
      <c r="H10" s="80"/>
      <c r="I10" s="80"/>
      <c r="J10" s="14">
        <f t="shared" si="4"/>
        <v>0</v>
      </c>
      <c r="K10" s="14">
        <f t="shared" si="5"/>
        <v>0</v>
      </c>
      <c r="L10" s="14"/>
      <c r="M10" s="403">
        <f t="shared" si="3"/>
        <v>77020.260000000009</v>
      </c>
      <c r="N10" s="38"/>
    </row>
    <row r="11" spans="1:14">
      <c r="A11" s="23">
        <v>8</v>
      </c>
      <c r="B11" s="24">
        <v>46303</v>
      </c>
      <c r="C11" s="14"/>
      <c r="D11" s="14"/>
      <c r="E11" s="80"/>
      <c r="F11" s="80"/>
      <c r="G11" s="14">
        <f t="shared" si="0"/>
        <v>0</v>
      </c>
      <c r="H11" s="80"/>
      <c r="I11" s="80"/>
      <c r="J11" s="14">
        <f t="shared" si="4"/>
        <v>0</v>
      </c>
      <c r="K11" s="14">
        <f t="shared" si="5"/>
        <v>0</v>
      </c>
      <c r="L11" s="14"/>
      <c r="M11" s="403">
        <f t="shared" si="3"/>
        <v>77020.260000000009</v>
      </c>
      <c r="N11" s="38"/>
    </row>
    <row r="12" spans="1:14">
      <c r="A12" s="23">
        <v>9</v>
      </c>
      <c r="B12" s="24">
        <v>46304</v>
      </c>
      <c r="C12" s="14"/>
      <c r="D12" s="14"/>
      <c r="E12" s="80"/>
      <c r="F12" s="80"/>
      <c r="G12" s="14">
        <f t="shared" si="0"/>
        <v>0</v>
      </c>
      <c r="H12" s="80"/>
      <c r="I12" s="80"/>
      <c r="J12" s="14">
        <f t="shared" si="4"/>
        <v>0</v>
      </c>
      <c r="K12" s="14">
        <f t="shared" si="5"/>
        <v>0</v>
      </c>
      <c r="L12" s="14"/>
      <c r="M12" s="34">
        <f t="shared" si="3"/>
        <v>77020.260000000009</v>
      </c>
      <c r="N12" s="87"/>
    </row>
    <row r="13" spans="1:14">
      <c r="A13" s="23">
        <v>10</v>
      </c>
      <c r="B13" s="24">
        <v>46305</v>
      </c>
      <c r="C13" s="14"/>
      <c r="D13" s="14"/>
      <c r="E13" s="80"/>
      <c r="F13" s="80"/>
      <c r="G13" s="14">
        <f t="shared" si="0"/>
        <v>0</v>
      </c>
      <c r="H13" s="80"/>
      <c r="I13" s="80"/>
      <c r="J13" s="14">
        <f t="shared" si="4"/>
        <v>0</v>
      </c>
      <c r="K13" s="14">
        <f t="shared" si="5"/>
        <v>0</v>
      </c>
      <c r="L13" s="14"/>
      <c r="M13" s="34">
        <f t="shared" si="3"/>
        <v>77020.260000000009</v>
      </c>
      <c r="N13" s="38"/>
    </row>
    <row r="14" spans="1:14">
      <c r="A14" s="23">
        <v>11</v>
      </c>
      <c r="B14" s="24">
        <v>46306</v>
      </c>
      <c r="C14" s="14"/>
      <c r="D14" s="14"/>
      <c r="E14" s="80"/>
      <c r="F14" s="80"/>
      <c r="G14" s="14">
        <f t="shared" si="0"/>
        <v>0</v>
      </c>
      <c r="H14" s="80"/>
      <c r="I14" s="80"/>
      <c r="J14" s="14">
        <f t="shared" si="4"/>
        <v>0</v>
      </c>
      <c r="K14" s="14">
        <f t="shared" si="5"/>
        <v>0</v>
      </c>
      <c r="L14" s="14"/>
      <c r="M14" s="34">
        <f t="shared" si="3"/>
        <v>77020.260000000009</v>
      </c>
      <c r="N14" s="38"/>
    </row>
    <row r="15" spans="1:14">
      <c r="A15" s="23">
        <v>12</v>
      </c>
      <c r="B15" s="24">
        <v>46307</v>
      </c>
      <c r="C15" s="14"/>
      <c r="D15" s="14"/>
      <c r="E15" s="80"/>
      <c r="F15" s="80"/>
      <c r="G15" s="14">
        <f t="shared" si="0"/>
        <v>0</v>
      </c>
      <c r="H15" s="80"/>
      <c r="I15" s="80"/>
      <c r="J15" s="14">
        <f t="shared" si="4"/>
        <v>0</v>
      </c>
      <c r="K15" s="14">
        <f t="shared" si="5"/>
        <v>0</v>
      </c>
      <c r="L15" s="14"/>
      <c r="M15" s="34">
        <f t="shared" si="3"/>
        <v>77020.260000000009</v>
      </c>
      <c r="N15" s="38"/>
    </row>
    <row r="16" spans="1:14">
      <c r="A16" s="23">
        <v>13</v>
      </c>
      <c r="B16" s="24">
        <v>46308</v>
      </c>
      <c r="C16" s="14"/>
      <c r="D16" s="14"/>
      <c r="E16" s="80"/>
      <c r="F16" s="80"/>
      <c r="G16" s="14">
        <f t="shared" si="0"/>
        <v>0</v>
      </c>
      <c r="H16" s="80"/>
      <c r="I16" s="80"/>
      <c r="J16" s="14">
        <f t="shared" si="4"/>
        <v>0</v>
      </c>
      <c r="K16" s="14">
        <f t="shared" si="5"/>
        <v>0</v>
      </c>
      <c r="L16" s="14"/>
      <c r="M16" s="34">
        <f t="shared" si="3"/>
        <v>77020.260000000009</v>
      </c>
      <c r="N16" s="38"/>
    </row>
    <row r="17" spans="1:14">
      <c r="A17" s="23">
        <v>14</v>
      </c>
      <c r="B17" s="24">
        <v>46309</v>
      </c>
      <c r="C17" s="14"/>
      <c r="D17" s="14"/>
      <c r="E17" s="80">
        <v>200</v>
      </c>
      <c r="F17" s="80">
        <v>100.03</v>
      </c>
      <c r="G17" s="14">
        <f t="shared" si="0"/>
        <v>20006</v>
      </c>
      <c r="H17" s="80">
        <v>20</v>
      </c>
      <c r="I17" s="80">
        <v>112.03</v>
      </c>
      <c r="J17" s="14">
        <f t="shared" si="4"/>
        <v>2240.6</v>
      </c>
      <c r="K17" s="14">
        <f t="shared" si="5"/>
        <v>22246.6</v>
      </c>
      <c r="L17" s="14"/>
      <c r="M17" s="34">
        <f t="shared" si="3"/>
        <v>99266.860000000015</v>
      </c>
      <c r="N17" s="38"/>
    </row>
    <row r="18" spans="1:14">
      <c r="A18" s="23">
        <v>15</v>
      </c>
      <c r="B18" s="24">
        <v>46310</v>
      </c>
      <c r="C18" s="14"/>
      <c r="D18" s="14"/>
      <c r="E18" s="80"/>
      <c r="F18" s="80"/>
      <c r="G18" s="14">
        <f t="shared" si="0"/>
        <v>0</v>
      </c>
      <c r="H18" s="80"/>
      <c r="I18" s="80"/>
      <c r="J18" s="14">
        <f t="shared" si="4"/>
        <v>0</v>
      </c>
      <c r="K18" s="14">
        <f t="shared" si="5"/>
        <v>0</v>
      </c>
      <c r="L18" s="14"/>
      <c r="M18" s="34">
        <f t="shared" si="3"/>
        <v>99266.860000000015</v>
      </c>
      <c r="N18" s="38"/>
    </row>
    <row r="19" spans="1:14">
      <c r="A19" s="23">
        <v>16</v>
      </c>
      <c r="B19" s="24">
        <v>46311</v>
      </c>
      <c r="C19" s="14"/>
      <c r="D19" s="14"/>
      <c r="E19" s="80"/>
      <c r="F19" s="80"/>
      <c r="G19" s="14">
        <f t="shared" si="0"/>
        <v>0</v>
      </c>
      <c r="H19" s="80"/>
      <c r="I19" s="80"/>
      <c r="J19" s="14">
        <f t="shared" si="4"/>
        <v>0</v>
      </c>
      <c r="K19" s="14">
        <f t="shared" si="5"/>
        <v>0</v>
      </c>
      <c r="L19" s="14"/>
      <c r="M19" s="34">
        <f t="shared" si="3"/>
        <v>99266.860000000015</v>
      </c>
      <c r="N19" s="38"/>
    </row>
    <row r="20" spans="1:14">
      <c r="A20" s="23">
        <v>17</v>
      </c>
      <c r="B20" s="24">
        <v>46312</v>
      </c>
      <c r="C20" s="14"/>
      <c r="D20" s="14"/>
      <c r="E20" s="80"/>
      <c r="F20" s="80"/>
      <c r="G20" s="14">
        <f t="shared" si="0"/>
        <v>0</v>
      </c>
      <c r="H20" s="80"/>
      <c r="I20" s="80"/>
      <c r="J20" s="14">
        <f t="shared" si="4"/>
        <v>0</v>
      </c>
      <c r="K20" s="14">
        <f t="shared" si="5"/>
        <v>0</v>
      </c>
      <c r="L20" s="14"/>
      <c r="M20" s="34">
        <f t="shared" si="3"/>
        <v>99266.860000000015</v>
      </c>
      <c r="N20" s="38"/>
    </row>
    <row r="21" spans="1:14">
      <c r="A21" s="23">
        <v>18</v>
      </c>
      <c r="B21" s="24">
        <v>46313</v>
      </c>
      <c r="C21" s="14"/>
      <c r="D21" s="14"/>
      <c r="E21" s="80"/>
      <c r="F21" s="80"/>
      <c r="G21" s="14">
        <f t="shared" si="0"/>
        <v>0</v>
      </c>
      <c r="H21" s="80"/>
      <c r="I21" s="80"/>
      <c r="J21" s="14">
        <f t="shared" si="4"/>
        <v>0</v>
      </c>
      <c r="K21" s="14">
        <f t="shared" si="5"/>
        <v>0</v>
      </c>
      <c r="L21" s="14"/>
      <c r="M21" s="34">
        <f t="shared" si="3"/>
        <v>99266.860000000015</v>
      </c>
      <c r="N21" s="38"/>
    </row>
    <row r="22" spans="1:14">
      <c r="A22" s="23">
        <v>19</v>
      </c>
      <c r="B22" s="24">
        <v>46314</v>
      </c>
      <c r="C22" s="14"/>
      <c r="D22" s="14"/>
      <c r="E22" s="80"/>
      <c r="F22" s="80"/>
      <c r="G22" s="14">
        <f t="shared" si="0"/>
        <v>0</v>
      </c>
      <c r="H22" s="80"/>
      <c r="I22" s="80"/>
      <c r="J22" s="14">
        <f t="shared" si="4"/>
        <v>0</v>
      </c>
      <c r="K22" s="14">
        <f t="shared" si="5"/>
        <v>0</v>
      </c>
      <c r="L22" s="14"/>
      <c r="M22" s="34">
        <f t="shared" si="3"/>
        <v>99266.860000000015</v>
      </c>
      <c r="N22" s="38"/>
    </row>
    <row r="23" spans="1:14">
      <c r="A23" s="23">
        <v>20</v>
      </c>
      <c r="B23" s="24">
        <v>46315</v>
      </c>
      <c r="C23" s="14"/>
      <c r="D23" s="14"/>
      <c r="E23" s="80"/>
      <c r="F23" s="80"/>
      <c r="G23" s="14">
        <f t="shared" si="0"/>
        <v>0</v>
      </c>
      <c r="H23" s="80"/>
      <c r="I23" s="80"/>
      <c r="J23" s="14">
        <f t="shared" si="4"/>
        <v>0</v>
      </c>
      <c r="K23" s="14">
        <f t="shared" si="5"/>
        <v>0</v>
      </c>
      <c r="L23" s="14"/>
      <c r="M23" s="34">
        <f t="shared" si="3"/>
        <v>99266.860000000015</v>
      </c>
      <c r="N23" s="38"/>
    </row>
    <row r="24" spans="1:14">
      <c r="A24" s="23">
        <v>21</v>
      </c>
      <c r="B24" s="24">
        <v>46316</v>
      </c>
      <c r="C24" s="14"/>
      <c r="D24" s="14"/>
      <c r="E24" s="80"/>
      <c r="F24" s="80"/>
      <c r="G24" s="14">
        <f t="shared" si="0"/>
        <v>0</v>
      </c>
      <c r="H24" s="80"/>
      <c r="I24" s="80"/>
      <c r="J24" s="14">
        <f t="shared" si="4"/>
        <v>0</v>
      </c>
      <c r="K24" s="14">
        <f t="shared" si="5"/>
        <v>0</v>
      </c>
      <c r="L24" s="14"/>
      <c r="M24" s="34">
        <f t="shared" si="3"/>
        <v>99266.860000000015</v>
      </c>
      <c r="N24" s="38"/>
    </row>
    <row r="25" spans="1:14">
      <c r="A25" s="23">
        <v>22</v>
      </c>
      <c r="B25" s="24">
        <v>46317</v>
      </c>
      <c r="C25" s="14"/>
      <c r="D25" s="14"/>
      <c r="E25" s="80"/>
      <c r="F25" s="80"/>
      <c r="G25" s="14">
        <f t="shared" si="0"/>
        <v>0</v>
      </c>
      <c r="H25" s="80"/>
      <c r="I25" s="80"/>
      <c r="J25" s="14">
        <f t="shared" si="4"/>
        <v>0</v>
      </c>
      <c r="K25" s="14">
        <f t="shared" si="5"/>
        <v>0</v>
      </c>
      <c r="L25" s="14"/>
      <c r="M25" s="34">
        <f>M24+K25-L25</f>
        <v>99266.860000000015</v>
      </c>
      <c r="N25" s="38"/>
    </row>
    <row r="26" spans="1:14">
      <c r="A26" s="23">
        <v>23</v>
      </c>
      <c r="B26" s="24">
        <v>46318</v>
      </c>
      <c r="C26" s="14"/>
      <c r="D26" s="14"/>
      <c r="E26" s="80"/>
      <c r="F26" s="80"/>
      <c r="G26" s="14">
        <f t="shared" si="0"/>
        <v>0</v>
      </c>
      <c r="H26" s="80"/>
      <c r="I26" s="80"/>
      <c r="J26" s="14">
        <f t="shared" si="4"/>
        <v>0</v>
      </c>
      <c r="K26" s="14">
        <f t="shared" si="5"/>
        <v>0</v>
      </c>
      <c r="L26" s="14"/>
      <c r="M26" s="34">
        <f t="shared" si="3"/>
        <v>99266.860000000015</v>
      </c>
      <c r="N26" s="38"/>
    </row>
    <row r="27" spans="1:14">
      <c r="A27" s="23">
        <v>24</v>
      </c>
      <c r="B27" s="24">
        <v>46319</v>
      </c>
      <c r="C27" s="14"/>
      <c r="D27" s="14"/>
      <c r="E27" s="80"/>
      <c r="F27" s="80"/>
      <c r="G27" s="14">
        <f t="shared" si="0"/>
        <v>0</v>
      </c>
      <c r="H27" s="80"/>
      <c r="I27" s="80"/>
      <c r="J27" s="14">
        <f t="shared" si="4"/>
        <v>0</v>
      </c>
      <c r="K27" s="14">
        <f t="shared" si="5"/>
        <v>0</v>
      </c>
      <c r="L27" s="14"/>
      <c r="M27" s="34">
        <f t="shared" si="3"/>
        <v>99266.860000000015</v>
      </c>
      <c r="N27" s="38"/>
    </row>
    <row r="28" spans="1:14">
      <c r="A28" s="23">
        <v>25</v>
      </c>
      <c r="B28" s="24">
        <v>46320</v>
      </c>
      <c r="C28" s="14"/>
      <c r="D28" s="14"/>
      <c r="E28" s="80"/>
      <c r="F28" s="80"/>
      <c r="G28" s="14">
        <f t="shared" si="0"/>
        <v>0</v>
      </c>
      <c r="H28" s="80"/>
      <c r="I28" s="80"/>
      <c r="J28" s="14">
        <f t="shared" si="4"/>
        <v>0</v>
      </c>
      <c r="K28" s="14">
        <f t="shared" si="5"/>
        <v>0</v>
      </c>
      <c r="L28" s="14"/>
      <c r="M28" s="34">
        <f t="shared" si="3"/>
        <v>99266.860000000015</v>
      </c>
      <c r="N28" s="38"/>
    </row>
    <row r="29" spans="1:14">
      <c r="A29" s="23">
        <v>26</v>
      </c>
      <c r="B29" s="24">
        <v>46321</v>
      </c>
      <c r="C29" s="14"/>
      <c r="D29" s="14"/>
      <c r="E29" s="80"/>
      <c r="F29" s="80"/>
      <c r="G29" s="14">
        <f t="shared" si="0"/>
        <v>0</v>
      </c>
      <c r="H29" s="80"/>
      <c r="I29" s="80"/>
      <c r="J29" s="14">
        <f t="shared" si="4"/>
        <v>0</v>
      </c>
      <c r="K29" s="14">
        <f t="shared" si="5"/>
        <v>0</v>
      </c>
      <c r="L29" s="14"/>
      <c r="M29" s="34">
        <f t="shared" si="3"/>
        <v>99266.860000000015</v>
      </c>
      <c r="N29" s="38"/>
    </row>
    <row r="30" spans="1:14">
      <c r="A30" s="23">
        <v>27</v>
      </c>
      <c r="B30" s="24">
        <v>46322</v>
      </c>
      <c r="C30" s="14"/>
      <c r="D30" s="14"/>
      <c r="E30" s="80"/>
      <c r="F30" s="80"/>
      <c r="G30" s="14">
        <f t="shared" si="0"/>
        <v>0</v>
      </c>
      <c r="H30" s="80"/>
      <c r="I30" s="80"/>
      <c r="J30" s="14">
        <f t="shared" si="4"/>
        <v>0</v>
      </c>
      <c r="K30" s="14">
        <f t="shared" si="5"/>
        <v>0</v>
      </c>
      <c r="L30" s="14"/>
      <c r="M30" s="34">
        <f t="shared" si="3"/>
        <v>99266.860000000015</v>
      </c>
      <c r="N30" s="38"/>
    </row>
    <row r="31" spans="1:14">
      <c r="A31" s="23">
        <v>28</v>
      </c>
      <c r="B31" s="24">
        <v>46323</v>
      </c>
      <c r="C31" s="14"/>
      <c r="D31" s="14"/>
      <c r="E31" s="80"/>
      <c r="F31" s="80"/>
      <c r="G31" s="14">
        <f t="shared" si="0"/>
        <v>0</v>
      </c>
      <c r="H31" s="80"/>
      <c r="I31" s="80"/>
      <c r="J31" s="14">
        <f t="shared" si="4"/>
        <v>0</v>
      </c>
      <c r="K31" s="14">
        <f t="shared" si="5"/>
        <v>0</v>
      </c>
      <c r="L31" s="14"/>
      <c r="M31" s="34">
        <f t="shared" si="3"/>
        <v>99266.860000000015</v>
      </c>
      <c r="N31" s="38"/>
    </row>
    <row r="32" spans="1:14">
      <c r="A32" s="23">
        <v>29</v>
      </c>
      <c r="B32" s="24">
        <v>46324</v>
      </c>
      <c r="C32" s="14"/>
      <c r="D32" s="14"/>
      <c r="E32" s="80"/>
      <c r="F32" s="80"/>
      <c r="G32" s="14">
        <f t="shared" si="0"/>
        <v>0</v>
      </c>
      <c r="H32" s="80"/>
      <c r="I32" s="80"/>
      <c r="J32" s="14">
        <f t="shared" si="4"/>
        <v>0</v>
      </c>
      <c r="K32" s="14">
        <f t="shared" si="5"/>
        <v>0</v>
      </c>
      <c r="L32" s="14"/>
      <c r="M32" s="34">
        <f t="shared" si="3"/>
        <v>99266.860000000015</v>
      </c>
      <c r="N32" s="38"/>
    </row>
    <row r="33" spans="1:14">
      <c r="A33" s="23">
        <v>30</v>
      </c>
      <c r="B33" s="24">
        <v>46325</v>
      </c>
      <c r="C33" s="14"/>
      <c r="D33" s="14"/>
      <c r="E33" s="80"/>
      <c r="F33" s="80"/>
      <c r="G33" s="14">
        <f t="shared" si="0"/>
        <v>0</v>
      </c>
      <c r="H33" s="80"/>
      <c r="I33" s="80"/>
      <c r="J33" s="14">
        <f t="shared" si="4"/>
        <v>0</v>
      </c>
      <c r="K33" s="14">
        <f t="shared" si="5"/>
        <v>0</v>
      </c>
      <c r="L33" s="14"/>
      <c r="M33" s="34">
        <f t="shared" si="3"/>
        <v>99266.860000000015</v>
      </c>
      <c r="N33" s="38"/>
    </row>
    <row r="34" spans="1:14">
      <c r="A34" s="23">
        <v>31</v>
      </c>
      <c r="B34" s="24">
        <v>46326</v>
      </c>
      <c r="C34" s="14"/>
      <c r="D34" s="14"/>
      <c r="E34" s="80"/>
      <c r="F34" s="80"/>
      <c r="G34" s="14">
        <f t="shared" si="0"/>
        <v>0</v>
      </c>
      <c r="H34" s="80"/>
      <c r="I34" s="80"/>
      <c r="J34" s="14"/>
      <c r="K34" s="14">
        <f>G34+J34</f>
        <v>0</v>
      </c>
      <c r="L34" s="14"/>
      <c r="M34" s="34">
        <f>M33+K34-L34</f>
        <v>99266.860000000015</v>
      </c>
      <c r="N34" s="38"/>
    </row>
    <row r="35" spans="1:14">
      <c r="A35" s="36"/>
      <c r="B35" s="36"/>
      <c r="C35" s="36"/>
      <c r="D35" s="36"/>
      <c r="E35" s="36">
        <f>SUM(E4:E34)</f>
        <v>500</v>
      </c>
      <c r="F35" s="36"/>
      <c r="G35" s="36">
        <f>SUM(G4:G34)</f>
        <v>50015</v>
      </c>
      <c r="H35" s="36">
        <f>SUM(H4:H34)</f>
        <v>40</v>
      </c>
      <c r="I35" s="36"/>
      <c r="J35" s="36">
        <f>SUM(J4:J34)</f>
        <v>4481.2</v>
      </c>
      <c r="K35" s="36">
        <f>SUM(K4:K34)</f>
        <v>54496.2</v>
      </c>
      <c r="L35" s="36">
        <f>SUM(L4:L34)</f>
        <v>0</v>
      </c>
      <c r="M35" s="36"/>
      <c r="N35" s="36"/>
    </row>
  </sheetData>
  <mergeCells count="2">
    <mergeCell ref="A1:N1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8"/>
  <sheetViews>
    <sheetView workbookViewId="0">
      <pane ySplit="3" topLeftCell="A4" activePane="bottomLeft" state="frozen"/>
      <selection pane="bottomLeft" activeCell="M18" sqref="M18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3" max="13" width="28.42578125" customWidth="1"/>
    <col min="14" max="14" width="24.7109375" bestFit="1" customWidth="1"/>
    <col min="19" max="19" width="9.28515625" bestFit="1" customWidth="1"/>
  </cols>
  <sheetData>
    <row r="1" spans="1:14" ht="15.75">
      <c r="A1" s="631" t="s">
        <v>202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ht="25.5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99" t="s">
        <v>174</v>
      </c>
      <c r="L2" s="99" t="s">
        <v>175</v>
      </c>
      <c r="M2" s="99" t="s">
        <v>190</v>
      </c>
      <c r="N2" s="99" t="s">
        <v>177</v>
      </c>
    </row>
    <row r="3" spans="1:14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89"/>
      <c r="L3" s="483">
        <v>188792.24999999997</v>
      </c>
      <c r="M3" s="89">
        <v>188792.24999999997</v>
      </c>
      <c r="N3" s="14"/>
    </row>
    <row r="4" spans="1:14">
      <c r="A4" s="23">
        <v>1</v>
      </c>
      <c r="B4" s="24">
        <v>46296</v>
      </c>
      <c r="C4" s="14"/>
      <c r="D4" s="14"/>
      <c r="E4" s="349"/>
      <c r="F4" s="349"/>
      <c r="G4" s="14">
        <f>E4*F4</f>
        <v>0</v>
      </c>
      <c r="H4" s="80"/>
      <c r="I4" s="80"/>
      <c r="J4" s="14">
        <f>H4*I4</f>
        <v>0</v>
      </c>
      <c r="K4" s="14">
        <f>G4+J4</f>
        <v>0</v>
      </c>
      <c r="L4" s="14"/>
      <c r="M4" s="14">
        <f>M3+K4-L4</f>
        <v>188792.24999999997</v>
      </c>
      <c r="N4" s="38"/>
    </row>
    <row r="5" spans="1:14">
      <c r="A5" s="23">
        <v>2</v>
      </c>
      <c r="B5" s="24">
        <v>46297</v>
      </c>
      <c r="C5" s="14"/>
      <c r="D5" s="14"/>
      <c r="E5" s="80"/>
      <c r="F5" s="80"/>
      <c r="G5" s="14">
        <f t="shared" ref="G5:G35" si="0">E5*F5</f>
        <v>0</v>
      </c>
      <c r="H5" s="80"/>
      <c r="I5" s="80"/>
      <c r="J5" s="14">
        <f t="shared" ref="J5:J35" si="1">H5*I5</f>
        <v>0</v>
      </c>
      <c r="K5" s="14">
        <f t="shared" ref="K5:L35" si="2">G5+J5</f>
        <v>0</v>
      </c>
      <c r="L5" s="14"/>
      <c r="M5" s="14">
        <f t="shared" ref="M5:M35" si="3">M4+K5-L5</f>
        <v>188792.24999999997</v>
      </c>
      <c r="N5" s="38"/>
    </row>
    <row r="6" spans="1:14">
      <c r="A6" s="23">
        <v>3</v>
      </c>
      <c r="B6" s="24">
        <v>46298</v>
      </c>
      <c r="C6" s="14"/>
      <c r="D6" s="14"/>
      <c r="E6" s="80"/>
      <c r="F6" s="80"/>
      <c r="G6" s="14">
        <f t="shared" si="0"/>
        <v>0</v>
      </c>
      <c r="H6" s="80"/>
      <c r="I6" s="80"/>
      <c r="J6" s="14">
        <f t="shared" si="1"/>
        <v>0</v>
      </c>
      <c r="K6" s="14">
        <f t="shared" si="2"/>
        <v>0</v>
      </c>
      <c r="L6" s="14"/>
      <c r="M6" s="14">
        <f t="shared" si="3"/>
        <v>188792.24999999997</v>
      </c>
      <c r="N6" s="38"/>
    </row>
    <row r="7" spans="1:14">
      <c r="A7" s="23">
        <v>4</v>
      </c>
      <c r="B7" s="24">
        <v>46299</v>
      </c>
      <c r="C7" s="14"/>
      <c r="D7" s="14"/>
      <c r="E7" s="80"/>
      <c r="F7" s="80"/>
      <c r="G7" s="14">
        <f t="shared" si="0"/>
        <v>0</v>
      </c>
      <c r="H7" s="80"/>
      <c r="I7" s="80"/>
      <c r="J7" s="14">
        <f t="shared" si="1"/>
        <v>0</v>
      </c>
      <c r="K7" s="14">
        <f t="shared" si="2"/>
        <v>0</v>
      </c>
      <c r="L7" s="14"/>
      <c r="M7" s="14">
        <f t="shared" si="3"/>
        <v>188792.24999999997</v>
      </c>
      <c r="N7" s="38"/>
    </row>
    <row r="8" spans="1:14">
      <c r="A8" s="23">
        <v>5</v>
      </c>
      <c r="B8" s="24">
        <v>46300</v>
      </c>
      <c r="C8" s="14"/>
      <c r="D8" s="14"/>
      <c r="E8" s="80">
        <v>600</v>
      </c>
      <c r="F8" s="80">
        <v>100.03</v>
      </c>
      <c r="G8" s="14">
        <f t="shared" si="0"/>
        <v>60018</v>
      </c>
      <c r="H8" s="80">
        <v>35</v>
      </c>
      <c r="I8" s="80">
        <v>112.04</v>
      </c>
      <c r="J8" s="14">
        <f t="shared" si="1"/>
        <v>3921.4</v>
      </c>
      <c r="K8" s="14">
        <f t="shared" si="2"/>
        <v>63939.4</v>
      </c>
      <c r="L8" s="14"/>
      <c r="M8" s="14">
        <f t="shared" si="3"/>
        <v>252731.64999999997</v>
      </c>
      <c r="N8" s="38"/>
    </row>
    <row r="9" spans="1:14">
      <c r="A9" s="23">
        <v>6</v>
      </c>
      <c r="B9" s="24">
        <v>46301</v>
      </c>
      <c r="C9" s="14"/>
      <c r="D9" s="14"/>
      <c r="E9" s="80"/>
      <c r="F9" s="80"/>
      <c r="G9" s="14">
        <f t="shared" si="0"/>
        <v>0</v>
      </c>
      <c r="H9" s="80"/>
      <c r="I9" s="80"/>
      <c r="J9" s="14">
        <f t="shared" si="1"/>
        <v>0</v>
      </c>
      <c r="K9" s="14">
        <f t="shared" si="2"/>
        <v>0</v>
      </c>
      <c r="L9" s="14"/>
      <c r="M9" s="14">
        <f t="shared" si="3"/>
        <v>252731.64999999997</v>
      </c>
      <c r="N9" s="38"/>
    </row>
    <row r="10" spans="1:14">
      <c r="A10" s="23">
        <v>7</v>
      </c>
      <c r="B10" s="24">
        <v>46302</v>
      </c>
      <c r="C10" s="14"/>
      <c r="D10" s="14"/>
      <c r="E10" s="80"/>
      <c r="F10" s="80"/>
      <c r="G10" s="14">
        <f t="shared" si="0"/>
        <v>0</v>
      </c>
      <c r="H10" s="80"/>
      <c r="I10" s="80"/>
      <c r="J10" s="14">
        <f t="shared" si="1"/>
        <v>0</v>
      </c>
      <c r="K10" s="14">
        <f t="shared" si="2"/>
        <v>0</v>
      </c>
      <c r="L10" s="14"/>
      <c r="M10" s="14">
        <f>M9+K10-L10</f>
        <v>252731.64999999997</v>
      </c>
      <c r="N10" s="38"/>
    </row>
    <row r="11" spans="1:14">
      <c r="A11" s="23">
        <v>8</v>
      </c>
      <c r="B11" s="24">
        <v>46303</v>
      </c>
      <c r="C11" s="14"/>
      <c r="D11" s="14"/>
      <c r="E11" s="80"/>
      <c r="F11" s="80"/>
      <c r="G11" s="14">
        <f t="shared" si="0"/>
        <v>0</v>
      </c>
      <c r="H11" s="80"/>
      <c r="I11" s="80"/>
      <c r="J11" s="14">
        <f t="shared" si="1"/>
        <v>0</v>
      </c>
      <c r="K11" s="14">
        <f t="shared" si="2"/>
        <v>0</v>
      </c>
      <c r="L11" s="14"/>
      <c r="M11" s="14">
        <f t="shared" si="3"/>
        <v>252731.64999999997</v>
      </c>
      <c r="N11" s="38"/>
    </row>
    <row r="12" spans="1:14">
      <c r="A12" s="23">
        <v>9</v>
      </c>
      <c r="B12" s="24">
        <v>46304</v>
      </c>
      <c r="C12" s="14"/>
      <c r="D12" s="14"/>
      <c r="E12" s="80"/>
      <c r="F12" s="80"/>
      <c r="G12" s="14">
        <f t="shared" si="0"/>
        <v>0</v>
      </c>
      <c r="H12" s="80"/>
      <c r="I12" s="80"/>
      <c r="J12" s="14">
        <f t="shared" si="1"/>
        <v>0</v>
      </c>
      <c r="K12" s="14">
        <f t="shared" si="2"/>
        <v>0</v>
      </c>
      <c r="L12" s="14"/>
      <c r="M12" s="14">
        <f t="shared" si="3"/>
        <v>252731.64999999997</v>
      </c>
      <c r="N12" s="38"/>
    </row>
    <row r="13" spans="1:14">
      <c r="A13" s="23">
        <v>10</v>
      </c>
      <c r="B13" s="24">
        <v>46305</v>
      </c>
      <c r="C13" s="14"/>
      <c r="D13" s="14"/>
      <c r="E13" s="80"/>
      <c r="F13" s="80"/>
      <c r="G13" s="14">
        <f t="shared" si="0"/>
        <v>0</v>
      </c>
      <c r="H13" s="80"/>
      <c r="I13" s="80"/>
      <c r="J13" s="14">
        <f t="shared" si="1"/>
        <v>0</v>
      </c>
      <c r="K13" s="14">
        <f t="shared" si="2"/>
        <v>0</v>
      </c>
      <c r="L13" s="14">
        <v>200000</v>
      </c>
      <c r="M13" s="14">
        <f t="shared" si="3"/>
        <v>52731.649999999965</v>
      </c>
      <c r="N13" s="38"/>
    </row>
    <row r="14" spans="1:14">
      <c r="A14" s="23">
        <v>11</v>
      </c>
      <c r="B14" s="24">
        <v>46306</v>
      </c>
      <c r="C14" s="14"/>
      <c r="D14" s="14"/>
      <c r="E14" s="80">
        <v>600</v>
      </c>
      <c r="F14" s="80">
        <v>100.03</v>
      </c>
      <c r="G14" s="14">
        <f t="shared" ref="G14" si="4">E14*F14</f>
        <v>60018</v>
      </c>
      <c r="H14" s="80">
        <v>35</v>
      </c>
      <c r="I14" s="80">
        <v>112.04</v>
      </c>
      <c r="J14" s="14">
        <f t="shared" si="1"/>
        <v>3921.4</v>
      </c>
      <c r="K14" s="14">
        <f t="shared" si="2"/>
        <v>63939.4</v>
      </c>
      <c r="L14" s="14"/>
      <c r="M14" s="14">
        <f t="shared" si="3"/>
        <v>116671.04999999996</v>
      </c>
      <c r="N14" s="38"/>
    </row>
    <row r="15" spans="1:14">
      <c r="A15" s="23">
        <v>12</v>
      </c>
      <c r="B15" s="24">
        <v>46307</v>
      </c>
      <c r="C15" s="14"/>
      <c r="D15" s="14"/>
      <c r="E15" s="80"/>
      <c r="F15" s="80"/>
      <c r="G15" s="14">
        <f t="shared" si="0"/>
        <v>0</v>
      </c>
      <c r="H15" s="80"/>
      <c r="I15" s="80"/>
      <c r="J15" s="14">
        <f t="shared" si="1"/>
        <v>0</v>
      </c>
      <c r="K15" s="14">
        <f t="shared" si="2"/>
        <v>0</v>
      </c>
      <c r="L15" s="14"/>
      <c r="M15" s="14">
        <f t="shared" si="3"/>
        <v>116671.04999999996</v>
      </c>
      <c r="N15" s="38"/>
    </row>
    <row r="16" spans="1:14">
      <c r="A16" s="23">
        <v>13</v>
      </c>
      <c r="B16" s="24">
        <v>46308</v>
      </c>
      <c r="C16" s="14"/>
      <c r="D16" s="14"/>
      <c r="E16" s="80"/>
      <c r="F16" s="80"/>
      <c r="G16" s="14">
        <f t="shared" si="0"/>
        <v>0</v>
      </c>
      <c r="H16" s="80"/>
      <c r="I16" s="80"/>
      <c r="J16" s="14">
        <f t="shared" si="1"/>
        <v>0</v>
      </c>
      <c r="K16" s="14">
        <f t="shared" si="2"/>
        <v>0</v>
      </c>
      <c r="L16" s="14"/>
      <c r="M16" s="14">
        <f t="shared" si="3"/>
        <v>116671.04999999996</v>
      </c>
      <c r="N16" s="38"/>
    </row>
    <row r="17" spans="1:14">
      <c r="A17" s="23">
        <v>14</v>
      </c>
      <c r="B17" s="24">
        <v>46309</v>
      </c>
      <c r="C17" s="14"/>
      <c r="D17" s="14"/>
      <c r="E17" s="80"/>
      <c r="F17" s="80"/>
      <c r="G17" s="14">
        <f t="shared" si="0"/>
        <v>0</v>
      </c>
      <c r="H17" s="80"/>
      <c r="I17" s="80"/>
      <c r="J17" s="14">
        <f t="shared" si="1"/>
        <v>0</v>
      </c>
      <c r="K17" s="14">
        <f t="shared" si="2"/>
        <v>0</v>
      </c>
      <c r="L17" s="14"/>
      <c r="M17" s="14">
        <f t="shared" si="3"/>
        <v>116671.04999999996</v>
      </c>
      <c r="N17" s="38"/>
    </row>
    <row r="18" spans="1:14">
      <c r="A18" s="23">
        <v>15</v>
      </c>
      <c r="B18" s="24">
        <v>46310</v>
      </c>
      <c r="C18" s="14"/>
      <c r="D18" s="14"/>
      <c r="E18" s="80">
        <v>600</v>
      </c>
      <c r="F18" s="80">
        <v>100.03</v>
      </c>
      <c r="G18" s="14">
        <f t="shared" si="0"/>
        <v>60018</v>
      </c>
      <c r="H18" s="80">
        <v>35</v>
      </c>
      <c r="I18" s="80">
        <v>112.04</v>
      </c>
      <c r="J18" s="14">
        <f t="shared" si="1"/>
        <v>3921.4</v>
      </c>
      <c r="K18" s="14">
        <f t="shared" si="2"/>
        <v>63939.4</v>
      </c>
      <c r="L18" s="14"/>
      <c r="M18" s="14">
        <f t="shared" si="3"/>
        <v>180610.44999999995</v>
      </c>
      <c r="N18" s="38"/>
    </row>
    <row r="19" spans="1:14">
      <c r="A19" s="23">
        <v>16</v>
      </c>
      <c r="B19" s="24">
        <v>46311</v>
      </c>
      <c r="C19" s="14"/>
      <c r="D19" s="14"/>
      <c r="E19" s="80"/>
      <c r="F19" s="80"/>
      <c r="G19" s="14">
        <f t="shared" si="0"/>
        <v>0</v>
      </c>
      <c r="H19" s="80"/>
      <c r="I19" s="80"/>
      <c r="J19" s="14">
        <f t="shared" si="1"/>
        <v>0</v>
      </c>
      <c r="K19" s="14">
        <f t="shared" si="2"/>
        <v>0</v>
      </c>
      <c r="L19" s="14"/>
      <c r="M19" s="14">
        <f t="shared" si="3"/>
        <v>180610.44999999995</v>
      </c>
      <c r="N19" s="38"/>
    </row>
    <row r="20" spans="1:14">
      <c r="A20" s="23">
        <v>17</v>
      </c>
      <c r="B20" s="24">
        <v>46312</v>
      </c>
      <c r="C20" s="14"/>
      <c r="D20" s="14"/>
      <c r="E20" s="80"/>
      <c r="F20" s="80"/>
      <c r="G20" s="14">
        <f t="shared" si="0"/>
        <v>0</v>
      </c>
      <c r="H20" s="80"/>
      <c r="I20" s="80"/>
      <c r="J20" s="14">
        <f t="shared" si="1"/>
        <v>0</v>
      </c>
      <c r="K20" s="14">
        <f t="shared" si="2"/>
        <v>0</v>
      </c>
      <c r="L20" s="14"/>
      <c r="M20" s="14">
        <f t="shared" si="3"/>
        <v>180610.44999999995</v>
      </c>
      <c r="N20" s="38"/>
    </row>
    <row r="21" spans="1:14">
      <c r="A21" s="23">
        <v>18</v>
      </c>
      <c r="B21" s="24">
        <v>46313</v>
      </c>
      <c r="C21" s="14"/>
      <c r="D21" s="14"/>
      <c r="E21" s="80"/>
      <c r="F21" s="80"/>
      <c r="G21" s="14">
        <f t="shared" si="0"/>
        <v>0</v>
      </c>
      <c r="H21" s="80"/>
      <c r="I21" s="80"/>
      <c r="J21" s="14">
        <f t="shared" si="1"/>
        <v>0</v>
      </c>
      <c r="K21" s="14">
        <f t="shared" si="2"/>
        <v>0</v>
      </c>
      <c r="L21" s="14"/>
      <c r="M21" s="14">
        <f t="shared" si="3"/>
        <v>180610.44999999995</v>
      </c>
      <c r="N21" s="38"/>
    </row>
    <row r="22" spans="1:14">
      <c r="A22" s="23">
        <v>19</v>
      </c>
      <c r="B22" s="24">
        <v>46314</v>
      </c>
      <c r="C22" s="14"/>
      <c r="D22" s="14"/>
      <c r="E22" s="80"/>
      <c r="F22" s="80"/>
      <c r="G22" s="14">
        <f t="shared" si="0"/>
        <v>0</v>
      </c>
      <c r="H22" s="80"/>
      <c r="I22" s="80"/>
      <c r="J22" s="14">
        <f t="shared" si="1"/>
        <v>0</v>
      </c>
      <c r="K22" s="14">
        <f t="shared" si="2"/>
        <v>0</v>
      </c>
      <c r="L22" s="14"/>
      <c r="M22" s="14">
        <f t="shared" si="3"/>
        <v>180610.44999999995</v>
      </c>
      <c r="N22" s="38"/>
    </row>
    <row r="23" spans="1:14">
      <c r="A23" s="23">
        <v>20</v>
      </c>
      <c r="B23" s="24">
        <v>46315</v>
      </c>
      <c r="C23" s="14"/>
      <c r="D23" s="14"/>
      <c r="E23" s="80"/>
      <c r="F23" s="80"/>
      <c r="G23" s="14">
        <f t="shared" si="0"/>
        <v>0</v>
      </c>
      <c r="H23" s="80"/>
      <c r="I23" s="80"/>
      <c r="J23" s="14">
        <f t="shared" si="1"/>
        <v>0</v>
      </c>
      <c r="K23" s="14">
        <f t="shared" si="2"/>
        <v>0</v>
      </c>
      <c r="L23" s="14"/>
      <c r="M23" s="14">
        <f t="shared" si="3"/>
        <v>180610.44999999995</v>
      </c>
      <c r="N23" s="38"/>
    </row>
    <row r="24" spans="1:14">
      <c r="A24" s="23">
        <v>21</v>
      </c>
      <c r="B24" s="24">
        <v>46316</v>
      </c>
      <c r="C24" s="14"/>
      <c r="D24" s="14"/>
      <c r="E24" s="80"/>
      <c r="F24" s="80"/>
      <c r="G24" s="14">
        <f t="shared" si="0"/>
        <v>0</v>
      </c>
      <c r="H24" s="80"/>
      <c r="I24" s="80"/>
      <c r="J24" s="14">
        <f t="shared" si="1"/>
        <v>0</v>
      </c>
      <c r="K24" s="14">
        <f t="shared" si="2"/>
        <v>0</v>
      </c>
      <c r="L24" s="14"/>
      <c r="M24" s="14">
        <f t="shared" si="3"/>
        <v>180610.44999999995</v>
      </c>
      <c r="N24" s="38"/>
    </row>
    <row r="25" spans="1:14">
      <c r="A25" s="23">
        <v>22</v>
      </c>
      <c r="B25" s="24">
        <v>46317</v>
      </c>
      <c r="C25" s="14"/>
      <c r="D25" s="14"/>
      <c r="E25" s="80"/>
      <c r="F25" s="80"/>
      <c r="G25" s="14">
        <f t="shared" si="0"/>
        <v>0</v>
      </c>
      <c r="H25" s="80"/>
      <c r="I25" s="80"/>
      <c r="J25" s="14">
        <f t="shared" si="1"/>
        <v>0</v>
      </c>
      <c r="K25" s="14">
        <f t="shared" si="2"/>
        <v>0</v>
      </c>
      <c r="L25" s="14"/>
      <c r="M25" s="14">
        <f t="shared" si="3"/>
        <v>180610.44999999995</v>
      </c>
      <c r="N25" s="38"/>
    </row>
    <row r="26" spans="1:14">
      <c r="A26" s="23">
        <v>23</v>
      </c>
      <c r="B26" s="24">
        <v>46318</v>
      </c>
      <c r="C26" s="14"/>
      <c r="D26" s="14"/>
      <c r="E26" s="80"/>
      <c r="F26" s="80"/>
      <c r="G26" s="14">
        <f t="shared" si="0"/>
        <v>0</v>
      </c>
      <c r="H26" s="80"/>
      <c r="I26" s="80"/>
      <c r="J26" s="14">
        <f t="shared" si="1"/>
        <v>0</v>
      </c>
      <c r="K26" s="14">
        <f t="shared" si="2"/>
        <v>0</v>
      </c>
      <c r="L26" s="14"/>
      <c r="M26" s="14">
        <f t="shared" si="3"/>
        <v>180610.44999999995</v>
      </c>
      <c r="N26" s="38"/>
    </row>
    <row r="27" spans="1:14">
      <c r="A27" s="23">
        <v>24</v>
      </c>
      <c r="B27" s="24">
        <v>46319</v>
      </c>
      <c r="C27" s="14"/>
      <c r="D27" s="14"/>
      <c r="E27" s="80"/>
      <c r="F27" s="80"/>
      <c r="G27" s="14">
        <f t="shared" si="0"/>
        <v>0</v>
      </c>
      <c r="H27" s="80"/>
      <c r="I27" s="80"/>
      <c r="J27" s="14">
        <f t="shared" si="1"/>
        <v>0</v>
      </c>
      <c r="K27" s="14">
        <f t="shared" si="2"/>
        <v>0</v>
      </c>
      <c r="L27" s="14"/>
      <c r="M27" s="14">
        <f t="shared" si="3"/>
        <v>180610.44999999995</v>
      </c>
      <c r="N27" s="38"/>
    </row>
    <row r="28" spans="1:14">
      <c r="A28" s="23">
        <v>25</v>
      </c>
      <c r="B28" s="24">
        <v>46320</v>
      </c>
      <c r="C28" s="14"/>
      <c r="D28" s="14"/>
      <c r="E28" s="80"/>
      <c r="F28" s="80"/>
      <c r="G28" s="14">
        <f t="shared" si="0"/>
        <v>0</v>
      </c>
      <c r="H28" s="80"/>
      <c r="I28" s="80"/>
      <c r="J28" s="14">
        <f t="shared" si="1"/>
        <v>0</v>
      </c>
      <c r="K28" s="14">
        <f t="shared" si="2"/>
        <v>0</v>
      </c>
      <c r="L28" s="14"/>
      <c r="M28" s="14">
        <f t="shared" si="3"/>
        <v>180610.44999999995</v>
      </c>
      <c r="N28" s="38"/>
    </row>
    <row r="29" spans="1:14">
      <c r="A29" s="23">
        <v>26</v>
      </c>
      <c r="B29" s="24">
        <v>46321</v>
      </c>
      <c r="C29" s="14"/>
      <c r="D29" s="14"/>
      <c r="E29" s="80"/>
      <c r="F29" s="80"/>
      <c r="G29" s="14">
        <f t="shared" si="0"/>
        <v>0</v>
      </c>
      <c r="H29" s="80"/>
      <c r="I29" s="80"/>
      <c r="J29" s="14">
        <f t="shared" si="1"/>
        <v>0</v>
      </c>
      <c r="K29" s="14">
        <f t="shared" si="2"/>
        <v>0</v>
      </c>
      <c r="L29" s="14"/>
      <c r="M29" s="14">
        <f t="shared" si="3"/>
        <v>180610.44999999995</v>
      </c>
      <c r="N29" s="38"/>
    </row>
    <row r="30" spans="1:14">
      <c r="A30" s="23">
        <v>27</v>
      </c>
      <c r="B30" s="24">
        <v>46322</v>
      </c>
      <c r="C30" s="14"/>
      <c r="D30" s="14"/>
      <c r="E30" s="80"/>
      <c r="F30" s="80"/>
      <c r="G30" s="14">
        <f t="shared" si="0"/>
        <v>0</v>
      </c>
      <c r="H30" s="80"/>
      <c r="I30" s="80"/>
      <c r="J30" s="14">
        <f t="shared" si="1"/>
        <v>0</v>
      </c>
      <c r="K30" s="14">
        <f t="shared" si="2"/>
        <v>0</v>
      </c>
      <c r="L30" s="14"/>
      <c r="M30" s="14">
        <f t="shared" si="3"/>
        <v>180610.44999999995</v>
      </c>
      <c r="N30" s="38"/>
    </row>
    <row r="31" spans="1:14">
      <c r="A31" s="23">
        <v>28</v>
      </c>
      <c r="B31" s="24">
        <v>46323</v>
      </c>
      <c r="C31" s="14"/>
      <c r="D31" s="14"/>
      <c r="E31" s="80"/>
      <c r="F31" s="80"/>
      <c r="G31" s="14">
        <f t="shared" si="0"/>
        <v>0</v>
      </c>
      <c r="H31" s="80"/>
      <c r="I31" s="80"/>
      <c r="J31" s="14">
        <f t="shared" si="1"/>
        <v>0</v>
      </c>
      <c r="K31" s="14">
        <f t="shared" si="2"/>
        <v>0</v>
      </c>
      <c r="L31" s="14"/>
      <c r="M31" s="14">
        <f t="shared" si="3"/>
        <v>180610.44999999995</v>
      </c>
      <c r="N31" s="38"/>
    </row>
    <row r="32" spans="1:14">
      <c r="A32" s="23">
        <v>29</v>
      </c>
      <c r="B32" s="24">
        <v>46324</v>
      </c>
      <c r="C32" s="14"/>
      <c r="D32" s="14"/>
      <c r="E32" s="80"/>
      <c r="F32" s="80"/>
      <c r="G32" s="14">
        <f t="shared" si="0"/>
        <v>0</v>
      </c>
      <c r="H32" s="80"/>
      <c r="I32" s="80"/>
      <c r="J32" s="14">
        <f t="shared" si="1"/>
        <v>0</v>
      </c>
      <c r="K32" s="14">
        <f t="shared" si="2"/>
        <v>0</v>
      </c>
      <c r="L32" s="14"/>
      <c r="M32" s="14">
        <f t="shared" si="3"/>
        <v>180610.44999999995</v>
      </c>
      <c r="N32" s="38"/>
    </row>
    <row r="33" spans="1:14">
      <c r="A33" s="23">
        <v>30</v>
      </c>
      <c r="B33" s="24">
        <v>46325</v>
      </c>
      <c r="C33" s="14"/>
      <c r="D33" s="14"/>
      <c r="E33" s="80"/>
      <c r="F33" s="80"/>
      <c r="G33" s="14">
        <f t="shared" si="0"/>
        <v>0</v>
      </c>
      <c r="H33" s="80"/>
      <c r="I33" s="80"/>
      <c r="J33" s="14">
        <f t="shared" si="1"/>
        <v>0</v>
      </c>
      <c r="K33" s="14">
        <f t="shared" si="2"/>
        <v>0</v>
      </c>
      <c r="L33" s="14"/>
      <c r="M33" s="14">
        <f t="shared" si="3"/>
        <v>180610.44999999995</v>
      </c>
      <c r="N33" s="38"/>
    </row>
    <row r="34" spans="1:14">
      <c r="A34" s="23">
        <v>31</v>
      </c>
      <c r="B34" s="24">
        <v>46326</v>
      </c>
      <c r="C34" s="14"/>
      <c r="D34" s="14"/>
      <c r="E34" s="80"/>
      <c r="F34" s="80"/>
      <c r="G34" s="14">
        <f t="shared" si="0"/>
        <v>0</v>
      </c>
      <c r="H34" s="80"/>
      <c r="I34" s="80"/>
      <c r="J34" s="14">
        <f t="shared" si="1"/>
        <v>0</v>
      </c>
      <c r="K34" s="14">
        <f t="shared" si="2"/>
        <v>0</v>
      </c>
      <c r="L34" s="14"/>
      <c r="M34" s="14">
        <f t="shared" si="3"/>
        <v>180610.44999999995</v>
      </c>
      <c r="N34" s="38"/>
    </row>
    <row r="35" spans="1:14">
      <c r="A35" s="23">
        <v>32</v>
      </c>
      <c r="B35" s="24"/>
      <c r="C35" s="14"/>
      <c r="D35" s="14"/>
      <c r="E35" s="80"/>
      <c r="F35" s="80"/>
      <c r="G35" s="14">
        <f t="shared" si="0"/>
        <v>0</v>
      </c>
      <c r="H35" s="80"/>
      <c r="I35" s="80"/>
      <c r="J35" s="14">
        <f t="shared" si="1"/>
        <v>0</v>
      </c>
      <c r="K35" s="14">
        <f t="shared" si="2"/>
        <v>0</v>
      </c>
      <c r="L35" s="14"/>
      <c r="M35" s="14">
        <f t="shared" si="3"/>
        <v>180610.44999999995</v>
      </c>
      <c r="N35" s="38"/>
    </row>
    <row r="36" spans="1:14">
      <c r="A36" s="23"/>
      <c r="B36" s="24"/>
      <c r="C36" s="14"/>
      <c r="D36" s="14"/>
      <c r="E36" s="80"/>
      <c r="F36" s="80"/>
      <c r="G36" s="14"/>
      <c r="H36" s="80"/>
      <c r="I36" s="80"/>
      <c r="J36" s="14"/>
      <c r="K36" s="14"/>
      <c r="L36" s="14"/>
      <c r="M36" s="14"/>
      <c r="N36" s="38"/>
    </row>
    <row r="37" spans="1:14">
      <c r="A37" s="23"/>
      <c r="B37" s="24"/>
      <c r="C37" s="14"/>
      <c r="D37" s="14"/>
      <c r="E37" s="80"/>
      <c r="F37" s="80"/>
      <c r="G37" s="14"/>
      <c r="H37" s="80"/>
      <c r="I37" s="80"/>
      <c r="J37" s="14"/>
      <c r="K37" s="14"/>
      <c r="L37" s="14"/>
      <c r="M37" s="14"/>
      <c r="N37" s="38"/>
    </row>
    <row r="38" spans="1:14">
      <c r="A38" s="36"/>
      <c r="B38" s="36"/>
      <c r="C38" s="36"/>
      <c r="D38" s="36"/>
      <c r="E38" s="36">
        <f>SUM(E4:E35)</f>
        <v>1800</v>
      </c>
      <c r="F38" s="36"/>
      <c r="G38" s="36">
        <f>SUM(G4:G35)</f>
        <v>180054</v>
      </c>
      <c r="H38" s="36">
        <f>SUM(H4:H35)</f>
        <v>105</v>
      </c>
      <c r="I38" s="36"/>
      <c r="J38" s="36">
        <f>SUM(J4:J35)</f>
        <v>11764.2</v>
      </c>
      <c r="K38" s="36">
        <f>SUM(K4:K35)</f>
        <v>191818.2</v>
      </c>
      <c r="L38" s="36">
        <f>SUM(L4:L35)</f>
        <v>200000</v>
      </c>
      <c r="M38" s="36"/>
      <c r="N38" s="36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8"/>
  <sheetViews>
    <sheetView workbookViewId="0">
      <pane ySplit="3" topLeftCell="A4" activePane="bottomLeft" state="frozen"/>
      <selection pane="bottomLeft" activeCell="L18" sqref="L18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  <col min="14" max="14" width="33.7109375" bestFit="1" customWidth="1"/>
  </cols>
  <sheetData>
    <row r="1" spans="1:14" ht="15.75">
      <c r="A1" s="631" t="s">
        <v>203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ht="27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99" t="s">
        <v>174</v>
      </c>
      <c r="L2" s="99" t="s">
        <v>175</v>
      </c>
      <c r="M2" s="99" t="s">
        <v>190</v>
      </c>
      <c r="N2" s="99" t="s">
        <v>177</v>
      </c>
    </row>
    <row r="3" spans="1:14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89"/>
      <c r="L3" s="89"/>
      <c r="M3" s="89"/>
      <c r="N3" s="14"/>
    </row>
    <row r="4" spans="1:14">
      <c r="A4" s="23">
        <v>1</v>
      </c>
      <c r="B4" s="24">
        <v>46296</v>
      </c>
      <c r="C4" s="14"/>
      <c r="D4" s="14"/>
      <c r="E4" s="80">
        <v>49.99</v>
      </c>
      <c r="F4" s="80">
        <v>100.03</v>
      </c>
      <c r="G4" s="14">
        <f>E4*F4</f>
        <v>5000.4997000000003</v>
      </c>
      <c r="H4" s="80">
        <v>12</v>
      </c>
      <c r="I4" s="80">
        <v>112.04</v>
      </c>
      <c r="J4" s="14">
        <f>H4*I4</f>
        <v>1344.48</v>
      </c>
      <c r="K4" s="14">
        <f>G4+J4</f>
        <v>6344.9796999999999</v>
      </c>
      <c r="L4" s="14">
        <v>6344.9796999999999</v>
      </c>
      <c r="M4" s="14">
        <f>M3+K4-L4</f>
        <v>0</v>
      </c>
      <c r="N4" s="38"/>
    </row>
    <row r="5" spans="1:14">
      <c r="A5" s="23">
        <v>2</v>
      </c>
      <c r="B5" s="24">
        <v>46297</v>
      </c>
      <c r="C5" s="14"/>
      <c r="D5" s="14"/>
      <c r="E5" s="80"/>
      <c r="F5" s="80"/>
      <c r="G5" s="14">
        <f t="shared" ref="G5:G36" si="0">E5*F5</f>
        <v>0</v>
      </c>
      <c r="H5" s="80"/>
      <c r="I5" s="80"/>
      <c r="J5" s="14">
        <f t="shared" ref="J5:J36" si="1">H5*I5</f>
        <v>0</v>
      </c>
      <c r="K5" s="14">
        <f>G5+J5</f>
        <v>0</v>
      </c>
      <c r="L5" s="14"/>
      <c r="M5" s="14">
        <f t="shared" ref="M5:M33" si="2">M4+K5-L5</f>
        <v>0</v>
      </c>
      <c r="N5" s="38"/>
    </row>
    <row r="6" spans="1:14">
      <c r="A6" s="23">
        <v>3</v>
      </c>
      <c r="B6" s="24">
        <v>46298</v>
      </c>
      <c r="C6" s="14"/>
      <c r="D6" s="14"/>
      <c r="E6" s="80"/>
      <c r="F6" s="80"/>
      <c r="G6" s="14">
        <f t="shared" si="0"/>
        <v>0</v>
      </c>
      <c r="H6" s="80"/>
      <c r="I6" s="80"/>
      <c r="J6" s="14">
        <f t="shared" si="1"/>
        <v>0</v>
      </c>
      <c r="K6" s="14">
        <f t="shared" ref="K6:K37" si="3">G6+J6</f>
        <v>0</v>
      </c>
      <c r="L6" s="14"/>
      <c r="M6" s="14">
        <f t="shared" si="2"/>
        <v>0</v>
      </c>
      <c r="N6" s="38"/>
    </row>
    <row r="7" spans="1:14">
      <c r="A7" s="23">
        <v>4</v>
      </c>
      <c r="B7" s="24">
        <v>46299</v>
      </c>
      <c r="C7" s="14"/>
      <c r="D7" s="14"/>
      <c r="E7" s="80"/>
      <c r="F7" s="80"/>
      <c r="G7" s="14">
        <f t="shared" si="0"/>
        <v>0</v>
      </c>
      <c r="H7" s="80"/>
      <c r="I7" s="80"/>
      <c r="J7" s="14">
        <f t="shared" si="1"/>
        <v>0</v>
      </c>
      <c r="K7" s="14">
        <f t="shared" si="3"/>
        <v>0</v>
      </c>
      <c r="L7" s="14"/>
      <c r="M7" s="14">
        <f t="shared" si="2"/>
        <v>0</v>
      </c>
      <c r="N7" s="38"/>
    </row>
    <row r="8" spans="1:14">
      <c r="A8" s="23">
        <v>5</v>
      </c>
      <c r="B8" s="24">
        <v>46300</v>
      </c>
      <c r="C8" s="14"/>
      <c r="D8" s="14"/>
      <c r="E8" s="80"/>
      <c r="F8" s="80"/>
      <c r="G8" s="14">
        <f t="shared" si="0"/>
        <v>0</v>
      </c>
      <c r="H8" s="80"/>
      <c r="I8" s="80"/>
      <c r="J8" s="14">
        <f t="shared" si="1"/>
        <v>0</v>
      </c>
      <c r="K8" s="14">
        <f t="shared" si="3"/>
        <v>0</v>
      </c>
      <c r="L8" s="14"/>
      <c r="M8" s="14">
        <f t="shared" si="2"/>
        <v>0</v>
      </c>
      <c r="N8" s="38"/>
    </row>
    <row r="9" spans="1:14">
      <c r="A9" s="23">
        <v>6</v>
      </c>
      <c r="B9" s="24">
        <v>46301</v>
      </c>
      <c r="C9" s="14"/>
      <c r="D9" s="14"/>
      <c r="E9" s="80"/>
      <c r="F9" s="80"/>
      <c r="G9" s="14">
        <f t="shared" si="0"/>
        <v>0</v>
      </c>
      <c r="H9" s="80">
        <v>6</v>
      </c>
      <c r="I9" s="80">
        <v>112.04</v>
      </c>
      <c r="J9" s="14">
        <f t="shared" si="1"/>
        <v>672.24</v>
      </c>
      <c r="K9" s="14">
        <f t="shared" si="3"/>
        <v>672.24</v>
      </c>
      <c r="L9" s="14">
        <v>672.24</v>
      </c>
      <c r="M9" s="14">
        <f t="shared" si="2"/>
        <v>0</v>
      </c>
      <c r="N9" s="38"/>
    </row>
    <row r="10" spans="1:14">
      <c r="A10" s="23">
        <v>7</v>
      </c>
      <c r="B10" s="24">
        <v>46302</v>
      </c>
      <c r="C10" s="14"/>
      <c r="D10" s="14"/>
      <c r="E10" s="80"/>
      <c r="F10" s="80"/>
      <c r="G10" s="14">
        <f t="shared" si="0"/>
        <v>0</v>
      </c>
      <c r="H10" s="80"/>
      <c r="I10" s="80"/>
      <c r="J10" s="14">
        <f t="shared" si="1"/>
        <v>0</v>
      </c>
      <c r="K10" s="14">
        <f t="shared" si="3"/>
        <v>0</v>
      </c>
      <c r="L10" s="14"/>
      <c r="M10" s="14">
        <f t="shared" si="2"/>
        <v>0</v>
      </c>
      <c r="N10" s="38"/>
    </row>
    <row r="11" spans="1:14">
      <c r="A11" s="23">
        <v>8</v>
      </c>
      <c r="B11" s="24">
        <v>46303</v>
      </c>
      <c r="C11" s="14"/>
      <c r="D11" s="14"/>
      <c r="E11" s="80">
        <v>47.43</v>
      </c>
      <c r="F11" s="80">
        <v>100.03</v>
      </c>
      <c r="G11" s="14">
        <f t="shared" si="0"/>
        <v>4744.4228999999996</v>
      </c>
      <c r="H11" s="80"/>
      <c r="I11" s="80"/>
      <c r="J11" s="14">
        <f t="shared" si="1"/>
        <v>0</v>
      </c>
      <c r="K11" s="14">
        <f t="shared" si="3"/>
        <v>4744.4228999999996</v>
      </c>
      <c r="L11" s="14">
        <v>4744.4228999999996</v>
      </c>
      <c r="M11" s="14">
        <f t="shared" si="2"/>
        <v>0</v>
      </c>
      <c r="N11" s="38"/>
    </row>
    <row r="12" spans="1:14">
      <c r="A12" s="23">
        <v>9</v>
      </c>
      <c r="B12" s="24">
        <v>46304</v>
      </c>
      <c r="C12" s="14"/>
      <c r="D12" s="14"/>
      <c r="E12" s="80"/>
      <c r="F12" s="80"/>
      <c r="G12" s="14">
        <f t="shared" si="0"/>
        <v>0</v>
      </c>
      <c r="H12" s="80"/>
      <c r="I12" s="80"/>
      <c r="J12" s="14">
        <f t="shared" si="1"/>
        <v>0</v>
      </c>
      <c r="K12" s="14">
        <f t="shared" si="3"/>
        <v>0</v>
      </c>
      <c r="L12" s="14"/>
      <c r="M12" s="14">
        <f t="shared" si="2"/>
        <v>0</v>
      </c>
      <c r="N12" s="38"/>
    </row>
    <row r="13" spans="1:14">
      <c r="A13" s="23">
        <v>10</v>
      </c>
      <c r="B13" s="24">
        <v>46305</v>
      </c>
      <c r="C13" s="14"/>
      <c r="D13" s="14"/>
      <c r="E13" s="80"/>
      <c r="F13" s="80"/>
      <c r="G13" s="14">
        <f t="shared" si="0"/>
        <v>0</v>
      </c>
      <c r="H13" s="80"/>
      <c r="I13" s="80"/>
      <c r="J13" s="14">
        <f t="shared" si="1"/>
        <v>0</v>
      </c>
      <c r="K13" s="14">
        <f t="shared" si="3"/>
        <v>0</v>
      </c>
      <c r="L13" s="14"/>
      <c r="M13" s="14">
        <f t="shared" si="2"/>
        <v>0</v>
      </c>
      <c r="N13" s="38"/>
    </row>
    <row r="14" spans="1:14">
      <c r="A14" s="23">
        <v>11</v>
      </c>
      <c r="B14" s="24">
        <v>46306</v>
      </c>
      <c r="C14" s="14"/>
      <c r="D14" s="14"/>
      <c r="E14" s="80"/>
      <c r="F14" s="80"/>
      <c r="G14" s="14">
        <f t="shared" si="0"/>
        <v>0</v>
      </c>
      <c r="H14" s="80"/>
      <c r="I14" s="80"/>
      <c r="J14" s="14">
        <f t="shared" si="1"/>
        <v>0</v>
      </c>
      <c r="K14" s="14">
        <f t="shared" si="3"/>
        <v>0</v>
      </c>
      <c r="L14" s="14"/>
      <c r="M14" s="14">
        <f t="shared" si="2"/>
        <v>0</v>
      </c>
      <c r="N14" s="38"/>
    </row>
    <row r="15" spans="1:14">
      <c r="A15" s="23">
        <v>12</v>
      </c>
      <c r="B15" s="24">
        <v>46307</v>
      </c>
      <c r="C15" s="14"/>
      <c r="D15" s="14"/>
      <c r="E15" s="80">
        <v>106.8</v>
      </c>
      <c r="F15" s="80">
        <v>100.02500000000001</v>
      </c>
      <c r="G15" s="14">
        <f t="shared" si="0"/>
        <v>10682.67</v>
      </c>
      <c r="H15" s="80"/>
      <c r="I15" s="80"/>
      <c r="J15" s="14">
        <f t="shared" si="1"/>
        <v>0</v>
      </c>
      <c r="K15" s="14">
        <f t="shared" si="3"/>
        <v>10682.67</v>
      </c>
      <c r="L15" s="14"/>
      <c r="M15" s="14">
        <f t="shared" si="2"/>
        <v>10682.67</v>
      </c>
      <c r="N15" s="38"/>
    </row>
    <row r="16" spans="1:14">
      <c r="A16" s="23">
        <v>13</v>
      </c>
      <c r="B16" s="24">
        <v>46308</v>
      </c>
      <c r="C16" s="14"/>
      <c r="D16" s="14"/>
      <c r="E16" s="80"/>
      <c r="F16" s="80"/>
      <c r="G16" s="14">
        <f t="shared" si="0"/>
        <v>0</v>
      </c>
      <c r="H16" s="80"/>
      <c r="I16" s="80"/>
      <c r="J16" s="14">
        <f t="shared" si="1"/>
        <v>0</v>
      </c>
      <c r="K16" s="14">
        <f t="shared" si="3"/>
        <v>0</v>
      </c>
      <c r="L16" s="14"/>
      <c r="M16" s="14">
        <f t="shared" si="2"/>
        <v>10682.67</v>
      </c>
      <c r="N16" s="38"/>
    </row>
    <row r="17" spans="1:14">
      <c r="A17" s="23">
        <v>14</v>
      </c>
      <c r="B17" s="24">
        <v>46309</v>
      </c>
      <c r="C17" s="14"/>
      <c r="D17" s="14"/>
      <c r="E17" s="80"/>
      <c r="F17" s="80"/>
      <c r="G17" s="14">
        <f t="shared" si="0"/>
        <v>0</v>
      </c>
      <c r="H17" s="80"/>
      <c r="I17" s="80"/>
      <c r="J17" s="14">
        <f t="shared" si="1"/>
        <v>0</v>
      </c>
      <c r="K17" s="14">
        <f t="shared" si="3"/>
        <v>0</v>
      </c>
      <c r="L17" s="14"/>
      <c r="M17" s="14">
        <f t="shared" si="2"/>
        <v>10682.67</v>
      </c>
      <c r="N17" s="38"/>
    </row>
    <row r="18" spans="1:14">
      <c r="A18" s="23">
        <v>15</v>
      </c>
      <c r="B18" s="24">
        <v>46310</v>
      </c>
      <c r="C18" s="14"/>
      <c r="D18" s="14"/>
      <c r="E18" s="80">
        <v>79.2</v>
      </c>
      <c r="F18" s="80">
        <v>100.03</v>
      </c>
      <c r="G18" s="14">
        <f t="shared" si="0"/>
        <v>7922.3760000000002</v>
      </c>
      <c r="H18" s="80">
        <v>12</v>
      </c>
      <c r="I18" s="80">
        <v>112.04</v>
      </c>
      <c r="J18" s="14">
        <f t="shared" si="1"/>
        <v>1344.48</v>
      </c>
      <c r="K18" s="14">
        <f t="shared" si="3"/>
        <v>9266.8559999999998</v>
      </c>
      <c r="L18" s="14">
        <v>9266.8559999999998</v>
      </c>
      <c r="M18" s="14">
        <f t="shared" si="2"/>
        <v>10682.669999999998</v>
      </c>
      <c r="N18" s="38"/>
    </row>
    <row r="19" spans="1:14">
      <c r="A19" s="23">
        <v>16</v>
      </c>
      <c r="B19" s="24">
        <v>46311</v>
      </c>
      <c r="C19" s="14"/>
      <c r="D19" s="14"/>
      <c r="E19" s="80"/>
      <c r="F19" s="80"/>
      <c r="G19" s="14">
        <f t="shared" si="0"/>
        <v>0</v>
      </c>
      <c r="H19" s="80"/>
      <c r="I19" s="80"/>
      <c r="J19" s="14">
        <f t="shared" si="1"/>
        <v>0</v>
      </c>
      <c r="K19" s="14">
        <f t="shared" si="3"/>
        <v>0</v>
      </c>
      <c r="L19" s="14"/>
      <c r="M19" s="14">
        <f t="shared" si="2"/>
        <v>10682.669999999998</v>
      </c>
      <c r="N19" s="38"/>
    </row>
    <row r="20" spans="1:14">
      <c r="A20" s="23">
        <v>17</v>
      </c>
      <c r="B20" s="24">
        <v>46312</v>
      </c>
      <c r="C20" s="14"/>
      <c r="D20" s="14"/>
      <c r="E20" s="80"/>
      <c r="F20" s="80"/>
      <c r="G20" s="14">
        <f t="shared" si="0"/>
        <v>0</v>
      </c>
      <c r="H20" s="80"/>
      <c r="I20" s="80"/>
      <c r="J20" s="14">
        <f t="shared" si="1"/>
        <v>0</v>
      </c>
      <c r="K20" s="14">
        <f t="shared" si="3"/>
        <v>0</v>
      </c>
      <c r="L20" s="14"/>
      <c r="M20" s="14">
        <f t="shared" si="2"/>
        <v>10682.669999999998</v>
      </c>
      <c r="N20" s="38"/>
    </row>
    <row r="21" spans="1:14">
      <c r="A21" s="23">
        <v>18</v>
      </c>
      <c r="B21" s="24">
        <v>46313</v>
      </c>
      <c r="C21" s="14"/>
      <c r="D21" s="14"/>
      <c r="E21" s="80"/>
      <c r="F21" s="80"/>
      <c r="G21" s="14">
        <f t="shared" si="0"/>
        <v>0</v>
      </c>
      <c r="H21" s="80"/>
      <c r="I21" s="80"/>
      <c r="J21" s="14">
        <f t="shared" si="1"/>
        <v>0</v>
      </c>
      <c r="K21" s="14">
        <f t="shared" si="3"/>
        <v>0</v>
      </c>
      <c r="L21" s="14"/>
      <c r="M21" s="14">
        <f t="shared" si="2"/>
        <v>10682.669999999998</v>
      </c>
      <c r="N21" s="38"/>
    </row>
    <row r="22" spans="1:14">
      <c r="A22" s="23">
        <v>19</v>
      </c>
      <c r="B22" s="24">
        <v>46314</v>
      </c>
      <c r="C22" s="14"/>
      <c r="D22" s="14"/>
      <c r="E22" s="80"/>
      <c r="F22" s="80"/>
      <c r="G22" s="14">
        <f t="shared" si="0"/>
        <v>0</v>
      </c>
      <c r="H22" s="80"/>
      <c r="I22" s="80"/>
      <c r="J22" s="14">
        <f t="shared" si="1"/>
        <v>0</v>
      </c>
      <c r="K22" s="14">
        <f t="shared" si="3"/>
        <v>0</v>
      </c>
      <c r="L22" s="14"/>
      <c r="M22" s="14">
        <f t="shared" si="2"/>
        <v>10682.669999999998</v>
      </c>
      <c r="N22" s="38"/>
    </row>
    <row r="23" spans="1:14">
      <c r="A23" s="23"/>
      <c r="B23" s="24">
        <v>46315</v>
      </c>
      <c r="C23" s="14"/>
      <c r="D23" s="14"/>
      <c r="E23" s="80"/>
      <c r="F23" s="80"/>
      <c r="G23" s="14">
        <f t="shared" si="0"/>
        <v>0</v>
      </c>
      <c r="H23" s="80"/>
      <c r="I23" s="80"/>
      <c r="J23" s="14"/>
      <c r="K23" s="14">
        <f t="shared" si="3"/>
        <v>0</v>
      </c>
      <c r="L23" s="14"/>
      <c r="M23" s="14">
        <f t="shared" si="2"/>
        <v>10682.669999999998</v>
      </c>
      <c r="N23" s="38"/>
    </row>
    <row r="24" spans="1:14">
      <c r="A24" s="23">
        <v>20</v>
      </c>
      <c r="B24" s="24">
        <v>46316</v>
      </c>
      <c r="C24" s="14"/>
      <c r="D24" s="14"/>
      <c r="E24" s="80"/>
      <c r="F24" s="80"/>
      <c r="G24" s="14">
        <f t="shared" si="0"/>
        <v>0</v>
      </c>
      <c r="H24" s="80"/>
      <c r="I24" s="80"/>
      <c r="J24" s="14">
        <f t="shared" si="1"/>
        <v>0</v>
      </c>
      <c r="K24" s="14">
        <f t="shared" si="3"/>
        <v>0</v>
      </c>
      <c r="L24" s="14"/>
      <c r="M24" s="14">
        <f t="shared" si="2"/>
        <v>10682.669999999998</v>
      </c>
      <c r="N24" s="38"/>
    </row>
    <row r="25" spans="1:14">
      <c r="A25" s="23">
        <v>21</v>
      </c>
      <c r="B25" s="24">
        <v>46317</v>
      </c>
      <c r="C25" s="14"/>
      <c r="D25" s="14"/>
      <c r="E25" s="542"/>
      <c r="F25" s="80"/>
      <c r="G25" s="14">
        <f t="shared" si="0"/>
        <v>0</v>
      </c>
      <c r="H25" s="80"/>
      <c r="I25" s="80"/>
      <c r="J25" s="14">
        <f t="shared" si="1"/>
        <v>0</v>
      </c>
      <c r="K25" s="14">
        <f t="shared" si="3"/>
        <v>0</v>
      </c>
      <c r="L25" s="14"/>
      <c r="M25" s="14">
        <f t="shared" si="2"/>
        <v>10682.669999999998</v>
      </c>
      <c r="N25" s="38"/>
    </row>
    <row r="26" spans="1:14">
      <c r="A26" s="23"/>
      <c r="B26" s="24">
        <v>46318</v>
      </c>
      <c r="C26" s="14"/>
      <c r="D26" s="14"/>
      <c r="E26" s="542"/>
      <c r="F26" s="80"/>
      <c r="G26" s="14">
        <f t="shared" si="0"/>
        <v>0</v>
      </c>
      <c r="H26" s="80"/>
      <c r="I26" s="80"/>
      <c r="J26" s="14">
        <f t="shared" si="1"/>
        <v>0</v>
      </c>
      <c r="K26" s="14">
        <f t="shared" si="3"/>
        <v>0</v>
      </c>
      <c r="L26" s="14"/>
      <c r="M26" s="14">
        <f t="shared" si="2"/>
        <v>10682.669999999998</v>
      </c>
      <c r="N26" s="38"/>
    </row>
    <row r="27" spans="1:14">
      <c r="A27" s="23">
        <v>22</v>
      </c>
      <c r="B27" s="24">
        <v>46319</v>
      </c>
      <c r="C27" s="14"/>
      <c r="D27" s="14"/>
      <c r="E27" s="80"/>
      <c r="F27" s="80"/>
      <c r="G27" s="14">
        <f t="shared" si="0"/>
        <v>0</v>
      </c>
      <c r="H27" s="80"/>
      <c r="I27" s="80"/>
      <c r="J27" s="14">
        <f t="shared" si="1"/>
        <v>0</v>
      </c>
      <c r="K27" s="14">
        <f t="shared" si="3"/>
        <v>0</v>
      </c>
      <c r="L27" s="14"/>
      <c r="M27" s="14">
        <f t="shared" si="2"/>
        <v>10682.669999999998</v>
      </c>
      <c r="N27" s="38"/>
    </row>
    <row r="28" spans="1:14">
      <c r="A28" s="23"/>
      <c r="B28" s="24">
        <v>46320</v>
      </c>
      <c r="C28" s="14"/>
      <c r="D28" s="14"/>
      <c r="E28" s="80"/>
      <c r="F28" s="80"/>
      <c r="G28" s="14"/>
      <c r="H28" s="80"/>
      <c r="I28" s="80"/>
      <c r="J28" s="14">
        <f t="shared" si="1"/>
        <v>0</v>
      </c>
      <c r="K28" s="14">
        <f t="shared" si="3"/>
        <v>0</v>
      </c>
      <c r="L28" s="14"/>
      <c r="M28" s="14">
        <f t="shared" si="2"/>
        <v>10682.669999999998</v>
      </c>
      <c r="N28" s="38"/>
    </row>
    <row r="29" spans="1:14">
      <c r="A29" s="23">
        <v>23</v>
      </c>
      <c r="B29" s="24">
        <v>46321</v>
      </c>
      <c r="C29" s="14"/>
      <c r="D29" s="14"/>
      <c r="E29" s="80"/>
      <c r="F29" s="80"/>
      <c r="G29" s="14">
        <f t="shared" si="0"/>
        <v>0</v>
      </c>
      <c r="H29" s="80"/>
      <c r="I29" s="80"/>
      <c r="J29" s="14">
        <f t="shared" si="1"/>
        <v>0</v>
      </c>
      <c r="K29" s="14">
        <f t="shared" si="3"/>
        <v>0</v>
      </c>
      <c r="L29" s="14"/>
      <c r="M29" s="14">
        <f t="shared" si="2"/>
        <v>10682.669999999998</v>
      </c>
      <c r="N29" s="38"/>
    </row>
    <row r="30" spans="1:14">
      <c r="A30" s="23">
        <v>24</v>
      </c>
      <c r="B30" s="24">
        <v>46322</v>
      </c>
      <c r="C30" s="14"/>
      <c r="D30" s="14"/>
      <c r="E30" s="80"/>
      <c r="F30" s="80"/>
      <c r="G30" s="14">
        <f t="shared" si="0"/>
        <v>0</v>
      </c>
      <c r="H30" s="80"/>
      <c r="I30" s="80"/>
      <c r="J30" s="14">
        <f t="shared" si="1"/>
        <v>0</v>
      </c>
      <c r="K30" s="14">
        <f t="shared" si="3"/>
        <v>0</v>
      </c>
      <c r="L30" s="14"/>
      <c r="M30" s="14">
        <f t="shared" si="2"/>
        <v>10682.669999999998</v>
      </c>
      <c r="N30" s="38"/>
    </row>
    <row r="31" spans="1:14">
      <c r="A31" s="23">
        <v>25</v>
      </c>
      <c r="B31" s="24">
        <v>46323</v>
      </c>
      <c r="C31" s="14"/>
      <c r="D31" s="14"/>
      <c r="E31" s="80"/>
      <c r="F31" s="80"/>
      <c r="G31" s="14">
        <f t="shared" si="0"/>
        <v>0</v>
      </c>
      <c r="H31" s="80"/>
      <c r="I31" s="80"/>
      <c r="J31" s="14">
        <f t="shared" si="1"/>
        <v>0</v>
      </c>
      <c r="K31" s="14">
        <f>G31+J31</f>
        <v>0</v>
      </c>
      <c r="L31" s="14"/>
      <c r="M31" s="14">
        <f t="shared" si="2"/>
        <v>10682.669999999998</v>
      </c>
      <c r="N31" s="38"/>
    </row>
    <row r="32" spans="1:14">
      <c r="A32" s="23">
        <v>26</v>
      </c>
      <c r="B32" s="24">
        <v>46324</v>
      </c>
      <c r="C32" s="14"/>
      <c r="D32" s="14"/>
      <c r="E32" s="80"/>
      <c r="F32" s="80"/>
      <c r="G32" s="14">
        <f t="shared" si="0"/>
        <v>0</v>
      </c>
      <c r="H32" s="80"/>
      <c r="I32" s="80"/>
      <c r="J32" s="14">
        <f t="shared" si="1"/>
        <v>0</v>
      </c>
      <c r="K32" s="14">
        <f t="shared" si="3"/>
        <v>0</v>
      </c>
      <c r="L32" s="14"/>
      <c r="M32" s="14">
        <f t="shared" si="2"/>
        <v>10682.669999999998</v>
      </c>
      <c r="N32" s="38"/>
    </row>
    <row r="33" spans="1:14">
      <c r="A33" s="23">
        <v>27</v>
      </c>
      <c r="B33" s="24">
        <v>46325</v>
      </c>
      <c r="C33" s="14"/>
      <c r="D33" s="14"/>
      <c r="E33" s="80"/>
      <c r="F33" s="80"/>
      <c r="G33" s="14">
        <f t="shared" si="0"/>
        <v>0</v>
      </c>
      <c r="H33" s="80"/>
      <c r="I33" s="80"/>
      <c r="J33" s="14">
        <f t="shared" si="1"/>
        <v>0</v>
      </c>
      <c r="K33" s="14">
        <f t="shared" si="3"/>
        <v>0</v>
      </c>
      <c r="L33" s="14"/>
      <c r="M33" s="14">
        <f t="shared" si="2"/>
        <v>10682.669999999998</v>
      </c>
      <c r="N33" s="38"/>
    </row>
    <row r="34" spans="1:14">
      <c r="A34" s="23">
        <v>28</v>
      </c>
      <c r="B34" s="24">
        <v>46326</v>
      </c>
      <c r="C34" s="14"/>
      <c r="D34" s="14"/>
      <c r="E34" s="80"/>
      <c r="F34" s="80"/>
      <c r="G34" s="14">
        <f t="shared" si="0"/>
        <v>0</v>
      </c>
      <c r="H34" s="80"/>
      <c r="I34" s="80"/>
      <c r="J34" s="14">
        <f t="shared" si="1"/>
        <v>0</v>
      </c>
      <c r="K34" s="14">
        <f t="shared" si="3"/>
        <v>0</v>
      </c>
      <c r="L34" s="14"/>
      <c r="M34" s="14">
        <v>0</v>
      </c>
      <c r="N34" s="38"/>
    </row>
    <row r="35" spans="1:14">
      <c r="A35" s="23">
        <v>29</v>
      </c>
      <c r="B35" s="24"/>
      <c r="C35" s="14"/>
      <c r="D35" s="14"/>
      <c r="E35" s="80"/>
      <c r="F35" s="80"/>
      <c r="G35" s="14">
        <f t="shared" si="0"/>
        <v>0</v>
      </c>
      <c r="H35" s="80"/>
      <c r="I35" s="80"/>
      <c r="J35" s="14">
        <f t="shared" si="1"/>
        <v>0</v>
      </c>
      <c r="K35" s="14">
        <f t="shared" si="3"/>
        <v>0</v>
      </c>
      <c r="L35" s="14"/>
      <c r="M35" s="14"/>
      <c r="N35" s="38"/>
    </row>
    <row r="36" spans="1:14">
      <c r="A36" s="23">
        <v>30</v>
      </c>
      <c r="B36" s="24"/>
      <c r="C36" s="14"/>
      <c r="D36" s="14"/>
      <c r="E36" s="80"/>
      <c r="F36" s="80"/>
      <c r="G36" s="14">
        <f t="shared" si="0"/>
        <v>0</v>
      </c>
      <c r="H36" s="80"/>
      <c r="I36" s="80"/>
      <c r="J36" s="14">
        <f t="shared" si="1"/>
        <v>0</v>
      </c>
      <c r="K36" s="14">
        <f t="shared" si="3"/>
        <v>0</v>
      </c>
      <c r="L36" s="14"/>
      <c r="M36" s="14"/>
      <c r="N36" s="38"/>
    </row>
    <row r="37" spans="1:14">
      <c r="A37" s="23">
        <v>31</v>
      </c>
      <c r="B37" s="24"/>
      <c r="C37" s="14"/>
      <c r="D37" s="14"/>
      <c r="E37" s="80"/>
      <c r="F37" s="80"/>
      <c r="G37" s="14">
        <f t="shared" ref="G5:G37" si="4">E37*F37</f>
        <v>0</v>
      </c>
      <c r="H37" s="80"/>
      <c r="I37" s="80"/>
      <c r="J37" s="14">
        <f t="shared" ref="J5:J37" si="5">H37*I37</f>
        <v>0</v>
      </c>
      <c r="K37" s="14">
        <f t="shared" si="3"/>
        <v>0</v>
      </c>
      <c r="L37" s="14"/>
      <c r="M37" s="14"/>
      <c r="N37" s="38"/>
    </row>
    <row r="38" spans="1:14">
      <c r="A38" s="36"/>
      <c r="B38" s="36"/>
      <c r="C38" s="36"/>
      <c r="D38" s="36"/>
      <c r="E38" s="36">
        <f>SUM(E4:E37)</f>
        <v>283.42</v>
      </c>
      <c r="F38" s="36"/>
      <c r="G38" s="36">
        <f>SUM(G4:G37)</f>
        <v>28349.9686</v>
      </c>
      <c r="H38" s="36">
        <f>SUM(H4:H37)</f>
        <v>30</v>
      </c>
      <c r="I38" s="36"/>
      <c r="J38" s="36">
        <f>SUM(J4:J37)</f>
        <v>3361.2</v>
      </c>
      <c r="K38" s="36">
        <f>SUM(K4:K37)</f>
        <v>31711.168599999997</v>
      </c>
      <c r="L38" s="36">
        <f>SUM(L4:L37)</f>
        <v>21028.498599999999</v>
      </c>
      <c r="M38" s="36"/>
      <c r="N38" s="36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workbookViewId="0">
      <pane ySplit="3" topLeftCell="A9" activePane="bottomLeft" state="frozen"/>
      <selection pane="bottomLeft" activeCell="L17" sqref="L17"/>
    </sheetView>
  </sheetViews>
  <sheetFormatPr defaultRowHeight="15"/>
  <cols>
    <col min="2" max="2" width="10.140625" bestFit="1" customWidth="1"/>
    <col min="4" max="4" width="11.42578125" customWidth="1"/>
    <col min="9" max="9" width="12" customWidth="1"/>
    <col min="10" max="10" width="11" customWidth="1"/>
    <col min="11" max="11" width="11.28515625" customWidth="1"/>
    <col min="12" max="12" width="11.42578125" customWidth="1"/>
  </cols>
  <sheetData>
    <row r="1" spans="1:14" ht="15.75">
      <c r="A1" s="631" t="s">
        <v>115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ht="21.75" customHeight="1">
      <c r="A2" s="97" t="s">
        <v>0</v>
      </c>
      <c r="B2" s="99" t="s">
        <v>167</v>
      </c>
      <c r="C2" s="99" t="s">
        <v>168</v>
      </c>
      <c r="D2" s="99" t="s">
        <v>169</v>
      </c>
      <c r="E2" s="99" t="s">
        <v>170</v>
      </c>
      <c r="F2" s="99" t="s">
        <v>171</v>
      </c>
      <c r="G2" s="99" t="s">
        <v>172</v>
      </c>
      <c r="H2" s="99" t="s">
        <v>173</v>
      </c>
      <c r="I2" s="99" t="s">
        <v>171</v>
      </c>
      <c r="J2" s="99" t="s">
        <v>172</v>
      </c>
      <c r="K2" s="99" t="s">
        <v>174</v>
      </c>
      <c r="L2" s="99" t="s">
        <v>175</v>
      </c>
      <c r="M2" s="99" t="s">
        <v>190</v>
      </c>
      <c r="N2" s="99" t="s">
        <v>177</v>
      </c>
    </row>
    <row r="3" spans="1:14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89"/>
      <c r="L3" s="89"/>
      <c r="M3" s="89"/>
      <c r="N3" s="14"/>
    </row>
    <row r="4" spans="1:14">
      <c r="A4" s="23">
        <v>1</v>
      </c>
      <c r="B4" s="24">
        <v>46296</v>
      </c>
      <c r="C4" s="14"/>
      <c r="D4" s="14"/>
      <c r="E4" s="14">
        <v>75</v>
      </c>
      <c r="F4" s="351">
        <v>99.88</v>
      </c>
      <c r="G4" s="14">
        <f>E4*F4</f>
        <v>7491</v>
      </c>
      <c r="H4" s="80"/>
      <c r="I4" s="80"/>
      <c r="J4" s="14">
        <f>H4*I4</f>
        <v>0</v>
      </c>
      <c r="K4" s="314">
        <f>G4+J4</f>
        <v>7491</v>
      </c>
      <c r="L4" s="314">
        <v>7491</v>
      </c>
      <c r="M4" s="14">
        <f>M3+K4-L4</f>
        <v>0</v>
      </c>
      <c r="N4" s="38"/>
    </row>
    <row r="5" spans="1:14">
      <c r="A5" s="23">
        <v>2</v>
      </c>
      <c r="B5" s="24">
        <v>46297</v>
      </c>
      <c r="C5" s="14"/>
      <c r="D5" s="14"/>
      <c r="E5" s="351"/>
      <c r="F5" s="351"/>
      <c r="G5" s="14">
        <f t="shared" ref="G5:G34" si="0">E5*F5</f>
        <v>0</v>
      </c>
      <c r="H5" s="80"/>
      <c r="I5" s="80"/>
      <c r="J5" s="14">
        <f t="shared" ref="J5:J33" si="1">H5*I5</f>
        <v>0</v>
      </c>
      <c r="K5" s="314">
        <f>G5+J5</f>
        <v>0</v>
      </c>
      <c r="L5" s="314"/>
      <c r="M5" s="14">
        <f t="shared" ref="M5:M27" si="2">M4+K5-L5</f>
        <v>0</v>
      </c>
      <c r="N5" s="38"/>
    </row>
    <row r="6" spans="1:14">
      <c r="A6" s="23">
        <v>3</v>
      </c>
      <c r="B6" s="24">
        <v>46298</v>
      </c>
      <c r="C6" s="14"/>
      <c r="D6" s="14"/>
      <c r="E6" s="80"/>
      <c r="F6" s="80"/>
      <c r="G6" s="14">
        <f t="shared" ref="G6:G34" si="3">E6*F6</f>
        <v>0</v>
      </c>
      <c r="H6" s="80"/>
      <c r="I6" s="80"/>
      <c r="J6" s="14">
        <f t="shared" ref="J6:J34" si="4">H6*I6</f>
        <v>0</v>
      </c>
      <c r="K6" s="314">
        <f t="shared" ref="K6:K34" si="5">G6+J6</f>
        <v>0</v>
      </c>
      <c r="L6" s="314"/>
      <c r="M6" s="14">
        <f t="shared" si="2"/>
        <v>0</v>
      </c>
      <c r="N6" s="38"/>
    </row>
    <row r="7" spans="1:14">
      <c r="A7" s="23">
        <v>4</v>
      </c>
      <c r="B7" s="24">
        <v>46299</v>
      </c>
      <c r="C7" s="14"/>
      <c r="D7" s="14"/>
      <c r="E7" s="80">
        <v>50</v>
      </c>
      <c r="F7" s="80">
        <v>99.84</v>
      </c>
      <c r="G7" s="14">
        <f t="shared" si="3"/>
        <v>4992</v>
      </c>
      <c r="H7" s="80"/>
      <c r="I7" s="80"/>
      <c r="J7" s="14">
        <f t="shared" si="4"/>
        <v>0</v>
      </c>
      <c r="K7" s="561">
        <f t="shared" si="5"/>
        <v>4992</v>
      </c>
      <c r="L7" s="561">
        <v>4992</v>
      </c>
      <c r="M7" s="14">
        <f t="shared" si="2"/>
        <v>0</v>
      </c>
      <c r="N7" s="38"/>
    </row>
    <row r="8" spans="1:14">
      <c r="A8" s="23">
        <v>5</v>
      </c>
      <c r="B8" s="24">
        <v>46300</v>
      </c>
      <c r="C8" s="14"/>
      <c r="D8" s="14"/>
      <c r="E8" s="351"/>
      <c r="F8" s="351"/>
      <c r="G8" s="14">
        <f t="shared" si="3"/>
        <v>0</v>
      </c>
      <c r="H8" s="80"/>
      <c r="I8" s="80"/>
      <c r="J8" s="14">
        <f t="shared" si="4"/>
        <v>0</v>
      </c>
      <c r="K8" s="314">
        <f t="shared" si="5"/>
        <v>0</v>
      </c>
      <c r="L8" s="314"/>
      <c r="M8" s="14">
        <f t="shared" si="2"/>
        <v>0</v>
      </c>
      <c r="N8" s="38"/>
    </row>
    <row r="9" spans="1:14">
      <c r="A9" s="23">
        <v>6</v>
      </c>
      <c r="B9" s="24">
        <v>46301</v>
      </c>
      <c r="C9" s="14"/>
      <c r="D9" s="14"/>
      <c r="E9" s="80">
        <v>100</v>
      </c>
      <c r="F9" s="80">
        <v>99.84</v>
      </c>
      <c r="G9" s="14">
        <f t="shared" si="3"/>
        <v>9984</v>
      </c>
      <c r="H9" s="80"/>
      <c r="I9" s="80"/>
      <c r="J9" s="14">
        <f t="shared" si="4"/>
        <v>0</v>
      </c>
      <c r="K9" s="314">
        <f t="shared" si="5"/>
        <v>9984</v>
      </c>
      <c r="L9" s="314">
        <v>9984</v>
      </c>
      <c r="M9" s="14">
        <f t="shared" si="2"/>
        <v>0</v>
      </c>
      <c r="N9" s="38"/>
    </row>
    <row r="10" spans="1:14">
      <c r="A10" s="23">
        <v>7</v>
      </c>
      <c r="B10" s="24">
        <v>46302</v>
      </c>
      <c r="C10" s="14"/>
      <c r="D10" s="14"/>
      <c r="E10" s="80">
        <v>30</v>
      </c>
      <c r="F10" s="80">
        <v>99.84</v>
      </c>
      <c r="G10" s="14">
        <f t="shared" si="3"/>
        <v>2995.2000000000003</v>
      </c>
      <c r="H10" s="80"/>
      <c r="I10" s="80"/>
      <c r="J10" s="14">
        <f t="shared" si="4"/>
        <v>0</v>
      </c>
      <c r="K10" s="314">
        <f t="shared" si="5"/>
        <v>2995.2000000000003</v>
      </c>
      <c r="L10" s="314">
        <v>2995.2000000000003</v>
      </c>
      <c r="M10" s="14">
        <f t="shared" si="2"/>
        <v>0</v>
      </c>
      <c r="N10" s="38"/>
    </row>
    <row r="11" spans="1:14">
      <c r="A11" s="23">
        <v>8</v>
      </c>
      <c r="B11" s="24">
        <v>46303</v>
      </c>
      <c r="C11" s="14"/>
      <c r="D11" s="14"/>
      <c r="E11" s="80"/>
      <c r="F11" s="80"/>
      <c r="G11" s="14">
        <f t="shared" si="3"/>
        <v>0</v>
      </c>
      <c r="H11" s="80"/>
      <c r="I11" s="80"/>
      <c r="J11" s="14">
        <f t="shared" si="4"/>
        <v>0</v>
      </c>
      <c r="K11" s="314">
        <f t="shared" si="5"/>
        <v>0</v>
      </c>
      <c r="L11" s="314"/>
      <c r="M11" s="14">
        <f t="shared" si="2"/>
        <v>0</v>
      </c>
      <c r="N11" s="38"/>
    </row>
    <row r="12" spans="1:14">
      <c r="A12" s="23">
        <v>9</v>
      </c>
      <c r="B12" s="24">
        <v>46304</v>
      </c>
      <c r="C12" s="14"/>
      <c r="D12" s="14"/>
      <c r="E12" s="80">
        <v>100</v>
      </c>
      <c r="F12" s="80">
        <v>99.84</v>
      </c>
      <c r="G12" s="14">
        <f t="shared" si="3"/>
        <v>9984</v>
      </c>
      <c r="H12" s="80"/>
      <c r="I12" s="80"/>
      <c r="J12" s="14">
        <f t="shared" si="4"/>
        <v>0</v>
      </c>
      <c r="K12" s="314">
        <f t="shared" si="5"/>
        <v>9984</v>
      </c>
      <c r="L12" s="314">
        <v>9984</v>
      </c>
      <c r="M12" s="14">
        <f t="shared" si="2"/>
        <v>0</v>
      </c>
      <c r="N12" s="38"/>
    </row>
    <row r="13" spans="1:14">
      <c r="A13" s="23">
        <v>10</v>
      </c>
      <c r="B13" s="24">
        <v>46305</v>
      </c>
      <c r="C13" s="14"/>
      <c r="D13" s="14"/>
      <c r="E13" s="80"/>
      <c r="F13" s="80"/>
      <c r="G13" s="14">
        <f t="shared" si="3"/>
        <v>0</v>
      </c>
      <c r="H13" s="80"/>
      <c r="I13" s="80"/>
      <c r="J13" s="14">
        <f t="shared" si="4"/>
        <v>0</v>
      </c>
      <c r="K13" s="314">
        <f t="shared" si="5"/>
        <v>0</v>
      </c>
      <c r="L13" s="314"/>
      <c r="M13" s="14">
        <f t="shared" si="2"/>
        <v>0</v>
      </c>
      <c r="N13" s="38"/>
    </row>
    <row r="14" spans="1:14">
      <c r="A14" s="23">
        <v>11</v>
      </c>
      <c r="B14" s="24">
        <v>46306</v>
      </c>
      <c r="C14" s="14"/>
      <c r="D14" s="14"/>
      <c r="E14" s="80"/>
      <c r="F14" s="80"/>
      <c r="G14" s="14">
        <f t="shared" si="3"/>
        <v>0</v>
      </c>
      <c r="H14" s="80"/>
      <c r="I14" s="80"/>
      <c r="J14" s="14">
        <f t="shared" si="4"/>
        <v>0</v>
      </c>
      <c r="K14" s="314">
        <f t="shared" si="5"/>
        <v>0</v>
      </c>
      <c r="L14" s="314"/>
      <c r="M14" s="14">
        <f t="shared" si="2"/>
        <v>0</v>
      </c>
      <c r="N14" s="38"/>
    </row>
    <row r="15" spans="1:14">
      <c r="A15" s="23">
        <v>12</v>
      </c>
      <c r="B15" s="24">
        <v>46307</v>
      </c>
      <c r="C15" s="14"/>
      <c r="D15" s="14"/>
      <c r="E15" s="80">
        <v>110</v>
      </c>
      <c r="F15" s="80">
        <v>99.85</v>
      </c>
      <c r="G15" s="14">
        <f t="shared" si="3"/>
        <v>10983.5</v>
      </c>
      <c r="H15" s="80">
        <v>35</v>
      </c>
      <c r="I15" s="80">
        <v>112.03</v>
      </c>
      <c r="J15" s="14">
        <f t="shared" si="4"/>
        <v>3921.05</v>
      </c>
      <c r="K15" s="314">
        <f t="shared" si="5"/>
        <v>14904.55</v>
      </c>
      <c r="L15" s="314">
        <v>14904.55</v>
      </c>
      <c r="M15" s="14">
        <f t="shared" si="2"/>
        <v>0</v>
      </c>
      <c r="N15" s="38"/>
    </row>
    <row r="16" spans="1:14">
      <c r="A16" s="23">
        <v>13</v>
      </c>
      <c r="B16" s="24">
        <v>46308</v>
      </c>
      <c r="C16" s="14"/>
      <c r="D16" s="14"/>
      <c r="E16" s="80"/>
      <c r="F16" s="80"/>
      <c r="G16" s="14">
        <f t="shared" si="3"/>
        <v>0</v>
      </c>
      <c r="H16" s="80"/>
      <c r="I16" s="80"/>
      <c r="J16" s="14">
        <f t="shared" si="4"/>
        <v>0</v>
      </c>
      <c r="K16" s="314">
        <f t="shared" si="5"/>
        <v>0</v>
      </c>
      <c r="L16" s="314"/>
      <c r="M16" s="14">
        <f t="shared" si="2"/>
        <v>0</v>
      </c>
      <c r="N16" s="38"/>
    </row>
    <row r="17" spans="1:14">
      <c r="A17" s="23">
        <v>14</v>
      </c>
      <c r="B17" s="24">
        <v>46309</v>
      </c>
      <c r="C17" s="14"/>
      <c r="D17" s="14"/>
      <c r="E17" s="80">
        <v>150</v>
      </c>
      <c r="F17" s="80">
        <v>99.88</v>
      </c>
      <c r="G17" s="14">
        <f t="shared" si="3"/>
        <v>14982</v>
      </c>
      <c r="H17" s="80"/>
      <c r="I17" s="80"/>
      <c r="J17" s="14">
        <f t="shared" si="4"/>
        <v>0</v>
      </c>
      <c r="K17" s="314">
        <f t="shared" si="5"/>
        <v>14982</v>
      </c>
      <c r="L17" s="314">
        <v>14982</v>
      </c>
      <c r="M17" s="14">
        <f t="shared" si="2"/>
        <v>0</v>
      </c>
      <c r="N17" s="38"/>
    </row>
    <row r="18" spans="1:14">
      <c r="A18" s="23">
        <v>15</v>
      </c>
      <c r="B18" s="24">
        <v>46310</v>
      </c>
      <c r="C18" s="14"/>
      <c r="D18" s="14"/>
      <c r="E18" s="80"/>
      <c r="F18" s="80"/>
      <c r="G18" s="14">
        <f t="shared" si="3"/>
        <v>0</v>
      </c>
      <c r="H18" s="80"/>
      <c r="I18" s="80"/>
      <c r="J18" s="14">
        <f t="shared" si="4"/>
        <v>0</v>
      </c>
      <c r="K18" s="314">
        <f t="shared" si="5"/>
        <v>0</v>
      </c>
      <c r="L18" s="314"/>
      <c r="M18" s="14">
        <f t="shared" si="2"/>
        <v>0</v>
      </c>
      <c r="N18" s="38"/>
    </row>
    <row r="19" spans="1:14">
      <c r="A19" s="23">
        <v>16</v>
      </c>
      <c r="B19" s="24">
        <v>46311</v>
      </c>
      <c r="C19" s="14"/>
      <c r="D19" s="14"/>
      <c r="E19" s="80"/>
      <c r="F19" s="80"/>
      <c r="G19" s="14">
        <f t="shared" si="3"/>
        <v>0</v>
      </c>
      <c r="H19" s="80"/>
      <c r="I19" s="80"/>
      <c r="J19" s="14">
        <f t="shared" si="4"/>
        <v>0</v>
      </c>
      <c r="K19" s="314">
        <f t="shared" si="5"/>
        <v>0</v>
      </c>
      <c r="L19" s="314"/>
      <c r="M19" s="14">
        <f t="shared" si="2"/>
        <v>0</v>
      </c>
      <c r="N19" s="38"/>
    </row>
    <row r="20" spans="1:14">
      <c r="A20" s="23">
        <v>17</v>
      </c>
      <c r="B20" s="24">
        <v>46312</v>
      </c>
      <c r="C20" s="14"/>
      <c r="D20" s="14"/>
      <c r="E20" s="80"/>
      <c r="F20" s="80"/>
      <c r="G20" s="14">
        <f t="shared" si="3"/>
        <v>0</v>
      </c>
      <c r="H20" s="80"/>
      <c r="I20" s="80"/>
      <c r="J20" s="14">
        <f t="shared" si="4"/>
        <v>0</v>
      </c>
      <c r="K20" s="314">
        <f t="shared" si="5"/>
        <v>0</v>
      </c>
      <c r="L20" s="314"/>
      <c r="M20" s="14">
        <f t="shared" si="2"/>
        <v>0</v>
      </c>
      <c r="N20" s="38"/>
    </row>
    <row r="21" spans="1:14">
      <c r="A21" s="23">
        <v>18</v>
      </c>
      <c r="B21" s="24">
        <v>46313</v>
      </c>
      <c r="C21" s="14"/>
      <c r="D21" s="14"/>
      <c r="E21" s="80"/>
      <c r="F21" s="80"/>
      <c r="G21" s="14">
        <f t="shared" si="3"/>
        <v>0</v>
      </c>
      <c r="H21" s="80"/>
      <c r="I21" s="80"/>
      <c r="J21" s="14">
        <f t="shared" si="4"/>
        <v>0</v>
      </c>
      <c r="K21" s="314">
        <f t="shared" si="5"/>
        <v>0</v>
      </c>
      <c r="L21" s="314"/>
      <c r="M21" s="14">
        <f t="shared" si="2"/>
        <v>0</v>
      </c>
      <c r="N21" s="38"/>
    </row>
    <row r="22" spans="1:14">
      <c r="A22" s="23">
        <v>19</v>
      </c>
      <c r="B22" s="24">
        <v>46314</v>
      </c>
      <c r="C22" s="14"/>
      <c r="D22" s="14"/>
      <c r="E22" s="80"/>
      <c r="F22" s="80"/>
      <c r="G22" s="14">
        <f t="shared" si="3"/>
        <v>0</v>
      </c>
      <c r="H22" s="80"/>
      <c r="I22" s="80"/>
      <c r="J22" s="14">
        <f t="shared" si="4"/>
        <v>0</v>
      </c>
      <c r="K22" s="314">
        <f t="shared" si="5"/>
        <v>0</v>
      </c>
      <c r="L22" s="314"/>
      <c r="M22" s="14">
        <f t="shared" si="2"/>
        <v>0</v>
      </c>
      <c r="N22" s="38"/>
    </row>
    <row r="23" spans="1:14">
      <c r="A23" s="23">
        <v>20</v>
      </c>
      <c r="B23" s="24">
        <v>46315</v>
      </c>
      <c r="C23" s="14"/>
      <c r="D23" s="14"/>
      <c r="E23" s="80"/>
      <c r="F23" s="80"/>
      <c r="G23" s="14">
        <f t="shared" si="3"/>
        <v>0</v>
      </c>
      <c r="H23" s="80"/>
      <c r="I23" s="80"/>
      <c r="J23" s="14">
        <f t="shared" si="4"/>
        <v>0</v>
      </c>
      <c r="K23" s="314">
        <f t="shared" si="5"/>
        <v>0</v>
      </c>
      <c r="L23" s="314"/>
      <c r="M23" s="14">
        <f t="shared" si="2"/>
        <v>0</v>
      </c>
      <c r="N23" s="38"/>
    </row>
    <row r="24" spans="1:14">
      <c r="A24" s="23">
        <v>21</v>
      </c>
      <c r="B24" s="24">
        <v>46316</v>
      </c>
      <c r="C24" s="14"/>
      <c r="D24" s="14"/>
      <c r="E24" s="80"/>
      <c r="F24" s="80"/>
      <c r="G24" s="14">
        <f t="shared" si="3"/>
        <v>0</v>
      </c>
      <c r="H24" s="80"/>
      <c r="I24" s="80"/>
      <c r="J24" s="14">
        <f t="shared" si="4"/>
        <v>0</v>
      </c>
      <c r="K24" s="314">
        <f t="shared" si="5"/>
        <v>0</v>
      </c>
      <c r="L24" s="314"/>
      <c r="M24" s="14">
        <f t="shared" si="2"/>
        <v>0</v>
      </c>
      <c r="N24" s="38"/>
    </row>
    <row r="25" spans="1:14">
      <c r="A25" s="23">
        <v>22</v>
      </c>
      <c r="B25" s="24">
        <v>46317</v>
      </c>
      <c r="C25" s="14"/>
      <c r="D25" s="14"/>
      <c r="E25" s="80"/>
      <c r="F25" s="80"/>
      <c r="G25" s="14">
        <f t="shared" si="3"/>
        <v>0</v>
      </c>
      <c r="H25" s="80"/>
      <c r="I25" s="80"/>
      <c r="J25" s="14">
        <f t="shared" si="4"/>
        <v>0</v>
      </c>
      <c r="K25" s="314">
        <f t="shared" si="5"/>
        <v>0</v>
      </c>
      <c r="L25" s="314"/>
      <c r="M25" s="14">
        <f t="shared" si="2"/>
        <v>0</v>
      </c>
      <c r="N25" s="38"/>
    </row>
    <row r="26" spans="1:14">
      <c r="A26" s="23">
        <v>23</v>
      </c>
      <c r="B26" s="24">
        <v>46318</v>
      </c>
      <c r="C26" s="14"/>
      <c r="D26" s="14"/>
      <c r="E26" s="80"/>
      <c r="F26" s="80"/>
      <c r="G26" s="14">
        <f t="shared" si="3"/>
        <v>0</v>
      </c>
      <c r="H26" s="80"/>
      <c r="I26" s="80"/>
      <c r="J26" s="14">
        <f t="shared" si="4"/>
        <v>0</v>
      </c>
      <c r="K26" s="314">
        <f t="shared" si="5"/>
        <v>0</v>
      </c>
      <c r="L26" s="314"/>
      <c r="M26" s="14">
        <f t="shared" si="2"/>
        <v>0</v>
      </c>
      <c r="N26" s="38"/>
    </row>
    <row r="27" spans="1:14">
      <c r="A27" s="23">
        <v>24</v>
      </c>
      <c r="B27" s="24">
        <v>46319</v>
      </c>
      <c r="C27" s="14"/>
      <c r="D27" s="14"/>
      <c r="E27" s="80"/>
      <c r="F27" s="80"/>
      <c r="G27" s="14">
        <f t="shared" si="3"/>
        <v>0</v>
      </c>
      <c r="H27" s="80"/>
      <c r="I27" s="80"/>
      <c r="J27" s="14">
        <f t="shared" si="4"/>
        <v>0</v>
      </c>
      <c r="K27" s="314">
        <f t="shared" si="5"/>
        <v>0</v>
      </c>
      <c r="L27" s="314"/>
      <c r="M27" s="14">
        <f t="shared" si="2"/>
        <v>0</v>
      </c>
      <c r="N27" s="38"/>
    </row>
    <row r="28" spans="1:14">
      <c r="A28" s="23">
        <v>25</v>
      </c>
      <c r="B28" s="24">
        <v>46320</v>
      </c>
      <c r="C28" s="14"/>
      <c r="D28" s="14"/>
      <c r="E28" s="80"/>
      <c r="F28" s="80"/>
      <c r="G28" s="14">
        <f t="shared" si="3"/>
        <v>0</v>
      </c>
      <c r="H28" s="80"/>
      <c r="I28" s="80"/>
      <c r="J28" s="14">
        <f t="shared" si="4"/>
        <v>0</v>
      </c>
      <c r="K28" s="314">
        <f>G28+J28</f>
        <v>0</v>
      </c>
      <c r="L28" s="314"/>
      <c r="M28" s="14">
        <v>0</v>
      </c>
      <c r="N28" s="38"/>
    </row>
    <row r="29" spans="1:14">
      <c r="A29" s="23">
        <v>26</v>
      </c>
      <c r="B29" s="24">
        <v>46321</v>
      </c>
      <c r="C29" s="14"/>
      <c r="D29" s="14"/>
      <c r="E29" s="80"/>
      <c r="F29" s="80"/>
      <c r="G29" s="14">
        <f t="shared" si="3"/>
        <v>0</v>
      </c>
      <c r="H29" s="80"/>
      <c r="I29" s="80"/>
      <c r="J29" s="14">
        <f t="shared" si="4"/>
        <v>0</v>
      </c>
      <c r="K29" s="314">
        <f t="shared" si="5"/>
        <v>0</v>
      </c>
      <c r="L29" s="314"/>
      <c r="M29" s="14">
        <v>0</v>
      </c>
      <c r="N29" s="38"/>
    </row>
    <row r="30" spans="1:14">
      <c r="A30" s="23">
        <v>27</v>
      </c>
      <c r="B30" s="24">
        <v>46322</v>
      </c>
      <c r="C30" s="14"/>
      <c r="D30" s="14"/>
      <c r="E30" s="80"/>
      <c r="F30" s="80"/>
      <c r="G30" s="14">
        <f t="shared" si="3"/>
        <v>0</v>
      </c>
      <c r="H30" s="80"/>
      <c r="I30" s="80"/>
      <c r="J30" s="14">
        <f t="shared" si="4"/>
        <v>0</v>
      </c>
      <c r="K30" s="314">
        <f t="shared" si="5"/>
        <v>0</v>
      </c>
      <c r="L30" s="314"/>
      <c r="M30" s="14">
        <v>0</v>
      </c>
      <c r="N30" s="38"/>
    </row>
    <row r="31" spans="1:14">
      <c r="A31" s="23">
        <v>28</v>
      </c>
      <c r="B31" s="24">
        <v>46323</v>
      </c>
      <c r="C31" s="14"/>
      <c r="D31" s="14"/>
      <c r="E31" s="80"/>
      <c r="F31" s="80"/>
      <c r="G31" s="14">
        <f t="shared" si="3"/>
        <v>0</v>
      </c>
      <c r="H31" s="80"/>
      <c r="I31" s="80"/>
      <c r="J31" s="14">
        <f t="shared" si="4"/>
        <v>0</v>
      </c>
      <c r="K31" s="314">
        <f t="shared" si="5"/>
        <v>0</v>
      </c>
      <c r="L31" s="314"/>
      <c r="M31" s="14">
        <v>0</v>
      </c>
      <c r="N31" s="38"/>
    </row>
    <row r="32" spans="1:14">
      <c r="A32" s="23">
        <v>29</v>
      </c>
      <c r="B32" s="24">
        <v>46324</v>
      </c>
      <c r="C32" s="14"/>
      <c r="D32" s="14"/>
      <c r="E32" s="80"/>
      <c r="F32" s="80"/>
      <c r="G32" s="14">
        <f t="shared" si="3"/>
        <v>0</v>
      </c>
      <c r="H32" s="80"/>
      <c r="I32" s="80"/>
      <c r="J32" s="14">
        <f t="shared" si="4"/>
        <v>0</v>
      </c>
      <c r="K32" s="314">
        <f t="shared" si="5"/>
        <v>0</v>
      </c>
      <c r="L32" s="314"/>
      <c r="M32" s="14"/>
      <c r="N32" s="38"/>
    </row>
    <row r="33" spans="1:14">
      <c r="A33" s="23">
        <v>30</v>
      </c>
      <c r="B33" s="24">
        <v>46325</v>
      </c>
      <c r="C33" s="14"/>
      <c r="D33" s="14"/>
      <c r="E33" s="80"/>
      <c r="F33" s="80"/>
      <c r="G33" s="14">
        <f t="shared" si="3"/>
        <v>0</v>
      </c>
      <c r="H33" s="80"/>
      <c r="I33" s="80"/>
      <c r="J33" s="14">
        <f t="shared" si="4"/>
        <v>0</v>
      </c>
      <c r="K33" s="314">
        <f t="shared" si="5"/>
        <v>0</v>
      </c>
      <c r="L33" s="314"/>
      <c r="M33" s="14"/>
      <c r="N33" s="38"/>
    </row>
    <row r="34" spans="1:14">
      <c r="A34" s="23">
        <v>31</v>
      </c>
      <c r="B34" s="24">
        <v>46326</v>
      </c>
      <c r="C34" s="14"/>
      <c r="D34" s="14"/>
      <c r="E34" s="80"/>
      <c r="F34" s="80"/>
      <c r="G34" s="14">
        <f t="shared" si="3"/>
        <v>0</v>
      </c>
      <c r="H34" s="80"/>
      <c r="I34" s="80"/>
      <c r="J34" s="14">
        <f t="shared" si="4"/>
        <v>0</v>
      </c>
      <c r="K34" s="314">
        <f t="shared" si="5"/>
        <v>0</v>
      </c>
      <c r="L34" s="314"/>
      <c r="M34" s="14"/>
      <c r="N34" s="38"/>
    </row>
    <row r="35" spans="1:14">
      <c r="A35" s="36"/>
      <c r="B35" s="36"/>
      <c r="C35" s="36"/>
      <c r="D35" s="36"/>
      <c r="E35" s="36">
        <f>SUM(E4:E34)</f>
        <v>615</v>
      </c>
      <c r="F35" s="36"/>
      <c r="G35" s="36">
        <f>SUM(G4:G34)</f>
        <v>61411.7</v>
      </c>
      <c r="H35" s="36">
        <f>SUM(H4:H34)</f>
        <v>35</v>
      </c>
      <c r="I35" s="36"/>
      <c r="J35" s="36">
        <f>SUM(J4:J34)</f>
        <v>3921.05</v>
      </c>
      <c r="K35" s="36">
        <f>SUM(K4:K34)</f>
        <v>65332.75</v>
      </c>
      <c r="L35" s="36">
        <f>SUM(L4:L34)</f>
        <v>65332.75</v>
      </c>
      <c r="M35" s="36"/>
      <c r="N35" s="36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N37"/>
  <sheetViews>
    <sheetView workbookViewId="0">
      <pane ySplit="3" topLeftCell="A4" activePane="bottomLeft" state="frozen"/>
      <selection pane="bottomLeft" activeCell="M18" sqref="M18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1.28515625" customWidth="1"/>
    <col min="9" max="9" width="8.140625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4" ht="15.75" customHeight="1">
      <c r="A1" s="634" t="s">
        <v>117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</row>
    <row r="2" spans="1:14">
      <c r="A2" s="117" t="s">
        <v>0</v>
      </c>
      <c r="B2" s="117" t="s">
        <v>167</v>
      </c>
      <c r="C2" s="117" t="s">
        <v>168</v>
      </c>
      <c r="D2" s="117" t="s">
        <v>169</v>
      </c>
      <c r="E2" s="164" t="s">
        <v>170</v>
      </c>
      <c r="F2" s="164" t="s">
        <v>171</v>
      </c>
      <c r="G2" s="164" t="s">
        <v>172</v>
      </c>
      <c r="H2" s="164" t="s">
        <v>173</v>
      </c>
      <c r="I2" s="164" t="s">
        <v>171</v>
      </c>
      <c r="J2" s="164" t="s">
        <v>172</v>
      </c>
      <c r="K2" s="164" t="s">
        <v>174</v>
      </c>
      <c r="L2" s="117" t="s">
        <v>204</v>
      </c>
      <c r="M2" s="120" t="s">
        <v>175</v>
      </c>
      <c r="N2" s="117" t="s">
        <v>177</v>
      </c>
    </row>
    <row r="3" spans="1:14">
      <c r="A3" s="14"/>
      <c r="B3" s="14"/>
      <c r="C3" s="620" t="s">
        <v>178</v>
      </c>
      <c r="D3" s="622"/>
      <c r="E3" s="14"/>
      <c r="F3" s="14"/>
      <c r="G3" s="14"/>
      <c r="H3" s="14"/>
      <c r="I3" s="14"/>
      <c r="J3" s="14"/>
      <c r="K3" s="168"/>
      <c r="L3" s="14"/>
      <c r="M3" s="168">
        <v>120785.12899999997</v>
      </c>
      <c r="N3" s="14"/>
    </row>
    <row r="4" spans="1:14">
      <c r="A4" s="23">
        <v>1</v>
      </c>
      <c r="B4" s="24">
        <v>46296</v>
      </c>
      <c r="C4" s="129"/>
      <c r="D4" s="129"/>
      <c r="E4" s="87">
        <v>71.08</v>
      </c>
      <c r="F4" s="87">
        <v>98.96</v>
      </c>
      <c r="G4" s="168">
        <f>E4*F4</f>
        <v>7034.0767999999998</v>
      </c>
      <c r="H4" s="87">
        <v>30</v>
      </c>
      <c r="I4" s="87">
        <v>110.74</v>
      </c>
      <c r="J4" s="168">
        <f>H4*I4</f>
        <v>3322.2</v>
      </c>
      <c r="K4" s="168">
        <f>G4+J4</f>
        <v>10356.2768</v>
      </c>
      <c r="L4" s="168"/>
      <c r="M4" s="168">
        <f>M3+K4-L4</f>
        <v>131141.40579999998</v>
      </c>
      <c r="N4" s="129"/>
    </row>
    <row r="5" spans="1:14">
      <c r="A5" s="23">
        <v>2</v>
      </c>
      <c r="B5" s="24">
        <v>46297</v>
      </c>
      <c r="C5" s="14"/>
      <c r="D5" s="129"/>
      <c r="E5" s="87"/>
      <c r="F5" s="87"/>
      <c r="G5" s="168">
        <f t="shared" ref="G5:G28" si="0">E5*F5</f>
        <v>0</v>
      </c>
      <c r="H5" s="87">
        <v>5</v>
      </c>
      <c r="I5" s="87">
        <v>110.74</v>
      </c>
      <c r="J5" s="168">
        <f>H5*I5</f>
        <v>553.69999999999993</v>
      </c>
      <c r="K5" s="168">
        <f t="shared" ref="K5:K13" si="1">G5+J5</f>
        <v>553.69999999999993</v>
      </c>
      <c r="L5" s="168"/>
      <c r="M5" s="168">
        <f t="shared" ref="M5:M34" si="2">M4+K5-L5</f>
        <v>131695.10579999999</v>
      </c>
      <c r="N5" s="14"/>
    </row>
    <row r="6" spans="1:14">
      <c r="A6" s="23">
        <v>3</v>
      </c>
      <c r="B6" s="24">
        <v>46298</v>
      </c>
      <c r="C6" s="14"/>
      <c r="D6" s="129"/>
      <c r="E6" s="87"/>
      <c r="F6" s="87"/>
      <c r="G6" s="168">
        <f t="shared" si="0"/>
        <v>0</v>
      </c>
      <c r="H6" s="87"/>
      <c r="I6" s="87"/>
      <c r="J6" s="168">
        <f t="shared" ref="J6:J8" si="3">H6*I6</f>
        <v>0</v>
      </c>
      <c r="K6" s="168">
        <f t="shared" si="1"/>
        <v>0</v>
      </c>
      <c r="L6" s="168"/>
      <c r="M6" s="168">
        <f t="shared" si="2"/>
        <v>131695.10579999999</v>
      </c>
      <c r="N6" s="14"/>
    </row>
    <row r="7" spans="1:14">
      <c r="A7" s="23">
        <v>4</v>
      </c>
      <c r="B7" s="24">
        <v>46299</v>
      </c>
      <c r="C7" s="14"/>
      <c r="D7" s="129"/>
      <c r="E7" s="87"/>
      <c r="F7" s="87"/>
      <c r="G7" s="168">
        <f t="shared" si="0"/>
        <v>0</v>
      </c>
      <c r="H7" s="87">
        <v>5</v>
      </c>
      <c r="I7" s="87">
        <v>110.74</v>
      </c>
      <c r="J7" s="168">
        <f t="shared" si="3"/>
        <v>553.69999999999993</v>
      </c>
      <c r="K7" s="168">
        <f t="shared" si="1"/>
        <v>553.69999999999993</v>
      </c>
      <c r="L7" s="168"/>
      <c r="M7" s="168">
        <f t="shared" si="2"/>
        <v>132248.8058</v>
      </c>
      <c r="N7" s="14"/>
    </row>
    <row r="8" spans="1:14">
      <c r="A8" s="23">
        <v>5</v>
      </c>
      <c r="B8" s="24">
        <v>46300</v>
      </c>
      <c r="C8" s="14"/>
      <c r="D8" s="129"/>
      <c r="E8" s="87">
        <v>35</v>
      </c>
      <c r="F8" s="87">
        <v>98.96</v>
      </c>
      <c r="G8" s="168">
        <f t="shared" si="0"/>
        <v>3463.6</v>
      </c>
      <c r="H8" s="87"/>
      <c r="I8" s="87"/>
      <c r="J8" s="168">
        <f t="shared" si="3"/>
        <v>0</v>
      </c>
      <c r="K8" s="168">
        <f t="shared" si="1"/>
        <v>3463.6</v>
      </c>
      <c r="L8" s="168"/>
      <c r="M8" s="168">
        <f t="shared" si="2"/>
        <v>135712.40580000001</v>
      </c>
      <c r="N8" s="14"/>
    </row>
    <row r="9" spans="1:14">
      <c r="A9" s="23">
        <v>6</v>
      </c>
      <c r="B9" s="24">
        <v>46301</v>
      </c>
      <c r="C9" s="14"/>
      <c r="D9" s="129"/>
      <c r="E9" s="87">
        <v>19.77</v>
      </c>
      <c r="F9" s="87">
        <v>98.69</v>
      </c>
      <c r="G9" s="168">
        <f t="shared" si="0"/>
        <v>1951.1012999999998</v>
      </c>
      <c r="H9" s="87"/>
      <c r="I9" s="87"/>
      <c r="J9" s="168">
        <f>H9*I9</f>
        <v>0</v>
      </c>
      <c r="K9" s="168">
        <f t="shared" si="1"/>
        <v>1951.1012999999998</v>
      </c>
      <c r="L9" s="168"/>
      <c r="M9" s="168">
        <f t="shared" si="2"/>
        <v>137663.50710000002</v>
      </c>
      <c r="N9" s="14"/>
    </row>
    <row r="10" spans="1:14">
      <c r="A10" s="23">
        <v>7</v>
      </c>
      <c r="B10" s="24">
        <v>46302</v>
      </c>
      <c r="C10" s="14"/>
      <c r="D10" s="129"/>
      <c r="E10" s="87"/>
      <c r="F10" s="87"/>
      <c r="G10" s="168">
        <f t="shared" si="0"/>
        <v>0</v>
      </c>
      <c r="H10" s="87"/>
      <c r="I10" s="87"/>
      <c r="J10" s="168">
        <f t="shared" ref="J10:J16" si="4">H10*I10</f>
        <v>0</v>
      </c>
      <c r="K10" s="168">
        <f t="shared" si="1"/>
        <v>0</v>
      </c>
      <c r="L10" s="168"/>
      <c r="M10" s="168">
        <f t="shared" si="2"/>
        <v>137663.50710000002</v>
      </c>
      <c r="N10" s="14"/>
    </row>
    <row r="11" spans="1:14">
      <c r="A11" s="23">
        <v>8</v>
      </c>
      <c r="B11" s="24">
        <v>46303</v>
      </c>
      <c r="C11" s="14"/>
      <c r="D11" s="129"/>
      <c r="E11" s="87">
        <v>30</v>
      </c>
      <c r="F11" s="87">
        <v>98.69</v>
      </c>
      <c r="G11" s="168">
        <f t="shared" si="0"/>
        <v>2960.7</v>
      </c>
      <c r="H11" s="87">
        <v>15</v>
      </c>
      <c r="I11" s="87">
        <v>110.74</v>
      </c>
      <c r="J11" s="168">
        <f t="shared" si="4"/>
        <v>1661.1</v>
      </c>
      <c r="K11" s="168">
        <f t="shared" si="1"/>
        <v>4621.7999999999993</v>
      </c>
      <c r="L11" s="168"/>
      <c r="M11" s="168">
        <f t="shared" si="2"/>
        <v>142285.30710000001</v>
      </c>
      <c r="N11" s="14"/>
    </row>
    <row r="12" spans="1:14">
      <c r="A12" s="23">
        <v>9</v>
      </c>
      <c r="B12" s="24">
        <v>46304</v>
      </c>
      <c r="C12" s="14"/>
      <c r="D12" s="129"/>
      <c r="E12" s="87"/>
      <c r="F12" s="87"/>
      <c r="G12" s="168">
        <f t="shared" si="0"/>
        <v>0</v>
      </c>
      <c r="H12" s="87"/>
      <c r="I12" s="87"/>
      <c r="J12" s="168">
        <f t="shared" si="4"/>
        <v>0</v>
      </c>
      <c r="K12" s="168">
        <f t="shared" si="1"/>
        <v>0</v>
      </c>
      <c r="L12" s="168"/>
      <c r="M12" s="168">
        <f t="shared" si="2"/>
        <v>142285.30710000001</v>
      </c>
      <c r="N12" s="14"/>
    </row>
    <row r="13" spans="1:14">
      <c r="A13" s="23">
        <v>10</v>
      </c>
      <c r="B13" s="24">
        <v>46305</v>
      </c>
      <c r="C13" s="14"/>
      <c r="D13" s="129"/>
      <c r="E13" s="87"/>
      <c r="F13" s="87"/>
      <c r="G13" s="168">
        <f t="shared" si="0"/>
        <v>0</v>
      </c>
      <c r="H13" s="87"/>
      <c r="I13" s="87"/>
      <c r="J13" s="168">
        <f t="shared" si="4"/>
        <v>0</v>
      </c>
      <c r="K13" s="168">
        <f t="shared" si="1"/>
        <v>0</v>
      </c>
      <c r="L13" s="168">
        <v>100000</v>
      </c>
      <c r="M13" s="168">
        <f t="shared" si="2"/>
        <v>42285.307100000005</v>
      </c>
      <c r="N13" s="14"/>
    </row>
    <row r="14" spans="1:14">
      <c r="A14" s="23">
        <v>11</v>
      </c>
      <c r="B14" s="24">
        <v>46306</v>
      </c>
      <c r="C14" s="14"/>
      <c r="D14" s="129"/>
      <c r="E14" s="87"/>
      <c r="F14" s="87"/>
      <c r="G14" s="168">
        <f t="shared" ref="G14:G20" si="5">E14*F14</f>
        <v>0</v>
      </c>
      <c r="H14" s="87"/>
      <c r="I14" s="87"/>
      <c r="J14" s="168">
        <f t="shared" ref="J14:J20" si="6">H14*I14</f>
        <v>0</v>
      </c>
      <c r="K14" s="168">
        <f t="shared" ref="K14:K20" si="7">G14+J14</f>
        <v>0</v>
      </c>
      <c r="L14" s="168"/>
      <c r="M14" s="168">
        <f t="shared" si="2"/>
        <v>42285.307100000005</v>
      </c>
      <c r="N14" s="14"/>
    </row>
    <row r="15" spans="1:14">
      <c r="A15" s="23">
        <v>12</v>
      </c>
      <c r="B15" s="24">
        <v>46307</v>
      </c>
      <c r="C15" s="14"/>
      <c r="D15" s="129"/>
      <c r="E15" s="87">
        <v>69.75</v>
      </c>
      <c r="F15" s="87">
        <v>98.69</v>
      </c>
      <c r="G15" s="168">
        <f t="shared" si="5"/>
        <v>6883.6274999999996</v>
      </c>
      <c r="H15" s="87"/>
      <c r="I15" s="87"/>
      <c r="J15" s="168">
        <f t="shared" si="6"/>
        <v>0</v>
      </c>
      <c r="K15" s="168">
        <f t="shared" si="7"/>
        <v>6883.6274999999996</v>
      </c>
      <c r="L15" s="168"/>
      <c r="M15" s="168">
        <f t="shared" si="2"/>
        <v>49168.934600000008</v>
      </c>
      <c r="N15" s="14"/>
    </row>
    <row r="16" spans="1:14">
      <c r="A16" s="23">
        <v>13</v>
      </c>
      <c r="B16" s="24">
        <v>46308</v>
      </c>
      <c r="C16" s="14"/>
      <c r="D16" s="129"/>
      <c r="E16" s="87"/>
      <c r="F16" s="87"/>
      <c r="G16" s="168">
        <f t="shared" si="5"/>
        <v>0</v>
      </c>
      <c r="H16" s="38"/>
      <c r="I16" s="87"/>
      <c r="J16" s="168">
        <f t="shared" si="6"/>
        <v>0</v>
      </c>
      <c r="K16" s="168">
        <f t="shared" si="7"/>
        <v>0</v>
      </c>
      <c r="L16" s="168"/>
      <c r="M16" s="168">
        <f t="shared" si="2"/>
        <v>49168.934600000008</v>
      </c>
      <c r="N16" s="14"/>
    </row>
    <row r="17" spans="1:14">
      <c r="A17" s="23">
        <v>14</v>
      </c>
      <c r="B17" s="24">
        <v>46309</v>
      </c>
      <c r="C17" s="14"/>
      <c r="D17" s="129"/>
      <c r="E17" s="87"/>
      <c r="F17" s="87"/>
      <c r="G17" s="168">
        <f t="shared" si="5"/>
        <v>0</v>
      </c>
      <c r="H17" s="87"/>
      <c r="I17" s="87"/>
      <c r="J17" s="168">
        <f t="shared" si="6"/>
        <v>0</v>
      </c>
      <c r="K17" s="168">
        <f t="shared" si="7"/>
        <v>0</v>
      </c>
      <c r="L17" s="168"/>
      <c r="M17" s="168">
        <f t="shared" si="2"/>
        <v>49168.934600000008</v>
      </c>
      <c r="N17" s="14"/>
    </row>
    <row r="18" spans="1:14">
      <c r="A18" s="23">
        <v>15</v>
      </c>
      <c r="B18" s="24">
        <v>46310</v>
      </c>
      <c r="C18" s="14"/>
      <c r="D18" s="129"/>
      <c r="E18" s="87">
        <v>20</v>
      </c>
      <c r="F18" s="87">
        <v>98.69</v>
      </c>
      <c r="G18" s="168">
        <f t="shared" si="5"/>
        <v>1973.8</v>
      </c>
      <c r="H18" s="87">
        <v>5</v>
      </c>
      <c r="I18" s="87">
        <v>110.74</v>
      </c>
      <c r="J18" s="168">
        <f t="shared" si="6"/>
        <v>553.69999999999993</v>
      </c>
      <c r="K18" s="168">
        <f t="shared" si="7"/>
        <v>2527.5</v>
      </c>
      <c r="L18" s="168"/>
      <c r="M18" s="168">
        <f t="shared" si="2"/>
        <v>51696.434600000008</v>
      </c>
      <c r="N18" s="14"/>
    </row>
    <row r="19" spans="1:14">
      <c r="A19" s="23">
        <v>16</v>
      </c>
      <c r="B19" s="24">
        <v>46311</v>
      </c>
      <c r="C19" s="14"/>
      <c r="D19" s="129"/>
      <c r="E19" s="87"/>
      <c r="F19" s="87"/>
      <c r="G19" s="168">
        <f t="shared" si="5"/>
        <v>0</v>
      </c>
      <c r="H19" s="87"/>
      <c r="I19" s="87"/>
      <c r="J19" s="168">
        <f t="shared" si="6"/>
        <v>0</v>
      </c>
      <c r="K19" s="168">
        <f t="shared" si="7"/>
        <v>0</v>
      </c>
      <c r="L19" s="168"/>
      <c r="M19" s="168">
        <f t="shared" si="2"/>
        <v>51696.434600000008</v>
      </c>
      <c r="N19" s="14"/>
    </row>
    <row r="20" spans="1:14">
      <c r="A20" s="23">
        <v>17</v>
      </c>
      <c r="B20" s="24">
        <v>46312</v>
      </c>
      <c r="C20" s="14"/>
      <c r="D20" s="129"/>
      <c r="E20" s="87"/>
      <c r="F20" s="87"/>
      <c r="G20" s="168">
        <f t="shared" si="5"/>
        <v>0</v>
      </c>
      <c r="H20" s="87"/>
      <c r="I20" s="87"/>
      <c r="J20" s="168">
        <f t="shared" si="6"/>
        <v>0</v>
      </c>
      <c r="K20" s="168">
        <f t="shared" si="7"/>
        <v>0</v>
      </c>
      <c r="L20" s="168"/>
      <c r="M20" s="168">
        <f t="shared" si="2"/>
        <v>51696.434600000008</v>
      </c>
      <c r="N20" s="14"/>
    </row>
    <row r="21" spans="1:14">
      <c r="A21" s="23">
        <v>18</v>
      </c>
      <c r="B21" s="24">
        <v>46313</v>
      </c>
      <c r="C21" s="14"/>
      <c r="D21" s="129"/>
      <c r="E21" s="87"/>
      <c r="F21" s="87"/>
      <c r="G21" s="168">
        <f t="shared" si="0"/>
        <v>0</v>
      </c>
      <c r="H21" s="87"/>
      <c r="I21" s="87"/>
      <c r="J21" s="168">
        <f>H21*I21</f>
        <v>0</v>
      </c>
      <c r="K21" s="168">
        <f t="shared" ref="K21:K34" si="8">G21+J21</f>
        <v>0</v>
      </c>
      <c r="L21" s="168"/>
      <c r="M21" s="168">
        <f t="shared" si="2"/>
        <v>51696.434600000008</v>
      </c>
      <c r="N21" s="14"/>
    </row>
    <row r="22" spans="1:14">
      <c r="A22" s="23">
        <v>19</v>
      </c>
      <c r="B22" s="24">
        <v>46314</v>
      </c>
      <c r="C22" s="14"/>
      <c r="D22" s="129"/>
      <c r="E22" s="87"/>
      <c r="F22" s="87"/>
      <c r="G22" s="168">
        <f t="shared" si="0"/>
        <v>0</v>
      </c>
      <c r="H22" s="87"/>
      <c r="I22" s="87"/>
      <c r="J22" s="168">
        <f>H22*I22</f>
        <v>0</v>
      </c>
      <c r="K22" s="168">
        <f t="shared" si="8"/>
        <v>0</v>
      </c>
      <c r="L22" s="168"/>
      <c r="M22" s="168">
        <f t="shared" si="2"/>
        <v>51696.434600000008</v>
      </c>
      <c r="N22" s="14"/>
    </row>
    <row r="23" spans="1:14">
      <c r="A23" s="23">
        <v>20</v>
      </c>
      <c r="B23" s="24">
        <v>46315</v>
      </c>
      <c r="C23" s="14"/>
      <c r="D23" s="129"/>
      <c r="E23" s="87"/>
      <c r="F23" s="87"/>
      <c r="G23" s="168">
        <f t="shared" si="0"/>
        <v>0</v>
      </c>
      <c r="H23" s="87"/>
      <c r="I23" s="87"/>
      <c r="J23" s="168">
        <f t="shared" ref="J23:J34" si="9">H23*I23</f>
        <v>0</v>
      </c>
      <c r="K23" s="168">
        <f t="shared" si="8"/>
        <v>0</v>
      </c>
      <c r="L23" s="168"/>
      <c r="M23" s="168">
        <f>M22+K23-L23</f>
        <v>51696.434600000008</v>
      </c>
      <c r="N23" s="14"/>
    </row>
    <row r="24" spans="1:14">
      <c r="A24" s="23">
        <v>21</v>
      </c>
      <c r="B24" s="24">
        <v>46316</v>
      </c>
      <c r="C24" s="14"/>
      <c r="D24" s="129"/>
      <c r="E24" s="87"/>
      <c r="F24" s="87"/>
      <c r="G24" s="168">
        <f t="shared" si="0"/>
        <v>0</v>
      </c>
      <c r="H24" s="87"/>
      <c r="I24" s="87"/>
      <c r="J24" s="168">
        <f t="shared" si="9"/>
        <v>0</v>
      </c>
      <c r="K24" s="168">
        <f t="shared" si="8"/>
        <v>0</v>
      </c>
      <c r="L24" s="168"/>
      <c r="M24" s="168">
        <f t="shared" si="2"/>
        <v>51696.434600000008</v>
      </c>
      <c r="N24" s="14"/>
    </row>
    <row r="25" spans="1:14">
      <c r="A25" s="23">
        <v>22</v>
      </c>
      <c r="B25" s="24">
        <v>46317</v>
      </c>
      <c r="C25" s="14"/>
      <c r="D25" s="129"/>
      <c r="E25" s="87"/>
      <c r="F25" s="87"/>
      <c r="G25" s="168">
        <f t="shared" si="0"/>
        <v>0</v>
      </c>
      <c r="H25" s="87"/>
      <c r="I25" s="87"/>
      <c r="J25" s="168">
        <f t="shared" si="9"/>
        <v>0</v>
      </c>
      <c r="K25" s="168">
        <f t="shared" si="8"/>
        <v>0</v>
      </c>
      <c r="L25" s="168"/>
      <c r="M25" s="168">
        <f t="shared" si="2"/>
        <v>51696.434600000008</v>
      </c>
      <c r="N25" s="14"/>
    </row>
    <row r="26" spans="1:14">
      <c r="A26" s="23">
        <v>23</v>
      </c>
      <c r="B26" s="24">
        <v>46318</v>
      </c>
      <c r="C26" s="14"/>
      <c r="D26" s="129"/>
      <c r="E26" s="87"/>
      <c r="F26" s="87"/>
      <c r="G26" s="168">
        <f t="shared" si="0"/>
        <v>0</v>
      </c>
      <c r="H26" s="87"/>
      <c r="I26" s="87"/>
      <c r="J26" s="168">
        <f t="shared" si="9"/>
        <v>0</v>
      </c>
      <c r="K26" s="168">
        <f t="shared" si="8"/>
        <v>0</v>
      </c>
      <c r="L26" s="168"/>
      <c r="M26" s="168">
        <f t="shared" si="2"/>
        <v>51696.434600000008</v>
      </c>
      <c r="N26" s="14"/>
    </row>
    <row r="27" spans="1:14">
      <c r="A27" s="23">
        <v>24</v>
      </c>
      <c r="B27" s="24">
        <v>46319</v>
      </c>
      <c r="C27" s="14"/>
      <c r="D27" s="129"/>
      <c r="E27" s="87"/>
      <c r="F27" s="87"/>
      <c r="G27" s="168">
        <f t="shared" si="0"/>
        <v>0</v>
      </c>
      <c r="H27" s="87"/>
      <c r="I27" s="87"/>
      <c r="J27" s="168">
        <f t="shared" si="9"/>
        <v>0</v>
      </c>
      <c r="K27" s="168">
        <f t="shared" si="8"/>
        <v>0</v>
      </c>
      <c r="L27" s="168"/>
      <c r="M27" s="168">
        <f t="shared" si="2"/>
        <v>51696.434600000008</v>
      </c>
      <c r="N27" s="14"/>
    </row>
    <row r="28" spans="1:14">
      <c r="A28" s="23">
        <v>25</v>
      </c>
      <c r="B28" s="24">
        <v>46320</v>
      </c>
      <c r="C28" s="14"/>
      <c r="D28" s="129"/>
      <c r="E28" s="87"/>
      <c r="F28" s="87"/>
      <c r="G28" s="168">
        <f t="shared" si="0"/>
        <v>0</v>
      </c>
      <c r="H28" s="87"/>
      <c r="I28" s="87"/>
      <c r="J28" s="168">
        <f t="shared" si="9"/>
        <v>0</v>
      </c>
      <c r="K28" s="168">
        <f t="shared" si="8"/>
        <v>0</v>
      </c>
      <c r="L28" s="168"/>
      <c r="M28" s="168">
        <f t="shared" si="2"/>
        <v>51696.434600000008</v>
      </c>
      <c r="N28" s="14"/>
    </row>
    <row r="29" spans="1:14">
      <c r="A29" s="23">
        <v>26</v>
      </c>
      <c r="B29" s="24">
        <v>46321</v>
      </c>
      <c r="C29" s="14"/>
      <c r="D29" s="129"/>
      <c r="E29" s="87"/>
      <c r="F29" s="87"/>
      <c r="G29" s="168">
        <f t="shared" ref="G5:G34" si="10">F29*E29</f>
        <v>0</v>
      </c>
      <c r="H29" s="87"/>
      <c r="I29" s="87"/>
      <c r="J29" s="168">
        <f t="shared" si="9"/>
        <v>0</v>
      </c>
      <c r="K29" s="168">
        <f t="shared" si="8"/>
        <v>0</v>
      </c>
      <c r="L29" s="168"/>
      <c r="M29" s="168">
        <f t="shared" si="2"/>
        <v>51696.434600000008</v>
      </c>
      <c r="N29" s="14"/>
    </row>
    <row r="30" spans="1:14">
      <c r="A30" s="23">
        <v>27</v>
      </c>
      <c r="B30" s="24">
        <v>46322</v>
      </c>
      <c r="C30" s="14"/>
      <c r="D30" s="129"/>
      <c r="E30" s="87"/>
      <c r="F30" s="87"/>
      <c r="G30" s="60">
        <f t="shared" ref="G30:G31" si="11">E30*F30</f>
        <v>0</v>
      </c>
      <c r="H30" s="87"/>
      <c r="I30" s="87"/>
      <c r="J30" s="168">
        <f t="shared" si="9"/>
        <v>0</v>
      </c>
      <c r="K30" s="168">
        <f t="shared" si="8"/>
        <v>0</v>
      </c>
      <c r="L30" s="168"/>
      <c r="M30" s="168">
        <f t="shared" si="2"/>
        <v>51696.434600000008</v>
      </c>
      <c r="N30" s="14"/>
    </row>
    <row r="31" spans="1:14">
      <c r="A31" s="23">
        <v>28</v>
      </c>
      <c r="B31" s="24">
        <v>46323</v>
      </c>
      <c r="C31" s="14"/>
      <c r="D31" s="129"/>
      <c r="E31" s="87"/>
      <c r="F31" s="87"/>
      <c r="G31" s="60">
        <f t="shared" si="11"/>
        <v>0</v>
      </c>
      <c r="H31" s="87"/>
      <c r="I31" s="87"/>
      <c r="J31" s="168">
        <f t="shared" si="9"/>
        <v>0</v>
      </c>
      <c r="K31" s="168">
        <f t="shared" si="8"/>
        <v>0</v>
      </c>
      <c r="L31" s="168"/>
      <c r="M31" s="168">
        <f>M30+K31-L31</f>
        <v>51696.434600000008</v>
      </c>
      <c r="N31" s="14"/>
    </row>
    <row r="32" spans="1:14">
      <c r="A32" s="23">
        <v>29</v>
      </c>
      <c r="B32" s="24">
        <v>46324</v>
      </c>
      <c r="C32" s="14"/>
      <c r="D32" s="129"/>
      <c r="E32" s="87"/>
      <c r="F32" s="87"/>
      <c r="G32" s="168">
        <f t="shared" si="10"/>
        <v>0</v>
      </c>
      <c r="H32" s="87"/>
      <c r="I32" s="87"/>
      <c r="J32" s="168">
        <f t="shared" si="9"/>
        <v>0</v>
      </c>
      <c r="K32" s="168">
        <f t="shared" si="8"/>
        <v>0</v>
      </c>
      <c r="L32" s="168"/>
      <c r="M32" s="168">
        <f t="shared" si="2"/>
        <v>51696.434600000008</v>
      </c>
      <c r="N32" s="14"/>
    </row>
    <row r="33" spans="1:14">
      <c r="A33" s="23">
        <v>30</v>
      </c>
      <c r="B33" s="24">
        <v>46325</v>
      </c>
      <c r="C33" s="14"/>
      <c r="D33" s="129"/>
      <c r="E33" s="87"/>
      <c r="F33" s="87"/>
      <c r="G33" s="168">
        <f t="shared" si="10"/>
        <v>0</v>
      </c>
      <c r="H33" s="87"/>
      <c r="I33" s="87"/>
      <c r="J33" s="168">
        <f t="shared" si="9"/>
        <v>0</v>
      </c>
      <c r="K33" s="168">
        <f t="shared" si="8"/>
        <v>0</v>
      </c>
      <c r="L33" s="168"/>
      <c r="M33" s="168">
        <f t="shared" si="2"/>
        <v>51696.434600000008</v>
      </c>
      <c r="N33" s="14"/>
    </row>
    <row r="34" spans="1:14">
      <c r="A34" s="23">
        <v>31</v>
      </c>
      <c r="B34" s="24">
        <v>46326</v>
      </c>
      <c r="C34" s="14"/>
      <c r="D34" s="14"/>
      <c r="E34" s="87"/>
      <c r="F34" s="87"/>
      <c r="G34" s="168">
        <f t="shared" si="10"/>
        <v>0</v>
      </c>
      <c r="H34" s="87"/>
      <c r="I34" s="87"/>
      <c r="J34" s="168">
        <f t="shared" si="9"/>
        <v>0</v>
      </c>
      <c r="K34" s="168">
        <f t="shared" si="8"/>
        <v>0</v>
      </c>
      <c r="L34" s="129"/>
      <c r="M34" s="168">
        <f t="shared" si="2"/>
        <v>51696.434600000008</v>
      </c>
      <c r="N34" s="14"/>
    </row>
    <row r="35" spans="1:14">
      <c r="A35" s="36"/>
      <c r="B35" s="36"/>
      <c r="C35" s="36"/>
      <c r="D35" s="36"/>
      <c r="E35" s="36">
        <f>SUM(E4:E34)</f>
        <v>245.6</v>
      </c>
      <c r="F35" s="36"/>
      <c r="G35" s="36">
        <f>SUM(G4:G34)</f>
        <v>24266.905599999998</v>
      </c>
      <c r="H35" s="36">
        <f>SUM(H4:H34)</f>
        <v>60</v>
      </c>
      <c r="I35" s="36"/>
      <c r="J35" s="36">
        <f>SUM(J4:J34)</f>
        <v>6644.3999999999987</v>
      </c>
      <c r="K35" s="36">
        <f>SUM(K4:K34)</f>
        <v>30911.3056</v>
      </c>
      <c r="L35" s="36">
        <f>SUM(L4:L34)</f>
        <v>100000</v>
      </c>
      <c r="M35" s="36">
        <f>SUM(M4:M34)</f>
        <v>2333307.2636000002</v>
      </c>
      <c r="N35" s="36"/>
    </row>
    <row r="37" spans="1:14">
      <c r="K37" s="19"/>
    </row>
  </sheetData>
  <mergeCells count="2">
    <mergeCell ref="A1:N1"/>
    <mergeCell ref="C3:D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P40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4.42578125" customWidth="1"/>
    <col min="4" max="4" width="13.28515625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6" ht="15.75">
      <c r="A1" s="634" t="s">
        <v>205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86"/>
      <c r="P1" s="86"/>
    </row>
    <row r="2" spans="1:16">
      <c r="A2" s="58" t="s">
        <v>0</v>
      </c>
      <c r="B2" s="58" t="s">
        <v>167</v>
      </c>
      <c r="C2" s="58" t="s">
        <v>168</v>
      </c>
      <c r="D2" s="58" t="s">
        <v>169</v>
      </c>
      <c r="E2" s="85" t="s">
        <v>170</v>
      </c>
      <c r="F2" s="85" t="s">
        <v>171</v>
      </c>
      <c r="G2" s="85" t="s">
        <v>172</v>
      </c>
      <c r="H2" s="85" t="s">
        <v>173</v>
      </c>
      <c r="I2" s="85" t="s">
        <v>171</v>
      </c>
      <c r="J2" s="85" t="s">
        <v>172</v>
      </c>
      <c r="K2" s="85" t="s">
        <v>174</v>
      </c>
      <c r="L2" s="79" t="s">
        <v>175</v>
      </c>
      <c r="M2" s="79" t="s">
        <v>176</v>
      </c>
      <c r="N2" s="58" t="s">
        <v>177</v>
      </c>
    </row>
    <row r="3" spans="1:16">
      <c r="A3" s="14"/>
      <c r="B3" s="14"/>
      <c r="C3" s="620" t="s">
        <v>178</v>
      </c>
      <c r="D3" s="622"/>
      <c r="E3" s="14"/>
      <c r="F3" s="14"/>
      <c r="G3" s="14"/>
      <c r="H3" s="14"/>
      <c r="I3" s="14"/>
      <c r="J3" s="14"/>
      <c r="K3" s="34"/>
      <c r="L3" s="14"/>
      <c r="M3" s="34">
        <v>263421.5</v>
      </c>
      <c r="N3" s="14"/>
    </row>
    <row r="4" spans="1:16">
      <c r="A4" s="23">
        <v>1</v>
      </c>
      <c r="B4" s="24">
        <v>46296</v>
      </c>
      <c r="C4" s="14"/>
      <c r="D4" s="14"/>
      <c r="E4" s="341"/>
      <c r="F4" s="87"/>
      <c r="G4" s="34">
        <f t="shared" ref="G4" si="0">E4*F4</f>
        <v>0</v>
      </c>
      <c r="H4" s="38"/>
      <c r="I4" s="38"/>
      <c r="J4" s="34">
        <f t="shared" ref="J4" si="1">H4*I4</f>
        <v>0</v>
      </c>
      <c r="K4" s="34">
        <f>G4+J4</f>
        <v>0</v>
      </c>
      <c r="L4" s="34"/>
      <c r="M4" s="34">
        <f>M3+K4-L4</f>
        <v>263421.5</v>
      </c>
      <c r="N4" s="14"/>
    </row>
    <row r="5" spans="1:16">
      <c r="A5" s="23">
        <v>2</v>
      </c>
      <c r="B5" s="24">
        <v>46297</v>
      </c>
      <c r="C5" s="14"/>
      <c r="D5" s="14"/>
      <c r="E5" s="341"/>
      <c r="F5" s="87"/>
      <c r="G5" s="34">
        <f t="shared" ref="G5:G38" si="2">E5*F5</f>
        <v>0</v>
      </c>
      <c r="H5" s="38"/>
      <c r="I5" s="38"/>
      <c r="J5" s="34">
        <f t="shared" ref="J5:J38" si="3">H5*I5</f>
        <v>0</v>
      </c>
      <c r="K5" s="34">
        <f t="shared" ref="K5:L39" si="4">G5+J5</f>
        <v>0</v>
      </c>
      <c r="L5" s="34"/>
      <c r="M5" s="34">
        <f t="shared" ref="M5:M10" si="5">M4+K5-L5</f>
        <v>263421.5</v>
      </c>
      <c r="N5" s="14"/>
    </row>
    <row r="6" spans="1:16">
      <c r="A6" s="23">
        <v>3</v>
      </c>
      <c r="B6" s="24">
        <v>46298</v>
      </c>
      <c r="C6" s="14"/>
      <c r="D6" s="14"/>
      <c r="E6" s="341"/>
      <c r="F6" s="87"/>
      <c r="G6" s="34">
        <f t="shared" si="2"/>
        <v>0</v>
      </c>
      <c r="H6" s="38"/>
      <c r="I6" s="38"/>
      <c r="J6" s="34">
        <f t="shared" si="3"/>
        <v>0</v>
      </c>
      <c r="K6" s="34">
        <f t="shared" si="4"/>
        <v>0</v>
      </c>
      <c r="L6" s="34"/>
      <c r="M6" s="34">
        <f t="shared" si="5"/>
        <v>263421.5</v>
      </c>
      <c r="N6" s="14"/>
    </row>
    <row r="7" spans="1:16">
      <c r="A7" s="23">
        <v>4</v>
      </c>
      <c r="B7" s="24">
        <v>46299</v>
      </c>
      <c r="C7" s="14"/>
      <c r="D7" s="14"/>
      <c r="E7" s="341"/>
      <c r="F7" s="87"/>
      <c r="G7" s="34">
        <f t="shared" si="2"/>
        <v>0</v>
      </c>
      <c r="H7" s="38"/>
      <c r="I7" s="38"/>
      <c r="J7" s="34">
        <f t="shared" si="3"/>
        <v>0</v>
      </c>
      <c r="K7" s="34">
        <f t="shared" si="4"/>
        <v>0</v>
      </c>
      <c r="L7" s="34"/>
      <c r="M7" s="34">
        <f t="shared" si="5"/>
        <v>263421.5</v>
      </c>
      <c r="N7" s="14"/>
    </row>
    <row r="8" spans="1:16">
      <c r="A8" s="23">
        <v>5</v>
      </c>
      <c r="B8" s="24">
        <v>46300</v>
      </c>
      <c r="C8" s="14"/>
      <c r="D8" s="14"/>
      <c r="E8" s="341"/>
      <c r="F8" s="87"/>
      <c r="G8" s="34">
        <f t="shared" si="2"/>
        <v>0</v>
      </c>
      <c r="H8" s="38"/>
      <c r="I8" s="38"/>
      <c r="J8" s="34">
        <f t="shared" si="3"/>
        <v>0</v>
      </c>
      <c r="K8" s="34">
        <f t="shared" si="4"/>
        <v>0</v>
      </c>
      <c r="L8" s="34"/>
      <c r="M8" s="34">
        <f t="shared" si="5"/>
        <v>263421.5</v>
      </c>
      <c r="N8" s="14"/>
    </row>
    <row r="9" spans="1:16">
      <c r="A9" s="23">
        <v>6</v>
      </c>
      <c r="B9" s="24">
        <v>46301</v>
      </c>
      <c r="C9" s="14"/>
      <c r="D9" s="14"/>
      <c r="E9" s="341">
        <v>1000</v>
      </c>
      <c r="F9" s="87">
        <v>99.35</v>
      </c>
      <c r="G9" s="34">
        <f t="shared" si="2"/>
        <v>99350</v>
      </c>
      <c r="H9" s="38"/>
      <c r="I9" s="38"/>
      <c r="J9" s="34">
        <f t="shared" si="3"/>
        <v>0</v>
      </c>
      <c r="K9" s="34">
        <f t="shared" si="4"/>
        <v>99350</v>
      </c>
      <c r="L9" s="34"/>
      <c r="M9" s="34">
        <f t="shared" si="5"/>
        <v>362771.5</v>
      </c>
      <c r="N9" s="14"/>
    </row>
    <row r="10" spans="1:16">
      <c r="A10" s="23">
        <v>7</v>
      </c>
      <c r="B10" s="24">
        <v>46302</v>
      </c>
      <c r="C10" s="14"/>
      <c r="D10" s="14"/>
      <c r="E10" s="341"/>
      <c r="F10" s="87"/>
      <c r="G10" s="34">
        <f t="shared" si="2"/>
        <v>0</v>
      </c>
      <c r="H10" s="38"/>
      <c r="I10" s="38"/>
      <c r="J10" s="34">
        <f t="shared" si="3"/>
        <v>0</v>
      </c>
      <c r="K10" s="34">
        <f t="shared" si="4"/>
        <v>0</v>
      </c>
      <c r="L10" s="34"/>
      <c r="M10" s="34">
        <f t="shared" si="5"/>
        <v>362771.5</v>
      </c>
      <c r="N10" s="14"/>
    </row>
    <row r="11" spans="1:16">
      <c r="A11" s="23">
        <v>8</v>
      </c>
      <c r="B11" s="24">
        <v>46303</v>
      </c>
      <c r="C11" s="14"/>
      <c r="D11" s="14"/>
      <c r="E11" s="341"/>
      <c r="F11" s="87"/>
      <c r="G11" s="34">
        <f t="shared" si="2"/>
        <v>0</v>
      </c>
      <c r="H11" s="38"/>
      <c r="I11" s="38"/>
      <c r="J11" s="34">
        <f t="shared" si="3"/>
        <v>0</v>
      </c>
      <c r="K11" s="34">
        <f>G11+J11</f>
        <v>0</v>
      </c>
      <c r="L11" s="34"/>
      <c r="M11" s="34">
        <f t="shared" ref="M9:M39" si="6">M10+K11-L11</f>
        <v>362771.5</v>
      </c>
      <c r="N11" s="14"/>
    </row>
    <row r="12" spans="1:16">
      <c r="A12" s="23">
        <v>9</v>
      </c>
      <c r="B12" s="24">
        <v>46304</v>
      </c>
      <c r="C12" s="14"/>
      <c r="D12" s="14"/>
      <c r="E12" s="341"/>
      <c r="F12" s="87"/>
      <c r="G12" s="34">
        <f t="shared" si="2"/>
        <v>0</v>
      </c>
      <c r="H12" s="38"/>
      <c r="I12" s="38"/>
      <c r="J12" s="34">
        <f t="shared" si="3"/>
        <v>0</v>
      </c>
      <c r="K12" s="34">
        <f t="shared" si="4"/>
        <v>0</v>
      </c>
      <c r="L12" s="34"/>
      <c r="M12" s="34">
        <f t="shared" si="6"/>
        <v>362771.5</v>
      </c>
      <c r="N12" s="14"/>
    </row>
    <row r="13" spans="1:16">
      <c r="A13" s="23">
        <v>10</v>
      </c>
      <c r="B13" s="24">
        <v>46305</v>
      </c>
      <c r="C13" s="14"/>
      <c r="D13" s="14"/>
      <c r="E13" s="341"/>
      <c r="F13" s="87"/>
      <c r="G13" s="34">
        <f t="shared" si="2"/>
        <v>0</v>
      </c>
      <c r="H13" s="38"/>
      <c r="I13" s="38"/>
      <c r="J13" s="34">
        <f t="shared" si="3"/>
        <v>0</v>
      </c>
      <c r="K13" s="34">
        <f t="shared" si="4"/>
        <v>0</v>
      </c>
      <c r="L13" s="34"/>
      <c r="M13" s="34">
        <f t="shared" si="6"/>
        <v>362771.5</v>
      </c>
      <c r="N13" s="14"/>
    </row>
    <row r="14" spans="1:16">
      <c r="A14" s="23">
        <v>11</v>
      </c>
      <c r="B14" s="24">
        <v>46306</v>
      </c>
      <c r="C14" s="14"/>
      <c r="D14" s="14"/>
      <c r="E14" s="341"/>
      <c r="F14" s="87"/>
      <c r="G14" s="34">
        <f t="shared" si="2"/>
        <v>0</v>
      </c>
      <c r="H14" s="38"/>
      <c r="I14" s="38"/>
      <c r="J14" s="34">
        <f t="shared" si="3"/>
        <v>0</v>
      </c>
      <c r="K14" s="34">
        <f t="shared" si="4"/>
        <v>0</v>
      </c>
      <c r="L14" s="34"/>
      <c r="M14" s="34">
        <f t="shared" si="6"/>
        <v>362771.5</v>
      </c>
      <c r="N14" s="14"/>
    </row>
    <row r="15" spans="1:16">
      <c r="A15" s="23">
        <v>12</v>
      </c>
      <c r="B15" s="24">
        <v>46307</v>
      </c>
      <c r="C15" s="14"/>
      <c r="D15" s="14"/>
      <c r="E15" s="341"/>
      <c r="F15" s="87"/>
      <c r="G15" s="34">
        <f t="shared" si="2"/>
        <v>0</v>
      </c>
      <c r="H15" s="38"/>
      <c r="I15" s="38"/>
      <c r="J15" s="34">
        <f t="shared" si="3"/>
        <v>0</v>
      </c>
      <c r="K15" s="34">
        <f t="shared" si="4"/>
        <v>0</v>
      </c>
      <c r="L15" s="34"/>
      <c r="M15" s="34">
        <f t="shared" si="6"/>
        <v>362771.5</v>
      </c>
      <c r="N15" s="14"/>
    </row>
    <row r="16" spans="1:16">
      <c r="A16" s="23">
        <v>13</v>
      </c>
      <c r="B16" s="24">
        <v>46308</v>
      </c>
      <c r="C16" s="14"/>
      <c r="D16" s="87"/>
      <c r="E16" s="341">
        <v>1000</v>
      </c>
      <c r="F16" s="87">
        <v>99.35</v>
      </c>
      <c r="G16" s="34">
        <f t="shared" si="2"/>
        <v>99350</v>
      </c>
      <c r="H16" s="38"/>
      <c r="I16" s="38"/>
      <c r="J16" s="34">
        <f t="shared" si="3"/>
        <v>0</v>
      </c>
      <c r="K16" s="34">
        <f t="shared" si="4"/>
        <v>99350</v>
      </c>
      <c r="L16" s="34"/>
      <c r="M16" s="34">
        <f t="shared" si="6"/>
        <v>462121.5</v>
      </c>
      <c r="N16" s="14"/>
    </row>
    <row r="17" spans="1:16">
      <c r="A17" s="23">
        <v>14</v>
      </c>
      <c r="B17" s="24">
        <v>46309</v>
      </c>
      <c r="C17" s="14"/>
      <c r="D17" s="87"/>
      <c r="E17" s="341"/>
      <c r="F17" s="87"/>
      <c r="G17" s="34">
        <f t="shared" si="2"/>
        <v>0</v>
      </c>
      <c r="H17" s="38"/>
      <c r="I17" s="38"/>
      <c r="J17" s="34">
        <f>H17*I17</f>
        <v>0</v>
      </c>
      <c r="K17" s="34">
        <f t="shared" si="4"/>
        <v>0</v>
      </c>
      <c r="L17" s="34"/>
      <c r="M17" s="34">
        <f t="shared" si="6"/>
        <v>462121.5</v>
      </c>
      <c r="N17" s="14"/>
    </row>
    <row r="18" spans="1:16">
      <c r="A18" s="23">
        <v>15</v>
      </c>
      <c r="B18" s="24">
        <v>46310</v>
      </c>
      <c r="C18" s="14"/>
      <c r="D18" s="14"/>
      <c r="E18" s="341"/>
      <c r="F18" s="87"/>
      <c r="G18" s="34">
        <f t="shared" si="2"/>
        <v>0</v>
      </c>
      <c r="H18" s="38"/>
      <c r="I18" s="38"/>
      <c r="J18" s="34">
        <f t="shared" si="3"/>
        <v>0</v>
      </c>
      <c r="K18" s="34">
        <f t="shared" si="4"/>
        <v>0</v>
      </c>
      <c r="L18" s="34">
        <v>363000</v>
      </c>
      <c r="M18" s="34">
        <f t="shared" si="6"/>
        <v>99121.5</v>
      </c>
      <c r="N18" s="14"/>
      <c r="P18" s="307"/>
    </row>
    <row r="19" spans="1:16">
      <c r="A19" s="23">
        <v>16</v>
      </c>
      <c r="B19" s="24">
        <v>46311</v>
      </c>
      <c r="C19" s="14"/>
      <c r="D19" s="14"/>
      <c r="E19" s="341"/>
      <c r="F19" s="87"/>
      <c r="G19" s="34">
        <f t="shared" si="2"/>
        <v>0</v>
      </c>
      <c r="H19" s="38"/>
      <c r="I19" s="38"/>
      <c r="J19" s="34">
        <f t="shared" si="3"/>
        <v>0</v>
      </c>
      <c r="K19" s="34">
        <f t="shared" si="4"/>
        <v>0</v>
      </c>
      <c r="L19" s="34"/>
      <c r="M19" s="34">
        <f t="shared" si="6"/>
        <v>99121.5</v>
      </c>
      <c r="N19" s="14"/>
    </row>
    <row r="20" spans="1:16">
      <c r="A20" s="23">
        <v>17</v>
      </c>
      <c r="B20" s="24">
        <v>46312</v>
      </c>
      <c r="C20" s="14"/>
      <c r="D20" s="14"/>
      <c r="E20" s="341"/>
      <c r="F20" s="87"/>
      <c r="G20" s="34">
        <f t="shared" si="2"/>
        <v>0</v>
      </c>
      <c r="H20" s="38"/>
      <c r="I20" s="38"/>
      <c r="J20" s="34">
        <f t="shared" si="3"/>
        <v>0</v>
      </c>
      <c r="K20" s="34">
        <f t="shared" si="4"/>
        <v>0</v>
      </c>
      <c r="L20" s="34"/>
      <c r="M20" s="34">
        <f t="shared" si="6"/>
        <v>99121.5</v>
      </c>
      <c r="N20" s="14"/>
    </row>
    <row r="21" spans="1:16">
      <c r="A21" s="23">
        <v>18</v>
      </c>
      <c r="B21" s="24">
        <v>46313</v>
      </c>
      <c r="C21" s="14"/>
      <c r="D21" s="14"/>
      <c r="E21" s="341"/>
      <c r="F21" s="87"/>
      <c r="G21" s="34">
        <f t="shared" si="2"/>
        <v>0</v>
      </c>
      <c r="H21" s="38"/>
      <c r="I21" s="38"/>
      <c r="J21" s="34">
        <f t="shared" si="3"/>
        <v>0</v>
      </c>
      <c r="K21" s="34">
        <f t="shared" si="4"/>
        <v>0</v>
      </c>
      <c r="L21" s="34"/>
      <c r="M21" s="34">
        <f t="shared" si="6"/>
        <v>99121.5</v>
      </c>
      <c r="N21" s="14"/>
    </row>
    <row r="22" spans="1:16">
      <c r="A22" s="23">
        <v>19</v>
      </c>
      <c r="B22" s="24">
        <v>46314</v>
      </c>
      <c r="C22" s="14"/>
      <c r="D22" s="14"/>
      <c r="E22" s="341"/>
      <c r="F22" s="87"/>
      <c r="G22" s="34">
        <f t="shared" si="2"/>
        <v>0</v>
      </c>
      <c r="H22" s="38"/>
      <c r="I22" s="38"/>
      <c r="J22" s="34">
        <f t="shared" si="3"/>
        <v>0</v>
      </c>
      <c r="K22" s="34">
        <f t="shared" si="4"/>
        <v>0</v>
      </c>
      <c r="L22" s="34"/>
      <c r="M22" s="34">
        <f t="shared" si="6"/>
        <v>99121.5</v>
      </c>
      <c r="N22" s="14"/>
    </row>
    <row r="23" spans="1:16">
      <c r="A23" s="23">
        <v>20</v>
      </c>
      <c r="B23" s="24">
        <v>46315</v>
      </c>
      <c r="C23" s="14"/>
      <c r="D23" s="14"/>
      <c r="E23" s="341"/>
      <c r="F23" s="87"/>
      <c r="G23" s="34">
        <f t="shared" si="2"/>
        <v>0</v>
      </c>
      <c r="H23" s="38"/>
      <c r="I23" s="38"/>
      <c r="J23" s="34">
        <v>0</v>
      </c>
      <c r="K23" s="34">
        <f t="shared" si="4"/>
        <v>0</v>
      </c>
      <c r="L23" s="34"/>
      <c r="M23" s="34">
        <f t="shared" si="6"/>
        <v>99121.5</v>
      </c>
      <c r="N23" s="14"/>
    </row>
    <row r="24" spans="1:16">
      <c r="A24" s="23">
        <v>21</v>
      </c>
      <c r="B24" s="24">
        <v>46316</v>
      </c>
      <c r="C24" s="14"/>
      <c r="D24" s="14"/>
      <c r="E24" s="341"/>
      <c r="F24" s="87"/>
      <c r="G24" s="34">
        <f t="shared" si="2"/>
        <v>0</v>
      </c>
      <c r="H24" s="38"/>
      <c r="I24" s="38"/>
      <c r="J24" s="34">
        <f t="shared" si="3"/>
        <v>0</v>
      </c>
      <c r="K24" s="34">
        <f t="shared" si="4"/>
        <v>0</v>
      </c>
      <c r="L24" s="34"/>
      <c r="M24" s="34">
        <f t="shared" si="6"/>
        <v>99121.5</v>
      </c>
      <c r="N24" s="14"/>
      <c r="O24" s="19"/>
    </row>
    <row r="25" spans="1:16">
      <c r="A25" s="23">
        <v>22</v>
      </c>
      <c r="B25" s="24">
        <v>46317</v>
      </c>
      <c r="C25" s="14"/>
      <c r="D25" s="14"/>
      <c r="E25" s="341"/>
      <c r="F25" s="87"/>
      <c r="G25" s="34">
        <f t="shared" si="2"/>
        <v>0</v>
      </c>
      <c r="H25" s="38"/>
      <c r="I25" s="38"/>
      <c r="J25" s="34">
        <f t="shared" si="3"/>
        <v>0</v>
      </c>
      <c r="K25" s="34">
        <f t="shared" si="4"/>
        <v>0</v>
      </c>
      <c r="L25" s="34"/>
      <c r="M25" s="34">
        <f t="shared" si="6"/>
        <v>99121.5</v>
      </c>
      <c r="N25" s="14"/>
    </row>
    <row r="26" spans="1:16">
      <c r="A26" s="23">
        <v>23</v>
      </c>
      <c r="B26" s="24">
        <v>46318</v>
      </c>
      <c r="C26" s="14"/>
      <c r="D26" s="14"/>
      <c r="E26" s="341"/>
      <c r="F26" s="87"/>
      <c r="G26" s="34">
        <f t="shared" si="2"/>
        <v>0</v>
      </c>
      <c r="H26" s="38"/>
      <c r="I26" s="38"/>
      <c r="J26" s="34">
        <f t="shared" si="3"/>
        <v>0</v>
      </c>
      <c r="K26" s="34">
        <f t="shared" si="4"/>
        <v>0</v>
      </c>
      <c r="L26" s="34"/>
      <c r="M26" s="34">
        <f t="shared" si="6"/>
        <v>99121.5</v>
      </c>
      <c r="N26" s="14"/>
    </row>
    <row r="27" spans="1:16">
      <c r="A27" s="23">
        <v>24</v>
      </c>
      <c r="B27" s="24">
        <v>46319</v>
      </c>
      <c r="C27" s="14"/>
      <c r="D27" s="14"/>
      <c r="E27" s="341"/>
      <c r="F27" s="87"/>
      <c r="G27" s="34">
        <f t="shared" si="2"/>
        <v>0</v>
      </c>
      <c r="H27" s="38"/>
      <c r="I27" s="38"/>
      <c r="J27" s="34">
        <f t="shared" si="3"/>
        <v>0</v>
      </c>
      <c r="K27" s="34">
        <f t="shared" si="4"/>
        <v>0</v>
      </c>
      <c r="L27" s="34"/>
      <c r="M27" s="34">
        <f t="shared" si="6"/>
        <v>99121.5</v>
      </c>
      <c r="N27" s="14"/>
    </row>
    <row r="28" spans="1:16">
      <c r="A28" s="23">
        <v>25</v>
      </c>
      <c r="B28" s="24">
        <v>46320</v>
      </c>
      <c r="C28" s="14"/>
      <c r="D28" s="14"/>
      <c r="E28" s="341"/>
      <c r="F28" s="87"/>
      <c r="G28" s="34">
        <f t="shared" si="2"/>
        <v>0</v>
      </c>
      <c r="H28" s="38"/>
      <c r="I28" s="38"/>
      <c r="J28" s="34">
        <f t="shared" si="3"/>
        <v>0</v>
      </c>
      <c r="K28" s="34">
        <f t="shared" si="4"/>
        <v>0</v>
      </c>
      <c r="L28" s="34"/>
      <c r="M28" s="34">
        <f t="shared" si="6"/>
        <v>99121.5</v>
      </c>
      <c r="N28" s="14"/>
    </row>
    <row r="29" spans="1:16">
      <c r="A29" s="23">
        <v>26</v>
      </c>
      <c r="B29" s="24">
        <v>46321</v>
      </c>
      <c r="C29" s="14"/>
      <c r="D29" s="14"/>
      <c r="E29" s="341"/>
      <c r="F29" s="87"/>
      <c r="G29" s="34">
        <f t="shared" si="2"/>
        <v>0</v>
      </c>
      <c r="H29" s="38"/>
      <c r="I29" s="38"/>
      <c r="J29" s="34">
        <f t="shared" si="3"/>
        <v>0</v>
      </c>
      <c r="K29" s="34">
        <f t="shared" si="4"/>
        <v>0</v>
      </c>
      <c r="L29" s="34"/>
      <c r="M29" s="34">
        <f t="shared" si="6"/>
        <v>99121.5</v>
      </c>
      <c r="N29" s="14"/>
    </row>
    <row r="30" spans="1:16">
      <c r="A30" s="23">
        <v>27</v>
      </c>
      <c r="B30" s="24">
        <v>46322</v>
      </c>
      <c r="C30" s="14"/>
      <c r="D30" s="14"/>
      <c r="E30" s="341"/>
      <c r="F30" s="87"/>
      <c r="G30" s="34">
        <f t="shared" si="2"/>
        <v>0</v>
      </c>
      <c r="H30" s="38"/>
      <c r="I30" s="38"/>
      <c r="J30" s="34">
        <f t="shared" si="3"/>
        <v>0</v>
      </c>
      <c r="K30" s="34">
        <f t="shared" si="4"/>
        <v>0</v>
      </c>
      <c r="L30" s="34"/>
      <c r="M30" s="34">
        <f t="shared" si="6"/>
        <v>99121.5</v>
      </c>
      <c r="N30" s="14"/>
      <c r="O30" s="19"/>
    </row>
    <row r="31" spans="1:16">
      <c r="A31" s="23">
        <v>28</v>
      </c>
      <c r="B31" s="24">
        <v>46323</v>
      </c>
      <c r="C31" s="14"/>
      <c r="D31" s="14"/>
      <c r="E31" s="341"/>
      <c r="F31" s="87"/>
      <c r="G31" s="34">
        <f t="shared" si="2"/>
        <v>0</v>
      </c>
      <c r="H31" s="38"/>
      <c r="I31" s="38"/>
      <c r="J31" s="34">
        <f t="shared" si="3"/>
        <v>0</v>
      </c>
      <c r="K31" s="34">
        <f t="shared" si="4"/>
        <v>0</v>
      </c>
      <c r="L31" s="34"/>
      <c r="M31" s="34">
        <f t="shared" si="6"/>
        <v>99121.5</v>
      </c>
      <c r="N31" s="14"/>
    </row>
    <row r="32" spans="1:16">
      <c r="A32" s="23">
        <v>29</v>
      </c>
      <c r="B32" s="24">
        <v>46324</v>
      </c>
      <c r="C32" s="14"/>
      <c r="D32" s="217"/>
      <c r="E32" s="341"/>
      <c r="F32" s="87"/>
      <c r="G32" s="34">
        <f t="shared" si="2"/>
        <v>0</v>
      </c>
      <c r="H32" s="38"/>
      <c r="I32" s="38"/>
      <c r="J32" s="34">
        <f t="shared" si="3"/>
        <v>0</v>
      </c>
      <c r="K32" s="34">
        <f t="shared" si="4"/>
        <v>0</v>
      </c>
      <c r="L32" s="34"/>
      <c r="M32" s="34">
        <f t="shared" si="6"/>
        <v>99121.5</v>
      </c>
      <c r="N32" s="14"/>
    </row>
    <row r="33" spans="1:16">
      <c r="A33" s="23">
        <v>30</v>
      </c>
      <c r="B33" s="24">
        <v>46325</v>
      </c>
      <c r="C33" s="14"/>
      <c r="D33" s="14"/>
      <c r="E33" s="341"/>
      <c r="F33" s="87"/>
      <c r="G33" s="34">
        <f t="shared" si="2"/>
        <v>0</v>
      </c>
      <c r="H33" s="38"/>
      <c r="I33" s="38"/>
      <c r="J33" s="34">
        <f t="shared" si="3"/>
        <v>0</v>
      </c>
      <c r="K33" s="34">
        <f t="shared" si="4"/>
        <v>0</v>
      </c>
      <c r="L33" s="34"/>
      <c r="M33" s="34">
        <f t="shared" si="6"/>
        <v>99121.5</v>
      </c>
      <c r="N33" s="14"/>
    </row>
    <row r="34" spans="1:16">
      <c r="A34" s="23">
        <v>31</v>
      </c>
      <c r="B34" s="24">
        <v>46326</v>
      </c>
      <c r="C34" s="14"/>
      <c r="D34" s="14"/>
      <c r="E34" s="341"/>
      <c r="F34" s="87"/>
      <c r="G34" s="34">
        <f t="shared" si="2"/>
        <v>0</v>
      </c>
      <c r="H34" s="38"/>
      <c r="I34" s="38"/>
      <c r="J34" s="34">
        <f t="shared" si="3"/>
        <v>0</v>
      </c>
      <c r="K34" s="34">
        <f t="shared" si="4"/>
        <v>0</v>
      </c>
      <c r="L34" s="34"/>
      <c r="M34" s="34">
        <f t="shared" si="6"/>
        <v>99121.5</v>
      </c>
      <c r="N34" s="14"/>
    </row>
    <row r="35" spans="1:16">
      <c r="A35" s="23">
        <v>32</v>
      </c>
      <c r="B35" s="24"/>
      <c r="C35" s="14"/>
      <c r="D35" s="14"/>
      <c r="E35" s="341"/>
      <c r="F35" s="87"/>
      <c r="G35" s="34">
        <f t="shared" si="2"/>
        <v>0</v>
      </c>
      <c r="H35" s="38"/>
      <c r="I35" s="38"/>
      <c r="J35" s="34">
        <f t="shared" si="3"/>
        <v>0</v>
      </c>
      <c r="K35" s="34">
        <f t="shared" si="4"/>
        <v>0</v>
      </c>
      <c r="L35" s="34"/>
      <c r="M35" s="34">
        <f t="shared" si="6"/>
        <v>99121.5</v>
      </c>
      <c r="N35" s="14"/>
    </row>
    <row r="36" spans="1:16">
      <c r="A36" s="23">
        <v>33</v>
      </c>
      <c r="B36" s="24"/>
      <c r="C36" s="14"/>
      <c r="D36" s="14"/>
      <c r="E36" s="341"/>
      <c r="F36" s="87"/>
      <c r="G36" s="34">
        <f t="shared" si="2"/>
        <v>0</v>
      </c>
      <c r="H36" s="38"/>
      <c r="I36" s="38"/>
      <c r="J36" s="34">
        <f t="shared" si="3"/>
        <v>0</v>
      </c>
      <c r="K36" s="34">
        <f t="shared" si="4"/>
        <v>0</v>
      </c>
      <c r="L36" s="34"/>
      <c r="M36" s="34">
        <f t="shared" si="6"/>
        <v>99121.5</v>
      </c>
      <c r="N36" s="14"/>
    </row>
    <row r="37" spans="1:16">
      <c r="A37" s="23">
        <v>34</v>
      </c>
      <c r="B37" s="24"/>
      <c r="C37" s="14"/>
      <c r="D37" s="14"/>
      <c r="E37" s="341"/>
      <c r="F37" s="87"/>
      <c r="G37" s="34">
        <f t="shared" si="2"/>
        <v>0</v>
      </c>
      <c r="H37" s="38"/>
      <c r="I37" s="38"/>
      <c r="J37" s="34">
        <f t="shared" si="3"/>
        <v>0</v>
      </c>
      <c r="K37" s="34">
        <f t="shared" si="4"/>
        <v>0</v>
      </c>
      <c r="L37" s="34"/>
      <c r="M37" s="34">
        <f t="shared" si="6"/>
        <v>99121.5</v>
      </c>
      <c r="N37" s="14"/>
      <c r="P37" s="227"/>
    </row>
    <row r="38" spans="1:16">
      <c r="A38" s="23">
        <v>35</v>
      </c>
      <c r="B38" s="24"/>
      <c r="C38" s="14"/>
      <c r="D38" s="14"/>
      <c r="E38" s="341"/>
      <c r="F38" s="87"/>
      <c r="G38" s="34">
        <f t="shared" si="2"/>
        <v>0</v>
      </c>
      <c r="H38" s="38"/>
      <c r="I38" s="38"/>
      <c r="J38" s="34">
        <f t="shared" si="3"/>
        <v>0</v>
      </c>
      <c r="K38" s="34">
        <f t="shared" si="4"/>
        <v>0</v>
      </c>
      <c r="L38" s="34"/>
      <c r="M38" s="34">
        <f t="shared" si="6"/>
        <v>99121.5</v>
      </c>
      <c r="N38" s="14"/>
      <c r="P38" s="227"/>
    </row>
    <row r="39" spans="1:16">
      <c r="A39" s="23">
        <v>36</v>
      </c>
      <c r="B39" s="24"/>
      <c r="C39" s="14"/>
      <c r="D39" s="14"/>
      <c r="E39" s="87"/>
      <c r="F39" s="87"/>
      <c r="G39" s="34">
        <f t="shared" ref="G5:G39" si="7">E39*F39</f>
        <v>0</v>
      </c>
      <c r="H39" s="38"/>
      <c r="I39" s="38"/>
      <c r="J39" s="34">
        <f t="shared" ref="J5:J39" si="8">H39*I39</f>
        <v>0</v>
      </c>
      <c r="K39" s="34">
        <f t="shared" si="4"/>
        <v>0</v>
      </c>
      <c r="L39" s="34"/>
      <c r="M39" s="34">
        <f t="shared" si="6"/>
        <v>99121.5</v>
      </c>
      <c r="N39" s="14"/>
      <c r="P39" s="227"/>
    </row>
    <row r="40" spans="1:16">
      <c r="A40" s="36"/>
      <c r="B40" s="36"/>
      <c r="C40" s="36"/>
      <c r="D40" s="36"/>
      <c r="E40" s="36">
        <f>SUM(E4:E39)</f>
        <v>2000</v>
      </c>
      <c r="F40" s="36"/>
      <c r="G40" s="36">
        <f>SUM(G4:G39)</f>
        <v>198700</v>
      </c>
      <c r="H40" s="36">
        <f>SUM(H4:H39)</f>
        <v>0</v>
      </c>
      <c r="I40" s="36"/>
      <c r="J40" s="36">
        <f>SUM(J4:J39)</f>
        <v>0</v>
      </c>
      <c r="K40" s="36">
        <f>SUM(K4:K39)</f>
        <v>198700</v>
      </c>
      <c r="L40" s="36">
        <f>SUM(L4:L39)</f>
        <v>363000</v>
      </c>
      <c r="M40" s="36"/>
      <c r="N40" s="36"/>
    </row>
  </sheetData>
  <mergeCells count="2">
    <mergeCell ref="A1:N1"/>
    <mergeCell ref="C3:D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P39"/>
  <sheetViews>
    <sheetView workbookViewId="0">
      <pane ySplit="3" topLeftCell="A4" activePane="bottomLeft" state="frozen"/>
      <selection pane="bottomLeft" activeCell="M18" sqref="M18"/>
    </sheetView>
  </sheetViews>
  <sheetFormatPr defaultRowHeight="15"/>
  <cols>
    <col min="1" max="1" width="5.140625" bestFit="1" customWidth="1"/>
    <col min="2" max="2" width="10.5703125" bestFit="1" customWidth="1"/>
    <col min="4" max="4" width="14.28515625" customWidth="1"/>
    <col min="5" max="5" width="15.140625" customWidth="1"/>
    <col min="6" max="6" width="16.42578125" customWidth="1"/>
    <col min="7" max="7" width="9.28515625" bestFit="1" customWidth="1"/>
    <col min="8" max="8" width="10.7109375" bestFit="1" customWidth="1"/>
    <col min="11" max="11" width="13.5703125" bestFit="1" customWidth="1"/>
    <col min="12" max="12" width="17" customWidth="1"/>
    <col min="13" max="13" width="11.28515625" bestFit="1" customWidth="1"/>
  </cols>
  <sheetData>
    <row r="1" spans="1:16" ht="15.75">
      <c r="A1" s="634" t="s">
        <v>206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86"/>
      <c r="P1" s="86"/>
    </row>
    <row r="2" spans="1:16">
      <c r="A2" s="58" t="s">
        <v>0</v>
      </c>
      <c r="B2" s="58" t="s">
        <v>167</v>
      </c>
      <c r="C2" s="58" t="s">
        <v>168</v>
      </c>
      <c r="D2" s="58" t="s">
        <v>169</v>
      </c>
      <c r="E2" s="85" t="s">
        <v>170</v>
      </c>
      <c r="F2" s="85" t="s">
        <v>171</v>
      </c>
      <c r="G2" s="85" t="s">
        <v>172</v>
      </c>
      <c r="H2" s="85" t="s">
        <v>173</v>
      </c>
      <c r="I2" s="85" t="s">
        <v>171</v>
      </c>
      <c r="J2" s="85" t="s">
        <v>172</v>
      </c>
      <c r="K2" s="85" t="s">
        <v>174</v>
      </c>
      <c r="L2" s="79" t="s">
        <v>175</v>
      </c>
      <c r="M2" s="79" t="s">
        <v>176</v>
      </c>
      <c r="N2" s="58" t="s">
        <v>177</v>
      </c>
    </row>
    <row r="3" spans="1:16">
      <c r="A3" s="14"/>
      <c r="B3" s="14"/>
      <c r="C3" s="620" t="s">
        <v>178</v>
      </c>
      <c r="D3" s="622"/>
      <c r="E3" s="14"/>
      <c r="F3" s="14"/>
      <c r="G3" s="14"/>
      <c r="H3" s="14"/>
      <c r="I3" s="14"/>
      <c r="J3" s="14"/>
      <c r="K3" s="34"/>
      <c r="L3" s="14"/>
      <c r="M3" s="34">
        <v>30045.066799999659</v>
      </c>
      <c r="N3" s="14"/>
    </row>
    <row r="4" spans="1:16">
      <c r="A4" s="23">
        <v>1</v>
      </c>
      <c r="B4" s="24">
        <v>46296</v>
      </c>
      <c r="C4" s="14"/>
      <c r="D4" s="14"/>
      <c r="E4" s="341"/>
      <c r="F4" s="87"/>
      <c r="G4" s="34">
        <f t="shared" ref="G4:G38" si="0">E4*F4</f>
        <v>0</v>
      </c>
      <c r="H4" s="38"/>
      <c r="I4" s="38"/>
      <c r="J4" s="34">
        <f t="shared" ref="J4:J38" si="1">H4*I4</f>
        <v>0</v>
      </c>
      <c r="K4" s="34">
        <f>G4+J4</f>
        <v>0</v>
      </c>
      <c r="L4" s="34"/>
      <c r="M4" s="34">
        <f>M3+K4-L4</f>
        <v>30045.066799999659</v>
      </c>
      <c r="N4" s="14"/>
    </row>
    <row r="5" spans="1:16">
      <c r="A5" s="23">
        <v>2</v>
      </c>
      <c r="B5" s="24">
        <v>46297</v>
      </c>
      <c r="C5" s="14"/>
      <c r="D5" s="14"/>
      <c r="E5" s="341"/>
      <c r="F5" s="87"/>
      <c r="G5" s="34">
        <f t="shared" si="0"/>
        <v>0</v>
      </c>
      <c r="H5" s="38"/>
      <c r="I5" s="38"/>
      <c r="J5" s="34">
        <f t="shared" si="1"/>
        <v>0</v>
      </c>
      <c r="K5" s="34">
        <f t="shared" ref="K5:K38" si="2">G5+J5</f>
        <v>0</v>
      </c>
      <c r="L5" s="34"/>
      <c r="M5" s="34">
        <f>M4+K5-L5</f>
        <v>30045.066799999659</v>
      </c>
      <c r="N5" s="14"/>
    </row>
    <row r="6" spans="1:16">
      <c r="A6" s="23">
        <v>3</v>
      </c>
      <c r="B6" s="24">
        <v>46298</v>
      </c>
      <c r="C6" s="14"/>
      <c r="D6" s="14"/>
      <c r="E6" s="341"/>
      <c r="F6" s="87"/>
      <c r="G6" s="34">
        <f t="shared" si="0"/>
        <v>0</v>
      </c>
      <c r="H6" s="599">
        <v>30</v>
      </c>
      <c r="I6" s="599">
        <v>111.21</v>
      </c>
      <c r="J6" s="34">
        <f t="shared" si="1"/>
        <v>3336.2999999999997</v>
      </c>
      <c r="K6" s="34">
        <f t="shared" si="2"/>
        <v>3336.2999999999997</v>
      </c>
      <c r="L6" s="34"/>
      <c r="M6" s="34">
        <f>M5+K6-L6</f>
        <v>33381.366799999661</v>
      </c>
      <c r="N6" s="14"/>
    </row>
    <row r="7" spans="1:16">
      <c r="A7" s="23">
        <v>4</v>
      </c>
      <c r="B7" s="24">
        <v>46299</v>
      </c>
      <c r="C7" s="14"/>
      <c r="D7" s="14"/>
      <c r="E7" s="341"/>
      <c r="F7" s="87"/>
      <c r="G7" s="34">
        <f t="shared" si="0"/>
        <v>0</v>
      </c>
      <c r="H7" s="599">
        <v>0</v>
      </c>
      <c r="I7" s="599">
        <v>0</v>
      </c>
      <c r="J7" s="34">
        <f t="shared" si="1"/>
        <v>0</v>
      </c>
      <c r="K7" s="34">
        <f t="shared" si="2"/>
        <v>0</v>
      </c>
      <c r="L7" s="34"/>
      <c r="M7" s="34">
        <f>M6+K7-L7</f>
        <v>33381.366799999661</v>
      </c>
      <c r="N7" s="14"/>
    </row>
    <row r="8" spans="1:16">
      <c r="A8" s="23">
        <v>5</v>
      </c>
      <c r="B8" s="24">
        <v>46300</v>
      </c>
      <c r="C8" s="14"/>
      <c r="D8" s="14"/>
      <c r="E8" s="341"/>
      <c r="F8" s="87"/>
      <c r="G8" s="34">
        <f t="shared" si="0"/>
        <v>0</v>
      </c>
      <c r="H8" s="599">
        <v>0</v>
      </c>
      <c r="I8" s="599">
        <v>0</v>
      </c>
      <c r="J8" s="34">
        <f t="shared" si="1"/>
        <v>0</v>
      </c>
      <c r="K8" s="34">
        <f t="shared" si="2"/>
        <v>0</v>
      </c>
      <c r="L8" s="34"/>
      <c r="M8" s="34">
        <f>M7+K8-L8</f>
        <v>33381.366799999661</v>
      </c>
      <c r="N8" s="14"/>
    </row>
    <row r="9" spans="1:16">
      <c r="A9" s="23">
        <v>6</v>
      </c>
      <c r="B9" s="24">
        <v>46301</v>
      </c>
      <c r="C9" s="14"/>
      <c r="D9" s="14"/>
      <c r="E9" s="341"/>
      <c r="F9" s="87"/>
      <c r="G9" s="34">
        <f t="shared" si="0"/>
        <v>0</v>
      </c>
      <c r="H9" s="599">
        <v>30</v>
      </c>
      <c r="I9" s="599">
        <v>111.21</v>
      </c>
      <c r="J9" s="34">
        <f t="shared" si="1"/>
        <v>3336.2999999999997</v>
      </c>
      <c r="K9" s="34">
        <f t="shared" si="2"/>
        <v>3336.2999999999997</v>
      </c>
      <c r="L9" s="34"/>
      <c r="M9" s="34">
        <f t="shared" ref="M9:M38" si="3">M8+K9-L9</f>
        <v>36717.666799999664</v>
      </c>
      <c r="N9" s="14"/>
    </row>
    <row r="10" spans="1:16">
      <c r="A10" s="23">
        <v>7</v>
      </c>
      <c r="B10" s="24">
        <v>46302</v>
      </c>
      <c r="C10" s="14"/>
      <c r="D10" s="14"/>
      <c r="E10" s="341"/>
      <c r="F10" s="87"/>
      <c r="G10" s="34">
        <f t="shared" si="0"/>
        <v>0</v>
      </c>
      <c r="H10" s="38"/>
      <c r="I10" s="38"/>
      <c r="J10" s="34">
        <f t="shared" si="1"/>
        <v>0</v>
      </c>
      <c r="K10" s="34">
        <f t="shared" si="2"/>
        <v>0</v>
      </c>
      <c r="L10" s="34"/>
      <c r="M10" s="34">
        <f t="shared" si="3"/>
        <v>36717.666799999664</v>
      </c>
      <c r="N10" s="14"/>
    </row>
    <row r="11" spans="1:16">
      <c r="A11" s="23">
        <v>8</v>
      </c>
      <c r="B11" s="24">
        <v>46303</v>
      </c>
      <c r="C11" s="14"/>
      <c r="D11" s="14"/>
      <c r="E11" s="341"/>
      <c r="F11" s="87"/>
      <c r="G11" s="34">
        <f t="shared" si="0"/>
        <v>0</v>
      </c>
      <c r="H11" s="38"/>
      <c r="I11" s="38"/>
      <c r="J11" s="34">
        <f t="shared" si="1"/>
        <v>0</v>
      </c>
      <c r="K11" s="34">
        <f t="shared" si="2"/>
        <v>0</v>
      </c>
      <c r="L11" s="34"/>
      <c r="M11" s="34">
        <f t="shared" si="3"/>
        <v>36717.666799999664</v>
      </c>
      <c r="N11" s="14"/>
    </row>
    <row r="12" spans="1:16">
      <c r="A12" s="23">
        <v>9</v>
      </c>
      <c r="B12" s="24">
        <v>46304</v>
      </c>
      <c r="C12" s="14"/>
      <c r="D12" s="14"/>
      <c r="E12" s="365"/>
      <c r="F12" s="87"/>
      <c r="G12" s="34">
        <f t="shared" si="0"/>
        <v>0</v>
      </c>
      <c r="H12" s="38">
        <v>30</v>
      </c>
      <c r="I12" s="38">
        <v>111.21</v>
      </c>
      <c r="J12" s="34">
        <f t="shared" si="1"/>
        <v>3336.2999999999997</v>
      </c>
      <c r="K12" s="34">
        <f t="shared" si="2"/>
        <v>3336.2999999999997</v>
      </c>
      <c r="L12" s="34"/>
      <c r="M12" s="34">
        <f t="shared" si="3"/>
        <v>40053.966799999667</v>
      </c>
      <c r="N12" s="14"/>
    </row>
    <row r="13" spans="1:16">
      <c r="A13" s="23">
        <v>10</v>
      </c>
      <c r="B13" s="24">
        <v>46305</v>
      </c>
      <c r="C13" s="14"/>
      <c r="D13" s="14"/>
      <c r="E13" s="365"/>
      <c r="F13" s="365"/>
      <c r="G13" s="34">
        <f t="shared" si="0"/>
        <v>0</v>
      </c>
      <c r="H13" s="38"/>
      <c r="I13" s="38"/>
      <c r="J13" s="34">
        <f t="shared" si="1"/>
        <v>0</v>
      </c>
      <c r="K13" s="34">
        <f t="shared" si="2"/>
        <v>0</v>
      </c>
      <c r="L13" s="34"/>
      <c r="M13" s="34">
        <f t="shared" si="3"/>
        <v>40053.966799999667</v>
      </c>
      <c r="N13" s="14"/>
    </row>
    <row r="14" spans="1:16">
      <c r="A14" s="23">
        <v>11</v>
      </c>
      <c r="B14" s="24">
        <v>46306</v>
      </c>
      <c r="C14" s="14"/>
      <c r="D14" s="14"/>
      <c r="E14" s="341"/>
      <c r="F14" s="87"/>
      <c r="G14" s="34">
        <f t="shared" si="0"/>
        <v>0</v>
      </c>
      <c r="H14" s="38"/>
      <c r="I14" s="38"/>
      <c r="J14" s="34">
        <f t="shared" si="1"/>
        <v>0</v>
      </c>
      <c r="K14" s="34">
        <f t="shared" si="2"/>
        <v>0</v>
      </c>
      <c r="L14" s="34"/>
      <c r="M14" s="34">
        <f t="shared" si="3"/>
        <v>40053.966799999667</v>
      </c>
      <c r="N14" s="14"/>
    </row>
    <row r="15" spans="1:16">
      <c r="A15" s="23">
        <v>12</v>
      </c>
      <c r="B15" s="24">
        <v>46307</v>
      </c>
      <c r="C15" s="14"/>
      <c r="D15" s="14"/>
      <c r="E15" s="341"/>
      <c r="F15" s="87"/>
      <c r="G15" s="34">
        <f t="shared" si="0"/>
        <v>0</v>
      </c>
      <c r="H15" s="38">
        <v>30</v>
      </c>
      <c r="I15" s="38">
        <v>111.21</v>
      </c>
      <c r="J15" s="34">
        <f t="shared" si="1"/>
        <v>3336.2999999999997</v>
      </c>
      <c r="K15" s="34">
        <f t="shared" si="2"/>
        <v>3336.2999999999997</v>
      </c>
      <c r="L15" s="34"/>
      <c r="M15" s="34">
        <f t="shared" si="3"/>
        <v>43390.26679999967</v>
      </c>
      <c r="N15" s="14"/>
    </row>
    <row r="16" spans="1:16">
      <c r="A16" s="23">
        <v>13</v>
      </c>
      <c r="B16" s="24">
        <v>46308</v>
      </c>
      <c r="C16" s="14"/>
      <c r="D16" s="87"/>
      <c r="E16" s="341"/>
      <c r="F16" s="87"/>
      <c r="G16" s="34">
        <f t="shared" si="0"/>
        <v>0</v>
      </c>
      <c r="H16" s="38"/>
      <c r="I16" s="38"/>
      <c r="J16" s="34">
        <f t="shared" si="1"/>
        <v>0</v>
      </c>
      <c r="K16" s="34">
        <f t="shared" si="2"/>
        <v>0</v>
      </c>
      <c r="L16" s="34"/>
      <c r="M16" s="34">
        <f t="shared" si="3"/>
        <v>43390.26679999967</v>
      </c>
      <c r="N16" s="14"/>
    </row>
    <row r="17" spans="1:16">
      <c r="A17" s="23">
        <v>14</v>
      </c>
      <c r="B17" s="24">
        <v>46309</v>
      </c>
      <c r="C17" s="14"/>
      <c r="D17" s="87"/>
      <c r="E17" s="341"/>
      <c r="F17" s="87"/>
      <c r="G17" s="34">
        <f t="shared" si="0"/>
        <v>0</v>
      </c>
      <c r="H17" s="38"/>
      <c r="I17" s="38"/>
      <c r="J17" s="34">
        <f t="shared" si="1"/>
        <v>0</v>
      </c>
      <c r="K17" s="34">
        <f t="shared" si="2"/>
        <v>0</v>
      </c>
      <c r="L17" s="34"/>
      <c r="M17" s="34">
        <f t="shared" si="3"/>
        <v>43390.26679999967</v>
      </c>
      <c r="N17" s="14"/>
    </row>
    <row r="18" spans="1:16">
      <c r="A18" s="23">
        <v>15</v>
      </c>
      <c r="B18" s="24">
        <v>46310</v>
      </c>
      <c r="C18" s="14"/>
      <c r="D18" s="14"/>
      <c r="E18" s="341"/>
      <c r="F18" s="87"/>
      <c r="G18" s="34">
        <f t="shared" si="0"/>
        <v>0</v>
      </c>
      <c r="H18" s="38">
        <v>30</v>
      </c>
      <c r="I18" s="38">
        <v>111.21</v>
      </c>
      <c r="J18" s="34">
        <f t="shared" si="1"/>
        <v>3336.2999999999997</v>
      </c>
      <c r="K18" s="34">
        <f t="shared" si="2"/>
        <v>3336.2999999999997</v>
      </c>
      <c r="L18" s="34"/>
      <c r="M18" s="34">
        <f t="shared" si="3"/>
        <v>46726.566799999673</v>
      </c>
      <c r="N18" s="14"/>
      <c r="P18" s="307"/>
    </row>
    <row r="19" spans="1:16">
      <c r="A19" s="23">
        <v>16</v>
      </c>
      <c r="B19" s="24">
        <v>46311</v>
      </c>
      <c r="C19" s="14"/>
      <c r="D19" s="14"/>
      <c r="E19" s="341"/>
      <c r="F19" s="87"/>
      <c r="G19" s="34">
        <f t="shared" si="0"/>
        <v>0</v>
      </c>
      <c r="H19" s="38"/>
      <c r="I19" s="38"/>
      <c r="J19" s="34">
        <f t="shared" si="1"/>
        <v>0</v>
      </c>
      <c r="K19" s="34">
        <f t="shared" si="2"/>
        <v>0</v>
      </c>
      <c r="L19" s="34"/>
      <c r="M19" s="34">
        <f t="shared" si="3"/>
        <v>46726.566799999673</v>
      </c>
      <c r="N19" s="14"/>
    </row>
    <row r="20" spans="1:16">
      <c r="A20" s="23">
        <v>17</v>
      </c>
      <c r="B20" s="24">
        <v>46312</v>
      </c>
      <c r="C20" s="14"/>
      <c r="D20" s="14"/>
      <c r="E20" s="341"/>
      <c r="F20" s="87"/>
      <c r="G20" s="34">
        <f t="shared" si="0"/>
        <v>0</v>
      </c>
      <c r="H20" s="38"/>
      <c r="I20" s="38"/>
      <c r="J20" s="34">
        <f t="shared" si="1"/>
        <v>0</v>
      </c>
      <c r="K20" s="34">
        <f t="shared" si="2"/>
        <v>0</v>
      </c>
      <c r="L20" s="34"/>
      <c r="M20" s="34">
        <f t="shared" si="3"/>
        <v>46726.566799999673</v>
      </c>
      <c r="N20" s="14"/>
    </row>
    <row r="21" spans="1:16">
      <c r="A21" s="23">
        <v>18</v>
      </c>
      <c r="B21" s="24">
        <v>46313</v>
      </c>
      <c r="C21" s="14"/>
      <c r="D21" s="14"/>
      <c r="E21" s="341"/>
      <c r="F21" s="87"/>
      <c r="G21" s="34">
        <f t="shared" si="0"/>
        <v>0</v>
      </c>
      <c r="H21" s="38"/>
      <c r="I21" s="38"/>
      <c r="J21" s="34">
        <f t="shared" si="1"/>
        <v>0</v>
      </c>
      <c r="K21" s="34">
        <f t="shared" si="2"/>
        <v>0</v>
      </c>
      <c r="L21" s="34"/>
      <c r="M21" s="34">
        <f t="shared" si="3"/>
        <v>46726.566799999673</v>
      </c>
      <c r="N21" s="14"/>
    </row>
    <row r="22" spans="1:16">
      <c r="A22" s="23">
        <v>19</v>
      </c>
      <c r="B22" s="24">
        <v>46314</v>
      </c>
      <c r="C22" s="14"/>
      <c r="D22" s="14"/>
      <c r="E22" s="341"/>
      <c r="F22" s="87"/>
      <c r="G22" s="34">
        <f t="shared" si="0"/>
        <v>0</v>
      </c>
      <c r="H22" s="38"/>
      <c r="I22" s="38"/>
      <c r="J22" s="34">
        <f t="shared" si="1"/>
        <v>0</v>
      </c>
      <c r="K22" s="34">
        <f t="shared" si="2"/>
        <v>0</v>
      </c>
      <c r="L22" s="34"/>
      <c r="M22" s="34">
        <f t="shared" si="3"/>
        <v>46726.566799999673</v>
      </c>
      <c r="N22" s="14"/>
    </row>
    <row r="23" spans="1:16">
      <c r="A23" s="23">
        <v>20</v>
      </c>
      <c r="B23" s="24">
        <v>46315</v>
      </c>
      <c r="C23" s="14"/>
      <c r="D23" s="14"/>
      <c r="E23" s="341"/>
      <c r="F23" s="87"/>
      <c r="G23" s="34">
        <f t="shared" si="0"/>
        <v>0</v>
      </c>
      <c r="H23" s="38"/>
      <c r="I23" s="38"/>
      <c r="J23" s="34">
        <f t="shared" si="1"/>
        <v>0</v>
      </c>
      <c r="K23" s="34">
        <f t="shared" si="2"/>
        <v>0</v>
      </c>
      <c r="L23" s="34"/>
      <c r="M23" s="34">
        <f t="shared" si="3"/>
        <v>46726.566799999673</v>
      </c>
      <c r="N23" s="14"/>
    </row>
    <row r="24" spans="1:16">
      <c r="A24" s="23">
        <v>22</v>
      </c>
      <c r="B24" s="24">
        <v>46316</v>
      </c>
      <c r="C24" s="14"/>
      <c r="D24" s="14"/>
      <c r="E24" s="341"/>
      <c r="F24" s="87"/>
      <c r="G24" s="34">
        <f t="shared" si="0"/>
        <v>0</v>
      </c>
      <c r="H24" s="38"/>
      <c r="I24" s="38"/>
      <c r="J24" s="34">
        <f t="shared" si="1"/>
        <v>0</v>
      </c>
      <c r="K24" s="34">
        <f t="shared" si="2"/>
        <v>0</v>
      </c>
      <c r="L24" s="34"/>
      <c r="M24" s="34">
        <f t="shared" si="3"/>
        <v>46726.566799999673</v>
      </c>
      <c r="N24" s="14"/>
    </row>
    <row r="25" spans="1:16">
      <c r="A25" s="23">
        <v>23</v>
      </c>
      <c r="B25" s="24">
        <v>46317</v>
      </c>
      <c r="C25" s="14"/>
      <c r="D25" s="14"/>
      <c r="E25" s="341"/>
      <c r="F25" s="87"/>
      <c r="G25" s="34">
        <f t="shared" si="0"/>
        <v>0</v>
      </c>
      <c r="H25" s="38"/>
      <c r="I25" s="38"/>
      <c r="J25" s="34">
        <f t="shared" si="1"/>
        <v>0</v>
      </c>
      <c r="K25" s="34">
        <f t="shared" si="2"/>
        <v>0</v>
      </c>
      <c r="L25" s="34"/>
      <c r="M25" s="34">
        <f t="shared" si="3"/>
        <v>46726.566799999673</v>
      </c>
      <c r="N25" s="14"/>
    </row>
    <row r="26" spans="1:16">
      <c r="A26" s="23">
        <v>24</v>
      </c>
      <c r="B26" s="24">
        <v>46318</v>
      </c>
      <c r="C26" s="14"/>
      <c r="D26" s="14"/>
      <c r="E26" s="341"/>
      <c r="F26" s="87"/>
      <c r="G26" s="34">
        <f t="shared" si="0"/>
        <v>0</v>
      </c>
      <c r="H26" s="38"/>
      <c r="I26" s="38"/>
      <c r="J26" s="34">
        <f t="shared" si="1"/>
        <v>0</v>
      </c>
      <c r="K26" s="34">
        <f t="shared" si="2"/>
        <v>0</v>
      </c>
      <c r="L26" s="34"/>
      <c r="M26" s="34">
        <f t="shared" si="3"/>
        <v>46726.566799999673</v>
      </c>
      <c r="N26" s="14"/>
    </row>
    <row r="27" spans="1:16">
      <c r="A27" s="23">
        <v>25</v>
      </c>
      <c r="B27" s="24">
        <v>46319</v>
      </c>
      <c r="C27" s="14"/>
      <c r="D27" s="14"/>
      <c r="E27" s="341"/>
      <c r="F27" s="87"/>
      <c r="G27" s="34">
        <f t="shared" si="0"/>
        <v>0</v>
      </c>
      <c r="H27" s="38"/>
      <c r="I27" s="38"/>
      <c r="J27" s="34">
        <f t="shared" si="1"/>
        <v>0</v>
      </c>
      <c r="K27" s="34">
        <f t="shared" si="2"/>
        <v>0</v>
      </c>
      <c r="L27" s="34"/>
      <c r="M27" s="34">
        <f t="shared" si="3"/>
        <v>46726.566799999673</v>
      </c>
      <c r="N27" s="14"/>
    </row>
    <row r="28" spans="1:16">
      <c r="A28" s="23">
        <v>26</v>
      </c>
      <c r="B28" s="24">
        <v>46320</v>
      </c>
      <c r="C28" s="14"/>
      <c r="D28" s="14"/>
      <c r="E28" s="341"/>
      <c r="F28" s="87"/>
      <c r="G28" s="34">
        <f t="shared" si="0"/>
        <v>0</v>
      </c>
      <c r="H28" s="38"/>
      <c r="I28" s="38"/>
      <c r="J28" s="34">
        <f t="shared" si="1"/>
        <v>0</v>
      </c>
      <c r="K28" s="34">
        <f t="shared" si="2"/>
        <v>0</v>
      </c>
      <c r="L28" s="34"/>
      <c r="M28" s="34">
        <f t="shared" si="3"/>
        <v>46726.566799999673</v>
      </c>
      <c r="N28" s="14"/>
    </row>
    <row r="29" spans="1:16">
      <c r="A29" s="23">
        <v>27</v>
      </c>
      <c r="B29" s="24">
        <v>46321</v>
      </c>
      <c r="C29" s="14"/>
      <c r="D29" s="14"/>
      <c r="E29" s="341"/>
      <c r="F29" s="87"/>
      <c r="G29" s="34">
        <f t="shared" si="0"/>
        <v>0</v>
      </c>
      <c r="H29" s="38"/>
      <c r="I29" s="38"/>
      <c r="J29" s="34">
        <f t="shared" si="1"/>
        <v>0</v>
      </c>
      <c r="K29" s="34">
        <f t="shared" si="2"/>
        <v>0</v>
      </c>
      <c r="L29" s="34"/>
      <c r="M29" s="34">
        <f t="shared" si="3"/>
        <v>46726.566799999673</v>
      </c>
      <c r="N29" s="14"/>
      <c r="O29" s="19"/>
    </row>
    <row r="30" spans="1:16">
      <c r="A30" s="23">
        <v>28</v>
      </c>
      <c r="B30" s="24">
        <v>46322</v>
      </c>
      <c r="C30" s="14"/>
      <c r="D30" s="14"/>
      <c r="E30" s="341"/>
      <c r="F30" s="87"/>
      <c r="G30" s="34">
        <f t="shared" si="0"/>
        <v>0</v>
      </c>
      <c r="H30" s="38"/>
      <c r="I30" s="38"/>
      <c r="J30" s="34">
        <f t="shared" si="1"/>
        <v>0</v>
      </c>
      <c r="K30" s="34">
        <f t="shared" si="2"/>
        <v>0</v>
      </c>
      <c r="L30" s="34"/>
      <c r="M30" s="34">
        <f t="shared" si="3"/>
        <v>46726.566799999673</v>
      </c>
      <c r="N30" s="14"/>
    </row>
    <row r="31" spans="1:16">
      <c r="A31" s="23">
        <v>29</v>
      </c>
      <c r="B31" s="24">
        <v>46323</v>
      </c>
      <c r="C31" s="14"/>
      <c r="D31" s="217"/>
      <c r="E31" s="341"/>
      <c r="F31" s="87"/>
      <c r="G31" s="34">
        <f t="shared" si="0"/>
        <v>0</v>
      </c>
      <c r="H31" s="38"/>
      <c r="I31" s="38"/>
      <c r="J31" s="34">
        <f t="shared" si="1"/>
        <v>0</v>
      </c>
      <c r="K31" s="34">
        <f t="shared" si="2"/>
        <v>0</v>
      </c>
      <c r="L31" s="353"/>
      <c r="M31" s="34">
        <f t="shared" si="3"/>
        <v>46726.566799999673</v>
      </c>
      <c r="N31" s="14"/>
    </row>
    <row r="32" spans="1:16">
      <c r="A32" s="23">
        <v>30</v>
      </c>
      <c r="B32" s="24">
        <v>46324</v>
      </c>
      <c r="C32" s="14"/>
      <c r="D32" s="14"/>
      <c r="E32" s="341"/>
      <c r="F32" s="87"/>
      <c r="G32" s="34">
        <f t="shared" si="0"/>
        <v>0</v>
      </c>
      <c r="H32" s="38"/>
      <c r="I32" s="38"/>
      <c r="J32" s="34">
        <f t="shared" si="1"/>
        <v>0</v>
      </c>
      <c r="K32" s="34">
        <f t="shared" si="2"/>
        <v>0</v>
      </c>
      <c r="L32" s="34"/>
      <c r="M32" s="34">
        <f t="shared" si="3"/>
        <v>46726.566799999673</v>
      </c>
      <c r="N32" s="14"/>
    </row>
    <row r="33" spans="1:16">
      <c r="A33" s="23">
        <v>31</v>
      </c>
      <c r="B33" s="24">
        <v>46325</v>
      </c>
      <c r="C33" s="14"/>
      <c r="D33" s="14"/>
      <c r="E33" s="341"/>
      <c r="F33" s="87"/>
      <c r="G33" s="34">
        <f t="shared" si="0"/>
        <v>0</v>
      </c>
      <c r="H33" s="38"/>
      <c r="I33" s="38"/>
      <c r="J33" s="34">
        <f t="shared" si="1"/>
        <v>0</v>
      </c>
      <c r="K33" s="34">
        <f t="shared" si="2"/>
        <v>0</v>
      </c>
      <c r="L33" s="34"/>
      <c r="M33" s="34">
        <f t="shared" si="3"/>
        <v>46726.566799999673</v>
      </c>
      <c r="N33" s="14"/>
    </row>
    <row r="34" spans="1:16">
      <c r="A34" s="23">
        <v>32</v>
      </c>
      <c r="B34" s="24">
        <v>46326</v>
      </c>
      <c r="C34" s="14"/>
      <c r="D34" s="14"/>
      <c r="E34" s="341"/>
      <c r="F34" s="87"/>
      <c r="G34" s="34">
        <f t="shared" si="0"/>
        <v>0</v>
      </c>
      <c r="H34" s="38"/>
      <c r="I34" s="38"/>
      <c r="J34" s="34">
        <f t="shared" si="1"/>
        <v>0</v>
      </c>
      <c r="K34" s="34">
        <f t="shared" si="2"/>
        <v>0</v>
      </c>
      <c r="L34" s="34"/>
      <c r="M34" s="34">
        <f t="shared" si="3"/>
        <v>46726.566799999673</v>
      </c>
      <c r="N34" s="14"/>
    </row>
    <row r="35" spans="1:16">
      <c r="A35" s="23">
        <v>33</v>
      </c>
      <c r="B35" s="24"/>
      <c r="C35" s="14"/>
      <c r="D35" s="14"/>
      <c r="E35" s="341"/>
      <c r="F35" s="87"/>
      <c r="G35" s="34">
        <f t="shared" si="0"/>
        <v>0</v>
      </c>
      <c r="H35" s="38"/>
      <c r="I35" s="38"/>
      <c r="J35" s="34">
        <f t="shared" si="1"/>
        <v>0</v>
      </c>
      <c r="K35" s="34">
        <f t="shared" si="2"/>
        <v>0</v>
      </c>
      <c r="L35" s="34"/>
      <c r="M35" s="34">
        <f t="shared" si="3"/>
        <v>46726.566799999673</v>
      </c>
      <c r="N35" s="14"/>
    </row>
    <row r="36" spans="1:16">
      <c r="A36" s="23">
        <v>34</v>
      </c>
      <c r="B36" s="24"/>
      <c r="C36" s="14"/>
      <c r="D36" s="14"/>
      <c r="E36" s="341"/>
      <c r="F36" s="87"/>
      <c r="G36" s="34">
        <f t="shared" si="0"/>
        <v>0</v>
      </c>
      <c r="H36" s="38"/>
      <c r="I36" s="38"/>
      <c r="J36" s="34">
        <f t="shared" si="1"/>
        <v>0</v>
      </c>
      <c r="K36" s="34">
        <f t="shared" si="2"/>
        <v>0</v>
      </c>
      <c r="L36" s="34"/>
      <c r="M36" s="34">
        <f t="shared" si="3"/>
        <v>46726.566799999673</v>
      </c>
      <c r="N36" s="14"/>
      <c r="P36" s="227"/>
    </row>
    <row r="37" spans="1:16">
      <c r="A37" s="23">
        <v>35</v>
      </c>
      <c r="B37" s="24"/>
      <c r="C37" s="14"/>
      <c r="D37" s="14"/>
      <c r="E37" s="341"/>
      <c r="F37" s="87"/>
      <c r="G37" s="34">
        <f t="shared" si="0"/>
        <v>0</v>
      </c>
      <c r="H37" s="38"/>
      <c r="I37" s="38"/>
      <c r="J37" s="34">
        <f t="shared" si="1"/>
        <v>0</v>
      </c>
      <c r="K37" s="34">
        <f t="shared" si="2"/>
        <v>0</v>
      </c>
      <c r="L37" s="34"/>
      <c r="M37" s="34">
        <f t="shared" si="3"/>
        <v>46726.566799999673</v>
      </c>
      <c r="N37" s="14"/>
      <c r="P37" s="227"/>
    </row>
    <row r="38" spans="1:16">
      <c r="A38" s="23">
        <v>36</v>
      </c>
      <c r="B38" s="24"/>
      <c r="C38" s="14"/>
      <c r="D38" s="14"/>
      <c r="E38" s="87"/>
      <c r="F38" s="87"/>
      <c r="G38" s="34">
        <f t="shared" si="0"/>
        <v>0</v>
      </c>
      <c r="H38" s="38"/>
      <c r="I38" s="38"/>
      <c r="J38" s="34">
        <f t="shared" si="1"/>
        <v>0</v>
      </c>
      <c r="K38" s="34">
        <f t="shared" si="2"/>
        <v>0</v>
      </c>
      <c r="L38" s="34"/>
      <c r="M38" s="34">
        <f t="shared" si="3"/>
        <v>46726.566799999673</v>
      </c>
      <c r="N38" s="14"/>
      <c r="P38" s="227"/>
    </row>
    <row r="39" spans="1:16">
      <c r="A39" s="36"/>
      <c r="B39" s="36"/>
      <c r="C39" s="36"/>
      <c r="D39" s="36"/>
      <c r="E39" s="36">
        <f>SUM(E4:E38)</f>
        <v>0</v>
      </c>
      <c r="F39" s="36"/>
      <c r="G39" s="36">
        <f>SUM(G4:G38)</f>
        <v>0</v>
      </c>
      <c r="H39" s="36">
        <f>SUM(H4:H38)</f>
        <v>150</v>
      </c>
      <c r="I39" s="36"/>
      <c r="J39" s="36">
        <f>SUM(J4:J38)</f>
        <v>16681.5</v>
      </c>
      <c r="K39" s="36">
        <f>SUM(K4:K38)</f>
        <v>16681.5</v>
      </c>
      <c r="L39" s="36">
        <f>SUM(L4:L38)</f>
        <v>0</v>
      </c>
      <c r="M39" s="36"/>
      <c r="N39" s="36"/>
    </row>
  </sheetData>
  <mergeCells count="2">
    <mergeCell ref="A1:N1"/>
    <mergeCell ref="C3:D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7"/>
  <sheetViews>
    <sheetView workbookViewId="0">
      <pane ySplit="3" topLeftCell="A10" activePane="bottomLeft" state="frozen"/>
      <selection pane="bottomLeft" activeCell="L19" sqref="L19"/>
    </sheetView>
  </sheetViews>
  <sheetFormatPr defaultRowHeight="15"/>
  <cols>
    <col min="1" max="1" width="5.140625" style="63" bestFit="1" customWidth="1"/>
    <col min="2" max="2" width="10.85546875" style="63" bestFit="1" customWidth="1"/>
    <col min="3" max="3" width="8" style="63" bestFit="1" customWidth="1"/>
    <col min="4" max="4" width="16" style="63" bestFit="1" customWidth="1"/>
    <col min="5" max="5" width="10.7109375" style="63" bestFit="1" customWidth="1"/>
    <col min="6" max="6" width="14.5703125" style="63" bestFit="1" customWidth="1"/>
    <col min="7" max="7" width="18.28515625" style="63" customWidth="1"/>
    <col min="8" max="8" width="10.7109375" style="63" bestFit="1" customWidth="1"/>
    <col min="9" max="9" width="15.5703125" style="63" customWidth="1"/>
    <col min="10" max="10" width="10.85546875" style="63" bestFit="1" customWidth="1"/>
    <col min="11" max="11" width="14.5703125" style="63" bestFit="1" customWidth="1"/>
    <col min="12" max="12" width="13.5703125" style="63" bestFit="1" customWidth="1"/>
    <col min="13" max="13" width="13.5703125" style="63" customWidth="1"/>
    <col min="14" max="14" width="23.5703125" style="63" bestFit="1" customWidth="1"/>
    <col min="15" max="15" width="11.28515625" style="63" customWidth="1"/>
    <col min="16" max="16" width="11.5703125" style="63" bestFit="1" customWidth="1"/>
    <col min="17" max="16384" width="9.140625" style="63"/>
  </cols>
  <sheetData>
    <row r="1" spans="1:17" ht="15.75">
      <c r="A1" s="631" t="s">
        <v>122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76"/>
    </row>
    <row r="2" spans="1:17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58" t="s">
        <v>174</v>
      </c>
      <c r="L2" s="79" t="s">
        <v>175</v>
      </c>
      <c r="M2" s="79" t="s">
        <v>190</v>
      </c>
      <c r="N2" s="77" t="s">
        <v>177</v>
      </c>
      <c r="O2" s="53"/>
    </row>
    <row r="3" spans="1:17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2"/>
      <c r="K3" s="152">
        <v>300655.80450000026</v>
      </c>
      <c r="L3" s="61"/>
      <c r="M3" s="152">
        <v>300655.80450000026</v>
      </c>
      <c r="N3" s="61"/>
      <c r="O3" s="53"/>
      <c r="P3" s="226"/>
    </row>
    <row r="4" spans="1:17">
      <c r="A4" s="23">
        <v>1</v>
      </c>
      <c r="B4" s="24">
        <v>46296</v>
      </c>
      <c r="C4" s="61"/>
      <c r="D4" s="148"/>
      <c r="E4" s="153">
        <v>650</v>
      </c>
      <c r="F4" s="153">
        <v>99.74</v>
      </c>
      <c r="G4" s="8">
        <f>E4*F4</f>
        <v>64831</v>
      </c>
      <c r="H4" s="153">
        <v>55</v>
      </c>
      <c r="I4" s="153">
        <v>111.85</v>
      </c>
      <c r="J4" s="8">
        <f>H4*I4</f>
        <v>6151.75</v>
      </c>
      <c r="K4" s="8">
        <f>G4+J4</f>
        <v>70982.75</v>
      </c>
      <c r="L4" s="154"/>
      <c r="M4" s="154">
        <f t="shared" ref="M4:M36" si="0">M3+K4-L4</f>
        <v>371638.55450000026</v>
      </c>
      <c r="N4" s="35"/>
    </row>
    <row r="5" spans="1:17">
      <c r="A5" s="23">
        <v>2</v>
      </c>
      <c r="B5" s="24">
        <v>46297</v>
      </c>
      <c r="C5" s="61"/>
      <c r="D5" s="148"/>
      <c r="E5" s="153">
        <v>50</v>
      </c>
      <c r="F5" s="153">
        <v>99.74</v>
      </c>
      <c r="G5" s="8">
        <f t="shared" ref="G5:G37" si="1">E5*F5</f>
        <v>4987</v>
      </c>
      <c r="H5" s="153"/>
      <c r="I5" s="153"/>
      <c r="J5" s="8">
        <f t="shared" ref="J5:J37" si="2">H5*I5</f>
        <v>0</v>
      </c>
      <c r="K5" s="8">
        <f t="shared" ref="K5:K37" si="3">G5+J5</f>
        <v>4987</v>
      </c>
      <c r="L5" s="154"/>
      <c r="M5" s="154">
        <f t="shared" si="0"/>
        <v>376625.55450000026</v>
      </c>
      <c r="N5" s="35"/>
    </row>
    <row r="6" spans="1:17">
      <c r="A6" s="23">
        <v>3</v>
      </c>
      <c r="B6" s="24">
        <v>46298</v>
      </c>
      <c r="C6" s="61"/>
      <c r="D6" s="148"/>
      <c r="E6" s="153">
        <v>200</v>
      </c>
      <c r="F6" s="153">
        <v>99.74</v>
      </c>
      <c r="G6" s="8">
        <f t="shared" si="1"/>
        <v>19948</v>
      </c>
      <c r="H6" s="153">
        <v>45</v>
      </c>
      <c r="I6" s="153">
        <v>111.85</v>
      </c>
      <c r="J6" s="8">
        <f t="shared" si="2"/>
        <v>5033.25</v>
      </c>
      <c r="K6" s="8">
        <f t="shared" si="3"/>
        <v>24981.25</v>
      </c>
      <c r="L6" s="154"/>
      <c r="M6" s="154">
        <f t="shared" si="0"/>
        <v>401606.80450000026</v>
      </c>
      <c r="N6" s="35"/>
    </row>
    <row r="7" spans="1:17">
      <c r="A7" s="23">
        <v>4</v>
      </c>
      <c r="B7" s="24">
        <v>46299</v>
      </c>
      <c r="C7" s="61"/>
      <c r="D7" s="148"/>
      <c r="E7" s="153">
        <v>28</v>
      </c>
      <c r="F7" s="153">
        <v>99.74</v>
      </c>
      <c r="G7" s="8">
        <f t="shared" si="1"/>
        <v>2792.72</v>
      </c>
      <c r="H7" s="153"/>
      <c r="I7" s="153"/>
      <c r="J7" s="8">
        <f t="shared" si="2"/>
        <v>0</v>
      </c>
      <c r="K7" s="8">
        <f t="shared" si="3"/>
        <v>2792.72</v>
      </c>
      <c r="L7" s="154"/>
      <c r="M7" s="154">
        <f t="shared" si="0"/>
        <v>404399.52450000023</v>
      </c>
      <c r="N7" s="35"/>
    </row>
    <row r="8" spans="1:17">
      <c r="A8" s="23">
        <v>5</v>
      </c>
      <c r="B8" s="24">
        <v>46300</v>
      </c>
      <c r="C8" s="61"/>
      <c r="D8" s="148"/>
      <c r="E8" s="153"/>
      <c r="F8" s="153"/>
      <c r="G8" s="8">
        <f t="shared" si="1"/>
        <v>0</v>
      </c>
      <c r="H8" s="153"/>
      <c r="I8" s="153"/>
      <c r="J8" s="8">
        <f t="shared" si="2"/>
        <v>0</v>
      </c>
      <c r="K8" s="8">
        <f t="shared" si="3"/>
        <v>0</v>
      </c>
      <c r="L8" s="154"/>
      <c r="M8" s="154">
        <f t="shared" si="0"/>
        <v>404399.52450000023</v>
      </c>
      <c r="N8" s="35"/>
      <c r="P8" s="226"/>
    </row>
    <row r="9" spans="1:17">
      <c r="A9" s="23">
        <v>6</v>
      </c>
      <c r="B9" s="24">
        <v>46301</v>
      </c>
      <c r="C9" s="61"/>
      <c r="D9" s="148"/>
      <c r="E9" s="153">
        <v>70</v>
      </c>
      <c r="F9" s="153">
        <v>99.74</v>
      </c>
      <c r="G9" s="8">
        <f t="shared" si="1"/>
        <v>6981.7999999999993</v>
      </c>
      <c r="H9" s="153"/>
      <c r="I9" s="153"/>
      <c r="J9" s="8">
        <f t="shared" si="2"/>
        <v>0</v>
      </c>
      <c r="K9" s="8">
        <f t="shared" si="3"/>
        <v>6981.7999999999993</v>
      </c>
      <c r="L9" s="154"/>
      <c r="M9" s="154">
        <f t="shared" si="0"/>
        <v>411381.32450000022</v>
      </c>
      <c r="N9" s="35"/>
    </row>
    <row r="10" spans="1:17">
      <c r="A10" s="23">
        <v>7</v>
      </c>
      <c r="B10" s="24">
        <v>46302</v>
      </c>
      <c r="C10" s="61"/>
      <c r="D10" s="148"/>
      <c r="E10" s="153">
        <v>435</v>
      </c>
      <c r="F10" s="153">
        <v>99.74</v>
      </c>
      <c r="G10" s="8">
        <f t="shared" si="1"/>
        <v>43386.899999999994</v>
      </c>
      <c r="H10" s="153">
        <v>35</v>
      </c>
      <c r="I10" s="153">
        <v>111.86</v>
      </c>
      <c r="J10" s="8">
        <f t="shared" si="2"/>
        <v>3915.1</v>
      </c>
      <c r="K10" s="8">
        <f t="shared" si="3"/>
        <v>47301.999999999993</v>
      </c>
      <c r="L10" s="154"/>
      <c r="M10" s="154">
        <f t="shared" si="0"/>
        <v>458683.32450000022</v>
      </c>
      <c r="N10" s="35"/>
    </row>
    <row r="11" spans="1:17">
      <c r="A11" s="23">
        <v>8</v>
      </c>
      <c r="B11" s="24">
        <v>46303</v>
      </c>
      <c r="C11" s="61"/>
      <c r="D11" s="148"/>
      <c r="E11" s="153">
        <v>44.21</v>
      </c>
      <c r="F11" s="153">
        <v>98.95</v>
      </c>
      <c r="G11" s="8">
        <f t="shared" si="1"/>
        <v>4374.5794999999998</v>
      </c>
      <c r="H11" s="153"/>
      <c r="I11" s="153"/>
      <c r="J11" s="8">
        <f t="shared" si="2"/>
        <v>0</v>
      </c>
      <c r="K11" s="8">
        <f t="shared" si="3"/>
        <v>4374.5794999999998</v>
      </c>
      <c r="L11" s="154">
        <v>4374.5794999999998</v>
      </c>
      <c r="M11" s="154">
        <f t="shared" si="0"/>
        <v>458683.32450000022</v>
      </c>
      <c r="N11" s="35" t="s">
        <v>207</v>
      </c>
      <c r="P11" s="225"/>
      <c r="Q11" s="226"/>
    </row>
    <row r="12" spans="1:17">
      <c r="A12" s="23"/>
      <c r="B12" s="24">
        <v>46303</v>
      </c>
      <c r="C12" s="61"/>
      <c r="D12" s="148"/>
      <c r="E12" s="153">
        <v>500</v>
      </c>
      <c r="F12" s="153">
        <v>99.74</v>
      </c>
      <c r="G12" s="8">
        <f t="shared" si="1"/>
        <v>49870</v>
      </c>
      <c r="H12" s="153">
        <v>35</v>
      </c>
      <c r="I12" s="153">
        <v>111.86</v>
      </c>
      <c r="J12" s="8">
        <f t="shared" si="2"/>
        <v>3915.1</v>
      </c>
      <c r="K12" s="8">
        <f t="shared" si="3"/>
        <v>53785.1</v>
      </c>
      <c r="L12" s="154"/>
      <c r="M12" s="154">
        <f t="shared" si="0"/>
        <v>512468.4245000002</v>
      </c>
      <c r="N12" s="35"/>
      <c r="P12" s="225"/>
      <c r="Q12" s="226"/>
    </row>
    <row r="13" spans="1:17">
      <c r="A13" s="23">
        <v>9</v>
      </c>
      <c r="B13" s="24">
        <v>46304</v>
      </c>
      <c r="C13" s="61"/>
      <c r="D13" s="148"/>
      <c r="E13" s="153">
        <v>430.24</v>
      </c>
      <c r="F13" s="153">
        <v>99.74</v>
      </c>
      <c r="G13" s="8">
        <f t="shared" si="1"/>
        <v>42912.137600000002</v>
      </c>
      <c r="H13" s="153">
        <v>35</v>
      </c>
      <c r="I13" s="153">
        <v>111.86</v>
      </c>
      <c r="J13" s="8">
        <f t="shared" si="2"/>
        <v>3915.1</v>
      </c>
      <c r="K13" s="8">
        <f t="shared" si="3"/>
        <v>46827.2376</v>
      </c>
      <c r="L13" s="154"/>
      <c r="M13" s="154">
        <f t="shared" si="0"/>
        <v>559295.66210000019</v>
      </c>
      <c r="N13" s="35"/>
    </row>
    <row r="14" spans="1:17">
      <c r="A14" s="23">
        <v>10</v>
      </c>
      <c r="B14" s="24">
        <v>46305</v>
      </c>
      <c r="C14" s="61"/>
      <c r="D14" s="148"/>
      <c r="E14" s="153">
        <v>15</v>
      </c>
      <c r="F14" s="153">
        <v>99.74</v>
      </c>
      <c r="G14" s="8">
        <f t="shared" si="1"/>
        <v>1496.1</v>
      </c>
      <c r="H14" s="153"/>
      <c r="I14" s="153"/>
      <c r="J14" s="8">
        <f t="shared" si="2"/>
        <v>0</v>
      </c>
      <c r="K14" s="8">
        <f t="shared" si="3"/>
        <v>1496.1</v>
      </c>
      <c r="L14" s="154"/>
      <c r="M14" s="154">
        <f t="shared" si="0"/>
        <v>560791.76210000017</v>
      </c>
      <c r="N14" s="35"/>
    </row>
    <row r="15" spans="1:17">
      <c r="A15" s="23">
        <v>11</v>
      </c>
      <c r="B15" s="24">
        <v>46306</v>
      </c>
      <c r="C15" s="61"/>
      <c r="D15" s="148"/>
      <c r="E15" s="153"/>
      <c r="F15" s="153"/>
      <c r="G15" s="8">
        <f t="shared" si="1"/>
        <v>0</v>
      </c>
      <c r="H15" s="153">
        <v>5</v>
      </c>
      <c r="I15" s="153">
        <v>111.85</v>
      </c>
      <c r="J15" s="8">
        <f t="shared" si="2"/>
        <v>559.25</v>
      </c>
      <c r="K15" s="8">
        <f t="shared" si="3"/>
        <v>559.25</v>
      </c>
      <c r="L15" s="154"/>
      <c r="M15" s="154">
        <f t="shared" si="0"/>
        <v>561351.01210000017</v>
      </c>
      <c r="N15" s="35"/>
    </row>
    <row r="16" spans="1:17" ht="15.75">
      <c r="A16" s="23">
        <v>12</v>
      </c>
      <c r="B16" s="24">
        <v>46307</v>
      </c>
      <c r="C16" s="61"/>
      <c r="D16" s="148"/>
      <c r="E16" s="540"/>
      <c r="F16" s="541"/>
      <c r="G16" s="8">
        <f t="shared" si="1"/>
        <v>0</v>
      </c>
      <c r="H16" s="153"/>
      <c r="I16" s="153"/>
      <c r="J16" s="8">
        <f t="shared" si="2"/>
        <v>0</v>
      </c>
      <c r="K16" s="8">
        <f t="shared" si="3"/>
        <v>0</v>
      </c>
      <c r="L16" s="154"/>
      <c r="M16" s="154">
        <f t="shared" si="0"/>
        <v>561351.01210000017</v>
      </c>
      <c r="N16" s="35"/>
    </row>
    <row r="17" spans="1:17" ht="15.75">
      <c r="A17" s="23">
        <v>13</v>
      </c>
      <c r="B17" s="24">
        <v>46308</v>
      </c>
      <c r="C17" s="61"/>
      <c r="D17" s="148"/>
      <c r="E17" s="540">
        <v>70</v>
      </c>
      <c r="F17" s="541">
        <v>99.74</v>
      </c>
      <c r="G17" s="8">
        <f t="shared" si="1"/>
        <v>6981.7999999999993</v>
      </c>
      <c r="H17" s="153">
        <v>5</v>
      </c>
      <c r="I17" s="153">
        <v>111.85</v>
      </c>
      <c r="J17" s="8">
        <f t="shared" si="2"/>
        <v>559.25</v>
      </c>
      <c r="K17" s="8">
        <f t="shared" si="3"/>
        <v>7541.0499999999993</v>
      </c>
      <c r="L17" s="154"/>
      <c r="M17" s="154">
        <f t="shared" si="0"/>
        <v>568892.06210000021</v>
      </c>
      <c r="N17" s="35"/>
    </row>
    <row r="18" spans="1:17">
      <c r="A18" s="23">
        <v>14</v>
      </c>
      <c r="B18" s="24">
        <v>46309</v>
      </c>
      <c r="C18" s="61"/>
      <c r="D18" s="148"/>
      <c r="E18" s="153">
        <v>190</v>
      </c>
      <c r="F18" s="153">
        <v>99.74</v>
      </c>
      <c r="G18" s="8">
        <f t="shared" si="1"/>
        <v>18950.599999999999</v>
      </c>
      <c r="H18" s="153"/>
      <c r="I18" s="153"/>
      <c r="J18" s="8">
        <f t="shared" si="2"/>
        <v>0</v>
      </c>
      <c r="K18" s="8">
        <f t="shared" si="3"/>
        <v>18950.599999999999</v>
      </c>
      <c r="L18" s="154">
        <v>157060.91</v>
      </c>
      <c r="M18" s="154">
        <f t="shared" si="0"/>
        <v>430781.75210000016</v>
      </c>
      <c r="N18" s="35"/>
    </row>
    <row r="19" spans="1:17">
      <c r="A19" s="23">
        <v>15</v>
      </c>
      <c r="B19" s="24">
        <v>46310</v>
      </c>
      <c r="C19" s="61"/>
      <c r="D19" s="148"/>
      <c r="E19" s="153">
        <v>40</v>
      </c>
      <c r="F19" s="153">
        <v>99.74</v>
      </c>
      <c r="G19" s="8">
        <f t="shared" si="1"/>
        <v>3989.6</v>
      </c>
      <c r="H19" s="153"/>
      <c r="I19" s="153"/>
      <c r="J19" s="8">
        <f t="shared" si="2"/>
        <v>0</v>
      </c>
      <c r="K19" s="8">
        <f t="shared" si="3"/>
        <v>3989.6</v>
      </c>
      <c r="L19" s="154"/>
      <c r="M19" s="154">
        <f t="shared" si="0"/>
        <v>434771.35210000013</v>
      </c>
      <c r="N19" s="35"/>
    </row>
    <row r="20" spans="1:17">
      <c r="A20" s="23">
        <v>16</v>
      </c>
      <c r="B20" s="24">
        <v>46311</v>
      </c>
      <c r="C20" s="61"/>
      <c r="D20" s="148"/>
      <c r="E20" s="153"/>
      <c r="F20" s="153"/>
      <c r="G20" s="8">
        <f t="shared" si="1"/>
        <v>0</v>
      </c>
      <c r="H20" s="153"/>
      <c r="I20" s="153"/>
      <c r="J20" s="8">
        <f t="shared" si="2"/>
        <v>0</v>
      </c>
      <c r="K20" s="8">
        <f t="shared" si="3"/>
        <v>0</v>
      </c>
      <c r="L20" s="154"/>
      <c r="M20" s="154">
        <f t="shared" si="0"/>
        <v>434771.35210000013</v>
      </c>
      <c r="N20" s="35"/>
      <c r="Q20" s="226"/>
    </row>
    <row r="21" spans="1:17">
      <c r="A21" s="23">
        <v>17</v>
      </c>
      <c r="B21" s="24">
        <v>46312</v>
      </c>
      <c r="C21" s="61"/>
      <c r="D21" s="148"/>
      <c r="E21" s="153"/>
      <c r="F21" s="153"/>
      <c r="G21" s="8">
        <f t="shared" si="1"/>
        <v>0</v>
      </c>
      <c r="H21" s="153"/>
      <c r="I21" s="153"/>
      <c r="J21" s="8">
        <f t="shared" si="2"/>
        <v>0</v>
      </c>
      <c r="K21" s="8">
        <f t="shared" si="3"/>
        <v>0</v>
      </c>
      <c r="L21" s="154"/>
      <c r="M21" s="154">
        <f t="shared" si="0"/>
        <v>434771.35210000013</v>
      </c>
      <c r="N21" s="35"/>
    </row>
    <row r="22" spans="1:17">
      <c r="A22" s="23">
        <v>18</v>
      </c>
      <c r="B22" s="24">
        <v>46313</v>
      </c>
      <c r="C22" s="61"/>
      <c r="D22" s="148"/>
      <c r="E22" s="153"/>
      <c r="F22" s="153"/>
      <c r="G22" s="8">
        <f t="shared" si="1"/>
        <v>0</v>
      </c>
      <c r="H22" s="153"/>
      <c r="I22" s="153"/>
      <c r="J22" s="8">
        <f t="shared" si="2"/>
        <v>0</v>
      </c>
      <c r="K22" s="8">
        <f t="shared" si="3"/>
        <v>0</v>
      </c>
      <c r="L22" s="154"/>
      <c r="M22" s="154">
        <f t="shared" si="0"/>
        <v>434771.35210000013</v>
      </c>
      <c r="N22" s="35"/>
    </row>
    <row r="23" spans="1:17" ht="15.75">
      <c r="A23" s="23">
        <v>19</v>
      </c>
      <c r="B23" s="24">
        <v>46314</v>
      </c>
      <c r="C23" s="61"/>
      <c r="D23" s="148"/>
      <c r="E23" s="540"/>
      <c r="F23" s="541"/>
      <c r="G23" s="8">
        <f t="shared" si="1"/>
        <v>0</v>
      </c>
      <c r="H23" s="153"/>
      <c r="I23" s="153"/>
      <c r="J23" s="8">
        <f t="shared" si="2"/>
        <v>0</v>
      </c>
      <c r="K23" s="8">
        <f t="shared" si="3"/>
        <v>0</v>
      </c>
      <c r="L23" s="154"/>
      <c r="M23" s="154">
        <f t="shared" si="0"/>
        <v>434771.35210000013</v>
      </c>
      <c r="N23" s="35"/>
    </row>
    <row r="24" spans="1:17" ht="15.75">
      <c r="A24" s="23">
        <v>20</v>
      </c>
      <c r="B24" s="24">
        <v>46315</v>
      </c>
      <c r="C24" s="61"/>
      <c r="D24" s="148"/>
      <c r="E24" s="540"/>
      <c r="F24" s="541"/>
      <c r="G24" s="8">
        <f t="shared" si="1"/>
        <v>0</v>
      </c>
      <c r="H24" s="153"/>
      <c r="I24" s="153"/>
      <c r="J24" s="8">
        <f t="shared" si="2"/>
        <v>0</v>
      </c>
      <c r="K24" s="8">
        <f t="shared" si="3"/>
        <v>0</v>
      </c>
      <c r="L24" s="154"/>
      <c r="M24" s="154">
        <f t="shared" si="0"/>
        <v>434771.35210000013</v>
      </c>
      <c r="N24" s="35"/>
    </row>
    <row r="25" spans="1:17">
      <c r="A25" s="23">
        <v>21</v>
      </c>
      <c r="B25" s="24">
        <v>46316</v>
      </c>
      <c r="C25" s="61"/>
      <c r="D25" s="148"/>
      <c r="E25" s="153"/>
      <c r="F25" s="153"/>
      <c r="G25" s="8">
        <f t="shared" si="1"/>
        <v>0</v>
      </c>
      <c r="H25" s="153"/>
      <c r="I25" s="153"/>
      <c r="J25" s="8">
        <f t="shared" si="2"/>
        <v>0</v>
      </c>
      <c r="K25" s="8">
        <f t="shared" si="3"/>
        <v>0</v>
      </c>
      <c r="L25" s="154"/>
      <c r="M25" s="154">
        <f t="shared" si="0"/>
        <v>434771.35210000013</v>
      </c>
      <c r="N25" s="35"/>
    </row>
    <row r="26" spans="1:17" ht="15.75">
      <c r="A26" s="23">
        <v>22</v>
      </c>
      <c r="B26" s="24">
        <v>46317</v>
      </c>
      <c r="C26" s="61"/>
      <c r="D26" s="148"/>
      <c r="E26" s="540"/>
      <c r="F26" s="153"/>
      <c r="G26" s="8">
        <f t="shared" si="1"/>
        <v>0</v>
      </c>
      <c r="H26" s="153"/>
      <c r="I26" s="153"/>
      <c r="J26" s="8">
        <f t="shared" si="2"/>
        <v>0</v>
      </c>
      <c r="K26" s="8">
        <f t="shared" si="3"/>
        <v>0</v>
      </c>
      <c r="L26" s="154"/>
      <c r="M26" s="154">
        <f t="shared" si="0"/>
        <v>434771.35210000013</v>
      </c>
      <c r="N26" s="35"/>
    </row>
    <row r="27" spans="1:17">
      <c r="A27" s="23">
        <v>23</v>
      </c>
      <c r="B27" s="24">
        <v>46318</v>
      </c>
      <c r="C27" s="61"/>
      <c r="D27" s="148"/>
      <c r="E27" s="153"/>
      <c r="F27" s="153"/>
      <c r="G27" s="8">
        <f t="shared" si="1"/>
        <v>0</v>
      </c>
      <c r="H27" s="153"/>
      <c r="I27" s="153"/>
      <c r="J27" s="8">
        <f t="shared" si="2"/>
        <v>0</v>
      </c>
      <c r="K27" s="8">
        <f t="shared" si="3"/>
        <v>0</v>
      </c>
      <c r="L27" s="154"/>
      <c r="M27" s="154">
        <f t="shared" si="0"/>
        <v>434771.35210000013</v>
      </c>
      <c r="N27" s="35"/>
    </row>
    <row r="28" spans="1:17">
      <c r="A28" s="23">
        <v>24</v>
      </c>
      <c r="B28" s="24">
        <v>46319</v>
      </c>
      <c r="C28" s="61"/>
      <c r="D28" s="148"/>
      <c r="E28" s="153"/>
      <c r="F28" s="153"/>
      <c r="G28" s="8">
        <f t="shared" si="1"/>
        <v>0</v>
      </c>
      <c r="H28" s="153"/>
      <c r="I28" s="153"/>
      <c r="J28" s="8">
        <f t="shared" si="2"/>
        <v>0</v>
      </c>
      <c r="K28" s="8">
        <f t="shared" si="3"/>
        <v>0</v>
      </c>
      <c r="L28" s="154"/>
      <c r="M28" s="154">
        <f t="shared" si="0"/>
        <v>434771.35210000013</v>
      </c>
      <c r="N28" s="35"/>
    </row>
    <row r="29" spans="1:17">
      <c r="A29" s="23">
        <v>25</v>
      </c>
      <c r="B29" s="24">
        <v>46320</v>
      </c>
      <c r="C29" s="61"/>
      <c r="D29" s="148"/>
      <c r="E29" s="153"/>
      <c r="F29" s="153"/>
      <c r="G29" s="8">
        <f t="shared" si="1"/>
        <v>0</v>
      </c>
      <c r="H29" s="153"/>
      <c r="I29" s="153"/>
      <c r="J29" s="8">
        <f t="shared" si="2"/>
        <v>0</v>
      </c>
      <c r="K29" s="8">
        <f t="shared" si="3"/>
        <v>0</v>
      </c>
      <c r="L29" s="154"/>
      <c r="M29" s="154">
        <f t="shared" si="0"/>
        <v>434771.35210000013</v>
      </c>
      <c r="N29" s="35"/>
    </row>
    <row r="30" spans="1:17" ht="15.75">
      <c r="A30" s="23">
        <v>26</v>
      </c>
      <c r="B30" s="24">
        <v>46321</v>
      </c>
      <c r="C30" s="61"/>
      <c r="D30" s="148"/>
      <c r="E30" s="540"/>
      <c r="F30" s="541"/>
      <c r="G30" s="8">
        <f t="shared" si="1"/>
        <v>0</v>
      </c>
      <c r="H30" s="153"/>
      <c r="I30" s="153"/>
      <c r="J30" s="8">
        <f t="shared" si="2"/>
        <v>0</v>
      </c>
      <c r="K30" s="8">
        <f t="shared" si="3"/>
        <v>0</v>
      </c>
      <c r="L30" s="154"/>
      <c r="M30" s="154">
        <f t="shared" si="0"/>
        <v>434771.35210000013</v>
      </c>
      <c r="N30" s="35"/>
    </row>
    <row r="31" spans="1:17" ht="15.75">
      <c r="A31" s="23">
        <v>27</v>
      </c>
      <c r="B31" s="24">
        <v>46322</v>
      </c>
      <c r="C31" s="61"/>
      <c r="D31" s="148"/>
      <c r="E31" s="540"/>
      <c r="F31" s="541"/>
      <c r="G31" s="8">
        <f t="shared" si="1"/>
        <v>0</v>
      </c>
      <c r="H31" s="153"/>
      <c r="I31" s="153"/>
      <c r="J31" s="8">
        <f t="shared" si="2"/>
        <v>0</v>
      </c>
      <c r="K31" s="8">
        <f t="shared" si="3"/>
        <v>0</v>
      </c>
      <c r="L31" s="154"/>
      <c r="M31" s="154">
        <f t="shared" si="0"/>
        <v>434771.35210000013</v>
      </c>
      <c r="N31" s="35"/>
    </row>
    <row r="32" spans="1:17">
      <c r="A32" s="23">
        <v>28</v>
      </c>
      <c r="B32" s="24">
        <v>46323</v>
      </c>
      <c r="C32" s="183"/>
      <c r="D32" s="148"/>
      <c r="E32" s="153"/>
      <c r="F32" s="153"/>
      <c r="G32" s="8">
        <f t="shared" si="1"/>
        <v>0</v>
      </c>
      <c r="H32" s="153"/>
      <c r="I32" s="153"/>
      <c r="J32" s="8">
        <f t="shared" si="2"/>
        <v>0</v>
      </c>
      <c r="K32" s="8">
        <f t="shared" si="3"/>
        <v>0</v>
      </c>
      <c r="L32" s="154"/>
      <c r="M32" s="154">
        <f t="shared" si="0"/>
        <v>434771.35210000013</v>
      </c>
      <c r="N32" s="35"/>
    </row>
    <row r="33" spans="1:15">
      <c r="A33" s="23">
        <v>29</v>
      </c>
      <c r="B33" s="24">
        <v>46324</v>
      </c>
      <c r="C33" s="61"/>
      <c r="D33" s="148"/>
      <c r="E33" s="153"/>
      <c r="F33" s="153"/>
      <c r="G33" s="8">
        <f t="shared" si="1"/>
        <v>0</v>
      </c>
      <c r="H33" s="153"/>
      <c r="I33" s="153"/>
      <c r="J33" s="8">
        <f t="shared" si="2"/>
        <v>0</v>
      </c>
      <c r="K33" s="8">
        <f t="shared" si="3"/>
        <v>0</v>
      </c>
      <c r="L33" s="154"/>
      <c r="M33" s="154">
        <f t="shared" si="0"/>
        <v>434771.35210000013</v>
      </c>
      <c r="N33" s="35"/>
    </row>
    <row r="34" spans="1:15">
      <c r="A34" s="23">
        <v>30</v>
      </c>
      <c r="B34" s="24">
        <v>46325</v>
      </c>
      <c r="C34" s="61"/>
      <c r="D34" s="148"/>
      <c r="E34" s="153"/>
      <c r="F34" s="153"/>
      <c r="G34" s="8">
        <f t="shared" si="1"/>
        <v>0</v>
      </c>
      <c r="H34" s="153"/>
      <c r="I34" s="153"/>
      <c r="J34" s="8">
        <f t="shared" si="2"/>
        <v>0</v>
      </c>
      <c r="K34" s="8">
        <f t="shared" si="3"/>
        <v>0</v>
      </c>
      <c r="L34" s="154"/>
      <c r="M34" s="154">
        <f t="shared" si="0"/>
        <v>434771.35210000013</v>
      </c>
      <c r="N34" s="35"/>
    </row>
    <row r="35" spans="1:15">
      <c r="A35" s="23">
        <v>31</v>
      </c>
      <c r="B35" s="24">
        <v>46326</v>
      </c>
      <c r="C35" s="61"/>
      <c r="D35" s="148"/>
      <c r="E35" s="153"/>
      <c r="F35" s="153"/>
      <c r="G35" s="8">
        <f t="shared" si="1"/>
        <v>0</v>
      </c>
      <c r="H35" s="153"/>
      <c r="I35" s="153"/>
      <c r="J35" s="8">
        <f t="shared" si="2"/>
        <v>0</v>
      </c>
      <c r="K35" s="8">
        <f t="shared" si="3"/>
        <v>0</v>
      </c>
      <c r="L35" s="154"/>
      <c r="M35" s="154">
        <f t="shared" si="0"/>
        <v>434771.35210000013</v>
      </c>
      <c r="N35" s="35"/>
    </row>
    <row r="36" spans="1:15">
      <c r="A36" s="23">
        <v>32</v>
      </c>
      <c r="B36" s="24"/>
      <c r="C36" s="61"/>
      <c r="D36" s="148"/>
      <c r="E36" s="153"/>
      <c r="F36" s="153"/>
      <c r="G36" s="8">
        <f t="shared" si="1"/>
        <v>0</v>
      </c>
      <c r="H36" s="153"/>
      <c r="I36" s="153"/>
      <c r="J36" s="8">
        <f t="shared" si="2"/>
        <v>0</v>
      </c>
      <c r="K36" s="8">
        <f t="shared" si="3"/>
        <v>0</v>
      </c>
      <c r="L36" s="154"/>
      <c r="M36" s="154">
        <f t="shared" si="0"/>
        <v>434771.35210000013</v>
      </c>
      <c r="N36" s="35"/>
    </row>
    <row r="37" spans="1:15">
      <c r="A37" s="23">
        <v>33</v>
      </c>
      <c r="B37" s="24"/>
      <c r="C37" s="61"/>
      <c r="D37" s="148"/>
      <c r="E37" s="153"/>
      <c r="F37" s="153"/>
      <c r="G37" s="8">
        <f t="shared" si="1"/>
        <v>0</v>
      </c>
      <c r="H37" s="153"/>
      <c r="I37" s="153"/>
      <c r="J37" s="8">
        <f t="shared" si="2"/>
        <v>0</v>
      </c>
      <c r="K37" s="8">
        <f t="shared" si="3"/>
        <v>0</v>
      </c>
      <c r="L37" s="154"/>
      <c r="M37" s="154">
        <f>M36+K37-L37</f>
        <v>434771.35210000013</v>
      </c>
      <c r="N37" s="35"/>
    </row>
    <row r="38" spans="1:15">
      <c r="A38" s="149"/>
      <c r="B38" s="149"/>
      <c r="C38" s="149"/>
      <c r="D38" s="149"/>
      <c r="E38" s="150">
        <f>SUM(E4:E37)</f>
        <v>2722.45</v>
      </c>
      <c r="F38" s="150"/>
      <c r="G38" s="150">
        <f>SUM(G4:G37)</f>
        <v>271502.23709999997</v>
      </c>
      <c r="H38" s="150">
        <f>SUM(H4:H37)</f>
        <v>215</v>
      </c>
      <c r="I38" s="57"/>
      <c r="J38" s="150">
        <f>SUM(J4:J37)</f>
        <v>24048.799999999999</v>
      </c>
      <c r="K38" s="150">
        <f>SUM(K4:K37)</f>
        <v>295551.0370999999</v>
      </c>
      <c r="L38" s="150">
        <f>SUM(L4:L37)</f>
        <v>161435.4895</v>
      </c>
      <c r="M38" s="150"/>
      <c r="N38" s="57"/>
      <c r="O38" s="53"/>
    </row>
    <row r="39" spans="1:15">
      <c r="A39" s="66"/>
      <c r="B39" s="67"/>
      <c r="C39" s="66"/>
      <c r="D39" s="66"/>
      <c r="E39" s="68"/>
      <c r="F39" s="68"/>
      <c r="G39" s="68"/>
      <c r="H39" s="68"/>
      <c r="I39" s="68"/>
      <c r="J39" s="69"/>
      <c r="K39" s="69"/>
      <c r="L39" s="69"/>
      <c r="M39" s="69"/>
      <c r="N39" s="68"/>
    </row>
    <row r="45" spans="1:15">
      <c r="B45" s="53"/>
      <c r="G45" s="70"/>
      <c r="J45" s="53"/>
      <c r="K45" s="53"/>
      <c r="L45" s="53"/>
      <c r="M45" s="53"/>
      <c r="O45" s="68"/>
    </row>
    <row r="46" spans="1:15">
      <c r="B46" s="624"/>
      <c r="C46" s="624"/>
      <c r="D46" s="624"/>
      <c r="E46" s="624"/>
      <c r="I46" s="624"/>
      <c r="J46" s="624"/>
      <c r="K46" s="624"/>
      <c r="L46" s="624"/>
      <c r="M46" s="624"/>
      <c r="N46" s="624"/>
      <c r="O46" s="68"/>
    </row>
    <row r="47" spans="1:15">
      <c r="B47" s="53"/>
      <c r="J47" s="53"/>
      <c r="K47" s="53"/>
      <c r="L47" s="53"/>
      <c r="M47" s="53"/>
      <c r="O47" s="68"/>
    </row>
  </sheetData>
  <mergeCells count="4">
    <mergeCell ref="A1:N1"/>
    <mergeCell ref="B46:E46"/>
    <mergeCell ref="I46:N46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Q47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8.28515625" customWidth="1"/>
    <col min="4" max="4" width="11.42578125" customWidth="1"/>
    <col min="7" max="7" width="14.7109375" customWidth="1"/>
    <col min="10" max="10" width="13.7109375" customWidth="1"/>
    <col min="11" max="11" width="23.7109375" customWidth="1"/>
    <col min="12" max="12" width="19" customWidth="1"/>
    <col min="13" max="13" width="18.140625" customWidth="1"/>
    <col min="14" max="14" width="32.140625" bestFit="1" customWidth="1"/>
  </cols>
  <sheetData>
    <row r="1" spans="1:17" ht="15.75">
      <c r="A1" s="627" t="s">
        <v>208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71"/>
      <c r="P1" s="71"/>
      <c r="Q1" s="71"/>
    </row>
    <row r="2" spans="1:17" ht="30.75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214" t="s">
        <v>175</v>
      </c>
      <c r="M2" s="134" t="s">
        <v>190</v>
      </c>
      <c r="N2" s="95" t="s">
        <v>177</v>
      </c>
      <c r="O2" s="71"/>
      <c r="P2" s="71"/>
      <c r="Q2" s="71"/>
    </row>
    <row r="3" spans="1:17">
      <c r="A3" s="635" t="s">
        <v>178</v>
      </c>
      <c r="B3" s="636"/>
      <c r="C3" s="636"/>
      <c r="D3" s="636"/>
      <c r="E3" s="636"/>
      <c r="F3" s="636"/>
      <c r="G3" s="636"/>
      <c r="H3" s="636"/>
      <c r="I3" s="636"/>
      <c r="J3" s="637"/>
      <c r="K3" s="197"/>
      <c r="L3" s="197"/>
      <c r="M3" s="197">
        <v>158612.05309999999</v>
      </c>
      <c r="N3" s="145"/>
      <c r="O3" s="71"/>
      <c r="P3" s="71"/>
      <c r="Q3" s="71"/>
    </row>
    <row r="4" spans="1:17">
      <c r="A4" s="23">
        <v>1</v>
      </c>
      <c r="B4" s="24">
        <v>46296</v>
      </c>
      <c r="C4" s="22"/>
      <c r="D4" s="15"/>
      <c r="E4" s="41">
        <v>136</v>
      </c>
      <c r="F4" s="41">
        <v>99.73</v>
      </c>
      <c r="G4" s="8">
        <f>E4*F4</f>
        <v>13563.28</v>
      </c>
      <c r="H4" s="41"/>
      <c r="I4" s="392"/>
      <c r="J4" s="8">
        <f>H4*I4</f>
        <v>0</v>
      </c>
      <c r="K4" s="8">
        <f>G4+J4</f>
        <v>13563.28</v>
      </c>
      <c r="L4" s="236"/>
      <c r="M4" s="8">
        <f>M3+K4-L4</f>
        <v>172175.33309999999</v>
      </c>
      <c r="N4" s="8"/>
      <c r="O4" s="71"/>
      <c r="P4" s="71"/>
      <c r="Q4" s="71"/>
    </row>
    <row r="5" spans="1:17">
      <c r="A5" s="23">
        <v>2</v>
      </c>
      <c r="B5" s="24">
        <v>46297</v>
      </c>
      <c r="C5" s="22"/>
      <c r="D5" s="15"/>
      <c r="E5" s="41"/>
      <c r="F5" s="41"/>
      <c r="G5" s="8">
        <f t="shared" ref="G5:G37" si="0">E5*F5</f>
        <v>0</v>
      </c>
      <c r="H5" s="41"/>
      <c r="I5" s="392"/>
      <c r="J5" s="8">
        <f>H5*I5</f>
        <v>0</v>
      </c>
      <c r="K5" s="8">
        <f t="shared" ref="K5:K37" si="1">G5+J5</f>
        <v>0</v>
      </c>
      <c r="L5" s="236"/>
      <c r="M5" s="8">
        <f t="shared" ref="M5:M36" si="2">M4+K5-L5</f>
        <v>172175.33309999999</v>
      </c>
      <c r="N5" s="8"/>
      <c r="O5" s="71"/>
      <c r="P5" s="71"/>
      <c r="Q5" s="71"/>
    </row>
    <row r="6" spans="1:17">
      <c r="A6" s="23">
        <v>3</v>
      </c>
      <c r="B6" s="24">
        <v>46298</v>
      </c>
      <c r="C6" s="22"/>
      <c r="D6" s="15"/>
      <c r="E6" s="41"/>
      <c r="F6" s="41"/>
      <c r="G6" s="8">
        <f t="shared" si="0"/>
        <v>0</v>
      </c>
      <c r="H6" s="41">
        <v>10</v>
      </c>
      <c r="I6" s="392">
        <v>111.85</v>
      </c>
      <c r="J6" s="8">
        <f t="shared" ref="J6:J37" si="3">H6*I6</f>
        <v>1118.5</v>
      </c>
      <c r="K6" s="8">
        <f t="shared" si="1"/>
        <v>1118.5</v>
      </c>
      <c r="L6" s="236"/>
      <c r="M6" s="8">
        <f t="shared" si="2"/>
        <v>173293.83309999999</v>
      </c>
      <c r="N6" s="8"/>
      <c r="O6" s="71"/>
      <c r="P6" s="71"/>
      <c r="Q6" s="71"/>
    </row>
    <row r="7" spans="1:17">
      <c r="A7" s="23">
        <v>4</v>
      </c>
      <c r="B7" s="24">
        <v>46299</v>
      </c>
      <c r="C7" s="22"/>
      <c r="D7" s="15"/>
      <c r="E7" s="41"/>
      <c r="F7" s="41"/>
      <c r="G7" s="8">
        <f t="shared" si="0"/>
        <v>0</v>
      </c>
      <c r="H7" s="41"/>
      <c r="I7" s="392"/>
      <c r="J7" s="8">
        <f t="shared" si="3"/>
        <v>0</v>
      </c>
      <c r="K7" s="8">
        <f t="shared" si="1"/>
        <v>0</v>
      </c>
      <c r="L7" s="236"/>
      <c r="M7" s="8">
        <f t="shared" si="2"/>
        <v>173293.83309999999</v>
      </c>
      <c r="N7" s="8"/>
      <c r="O7" s="71"/>
      <c r="P7" s="71"/>
      <c r="Q7" s="71"/>
    </row>
    <row r="8" spans="1:17">
      <c r="A8" s="23">
        <v>5</v>
      </c>
      <c r="B8" s="24">
        <v>46300</v>
      </c>
      <c r="C8" s="22"/>
      <c r="D8" s="15"/>
      <c r="E8" s="41">
        <v>200</v>
      </c>
      <c r="F8" s="41">
        <v>99.73</v>
      </c>
      <c r="G8" s="8">
        <f t="shared" si="0"/>
        <v>19946</v>
      </c>
      <c r="H8" s="41"/>
      <c r="I8" s="41"/>
      <c r="J8" s="8">
        <f t="shared" si="3"/>
        <v>0</v>
      </c>
      <c r="K8" s="8">
        <f t="shared" si="1"/>
        <v>19946</v>
      </c>
      <c r="L8" s="236"/>
      <c r="M8" s="8">
        <f t="shared" si="2"/>
        <v>193239.83309999999</v>
      </c>
      <c r="N8" s="8"/>
      <c r="O8" s="71"/>
      <c r="P8" s="71"/>
      <c r="Q8" s="71"/>
    </row>
    <row r="9" spans="1:17">
      <c r="A9" s="23">
        <v>6</v>
      </c>
      <c r="B9" s="24">
        <v>46301</v>
      </c>
      <c r="C9" s="22"/>
      <c r="D9" s="15"/>
      <c r="E9" s="41">
        <v>40</v>
      </c>
      <c r="F9" s="41">
        <v>99.73</v>
      </c>
      <c r="G9" s="8">
        <f t="shared" si="0"/>
        <v>3989.2000000000003</v>
      </c>
      <c r="H9" s="41">
        <v>10</v>
      </c>
      <c r="I9" s="41">
        <v>111.85</v>
      </c>
      <c r="J9" s="8">
        <f t="shared" si="3"/>
        <v>1118.5</v>
      </c>
      <c r="K9" s="8">
        <f t="shared" si="1"/>
        <v>5107.7000000000007</v>
      </c>
      <c r="L9" s="236"/>
      <c r="M9" s="8">
        <f t="shared" si="2"/>
        <v>198347.5331</v>
      </c>
      <c r="N9" s="8"/>
      <c r="O9" s="71"/>
      <c r="P9" s="71"/>
      <c r="Q9" s="71"/>
    </row>
    <row r="10" spans="1:17">
      <c r="A10" s="23">
        <v>7</v>
      </c>
      <c r="B10" s="24">
        <v>46302</v>
      </c>
      <c r="C10" s="22"/>
      <c r="D10" s="15"/>
      <c r="E10" s="41">
        <v>100</v>
      </c>
      <c r="F10" s="41">
        <v>99.73</v>
      </c>
      <c r="G10" s="8">
        <f t="shared" si="0"/>
        <v>9973</v>
      </c>
      <c r="H10" s="41">
        <v>7</v>
      </c>
      <c r="I10" s="41">
        <v>111.85</v>
      </c>
      <c r="J10" s="8">
        <f t="shared" si="3"/>
        <v>782.94999999999993</v>
      </c>
      <c r="K10" s="8">
        <f t="shared" si="1"/>
        <v>10755.95</v>
      </c>
      <c r="L10" s="236"/>
      <c r="M10" s="8">
        <f t="shared" si="2"/>
        <v>209103.48310000001</v>
      </c>
      <c r="N10" s="8"/>
      <c r="O10" s="71"/>
      <c r="P10" s="71"/>
      <c r="Q10" s="71"/>
    </row>
    <row r="11" spans="1:17">
      <c r="A11" s="23">
        <v>8</v>
      </c>
      <c r="B11" s="24">
        <v>46303</v>
      </c>
      <c r="C11" s="22"/>
      <c r="D11" s="15"/>
      <c r="E11" s="41"/>
      <c r="F11" s="41"/>
      <c r="G11" s="8">
        <f t="shared" si="0"/>
        <v>0</v>
      </c>
      <c r="H11" s="41"/>
      <c r="I11" s="41"/>
      <c r="J11" s="8">
        <f t="shared" si="3"/>
        <v>0</v>
      </c>
      <c r="K11" s="8">
        <f t="shared" si="1"/>
        <v>0</v>
      </c>
      <c r="L11" s="236"/>
      <c r="M11" s="8">
        <f t="shared" si="2"/>
        <v>209103.48310000001</v>
      </c>
      <c r="N11" s="8"/>
      <c r="O11" s="71"/>
      <c r="P11" s="71"/>
      <c r="Q11" s="71"/>
    </row>
    <row r="12" spans="1:17">
      <c r="A12" s="23">
        <v>9</v>
      </c>
      <c r="B12" s="24">
        <v>46304</v>
      </c>
      <c r="C12" s="22"/>
      <c r="D12" s="15"/>
      <c r="E12" s="250">
        <v>100</v>
      </c>
      <c r="F12" s="277">
        <v>99.73</v>
      </c>
      <c r="G12" s="8">
        <f t="shared" si="0"/>
        <v>9973</v>
      </c>
      <c r="H12" s="250"/>
      <c r="I12" s="41"/>
      <c r="J12" s="8">
        <f t="shared" si="3"/>
        <v>0</v>
      </c>
      <c r="K12" s="8">
        <f t="shared" si="1"/>
        <v>9973</v>
      </c>
      <c r="L12" s="236"/>
      <c r="M12" s="8">
        <f t="shared" si="2"/>
        <v>219076.48310000001</v>
      </c>
      <c r="N12" s="8"/>
      <c r="O12" s="71"/>
      <c r="P12" s="71"/>
      <c r="Q12" s="71"/>
    </row>
    <row r="13" spans="1:17">
      <c r="A13" s="23">
        <v>10</v>
      </c>
      <c r="B13" s="24">
        <v>46305</v>
      </c>
      <c r="C13" s="22"/>
      <c r="D13" s="15"/>
      <c r="E13" s="250"/>
      <c r="F13" s="277"/>
      <c r="G13" s="8">
        <f t="shared" si="0"/>
        <v>0</v>
      </c>
      <c r="H13" s="250"/>
      <c r="I13" s="41"/>
      <c r="J13" s="8">
        <f t="shared" si="3"/>
        <v>0</v>
      </c>
      <c r="K13" s="8">
        <f t="shared" si="1"/>
        <v>0</v>
      </c>
      <c r="L13" s="236"/>
      <c r="M13" s="8">
        <f t="shared" si="2"/>
        <v>219076.48310000001</v>
      </c>
      <c r="N13" s="16"/>
      <c r="O13" s="71"/>
      <c r="P13" s="71"/>
      <c r="Q13" s="71"/>
    </row>
    <row r="14" spans="1:17">
      <c r="A14" s="23">
        <v>11</v>
      </c>
      <c r="B14" s="24">
        <v>46306</v>
      </c>
      <c r="C14" s="22"/>
      <c r="D14" s="15"/>
      <c r="E14" s="41"/>
      <c r="F14" s="41"/>
      <c r="G14" s="8">
        <f t="shared" si="0"/>
        <v>0</v>
      </c>
      <c r="H14" s="41"/>
      <c r="I14" s="277"/>
      <c r="J14" s="8">
        <f t="shared" si="3"/>
        <v>0</v>
      </c>
      <c r="K14" s="8">
        <f t="shared" si="1"/>
        <v>0</v>
      </c>
      <c r="L14" s="236"/>
      <c r="M14" s="8">
        <f t="shared" si="2"/>
        <v>219076.48310000001</v>
      </c>
      <c r="N14" s="16"/>
      <c r="O14" s="71"/>
      <c r="P14" s="71"/>
      <c r="Q14" s="71"/>
    </row>
    <row r="15" spans="1:17">
      <c r="A15" s="23">
        <v>12</v>
      </c>
      <c r="B15" s="24">
        <v>46307</v>
      </c>
      <c r="C15" s="22"/>
      <c r="D15" s="15"/>
      <c r="E15" s="41"/>
      <c r="F15" s="41"/>
      <c r="G15" s="8">
        <f t="shared" si="0"/>
        <v>0</v>
      </c>
      <c r="H15" s="41"/>
      <c r="I15" s="41"/>
      <c r="J15" s="8">
        <f t="shared" si="3"/>
        <v>0</v>
      </c>
      <c r="K15" s="8">
        <f t="shared" si="1"/>
        <v>0</v>
      </c>
      <c r="L15" s="236"/>
      <c r="M15" s="8">
        <f t="shared" si="2"/>
        <v>219076.48310000001</v>
      </c>
      <c r="N15" s="16"/>
      <c r="O15" s="71"/>
      <c r="P15" s="71"/>
      <c r="Q15" s="71"/>
    </row>
    <row r="16" spans="1:17">
      <c r="A16" s="23">
        <v>13</v>
      </c>
      <c r="B16" s="24">
        <v>46308</v>
      </c>
      <c r="C16" s="22"/>
      <c r="D16" s="15"/>
      <c r="E16" s="41">
        <v>240</v>
      </c>
      <c r="F16" s="41">
        <v>99.73</v>
      </c>
      <c r="G16" s="8">
        <f t="shared" si="0"/>
        <v>23935.200000000001</v>
      </c>
      <c r="H16" s="41">
        <v>50</v>
      </c>
      <c r="I16" s="41">
        <v>111.85</v>
      </c>
      <c r="J16" s="8">
        <f t="shared" si="3"/>
        <v>5592.5</v>
      </c>
      <c r="K16" s="8">
        <f t="shared" si="1"/>
        <v>29527.7</v>
      </c>
      <c r="L16" s="236"/>
      <c r="M16" s="8">
        <f t="shared" si="2"/>
        <v>248604.18310000002</v>
      </c>
      <c r="N16" s="16"/>
      <c r="O16" s="71"/>
      <c r="P16" s="71"/>
      <c r="Q16" s="71"/>
    </row>
    <row r="17" spans="1:17">
      <c r="A17" s="23">
        <v>14</v>
      </c>
      <c r="B17" s="24">
        <v>46309</v>
      </c>
      <c r="C17" s="22"/>
      <c r="D17" s="15"/>
      <c r="E17" s="41">
        <v>320</v>
      </c>
      <c r="F17" s="41">
        <v>99.73</v>
      </c>
      <c r="G17" s="8">
        <f t="shared" si="0"/>
        <v>31913.600000000002</v>
      </c>
      <c r="H17" s="41"/>
      <c r="I17" s="277"/>
      <c r="J17" s="8">
        <f t="shared" si="3"/>
        <v>0</v>
      </c>
      <c r="K17" s="8">
        <f t="shared" si="1"/>
        <v>31913.600000000002</v>
      </c>
      <c r="L17" s="236"/>
      <c r="M17" s="8">
        <f t="shared" si="2"/>
        <v>280517.7831</v>
      </c>
      <c r="N17" s="16"/>
      <c r="O17" s="71"/>
      <c r="P17" s="71"/>
      <c r="Q17" s="71"/>
    </row>
    <row r="18" spans="1:17">
      <c r="A18" s="23">
        <v>15</v>
      </c>
      <c r="B18" s="24">
        <v>46310</v>
      </c>
      <c r="C18" s="22"/>
      <c r="D18" s="15"/>
      <c r="E18" s="41"/>
      <c r="F18" s="41"/>
      <c r="G18" s="8">
        <f t="shared" si="0"/>
        <v>0</v>
      </c>
      <c r="H18" s="41"/>
      <c r="I18" s="41"/>
      <c r="J18" s="8">
        <f t="shared" si="3"/>
        <v>0</v>
      </c>
      <c r="K18" s="8">
        <f t="shared" si="1"/>
        <v>0</v>
      </c>
      <c r="L18" s="236">
        <v>150000</v>
      </c>
      <c r="M18" s="8">
        <f t="shared" si="2"/>
        <v>130517.7831</v>
      </c>
      <c r="N18" s="16"/>
      <c r="O18" s="71"/>
      <c r="P18" s="71"/>
      <c r="Q18" s="71"/>
    </row>
    <row r="19" spans="1:17">
      <c r="A19" s="23">
        <v>16</v>
      </c>
      <c r="B19" s="24">
        <v>46311</v>
      </c>
      <c r="C19" s="22"/>
      <c r="D19" s="15"/>
      <c r="E19" s="41"/>
      <c r="F19" s="41"/>
      <c r="G19" s="8">
        <f t="shared" si="0"/>
        <v>0</v>
      </c>
      <c r="H19" s="41"/>
      <c r="I19" s="41"/>
      <c r="J19" s="8">
        <f t="shared" si="3"/>
        <v>0</v>
      </c>
      <c r="K19" s="8">
        <f t="shared" si="1"/>
        <v>0</v>
      </c>
      <c r="L19" s="236"/>
      <c r="M19" s="8">
        <f t="shared" si="2"/>
        <v>130517.7831</v>
      </c>
      <c r="N19" s="16"/>
      <c r="O19" s="71"/>
      <c r="P19" s="71"/>
      <c r="Q19" s="71"/>
    </row>
    <row r="20" spans="1:17">
      <c r="A20" s="23">
        <v>17</v>
      </c>
      <c r="B20" s="24">
        <v>46312</v>
      </c>
      <c r="C20" s="22"/>
      <c r="D20" s="137"/>
      <c r="E20" s="533"/>
      <c r="F20" s="534"/>
      <c r="G20" s="8">
        <f t="shared" si="0"/>
        <v>0</v>
      </c>
      <c r="H20" s="41"/>
      <c r="I20" s="41"/>
      <c r="J20" s="8">
        <f t="shared" si="3"/>
        <v>0</v>
      </c>
      <c r="K20" s="8">
        <f t="shared" si="1"/>
        <v>0</v>
      </c>
      <c r="L20" s="236"/>
      <c r="M20" s="8">
        <f t="shared" si="2"/>
        <v>130517.7831</v>
      </c>
      <c r="N20" s="16"/>
      <c r="O20" s="71"/>
      <c r="P20" s="71"/>
      <c r="Q20" s="71"/>
    </row>
    <row r="21" spans="1:17">
      <c r="A21" s="23">
        <v>18</v>
      </c>
      <c r="B21" s="24">
        <v>46313</v>
      </c>
      <c r="C21" s="22"/>
      <c r="D21" s="137"/>
      <c r="E21" s="533"/>
      <c r="F21" s="534"/>
      <c r="G21" s="8">
        <f t="shared" si="0"/>
        <v>0</v>
      </c>
      <c r="H21" s="41"/>
      <c r="I21" s="41"/>
      <c r="J21" s="8">
        <f t="shared" si="3"/>
        <v>0</v>
      </c>
      <c r="K21" s="8">
        <f t="shared" si="1"/>
        <v>0</v>
      </c>
      <c r="L21" s="236"/>
      <c r="M21" s="8">
        <f t="shared" si="2"/>
        <v>130517.7831</v>
      </c>
      <c r="N21" s="16"/>
      <c r="O21" s="71"/>
      <c r="P21" s="71"/>
      <c r="Q21" s="71"/>
    </row>
    <row r="22" spans="1:17">
      <c r="A22" s="23">
        <v>19</v>
      </c>
      <c r="B22" s="24">
        <v>46314</v>
      </c>
      <c r="C22" s="22"/>
      <c r="D22" s="137"/>
      <c r="E22" s="533"/>
      <c r="F22" s="534"/>
      <c r="G22" s="8">
        <f t="shared" si="0"/>
        <v>0</v>
      </c>
      <c r="H22" s="41"/>
      <c r="I22" s="41"/>
      <c r="J22" s="8">
        <f t="shared" si="3"/>
        <v>0</v>
      </c>
      <c r="K22" s="8">
        <f t="shared" si="1"/>
        <v>0</v>
      </c>
      <c r="L22" s="236"/>
      <c r="M22" s="8">
        <f t="shared" si="2"/>
        <v>130517.7831</v>
      </c>
      <c r="N22" s="16"/>
      <c r="O22" s="71"/>
      <c r="P22" s="71"/>
      <c r="Q22" s="71"/>
    </row>
    <row r="23" spans="1:17">
      <c r="A23" s="23">
        <v>20</v>
      </c>
      <c r="B23" s="24">
        <v>46315</v>
      </c>
      <c r="C23" s="22"/>
      <c r="D23" s="15"/>
      <c r="E23" s="41"/>
      <c r="F23" s="41"/>
      <c r="G23" s="8">
        <f t="shared" si="0"/>
        <v>0</v>
      </c>
      <c r="H23" s="41"/>
      <c r="I23" s="41"/>
      <c r="J23" s="8">
        <f t="shared" si="3"/>
        <v>0</v>
      </c>
      <c r="K23" s="8">
        <f t="shared" si="1"/>
        <v>0</v>
      </c>
      <c r="L23" s="236"/>
      <c r="M23" s="8">
        <f t="shared" si="2"/>
        <v>130517.7831</v>
      </c>
      <c r="N23" s="16"/>
      <c r="O23" s="71"/>
      <c r="P23" s="71"/>
      <c r="Q23" s="71"/>
    </row>
    <row r="24" spans="1:17">
      <c r="A24" s="23">
        <v>21</v>
      </c>
      <c r="B24" s="24">
        <v>46316</v>
      </c>
      <c r="C24" s="22"/>
      <c r="D24" s="15"/>
      <c r="E24" s="41"/>
      <c r="F24" s="41"/>
      <c r="G24" s="8">
        <f t="shared" si="0"/>
        <v>0</v>
      </c>
      <c r="H24" s="41"/>
      <c r="I24" s="41"/>
      <c r="J24" s="8">
        <f t="shared" si="3"/>
        <v>0</v>
      </c>
      <c r="K24" s="8">
        <f t="shared" si="1"/>
        <v>0</v>
      </c>
      <c r="L24" s="236"/>
      <c r="M24" s="8">
        <f t="shared" si="2"/>
        <v>130517.7831</v>
      </c>
      <c r="N24" s="16"/>
      <c r="O24" s="71"/>
      <c r="P24" s="71"/>
      <c r="Q24" s="71"/>
    </row>
    <row r="25" spans="1:17">
      <c r="A25" s="23">
        <v>22</v>
      </c>
      <c r="B25" s="24">
        <v>46317</v>
      </c>
      <c r="C25" s="22"/>
      <c r="D25" s="15"/>
      <c r="E25" s="420"/>
      <c r="F25" s="392"/>
      <c r="G25" s="8">
        <f t="shared" si="0"/>
        <v>0</v>
      </c>
      <c r="H25" s="41"/>
      <c r="I25" s="41"/>
      <c r="J25" s="8">
        <f t="shared" si="3"/>
        <v>0</v>
      </c>
      <c r="K25" s="8">
        <f t="shared" si="1"/>
        <v>0</v>
      </c>
      <c r="L25" s="236"/>
      <c r="M25" s="8">
        <f t="shared" si="2"/>
        <v>130517.7831</v>
      </c>
      <c r="N25" s="16"/>
      <c r="O25" s="71"/>
      <c r="P25" s="71"/>
      <c r="Q25" s="71"/>
    </row>
    <row r="26" spans="1:17">
      <c r="A26" s="23">
        <v>23</v>
      </c>
      <c r="B26" s="24">
        <v>46318</v>
      </c>
      <c r="C26" s="22"/>
      <c r="D26" s="15"/>
      <c r="E26" s="41"/>
      <c r="F26" s="41"/>
      <c r="G26" s="8">
        <f t="shared" si="0"/>
        <v>0</v>
      </c>
      <c r="H26" s="41"/>
      <c r="I26" s="41"/>
      <c r="J26" s="8">
        <f t="shared" si="3"/>
        <v>0</v>
      </c>
      <c r="K26" s="8">
        <f t="shared" si="1"/>
        <v>0</v>
      </c>
      <c r="L26" s="236"/>
      <c r="M26" s="8">
        <f t="shared" si="2"/>
        <v>130517.7831</v>
      </c>
      <c r="N26" s="16"/>
      <c r="O26" s="71"/>
      <c r="P26" s="71"/>
      <c r="Q26" s="71"/>
    </row>
    <row r="27" spans="1:17">
      <c r="A27" s="23">
        <v>24</v>
      </c>
      <c r="B27" s="24">
        <v>46319</v>
      </c>
      <c r="C27" s="22"/>
      <c r="D27" s="15"/>
      <c r="E27" s="41"/>
      <c r="F27" s="41"/>
      <c r="G27" s="8">
        <f t="shared" si="0"/>
        <v>0</v>
      </c>
      <c r="H27" s="41"/>
      <c r="I27" s="41"/>
      <c r="J27" s="8">
        <f t="shared" si="3"/>
        <v>0</v>
      </c>
      <c r="K27" s="8">
        <f t="shared" si="1"/>
        <v>0</v>
      </c>
      <c r="L27" s="236"/>
      <c r="M27" s="8">
        <f t="shared" si="2"/>
        <v>130517.7831</v>
      </c>
      <c r="N27" s="16"/>
      <c r="O27" s="71"/>
      <c r="P27" s="71"/>
      <c r="Q27" s="71"/>
    </row>
    <row r="28" spans="1:17">
      <c r="A28" s="23">
        <v>25</v>
      </c>
      <c r="B28" s="24">
        <v>46320</v>
      </c>
      <c r="C28" s="22"/>
      <c r="D28" s="15"/>
      <c r="E28" s="41"/>
      <c r="F28" s="41"/>
      <c r="G28" s="8">
        <f t="shared" si="0"/>
        <v>0</v>
      </c>
      <c r="H28" s="41"/>
      <c r="I28" s="41"/>
      <c r="J28" s="8">
        <f t="shared" si="3"/>
        <v>0</v>
      </c>
      <c r="K28" s="8">
        <f t="shared" si="1"/>
        <v>0</v>
      </c>
      <c r="L28" s="236"/>
      <c r="M28" s="8">
        <f t="shared" si="2"/>
        <v>130517.7831</v>
      </c>
      <c r="N28" s="16"/>
      <c r="O28" s="71"/>
      <c r="P28" s="71"/>
      <c r="Q28" s="71"/>
    </row>
    <row r="29" spans="1:17">
      <c r="A29" s="23">
        <v>26</v>
      </c>
      <c r="B29" s="24">
        <v>46321</v>
      </c>
      <c r="C29" s="22"/>
      <c r="D29" s="15"/>
      <c r="E29" s="41"/>
      <c r="F29" s="41"/>
      <c r="G29" s="8">
        <f t="shared" si="0"/>
        <v>0</v>
      </c>
      <c r="H29" s="41"/>
      <c r="I29" s="41"/>
      <c r="J29" s="8">
        <f t="shared" si="3"/>
        <v>0</v>
      </c>
      <c r="K29" s="8">
        <f t="shared" si="1"/>
        <v>0</v>
      </c>
      <c r="L29" s="236"/>
      <c r="M29" s="8">
        <f t="shared" si="2"/>
        <v>130517.7831</v>
      </c>
      <c r="N29" s="16"/>
      <c r="O29" s="71"/>
      <c r="P29" s="71"/>
      <c r="Q29" s="71"/>
    </row>
    <row r="30" spans="1:17">
      <c r="A30" s="23">
        <v>27</v>
      </c>
      <c r="B30" s="24">
        <v>46322</v>
      </c>
      <c r="C30" s="22"/>
      <c r="D30" s="15"/>
      <c r="E30" s="41"/>
      <c r="F30" s="41"/>
      <c r="G30" s="8">
        <f t="shared" si="0"/>
        <v>0</v>
      </c>
      <c r="H30" s="41"/>
      <c r="I30" s="41"/>
      <c r="J30" s="8">
        <f t="shared" si="3"/>
        <v>0</v>
      </c>
      <c r="K30" s="8">
        <f t="shared" si="1"/>
        <v>0</v>
      </c>
      <c r="L30" s="236"/>
      <c r="M30" s="8">
        <f t="shared" si="2"/>
        <v>130517.7831</v>
      </c>
      <c r="N30" s="16"/>
      <c r="O30" s="71"/>
      <c r="P30" s="71"/>
      <c r="Q30" s="71"/>
    </row>
    <row r="31" spans="1:17">
      <c r="A31" s="23">
        <v>28</v>
      </c>
      <c r="B31" s="24">
        <v>46323</v>
      </c>
      <c r="C31" s="22"/>
      <c r="D31" s="15"/>
      <c r="E31" s="41"/>
      <c r="F31" s="41"/>
      <c r="G31" s="8">
        <f t="shared" si="0"/>
        <v>0</v>
      </c>
      <c r="H31" s="41"/>
      <c r="I31" s="41"/>
      <c r="J31" s="8">
        <f t="shared" si="3"/>
        <v>0</v>
      </c>
      <c r="K31" s="8">
        <f t="shared" si="1"/>
        <v>0</v>
      </c>
      <c r="L31" s="236"/>
      <c r="M31" s="8">
        <f t="shared" si="2"/>
        <v>130517.7831</v>
      </c>
      <c r="N31" s="16"/>
      <c r="O31" s="71"/>
      <c r="P31" s="71"/>
      <c r="Q31" s="71"/>
    </row>
    <row r="32" spans="1:17">
      <c r="A32" s="23"/>
      <c r="B32" s="24">
        <v>46324</v>
      </c>
      <c r="C32" s="22"/>
      <c r="D32" s="15"/>
      <c r="E32" s="41"/>
      <c r="F32" s="41"/>
      <c r="G32" s="8">
        <f t="shared" si="0"/>
        <v>0</v>
      </c>
      <c r="H32" s="41"/>
      <c r="I32" s="41"/>
      <c r="J32" s="8"/>
      <c r="K32" s="8">
        <f t="shared" si="1"/>
        <v>0</v>
      </c>
      <c r="L32" s="236"/>
      <c r="M32" s="8">
        <f t="shared" si="2"/>
        <v>130517.7831</v>
      </c>
      <c r="N32" s="16"/>
      <c r="O32" s="71"/>
      <c r="P32" s="71"/>
      <c r="Q32" s="71"/>
    </row>
    <row r="33" spans="1:17">
      <c r="A33" s="23">
        <v>29</v>
      </c>
      <c r="B33" s="24">
        <v>46325</v>
      </c>
      <c r="C33" s="22"/>
      <c r="D33" s="15"/>
      <c r="E33" s="41"/>
      <c r="F33" s="41"/>
      <c r="G33" s="8">
        <f t="shared" si="0"/>
        <v>0</v>
      </c>
      <c r="H33" s="41"/>
      <c r="I33" s="41"/>
      <c r="J33" s="8">
        <f t="shared" si="3"/>
        <v>0</v>
      </c>
      <c r="K33" s="8">
        <f t="shared" si="1"/>
        <v>0</v>
      </c>
      <c r="L33" s="236"/>
      <c r="M33" s="8">
        <f t="shared" si="2"/>
        <v>130517.7831</v>
      </c>
      <c r="N33" s="16"/>
      <c r="O33" s="71"/>
      <c r="P33" s="71"/>
      <c r="Q33" s="71"/>
    </row>
    <row r="34" spans="1:17">
      <c r="A34" s="23">
        <v>30</v>
      </c>
      <c r="B34" s="24">
        <v>46326</v>
      </c>
      <c r="C34" s="22"/>
      <c r="D34" s="15"/>
      <c r="E34" s="41"/>
      <c r="F34" s="41"/>
      <c r="G34" s="8">
        <f t="shared" si="0"/>
        <v>0</v>
      </c>
      <c r="H34" s="41"/>
      <c r="I34" s="41"/>
      <c r="J34" s="8">
        <f t="shared" si="3"/>
        <v>0</v>
      </c>
      <c r="K34" s="8">
        <f t="shared" si="1"/>
        <v>0</v>
      </c>
      <c r="L34" s="236"/>
      <c r="M34" s="8">
        <f t="shared" si="2"/>
        <v>130517.7831</v>
      </c>
      <c r="N34" s="16"/>
      <c r="O34" s="71"/>
      <c r="P34" s="71"/>
      <c r="Q34" s="71"/>
    </row>
    <row r="35" spans="1:17">
      <c r="A35" s="23">
        <v>31</v>
      </c>
      <c r="B35" s="24"/>
      <c r="C35" s="22"/>
      <c r="D35" s="15"/>
      <c r="E35" s="41"/>
      <c r="F35" s="41"/>
      <c r="G35" s="8">
        <f t="shared" si="0"/>
        <v>0</v>
      </c>
      <c r="H35" s="41"/>
      <c r="I35" s="41"/>
      <c r="J35" s="8">
        <f t="shared" si="3"/>
        <v>0</v>
      </c>
      <c r="K35" s="8">
        <f t="shared" si="1"/>
        <v>0</v>
      </c>
      <c r="L35" s="236"/>
      <c r="M35" s="8">
        <f t="shared" si="2"/>
        <v>130517.7831</v>
      </c>
      <c r="N35" s="16"/>
      <c r="O35" s="71"/>
      <c r="P35" s="71"/>
      <c r="Q35" s="71"/>
    </row>
    <row r="36" spans="1:17">
      <c r="A36" s="23">
        <v>32</v>
      </c>
      <c r="B36" s="24"/>
      <c r="C36" s="22"/>
      <c r="D36" s="15"/>
      <c r="E36" s="41"/>
      <c r="F36" s="41"/>
      <c r="G36" s="8">
        <f t="shared" si="0"/>
        <v>0</v>
      </c>
      <c r="H36" s="41"/>
      <c r="I36" s="41"/>
      <c r="J36" s="8">
        <f t="shared" si="3"/>
        <v>0</v>
      </c>
      <c r="K36" s="8">
        <f t="shared" si="1"/>
        <v>0</v>
      </c>
      <c r="L36" s="236"/>
      <c r="M36" s="8">
        <f t="shared" si="2"/>
        <v>130517.7831</v>
      </c>
      <c r="N36" s="16"/>
      <c r="O36" s="71"/>
      <c r="P36" s="71"/>
      <c r="Q36" s="71"/>
    </row>
    <row r="37" spans="1:17">
      <c r="A37" s="23">
        <v>33</v>
      </c>
      <c r="B37" s="24"/>
      <c r="C37" s="22"/>
      <c r="D37" s="15"/>
      <c r="E37" s="41"/>
      <c r="F37" s="41"/>
      <c r="G37" s="8">
        <f t="shared" si="0"/>
        <v>0</v>
      </c>
      <c r="H37" s="41"/>
      <c r="I37" s="392"/>
      <c r="J37" s="8">
        <f t="shared" si="3"/>
        <v>0</v>
      </c>
      <c r="K37" s="8">
        <f t="shared" si="1"/>
        <v>0</v>
      </c>
      <c r="L37" s="236"/>
      <c r="M37" s="8">
        <f>M36+K37-L37</f>
        <v>130517.7831</v>
      </c>
      <c r="N37" s="16"/>
      <c r="O37" s="71"/>
      <c r="P37" s="71"/>
      <c r="Q37" s="71"/>
    </row>
    <row r="38" spans="1:17">
      <c r="A38" s="149"/>
      <c r="B38" s="149"/>
      <c r="C38" s="149"/>
      <c r="D38" s="149"/>
      <c r="E38" s="150">
        <f>SUM(E4:E37)</f>
        <v>1136</v>
      </c>
      <c r="F38" s="150"/>
      <c r="G38" s="150">
        <f>SUM(G4:G37)</f>
        <v>113293.28</v>
      </c>
      <c r="H38" s="150">
        <f>SUM(H4:H37)</f>
        <v>77</v>
      </c>
      <c r="I38" s="150"/>
      <c r="J38" s="150">
        <f>SUM(J4:J37)</f>
        <v>8612.4500000000007</v>
      </c>
      <c r="K38" s="150">
        <f>SUM(K4:K37)</f>
        <v>121905.73</v>
      </c>
      <c r="L38" s="150">
        <f>SUM(L4:L37)</f>
        <v>150000</v>
      </c>
      <c r="M38" s="150"/>
      <c r="N38" s="150"/>
      <c r="O38" s="71"/>
      <c r="P38" s="71"/>
      <c r="Q38" s="71"/>
    </row>
    <row r="39" spans="1:17">
      <c r="A39" s="67"/>
      <c r="B39" s="67"/>
      <c r="C39" s="67"/>
      <c r="D39" s="67"/>
      <c r="E39" s="69"/>
      <c r="F39" s="69"/>
      <c r="G39" s="69"/>
      <c r="H39" s="69"/>
      <c r="I39" s="69"/>
      <c r="J39" s="69"/>
      <c r="K39" s="69"/>
      <c r="L39" s="237"/>
      <c r="M39" s="69"/>
      <c r="N39" s="69"/>
      <c r="O39" s="71"/>
      <c r="P39" s="71"/>
      <c r="Q39" s="71"/>
    </row>
    <row r="40" spans="1:17">
      <c r="A40" s="71"/>
      <c r="B40" s="71"/>
      <c r="C40" s="71"/>
      <c r="D40" s="71"/>
      <c r="E40" s="240"/>
      <c r="F40" s="240"/>
      <c r="G40" s="240"/>
      <c r="H40" s="240"/>
      <c r="I40" s="240"/>
      <c r="J40" s="240"/>
      <c r="K40" s="240"/>
      <c r="L40" s="240"/>
      <c r="M40" s="71"/>
      <c r="N40" s="71"/>
      <c r="O40" s="71"/>
      <c r="P40" s="71"/>
      <c r="Q40" s="71"/>
    </row>
    <row r="41" spans="1:17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38"/>
      <c r="M41" s="71"/>
      <c r="N41" s="71"/>
      <c r="O41" s="71"/>
      <c r="P41" s="71"/>
      <c r="Q41" s="71"/>
    </row>
    <row r="42" spans="1:17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38"/>
      <c r="M42" s="71"/>
      <c r="N42" s="71"/>
      <c r="O42" s="71"/>
      <c r="P42" s="71"/>
      <c r="Q42" s="71"/>
    </row>
    <row r="43" spans="1:17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38"/>
      <c r="M43" s="71"/>
      <c r="N43" s="71"/>
      <c r="O43" s="71"/>
      <c r="P43" s="71"/>
      <c r="Q43" s="71"/>
    </row>
    <row r="44" spans="1:17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38"/>
      <c r="M44" s="71"/>
      <c r="N44" s="71"/>
      <c r="O44" s="71"/>
      <c r="P44" s="71"/>
      <c r="Q44" s="71"/>
    </row>
    <row r="45" spans="1:17">
      <c r="A45" s="53"/>
      <c r="B45" s="53"/>
      <c r="C45" s="53"/>
      <c r="D45" s="53"/>
      <c r="E45" s="53"/>
      <c r="F45" s="53"/>
      <c r="G45" s="75"/>
      <c r="H45" s="53"/>
      <c r="I45" s="53"/>
      <c r="J45" s="53"/>
      <c r="K45" s="53"/>
      <c r="L45" s="67"/>
      <c r="M45" s="53"/>
      <c r="N45" s="53"/>
      <c r="O45" s="71"/>
      <c r="P45" s="71"/>
      <c r="Q45" s="71"/>
    </row>
    <row r="46" spans="1:17">
      <c r="A46" s="53"/>
      <c r="B46" s="638"/>
      <c r="C46" s="638"/>
      <c r="D46" s="638"/>
      <c r="E46" s="638"/>
      <c r="F46" s="53"/>
      <c r="G46" s="53"/>
      <c r="H46" s="53"/>
      <c r="I46" s="638"/>
      <c r="J46" s="638"/>
      <c r="K46" s="638"/>
      <c r="L46" s="638"/>
      <c r="M46" s="638"/>
      <c r="N46" s="638"/>
      <c r="O46" s="71"/>
      <c r="P46" s="71"/>
      <c r="Q46" s="71"/>
    </row>
    <row r="47" spans="1:1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67"/>
      <c r="M47" s="53"/>
      <c r="N47" s="53"/>
      <c r="O47" s="71"/>
      <c r="P47" s="71"/>
      <c r="Q47" s="71"/>
    </row>
  </sheetData>
  <mergeCells count="4">
    <mergeCell ref="A1:N1"/>
    <mergeCell ref="A3:J3"/>
    <mergeCell ref="B46:E46"/>
    <mergeCell ref="I46:N4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N35"/>
  <sheetViews>
    <sheetView workbookViewId="0">
      <pane ySplit="3" topLeftCell="A4" activePane="bottomLeft" state="frozen"/>
      <selection pane="bottomLeft" activeCell="L12" sqref="L12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19" customWidth="1"/>
    <col min="8" max="8" width="12" style="19" customWidth="1"/>
    <col min="9" max="9" width="9.140625" style="19"/>
    <col min="10" max="10" width="11.140625" style="19" customWidth="1"/>
    <col min="11" max="11" width="12" style="19" customWidth="1"/>
    <col min="12" max="12" width="11.85546875" style="19" customWidth="1"/>
    <col min="13" max="13" width="13.85546875" customWidth="1"/>
  </cols>
  <sheetData>
    <row r="1" spans="1:14" ht="15.75">
      <c r="A1" s="627" t="s">
        <v>126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</row>
    <row r="2" spans="1:14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213" t="s">
        <v>172</v>
      </c>
      <c r="H2" s="213" t="s">
        <v>173</v>
      </c>
      <c r="I2" s="213" t="s">
        <v>171</v>
      </c>
      <c r="J2" s="213" t="s">
        <v>172</v>
      </c>
      <c r="K2" s="214" t="s">
        <v>174</v>
      </c>
      <c r="L2" s="214" t="s">
        <v>175</v>
      </c>
      <c r="M2" s="134" t="s">
        <v>190</v>
      </c>
      <c r="N2" s="95" t="s">
        <v>177</v>
      </c>
    </row>
    <row r="3" spans="1:14">
      <c r="A3" s="639" t="s">
        <v>178</v>
      </c>
      <c r="B3" s="640"/>
      <c r="C3" s="640"/>
      <c r="D3" s="640"/>
      <c r="E3" s="640"/>
      <c r="F3" s="640"/>
      <c r="G3" s="640"/>
      <c r="H3" s="640"/>
      <c r="I3" s="640"/>
      <c r="J3" s="641"/>
      <c r="K3" s="202"/>
      <c r="L3" s="202"/>
      <c r="M3" s="162">
        <f>+K3</f>
        <v>0</v>
      </c>
      <c r="N3" s="203"/>
    </row>
    <row r="4" spans="1:14">
      <c r="A4" s="23">
        <v>1</v>
      </c>
      <c r="B4" s="24">
        <v>46296</v>
      </c>
      <c r="C4" s="14"/>
      <c r="D4" s="14"/>
      <c r="E4" s="182"/>
      <c r="F4" s="182"/>
      <c r="G4" s="197">
        <f>E4*F4</f>
        <v>0</v>
      </c>
      <c r="H4" s="250"/>
      <c r="I4" s="197"/>
      <c r="J4" s="197">
        <f>H4*I4</f>
        <v>0</v>
      </c>
      <c r="K4" s="197">
        <f>G4+J4</f>
        <v>0</v>
      </c>
      <c r="L4" s="197"/>
      <c r="M4" s="559">
        <f>M3+K4-L4</f>
        <v>0</v>
      </c>
      <c r="N4" s="14"/>
    </row>
    <row r="5" spans="1:14">
      <c r="A5" s="23">
        <v>2</v>
      </c>
      <c r="B5" s="24">
        <v>46297</v>
      </c>
      <c r="C5" s="14"/>
      <c r="D5" s="14"/>
      <c r="E5" s="182"/>
      <c r="F5" s="182"/>
      <c r="G5" s="197">
        <f t="shared" ref="G5:G32" si="0">E5*F5</f>
        <v>0</v>
      </c>
      <c r="H5" s="250"/>
      <c r="I5" s="197"/>
      <c r="J5" s="197">
        <f>H5*I5</f>
        <v>0</v>
      </c>
      <c r="K5" s="197">
        <f t="shared" ref="K5:L34" si="1">G5+J5</f>
        <v>0</v>
      </c>
      <c r="L5" s="197"/>
      <c r="M5" s="559">
        <f t="shared" ref="M5:M34" si="2">M4+K5-L5</f>
        <v>0</v>
      </c>
      <c r="N5" s="14"/>
    </row>
    <row r="6" spans="1:14">
      <c r="A6" s="23">
        <v>3</v>
      </c>
      <c r="B6" s="24">
        <v>46298</v>
      </c>
      <c r="C6" s="14"/>
      <c r="D6" s="14"/>
      <c r="E6" s="182"/>
      <c r="F6" s="182"/>
      <c r="G6" s="197">
        <f t="shared" si="0"/>
        <v>0</v>
      </c>
      <c r="H6" s="250"/>
      <c r="I6" s="197"/>
      <c r="J6" s="197">
        <f t="shared" ref="J6:J34" si="3">H6*I6</f>
        <v>0</v>
      </c>
      <c r="K6" s="197">
        <f t="shared" si="1"/>
        <v>0</v>
      </c>
      <c r="L6" s="197"/>
      <c r="M6" s="559">
        <f t="shared" si="2"/>
        <v>0</v>
      </c>
      <c r="N6" s="14"/>
    </row>
    <row r="7" spans="1:14">
      <c r="A7" s="23">
        <v>4</v>
      </c>
      <c r="B7" s="24">
        <v>46299</v>
      </c>
      <c r="C7" s="14"/>
      <c r="D7" s="14"/>
      <c r="E7" s="182"/>
      <c r="F7" s="182"/>
      <c r="G7" s="197">
        <f t="shared" si="0"/>
        <v>0</v>
      </c>
      <c r="H7" s="250"/>
      <c r="I7" s="250"/>
      <c r="J7" s="197">
        <f t="shared" si="3"/>
        <v>0</v>
      </c>
      <c r="K7" s="197">
        <f t="shared" si="1"/>
        <v>0</v>
      </c>
      <c r="L7" s="197"/>
      <c r="M7" s="559">
        <f t="shared" si="2"/>
        <v>0</v>
      </c>
      <c r="N7" s="14"/>
    </row>
    <row r="8" spans="1:14">
      <c r="A8" s="23">
        <v>5</v>
      </c>
      <c r="B8" s="24">
        <v>46300</v>
      </c>
      <c r="C8" s="14"/>
      <c r="D8" s="14"/>
      <c r="E8" s="182"/>
      <c r="F8" s="182"/>
      <c r="G8" s="197">
        <f t="shared" si="0"/>
        <v>0</v>
      </c>
      <c r="H8" s="250"/>
      <c r="I8" s="197"/>
      <c r="J8" s="197">
        <f t="shared" si="3"/>
        <v>0</v>
      </c>
      <c r="K8" s="197">
        <f t="shared" si="1"/>
        <v>0</v>
      </c>
      <c r="L8" s="197"/>
      <c r="M8" s="559">
        <f t="shared" si="2"/>
        <v>0</v>
      </c>
      <c r="N8" s="14"/>
    </row>
    <row r="9" spans="1:14">
      <c r="A9" s="23">
        <v>6</v>
      </c>
      <c r="B9" s="24">
        <v>46301</v>
      </c>
      <c r="C9" s="14"/>
      <c r="D9" s="14"/>
      <c r="E9" s="182"/>
      <c r="F9" s="182"/>
      <c r="G9" s="197">
        <f t="shared" si="0"/>
        <v>0</v>
      </c>
      <c r="H9" s="250"/>
      <c r="I9" s="197"/>
      <c r="J9" s="197">
        <f t="shared" si="3"/>
        <v>0</v>
      </c>
      <c r="K9" s="197">
        <f t="shared" si="1"/>
        <v>0</v>
      </c>
      <c r="L9" s="197"/>
      <c r="M9" s="559">
        <f t="shared" si="2"/>
        <v>0</v>
      </c>
      <c r="N9" s="14"/>
    </row>
    <row r="10" spans="1:14">
      <c r="A10" s="23">
        <v>7</v>
      </c>
      <c r="B10" s="24">
        <v>46302</v>
      </c>
      <c r="C10" s="14"/>
      <c r="D10" s="14"/>
      <c r="E10" s="182"/>
      <c r="F10" s="182"/>
      <c r="G10" s="197">
        <f t="shared" si="0"/>
        <v>0</v>
      </c>
      <c r="H10" s="250"/>
      <c r="I10" s="197"/>
      <c r="J10" s="197">
        <f t="shared" si="3"/>
        <v>0</v>
      </c>
      <c r="K10" s="197">
        <f t="shared" si="1"/>
        <v>0</v>
      </c>
      <c r="L10" s="197"/>
      <c r="M10" s="559">
        <f t="shared" si="2"/>
        <v>0</v>
      </c>
      <c r="N10" s="14"/>
    </row>
    <row r="11" spans="1:14">
      <c r="A11" s="23">
        <v>8</v>
      </c>
      <c r="B11" s="24">
        <v>46303</v>
      </c>
      <c r="C11" s="14"/>
      <c r="D11" s="14"/>
      <c r="E11" s="182"/>
      <c r="F11" s="182"/>
      <c r="G11" s="197">
        <f t="shared" si="0"/>
        <v>0</v>
      </c>
      <c r="H11" s="250"/>
      <c r="I11" s="197"/>
      <c r="J11" s="197">
        <f t="shared" si="3"/>
        <v>0</v>
      </c>
      <c r="K11" s="197">
        <f t="shared" si="1"/>
        <v>0</v>
      </c>
      <c r="L11" s="197"/>
      <c r="M11" s="559">
        <f t="shared" si="2"/>
        <v>0</v>
      </c>
      <c r="N11" s="14"/>
    </row>
    <row r="12" spans="1:14">
      <c r="A12" s="23">
        <v>9</v>
      </c>
      <c r="B12" s="24">
        <v>46304</v>
      </c>
      <c r="C12" s="14"/>
      <c r="D12" s="14"/>
      <c r="E12" s="182">
        <v>30</v>
      </c>
      <c r="F12" s="182">
        <v>99.41</v>
      </c>
      <c r="G12" s="197">
        <f t="shared" si="0"/>
        <v>2982.2999999999997</v>
      </c>
      <c r="H12" s="250"/>
      <c r="I12" s="197"/>
      <c r="J12" s="197">
        <f t="shared" si="3"/>
        <v>0</v>
      </c>
      <c r="K12" s="197">
        <f t="shared" si="1"/>
        <v>2982.2999999999997</v>
      </c>
      <c r="L12" s="197">
        <v>2982.2999999999997</v>
      </c>
      <c r="M12" s="559">
        <f t="shared" si="2"/>
        <v>0</v>
      </c>
      <c r="N12" s="14"/>
    </row>
    <row r="13" spans="1:14">
      <c r="A13" s="23">
        <v>10</v>
      </c>
      <c r="B13" s="24">
        <v>46305</v>
      </c>
      <c r="C13" s="14"/>
      <c r="D13" s="14"/>
      <c r="E13" s="182"/>
      <c r="F13" s="182"/>
      <c r="G13" s="197">
        <f t="shared" si="0"/>
        <v>0</v>
      </c>
      <c r="H13" s="250"/>
      <c r="I13" s="197"/>
      <c r="J13" s="197">
        <f t="shared" si="3"/>
        <v>0</v>
      </c>
      <c r="K13" s="197">
        <f t="shared" si="1"/>
        <v>0</v>
      </c>
      <c r="L13" s="197"/>
      <c r="M13" s="559">
        <f t="shared" si="2"/>
        <v>0</v>
      </c>
      <c r="N13" s="14"/>
    </row>
    <row r="14" spans="1:14">
      <c r="A14" s="23">
        <v>11</v>
      </c>
      <c r="B14" s="24">
        <v>46306</v>
      </c>
      <c r="C14" s="14"/>
      <c r="D14" s="14"/>
      <c r="E14" s="182"/>
      <c r="F14" s="182"/>
      <c r="G14" s="197">
        <f t="shared" si="0"/>
        <v>0</v>
      </c>
      <c r="H14" s="250"/>
      <c r="I14" s="197"/>
      <c r="J14" s="197">
        <f t="shared" si="3"/>
        <v>0</v>
      </c>
      <c r="K14" s="197">
        <f t="shared" si="1"/>
        <v>0</v>
      </c>
      <c r="L14" s="197"/>
      <c r="M14" s="559">
        <f t="shared" si="2"/>
        <v>0</v>
      </c>
      <c r="N14" s="14"/>
    </row>
    <row r="15" spans="1:14">
      <c r="A15" s="23">
        <v>12</v>
      </c>
      <c r="B15" s="24">
        <v>46307</v>
      </c>
      <c r="C15" s="14"/>
      <c r="D15" s="14"/>
      <c r="E15" s="182"/>
      <c r="F15" s="182"/>
      <c r="G15" s="197">
        <f t="shared" si="0"/>
        <v>0</v>
      </c>
      <c r="H15" s="250"/>
      <c r="I15" s="197"/>
      <c r="J15" s="197">
        <f t="shared" si="3"/>
        <v>0</v>
      </c>
      <c r="K15" s="197">
        <f t="shared" si="1"/>
        <v>0</v>
      </c>
      <c r="L15" s="197"/>
      <c r="M15" s="559">
        <f t="shared" si="2"/>
        <v>0</v>
      </c>
      <c r="N15" s="14"/>
    </row>
    <row r="16" spans="1:14">
      <c r="A16" s="23">
        <v>13</v>
      </c>
      <c r="B16" s="24">
        <v>46308</v>
      </c>
      <c r="C16" s="14"/>
      <c r="D16" s="14"/>
      <c r="E16" s="182"/>
      <c r="F16" s="182"/>
      <c r="G16" s="197">
        <f t="shared" si="0"/>
        <v>0</v>
      </c>
      <c r="H16" s="250"/>
      <c r="I16" s="197"/>
      <c r="J16" s="197">
        <f t="shared" si="3"/>
        <v>0</v>
      </c>
      <c r="K16" s="197">
        <f t="shared" si="1"/>
        <v>0</v>
      </c>
      <c r="L16" s="197"/>
      <c r="M16" s="559">
        <f t="shared" si="2"/>
        <v>0</v>
      </c>
      <c r="N16" s="14"/>
    </row>
    <row r="17" spans="1:14">
      <c r="A17" s="23">
        <v>14</v>
      </c>
      <c r="B17" s="24">
        <v>46309</v>
      </c>
      <c r="C17" s="14"/>
      <c r="D17" s="14"/>
      <c r="E17" s="182"/>
      <c r="F17" s="182"/>
      <c r="G17" s="197">
        <f t="shared" si="0"/>
        <v>0</v>
      </c>
      <c r="H17" s="250"/>
      <c r="I17" s="197"/>
      <c r="J17" s="197">
        <f t="shared" si="3"/>
        <v>0</v>
      </c>
      <c r="K17" s="197">
        <f t="shared" si="1"/>
        <v>0</v>
      </c>
      <c r="L17" s="197"/>
      <c r="M17" s="559">
        <f t="shared" si="2"/>
        <v>0</v>
      </c>
      <c r="N17" s="14"/>
    </row>
    <row r="18" spans="1:14">
      <c r="A18" s="23">
        <v>15</v>
      </c>
      <c r="B18" s="24">
        <v>46310</v>
      </c>
      <c r="C18" s="14"/>
      <c r="D18" s="14"/>
      <c r="E18" s="182"/>
      <c r="F18" s="182"/>
      <c r="G18" s="197">
        <f t="shared" si="0"/>
        <v>0</v>
      </c>
      <c r="H18" s="250"/>
      <c r="I18" s="197"/>
      <c r="J18" s="197">
        <f t="shared" si="3"/>
        <v>0</v>
      </c>
      <c r="K18" s="197">
        <f t="shared" si="1"/>
        <v>0</v>
      </c>
      <c r="L18" s="197"/>
      <c r="M18" s="559">
        <f t="shared" si="2"/>
        <v>0</v>
      </c>
      <c r="N18" s="88"/>
    </row>
    <row r="19" spans="1:14">
      <c r="A19" s="23">
        <v>16</v>
      </c>
      <c r="B19" s="24">
        <v>46311</v>
      </c>
      <c r="C19" s="14"/>
      <c r="D19" s="14"/>
      <c r="E19" s="182"/>
      <c r="F19" s="182"/>
      <c r="G19" s="197">
        <f t="shared" si="0"/>
        <v>0</v>
      </c>
      <c r="H19" s="250"/>
      <c r="I19" s="197"/>
      <c r="J19" s="197">
        <f t="shared" si="3"/>
        <v>0</v>
      </c>
      <c r="K19" s="197">
        <f t="shared" si="1"/>
        <v>0</v>
      </c>
      <c r="L19" s="197"/>
      <c r="M19" s="559">
        <f t="shared" si="2"/>
        <v>0</v>
      </c>
      <c r="N19" s="14"/>
    </row>
    <row r="20" spans="1:14">
      <c r="A20" s="23">
        <v>17</v>
      </c>
      <c r="B20" s="24">
        <v>46312</v>
      </c>
      <c r="C20" s="14"/>
      <c r="D20" s="14"/>
      <c r="E20" s="182"/>
      <c r="F20" s="182"/>
      <c r="G20" s="197">
        <f t="shared" si="0"/>
        <v>0</v>
      </c>
      <c r="H20" s="250"/>
      <c r="I20" s="197"/>
      <c r="J20" s="197">
        <f t="shared" si="3"/>
        <v>0</v>
      </c>
      <c r="K20" s="197">
        <f t="shared" si="1"/>
        <v>0</v>
      </c>
      <c r="L20" s="197"/>
      <c r="M20" s="559">
        <f t="shared" si="2"/>
        <v>0</v>
      </c>
      <c r="N20" s="14"/>
    </row>
    <row r="21" spans="1:14">
      <c r="A21" s="23">
        <v>18</v>
      </c>
      <c r="B21" s="24">
        <v>46313</v>
      </c>
      <c r="C21" s="14"/>
      <c r="D21" s="14"/>
      <c r="E21" s="182"/>
      <c r="F21" s="182"/>
      <c r="G21" s="197">
        <f t="shared" si="0"/>
        <v>0</v>
      </c>
      <c r="H21" s="250"/>
      <c r="I21" s="197"/>
      <c r="J21" s="197">
        <f t="shared" si="3"/>
        <v>0</v>
      </c>
      <c r="K21" s="197">
        <f t="shared" si="1"/>
        <v>0</v>
      </c>
      <c r="L21" s="197"/>
      <c r="M21" s="559">
        <f t="shared" si="2"/>
        <v>0</v>
      </c>
      <c r="N21" s="14"/>
    </row>
    <row r="22" spans="1:14">
      <c r="A22" s="23">
        <v>19</v>
      </c>
      <c r="B22" s="24">
        <v>46314</v>
      </c>
      <c r="C22" s="14"/>
      <c r="D22" s="14"/>
      <c r="E22" s="182"/>
      <c r="F22" s="182"/>
      <c r="G22" s="197">
        <f t="shared" si="0"/>
        <v>0</v>
      </c>
      <c r="H22" s="250"/>
      <c r="I22" s="197"/>
      <c r="J22" s="197">
        <f t="shared" si="3"/>
        <v>0</v>
      </c>
      <c r="K22" s="197">
        <f t="shared" si="1"/>
        <v>0</v>
      </c>
      <c r="L22" s="197"/>
      <c r="M22" s="559">
        <f t="shared" si="2"/>
        <v>0</v>
      </c>
      <c r="N22" s="14"/>
    </row>
    <row r="23" spans="1:14">
      <c r="A23" s="23">
        <v>20</v>
      </c>
      <c r="B23" s="24">
        <v>46315</v>
      </c>
      <c r="C23" s="14"/>
      <c r="D23" s="14"/>
      <c r="E23" s="182"/>
      <c r="F23" s="182"/>
      <c r="G23" s="197">
        <f t="shared" si="0"/>
        <v>0</v>
      </c>
      <c r="H23" s="250"/>
      <c r="I23" s="197"/>
      <c r="J23" s="197">
        <f t="shared" si="3"/>
        <v>0</v>
      </c>
      <c r="K23" s="197">
        <f t="shared" si="1"/>
        <v>0</v>
      </c>
      <c r="L23" s="197"/>
      <c r="M23" s="559">
        <f t="shared" si="2"/>
        <v>0</v>
      </c>
      <c r="N23" s="14"/>
    </row>
    <row r="24" spans="1:14">
      <c r="A24" s="23">
        <v>21</v>
      </c>
      <c r="B24" s="24">
        <v>46316</v>
      </c>
      <c r="C24" s="14"/>
      <c r="D24" s="14"/>
      <c r="E24" s="182"/>
      <c r="F24" s="182"/>
      <c r="G24" s="197">
        <f t="shared" si="0"/>
        <v>0</v>
      </c>
      <c r="H24" s="250"/>
      <c r="I24" s="197"/>
      <c r="J24" s="197">
        <f t="shared" si="3"/>
        <v>0</v>
      </c>
      <c r="K24" s="197">
        <f t="shared" si="1"/>
        <v>0</v>
      </c>
      <c r="L24" s="197"/>
      <c r="M24" s="559">
        <f t="shared" si="2"/>
        <v>0</v>
      </c>
      <c r="N24" s="14"/>
    </row>
    <row r="25" spans="1:14">
      <c r="A25" s="23">
        <v>22</v>
      </c>
      <c r="B25" s="24">
        <v>46317</v>
      </c>
      <c r="C25" s="14"/>
      <c r="D25" s="14"/>
      <c r="E25" s="182"/>
      <c r="F25" s="182"/>
      <c r="G25" s="197">
        <f t="shared" si="0"/>
        <v>0</v>
      </c>
      <c r="H25" s="250"/>
      <c r="I25" s="197"/>
      <c r="J25" s="197">
        <f t="shared" si="3"/>
        <v>0</v>
      </c>
      <c r="K25" s="197">
        <f t="shared" si="1"/>
        <v>0</v>
      </c>
      <c r="L25" s="197"/>
      <c r="M25" s="559">
        <f t="shared" si="2"/>
        <v>0</v>
      </c>
      <c r="N25" s="14"/>
    </row>
    <row r="26" spans="1:14">
      <c r="A26" s="23">
        <v>23</v>
      </c>
      <c r="B26" s="24">
        <v>46318</v>
      </c>
      <c r="C26" s="14"/>
      <c r="D26" s="14"/>
      <c r="E26" s="182"/>
      <c r="F26" s="182"/>
      <c r="G26" s="197">
        <f t="shared" si="0"/>
        <v>0</v>
      </c>
      <c r="H26" s="250"/>
      <c r="I26" s="197"/>
      <c r="J26" s="197">
        <f t="shared" si="3"/>
        <v>0</v>
      </c>
      <c r="K26" s="197">
        <f t="shared" si="1"/>
        <v>0</v>
      </c>
      <c r="L26" s="197"/>
      <c r="M26" s="559">
        <f t="shared" si="2"/>
        <v>0</v>
      </c>
      <c r="N26" s="129"/>
    </row>
    <row r="27" spans="1:14">
      <c r="A27" s="23">
        <v>24</v>
      </c>
      <c r="B27" s="24">
        <v>46319</v>
      </c>
      <c r="C27" s="14"/>
      <c r="D27" s="14"/>
      <c r="E27" s="182"/>
      <c r="F27" s="182"/>
      <c r="G27" s="197">
        <f t="shared" si="0"/>
        <v>0</v>
      </c>
      <c r="H27" s="250"/>
      <c r="I27" s="197"/>
      <c r="J27" s="197">
        <f t="shared" si="3"/>
        <v>0</v>
      </c>
      <c r="K27" s="197">
        <f t="shared" ref="K27:K33" si="4">G27+J27</f>
        <v>0</v>
      </c>
      <c r="L27" s="197"/>
      <c r="M27" s="559">
        <f t="shared" si="2"/>
        <v>0</v>
      </c>
      <c r="N27" s="14"/>
    </row>
    <row r="28" spans="1:14">
      <c r="A28" s="23">
        <v>25</v>
      </c>
      <c r="B28" s="24">
        <v>46320</v>
      </c>
      <c r="C28" s="14"/>
      <c r="D28" s="14"/>
      <c r="E28" s="182"/>
      <c r="F28" s="182"/>
      <c r="G28" s="197">
        <f t="shared" si="0"/>
        <v>0</v>
      </c>
      <c r="H28" s="250"/>
      <c r="I28" s="197"/>
      <c r="J28" s="197">
        <f t="shared" si="3"/>
        <v>0</v>
      </c>
      <c r="K28" s="197">
        <f t="shared" si="4"/>
        <v>0</v>
      </c>
      <c r="L28" s="197"/>
      <c r="M28" s="559">
        <f t="shared" si="2"/>
        <v>0</v>
      </c>
      <c r="N28" s="14"/>
    </row>
    <row r="29" spans="1:14">
      <c r="A29" s="23">
        <v>26</v>
      </c>
      <c r="B29" s="24">
        <v>46321</v>
      </c>
      <c r="C29" s="14"/>
      <c r="D29" s="14"/>
      <c r="E29" s="182"/>
      <c r="F29" s="182"/>
      <c r="G29" s="197">
        <f t="shared" si="0"/>
        <v>0</v>
      </c>
      <c r="H29" s="250"/>
      <c r="I29" s="197"/>
      <c r="J29" s="197">
        <f t="shared" si="3"/>
        <v>0</v>
      </c>
      <c r="K29" s="197">
        <f t="shared" si="4"/>
        <v>0</v>
      </c>
      <c r="L29" s="197"/>
      <c r="M29" s="559">
        <f t="shared" si="2"/>
        <v>0</v>
      </c>
      <c r="N29" s="14"/>
    </row>
    <row r="30" spans="1:14">
      <c r="A30" s="23">
        <v>27</v>
      </c>
      <c r="B30" s="24">
        <v>46322</v>
      </c>
      <c r="C30" s="14"/>
      <c r="D30" s="14"/>
      <c r="E30" s="182"/>
      <c r="F30" s="182"/>
      <c r="G30" s="197">
        <f t="shared" si="0"/>
        <v>0</v>
      </c>
      <c r="H30" s="250"/>
      <c r="I30" s="197"/>
      <c r="J30" s="197">
        <f t="shared" si="3"/>
        <v>0</v>
      </c>
      <c r="K30" s="197">
        <f t="shared" si="4"/>
        <v>0</v>
      </c>
      <c r="L30" s="197"/>
      <c r="M30" s="559">
        <f t="shared" si="2"/>
        <v>0</v>
      </c>
      <c r="N30" s="14"/>
    </row>
    <row r="31" spans="1:14">
      <c r="A31" s="205">
        <v>28</v>
      </c>
      <c r="B31" s="24">
        <v>46323</v>
      </c>
      <c r="C31" s="14"/>
      <c r="D31" s="14"/>
      <c r="E31" s="182"/>
      <c r="F31" s="182"/>
      <c r="G31" s="197">
        <f t="shared" si="0"/>
        <v>0</v>
      </c>
      <c r="H31" s="250"/>
      <c r="I31" s="197"/>
      <c r="J31" s="197">
        <f t="shared" si="3"/>
        <v>0</v>
      </c>
      <c r="K31" s="197">
        <f t="shared" si="4"/>
        <v>0</v>
      </c>
      <c r="L31" s="197"/>
      <c r="M31" s="559">
        <f t="shared" si="2"/>
        <v>0</v>
      </c>
      <c r="N31" s="88"/>
    </row>
    <row r="32" spans="1:14">
      <c r="A32" s="23">
        <v>29</v>
      </c>
      <c r="B32" s="24">
        <v>46324</v>
      </c>
      <c r="C32" s="14"/>
      <c r="D32" s="14"/>
      <c r="E32" s="182"/>
      <c r="F32" s="182"/>
      <c r="G32" s="197">
        <f t="shared" si="0"/>
        <v>0</v>
      </c>
      <c r="H32" s="250"/>
      <c r="I32" s="197"/>
      <c r="J32" s="197">
        <f t="shared" si="3"/>
        <v>0</v>
      </c>
      <c r="K32" s="197">
        <f t="shared" si="4"/>
        <v>0</v>
      </c>
      <c r="L32" s="197"/>
      <c r="M32" s="559">
        <f t="shared" si="2"/>
        <v>0</v>
      </c>
      <c r="N32" s="14"/>
    </row>
    <row r="33" spans="1:14">
      <c r="A33" s="23">
        <v>30</v>
      </c>
      <c r="B33" s="24">
        <v>46325</v>
      </c>
      <c r="C33" s="14"/>
      <c r="D33" s="14"/>
      <c r="E33" s="182"/>
      <c r="F33" s="182"/>
      <c r="G33" s="197">
        <f t="shared" ref="G33:G34" si="5">E33*F33</f>
        <v>0</v>
      </c>
      <c r="H33" s="250"/>
      <c r="I33" s="197"/>
      <c r="J33" s="197">
        <f t="shared" si="3"/>
        <v>0</v>
      </c>
      <c r="K33" s="197">
        <f t="shared" si="4"/>
        <v>0</v>
      </c>
      <c r="L33" s="197"/>
      <c r="M33" s="559">
        <f t="shared" si="2"/>
        <v>0</v>
      </c>
      <c r="N33" s="14"/>
    </row>
    <row r="34" spans="1:14">
      <c r="A34" s="23">
        <v>31</v>
      </c>
      <c r="B34" s="24">
        <v>46326</v>
      </c>
      <c r="C34" s="14"/>
      <c r="D34" s="14"/>
      <c r="E34" s="182"/>
      <c r="F34" s="182"/>
      <c r="G34" s="197">
        <f t="shared" si="5"/>
        <v>0</v>
      </c>
      <c r="H34" s="250"/>
      <c r="I34" s="197"/>
      <c r="J34" s="197">
        <f t="shared" si="3"/>
        <v>0</v>
      </c>
      <c r="K34" s="197">
        <f t="shared" si="1"/>
        <v>0</v>
      </c>
      <c r="L34" s="197"/>
      <c r="M34" s="559">
        <f t="shared" si="2"/>
        <v>0</v>
      </c>
      <c r="N34" s="14"/>
    </row>
    <row r="35" spans="1:14">
      <c r="A35" s="170"/>
      <c r="B35" s="170"/>
      <c r="C35" s="170"/>
      <c r="D35" s="170"/>
      <c r="E35" s="170">
        <f>SUM(E4:E34)</f>
        <v>30</v>
      </c>
      <c r="F35" s="170"/>
      <c r="G35" s="170">
        <f>SUM(G4:G34)</f>
        <v>2982.2999999999997</v>
      </c>
      <c r="H35" s="170">
        <f>SUM(H4:H34)</f>
        <v>0</v>
      </c>
      <c r="I35" s="170"/>
      <c r="J35" s="170">
        <f>SUM(J4:J34)</f>
        <v>0</v>
      </c>
      <c r="K35" s="170">
        <f>SUM(K4:K34)</f>
        <v>2982.2999999999997</v>
      </c>
      <c r="L35" s="170">
        <f>SUM(L4:L34)</f>
        <v>2982.2999999999997</v>
      </c>
      <c r="M35" s="170"/>
      <c r="N35" s="170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41"/>
  <sheetViews>
    <sheetView workbookViewId="0">
      <pane ySplit="3" topLeftCell="A4" activePane="bottomLeft" state="frozen"/>
      <selection pane="bottomLeft" activeCell="M18" sqref="M18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642" t="s">
        <v>209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</row>
    <row r="2" spans="1:18">
      <c r="A2" s="58" t="s">
        <v>0</v>
      </c>
      <c r="B2" s="58" t="s">
        <v>167</v>
      </c>
      <c r="C2" s="58" t="s">
        <v>168</v>
      </c>
      <c r="D2" s="58" t="s">
        <v>169</v>
      </c>
      <c r="E2" s="85" t="s">
        <v>170</v>
      </c>
      <c r="F2" s="85" t="s">
        <v>171</v>
      </c>
      <c r="G2" s="85" t="s">
        <v>172</v>
      </c>
      <c r="H2" s="85" t="s">
        <v>173</v>
      </c>
      <c r="I2" s="85" t="s">
        <v>171</v>
      </c>
      <c r="J2" s="85" t="s">
        <v>172</v>
      </c>
      <c r="K2" s="85" t="s">
        <v>174</v>
      </c>
      <c r="L2" s="79" t="s">
        <v>175</v>
      </c>
      <c r="M2" s="79" t="s">
        <v>190</v>
      </c>
      <c r="N2" s="58" t="s">
        <v>177</v>
      </c>
    </row>
    <row r="3" spans="1:18">
      <c r="A3" s="643" t="s">
        <v>178</v>
      </c>
      <c r="B3" s="643"/>
      <c r="C3" s="643"/>
      <c r="D3" s="643"/>
      <c r="E3" s="643"/>
      <c r="F3" s="643"/>
      <c r="G3" s="643"/>
      <c r="H3" s="643"/>
      <c r="I3" s="643"/>
      <c r="J3" s="643"/>
      <c r="K3" s="167"/>
      <c r="L3" s="96"/>
      <c r="M3" s="96">
        <v>84520.65800000001</v>
      </c>
    </row>
    <row r="4" spans="1:18">
      <c r="A4" s="23">
        <v>1</v>
      </c>
      <c r="B4" s="24">
        <v>46296</v>
      </c>
      <c r="C4" s="6"/>
      <c r="D4" s="6"/>
      <c r="E4" s="406">
        <v>113.82</v>
      </c>
      <c r="F4" s="406">
        <v>99.78</v>
      </c>
      <c r="G4" s="60">
        <f>E4*F4</f>
        <v>11356.9596</v>
      </c>
      <c r="H4" s="406"/>
      <c r="I4" s="407"/>
      <c r="J4" s="60">
        <f>H4*I4</f>
        <v>0</v>
      </c>
      <c r="K4" s="60">
        <f>G4+J4</f>
        <v>11356.9596</v>
      </c>
      <c r="L4" s="60"/>
      <c r="M4" s="60">
        <f>M3+K4-L4</f>
        <v>95877.617600000012</v>
      </c>
      <c r="N4" s="6"/>
    </row>
    <row r="5" spans="1:18">
      <c r="A5" s="23">
        <v>2</v>
      </c>
      <c r="B5" s="24">
        <v>46297</v>
      </c>
      <c r="C5" s="6"/>
      <c r="D5" s="6"/>
      <c r="E5" s="406">
        <v>30</v>
      </c>
      <c r="F5" s="406">
        <v>99.78</v>
      </c>
      <c r="G5" s="60">
        <f>E5*F5</f>
        <v>2993.4</v>
      </c>
      <c r="H5" s="406">
        <v>5</v>
      </c>
      <c r="I5" s="407">
        <v>111.98</v>
      </c>
      <c r="J5" s="60">
        <f>H5*I5</f>
        <v>559.9</v>
      </c>
      <c r="K5" s="60">
        <f>G5+J5</f>
        <v>3553.3</v>
      </c>
      <c r="L5" s="60"/>
      <c r="M5" s="60">
        <f t="shared" ref="M5:M9" si="0">M4+K5-L5</f>
        <v>99430.917600000015</v>
      </c>
      <c r="N5" s="6"/>
    </row>
    <row r="6" spans="1:18">
      <c r="A6" s="23">
        <v>3</v>
      </c>
      <c r="B6" s="24">
        <v>46298</v>
      </c>
      <c r="C6" s="6"/>
      <c r="D6" s="6"/>
      <c r="E6" s="406">
        <v>35</v>
      </c>
      <c r="F6" s="406">
        <v>99.78</v>
      </c>
      <c r="G6" s="60">
        <f t="shared" ref="G6:G40" si="1">E6*F6</f>
        <v>3492.3</v>
      </c>
      <c r="H6" s="406"/>
      <c r="I6" s="407"/>
      <c r="J6" s="60">
        <f t="shared" ref="J6" si="2">H6*I6</f>
        <v>0</v>
      </c>
      <c r="K6" s="60">
        <f t="shared" ref="K6:K39" si="3">G6+J6</f>
        <v>3492.3</v>
      </c>
      <c r="L6" s="60"/>
      <c r="M6" s="60">
        <f t="shared" si="0"/>
        <v>102923.21760000002</v>
      </c>
      <c r="N6" s="6"/>
    </row>
    <row r="7" spans="1:18">
      <c r="A7" s="23">
        <v>4</v>
      </c>
      <c r="B7" s="24">
        <v>46299</v>
      </c>
      <c r="C7" s="6"/>
      <c r="D7" s="6"/>
      <c r="E7" s="406">
        <v>70</v>
      </c>
      <c r="F7" s="406">
        <v>99.78</v>
      </c>
      <c r="G7" s="60">
        <f t="shared" si="1"/>
        <v>6984.6</v>
      </c>
      <c r="H7" s="406"/>
      <c r="I7" s="407"/>
      <c r="J7" s="60">
        <f t="shared" ref="J7:J40" si="4">H7*I7</f>
        <v>0</v>
      </c>
      <c r="K7" s="60">
        <f t="shared" si="3"/>
        <v>6984.6</v>
      </c>
      <c r="L7" s="60"/>
      <c r="M7" s="60">
        <f t="shared" si="0"/>
        <v>109907.81760000002</v>
      </c>
      <c r="N7" s="6"/>
    </row>
    <row r="8" spans="1:18">
      <c r="A8" s="23">
        <v>5</v>
      </c>
      <c r="B8" s="24">
        <v>46300</v>
      </c>
      <c r="C8" s="6"/>
      <c r="D8" s="6"/>
      <c r="E8" s="406">
        <v>30</v>
      </c>
      <c r="F8" s="406">
        <v>99.78</v>
      </c>
      <c r="G8" s="60">
        <f t="shared" si="1"/>
        <v>2993.4</v>
      </c>
      <c r="H8" s="406">
        <v>5</v>
      </c>
      <c r="I8" s="407">
        <v>111.98</v>
      </c>
      <c r="J8" s="60">
        <f t="shared" si="4"/>
        <v>559.9</v>
      </c>
      <c r="K8" s="60">
        <f t="shared" si="3"/>
        <v>3553.3</v>
      </c>
      <c r="L8" s="60"/>
      <c r="M8" s="60">
        <f t="shared" si="0"/>
        <v>113461.11760000003</v>
      </c>
      <c r="N8" s="6"/>
    </row>
    <row r="9" spans="1:18">
      <c r="A9" s="23">
        <v>6</v>
      </c>
      <c r="B9" s="24">
        <v>46301</v>
      </c>
      <c r="C9" s="6"/>
      <c r="D9" s="6"/>
      <c r="E9" s="406">
        <v>110</v>
      </c>
      <c r="F9" s="406">
        <v>99.78</v>
      </c>
      <c r="G9" s="60">
        <f t="shared" si="1"/>
        <v>10975.8</v>
      </c>
      <c r="H9" s="406"/>
      <c r="I9" s="407"/>
      <c r="J9" s="60">
        <f t="shared" si="4"/>
        <v>0</v>
      </c>
      <c r="K9" s="60">
        <f t="shared" si="3"/>
        <v>10975.8</v>
      </c>
      <c r="L9" s="60"/>
      <c r="M9" s="60">
        <f t="shared" si="0"/>
        <v>124436.91760000003</v>
      </c>
      <c r="N9" s="6"/>
    </row>
    <row r="10" spans="1:18">
      <c r="A10" s="23">
        <v>7</v>
      </c>
      <c r="B10" s="24">
        <v>46302</v>
      </c>
      <c r="C10" s="6"/>
      <c r="D10" s="6"/>
      <c r="E10" s="406">
        <v>126</v>
      </c>
      <c r="F10" s="406">
        <v>99.78</v>
      </c>
      <c r="G10" s="60">
        <f t="shared" si="1"/>
        <v>12572.28</v>
      </c>
      <c r="H10" s="406">
        <v>9</v>
      </c>
      <c r="I10" s="407">
        <v>111.98</v>
      </c>
      <c r="J10" s="60">
        <f t="shared" si="4"/>
        <v>1007.82</v>
      </c>
      <c r="K10" s="60">
        <f t="shared" si="3"/>
        <v>13580.1</v>
      </c>
      <c r="L10" s="60"/>
      <c r="M10" s="60">
        <f t="shared" ref="M5:M40" si="5">M9+K10-L10</f>
        <v>138017.01760000002</v>
      </c>
      <c r="N10" s="6"/>
    </row>
    <row r="11" spans="1:18">
      <c r="A11" s="23">
        <v>8</v>
      </c>
      <c r="B11" s="24">
        <v>46303</v>
      </c>
      <c r="C11" s="6"/>
      <c r="D11" s="6"/>
      <c r="E11" s="406"/>
      <c r="F11" s="406"/>
      <c r="G11" s="60">
        <f t="shared" si="1"/>
        <v>0</v>
      </c>
      <c r="H11" s="406">
        <v>5</v>
      </c>
      <c r="I11" s="407">
        <v>111.98</v>
      </c>
      <c r="J11" s="60">
        <f t="shared" si="4"/>
        <v>559.9</v>
      </c>
      <c r="K11" s="60">
        <f t="shared" si="3"/>
        <v>559.9</v>
      </c>
      <c r="L11" s="60">
        <v>100000</v>
      </c>
      <c r="M11" s="60">
        <f t="shared" si="5"/>
        <v>38576.917600000015</v>
      </c>
      <c r="N11" s="6"/>
      <c r="R11" s="535"/>
    </row>
    <row r="12" spans="1:18">
      <c r="A12" s="23">
        <v>9</v>
      </c>
      <c r="B12" s="24">
        <v>46304</v>
      </c>
      <c r="C12" s="6"/>
      <c r="D12" s="6"/>
      <c r="E12" s="406"/>
      <c r="F12" s="406"/>
      <c r="G12" s="60">
        <f t="shared" si="1"/>
        <v>0</v>
      </c>
      <c r="H12" s="406"/>
      <c r="I12" s="407"/>
      <c r="J12" s="60">
        <f t="shared" si="4"/>
        <v>0</v>
      </c>
      <c r="K12" s="60">
        <f t="shared" si="3"/>
        <v>0</v>
      </c>
      <c r="L12" s="60"/>
      <c r="M12" s="60">
        <f t="shared" si="5"/>
        <v>38576.917600000015</v>
      </c>
      <c r="N12" s="6"/>
    </row>
    <row r="13" spans="1:18">
      <c r="A13" s="23">
        <v>10</v>
      </c>
      <c r="B13" s="24">
        <v>46305</v>
      </c>
      <c r="C13" s="6"/>
      <c r="D13" s="6"/>
      <c r="E13" s="406">
        <v>100</v>
      </c>
      <c r="F13" s="406">
        <v>99.78</v>
      </c>
      <c r="G13" s="60">
        <f t="shared" si="1"/>
        <v>9978</v>
      </c>
      <c r="H13" s="406">
        <v>5</v>
      </c>
      <c r="I13" s="407">
        <v>111.98</v>
      </c>
      <c r="J13" s="60">
        <f t="shared" si="4"/>
        <v>559.9</v>
      </c>
      <c r="K13" s="60">
        <f t="shared" si="3"/>
        <v>10537.9</v>
      </c>
      <c r="L13" s="60"/>
      <c r="M13" s="60">
        <f t="shared" si="5"/>
        <v>49114.817600000017</v>
      </c>
      <c r="N13" s="6"/>
    </row>
    <row r="14" spans="1:18">
      <c r="A14" s="23">
        <v>11</v>
      </c>
      <c r="B14" s="24">
        <v>46306</v>
      </c>
      <c r="C14" s="6"/>
      <c r="D14" s="6"/>
      <c r="E14" s="406"/>
      <c r="F14" s="406"/>
      <c r="G14" s="60">
        <f t="shared" si="1"/>
        <v>0</v>
      </c>
      <c r="H14" s="406"/>
      <c r="I14" s="407"/>
      <c r="J14" s="60">
        <f t="shared" si="4"/>
        <v>0</v>
      </c>
      <c r="K14" s="60">
        <f t="shared" si="3"/>
        <v>0</v>
      </c>
      <c r="L14" s="60"/>
      <c r="M14" s="60">
        <f t="shared" si="5"/>
        <v>49114.817600000017</v>
      </c>
      <c r="N14" s="6"/>
    </row>
    <row r="15" spans="1:18">
      <c r="A15" s="23">
        <v>12</v>
      </c>
      <c r="B15" s="24">
        <v>46307</v>
      </c>
      <c r="C15" s="6"/>
      <c r="D15" s="6"/>
      <c r="E15" s="406">
        <v>130</v>
      </c>
      <c r="F15" s="406">
        <v>99.78</v>
      </c>
      <c r="G15" s="60">
        <f t="shared" si="1"/>
        <v>12971.4</v>
      </c>
      <c r="H15" s="406">
        <v>5</v>
      </c>
      <c r="I15" s="407">
        <v>111.98</v>
      </c>
      <c r="J15" s="60">
        <f t="shared" si="4"/>
        <v>559.9</v>
      </c>
      <c r="K15" s="60">
        <f t="shared" si="3"/>
        <v>13531.3</v>
      </c>
      <c r="L15" s="60"/>
      <c r="M15" s="60">
        <f t="shared" si="5"/>
        <v>62646.117600000012</v>
      </c>
      <c r="N15" s="6"/>
    </row>
    <row r="16" spans="1:18">
      <c r="A16" s="23">
        <v>13</v>
      </c>
      <c r="B16" s="24">
        <v>46308</v>
      </c>
      <c r="C16" s="6"/>
      <c r="D16" s="6"/>
      <c r="E16" s="406">
        <v>30</v>
      </c>
      <c r="F16" s="406">
        <v>99.78</v>
      </c>
      <c r="G16" s="60">
        <f t="shared" si="1"/>
        <v>2993.4</v>
      </c>
      <c r="H16" s="406"/>
      <c r="I16" s="407"/>
      <c r="J16" s="60">
        <f t="shared" si="4"/>
        <v>0</v>
      </c>
      <c r="K16" s="60">
        <f t="shared" si="3"/>
        <v>2993.4</v>
      </c>
      <c r="L16" s="60"/>
      <c r="M16" s="60">
        <f t="shared" si="5"/>
        <v>65639.517600000006</v>
      </c>
      <c r="N16" s="6"/>
    </row>
    <row r="17" spans="1:21">
      <c r="A17" s="23">
        <v>14</v>
      </c>
      <c r="B17" s="24">
        <v>46309</v>
      </c>
      <c r="C17" s="6"/>
      <c r="D17" s="6"/>
      <c r="E17" s="406">
        <v>30</v>
      </c>
      <c r="F17" s="406">
        <v>99.78</v>
      </c>
      <c r="G17" s="60">
        <f t="shared" si="1"/>
        <v>2993.4</v>
      </c>
      <c r="H17" s="406"/>
      <c r="I17" s="407"/>
      <c r="J17" s="60">
        <f t="shared" si="4"/>
        <v>0</v>
      </c>
      <c r="K17" s="60">
        <f t="shared" si="3"/>
        <v>2993.4</v>
      </c>
      <c r="L17" s="60"/>
      <c r="M17" s="60">
        <f t="shared" si="5"/>
        <v>68632.917600000001</v>
      </c>
      <c r="N17" s="6"/>
    </row>
    <row r="18" spans="1:21">
      <c r="A18" s="23">
        <v>15</v>
      </c>
      <c r="B18" s="24">
        <v>46310</v>
      </c>
      <c r="C18" s="6"/>
      <c r="D18" s="6"/>
      <c r="E18" s="406">
        <v>90</v>
      </c>
      <c r="F18" s="406">
        <v>99.78</v>
      </c>
      <c r="G18" s="60">
        <f t="shared" si="1"/>
        <v>8980.2000000000007</v>
      </c>
      <c r="H18" s="406">
        <v>5</v>
      </c>
      <c r="I18" s="407">
        <v>111.98</v>
      </c>
      <c r="J18" s="60">
        <f t="shared" si="4"/>
        <v>559.9</v>
      </c>
      <c r="K18" s="60">
        <f t="shared" si="3"/>
        <v>9540.1</v>
      </c>
      <c r="L18" s="60"/>
      <c r="M18" s="60">
        <f t="shared" si="5"/>
        <v>78173.017600000006</v>
      </c>
      <c r="N18" s="6"/>
    </row>
    <row r="19" spans="1:21">
      <c r="A19" s="23">
        <v>16</v>
      </c>
      <c r="B19" s="24">
        <v>46311</v>
      </c>
      <c r="C19" s="6"/>
      <c r="D19" s="6"/>
      <c r="E19" s="406"/>
      <c r="F19" s="406"/>
      <c r="G19" s="60">
        <f t="shared" si="1"/>
        <v>0</v>
      </c>
      <c r="H19" s="406"/>
      <c r="I19" s="407"/>
      <c r="J19" s="60">
        <f t="shared" si="4"/>
        <v>0</v>
      </c>
      <c r="K19" s="60">
        <f t="shared" si="3"/>
        <v>0</v>
      </c>
      <c r="L19" s="60"/>
      <c r="M19" s="60">
        <f t="shared" si="5"/>
        <v>78173.017600000006</v>
      </c>
      <c r="N19" s="6"/>
    </row>
    <row r="20" spans="1:21">
      <c r="A20" s="23">
        <v>17</v>
      </c>
      <c r="B20" s="24">
        <v>46312</v>
      </c>
      <c r="C20" s="166"/>
      <c r="D20" s="6"/>
      <c r="E20" s="406"/>
      <c r="F20" s="406"/>
      <c r="G20" s="60">
        <f t="shared" si="1"/>
        <v>0</v>
      </c>
      <c r="H20" s="406"/>
      <c r="I20" s="407"/>
      <c r="J20" s="60">
        <f t="shared" si="4"/>
        <v>0</v>
      </c>
      <c r="K20" s="60">
        <f t="shared" si="3"/>
        <v>0</v>
      </c>
      <c r="L20" s="60"/>
      <c r="M20" s="60">
        <f t="shared" si="5"/>
        <v>78173.017600000006</v>
      </c>
      <c r="N20" s="6"/>
    </row>
    <row r="21" spans="1:21">
      <c r="A21" s="23">
        <v>18</v>
      </c>
      <c r="B21" s="24">
        <v>46313</v>
      </c>
      <c r="C21" s="166"/>
      <c r="D21" s="6"/>
      <c r="E21" s="406"/>
      <c r="F21" s="406"/>
      <c r="G21" s="60">
        <f t="shared" si="1"/>
        <v>0</v>
      </c>
      <c r="H21" s="406"/>
      <c r="I21" s="407"/>
      <c r="J21" s="60">
        <f t="shared" si="4"/>
        <v>0</v>
      </c>
      <c r="K21" s="60">
        <f t="shared" si="3"/>
        <v>0</v>
      </c>
      <c r="L21" s="60"/>
      <c r="M21" s="60">
        <f t="shared" si="5"/>
        <v>78173.017600000006</v>
      </c>
      <c r="N21" s="6"/>
    </row>
    <row r="22" spans="1:21">
      <c r="A22" s="23">
        <v>19</v>
      </c>
      <c r="B22" s="24">
        <v>46314</v>
      </c>
      <c r="C22" s="166"/>
      <c r="D22" s="6"/>
      <c r="E22" s="406"/>
      <c r="F22" s="406"/>
      <c r="G22" s="60">
        <f>E22*F22</f>
        <v>0</v>
      </c>
      <c r="H22" s="406"/>
      <c r="I22" s="407"/>
      <c r="J22" s="60">
        <f>H22*I22</f>
        <v>0</v>
      </c>
      <c r="K22" s="60">
        <f>G22+J22</f>
        <v>0</v>
      </c>
      <c r="L22" s="60"/>
      <c r="M22" s="60">
        <f t="shared" si="5"/>
        <v>78173.017600000006</v>
      </c>
      <c r="N22" s="6"/>
    </row>
    <row r="23" spans="1:21">
      <c r="A23" s="23">
        <v>20</v>
      </c>
      <c r="B23" s="24">
        <v>46315</v>
      </c>
      <c r="C23" s="166"/>
      <c r="D23" s="6"/>
      <c r="E23" s="406"/>
      <c r="F23" s="406"/>
      <c r="G23" s="60">
        <f t="shared" si="1"/>
        <v>0</v>
      </c>
      <c r="H23" s="406"/>
      <c r="I23" s="407"/>
      <c r="J23" s="60">
        <f t="shared" si="4"/>
        <v>0</v>
      </c>
      <c r="K23" s="60">
        <f t="shared" si="3"/>
        <v>0</v>
      </c>
      <c r="L23" s="60"/>
      <c r="M23" s="60">
        <f>M22+K23-L23</f>
        <v>78173.017600000006</v>
      </c>
      <c r="N23" s="6"/>
    </row>
    <row r="24" spans="1:21">
      <c r="A24" s="23">
        <v>21</v>
      </c>
      <c r="B24" s="24">
        <v>46316</v>
      </c>
      <c r="C24" s="166"/>
      <c r="D24" s="6"/>
      <c r="E24" s="406"/>
      <c r="F24" s="406"/>
      <c r="G24" s="60">
        <f t="shared" si="1"/>
        <v>0</v>
      </c>
      <c r="H24" s="406"/>
      <c r="I24" s="407"/>
      <c r="J24" s="60">
        <f t="shared" si="4"/>
        <v>0</v>
      </c>
      <c r="K24" s="60">
        <f t="shared" si="3"/>
        <v>0</v>
      </c>
      <c r="L24" s="60"/>
      <c r="M24" s="60">
        <f t="shared" si="5"/>
        <v>78173.017600000006</v>
      </c>
      <c r="N24" s="6"/>
    </row>
    <row r="25" spans="1:21">
      <c r="A25" s="23">
        <v>22</v>
      </c>
      <c r="B25" s="24">
        <v>46317</v>
      </c>
      <c r="C25" s="166"/>
      <c r="D25" s="6"/>
      <c r="E25" s="406"/>
      <c r="F25" s="406"/>
      <c r="G25" s="60">
        <f t="shared" si="1"/>
        <v>0</v>
      </c>
      <c r="H25" s="406"/>
      <c r="I25" s="407"/>
      <c r="J25" s="60">
        <f t="shared" si="4"/>
        <v>0</v>
      </c>
      <c r="K25" s="60">
        <f t="shared" si="3"/>
        <v>0</v>
      </c>
      <c r="L25" s="60"/>
      <c r="M25" s="60">
        <f t="shared" si="5"/>
        <v>78173.017600000006</v>
      </c>
      <c r="N25" s="6"/>
    </row>
    <row r="26" spans="1:21">
      <c r="A26" s="23">
        <v>23</v>
      </c>
      <c r="B26" s="24">
        <v>46318</v>
      </c>
      <c r="C26" s="166"/>
      <c r="D26" s="6"/>
      <c r="E26" s="406"/>
      <c r="F26" s="406"/>
      <c r="G26" s="60">
        <f t="shared" si="1"/>
        <v>0</v>
      </c>
      <c r="H26" s="406"/>
      <c r="I26" s="407"/>
      <c r="J26" s="60">
        <f t="shared" si="4"/>
        <v>0</v>
      </c>
      <c r="K26" s="60">
        <f t="shared" si="3"/>
        <v>0</v>
      </c>
      <c r="L26" s="60"/>
      <c r="M26" s="60">
        <f t="shared" si="5"/>
        <v>78173.017600000006</v>
      </c>
      <c r="N26" s="6"/>
      <c r="R26" s="644" t="s">
        <v>210</v>
      </c>
      <c r="S26" s="644"/>
      <c r="T26" s="368" t="s">
        <v>211</v>
      </c>
      <c r="U26" s="368"/>
    </row>
    <row r="27" spans="1:21">
      <c r="A27" s="23">
        <v>24</v>
      </c>
      <c r="B27" s="24">
        <v>46319</v>
      </c>
      <c r="C27" s="166"/>
      <c r="D27" s="6"/>
      <c r="E27" s="406"/>
      <c r="F27" s="406"/>
      <c r="G27" s="60">
        <f t="shared" si="1"/>
        <v>0</v>
      </c>
      <c r="H27" s="406"/>
      <c r="I27" s="407"/>
      <c r="J27" s="60">
        <f t="shared" si="4"/>
        <v>0</v>
      </c>
      <c r="K27" s="60">
        <f t="shared" si="3"/>
        <v>0</v>
      </c>
      <c r="L27" s="60"/>
      <c r="M27" s="60">
        <f t="shared" si="5"/>
        <v>78173.017600000006</v>
      </c>
      <c r="N27" s="6"/>
      <c r="R27" s="6" t="s">
        <v>212</v>
      </c>
      <c r="S27" s="6" t="s">
        <v>213</v>
      </c>
      <c r="T27" s="6" t="s">
        <v>214</v>
      </c>
      <c r="U27" s="6" t="s">
        <v>64</v>
      </c>
    </row>
    <row r="28" spans="1:21">
      <c r="A28" s="23">
        <v>25</v>
      </c>
      <c r="B28" s="24">
        <v>46320</v>
      </c>
      <c r="C28" s="166"/>
      <c r="D28" s="6"/>
      <c r="E28" s="406"/>
      <c r="F28" s="406"/>
      <c r="G28" s="60">
        <f t="shared" si="1"/>
        <v>0</v>
      </c>
      <c r="H28" s="406"/>
      <c r="I28" s="407"/>
      <c r="J28" s="60">
        <f t="shared" si="4"/>
        <v>0</v>
      </c>
      <c r="K28" s="60">
        <f t="shared" si="3"/>
        <v>0</v>
      </c>
      <c r="L28" s="60"/>
      <c r="M28" s="60">
        <f t="shared" si="5"/>
        <v>78173.017600000006</v>
      </c>
      <c r="N28" s="6"/>
      <c r="R28" s="6" t="s">
        <v>215</v>
      </c>
      <c r="S28" s="6">
        <v>2040</v>
      </c>
      <c r="T28" s="6">
        <v>90</v>
      </c>
      <c r="U28" s="6">
        <v>169925</v>
      </c>
    </row>
    <row r="29" spans="1:21">
      <c r="A29" s="23">
        <v>26</v>
      </c>
      <c r="B29" s="24">
        <v>46321</v>
      </c>
      <c r="C29" s="166"/>
      <c r="D29" s="6"/>
      <c r="E29" s="406"/>
      <c r="F29" s="406"/>
      <c r="G29" s="60">
        <f t="shared" si="1"/>
        <v>0</v>
      </c>
      <c r="H29" s="406"/>
      <c r="I29" s="407"/>
      <c r="J29" s="60">
        <f t="shared" si="4"/>
        <v>0</v>
      </c>
      <c r="K29" s="60">
        <f t="shared" si="3"/>
        <v>0</v>
      </c>
      <c r="L29" s="60"/>
      <c r="M29" s="60">
        <f t="shared" si="5"/>
        <v>78173.017600000006</v>
      </c>
      <c r="N29" s="6"/>
      <c r="R29" s="6" t="s">
        <v>216</v>
      </c>
      <c r="S29" s="6">
        <v>2115</v>
      </c>
      <c r="T29" s="6">
        <v>185</v>
      </c>
      <c r="U29" s="6">
        <v>206053</v>
      </c>
    </row>
    <row r="30" spans="1:21">
      <c r="A30" s="23">
        <v>27</v>
      </c>
      <c r="B30" s="24">
        <v>46322</v>
      </c>
      <c r="C30" s="166"/>
      <c r="D30" s="6"/>
      <c r="E30" s="406"/>
      <c r="F30" s="406"/>
      <c r="G30" s="60">
        <f t="shared" si="1"/>
        <v>0</v>
      </c>
      <c r="H30" s="406"/>
      <c r="I30" s="407"/>
      <c r="J30" s="60">
        <f t="shared" si="4"/>
        <v>0</v>
      </c>
      <c r="K30" s="60">
        <f t="shared" si="3"/>
        <v>0</v>
      </c>
      <c r="L30" s="60"/>
      <c r="M30" s="60">
        <f t="shared" si="5"/>
        <v>78173.017600000006</v>
      </c>
      <c r="N30" s="6"/>
      <c r="R30" s="6" t="s">
        <v>217</v>
      </c>
      <c r="S30" s="6">
        <v>2145</v>
      </c>
      <c r="T30" s="6">
        <v>177</v>
      </c>
      <c r="U30" s="6">
        <v>247835</v>
      </c>
    </row>
    <row r="31" spans="1:21">
      <c r="A31" s="23">
        <v>28</v>
      </c>
      <c r="B31" s="24">
        <v>46323</v>
      </c>
      <c r="C31" s="166"/>
      <c r="D31" s="6"/>
      <c r="E31" s="406"/>
      <c r="F31" s="406"/>
      <c r="G31" s="60">
        <f t="shared" si="1"/>
        <v>0</v>
      </c>
      <c r="H31" s="406"/>
      <c r="I31" s="407"/>
      <c r="J31" s="60">
        <f t="shared" si="4"/>
        <v>0</v>
      </c>
      <c r="K31" s="60">
        <f t="shared" si="3"/>
        <v>0</v>
      </c>
      <c r="L31" s="60"/>
      <c r="M31" s="60">
        <f t="shared" si="5"/>
        <v>78173.017600000006</v>
      </c>
      <c r="N31" s="6"/>
      <c r="R31" s="6" t="s">
        <v>218</v>
      </c>
      <c r="S31" s="6">
        <v>545</v>
      </c>
      <c r="T31" s="6">
        <v>50</v>
      </c>
      <c r="U31" s="6">
        <v>44201</v>
      </c>
    </row>
    <row r="32" spans="1:21">
      <c r="A32" s="23">
        <v>29</v>
      </c>
      <c r="B32" s="24">
        <v>46324</v>
      </c>
      <c r="C32" s="166"/>
      <c r="D32" s="6"/>
      <c r="E32" s="406"/>
      <c r="F32" s="406"/>
      <c r="G32" s="60">
        <f t="shared" si="1"/>
        <v>0</v>
      </c>
      <c r="H32" s="406"/>
      <c r="I32" s="407"/>
      <c r="J32" s="60">
        <f t="shared" si="4"/>
        <v>0</v>
      </c>
      <c r="K32" s="60">
        <f t="shared" si="3"/>
        <v>0</v>
      </c>
      <c r="L32" s="60"/>
      <c r="M32" s="60">
        <f t="shared" si="5"/>
        <v>78173.017600000006</v>
      </c>
      <c r="N32" s="6"/>
      <c r="R32" s="6"/>
      <c r="S32" s="368">
        <f>SUM(S28:S31)</f>
        <v>6845</v>
      </c>
      <c r="T32" s="368">
        <f>SUM(T28:T31)</f>
        <v>502</v>
      </c>
      <c r="U32" s="368">
        <f>SUM(U28:U31)</f>
        <v>668014</v>
      </c>
    </row>
    <row r="33" spans="1:14">
      <c r="A33" s="23">
        <v>30</v>
      </c>
      <c r="B33" s="24">
        <v>46325</v>
      </c>
      <c r="C33" s="166"/>
      <c r="D33" s="6"/>
      <c r="E33" s="406"/>
      <c r="F33" s="406"/>
      <c r="G33" s="60">
        <f t="shared" si="1"/>
        <v>0</v>
      </c>
      <c r="H33" s="406"/>
      <c r="I33" s="407"/>
      <c r="J33" s="60">
        <f t="shared" si="4"/>
        <v>0</v>
      </c>
      <c r="K33" s="60">
        <f t="shared" si="3"/>
        <v>0</v>
      </c>
      <c r="L33" s="60"/>
      <c r="M33" s="60">
        <f t="shared" si="5"/>
        <v>78173.017600000006</v>
      </c>
      <c r="N33" s="6"/>
    </row>
    <row r="34" spans="1:14">
      <c r="A34" s="23">
        <v>31</v>
      </c>
      <c r="B34" s="24">
        <v>46326</v>
      </c>
      <c r="C34" s="166"/>
      <c r="D34" s="6"/>
      <c r="E34" s="406"/>
      <c r="F34" s="406"/>
      <c r="G34" s="60">
        <f t="shared" si="1"/>
        <v>0</v>
      </c>
      <c r="H34" s="406"/>
      <c r="I34" s="407"/>
      <c r="J34" s="60">
        <f t="shared" si="4"/>
        <v>0</v>
      </c>
      <c r="K34" s="60">
        <f t="shared" si="3"/>
        <v>0</v>
      </c>
      <c r="L34" s="60"/>
      <c r="M34" s="60">
        <f t="shared" si="5"/>
        <v>78173.017600000006</v>
      </c>
      <c r="N34" s="6"/>
    </row>
    <row r="35" spans="1:14">
      <c r="A35" s="23">
        <v>32</v>
      </c>
      <c r="B35" s="24"/>
      <c r="C35" s="166"/>
      <c r="D35" s="6"/>
      <c r="E35" s="406"/>
      <c r="F35" s="406"/>
      <c r="G35" s="60">
        <f t="shared" si="1"/>
        <v>0</v>
      </c>
      <c r="H35" s="406"/>
      <c r="I35" s="407"/>
      <c r="J35" s="60">
        <f t="shared" si="4"/>
        <v>0</v>
      </c>
      <c r="K35" s="60">
        <f t="shared" si="3"/>
        <v>0</v>
      </c>
      <c r="L35" s="60"/>
      <c r="M35" s="60">
        <f t="shared" si="5"/>
        <v>78173.017600000006</v>
      </c>
      <c r="N35" s="6"/>
    </row>
    <row r="36" spans="1:14">
      <c r="A36" s="23">
        <v>33</v>
      </c>
      <c r="B36" s="24"/>
      <c r="C36" s="166"/>
      <c r="D36" s="6"/>
      <c r="E36" s="406"/>
      <c r="F36" s="406"/>
      <c r="G36" s="60">
        <f t="shared" si="1"/>
        <v>0</v>
      </c>
      <c r="H36" s="406"/>
      <c r="I36" s="407"/>
      <c r="J36" s="60">
        <f t="shared" si="4"/>
        <v>0</v>
      </c>
      <c r="K36" s="60">
        <f t="shared" si="3"/>
        <v>0</v>
      </c>
      <c r="L36" s="60"/>
      <c r="M36" s="60">
        <f t="shared" si="5"/>
        <v>78173.017600000006</v>
      </c>
      <c r="N36" s="6"/>
    </row>
    <row r="37" spans="1:14">
      <c r="A37" s="23">
        <v>34</v>
      </c>
      <c r="B37" s="24"/>
      <c r="C37" s="166"/>
      <c r="D37" s="6"/>
      <c r="E37" s="406"/>
      <c r="F37" s="406"/>
      <c r="G37" s="60">
        <f t="shared" ref="G37" si="6">E37*F37</f>
        <v>0</v>
      </c>
      <c r="H37" s="38"/>
      <c r="I37" s="38"/>
      <c r="J37" s="60">
        <f t="shared" ref="J37" si="7">H37*I37</f>
        <v>0</v>
      </c>
      <c r="K37" s="60">
        <f t="shared" ref="K37:L37" si="8">G37+J37</f>
        <v>0</v>
      </c>
      <c r="L37" s="60"/>
      <c r="M37" s="60">
        <f t="shared" si="5"/>
        <v>78173.017600000006</v>
      </c>
      <c r="N37" s="6"/>
    </row>
    <row r="38" spans="1:14">
      <c r="A38" s="23">
        <v>35</v>
      </c>
      <c r="B38" s="24"/>
      <c r="C38" s="166"/>
      <c r="D38" s="6"/>
      <c r="E38" s="404"/>
      <c r="F38" s="404"/>
      <c r="G38" s="60">
        <f t="shared" si="1"/>
        <v>0</v>
      </c>
      <c r="H38" s="38"/>
      <c r="I38" s="38"/>
      <c r="J38" s="60">
        <f t="shared" si="4"/>
        <v>0</v>
      </c>
      <c r="K38" s="60">
        <f t="shared" si="3"/>
        <v>0</v>
      </c>
      <c r="L38" s="60"/>
      <c r="M38" s="60">
        <f t="shared" si="5"/>
        <v>78173.017600000006</v>
      </c>
      <c r="N38" s="6"/>
    </row>
    <row r="39" spans="1:14">
      <c r="A39" s="23">
        <v>36</v>
      </c>
      <c r="B39" s="24"/>
      <c r="C39" s="166"/>
      <c r="D39" s="6"/>
      <c r="E39" s="404"/>
      <c r="F39" s="404"/>
      <c r="G39" s="60">
        <f t="shared" si="1"/>
        <v>0</v>
      </c>
      <c r="H39" s="38"/>
      <c r="I39" s="38"/>
      <c r="J39" s="60">
        <f t="shared" si="4"/>
        <v>0</v>
      </c>
      <c r="K39" s="60">
        <f t="shared" si="3"/>
        <v>0</v>
      </c>
      <c r="L39" s="60"/>
      <c r="M39" s="60">
        <f t="shared" si="5"/>
        <v>78173.017600000006</v>
      </c>
      <c r="N39" s="6"/>
    </row>
    <row r="40" spans="1:14">
      <c r="A40" s="23">
        <v>37</v>
      </c>
      <c r="B40" s="24"/>
      <c r="C40" s="166"/>
      <c r="D40" s="6"/>
      <c r="E40" s="249"/>
      <c r="F40" s="38"/>
      <c r="G40" s="60">
        <f t="shared" si="1"/>
        <v>0</v>
      </c>
      <c r="H40" s="38"/>
      <c r="I40" s="38"/>
      <c r="J40" s="60">
        <f t="shared" si="4"/>
        <v>0</v>
      </c>
      <c r="K40" s="60">
        <f t="shared" ref="K40" si="9">G40+J40</f>
        <v>0</v>
      </c>
      <c r="L40" s="60"/>
      <c r="M40" s="60">
        <f t="shared" si="5"/>
        <v>78173.017600000006</v>
      </c>
      <c r="N40" s="6"/>
    </row>
    <row r="41" spans="1:14">
      <c r="A41" s="36"/>
      <c r="B41" s="36"/>
      <c r="C41" s="36"/>
      <c r="D41" s="36"/>
      <c r="E41" s="36">
        <f>SUM(E4:E40)</f>
        <v>894.81999999999994</v>
      </c>
      <c r="F41" s="36"/>
      <c r="G41" s="36">
        <f>SUM(G4:G40)</f>
        <v>89285.13959999998</v>
      </c>
      <c r="H41" s="36">
        <f>SUM(H4:H40)</f>
        <v>39</v>
      </c>
      <c r="I41" s="36"/>
      <c r="J41" s="36">
        <f>SUM(J4:J40)</f>
        <v>4367.22</v>
      </c>
      <c r="K41" s="36">
        <f>SUM(K4:K40)</f>
        <v>93652.359599999996</v>
      </c>
      <c r="L41" s="36">
        <f>SUM(L4:L40)</f>
        <v>100000</v>
      </c>
      <c r="M41" s="36"/>
      <c r="N41" s="36"/>
    </row>
  </sheetData>
  <mergeCells count="3">
    <mergeCell ref="A1:N1"/>
    <mergeCell ref="A3:J3"/>
    <mergeCell ref="R26:S2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P56"/>
  <sheetViews>
    <sheetView workbookViewId="0">
      <pane ySplit="3" topLeftCell="A14" activePane="bottomLeft" state="frozen"/>
      <selection pane="bottomLeft" activeCell="Q14" sqref="Q14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4" ht="15.75">
      <c r="A1" s="645" t="s">
        <v>219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</row>
    <row r="2" spans="1:14" ht="30.75">
      <c r="A2" s="58" t="s">
        <v>0</v>
      </c>
      <c r="B2" s="77" t="s">
        <v>167</v>
      </c>
      <c r="C2" s="77" t="s">
        <v>168</v>
      </c>
      <c r="D2" s="77" t="s">
        <v>169</v>
      </c>
      <c r="E2" s="84" t="s">
        <v>170</v>
      </c>
      <c r="F2" s="84" t="s">
        <v>171</v>
      </c>
      <c r="G2" s="84" t="s">
        <v>172</v>
      </c>
      <c r="H2" s="84" t="s">
        <v>173</v>
      </c>
      <c r="I2" s="84" t="s">
        <v>171</v>
      </c>
      <c r="J2" s="84" t="s">
        <v>172</v>
      </c>
      <c r="K2" s="85" t="s">
        <v>174</v>
      </c>
      <c r="L2" s="79" t="s">
        <v>175</v>
      </c>
      <c r="M2" s="79" t="s">
        <v>190</v>
      </c>
      <c r="N2" s="118" t="s">
        <v>177</v>
      </c>
    </row>
    <row r="3" spans="1:14">
      <c r="A3" s="618" t="s">
        <v>178</v>
      </c>
      <c r="B3" s="618"/>
      <c r="C3" s="618"/>
      <c r="D3" s="618"/>
      <c r="E3" s="618"/>
      <c r="F3" s="618"/>
      <c r="G3" s="618"/>
      <c r="H3" s="618"/>
      <c r="I3" s="618"/>
      <c r="J3" s="625"/>
      <c r="K3" s="190">
        <v>605152.23820000002</v>
      </c>
      <c r="M3" s="127">
        <v>605152.23820000002</v>
      </c>
      <c r="N3" s="88"/>
    </row>
    <row r="4" spans="1:14">
      <c r="A4" s="23">
        <v>1</v>
      </c>
      <c r="B4" s="24">
        <v>46296</v>
      </c>
      <c r="C4" s="14"/>
      <c r="D4" s="14"/>
      <c r="E4" s="34"/>
      <c r="F4" s="34"/>
      <c r="G4" s="34">
        <f>E4*F4</f>
        <v>0</v>
      </c>
      <c r="H4" s="34"/>
      <c r="I4" s="34"/>
      <c r="J4" s="34">
        <f>H4*I4</f>
        <v>0</v>
      </c>
      <c r="K4" s="34">
        <f>G4+J4</f>
        <v>0</v>
      </c>
      <c r="L4" s="34"/>
      <c r="M4" s="128">
        <f>M3+K4-L4</f>
        <v>605152.23820000002</v>
      </c>
      <c r="N4" s="14"/>
    </row>
    <row r="5" spans="1:14">
      <c r="A5" s="23">
        <v>2</v>
      </c>
      <c r="B5" s="24">
        <v>46297</v>
      </c>
      <c r="C5" s="14"/>
      <c r="D5" s="14"/>
      <c r="E5" s="34"/>
      <c r="F5" s="34"/>
      <c r="G5" s="34">
        <f>E5*F5</f>
        <v>0</v>
      </c>
      <c r="H5" s="34"/>
      <c r="I5" s="34"/>
      <c r="J5" s="34">
        <f t="shared" ref="J5:J36" si="0">H5*I5</f>
        <v>0</v>
      </c>
      <c r="K5" s="34">
        <f t="shared" ref="K5:L36" si="1">G5+J5</f>
        <v>0</v>
      </c>
      <c r="L5" s="34"/>
      <c r="M5" s="128">
        <f t="shared" ref="M5:M55" si="2">M4+K5-L5</f>
        <v>605152.23820000002</v>
      </c>
      <c r="N5" s="14"/>
    </row>
    <row r="6" spans="1:14">
      <c r="A6" s="23">
        <v>3</v>
      </c>
      <c r="B6" s="24">
        <v>46298</v>
      </c>
      <c r="C6" s="14"/>
      <c r="D6" s="14"/>
      <c r="E6" s="34"/>
      <c r="F6" s="34"/>
      <c r="G6" s="34">
        <f t="shared" ref="G5:G36" si="3">E6*F6</f>
        <v>0</v>
      </c>
      <c r="H6" s="34"/>
      <c r="I6" s="34"/>
      <c r="J6" s="34">
        <f t="shared" si="0"/>
        <v>0</v>
      </c>
      <c r="K6" s="34">
        <f t="shared" si="1"/>
        <v>0</v>
      </c>
      <c r="L6" s="34"/>
      <c r="M6" s="128">
        <f t="shared" si="2"/>
        <v>605152.23820000002</v>
      </c>
      <c r="N6" s="14"/>
    </row>
    <row r="7" spans="1:14">
      <c r="A7" s="23">
        <v>4</v>
      </c>
      <c r="B7" s="24">
        <v>46299</v>
      </c>
      <c r="C7" s="14"/>
      <c r="D7" s="14"/>
      <c r="E7" s="34"/>
      <c r="F7" s="34"/>
      <c r="G7" s="34">
        <f t="shared" si="3"/>
        <v>0</v>
      </c>
      <c r="H7" s="34"/>
      <c r="I7" s="34"/>
      <c r="J7" s="34">
        <f t="shared" si="0"/>
        <v>0</v>
      </c>
      <c r="K7" s="34">
        <f t="shared" si="1"/>
        <v>0</v>
      </c>
      <c r="L7" s="34"/>
      <c r="M7" s="128">
        <f t="shared" si="2"/>
        <v>605152.23820000002</v>
      </c>
      <c r="N7" s="14"/>
    </row>
    <row r="8" spans="1:14">
      <c r="A8" s="23">
        <v>5</v>
      </c>
      <c r="B8" s="24">
        <v>46300</v>
      </c>
      <c r="C8" s="14"/>
      <c r="D8" s="14"/>
      <c r="E8" s="34"/>
      <c r="F8" s="34"/>
      <c r="G8" s="34">
        <f t="shared" si="3"/>
        <v>0</v>
      </c>
      <c r="H8" s="34"/>
      <c r="I8" s="34"/>
      <c r="J8" s="34">
        <f t="shared" si="0"/>
        <v>0</v>
      </c>
      <c r="K8" s="34">
        <f t="shared" si="1"/>
        <v>0</v>
      </c>
      <c r="L8" s="34"/>
      <c r="M8" s="128">
        <f t="shared" si="2"/>
        <v>605152.23820000002</v>
      </c>
      <c r="N8" s="14"/>
    </row>
    <row r="9" spans="1:14">
      <c r="A9" s="23">
        <v>6</v>
      </c>
      <c r="B9" s="24">
        <v>46301</v>
      </c>
      <c r="C9" s="14"/>
      <c r="D9" s="14"/>
      <c r="E9" s="34"/>
      <c r="F9" s="34"/>
      <c r="G9" s="34">
        <f t="shared" si="3"/>
        <v>0</v>
      </c>
      <c r="H9" s="34">
        <v>60</v>
      </c>
      <c r="I9" s="34">
        <v>118.18</v>
      </c>
      <c r="J9" s="34">
        <f t="shared" si="0"/>
        <v>7090.8</v>
      </c>
      <c r="K9" s="34">
        <f t="shared" si="1"/>
        <v>7090.8</v>
      </c>
      <c r="L9" s="34"/>
      <c r="M9" s="128">
        <f t="shared" si="2"/>
        <v>612243.03820000007</v>
      </c>
      <c r="N9" s="14"/>
    </row>
    <row r="10" spans="1:14">
      <c r="A10" s="23">
        <v>7</v>
      </c>
      <c r="B10" s="24">
        <v>46302</v>
      </c>
      <c r="C10" s="14"/>
      <c r="D10" s="14"/>
      <c r="E10" s="34"/>
      <c r="F10" s="34"/>
      <c r="G10" s="34">
        <f t="shared" si="3"/>
        <v>0</v>
      </c>
      <c r="H10" s="34"/>
      <c r="I10" s="34"/>
      <c r="J10" s="34">
        <f t="shared" si="0"/>
        <v>0</v>
      </c>
      <c r="K10" s="34">
        <f t="shared" si="1"/>
        <v>0</v>
      </c>
      <c r="L10" s="34"/>
      <c r="M10" s="128">
        <f t="shared" si="2"/>
        <v>612243.03820000007</v>
      </c>
      <c r="N10" s="14"/>
    </row>
    <row r="11" spans="1:14">
      <c r="A11" s="23">
        <v>8</v>
      </c>
      <c r="B11" s="24">
        <v>46303</v>
      </c>
      <c r="C11" s="14"/>
      <c r="D11" s="14"/>
      <c r="E11" s="34"/>
      <c r="F11" s="34"/>
      <c r="G11" s="34">
        <f t="shared" si="3"/>
        <v>0</v>
      </c>
      <c r="H11" s="34"/>
      <c r="I11" s="34"/>
      <c r="J11" s="34">
        <f t="shared" si="0"/>
        <v>0</v>
      </c>
      <c r="K11" s="34">
        <f t="shared" si="1"/>
        <v>0</v>
      </c>
      <c r="L11" s="34"/>
      <c r="M11" s="128">
        <f>M10+K11-L11</f>
        <v>612243.03820000007</v>
      </c>
      <c r="N11" s="38"/>
    </row>
    <row r="12" spans="1:14">
      <c r="A12" s="23">
        <v>9</v>
      </c>
      <c r="B12" s="24">
        <v>46304</v>
      </c>
      <c r="C12" s="14"/>
      <c r="D12" s="14"/>
      <c r="E12" s="34"/>
      <c r="F12" s="34"/>
      <c r="G12" s="34">
        <f t="shared" si="3"/>
        <v>0</v>
      </c>
      <c r="H12" s="34"/>
      <c r="I12" s="34"/>
      <c r="J12" s="34">
        <f t="shared" si="0"/>
        <v>0</v>
      </c>
      <c r="K12" s="34">
        <f t="shared" si="1"/>
        <v>0</v>
      </c>
      <c r="L12" s="34"/>
      <c r="M12" s="128">
        <f>M11+K12-L12</f>
        <v>612243.03820000007</v>
      </c>
      <c r="N12" s="14"/>
    </row>
    <row r="13" spans="1:14">
      <c r="A13" s="23">
        <v>10</v>
      </c>
      <c r="B13" s="24">
        <v>46305</v>
      </c>
      <c r="C13" s="14"/>
      <c r="D13" s="14"/>
      <c r="E13" s="34"/>
      <c r="F13" s="34"/>
      <c r="G13" s="34">
        <f t="shared" si="3"/>
        <v>0</v>
      </c>
      <c r="H13" s="34"/>
      <c r="I13" s="34"/>
      <c r="J13" s="34">
        <f t="shared" si="0"/>
        <v>0</v>
      </c>
      <c r="K13" s="34">
        <f t="shared" si="1"/>
        <v>0</v>
      </c>
      <c r="L13" s="34"/>
      <c r="M13" s="128">
        <f t="shared" si="2"/>
        <v>612243.03820000007</v>
      </c>
      <c r="N13" s="14"/>
    </row>
    <row r="14" spans="1:14">
      <c r="A14" s="23">
        <v>11</v>
      </c>
      <c r="B14" s="24">
        <v>46306</v>
      </c>
      <c r="C14" s="14"/>
      <c r="D14" s="14"/>
      <c r="E14" s="34"/>
      <c r="F14" s="34"/>
      <c r="G14" s="34">
        <f t="shared" si="3"/>
        <v>0</v>
      </c>
      <c r="H14" s="34"/>
      <c r="I14" s="34"/>
      <c r="J14" s="34">
        <f t="shared" si="0"/>
        <v>0</v>
      </c>
      <c r="K14" s="34">
        <f t="shared" si="1"/>
        <v>0</v>
      </c>
      <c r="L14" s="34"/>
      <c r="M14" s="128">
        <f t="shared" si="2"/>
        <v>612243.03820000007</v>
      </c>
      <c r="N14" s="14"/>
    </row>
    <row r="15" spans="1:14">
      <c r="A15" s="23">
        <v>12</v>
      </c>
      <c r="B15" s="24">
        <v>46307</v>
      </c>
      <c r="C15" s="14"/>
      <c r="D15" s="14"/>
      <c r="E15" s="34"/>
      <c r="F15" s="34"/>
      <c r="G15" s="34">
        <f t="shared" si="3"/>
        <v>0</v>
      </c>
      <c r="H15" s="34"/>
      <c r="I15" s="34"/>
      <c r="J15" s="34">
        <f t="shared" si="0"/>
        <v>0</v>
      </c>
      <c r="K15" s="34">
        <f t="shared" si="1"/>
        <v>0</v>
      </c>
      <c r="L15" s="34"/>
      <c r="M15" s="128">
        <f t="shared" si="2"/>
        <v>612243.03820000007</v>
      </c>
      <c r="N15" s="14"/>
    </row>
    <row r="16" spans="1:14">
      <c r="A16" s="23">
        <v>13</v>
      </c>
      <c r="B16" s="24">
        <v>46308</v>
      </c>
      <c r="C16" s="14"/>
      <c r="D16" s="14"/>
      <c r="E16" s="34"/>
      <c r="F16" s="34"/>
      <c r="G16" s="34">
        <f t="shared" si="3"/>
        <v>0</v>
      </c>
      <c r="H16" s="34"/>
      <c r="I16" s="34"/>
      <c r="J16" s="34">
        <f t="shared" si="0"/>
        <v>0</v>
      </c>
      <c r="K16" s="34">
        <f t="shared" si="1"/>
        <v>0</v>
      </c>
      <c r="L16" s="34"/>
      <c r="M16" s="128">
        <f t="shared" si="2"/>
        <v>612243.03820000007</v>
      </c>
      <c r="N16" s="14"/>
    </row>
    <row r="17" spans="1:16">
      <c r="A17" s="23">
        <v>14</v>
      </c>
      <c r="B17" s="24">
        <v>46309</v>
      </c>
      <c r="C17" s="14"/>
      <c r="D17" s="14"/>
      <c r="E17" s="34"/>
      <c r="F17" s="34"/>
      <c r="G17" s="34">
        <f t="shared" si="3"/>
        <v>0</v>
      </c>
      <c r="H17" s="34"/>
      <c r="I17" s="34"/>
      <c r="J17" s="34">
        <f t="shared" si="0"/>
        <v>0</v>
      </c>
      <c r="K17" s="34">
        <f t="shared" si="1"/>
        <v>0</v>
      </c>
      <c r="L17" s="34"/>
      <c r="M17" s="128">
        <f t="shared" si="2"/>
        <v>612243.03820000007</v>
      </c>
      <c r="N17" s="14"/>
    </row>
    <row r="18" spans="1:16">
      <c r="A18" s="23">
        <v>15</v>
      </c>
      <c r="B18" s="24">
        <v>46310</v>
      </c>
      <c r="C18" s="14"/>
      <c r="D18" s="14"/>
      <c r="E18" s="34"/>
      <c r="F18" s="34"/>
      <c r="G18" s="34">
        <f t="shared" si="3"/>
        <v>0</v>
      </c>
      <c r="H18" s="34"/>
      <c r="I18" s="34"/>
      <c r="J18" s="34">
        <f t="shared" si="0"/>
        <v>0</v>
      </c>
      <c r="K18" s="34">
        <f t="shared" si="1"/>
        <v>0</v>
      </c>
      <c r="L18" s="34"/>
      <c r="M18" s="128">
        <f t="shared" si="2"/>
        <v>612243.03820000007</v>
      </c>
      <c r="N18" s="38"/>
    </row>
    <row r="19" spans="1:16">
      <c r="A19" s="23">
        <v>16</v>
      </c>
      <c r="B19" s="24">
        <v>46311</v>
      </c>
      <c r="C19" s="14"/>
      <c r="D19" s="14"/>
      <c r="E19" s="34"/>
      <c r="F19" s="34"/>
      <c r="G19" s="34">
        <f t="shared" si="3"/>
        <v>0</v>
      </c>
      <c r="H19" s="34"/>
      <c r="I19" s="34"/>
      <c r="J19" s="34">
        <f t="shared" si="0"/>
        <v>0</v>
      </c>
      <c r="K19" s="34">
        <f t="shared" si="1"/>
        <v>0</v>
      </c>
      <c r="L19" s="34"/>
      <c r="M19" s="128">
        <f t="shared" si="2"/>
        <v>612243.03820000007</v>
      </c>
      <c r="N19" s="38"/>
    </row>
    <row r="20" spans="1:16">
      <c r="A20" s="23">
        <v>17</v>
      </c>
      <c r="B20" s="24">
        <v>46312</v>
      </c>
      <c r="C20" s="14"/>
      <c r="D20" s="14"/>
      <c r="E20" s="34"/>
      <c r="F20" s="34"/>
      <c r="G20" s="34">
        <f t="shared" si="3"/>
        <v>0</v>
      </c>
      <c r="H20" s="34"/>
      <c r="I20" s="34"/>
      <c r="J20" s="34">
        <f t="shared" si="0"/>
        <v>0</v>
      </c>
      <c r="K20" s="34">
        <f t="shared" si="1"/>
        <v>0</v>
      </c>
      <c r="L20" s="34"/>
      <c r="M20" s="128">
        <f t="shared" si="2"/>
        <v>612243.03820000007</v>
      </c>
      <c r="N20" s="38"/>
      <c r="P20" s="19"/>
    </row>
    <row r="21" spans="1:16">
      <c r="A21" s="23">
        <v>18</v>
      </c>
      <c r="B21" s="24">
        <v>46313</v>
      </c>
      <c r="C21" s="14"/>
      <c r="D21" s="14"/>
      <c r="E21" s="34"/>
      <c r="F21" s="34"/>
      <c r="G21" s="34">
        <f t="shared" si="3"/>
        <v>0</v>
      </c>
      <c r="H21" s="34"/>
      <c r="I21" s="34"/>
      <c r="J21" s="34">
        <f t="shared" si="0"/>
        <v>0</v>
      </c>
      <c r="K21" s="34">
        <f t="shared" si="1"/>
        <v>0</v>
      </c>
      <c r="L21" s="34"/>
      <c r="M21" s="128">
        <f t="shared" si="2"/>
        <v>612243.03820000007</v>
      </c>
      <c r="N21" s="38"/>
      <c r="P21" s="19"/>
    </row>
    <row r="22" spans="1:16">
      <c r="A22" s="23">
        <v>19</v>
      </c>
      <c r="B22" s="24">
        <v>46314</v>
      </c>
      <c r="C22" s="14"/>
      <c r="D22" s="14"/>
      <c r="E22" s="34"/>
      <c r="F22" s="34"/>
      <c r="G22" s="34">
        <f t="shared" si="3"/>
        <v>0</v>
      </c>
      <c r="H22" s="34"/>
      <c r="I22" s="34"/>
      <c r="J22" s="34">
        <f t="shared" si="0"/>
        <v>0</v>
      </c>
      <c r="K22" s="34">
        <f t="shared" si="1"/>
        <v>0</v>
      </c>
      <c r="L22" s="34"/>
      <c r="M22" s="128">
        <f t="shared" si="2"/>
        <v>612243.03820000007</v>
      </c>
      <c r="N22" s="38"/>
      <c r="P22" s="19"/>
    </row>
    <row r="23" spans="1:16">
      <c r="A23" s="23">
        <v>20</v>
      </c>
      <c r="B23" s="24">
        <v>46315</v>
      </c>
      <c r="C23" s="14"/>
      <c r="D23" s="14"/>
      <c r="E23" s="34"/>
      <c r="F23" s="34"/>
      <c r="G23" s="34">
        <f t="shared" si="3"/>
        <v>0</v>
      </c>
      <c r="H23" s="34"/>
      <c r="I23" s="34"/>
      <c r="J23" s="34">
        <f t="shared" si="0"/>
        <v>0</v>
      </c>
      <c r="K23" s="34">
        <f t="shared" si="1"/>
        <v>0</v>
      </c>
      <c r="L23" s="34"/>
      <c r="M23" s="128">
        <f t="shared" si="2"/>
        <v>612243.03820000007</v>
      </c>
      <c r="N23" s="38"/>
      <c r="P23" s="19"/>
    </row>
    <row r="24" spans="1:16">
      <c r="A24" s="23">
        <v>21</v>
      </c>
      <c r="B24" s="24">
        <v>46316</v>
      </c>
      <c r="C24" s="14"/>
      <c r="D24" s="14"/>
      <c r="E24" s="34"/>
      <c r="F24" s="34"/>
      <c r="G24" s="34">
        <f t="shared" si="3"/>
        <v>0</v>
      </c>
      <c r="H24" s="34"/>
      <c r="I24" s="34"/>
      <c r="J24" s="34">
        <f t="shared" si="0"/>
        <v>0</v>
      </c>
      <c r="K24" s="34">
        <f t="shared" si="1"/>
        <v>0</v>
      </c>
      <c r="L24" s="34"/>
      <c r="M24" s="128">
        <f t="shared" si="2"/>
        <v>612243.03820000007</v>
      </c>
      <c r="N24" s="38"/>
      <c r="P24" s="19"/>
    </row>
    <row r="25" spans="1:16">
      <c r="A25" s="23">
        <v>22</v>
      </c>
      <c r="B25" s="24">
        <v>46317</v>
      </c>
      <c r="C25" s="14"/>
      <c r="D25" s="14"/>
      <c r="E25" s="34"/>
      <c r="F25" s="34"/>
      <c r="G25" s="34">
        <f t="shared" si="3"/>
        <v>0</v>
      </c>
      <c r="H25" s="34"/>
      <c r="I25" s="34"/>
      <c r="J25" s="34">
        <f t="shared" si="0"/>
        <v>0</v>
      </c>
      <c r="K25" s="34">
        <f t="shared" si="1"/>
        <v>0</v>
      </c>
      <c r="L25" s="34"/>
      <c r="M25" s="128">
        <f t="shared" si="2"/>
        <v>612243.03820000007</v>
      </c>
      <c r="N25" s="38"/>
      <c r="P25" s="19"/>
    </row>
    <row r="26" spans="1:16">
      <c r="A26" s="23">
        <v>23</v>
      </c>
      <c r="B26" s="24">
        <v>46318</v>
      </c>
      <c r="C26" s="14"/>
      <c r="D26" s="14"/>
      <c r="E26" s="34"/>
      <c r="F26" s="34"/>
      <c r="G26" s="34">
        <f t="shared" si="3"/>
        <v>0</v>
      </c>
      <c r="H26" s="34"/>
      <c r="I26" s="34"/>
      <c r="J26" s="34">
        <f t="shared" si="0"/>
        <v>0</v>
      </c>
      <c r="K26" s="34">
        <f t="shared" si="1"/>
        <v>0</v>
      </c>
      <c r="L26" s="34"/>
      <c r="M26" s="128">
        <f t="shared" si="2"/>
        <v>612243.03820000007</v>
      </c>
      <c r="N26" s="38"/>
      <c r="P26" s="19"/>
    </row>
    <row r="27" spans="1:16">
      <c r="A27" s="23">
        <v>24</v>
      </c>
      <c r="B27" s="24">
        <v>46319</v>
      </c>
      <c r="C27" s="14"/>
      <c r="D27" s="14"/>
      <c r="E27" s="34"/>
      <c r="F27" s="34"/>
      <c r="G27" s="34">
        <f t="shared" si="3"/>
        <v>0</v>
      </c>
      <c r="H27" s="34"/>
      <c r="I27" s="34"/>
      <c r="J27" s="34">
        <f t="shared" si="0"/>
        <v>0</v>
      </c>
      <c r="K27" s="34">
        <f t="shared" si="1"/>
        <v>0</v>
      </c>
      <c r="L27" s="34"/>
      <c r="M27" s="128">
        <f t="shared" si="2"/>
        <v>612243.03820000007</v>
      </c>
      <c r="N27" s="38"/>
      <c r="P27" s="19"/>
    </row>
    <row r="28" spans="1:16">
      <c r="A28" s="23">
        <v>25</v>
      </c>
      <c r="B28" s="24">
        <v>46320</v>
      </c>
      <c r="C28" s="14"/>
      <c r="D28" s="14"/>
      <c r="E28" s="34"/>
      <c r="F28" s="34"/>
      <c r="G28" s="34">
        <f t="shared" si="3"/>
        <v>0</v>
      </c>
      <c r="H28" s="34"/>
      <c r="I28" s="34"/>
      <c r="J28" s="34">
        <f t="shared" si="0"/>
        <v>0</v>
      </c>
      <c r="K28" s="34">
        <f t="shared" si="1"/>
        <v>0</v>
      </c>
      <c r="L28" s="34"/>
      <c r="M28" s="128">
        <f t="shared" si="2"/>
        <v>612243.03820000007</v>
      </c>
      <c r="N28" s="38"/>
      <c r="P28" s="19"/>
    </row>
    <row r="29" spans="1:16">
      <c r="A29" s="23">
        <v>26</v>
      </c>
      <c r="B29" s="24">
        <v>46321</v>
      </c>
      <c r="C29" s="14"/>
      <c r="D29" s="14"/>
      <c r="E29" s="34"/>
      <c r="F29" s="34"/>
      <c r="G29" s="34">
        <f t="shared" si="3"/>
        <v>0</v>
      </c>
      <c r="H29" s="34"/>
      <c r="I29" s="34"/>
      <c r="J29" s="34">
        <f t="shared" si="0"/>
        <v>0</v>
      </c>
      <c r="K29" s="34">
        <f t="shared" si="1"/>
        <v>0</v>
      </c>
      <c r="L29" s="34"/>
      <c r="M29" s="128">
        <f t="shared" si="2"/>
        <v>612243.03820000007</v>
      </c>
      <c r="N29" s="38"/>
      <c r="P29" s="19"/>
    </row>
    <row r="30" spans="1:16">
      <c r="A30" s="23">
        <v>27</v>
      </c>
      <c r="B30" s="24">
        <v>46322</v>
      </c>
      <c r="C30" s="14"/>
      <c r="D30" s="14"/>
      <c r="E30" s="34"/>
      <c r="F30" s="34"/>
      <c r="G30" s="34">
        <f t="shared" si="3"/>
        <v>0</v>
      </c>
      <c r="H30" s="34"/>
      <c r="I30" s="34"/>
      <c r="J30" s="34">
        <f t="shared" si="0"/>
        <v>0</v>
      </c>
      <c r="K30" s="34">
        <f t="shared" si="1"/>
        <v>0</v>
      </c>
      <c r="L30" s="34"/>
      <c r="M30" s="128">
        <f t="shared" si="2"/>
        <v>612243.03820000007</v>
      </c>
      <c r="N30" s="38"/>
    </row>
    <row r="31" spans="1:16">
      <c r="A31" s="23">
        <v>28</v>
      </c>
      <c r="B31" s="24">
        <v>46323</v>
      </c>
      <c r="C31" s="14"/>
      <c r="D31" s="14"/>
      <c r="E31" s="34"/>
      <c r="F31" s="34"/>
      <c r="G31" s="34">
        <f t="shared" si="3"/>
        <v>0</v>
      </c>
      <c r="H31" s="34"/>
      <c r="I31" s="34"/>
      <c r="J31" s="34">
        <f t="shared" si="0"/>
        <v>0</v>
      </c>
      <c r="K31" s="34">
        <f t="shared" si="1"/>
        <v>0</v>
      </c>
      <c r="L31" s="34"/>
      <c r="M31" s="128">
        <f t="shared" si="2"/>
        <v>612243.03820000007</v>
      </c>
      <c r="N31" s="38"/>
    </row>
    <row r="32" spans="1:16">
      <c r="A32" s="23">
        <v>29</v>
      </c>
      <c r="B32" s="24">
        <v>46324</v>
      </c>
      <c r="C32" s="14"/>
      <c r="D32" s="14"/>
      <c r="E32" s="34"/>
      <c r="F32" s="34"/>
      <c r="G32" s="34">
        <f t="shared" si="3"/>
        <v>0</v>
      </c>
      <c r="H32" s="34"/>
      <c r="I32" s="34"/>
      <c r="J32" s="34">
        <f t="shared" si="0"/>
        <v>0</v>
      </c>
      <c r="K32" s="34">
        <f t="shared" si="1"/>
        <v>0</v>
      </c>
      <c r="L32" s="34"/>
      <c r="M32" s="128">
        <f t="shared" si="2"/>
        <v>612243.03820000007</v>
      </c>
      <c r="N32" s="38"/>
    </row>
    <row r="33" spans="1:14">
      <c r="A33" s="23">
        <v>30</v>
      </c>
      <c r="B33" s="24">
        <v>46325</v>
      </c>
      <c r="C33" s="14"/>
      <c r="D33" s="14"/>
      <c r="E33" s="34"/>
      <c r="F33" s="34"/>
      <c r="G33" s="34">
        <f t="shared" si="3"/>
        <v>0</v>
      </c>
      <c r="H33" s="34"/>
      <c r="I33" s="34"/>
      <c r="J33" s="34">
        <f t="shared" si="0"/>
        <v>0</v>
      </c>
      <c r="K33" s="34">
        <f t="shared" si="1"/>
        <v>0</v>
      </c>
      <c r="L33" s="34"/>
      <c r="M33" s="128">
        <f t="shared" si="2"/>
        <v>612243.03820000007</v>
      </c>
      <c r="N33" s="38"/>
    </row>
    <row r="34" spans="1:14">
      <c r="A34" s="23">
        <v>31</v>
      </c>
      <c r="B34" s="24">
        <v>46326</v>
      </c>
      <c r="C34" s="14"/>
      <c r="D34" s="14"/>
      <c r="E34" s="34"/>
      <c r="F34" s="34"/>
      <c r="G34" s="34">
        <f t="shared" si="3"/>
        <v>0</v>
      </c>
      <c r="H34" s="34"/>
      <c r="I34" s="34"/>
      <c r="J34" s="34">
        <f t="shared" si="0"/>
        <v>0</v>
      </c>
      <c r="K34" s="34">
        <f t="shared" si="1"/>
        <v>0</v>
      </c>
      <c r="L34" s="34"/>
      <c r="M34" s="128">
        <f t="shared" si="2"/>
        <v>612243.03820000007</v>
      </c>
      <c r="N34" s="38"/>
    </row>
    <row r="35" spans="1:14">
      <c r="A35" s="23">
        <v>32</v>
      </c>
      <c r="B35" s="24"/>
      <c r="C35" s="14"/>
      <c r="D35" s="14"/>
      <c r="E35" s="34"/>
      <c r="F35" s="34"/>
      <c r="G35" s="34">
        <f t="shared" si="3"/>
        <v>0</v>
      </c>
      <c r="H35" s="34"/>
      <c r="I35" s="34"/>
      <c r="J35" s="34">
        <f t="shared" si="0"/>
        <v>0</v>
      </c>
      <c r="K35" s="34">
        <f t="shared" si="1"/>
        <v>0</v>
      </c>
      <c r="L35" s="34"/>
      <c r="M35" s="128">
        <f t="shared" si="2"/>
        <v>612243.03820000007</v>
      </c>
      <c r="N35" s="38"/>
    </row>
    <row r="36" spans="1:14">
      <c r="A36" s="23">
        <v>33</v>
      </c>
      <c r="B36" s="24"/>
      <c r="C36" s="14"/>
      <c r="D36" s="14"/>
      <c r="E36" s="34"/>
      <c r="F36" s="34"/>
      <c r="G36" s="34">
        <f t="shared" si="3"/>
        <v>0</v>
      </c>
      <c r="H36" s="34"/>
      <c r="I36" s="34"/>
      <c r="J36" s="34">
        <f t="shared" si="0"/>
        <v>0</v>
      </c>
      <c r="K36" s="34">
        <f t="shared" si="1"/>
        <v>0</v>
      </c>
      <c r="L36" s="34"/>
      <c r="M36" s="128">
        <f t="shared" si="2"/>
        <v>612243.03820000007</v>
      </c>
      <c r="N36" s="38"/>
    </row>
    <row r="37" spans="1:14">
      <c r="A37" s="23">
        <v>34</v>
      </c>
      <c r="B37" s="24"/>
      <c r="C37" s="14"/>
      <c r="D37" s="14"/>
      <c r="E37" s="34"/>
      <c r="F37" s="34"/>
      <c r="G37" s="34">
        <f t="shared" ref="G5:G55" si="4">E37*F37</f>
        <v>0</v>
      </c>
      <c r="H37" s="34"/>
      <c r="I37" s="34"/>
      <c r="J37" s="34">
        <f t="shared" ref="J5:J55" si="5">H37*I37</f>
        <v>0</v>
      </c>
      <c r="K37" s="34">
        <f>G37+J37</f>
        <v>0</v>
      </c>
      <c r="L37" s="34"/>
      <c r="M37" s="128">
        <f t="shared" si="2"/>
        <v>612243.03820000007</v>
      </c>
      <c r="N37" s="38"/>
    </row>
    <row r="38" spans="1:14">
      <c r="A38" s="23">
        <v>35</v>
      </c>
      <c r="B38" s="24"/>
      <c r="C38" s="14"/>
      <c r="D38" s="14"/>
      <c r="E38" s="34"/>
      <c r="F38" s="34"/>
      <c r="G38" s="34">
        <f t="shared" si="4"/>
        <v>0</v>
      </c>
      <c r="H38" s="34"/>
      <c r="I38" s="34"/>
      <c r="J38" s="34">
        <f t="shared" si="5"/>
        <v>0</v>
      </c>
      <c r="K38" s="34">
        <f>G38+J38</f>
        <v>0</v>
      </c>
      <c r="L38" s="34"/>
      <c r="M38" s="128">
        <f t="shared" si="2"/>
        <v>612243.03820000007</v>
      </c>
      <c r="N38" s="38"/>
    </row>
    <row r="39" spans="1:14">
      <c r="A39" s="23">
        <v>36</v>
      </c>
      <c r="B39" s="24"/>
      <c r="C39" s="14"/>
      <c r="D39" s="14"/>
      <c r="E39" s="34"/>
      <c r="F39" s="34"/>
      <c r="G39" s="34">
        <f t="shared" si="4"/>
        <v>0</v>
      </c>
      <c r="H39" s="34"/>
      <c r="I39" s="34"/>
      <c r="J39" s="34">
        <f t="shared" si="5"/>
        <v>0</v>
      </c>
      <c r="K39" s="34">
        <f>G39+J39</f>
        <v>0</v>
      </c>
      <c r="L39" s="34"/>
      <c r="M39" s="128">
        <f t="shared" si="2"/>
        <v>612243.03820000007</v>
      </c>
      <c r="N39" s="38"/>
    </row>
    <row r="40" spans="1:14">
      <c r="A40" s="23">
        <v>37</v>
      </c>
      <c r="B40" s="24"/>
      <c r="C40" s="14"/>
      <c r="D40" s="14"/>
      <c r="E40" s="34"/>
      <c r="F40" s="34"/>
      <c r="G40" s="34">
        <f t="shared" si="4"/>
        <v>0</v>
      </c>
      <c r="H40" s="34"/>
      <c r="I40" s="34"/>
      <c r="J40" s="34">
        <f t="shared" si="5"/>
        <v>0</v>
      </c>
      <c r="K40" s="34">
        <f>G40+J40</f>
        <v>0</v>
      </c>
      <c r="L40" s="34"/>
      <c r="M40" s="128">
        <f t="shared" si="2"/>
        <v>612243.03820000007</v>
      </c>
      <c r="N40" s="38"/>
    </row>
    <row r="41" spans="1:14">
      <c r="A41" s="23">
        <v>38</v>
      </c>
      <c r="B41" s="24"/>
      <c r="C41" s="14"/>
      <c r="D41" s="14"/>
      <c r="E41" s="34"/>
      <c r="F41" s="34"/>
      <c r="G41" s="34">
        <f t="shared" si="4"/>
        <v>0</v>
      </c>
      <c r="H41" s="34"/>
      <c r="I41" s="34"/>
      <c r="J41" s="34">
        <f t="shared" si="5"/>
        <v>0</v>
      </c>
      <c r="K41" s="34">
        <f>G41+J41</f>
        <v>0</v>
      </c>
      <c r="L41" s="34"/>
      <c r="M41" s="128">
        <f t="shared" si="2"/>
        <v>612243.03820000007</v>
      </c>
      <c r="N41" s="38"/>
    </row>
    <row r="42" spans="1:14">
      <c r="A42" s="23">
        <v>39</v>
      </c>
      <c r="B42" s="24"/>
      <c r="C42" s="14"/>
      <c r="D42" s="14"/>
      <c r="E42" s="34"/>
      <c r="F42" s="34"/>
      <c r="G42" s="34">
        <f t="shared" si="4"/>
        <v>0</v>
      </c>
      <c r="H42" s="34"/>
      <c r="I42" s="34"/>
      <c r="J42" s="34">
        <f t="shared" si="5"/>
        <v>0</v>
      </c>
      <c r="K42" s="34">
        <f>G42+J42</f>
        <v>0</v>
      </c>
      <c r="L42" s="34"/>
      <c r="M42" s="128">
        <f t="shared" si="2"/>
        <v>612243.03820000007</v>
      </c>
      <c r="N42" s="38"/>
    </row>
    <row r="43" spans="1:14">
      <c r="A43" s="23">
        <v>40</v>
      </c>
      <c r="B43" s="24"/>
      <c r="C43" s="14"/>
      <c r="D43" s="14"/>
      <c r="E43" s="34"/>
      <c r="F43" s="34"/>
      <c r="G43" s="34">
        <f t="shared" si="4"/>
        <v>0</v>
      </c>
      <c r="H43" s="34"/>
      <c r="I43" s="34"/>
      <c r="J43" s="34">
        <f t="shared" si="5"/>
        <v>0</v>
      </c>
      <c r="K43" s="34">
        <f>G43+J43</f>
        <v>0</v>
      </c>
      <c r="L43" s="34"/>
      <c r="M43" s="128">
        <f t="shared" si="2"/>
        <v>612243.03820000007</v>
      </c>
      <c r="N43" s="38"/>
    </row>
    <row r="44" spans="1:14">
      <c r="A44" s="23">
        <v>41</v>
      </c>
      <c r="B44" s="24"/>
      <c r="C44" s="14"/>
      <c r="D44" s="14"/>
      <c r="E44" s="34"/>
      <c r="F44" s="34"/>
      <c r="G44" s="34">
        <f t="shared" si="4"/>
        <v>0</v>
      </c>
      <c r="H44" s="34"/>
      <c r="I44" s="34"/>
      <c r="J44" s="34">
        <f t="shared" si="5"/>
        <v>0</v>
      </c>
      <c r="K44" s="34">
        <f>G44+J44</f>
        <v>0</v>
      </c>
      <c r="L44" s="34"/>
      <c r="M44" s="128">
        <f t="shared" si="2"/>
        <v>612243.03820000007</v>
      </c>
      <c r="N44" s="38"/>
    </row>
    <row r="45" spans="1:14">
      <c r="A45" s="23">
        <v>42</v>
      </c>
      <c r="B45" s="24"/>
      <c r="C45" s="14"/>
      <c r="D45" s="14"/>
      <c r="E45" s="34"/>
      <c r="F45" s="34"/>
      <c r="G45" s="34">
        <f t="shared" si="4"/>
        <v>0</v>
      </c>
      <c r="H45" s="34"/>
      <c r="I45" s="34"/>
      <c r="J45" s="34">
        <f t="shared" si="5"/>
        <v>0</v>
      </c>
      <c r="K45" s="34">
        <f>G45+J45</f>
        <v>0</v>
      </c>
      <c r="L45" s="34"/>
      <c r="M45" s="128">
        <f t="shared" si="2"/>
        <v>612243.03820000007</v>
      </c>
      <c r="N45" s="38"/>
    </row>
    <row r="46" spans="1:14">
      <c r="A46" s="23">
        <v>43</v>
      </c>
      <c r="B46" s="24"/>
      <c r="C46" s="14"/>
      <c r="D46" s="14"/>
      <c r="E46" s="34"/>
      <c r="F46" s="34"/>
      <c r="G46" s="34">
        <f t="shared" si="4"/>
        <v>0</v>
      </c>
      <c r="H46" s="34"/>
      <c r="I46" s="34"/>
      <c r="J46" s="34">
        <f t="shared" si="5"/>
        <v>0</v>
      </c>
      <c r="K46" s="34">
        <f>G46+J46</f>
        <v>0</v>
      </c>
      <c r="L46" s="34"/>
      <c r="M46" s="128">
        <f t="shared" si="2"/>
        <v>612243.03820000007</v>
      </c>
      <c r="N46" s="38"/>
    </row>
    <row r="47" spans="1:14">
      <c r="A47" s="23">
        <v>44</v>
      </c>
      <c r="B47" s="24"/>
      <c r="C47" s="14"/>
      <c r="D47" s="14"/>
      <c r="E47" s="34"/>
      <c r="F47" s="34"/>
      <c r="G47" s="34">
        <f t="shared" si="4"/>
        <v>0</v>
      </c>
      <c r="H47" s="34"/>
      <c r="I47" s="34"/>
      <c r="J47" s="34">
        <f t="shared" si="5"/>
        <v>0</v>
      </c>
      <c r="K47" s="34">
        <f>G47+J47</f>
        <v>0</v>
      </c>
      <c r="L47" s="34"/>
      <c r="M47" s="128">
        <f t="shared" si="2"/>
        <v>612243.03820000007</v>
      </c>
      <c r="N47" s="38"/>
    </row>
    <row r="48" spans="1:14">
      <c r="A48" s="23">
        <v>45</v>
      </c>
      <c r="B48" s="24"/>
      <c r="C48" s="14"/>
      <c r="D48" s="14"/>
      <c r="E48" s="34"/>
      <c r="F48" s="34"/>
      <c r="G48" s="34">
        <f t="shared" si="4"/>
        <v>0</v>
      </c>
      <c r="H48" s="34"/>
      <c r="I48" s="34"/>
      <c r="J48" s="34">
        <f t="shared" si="5"/>
        <v>0</v>
      </c>
      <c r="K48" s="34">
        <f>G48+J48</f>
        <v>0</v>
      </c>
      <c r="L48" s="34"/>
      <c r="M48" s="128">
        <f t="shared" si="2"/>
        <v>612243.03820000007</v>
      </c>
      <c r="N48" s="38"/>
    </row>
    <row r="49" spans="1:16">
      <c r="A49" s="23">
        <v>46</v>
      </c>
      <c r="B49" s="24"/>
      <c r="C49" s="14"/>
      <c r="D49" s="14"/>
      <c r="E49" s="34"/>
      <c r="F49" s="34"/>
      <c r="G49" s="34">
        <f t="shared" si="4"/>
        <v>0</v>
      </c>
      <c r="H49" s="34"/>
      <c r="I49" s="34"/>
      <c r="J49" s="34">
        <f t="shared" si="5"/>
        <v>0</v>
      </c>
      <c r="K49" s="34">
        <f>G49+J49</f>
        <v>0</v>
      </c>
      <c r="L49" s="34"/>
      <c r="M49" s="128">
        <f t="shared" si="2"/>
        <v>612243.03820000007</v>
      </c>
      <c r="N49" s="38"/>
    </row>
    <row r="50" spans="1:16">
      <c r="A50" s="23">
        <v>47</v>
      </c>
      <c r="B50" s="24"/>
      <c r="C50" s="14"/>
      <c r="D50" s="14"/>
      <c r="E50" s="34"/>
      <c r="F50" s="34"/>
      <c r="G50" s="34">
        <f t="shared" si="4"/>
        <v>0</v>
      </c>
      <c r="H50" s="34"/>
      <c r="I50" s="34"/>
      <c r="J50" s="34">
        <f t="shared" si="5"/>
        <v>0</v>
      </c>
      <c r="K50" s="34">
        <f>G50+J50</f>
        <v>0</v>
      </c>
      <c r="L50" s="34"/>
      <c r="M50" s="128">
        <f t="shared" si="2"/>
        <v>612243.03820000007</v>
      </c>
      <c r="N50" s="38"/>
    </row>
    <row r="51" spans="1:16">
      <c r="A51" s="23">
        <v>48</v>
      </c>
      <c r="B51" s="24"/>
      <c r="C51" s="14"/>
      <c r="D51" s="14"/>
      <c r="E51" s="34"/>
      <c r="F51" s="34"/>
      <c r="G51" s="34">
        <f t="shared" si="4"/>
        <v>0</v>
      </c>
      <c r="H51" s="34"/>
      <c r="I51" s="34"/>
      <c r="J51" s="34">
        <f t="shared" si="5"/>
        <v>0</v>
      </c>
      <c r="K51" s="34">
        <f>G51+J51</f>
        <v>0</v>
      </c>
      <c r="L51" s="34"/>
      <c r="M51" s="128">
        <f t="shared" si="2"/>
        <v>612243.03820000007</v>
      </c>
      <c r="N51" s="38"/>
    </row>
    <row r="52" spans="1:16">
      <c r="A52" s="23">
        <v>49</v>
      </c>
      <c r="B52" s="24"/>
      <c r="C52" s="14"/>
      <c r="D52" s="14"/>
      <c r="E52" s="34"/>
      <c r="F52" s="34"/>
      <c r="G52" s="34">
        <f t="shared" si="4"/>
        <v>0</v>
      </c>
      <c r="H52" s="34"/>
      <c r="I52" s="34"/>
      <c r="J52" s="34">
        <f t="shared" si="5"/>
        <v>0</v>
      </c>
      <c r="K52" s="34">
        <f>G52+J52</f>
        <v>0</v>
      </c>
      <c r="L52" s="34"/>
      <c r="M52" s="128">
        <f t="shared" si="2"/>
        <v>612243.03820000007</v>
      </c>
      <c r="N52" s="38"/>
    </row>
    <row r="53" spans="1:16">
      <c r="A53" s="23">
        <v>50</v>
      </c>
      <c r="B53" s="24"/>
      <c r="C53" s="88"/>
      <c r="D53" s="88"/>
      <c r="E53" s="34"/>
      <c r="F53" s="34"/>
      <c r="G53" s="34">
        <f t="shared" si="4"/>
        <v>0</v>
      </c>
      <c r="H53" s="34"/>
      <c r="I53" s="34"/>
      <c r="J53" s="34">
        <f t="shared" si="5"/>
        <v>0</v>
      </c>
      <c r="K53" s="34">
        <f>G53+J53</f>
        <v>0</v>
      </c>
      <c r="L53" s="34"/>
      <c r="M53" s="128">
        <f t="shared" si="2"/>
        <v>612243.03820000007</v>
      </c>
      <c r="N53" s="211"/>
    </row>
    <row r="54" spans="1:16">
      <c r="A54" s="23">
        <v>50</v>
      </c>
      <c r="B54" s="24"/>
      <c r="C54" s="14"/>
      <c r="D54" s="14"/>
      <c r="E54" s="34"/>
      <c r="F54" s="34"/>
      <c r="G54" s="34">
        <f t="shared" si="4"/>
        <v>0</v>
      </c>
      <c r="H54" s="34"/>
      <c r="I54" s="34"/>
      <c r="J54" s="34">
        <f t="shared" si="5"/>
        <v>0</v>
      </c>
      <c r="K54" s="34">
        <f>G54+J54</f>
        <v>0</v>
      </c>
      <c r="L54" s="34"/>
      <c r="M54" s="128">
        <f t="shared" si="2"/>
        <v>612243.03820000007</v>
      </c>
      <c r="N54" s="38"/>
    </row>
    <row r="55" spans="1:16">
      <c r="A55" s="23">
        <v>51</v>
      </c>
      <c r="B55" s="24"/>
      <c r="C55" s="14"/>
      <c r="D55" s="14"/>
      <c r="E55" s="34"/>
      <c r="F55" s="34"/>
      <c r="G55" s="34">
        <f t="shared" si="4"/>
        <v>0</v>
      </c>
      <c r="H55" s="34"/>
      <c r="I55" s="34"/>
      <c r="J55" s="34">
        <f t="shared" si="5"/>
        <v>0</v>
      </c>
      <c r="K55" s="34">
        <f>G55+J55</f>
        <v>0</v>
      </c>
      <c r="L55" s="34"/>
      <c r="M55" s="128">
        <f t="shared" si="2"/>
        <v>612243.03820000007</v>
      </c>
      <c r="N55" s="38"/>
      <c r="P55" s="163"/>
    </row>
    <row r="56" spans="1:16">
      <c r="A56" s="170"/>
      <c r="B56" s="170"/>
      <c r="C56" s="170"/>
      <c r="D56" s="170"/>
      <c r="E56" s="170">
        <f>SUM(E4:E55)</f>
        <v>0</v>
      </c>
      <c r="F56" s="170"/>
      <c r="G56" s="170">
        <f>SUM(G4:G55)</f>
        <v>0</v>
      </c>
      <c r="H56" s="170">
        <f>SUM(H4:H55)</f>
        <v>60</v>
      </c>
      <c r="I56" s="170"/>
      <c r="J56" s="170">
        <f>SUM(J4:J55)</f>
        <v>7090.8</v>
      </c>
      <c r="K56" s="170">
        <f>SUM(K4:K55)</f>
        <v>7090.8</v>
      </c>
      <c r="L56" s="170">
        <f>SUM(L4:L55)</f>
        <v>0</v>
      </c>
      <c r="M56" s="170"/>
      <c r="N56" s="170"/>
    </row>
  </sheetData>
  <mergeCells count="2">
    <mergeCell ref="A1:N1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5"/>
  <sheetViews>
    <sheetView workbookViewId="0">
      <pane ySplit="2" topLeftCell="A3" activePane="bottomLeft" state="frozen"/>
      <selection pane="bottomLeft" activeCell="M17" sqref="M17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627" t="s">
        <v>132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47"/>
    </row>
    <row r="2" spans="1:15" ht="30">
      <c r="A2" s="48" t="s">
        <v>0</v>
      </c>
      <c r="B2" s="49" t="s">
        <v>167</v>
      </c>
      <c r="C2" s="49" t="s">
        <v>168</v>
      </c>
      <c r="D2" s="49" t="s">
        <v>169</v>
      </c>
      <c r="E2" s="49" t="s">
        <v>170</v>
      </c>
      <c r="F2" s="49" t="s">
        <v>171</v>
      </c>
      <c r="G2" s="49" t="s">
        <v>172</v>
      </c>
      <c r="H2" s="49" t="s">
        <v>173</v>
      </c>
      <c r="I2" s="49" t="s">
        <v>171</v>
      </c>
      <c r="J2" s="50" t="s">
        <v>172</v>
      </c>
      <c r="K2" s="51" t="s">
        <v>174</v>
      </c>
      <c r="L2" s="52" t="s">
        <v>175</v>
      </c>
      <c r="M2" s="109" t="s">
        <v>190</v>
      </c>
      <c r="N2" s="95" t="s">
        <v>177</v>
      </c>
      <c r="O2" s="53"/>
    </row>
    <row r="3" spans="1:15">
      <c r="A3" s="125"/>
      <c r="B3" s="126"/>
      <c r="C3" s="126"/>
      <c r="D3" s="560" t="s">
        <v>178</v>
      </c>
      <c r="E3" s="126"/>
      <c r="F3" s="126"/>
      <c r="G3" s="126"/>
      <c r="H3" s="126"/>
      <c r="I3" s="126"/>
      <c r="J3" s="126"/>
      <c r="K3" s="19"/>
      <c r="L3" s="564">
        <v>342407.8099000011</v>
      </c>
      <c r="M3" s="246">
        <v>342407.8099000011</v>
      </c>
      <c r="N3" s="14"/>
      <c r="O3" s="53"/>
    </row>
    <row r="4" spans="1:15">
      <c r="A4" s="40">
        <v>1</v>
      </c>
      <c r="B4" s="189">
        <v>46296</v>
      </c>
      <c r="C4" s="10"/>
      <c r="D4" s="15"/>
      <c r="E4" s="181"/>
      <c r="F4" s="8"/>
      <c r="G4" s="13">
        <f>E4*F4</f>
        <v>0</v>
      </c>
      <c r="H4" s="7"/>
      <c r="I4" s="7"/>
      <c r="J4" s="18">
        <f>H4*I4</f>
        <v>0</v>
      </c>
      <c r="K4" s="8">
        <f>G4+J4</f>
        <v>0</v>
      </c>
      <c r="L4" s="8"/>
      <c r="M4" s="8">
        <f t="shared" ref="M4:M23" si="0">M3+K4-L4</f>
        <v>342407.8099000011</v>
      </c>
      <c r="N4" s="16"/>
      <c r="O4" s="1"/>
    </row>
    <row r="5" spans="1:15">
      <c r="A5" s="40">
        <v>2</v>
      </c>
      <c r="B5" s="189">
        <v>46297</v>
      </c>
      <c r="C5" s="10"/>
      <c r="D5" s="15"/>
      <c r="E5" s="181"/>
      <c r="F5" s="8"/>
      <c r="G5" s="13">
        <f t="shared" ref="G5:G9" si="1">E5*F5</f>
        <v>0</v>
      </c>
      <c r="H5" s="7"/>
      <c r="I5" s="7"/>
      <c r="J5" s="18">
        <f t="shared" ref="J5" si="2">H5*I5</f>
        <v>0</v>
      </c>
      <c r="K5" s="8">
        <f t="shared" ref="K5:K8" si="3">G5+J5</f>
        <v>0</v>
      </c>
      <c r="L5" s="8"/>
      <c r="M5" s="8">
        <f t="shared" si="0"/>
        <v>342407.8099000011</v>
      </c>
      <c r="N5" s="8"/>
      <c r="O5" s="1"/>
    </row>
    <row r="6" spans="1:15" ht="15.75">
      <c r="A6" s="40">
        <v>3</v>
      </c>
      <c r="B6" s="189">
        <v>46298</v>
      </c>
      <c r="C6" s="10"/>
      <c r="D6" s="441"/>
      <c r="E6" s="181"/>
      <c r="F6" s="8"/>
      <c r="G6" s="13">
        <f t="shared" si="1"/>
        <v>0</v>
      </c>
      <c r="H6" s="7"/>
      <c r="I6" s="7"/>
      <c r="J6" s="18">
        <f>H6*I6</f>
        <v>0</v>
      </c>
      <c r="K6" s="8">
        <f t="shared" si="3"/>
        <v>0</v>
      </c>
      <c r="L6" s="8"/>
      <c r="M6" s="8">
        <f t="shared" si="0"/>
        <v>342407.8099000011</v>
      </c>
      <c r="N6" s="8"/>
      <c r="O6" s="1"/>
    </row>
    <row r="7" spans="1:15" ht="15.75">
      <c r="A7" s="40">
        <v>3</v>
      </c>
      <c r="B7" s="189">
        <v>46299</v>
      </c>
      <c r="C7" s="10"/>
      <c r="D7" s="442"/>
      <c r="E7" s="8"/>
      <c r="F7" s="8"/>
      <c r="G7" s="13">
        <f t="shared" ref="G7" si="4">E7*F7</f>
        <v>0</v>
      </c>
      <c r="H7" s="7"/>
      <c r="I7" s="7"/>
      <c r="J7" s="18">
        <f>H7*I7</f>
        <v>0</v>
      </c>
      <c r="K7" s="8">
        <f t="shared" ref="K7" si="5">G7+J7</f>
        <v>0</v>
      </c>
      <c r="L7" s="8"/>
      <c r="M7" s="8">
        <f t="shared" si="0"/>
        <v>342407.8099000011</v>
      </c>
      <c r="N7" s="8"/>
      <c r="O7" s="1"/>
    </row>
    <row r="8" spans="1:15">
      <c r="A8" s="40">
        <v>4</v>
      </c>
      <c r="B8" s="189">
        <v>46300</v>
      </c>
      <c r="C8" s="10"/>
      <c r="D8" s="15"/>
      <c r="E8" s="8">
        <v>600</v>
      </c>
      <c r="F8" s="8">
        <v>98.94</v>
      </c>
      <c r="G8" s="13">
        <f t="shared" si="1"/>
        <v>59364</v>
      </c>
      <c r="H8" s="7"/>
      <c r="I8" s="7"/>
      <c r="J8" s="18">
        <f>H8*I8</f>
        <v>0</v>
      </c>
      <c r="K8" s="8">
        <f t="shared" si="3"/>
        <v>59364</v>
      </c>
      <c r="L8" s="8"/>
      <c r="M8" s="8">
        <f t="shared" si="0"/>
        <v>401771.8099000011</v>
      </c>
      <c r="N8" s="8"/>
      <c r="O8" s="1"/>
    </row>
    <row r="9" spans="1:15">
      <c r="A9" s="40">
        <v>5</v>
      </c>
      <c r="B9" s="189">
        <v>46301</v>
      </c>
      <c r="C9" s="10"/>
      <c r="D9" s="15"/>
      <c r="E9" s="8"/>
      <c r="F9" s="8"/>
      <c r="G9" s="13">
        <f t="shared" si="1"/>
        <v>0</v>
      </c>
      <c r="H9" s="7"/>
      <c r="I9" s="7"/>
      <c r="J9" s="18">
        <v>0</v>
      </c>
      <c r="K9" s="8">
        <f t="shared" ref="K9:K41" si="6">G9+J9</f>
        <v>0</v>
      </c>
      <c r="L9" s="8"/>
      <c r="M9" s="8">
        <f t="shared" si="0"/>
        <v>401771.8099000011</v>
      </c>
      <c r="N9" s="8"/>
      <c r="O9" s="1"/>
    </row>
    <row r="10" spans="1:15">
      <c r="A10" s="40">
        <v>6</v>
      </c>
      <c r="B10" s="189">
        <v>46302</v>
      </c>
      <c r="C10" s="10"/>
      <c r="D10" s="15"/>
      <c r="E10" s="8"/>
      <c r="F10" s="8"/>
      <c r="G10" s="13">
        <f>E10*F10</f>
        <v>0</v>
      </c>
      <c r="H10" s="7"/>
      <c r="I10" s="7"/>
      <c r="J10" s="13">
        <f>H10*I10</f>
        <v>0</v>
      </c>
      <c r="K10" s="8">
        <f t="shared" ref="K10:K40" si="7">G10+J10</f>
        <v>0</v>
      </c>
      <c r="L10" s="8"/>
      <c r="M10" s="8">
        <f t="shared" si="0"/>
        <v>401771.8099000011</v>
      </c>
      <c r="N10" s="8"/>
      <c r="O10" s="1"/>
    </row>
    <row r="11" spans="1:15">
      <c r="A11" s="40">
        <v>7</v>
      </c>
      <c r="B11" s="189">
        <v>46303</v>
      </c>
      <c r="C11" s="10"/>
      <c r="D11" s="15"/>
      <c r="E11" s="8">
        <v>2000</v>
      </c>
      <c r="F11" s="8">
        <v>98.94</v>
      </c>
      <c r="G11" s="13">
        <f>E11*F11</f>
        <v>197880</v>
      </c>
      <c r="H11" s="7">
        <v>20</v>
      </c>
      <c r="I11" s="7">
        <v>112.27</v>
      </c>
      <c r="J11" s="13">
        <f t="shared" ref="J11:J24" si="8">H11*I11</f>
        <v>2245.4</v>
      </c>
      <c r="K11" s="8">
        <f t="shared" si="7"/>
        <v>200125.4</v>
      </c>
      <c r="L11" s="8"/>
      <c r="M11" s="8">
        <f t="shared" si="0"/>
        <v>601897.20990000106</v>
      </c>
      <c r="N11" s="8"/>
      <c r="O11" s="1"/>
    </row>
    <row r="12" spans="1:15">
      <c r="A12" s="40">
        <v>8</v>
      </c>
      <c r="B12" s="189">
        <v>46304</v>
      </c>
      <c r="C12" s="10"/>
      <c r="D12" s="15"/>
      <c r="E12" s="8"/>
      <c r="F12" s="8"/>
      <c r="G12" s="13">
        <f>E12*F12</f>
        <v>0</v>
      </c>
      <c r="H12" s="7"/>
      <c r="I12" s="7"/>
      <c r="J12" s="13">
        <f t="shared" si="8"/>
        <v>0</v>
      </c>
      <c r="K12" s="8">
        <f t="shared" si="7"/>
        <v>0</v>
      </c>
      <c r="L12" s="8"/>
      <c r="M12" s="8">
        <f t="shared" si="0"/>
        <v>601897.20990000106</v>
      </c>
      <c r="N12" s="8"/>
      <c r="O12" s="1"/>
    </row>
    <row r="13" spans="1:15">
      <c r="A13" s="40">
        <v>9</v>
      </c>
      <c r="B13" s="189">
        <v>46305</v>
      </c>
      <c r="C13" s="10"/>
      <c r="D13" s="15"/>
      <c r="E13" s="8"/>
      <c r="F13" s="8"/>
      <c r="G13" s="13">
        <f t="shared" ref="G13:G27" si="9">E13*F13</f>
        <v>0</v>
      </c>
      <c r="H13" s="7"/>
      <c r="I13" s="7"/>
      <c r="J13" s="13">
        <f t="shared" si="8"/>
        <v>0</v>
      </c>
      <c r="K13" s="8">
        <f t="shared" si="7"/>
        <v>0</v>
      </c>
      <c r="L13" s="8"/>
      <c r="M13" s="8">
        <f t="shared" si="0"/>
        <v>601897.20990000106</v>
      </c>
      <c r="N13" s="8"/>
      <c r="O13" s="1"/>
    </row>
    <row r="14" spans="1:15">
      <c r="A14" s="40">
        <v>10</v>
      </c>
      <c r="B14" s="189">
        <v>46306</v>
      </c>
      <c r="C14" s="10"/>
      <c r="D14" s="15"/>
      <c r="E14" s="8"/>
      <c r="F14" s="8"/>
      <c r="G14" s="13">
        <f t="shared" si="9"/>
        <v>0</v>
      </c>
      <c r="H14" s="7"/>
      <c r="I14" s="7"/>
      <c r="J14" s="13">
        <f t="shared" si="8"/>
        <v>0</v>
      </c>
      <c r="K14" s="8">
        <f t="shared" ref="K14" si="10">G14+J14</f>
        <v>0</v>
      </c>
      <c r="L14" s="8"/>
      <c r="M14" s="8">
        <f t="shared" si="0"/>
        <v>601897.20990000106</v>
      </c>
      <c r="N14" s="8"/>
      <c r="O14" s="1"/>
    </row>
    <row r="15" spans="1:15">
      <c r="A15" s="40">
        <v>11</v>
      </c>
      <c r="B15" s="189">
        <v>46307</v>
      </c>
      <c r="C15" s="10"/>
      <c r="D15" s="15"/>
      <c r="E15" s="8"/>
      <c r="F15" s="8"/>
      <c r="G15" s="13">
        <f t="shared" si="9"/>
        <v>0</v>
      </c>
      <c r="H15" s="7"/>
      <c r="I15" s="7"/>
      <c r="J15" s="13">
        <f t="shared" si="8"/>
        <v>0</v>
      </c>
      <c r="K15" s="8">
        <f>G15+J15</f>
        <v>0</v>
      </c>
      <c r="L15" s="8"/>
      <c r="M15" s="8">
        <f t="shared" si="0"/>
        <v>601897.20990000106</v>
      </c>
      <c r="N15" s="181"/>
      <c r="O15" s="1"/>
    </row>
    <row r="16" spans="1:15">
      <c r="A16" s="40">
        <v>12</v>
      </c>
      <c r="B16" s="189">
        <v>46308</v>
      </c>
      <c r="C16" s="10"/>
      <c r="D16" s="15"/>
      <c r="E16" s="8"/>
      <c r="F16" s="8"/>
      <c r="G16" s="13">
        <f t="shared" si="9"/>
        <v>0</v>
      </c>
      <c r="H16" s="7"/>
      <c r="I16" s="7"/>
      <c r="J16" s="13">
        <f t="shared" si="8"/>
        <v>0</v>
      </c>
      <c r="K16" s="8">
        <f t="shared" ref="K16:K18" si="11">G16+J16</f>
        <v>0</v>
      </c>
      <c r="L16" s="8"/>
      <c r="M16" s="8">
        <f t="shared" si="0"/>
        <v>601897.20990000106</v>
      </c>
      <c r="N16" s="181"/>
      <c r="O16" s="1"/>
    </row>
    <row r="17" spans="1:17">
      <c r="A17" s="40">
        <v>13</v>
      </c>
      <c r="B17" s="189">
        <v>46309</v>
      </c>
      <c r="C17" s="10"/>
      <c r="D17" s="15"/>
      <c r="E17" s="8">
        <v>1200</v>
      </c>
      <c r="F17" s="8">
        <v>98.94</v>
      </c>
      <c r="G17" s="13">
        <f t="shared" si="9"/>
        <v>118728</v>
      </c>
      <c r="H17" s="7">
        <v>20</v>
      </c>
      <c r="I17" s="7">
        <v>112.27</v>
      </c>
      <c r="J17" s="13">
        <f t="shared" si="8"/>
        <v>2245.4</v>
      </c>
      <c r="K17" s="8">
        <f t="shared" si="11"/>
        <v>120973.4</v>
      </c>
      <c r="L17" s="8"/>
      <c r="M17" s="8">
        <f t="shared" si="0"/>
        <v>722870.60990000109</v>
      </c>
      <c r="N17" s="181"/>
      <c r="O17" s="1"/>
    </row>
    <row r="18" spans="1:17">
      <c r="A18" s="40">
        <v>14</v>
      </c>
      <c r="B18" s="189">
        <v>46310</v>
      </c>
      <c r="C18" s="10"/>
      <c r="D18" s="15"/>
      <c r="E18" s="8"/>
      <c r="F18" s="8"/>
      <c r="G18" s="13">
        <f t="shared" si="9"/>
        <v>0</v>
      </c>
      <c r="H18" s="7"/>
      <c r="I18" s="7"/>
      <c r="J18" s="13">
        <f t="shared" si="8"/>
        <v>0</v>
      </c>
      <c r="K18" s="8">
        <f t="shared" si="11"/>
        <v>0</v>
      </c>
      <c r="L18" s="8"/>
      <c r="M18" s="8">
        <f t="shared" si="0"/>
        <v>722870.60990000109</v>
      </c>
      <c r="N18" s="181"/>
      <c r="O18" s="1"/>
    </row>
    <row r="19" spans="1:17">
      <c r="A19" s="40">
        <v>15</v>
      </c>
      <c r="B19" s="189">
        <v>46311</v>
      </c>
      <c r="C19" s="10"/>
      <c r="D19" s="15"/>
      <c r="E19" s="8"/>
      <c r="F19" s="8"/>
      <c r="G19" s="13">
        <f t="shared" si="9"/>
        <v>0</v>
      </c>
      <c r="H19" s="7"/>
      <c r="I19" s="7"/>
      <c r="J19" s="13">
        <f t="shared" si="8"/>
        <v>0</v>
      </c>
      <c r="K19" s="8">
        <f t="shared" si="7"/>
        <v>0</v>
      </c>
      <c r="L19" s="8"/>
      <c r="M19" s="8">
        <f t="shared" si="0"/>
        <v>722870.60990000109</v>
      </c>
      <c r="N19" s="181"/>
      <c r="O19" s="1"/>
    </row>
    <row r="20" spans="1:17">
      <c r="A20" s="40">
        <v>16</v>
      </c>
      <c r="B20" s="189">
        <v>46312</v>
      </c>
      <c r="C20" s="10"/>
      <c r="D20" s="15"/>
      <c r="E20" s="8"/>
      <c r="F20" s="8"/>
      <c r="G20" s="13">
        <f t="shared" si="9"/>
        <v>0</v>
      </c>
      <c r="H20" s="7"/>
      <c r="I20" s="7"/>
      <c r="J20" s="13">
        <f t="shared" si="8"/>
        <v>0</v>
      </c>
      <c r="K20" s="8">
        <f t="shared" si="7"/>
        <v>0</v>
      </c>
      <c r="L20" s="8"/>
      <c r="M20" s="8">
        <f t="shared" si="0"/>
        <v>722870.60990000109</v>
      </c>
      <c r="N20" s="181"/>
      <c r="O20" s="1"/>
    </row>
    <row r="21" spans="1:17">
      <c r="A21" s="40">
        <v>17</v>
      </c>
      <c r="B21" s="189">
        <v>46313</v>
      </c>
      <c r="C21" s="10"/>
      <c r="D21" s="15"/>
      <c r="E21" s="8"/>
      <c r="F21" s="8"/>
      <c r="G21" s="13">
        <f t="shared" si="9"/>
        <v>0</v>
      </c>
      <c r="H21" s="7"/>
      <c r="I21" s="7"/>
      <c r="J21" s="13">
        <f t="shared" si="8"/>
        <v>0</v>
      </c>
      <c r="K21" s="8">
        <f t="shared" si="7"/>
        <v>0</v>
      </c>
      <c r="L21" s="8"/>
      <c r="M21" s="8">
        <f t="shared" si="0"/>
        <v>722870.60990000109</v>
      </c>
      <c r="N21" s="181"/>
      <c r="O21" s="1"/>
    </row>
    <row r="22" spans="1:17">
      <c r="A22" s="40">
        <v>18</v>
      </c>
      <c r="B22" s="189">
        <v>46314</v>
      </c>
      <c r="C22" s="10"/>
      <c r="D22" s="15"/>
      <c r="E22" s="8"/>
      <c r="F22" s="8"/>
      <c r="G22" s="13">
        <f t="shared" si="9"/>
        <v>0</v>
      </c>
      <c r="H22" s="7"/>
      <c r="I22" s="7"/>
      <c r="J22" s="13">
        <f t="shared" si="8"/>
        <v>0</v>
      </c>
      <c r="K22" s="8">
        <f t="shared" si="7"/>
        <v>0</v>
      </c>
      <c r="L22" s="8"/>
      <c r="M22" s="8">
        <f t="shared" si="0"/>
        <v>722870.60990000109</v>
      </c>
      <c r="N22" s="181"/>
      <c r="O22" s="1"/>
    </row>
    <row r="23" spans="1:17">
      <c r="A23" s="40">
        <v>19</v>
      </c>
      <c r="B23" s="189">
        <v>46315</v>
      </c>
      <c r="C23" s="10"/>
      <c r="D23" s="15"/>
      <c r="E23" s="8"/>
      <c r="F23" s="8"/>
      <c r="G23" s="13">
        <f t="shared" si="9"/>
        <v>0</v>
      </c>
      <c r="H23" s="7"/>
      <c r="I23" s="7"/>
      <c r="J23" s="13">
        <f t="shared" si="8"/>
        <v>0</v>
      </c>
      <c r="K23" s="8">
        <f t="shared" si="7"/>
        <v>0</v>
      </c>
      <c r="L23" s="8"/>
      <c r="M23" s="8">
        <f t="shared" si="0"/>
        <v>722870.60990000109</v>
      </c>
      <c r="N23" s="181"/>
      <c r="O23" s="1"/>
    </row>
    <row r="24" spans="1:17">
      <c r="A24" s="40">
        <v>20</v>
      </c>
      <c r="B24" s="189">
        <v>46316</v>
      </c>
      <c r="C24" s="10"/>
      <c r="D24" s="15"/>
      <c r="E24" s="8"/>
      <c r="F24" s="8"/>
      <c r="G24" s="13">
        <f t="shared" si="9"/>
        <v>0</v>
      </c>
      <c r="H24" s="7"/>
      <c r="I24" s="7"/>
      <c r="J24" s="13">
        <f t="shared" si="8"/>
        <v>0</v>
      </c>
      <c r="K24" s="8">
        <f t="shared" si="7"/>
        <v>0</v>
      </c>
      <c r="L24" s="8"/>
      <c r="M24" s="8">
        <f t="shared" ref="M20:M41" si="12">M23+K24-L24</f>
        <v>722870.60990000109</v>
      </c>
      <c r="N24" s="181"/>
      <c r="O24" s="1"/>
    </row>
    <row r="25" spans="1:17">
      <c r="A25" s="40">
        <v>21</v>
      </c>
      <c r="B25" s="189">
        <v>46317</v>
      </c>
      <c r="C25" s="10"/>
      <c r="D25" s="15"/>
      <c r="E25" s="8"/>
      <c r="F25" s="8"/>
      <c r="G25" s="13">
        <f t="shared" si="9"/>
        <v>0</v>
      </c>
      <c r="H25" s="7"/>
      <c r="I25" s="7"/>
      <c r="J25" s="13">
        <f t="shared" ref="J18:J28" si="13">H25*I25</f>
        <v>0</v>
      </c>
      <c r="K25" s="8">
        <f t="shared" si="7"/>
        <v>0</v>
      </c>
      <c r="L25" s="8"/>
      <c r="M25" s="8">
        <f t="shared" si="12"/>
        <v>722870.60990000109</v>
      </c>
      <c r="N25" s="181"/>
      <c r="O25" s="1"/>
    </row>
    <row r="26" spans="1:17">
      <c r="A26" s="40">
        <v>22</v>
      </c>
      <c r="B26" s="189">
        <v>46318</v>
      </c>
      <c r="C26" s="10"/>
      <c r="D26" s="15"/>
      <c r="E26" s="8"/>
      <c r="F26" s="8"/>
      <c r="G26" s="13">
        <f t="shared" si="9"/>
        <v>0</v>
      </c>
      <c r="H26" s="7"/>
      <c r="I26" s="7"/>
      <c r="J26" s="13">
        <f t="shared" si="13"/>
        <v>0</v>
      </c>
      <c r="K26" s="8">
        <f t="shared" si="7"/>
        <v>0</v>
      </c>
      <c r="L26" s="8"/>
      <c r="M26" s="8">
        <f t="shared" si="12"/>
        <v>722870.60990000109</v>
      </c>
      <c r="N26" s="181"/>
      <c r="O26" s="1"/>
      <c r="Q26" s="315"/>
    </row>
    <row r="27" spans="1:17">
      <c r="A27" s="40">
        <v>23</v>
      </c>
      <c r="B27" s="189">
        <v>46319</v>
      </c>
      <c r="C27" s="10"/>
      <c r="D27" s="15"/>
      <c r="E27" s="8"/>
      <c r="F27" s="8"/>
      <c r="G27" s="13">
        <f t="shared" si="9"/>
        <v>0</v>
      </c>
      <c r="H27" s="7"/>
      <c r="I27" s="7"/>
      <c r="J27" s="13">
        <f t="shared" si="13"/>
        <v>0</v>
      </c>
      <c r="K27" s="8">
        <f t="shared" si="7"/>
        <v>0</v>
      </c>
      <c r="L27" s="8"/>
      <c r="M27" s="8">
        <f t="shared" si="12"/>
        <v>722870.60990000109</v>
      </c>
      <c r="N27" s="181"/>
      <c r="O27" s="1"/>
    </row>
    <row r="28" spans="1:17">
      <c r="A28" s="40">
        <v>24</v>
      </c>
      <c r="B28" s="189">
        <v>46320</v>
      </c>
      <c r="C28" s="10"/>
      <c r="D28" s="15"/>
      <c r="E28" s="8"/>
      <c r="F28" s="8"/>
      <c r="G28" s="13">
        <f t="shared" ref="G26:G28" si="14">E28*F28</f>
        <v>0</v>
      </c>
      <c r="H28" s="7"/>
      <c r="I28" s="7"/>
      <c r="J28" s="13">
        <f t="shared" si="13"/>
        <v>0</v>
      </c>
      <c r="K28" s="8">
        <f t="shared" si="7"/>
        <v>0</v>
      </c>
      <c r="L28" s="8"/>
      <c r="M28" s="8">
        <f t="shared" si="12"/>
        <v>722870.60990000109</v>
      </c>
      <c r="N28" s="181"/>
      <c r="O28" s="1"/>
    </row>
    <row r="29" spans="1:17">
      <c r="A29" s="40">
        <v>25</v>
      </c>
      <c r="B29" s="189">
        <v>46321</v>
      </c>
      <c r="C29" s="10"/>
      <c r="D29" s="15"/>
      <c r="E29" s="8"/>
      <c r="F29" s="8"/>
      <c r="G29" s="13">
        <f t="shared" ref="G29:G37" si="15">E29*F29</f>
        <v>0</v>
      </c>
      <c r="H29" s="7"/>
      <c r="I29" s="7"/>
      <c r="J29" s="13">
        <f t="shared" ref="J29:J36" si="16">H29*I29</f>
        <v>0</v>
      </c>
      <c r="K29" s="8">
        <f t="shared" ref="K29" si="17">G29+J29</f>
        <v>0</v>
      </c>
      <c r="L29" s="8"/>
      <c r="M29" s="8">
        <f t="shared" si="12"/>
        <v>722870.60990000109</v>
      </c>
      <c r="N29" s="181"/>
      <c r="O29" s="1"/>
    </row>
    <row r="30" spans="1:17">
      <c r="A30" s="40">
        <v>26</v>
      </c>
      <c r="B30" s="189">
        <v>46322</v>
      </c>
      <c r="C30" s="10"/>
      <c r="D30" s="15"/>
      <c r="E30" s="8"/>
      <c r="F30" s="8"/>
      <c r="G30" s="13">
        <f t="shared" si="15"/>
        <v>0</v>
      </c>
      <c r="H30" s="7"/>
      <c r="I30" s="7"/>
      <c r="J30" s="13">
        <f t="shared" si="16"/>
        <v>0</v>
      </c>
      <c r="K30" s="8">
        <f t="shared" si="7"/>
        <v>0</v>
      </c>
      <c r="L30" s="8"/>
      <c r="M30" s="8">
        <f t="shared" si="12"/>
        <v>722870.60990000109</v>
      </c>
      <c r="N30" s="181"/>
      <c r="O30" s="1"/>
    </row>
    <row r="31" spans="1:17">
      <c r="A31" s="40">
        <v>27</v>
      </c>
      <c r="B31" s="189">
        <v>46323</v>
      </c>
      <c r="C31" s="10"/>
      <c r="D31" s="15"/>
      <c r="E31" s="8"/>
      <c r="F31" s="8"/>
      <c r="G31" s="13">
        <f t="shared" si="15"/>
        <v>0</v>
      </c>
      <c r="H31" s="7"/>
      <c r="I31" s="7"/>
      <c r="J31" s="13">
        <f t="shared" si="16"/>
        <v>0</v>
      </c>
      <c r="K31" s="8">
        <f t="shared" si="7"/>
        <v>0</v>
      </c>
      <c r="L31" s="8"/>
      <c r="M31" s="8">
        <f t="shared" si="12"/>
        <v>722870.60990000109</v>
      </c>
      <c r="N31" s="181"/>
      <c r="O31" s="1"/>
    </row>
    <row r="32" spans="1:17">
      <c r="A32" s="40">
        <v>28</v>
      </c>
      <c r="B32" s="189">
        <v>46324</v>
      </c>
      <c r="C32" s="10"/>
      <c r="D32" s="15"/>
      <c r="E32" s="8"/>
      <c r="F32" s="8"/>
      <c r="G32" s="13">
        <f t="shared" si="15"/>
        <v>0</v>
      </c>
      <c r="H32" s="7"/>
      <c r="I32" s="7"/>
      <c r="J32" s="13">
        <f t="shared" si="16"/>
        <v>0</v>
      </c>
      <c r="K32" s="8">
        <f t="shared" si="7"/>
        <v>0</v>
      </c>
      <c r="L32" s="8"/>
      <c r="M32" s="8">
        <f t="shared" si="12"/>
        <v>722870.60990000109</v>
      </c>
      <c r="N32" s="181"/>
      <c r="O32" s="1"/>
    </row>
    <row r="33" spans="1:17">
      <c r="A33" s="40">
        <v>29</v>
      </c>
      <c r="B33" s="189">
        <v>46325</v>
      </c>
      <c r="C33" s="10"/>
      <c r="D33" s="15"/>
      <c r="E33" s="8"/>
      <c r="F33" s="8"/>
      <c r="G33" s="13">
        <f t="shared" si="15"/>
        <v>0</v>
      </c>
      <c r="H33" s="7"/>
      <c r="I33" s="7"/>
      <c r="J33" s="13">
        <f t="shared" si="16"/>
        <v>0</v>
      </c>
      <c r="K33" s="8">
        <f t="shared" si="7"/>
        <v>0</v>
      </c>
      <c r="L33" s="8"/>
      <c r="M33" s="8">
        <f t="shared" si="12"/>
        <v>722870.60990000109</v>
      </c>
      <c r="N33" s="181"/>
      <c r="O33" s="1"/>
    </row>
    <row r="34" spans="1:17">
      <c r="A34" s="40">
        <v>30</v>
      </c>
      <c r="B34" s="189">
        <v>46326</v>
      </c>
      <c r="C34" s="10"/>
      <c r="D34" s="15"/>
      <c r="E34" s="8"/>
      <c r="F34" s="306"/>
      <c r="G34" s="13">
        <f t="shared" si="15"/>
        <v>0</v>
      </c>
      <c r="H34" s="7"/>
      <c r="I34" s="7"/>
      <c r="J34" s="13">
        <f t="shared" si="16"/>
        <v>0</v>
      </c>
      <c r="K34" s="8">
        <f t="shared" si="7"/>
        <v>0</v>
      </c>
      <c r="L34" s="8"/>
      <c r="M34" s="8">
        <f t="shared" si="12"/>
        <v>722870.60990000109</v>
      </c>
      <c r="N34" s="181"/>
      <c r="O34" s="1"/>
    </row>
    <row r="35" spans="1:17">
      <c r="A35" s="40">
        <v>31</v>
      </c>
      <c r="B35" s="189"/>
      <c r="C35" s="10"/>
      <c r="D35" s="15"/>
      <c r="E35" s="8"/>
      <c r="F35" s="8"/>
      <c r="G35" s="13">
        <f t="shared" si="15"/>
        <v>0</v>
      </c>
      <c r="H35" s="7"/>
      <c r="I35" s="7"/>
      <c r="J35" s="13">
        <f t="shared" si="16"/>
        <v>0</v>
      </c>
      <c r="K35" s="8">
        <f t="shared" si="7"/>
        <v>0</v>
      </c>
      <c r="L35" s="8"/>
      <c r="M35" s="8">
        <f t="shared" si="12"/>
        <v>722870.60990000109</v>
      </c>
      <c r="N35" s="181"/>
      <c r="O35" s="1"/>
    </row>
    <row r="36" spans="1:17">
      <c r="A36" s="40">
        <v>32</v>
      </c>
      <c r="B36" s="189"/>
      <c r="C36" s="10"/>
      <c r="D36" s="15"/>
      <c r="E36" s="8"/>
      <c r="F36" s="8"/>
      <c r="G36" s="13">
        <f t="shared" si="15"/>
        <v>0</v>
      </c>
      <c r="H36" s="7"/>
      <c r="I36" s="7"/>
      <c r="J36" s="13">
        <f t="shared" si="16"/>
        <v>0</v>
      </c>
      <c r="K36" s="8">
        <f t="shared" si="7"/>
        <v>0</v>
      </c>
      <c r="L36" s="8"/>
      <c r="M36" s="8">
        <f t="shared" si="12"/>
        <v>722870.60990000109</v>
      </c>
      <c r="N36" s="181"/>
      <c r="O36" s="1"/>
    </row>
    <row r="37" spans="1:17">
      <c r="A37" s="40">
        <v>33</v>
      </c>
      <c r="B37" s="189"/>
      <c r="C37" s="10"/>
      <c r="D37" s="15"/>
      <c r="E37" s="8"/>
      <c r="F37" s="306"/>
      <c r="G37" s="13">
        <f t="shared" si="15"/>
        <v>0</v>
      </c>
      <c r="H37" s="7"/>
      <c r="I37" s="7"/>
      <c r="J37" s="18">
        <v>0</v>
      </c>
      <c r="K37" s="8">
        <f t="shared" si="7"/>
        <v>0</v>
      </c>
      <c r="L37" s="8"/>
      <c r="M37" s="8">
        <f t="shared" si="12"/>
        <v>722870.60990000109</v>
      </c>
      <c r="N37" s="181"/>
      <c r="O37" s="1"/>
    </row>
    <row r="38" spans="1:17">
      <c r="A38" s="40">
        <v>34</v>
      </c>
      <c r="B38" s="189"/>
      <c r="C38" s="10"/>
      <c r="D38" s="15"/>
      <c r="E38" s="8"/>
      <c r="F38" s="8"/>
      <c r="G38" s="13">
        <v>0</v>
      </c>
      <c r="H38" s="7"/>
      <c r="I38" s="7"/>
      <c r="J38" s="18">
        <v>0</v>
      </c>
      <c r="K38" s="8">
        <f t="shared" si="7"/>
        <v>0</v>
      </c>
      <c r="L38" s="8"/>
      <c r="M38" s="8">
        <f t="shared" si="12"/>
        <v>722870.60990000109</v>
      </c>
      <c r="N38" s="181"/>
      <c r="O38" s="1"/>
    </row>
    <row r="39" spans="1:17">
      <c r="A39" s="40">
        <v>35</v>
      </c>
      <c r="B39" s="189"/>
      <c r="C39" s="10"/>
      <c r="D39" s="15"/>
      <c r="E39" s="8"/>
      <c r="F39" s="8"/>
      <c r="G39" s="13">
        <f t="shared" ref="G10:G40" si="18">E39*F39</f>
        <v>0</v>
      </c>
      <c r="H39" s="7"/>
      <c r="I39" s="7"/>
      <c r="J39" s="18">
        <f t="shared" ref="J10:J40" si="19">H39*I39</f>
        <v>0</v>
      </c>
      <c r="K39" s="8">
        <f t="shared" si="7"/>
        <v>0</v>
      </c>
      <c r="L39" s="8"/>
      <c r="M39" s="8">
        <f t="shared" si="12"/>
        <v>722870.60990000109</v>
      </c>
      <c r="N39" s="181"/>
      <c r="O39" s="1"/>
    </row>
    <row r="40" spans="1:17">
      <c r="A40" s="40">
        <v>36</v>
      </c>
      <c r="B40" s="189"/>
      <c r="C40" s="234"/>
      <c r="D40" s="235"/>
      <c r="E40" s="8"/>
      <c r="F40" s="8"/>
      <c r="G40" s="13">
        <f t="shared" si="18"/>
        <v>0</v>
      </c>
      <c r="H40" s="7"/>
      <c r="I40" s="7"/>
      <c r="J40" s="18">
        <f t="shared" si="19"/>
        <v>0</v>
      </c>
      <c r="K40" s="8">
        <f t="shared" si="7"/>
        <v>0</v>
      </c>
      <c r="L40" s="8"/>
      <c r="M40" s="8">
        <f t="shared" si="12"/>
        <v>722870.60990000109</v>
      </c>
      <c r="N40" s="181"/>
      <c r="O40" s="1"/>
    </row>
    <row r="41" spans="1:17">
      <c r="A41" s="40">
        <v>37</v>
      </c>
      <c r="B41" s="189"/>
      <c r="C41" s="22"/>
      <c r="D41" s="15"/>
      <c r="E41" s="8">
        <v>0</v>
      </c>
      <c r="F41" s="8">
        <v>0</v>
      </c>
      <c r="G41" s="13">
        <f t="shared" ref="G9:G41" si="20">E41*F41</f>
        <v>0</v>
      </c>
      <c r="H41" s="7"/>
      <c r="I41" s="7"/>
      <c r="J41" s="18">
        <f t="shared" ref="J9:J41" si="21">H41*I41</f>
        <v>0</v>
      </c>
      <c r="K41" s="8">
        <f t="shared" si="6"/>
        <v>0</v>
      </c>
      <c r="L41" s="8"/>
      <c r="M41" s="8">
        <f t="shared" si="12"/>
        <v>722870.60990000109</v>
      </c>
      <c r="N41" s="181"/>
      <c r="O41" s="1"/>
      <c r="Q41" s="281"/>
    </row>
    <row r="42" spans="1:17">
      <c r="A42" s="149"/>
      <c r="B42" s="149"/>
      <c r="C42" s="149"/>
      <c r="D42" s="149"/>
      <c r="E42" s="150">
        <f>SUM(E4:E41)</f>
        <v>3800</v>
      </c>
      <c r="F42" s="150"/>
      <c r="G42" s="150">
        <f>SUM(G4:G41)</f>
        <v>375972</v>
      </c>
      <c r="H42" s="150">
        <f>SUM(H4:H41)</f>
        <v>40</v>
      </c>
      <c r="I42" s="150"/>
      <c r="J42" s="150">
        <f>SUM(J4:J41)</f>
        <v>4490.8</v>
      </c>
      <c r="K42" s="150">
        <f>SUM(K4:K41)</f>
        <v>380462.8</v>
      </c>
      <c r="L42" s="150">
        <f>SUM(L4:L41)</f>
        <v>0</v>
      </c>
      <c r="M42" s="150"/>
      <c r="N42" s="57"/>
      <c r="O42" s="53"/>
    </row>
    <row r="43" spans="1:17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7">
      <c r="A44" s="1"/>
      <c r="B44" s="646"/>
      <c r="C44" s="646"/>
      <c r="D44" s="646"/>
      <c r="E44" s="646"/>
      <c r="F44" s="1"/>
      <c r="G44" s="1"/>
      <c r="H44" s="1"/>
      <c r="I44" s="646"/>
      <c r="J44" s="646"/>
      <c r="K44" s="646"/>
      <c r="L44" s="646"/>
      <c r="M44" s="646"/>
      <c r="N44" s="646"/>
      <c r="O44" s="4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</row>
  </sheetData>
  <mergeCells count="3">
    <mergeCell ref="B44:E44"/>
    <mergeCell ref="I44:N44"/>
    <mergeCell ref="A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U56"/>
  <sheetViews>
    <sheetView workbookViewId="0">
      <pane ySplit="3" topLeftCell="A4" activePane="bottomLeft" state="frozen"/>
      <selection pane="bottomLeft" activeCell="M18" sqref="M18"/>
    </sheetView>
  </sheetViews>
  <sheetFormatPr defaultRowHeight="15"/>
  <cols>
    <col min="2" max="2" width="10" customWidth="1"/>
    <col min="4" max="4" width="11.85546875" customWidth="1"/>
    <col min="5" max="5" width="10.5703125" customWidth="1"/>
    <col min="7" max="7" width="18.7109375" customWidth="1"/>
    <col min="10" max="10" width="14" customWidth="1"/>
    <col min="11" max="12" width="13.5703125" bestFit="1" customWidth="1"/>
    <col min="13" max="13" width="11.85546875" bestFit="1" customWidth="1"/>
    <col min="14" max="14" width="17.140625" bestFit="1" customWidth="1"/>
    <col min="17" max="17" width="11.28515625" customWidth="1"/>
  </cols>
  <sheetData>
    <row r="1" spans="1:15" ht="15.75">
      <c r="A1" s="615" t="s">
        <v>220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47"/>
    </row>
    <row r="2" spans="1:15" ht="30.75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58" t="s">
        <v>174</v>
      </c>
      <c r="L2" s="79" t="s">
        <v>175</v>
      </c>
      <c r="M2" s="155" t="s">
        <v>190</v>
      </c>
      <c r="N2" s="77" t="s">
        <v>177</v>
      </c>
      <c r="O2" s="53"/>
    </row>
    <row r="3" spans="1:15">
      <c r="A3" s="136"/>
      <c r="B3" s="137"/>
      <c r="C3" s="137"/>
      <c r="D3" s="125" t="s">
        <v>178</v>
      </c>
      <c r="E3" s="137"/>
      <c r="F3" s="137"/>
      <c r="G3" s="137"/>
      <c r="H3" s="137"/>
      <c r="I3" s="137"/>
      <c r="J3" s="138"/>
      <c r="K3" s="247">
        <v>82823.565499999837</v>
      </c>
      <c r="L3" s="218"/>
      <c r="M3" s="218">
        <v>82823.565499999837</v>
      </c>
      <c r="N3" s="137"/>
      <c r="O3" s="53"/>
    </row>
    <row r="4" spans="1:15">
      <c r="A4" s="40">
        <v>1</v>
      </c>
      <c r="B4" s="189">
        <v>46296</v>
      </c>
      <c r="C4" s="22"/>
      <c r="D4" s="22"/>
      <c r="E4" s="8">
        <v>50</v>
      </c>
      <c r="F4" s="8">
        <v>99.3</v>
      </c>
      <c r="G4" s="8">
        <f>E4*F4</f>
        <v>4965</v>
      </c>
      <c r="H4" s="9"/>
      <c r="I4" s="9"/>
      <c r="J4" s="8">
        <f>H4*I4</f>
        <v>0</v>
      </c>
      <c r="K4" s="8">
        <f>G4+J4</f>
        <v>4965</v>
      </c>
      <c r="L4" s="139"/>
      <c r="M4" s="8">
        <f>M3+K4-L4</f>
        <v>87788.565499999837</v>
      </c>
      <c r="N4" s="38"/>
      <c r="O4" s="1"/>
    </row>
    <row r="5" spans="1:15">
      <c r="A5" s="40">
        <v>2</v>
      </c>
      <c r="B5" s="189">
        <v>46297</v>
      </c>
      <c r="C5" s="22"/>
      <c r="D5" s="22"/>
      <c r="E5" s="8">
        <v>270</v>
      </c>
      <c r="F5" s="8">
        <v>99.3</v>
      </c>
      <c r="G5" s="8">
        <f t="shared" ref="G5:G34" si="0">E5*F5</f>
        <v>26811</v>
      </c>
      <c r="H5" s="9"/>
      <c r="I5" s="9"/>
      <c r="J5" s="8">
        <f t="shared" ref="J5:J34" si="1">H5*I5</f>
        <v>0</v>
      </c>
      <c r="K5" s="8">
        <f t="shared" ref="K5:K40" si="2">G5+J5</f>
        <v>26811</v>
      </c>
      <c r="L5" s="139"/>
      <c r="M5" s="8">
        <f t="shared" ref="M5:M41" si="3">M4+K5-L5</f>
        <v>114599.56549999984</v>
      </c>
      <c r="N5" s="38"/>
      <c r="O5" s="1"/>
    </row>
    <row r="6" spans="1:15">
      <c r="A6" s="40">
        <v>3</v>
      </c>
      <c r="B6" s="189">
        <v>46298</v>
      </c>
      <c r="C6" s="22"/>
      <c r="D6" s="22"/>
      <c r="E6" s="8">
        <v>43</v>
      </c>
      <c r="F6" s="8">
        <v>99.3</v>
      </c>
      <c r="G6" s="8">
        <f t="shared" si="0"/>
        <v>4269.8999999999996</v>
      </c>
      <c r="H6" s="9"/>
      <c r="I6" s="9"/>
      <c r="J6" s="8">
        <f t="shared" si="1"/>
        <v>0</v>
      </c>
      <c r="K6" s="8">
        <f t="shared" si="2"/>
        <v>4269.8999999999996</v>
      </c>
      <c r="L6" s="139"/>
      <c r="M6" s="8">
        <f t="shared" si="3"/>
        <v>118869.46549999983</v>
      </c>
      <c r="N6" s="38"/>
      <c r="O6" s="1"/>
    </row>
    <row r="7" spans="1:15">
      <c r="A7" s="40">
        <v>4</v>
      </c>
      <c r="B7" s="189">
        <v>46299</v>
      </c>
      <c r="C7" s="22"/>
      <c r="D7" s="22"/>
      <c r="E7" s="8">
        <v>241.58</v>
      </c>
      <c r="F7" s="8">
        <v>99.3</v>
      </c>
      <c r="G7" s="8">
        <f t="shared" si="0"/>
        <v>23988.894</v>
      </c>
      <c r="H7" s="9"/>
      <c r="I7" s="9"/>
      <c r="J7" s="8">
        <f t="shared" si="1"/>
        <v>0</v>
      </c>
      <c r="K7" s="8">
        <f t="shared" si="2"/>
        <v>23988.894</v>
      </c>
      <c r="L7" s="139"/>
      <c r="M7" s="8">
        <f t="shared" si="3"/>
        <v>142858.35949999985</v>
      </c>
      <c r="N7" s="38"/>
      <c r="O7" s="1"/>
    </row>
    <row r="8" spans="1:15">
      <c r="A8" s="40">
        <v>5</v>
      </c>
      <c r="B8" s="189">
        <v>46300</v>
      </c>
      <c r="C8" s="22"/>
      <c r="D8" s="22"/>
      <c r="E8" s="8">
        <v>50</v>
      </c>
      <c r="F8" s="8">
        <v>99.3</v>
      </c>
      <c r="G8" s="8">
        <f t="shared" si="0"/>
        <v>4965</v>
      </c>
      <c r="H8" s="9">
        <v>5</v>
      </c>
      <c r="I8" s="9">
        <v>111.4</v>
      </c>
      <c r="J8" s="8">
        <f t="shared" si="1"/>
        <v>557</v>
      </c>
      <c r="K8" s="8">
        <f t="shared" si="2"/>
        <v>5522</v>
      </c>
      <c r="L8" s="139"/>
      <c r="M8" s="8">
        <f t="shared" si="3"/>
        <v>148380.35949999985</v>
      </c>
      <c r="N8" s="38"/>
      <c r="O8" s="1"/>
    </row>
    <row r="9" spans="1:15">
      <c r="A9" s="40">
        <v>6</v>
      </c>
      <c r="B9" s="189">
        <v>46301</v>
      </c>
      <c r="C9" s="22"/>
      <c r="D9" s="22"/>
      <c r="E9" s="410">
        <v>511.68</v>
      </c>
      <c r="F9" s="411">
        <v>99.3</v>
      </c>
      <c r="G9" s="8">
        <f t="shared" si="0"/>
        <v>50809.824000000001</v>
      </c>
      <c r="H9" s="410"/>
      <c r="I9" s="9"/>
      <c r="J9" s="8">
        <f t="shared" si="1"/>
        <v>0</v>
      </c>
      <c r="K9" s="8">
        <f t="shared" si="2"/>
        <v>50809.824000000001</v>
      </c>
      <c r="L9" s="139"/>
      <c r="M9" s="8">
        <f t="shared" si="3"/>
        <v>199190.18349999984</v>
      </c>
      <c r="N9" s="38"/>
      <c r="O9" s="1"/>
    </row>
    <row r="10" spans="1:15">
      <c r="A10" s="40">
        <v>7</v>
      </c>
      <c r="B10" s="189">
        <v>46302</v>
      </c>
      <c r="C10" s="22"/>
      <c r="D10" s="22"/>
      <c r="E10" s="410">
        <v>477.07</v>
      </c>
      <c r="F10" s="411">
        <v>99.3</v>
      </c>
      <c r="G10" s="8">
        <f t="shared" si="0"/>
        <v>47373.050999999999</v>
      </c>
      <c r="H10" s="410"/>
      <c r="I10" s="9"/>
      <c r="J10" s="8">
        <f t="shared" si="1"/>
        <v>0</v>
      </c>
      <c r="K10" s="8">
        <f t="shared" si="2"/>
        <v>47373.050999999999</v>
      </c>
      <c r="L10" s="139"/>
      <c r="M10" s="8">
        <f t="shared" si="3"/>
        <v>246563.23449999985</v>
      </c>
      <c r="N10" s="38"/>
      <c r="O10" s="1"/>
    </row>
    <row r="11" spans="1:15">
      <c r="A11" s="40">
        <v>8</v>
      </c>
      <c r="B11" s="189">
        <v>46303</v>
      </c>
      <c r="C11" s="22"/>
      <c r="D11" s="22"/>
      <c r="E11" s="8">
        <v>443.14</v>
      </c>
      <c r="F11" s="8">
        <v>99.3</v>
      </c>
      <c r="G11" s="8">
        <f t="shared" si="0"/>
        <v>44003.801999999996</v>
      </c>
      <c r="H11" s="9"/>
      <c r="I11" s="9"/>
      <c r="J11" s="8">
        <f t="shared" si="1"/>
        <v>0</v>
      </c>
      <c r="K11" s="8">
        <f t="shared" si="2"/>
        <v>44003.801999999996</v>
      </c>
      <c r="L11" s="8"/>
      <c r="M11" s="8">
        <f t="shared" si="3"/>
        <v>290567.03649999981</v>
      </c>
      <c r="N11" s="38"/>
      <c r="O11" s="1"/>
    </row>
    <row r="12" spans="1:15">
      <c r="A12" s="40">
        <v>9</v>
      </c>
      <c r="B12" s="189">
        <v>46304</v>
      </c>
      <c r="C12" s="22"/>
      <c r="D12" s="22"/>
      <c r="E12" s="8"/>
      <c r="F12" s="8"/>
      <c r="G12" s="8">
        <f t="shared" si="0"/>
        <v>0</v>
      </c>
      <c r="H12" s="9"/>
      <c r="I12" s="9"/>
      <c r="J12" s="8">
        <f t="shared" si="1"/>
        <v>0</v>
      </c>
      <c r="K12" s="8">
        <f t="shared" si="2"/>
        <v>0</v>
      </c>
      <c r="L12" s="139"/>
      <c r="M12" s="8">
        <f t="shared" si="3"/>
        <v>290567.03649999981</v>
      </c>
      <c r="N12" s="38"/>
      <c r="O12" s="1"/>
    </row>
    <row r="13" spans="1:15">
      <c r="A13" s="40">
        <v>10</v>
      </c>
      <c r="B13" s="189">
        <v>46305</v>
      </c>
      <c r="C13" s="22"/>
      <c r="D13" s="22"/>
      <c r="E13" s="600">
        <v>530</v>
      </c>
      <c r="F13" s="497">
        <v>99.3</v>
      </c>
      <c r="G13" s="8">
        <f t="shared" si="0"/>
        <v>52629</v>
      </c>
      <c r="H13" s="9">
        <v>10</v>
      </c>
      <c r="I13" s="601">
        <v>111.4</v>
      </c>
      <c r="J13" s="8">
        <f t="shared" si="1"/>
        <v>1114</v>
      </c>
      <c r="K13" s="8">
        <f t="shared" si="2"/>
        <v>53743</v>
      </c>
      <c r="L13" s="139"/>
      <c r="M13" s="8">
        <f t="shared" si="3"/>
        <v>344310.03649999981</v>
      </c>
      <c r="N13" s="38"/>
      <c r="O13" s="1"/>
    </row>
    <row r="14" spans="1:15">
      <c r="A14" s="40">
        <v>11</v>
      </c>
      <c r="B14" s="189">
        <v>46306</v>
      </c>
      <c r="C14" s="22"/>
      <c r="D14" s="22"/>
      <c r="E14" s="600">
        <v>250</v>
      </c>
      <c r="F14" s="497">
        <v>99.3</v>
      </c>
      <c r="G14" s="8">
        <f t="shared" si="0"/>
        <v>24825</v>
      </c>
      <c r="H14" s="9">
        <v>5</v>
      </c>
      <c r="I14" s="601">
        <v>111.4</v>
      </c>
      <c r="J14" s="8">
        <f t="shared" si="1"/>
        <v>557</v>
      </c>
      <c r="K14" s="8">
        <f t="shared" si="2"/>
        <v>25382</v>
      </c>
      <c r="L14" s="139"/>
      <c r="M14" s="8">
        <f t="shared" si="3"/>
        <v>369692.03649999981</v>
      </c>
      <c r="N14" s="38"/>
      <c r="O14" s="1"/>
    </row>
    <row r="15" spans="1:15">
      <c r="A15" s="40">
        <v>12</v>
      </c>
      <c r="B15" s="189">
        <v>46307</v>
      </c>
      <c r="C15" s="22"/>
      <c r="D15" s="22"/>
      <c r="E15" s="8">
        <v>85</v>
      </c>
      <c r="F15" s="8">
        <v>99.3</v>
      </c>
      <c r="G15" s="8">
        <f t="shared" si="0"/>
        <v>8440.5</v>
      </c>
      <c r="H15" s="9">
        <v>15</v>
      </c>
      <c r="I15" s="601">
        <v>111.4</v>
      </c>
      <c r="J15" s="8">
        <f t="shared" si="1"/>
        <v>1671</v>
      </c>
      <c r="K15" s="8">
        <f t="shared" si="2"/>
        <v>10111.5</v>
      </c>
      <c r="L15" s="139"/>
      <c r="M15" s="8">
        <f t="shared" si="3"/>
        <v>379803.53649999981</v>
      </c>
      <c r="N15" s="38"/>
      <c r="O15" s="1"/>
    </row>
    <row r="16" spans="1:15">
      <c r="A16" s="40">
        <v>13</v>
      </c>
      <c r="B16" s="189">
        <v>46308</v>
      </c>
      <c r="C16" s="22"/>
      <c r="D16" s="22"/>
      <c r="E16" s="8">
        <v>137.30000000000001</v>
      </c>
      <c r="F16" s="8">
        <v>99.3</v>
      </c>
      <c r="G16" s="8">
        <f t="shared" si="0"/>
        <v>13633.890000000001</v>
      </c>
      <c r="H16" s="9"/>
      <c r="I16" s="9"/>
      <c r="J16" s="8">
        <f t="shared" si="1"/>
        <v>0</v>
      </c>
      <c r="K16" s="8">
        <f t="shared" si="2"/>
        <v>13633.890000000001</v>
      </c>
      <c r="L16" s="139"/>
      <c r="M16" s="8">
        <f t="shared" si="3"/>
        <v>393437.42649999983</v>
      </c>
      <c r="N16" s="38"/>
      <c r="O16" s="1"/>
    </row>
    <row r="17" spans="1:15">
      <c r="A17" s="40">
        <v>14</v>
      </c>
      <c r="B17" s="189">
        <v>46309</v>
      </c>
      <c r="C17" s="22"/>
      <c r="D17" s="22"/>
      <c r="E17" s="8"/>
      <c r="F17" s="8"/>
      <c r="G17" s="8">
        <f t="shared" si="0"/>
        <v>0</v>
      </c>
      <c r="H17" s="9">
        <v>8</v>
      </c>
      <c r="I17" s="9">
        <v>111.4</v>
      </c>
      <c r="J17" s="8">
        <f t="shared" si="1"/>
        <v>891.2</v>
      </c>
      <c r="K17" s="8">
        <f t="shared" si="2"/>
        <v>891.2</v>
      </c>
      <c r="L17" s="139">
        <v>350000</v>
      </c>
      <c r="M17" s="8">
        <f t="shared" si="3"/>
        <v>44328.626499999838</v>
      </c>
      <c r="N17" s="38"/>
      <c r="O17" s="1"/>
    </row>
    <row r="18" spans="1:15">
      <c r="A18" s="40">
        <v>15</v>
      </c>
      <c r="B18" s="189">
        <v>46310</v>
      </c>
      <c r="C18" s="22"/>
      <c r="D18" s="22"/>
      <c r="E18" s="8">
        <v>118.8</v>
      </c>
      <c r="F18" s="8">
        <v>99.3</v>
      </c>
      <c r="G18" s="8">
        <f t="shared" si="0"/>
        <v>11796.84</v>
      </c>
      <c r="H18" s="9">
        <v>5</v>
      </c>
      <c r="I18" s="9">
        <v>111.4</v>
      </c>
      <c r="J18" s="8">
        <f t="shared" si="1"/>
        <v>557</v>
      </c>
      <c r="K18" s="8">
        <f t="shared" si="2"/>
        <v>12353.84</v>
      </c>
      <c r="L18" s="139"/>
      <c r="M18" s="8">
        <f t="shared" si="3"/>
        <v>56682.466499999835</v>
      </c>
      <c r="N18" s="38"/>
      <c r="O18" s="1"/>
    </row>
    <row r="19" spans="1:15">
      <c r="A19" s="40">
        <v>16</v>
      </c>
      <c r="B19" s="189">
        <v>46311</v>
      </c>
      <c r="C19" s="22"/>
      <c r="D19" s="22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39"/>
      <c r="M19" s="8">
        <f t="shared" si="3"/>
        <v>56682.466499999835</v>
      </c>
      <c r="N19" s="38"/>
      <c r="O19" s="1"/>
    </row>
    <row r="20" spans="1:15">
      <c r="A20" s="40">
        <v>17</v>
      </c>
      <c r="B20" s="189">
        <v>46312</v>
      </c>
      <c r="C20" s="22"/>
      <c r="D20" s="22"/>
      <c r="E20" s="8"/>
      <c r="F20" s="8"/>
      <c r="G20" s="8">
        <f t="shared" si="0"/>
        <v>0</v>
      </c>
      <c r="H20" s="9"/>
      <c r="I20" s="9"/>
      <c r="J20" s="8">
        <f t="shared" si="1"/>
        <v>0</v>
      </c>
      <c r="K20" s="8">
        <f t="shared" si="2"/>
        <v>0</v>
      </c>
      <c r="L20" s="139"/>
      <c r="M20" s="8">
        <f t="shared" si="3"/>
        <v>56682.466499999835</v>
      </c>
      <c r="N20" s="38"/>
      <c r="O20" s="1"/>
    </row>
    <row r="21" spans="1:15">
      <c r="A21" s="40">
        <v>18</v>
      </c>
      <c r="B21" s="189">
        <v>46313</v>
      </c>
      <c r="C21" s="22"/>
      <c r="D21" s="22"/>
      <c r="E21" s="8"/>
      <c r="F21" s="8"/>
      <c r="G21" s="8">
        <f t="shared" si="0"/>
        <v>0</v>
      </c>
      <c r="H21" s="9"/>
      <c r="I21" s="9"/>
      <c r="J21" s="8">
        <f t="shared" si="1"/>
        <v>0</v>
      </c>
      <c r="K21" s="8">
        <f t="shared" si="2"/>
        <v>0</v>
      </c>
      <c r="L21" s="139"/>
      <c r="M21" s="8">
        <f t="shared" si="3"/>
        <v>56682.466499999835</v>
      </c>
      <c r="N21" s="38"/>
      <c r="O21" s="1"/>
    </row>
    <row r="22" spans="1:15">
      <c r="A22" s="40">
        <v>19</v>
      </c>
      <c r="B22" s="189">
        <v>46314</v>
      </c>
      <c r="C22" s="22"/>
      <c r="D22" s="22"/>
      <c r="E22" s="8"/>
      <c r="F22" s="8"/>
      <c r="G22" s="8">
        <f t="shared" si="0"/>
        <v>0</v>
      </c>
      <c r="H22" s="9"/>
      <c r="I22" s="9"/>
      <c r="J22" s="8">
        <f t="shared" si="1"/>
        <v>0</v>
      </c>
      <c r="K22" s="8">
        <f t="shared" si="2"/>
        <v>0</v>
      </c>
      <c r="L22" s="139"/>
      <c r="M22" s="8">
        <f t="shared" si="3"/>
        <v>56682.466499999835</v>
      </c>
      <c r="N22" s="38"/>
      <c r="O22" s="1"/>
    </row>
    <row r="23" spans="1:15">
      <c r="A23" s="40">
        <v>20</v>
      </c>
      <c r="B23" s="189">
        <v>46315</v>
      </c>
      <c r="C23" s="22"/>
      <c r="D23" s="22"/>
      <c r="E23" s="8"/>
      <c r="F23" s="8"/>
      <c r="G23" s="8">
        <f t="shared" si="0"/>
        <v>0</v>
      </c>
      <c r="H23" s="9"/>
      <c r="I23" s="9"/>
      <c r="J23" s="8">
        <f t="shared" si="1"/>
        <v>0</v>
      </c>
      <c r="K23" s="8">
        <f t="shared" si="2"/>
        <v>0</v>
      </c>
      <c r="L23" s="8"/>
      <c r="M23" s="8">
        <f t="shared" si="3"/>
        <v>56682.466499999835</v>
      </c>
      <c r="N23" s="38"/>
      <c r="O23" s="1"/>
    </row>
    <row r="24" spans="1:15">
      <c r="A24" s="40">
        <v>21</v>
      </c>
      <c r="B24" s="189">
        <v>46316</v>
      </c>
      <c r="C24" s="22"/>
      <c r="D24" s="22"/>
      <c r="E24" s="8"/>
      <c r="F24" s="8"/>
      <c r="G24" s="8">
        <f t="shared" si="0"/>
        <v>0</v>
      </c>
      <c r="H24" s="9"/>
      <c r="I24" s="9"/>
      <c r="J24" s="8">
        <f t="shared" si="1"/>
        <v>0</v>
      </c>
      <c r="K24" s="8">
        <f t="shared" si="2"/>
        <v>0</v>
      </c>
      <c r="L24" s="139"/>
      <c r="M24" s="8">
        <f t="shared" si="3"/>
        <v>56682.466499999835</v>
      </c>
      <c r="N24" s="38"/>
      <c r="O24" s="1"/>
    </row>
    <row r="25" spans="1:15">
      <c r="A25" s="40">
        <v>22</v>
      </c>
      <c r="B25" s="189">
        <v>46317</v>
      </c>
      <c r="C25" s="22"/>
      <c r="D25" s="22"/>
      <c r="E25" s="8"/>
      <c r="F25" s="8"/>
      <c r="G25" s="8">
        <f t="shared" si="0"/>
        <v>0</v>
      </c>
      <c r="H25" s="9"/>
      <c r="I25" s="9"/>
      <c r="J25" s="8">
        <f t="shared" si="1"/>
        <v>0</v>
      </c>
      <c r="K25" s="8">
        <f t="shared" si="2"/>
        <v>0</v>
      </c>
      <c r="L25" s="139"/>
      <c r="M25" s="8">
        <f t="shared" si="3"/>
        <v>56682.466499999835</v>
      </c>
      <c r="N25" s="38"/>
      <c r="O25" s="1"/>
    </row>
    <row r="26" spans="1:15">
      <c r="A26" s="40">
        <v>23</v>
      </c>
      <c r="B26" s="189">
        <v>46318</v>
      </c>
      <c r="C26" s="22"/>
      <c r="D26" s="22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 t="shared" si="2"/>
        <v>0</v>
      </c>
      <c r="L26" s="139"/>
      <c r="M26" s="8">
        <f>M25+K26-L26</f>
        <v>56682.466499999835</v>
      </c>
      <c r="N26" s="38"/>
      <c r="O26" s="1"/>
    </row>
    <row r="27" spans="1:15">
      <c r="A27" s="40">
        <v>24</v>
      </c>
      <c r="B27" s="189">
        <v>46319</v>
      </c>
      <c r="C27" s="22"/>
      <c r="D27" s="22"/>
      <c r="E27" s="544"/>
      <c r="F27" s="497"/>
      <c r="G27" s="8">
        <f t="shared" si="0"/>
        <v>0</v>
      </c>
      <c r="H27" s="9"/>
      <c r="I27" s="9"/>
      <c r="J27" s="8">
        <f t="shared" si="1"/>
        <v>0</v>
      </c>
      <c r="K27" s="8">
        <f t="shared" si="2"/>
        <v>0</v>
      </c>
      <c r="L27" s="139"/>
      <c r="N27" s="38"/>
      <c r="O27" s="1"/>
    </row>
    <row r="28" spans="1:15">
      <c r="A28" s="40">
        <v>25</v>
      </c>
      <c r="B28" s="189">
        <v>46320</v>
      </c>
      <c r="C28" s="22"/>
      <c r="D28" s="22"/>
      <c r="E28" s="8"/>
      <c r="F28" s="8"/>
      <c r="G28" s="8">
        <f t="shared" si="0"/>
        <v>0</v>
      </c>
      <c r="H28" s="9"/>
      <c r="I28" s="9"/>
      <c r="J28" s="8">
        <f t="shared" si="1"/>
        <v>0</v>
      </c>
      <c r="K28" s="8">
        <f t="shared" si="2"/>
        <v>0</v>
      </c>
      <c r="L28" s="139"/>
      <c r="M28" s="8">
        <f>N30+K28-L28</f>
        <v>0</v>
      </c>
      <c r="N28" s="38"/>
      <c r="O28" s="1"/>
    </row>
    <row r="29" spans="1:15">
      <c r="A29" s="40">
        <v>26</v>
      </c>
      <c r="B29" s="189">
        <v>46321</v>
      </c>
      <c r="C29" s="22"/>
      <c r="D29" s="22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39"/>
      <c r="M29" s="8">
        <f t="shared" si="3"/>
        <v>0</v>
      </c>
      <c r="N29" s="38"/>
      <c r="O29" s="1"/>
    </row>
    <row r="30" spans="1:15">
      <c r="A30" s="40">
        <v>27</v>
      </c>
      <c r="B30" s="189">
        <v>46322</v>
      </c>
      <c r="C30" s="22"/>
      <c r="D30" s="22"/>
      <c r="E30" s="8"/>
      <c r="F30" s="8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39"/>
      <c r="M30" s="8">
        <f t="shared" si="3"/>
        <v>0</v>
      </c>
      <c r="N30" s="8"/>
      <c r="O30" s="1"/>
    </row>
    <row r="31" spans="1:15">
      <c r="A31" s="40">
        <v>28</v>
      </c>
      <c r="B31" s="189">
        <v>46323</v>
      </c>
      <c r="C31" s="22"/>
      <c r="D31" s="22"/>
      <c r="E31" s="8"/>
      <c r="F31" s="8"/>
      <c r="G31" s="8">
        <f t="shared" si="0"/>
        <v>0</v>
      </c>
      <c r="H31" s="9"/>
      <c r="I31" s="9"/>
      <c r="J31" s="8">
        <f t="shared" si="1"/>
        <v>0</v>
      </c>
      <c r="K31" s="8">
        <f t="shared" si="2"/>
        <v>0</v>
      </c>
      <c r="L31" s="139"/>
      <c r="M31" s="8">
        <f t="shared" si="3"/>
        <v>0</v>
      </c>
      <c r="N31" s="38"/>
      <c r="O31" s="1"/>
    </row>
    <row r="32" spans="1:15">
      <c r="A32" s="40">
        <v>29</v>
      </c>
      <c r="B32" s="189">
        <v>46324</v>
      </c>
      <c r="C32" s="22"/>
      <c r="D32" s="22"/>
      <c r="E32" s="448"/>
      <c r="F32" s="497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39"/>
      <c r="M32" s="8">
        <f t="shared" si="3"/>
        <v>0</v>
      </c>
      <c r="N32" s="38"/>
      <c r="O32" s="1"/>
    </row>
    <row r="33" spans="1:21">
      <c r="A33" s="40">
        <v>30</v>
      </c>
      <c r="B33" s="189">
        <v>46325</v>
      </c>
      <c r="C33" s="22"/>
      <c r="D33" s="22"/>
      <c r="E33" s="448"/>
      <c r="F33" s="497"/>
      <c r="G33" s="8">
        <f t="shared" si="0"/>
        <v>0</v>
      </c>
      <c r="H33" s="9"/>
      <c r="I33" s="9"/>
      <c r="J33" s="8">
        <f t="shared" si="1"/>
        <v>0</v>
      </c>
      <c r="K33" s="8">
        <f t="shared" si="2"/>
        <v>0</v>
      </c>
      <c r="L33" s="139"/>
      <c r="M33" s="8">
        <f t="shared" si="3"/>
        <v>0</v>
      </c>
      <c r="N33" s="38"/>
      <c r="O33" s="1"/>
    </row>
    <row r="34" spans="1:21">
      <c r="A34" s="40">
        <v>31</v>
      </c>
      <c r="B34" s="189">
        <v>46326</v>
      </c>
      <c r="C34" s="22"/>
      <c r="D34" s="22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39"/>
      <c r="M34" s="8">
        <f t="shared" si="3"/>
        <v>0</v>
      </c>
      <c r="N34" s="38"/>
      <c r="O34" s="1"/>
    </row>
    <row r="35" spans="1:21">
      <c r="A35" s="40">
        <v>32</v>
      </c>
      <c r="B35" s="189"/>
      <c r="C35" s="22"/>
      <c r="D35" s="22"/>
      <c r="E35" s="8"/>
      <c r="F35" s="8"/>
      <c r="G35" s="8">
        <f t="shared" ref="G35:G40" si="4">E35*F35</f>
        <v>0</v>
      </c>
      <c r="H35" s="9"/>
      <c r="I35" s="9"/>
      <c r="J35" s="8">
        <f t="shared" ref="J35:J40" si="5">H35*I35</f>
        <v>0</v>
      </c>
      <c r="K35" s="8">
        <f t="shared" si="2"/>
        <v>0</v>
      </c>
      <c r="L35" s="139"/>
      <c r="M35" s="8">
        <f t="shared" si="3"/>
        <v>0</v>
      </c>
      <c r="N35" s="38"/>
      <c r="O35" s="1"/>
    </row>
    <row r="36" spans="1:21">
      <c r="A36" s="40">
        <v>33</v>
      </c>
      <c r="B36" s="189"/>
      <c r="C36" s="22"/>
      <c r="D36" s="22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39"/>
      <c r="M36" s="8">
        <f t="shared" si="3"/>
        <v>0</v>
      </c>
      <c r="N36" s="38"/>
      <c r="O36" s="1"/>
    </row>
    <row r="37" spans="1:21">
      <c r="A37" s="40">
        <v>34</v>
      </c>
      <c r="B37" s="189"/>
      <c r="C37" s="22"/>
      <c r="D37" s="22"/>
      <c r="E37" s="8"/>
      <c r="F37" s="8"/>
      <c r="G37" s="8">
        <f t="shared" si="4"/>
        <v>0</v>
      </c>
      <c r="H37" s="9"/>
      <c r="I37" s="9"/>
      <c r="J37" s="8">
        <f t="shared" si="5"/>
        <v>0</v>
      </c>
      <c r="K37" s="8">
        <f t="shared" si="2"/>
        <v>0</v>
      </c>
      <c r="L37" s="139"/>
      <c r="M37" s="8">
        <f t="shared" si="3"/>
        <v>0</v>
      </c>
      <c r="N37" s="38"/>
      <c r="O37" s="1"/>
    </row>
    <row r="38" spans="1:21">
      <c r="A38" s="40">
        <v>35</v>
      </c>
      <c r="B38" s="189"/>
      <c r="C38" s="22"/>
      <c r="D38" s="22"/>
      <c r="E38" s="8"/>
      <c r="F38" s="8"/>
      <c r="G38" s="8">
        <f t="shared" si="4"/>
        <v>0</v>
      </c>
      <c r="H38" s="9"/>
      <c r="I38" s="9"/>
      <c r="J38" s="8">
        <f t="shared" si="5"/>
        <v>0</v>
      </c>
      <c r="K38" s="8">
        <f t="shared" si="2"/>
        <v>0</v>
      </c>
      <c r="L38" s="139"/>
      <c r="M38" s="8">
        <f t="shared" si="3"/>
        <v>0</v>
      </c>
      <c r="N38" s="38"/>
      <c r="O38" s="1"/>
      <c r="U38" s="8"/>
    </row>
    <row r="39" spans="1:21">
      <c r="A39" s="40">
        <v>36</v>
      </c>
      <c r="B39" s="189"/>
      <c r="C39" s="22"/>
      <c r="D39" s="22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39"/>
      <c r="M39" s="8">
        <f t="shared" si="3"/>
        <v>0</v>
      </c>
      <c r="N39" s="38"/>
      <c r="O39" s="1"/>
    </row>
    <row r="40" spans="1:21">
      <c r="A40" s="40">
        <v>37</v>
      </c>
      <c r="B40" s="189"/>
      <c r="C40" s="22"/>
      <c r="D40" s="22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39">
        <v>0</v>
      </c>
      <c r="M40" s="8">
        <f t="shared" si="3"/>
        <v>0</v>
      </c>
      <c r="N40" s="38"/>
      <c r="O40" s="1"/>
    </row>
    <row r="41" spans="1:21">
      <c r="A41" s="40">
        <v>38</v>
      </c>
      <c r="B41" s="189"/>
      <c r="C41" s="22"/>
      <c r="D41" s="22"/>
      <c r="E41" s="8"/>
      <c r="F41" s="8"/>
      <c r="G41" s="8"/>
      <c r="H41" s="9">
        <v>0</v>
      </c>
      <c r="I41" s="9">
        <v>0</v>
      </c>
      <c r="J41" s="8"/>
      <c r="K41" s="8"/>
      <c r="L41" s="139"/>
      <c r="M41" s="8">
        <f t="shared" si="3"/>
        <v>0</v>
      </c>
      <c r="N41" s="38"/>
      <c r="O41" s="1"/>
    </row>
    <row r="42" spans="1:21">
      <c r="A42" s="56"/>
      <c r="B42" s="56"/>
      <c r="C42" s="56"/>
      <c r="D42" s="56"/>
      <c r="E42" s="57">
        <f>SUM(E4:E40)</f>
        <v>3207.57</v>
      </c>
      <c r="F42" s="57"/>
      <c r="G42" s="57">
        <f>SUM(G4:G40)</f>
        <v>318511.70100000006</v>
      </c>
      <c r="H42" s="57">
        <f>SUM(H4:H40)</f>
        <v>48</v>
      </c>
      <c r="I42" s="57"/>
      <c r="J42" s="57">
        <f>SUM(J4:J40)</f>
        <v>5347.2</v>
      </c>
      <c r="K42" s="57">
        <f>SUM(K4:K40)</f>
        <v>323858.90100000007</v>
      </c>
      <c r="L42" s="57">
        <f>SUM(L4:L40)</f>
        <v>350000</v>
      </c>
      <c r="M42" s="57"/>
      <c r="N42" s="57"/>
      <c r="O42" s="53"/>
    </row>
    <row r="43" spans="1:21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21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21">
      <c r="A45" s="1"/>
      <c r="B45" s="646"/>
      <c r="C45" s="646"/>
      <c r="D45" s="646"/>
      <c r="E45" s="646"/>
      <c r="F45" s="1"/>
      <c r="G45" s="1"/>
      <c r="H45" s="1"/>
      <c r="I45" s="647">
        <f>K29+L29</f>
        <v>0</v>
      </c>
      <c r="J45" s="646"/>
      <c r="K45" s="646"/>
      <c r="L45" s="646"/>
      <c r="M45" s="646"/>
      <c r="N45" s="646"/>
      <c r="O45" s="4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2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2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O48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4.5703125" customWidth="1"/>
    <col min="4" max="4" width="11.140625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615" t="s">
        <v>136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47"/>
    </row>
    <row r="2" spans="1:15" ht="30.75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58" t="s">
        <v>174</v>
      </c>
      <c r="L2" s="79" t="s">
        <v>175</v>
      </c>
      <c r="M2" s="155" t="s">
        <v>190</v>
      </c>
      <c r="N2" s="77" t="s">
        <v>177</v>
      </c>
      <c r="O2" s="53"/>
    </row>
    <row r="3" spans="1:15">
      <c r="A3" s="136"/>
      <c r="B3" s="137"/>
      <c r="C3" s="137"/>
      <c r="D3" s="125" t="s">
        <v>178</v>
      </c>
      <c r="E3" s="137"/>
      <c r="F3" s="137"/>
      <c r="G3" s="137"/>
      <c r="H3" s="137"/>
      <c r="I3" s="137"/>
      <c r="J3" s="138"/>
      <c r="K3" s="19">
        <v>459610.05670000007</v>
      </c>
      <c r="L3" s="139"/>
      <c r="M3">
        <v>459610.05670000007</v>
      </c>
      <c r="N3" s="137"/>
      <c r="O3" s="53"/>
    </row>
    <row r="4" spans="1:15">
      <c r="A4" s="40">
        <v>1</v>
      </c>
      <c r="B4" s="189">
        <v>46296</v>
      </c>
      <c r="C4" s="22"/>
      <c r="D4" s="22"/>
      <c r="E4" s="477">
        <v>510</v>
      </c>
      <c r="F4" s="448">
        <v>99.6</v>
      </c>
      <c r="G4" s="8">
        <f>E4*F4</f>
        <v>50796</v>
      </c>
      <c r="H4" s="9">
        <v>5</v>
      </c>
      <c r="I4" s="364">
        <v>111.71</v>
      </c>
      <c r="J4" s="8">
        <f>H4*I4</f>
        <v>558.54999999999995</v>
      </c>
      <c r="K4" s="8">
        <f>G4+J4</f>
        <v>51354.55</v>
      </c>
      <c r="L4" s="139"/>
      <c r="M4" s="8">
        <f>M3+K4-L4</f>
        <v>510964.60670000006</v>
      </c>
      <c r="N4" s="38"/>
      <c r="O4" s="1"/>
    </row>
    <row r="5" spans="1:15">
      <c r="A5" s="40">
        <v>2</v>
      </c>
      <c r="B5" s="189">
        <v>46297</v>
      </c>
      <c r="C5" s="22"/>
      <c r="D5" s="22"/>
      <c r="E5" s="477">
        <v>370</v>
      </c>
      <c r="F5" s="448">
        <v>99.6</v>
      </c>
      <c r="G5" s="8">
        <f t="shared" ref="G5:G6" si="0">E5*F5</f>
        <v>36852</v>
      </c>
      <c r="H5" s="9">
        <v>10</v>
      </c>
      <c r="I5" s="364">
        <v>111.71</v>
      </c>
      <c r="J5" s="8">
        <f>H5*I5</f>
        <v>1117.0999999999999</v>
      </c>
      <c r="K5" s="8">
        <f t="shared" ref="K5:K34" si="1">G5+J5</f>
        <v>37969.1</v>
      </c>
      <c r="L5" s="139"/>
      <c r="M5" s="8">
        <f t="shared" ref="M5:M34" si="2">M4+K5-L5</f>
        <v>548933.7067000001</v>
      </c>
      <c r="N5" s="38"/>
      <c r="O5" s="1"/>
    </row>
    <row r="6" spans="1:15">
      <c r="A6" s="40">
        <v>3</v>
      </c>
      <c r="B6" s="189">
        <v>46298</v>
      </c>
      <c r="C6" s="22"/>
      <c r="D6" s="22"/>
      <c r="E6" s="250">
        <v>160</v>
      </c>
      <c r="F6" s="8">
        <v>99.6</v>
      </c>
      <c r="G6" s="8">
        <f t="shared" si="0"/>
        <v>15936</v>
      </c>
      <c r="H6" s="9"/>
      <c r="I6" s="364"/>
      <c r="J6" s="8">
        <f t="shared" ref="J6:J34" si="3">H6*I6</f>
        <v>0</v>
      </c>
      <c r="K6" s="8">
        <f t="shared" si="1"/>
        <v>15936</v>
      </c>
      <c r="L6" s="139"/>
      <c r="M6" s="8">
        <f t="shared" si="2"/>
        <v>564869.7067000001</v>
      </c>
      <c r="N6" s="38"/>
      <c r="O6" s="1"/>
    </row>
    <row r="7" spans="1:15">
      <c r="A7" s="40">
        <v>4</v>
      </c>
      <c r="B7" s="189">
        <v>46299</v>
      </c>
      <c r="C7" s="22"/>
      <c r="D7" s="22"/>
      <c r="E7" s="250"/>
      <c r="F7" s="8"/>
      <c r="G7" s="8">
        <f t="shared" ref="G5:G34" si="4">E7*F7</f>
        <v>0</v>
      </c>
      <c r="H7" s="9">
        <v>5</v>
      </c>
      <c r="I7" s="364">
        <v>111.71</v>
      </c>
      <c r="J7" s="8">
        <f t="shared" si="3"/>
        <v>558.54999999999995</v>
      </c>
      <c r="K7" s="8">
        <f t="shared" si="1"/>
        <v>558.54999999999995</v>
      </c>
      <c r="L7" s="139"/>
      <c r="M7" s="8">
        <f t="shared" si="2"/>
        <v>565428.25670000014</v>
      </c>
      <c r="N7" s="38"/>
      <c r="O7" s="1"/>
    </row>
    <row r="8" spans="1:15">
      <c r="A8" s="40">
        <v>5</v>
      </c>
      <c r="B8" s="189">
        <v>46300</v>
      </c>
      <c r="C8" s="22"/>
      <c r="D8" s="22"/>
      <c r="E8" s="250"/>
      <c r="F8" s="8"/>
      <c r="G8" s="8">
        <f t="shared" si="4"/>
        <v>0</v>
      </c>
      <c r="H8" s="9">
        <v>15</v>
      </c>
      <c r="I8" s="9">
        <v>111.71</v>
      </c>
      <c r="J8" s="8">
        <f t="shared" si="3"/>
        <v>1675.6499999999999</v>
      </c>
      <c r="K8" s="8">
        <f t="shared" si="1"/>
        <v>1675.6499999999999</v>
      </c>
      <c r="L8" s="139"/>
      <c r="M8" s="8">
        <f t="shared" si="2"/>
        <v>567103.90670000017</v>
      </c>
      <c r="N8" s="38"/>
      <c r="O8" s="1"/>
    </row>
    <row r="9" spans="1:15">
      <c r="A9" s="40">
        <v>6</v>
      </c>
      <c r="B9" s="189">
        <v>46301</v>
      </c>
      <c r="C9" s="22"/>
      <c r="D9" s="22"/>
      <c r="E9" s="250"/>
      <c r="F9" s="8"/>
      <c r="G9" s="8">
        <f t="shared" si="4"/>
        <v>0</v>
      </c>
      <c r="H9" s="9">
        <v>22.61</v>
      </c>
      <c r="I9" s="9">
        <v>111.71</v>
      </c>
      <c r="J9" s="8">
        <f t="shared" si="3"/>
        <v>2525.7630999999997</v>
      </c>
      <c r="K9" s="8">
        <f t="shared" si="1"/>
        <v>2525.7630999999997</v>
      </c>
      <c r="L9" s="139"/>
      <c r="M9" s="8">
        <f t="shared" si="2"/>
        <v>569629.66980000015</v>
      </c>
      <c r="N9" s="38"/>
      <c r="O9" s="1"/>
    </row>
    <row r="10" spans="1:15">
      <c r="A10" s="40">
        <v>7</v>
      </c>
      <c r="B10" s="189">
        <v>46302</v>
      </c>
      <c r="C10" s="22"/>
      <c r="D10" s="22"/>
      <c r="E10" s="250">
        <v>24</v>
      </c>
      <c r="F10" s="8">
        <v>99.6</v>
      </c>
      <c r="G10" s="8">
        <f t="shared" si="4"/>
        <v>2390.3999999999996</v>
      </c>
      <c r="H10" s="9">
        <v>10</v>
      </c>
      <c r="I10" s="9">
        <v>111.71</v>
      </c>
      <c r="J10" s="8">
        <f t="shared" si="3"/>
        <v>1117.0999999999999</v>
      </c>
      <c r="K10" s="8">
        <f t="shared" si="1"/>
        <v>3507.4999999999995</v>
      </c>
      <c r="L10" s="139"/>
      <c r="M10" s="8">
        <f t="shared" si="2"/>
        <v>573137.16980000015</v>
      </c>
      <c r="N10" s="38"/>
      <c r="O10" s="1"/>
    </row>
    <row r="11" spans="1:15">
      <c r="A11" s="40">
        <v>8</v>
      </c>
      <c r="B11" s="189">
        <v>46303</v>
      </c>
      <c r="C11" s="22"/>
      <c r="D11" s="22"/>
      <c r="E11" s="250"/>
      <c r="F11" s="8"/>
      <c r="G11" s="8">
        <f t="shared" si="4"/>
        <v>0</v>
      </c>
      <c r="H11" s="9"/>
      <c r="I11" s="9"/>
      <c r="J11" s="8">
        <f t="shared" si="3"/>
        <v>0</v>
      </c>
      <c r="K11" s="8">
        <f t="shared" si="1"/>
        <v>0</v>
      </c>
      <c r="L11" s="139"/>
      <c r="M11" s="8">
        <f t="shared" si="2"/>
        <v>573137.16980000015</v>
      </c>
      <c r="N11" s="38"/>
      <c r="O11" s="1"/>
    </row>
    <row r="12" spans="1:15">
      <c r="A12" s="40">
        <v>9</v>
      </c>
      <c r="B12" s="189">
        <v>46304</v>
      </c>
      <c r="C12" s="22"/>
      <c r="D12" s="22"/>
      <c r="E12" s="250"/>
      <c r="F12" s="8"/>
      <c r="G12" s="8">
        <f t="shared" si="4"/>
        <v>0</v>
      </c>
      <c r="H12" s="9"/>
      <c r="I12" s="9"/>
      <c r="J12" s="8">
        <f t="shared" si="3"/>
        <v>0</v>
      </c>
      <c r="K12" s="8">
        <f t="shared" si="1"/>
        <v>0</v>
      </c>
      <c r="L12" s="139"/>
      <c r="M12" s="8">
        <f>M11+K12-L12</f>
        <v>573137.16980000015</v>
      </c>
      <c r="N12" s="38"/>
      <c r="O12" s="1"/>
    </row>
    <row r="13" spans="1:15">
      <c r="A13" s="40">
        <v>10</v>
      </c>
      <c r="B13" s="189">
        <v>46305</v>
      </c>
      <c r="C13" s="22"/>
      <c r="D13" s="22"/>
      <c r="E13" s="250"/>
      <c r="F13" s="8"/>
      <c r="G13" s="8">
        <f t="shared" si="4"/>
        <v>0</v>
      </c>
      <c r="H13" s="9"/>
      <c r="I13" s="9"/>
      <c r="J13" s="8">
        <f t="shared" si="3"/>
        <v>0</v>
      </c>
      <c r="K13" s="8">
        <f t="shared" si="1"/>
        <v>0</v>
      </c>
      <c r="L13" s="139">
        <v>250000</v>
      </c>
      <c r="M13" s="8">
        <f t="shared" si="2"/>
        <v>323137.16980000015</v>
      </c>
      <c r="N13" s="38"/>
      <c r="O13" s="1"/>
    </row>
    <row r="14" spans="1:15">
      <c r="A14" s="40">
        <v>11</v>
      </c>
      <c r="B14" s="189">
        <v>46306</v>
      </c>
      <c r="C14" s="22"/>
      <c r="D14" s="22"/>
      <c r="E14" s="250"/>
      <c r="F14" s="8"/>
      <c r="G14" s="8">
        <f t="shared" si="4"/>
        <v>0</v>
      </c>
      <c r="H14" s="9"/>
      <c r="I14" s="9"/>
      <c r="J14" s="8">
        <f t="shared" si="3"/>
        <v>0</v>
      </c>
      <c r="K14" s="8">
        <f t="shared" si="1"/>
        <v>0</v>
      </c>
      <c r="L14" s="139"/>
      <c r="M14" s="8">
        <f t="shared" si="2"/>
        <v>323137.16980000015</v>
      </c>
      <c r="N14" s="38"/>
      <c r="O14" s="1"/>
    </row>
    <row r="15" spans="1:15">
      <c r="A15" s="40">
        <v>12</v>
      </c>
      <c r="B15" s="189">
        <v>46307</v>
      </c>
      <c r="C15" s="22"/>
      <c r="D15" s="22"/>
      <c r="E15" s="250"/>
      <c r="F15" s="8"/>
      <c r="G15" s="8">
        <f t="shared" si="4"/>
        <v>0</v>
      </c>
      <c r="H15" s="9"/>
      <c r="I15" s="9"/>
      <c r="J15" s="8">
        <f t="shared" si="3"/>
        <v>0</v>
      </c>
      <c r="K15" s="8">
        <f t="shared" si="1"/>
        <v>0</v>
      </c>
      <c r="L15" s="139"/>
      <c r="M15" s="8">
        <f t="shared" si="2"/>
        <v>323137.16980000015</v>
      </c>
      <c r="N15" s="38"/>
      <c r="O15" s="1"/>
    </row>
    <row r="16" spans="1:15">
      <c r="A16" s="40">
        <v>13</v>
      </c>
      <c r="B16" s="189">
        <v>46308</v>
      </c>
      <c r="C16" s="22"/>
      <c r="D16" s="22"/>
      <c r="E16" s="250">
        <v>200</v>
      </c>
      <c r="F16" s="8">
        <v>99.6</v>
      </c>
      <c r="G16" s="8">
        <f t="shared" si="4"/>
        <v>19920</v>
      </c>
      <c r="H16" s="412">
        <v>25</v>
      </c>
      <c r="I16" s="9">
        <v>111.71</v>
      </c>
      <c r="J16" s="8">
        <f t="shared" si="3"/>
        <v>2792.75</v>
      </c>
      <c r="K16" s="8">
        <f t="shared" si="1"/>
        <v>22712.75</v>
      </c>
      <c r="L16" s="139"/>
      <c r="M16" s="8">
        <f t="shared" si="2"/>
        <v>345849.91980000015</v>
      </c>
      <c r="N16" s="38"/>
      <c r="O16" s="1"/>
    </row>
    <row r="17" spans="1:15">
      <c r="A17" s="40">
        <v>14</v>
      </c>
      <c r="B17" s="189">
        <v>46309</v>
      </c>
      <c r="C17" s="22"/>
      <c r="D17" s="22"/>
      <c r="E17" s="477">
        <v>200</v>
      </c>
      <c r="F17" s="448">
        <v>99.6</v>
      </c>
      <c r="G17" s="8">
        <f t="shared" si="4"/>
        <v>19920</v>
      </c>
      <c r="H17" s="477">
        <v>5</v>
      </c>
      <c r="I17" s="9">
        <v>111.71</v>
      </c>
      <c r="J17" s="8">
        <f t="shared" si="3"/>
        <v>558.54999999999995</v>
      </c>
      <c r="K17" s="8">
        <f t="shared" si="1"/>
        <v>20478.55</v>
      </c>
      <c r="L17" s="139"/>
      <c r="M17" s="8">
        <f t="shared" si="2"/>
        <v>366328.46980000014</v>
      </c>
      <c r="N17" s="38"/>
      <c r="O17" s="1"/>
    </row>
    <row r="18" spans="1:15">
      <c r="A18" s="40">
        <v>15</v>
      </c>
      <c r="B18" s="189">
        <v>46310</v>
      </c>
      <c r="C18" s="22"/>
      <c r="D18" s="22"/>
      <c r="E18" s="477">
        <v>200</v>
      </c>
      <c r="F18" s="448">
        <v>99.6</v>
      </c>
      <c r="G18" s="8">
        <f t="shared" si="4"/>
        <v>19920</v>
      </c>
      <c r="H18" s="477">
        <v>10</v>
      </c>
      <c r="I18" s="9">
        <v>111.71</v>
      </c>
      <c r="J18" s="8">
        <f t="shared" si="3"/>
        <v>1117.0999999999999</v>
      </c>
      <c r="K18" s="8">
        <f t="shared" si="1"/>
        <v>21037.1</v>
      </c>
      <c r="L18" s="139">
        <v>300000</v>
      </c>
      <c r="M18" s="8">
        <f t="shared" si="2"/>
        <v>87365.569800000114</v>
      </c>
      <c r="N18" s="38"/>
      <c r="O18" s="1"/>
    </row>
    <row r="19" spans="1:15">
      <c r="A19" s="40">
        <v>16</v>
      </c>
      <c r="B19" s="189">
        <v>46311</v>
      </c>
      <c r="C19" s="22"/>
      <c r="D19" s="22"/>
      <c r="E19" s="477"/>
      <c r="F19" s="448"/>
      <c r="G19" s="8">
        <f t="shared" si="4"/>
        <v>0</v>
      </c>
      <c r="H19" s="477"/>
      <c r="I19" s="491"/>
      <c r="J19" s="8">
        <f t="shared" si="3"/>
        <v>0</v>
      </c>
      <c r="K19" s="8">
        <f t="shared" si="1"/>
        <v>0</v>
      </c>
      <c r="L19" s="139"/>
      <c r="M19" s="8">
        <f t="shared" si="2"/>
        <v>87365.569800000114</v>
      </c>
      <c r="N19" s="38"/>
      <c r="O19" s="1"/>
    </row>
    <row r="20" spans="1:15">
      <c r="A20" s="40">
        <v>17</v>
      </c>
      <c r="B20" s="189">
        <v>46312</v>
      </c>
      <c r="C20" s="22"/>
      <c r="D20" s="22"/>
      <c r="E20" s="250"/>
      <c r="F20" s="8"/>
      <c r="G20" s="8">
        <f t="shared" si="4"/>
        <v>0</v>
      </c>
      <c r="H20" s="9"/>
      <c r="I20" s="491"/>
      <c r="J20" s="8">
        <f t="shared" si="3"/>
        <v>0</v>
      </c>
      <c r="K20" s="8">
        <f t="shared" si="1"/>
        <v>0</v>
      </c>
      <c r="L20" s="139"/>
      <c r="M20" s="8">
        <f t="shared" si="2"/>
        <v>87365.569800000114</v>
      </c>
      <c r="N20" s="38"/>
      <c r="O20" s="1"/>
    </row>
    <row r="21" spans="1:15">
      <c r="A21" s="40">
        <v>18</v>
      </c>
      <c r="B21" s="189">
        <v>46313</v>
      </c>
      <c r="C21" s="22"/>
      <c r="D21" s="22"/>
      <c r="E21" s="250"/>
      <c r="F21" s="8"/>
      <c r="G21" s="8">
        <f t="shared" si="4"/>
        <v>0</v>
      </c>
      <c r="H21" s="9"/>
      <c r="I21" s="491"/>
      <c r="J21" s="8">
        <f t="shared" si="3"/>
        <v>0</v>
      </c>
      <c r="K21" s="8">
        <f t="shared" si="1"/>
        <v>0</v>
      </c>
      <c r="L21" s="139"/>
      <c r="M21" s="8">
        <f t="shared" si="2"/>
        <v>87365.569800000114</v>
      </c>
      <c r="N21" s="38"/>
      <c r="O21" s="1"/>
    </row>
    <row r="22" spans="1:15">
      <c r="A22" s="40">
        <v>19</v>
      </c>
      <c r="B22" s="189">
        <v>46314</v>
      </c>
      <c r="C22" s="22"/>
      <c r="D22" s="22"/>
      <c r="E22" s="477"/>
      <c r="F22" s="448"/>
      <c r="G22" s="8">
        <f t="shared" si="4"/>
        <v>0</v>
      </c>
      <c r="H22" s="9"/>
      <c r="I22" s="491"/>
      <c r="J22" s="8">
        <f t="shared" si="3"/>
        <v>0</v>
      </c>
      <c r="K22" s="8">
        <f t="shared" si="1"/>
        <v>0</v>
      </c>
      <c r="L22" s="139"/>
      <c r="M22" s="8">
        <f t="shared" si="2"/>
        <v>87365.569800000114</v>
      </c>
      <c r="N22" s="38"/>
      <c r="O22" s="1"/>
    </row>
    <row r="23" spans="1:15">
      <c r="A23" s="40">
        <v>20</v>
      </c>
      <c r="B23" s="189">
        <v>46315</v>
      </c>
      <c r="C23" s="22"/>
      <c r="D23" s="22"/>
      <c r="E23" s="477"/>
      <c r="F23" s="448"/>
      <c r="G23" s="8">
        <f t="shared" si="4"/>
        <v>0</v>
      </c>
      <c r="H23" s="9"/>
      <c r="I23" s="9"/>
      <c r="J23" s="8">
        <f t="shared" si="3"/>
        <v>0</v>
      </c>
      <c r="K23" s="8">
        <f t="shared" si="1"/>
        <v>0</v>
      </c>
      <c r="L23" s="139"/>
      <c r="M23" s="8">
        <f t="shared" si="2"/>
        <v>87365.569800000114</v>
      </c>
      <c r="N23" s="38"/>
      <c r="O23" s="1"/>
    </row>
    <row r="24" spans="1:15">
      <c r="A24" s="40">
        <v>21</v>
      </c>
      <c r="B24" s="189">
        <v>46316</v>
      </c>
      <c r="C24" s="22"/>
      <c r="D24" s="22"/>
      <c r="E24" s="250"/>
      <c r="F24" s="8"/>
      <c r="G24" s="8">
        <f t="shared" si="4"/>
        <v>0</v>
      </c>
      <c r="H24" s="9"/>
      <c r="I24" s="9"/>
      <c r="J24" s="8">
        <f t="shared" si="3"/>
        <v>0</v>
      </c>
      <c r="K24" s="8">
        <f t="shared" si="1"/>
        <v>0</v>
      </c>
      <c r="L24" s="139"/>
      <c r="M24" s="8">
        <f t="shared" si="2"/>
        <v>87365.569800000114</v>
      </c>
      <c r="N24" s="38"/>
      <c r="O24" s="1"/>
    </row>
    <row r="25" spans="1:15">
      <c r="A25" s="40">
        <v>22</v>
      </c>
      <c r="B25" s="189">
        <v>46317</v>
      </c>
      <c r="C25" s="22"/>
      <c r="D25" s="22"/>
      <c r="E25" s="250"/>
      <c r="F25" s="8"/>
      <c r="G25" s="8">
        <f t="shared" si="4"/>
        <v>0</v>
      </c>
      <c r="H25" s="9"/>
      <c r="I25" s="9"/>
      <c r="J25" s="8">
        <f t="shared" si="3"/>
        <v>0</v>
      </c>
      <c r="K25" s="8">
        <f t="shared" si="1"/>
        <v>0</v>
      </c>
      <c r="L25" s="139"/>
      <c r="M25" s="8">
        <f t="shared" si="2"/>
        <v>87365.569800000114</v>
      </c>
      <c r="N25" s="38"/>
      <c r="O25" s="1"/>
    </row>
    <row r="26" spans="1:15">
      <c r="A26" s="40">
        <v>23</v>
      </c>
      <c r="B26" s="189">
        <v>46318</v>
      </c>
      <c r="C26" s="22"/>
      <c r="D26" s="22"/>
      <c r="E26" s="250"/>
      <c r="F26" s="8"/>
      <c r="G26" s="8">
        <f t="shared" si="4"/>
        <v>0</v>
      </c>
      <c r="H26" s="9"/>
      <c r="I26" s="9"/>
      <c r="J26" s="8">
        <f t="shared" si="3"/>
        <v>0</v>
      </c>
      <c r="K26" s="8">
        <f t="shared" si="1"/>
        <v>0</v>
      </c>
      <c r="L26" s="139"/>
      <c r="M26" s="8">
        <f t="shared" si="2"/>
        <v>87365.569800000114</v>
      </c>
      <c r="N26" s="38"/>
      <c r="O26" s="1"/>
    </row>
    <row r="27" spans="1:15">
      <c r="A27" s="40">
        <v>24</v>
      </c>
      <c r="B27" s="189">
        <v>46319</v>
      </c>
      <c r="C27" s="22"/>
      <c r="D27" s="22"/>
      <c r="E27" s="250"/>
      <c r="F27" s="8"/>
      <c r="G27" s="8">
        <f t="shared" si="4"/>
        <v>0</v>
      </c>
      <c r="H27" s="9"/>
      <c r="I27" s="9"/>
      <c r="J27" s="8">
        <f t="shared" si="3"/>
        <v>0</v>
      </c>
      <c r="K27" s="8">
        <f>G27+J27</f>
        <v>0</v>
      </c>
      <c r="L27" s="139"/>
      <c r="M27" s="8">
        <f>M26+K27-L27</f>
        <v>87365.569800000114</v>
      </c>
      <c r="N27" s="38"/>
      <c r="O27" s="1"/>
    </row>
    <row r="28" spans="1:15">
      <c r="A28" s="40">
        <v>25</v>
      </c>
      <c r="B28" s="189">
        <v>46320</v>
      </c>
      <c r="C28" s="22"/>
      <c r="D28" s="22"/>
      <c r="E28" s="477"/>
      <c r="F28" s="448"/>
      <c r="G28" s="8">
        <f t="shared" si="4"/>
        <v>0</v>
      </c>
      <c r="H28" s="9"/>
      <c r="I28" s="9"/>
      <c r="J28" s="8">
        <f t="shared" si="3"/>
        <v>0</v>
      </c>
      <c r="K28" s="8">
        <f t="shared" si="1"/>
        <v>0</v>
      </c>
      <c r="L28" s="139"/>
      <c r="M28" s="8">
        <f t="shared" si="2"/>
        <v>87365.569800000114</v>
      </c>
      <c r="N28" s="38"/>
      <c r="O28" s="1"/>
    </row>
    <row r="29" spans="1:15">
      <c r="A29" s="40">
        <v>26</v>
      </c>
      <c r="B29" s="189">
        <v>46321</v>
      </c>
      <c r="C29" s="22"/>
      <c r="D29" s="22"/>
      <c r="E29" s="546"/>
      <c r="F29" s="448"/>
      <c r="G29" s="8">
        <f t="shared" si="4"/>
        <v>0</v>
      </c>
      <c r="H29" s="9"/>
      <c r="I29" s="9"/>
      <c r="J29" s="8">
        <f t="shared" si="3"/>
        <v>0</v>
      </c>
      <c r="K29" s="8">
        <f t="shared" si="1"/>
        <v>0</v>
      </c>
      <c r="L29" s="139"/>
      <c r="M29" s="8">
        <f t="shared" si="2"/>
        <v>87365.569800000114</v>
      </c>
      <c r="N29" s="38"/>
      <c r="O29" s="1"/>
    </row>
    <row r="30" spans="1:15">
      <c r="A30" s="40">
        <v>27</v>
      </c>
      <c r="B30" s="189">
        <v>46322</v>
      </c>
      <c r="C30" s="22"/>
      <c r="D30" s="22"/>
      <c r="E30" s="477"/>
      <c r="F30" s="547"/>
      <c r="G30" s="8">
        <f t="shared" si="4"/>
        <v>0</v>
      </c>
      <c r="H30" s="9"/>
      <c r="I30" s="9"/>
      <c r="J30" s="8">
        <f t="shared" si="3"/>
        <v>0</v>
      </c>
      <c r="K30" s="8">
        <f t="shared" si="1"/>
        <v>0</v>
      </c>
      <c r="L30" s="139"/>
      <c r="M30" s="8">
        <f t="shared" si="2"/>
        <v>87365.569800000114</v>
      </c>
      <c r="N30" s="38"/>
      <c r="O30" s="1"/>
    </row>
    <row r="31" spans="1:15">
      <c r="A31" s="40">
        <v>28</v>
      </c>
      <c r="B31" s="189">
        <v>46323</v>
      </c>
      <c r="C31" s="22"/>
      <c r="D31" s="22"/>
      <c r="E31" s="250"/>
      <c r="F31" s="8"/>
      <c r="G31" s="8">
        <f t="shared" si="4"/>
        <v>0</v>
      </c>
      <c r="H31" s="9"/>
      <c r="I31" s="9"/>
      <c r="J31" s="8">
        <f t="shared" si="3"/>
        <v>0</v>
      </c>
      <c r="K31" s="8">
        <f t="shared" si="1"/>
        <v>0</v>
      </c>
      <c r="L31" s="139"/>
      <c r="M31" s="8">
        <f t="shared" si="2"/>
        <v>87365.569800000114</v>
      </c>
      <c r="N31" s="38"/>
      <c r="O31" s="1"/>
    </row>
    <row r="32" spans="1:15">
      <c r="A32" s="184">
        <v>29</v>
      </c>
      <c r="B32" s="189">
        <v>46324</v>
      </c>
      <c r="C32" s="22"/>
      <c r="D32" s="22"/>
      <c r="E32" s="250"/>
      <c r="F32" s="250"/>
      <c r="G32" s="8">
        <f t="shared" si="4"/>
        <v>0</v>
      </c>
      <c r="H32" s="9"/>
      <c r="I32" s="9"/>
      <c r="J32" s="8">
        <f t="shared" si="3"/>
        <v>0</v>
      </c>
      <c r="K32" s="8">
        <f t="shared" si="1"/>
        <v>0</v>
      </c>
      <c r="L32" s="139"/>
      <c r="M32" s="8">
        <f t="shared" si="2"/>
        <v>87365.569800000114</v>
      </c>
      <c r="N32" s="38"/>
      <c r="O32" s="1"/>
    </row>
    <row r="33" spans="1:15">
      <c r="A33" s="184">
        <v>30</v>
      </c>
      <c r="B33" s="189">
        <v>46325</v>
      </c>
      <c r="C33" s="22"/>
      <c r="D33" s="22"/>
      <c r="E33" s="250"/>
      <c r="F33" s="250"/>
      <c r="G33" s="8">
        <f t="shared" si="4"/>
        <v>0</v>
      </c>
      <c r="H33" s="9"/>
      <c r="I33" s="9"/>
      <c r="J33" s="8">
        <f t="shared" si="3"/>
        <v>0</v>
      </c>
      <c r="K33" s="8">
        <f t="shared" si="1"/>
        <v>0</v>
      </c>
      <c r="L33" s="139"/>
      <c r="M33" s="8">
        <f t="shared" si="2"/>
        <v>87365.569800000114</v>
      </c>
      <c r="N33" s="38"/>
      <c r="O33" s="1"/>
    </row>
    <row r="34" spans="1:15">
      <c r="A34" s="184">
        <v>31</v>
      </c>
      <c r="B34" s="189">
        <v>46326</v>
      </c>
      <c r="C34" s="22"/>
      <c r="D34" s="22"/>
      <c r="E34" s="250"/>
      <c r="F34" s="250"/>
      <c r="G34" s="8">
        <f t="shared" si="4"/>
        <v>0</v>
      </c>
      <c r="H34" s="9"/>
      <c r="I34" s="9"/>
      <c r="J34" s="8">
        <f t="shared" si="3"/>
        <v>0</v>
      </c>
      <c r="K34" s="8">
        <f t="shared" si="1"/>
        <v>0</v>
      </c>
      <c r="L34" s="139"/>
      <c r="M34" s="8">
        <f t="shared" si="2"/>
        <v>87365.569800000114</v>
      </c>
      <c r="N34" s="38"/>
      <c r="O34" s="1"/>
    </row>
    <row r="35" spans="1:15">
      <c r="A35" s="56"/>
      <c r="B35" s="56"/>
      <c r="C35" s="56"/>
      <c r="D35" s="56"/>
      <c r="E35" s="57">
        <f>SUM(E4:E34)</f>
        <v>1664</v>
      </c>
      <c r="F35" s="57"/>
      <c r="G35" s="57">
        <f>SUM(G4:G34)</f>
        <v>165734.39999999999</v>
      </c>
      <c r="H35" s="57">
        <f>SUM(H4:H34)</f>
        <v>107.61</v>
      </c>
      <c r="I35" s="57"/>
      <c r="J35" s="57">
        <f>SUM(J4:J34)</f>
        <v>12021.113099999999</v>
      </c>
      <c r="K35" s="57">
        <f>SUM(K4:K34)</f>
        <v>177755.51309999998</v>
      </c>
      <c r="L35" s="57">
        <f>SUM(L4:L34)</f>
        <v>550000</v>
      </c>
      <c r="M35" s="57"/>
      <c r="N35" s="57"/>
      <c r="O35" s="53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646"/>
      <c r="C37" s="646"/>
      <c r="D37" s="646"/>
      <c r="E37" s="646"/>
      <c r="F37" s="1"/>
      <c r="G37" s="1"/>
      <c r="H37" s="1"/>
      <c r="I37" s="647"/>
      <c r="J37" s="646"/>
      <c r="K37" s="646"/>
      <c r="L37" s="646"/>
      <c r="M37" s="646"/>
      <c r="N37" s="646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workbookViewId="0">
      <pane ySplit="3" topLeftCell="A4" activePane="bottomLeft" state="frozen"/>
      <selection pane="bottomLeft" activeCell="L18" sqref="L18:M18"/>
    </sheetView>
  </sheetViews>
  <sheetFormatPr defaultRowHeight="15"/>
  <cols>
    <col min="2" max="2" width="10" bestFit="1" customWidth="1"/>
    <col min="4" max="4" width="12.85546875" customWidth="1"/>
    <col min="5" max="5" width="12.140625" customWidth="1"/>
    <col min="7" max="7" width="11.85546875" bestFit="1" customWidth="1"/>
    <col min="8" max="8" width="10.85546875" customWidth="1"/>
    <col min="10" max="10" width="10.85546875" bestFit="1" customWidth="1"/>
    <col min="11" max="11" width="13.5703125" bestFit="1" customWidth="1"/>
    <col min="12" max="12" width="14.5703125" customWidth="1"/>
    <col min="13" max="13" width="11.85546875" bestFit="1" customWidth="1"/>
    <col min="16" max="16" width="11.85546875" bestFit="1" customWidth="1"/>
    <col min="17" max="17" width="14" customWidth="1"/>
  </cols>
  <sheetData>
    <row r="1" spans="1:15" ht="15.75">
      <c r="A1" s="615" t="s">
        <v>138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47"/>
    </row>
    <row r="2" spans="1:15" ht="21" customHeight="1">
      <c r="A2" s="58" t="s">
        <v>0</v>
      </c>
      <c r="B2" s="77" t="s">
        <v>167</v>
      </c>
      <c r="C2" s="77" t="s">
        <v>168</v>
      </c>
      <c r="D2" s="77" t="s">
        <v>169</v>
      </c>
      <c r="E2" s="77" t="s">
        <v>170</v>
      </c>
      <c r="F2" s="77" t="s">
        <v>171</v>
      </c>
      <c r="G2" s="77" t="s">
        <v>172</v>
      </c>
      <c r="H2" s="77" t="s">
        <v>173</v>
      </c>
      <c r="I2" s="77" t="s">
        <v>171</v>
      </c>
      <c r="J2" s="78" t="s">
        <v>172</v>
      </c>
      <c r="K2" s="117" t="s">
        <v>174</v>
      </c>
      <c r="L2" s="120" t="s">
        <v>175</v>
      </c>
      <c r="M2" s="439" t="s">
        <v>190</v>
      </c>
      <c r="N2" s="77" t="s">
        <v>177</v>
      </c>
      <c r="O2" s="53"/>
    </row>
    <row r="3" spans="1:15">
      <c r="A3" s="136"/>
      <c r="B3" s="137"/>
      <c r="C3" s="137"/>
      <c r="D3" s="125" t="s">
        <v>178</v>
      </c>
      <c r="E3" s="137"/>
      <c r="F3" s="137"/>
      <c r="G3" s="137"/>
      <c r="H3" s="137"/>
      <c r="I3" s="137"/>
      <c r="J3" s="435"/>
      <c r="K3" s="247"/>
      <c r="L3" s="14"/>
      <c r="M3" s="314">
        <v>161393.37200000006</v>
      </c>
      <c r="N3" s="437"/>
      <c r="O3" s="53"/>
    </row>
    <row r="4" spans="1:15">
      <c r="A4" s="40">
        <v>1</v>
      </c>
      <c r="B4" s="189">
        <v>46296</v>
      </c>
      <c r="C4" s="22"/>
      <c r="D4" s="22"/>
      <c r="E4" s="8"/>
      <c r="F4" s="8"/>
      <c r="G4" s="8">
        <f>E4*F4</f>
        <v>0</v>
      </c>
      <c r="H4" s="9">
        <v>11</v>
      </c>
      <c r="I4" s="9">
        <v>111.82</v>
      </c>
      <c r="J4" s="436">
        <f>H4*I4</f>
        <v>1230.02</v>
      </c>
      <c r="K4" s="8">
        <f>G4+J4</f>
        <v>1230.02</v>
      </c>
      <c r="L4" s="139"/>
      <c r="M4" s="8">
        <f>M3+K4-L4</f>
        <v>162623.39200000005</v>
      </c>
      <c r="N4" s="438"/>
      <c r="O4" s="1"/>
    </row>
    <row r="5" spans="1:15">
      <c r="A5" s="40">
        <v>2</v>
      </c>
      <c r="B5" s="189">
        <v>46297</v>
      </c>
      <c r="C5" s="22"/>
      <c r="D5" s="22"/>
      <c r="E5" s="8"/>
      <c r="F5" s="8"/>
      <c r="G5" s="8">
        <f t="shared" ref="G5:G35" si="0">E5*F5</f>
        <v>0</v>
      </c>
      <c r="H5" s="9"/>
      <c r="I5" s="9"/>
      <c r="J5" s="436">
        <f t="shared" ref="J5:J35" si="1">H5*I5</f>
        <v>0</v>
      </c>
      <c r="K5" s="8">
        <f t="shared" ref="K5:K35" si="2">G5+J5</f>
        <v>0</v>
      </c>
      <c r="L5" s="139"/>
      <c r="M5" s="8">
        <f t="shared" ref="M5:M36" si="3">M4+K5-L5</f>
        <v>162623.39200000005</v>
      </c>
      <c r="N5" s="438"/>
      <c r="O5" s="1"/>
    </row>
    <row r="6" spans="1:15">
      <c r="A6" s="40">
        <v>3</v>
      </c>
      <c r="B6" s="189">
        <v>46298</v>
      </c>
      <c r="C6" s="22"/>
      <c r="D6" s="22"/>
      <c r="E6" s="8">
        <v>30</v>
      </c>
      <c r="F6" s="8">
        <v>99.7</v>
      </c>
      <c r="G6" s="8">
        <f t="shared" si="0"/>
        <v>2991</v>
      </c>
      <c r="H6" s="9">
        <v>5</v>
      </c>
      <c r="I6" s="9">
        <v>111.82</v>
      </c>
      <c r="J6" s="436">
        <f t="shared" si="1"/>
        <v>559.09999999999991</v>
      </c>
      <c r="K6" s="8">
        <f t="shared" si="2"/>
        <v>3550.1</v>
      </c>
      <c r="L6" s="139"/>
      <c r="M6" s="8">
        <f t="shared" si="3"/>
        <v>166173.49200000006</v>
      </c>
      <c r="N6" s="438"/>
      <c r="O6" s="1"/>
    </row>
    <row r="7" spans="1:15">
      <c r="A7" s="40">
        <v>4</v>
      </c>
      <c r="B7" s="189">
        <v>46299</v>
      </c>
      <c r="C7" s="22"/>
      <c r="D7" s="22"/>
      <c r="E7" s="250">
        <v>60</v>
      </c>
      <c r="F7" s="8">
        <v>99.7</v>
      </c>
      <c r="G7" s="8">
        <f>E7*F7</f>
        <v>5982</v>
      </c>
      <c r="H7" s="9"/>
      <c r="I7" s="9"/>
      <c r="J7" s="436">
        <f t="shared" si="1"/>
        <v>0</v>
      </c>
      <c r="K7" s="8">
        <f t="shared" si="2"/>
        <v>5982</v>
      </c>
      <c r="L7" s="139"/>
      <c r="M7" s="8">
        <f t="shared" si="3"/>
        <v>172155.49200000006</v>
      </c>
      <c r="N7" s="438"/>
      <c r="O7" s="1"/>
    </row>
    <row r="8" spans="1:15">
      <c r="A8" s="40">
        <v>5</v>
      </c>
      <c r="B8" s="189">
        <v>46300</v>
      </c>
      <c r="C8" s="22"/>
      <c r="D8" s="22"/>
      <c r="E8" s="250"/>
      <c r="F8" s="8"/>
      <c r="G8" s="8">
        <f>E8*F8</f>
        <v>0</v>
      </c>
      <c r="H8" s="9">
        <v>15</v>
      </c>
      <c r="I8" s="9">
        <v>111.82</v>
      </c>
      <c r="J8" s="436">
        <f t="shared" si="1"/>
        <v>1677.3</v>
      </c>
      <c r="K8" s="8">
        <f t="shared" si="2"/>
        <v>1677.3</v>
      </c>
      <c r="L8" s="139"/>
      <c r="M8" s="8">
        <f t="shared" si="3"/>
        <v>173832.79200000004</v>
      </c>
      <c r="N8" s="438"/>
      <c r="O8" s="1"/>
    </row>
    <row r="9" spans="1:15">
      <c r="A9" s="40">
        <v>6</v>
      </c>
      <c r="B9" s="189">
        <v>46301</v>
      </c>
      <c r="C9" s="22"/>
      <c r="D9" s="22"/>
      <c r="E9" s="250">
        <v>195</v>
      </c>
      <c r="F9" s="250">
        <v>99.7</v>
      </c>
      <c r="G9" s="8">
        <f t="shared" si="0"/>
        <v>19441.5</v>
      </c>
      <c r="H9" s="9">
        <v>5</v>
      </c>
      <c r="I9" s="9">
        <v>111.82</v>
      </c>
      <c r="J9" s="436">
        <f t="shared" si="1"/>
        <v>559.09999999999991</v>
      </c>
      <c r="K9" s="8">
        <f t="shared" si="2"/>
        <v>20000.599999999999</v>
      </c>
      <c r="L9" s="139"/>
      <c r="M9" s="8">
        <f t="shared" si="3"/>
        <v>193833.39200000005</v>
      </c>
      <c r="N9" s="438"/>
      <c r="O9" s="1"/>
    </row>
    <row r="10" spans="1:15">
      <c r="A10" s="40">
        <v>7</v>
      </c>
      <c r="B10" s="189">
        <v>46302</v>
      </c>
      <c r="C10" s="22"/>
      <c r="D10" s="22"/>
      <c r="E10" s="250">
        <v>286</v>
      </c>
      <c r="F10" s="250">
        <v>99.7</v>
      </c>
      <c r="G10" s="8">
        <f t="shared" si="0"/>
        <v>28514.2</v>
      </c>
      <c r="H10" s="9">
        <v>16</v>
      </c>
      <c r="I10" s="9">
        <v>111.82</v>
      </c>
      <c r="J10" s="436">
        <f t="shared" si="1"/>
        <v>1789.12</v>
      </c>
      <c r="K10" s="8">
        <f t="shared" si="2"/>
        <v>30303.32</v>
      </c>
      <c r="L10" s="139"/>
      <c r="M10" s="8">
        <f>M9+K10-L10</f>
        <v>224136.71200000006</v>
      </c>
      <c r="N10" s="438"/>
      <c r="O10" s="1"/>
    </row>
    <row r="11" spans="1:15">
      <c r="A11" s="40">
        <v>8</v>
      </c>
      <c r="B11" s="189">
        <v>46303</v>
      </c>
      <c r="C11" s="22"/>
      <c r="D11" s="22"/>
      <c r="E11" s="448">
        <v>80</v>
      </c>
      <c r="F11" s="448">
        <v>99.7</v>
      </c>
      <c r="G11" s="8">
        <f t="shared" si="0"/>
        <v>7976</v>
      </c>
      <c r="H11" s="9">
        <v>10</v>
      </c>
      <c r="I11" s="9">
        <v>111.82</v>
      </c>
      <c r="J11" s="436">
        <f t="shared" si="1"/>
        <v>1118.1999999999998</v>
      </c>
      <c r="K11" s="8">
        <f t="shared" si="2"/>
        <v>9094.2000000000007</v>
      </c>
      <c r="L11" s="139"/>
      <c r="M11" s="8">
        <f t="shared" si="3"/>
        <v>233230.91200000007</v>
      </c>
      <c r="N11" s="438"/>
      <c r="O11" s="1"/>
    </row>
    <row r="12" spans="1:15">
      <c r="A12" s="40">
        <v>9</v>
      </c>
      <c r="B12" s="189">
        <v>46304</v>
      </c>
      <c r="C12" s="22"/>
      <c r="D12" s="22"/>
      <c r="E12" s="448">
        <v>310</v>
      </c>
      <c r="F12" s="448">
        <v>99.7</v>
      </c>
      <c r="G12" s="8">
        <f t="shared" si="0"/>
        <v>30907</v>
      </c>
      <c r="H12" s="9"/>
      <c r="I12" s="9"/>
      <c r="J12" s="8">
        <f t="shared" si="1"/>
        <v>0</v>
      </c>
      <c r="K12" s="16">
        <f t="shared" si="2"/>
        <v>30907</v>
      </c>
      <c r="L12" s="440"/>
      <c r="M12" s="16">
        <f>M11+K12-L12</f>
        <v>264137.91200000007</v>
      </c>
      <c r="N12" s="38"/>
      <c r="O12" s="1"/>
    </row>
    <row r="13" spans="1:15">
      <c r="A13" s="40">
        <v>10</v>
      </c>
      <c r="B13" s="189">
        <v>46305</v>
      </c>
      <c r="C13" s="22"/>
      <c r="D13" s="22"/>
      <c r="E13" s="8">
        <v>150</v>
      </c>
      <c r="F13" s="8">
        <v>99.7</v>
      </c>
      <c r="G13" s="8">
        <f t="shared" si="0"/>
        <v>14955</v>
      </c>
      <c r="H13" s="9"/>
      <c r="I13" s="9"/>
      <c r="J13" s="8">
        <f t="shared" si="1"/>
        <v>0</v>
      </c>
      <c r="K13" s="8">
        <f t="shared" si="2"/>
        <v>14955</v>
      </c>
      <c r="L13" s="139"/>
      <c r="M13" s="16">
        <f t="shared" si="3"/>
        <v>279092.91200000007</v>
      </c>
      <c r="N13" s="38"/>
      <c r="O13" s="1"/>
    </row>
    <row r="14" spans="1:15">
      <c r="A14" s="40">
        <v>11</v>
      </c>
      <c r="B14" s="189">
        <v>46306</v>
      </c>
      <c r="C14" s="22"/>
      <c r="D14" s="22"/>
      <c r="E14" s="8"/>
      <c r="F14" s="8">
        <v>99.7</v>
      </c>
      <c r="G14" s="8">
        <f t="shared" si="0"/>
        <v>0</v>
      </c>
      <c r="H14" s="9"/>
      <c r="I14" s="9"/>
      <c r="J14" s="8">
        <f t="shared" si="1"/>
        <v>0</v>
      </c>
      <c r="K14" s="8">
        <f t="shared" si="2"/>
        <v>0</v>
      </c>
      <c r="L14" s="139"/>
      <c r="M14" s="16">
        <f t="shared" si="3"/>
        <v>279092.91200000007</v>
      </c>
      <c r="N14" s="38"/>
      <c r="O14" s="1"/>
    </row>
    <row r="15" spans="1:15">
      <c r="A15" s="40">
        <v>12</v>
      </c>
      <c r="B15" s="189">
        <v>46307</v>
      </c>
      <c r="C15" s="22"/>
      <c r="D15" s="22"/>
      <c r="E15" s="8"/>
      <c r="F15" s="8"/>
      <c r="G15" s="8">
        <f t="shared" si="0"/>
        <v>0</v>
      </c>
      <c r="H15" s="9">
        <v>17</v>
      </c>
      <c r="I15" s="9">
        <v>111.82</v>
      </c>
      <c r="J15" s="8">
        <f t="shared" si="1"/>
        <v>1900.9399999999998</v>
      </c>
      <c r="K15" s="8">
        <f t="shared" si="2"/>
        <v>1900.9399999999998</v>
      </c>
      <c r="L15" s="139"/>
      <c r="M15" s="16">
        <f t="shared" si="3"/>
        <v>280993.85200000007</v>
      </c>
      <c r="N15" s="38"/>
      <c r="O15" s="1"/>
    </row>
    <row r="16" spans="1:15">
      <c r="A16" s="40">
        <v>13</v>
      </c>
      <c r="B16" s="189">
        <v>46308</v>
      </c>
      <c r="C16" s="22"/>
      <c r="D16" s="22"/>
      <c r="E16" s="8">
        <v>335.31</v>
      </c>
      <c r="F16" s="8">
        <v>99.7</v>
      </c>
      <c r="G16" s="8">
        <f t="shared" si="0"/>
        <v>33430.406999999999</v>
      </c>
      <c r="H16" s="9"/>
      <c r="I16" s="9"/>
      <c r="J16" s="8">
        <f t="shared" si="1"/>
        <v>0</v>
      </c>
      <c r="K16" s="8">
        <f t="shared" si="2"/>
        <v>33430.406999999999</v>
      </c>
      <c r="L16" s="139"/>
      <c r="M16" s="16">
        <f t="shared" si="3"/>
        <v>314424.25900000008</v>
      </c>
      <c r="N16" s="38"/>
      <c r="O16" s="1"/>
    </row>
    <row r="17" spans="1:21">
      <c r="A17" s="40">
        <v>14</v>
      </c>
      <c r="B17" s="189">
        <v>46309</v>
      </c>
      <c r="C17" s="22"/>
      <c r="D17" s="22"/>
      <c r="E17" s="8">
        <v>91.01</v>
      </c>
      <c r="F17" s="8">
        <v>99.7</v>
      </c>
      <c r="G17" s="8">
        <f t="shared" si="0"/>
        <v>9073.6970000000001</v>
      </c>
      <c r="H17" s="9"/>
      <c r="I17" s="9"/>
      <c r="J17" s="8">
        <f t="shared" si="1"/>
        <v>0</v>
      </c>
      <c r="K17" s="8">
        <f t="shared" si="2"/>
        <v>9073.6970000000001</v>
      </c>
      <c r="L17" s="139"/>
      <c r="M17" s="16">
        <f t="shared" si="3"/>
        <v>323497.95600000006</v>
      </c>
      <c r="N17" s="38"/>
      <c r="O17" s="1"/>
    </row>
    <row r="18" spans="1:21">
      <c r="A18" s="40">
        <v>15</v>
      </c>
      <c r="B18" s="189">
        <v>46310</v>
      </c>
      <c r="C18" s="22"/>
      <c r="D18" s="22"/>
      <c r="E18" s="8">
        <v>110</v>
      </c>
      <c r="F18" s="8">
        <v>99.7</v>
      </c>
      <c r="G18" s="8">
        <f t="shared" si="0"/>
        <v>10967</v>
      </c>
      <c r="H18" s="9">
        <v>16</v>
      </c>
      <c r="I18" s="9">
        <v>111.82</v>
      </c>
      <c r="J18" s="8">
        <f t="shared" si="1"/>
        <v>1789.12</v>
      </c>
      <c r="K18" s="8">
        <f t="shared" si="2"/>
        <v>12756.119999999999</v>
      </c>
      <c r="L18" s="139">
        <v>200000</v>
      </c>
      <c r="M18" s="16">
        <f t="shared" si="3"/>
        <v>136254.07600000006</v>
      </c>
      <c r="N18" s="38"/>
      <c r="O18" s="1"/>
    </row>
    <row r="19" spans="1:21">
      <c r="A19" s="40">
        <v>16</v>
      </c>
      <c r="B19" s="189">
        <v>46311</v>
      </c>
      <c r="C19" s="22"/>
      <c r="D19" s="22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39"/>
      <c r="M19" s="16">
        <f t="shared" si="3"/>
        <v>136254.07600000006</v>
      </c>
      <c r="N19" s="38"/>
      <c r="O19" s="1"/>
    </row>
    <row r="20" spans="1:21">
      <c r="A20" s="40">
        <v>17</v>
      </c>
      <c r="B20" s="189">
        <v>46312</v>
      </c>
      <c r="C20" s="22"/>
      <c r="D20" s="22"/>
      <c r="E20" s="8"/>
      <c r="F20" s="8"/>
      <c r="G20" s="8">
        <f t="shared" si="0"/>
        <v>0</v>
      </c>
      <c r="H20" s="9"/>
      <c r="I20" s="9"/>
      <c r="J20" s="8">
        <f t="shared" si="1"/>
        <v>0</v>
      </c>
      <c r="K20" s="8">
        <f t="shared" si="2"/>
        <v>0</v>
      </c>
      <c r="L20" s="139"/>
      <c r="M20" s="16">
        <f t="shared" si="3"/>
        <v>136254.07600000006</v>
      </c>
      <c r="N20" s="38"/>
      <c r="O20" s="1"/>
    </row>
    <row r="21" spans="1:21">
      <c r="A21" s="40">
        <v>18</v>
      </c>
      <c r="B21" s="189">
        <v>46313</v>
      </c>
      <c r="C21" s="22"/>
      <c r="D21" s="22"/>
      <c r="E21" s="8"/>
      <c r="F21" s="8"/>
      <c r="G21" s="8">
        <f t="shared" si="0"/>
        <v>0</v>
      </c>
      <c r="H21" s="448"/>
      <c r="I21" s="9"/>
      <c r="J21" s="8">
        <f t="shared" si="1"/>
        <v>0</v>
      </c>
      <c r="K21" s="8">
        <f t="shared" si="2"/>
        <v>0</v>
      </c>
      <c r="L21" s="139"/>
      <c r="M21" s="16">
        <f t="shared" si="3"/>
        <v>136254.07600000006</v>
      </c>
      <c r="N21" s="38"/>
      <c r="O21" s="1"/>
    </row>
    <row r="22" spans="1:21">
      <c r="A22" s="40">
        <v>19</v>
      </c>
      <c r="B22" s="189">
        <v>46314</v>
      </c>
      <c r="C22" s="22"/>
      <c r="D22" s="22"/>
      <c r="E22" s="8"/>
      <c r="F22" s="8"/>
      <c r="G22" s="8">
        <f t="shared" si="0"/>
        <v>0</v>
      </c>
      <c r="H22" s="448"/>
      <c r="I22" s="9"/>
      <c r="J22" s="8">
        <f t="shared" si="1"/>
        <v>0</v>
      </c>
      <c r="K22" s="8">
        <f>G22+J22</f>
        <v>0</v>
      </c>
      <c r="L22" s="139"/>
      <c r="M22" s="16">
        <f t="shared" si="3"/>
        <v>136254.07600000006</v>
      </c>
      <c r="N22" s="38"/>
      <c r="O22" s="1"/>
      <c r="U22">
        <f>70+20+E2690</f>
        <v>90</v>
      </c>
    </row>
    <row r="23" spans="1:21">
      <c r="A23" s="40">
        <v>20</v>
      </c>
      <c r="B23" s="189">
        <v>46315</v>
      </c>
      <c r="C23" s="22"/>
      <c r="D23" s="22"/>
      <c r="E23" s="8"/>
      <c r="F23" s="8"/>
      <c r="G23" s="8">
        <f t="shared" si="0"/>
        <v>0</v>
      </c>
      <c r="H23" s="9"/>
      <c r="I23" s="9"/>
      <c r="J23" s="8">
        <f t="shared" si="1"/>
        <v>0</v>
      </c>
      <c r="K23" s="8">
        <f t="shared" si="2"/>
        <v>0</v>
      </c>
      <c r="L23" s="139"/>
      <c r="M23" s="16">
        <f t="shared" si="3"/>
        <v>136254.07600000006</v>
      </c>
      <c r="N23" s="38"/>
      <c r="O23" s="1"/>
    </row>
    <row r="24" spans="1:21">
      <c r="A24" s="40">
        <v>21</v>
      </c>
      <c r="B24" s="189">
        <v>46316</v>
      </c>
      <c r="C24" s="22"/>
      <c r="D24" s="22"/>
      <c r="E24" s="8"/>
      <c r="F24" s="8"/>
      <c r="G24" s="8">
        <f t="shared" si="0"/>
        <v>0</v>
      </c>
      <c r="H24" s="9"/>
      <c r="I24" s="9"/>
      <c r="J24" s="8">
        <f t="shared" si="1"/>
        <v>0</v>
      </c>
      <c r="K24" s="8">
        <f t="shared" si="2"/>
        <v>0</v>
      </c>
      <c r="L24" s="139"/>
      <c r="M24" s="16">
        <f t="shared" si="3"/>
        <v>136254.07600000006</v>
      </c>
      <c r="N24" s="38"/>
      <c r="O24" s="1"/>
    </row>
    <row r="25" spans="1:21">
      <c r="A25" s="40">
        <v>22</v>
      </c>
      <c r="B25" s="189">
        <v>46317</v>
      </c>
      <c r="C25" s="22"/>
      <c r="D25" s="22"/>
      <c r="E25" s="8"/>
      <c r="F25" s="8"/>
      <c r="G25" s="8">
        <f t="shared" si="0"/>
        <v>0</v>
      </c>
      <c r="H25" s="9"/>
      <c r="I25" s="9"/>
      <c r="J25" s="8">
        <f>H25*I25</f>
        <v>0</v>
      </c>
      <c r="K25" s="8">
        <f>G25+J25</f>
        <v>0</v>
      </c>
      <c r="L25" s="139"/>
      <c r="M25" s="16">
        <f t="shared" si="3"/>
        <v>136254.07600000006</v>
      </c>
      <c r="N25" s="38"/>
      <c r="O25" s="1"/>
    </row>
    <row r="26" spans="1:21">
      <c r="A26" s="40">
        <v>23</v>
      </c>
      <c r="B26" s="189">
        <v>46318</v>
      </c>
      <c r="C26" s="22"/>
      <c r="D26" s="22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>G26+J26</f>
        <v>0</v>
      </c>
      <c r="L26" s="139"/>
      <c r="M26" s="16">
        <f t="shared" si="3"/>
        <v>136254.07600000006</v>
      </c>
      <c r="N26" s="38"/>
      <c r="O26" s="1"/>
    </row>
    <row r="27" spans="1:21">
      <c r="A27" s="40">
        <v>24</v>
      </c>
      <c r="B27" s="189">
        <v>46319</v>
      </c>
      <c r="C27" s="22"/>
      <c r="D27" s="22"/>
      <c r="E27" s="448"/>
      <c r="F27" s="448"/>
      <c r="G27" s="8">
        <f t="shared" si="0"/>
        <v>0</v>
      </c>
      <c r="H27" s="9"/>
      <c r="I27" s="9"/>
      <c r="J27" s="8">
        <f t="shared" si="1"/>
        <v>0</v>
      </c>
      <c r="K27" s="8">
        <f>G27+J27</f>
        <v>0</v>
      </c>
      <c r="L27" s="139"/>
      <c r="M27" s="16">
        <f t="shared" si="3"/>
        <v>136254.07600000006</v>
      </c>
      <c r="N27" s="38"/>
      <c r="O27" s="1"/>
    </row>
    <row r="28" spans="1:21">
      <c r="A28" s="40">
        <v>25</v>
      </c>
      <c r="B28" s="189">
        <v>46320</v>
      </c>
      <c r="C28" s="22"/>
      <c r="D28" s="22"/>
      <c r="E28" s="8"/>
      <c r="F28" s="8"/>
      <c r="G28" s="8">
        <f t="shared" si="0"/>
        <v>0</v>
      </c>
      <c r="H28" s="9"/>
      <c r="I28" s="9"/>
      <c r="J28" s="8">
        <f t="shared" si="1"/>
        <v>0</v>
      </c>
      <c r="K28" s="8">
        <f t="shared" si="2"/>
        <v>0</v>
      </c>
      <c r="L28" s="139"/>
      <c r="M28" s="16">
        <f t="shared" si="3"/>
        <v>136254.07600000006</v>
      </c>
      <c r="N28" s="38"/>
      <c r="O28" s="1"/>
    </row>
    <row r="29" spans="1:21">
      <c r="A29" s="40">
        <v>26</v>
      </c>
      <c r="B29" s="189">
        <v>46321</v>
      </c>
      <c r="C29" s="22"/>
      <c r="D29" s="22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39"/>
      <c r="M29" s="16">
        <f t="shared" si="3"/>
        <v>136254.07600000006</v>
      </c>
      <c r="N29" s="38"/>
      <c r="O29" s="1"/>
    </row>
    <row r="30" spans="1:21">
      <c r="A30" s="40">
        <v>27</v>
      </c>
      <c r="B30" s="189">
        <v>46322</v>
      </c>
      <c r="C30" s="22"/>
      <c r="D30" s="22"/>
      <c r="E30" s="8"/>
      <c r="F30" s="8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39"/>
      <c r="M30" s="16">
        <f t="shared" si="3"/>
        <v>136254.07600000006</v>
      </c>
      <c r="N30" s="38"/>
      <c r="O30" s="1"/>
    </row>
    <row r="31" spans="1:21">
      <c r="A31" s="40">
        <v>28</v>
      </c>
      <c r="B31" s="189">
        <v>46323</v>
      </c>
      <c r="C31" s="22"/>
      <c r="D31" s="22"/>
      <c r="E31" s="8"/>
      <c r="F31" s="8"/>
      <c r="G31" s="8">
        <f t="shared" si="0"/>
        <v>0</v>
      </c>
      <c r="H31" s="9"/>
      <c r="I31" s="9"/>
      <c r="J31" s="8">
        <f>H31*I31</f>
        <v>0</v>
      </c>
      <c r="K31" s="8">
        <f t="shared" si="2"/>
        <v>0</v>
      </c>
      <c r="L31" s="139"/>
      <c r="M31" s="16">
        <f t="shared" si="3"/>
        <v>136254.07600000006</v>
      </c>
      <c r="N31" s="38"/>
      <c r="O31" s="1"/>
    </row>
    <row r="32" spans="1:21">
      <c r="A32" s="40">
        <v>29</v>
      </c>
      <c r="B32" s="189">
        <v>46324</v>
      </c>
      <c r="C32" s="22"/>
      <c r="D32" s="22"/>
      <c r="E32" s="8"/>
      <c r="F32" s="8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39"/>
      <c r="M32" s="16">
        <f t="shared" si="3"/>
        <v>136254.07600000006</v>
      </c>
      <c r="N32" s="38"/>
      <c r="O32" s="1"/>
    </row>
    <row r="33" spans="1:16">
      <c r="A33" s="40">
        <v>30</v>
      </c>
      <c r="B33" s="189">
        <v>46325</v>
      </c>
      <c r="C33" s="22"/>
      <c r="D33" s="22"/>
      <c r="E33" s="8"/>
      <c r="F33" s="8"/>
      <c r="G33" s="8">
        <f t="shared" si="0"/>
        <v>0</v>
      </c>
      <c r="H33" s="9"/>
      <c r="I33" s="9"/>
      <c r="J33" s="8">
        <f t="shared" si="1"/>
        <v>0</v>
      </c>
      <c r="K33" s="8">
        <f t="shared" si="2"/>
        <v>0</v>
      </c>
      <c r="L33" s="139"/>
      <c r="M33" s="16">
        <f t="shared" si="3"/>
        <v>136254.07600000006</v>
      </c>
      <c r="N33" s="38"/>
      <c r="O33" s="1"/>
    </row>
    <row r="34" spans="1:16">
      <c r="A34" s="40">
        <v>31</v>
      </c>
      <c r="B34" s="189">
        <v>46326</v>
      </c>
      <c r="C34" s="22"/>
      <c r="D34" s="22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39">
        <v>0</v>
      </c>
      <c r="M34" s="16">
        <f t="shared" si="3"/>
        <v>136254.07600000006</v>
      </c>
      <c r="N34" s="38"/>
      <c r="O34" s="1"/>
    </row>
    <row r="35" spans="1:16">
      <c r="A35" s="40">
        <v>32</v>
      </c>
      <c r="B35" s="189"/>
      <c r="C35" s="22"/>
      <c r="D35" s="22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39">
        <v>0</v>
      </c>
      <c r="M35" s="16">
        <f t="shared" si="3"/>
        <v>136254.07600000006</v>
      </c>
      <c r="N35" s="38"/>
      <c r="O35" s="1"/>
    </row>
    <row r="36" spans="1:16">
      <c r="A36" s="184"/>
      <c r="B36" s="189"/>
      <c r="C36" s="22"/>
      <c r="D36" s="22"/>
      <c r="E36" s="8"/>
      <c r="F36" s="8"/>
      <c r="G36" s="8"/>
      <c r="H36" s="9"/>
      <c r="I36" s="9"/>
      <c r="J36" s="8"/>
      <c r="K36" s="8"/>
      <c r="L36" s="139"/>
      <c r="M36" s="16">
        <f t="shared" si="3"/>
        <v>136254.07600000006</v>
      </c>
      <c r="N36" s="38"/>
      <c r="O36" s="1"/>
      <c r="P36" s="163"/>
    </row>
    <row r="37" spans="1:16">
      <c r="A37" s="56"/>
      <c r="B37" s="56"/>
      <c r="C37" s="56"/>
      <c r="D37" s="56"/>
      <c r="E37" s="57">
        <f>SUM(E4:E35)</f>
        <v>1647.32</v>
      </c>
      <c r="F37" s="57"/>
      <c r="G37" s="57">
        <f>SUM(G4:G35)</f>
        <v>164237.804</v>
      </c>
      <c r="H37" s="57">
        <f>SUM(H4:H35)</f>
        <v>95</v>
      </c>
      <c r="I37" s="57"/>
      <c r="J37" s="57">
        <f>SUM(J4:J35)</f>
        <v>10622.899999999998</v>
      </c>
      <c r="K37" s="57">
        <f>SUM(K4:K35)</f>
        <v>174860.70399999997</v>
      </c>
      <c r="L37" s="57">
        <f>SUM(L4:L35)</f>
        <v>200000</v>
      </c>
      <c r="M37" s="57"/>
      <c r="N37" s="57"/>
      <c r="O37" s="53"/>
    </row>
    <row r="38" spans="1:16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6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6">
      <c r="A40" s="1"/>
      <c r="B40" s="646"/>
      <c r="C40" s="646"/>
      <c r="D40" s="646"/>
      <c r="E40" s="646"/>
      <c r="F40" s="1"/>
      <c r="G40" s="1"/>
      <c r="H40" s="1"/>
      <c r="I40" s="647">
        <f>K25+L25</f>
        <v>0</v>
      </c>
      <c r="J40" s="646"/>
      <c r="K40" s="646"/>
      <c r="L40" s="646"/>
      <c r="M40" s="646"/>
      <c r="N40" s="646"/>
      <c r="O40" s="4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P45"/>
  <sheetViews>
    <sheetView workbookViewId="0">
      <pane ySplit="3" topLeftCell="A4" activePane="bottomLeft" state="frozen"/>
      <selection pane="bottomLeft" activeCell="O18" sqref="O18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623" t="s">
        <v>140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6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6">
      <c r="A3" s="626" t="s">
        <v>178</v>
      </c>
      <c r="B3" s="626"/>
      <c r="C3" s="626"/>
      <c r="D3" s="626"/>
      <c r="E3" s="626"/>
      <c r="F3" s="626"/>
      <c r="G3" s="626"/>
      <c r="H3" s="626"/>
      <c r="I3" s="626"/>
      <c r="J3" s="626"/>
      <c r="K3" s="483">
        <v>126924.9593</v>
      </c>
      <c r="L3" s="314"/>
      <c r="M3" s="314">
        <v>126924.9593</v>
      </c>
      <c r="N3" s="220"/>
      <c r="O3" s="53"/>
    </row>
    <row r="4" spans="1:16">
      <c r="A4" s="40">
        <v>1</v>
      </c>
      <c r="B4" s="304">
        <v>46296</v>
      </c>
      <c r="C4" s="61"/>
      <c r="D4" s="148"/>
      <c r="E4" s="448">
        <v>30</v>
      </c>
      <c r="F4" s="448">
        <v>99.64</v>
      </c>
      <c r="G4" s="8">
        <f>E4*F4</f>
        <v>2989.2</v>
      </c>
      <c r="H4" s="448">
        <v>5</v>
      </c>
      <c r="I4" s="60">
        <v>111.77</v>
      </c>
      <c r="J4" s="8">
        <f>H4*I4</f>
        <v>558.85</v>
      </c>
      <c r="K4" s="8">
        <f>G4+J4</f>
        <v>3548.0499999999997</v>
      </c>
      <c r="L4" s="62"/>
      <c r="M4" s="62">
        <f t="shared" ref="M4:M21" si="0">M3+K4-L4</f>
        <v>130473.00930000001</v>
      </c>
      <c r="N4" s="425"/>
    </row>
    <row r="5" spans="1:16">
      <c r="A5" s="40">
        <v>2</v>
      </c>
      <c r="B5" s="304">
        <v>46297</v>
      </c>
      <c r="C5" s="61"/>
      <c r="D5" s="61"/>
      <c r="E5" s="448">
        <v>40</v>
      </c>
      <c r="F5" s="448">
        <v>99.64</v>
      </c>
      <c r="G5" s="8">
        <f t="shared" ref="G5:G35" si="1">E5*F5</f>
        <v>3985.6</v>
      </c>
      <c r="H5" s="448">
        <v>6</v>
      </c>
      <c r="I5" s="60">
        <v>111.77</v>
      </c>
      <c r="J5" s="8">
        <f t="shared" ref="J5:J35" si="2">H5*I5</f>
        <v>670.62</v>
      </c>
      <c r="K5" s="8">
        <f t="shared" ref="K5:K35" si="3">G5+J5</f>
        <v>4656.22</v>
      </c>
      <c r="L5" s="62"/>
      <c r="M5" s="62">
        <f t="shared" si="0"/>
        <v>135129.22930000001</v>
      </c>
      <c r="N5" s="426"/>
    </row>
    <row r="6" spans="1:16">
      <c r="A6" s="40">
        <v>3</v>
      </c>
      <c r="B6" s="304">
        <v>46298</v>
      </c>
      <c r="C6" s="61"/>
      <c r="D6" s="61"/>
      <c r="E6" s="59">
        <v>30</v>
      </c>
      <c r="F6" s="59">
        <v>99.64</v>
      </c>
      <c r="G6" s="8">
        <f t="shared" si="1"/>
        <v>2989.2</v>
      </c>
      <c r="H6" s="59">
        <v>10</v>
      </c>
      <c r="I6" s="60">
        <v>111.77</v>
      </c>
      <c r="J6" s="8">
        <f t="shared" si="2"/>
        <v>1117.7</v>
      </c>
      <c r="K6" s="8">
        <f t="shared" si="3"/>
        <v>4106.8999999999996</v>
      </c>
      <c r="L6" s="62"/>
      <c r="M6" s="62">
        <f t="shared" si="0"/>
        <v>139236.1293</v>
      </c>
      <c r="N6" s="427"/>
    </row>
    <row r="7" spans="1:16">
      <c r="A7" s="40">
        <v>4</v>
      </c>
      <c r="B7" s="304">
        <v>46299</v>
      </c>
      <c r="C7" s="61"/>
      <c r="D7" s="65"/>
      <c r="E7" s="59"/>
      <c r="F7" s="59"/>
      <c r="G7" s="8">
        <f t="shared" si="1"/>
        <v>0</v>
      </c>
      <c r="H7" s="59"/>
      <c r="I7" s="60"/>
      <c r="J7" s="8">
        <f t="shared" si="2"/>
        <v>0</v>
      </c>
      <c r="K7" s="8">
        <f t="shared" si="3"/>
        <v>0</v>
      </c>
      <c r="L7" s="62"/>
      <c r="M7" s="62">
        <f t="shared" si="0"/>
        <v>139236.1293</v>
      </c>
      <c r="N7" s="428"/>
    </row>
    <row r="8" spans="1:16">
      <c r="A8" s="40">
        <v>5</v>
      </c>
      <c r="B8" s="304">
        <v>46300</v>
      </c>
      <c r="C8" s="61"/>
      <c r="D8" s="65"/>
      <c r="E8" s="59">
        <v>20</v>
      </c>
      <c r="F8" s="59">
        <v>99.64</v>
      </c>
      <c r="G8" s="8">
        <f t="shared" si="1"/>
        <v>1992.8</v>
      </c>
      <c r="H8" s="59"/>
      <c r="I8" s="60"/>
      <c r="J8" s="8">
        <f t="shared" si="2"/>
        <v>0</v>
      </c>
      <c r="K8" s="8">
        <f t="shared" si="3"/>
        <v>1992.8</v>
      </c>
      <c r="L8" s="62"/>
      <c r="M8" s="62">
        <f t="shared" si="0"/>
        <v>141228.92929999999</v>
      </c>
      <c r="N8" s="428"/>
      <c r="O8" s="229">
        <v>8497892194</v>
      </c>
      <c r="P8" s="230" t="s">
        <v>221</v>
      </c>
    </row>
    <row r="9" spans="1:16">
      <c r="A9" s="184">
        <v>6</v>
      </c>
      <c r="B9" s="304">
        <v>46301</v>
      </c>
      <c r="C9" s="429"/>
      <c r="D9" s="430"/>
      <c r="E9" s="59">
        <v>20</v>
      </c>
      <c r="F9" s="60">
        <v>99.64</v>
      </c>
      <c r="G9" s="132">
        <f t="shared" si="1"/>
        <v>1992.8</v>
      </c>
      <c r="H9" s="448">
        <v>5</v>
      </c>
      <c r="I9" s="60">
        <v>111.77</v>
      </c>
      <c r="J9" s="17">
        <f t="shared" si="2"/>
        <v>558.85</v>
      </c>
      <c r="K9" s="17">
        <f t="shared" si="3"/>
        <v>2551.65</v>
      </c>
      <c r="L9" s="133"/>
      <c r="M9" s="62">
        <f t="shared" si="0"/>
        <v>143780.57929999998</v>
      </c>
      <c r="N9" s="35"/>
      <c r="O9" s="63"/>
    </row>
    <row r="10" spans="1:16">
      <c r="A10" s="40">
        <v>7</v>
      </c>
      <c r="B10" s="304">
        <v>46302</v>
      </c>
      <c r="C10" s="64"/>
      <c r="D10" s="65"/>
      <c r="E10" s="142">
        <v>30</v>
      </c>
      <c r="F10" s="142">
        <v>99.64</v>
      </c>
      <c r="G10" s="132">
        <f t="shared" si="1"/>
        <v>2989.2</v>
      </c>
      <c r="H10" s="142">
        <v>6</v>
      </c>
      <c r="I10" s="60">
        <v>111.77</v>
      </c>
      <c r="J10" s="17">
        <f t="shared" si="2"/>
        <v>670.62</v>
      </c>
      <c r="K10" s="17">
        <f t="shared" si="3"/>
        <v>3659.8199999999997</v>
      </c>
      <c r="L10" s="133"/>
      <c r="M10" s="62">
        <f t="shared" si="0"/>
        <v>147440.39929999999</v>
      </c>
      <c r="N10" s="35"/>
      <c r="O10" s="63"/>
    </row>
    <row r="11" spans="1:16">
      <c r="A11" s="40">
        <v>8</v>
      </c>
      <c r="B11" s="304">
        <v>46303</v>
      </c>
      <c r="C11" s="64"/>
      <c r="D11" s="65"/>
      <c r="E11" s="448">
        <v>20</v>
      </c>
      <c r="F11" s="448">
        <v>99.64</v>
      </c>
      <c r="G11" s="132">
        <f t="shared" si="1"/>
        <v>1992.8</v>
      </c>
      <c r="H11" s="142"/>
      <c r="I11" s="143"/>
      <c r="J11" s="17">
        <f t="shared" si="2"/>
        <v>0</v>
      </c>
      <c r="K11" s="17">
        <f t="shared" si="3"/>
        <v>1992.8</v>
      </c>
      <c r="L11" s="133"/>
      <c r="M11" s="62">
        <f t="shared" si="0"/>
        <v>149433.19929999998</v>
      </c>
      <c r="N11" s="35"/>
      <c r="O11" s="63"/>
    </row>
    <row r="12" spans="1:16">
      <c r="A12" s="40">
        <v>9</v>
      </c>
      <c r="B12" s="304">
        <v>46304</v>
      </c>
      <c r="C12" s="64"/>
      <c r="D12" s="65"/>
      <c r="E12" s="448">
        <v>30</v>
      </c>
      <c r="F12" s="448">
        <v>99.64</v>
      </c>
      <c r="G12" s="132">
        <f t="shared" si="1"/>
        <v>2989.2</v>
      </c>
      <c r="H12" s="142"/>
      <c r="I12" s="143"/>
      <c r="J12" s="17">
        <f t="shared" si="2"/>
        <v>0</v>
      </c>
      <c r="K12" s="17">
        <f t="shared" si="3"/>
        <v>2989.2</v>
      </c>
      <c r="L12" s="133"/>
      <c r="M12" s="62">
        <f t="shared" si="0"/>
        <v>152422.39929999999</v>
      </c>
      <c r="N12" s="35"/>
      <c r="O12" s="63"/>
    </row>
    <row r="13" spans="1:16">
      <c r="A13" s="40">
        <v>10</v>
      </c>
      <c r="B13" s="304">
        <v>46305</v>
      </c>
      <c r="C13" s="64"/>
      <c r="D13" s="65"/>
      <c r="E13" s="142"/>
      <c r="F13" s="448"/>
      <c r="G13" s="132">
        <f t="shared" si="1"/>
        <v>0</v>
      </c>
      <c r="H13" s="142">
        <v>6</v>
      </c>
      <c r="I13" s="143">
        <v>111.77</v>
      </c>
      <c r="J13" s="17">
        <f t="shared" si="2"/>
        <v>670.62</v>
      </c>
      <c r="K13" s="17">
        <f t="shared" si="3"/>
        <v>670.62</v>
      </c>
      <c r="L13" s="133"/>
      <c r="M13" s="62">
        <f t="shared" si="0"/>
        <v>153093.01929999999</v>
      </c>
      <c r="N13" s="35"/>
      <c r="O13" s="63"/>
    </row>
    <row r="14" spans="1:16">
      <c r="A14" s="40">
        <v>11</v>
      </c>
      <c r="B14" s="304">
        <v>46306</v>
      </c>
      <c r="C14" s="64"/>
      <c r="D14" s="65"/>
      <c r="E14" s="142">
        <v>30</v>
      </c>
      <c r="F14" s="142">
        <v>99.64</v>
      </c>
      <c r="G14" s="132">
        <f t="shared" si="1"/>
        <v>2989.2</v>
      </c>
      <c r="H14" s="142"/>
      <c r="I14" s="143"/>
      <c r="J14" s="17">
        <f t="shared" si="2"/>
        <v>0</v>
      </c>
      <c r="K14" s="17">
        <f t="shared" si="3"/>
        <v>2989.2</v>
      </c>
      <c r="L14" s="133"/>
      <c r="M14" s="62">
        <f t="shared" si="0"/>
        <v>156082.2193</v>
      </c>
      <c r="N14" s="35"/>
      <c r="O14" s="63"/>
    </row>
    <row r="15" spans="1:16">
      <c r="A15" s="40">
        <v>12</v>
      </c>
      <c r="B15" s="304">
        <v>46307</v>
      </c>
      <c r="C15" s="64"/>
      <c r="D15" s="65"/>
      <c r="E15" s="142">
        <v>20</v>
      </c>
      <c r="F15" s="142">
        <v>99.64</v>
      </c>
      <c r="G15" s="132">
        <f t="shared" si="1"/>
        <v>1992.8</v>
      </c>
      <c r="H15" s="142"/>
      <c r="I15" s="143"/>
      <c r="J15" s="17">
        <f t="shared" si="2"/>
        <v>0</v>
      </c>
      <c r="K15" s="17">
        <f t="shared" si="3"/>
        <v>1992.8</v>
      </c>
      <c r="L15" s="133"/>
      <c r="M15" s="11">
        <f t="shared" si="0"/>
        <v>158075.01929999999</v>
      </c>
      <c r="N15" s="35"/>
      <c r="O15" s="63"/>
    </row>
    <row r="16" spans="1:16">
      <c r="A16" s="40">
        <v>13</v>
      </c>
      <c r="B16" s="304">
        <v>46308</v>
      </c>
      <c r="C16" s="64"/>
      <c r="D16" s="65"/>
      <c r="E16" s="142">
        <v>46</v>
      </c>
      <c r="F16" s="143">
        <v>99.64</v>
      </c>
      <c r="G16" s="132">
        <f t="shared" si="1"/>
        <v>4583.4399999999996</v>
      </c>
      <c r="H16" s="142">
        <v>10</v>
      </c>
      <c r="I16" s="143">
        <v>111.77</v>
      </c>
      <c r="J16" s="17">
        <f t="shared" si="2"/>
        <v>1117.7</v>
      </c>
      <c r="K16" s="17">
        <f t="shared" si="3"/>
        <v>5701.1399999999994</v>
      </c>
      <c r="L16" s="133"/>
      <c r="M16" s="228">
        <f t="shared" si="0"/>
        <v>163776.1593</v>
      </c>
      <c r="N16" s="35"/>
      <c r="O16" s="63"/>
    </row>
    <row r="17" spans="1:15">
      <c r="A17" s="40">
        <v>14</v>
      </c>
      <c r="B17" s="304">
        <v>46309</v>
      </c>
      <c r="C17" s="64"/>
      <c r="D17" s="65"/>
      <c r="E17" s="142"/>
      <c r="F17" s="142"/>
      <c r="G17" s="132">
        <f t="shared" si="1"/>
        <v>0</v>
      </c>
      <c r="H17" s="142">
        <v>7.73</v>
      </c>
      <c r="I17" s="143">
        <v>111.77</v>
      </c>
      <c r="J17" s="17">
        <f t="shared" si="2"/>
        <v>863.98210000000006</v>
      </c>
      <c r="K17" s="17">
        <f t="shared" si="3"/>
        <v>863.98210000000006</v>
      </c>
      <c r="L17" s="133"/>
      <c r="M17" s="11">
        <f t="shared" si="0"/>
        <v>164640.14139999999</v>
      </c>
      <c r="N17" s="35"/>
      <c r="O17" s="63"/>
    </row>
    <row r="18" spans="1:15">
      <c r="A18" s="40">
        <v>15</v>
      </c>
      <c r="B18" s="304">
        <v>46310</v>
      </c>
      <c r="C18" s="64"/>
      <c r="D18" s="65"/>
      <c r="E18" s="142">
        <v>20</v>
      </c>
      <c r="F18" s="142">
        <v>99.64</v>
      </c>
      <c r="G18" s="132">
        <f t="shared" si="1"/>
        <v>1992.8</v>
      </c>
      <c r="H18" s="142">
        <v>5</v>
      </c>
      <c r="I18" s="143">
        <v>111.77</v>
      </c>
      <c r="J18" s="17">
        <f t="shared" si="2"/>
        <v>558.85</v>
      </c>
      <c r="K18" s="17">
        <f t="shared" si="3"/>
        <v>2551.65</v>
      </c>
      <c r="L18" s="133"/>
      <c r="M18" s="11">
        <f t="shared" si="0"/>
        <v>167191.79139999999</v>
      </c>
      <c r="N18" s="35"/>
      <c r="O18" s="63"/>
    </row>
    <row r="19" spans="1:15">
      <c r="A19" s="40">
        <v>16</v>
      </c>
      <c r="B19" s="304">
        <v>46311</v>
      </c>
      <c r="C19" s="178"/>
      <c r="D19" s="179"/>
      <c r="E19" s="142"/>
      <c r="F19" s="142"/>
      <c r="G19" s="132">
        <f t="shared" si="1"/>
        <v>0</v>
      </c>
      <c r="H19" s="142"/>
      <c r="I19" s="143"/>
      <c r="J19" s="17">
        <f t="shared" si="2"/>
        <v>0</v>
      </c>
      <c r="K19" s="17">
        <f t="shared" si="3"/>
        <v>0</v>
      </c>
      <c r="L19" s="133"/>
      <c r="M19" s="12">
        <f t="shared" si="0"/>
        <v>167191.79139999999</v>
      </c>
      <c r="N19" s="180"/>
      <c r="O19" s="63"/>
    </row>
    <row r="20" spans="1:15">
      <c r="A20" s="40">
        <v>17</v>
      </c>
      <c r="B20" s="304">
        <v>46312</v>
      </c>
      <c r="C20" s="61"/>
      <c r="D20" s="65"/>
      <c r="E20" s="142"/>
      <c r="F20" s="142"/>
      <c r="G20" s="132">
        <f t="shared" si="1"/>
        <v>0</v>
      </c>
      <c r="H20" s="142"/>
      <c r="I20" s="143"/>
      <c r="J20" s="17">
        <f t="shared" si="2"/>
        <v>0</v>
      </c>
      <c r="K20" s="17">
        <f t="shared" si="3"/>
        <v>0</v>
      </c>
      <c r="L20" s="133"/>
      <c r="M20" s="12">
        <f t="shared" si="0"/>
        <v>167191.79139999999</v>
      </c>
      <c r="N20" s="35"/>
      <c r="O20" s="63"/>
    </row>
    <row r="21" spans="1:15">
      <c r="A21" s="40">
        <v>18</v>
      </c>
      <c r="B21" s="304">
        <v>46313</v>
      </c>
      <c r="C21" s="61"/>
      <c r="D21" s="65"/>
      <c r="E21" s="448"/>
      <c r="F21" s="142"/>
      <c r="G21" s="132">
        <f t="shared" si="1"/>
        <v>0</v>
      </c>
      <c r="H21" s="142"/>
      <c r="I21" s="143"/>
      <c r="J21" s="17">
        <f t="shared" si="2"/>
        <v>0</v>
      </c>
      <c r="K21" s="17">
        <f t="shared" si="3"/>
        <v>0</v>
      </c>
      <c r="L21" s="133"/>
      <c r="M21" s="12">
        <f t="shared" si="0"/>
        <v>167191.79139999999</v>
      </c>
      <c r="N21" s="35"/>
      <c r="O21" s="63"/>
    </row>
    <row r="22" spans="1:15">
      <c r="A22" s="40">
        <v>19</v>
      </c>
      <c r="B22" s="304">
        <v>46314</v>
      </c>
      <c r="C22" s="61"/>
      <c r="D22" s="65"/>
      <c r="E22" s="448"/>
      <c r="F22" s="448"/>
      <c r="G22" s="132">
        <f t="shared" si="1"/>
        <v>0</v>
      </c>
      <c r="H22" s="142"/>
      <c r="I22" s="143"/>
      <c r="J22" s="17">
        <f t="shared" si="2"/>
        <v>0</v>
      </c>
      <c r="K22" s="17">
        <f t="shared" si="3"/>
        <v>0</v>
      </c>
      <c r="L22" s="133"/>
      <c r="M22" s="12">
        <f t="shared" ref="M22:M31" si="4">M21+K22-L22</f>
        <v>167191.79139999999</v>
      </c>
      <c r="N22" s="35"/>
      <c r="O22" s="63"/>
    </row>
    <row r="23" spans="1:15">
      <c r="A23" s="40"/>
      <c r="B23" s="304">
        <v>46315</v>
      </c>
      <c r="C23" s="61"/>
      <c r="D23" s="65"/>
      <c r="E23" s="142"/>
      <c r="F23" s="142"/>
      <c r="G23" s="132">
        <f t="shared" si="1"/>
        <v>0</v>
      </c>
      <c r="H23" s="142"/>
      <c r="I23" s="143"/>
      <c r="J23" s="17">
        <f t="shared" si="2"/>
        <v>0</v>
      </c>
      <c r="K23" s="17">
        <f t="shared" si="3"/>
        <v>0</v>
      </c>
      <c r="L23" s="133"/>
      <c r="M23" s="12">
        <f t="shared" si="4"/>
        <v>167191.79139999999</v>
      </c>
      <c r="N23" s="35"/>
      <c r="O23" s="63"/>
    </row>
    <row r="24" spans="1:15">
      <c r="A24" s="40">
        <v>20</v>
      </c>
      <c r="B24" s="304">
        <v>46316</v>
      </c>
      <c r="C24" s="61"/>
      <c r="D24" s="65"/>
      <c r="E24" s="448"/>
      <c r="F24" s="448"/>
      <c r="G24" s="132">
        <f t="shared" si="1"/>
        <v>0</v>
      </c>
      <c r="H24" s="142"/>
      <c r="I24" s="143"/>
      <c r="J24" s="17">
        <f t="shared" si="2"/>
        <v>0</v>
      </c>
      <c r="K24" s="17">
        <f t="shared" si="3"/>
        <v>0</v>
      </c>
      <c r="L24" s="133"/>
      <c r="M24" s="12">
        <f t="shared" si="4"/>
        <v>167191.79139999999</v>
      </c>
      <c r="N24" s="35"/>
      <c r="O24" s="63"/>
    </row>
    <row r="25" spans="1:15">
      <c r="A25" s="40">
        <v>21</v>
      </c>
      <c r="B25" s="304">
        <v>46317</v>
      </c>
      <c r="C25" s="61"/>
      <c r="D25" s="65"/>
      <c r="E25" s="142"/>
      <c r="F25" s="142"/>
      <c r="G25" s="132">
        <f t="shared" si="1"/>
        <v>0</v>
      </c>
      <c r="H25" s="142"/>
      <c r="I25" s="143"/>
      <c r="J25" s="17">
        <f t="shared" si="2"/>
        <v>0</v>
      </c>
      <c r="K25" s="17">
        <f t="shared" si="3"/>
        <v>0</v>
      </c>
      <c r="L25" s="133"/>
      <c r="M25" s="12">
        <f t="shared" si="4"/>
        <v>167191.79139999999</v>
      </c>
      <c r="N25" s="35"/>
      <c r="O25" s="63"/>
    </row>
    <row r="26" spans="1:15">
      <c r="A26" s="40">
        <v>22</v>
      </c>
      <c r="B26" s="304">
        <v>46318</v>
      </c>
      <c r="C26" s="61"/>
      <c r="D26" s="65"/>
      <c r="E26" s="142"/>
      <c r="F26" s="142"/>
      <c r="G26" s="132">
        <f t="shared" si="1"/>
        <v>0</v>
      </c>
      <c r="H26" s="142"/>
      <c r="I26" s="143"/>
      <c r="J26" s="17">
        <f t="shared" si="2"/>
        <v>0</v>
      </c>
      <c r="K26" s="17">
        <f t="shared" si="3"/>
        <v>0</v>
      </c>
      <c r="L26" s="133"/>
      <c r="M26" s="12">
        <f t="shared" si="4"/>
        <v>167191.79139999999</v>
      </c>
      <c r="N26" s="35"/>
      <c r="O26" s="63"/>
    </row>
    <row r="27" spans="1:15">
      <c r="A27" s="40">
        <v>23</v>
      </c>
      <c r="B27" s="304">
        <v>46319</v>
      </c>
      <c r="C27" s="61"/>
      <c r="D27" s="65"/>
      <c r="E27" s="142"/>
      <c r="F27" s="142"/>
      <c r="G27" s="132">
        <f t="shared" si="1"/>
        <v>0</v>
      </c>
      <c r="H27" s="142"/>
      <c r="I27" s="143"/>
      <c r="J27" s="17">
        <f t="shared" si="2"/>
        <v>0</v>
      </c>
      <c r="K27" s="505">
        <f t="shared" si="3"/>
        <v>0</v>
      </c>
      <c r="L27" s="434"/>
      <c r="M27" s="12">
        <f t="shared" si="4"/>
        <v>167191.79139999999</v>
      </c>
      <c r="N27" s="180"/>
      <c r="O27" s="63"/>
    </row>
    <row r="28" spans="1:15">
      <c r="A28" s="40">
        <v>24</v>
      </c>
      <c r="B28" s="304">
        <v>46320</v>
      </c>
      <c r="C28" s="61"/>
      <c r="D28" s="65"/>
      <c r="E28" s="142"/>
      <c r="F28" s="142"/>
      <c r="G28" s="132">
        <f t="shared" si="1"/>
        <v>0</v>
      </c>
      <c r="H28" s="142"/>
      <c r="I28" s="143"/>
      <c r="J28" s="431">
        <f t="shared" si="2"/>
        <v>0</v>
      </c>
      <c r="K28" s="8">
        <f t="shared" si="3"/>
        <v>0</v>
      </c>
      <c r="L28" s="62"/>
      <c r="M28" s="62">
        <f t="shared" si="4"/>
        <v>167191.79139999999</v>
      </c>
      <c r="N28" s="35"/>
      <c r="O28" s="63"/>
    </row>
    <row r="29" spans="1:15">
      <c r="A29" s="206">
        <v>25</v>
      </c>
      <c r="B29" s="304">
        <v>46321</v>
      </c>
      <c r="C29" s="183"/>
      <c r="D29" s="179"/>
      <c r="E29" s="448"/>
      <c r="F29" s="448"/>
      <c r="G29" s="132">
        <f t="shared" si="1"/>
        <v>0</v>
      </c>
      <c r="H29" s="142"/>
      <c r="I29" s="143"/>
      <c r="J29" s="431">
        <f t="shared" si="2"/>
        <v>0</v>
      </c>
      <c r="K29" s="8">
        <f t="shared" si="3"/>
        <v>0</v>
      </c>
      <c r="L29" s="62"/>
      <c r="M29" s="62">
        <f t="shared" si="4"/>
        <v>167191.79139999999</v>
      </c>
      <c r="N29" s="35"/>
      <c r="O29" s="63"/>
    </row>
    <row r="30" spans="1:15">
      <c r="A30" s="40">
        <v>26</v>
      </c>
      <c r="B30" s="304">
        <v>46322</v>
      </c>
      <c r="C30" s="61"/>
      <c r="D30" s="65"/>
      <c r="E30" s="448"/>
      <c r="F30" s="448"/>
      <c r="G30" s="132">
        <f t="shared" si="1"/>
        <v>0</v>
      </c>
      <c r="H30" s="142"/>
      <c r="I30" s="143"/>
      <c r="J30" s="431">
        <f t="shared" si="2"/>
        <v>0</v>
      </c>
      <c r="K30" s="8">
        <f t="shared" si="3"/>
        <v>0</v>
      </c>
      <c r="L30" s="62"/>
      <c r="M30" s="62">
        <f t="shared" si="4"/>
        <v>167191.79139999999</v>
      </c>
      <c r="N30" s="35"/>
      <c r="O30" s="63"/>
    </row>
    <row r="31" spans="1:15">
      <c r="A31" s="40">
        <v>27</v>
      </c>
      <c r="B31" s="304">
        <v>46323</v>
      </c>
      <c r="C31" s="61"/>
      <c r="D31" s="65"/>
      <c r="E31" s="142"/>
      <c r="F31" s="142"/>
      <c r="G31" s="132">
        <f t="shared" si="1"/>
        <v>0</v>
      </c>
      <c r="H31" s="142"/>
      <c r="I31" s="143"/>
      <c r="J31" s="431">
        <f t="shared" si="2"/>
        <v>0</v>
      </c>
      <c r="K31" s="8">
        <f t="shared" si="3"/>
        <v>0</v>
      </c>
      <c r="L31" s="62"/>
      <c r="M31" s="62">
        <f t="shared" si="4"/>
        <v>167191.79139999999</v>
      </c>
      <c r="N31" s="35"/>
      <c r="O31" s="63"/>
    </row>
    <row r="32" spans="1:15">
      <c r="A32" s="40">
        <v>28</v>
      </c>
      <c r="B32" s="304">
        <v>46324</v>
      </c>
      <c r="C32" s="61"/>
      <c r="D32" s="65"/>
      <c r="E32" s="448"/>
      <c r="F32" s="448"/>
      <c r="G32" s="132">
        <f t="shared" si="1"/>
        <v>0</v>
      </c>
      <c r="H32" s="142"/>
      <c r="I32" s="143"/>
      <c r="J32" s="431">
        <f t="shared" si="2"/>
        <v>0</v>
      </c>
      <c r="K32" s="8">
        <f t="shared" si="3"/>
        <v>0</v>
      </c>
      <c r="L32" s="62"/>
      <c r="M32" s="62">
        <f>M31+K32-L32</f>
        <v>167191.79139999999</v>
      </c>
      <c r="N32" s="35"/>
      <c r="O32" s="63"/>
    </row>
    <row r="33" spans="1:15">
      <c r="A33" s="40">
        <v>29</v>
      </c>
      <c r="B33" s="304">
        <v>46325</v>
      </c>
      <c r="C33" s="61"/>
      <c r="D33" s="65"/>
      <c r="E33" s="448"/>
      <c r="F33" s="448"/>
      <c r="G33" s="132">
        <f t="shared" si="1"/>
        <v>0</v>
      </c>
      <c r="H33" s="142"/>
      <c r="I33" s="143"/>
      <c r="J33" s="431">
        <f t="shared" si="2"/>
        <v>0</v>
      </c>
      <c r="K33" s="8">
        <f t="shared" si="3"/>
        <v>0</v>
      </c>
      <c r="L33" s="62"/>
      <c r="M33" s="62">
        <f>M32+K33-L33</f>
        <v>167191.79139999999</v>
      </c>
      <c r="N33" s="35"/>
      <c r="O33" s="63"/>
    </row>
    <row r="34" spans="1:15">
      <c r="A34" s="40">
        <v>30</v>
      </c>
      <c r="B34" s="304">
        <v>46326</v>
      </c>
      <c r="C34" s="61"/>
      <c r="D34" s="65"/>
      <c r="E34" s="142"/>
      <c r="F34" s="142"/>
      <c r="G34" s="132">
        <f t="shared" si="1"/>
        <v>0</v>
      </c>
      <c r="H34" s="142"/>
      <c r="I34" s="143"/>
      <c r="J34" s="431">
        <f t="shared" si="2"/>
        <v>0</v>
      </c>
      <c r="K34" s="8">
        <f t="shared" si="3"/>
        <v>0</v>
      </c>
      <c r="L34" s="62"/>
      <c r="M34" s="62">
        <f>M33+K34-L34</f>
        <v>167191.79139999999</v>
      </c>
      <c r="N34" s="35"/>
      <c r="O34" s="63"/>
    </row>
    <row r="35" spans="1:15">
      <c r="A35" s="40">
        <v>31</v>
      </c>
      <c r="B35" s="304"/>
      <c r="C35" s="61"/>
      <c r="D35" s="65"/>
      <c r="E35" s="142"/>
      <c r="F35" s="142"/>
      <c r="G35" s="132">
        <f t="shared" si="1"/>
        <v>0</v>
      </c>
      <c r="H35" s="142"/>
      <c r="I35" s="143"/>
      <c r="J35" s="431">
        <f t="shared" si="2"/>
        <v>0</v>
      </c>
      <c r="K35" s="8">
        <f t="shared" si="3"/>
        <v>0</v>
      </c>
      <c r="L35" s="62"/>
      <c r="M35" s="62">
        <f>M34+K35-L35</f>
        <v>167191.79139999999</v>
      </c>
      <c r="N35" s="35"/>
      <c r="O35" s="63"/>
    </row>
    <row r="36" spans="1:15">
      <c r="A36" s="149"/>
      <c r="B36" s="149"/>
      <c r="C36" s="149"/>
      <c r="D36" s="149"/>
      <c r="E36" s="150">
        <f>SUM(E4:E35)</f>
        <v>336</v>
      </c>
      <c r="F36" s="150"/>
      <c r="G36" s="150">
        <f>SUM(G4:G35)</f>
        <v>33479.040000000001</v>
      </c>
      <c r="H36" s="150">
        <f>SUM(H4:H35)</f>
        <v>60.730000000000004</v>
      </c>
      <c r="I36" s="150"/>
      <c r="J36" s="150">
        <f>SUM(J4:J35)</f>
        <v>6787.7921000000006</v>
      </c>
      <c r="K36" s="432">
        <f>SUM(K4:K35)</f>
        <v>40266.8321</v>
      </c>
      <c r="L36" s="150">
        <f>SUM(L4:L35)</f>
        <v>0</v>
      </c>
      <c r="M36" s="150"/>
      <c r="N36" s="433"/>
      <c r="O36" s="53"/>
    </row>
    <row r="37" spans="1:15">
      <c r="A37" s="66"/>
      <c r="B37" s="67"/>
      <c r="C37" s="66"/>
      <c r="D37" s="66"/>
      <c r="E37" s="68"/>
      <c r="F37" s="68"/>
      <c r="G37" s="68"/>
      <c r="H37" s="68"/>
      <c r="I37" s="68"/>
      <c r="J37" s="69"/>
      <c r="K37" s="69"/>
      <c r="L37" s="69"/>
      <c r="M37" s="69"/>
      <c r="N37" s="68"/>
      <c r="O37" s="63"/>
    </row>
    <row r="38" spans="1:15"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O42" s="63"/>
    </row>
    <row r="43" spans="1:15">
      <c r="A43" s="63"/>
      <c r="B43" s="53"/>
      <c r="C43" s="63"/>
      <c r="D43" s="63"/>
      <c r="E43" s="63"/>
      <c r="F43" s="63"/>
      <c r="G43" s="70"/>
      <c r="H43" s="63"/>
      <c r="I43" s="63"/>
      <c r="J43" s="53"/>
      <c r="K43" s="53"/>
      <c r="L43" s="53"/>
      <c r="M43" s="53"/>
      <c r="N43" s="63"/>
      <c r="O43" s="68"/>
    </row>
    <row r="44" spans="1:15">
      <c r="A44" s="63"/>
      <c r="B44" s="624"/>
      <c r="C44" s="624"/>
      <c r="D44" s="624"/>
      <c r="E44" s="624"/>
      <c r="F44" s="63"/>
      <c r="G44" s="63"/>
      <c r="H44" s="63"/>
      <c r="I44" s="624"/>
      <c r="J44" s="624"/>
      <c r="K44" s="624"/>
      <c r="L44" s="624"/>
      <c r="M44" s="624"/>
      <c r="N44" s="624"/>
      <c r="O44" s="68"/>
    </row>
    <row r="45" spans="1:15">
      <c r="A45" s="63"/>
      <c r="B45" s="53"/>
      <c r="C45" s="63"/>
      <c r="D45" s="63"/>
      <c r="E45" s="63"/>
      <c r="F45" s="63"/>
      <c r="G45" s="63"/>
      <c r="H45" s="63"/>
      <c r="I45" s="63"/>
      <c r="J45" s="53"/>
      <c r="K45" s="53"/>
      <c r="L45" s="53"/>
      <c r="M45" s="53"/>
      <c r="N45" s="63"/>
      <c r="O45" s="68"/>
    </row>
  </sheetData>
  <protectedRanges>
    <protectedRange sqref="E32:E33" name="Range1"/>
    <protectedRange sqref="E29:E30" name="Range1_1"/>
  </protectedRanges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workbookViewId="0">
      <pane ySplit="3" topLeftCell="A9" activePane="bottomLeft" state="frozen"/>
      <selection pane="bottomLeft" activeCell="L18" sqref="L18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19" bestFit="1" customWidth="1"/>
  </cols>
  <sheetData>
    <row r="1" spans="1:16" ht="15.75">
      <c r="A1" s="627" t="s">
        <v>142</v>
      </c>
      <c r="B1" s="627"/>
      <c r="C1" s="627"/>
      <c r="D1" s="627"/>
      <c r="E1" s="627"/>
      <c r="F1" s="627"/>
      <c r="G1" s="627"/>
      <c r="H1" s="627"/>
      <c r="I1" s="627"/>
      <c r="J1" s="645"/>
      <c r="K1" s="645"/>
      <c r="L1" s="645"/>
      <c r="M1" s="627"/>
      <c r="N1" s="627"/>
    </row>
    <row r="2" spans="1:16" ht="30.75">
      <c r="A2" s="92" t="s">
        <v>0</v>
      </c>
      <c r="B2" s="93" t="s">
        <v>167</v>
      </c>
      <c r="C2" s="93" t="s">
        <v>168</v>
      </c>
      <c r="D2" s="93" t="s">
        <v>169</v>
      </c>
      <c r="E2" s="93" t="s">
        <v>170</v>
      </c>
      <c r="F2" s="93" t="s">
        <v>171</v>
      </c>
      <c r="G2" s="172" t="s">
        <v>172</v>
      </c>
      <c r="H2" s="93" t="s">
        <v>173</v>
      </c>
      <c r="I2" s="502" t="s">
        <v>171</v>
      </c>
      <c r="J2" s="501" t="s">
        <v>172</v>
      </c>
      <c r="K2" s="58" t="s">
        <v>174</v>
      </c>
      <c r="L2" s="79" t="s">
        <v>175</v>
      </c>
      <c r="M2" s="504" t="s">
        <v>190</v>
      </c>
      <c r="N2" s="95" t="s">
        <v>177</v>
      </c>
    </row>
    <row r="3" spans="1:16">
      <c r="A3" s="144"/>
      <c r="B3" s="14"/>
      <c r="C3" s="620" t="s">
        <v>178</v>
      </c>
      <c r="D3" s="622"/>
      <c r="E3" s="14"/>
      <c r="F3" s="14"/>
      <c r="G3" s="173"/>
      <c r="H3" s="14"/>
      <c r="I3" s="91"/>
      <c r="J3" s="173"/>
      <c r="K3" s="314">
        <v>458335.93710000161</v>
      </c>
      <c r="L3" s="314"/>
      <c r="M3" s="297">
        <v>458335.93710000161</v>
      </c>
      <c r="N3" s="14"/>
      <c r="P3" s="19"/>
    </row>
    <row r="4" spans="1:16">
      <c r="A4" s="184">
        <v>1</v>
      </c>
      <c r="B4" s="207">
        <v>46296</v>
      </c>
      <c r="C4" s="129"/>
      <c r="D4" s="129"/>
      <c r="E4" s="408">
        <v>140.49</v>
      </c>
      <c r="F4" s="409">
        <v>99.29</v>
      </c>
      <c r="G4" s="239">
        <f t="shared" ref="G4:G38" si="0">E4*F4</f>
        <v>13949.252100000002</v>
      </c>
      <c r="H4" s="231"/>
      <c r="I4" s="503"/>
      <c r="J4" s="182">
        <f>H4*I4</f>
        <v>0</v>
      </c>
      <c r="K4" s="197">
        <f>G4+J4</f>
        <v>13949.252100000002</v>
      </c>
      <c r="L4" s="14"/>
      <c r="M4" s="282">
        <f>M3+K4-L4</f>
        <v>472285.18920000159</v>
      </c>
      <c r="N4" s="129"/>
      <c r="O4" s="19"/>
    </row>
    <row r="5" spans="1:16">
      <c r="A5" s="40">
        <v>2</v>
      </c>
      <c r="B5" s="207">
        <v>46297</v>
      </c>
      <c r="C5" s="14"/>
      <c r="D5" s="14"/>
      <c r="E5" s="408">
        <v>700</v>
      </c>
      <c r="F5" s="409">
        <v>99.29</v>
      </c>
      <c r="G5" s="239">
        <f t="shared" ref="G5:G39" si="1">E5*F5</f>
        <v>69503</v>
      </c>
      <c r="H5" s="231"/>
      <c r="I5" s="503"/>
      <c r="J5" s="182">
        <f t="shared" ref="J5:J39" si="2">H5*I5</f>
        <v>0</v>
      </c>
      <c r="K5" s="197">
        <f t="shared" ref="K5:K41" si="3">G5+J5</f>
        <v>69503</v>
      </c>
      <c r="L5" s="14"/>
      <c r="M5" s="282">
        <f t="shared" ref="M5:M41" si="4">M4+K5-L5</f>
        <v>541788.18920000154</v>
      </c>
      <c r="N5" s="14"/>
    </row>
    <row r="6" spans="1:16">
      <c r="A6" s="40">
        <v>3</v>
      </c>
      <c r="B6" s="207">
        <v>46298</v>
      </c>
      <c r="C6" s="14"/>
      <c r="D6" s="14"/>
      <c r="E6" s="231"/>
      <c r="F6" s="409"/>
      <c r="G6" s="239">
        <f t="shared" si="1"/>
        <v>0</v>
      </c>
      <c r="H6" s="231"/>
      <c r="I6" s="503"/>
      <c r="J6" s="182">
        <f t="shared" si="2"/>
        <v>0</v>
      </c>
      <c r="K6" s="197">
        <f t="shared" si="3"/>
        <v>0</v>
      </c>
      <c r="L6" s="14"/>
      <c r="M6" s="282">
        <f t="shared" si="4"/>
        <v>541788.18920000154</v>
      </c>
      <c r="N6" s="14"/>
    </row>
    <row r="7" spans="1:16">
      <c r="A7" s="184">
        <v>4</v>
      </c>
      <c r="B7" s="207">
        <v>46299</v>
      </c>
      <c r="C7" s="14"/>
      <c r="D7" s="14"/>
      <c r="E7" s="231"/>
      <c r="F7" s="409"/>
      <c r="G7" s="239">
        <f t="shared" si="1"/>
        <v>0</v>
      </c>
      <c r="H7" s="231"/>
      <c r="I7" s="503"/>
      <c r="J7" s="182">
        <f t="shared" si="2"/>
        <v>0</v>
      </c>
      <c r="K7" s="197">
        <f t="shared" si="3"/>
        <v>0</v>
      </c>
      <c r="L7" s="14"/>
      <c r="M7" s="282">
        <f t="shared" si="4"/>
        <v>541788.18920000154</v>
      </c>
      <c r="N7" s="14"/>
    </row>
    <row r="8" spans="1:16">
      <c r="A8" s="184">
        <v>5</v>
      </c>
      <c r="B8" s="207">
        <v>46300</v>
      </c>
      <c r="C8" s="14"/>
      <c r="D8" s="14"/>
      <c r="E8" s="231">
        <v>218.86</v>
      </c>
      <c r="F8" s="409">
        <v>99.29</v>
      </c>
      <c r="G8" s="239">
        <f t="shared" si="1"/>
        <v>21730.609400000001</v>
      </c>
      <c r="H8" s="231"/>
      <c r="I8" s="503"/>
      <c r="J8" s="182">
        <f t="shared" si="2"/>
        <v>0</v>
      </c>
      <c r="K8" s="197">
        <f t="shared" si="3"/>
        <v>21730.609400000001</v>
      </c>
      <c r="L8" s="14"/>
      <c r="M8" s="282">
        <f t="shared" si="4"/>
        <v>563518.79860000149</v>
      </c>
      <c r="N8" s="14"/>
    </row>
    <row r="9" spans="1:16">
      <c r="A9" s="40">
        <v>6</v>
      </c>
      <c r="B9" s="207">
        <v>46301</v>
      </c>
      <c r="C9" s="14"/>
      <c r="D9" s="14"/>
      <c r="E9" s="231"/>
      <c r="F9" s="409"/>
      <c r="G9" s="239">
        <f t="shared" si="1"/>
        <v>0</v>
      </c>
      <c r="H9" s="231"/>
      <c r="I9" s="503"/>
      <c r="J9" s="182">
        <f t="shared" si="2"/>
        <v>0</v>
      </c>
      <c r="K9" s="197">
        <f t="shared" si="3"/>
        <v>0</v>
      </c>
      <c r="L9" s="14"/>
      <c r="M9" s="282">
        <f t="shared" si="4"/>
        <v>563518.79860000149</v>
      </c>
      <c r="N9" s="14"/>
    </row>
    <row r="10" spans="1:16">
      <c r="A10" s="40">
        <v>7</v>
      </c>
      <c r="B10" s="207">
        <v>46302</v>
      </c>
      <c r="C10" s="14"/>
      <c r="D10" s="14"/>
      <c r="E10" s="231"/>
      <c r="F10" s="409"/>
      <c r="G10" s="239">
        <f t="shared" si="1"/>
        <v>0</v>
      </c>
      <c r="H10" s="231"/>
      <c r="I10" s="239"/>
      <c r="J10" s="231">
        <f t="shared" si="2"/>
        <v>0</v>
      </c>
      <c r="K10" s="239">
        <f t="shared" si="3"/>
        <v>0</v>
      </c>
      <c r="L10" s="129"/>
      <c r="M10" s="282">
        <f t="shared" si="4"/>
        <v>563518.79860000149</v>
      </c>
      <c r="N10" s="14"/>
    </row>
    <row r="11" spans="1:16">
      <c r="A11" s="184">
        <v>8</v>
      </c>
      <c r="B11" s="207">
        <v>46303</v>
      </c>
      <c r="C11" s="14"/>
      <c r="D11" s="14"/>
      <c r="E11" s="231"/>
      <c r="F11" s="409"/>
      <c r="G11" s="239">
        <f t="shared" si="1"/>
        <v>0</v>
      </c>
      <c r="H11" s="231"/>
      <c r="I11" s="239"/>
      <c r="J11" s="231">
        <f t="shared" si="2"/>
        <v>0</v>
      </c>
      <c r="K11" s="239">
        <f t="shared" si="3"/>
        <v>0</v>
      </c>
      <c r="L11" s="129"/>
      <c r="M11" s="282">
        <f t="shared" si="4"/>
        <v>563518.79860000149</v>
      </c>
      <c r="N11" s="14"/>
    </row>
    <row r="12" spans="1:16">
      <c r="A12" s="184">
        <v>9</v>
      </c>
      <c r="B12" s="207">
        <v>46304</v>
      </c>
      <c r="C12" s="14"/>
      <c r="D12" s="14"/>
      <c r="E12" s="231"/>
      <c r="F12" s="409"/>
      <c r="G12" s="239">
        <f t="shared" si="1"/>
        <v>0</v>
      </c>
      <c r="H12" s="231"/>
      <c r="I12" s="239"/>
      <c r="J12" s="231">
        <f t="shared" si="2"/>
        <v>0</v>
      </c>
      <c r="K12" s="239">
        <f t="shared" si="3"/>
        <v>0</v>
      </c>
      <c r="L12" s="129"/>
      <c r="M12" s="282">
        <f t="shared" si="4"/>
        <v>563518.79860000149</v>
      </c>
      <c r="N12" s="14"/>
      <c r="P12" s="19"/>
    </row>
    <row r="13" spans="1:16">
      <c r="A13" s="40">
        <v>10</v>
      </c>
      <c r="B13" s="207">
        <v>46305</v>
      </c>
      <c r="C13" s="14"/>
      <c r="D13" s="14"/>
      <c r="E13" s="231">
        <v>150</v>
      </c>
      <c r="F13" s="409">
        <v>99.29</v>
      </c>
      <c r="G13" s="239">
        <f t="shared" si="1"/>
        <v>14893.500000000002</v>
      </c>
      <c r="H13" s="231"/>
      <c r="I13" s="239"/>
      <c r="J13" s="231">
        <f t="shared" si="2"/>
        <v>0</v>
      </c>
      <c r="K13" s="239">
        <f t="shared" si="3"/>
        <v>14893.500000000002</v>
      </c>
      <c r="L13" s="129">
        <v>250000</v>
      </c>
      <c r="M13" s="282">
        <f t="shared" si="4"/>
        <v>328412.29860000149</v>
      </c>
      <c r="N13" s="14"/>
    </row>
    <row r="14" spans="1:16">
      <c r="A14" s="40">
        <v>11</v>
      </c>
      <c r="B14" s="207">
        <v>46306</v>
      </c>
      <c r="C14" s="14"/>
      <c r="D14" s="14"/>
      <c r="E14" s="231">
        <v>143.43</v>
      </c>
      <c r="F14" s="409">
        <v>99.29</v>
      </c>
      <c r="G14" s="239">
        <f t="shared" si="1"/>
        <v>14241.164700000001</v>
      </c>
      <c r="H14" s="231"/>
      <c r="I14" s="239"/>
      <c r="J14" s="231">
        <f t="shared" si="2"/>
        <v>0</v>
      </c>
      <c r="K14" s="239">
        <f t="shared" si="3"/>
        <v>14241.164700000001</v>
      </c>
      <c r="L14" s="129"/>
      <c r="M14" s="282">
        <f t="shared" si="4"/>
        <v>342653.46330000152</v>
      </c>
      <c r="N14" s="14"/>
    </row>
    <row r="15" spans="1:16">
      <c r="A15" s="184">
        <v>12</v>
      </c>
      <c r="B15" s="207">
        <v>46307</v>
      </c>
      <c r="C15" s="14"/>
      <c r="D15" s="14"/>
      <c r="E15" s="231">
        <v>50.4</v>
      </c>
      <c r="F15" s="277">
        <v>99.29</v>
      </c>
      <c r="G15" s="239">
        <f t="shared" si="1"/>
        <v>5004.2160000000003</v>
      </c>
      <c r="H15" s="231"/>
      <c r="I15" s="239"/>
      <c r="J15" s="231">
        <f t="shared" si="2"/>
        <v>0</v>
      </c>
      <c r="K15" s="239">
        <f t="shared" si="3"/>
        <v>5004.2160000000003</v>
      </c>
      <c r="L15" s="129"/>
      <c r="M15" s="282">
        <f t="shared" si="4"/>
        <v>347657.67930000153</v>
      </c>
      <c r="N15" s="14"/>
    </row>
    <row r="16" spans="1:16">
      <c r="A16" s="184">
        <v>13</v>
      </c>
      <c r="B16" s="207">
        <v>46308</v>
      </c>
      <c r="C16" s="14"/>
      <c r="D16" s="14"/>
      <c r="E16" s="231">
        <v>100</v>
      </c>
      <c r="F16" s="409">
        <v>99.29</v>
      </c>
      <c r="G16" s="239">
        <f t="shared" si="1"/>
        <v>9929</v>
      </c>
      <c r="H16" s="231"/>
      <c r="I16" s="239"/>
      <c r="J16" s="231">
        <f t="shared" si="2"/>
        <v>0</v>
      </c>
      <c r="K16" s="239">
        <f t="shared" si="3"/>
        <v>9929</v>
      </c>
      <c r="L16" s="129"/>
      <c r="M16" s="282">
        <f t="shared" si="4"/>
        <v>357586.67930000153</v>
      </c>
      <c r="N16" s="14"/>
    </row>
    <row r="17" spans="1:16">
      <c r="A17" s="40">
        <v>14</v>
      </c>
      <c r="B17" s="207">
        <v>46309</v>
      </c>
      <c r="C17" s="14"/>
      <c r="D17" s="14"/>
      <c r="E17" s="231">
        <v>620.61</v>
      </c>
      <c r="F17" s="409">
        <v>99.29</v>
      </c>
      <c r="G17" s="239">
        <f t="shared" si="1"/>
        <v>61620.366900000008</v>
      </c>
      <c r="H17" s="231">
        <v>5</v>
      </c>
      <c r="I17" s="239">
        <v>111.38</v>
      </c>
      <c r="J17" s="231">
        <f t="shared" si="2"/>
        <v>556.9</v>
      </c>
      <c r="K17" s="239">
        <f t="shared" si="3"/>
        <v>62177.26690000001</v>
      </c>
      <c r="L17" s="129"/>
      <c r="M17" s="282">
        <f t="shared" si="4"/>
        <v>419763.94620000152</v>
      </c>
      <c r="N17" s="14"/>
    </row>
    <row r="18" spans="1:16">
      <c r="A18" s="40">
        <v>15</v>
      </c>
      <c r="B18" s="207">
        <v>46310</v>
      </c>
      <c r="C18" s="14"/>
      <c r="D18" s="14"/>
      <c r="E18" s="231"/>
      <c r="F18" s="277"/>
      <c r="G18" s="239">
        <f t="shared" si="1"/>
        <v>0</v>
      </c>
      <c r="H18" s="231"/>
      <c r="I18" s="239"/>
      <c r="J18" s="231">
        <f t="shared" si="2"/>
        <v>0</v>
      </c>
      <c r="K18" s="239">
        <f t="shared" si="3"/>
        <v>0</v>
      </c>
      <c r="L18" s="129">
        <v>300000</v>
      </c>
      <c r="M18" s="282">
        <f t="shared" si="4"/>
        <v>119763.94620000152</v>
      </c>
      <c r="N18" s="14"/>
    </row>
    <row r="19" spans="1:16">
      <c r="A19" s="184">
        <v>16</v>
      </c>
      <c r="B19" s="207">
        <v>46311</v>
      </c>
      <c r="C19" s="14"/>
      <c r="D19" s="14"/>
      <c r="E19" s="231"/>
      <c r="F19" s="277"/>
      <c r="G19" s="239">
        <f t="shared" si="1"/>
        <v>0</v>
      </c>
      <c r="H19" s="231"/>
      <c r="I19" s="239"/>
      <c r="J19" s="231">
        <f t="shared" si="2"/>
        <v>0</v>
      </c>
      <c r="K19" s="239">
        <f t="shared" si="3"/>
        <v>0</v>
      </c>
      <c r="L19" s="129"/>
      <c r="M19" s="282">
        <f t="shared" si="4"/>
        <v>119763.94620000152</v>
      </c>
      <c r="N19" s="14"/>
      <c r="P19" s="248"/>
    </row>
    <row r="20" spans="1:16">
      <c r="A20" s="184">
        <v>17</v>
      </c>
      <c r="B20" s="207">
        <v>46312</v>
      </c>
      <c r="C20" s="14"/>
      <c r="D20" s="14"/>
      <c r="E20" s="231"/>
      <c r="F20" s="277"/>
      <c r="G20" s="239">
        <f t="shared" si="1"/>
        <v>0</v>
      </c>
      <c r="H20" s="231"/>
      <c r="I20" s="239"/>
      <c r="J20" s="231">
        <f t="shared" si="2"/>
        <v>0</v>
      </c>
      <c r="K20" s="239">
        <f t="shared" si="3"/>
        <v>0</v>
      </c>
      <c r="L20" s="129"/>
      <c r="M20" s="282">
        <f t="shared" si="4"/>
        <v>119763.94620000152</v>
      </c>
      <c r="N20" s="14"/>
    </row>
    <row r="21" spans="1:16">
      <c r="A21" s="40">
        <v>18</v>
      </c>
      <c r="B21" s="207">
        <v>46313</v>
      </c>
      <c r="C21" s="14"/>
      <c r="D21" s="14"/>
      <c r="E21" s="231"/>
      <c r="F21" s="277"/>
      <c r="G21" s="239">
        <f t="shared" si="1"/>
        <v>0</v>
      </c>
      <c r="H21" s="239"/>
      <c r="I21" s="231"/>
      <c r="J21" s="231">
        <f t="shared" si="2"/>
        <v>0</v>
      </c>
      <c r="K21" s="239">
        <f t="shared" si="3"/>
        <v>0</v>
      </c>
      <c r="L21" s="129"/>
      <c r="M21" s="282">
        <f>M20+K21-L21</f>
        <v>119763.94620000152</v>
      </c>
      <c r="N21" s="14"/>
      <c r="P21" s="19"/>
    </row>
    <row r="22" spans="1:16">
      <c r="A22" s="40">
        <v>19</v>
      </c>
      <c r="B22" s="207">
        <v>46314</v>
      </c>
      <c r="C22" s="14"/>
      <c r="D22" s="14"/>
      <c r="E22" s="231"/>
      <c r="F22" s="277"/>
      <c r="G22" s="239">
        <f>E22*F22</f>
        <v>0</v>
      </c>
      <c r="H22" s="231"/>
      <c r="I22" s="231"/>
      <c r="J22" s="231">
        <f t="shared" si="2"/>
        <v>0</v>
      </c>
      <c r="K22" s="239">
        <f t="shared" si="3"/>
        <v>0</v>
      </c>
      <c r="L22" s="129"/>
      <c r="M22" s="282">
        <f t="shared" si="4"/>
        <v>119763.94620000152</v>
      </c>
      <c r="N22" s="14"/>
    </row>
    <row r="23" spans="1:16">
      <c r="A23" s="184">
        <v>20</v>
      </c>
      <c r="B23" s="207">
        <v>46315</v>
      </c>
      <c r="C23" s="14"/>
      <c r="D23" s="14"/>
      <c r="E23" s="231"/>
      <c r="F23" s="277"/>
      <c r="G23" s="239">
        <f t="shared" si="1"/>
        <v>0</v>
      </c>
      <c r="H23" s="231"/>
      <c r="I23" s="231"/>
      <c r="J23" s="231">
        <f t="shared" si="2"/>
        <v>0</v>
      </c>
      <c r="K23" s="239">
        <f t="shared" si="3"/>
        <v>0</v>
      </c>
      <c r="L23" s="129"/>
      <c r="M23" s="282">
        <f t="shared" si="4"/>
        <v>119763.94620000152</v>
      </c>
      <c r="N23" s="14"/>
    </row>
    <row r="24" spans="1:16">
      <c r="A24" s="184">
        <v>21</v>
      </c>
      <c r="B24" s="207">
        <v>46316</v>
      </c>
      <c r="C24" s="14"/>
      <c r="D24" s="14"/>
      <c r="E24" s="231"/>
      <c r="F24" s="277"/>
      <c r="G24" s="239">
        <f t="shared" si="1"/>
        <v>0</v>
      </c>
      <c r="H24" s="231"/>
      <c r="I24" s="231"/>
      <c r="J24" s="231">
        <f t="shared" si="2"/>
        <v>0</v>
      </c>
      <c r="K24" s="239">
        <f t="shared" si="3"/>
        <v>0</v>
      </c>
      <c r="L24" s="129"/>
      <c r="M24" s="282">
        <f t="shared" si="4"/>
        <v>119763.94620000152</v>
      </c>
      <c r="N24" s="14"/>
    </row>
    <row r="25" spans="1:16">
      <c r="A25" s="40">
        <v>22</v>
      </c>
      <c r="B25" s="207">
        <v>46317</v>
      </c>
      <c r="C25" s="14"/>
      <c r="D25" s="14"/>
      <c r="E25" s="231"/>
      <c r="F25" s="277"/>
      <c r="G25" s="239">
        <f t="shared" si="1"/>
        <v>0</v>
      </c>
      <c r="H25" s="231"/>
      <c r="I25" s="239"/>
      <c r="J25" s="231">
        <f>H25*I25</f>
        <v>0</v>
      </c>
      <c r="K25" s="239">
        <f t="shared" si="3"/>
        <v>0</v>
      </c>
      <c r="L25" s="129"/>
      <c r="M25" s="282">
        <f t="shared" si="4"/>
        <v>119763.94620000152</v>
      </c>
      <c r="N25" s="14"/>
      <c r="P25" s="19"/>
    </row>
    <row r="26" spans="1:16">
      <c r="A26" s="40">
        <v>23</v>
      </c>
      <c r="B26" s="207">
        <v>46318</v>
      </c>
      <c r="C26" s="14"/>
      <c r="D26" s="14"/>
      <c r="E26" s="231"/>
      <c r="F26" s="277"/>
      <c r="G26" s="239">
        <f t="shared" si="1"/>
        <v>0</v>
      </c>
      <c r="H26" s="231"/>
      <c r="I26" s="239"/>
      <c r="J26" s="231">
        <f t="shared" si="2"/>
        <v>0</v>
      </c>
      <c r="K26" s="239">
        <f t="shared" si="3"/>
        <v>0</v>
      </c>
      <c r="L26" s="129"/>
      <c r="M26" s="282">
        <f t="shared" si="4"/>
        <v>119763.94620000152</v>
      </c>
      <c r="N26" s="14"/>
    </row>
    <row r="27" spans="1:16">
      <c r="A27" s="184">
        <v>24</v>
      </c>
      <c r="B27" s="207">
        <v>46319</v>
      </c>
      <c r="C27" s="14"/>
      <c r="D27" s="14"/>
      <c r="E27" s="231"/>
      <c r="F27" s="277"/>
      <c r="G27" s="239">
        <f t="shared" si="1"/>
        <v>0</v>
      </c>
      <c r="H27" s="231"/>
      <c r="I27" s="231"/>
      <c r="J27" s="231">
        <f t="shared" si="2"/>
        <v>0</v>
      </c>
      <c r="K27" s="239">
        <f t="shared" si="3"/>
        <v>0</v>
      </c>
      <c r="L27" s="129"/>
      <c r="M27" s="282">
        <f t="shared" si="4"/>
        <v>119763.94620000152</v>
      </c>
      <c r="N27" s="14"/>
    </row>
    <row r="28" spans="1:16">
      <c r="A28" s="184">
        <v>25</v>
      </c>
      <c r="B28" s="207">
        <v>46320</v>
      </c>
      <c r="C28" s="14"/>
      <c r="D28" s="14"/>
      <c r="E28" s="231"/>
      <c r="F28" s="277"/>
      <c r="G28" s="239">
        <f t="shared" si="1"/>
        <v>0</v>
      </c>
      <c r="H28" s="231"/>
      <c r="I28" s="231"/>
      <c r="J28" s="231">
        <f t="shared" si="2"/>
        <v>0</v>
      </c>
      <c r="K28" s="239">
        <f t="shared" si="3"/>
        <v>0</v>
      </c>
      <c r="L28" s="129"/>
      <c r="M28" s="282">
        <f t="shared" si="4"/>
        <v>119763.94620000152</v>
      </c>
      <c r="N28" s="14"/>
    </row>
    <row r="29" spans="1:16">
      <c r="A29" s="40">
        <v>26</v>
      </c>
      <c r="B29" s="207">
        <v>46321</v>
      </c>
      <c r="C29" s="14"/>
      <c r="D29" s="14"/>
      <c r="E29" s="548"/>
      <c r="F29" s="409"/>
      <c r="G29" s="239">
        <f t="shared" si="1"/>
        <v>0</v>
      </c>
      <c r="H29" s="231"/>
      <c r="I29" s="231"/>
      <c r="J29" s="231">
        <f t="shared" si="2"/>
        <v>0</v>
      </c>
      <c r="K29" s="239">
        <f t="shared" si="3"/>
        <v>0</v>
      </c>
      <c r="L29" s="129"/>
      <c r="M29" s="282">
        <f t="shared" si="4"/>
        <v>119763.94620000152</v>
      </c>
      <c r="N29" s="14"/>
    </row>
    <row r="30" spans="1:16">
      <c r="A30" s="40">
        <v>27</v>
      </c>
      <c r="B30" s="207">
        <v>46322</v>
      </c>
      <c r="C30" s="14"/>
      <c r="D30" s="14"/>
      <c r="E30" s="548"/>
      <c r="F30" s="409"/>
      <c r="G30" s="239">
        <f t="shared" si="1"/>
        <v>0</v>
      </c>
      <c r="H30" s="231"/>
      <c r="I30" s="231"/>
      <c r="J30" s="231">
        <f t="shared" si="2"/>
        <v>0</v>
      </c>
      <c r="K30" s="239">
        <f t="shared" si="3"/>
        <v>0</v>
      </c>
      <c r="L30" s="129"/>
      <c r="M30" s="282">
        <f t="shared" si="4"/>
        <v>119763.94620000152</v>
      </c>
      <c r="N30" s="14"/>
      <c r="P30" s="19"/>
    </row>
    <row r="31" spans="1:16">
      <c r="A31" s="184">
        <v>28</v>
      </c>
      <c r="B31" s="207">
        <v>46323</v>
      </c>
      <c r="C31" s="14"/>
      <c r="D31" s="14"/>
      <c r="E31" s="231"/>
      <c r="F31" s="409"/>
      <c r="G31" s="239">
        <f t="shared" si="1"/>
        <v>0</v>
      </c>
      <c r="H31" s="231"/>
      <c r="I31" s="239"/>
      <c r="J31" s="231">
        <f t="shared" si="2"/>
        <v>0</v>
      </c>
      <c r="K31" s="239">
        <f t="shared" si="3"/>
        <v>0</v>
      </c>
      <c r="L31" s="129"/>
      <c r="M31" s="282">
        <f t="shared" si="4"/>
        <v>119763.94620000152</v>
      </c>
      <c r="N31" s="14"/>
    </row>
    <row r="32" spans="1:16">
      <c r="A32" s="184">
        <v>29</v>
      </c>
      <c r="B32" s="207">
        <v>46324</v>
      </c>
      <c r="C32" s="14"/>
      <c r="D32" s="14"/>
      <c r="E32" s="231"/>
      <c r="F32" s="277"/>
      <c r="G32" s="239">
        <f t="shared" si="1"/>
        <v>0</v>
      </c>
      <c r="H32" s="231"/>
      <c r="I32" s="239"/>
      <c r="J32" s="231">
        <f t="shared" si="2"/>
        <v>0</v>
      </c>
      <c r="K32" s="239">
        <f t="shared" si="3"/>
        <v>0</v>
      </c>
      <c r="L32" s="129"/>
      <c r="M32" s="282">
        <f t="shared" si="4"/>
        <v>119763.94620000152</v>
      </c>
      <c r="N32" s="14"/>
    </row>
    <row r="33" spans="1:16">
      <c r="A33" s="40">
        <v>30</v>
      </c>
      <c r="B33" s="207">
        <v>46325</v>
      </c>
      <c r="C33" s="88"/>
      <c r="D33" s="88"/>
      <c r="E33" s="231"/>
      <c r="F33" s="277"/>
      <c r="G33" s="239">
        <f t="shared" si="1"/>
        <v>0</v>
      </c>
      <c r="H33" s="231"/>
      <c r="I33" s="239"/>
      <c r="J33" s="231">
        <f t="shared" si="2"/>
        <v>0</v>
      </c>
      <c r="K33" s="239">
        <f t="shared" si="3"/>
        <v>0</v>
      </c>
      <c r="L33" s="129"/>
      <c r="M33" s="282">
        <f t="shared" si="4"/>
        <v>119763.94620000152</v>
      </c>
      <c r="N33" s="88"/>
    </row>
    <row r="34" spans="1:16">
      <c r="A34" s="40">
        <v>31</v>
      </c>
      <c r="B34" s="207">
        <v>46326</v>
      </c>
      <c r="C34" s="14"/>
      <c r="D34" s="14"/>
      <c r="E34" s="231"/>
      <c r="F34" s="277"/>
      <c r="G34" s="239">
        <f t="shared" si="1"/>
        <v>0</v>
      </c>
      <c r="H34" s="231"/>
      <c r="I34" s="239"/>
      <c r="J34" s="231">
        <f t="shared" si="2"/>
        <v>0</v>
      </c>
      <c r="K34" s="239">
        <f t="shared" si="3"/>
        <v>0</v>
      </c>
      <c r="L34" s="129"/>
      <c r="M34" s="282">
        <f t="shared" si="4"/>
        <v>119763.94620000152</v>
      </c>
      <c r="N34" s="14"/>
    </row>
    <row r="35" spans="1:16">
      <c r="A35" s="184">
        <v>32</v>
      </c>
      <c r="B35" s="207"/>
      <c r="C35" s="14"/>
      <c r="D35" s="14"/>
      <c r="E35" s="231"/>
      <c r="F35" s="277"/>
      <c r="G35" s="239">
        <f t="shared" si="1"/>
        <v>0</v>
      </c>
      <c r="H35" s="231"/>
      <c r="I35" s="239"/>
      <c r="J35" s="231">
        <f t="shared" si="2"/>
        <v>0</v>
      </c>
      <c r="K35" s="239">
        <f t="shared" si="3"/>
        <v>0</v>
      </c>
      <c r="L35" s="129"/>
      <c r="M35" s="282">
        <f t="shared" si="4"/>
        <v>119763.94620000152</v>
      </c>
      <c r="N35" s="14"/>
    </row>
    <row r="36" spans="1:16">
      <c r="A36" s="184">
        <v>33</v>
      </c>
      <c r="B36" s="207"/>
      <c r="C36" s="14"/>
      <c r="D36" s="14"/>
      <c r="E36" s="231"/>
      <c r="F36" s="277"/>
      <c r="G36" s="239">
        <f t="shared" si="1"/>
        <v>0</v>
      </c>
      <c r="H36" s="231"/>
      <c r="I36" s="239"/>
      <c r="J36" s="231">
        <f t="shared" si="2"/>
        <v>0</v>
      </c>
      <c r="K36" s="239">
        <f t="shared" si="3"/>
        <v>0</v>
      </c>
      <c r="L36" s="129"/>
      <c r="M36" s="282">
        <f t="shared" si="4"/>
        <v>119763.94620000152</v>
      </c>
      <c r="N36" s="14"/>
    </row>
    <row r="37" spans="1:16">
      <c r="A37" s="40">
        <v>34</v>
      </c>
      <c r="B37" s="207"/>
      <c r="C37" s="14"/>
      <c r="D37" s="14"/>
      <c r="E37" s="231"/>
      <c r="F37" s="277"/>
      <c r="G37" s="239">
        <f t="shared" si="1"/>
        <v>0</v>
      </c>
      <c r="H37" s="231"/>
      <c r="I37" s="239"/>
      <c r="J37" s="231">
        <f t="shared" si="2"/>
        <v>0</v>
      </c>
      <c r="K37" s="239">
        <f t="shared" si="3"/>
        <v>0</v>
      </c>
      <c r="L37" s="129"/>
      <c r="M37" s="282">
        <f t="shared" si="4"/>
        <v>119763.94620000152</v>
      </c>
      <c r="N37" s="14"/>
    </row>
    <row r="38" spans="1:16">
      <c r="A38" s="40">
        <v>35</v>
      </c>
      <c r="B38" s="207"/>
      <c r="C38" s="14"/>
      <c r="D38" s="14"/>
      <c r="E38" s="231"/>
      <c r="F38" s="277"/>
      <c r="G38" s="239">
        <f t="shared" si="1"/>
        <v>0</v>
      </c>
      <c r="H38" s="231"/>
      <c r="I38" s="239"/>
      <c r="J38" s="231">
        <f t="shared" si="2"/>
        <v>0</v>
      </c>
      <c r="K38" s="239">
        <f t="shared" si="3"/>
        <v>0</v>
      </c>
      <c r="L38" s="129"/>
      <c r="M38" s="282">
        <f t="shared" si="4"/>
        <v>119763.94620000152</v>
      </c>
      <c r="N38" s="14"/>
    </row>
    <row r="39" spans="1:16">
      <c r="A39" s="184">
        <v>36</v>
      </c>
      <c r="B39" s="207"/>
      <c r="C39" s="14"/>
      <c r="D39" s="14"/>
      <c r="E39" s="231"/>
      <c r="F39" s="277"/>
      <c r="G39" s="239">
        <f t="shared" si="1"/>
        <v>0</v>
      </c>
      <c r="H39" s="231"/>
      <c r="I39" s="239"/>
      <c r="J39" s="231">
        <f t="shared" si="2"/>
        <v>0</v>
      </c>
      <c r="K39" s="239">
        <f t="shared" si="3"/>
        <v>0</v>
      </c>
      <c r="L39" s="129"/>
      <c r="M39" s="282">
        <f t="shared" si="4"/>
        <v>119763.94620000152</v>
      </c>
      <c r="N39" s="88"/>
    </row>
    <row r="40" spans="1:16">
      <c r="A40" s="184">
        <v>37</v>
      </c>
      <c r="B40" s="207"/>
      <c r="C40" s="14"/>
      <c r="D40" s="14"/>
      <c r="E40" s="231"/>
      <c r="F40" s="231"/>
      <c r="G40" s="239">
        <f t="shared" ref="G5:G41" si="5">E40*F40</f>
        <v>0</v>
      </c>
      <c r="H40" s="231"/>
      <c r="I40" s="231"/>
      <c r="J40" s="231">
        <f t="shared" ref="J5:J41" si="6">H40*I40</f>
        <v>0</v>
      </c>
      <c r="K40" s="239">
        <f t="shared" si="3"/>
        <v>0</v>
      </c>
      <c r="L40" s="129"/>
      <c r="M40" s="282">
        <f t="shared" si="4"/>
        <v>119763.94620000152</v>
      </c>
      <c r="N40" s="14"/>
      <c r="P40" s="19"/>
    </row>
    <row r="41" spans="1:16">
      <c r="A41" s="39"/>
      <c r="B41" s="207"/>
      <c r="C41" s="14"/>
      <c r="D41" s="14"/>
      <c r="E41" s="231"/>
      <c r="F41" s="231"/>
      <c r="G41" s="239">
        <f t="shared" si="5"/>
        <v>0</v>
      </c>
      <c r="H41" s="231"/>
      <c r="I41" s="231"/>
      <c r="J41" s="231">
        <f t="shared" si="6"/>
        <v>0</v>
      </c>
      <c r="K41" s="239">
        <f t="shared" si="3"/>
        <v>0</v>
      </c>
      <c r="L41" s="129"/>
      <c r="M41" s="282">
        <f t="shared" si="4"/>
        <v>119763.94620000152</v>
      </c>
      <c r="N41" s="14"/>
      <c r="O41" s="19"/>
      <c r="P41" s="19"/>
    </row>
    <row r="42" spans="1:16">
      <c r="A42" s="170"/>
      <c r="B42" s="170"/>
      <c r="C42" s="170"/>
      <c r="D42" s="170"/>
      <c r="E42" s="170">
        <f>SUM(E4:E39)</f>
        <v>2123.79</v>
      </c>
      <c r="F42" s="170"/>
      <c r="G42" s="170">
        <f>SUM(G4:G39)</f>
        <v>210871.1091</v>
      </c>
      <c r="H42" s="170">
        <f>SUM(H4:H39)</f>
        <v>5</v>
      </c>
      <c r="I42" s="170"/>
      <c r="J42" s="170">
        <f>SUM(J4:J39)</f>
        <v>556.9</v>
      </c>
      <c r="K42" s="170">
        <f>SUM(K4:K39)</f>
        <v>211428.0091</v>
      </c>
      <c r="L42" s="170">
        <f>SUM(L4:L39)</f>
        <v>550000</v>
      </c>
      <c r="M42" s="170"/>
      <c r="N42" s="170"/>
    </row>
    <row r="43" spans="1:16">
      <c r="P43" s="19"/>
    </row>
  </sheetData>
  <mergeCells count="2">
    <mergeCell ref="A1:N1"/>
    <mergeCell ref="C3:D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workbookViewId="0">
      <pane ySplit="3" topLeftCell="A14" activePane="bottomLeft" state="frozen"/>
      <selection pane="bottomLeft" activeCell="I19" sqref="I19"/>
    </sheetView>
  </sheetViews>
  <sheetFormatPr defaultRowHeight="15"/>
  <cols>
    <col min="2" max="2" width="10.5703125" bestFit="1" customWidth="1"/>
    <col min="4" max="4" width="12.42578125" customWidth="1"/>
    <col min="5" max="5" width="12.140625" customWidth="1"/>
    <col min="11" max="11" width="13.5703125" bestFit="1" customWidth="1"/>
    <col min="12" max="12" width="12.42578125" bestFit="1" customWidth="1"/>
    <col min="13" max="13" width="10.5703125" bestFit="1" customWidth="1"/>
    <col min="19" max="19" width="10.140625" customWidth="1"/>
  </cols>
  <sheetData>
    <row r="1" spans="1:16" ht="15.75">
      <c r="A1" s="602" t="s">
        <v>222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4"/>
    </row>
    <row r="2" spans="1:16" ht="25.5" customHeight="1">
      <c r="A2" s="117" t="s">
        <v>0</v>
      </c>
      <c r="B2" s="201" t="s">
        <v>167</v>
      </c>
      <c r="C2" s="201" t="s">
        <v>168</v>
      </c>
      <c r="D2" s="201" t="s">
        <v>189</v>
      </c>
      <c r="E2" s="201" t="s">
        <v>170</v>
      </c>
      <c r="F2" s="201" t="s">
        <v>171</v>
      </c>
      <c r="G2" s="201" t="s">
        <v>172</v>
      </c>
      <c r="H2" s="201" t="s">
        <v>173</v>
      </c>
      <c r="I2" s="201" t="s">
        <v>171</v>
      </c>
      <c r="J2" s="201" t="s">
        <v>172</v>
      </c>
      <c r="K2" s="164" t="s">
        <v>174</v>
      </c>
      <c r="L2" s="164" t="s">
        <v>175</v>
      </c>
      <c r="M2" s="164" t="s">
        <v>190</v>
      </c>
      <c r="N2" s="201" t="s">
        <v>177</v>
      </c>
    </row>
    <row r="3" spans="1:16">
      <c r="A3" s="605" t="s">
        <v>178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7"/>
      <c r="M3" s="605">
        <v>120724.02</v>
      </c>
      <c r="N3" s="607"/>
    </row>
    <row r="4" spans="1:16">
      <c r="A4" s="184">
        <v>1</v>
      </c>
      <c r="B4" s="207">
        <v>46296</v>
      </c>
      <c r="C4" s="34"/>
      <c r="D4" s="34"/>
      <c r="E4" s="250">
        <v>200</v>
      </c>
      <c r="F4" s="277">
        <v>99.13</v>
      </c>
      <c r="G4" s="34">
        <f>E4*F4</f>
        <v>19826</v>
      </c>
      <c r="H4" s="34"/>
      <c r="I4" s="34"/>
      <c r="J4" s="34">
        <f>H4*I4</f>
        <v>0</v>
      </c>
      <c r="K4" s="34">
        <f>G4+J4</f>
        <v>19826</v>
      </c>
      <c r="L4" s="34"/>
      <c r="M4" s="34">
        <f>M3+K4-L4</f>
        <v>140550.02000000002</v>
      </c>
      <c r="N4" s="34"/>
    </row>
    <row r="5" spans="1:16">
      <c r="A5" s="40">
        <v>2</v>
      </c>
      <c r="B5" s="207">
        <v>46297</v>
      </c>
      <c r="C5" s="34"/>
      <c r="D5" s="34"/>
      <c r="E5" s="250"/>
      <c r="F5" s="277"/>
      <c r="G5" s="34">
        <f t="shared" ref="G5:G34" si="0">E5*F5</f>
        <v>0</v>
      </c>
      <c r="H5" s="34"/>
      <c r="I5" s="34"/>
      <c r="J5" s="34">
        <f t="shared" ref="J5:J34" si="1">H5*I5</f>
        <v>0</v>
      </c>
      <c r="K5" s="34">
        <f t="shared" ref="K5:K34" si="2">G5+J5</f>
        <v>0</v>
      </c>
      <c r="L5" s="34"/>
      <c r="M5" s="34">
        <f t="shared" ref="M5:M34" si="3">M4+K5-L5</f>
        <v>140550.02000000002</v>
      </c>
      <c r="N5" s="34"/>
    </row>
    <row r="6" spans="1:16">
      <c r="A6" s="40">
        <v>3</v>
      </c>
      <c r="B6" s="207">
        <v>46298</v>
      </c>
      <c r="C6" s="34"/>
      <c r="D6" s="34"/>
      <c r="E6" s="250"/>
      <c r="F6" s="277"/>
      <c r="G6" s="34">
        <f t="shared" si="0"/>
        <v>0</v>
      </c>
      <c r="H6" s="562">
        <v>5</v>
      </c>
      <c r="I6" s="34">
        <v>111.21</v>
      </c>
      <c r="J6" s="34">
        <f t="shared" si="1"/>
        <v>556.04999999999995</v>
      </c>
      <c r="K6" s="34">
        <f t="shared" si="2"/>
        <v>556.04999999999995</v>
      </c>
      <c r="L6" s="34"/>
      <c r="M6" s="34">
        <f t="shared" si="3"/>
        <v>141106.07</v>
      </c>
      <c r="N6" s="34"/>
    </row>
    <row r="7" spans="1:16">
      <c r="A7" s="40">
        <v>4</v>
      </c>
      <c r="B7" s="207">
        <v>46299</v>
      </c>
      <c r="C7" s="34"/>
      <c r="D7" s="34"/>
      <c r="E7" s="250"/>
      <c r="F7" s="277"/>
      <c r="G7" s="34">
        <f t="shared" si="0"/>
        <v>0</v>
      </c>
      <c r="H7" s="34"/>
      <c r="I7" s="34"/>
      <c r="J7" s="34">
        <f t="shared" si="1"/>
        <v>0</v>
      </c>
      <c r="K7" s="34">
        <f t="shared" si="2"/>
        <v>0</v>
      </c>
      <c r="L7" s="34"/>
      <c r="M7" s="34">
        <f t="shared" si="3"/>
        <v>141106.07</v>
      </c>
      <c r="N7" s="34"/>
    </row>
    <row r="8" spans="1:16">
      <c r="A8" s="40">
        <v>5</v>
      </c>
      <c r="B8" s="207">
        <v>46300</v>
      </c>
      <c r="C8" s="34"/>
      <c r="D8" s="34"/>
      <c r="E8" s="250">
        <v>270</v>
      </c>
      <c r="F8" s="277">
        <v>99.13</v>
      </c>
      <c r="G8" s="34">
        <f t="shared" si="0"/>
        <v>26765.1</v>
      </c>
      <c r="H8" s="34"/>
      <c r="I8" s="34"/>
      <c r="J8" s="34">
        <f t="shared" si="1"/>
        <v>0</v>
      </c>
      <c r="K8" s="34">
        <f t="shared" si="2"/>
        <v>26765.1</v>
      </c>
      <c r="L8" s="34"/>
      <c r="M8" s="34">
        <f t="shared" si="3"/>
        <v>167871.17</v>
      </c>
      <c r="N8" s="34"/>
    </row>
    <row r="9" spans="1:16">
      <c r="A9" s="40">
        <v>6</v>
      </c>
      <c r="B9" s="207">
        <v>46301</v>
      </c>
      <c r="C9" s="34"/>
      <c r="D9" s="34"/>
      <c r="E9" s="250">
        <v>20</v>
      </c>
      <c r="F9" s="277">
        <v>99.13</v>
      </c>
      <c r="G9" s="34">
        <f t="shared" si="0"/>
        <v>1982.6</v>
      </c>
      <c r="H9" s="34"/>
      <c r="I9" s="34"/>
      <c r="J9" s="34">
        <f t="shared" si="1"/>
        <v>0</v>
      </c>
      <c r="K9" s="34">
        <f t="shared" si="2"/>
        <v>1982.6</v>
      </c>
      <c r="L9" s="34"/>
      <c r="M9" s="34">
        <f t="shared" si="3"/>
        <v>169853.77000000002</v>
      </c>
      <c r="N9" s="34"/>
    </row>
    <row r="10" spans="1:16">
      <c r="A10" s="40">
        <v>7</v>
      </c>
      <c r="B10" s="207">
        <v>46302</v>
      </c>
      <c r="C10" s="34"/>
      <c r="D10" s="34"/>
      <c r="E10" s="250">
        <v>400</v>
      </c>
      <c r="F10" s="277">
        <v>99.13</v>
      </c>
      <c r="G10" s="34">
        <f t="shared" si="0"/>
        <v>39652</v>
      </c>
      <c r="H10" s="34"/>
      <c r="I10" s="34"/>
      <c r="J10" s="34">
        <f t="shared" si="1"/>
        <v>0</v>
      </c>
      <c r="K10" s="34">
        <f t="shared" si="2"/>
        <v>39652</v>
      </c>
      <c r="L10" s="34"/>
      <c r="M10" s="34">
        <f t="shared" si="3"/>
        <v>209505.77000000002</v>
      </c>
      <c r="N10" s="34"/>
    </row>
    <row r="11" spans="1:16">
      <c r="A11" s="40">
        <v>8</v>
      </c>
      <c r="B11" s="207">
        <v>46303</v>
      </c>
      <c r="C11" s="34"/>
      <c r="D11" s="34"/>
      <c r="E11" s="250">
        <v>200</v>
      </c>
      <c r="F11" s="277">
        <v>99.13</v>
      </c>
      <c r="G11" s="34">
        <f t="shared" si="0"/>
        <v>19826</v>
      </c>
      <c r="H11" s="34">
        <v>5</v>
      </c>
      <c r="I11" s="34">
        <v>111.21</v>
      </c>
      <c r="J11" s="34">
        <f t="shared" si="1"/>
        <v>556.04999999999995</v>
      </c>
      <c r="K11" s="34">
        <f t="shared" si="2"/>
        <v>20382.05</v>
      </c>
      <c r="L11" s="34"/>
      <c r="M11" s="34">
        <f t="shared" si="3"/>
        <v>229887.82</v>
      </c>
      <c r="N11" s="34"/>
      <c r="P11" s="19"/>
    </row>
    <row r="12" spans="1:16">
      <c r="A12" s="40">
        <v>9</v>
      </c>
      <c r="B12" s="207">
        <v>46304</v>
      </c>
      <c r="C12" s="34"/>
      <c r="D12" s="34"/>
      <c r="E12" s="250">
        <v>36.28</v>
      </c>
      <c r="F12" s="277">
        <v>99.13</v>
      </c>
      <c r="G12" s="34">
        <f t="shared" si="0"/>
        <v>3596.4364</v>
      </c>
      <c r="H12" s="34"/>
      <c r="I12" s="34"/>
      <c r="J12" s="34">
        <f t="shared" si="1"/>
        <v>0</v>
      </c>
      <c r="K12" s="34">
        <f t="shared" si="2"/>
        <v>3596.4364</v>
      </c>
      <c r="L12" s="34"/>
      <c r="M12" s="34">
        <f t="shared" si="3"/>
        <v>233484.25640000001</v>
      </c>
      <c r="N12" s="34"/>
    </row>
    <row r="13" spans="1:16">
      <c r="A13" s="40">
        <v>10</v>
      </c>
      <c r="B13" s="207">
        <v>46305</v>
      </c>
      <c r="C13" s="34"/>
      <c r="D13" s="34"/>
      <c r="E13" s="250">
        <v>150</v>
      </c>
      <c r="F13" s="277">
        <v>99.13</v>
      </c>
      <c r="G13" s="34">
        <f t="shared" si="0"/>
        <v>14869.5</v>
      </c>
      <c r="H13" s="34"/>
      <c r="I13" s="34"/>
      <c r="J13" s="34">
        <f t="shared" si="1"/>
        <v>0</v>
      </c>
      <c r="K13" s="34">
        <f t="shared" si="2"/>
        <v>14869.5</v>
      </c>
      <c r="L13" s="34"/>
      <c r="M13" s="34">
        <f t="shared" si="3"/>
        <v>248353.75640000001</v>
      </c>
      <c r="N13" s="34"/>
    </row>
    <row r="14" spans="1:16">
      <c r="A14" s="40">
        <v>11</v>
      </c>
      <c r="B14" s="207">
        <v>46306</v>
      </c>
      <c r="C14" s="34"/>
      <c r="D14" s="34"/>
      <c r="E14" s="250"/>
      <c r="F14" s="277"/>
      <c r="G14" s="34">
        <f t="shared" si="0"/>
        <v>0</v>
      </c>
      <c r="H14" s="34"/>
      <c r="I14" s="34"/>
      <c r="J14" s="34">
        <f t="shared" si="1"/>
        <v>0</v>
      </c>
      <c r="K14" s="34">
        <f t="shared" si="2"/>
        <v>0</v>
      </c>
      <c r="L14" s="34"/>
      <c r="M14" s="34">
        <f t="shared" si="3"/>
        <v>248353.75640000001</v>
      </c>
      <c r="N14" s="34"/>
    </row>
    <row r="15" spans="1:16">
      <c r="A15" s="40">
        <v>12</v>
      </c>
      <c r="B15" s="207">
        <v>46307</v>
      </c>
      <c r="C15" s="34"/>
      <c r="D15" s="34"/>
      <c r="E15" s="250"/>
      <c r="F15" s="277"/>
      <c r="G15" s="34">
        <f t="shared" si="0"/>
        <v>0</v>
      </c>
      <c r="H15" s="34">
        <v>5</v>
      </c>
      <c r="I15" s="34">
        <v>111.21</v>
      </c>
      <c r="J15" s="34">
        <f t="shared" si="1"/>
        <v>556.04999999999995</v>
      </c>
      <c r="K15" s="34">
        <f t="shared" ref="K15:K25" si="4">G15+J15</f>
        <v>556.04999999999995</v>
      </c>
      <c r="L15" s="34"/>
      <c r="M15" s="34">
        <f t="shared" si="3"/>
        <v>248909.8064</v>
      </c>
      <c r="N15" s="34"/>
    </row>
    <row r="16" spans="1:16">
      <c r="A16" s="40">
        <v>13</v>
      </c>
      <c r="B16" s="207">
        <v>46308</v>
      </c>
      <c r="C16" s="34"/>
      <c r="D16" s="34"/>
      <c r="E16" s="250"/>
      <c r="F16" s="277"/>
      <c r="G16" s="34">
        <f t="shared" si="0"/>
        <v>0</v>
      </c>
      <c r="H16" s="352"/>
      <c r="I16" s="34"/>
      <c r="J16" s="34">
        <f t="shared" si="1"/>
        <v>0</v>
      </c>
      <c r="K16" s="34">
        <f t="shared" si="4"/>
        <v>0</v>
      </c>
      <c r="L16" s="34"/>
      <c r="M16" s="34">
        <f>M15+K16-L16</f>
        <v>248909.8064</v>
      </c>
      <c r="N16" s="34"/>
    </row>
    <row r="17" spans="1:14">
      <c r="A17" s="40">
        <v>14</v>
      </c>
      <c r="B17" s="207">
        <v>46309</v>
      </c>
      <c r="C17" s="34"/>
      <c r="D17" s="34"/>
      <c r="E17" s="250"/>
      <c r="F17" s="277"/>
      <c r="G17" s="34">
        <f t="shared" si="0"/>
        <v>0</v>
      </c>
      <c r="H17" s="34"/>
      <c r="I17" s="34"/>
      <c r="J17" s="34">
        <f t="shared" si="1"/>
        <v>0</v>
      </c>
      <c r="K17" s="34">
        <f t="shared" si="4"/>
        <v>0</v>
      </c>
      <c r="L17" s="34"/>
      <c r="M17" s="34">
        <f t="shared" si="3"/>
        <v>248909.8064</v>
      </c>
      <c r="N17" s="34"/>
    </row>
    <row r="18" spans="1:14">
      <c r="A18" s="40">
        <v>15</v>
      </c>
      <c r="B18" s="207">
        <v>46310</v>
      </c>
      <c r="C18" s="34"/>
      <c r="D18" s="34"/>
      <c r="E18" s="250">
        <v>230</v>
      </c>
      <c r="F18" s="277">
        <v>99.13</v>
      </c>
      <c r="G18" s="34">
        <f t="shared" si="0"/>
        <v>22799.899999999998</v>
      </c>
      <c r="H18" s="34"/>
      <c r="I18" s="34"/>
      <c r="J18" s="34">
        <f t="shared" si="1"/>
        <v>0</v>
      </c>
      <c r="K18" s="34">
        <f t="shared" si="4"/>
        <v>22799.899999999998</v>
      </c>
      <c r="L18" s="34"/>
      <c r="M18" s="34">
        <f t="shared" si="3"/>
        <v>271709.70640000002</v>
      </c>
      <c r="N18" s="34"/>
    </row>
    <row r="19" spans="1:14">
      <c r="A19" s="40">
        <v>16</v>
      </c>
      <c r="B19" s="207">
        <v>46311</v>
      </c>
      <c r="C19" s="34"/>
      <c r="D19" s="34"/>
      <c r="E19" s="250"/>
      <c r="F19" s="277"/>
      <c r="G19" s="34">
        <f t="shared" si="0"/>
        <v>0</v>
      </c>
      <c r="H19" s="34"/>
      <c r="I19" s="34"/>
      <c r="J19" s="34">
        <f t="shared" si="1"/>
        <v>0</v>
      </c>
      <c r="K19" s="34">
        <f t="shared" si="4"/>
        <v>0</v>
      </c>
      <c r="L19" s="34"/>
      <c r="M19" s="34">
        <f t="shared" si="3"/>
        <v>271709.70640000002</v>
      </c>
      <c r="N19" s="34"/>
    </row>
    <row r="20" spans="1:14">
      <c r="A20" s="40">
        <v>17</v>
      </c>
      <c r="B20" s="207">
        <v>46312</v>
      </c>
      <c r="C20" s="34"/>
      <c r="D20" s="34"/>
      <c r="E20" s="250"/>
      <c r="F20" s="277"/>
      <c r="G20" s="34">
        <f t="shared" si="0"/>
        <v>0</v>
      </c>
      <c r="H20" s="34"/>
      <c r="I20" s="34"/>
      <c r="J20" s="34">
        <f t="shared" si="1"/>
        <v>0</v>
      </c>
      <c r="K20" s="34">
        <f t="shared" si="4"/>
        <v>0</v>
      </c>
      <c r="L20" s="34"/>
      <c r="M20" s="34">
        <f t="shared" si="3"/>
        <v>271709.70640000002</v>
      </c>
      <c r="N20" s="34"/>
    </row>
    <row r="21" spans="1:14">
      <c r="A21" s="40">
        <v>18</v>
      </c>
      <c r="B21" s="207">
        <v>46313</v>
      </c>
      <c r="C21" s="34"/>
      <c r="D21" s="34"/>
      <c r="E21" s="250"/>
      <c r="F21" s="277"/>
      <c r="G21" s="34">
        <f t="shared" si="0"/>
        <v>0</v>
      </c>
      <c r="H21" s="34"/>
      <c r="I21" s="34"/>
      <c r="J21" s="34">
        <f t="shared" si="1"/>
        <v>0</v>
      </c>
      <c r="K21" s="34">
        <f t="shared" si="4"/>
        <v>0</v>
      </c>
      <c r="L21" s="34"/>
      <c r="M21" s="34">
        <f>M20+K21-L21</f>
        <v>271709.70640000002</v>
      </c>
      <c r="N21" s="34"/>
    </row>
    <row r="22" spans="1:14">
      <c r="A22" s="40">
        <v>19</v>
      </c>
      <c r="B22" s="207">
        <v>46314</v>
      </c>
      <c r="C22" s="34"/>
      <c r="D22" s="34"/>
      <c r="E22" s="250"/>
      <c r="F22" s="277"/>
      <c r="G22" s="34">
        <f t="shared" si="0"/>
        <v>0</v>
      </c>
      <c r="H22" s="34"/>
      <c r="I22" s="34"/>
      <c r="J22" s="34">
        <f t="shared" si="1"/>
        <v>0</v>
      </c>
      <c r="K22" s="34">
        <f t="shared" si="4"/>
        <v>0</v>
      </c>
      <c r="L22" s="34"/>
      <c r="M22" s="34">
        <f t="shared" si="3"/>
        <v>271709.70640000002</v>
      </c>
      <c r="N22" s="34"/>
    </row>
    <row r="23" spans="1:14">
      <c r="A23" s="40">
        <v>20</v>
      </c>
      <c r="B23" s="207">
        <v>46315</v>
      </c>
      <c r="C23" s="34"/>
      <c r="D23" s="34"/>
      <c r="E23" s="250"/>
      <c r="F23" s="277"/>
      <c r="G23" s="34">
        <f t="shared" si="0"/>
        <v>0</v>
      </c>
      <c r="H23" s="34"/>
      <c r="I23" s="34"/>
      <c r="J23" s="34">
        <f t="shared" si="1"/>
        <v>0</v>
      </c>
      <c r="K23" s="34">
        <f t="shared" si="4"/>
        <v>0</v>
      </c>
      <c r="L23" s="34"/>
      <c r="M23" s="34">
        <f t="shared" si="3"/>
        <v>271709.70640000002</v>
      </c>
      <c r="N23" s="34"/>
    </row>
    <row r="24" spans="1:14">
      <c r="A24" s="40">
        <v>21</v>
      </c>
      <c r="B24" s="207">
        <v>46316</v>
      </c>
      <c r="C24" s="34"/>
      <c r="D24" s="34"/>
      <c r="E24" s="250"/>
      <c r="F24" s="277"/>
      <c r="G24" s="34">
        <f t="shared" si="0"/>
        <v>0</v>
      </c>
      <c r="H24" s="34"/>
      <c r="I24" s="34"/>
      <c r="J24" s="34">
        <f t="shared" si="1"/>
        <v>0</v>
      </c>
      <c r="K24" s="34">
        <f t="shared" si="4"/>
        <v>0</v>
      </c>
      <c r="L24" s="34"/>
      <c r="M24" s="34">
        <f t="shared" si="3"/>
        <v>271709.70640000002</v>
      </c>
      <c r="N24" s="34"/>
    </row>
    <row r="25" spans="1:14">
      <c r="A25" s="40">
        <v>22</v>
      </c>
      <c r="B25" s="207">
        <v>46317</v>
      </c>
      <c r="C25" s="34"/>
      <c r="D25" s="34"/>
      <c r="E25" s="250"/>
      <c r="F25" s="277"/>
      <c r="G25" s="34">
        <f t="shared" si="0"/>
        <v>0</v>
      </c>
      <c r="H25" s="34"/>
      <c r="I25" s="34"/>
      <c r="J25" s="34">
        <f t="shared" si="1"/>
        <v>0</v>
      </c>
      <c r="K25" s="34">
        <f t="shared" si="4"/>
        <v>0</v>
      </c>
      <c r="L25" s="34"/>
      <c r="M25" s="34">
        <f t="shared" si="3"/>
        <v>271709.70640000002</v>
      </c>
      <c r="N25" s="34"/>
    </row>
    <row r="26" spans="1:14">
      <c r="A26" s="40">
        <v>23</v>
      </c>
      <c r="B26" s="207">
        <v>46318</v>
      </c>
      <c r="C26" s="34"/>
      <c r="D26" s="34"/>
      <c r="E26" s="250"/>
      <c r="F26" s="277"/>
      <c r="G26" s="34">
        <f t="shared" si="0"/>
        <v>0</v>
      </c>
      <c r="H26" s="34"/>
      <c r="I26" s="34"/>
      <c r="J26" s="34">
        <f t="shared" si="1"/>
        <v>0</v>
      </c>
      <c r="K26" s="34">
        <f t="shared" si="2"/>
        <v>0</v>
      </c>
      <c r="L26" s="34"/>
      <c r="M26" s="34">
        <f t="shared" si="3"/>
        <v>271709.70640000002</v>
      </c>
      <c r="N26" s="34"/>
    </row>
    <row r="27" spans="1:14">
      <c r="A27" s="40">
        <v>24</v>
      </c>
      <c r="B27" s="207">
        <v>46319</v>
      </c>
      <c r="C27" s="34"/>
      <c r="D27" s="34"/>
      <c r="E27" s="250"/>
      <c r="F27" s="277"/>
      <c r="G27" s="34">
        <f t="shared" si="0"/>
        <v>0</v>
      </c>
      <c r="H27" s="34"/>
      <c r="I27" s="34"/>
      <c r="J27" s="34">
        <f t="shared" si="1"/>
        <v>0</v>
      </c>
      <c r="K27" s="34">
        <f t="shared" si="2"/>
        <v>0</v>
      </c>
      <c r="L27" s="34"/>
      <c r="M27" s="34">
        <f t="shared" si="3"/>
        <v>271709.70640000002</v>
      </c>
      <c r="N27" s="34"/>
    </row>
    <row r="28" spans="1:14">
      <c r="A28" s="208">
        <v>25</v>
      </c>
      <c r="B28" s="207">
        <v>46320</v>
      </c>
      <c r="C28" s="34"/>
      <c r="D28" s="34"/>
      <c r="E28" s="250"/>
      <c r="F28" s="277"/>
      <c r="G28" s="34">
        <f t="shared" si="0"/>
        <v>0</v>
      </c>
      <c r="H28" s="34"/>
      <c r="I28" s="34"/>
      <c r="J28" s="34">
        <f t="shared" si="1"/>
        <v>0</v>
      </c>
      <c r="K28" s="34">
        <f t="shared" si="2"/>
        <v>0</v>
      </c>
      <c r="L28" s="34"/>
      <c r="M28" s="34">
        <f t="shared" si="3"/>
        <v>271709.70640000002</v>
      </c>
      <c r="N28" s="34"/>
    </row>
    <row r="29" spans="1:14">
      <c r="A29" s="208">
        <v>26</v>
      </c>
      <c r="B29" s="207">
        <v>46321</v>
      </c>
      <c r="C29" s="34"/>
      <c r="D29" s="34"/>
      <c r="E29" s="250"/>
      <c r="F29" s="277"/>
      <c r="G29" s="34">
        <f t="shared" si="0"/>
        <v>0</v>
      </c>
      <c r="H29" s="34"/>
      <c r="I29" s="34"/>
      <c r="J29" s="34">
        <f t="shared" si="1"/>
        <v>0</v>
      </c>
      <c r="K29" s="34">
        <f t="shared" si="2"/>
        <v>0</v>
      </c>
      <c r="L29" s="34"/>
      <c r="M29" s="34">
        <f t="shared" si="3"/>
        <v>271709.70640000002</v>
      </c>
      <c r="N29" s="34"/>
    </row>
    <row r="30" spans="1:14">
      <c r="A30" s="208">
        <v>27</v>
      </c>
      <c r="B30" s="207">
        <v>46322</v>
      </c>
      <c r="C30" s="34"/>
      <c r="D30" s="34"/>
      <c r="E30" s="549"/>
      <c r="F30" s="277"/>
      <c r="G30" s="34">
        <f t="shared" si="0"/>
        <v>0</v>
      </c>
      <c r="H30" s="34"/>
      <c r="I30" s="34"/>
      <c r="J30" s="34">
        <f t="shared" si="1"/>
        <v>0</v>
      </c>
      <c r="K30" s="34">
        <f t="shared" si="2"/>
        <v>0</v>
      </c>
      <c r="L30" s="34"/>
      <c r="M30" s="34">
        <f t="shared" si="3"/>
        <v>271709.70640000002</v>
      </c>
      <c r="N30" s="34"/>
    </row>
    <row r="31" spans="1:14">
      <c r="A31" s="208">
        <v>28</v>
      </c>
      <c r="B31" s="207">
        <v>46323</v>
      </c>
      <c r="C31" s="34"/>
      <c r="D31" s="34"/>
      <c r="E31" s="250"/>
      <c r="F31" s="277"/>
      <c r="G31" s="34">
        <f t="shared" si="0"/>
        <v>0</v>
      </c>
      <c r="H31" s="34"/>
      <c r="I31" s="34"/>
      <c r="J31" s="34">
        <f t="shared" si="1"/>
        <v>0</v>
      </c>
      <c r="K31" s="34">
        <f t="shared" si="2"/>
        <v>0</v>
      </c>
      <c r="L31" s="34"/>
      <c r="M31" s="34">
        <f t="shared" si="3"/>
        <v>271709.70640000002</v>
      </c>
      <c r="N31" s="34"/>
    </row>
    <row r="32" spans="1:14">
      <c r="A32" s="209">
        <v>29</v>
      </c>
      <c r="B32" s="207">
        <v>46324</v>
      </c>
      <c r="C32" s="34"/>
      <c r="D32" s="34"/>
      <c r="E32" s="250"/>
      <c r="F32" s="277"/>
      <c r="G32" s="34">
        <f t="shared" si="0"/>
        <v>0</v>
      </c>
      <c r="H32" s="34"/>
      <c r="I32" s="34"/>
      <c r="J32" s="34">
        <f t="shared" si="1"/>
        <v>0</v>
      </c>
      <c r="K32" s="34">
        <f t="shared" si="2"/>
        <v>0</v>
      </c>
      <c r="L32" s="34"/>
      <c r="M32" s="34">
        <f t="shared" si="3"/>
        <v>271709.70640000002</v>
      </c>
      <c r="N32" s="34"/>
    </row>
    <row r="33" spans="1:14">
      <c r="A33" s="209">
        <v>30</v>
      </c>
      <c r="B33" s="207">
        <v>46325</v>
      </c>
      <c r="C33" s="34"/>
      <c r="D33" s="34"/>
      <c r="E33" s="250"/>
      <c r="F33" s="277"/>
      <c r="G33" s="34">
        <f t="shared" si="0"/>
        <v>0</v>
      </c>
      <c r="H33" s="34"/>
      <c r="I33" s="34"/>
      <c r="J33" s="34">
        <f t="shared" si="1"/>
        <v>0</v>
      </c>
      <c r="K33" s="34">
        <f t="shared" si="2"/>
        <v>0</v>
      </c>
      <c r="L33" s="34"/>
      <c r="M33" s="34">
        <f t="shared" si="3"/>
        <v>271709.70640000002</v>
      </c>
      <c r="N33" s="34"/>
    </row>
    <row r="34" spans="1:14">
      <c r="A34" s="209">
        <v>31</v>
      </c>
      <c r="B34" s="207">
        <v>46326</v>
      </c>
      <c r="C34" s="34"/>
      <c r="D34" s="34"/>
      <c r="E34" s="250"/>
      <c r="F34" s="277"/>
      <c r="G34" s="34">
        <f t="shared" si="0"/>
        <v>0</v>
      </c>
      <c r="H34" s="34"/>
      <c r="I34" s="34"/>
      <c r="J34" s="34">
        <f t="shared" si="1"/>
        <v>0</v>
      </c>
      <c r="K34" s="34">
        <f t="shared" si="2"/>
        <v>0</v>
      </c>
      <c r="L34" s="34"/>
      <c r="M34" s="34">
        <f t="shared" si="3"/>
        <v>271709.70640000002</v>
      </c>
      <c r="N34" s="34"/>
    </row>
    <row r="35" spans="1:14">
      <c r="A35" s="170"/>
      <c r="B35" s="170"/>
      <c r="C35" s="170"/>
      <c r="D35" s="170"/>
      <c r="E35" s="170">
        <f>SUM(E4:E34)</f>
        <v>1506.28</v>
      </c>
      <c r="F35" s="170"/>
      <c r="G35" s="170">
        <f>SUM(G4:G34)</f>
        <v>149317.53640000001</v>
      </c>
      <c r="H35" s="170">
        <f>SUM(H4:H34)</f>
        <v>15</v>
      </c>
      <c r="I35" s="170"/>
      <c r="J35" s="170">
        <f>SUM(J4:J34)</f>
        <v>1668.1499999999999</v>
      </c>
      <c r="K35" s="170">
        <f>SUM(K4:K34)</f>
        <v>150985.68640000001</v>
      </c>
      <c r="L35" s="170">
        <f>SUM(L4:L34)</f>
        <v>0</v>
      </c>
      <c r="M35" s="170"/>
      <c r="N35" s="17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workbookViewId="0">
      <pane ySplit="3" topLeftCell="A9" activePane="bottomLeft" state="frozen"/>
      <selection pane="bottomLeft" activeCell="E19" sqref="E19"/>
    </sheetView>
  </sheetViews>
  <sheetFormatPr defaultRowHeight="15"/>
  <cols>
    <col min="2" max="2" width="12.5703125" customWidth="1"/>
    <col min="5" max="5" width="12.7109375" customWidth="1"/>
    <col min="7" max="7" width="10.42578125" bestFit="1" customWidth="1"/>
    <col min="8" max="8" width="11.5703125" customWidth="1"/>
    <col min="11" max="11" width="13.5703125" bestFit="1" customWidth="1"/>
    <col min="12" max="12" width="12.42578125" bestFit="1" customWidth="1"/>
    <col min="13" max="13" width="10.5703125" bestFit="1" customWidth="1"/>
    <col min="18" max="18" width="9.28515625" bestFit="1" customWidth="1"/>
  </cols>
  <sheetData>
    <row r="1" spans="1:16" ht="15.75">
      <c r="A1" s="602" t="s">
        <v>223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4"/>
    </row>
    <row r="2" spans="1:16" ht="21" customHeight="1">
      <c r="A2" s="117" t="s">
        <v>0</v>
      </c>
      <c r="B2" s="201" t="s">
        <v>167</v>
      </c>
      <c r="C2" s="201" t="s">
        <v>168</v>
      </c>
      <c r="D2" s="201" t="s">
        <v>189</v>
      </c>
      <c r="E2" s="201" t="s">
        <v>170</v>
      </c>
      <c r="F2" s="201" t="s">
        <v>171</v>
      </c>
      <c r="G2" s="201" t="s">
        <v>172</v>
      </c>
      <c r="H2" s="201" t="s">
        <v>173</v>
      </c>
      <c r="I2" s="201" t="s">
        <v>171</v>
      </c>
      <c r="J2" s="201" t="s">
        <v>172</v>
      </c>
      <c r="K2" s="164" t="s">
        <v>174</v>
      </c>
      <c r="L2" s="164" t="s">
        <v>175</v>
      </c>
      <c r="M2" s="164" t="s">
        <v>190</v>
      </c>
      <c r="N2" s="201" t="s">
        <v>177</v>
      </c>
    </row>
    <row r="3" spans="1:16">
      <c r="A3" s="605" t="s">
        <v>178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7"/>
      <c r="M3" s="605">
        <v>703648.01</v>
      </c>
      <c r="N3" s="607"/>
    </row>
    <row r="4" spans="1:16">
      <c r="A4" s="184">
        <v>1</v>
      </c>
      <c r="B4" s="207">
        <v>46296</v>
      </c>
      <c r="C4" s="34"/>
      <c r="D4" s="34"/>
      <c r="E4" s="250">
        <v>836.14</v>
      </c>
      <c r="F4" s="277">
        <v>99.13</v>
      </c>
      <c r="G4" s="34">
        <f>E4*F4</f>
        <v>82886.558199999999</v>
      </c>
      <c r="H4" s="34"/>
      <c r="I4" s="34"/>
      <c r="J4" s="34">
        <f>H4*I4</f>
        <v>0</v>
      </c>
      <c r="K4" s="34">
        <f>G4+J4</f>
        <v>82886.558199999999</v>
      </c>
      <c r="L4" s="34"/>
      <c r="M4" s="34">
        <f>M3+K4-L4</f>
        <v>786534.56819999998</v>
      </c>
      <c r="N4" s="34"/>
    </row>
    <row r="5" spans="1:16">
      <c r="A5" s="40">
        <v>2</v>
      </c>
      <c r="B5" s="207">
        <v>46297</v>
      </c>
      <c r="C5" s="34"/>
      <c r="D5" s="34"/>
      <c r="E5" s="250"/>
      <c r="F5" s="277"/>
      <c r="G5" s="34">
        <f t="shared" ref="G5:G34" si="0">E5*F5</f>
        <v>0</v>
      </c>
      <c r="H5" s="34"/>
      <c r="I5" s="34"/>
      <c r="J5" s="34">
        <f t="shared" ref="J5:J34" si="1">H5*I5</f>
        <v>0</v>
      </c>
      <c r="K5" s="34">
        <f t="shared" ref="K5:K34" si="2">G5+J5</f>
        <v>0</v>
      </c>
      <c r="L5" s="34"/>
      <c r="M5" s="34">
        <f t="shared" ref="M5:M32" si="3">M4+K5-L5</f>
        <v>786534.56819999998</v>
      </c>
      <c r="N5" s="34"/>
    </row>
    <row r="6" spans="1:16">
      <c r="A6" s="184">
        <v>3</v>
      </c>
      <c r="B6" s="207">
        <v>46298</v>
      </c>
      <c r="C6" s="34"/>
      <c r="D6" s="34"/>
      <c r="E6" s="250">
        <v>200</v>
      </c>
      <c r="F6" s="277">
        <v>99.13</v>
      </c>
      <c r="G6" s="34">
        <f t="shared" si="0"/>
        <v>19826</v>
      </c>
      <c r="H6" s="34"/>
      <c r="I6" s="34"/>
      <c r="J6" s="34">
        <f t="shared" si="1"/>
        <v>0</v>
      </c>
      <c r="K6" s="34">
        <f>G6+J6</f>
        <v>19826</v>
      </c>
      <c r="L6" s="34"/>
      <c r="M6" s="34">
        <f t="shared" si="3"/>
        <v>806360.56819999998</v>
      </c>
      <c r="N6" s="34"/>
    </row>
    <row r="7" spans="1:16">
      <c r="A7" s="40">
        <v>4</v>
      </c>
      <c r="B7" s="207">
        <v>46299</v>
      </c>
      <c r="C7" s="34"/>
      <c r="D7" s="34"/>
      <c r="E7" s="277">
        <v>1000</v>
      </c>
      <c r="F7" s="277">
        <v>99.13</v>
      </c>
      <c r="G7" s="34">
        <f t="shared" si="0"/>
        <v>99130</v>
      </c>
      <c r="H7" s="34"/>
      <c r="I7" s="34"/>
      <c r="J7" s="34">
        <f t="shared" si="1"/>
        <v>0</v>
      </c>
      <c r="K7" s="34">
        <f t="shared" si="2"/>
        <v>99130</v>
      </c>
      <c r="L7" s="34"/>
      <c r="M7" s="34">
        <f t="shared" si="3"/>
        <v>905490.56819999998</v>
      </c>
      <c r="N7" s="34"/>
    </row>
    <row r="8" spans="1:16">
      <c r="A8" s="184">
        <v>5</v>
      </c>
      <c r="B8" s="207">
        <v>46300</v>
      </c>
      <c r="C8" s="34"/>
      <c r="D8" s="34"/>
      <c r="E8" s="250"/>
      <c r="F8" s="277"/>
      <c r="G8" s="34">
        <f t="shared" si="0"/>
        <v>0</v>
      </c>
      <c r="H8" s="34"/>
      <c r="I8" s="34"/>
      <c r="J8" s="34">
        <f t="shared" si="1"/>
        <v>0</v>
      </c>
      <c r="K8" s="34">
        <f t="shared" si="2"/>
        <v>0</v>
      </c>
      <c r="L8" s="34"/>
      <c r="M8" s="34">
        <f t="shared" si="3"/>
        <v>905490.56819999998</v>
      </c>
      <c r="N8" s="34"/>
    </row>
    <row r="9" spans="1:16">
      <c r="A9" s="40">
        <v>6</v>
      </c>
      <c r="B9" s="207">
        <v>46301</v>
      </c>
      <c r="C9" s="34"/>
      <c r="D9" s="34"/>
      <c r="E9" s="250"/>
      <c r="F9" s="277"/>
      <c r="G9" s="34">
        <f t="shared" si="0"/>
        <v>0</v>
      </c>
      <c r="H9" s="34"/>
      <c r="I9" s="34"/>
      <c r="J9" s="34">
        <f t="shared" si="1"/>
        <v>0</v>
      </c>
      <c r="K9" s="34">
        <f t="shared" si="2"/>
        <v>0</v>
      </c>
      <c r="L9" s="34"/>
      <c r="M9" s="34">
        <f t="shared" si="3"/>
        <v>905490.56819999998</v>
      </c>
      <c r="N9" s="34"/>
    </row>
    <row r="10" spans="1:16">
      <c r="A10" s="184">
        <v>7</v>
      </c>
      <c r="B10" s="207">
        <v>46302</v>
      </c>
      <c r="C10" s="34"/>
      <c r="D10" s="34"/>
      <c r="E10" s="250">
        <v>1200</v>
      </c>
      <c r="F10" s="277">
        <v>99.13</v>
      </c>
      <c r="G10" s="34">
        <f t="shared" si="0"/>
        <v>118956</v>
      </c>
      <c r="H10" s="34"/>
      <c r="I10" s="34"/>
      <c r="J10" s="34">
        <f t="shared" si="1"/>
        <v>0</v>
      </c>
      <c r="K10" s="34">
        <f t="shared" si="2"/>
        <v>118956</v>
      </c>
      <c r="L10" s="34"/>
      <c r="M10" s="34">
        <f t="shared" si="3"/>
        <v>1024446.5682</v>
      </c>
      <c r="N10" s="34"/>
    </row>
    <row r="11" spans="1:16">
      <c r="A11" s="40">
        <v>8</v>
      </c>
      <c r="B11" s="207">
        <v>46303</v>
      </c>
      <c r="C11" s="34"/>
      <c r="D11" s="34"/>
      <c r="E11" s="250"/>
      <c r="F11" s="277"/>
      <c r="G11" s="34">
        <f t="shared" si="0"/>
        <v>0</v>
      </c>
      <c r="H11" s="34"/>
      <c r="I11" s="34"/>
      <c r="J11" s="34">
        <f t="shared" si="1"/>
        <v>0</v>
      </c>
      <c r="K11" s="34">
        <f t="shared" si="2"/>
        <v>0</v>
      </c>
      <c r="L11" s="34"/>
      <c r="M11" s="34">
        <f t="shared" si="3"/>
        <v>1024446.5682</v>
      </c>
      <c r="N11" s="34"/>
      <c r="P11" s="19"/>
    </row>
    <row r="12" spans="1:16">
      <c r="A12" s="184">
        <v>9</v>
      </c>
      <c r="B12" s="207">
        <v>46304</v>
      </c>
      <c r="C12" s="34"/>
      <c r="D12" s="34"/>
      <c r="E12" s="250">
        <v>400</v>
      </c>
      <c r="F12" s="277">
        <v>99.13</v>
      </c>
      <c r="G12" s="34">
        <f t="shared" si="0"/>
        <v>39652</v>
      </c>
      <c r="H12" s="34"/>
      <c r="I12" s="34"/>
      <c r="J12" s="34">
        <f t="shared" si="1"/>
        <v>0</v>
      </c>
      <c r="K12" s="34">
        <f t="shared" si="2"/>
        <v>39652</v>
      </c>
      <c r="L12" s="34"/>
      <c r="M12" s="34">
        <f t="shared" si="3"/>
        <v>1064098.5682000001</v>
      </c>
      <c r="N12" s="34"/>
    </row>
    <row r="13" spans="1:16">
      <c r="A13" s="40">
        <v>10</v>
      </c>
      <c r="B13" s="207">
        <v>46305</v>
      </c>
      <c r="C13" s="34"/>
      <c r="D13" s="34"/>
      <c r="E13" s="250">
        <v>200</v>
      </c>
      <c r="F13" s="277">
        <v>99.13</v>
      </c>
      <c r="G13" s="34">
        <f t="shared" si="0"/>
        <v>19826</v>
      </c>
      <c r="H13" s="34"/>
      <c r="I13" s="34"/>
      <c r="J13" s="34">
        <f t="shared" si="1"/>
        <v>0</v>
      </c>
      <c r="K13" s="34">
        <f t="shared" si="2"/>
        <v>19826</v>
      </c>
      <c r="L13" s="34"/>
      <c r="M13" s="34">
        <f t="shared" si="3"/>
        <v>1083924.5682000001</v>
      </c>
      <c r="N13" s="34"/>
    </row>
    <row r="14" spans="1:16">
      <c r="A14" s="184">
        <v>11</v>
      </c>
      <c r="B14" s="207">
        <v>46306</v>
      </c>
      <c r="C14" s="34"/>
      <c r="D14" s="34"/>
      <c r="E14" s="250">
        <v>200</v>
      </c>
      <c r="F14" s="277">
        <v>99.13</v>
      </c>
      <c r="G14" s="34">
        <f t="shared" si="0"/>
        <v>19826</v>
      </c>
      <c r="H14" s="34"/>
      <c r="I14" s="34"/>
      <c r="J14" s="34">
        <f t="shared" si="1"/>
        <v>0</v>
      </c>
      <c r="K14" s="34">
        <f t="shared" si="2"/>
        <v>19826</v>
      </c>
      <c r="L14" s="34"/>
      <c r="M14" s="34">
        <f t="shared" si="3"/>
        <v>1103750.5682000001</v>
      </c>
      <c r="N14" s="34"/>
    </row>
    <row r="15" spans="1:16">
      <c r="A15" s="40">
        <v>12</v>
      </c>
      <c r="B15" s="207">
        <v>46307</v>
      </c>
      <c r="C15" s="34"/>
      <c r="D15" s="34"/>
      <c r="E15" s="250">
        <v>1000</v>
      </c>
      <c r="F15" s="277">
        <v>99.13</v>
      </c>
      <c r="G15" s="34">
        <f t="shared" si="0"/>
        <v>99130</v>
      </c>
      <c r="H15" s="34"/>
      <c r="I15" s="34"/>
      <c r="J15" s="34">
        <f t="shared" si="1"/>
        <v>0</v>
      </c>
      <c r="K15" s="34">
        <f t="shared" si="2"/>
        <v>99130</v>
      </c>
      <c r="L15" s="34"/>
      <c r="M15" s="34">
        <f t="shared" si="3"/>
        <v>1202880.5682000001</v>
      </c>
      <c r="N15" s="34"/>
    </row>
    <row r="16" spans="1:16">
      <c r="A16" s="184">
        <v>13</v>
      </c>
      <c r="B16" s="207">
        <v>46308</v>
      </c>
      <c r="C16" s="34"/>
      <c r="D16" s="34"/>
      <c r="E16" s="250">
        <v>463.59</v>
      </c>
      <c r="F16" s="277">
        <v>99.13</v>
      </c>
      <c r="G16" s="34">
        <f t="shared" si="0"/>
        <v>45955.676699999996</v>
      </c>
      <c r="H16" s="34"/>
      <c r="I16" s="34"/>
      <c r="J16" s="34">
        <f t="shared" si="1"/>
        <v>0</v>
      </c>
      <c r="K16" s="34">
        <f t="shared" si="2"/>
        <v>45955.676699999996</v>
      </c>
      <c r="L16" s="34"/>
      <c r="M16" s="34">
        <f t="shared" si="3"/>
        <v>1248836.2449</v>
      </c>
      <c r="N16" s="34"/>
    </row>
    <row r="17" spans="1:14">
      <c r="A17" s="40">
        <v>14</v>
      </c>
      <c r="B17" s="207">
        <v>46309</v>
      </c>
      <c r="C17" s="34"/>
      <c r="D17" s="34"/>
      <c r="E17" s="250">
        <v>867.33</v>
      </c>
      <c r="F17" s="277">
        <v>99.13</v>
      </c>
      <c r="G17" s="34">
        <f t="shared" si="0"/>
        <v>85978.422900000005</v>
      </c>
      <c r="H17" s="34"/>
      <c r="I17" s="34"/>
      <c r="J17" s="34">
        <f t="shared" si="1"/>
        <v>0</v>
      </c>
      <c r="K17" s="34">
        <f t="shared" si="2"/>
        <v>85978.422900000005</v>
      </c>
      <c r="L17" s="34"/>
      <c r="M17" s="34">
        <f t="shared" si="3"/>
        <v>1334814.6677999999</v>
      </c>
      <c r="N17" s="34"/>
    </row>
    <row r="18" spans="1:14">
      <c r="A18" s="184">
        <v>15</v>
      </c>
      <c r="B18" s="207">
        <v>46310</v>
      </c>
      <c r="C18" s="34"/>
      <c r="D18" s="34"/>
      <c r="E18" s="250">
        <v>200</v>
      </c>
      <c r="F18" s="277">
        <v>99.13</v>
      </c>
      <c r="G18" s="34">
        <f t="shared" si="0"/>
        <v>19826</v>
      </c>
      <c r="H18" s="34"/>
      <c r="I18" s="34"/>
      <c r="J18" s="34">
        <f t="shared" si="1"/>
        <v>0</v>
      </c>
      <c r="K18" s="34">
        <f t="shared" si="2"/>
        <v>19826</v>
      </c>
      <c r="L18" s="34"/>
      <c r="M18" s="34">
        <f t="shared" si="3"/>
        <v>1354640.6677999999</v>
      </c>
      <c r="N18" s="34"/>
    </row>
    <row r="19" spans="1:14">
      <c r="A19" s="40">
        <v>16</v>
      </c>
      <c r="B19" s="207">
        <v>46311</v>
      </c>
      <c r="C19" s="34"/>
      <c r="D19" s="34"/>
      <c r="E19" s="250"/>
      <c r="F19" s="277"/>
      <c r="G19" s="34">
        <f t="shared" si="0"/>
        <v>0</v>
      </c>
      <c r="H19" s="34"/>
      <c r="I19" s="34"/>
      <c r="J19" s="34">
        <f t="shared" si="1"/>
        <v>0</v>
      </c>
      <c r="K19" s="34">
        <f t="shared" si="2"/>
        <v>0</v>
      </c>
      <c r="L19" s="34"/>
      <c r="M19" s="34">
        <f>M18+K19-L19</f>
        <v>1354640.6677999999</v>
      </c>
      <c r="N19" s="34"/>
    </row>
    <row r="20" spans="1:14">
      <c r="A20" s="184">
        <v>17</v>
      </c>
      <c r="B20" s="207">
        <v>46312</v>
      </c>
      <c r="C20" s="34"/>
      <c r="D20" s="34"/>
      <c r="E20" s="250"/>
      <c r="F20" s="277"/>
      <c r="G20" s="34">
        <f t="shared" si="0"/>
        <v>0</v>
      </c>
      <c r="H20" s="34"/>
      <c r="I20" s="34"/>
      <c r="J20" s="34">
        <f t="shared" si="1"/>
        <v>0</v>
      </c>
      <c r="K20" s="34">
        <f t="shared" si="2"/>
        <v>0</v>
      </c>
      <c r="L20" s="34"/>
      <c r="M20" s="34">
        <f t="shared" si="3"/>
        <v>1354640.6677999999</v>
      </c>
      <c r="N20" s="34"/>
    </row>
    <row r="21" spans="1:14">
      <c r="A21" s="40">
        <v>18</v>
      </c>
      <c r="B21" s="207">
        <v>46313</v>
      </c>
      <c r="C21" s="34"/>
      <c r="D21" s="34"/>
      <c r="E21" s="250"/>
      <c r="F21" s="277"/>
      <c r="G21" s="34">
        <f t="shared" si="0"/>
        <v>0</v>
      </c>
      <c r="H21" s="34"/>
      <c r="I21" s="34"/>
      <c r="J21" s="34">
        <f t="shared" si="1"/>
        <v>0</v>
      </c>
      <c r="K21" s="34">
        <f t="shared" si="2"/>
        <v>0</v>
      </c>
      <c r="L21" s="34"/>
      <c r="M21" s="34">
        <f t="shared" si="3"/>
        <v>1354640.6677999999</v>
      </c>
      <c r="N21" s="34"/>
    </row>
    <row r="22" spans="1:14">
      <c r="A22" s="184">
        <v>19</v>
      </c>
      <c r="B22" s="207">
        <v>46314</v>
      </c>
      <c r="C22" s="34"/>
      <c r="D22" s="34"/>
      <c r="E22" s="250"/>
      <c r="F22" s="277"/>
      <c r="G22" s="34">
        <f t="shared" si="0"/>
        <v>0</v>
      </c>
      <c r="H22" s="34"/>
      <c r="I22" s="34"/>
      <c r="J22" s="34">
        <f t="shared" si="1"/>
        <v>0</v>
      </c>
      <c r="K22" s="34">
        <f t="shared" si="2"/>
        <v>0</v>
      </c>
      <c r="L22" s="34"/>
      <c r="M22" s="34">
        <f t="shared" si="3"/>
        <v>1354640.6677999999</v>
      </c>
      <c r="N22" s="34"/>
    </row>
    <row r="23" spans="1:14">
      <c r="A23" s="40">
        <v>20</v>
      </c>
      <c r="B23" s="207">
        <v>46315</v>
      </c>
      <c r="C23" s="34"/>
      <c r="D23" s="34"/>
      <c r="E23" s="250"/>
      <c r="F23" s="277"/>
      <c r="G23" s="34">
        <f t="shared" si="0"/>
        <v>0</v>
      </c>
      <c r="H23" s="34"/>
      <c r="I23" s="34"/>
      <c r="J23" s="34">
        <f t="shared" si="1"/>
        <v>0</v>
      </c>
      <c r="K23" s="34">
        <f t="shared" si="2"/>
        <v>0</v>
      </c>
      <c r="L23" s="34"/>
      <c r="M23" s="34">
        <f t="shared" si="3"/>
        <v>1354640.6677999999</v>
      </c>
      <c r="N23" s="34"/>
    </row>
    <row r="24" spans="1:14">
      <c r="A24" s="184">
        <v>21</v>
      </c>
      <c r="B24" s="207">
        <v>46316</v>
      </c>
      <c r="C24" s="34"/>
      <c r="D24" s="34"/>
      <c r="E24" s="250"/>
      <c r="F24" s="277"/>
      <c r="G24" s="34">
        <f t="shared" si="0"/>
        <v>0</v>
      </c>
      <c r="H24" s="34"/>
      <c r="I24" s="34"/>
      <c r="J24" s="34">
        <f t="shared" si="1"/>
        <v>0</v>
      </c>
      <c r="K24" s="34">
        <f t="shared" si="2"/>
        <v>0</v>
      </c>
      <c r="L24" s="34"/>
      <c r="M24" s="34">
        <f t="shared" si="3"/>
        <v>1354640.6677999999</v>
      </c>
      <c r="N24" s="34"/>
    </row>
    <row r="25" spans="1:14">
      <c r="A25" s="40">
        <v>22</v>
      </c>
      <c r="B25" s="207">
        <v>46317</v>
      </c>
      <c r="C25" s="34"/>
      <c r="D25" s="34"/>
      <c r="E25" s="250"/>
      <c r="F25" s="277"/>
      <c r="G25" s="34">
        <f t="shared" si="0"/>
        <v>0</v>
      </c>
      <c r="H25" s="34"/>
      <c r="I25" s="34"/>
      <c r="J25" s="34">
        <f t="shared" si="1"/>
        <v>0</v>
      </c>
      <c r="K25" s="34">
        <f t="shared" si="2"/>
        <v>0</v>
      </c>
      <c r="L25" s="34"/>
      <c r="M25" s="34">
        <f t="shared" si="3"/>
        <v>1354640.6677999999</v>
      </c>
      <c r="N25" s="34"/>
    </row>
    <row r="26" spans="1:14">
      <c r="A26" s="184">
        <v>23</v>
      </c>
      <c r="B26" s="207">
        <v>46318</v>
      </c>
      <c r="C26" s="34"/>
      <c r="D26" s="34"/>
      <c r="E26" s="250"/>
      <c r="F26" s="277"/>
      <c r="G26" s="34">
        <f t="shared" si="0"/>
        <v>0</v>
      </c>
      <c r="H26" s="34"/>
      <c r="I26" s="34"/>
      <c r="J26" s="34">
        <f t="shared" si="1"/>
        <v>0</v>
      </c>
      <c r="K26" s="34">
        <f t="shared" si="2"/>
        <v>0</v>
      </c>
      <c r="L26" s="34"/>
      <c r="M26" s="34">
        <f t="shared" si="3"/>
        <v>1354640.6677999999</v>
      </c>
      <c r="N26" s="34"/>
    </row>
    <row r="27" spans="1:14">
      <c r="A27" s="40">
        <v>24</v>
      </c>
      <c r="B27" s="207">
        <v>46319</v>
      </c>
      <c r="C27" s="34"/>
      <c r="D27" s="34"/>
      <c r="E27" s="250"/>
      <c r="F27" s="277"/>
      <c r="G27" s="34">
        <f t="shared" si="0"/>
        <v>0</v>
      </c>
      <c r="H27" s="34"/>
      <c r="I27" s="34"/>
      <c r="J27" s="34">
        <f t="shared" si="1"/>
        <v>0</v>
      </c>
      <c r="K27" s="34">
        <f t="shared" si="2"/>
        <v>0</v>
      </c>
      <c r="L27" s="34"/>
      <c r="M27" s="34">
        <f t="shared" si="3"/>
        <v>1354640.6677999999</v>
      </c>
      <c r="N27" s="34"/>
    </row>
    <row r="28" spans="1:14">
      <c r="A28" s="184">
        <v>25</v>
      </c>
      <c r="B28" s="207">
        <v>46320</v>
      </c>
      <c r="C28" s="34"/>
      <c r="D28" s="34"/>
      <c r="E28" s="250"/>
      <c r="F28" s="277"/>
      <c r="G28" s="34">
        <f t="shared" si="0"/>
        <v>0</v>
      </c>
      <c r="H28" s="34"/>
      <c r="I28" s="34"/>
      <c r="J28" s="34">
        <f t="shared" si="1"/>
        <v>0</v>
      </c>
      <c r="K28" s="34">
        <f t="shared" si="2"/>
        <v>0</v>
      </c>
      <c r="L28" s="34"/>
      <c r="M28" s="34">
        <f t="shared" si="3"/>
        <v>1354640.6677999999</v>
      </c>
      <c r="N28" s="34"/>
    </row>
    <row r="29" spans="1:14">
      <c r="A29" s="40">
        <v>26</v>
      </c>
      <c r="B29" s="207">
        <v>46321</v>
      </c>
      <c r="C29" s="34"/>
      <c r="D29" s="34"/>
      <c r="E29" s="250"/>
      <c r="F29" s="277"/>
      <c r="G29" s="34">
        <f t="shared" si="0"/>
        <v>0</v>
      </c>
      <c r="H29" s="34"/>
      <c r="I29" s="34"/>
      <c r="J29" s="34">
        <f t="shared" si="1"/>
        <v>0</v>
      </c>
      <c r="K29" s="34">
        <f t="shared" si="2"/>
        <v>0</v>
      </c>
      <c r="L29" s="34"/>
      <c r="M29" s="34">
        <f t="shared" si="3"/>
        <v>1354640.6677999999</v>
      </c>
      <c r="N29" s="34"/>
    </row>
    <row r="30" spans="1:14">
      <c r="A30" s="184">
        <v>27</v>
      </c>
      <c r="B30" s="207">
        <v>46322</v>
      </c>
      <c r="C30" s="34"/>
      <c r="D30" s="34"/>
      <c r="E30" s="250"/>
      <c r="F30" s="277"/>
      <c r="G30" s="34">
        <f t="shared" si="0"/>
        <v>0</v>
      </c>
      <c r="H30" s="34"/>
      <c r="I30" s="34"/>
      <c r="J30" s="34">
        <f t="shared" si="1"/>
        <v>0</v>
      </c>
      <c r="K30" s="34">
        <f t="shared" si="2"/>
        <v>0</v>
      </c>
      <c r="L30" s="34"/>
      <c r="M30" s="34">
        <f t="shared" si="3"/>
        <v>1354640.6677999999</v>
      </c>
      <c r="N30" s="34"/>
    </row>
    <row r="31" spans="1:14">
      <c r="A31" s="40">
        <v>28</v>
      </c>
      <c r="B31" s="207">
        <v>46323</v>
      </c>
      <c r="C31" s="34"/>
      <c r="D31" s="34"/>
      <c r="E31" s="250"/>
      <c r="F31" s="277"/>
      <c r="G31" s="34">
        <f t="shared" si="0"/>
        <v>0</v>
      </c>
      <c r="H31" s="34"/>
      <c r="I31" s="34"/>
      <c r="J31" s="34">
        <f t="shared" si="1"/>
        <v>0</v>
      </c>
      <c r="K31" s="34">
        <f t="shared" si="2"/>
        <v>0</v>
      </c>
      <c r="L31" s="34"/>
      <c r="M31" s="34">
        <f t="shared" si="3"/>
        <v>1354640.6677999999</v>
      </c>
      <c r="N31" s="34"/>
    </row>
    <row r="32" spans="1:14">
      <c r="A32" s="184">
        <v>29</v>
      </c>
      <c r="B32" s="207">
        <v>46324</v>
      </c>
      <c r="C32" s="34"/>
      <c r="D32" s="34"/>
      <c r="E32" s="250"/>
      <c r="F32" s="277"/>
      <c r="G32" s="34">
        <f t="shared" si="0"/>
        <v>0</v>
      </c>
      <c r="H32" s="34"/>
      <c r="I32" s="34"/>
      <c r="J32" s="34">
        <f t="shared" si="1"/>
        <v>0</v>
      </c>
      <c r="K32" s="34">
        <f t="shared" si="2"/>
        <v>0</v>
      </c>
      <c r="L32" s="34"/>
      <c r="M32" s="34">
        <f t="shared" si="3"/>
        <v>1354640.6677999999</v>
      </c>
      <c r="N32" s="34"/>
    </row>
    <row r="33" spans="1:14">
      <c r="A33" s="40">
        <v>30</v>
      </c>
      <c r="B33" s="207">
        <v>46325</v>
      </c>
      <c r="C33" s="34"/>
      <c r="D33" s="34"/>
      <c r="E33" s="250"/>
      <c r="F33" s="277"/>
      <c r="G33" s="34">
        <f>E33*F33</f>
        <v>0</v>
      </c>
      <c r="H33" s="34"/>
      <c r="I33" s="34"/>
      <c r="J33" s="34">
        <f>H33*I33</f>
        <v>0</v>
      </c>
      <c r="K33" s="34">
        <f>G33+J33</f>
        <v>0</v>
      </c>
      <c r="L33" s="34"/>
      <c r="M33" s="34">
        <f>M32+K33-L33</f>
        <v>1354640.6677999999</v>
      </c>
      <c r="N33" s="34"/>
    </row>
    <row r="34" spans="1:14">
      <c r="A34" s="184">
        <v>31</v>
      </c>
      <c r="B34" s="207">
        <v>46326</v>
      </c>
      <c r="C34" s="34"/>
      <c r="D34" s="34"/>
      <c r="E34" s="250"/>
      <c r="F34" s="277"/>
      <c r="G34" s="34">
        <f t="shared" si="0"/>
        <v>0</v>
      </c>
      <c r="H34" s="34"/>
      <c r="I34" s="34"/>
      <c r="J34" s="34">
        <f t="shared" si="1"/>
        <v>0</v>
      </c>
      <c r="K34" s="34">
        <f t="shared" si="2"/>
        <v>0</v>
      </c>
      <c r="L34" s="34"/>
      <c r="M34" s="34">
        <f>M32+K34-L34</f>
        <v>1354640.6677999999</v>
      </c>
      <c r="N34" s="34"/>
    </row>
    <row r="35" spans="1:14">
      <c r="A35" s="170"/>
      <c r="B35" s="170"/>
      <c r="C35" s="170"/>
      <c r="D35" s="170"/>
      <c r="E35" s="170">
        <f>SUM(E4:E34)</f>
        <v>6567.0599999999995</v>
      </c>
      <c r="F35" s="170"/>
      <c r="G35" s="170">
        <f>SUM(G4:G34)</f>
        <v>650992.65779999993</v>
      </c>
      <c r="H35" s="170">
        <f>SUM(H4:H34)</f>
        <v>0</v>
      </c>
      <c r="I35" s="170"/>
      <c r="J35" s="170">
        <f>SUM(J4:J34)</f>
        <v>0</v>
      </c>
      <c r="K35" s="170">
        <f>SUM(K4:K34)</f>
        <v>650992.65779999993</v>
      </c>
      <c r="L35" s="170">
        <f>SUM(L4:L34)</f>
        <v>0</v>
      </c>
      <c r="M35" s="170"/>
      <c r="N35" s="17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sheetPr>
    <tabColor rgb="FF002060"/>
  </sheetPr>
  <dimension ref="A1:P35"/>
  <sheetViews>
    <sheetView workbookViewId="0">
      <pane ySplit="3" topLeftCell="A9" activePane="bottomLeft" state="frozen"/>
      <selection pane="bottomLeft" activeCell="J18" sqref="J18"/>
    </sheetView>
  </sheetViews>
  <sheetFormatPr defaultRowHeight="15"/>
  <cols>
    <col min="2" max="2" width="9.85546875" customWidth="1"/>
    <col min="4" max="4" width="12.85546875" customWidth="1"/>
    <col min="5" max="5" width="13" customWidth="1"/>
    <col min="7" max="7" width="10" customWidth="1"/>
    <col min="8" max="8" width="12.5703125" customWidth="1"/>
    <col min="11" max="11" width="13.5703125" bestFit="1" customWidth="1"/>
    <col min="12" max="12" width="23.42578125" customWidth="1"/>
    <col min="13" max="13" width="12.5703125" bestFit="1" customWidth="1"/>
    <col min="14" max="14" width="18" customWidth="1"/>
    <col min="15" max="15" width="9.7109375" customWidth="1"/>
    <col min="18" max="18" width="13.7109375" customWidth="1"/>
  </cols>
  <sheetData>
    <row r="1" spans="1:16" ht="15.75">
      <c r="A1" s="602" t="s">
        <v>148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4"/>
    </row>
    <row r="2" spans="1:16" ht="19.5" customHeight="1">
      <c r="A2" s="117" t="s">
        <v>0</v>
      </c>
      <c r="B2" s="201" t="s">
        <v>167</v>
      </c>
      <c r="C2" s="201" t="s">
        <v>168</v>
      </c>
      <c r="D2" s="201" t="s">
        <v>189</v>
      </c>
      <c r="E2" s="201" t="s">
        <v>170</v>
      </c>
      <c r="F2" s="201" t="s">
        <v>171</v>
      </c>
      <c r="G2" s="201" t="s">
        <v>172</v>
      </c>
      <c r="H2" s="201" t="s">
        <v>173</v>
      </c>
      <c r="I2" s="201" t="s">
        <v>171</v>
      </c>
      <c r="J2" s="201" t="s">
        <v>172</v>
      </c>
      <c r="K2" s="164" t="s">
        <v>174</v>
      </c>
      <c r="L2" s="164" t="s">
        <v>175</v>
      </c>
      <c r="M2" s="164" t="s">
        <v>190</v>
      </c>
      <c r="N2" s="201" t="s">
        <v>177</v>
      </c>
    </row>
    <row r="3" spans="1:16">
      <c r="A3" s="605" t="s">
        <v>178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7"/>
      <c r="M3" s="605">
        <v>693317.08</v>
      </c>
      <c r="N3" s="607"/>
    </row>
    <row r="4" spans="1:16">
      <c r="A4" s="184">
        <v>1</v>
      </c>
      <c r="B4" s="207">
        <v>46296</v>
      </c>
      <c r="C4" s="34"/>
      <c r="D4" s="34"/>
      <c r="E4" s="250">
        <v>515.92999999999995</v>
      </c>
      <c r="F4" s="277">
        <v>99.37</v>
      </c>
      <c r="G4" s="34">
        <f>E4*F4</f>
        <v>51267.964099999997</v>
      </c>
      <c r="H4" s="34">
        <v>5</v>
      </c>
      <c r="I4" s="34">
        <v>111.46</v>
      </c>
      <c r="J4" s="34">
        <f>H4*I4</f>
        <v>557.29999999999995</v>
      </c>
      <c r="K4" s="34">
        <f>G4+J4</f>
        <v>51825.2641</v>
      </c>
      <c r="L4" s="34"/>
      <c r="M4" s="34">
        <f>M3+K4-L4</f>
        <v>745142.34409999999</v>
      </c>
      <c r="N4" s="34"/>
    </row>
    <row r="5" spans="1:16">
      <c r="A5" s="40">
        <v>2</v>
      </c>
      <c r="B5" s="207">
        <v>46297</v>
      </c>
      <c r="C5" s="34"/>
      <c r="D5" s="34"/>
      <c r="E5" s="250"/>
      <c r="F5" s="277"/>
      <c r="G5" s="34">
        <f t="shared" ref="G5:G34" si="0">E5*F5</f>
        <v>0</v>
      </c>
      <c r="H5" s="34">
        <v>20</v>
      </c>
      <c r="I5" s="34">
        <v>111.46</v>
      </c>
      <c r="J5" s="34">
        <f t="shared" ref="J5:J33" si="1">H5*I5</f>
        <v>2229.1999999999998</v>
      </c>
      <c r="K5" s="34">
        <f t="shared" ref="K5:K11" si="2">G5+J5</f>
        <v>2229.1999999999998</v>
      </c>
      <c r="L5" s="34"/>
      <c r="M5" s="34">
        <f t="shared" ref="M5:M14" si="3">M4+K5-L5</f>
        <v>747371.54409999994</v>
      </c>
      <c r="N5" s="34"/>
    </row>
    <row r="6" spans="1:16">
      <c r="A6" s="184">
        <v>3</v>
      </c>
      <c r="B6" s="207">
        <v>46298</v>
      </c>
      <c r="C6" s="34"/>
      <c r="D6" s="34"/>
      <c r="E6" s="250">
        <v>445.59</v>
      </c>
      <c r="F6" s="277">
        <v>99.37</v>
      </c>
      <c r="G6" s="34">
        <f t="shared" si="0"/>
        <v>44278.278299999998</v>
      </c>
      <c r="H6" s="34">
        <v>25</v>
      </c>
      <c r="I6" s="34">
        <v>111.46</v>
      </c>
      <c r="J6" s="34">
        <f t="shared" si="1"/>
        <v>2786.5</v>
      </c>
      <c r="K6" s="34">
        <f t="shared" si="2"/>
        <v>47064.778299999998</v>
      </c>
      <c r="L6" s="34"/>
      <c r="M6" s="34">
        <f t="shared" si="3"/>
        <v>794436.32239999995</v>
      </c>
      <c r="N6" s="34"/>
    </row>
    <row r="7" spans="1:16">
      <c r="A7" s="40">
        <v>4</v>
      </c>
      <c r="B7" s="207">
        <v>46299</v>
      </c>
      <c r="C7" s="34"/>
      <c r="D7" s="34"/>
      <c r="E7" s="250">
        <v>233.31</v>
      </c>
      <c r="F7" s="277">
        <v>99.37</v>
      </c>
      <c r="G7" s="34">
        <f t="shared" si="0"/>
        <v>23184.0147</v>
      </c>
      <c r="H7" s="34">
        <v>15</v>
      </c>
      <c r="I7" s="34">
        <v>111.46</v>
      </c>
      <c r="J7" s="34">
        <f t="shared" si="1"/>
        <v>1671.8999999999999</v>
      </c>
      <c r="K7" s="34">
        <f t="shared" si="2"/>
        <v>24855.914700000001</v>
      </c>
      <c r="L7" s="34"/>
      <c r="M7" s="34">
        <f t="shared" si="3"/>
        <v>819292.23709999991</v>
      </c>
      <c r="N7" s="34"/>
    </row>
    <row r="8" spans="1:16">
      <c r="A8" s="184">
        <v>5</v>
      </c>
      <c r="B8" s="207">
        <v>46300</v>
      </c>
      <c r="C8" s="34"/>
      <c r="D8" s="34"/>
      <c r="E8" s="250">
        <v>311.39999999999998</v>
      </c>
      <c r="F8" s="277">
        <v>99.37</v>
      </c>
      <c r="G8" s="34">
        <f t="shared" si="0"/>
        <v>30943.817999999999</v>
      </c>
      <c r="H8" s="34">
        <v>30</v>
      </c>
      <c r="I8" s="34">
        <v>111.46</v>
      </c>
      <c r="J8" s="34">
        <f t="shared" si="1"/>
        <v>3343.7999999999997</v>
      </c>
      <c r="K8" s="34">
        <f t="shared" si="2"/>
        <v>34287.618000000002</v>
      </c>
      <c r="L8" s="34"/>
      <c r="M8" s="34">
        <f t="shared" si="3"/>
        <v>853579.85509999993</v>
      </c>
      <c r="N8" s="34"/>
    </row>
    <row r="9" spans="1:16">
      <c r="A9" s="40">
        <v>6</v>
      </c>
      <c r="B9" s="207">
        <v>46301</v>
      </c>
      <c r="C9" s="34"/>
      <c r="D9" s="34"/>
      <c r="E9" s="250">
        <v>977.53</v>
      </c>
      <c r="F9" s="277">
        <v>99.37</v>
      </c>
      <c r="G9" s="34">
        <f t="shared" si="0"/>
        <v>97137.156100000007</v>
      </c>
      <c r="H9" s="34">
        <v>15</v>
      </c>
      <c r="I9" s="34">
        <v>111.46</v>
      </c>
      <c r="J9" s="34">
        <f t="shared" si="1"/>
        <v>1671.8999999999999</v>
      </c>
      <c r="K9" s="34">
        <f t="shared" si="2"/>
        <v>98809.056100000002</v>
      </c>
      <c r="L9" s="34"/>
      <c r="M9" s="34">
        <f t="shared" si="3"/>
        <v>952388.91119999997</v>
      </c>
      <c r="N9" s="34"/>
    </row>
    <row r="10" spans="1:16">
      <c r="A10" s="184">
        <v>7</v>
      </c>
      <c r="B10" s="207">
        <v>46302</v>
      </c>
      <c r="C10" s="34"/>
      <c r="D10" s="34"/>
      <c r="E10" s="250">
        <v>474.5</v>
      </c>
      <c r="F10" s="277">
        <v>99.37</v>
      </c>
      <c r="G10" s="34">
        <f>E10*F10</f>
        <v>47151.065000000002</v>
      </c>
      <c r="H10" s="34">
        <v>5</v>
      </c>
      <c r="I10" s="34">
        <v>111.46</v>
      </c>
      <c r="J10" s="34">
        <f t="shared" si="1"/>
        <v>557.29999999999995</v>
      </c>
      <c r="K10" s="34">
        <f>G10+J10</f>
        <v>47708.365000000005</v>
      </c>
      <c r="L10" s="34"/>
      <c r="M10" s="34">
        <f t="shared" si="3"/>
        <v>1000097.2762</v>
      </c>
      <c r="N10" s="34"/>
    </row>
    <row r="11" spans="1:16">
      <c r="A11" s="40">
        <v>8</v>
      </c>
      <c r="B11" s="207">
        <v>46303</v>
      </c>
      <c r="C11" s="34"/>
      <c r="D11" s="34"/>
      <c r="E11" s="250">
        <v>735.61</v>
      </c>
      <c r="F11" s="277">
        <v>99.37</v>
      </c>
      <c r="G11" s="34">
        <f t="shared" si="0"/>
        <v>73097.565700000006</v>
      </c>
      <c r="H11" s="34">
        <v>10</v>
      </c>
      <c r="I11" s="34">
        <v>111.46</v>
      </c>
      <c r="J11" s="34">
        <f t="shared" si="1"/>
        <v>1114.5999999999999</v>
      </c>
      <c r="K11" s="34">
        <f t="shared" si="2"/>
        <v>74212.165700000012</v>
      </c>
      <c r="L11" s="34"/>
      <c r="M11" s="34">
        <f t="shared" si="3"/>
        <v>1074309.4419</v>
      </c>
      <c r="N11" s="34"/>
      <c r="P11" s="19"/>
    </row>
    <row r="12" spans="1:16">
      <c r="A12" s="184">
        <v>9</v>
      </c>
      <c r="B12" s="207">
        <v>46304</v>
      </c>
      <c r="C12" s="34"/>
      <c r="D12" s="34"/>
      <c r="E12" s="250">
        <v>625.71</v>
      </c>
      <c r="F12" s="277">
        <v>99.37</v>
      </c>
      <c r="G12" s="34">
        <f t="shared" si="0"/>
        <v>62176.802700000007</v>
      </c>
      <c r="H12" s="34">
        <v>5</v>
      </c>
      <c r="I12" s="34">
        <v>111.46</v>
      </c>
      <c r="J12" s="34">
        <f t="shared" si="1"/>
        <v>557.29999999999995</v>
      </c>
      <c r="K12" s="34">
        <f t="shared" ref="K5:K33" si="4">G12+J12</f>
        <v>62734.10270000001</v>
      </c>
      <c r="L12" s="34"/>
      <c r="M12" s="34">
        <f t="shared" si="3"/>
        <v>1137043.5445999999</v>
      </c>
      <c r="N12" s="34"/>
    </row>
    <row r="13" spans="1:16">
      <c r="A13" s="40">
        <v>10</v>
      </c>
      <c r="B13" s="207">
        <v>46305</v>
      </c>
      <c r="C13" s="34"/>
      <c r="D13" s="34"/>
      <c r="E13" s="250">
        <v>364.43</v>
      </c>
      <c r="F13" s="277">
        <v>99.37</v>
      </c>
      <c r="G13" s="34">
        <f t="shared" si="0"/>
        <v>36213.409100000004</v>
      </c>
      <c r="H13" s="34">
        <v>20</v>
      </c>
      <c r="I13" s="34">
        <v>111.46</v>
      </c>
      <c r="J13" s="34">
        <f t="shared" si="1"/>
        <v>2229.1999999999998</v>
      </c>
      <c r="K13" s="34">
        <f t="shared" si="4"/>
        <v>38442.609100000001</v>
      </c>
      <c r="L13" s="34"/>
      <c r="M13" s="34">
        <f t="shared" si="3"/>
        <v>1175486.1536999999</v>
      </c>
      <c r="N13" s="34"/>
    </row>
    <row r="14" spans="1:16">
      <c r="A14" s="184">
        <v>11</v>
      </c>
      <c r="B14" s="207">
        <v>46306</v>
      </c>
      <c r="C14" s="34"/>
      <c r="D14" s="34"/>
      <c r="E14" s="250">
        <v>0</v>
      </c>
      <c r="F14" s="277">
        <v>99.37</v>
      </c>
      <c r="G14" s="34">
        <f t="shared" si="0"/>
        <v>0</v>
      </c>
      <c r="H14" s="34">
        <v>10</v>
      </c>
      <c r="I14" s="34">
        <v>111.46</v>
      </c>
      <c r="J14" s="34">
        <f t="shared" si="1"/>
        <v>1114.5999999999999</v>
      </c>
      <c r="K14" s="34">
        <f t="shared" si="4"/>
        <v>1114.5999999999999</v>
      </c>
      <c r="L14" s="34"/>
      <c r="M14" s="34">
        <f t="shared" si="3"/>
        <v>1176600.7537</v>
      </c>
      <c r="N14" s="34"/>
    </row>
    <row r="15" spans="1:16">
      <c r="A15" s="40">
        <v>12</v>
      </c>
      <c r="B15" s="207">
        <v>46307</v>
      </c>
      <c r="C15" s="34"/>
      <c r="D15" s="34"/>
      <c r="E15" s="250">
        <v>310.89999999999998</v>
      </c>
      <c r="F15" s="277">
        <v>99.37</v>
      </c>
      <c r="G15" s="34">
        <f t="shared" si="0"/>
        <v>30894.132999999998</v>
      </c>
      <c r="H15" s="34">
        <v>20</v>
      </c>
      <c r="I15" s="34">
        <v>111.46</v>
      </c>
      <c r="J15" s="34">
        <f t="shared" si="1"/>
        <v>2229.1999999999998</v>
      </c>
      <c r="K15" s="34">
        <f t="shared" si="4"/>
        <v>33123.332999999999</v>
      </c>
      <c r="L15" s="34"/>
      <c r="M15" s="34">
        <f t="shared" ref="M5:M34" si="5">M14+K15-L15</f>
        <v>1209724.0867000001</v>
      </c>
      <c r="N15" s="34"/>
    </row>
    <row r="16" spans="1:16">
      <c r="A16" s="184">
        <v>13</v>
      </c>
      <c r="B16" s="207">
        <v>46308</v>
      </c>
      <c r="C16" s="34"/>
      <c r="D16" s="34"/>
      <c r="E16" s="250">
        <v>171.94</v>
      </c>
      <c r="F16" s="277">
        <v>99.37</v>
      </c>
      <c r="G16" s="34">
        <f t="shared" si="0"/>
        <v>17085.677800000001</v>
      </c>
      <c r="H16" s="34">
        <v>5</v>
      </c>
      <c r="I16" s="34">
        <v>111.46</v>
      </c>
      <c r="J16" s="34">
        <f t="shared" si="1"/>
        <v>557.29999999999995</v>
      </c>
      <c r="K16" s="34">
        <f t="shared" si="4"/>
        <v>17642.977800000001</v>
      </c>
      <c r="L16" s="34"/>
      <c r="M16" s="34">
        <f t="shared" si="5"/>
        <v>1227367.0645000001</v>
      </c>
      <c r="N16" s="34"/>
    </row>
    <row r="17" spans="1:15">
      <c r="A17" s="40">
        <v>14</v>
      </c>
      <c r="B17" s="207">
        <v>46309</v>
      </c>
      <c r="C17" s="34"/>
      <c r="D17" s="34"/>
      <c r="E17" s="250">
        <v>27.76</v>
      </c>
      <c r="F17" s="277">
        <v>99.37</v>
      </c>
      <c r="G17" s="34">
        <f t="shared" si="0"/>
        <v>2758.5112000000004</v>
      </c>
      <c r="H17" s="34">
        <v>5</v>
      </c>
      <c r="I17" s="34">
        <v>111.46</v>
      </c>
      <c r="J17" s="34">
        <f t="shared" si="1"/>
        <v>557.29999999999995</v>
      </c>
      <c r="K17" s="34">
        <f t="shared" si="4"/>
        <v>3315.8112000000001</v>
      </c>
      <c r="L17" s="34"/>
      <c r="M17" s="34">
        <f t="shared" si="5"/>
        <v>1230682.8757000002</v>
      </c>
      <c r="N17" s="34"/>
    </row>
    <row r="18" spans="1:15">
      <c r="A18" s="184">
        <v>15</v>
      </c>
      <c r="B18" s="207">
        <v>46310</v>
      </c>
      <c r="C18" s="34"/>
      <c r="D18" s="34"/>
      <c r="E18" s="250"/>
      <c r="F18" s="277"/>
      <c r="G18" s="34">
        <f t="shared" si="0"/>
        <v>0</v>
      </c>
      <c r="H18" s="34">
        <v>25</v>
      </c>
      <c r="I18" s="34">
        <v>111.46</v>
      </c>
      <c r="J18" s="34">
        <f t="shared" si="1"/>
        <v>2786.5</v>
      </c>
      <c r="K18" s="34">
        <f t="shared" si="4"/>
        <v>2786.5</v>
      </c>
      <c r="L18" s="34"/>
      <c r="M18" s="34">
        <f t="shared" si="5"/>
        <v>1233469.3757000002</v>
      </c>
      <c r="N18" s="34"/>
    </row>
    <row r="19" spans="1:15">
      <c r="A19" s="40">
        <v>16</v>
      </c>
      <c r="B19" s="207">
        <v>46311</v>
      </c>
      <c r="C19" s="34"/>
      <c r="D19" s="34"/>
      <c r="E19" s="250"/>
      <c r="F19" s="277"/>
      <c r="G19" s="34">
        <f t="shared" si="0"/>
        <v>0</v>
      </c>
      <c r="H19" s="34"/>
      <c r="I19" s="34"/>
      <c r="J19" s="34">
        <f t="shared" si="1"/>
        <v>0</v>
      </c>
      <c r="K19" s="34">
        <f t="shared" si="4"/>
        <v>0</v>
      </c>
      <c r="L19" s="34"/>
      <c r="M19" s="34">
        <f t="shared" si="5"/>
        <v>1233469.3757000002</v>
      </c>
      <c r="N19" s="34"/>
    </row>
    <row r="20" spans="1:15">
      <c r="A20" s="184">
        <v>17</v>
      </c>
      <c r="B20" s="207">
        <v>46312</v>
      </c>
      <c r="C20" s="34"/>
      <c r="D20" s="34"/>
      <c r="E20" s="250"/>
      <c r="F20" s="277"/>
      <c r="G20" s="34">
        <f t="shared" si="0"/>
        <v>0</v>
      </c>
      <c r="H20" s="34"/>
      <c r="I20" s="34"/>
      <c r="J20" s="34">
        <f t="shared" si="1"/>
        <v>0</v>
      </c>
      <c r="K20" s="34">
        <f t="shared" si="4"/>
        <v>0</v>
      </c>
      <c r="L20" s="34"/>
      <c r="M20" s="34">
        <f t="shared" si="5"/>
        <v>1233469.3757000002</v>
      </c>
      <c r="N20" s="34"/>
      <c r="O20" s="19"/>
    </row>
    <row r="21" spans="1:15">
      <c r="A21" s="40">
        <v>18</v>
      </c>
      <c r="B21" s="207">
        <v>46313</v>
      </c>
      <c r="C21" s="34"/>
      <c r="D21" s="34"/>
      <c r="E21" s="250"/>
      <c r="F21" s="277"/>
      <c r="G21" s="34">
        <f t="shared" si="0"/>
        <v>0</v>
      </c>
      <c r="H21" s="34"/>
      <c r="I21" s="34"/>
      <c r="J21" s="34">
        <f t="shared" si="1"/>
        <v>0</v>
      </c>
      <c r="K21" s="34">
        <f t="shared" si="4"/>
        <v>0</v>
      </c>
      <c r="L21" s="34"/>
      <c r="M21" s="34">
        <f>M20+K21-L21</f>
        <v>1233469.3757000002</v>
      </c>
      <c r="N21" s="34"/>
    </row>
    <row r="22" spans="1:15">
      <c r="A22" s="184">
        <v>19</v>
      </c>
      <c r="B22" s="207">
        <v>46314</v>
      </c>
      <c r="C22" s="34"/>
      <c r="D22" s="34"/>
      <c r="E22" s="250"/>
      <c r="F22" s="277"/>
      <c r="G22" s="34">
        <f t="shared" si="0"/>
        <v>0</v>
      </c>
      <c r="H22" s="34"/>
      <c r="I22" s="34"/>
      <c r="J22" s="34">
        <f t="shared" si="1"/>
        <v>0</v>
      </c>
      <c r="K22" s="34">
        <f t="shared" si="4"/>
        <v>0</v>
      </c>
      <c r="L22" s="34"/>
      <c r="M22" s="34">
        <f t="shared" si="5"/>
        <v>1233469.3757000002</v>
      </c>
      <c r="N22" s="34"/>
    </row>
    <row r="23" spans="1:15">
      <c r="A23" s="40">
        <v>20</v>
      </c>
      <c r="B23" s="207">
        <v>46315</v>
      </c>
      <c r="C23" s="34"/>
      <c r="D23" s="34"/>
      <c r="E23" s="250"/>
      <c r="F23" s="277"/>
      <c r="G23" s="34">
        <f t="shared" si="0"/>
        <v>0</v>
      </c>
      <c r="H23" s="34"/>
      <c r="I23" s="34"/>
      <c r="J23" s="34">
        <f t="shared" si="1"/>
        <v>0</v>
      </c>
      <c r="K23" s="34">
        <f t="shared" si="4"/>
        <v>0</v>
      </c>
      <c r="L23" s="34"/>
      <c r="M23" s="34">
        <f t="shared" si="5"/>
        <v>1233469.3757000002</v>
      </c>
      <c r="N23" s="34"/>
    </row>
    <row r="24" spans="1:15">
      <c r="A24" s="184">
        <v>21</v>
      </c>
      <c r="B24" s="207">
        <v>46316</v>
      </c>
      <c r="C24" s="34"/>
      <c r="D24" s="34"/>
      <c r="E24" s="250"/>
      <c r="F24" s="277"/>
      <c r="G24" s="34">
        <f t="shared" si="0"/>
        <v>0</v>
      </c>
      <c r="H24" s="34"/>
      <c r="I24" s="34"/>
      <c r="J24" s="34">
        <f t="shared" si="1"/>
        <v>0</v>
      </c>
      <c r="K24" s="34">
        <f t="shared" si="4"/>
        <v>0</v>
      </c>
      <c r="L24" s="34"/>
      <c r="M24" s="34">
        <f t="shared" si="5"/>
        <v>1233469.3757000002</v>
      </c>
      <c r="N24" s="34"/>
    </row>
    <row r="25" spans="1:15">
      <c r="A25" s="40">
        <v>22</v>
      </c>
      <c r="B25" s="207">
        <v>46317</v>
      </c>
      <c r="C25" s="34"/>
      <c r="D25" s="34"/>
      <c r="E25" s="250"/>
      <c r="F25" s="277"/>
      <c r="G25" s="34">
        <f t="shared" si="0"/>
        <v>0</v>
      </c>
      <c r="H25" s="34"/>
      <c r="I25" s="34"/>
      <c r="J25" s="34">
        <f t="shared" si="1"/>
        <v>0</v>
      </c>
      <c r="K25" s="34">
        <f t="shared" si="4"/>
        <v>0</v>
      </c>
      <c r="L25" s="34"/>
      <c r="M25" s="34">
        <f t="shared" si="5"/>
        <v>1233469.3757000002</v>
      </c>
      <c r="N25" s="34"/>
    </row>
    <row r="26" spans="1:15">
      <c r="A26" s="184">
        <v>23</v>
      </c>
      <c r="B26" s="207">
        <v>46318</v>
      </c>
      <c r="C26" s="34"/>
      <c r="D26" s="34"/>
      <c r="E26" s="250"/>
      <c r="F26" s="277"/>
      <c r="G26" s="34">
        <f t="shared" si="0"/>
        <v>0</v>
      </c>
      <c r="H26" s="34"/>
      <c r="I26" s="34"/>
      <c r="J26" s="34">
        <f t="shared" si="1"/>
        <v>0</v>
      </c>
      <c r="K26" s="34">
        <f t="shared" si="4"/>
        <v>0</v>
      </c>
      <c r="L26" s="34"/>
      <c r="M26" s="34">
        <f t="shared" si="5"/>
        <v>1233469.3757000002</v>
      </c>
      <c r="N26" s="34"/>
    </row>
    <row r="27" spans="1:15">
      <c r="A27" s="40">
        <v>24</v>
      </c>
      <c r="B27" s="207">
        <v>46319</v>
      </c>
      <c r="C27" s="34"/>
      <c r="D27" s="34"/>
      <c r="E27" s="250"/>
      <c r="F27" s="277"/>
      <c r="G27" s="34">
        <f t="shared" si="0"/>
        <v>0</v>
      </c>
      <c r="H27" s="34"/>
      <c r="I27" s="34"/>
      <c r="J27" s="34">
        <f t="shared" si="1"/>
        <v>0</v>
      </c>
      <c r="K27" s="34">
        <f t="shared" si="4"/>
        <v>0</v>
      </c>
      <c r="L27" s="34"/>
      <c r="M27" s="34">
        <f t="shared" si="5"/>
        <v>1233469.3757000002</v>
      </c>
      <c r="N27" s="34"/>
    </row>
    <row r="28" spans="1:15">
      <c r="A28" s="184">
        <v>25</v>
      </c>
      <c r="B28" s="207">
        <v>46320</v>
      </c>
      <c r="C28" s="34"/>
      <c r="D28" s="34"/>
      <c r="E28" s="250"/>
      <c r="F28" s="277"/>
      <c r="G28" s="34">
        <f t="shared" si="0"/>
        <v>0</v>
      </c>
      <c r="H28" s="34"/>
      <c r="I28" s="34"/>
      <c r="J28" s="34">
        <f t="shared" si="1"/>
        <v>0</v>
      </c>
      <c r="K28" s="34">
        <f t="shared" si="4"/>
        <v>0</v>
      </c>
      <c r="L28" s="34"/>
      <c r="M28" s="34">
        <f t="shared" si="5"/>
        <v>1233469.3757000002</v>
      </c>
      <c r="N28" s="34"/>
    </row>
    <row r="29" spans="1:15">
      <c r="A29" s="40">
        <v>26</v>
      </c>
      <c r="B29" s="207">
        <v>46321</v>
      </c>
      <c r="C29" s="34"/>
      <c r="D29" s="34"/>
      <c r="E29" s="250"/>
      <c r="F29" s="277"/>
      <c r="G29" s="34">
        <f t="shared" si="0"/>
        <v>0</v>
      </c>
      <c r="H29" s="34"/>
      <c r="I29" s="34"/>
      <c r="J29" s="34">
        <f t="shared" si="1"/>
        <v>0</v>
      </c>
      <c r="K29" s="34">
        <f t="shared" si="4"/>
        <v>0</v>
      </c>
      <c r="L29" s="34"/>
      <c r="M29" s="34">
        <f t="shared" si="5"/>
        <v>1233469.3757000002</v>
      </c>
      <c r="N29" s="34"/>
    </row>
    <row r="30" spans="1:15">
      <c r="A30" s="184">
        <v>27</v>
      </c>
      <c r="B30" s="207">
        <v>46322</v>
      </c>
      <c r="C30" s="34"/>
      <c r="D30" s="34"/>
      <c r="E30" s="250"/>
      <c r="F30" s="277"/>
      <c r="G30" s="34">
        <f t="shared" si="0"/>
        <v>0</v>
      </c>
      <c r="H30" s="34"/>
      <c r="I30" s="34"/>
      <c r="J30" s="34">
        <f t="shared" si="1"/>
        <v>0</v>
      </c>
      <c r="K30" s="34">
        <f t="shared" si="4"/>
        <v>0</v>
      </c>
      <c r="L30" s="34"/>
      <c r="M30" s="34">
        <f t="shared" si="5"/>
        <v>1233469.3757000002</v>
      </c>
      <c r="N30" s="34"/>
    </row>
    <row r="31" spans="1:15">
      <c r="A31" s="40">
        <v>28</v>
      </c>
      <c r="B31" s="207">
        <v>46323</v>
      </c>
      <c r="C31" s="200"/>
      <c r="D31" s="200"/>
      <c r="E31" s="402"/>
      <c r="F31" s="277"/>
      <c r="G31" s="200">
        <f t="shared" si="0"/>
        <v>0</v>
      </c>
      <c r="H31" s="200"/>
      <c r="I31" s="34"/>
      <c r="J31" s="200">
        <f t="shared" si="1"/>
        <v>0</v>
      </c>
      <c r="K31" s="200">
        <f t="shared" si="4"/>
        <v>0</v>
      </c>
      <c r="L31" s="200"/>
      <c r="M31" s="200">
        <f t="shared" si="5"/>
        <v>1233469.3757000002</v>
      </c>
      <c r="N31" s="200"/>
    </row>
    <row r="32" spans="1:15">
      <c r="A32" s="184">
        <v>29</v>
      </c>
      <c r="B32" s="207">
        <v>46324</v>
      </c>
      <c r="C32" s="34"/>
      <c r="D32" s="34"/>
      <c r="E32" s="250"/>
      <c r="F32" s="277"/>
      <c r="G32" s="34">
        <f t="shared" si="0"/>
        <v>0</v>
      </c>
      <c r="H32" s="34"/>
      <c r="I32" s="34"/>
      <c r="J32" s="34">
        <f t="shared" si="1"/>
        <v>0</v>
      </c>
      <c r="K32" s="34">
        <f t="shared" si="4"/>
        <v>0</v>
      </c>
      <c r="L32" s="34"/>
      <c r="M32" s="34">
        <f t="shared" si="5"/>
        <v>1233469.3757000002</v>
      </c>
      <c r="N32" s="34"/>
    </row>
    <row r="33" spans="1:14">
      <c r="A33" s="40">
        <v>30</v>
      </c>
      <c r="B33" s="207">
        <v>46325</v>
      </c>
      <c r="C33" s="34"/>
      <c r="D33" s="34"/>
      <c r="E33" s="250"/>
      <c r="F33" s="277"/>
      <c r="G33" s="34">
        <f t="shared" si="0"/>
        <v>0</v>
      </c>
      <c r="H33" s="34"/>
      <c r="I33" s="34"/>
      <c r="J33" s="34">
        <f t="shared" si="1"/>
        <v>0</v>
      </c>
      <c r="K33" s="34">
        <f t="shared" si="4"/>
        <v>0</v>
      </c>
      <c r="L33" s="34"/>
      <c r="M33" s="34">
        <f t="shared" si="5"/>
        <v>1233469.3757000002</v>
      </c>
      <c r="N33" s="34"/>
    </row>
    <row r="34" spans="1:14">
      <c r="A34" s="184">
        <v>31</v>
      </c>
      <c r="B34" s="207">
        <v>46326</v>
      </c>
      <c r="C34" s="200"/>
      <c r="D34" s="200"/>
      <c r="E34" s="402"/>
      <c r="F34" s="277"/>
      <c r="G34" s="34">
        <f t="shared" si="0"/>
        <v>0</v>
      </c>
      <c r="H34" s="200"/>
      <c r="I34" s="34"/>
      <c r="J34" s="200">
        <f t="shared" ref="J34" si="6">H34*I34</f>
        <v>0</v>
      </c>
      <c r="K34" s="200">
        <f t="shared" ref="K34" si="7">G34+J34</f>
        <v>0</v>
      </c>
      <c r="L34" s="200"/>
      <c r="M34" s="200">
        <f t="shared" si="5"/>
        <v>1233469.3757000002</v>
      </c>
      <c r="N34" s="200"/>
    </row>
    <row r="35" spans="1:14">
      <c r="A35" s="422"/>
      <c r="B35" s="423"/>
      <c r="C35" s="423"/>
      <c r="D35" s="423"/>
      <c r="E35" s="423">
        <f>SUM(E4:E34)</f>
        <v>5194.6099999999997</v>
      </c>
      <c r="F35" s="423"/>
      <c r="G35" s="423">
        <f>SUM(G4:G34)</f>
        <v>516188.39569999999</v>
      </c>
      <c r="H35" s="423">
        <f>SUM(H4:H34)</f>
        <v>215</v>
      </c>
      <c r="I35" s="423"/>
      <c r="J35" s="423">
        <f>SUM(J4:J34)</f>
        <v>23963.899999999994</v>
      </c>
      <c r="K35" s="423">
        <f>SUM(K4:K34)</f>
        <v>540152.2956999999</v>
      </c>
      <c r="L35" s="423">
        <f>SUM(L4:L33)</f>
        <v>0</v>
      </c>
      <c r="M35" s="423"/>
      <c r="N35" s="42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workbookViewId="0">
      <pane ySplit="3" topLeftCell="A4" activePane="bottomLeft" state="frozen"/>
      <selection pane="bottomLeft" activeCell="R28" sqref="R28"/>
    </sheetView>
  </sheetViews>
  <sheetFormatPr defaultRowHeight="15"/>
  <cols>
    <col min="2" max="2" width="10.5703125" bestFit="1" customWidth="1"/>
    <col min="4" max="4" width="12.5703125" customWidth="1"/>
    <col min="5" max="5" width="12.140625" customWidth="1"/>
    <col min="8" max="8" width="12.28515625" customWidth="1"/>
    <col min="11" max="11" width="13.5703125" bestFit="1" customWidth="1"/>
    <col min="12" max="12" width="12.42578125" bestFit="1" customWidth="1"/>
  </cols>
  <sheetData>
    <row r="1" spans="1:14" ht="15.75">
      <c r="A1" s="648" t="s">
        <v>224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</row>
    <row r="2" spans="1:14" ht="24" customHeight="1">
      <c r="A2" s="117" t="s">
        <v>0</v>
      </c>
      <c r="B2" s="201" t="s">
        <v>167</v>
      </c>
      <c r="C2" s="201" t="s">
        <v>168</v>
      </c>
      <c r="D2" s="201" t="s">
        <v>189</v>
      </c>
      <c r="E2" s="201" t="s">
        <v>170</v>
      </c>
      <c r="F2" s="201" t="s">
        <v>171</v>
      </c>
      <c r="G2" s="201" t="s">
        <v>172</v>
      </c>
      <c r="H2" s="201" t="s">
        <v>173</v>
      </c>
      <c r="I2" s="201" t="s">
        <v>171</v>
      </c>
      <c r="J2" s="201" t="s">
        <v>172</v>
      </c>
      <c r="K2" s="164" t="s">
        <v>174</v>
      </c>
      <c r="L2" s="164" t="s">
        <v>175</v>
      </c>
      <c r="M2" s="164" t="s">
        <v>190</v>
      </c>
      <c r="N2" s="201" t="s">
        <v>177</v>
      </c>
    </row>
    <row r="3" spans="1:14">
      <c r="A3" s="649" t="s">
        <v>178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>
        <v>0</v>
      </c>
      <c r="N3" s="649"/>
    </row>
    <row r="4" spans="1:14">
      <c r="A4" s="184">
        <v>1</v>
      </c>
      <c r="B4" s="207">
        <v>46296</v>
      </c>
      <c r="C4" s="34"/>
      <c r="D4" s="34"/>
      <c r="E4" s="34"/>
      <c r="F4" s="34"/>
      <c r="G4" s="34">
        <f>E4*F4</f>
        <v>0</v>
      </c>
      <c r="H4" s="34"/>
      <c r="I4" s="34"/>
      <c r="J4" s="34">
        <f>H4*I4</f>
        <v>0</v>
      </c>
      <c r="K4" s="34">
        <f>G4+J4</f>
        <v>0</v>
      </c>
      <c r="L4" s="34"/>
      <c r="M4" s="34">
        <f>M3+K4-L4</f>
        <v>0</v>
      </c>
      <c r="N4" s="34"/>
    </row>
    <row r="5" spans="1:14">
      <c r="A5" s="40">
        <v>2</v>
      </c>
      <c r="B5" s="207">
        <v>46297</v>
      </c>
      <c r="C5" s="34"/>
      <c r="D5" s="34"/>
      <c r="E5" s="34"/>
      <c r="F5" s="34"/>
      <c r="G5" s="34">
        <f t="shared" ref="G5:G34" si="0">E5*F5</f>
        <v>0</v>
      </c>
      <c r="H5" s="34"/>
      <c r="I5" s="34"/>
      <c r="J5" s="34">
        <f t="shared" ref="J5:J34" si="1">H5*I5</f>
        <v>0</v>
      </c>
      <c r="K5" s="34">
        <f t="shared" ref="K5:L34" si="2">G5+J5</f>
        <v>0</v>
      </c>
      <c r="L5" s="34"/>
      <c r="M5" s="34">
        <f t="shared" ref="M5:M34" si="3">M4+K5-L5</f>
        <v>0</v>
      </c>
      <c r="N5" s="34"/>
    </row>
    <row r="6" spans="1:14">
      <c r="A6" s="40">
        <v>3</v>
      </c>
      <c r="B6" s="207">
        <v>46298</v>
      </c>
      <c r="C6" s="34"/>
      <c r="D6" s="34"/>
      <c r="E6" s="34"/>
      <c r="F6" s="34"/>
      <c r="G6" s="34">
        <f t="shared" si="0"/>
        <v>0</v>
      </c>
      <c r="H6" s="34"/>
      <c r="I6" s="34"/>
      <c r="J6" s="34">
        <f t="shared" si="1"/>
        <v>0</v>
      </c>
      <c r="K6" s="34">
        <f t="shared" si="2"/>
        <v>0</v>
      </c>
      <c r="L6" s="34"/>
      <c r="M6" s="34">
        <f t="shared" si="3"/>
        <v>0</v>
      </c>
      <c r="N6" s="34"/>
    </row>
    <row r="7" spans="1:14">
      <c r="A7" s="40">
        <v>4</v>
      </c>
      <c r="B7" s="207">
        <v>46299</v>
      </c>
      <c r="C7" s="34"/>
      <c r="D7" s="34"/>
      <c r="E7" s="34"/>
      <c r="F7" s="34"/>
      <c r="G7" s="34">
        <f t="shared" si="0"/>
        <v>0</v>
      </c>
      <c r="H7" s="34"/>
      <c r="I7" s="34"/>
      <c r="J7" s="34">
        <f t="shared" si="1"/>
        <v>0</v>
      </c>
      <c r="K7" s="34">
        <f t="shared" si="2"/>
        <v>0</v>
      </c>
      <c r="L7" s="34"/>
      <c r="M7" s="34">
        <f t="shared" si="3"/>
        <v>0</v>
      </c>
      <c r="N7" s="34"/>
    </row>
    <row r="8" spans="1:14">
      <c r="A8" s="40">
        <v>5</v>
      </c>
      <c r="B8" s="207">
        <v>46300</v>
      </c>
      <c r="C8" s="34"/>
      <c r="D8" s="34"/>
      <c r="E8" s="34"/>
      <c r="F8" s="34"/>
      <c r="G8" s="34">
        <f t="shared" si="0"/>
        <v>0</v>
      </c>
      <c r="H8" s="34"/>
      <c r="I8" s="34"/>
      <c r="J8" s="34">
        <f t="shared" si="1"/>
        <v>0</v>
      </c>
      <c r="K8" s="34">
        <f t="shared" si="2"/>
        <v>0</v>
      </c>
      <c r="L8" s="34"/>
      <c r="M8" s="34">
        <f t="shared" si="3"/>
        <v>0</v>
      </c>
      <c r="N8" s="34"/>
    </row>
    <row r="9" spans="1:14">
      <c r="A9" s="40">
        <v>6</v>
      </c>
      <c r="B9" s="207">
        <v>46301</v>
      </c>
      <c r="C9" s="34"/>
      <c r="D9" s="34"/>
      <c r="E9" s="34"/>
      <c r="F9" s="34"/>
      <c r="G9" s="34">
        <f t="shared" si="0"/>
        <v>0</v>
      </c>
      <c r="H9" s="34"/>
      <c r="I9" s="34"/>
      <c r="J9" s="34">
        <f t="shared" si="1"/>
        <v>0</v>
      </c>
      <c r="K9" s="34">
        <f t="shared" si="2"/>
        <v>0</v>
      </c>
      <c r="L9" s="34"/>
      <c r="M9" s="34">
        <f t="shared" si="3"/>
        <v>0</v>
      </c>
      <c r="N9" s="34"/>
    </row>
    <row r="10" spans="1:14">
      <c r="A10" s="40">
        <v>7</v>
      </c>
      <c r="B10" s="207">
        <v>46302</v>
      </c>
      <c r="C10" s="34"/>
      <c r="D10" s="34"/>
      <c r="E10" s="34"/>
      <c r="F10" s="34"/>
      <c r="G10" s="34">
        <f t="shared" si="0"/>
        <v>0</v>
      </c>
      <c r="H10" s="34"/>
      <c r="I10" s="34"/>
      <c r="J10" s="34">
        <f t="shared" si="1"/>
        <v>0</v>
      </c>
      <c r="K10" s="34">
        <f t="shared" si="2"/>
        <v>0</v>
      </c>
      <c r="L10" s="34"/>
      <c r="M10" s="34">
        <f t="shared" si="3"/>
        <v>0</v>
      </c>
      <c r="N10" s="34"/>
    </row>
    <row r="11" spans="1:14">
      <c r="A11" s="40">
        <v>8</v>
      </c>
      <c r="B11" s="207">
        <v>46303</v>
      </c>
      <c r="C11" s="34"/>
      <c r="D11" s="34"/>
      <c r="E11" s="34"/>
      <c r="F11" s="34"/>
      <c r="G11" s="34">
        <f t="shared" si="0"/>
        <v>0</v>
      </c>
      <c r="H11" s="34"/>
      <c r="I11" s="34"/>
      <c r="J11" s="34">
        <f t="shared" si="1"/>
        <v>0</v>
      </c>
      <c r="K11" s="34">
        <f t="shared" si="2"/>
        <v>0</v>
      </c>
      <c r="L11" s="34"/>
      <c r="M11" s="34">
        <f t="shared" si="3"/>
        <v>0</v>
      </c>
      <c r="N11" s="34"/>
    </row>
    <row r="12" spans="1:14">
      <c r="A12" s="40">
        <v>9</v>
      </c>
      <c r="B12" s="207">
        <v>46304</v>
      </c>
      <c r="C12" s="34"/>
      <c r="D12" s="34"/>
      <c r="E12" s="34"/>
      <c r="F12" s="34"/>
      <c r="G12" s="34">
        <f t="shared" si="0"/>
        <v>0</v>
      </c>
      <c r="H12" s="34">
        <v>10</v>
      </c>
      <c r="I12" s="34">
        <v>111.2</v>
      </c>
      <c r="J12" s="34">
        <f t="shared" si="1"/>
        <v>1112</v>
      </c>
      <c r="K12" s="34">
        <f t="shared" si="2"/>
        <v>1112</v>
      </c>
      <c r="L12" s="34">
        <v>1112</v>
      </c>
      <c r="M12" s="34">
        <f t="shared" si="3"/>
        <v>0</v>
      </c>
      <c r="N12" s="34"/>
    </row>
    <row r="13" spans="1:14">
      <c r="A13" s="40">
        <v>10</v>
      </c>
      <c r="B13" s="207">
        <v>46305</v>
      </c>
      <c r="C13" s="34"/>
      <c r="D13" s="34"/>
      <c r="E13" s="34"/>
      <c r="F13" s="34"/>
      <c r="G13" s="34">
        <f t="shared" si="0"/>
        <v>0</v>
      </c>
      <c r="H13" s="34"/>
      <c r="I13" s="34"/>
      <c r="J13" s="34">
        <f t="shared" si="1"/>
        <v>0</v>
      </c>
      <c r="K13" s="34">
        <f t="shared" si="2"/>
        <v>0</v>
      </c>
      <c r="L13" s="34"/>
      <c r="M13" s="34">
        <f t="shared" si="3"/>
        <v>0</v>
      </c>
      <c r="N13" s="34"/>
    </row>
    <row r="14" spans="1:14">
      <c r="A14" s="40">
        <v>11</v>
      </c>
      <c r="B14" s="207">
        <v>46306</v>
      </c>
      <c r="C14" s="34"/>
      <c r="D14" s="34"/>
      <c r="E14" s="34"/>
      <c r="F14" s="34"/>
      <c r="G14" s="34">
        <f t="shared" si="0"/>
        <v>0</v>
      </c>
      <c r="H14" s="34"/>
      <c r="I14" s="34"/>
      <c r="J14" s="34">
        <f t="shared" si="1"/>
        <v>0</v>
      </c>
      <c r="K14" s="34">
        <f t="shared" si="2"/>
        <v>0</v>
      </c>
      <c r="L14" s="34"/>
      <c r="M14" s="34">
        <f t="shared" si="3"/>
        <v>0</v>
      </c>
      <c r="N14" s="34"/>
    </row>
    <row r="15" spans="1:14">
      <c r="A15" s="40">
        <v>12</v>
      </c>
      <c r="B15" s="207">
        <v>46307</v>
      </c>
      <c r="C15" s="34"/>
      <c r="D15" s="34"/>
      <c r="E15" s="34"/>
      <c r="F15" s="34"/>
      <c r="G15" s="34">
        <f t="shared" si="0"/>
        <v>0</v>
      </c>
      <c r="H15" s="34"/>
      <c r="I15" s="34"/>
      <c r="J15" s="34">
        <f t="shared" si="1"/>
        <v>0</v>
      </c>
      <c r="K15" s="34">
        <f t="shared" si="2"/>
        <v>0</v>
      </c>
      <c r="L15" s="34"/>
      <c r="M15" s="34">
        <f t="shared" si="3"/>
        <v>0</v>
      </c>
      <c r="N15" s="34"/>
    </row>
    <row r="16" spans="1:14">
      <c r="A16" s="40">
        <v>13</v>
      </c>
      <c r="B16" s="207">
        <v>46308</v>
      </c>
      <c r="C16" s="34"/>
      <c r="D16" s="34"/>
      <c r="E16" s="34"/>
      <c r="F16" s="34"/>
      <c r="G16" s="34">
        <f t="shared" si="0"/>
        <v>0</v>
      </c>
      <c r="H16" s="34"/>
      <c r="I16" s="34"/>
      <c r="J16" s="34">
        <f t="shared" si="1"/>
        <v>0</v>
      </c>
      <c r="K16" s="34">
        <f t="shared" si="2"/>
        <v>0</v>
      </c>
      <c r="L16" s="34"/>
      <c r="M16" s="34">
        <f t="shared" si="3"/>
        <v>0</v>
      </c>
      <c r="N16" s="34"/>
    </row>
    <row r="17" spans="1:14">
      <c r="A17" s="40">
        <v>14</v>
      </c>
      <c r="B17" s="207">
        <v>46309</v>
      </c>
      <c r="C17" s="34"/>
      <c r="D17" s="34"/>
      <c r="E17" s="34"/>
      <c r="F17" s="34"/>
      <c r="G17" s="34">
        <f t="shared" si="0"/>
        <v>0</v>
      </c>
      <c r="H17" s="34"/>
      <c r="I17" s="34"/>
      <c r="J17" s="34">
        <f t="shared" si="1"/>
        <v>0</v>
      </c>
      <c r="K17" s="34">
        <f t="shared" si="2"/>
        <v>0</v>
      </c>
      <c r="L17" s="34"/>
      <c r="M17" s="34">
        <f t="shared" si="3"/>
        <v>0</v>
      </c>
      <c r="N17" s="34"/>
    </row>
    <row r="18" spans="1:14">
      <c r="A18" s="40">
        <v>15</v>
      </c>
      <c r="B18" s="207">
        <v>46310</v>
      </c>
      <c r="C18" s="34"/>
      <c r="D18" s="34"/>
      <c r="E18" s="34"/>
      <c r="F18" s="34"/>
      <c r="G18" s="34">
        <f t="shared" si="0"/>
        <v>0</v>
      </c>
      <c r="H18" s="34"/>
      <c r="I18" s="34"/>
      <c r="J18" s="34">
        <f t="shared" si="1"/>
        <v>0</v>
      </c>
      <c r="K18" s="34">
        <f t="shared" si="2"/>
        <v>0</v>
      </c>
      <c r="L18" s="34"/>
      <c r="M18" s="34">
        <f t="shared" si="3"/>
        <v>0</v>
      </c>
      <c r="N18" s="34"/>
    </row>
    <row r="19" spans="1:14">
      <c r="A19" s="40">
        <v>16</v>
      </c>
      <c r="B19" s="207">
        <v>46311</v>
      </c>
      <c r="C19" s="34"/>
      <c r="D19" s="34"/>
      <c r="E19" s="34"/>
      <c r="F19" s="34"/>
      <c r="G19" s="34">
        <f t="shared" si="0"/>
        <v>0</v>
      </c>
      <c r="H19" s="34"/>
      <c r="I19" s="34"/>
      <c r="J19" s="34">
        <f t="shared" si="1"/>
        <v>0</v>
      </c>
      <c r="K19" s="34">
        <f t="shared" si="2"/>
        <v>0</v>
      </c>
      <c r="L19" s="34"/>
      <c r="M19" s="34">
        <f t="shared" si="3"/>
        <v>0</v>
      </c>
      <c r="N19" s="34"/>
    </row>
    <row r="20" spans="1:14">
      <c r="A20" s="40">
        <v>17</v>
      </c>
      <c r="B20" s="207">
        <v>46312</v>
      </c>
      <c r="C20" s="34"/>
      <c r="D20" s="34"/>
      <c r="E20" s="34"/>
      <c r="F20" s="34"/>
      <c r="G20" s="34">
        <f t="shared" si="0"/>
        <v>0</v>
      </c>
      <c r="H20" s="34"/>
      <c r="I20" s="34"/>
      <c r="J20" s="34">
        <f t="shared" si="1"/>
        <v>0</v>
      </c>
      <c r="K20" s="34">
        <f t="shared" si="2"/>
        <v>0</v>
      </c>
      <c r="L20" s="34"/>
      <c r="M20" s="34">
        <f t="shared" si="3"/>
        <v>0</v>
      </c>
      <c r="N20" s="34"/>
    </row>
    <row r="21" spans="1:14">
      <c r="A21" s="40">
        <v>18</v>
      </c>
      <c r="B21" s="207">
        <v>46313</v>
      </c>
      <c r="C21" s="34"/>
      <c r="D21" s="34"/>
      <c r="E21" s="34"/>
      <c r="F21" s="34"/>
      <c r="G21" s="34">
        <f t="shared" si="0"/>
        <v>0</v>
      </c>
      <c r="H21" s="34"/>
      <c r="I21" s="34"/>
      <c r="J21" s="34">
        <f t="shared" si="1"/>
        <v>0</v>
      </c>
      <c r="K21" s="34">
        <f t="shared" si="2"/>
        <v>0</v>
      </c>
      <c r="L21" s="34"/>
      <c r="M21" s="34">
        <f t="shared" si="3"/>
        <v>0</v>
      </c>
      <c r="N21" s="34"/>
    </row>
    <row r="22" spans="1:14">
      <c r="A22" s="40">
        <v>19</v>
      </c>
      <c r="B22" s="207">
        <v>46314</v>
      </c>
      <c r="C22" s="34"/>
      <c r="D22" s="34"/>
      <c r="E22" s="34"/>
      <c r="F22" s="34"/>
      <c r="G22" s="34">
        <f t="shared" si="0"/>
        <v>0</v>
      </c>
      <c r="H22" s="34"/>
      <c r="I22" s="34"/>
      <c r="J22" s="34">
        <f t="shared" si="1"/>
        <v>0</v>
      </c>
      <c r="K22" s="34">
        <f t="shared" si="2"/>
        <v>0</v>
      </c>
      <c r="L22" s="34"/>
      <c r="M22" s="34">
        <f t="shared" si="3"/>
        <v>0</v>
      </c>
      <c r="N22" s="34"/>
    </row>
    <row r="23" spans="1:14">
      <c r="A23" s="40">
        <v>20</v>
      </c>
      <c r="B23" s="207">
        <v>46315</v>
      </c>
      <c r="C23" s="34"/>
      <c r="D23" s="34"/>
      <c r="E23" s="34"/>
      <c r="F23" s="34"/>
      <c r="G23" s="34">
        <f t="shared" si="0"/>
        <v>0</v>
      </c>
      <c r="H23" s="34"/>
      <c r="I23" s="34"/>
      <c r="J23" s="34">
        <f t="shared" si="1"/>
        <v>0</v>
      </c>
      <c r="K23" s="34">
        <f t="shared" si="2"/>
        <v>0</v>
      </c>
      <c r="L23" s="34"/>
      <c r="M23" s="34">
        <f t="shared" si="3"/>
        <v>0</v>
      </c>
      <c r="N23" s="34"/>
    </row>
    <row r="24" spans="1:14">
      <c r="A24" s="40">
        <v>21</v>
      </c>
      <c r="B24" s="207">
        <v>46316</v>
      </c>
      <c r="C24" s="34"/>
      <c r="D24" s="34"/>
      <c r="E24" s="34"/>
      <c r="F24" s="34"/>
      <c r="G24" s="34">
        <f t="shared" si="0"/>
        <v>0</v>
      </c>
      <c r="H24" s="34"/>
      <c r="I24" s="34"/>
      <c r="J24" s="34">
        <f t="shared" si="1"/>
        <v>0</v>
      </c>
      <c r="K24" s="34">
        <f t="shared" si="2"/>
        <v>0</v>
      </c>
      <c r="L24" s="34"/>
      <c r="M24" s="34">
        <f t="shared" si="3"/>
        <v>0</v>
      </c>
      <c r="N24" s="34"/>
    </row>
    <row r="25" spans="1:14">
      <c r="A25" s="40">
        <v>22</v>
      </c>
      <c r="B25" s="207">
        <v>46317</v>
      </c>
      <c r="C25" s="34"/>
      <c r="D25" s="34"/>
      <c r="E25" s="34"/>
      <c r="F25" s="34"/>
      <c r="G25" s="34">
        <f t="shared" si="0"/>
        <v>0</v>
      </c>
      <c r="H25" s="34"/>
      <c r="I25" s="34"/>
      <c r="J25" s="34">
        <f t="shared" si="1"/>
        <v>0</v>
      </c>
      <c r="K25" s="34">
        <f t="shared" si="2"/>
        <v>0</v>
      </c>
      <c r="L25" s="34"/>
      <c r="M25" s="34">
        <f t="shared" si="3"/>
        <v>0</v>
      </c>
      <c r="N25" s="34"/>
    </row>
    <row r="26" spans="1:14">
      <c r="A26" s="40">
        <v>23</v>
      </c>
      <c r="B26" s="207">
        <v>46318</v>
      </c>
      <c r="C26" s="34"/>
      <c r="D26" s="34"/>
      <c r="E26" s="34"/>
      <c r="F26" s="34"/>
      <c r="G26" s="34">
        <f t="shared" si="0"/>
        <v>0</v>
      </c>
      <c r="H26" s="543"/>
      <c r="I26" s="34"/>
      <c r="J26" s="34">
        <f t="shared" si="1"/>
        <v>0</v>
      </c>
      <c r="K26" s="34">
        <f t="shared" si="2"/>
        <v>0</v>
      </c>
      <c r="L26" s="34"/>
      <c r="M26" s="34">
        <f t="shared" si="3"/>
        <v>0</v>
      </c>
      <c r="N26" s="34"/>
    </row>
    <row r="27" spans="1:14">
      <c r="A27" s="40">
        <v>24</v>
      </c>
      <c r="B27" s="207">
        <v>46319</v>
      </c>
      <c r="C27" s="34"/>
      <c r="D27" s="34"/>
      <c r="E27" s="34"/>
      <c r="F27" s="34"/>
      <c r="G27" s="34">
        <f t="shared" si="0"/>
        <v>0</v>
      </c>
      <c r="H27" s="34"/>
      <c r="I27" s="34"/>
      <c r="J27" s="34">
        <f>H27*I27</f>
        <v>0</v>
      </c>
      <c r="K27" s="34">
        <f t="shared" si="2"/>
        <v>0</v>
      </c>
      <c r="L27" s="34"/>
      <c r="M27" s="34">
        <f t="shared" si="3"/>
        <v>0</v>
      </c>
      <c r="N27" s="34"/>
    </row>
    <row r="28" spans="1:14">
      <c r="A28" s="208">
        <v>25</v>
      </c>
      <c r="B28" s="207">
        <v>46320</v>
      </c>
      <c r="C28" s="34"/>
      <c r="D28" s="34"/>
      <c r="E28" s="34"/>
      <c r="F28" s="34"/>
      <c r="G28" s="34">
        <f t="shared" si="0"/>
        <v>0</v>
      </c>
      <c r="H28" s="34"/>
      <c r="I28" s="34"/>
      <c r="J28" s="34">
        <f t="shared" si="1"/>
        <v>0</v>
      </c>
      <c r="K28" s="34">
        <f t="shared" si="2"/>
        <v>0</v>
      </c>
      <c r="L28" s="34"/>
      <c r="M28" s="34">
        <f t="shared" si="3"/>
        <v>0</v>
      </c>
      <c r="N28" s="34"/>
    </row>
    <row r="29" spans="1:14">
      <c r="A29" s="208">
        <v>26</v>
      </c>
      <c r="B29" s="207">
        <v>46321</v>
      </c>
      <c r="C29" s="34"/>
      <c r="D29" s="34"/>
      <c r="E29" s="34"/>
      <c r="F29" s="34"/>
      <c r="G29" s="34">
        <f t="shared" si="0"/>
        <v>0</v>
      </c>
      <c r="H29" s="34"/>
      <c r="I29" s="34"/>
      <c r="J29" s="34">
        <f t="shared" si="1"/>
        <v>0</v>
      </c>
      <c r="K29" s="34">
        <f t="shared" si="2"/>
        <v>0</v>
      </c>
      <c r="L29" s="34"/>
      <c r="M29" s="34">
        <f t="shared" si="3"/>
        <v>0</v>
      </c>
      <c r="N29" s="34"/>
    </row>
    <row r="30" spans="1:14">
      <c r="A30" s="208">
        <v>27</v>
      </c>
      <c r="B30" s="207">
        <v>46322</v>
      </c>
      <c r="C30" s="34"/>
      <c r="D30" s="34"/>
      <c r="E30" s="34"/>
      <c r="F30" s="34"/>
      <c r="G30" s="34">
        <f t="shared" si="0"/>
        <v>0</v>
      </c>
      <c r="H30" s="34"/>
      <c r="I30" s="34"/>
      <c r="J30" s="34">
        <f t="shared" si="1"/>
        <v>0</v>
      </c>
      <c r="K30" s="34">
        <f t="shared" si="2"/>
        <v>0</v>
      </c>
      <c r="L30" s="34"/>
      <c r="M30" s="34">
        <f t="shared" si="3"/>
        <v>0</v>
      </c>
      <c r="N30" s="34"/>
    </row>
    <row r="31" spans="1:14">
      <c r="A31" s="208">
        <v>28</v>
      </c>
      <c r="B31" s="207">
        <v>46323</v>
      </c>
      <c r="C31" s="34"/>
      <c r="D31" s="34"/>
      <c r="E31" s="34"/>
      <c r="F31" s="34"/>
      <c r="G31" s="34">
        <f t="shared" si="0"/>
        <v>0</v>
      </c>
      <c r="H31" s="34"/>
      <c r="I31" s="34"/>
      <c r="J31" s="34">
        <f t="shared" si="1"/>
        <v>0</v>
      </c>
      <c r="K31" s="34">
        <f t="shared" si="2"/>
        <v>0</v>
      </c>
      <c r="L31" s="34"/>
      <c r="M31" s="34">
        <f t="shared" si="3"/>
        <v>0</v>
      </c>
      <c r="N31" s="34"/>
    </row>
    <row r="32" spans="1:14">
      <c r="A32" s="209">
        <v>29</v>
      </c>
      <c r="B32" s="207">
        <v>46324</v>
      </c>
      <c r="C32" s="34"/>
      <c r="D32" s="34"/>
      <c r="E32" s="34"/>
      <c r="F32" s="34"/>
      <c r="G32" s="34">
        <f t="shared" si="0"/>
        <v>0</v>
      </c>
      <c r="H32" s="34"/>
      <c r="I32" s="34"/>
      <c r="J32" s="34">
        <f t="shared" si="1"/>
        <v>0</v>
      </c>
      <c r="K32" s="34">
        <f t="shared" si="2"/>
        <v>0</v>
      </c>
      <c r="L32" s="34"/>
      <c r="M32" s="34">
        <f t="shared" si="3"/>
        <v>0</v>
      </c>
      <c r="N32" s="34"/>
    </row>
    <row r="33" spans="1:14">
      <c r="A33" s="209">
        <v>30</v>
      </c>
      <c r="B33" s="207">
        <v>46325</v>
      </c>
      <c r="C33" s="34"/>
      <c r="D33" s="34"/>
      <c r="E33" s="34"/>
      <c r="F33" s="34"/>
      <c r="G33" s="34">
        <f t="shared" si="0"/>
        <v>0</v>
      </c>
      <c r="H33" s="34"/>
      <c r="I33" s="34"/>
      <c r="J33" s="34">
        <f t="shared" si="1"/>
        <v>0</v>
      </c>
      <c r="K33" s="34">
        <f t="shared" si="2"/>
        <v>0</v>
      </c>
      <c r="L33" s="34"/>
      <c r="M33" s="34">
        <f t="shared" si="3"/>
        <v>0</v>
      </c>
      <c r="N33" s="34"/>
    </row>
    <row r="34" spans="1:14">
      <c r="A34" s="209">
        <v>31</v>
      </c>
      <c r="B34" s="207">
        <v>46326</v>
      </c>
      <c r="C34" s="34"/>
      <c r="D34" s="34"/>
      <c r="E34" s="34"/>
      <c r="F34" s="34"/>
      <c r="G34" s="34">
        <f t="shared" si="0"/>
        <v>0</v>
      </c>
      <c r="H34" s="34"/>
      <c r="I34" s="34"/>
      <c r="J34" s="34">
        <f t="shared" si="1"/>
        <v>0</v>
      </c>
      <c r="K34" s="34">
        <f t="shared" si="2"/>
        <v>0</v>
      </c>
      <c r="L34" s="34"/>
      <c r="M34" s="34">
        <f t="shared" si="3"/>
        <v>0</v>
      </c>
      <c r="N34" s="34"/>
    </row>
    <row r="35" spans="1:14">
      <c r="A35" s="170"/>
      <c r="B35" s="170"/>
      <c r="C35" s="170"/>
      <c r="D35" s="170"/>
      <c r="E35" s="170">
        <f>SUM(E4:E34)</f>
        <v>0</v>
      </c>
      <c r="F35" s="170"/>
      <c r="G35" s="170">
        <f>SUM(G4:G34)</f>
        <v>0</v>
      </c>
      <c r="H35" s="170">
        <f>SUM(H4:H34)</f>
        <v>10</v>
      </c>
      <c r="I35" s="170"/>
      <c r="J35" s="170">
        <f>SUM(J4:J34)</f>
        <v>1112</v>
      </c>
      <c r="K35" s="170">
        <f>SUM(K4:K34)</f>
        <v>1112</v>
      </c>
      <c r="L35" s="170">
        <f>SUM(L4:L34)</f>
        <v>1112</v>
      </c>
      <c r="M35" s="170"/>
      <c r="N35" s="17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8"/>
  <sheetViews>
    <sheetView workbookViewId="0">
      <pane ySplit="3" topLeftCell="A4" activePane="bottomLeft" state="frozen"/>
      <selection pane="bottomLeft" activeCell="S21" sqref="S21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96" bestFit="1" customWidth="1"/>
    <col min="8" max="8" width="11.140625" style="5" customWidth="1"/>
    <col min="9" max="9" width="9.140625" style="5"/>
    <col min="10" max="10" width="10.85546875" style="96" bestFit="1" customWidth="1"/>
    <col min="11" max="11" width="12.85546875" style="5" customWidth="1"/>
    <col min="12" max="12" width="13.5703125" style="96" bestFit="1" customWidth="1"/>
    <col min="13" max="13" width="13.5703125" style="96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631" t="s">
        <v>225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6" ht="18" customHeight="1">
      <c r="A2" s="58" t="s">
        <v>0</v>
      </c>
      <c r="B2" s="77" t="s">
        <v>167</v>
      </c>
      <c r="C2" s="77" t="s">
        <v>168</v>
      </c>
      <c r="D2" s="77" t="s">
        <v>189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85" t="s">
        <v>175</v>
      </c>
      <c r="M2" s="120" t="s">
        <v>190</v>
      </c>
      <c r="N2" s="77" t="s">
        <v>177</v>
      </c>
    </row>
    <row r="3" spans="1:16" ht="18" customHeight="1">
      <c r="A3" s="650" t="s">
        <v>178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274">
        <v>74297.812119999973</v>
      </c>
      <c r="N3" s="274"/>
      <c r="P3" s="96"/>
    </row>
    <row r="4" spans="1:16">
      <c r="A4" s="6">
        <v>1</v>
      </c>
      <c r="B4" s="207">
        <v>46296</v>
      </c>
      <c r="C4" s="6"/>
      <c r="D4" s="6"/>
      <c r="E4" s="59">
        <v>0</v>
      </c>
      <c r="F4" s="6">
        <v>99.23</v>
      </c>
      <c r="G4" s="60">
        <f>E4*F4</f>
        <v>0</v>
      </c>
      <c r="H4" s="290">
        <v>0</v>
      </c>
      <c r="I4" s="298">
        <v>113.2</v>
      </c>
      <c r="J4" s="60">
        <f>H4*I4</f>
        <v>0</v>
      </c>
      <c r="K4" s="60">
        <f>G4+J4</f>
        <v>0</v>
      </c>
      <c r="L4" s="60"/>
      <c r="M4" s="275">
        <f>M3+K4-L4</f>
        <v>74297.812119999973</v>
      </c>
      <c r="N4" s="40"/>
    </row>
    <row r="5" spans="1:16">
      <c r="A5" s="6">
        <v>2</v>
      </c>
      <c r="B5" s="207">
        <v>46297</v>
      </c>
      <c r="C5" s="6"/>
      <c r="D5" s="6"/>
      <c r="E5" s="59"/>
      <c r="F5" s="6"/>
      <c r="G5" s="60">
        <f t="shared" ref="G5:G32" si="0">E5*F5</f>
        <v>0</v>
      </c>
      <c r="H5" s="290"/>
      <c r="I5" s="298"/>
      <c r="J5" s="60">
        <f t="shared" ref="J5:J46" si="1">H5*I5</f>
        <v>0</v>
      </c>
      <c r="K5" s="60">
        <f t="shared" ref="K5:K46" si="2">G5+J5</f>
        <v>0</v>
      </c>
      <c r="L5" s="60"/>
      <c r="M5" s="140">
        <f>M4+K5-L5</f>
        <v>74297.812119999973</v>
      </c>
      <c r="N5" s="40"/>
    </row>
    <row r="6" spans="1:16">
      <c r="A6" s="6">
        <v>3</v>
      </c>
      <c r="B6" s="207">
        <v>46298</v>
      </c>
      <c r="C6" s="6"/>
      <c r="D6" s="6"/>
      <c r="E6" s="59"/>
      <c r="F6" s="6"/>
      <c r="G6" s="60">
        <f t="shared" si="0"/>
        <v>0</v>
      </c>
      <c r="H6" s="290"/>
      <c r="I6" s="298"/>
      <c r="J6" s="60">
        <f t="shared" si="1"/>
        <v>0</v>
      </c>
      <c r="K6" s="60">
        <f t="shared" si="2"/>
        <v>0</v>
      </c>
      <c r="L6" s="60"/>
      <c r="M6" s="140">
        <f t="shared" ref="M6:M7" si="3">M5+K6-L6</f>
        <v>74297.812119999973</v>
      </c>
      <c r="N6" s="40"/>
    </row>
    <row r="7" spans="1:16">
      <c r="A7" s="6">
        <v>4</v>
      </c>
      <c r="B7" s="207">
        <v>46299</v>
      </c>
      <c r="C7" s="6"/>
      <c r="D7" s="6"/>
      <c r="E7" s="59"/>
      <c r="F7" s="6"/>
      <c r="G7" s="60">
        <f t="shared" si="0"/>
        <v>0</v>
      </c>
      <c r="H7" s="59"/>
      <c r="I7" s="298"/>
      <c r="J7" s="60">
        <f t="shared" si="1"/>
        <v>0</v>
      </c>
      <c r="K7" s="60">
        <f t="shared" si="2"/>
        <v>0</v>
      </c>
      <c r="L7" s="60"/>
      <c r="M7" s="140">
        <f t="shared" si="3"/>
        <v>74297.812119999973</v>
      </c>
      <c r="N7" s="40"/>
    </row>
    <row r="8" spans="1:16">
      <c r="A8" s="6">
        <v>5</v>
      </c>
      <c r="B8" s="207">
        <v>46300</v>
      </c>
      <c r="C8" s="6"/>
      <c r="D8" s="6"/>
      <c r="E8" s="59">
        <v>25</v>
      </c>
      <c r="F8" s="6">
        <v>99.23</v>
      </c>
      <c r="G8" s="60">
        <f t="shared" si="0"/>
        <v>2480.75</v>
      </c>
      <c r="H8" s="59"/>
      <c r="I8" s="298"/>
      <c r="J8" s="60">
        <f t="shared" si="1"/>
        <v>0</v>
      </c>
      <c r="K8" s="60">
        <f t="shared" si="2"/>
        <v>2480.75</v>
      </c>
      <c r="L8" s="60"/>
      <c r="M8" s="140">
        <f>M7+K8-L8</f>
        <v>76778.562119999973</v>
      </c>
      <c r="N8" s="40"/>
    </row>
    <row r="9" spans="1:16">
      <c r="A9" s="6">
        <v>6</v>
      </c>
      <c r="B9" s="207">
        <v>46301</v>
      </c>
      <c r="C9" s="6"/>
      <c r="D9" s="6"/>
      <c r="E9" s="59"/>
      <c r="F9" s="6"/>
      <c r="G9" s="60">
        <f t="shared" si="0"/>
        <v>0</v>
      </c>
      <c r="H9" s="59">
        <v>0.9</v>
      </c>
      <c r="I9" s="298">
        <v>111.42</v>
      </c>
      <c r="J9" s="60">
        <f t="shared" si="1"/>
        <v>100.27800000000001</v>
      </c>
      <c r="K9" s="60">
        <f t="shared" si="2"/>
        <v>100.27800000000001</v>
      </c>
      <c r="L9" s="60">
        <v>35100.28</v>
      </c>
      <c r="M9" s="140">
        <f t="shared" ref="M9:M47" si="4">M8+K9-L9</f>
        <v>41778.56011999998</v>
      </c>
      <c r="N9" s="40"/>
    </row>
    <row r="10" spans="1:16">
      <c r="A10" s="6">
        <v>7</v>
      </c>
      <c r="B10" s="207">
        <v>46302</v>
      </c>
      <c r="C10" s="6"/>
      <c r="D10" s="6"/>
      <c r="E10" s="59"/>
      <c r="F10" s="6"/>
      <c r="G10" s="60">
        <f t="shared" si="0"/>
        <v>0</v>
      </c>
      <c r="H10" s="59"/>
      <c r="I10" s="298"/>
      <c r="J10" s="60">
        <f t="shared" si="1"/>
        <v>0</v>
      </c>
      <c r="K10" s="60">
        <f t="shared" si="2"/>
        <v>0</v>
      </c>
      <c r="L10" s="60"/>
      <c r="M10" s="140">
        <f t="shared" si="4"/>
        <v>41778.56011999998</v>
      </c>
      <c r="N10" s="40"/>
    </row>
    <row r="11" spans="1:16">
      <c r="A11" s="6">
        <v>8</v>
      </c>
      <c r="B11" s="207">
        <v>46303</v>
      </c>
      <c r="C11" s="6"/>
      <c r="D11" s="6"/>
      <c r="E11" s="59"/>
      <c r="F11" s="6"/>
      <c r="G11" s="60">
        <f t="shared" si="0"/>
        <v>0</v>
      </c>
      <c r="H11" s="59"/>
      <c r="I11" s="298"/>
      <c r="J11" s="60">
        <f t="shared" si="1"/>
        <v>0</v>
      </c>
      <c r="K11" s="60">
        <f t="shared" si="2"/>
        <v>0</v>
      </c>
      <c r="L11" s="60"/>
      <c r="M11" s="140">
        <f t="shared" si="4"/>
        <v>41778.56011999998</v>
      </c>
      <c r="N11" s="40"/>
    </row>
    <row r="12" spans="1:16">
      <c r="A12" s="6">
        <v>9</v>
      </c>
      <c r="B12" s="207">
        <v>46304</v>
      </c>
      <c r="C12" s="6"/>
      <c r="D12" s="6"/>
      <c r="E12" s="59"/>
      <c r="F12" s="6"/>
      <c r="G12" s="60">
        <f t="shared" si="0"/>
        <v>0</v>
      </c>
      <c r="H12" s="59"/>
      <c r="I12" s="298"/>
      <c r="J12" s="60">
        <f t="shared" si="1"/>
        <v>0</v>
      </c>
      <c r="K12" s="60">
        <f t="shared" si="2"/>
        <v>0</v>
      </c>
      <c r="L12" s="60"/>
      <c r="M12" s="140">
        <f t="shared" si="4"/>
        <v>41778.56011999998</v>
      </c>
      <c r="N12" s="40"/>
    </row>
    <row r="13" spans="1:16">
      <c r="A13" s="6">
        <v>10</v>
      </c>
      <c r="B13" s="207">
        <v>46305</v>
      </c>
      <c r="C13" s="6"/>
      <c r="D13" s="6"/>
      <c r="E13" s="59"/>
      <c r="F13" s="6"/>
      <c r="G13" s="60">
        <f t="shared" si="0"/>
        <v>0</v>
      </c>
      <c r="H13" s="59"/>
      <c r="I13" s="298"/>
      <c r="J13" s="60">
        <f t="shared" si="1"/>
        <v>0</v>
      </c>
      <c r="K13" s="60">
        <f t="shared" si="2"/>
        <v>0</v>
      </c>
      <c r="L13" s="60"/>
      <c r="M13" s="140">
        <f t="shared" si="4"/>
        <v>41778.56011999998</v>
      </c>
      <c r="N13" s="40"/>
    </row>
    <row r="14" spans="1:16">
      <c r="A14" s="6">
        <v>11</v>
      </c>
      <c r="B14" s="207">
        <v>46306</v>
      </c>
      <c r="C14" s="6"/>
      <c r="D14" s="6"/>
      <c r="E14" s="59"/>
      <c r="F14" s="6"/>
      <c r="G14" s="60">
        <f t="shared" si="0"/>
        <v>0</v>
      </c>
      <c r="H14" s="59"/>
      <c r="I14" s="298"/>
      <c r="J14" s="60">
        <f t="shared" si="1"/>
        <v>0</v>
      </c>
      <c r="K14" s="60">
        <f t="shared" si="2"/>
        <v>0</v>
      </c>
      <c r="L14" s="60"/>
      <c r="M14" s="140">
        <f t="shared" si="4"/>
        <v>41778.56011999998</v>
      </c>
      <c r="N14" s="40"/>
    </row>
    <row r="15" spans="1:16">
      <c r="A15" s="6">
        <v>12</v>
      </c>
      <c r="B15" s="207">
        <v>46307</v>
      </c>
      <c r="C15" s="6"/>
      <c r="D15" s="6"/>
      <c r="E15" s="59"/>
      <c r="F15" s="6"/>
      <c r="G15" s="60">
        <f t="shared" si="0"/>
        <v>0</v>
      </c>
      <c r="H15" s="59"/>
      <c r="I15" s="298"/>
      <c r="J15" s="60">
        <f t="shared" si="1"/>
        <v>0</v>
      </c>
      <c r="K15" s="60">
        <f t="shared" si="2"/>
        <v>0</v>
      </c>
      <c r="L15" s="60"/>
      <c r="M15" s="140">
        <f t="shared" si="4"/>
        <v>41778.56011999998</v>
      </c>
      <c r="N15" s="40"/>
    </row>
    <row r="16" spans="1:16">
      <c r="A16" s="6">
        <v>13</v>
      </c>
      <c r="B16" s="207">
        <v>46308</v>
      </c>
      <c r="C16" s="6"/>
      <c r="D16" s="6"/>
      <c r="E16" s="59"/>
      <c r="F16" s="6"/>
      <c r="G16" s="60">
        <f t="shared" si="0"/>
        <v>0</v>
      </c>
      <c r="H16" s="290"/>
      <c r="I16" s="298"/>
      <c r="J16" s="60">
        <f t="shared" si="1"/>
        <v>0</v>
      </c>
      <c r="K16" s="60">
        <f t="shared" si="2"/>
        <v>0</v>
      </c>
      <c r="L16" s="60"/>
      <c r="M16" s="140">
        <f t="shared" si="4"/>
        <v>41778.56011999998</v>
      </c>
      <c r="N16" s="40"/>
    </row>
    <row r="17" spans="1:14">
      <c r="A17" s="6">
        <v>14</v>
      </c>
      <c r="B17" s="207">
        <v>46309</v>
      </c>
      <c r="C17" s="6"/>
      <c r="D17" s="6"/>
      <c r="E17" s="59"/>
      <c r="F17" s="6"/>
      <c r="G17" s="60">
        <f t="shared" si="0"/>
        <v>0</v>
      </c>
      <c r="H17" s="59"/>
      <c r="I17" s="298"/>
      <c r="J17" s="60">
        <f t="shared" si="1"/>
        <v>0</v>
      </c>
      <c r="K17" s="60">
        <f t="shared" si="2"/>
        <v>0</v>
      </c>
      <c r="L17" s="60"/>
      <c r="M17" s="140">
        <f t="shared" si="4"/>
        <v>41778.56011999998</v>
      </c>
      <c r="N17" s="40"/>
    </row>
    <row r="18" spans="1:14">
      <c r="A18" s="6">
        <v>15</v>
      </c>
      <c r="B18" s="207">
        <v>46310</v>
      </c>
      <c r="C18" s="6"/>
      <c r="D18" s="6"/>
      <c r="E18" s="59"/>
      <c r="F18" s="6"/>
      <c r="G18" s="60">
        <f t="shared" si="0"/>
        <v>0</v>
      </c>
      <c r="H18" s="59"/>
      <c r="I18" s="298"/>
      <c r="J18" s="60">
        <f t="shared" si="1"/>
        <v>0</v>
      </c>
      <c r="K18" s="60">
        <f t="shared" si="2"/>
        <v>0</v>
      </c>
      <c r="L18" s="60">
        <v>40000</v>
      </c>
      <c r="M18" s="140">
        <f t="shared" si="4"/>
        <v>1778.5601199999801</v>
      </c>
      <c r="N18" s="40"/>
    </row>
    <row r="19" spans="1:14">
      <c r="A19" s="6">
        <v>16</v>
      </c>
      <c r="B19" s="207">
        <v>46311</v>
      </c>
      <c r="C19" s="6"/>
      <c r="D19" s="6"/>
      <c r="E19" s="59"/>
      <c r="F19" s="6"/>
      <c r="G19" s="60">
        <f t="shared" si="0"/>
        <v>0</v>
      </c>
      <c r="H19" s="59"/>
      <c r="I19" s="298"/>
      <c r="J19" s="60">
        <f t="shared" si="1"/>
        <v>0</v>
      </c>
      <c r="K19" s="60">
        <f t="shared" si="2"/>
        <v>0</v>
      </c>
      <c r="L19" s="60"/>
      <c r="M19" s="140">
        <f t="shared" si="4"/>
        <v>1778.5601199999801</v>
      </c>
      <c r="N19" s="40"/>
    </row>
    <row r="20" spans="1:14">
      <c r="A20" s="6">
        <v>17</v>
      </c>
      <c r="B20" s="207">
        <v>46312</v>
      </c>
      <c r="C20" s="6"/>
      <c r="D20" s="6"/>
      <c r="E20" s="59"/>
      <c r="F20" s="6"/>
      <c r="G20" s="60">
        <f t="shared" si="0"/>
        <v>0</v>
      </c>
      <c r="H20" s="59"/>
      <c r="I20" s="298"/>
      <c r="J20" s="60">
        <f t="shared" ref="J20:J21" si="5">H20*I20</f>
        <v>0</v>
      </c>
      <c r="K20" s="60">
        <f t="shared" ref="K20:K21" si="6">G20+J20</f>
        <v>0</v>
      </c>
      <c r="L20" s="60"/>
      <c r="M20" s="140">
        <f t="shared" si="4"/>
        <v>1778.5601199999801</v>
      </c>
      <c r="N20" s="40"/>
    </row>
    <row r="21" spans="1:14">
      <c r="A21" s="6">
        <v>18</v>
      </c>
      <c r="B21" s="207">
        <v>46313</v>
      </c>
      <c r="C21" s="6"/>
      <c r="D21" s="6"/>
      <c r="E21" s="59"/>
      <c r="F21" s="6"/>
      <c r="G21" s="60">
        <f t="shared" si="0"/>
        <v>0</v>
      </c>
      <c r="H21" s="59"/>
      <c r="I21" s="298"/>
      <c r="J21" s="60">
        <f t="shared" si="5"/>
        <v>0</v>
      </c>
      <c r="K21" s="60">
        <f t="shared" si="6"/>
        <v>0</v>
      </c>
      <c r="L21" s="60"/>
      <c r="M21" s="140">
        <f t="shared" ref="M21:M23" si="7">M20+K21-L21</f>
        <v>1778.5601199999801</v>
      </c>
      <c r="N21" s="40"/>
    </row>
    <row r="22" spans="1:14">
      <c r="A22" s="6">
        <v>19</v>
      </c>
      <c r="B22" s="207">
        <v>46314</v>
      </c>
      <c r="C22" s="6"/>
      <c r="D22" s="6"/>
      <c r="E22" s="59"/>
      <c r="F22" s="6"/>
      <c r="G22" s="60">
        <f t="shared" si="0"/>
        <v>0</v>
      </c>
      <c r="H22" s="59"/>
      <c r="I22" s="298"/>
      <c r="J22" s="60">
        <f t="shared" si="1"/>
        <v>0</v>
      </c>
      <c r="K22" s="60">
        <f t="shared" si="2"/>
        <v>0</v>
      </c>
      <c r="L22" s="60"/>
      <c r="M22" s="140">
        <f t="shared" si="7"/>
        <v>1778.5601199999801</v>
      </c>
      <c r="N22" s="40"/>
    </row>
    <row r="23" spans="1:14">
      <c r="A23" s="6">
        <v>20</v>
      </c>
      <c r="B23" s="207">
        <v>46315</v>
      </c>
      <c r="C23" s="6"/>
      <c r="D23" s="6"/>
      <c r="E23" s="59"/>
      <c r="F23" s="6"/>
      <c r="G23" s="60">
        <f t="shared" si="0"/>
        <v>0</v>
      </c>
      <c r="H23" s="59"/>
      <c r="I23" s="298"/>
      <c r="J23" s="60">
        <f t="shared" si="1"/>
        <v>0</v>
      </c>
      <c r="K23" s="60">
        <f t="shared" si="2"/>
        <v>0</v>
      </c>
      <c r="L23" s="60"/>
      <c r="M23" s="140">
        <f t="shared" si="7"/>
        <v>1778.5601199999801</v>
      </c>
      <c r="N23" s="40"/>
    </row>
    <row r="24" spans="1:14">
      <c r="A24" s="6">
        <v>21</v>
      </c>
      <c r="B24" s="207">
        <v>46316</v>
      </c>
      <c r="C24" s="6"/>
      <c r="D24" s="6"/>
      <c r="E24" s="59"/>
      <c r="F24" s="6"/>
      <c r="G24" s="60">
        <f t="shared" si="0"/>
        <v>0</v>
      </c>
      <c r="H24" s="59"/>
      <c r="I24" s="298"/>
      <c r="J24" s="60">
        <f t="shared" si="1"/>
        <v>0</v>
      </c>
      <c r="K24" s="60">
        <f t="shared" si="2"/>
        <v>0</v>
      </c>
      <c r="L24" s="60"/>
      <c r="M24" s="140">
        <f t="shared" si="4"/>
        <v>1778.5601199999801</v>
      </c>
      <c r="N24" s="40"/>
    </row>
    <row r="25" spans="1:14">
      <c r="A25" s="6">
        <v>22</v>
      </c>
      <c r="B25" s="207">
        <v>46317</v>
      </c>
      <c r="C25" s="6"/>
      <c r="D25" s="6"/>
      <c r="E25" s="290"/>
      <c r="F25" s="298"/>
      <c r="G25" s="60">
        <f t="shared" si="0"/>
        <v>0</v>
      </c>
      <c r="H25" s="59"/>
      <c r="I25" s="298"/>
      <c r="J25" s="60">
        <f t="shared" si="1"/>
        <v>0</v>
      </c>
      <c r="K25" s="60">
        <f t="shared" si="2"/>
        <v>0</v>
      </c>
      <c r="L25" s="60"/>
      <c r="M25" s="140">
        <f t="shared" si="4"/>
        <v>1778.5601199999801</v>
      </c>
      <c r="N25" s="40"/>
    </row>
    <row r="26" spans="1:14">
      <c r="A26" s="6">
        <v>23</v>
      </c>
      <c r="B26" s="207">
        <v>46318</v>
      </c>
      <c r="C26" s="6"/>
      <c r="D26" s="6"/>
      <c r="E26" s="59"/>
      <c r="F26" s="6"/>
      <c r="G26" s="60">
        <f t="shared" si="0"/>
        <v>0</v>
      </c>
      <c r="H26" s="59"/>
      <c r="I26" s="298"/>
      <c r="J26" s="60">
        <f t="shared" si="1"/>
        <v>0</v>
      </c>
      <c r="K26" s="60">
        <f t="shared" si="2"/>
        <v>0</v>
      </c>
      <c r="L26" s="60"/>
      <c r="M26" s="140">
        <f t="shared" si="4"/>
        <v>1778.5601199999801</v>
      </c>
      <c r="N26" s="40"/>
    </row>
    <row r="27" spans="1:14">
      <c r="A27" s="6">
        <v>24</v>
      </c>
      <c r="B27" s="207">
        <v>46319</v>
      </c>
      <c r="C27" s="6"/>
      <c r="D27" s="6"/>
      <c r="E27" s="59"/>
      <c r="F27" s="6"/>
      <c r="G27" s="60">
        <f t="shared" si="0"/>
        <v>0</v>
      </c>
      <c r="H27" s="59"/>
      <c r="I27" s="298"/>
      <c r="J27" s="60">
        <f t="shared" si="1"/>
        <v>0</v>
      </c>
      <c r="K27" s="60">
        <f t="shared" si="2"/>
        <v>0</v>
      </c>
      <c r="L27" s="60"/>
      <c r="M27" s="140">
        <f t="shared" si="4"/>
        <v>1778.5601199999801</v>
      </c>
      <c r="N27" s="40"/>
    </row>
    <row r="28" spans="1:14">
      <c r="A28" s="6">
        <v>25</v>
      </c>
      <c r="B28" s="207">
        <v>46320</v>
      </c>
      <c r="C28" s="6"/>
      <c r="D28" s="6"/>
      <c r="E28" s="59"/>
      <c r="F28" s="6"/>
      <c r="G28" s="60">
        <f t="shared" si="0"/>
        <v>0</v>
      </c>
      <c r="H28" s="59"/>
      <c r="I28" s="298"/>
      <c r="J28" s="60">
        <f t="shared" si="1"/>
        <v>0</v>
      </c>
      <c r="K28" s="60">
        <f t="shared" si="2"/>
        <v>0</v>
      </c>
      <c r="L28" s="60"/>
      <c r="M28" s="140">
        <f t="shared" si="4"/>
        <v>1778.5601199999801</v>
      </c>
      <c r="N28" s="40"/>
    </row>
    <row r="29" spans="1:14">
      <c r="A29" s="6">
        <v>26</v>
      </c>
      <c r="B29" s="207">
        <v>46321</v>
      </c>
      <c r="C29" s="6"/>
      <c r="D29" s="6"/>
      <c r="E29" s="290"/>
      <c r="F29" s="298"/>
      <c r="G29" s="60">
        <f t="shared" si="0"/>
        <v>0</v>
      </c>
      <c r="H29" s="59"/>
      <c r="I29" s="298"/>
      <c r="J29" s="60">
        <f t="shared" si="1"/>
        <v>0</v>
      </c>
      <c r="K29" s="60">
        <f t="shared" si="2"/>
        <v>0</v>
      </c>
      <c r="L29" s="60"/>
      <c r="M29" s="140">
        <f t="shared" si="4"/>
        <v>1778.5601199999801</v>
      </c>
      <c r="N29" s="40"/>
    </row>
    <row r="30" spans="1:14">
      <c r="A30" s="6">
        <v>27</v>
      </c>
      <c r="B30" s="207">
        <v>46322</v>
      </c>
      <c r="C30" s="6"/>
      <c r="D30" s="6"/>
      <c r="E30" s="59"/>
      <c r="F30" s="6"/>
      <c r="G30" s="60">
        <f t="shared" si="0"/>
        <v>0</v>
      </c>
      <c r="H30" s="59"/>
      <c r="I30" s="298"/>
      <c r="J30" s="60">
        <f t="shared" si="1"/>
        <v>0</v>
      </c>
      <c r="K30" s="60">
        <f t="shared" si="2"/>
        <v>0</v>
      </c>
      <c r="L30" s="60"/>
      <c r="M30" s="140">
        <f t="shared" si="4"/>
        <v>1778.5601199999801</v>
      </c>
      <c r="N30" s="40"/>
    </row>
    <row r="31" spans="1:14">
      <c r="A31" s="6">
        <v>28</v>
      </c>
      <c r="B31" s="207">
        <v>46323</v>
      </c>
      <c r="C31" s="6"/>
      <c r="D31" s="6"/>
      <c r="E31" s="59"/>
      <c r="F31" s="6"/>
      <c r="G31" s="60">
        <f t="shared" si="0"/>
        <v>0</v>
      </c>
      <c r="H31" s="59"/>
      <c r="I31" s="298"/>
      <c r="J31" s="60">
        <f t="shared" si="1"/>
        <v>0</v>
      </c>
      <c r="K31" s="60">
        <f t="shared" si="2"/>
        <v>0</v>
      </c>
      <c r="L31" s="60"/>
      <c r="M31" s="140">
        <f t="shared" si="4"/>
        <v>1778.5601199999801</v>
      </c>
      <c r="N31" s="40"/>
    </row>
    <row r="32" spans="1:14">
      <c r="A32" s="6">
        <v>29</v>
      </c>
      <c r="B32" s="207">
        <v>46324</v>
      </c>
      <c r="C32" s="6"/>
      <c r="D32" s="6"/>
      <c r="E32" s="6"/>
      <c r="F32" s="60"/>
      <c r="G32" s="60">
        <f t="shared" si="0"/>
        <v>0</v>
      </c>
      <c r="H32" s="59"/>
      <c r="I32" s="298"/>
      <c r="J32" s="60">
        <f t="shared" si="1"/>
        <v>0</v>
      </c>
      <c r="K32" s="60">
        <f t="shared" si="2"/>
        <v>0</v>
      </c>
      <c r="L32" s="60"/>
      <c r="M32" s="140">
        <f t="shared" si="4"/>
        <v>1778.5601199999801</v>
      </c>
      <c r="N32" s="40"/>
    </row>
    <row r="33" spans="1:16">
      <c r="A33" s="6">
        <v>30</v>
      </c>
      <c r="B33" s="207">
        <v>46325</v>
      </c>
      <c r="C33" s="6"/>
      <c r="D33" s="6"/>
      <c r="E33" s="59"/>
      <c r="F33" s="6"/>
      <c r="G33" s="60">
        <f t="shared" ref="G33:G46" si="8">E33*F33</f>
        <v>0</v>
      </c>
      <c r="H33" s="59"/>
      <c r="I33" s="298"/>
      <c r="J33" s="60">
        <f t="shared" si="1"/>
        <v>0</v>
      </c>
      <c r="K33" s="60">
        <f t="shared" si="2"/>
        <v>0</v>
      </c>
      <c r="L33" s="60"/>
      <c r="M33" s="140">
        <f t="shared" si="4"/>
        <v>1778.5601199999801</v>
      </c>
      <c r="N33" s="40"/>
    </row>
    <row r="34" spans="1:16">
      <c r="A34" s="6">
        <v>31</v>
      </c>
      <c r="B34" s="207">
        <v>46326</v>
      </c>
      <c r="C34" s="6"/>
      <c r="D34" s="6"/>
      <c r="E34" s="59"/>
      <c r="F34" s="6"/>
      <c r="G34" s="60">
        <f t="shared" si="8"/>
        <v>0</v>
      </c>
      <c r="H34" s="59"/>
      <c r="I34" s="298"/>
      <c r="J34" s="60">
        <f t="shared" si="1"/>
        <v>0</v>
      </c>
      <c r="K34" s="60">
        <f t="shared" si="2"/>
        <v>0</v>
      </c>
      <c r="L34" s="60"/>
      <c r="M34" s="140">
        <f t="shared" si="4"/>
        <v>1778.5601199999801</v>
      </c>
      <c r="N34" s="40"/>
    </row>
    <row r="35" spans="1:16">
      <c r="A35" s="6">
        <v>32</v>
      </c>
      <c r="B35" s="207"/>
      <c r="C35" s="6"/>
      <c r="D35" s="6"/>
      <c r="E35" s="59"/>
      <c r="F35" s="6"/>
      <c r="G35" s="60">
        <f t="shared" si="8"/>
        <v>0</v>
      </c>
      <c r="H35" s="59"/>
      <c r="I35" s="298"/>
      <c r="J35" s="60">
        <f t="shared" si="1"/>
        <v>0</v>
      </c>
      <c r="K35" s="60">
        <f t="shared" si="2"/>
        <v>0</v>
      </c>
      <c r="L35" s="60"/>
      <c r="M35" s="140">
        <f t="shared" si="4"/>
        <v>1778.5601199999801</v>
      </c>
      <c r="N35" s="40"/>
    </row>
    <row r="36" spans="1:16">
      <c r="A36" s="6">
        <v>33</v>
      </c>
      <c r="B36" s="207"/>
      <c r="C36" s="6"/>
      <c r="D36" s="6"/>
      <c r="E36" s="59"/>
      <c r="F36" s="6"/>
      <c r="G36" s="60">
        <f t="shared" si="8"/>
        <v>0</v>
      </c>
      <c r="H36" s="59"/>
      <c r="I36" s="6"/>
      <c r="J36" s="60">
        <f t="shared" si="1"/>
        <v>0</v>
      </c>
      <c r="K36" s="60">
        <f t="shared" si="2"/>
        <v>0</v>
      </c>
      <c r="L36" s="60"/>
      <c r="M36" s="140">
        <f t="shared" si="4"/>
        <v>1778.5601199999801</v>
      </c>
      <c r="N36" s="40"/>
    </row>
    <row r="37" spans="1:16">
      <c r="A37" s="6">
        <v>34</v>
      </c>
      <c r="B37" s="207"/>
      <c r="C37" s="6"/>
      <c r="D37" s="6"/>
      <c r="E37" s="59"/>
      <c r="F37" s="6"/>
      <c r="G37" s="60">
        <f t="shared" si="8"/>
        <v>0</v>
      </c>
      <c r="H37" s="59"/>
      <c r="I37" s="6"/>
      <c r="J37" s="60">
        <f t="shared" si="1"/>
        <v>0</v>
      </c>
      <c r="K37" s="60">
        <f t="shared" si="2"/>
        <v>0</v>
      </c>
      <c r="L37" s="60"/>
      <c r="M37" s="140">
        <f t="shared" si="4"/>
        <v>1778.5601199999801</v>
      </c>
      <c r="N37" s="40"/>
    </row>
    <row r="38" spans="1:16">
      <c r="A38" s="6">
        <v>35</v>
      </c>
      <c r="B38" s="72"/>
      <c r="C38" s="6"/>
      <c r="D38" s="6"/>
      <c r="E38" s="59"/>
      <c r="F38" s="6"/>
      <c r="G38" s="60">
        <f t="shared" si="8"/>
        <v>0</v>
      </c>
      <c r="H38" s="59"/>
      <c r="I38" s="6"/>
      <c r="J38" s="60">
        <f t="shared" si="1"/>
        <v>0</v>
      </c>
      <c r="K38" s="60">
        <f t="shared" si="2"/>
        <v>0</v>
      </c>
      <c r="L38" s="60"/>
      <c r="M38" s="140">
        <f t="shared" si="4"/>
        <v>1778.5601199999801</v>
      </c>
      <c r="N38" s="40"/>
    </row>
    <row r="39" spans="1:16">
      <c r="A39" s="6">
        <v>36</v>
      </c>
      <c r="B39" s="72"/>
      <c r="C39" s="6"/>
      <c r="D39" s="6"/>
      <c r="E39" s="59"/>
      <c r="F39" s="6"/>
      <c r="G39" s="60">
        <f t="shared" si="8"/>
        <v>0</v>
      </c>
      <c r="H39" s="59"/>
      <c r="I39" s="6"/>
      <c r="J39" s="60">
        <f t="shared" si="1"/>
        <v>0</v>
      </c>
      <c r="K39" s="60">
        <f t="shared" si="2"/>
        <v>0</v>
      </c>
      <c r="L39" s="60"/>
      <c r="M39" s="140">
        <f t="shared" si="4"/>
        <v>1778.5601199999801</v>
      </c>
      <c r="N39" s="40"/>
    </row>
    <row r="40" spans="1:16">
      <c r="A40" s="6">
        <v>37</v>
      </c>
      <c r="B40" s="72"/>
      <c r="C40" s="6"/>
      <c r="D40" s="6"/>
      <c r="E40" s="59"/>
      <c r="F40" s="6"/>
      <c r="G40" s="60">
        <f t="shared" si="8"/>
        <v>0</v>
      </c>
      <c r="H40" s="59"/>
      <c r="I40" s="6"/>
      <c r="J40" s="60">
        <f t="shared" si="1"/>
        <v>0</v>
      </c>
      <c r="K40" s="60">
        <f t="shared" si="2"/>
        <v>0</v>
      </c>
      <c r="L40" s="60"/>
      <c r="M40" s="140">
        <f t="shared" si="4"/>
        <v>1778.5601199999801</v>
      </c>
      <c r="N40" s="40"/>
    </row>
    <row r="41" spans="1:16">
      <c r="A41" s="6">
        <v>38</v>
      </c>
      <c r="B41" s="72"/>
      <c r="C41" s="6"/>
      <c r="D41" s="6"/>
      <c r="E41" s="59"/>
      <c r="F41" s="6"/>
      <c r="G41" s="60">
        <f t="shared" si="8"/>
        <v>0</v>
      </c>
      <c r="H41" s="59"/>
      <c r="I41" s="6"/>
      <c r="J41" s="60">
        <f>H41*I41</f>
        <v>0</v>
      </c>
      <c r="K41" s="60">
        <f>G41+J41</f>
        <v>0</v>
      </c>
      <c r="L41" s="60"/>
      <c r="M41" s="140">
        <f t="shared" si="4"/>
        <v>1778.5601199999801</v>
      </c>
      <c r="N41" s="40"/>
    </row>
    <row r="42" spans="1:16">
      <c r="A42" s="6">
        <v>39</v>
      </c>
      <c r="B42" s="72"/>
      <c r="C42" s="6"/>
      <c r="D42" s="6"/>
      <c r="E42" s="59"/>
      <c r="F42" s="6"/>
      <c r="G42" s="60">
        <f t="shared" si="8"/>
        <v>0</v>
      </c>
      <c r="H42" s="59"/>
      <c r="I42" s="6"/>
      <c r="J42" s="60">
        <f t="shared" si="1"/>
        <v>0</v>
      </c>
      <c r="K42" s="60">
        <f t="shared" si="2"/>
        <v>0</v>
      </c>
      <c r="L42" s="60"/>
      <c r="M42" s="140">
        <f t="shared" si="4"/>
        <v>1778.5601199999801</v>
      </c>
      <c r="N42" s="40"/>
    </row>
    <row r="43" spans="1:16">
      <c r="A43" s="6">
        <v>40</v>
      </c>
      <c r="B43" s="72"/>
      <c r="C43" s="6"/>
      <c r="D43" s="6"/>
      <c r="E43" s="59"/>
      <c r="F43" s="6"/>
      <c r="G43" s="60">
        <f t="shared" si="8"/>
        <v>0</v>
      </c>
      <c r="H43" s="59"/>
      <c r="I43" s="6"/>
      <c r="J43" s="60">
        <f t="shared" si="1"/>
        <v>0</v>
      </c>
      <c r="K43" s="60">
        <f t="shared" si="2"/>
        <v>0</v>
      </c>
      <c r="L43" s="60"/>
      <c r="M43" s="140">
        <f t="shared" si="4"/>
        <v>1778.5601199999801</v>
      </c>
      <c r="N43" s="40"/>
    </row>
    <row r="44" spans="1:16">
      <c r="A44" s="6">
        <v>41</v>
      </c>
      <c r="B44" s="159"/>
      <c r="C44" s="158"/>
      <c r="D44" s="6"/>
      <c r="E44" s="59"/>
      <c r="F44" s="6"/>
      <c r="G44" s="60">
        <f t="shared" si="8"/>
        <v>0</v>
      </c>
      <c r="H44" s="59"/>
      <c r="I44" s="6"/>
      <c r="J44" s="60">
        <f t="shared" si="1"/>
        <v>0</v>
      </c>
      <c r="K44" s="60">
        <f t="shared" si="2"/>
        <v>0</v>
      </c>
      <c r="L44" s="60"/>
      <c r="M44" s="140">
        <f t="shared" si="4"/>
        <v>1778.5601199999801</v>
      </c>
      <c r="N44" s="40"/>
    </row>
    <row r="45" spans="1:16">
      <c r="A45" s="6">
        <v>42</v>
      </c>
      <c r="B45" s="6"/>
      <c r="C45" s="6"/>
      <c r="D45" s="6"/>
      <c r="E45" s="59"/>
      <c r="F45" s="6"/>
      <c r="G45" s="60">
        <f t="shared" si="8"/>
        <v>0</v>
      </c>
      <c r="H45" s="59"/>
      <c r="I45" s="6"/>
      <c r="J45" s="60">
        <f t="shared" si="1"/>
        <v>0</v>
      </c>
      <c r="K45" s="60">
        <f t="shared" si="2"/>
        <v>0</v>
      </c>
      <c r="L45" s="60"/>
      <c r="M45" s="140">
        <f>M44+K45-L45</f>
        <v>1778.5601199999801</v>
      </c>
      <c r="N45" s="40"/>
      <c r="P45" s="415"/>
    </row>
    <row r="46" spans="1:16">
      <c r="A46" s="6">
        <v>43</v>
      </c>
      <c r="B46" s="158"/>
      <c r="C46" s="158"/>
      <c r="D46" s="6"/>
      <c r="E46" s="59"/>
      <c r="F46" s="6"/>
      <c r="G46" s="60">
        <f t="shared" si="8"/>
        <v>0</v>
      </c>
      <c r="H46" s="59"/>
      <c r="I46" s="6"/>
      <c r="J46" s="60">
        <f t="shared" si="1"/>
        <v>0</v>
      </c>
      <c r="K46" s="60">
        <f t="shared" si="2"/>
        <v>0</v>
      </c>
      <c r="L46" s="60"/>
      <c r="M46" s="140">
        <f t="shared" si="4"/>
        <v>1778.5601199999801</v>
      </c>
      <c r="N46" s="40"/>
    </row>
    <row r="47" spans="1:16">
      <c r="A47" s="6">
        <v>44</v>
      </c>
      <c r="B47" s="158"/>
      <c r="C47" s="158"/>
      <c r="D47" s="6"/>
      <c r="E47" s="59"/>
      <c r="F47" s="6"/>
      <c r="G47" s="60">
        <f t="shared" ref="G47" si="9">E47*F47</f>
        <v>0</v>
      </c>
      <c r="H47" s="59"/>
      <c r="I47" s="6"/>
      <c r="J47" s="60">
        <f>H47*I47</f>
        <v>0</v>
      </c>
      <c r="K47" s="60">
        <f t="shared" ref="K47" si="10">G47+J47</f>
        <v>0</v>
      </c>
      <c r="L47" s="151"/>
      <c r="M47" s="140">
        <f t="shared" si="4"/>
        <v>1778.5601199999801</v>
      </c>
      <c r="N47" s="40"/>
    </row>
    <row r="48" spans="1:16">
      <c r="A48" s="56"/>
      <c r="B48" s="56"/>
      <c r="C48" s="56"/>
      <c r="D48" s="56"/>
      <c r="E48" s="57">
        <f>SUM(E4:E47)</f>
        <v>25</v>
      </c>
      <c r="F48" s="57"/>
      <c r="G48" s="57">
        <f>SUM(G4:G47)</f>
        <v>2480.75</v>
      </c>
      <c r="H48" s="57">
        <f>SUM(H4:H47)</f>
        <v>0.9</v>
      </c>
      <c r="I48" s="57"/>
      <c r="J48" s="57">
        <f>SUM(J4:J47)</f>
        <v>100.27800000000001</v>
      </c>
      <c r="K48" s="57">
        <f>SUM(K4:K47)</f>
        <v>2581.0279999999998</v>
      </c>
      <c r="L48" s="57">
        <f>SUM(L4:L47)</f>
        <v>75100.28</v>
      </c>
      <c r="M48" s="57"/>
      <c r="N48" s="57"/>
      <c r="O48" s="53"/>
    </row>
  </sheetData>
  <mergeCells count="2">
    <mergeCell ref="A1:N1"/>
    <mergeCell ref="A3:L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P36"/>
  <sheetViews>
    <sheetView workbookViewId="0">
      <pane ySplit="3" topLeftCell="A9" activePane="bottomLeft" state="frozen"/>
      <selection pane="bottomLeft" activeCell="M17" sqref="M17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" width="9.140625" style="5"/>
    <col min="17" max="17" width="13.5703125" style="5" customWidth="1"/>
    <col min="18" max="16384" width="9.140625" style="5"/>
  </cols>
  <sheetData>
    <row r="1" spans="1:14" ht="15.75">
      <c r="A1" s="627" t="s">
        <v>154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</row>
    <row r="2" spans="1:14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</row>
    <row r="3" spans="1:14">
      <c r="A3" s="144"/>
      <c r="C3" s="620" t="s">
        <v>178</v>
      </c>
      <c r="D3" s="622"/>
      <c r="E3" s="145"/>
      <c r="F3" s="145"/>
      <c r="G3" s="145"/>
      <c r="H3" s="145"/>
      <c r="I3" s="145"/>
      <c r="J3" s="146"/>
      <c r="K3" s="74">
        <v>124570.70960000006</v>
      </c>
      <c r="L3" s="147"/>
      <c r="M3" s="74">
        <v>124570.70960000006</v>
      </c>
      <c r="N3" s="145"/>
    </row>
    <row r="4" spans="1:14">
      <c r="A4" s="184">
        <v>1</v>
      </c>
      <c r="B4" s="207">
        <v>46296</v>
      </c>
      <c r="C4" s="61"/>
      <c r="D4" s="148"/>
      <c r="E4" s="59">
        <v>70</v>
      </c>
      <c r="F4" s="6">
        <v>99.12</v>
      </c>
      <c r="G4" s="8">
        <f>E4*F4</f>
        <v>6938.4000000000005</v>
      </c>
      <c r="H4" s="59"/>
      <c r="I4" s="6"/>
      <c r="J4" s="8">
        <f>H4*I4</f>
        <v>0</v>
      </c>
      <c r="K4" s="8">
        <f>G4+J4</f>
        <v>6938.4000000000005</v>
      </c>
      <c r="L4" s="62"/>
      <c r="M4" s="62">
        <f>M3+K4-L4</f>
        <v>131509.10960000005</v>
      </c>
      <c r="N4" s="35"/>
    </row>
    <row r="5" spans="1:14">
      <c r="A5" s="40">
        <v>2</v>
      </c>
      <c r="B5" s="207">
        <v>46297</v>
      </c>
      <c r="C5" s="61"/>
      <c r="D5" s="65"/>
      <c r="E5" s="59"/>
      <c r="F5" s="6"/>
      <c r="G5" s="8">
        <f t="shared" ref="G5:G34" si="0">E5*F5</f>
        <v>0</v>
      </c>
      <c r="H5" s="59">
        <v>10</v>
      </c>
      <c r="I5" s="6">
        <v>111.19</v>
      </c>
      <c r="J5" s="8">
        <f t="shared" ref="J5:J34" si="1">H5*I5</f>
        <v>1111.9000000000001</v>
      </c>
      <c r="K5" s="8">
        <f t="shared" ref="K5:K34" si="2">G5+J5</f>
        <v>1111.9000000000001</v>
      </c>
      <c r="L5" s="62"/>
      <c r="M5" s="62">
        <f t="shared" ref="M5:M19" si="3">M4+K5-L5</f>
        <v>132621.00960000005</v>
      </c>
      <c r="N5" s="35"/>
    </row>
    <row r="6" spans="1:14">
      <c r="A6" s="40">
        <v>3</v>
      </c>
      <c r="B6" s="207">
        <v>46298</v>
      </c>
      <c r="C6" s="61"/>
      <c r="D6" s="65"/>
      <c r="E6" s="59"/>
      <c r="F6" s="6"/>
      <c r="G6" s="8">
        <f t="shared" si="0"/>
        <v>0</v>
      </c>
      <c r="H6" s="59">
        <v>7.82</v>
      </c>
      <c r="I6" s="6">
        <v>111.19</v>
      </c>
      <c r="J6" s="8">
        <f t="shared" si="1"/>
        <v>869.50580000000002</v>
      </c>
      <c r="K6" s="8">
        <f t="shared" si="2"/>
        <v>869.50580000000002</v>
      </c>
      <c r="L6" s="62"/>
      <c r="M6" s="62">
        <f t="shared" si="3"/>
        <v>133490.51540000006</v>
      </c>
      <c r="N6" s="35"/>
    </row>
    <row r="7" spans="1:14">
      <c r="A7" s="40">
        <v>4</v>
      </c>
      <c r="B7" s="207">
        <v>46299</v>
      </c>
      <c r="C7" s="61"/>
      <c r="D7" s="65"/>
      <c r="E7" s="59"/>
      <c r="F7" s="6"/>
      <c r="G7" s="8">
        <f t="shared" si="0"/>
        <v>0</v>
      </c>
      <c r="H7" s="59"/>
      <c r="I7" s="6"/>
      <c r="J7" s="8">
        <f t="shared" si="1"/>
        <v>0</v>
      </c>
      <c r="K7" s="8">
        <f t="shared" si="2"/>
        <v>0</v>
      </c>
      <c r="L7" s="62"/>
      <c r="M7" s="62">
        <f t="shared" si="3"/>
        <v>133490.51540000006</v>
      </c>
      <c r="N7" s="35"/>
    </row>
    <row r="8" spans="1:14">
      <c r="A8" s="40">
        <v>5</v>
      </c>
      <c r="B8" s="207">
        <v>46300</v>
      </c>
      <c r="C8" s="61"/>
      <c r="D8" s="65"/>
      <c r="E8" s="59">
        <v>132.33000000000001</v>
      </c>
      <c r="F8" s="6">
        <v>99.12</v>
      </c>
      <c r="G8" s="8">
        <f t="shared" si="0"/>
        <v>13116.549600000002</v>
      </c>
      <c r="H8" s="59">
        <v>2</v>
      </c>
      <c r="I8" s="298">
        <v>111.19</v>
      </c>
      <c r="J8" s="8">
        <f t="shared" si="1"/>
        <v>222.38</v>
      </c>
      <c r="K8" s="8">
        <f t="shared" si="2"/>
        <v>13338.929600000001</v>
      </c>
      <c r="L8" s="62"/>
      <c r="M8" s="62">
        <f t="shared" si="3"/>
        <v>146829.44500000007</v>
      </c>
      <c r="N8" s="35"/>
    </row>
    <row r="9" spans="1:14">
      <c r="A9" s="40">
        <v>6</v>
      </c>
      <c r="B9" s="207">
        <v>46301</v>
      </c>
      <c r="C9" s="61"/>
      <c r="D9" s="65"/>
      <c r="E9" s="59">
        <v>55.94</v>
      </c>
      <c r="F9" s="6">
        <v>99.12</v>
      </c>
      <c r="G9" s="8">
        <f t="shared" si="0"/>
        <v>5544.7727999999997</v>
      </c>
      <c r="H9" s="59"/>
      <c r="I9" s="298"/>
      <c r="J9" s="8">
        <f t="shared" si="1"/>
        <v>0</v>
      </c>
      <c r="K9" s="8">
        <f t="shared" si="2"/>
        <v>5544.7727999999997</v>
      </c>
      <c r="L9" s="62"/>
      <c r="M9" s="62">
        <f t="shared" si="3"/>
        <v>152374.21780000007</v>
      </c>
      <c r="N9" s="35"/>
    </row>
    <row r="10" spans="1:14">
      <c r="A10" s="40">
        <v>7</v>
      </c>
      <c r="B10" s="207">
        <v>46302</v>
      </c>
      <c r="C10" s="61"/>
      <c r="D10" s="65"/>
      <c r="E10" s="59"/>
      <c r="F10" s="6"/>
      <c r="G10" s="8">
        <f t="shared" si="0"/>
        <v>0</v>
      </c>
      <c r="H10" s="59">
        <v>10</v>
      </c>
      <c r="I10" s="6">
        <v>111.19</v>
      </c>
      <c r="J10" s="8">
        <f t="shared" si="1"/>
        <v>1111.9000000000001</v>
      </c>
      <c r="K10" s="8">
        <f t="shared" ref="K10:K11" si="4">G10+J10</f>
        <v>1111.9000000000001</v>
      </c>
      <c r="L10" s="62"/>
      <c r="M10" s="62">
        <f t="shared" si="3"/>
        <v>153486.11780000007</v>
      </c>
      <c r="N10" s="35"/>
    </row>
    <row r="11" spans="1:14">
      <c r="A11" s="40">
        <v>8</v>
      </c>
      <c r="B11" s="207">
        <v>46303</v>
      </c>
      <c r="C11" s="61"/>
      <c r="D11" s="65"/>
      <c r="E11" s="59">
        <v>20</v>
      </c>
      <c r="F11" s="6">
        <v>99.12</v>
      </c>
      <c r="G11" s="8">
        <f t="shared" ref="G11" si="5">E11*F11</f>
        <v>1982.4</v>
      </c>
      <c r="H11" s="59">
        <v>3</v>
      </c>
      <c r="I11" s="6">
        <v>111.19</v>
      </c>
      <c r="J11" s="8">
        <f t="shared" si="1"/>
        <v>333.57</v>
      </c>
      <c r="K11" s="8">
        <f t="shared" si="4"/>
        <v>2315.9700000000003</v>
      </c>
      <c r="L11" s="62"/>
      <c r="M11" s="62">
        <f t="shared" si="3"/>
        <v>155802.08780000007</v>
      </c>
      <c r="N11" s="35"/>
    </row>
    <row r="12" spans="1:14">
      <c r="A12" s="40">
        <v>9</v>
      </c>
      <c r="B12" s="207">
        <v>46304</v>
      </c>
      <c r="C12" s="61"/>
      <c r="D12" s="65"/>
      <c r="E12" s="59"/>
      <c r="F12" s="6"/>
      <c r="G12" s="8">
        <f t="shared" si="0"/>
        <v>0</v>
      </c>
      <c r="H12" s="59"/>
      <c r="I12" s="6"/>
      <c r="J12" s="8">
        <f t="shared" si="1"/>
        <v>0</v>
      </c>
      <c r="K12" s="8">
        <f t="shared" si="2"/>
        <v>0</v>
      </c>
      <c r="L12" s="62"/>
      <c r="M12" s="62">
        <f t="shared" si="3"/>
        <v>155802.08780000007</v>
      </c>
      <c r="N12" s="35"/>
    </row>
    <row r="13" spans="1:14">
      <c r="A13" s="40">
        <v>10</v>
      </c>
      <c r="B13" s="207">
        <v>46305</v>
      </c>
      <c r="C13" s="175"/>
      <c r="D13" s="176"/>
      <c r="E13" s="59">
        <v>35.369999999999997</v>
      </c>
      <c r="F13" s="6">
        <v>99.12</v>
      </c>
      <c r="G13" s="8">
        <f t="shared" si="0"/>
        <v>3505.8743999999997</v>
      </c>
      <c r="H13" s="59">
        <v>10</v>
      </c>
      <c r="I13" s="6">
        <v>111.19</v>
      </c>
      <c r="J13" s="8">
        <f t="shared" si="1"/>
        <v>1111.9000000000001</v>
      </c>
      <c r="K13" s="8">
        <f t="shared" si="2"/>
        <v>4617.7744000000002</v>
      </c>
      <c r="L13" s="62"/>
      <c r="M13" s="62">
        <f>M12+K13-L13</f>
        <v>160419.86220000006</v>
      </c>
      <c r="N13" s="35"/>
    </row>
    <row r="14" spans="1:14">
      <c r="A14" s="40">
        <v>11</v>
      </c>
      <c r="B14" s="207">
        <v>46306</v>
      </c>
      <c r="C14" s="165"/>
      <c r="D14" s="165"/>
      <c r="E14" s="290">
        <v>41.78</v>
      </c>
      <c r="F14" s="298">
        <v>102.12</v>
      </c>
      <c r="G14" s="8">
        <f t="shared" si="0"/>
        <v>4266.5736000000006</v>
      </c>
      <c r="H14" s="59"/>
      <c r="I14" s="6"/>
      <c r="J14" s="8">
        <f t="shared" si="1"/>
        <v>0</v>
      </c>
      <c r="K14" s="8">
        <f t="shared" si="2"/>
        <v>4266.5736000000006</v>
      </c>
      <c r="L14" s="62"/>
      <c r="M14" s="62">
        <f t="shared" si="3"/>
        <v>164686.43580000006</v>
      </c>
      <c r="N14" s="35"/>
    </row>
    <row r="15" spans="1:14">
      <c r="A15" s="40">
        <v>12</v>
      </c>
      <c r="B15" s="207">
        <v>46307</v>
      </c>
      <c r="C15" s="165"/>
      <c r="D15" s="165"/>
      <c r="E15" s="290"/>
      <c r="F15" s="298"/>
      <c r="G15" s="8">
        <f t="shared" si="0"/>
        <v>0</v>
      </c>
      <c r="H15" s="59"/>
      <c r="I15" s="6"/>
      <c r="J15" s="8">
        <f t="shared" si="1"/>
        <v>0</v>
      </c>
      <c r="K15" s="8">
        <f t="shared" si="2"/>
        <v>0</v>
      </c>
      <c r="L15" s="62"/>
      <c r="M15" s="62">
        <f>M14+K15-L15</f>
        <v>164686.43580000006</v>
      </c>
      <c r="N15" s="35"/>
    </row>
    <row r="16" spans="1:14">
      <c r="A16" s="40">
        <v>13</v>
      </c>
      <c r="B16" s="207">
        <v>46308</v>
      </c>
      <c r="C16" s="165"/>
      <c r="D16" s="165"/>
      <c r="E16" s="59"/>
      <c r="F16" s="6"/>
      <c r="G16" s="8">
        <f t="shared" si="0"/>
        <v>0</v>
      </c>
      <c r="H16" s="59">
        <v>8.15</v>
      </c>
      <c r="I16" s="6">
        <v>116.19</v>
      </c>
      <c r="J16" s="8">
        <f t="shared" si="1"/>
        <v>946.94849999999997</v>
      </c>
      <c r="K16" s="8">
        <f t="shared" si="2"/>
        <v>946.94849999999997</v>
      </c>
      <c r="L16" s="62"/>
      <c r="M16" s="62">
        <f t="shared" si="3"/>
        <v>165633.38430000006</v>
      </c>
      <c r="N16" s="35"/>
    </row>
    <row r="17" spans="1:14">
      <c r="A17" s="40">
        <v>14</v>
      </c>
      <c r="B17" s="207">
        <v>46309</v>
      </c>
      <c r="C17" s="165"/>
      <c r="D17" s="165"/>
      <c r="E17" s="59"/>
      <c r="F17" s="6"/>
      <c r="G17" s="8">
        <f t="shared" si="0"/>
        <v>0</v>
      </c>
      <c r="H17" s="290"/>
      <c r="I17" s="6"/>
      <c r="J17" s="8">
        <f t="shared" si="1"/>
        <v>0</v>
      </c>
      <c r="K17" s="8">
        <f t="shared" si="2"/>
        <v>0</v>
      </c>
      <c r="L17" s="62"/>
      <c r="M17" s="62">
        <f t="shared" si="3"/>
        <v>165633.38430000006</v>
      </c>
      <c r="N17" s="35"/>
    </row>
    <row r="18" spans="1:14">
      <c r="A18" s="40">
        <v>15</v>
      </c>
      <c r="B18" s="207">
        <v>46310</v>
      </c>
      <c r="C18" s="165"/>
      <c r="D18" s="165"/>
      <c r="E18" s="59">
        <v>50.44</v>
      </c>
      <c r="F18" s="6">
        <v>99.12</v>
      </c>
      <c r="G18" s="8">
        <f t="shared" si="0"/>
        <v>4999.6127999999999</v>
      </c>
      <c r="H18" s="59"/>
      <c r="I18" s="6"/>
      <c r="J18" s="8">
        <f t="shared" si="1"/>
        <v>0</v>
      </c>
      <c r="K18" s="8">
        <f t="shared" si="2"/>
        <v>4999.6127999999999</v>
      </c>
      <c r="L18" s="62"/>
      <c r="M18" s="62">
        <f t="shared" si="3"/>
        <v>170632.99710000007</v>
      </c>
      <c r="N18" s="35"/>
    </row>
    <row r="19" spans="1:14">
      <c r="A19" s="40">
        <v>16</v>
      </c>
      <c r="B19" s="207">
        <v>46311</v>
      </c>
      <c r="C19" s="165"/>
      <c r="D19" s="165"/>
      <c r="E19" s="59"/>
      <c r="F19" s="6"/>
      <c r="G19" s="8">
        <f t="shared" si="0"/>
        <v>0</v>
      </c>
      <c r="H19" s="59"/>
      <c r="I19" s="6"/>
      <c r="J19" s="8">
        <f t="shared" si="1"/>
        <v>0</v>
      </c>
      <c r="K19" s="8">
        <f t="shared" si="2"/>
        <v>0</v>
      </c>
      <c r="L19" s="62"/>
      <c r="M19" s="62">
        <f t="shared" si="3"/>
        <v>170632.99710000007</v>
      </c>
      <c r="N19" s="35"/>
    </row>
    <row r="20" spans="1:14">
      <c r="A20" s="40">
        <v>17</v>
      </c>
      <c r="B20" s="207">
        <v>46312</v>
      </c>
      <c r="C20" s="165"/>
      <c r="D20" s="165"/>
      <c r="E20" s="59"/>
      <c r="F20" s="6"/>
      <c r="G20" s="8">
        <f t="shared" si="0"/>
        <v>0</v>
      </c>
      <c r="H20" s="59"/>
      <c r="I20" s="6"/>
      <c r="J20" s="8">
        <f t="shared" si="1"/>
        <v>0</v>
      </c>
      <c r="K20" s="8">
        <f t="shared" si="2"/>
        <v>0</v>
      </c>
      <c r="L20" s="62"/>
      <c r="M20" s="62">
        <f t="shared" ref="M20:M34" si="6">M19+K20-L20</f>
        <v>170632.99710000007</v>
      </c>
      <c r="N20" s="35"/>
    </row>
    <row r="21" spans="1:14">
      <c r="A21" s="40">
        <v>18</v>
      </c>
      <c r="B21" s="207">
        <v>46313</v>
      </c>
      <c r="C21" s="165"/>
      <c r="D21" s="165"/>
      <c r="E21" s="59"/>
      <c r="F21" s="6"/>
      <c r="G21" s="8">
        <f t="shared" si="0"/>
        <v>0</v>
      </c>
      <c r="H21" s="59"/>
      <c r="I21" s="6"/>
      <c r="J21" s="8">
        <f t="shared" si="1"/>
        <v>0</v>
      </c>
      <c r="K21" s="8">
        <f t="shared" si="2"/>
        <v>0</v>
      </c>
      <c r="L21" s="62"/>
      <c r="M21" s="62">
        <f t="shared" si="6"/>
        <v>170632.99710000007</v>
      </c>
      <c r="N21" s="35"/>
    </row>
    <row r="22" spans="1:14">
      <c r="A22" s="40">
        <v>19</v>
      </c>
      <c r="B22" s="207">
        <v>46314</v>
      </c>
      <c r="C22" s="165"/>
      <c r="D22" s="165"/>
      <c r="E22" s="59"/>
      <c r="F22" s="6"/>
      <c r="G22" s="8">
        <f t="shared" si="0"/>
        <v>0</v>
      </c>
      <c r="H22" s="59"/>
      <c r="I22" s="6"/>
      <c r="J22" s="8">
        <f t="shared" si="1"/>
        <v>0</v>
      </c>
      <c r="K22" s="8">
        <f t="shared" ref="K22" si="7">G22+J22</f>
        <v>0</v>
      </c>
      <c r="L22" s="62"/>
      <c r="M22" s="62">
        <f t="shared" si="6"/>
        <v>170632.99710000007</v>
      </c>
      <c r="N22" s="35"/>
    </row>
    <row r="23" spans="1:14">
      <c r="A23" s="40">
        <v>20</v>
      </c>
      <c r="B23" s="207">
        <v>46315</v>
      </c>
      <c r="C23" s="165"/>
      <c r="D23" s="165"/>
      <c r="E23" s="59"/>
      <c r="F23" s="6"/>
      <c r="G23" s="8">
        <f t="shared" si="0"/>
        <v>0</v>
      </c>
      <c r="H23" s="59"/>
      <c r="I23" s="6"/>
      <c r="J23" s="8">
        <f t="shared" si="1"/>
        <v>0</v>
      </c>
      <c r="K23" s="8">
        <f t="shared" si="2"/>
        <v>0</v>
      </c>
      <c r="L23" s="62"/>
      <c r="M23" s="62">
        <f t="shared" si="6"/>
        <v>170632.99710000007</v>
      </c>
      <c r="N23" s="35"/>
    </row>
    <row r="24" spans="1:14">
      <c r="A24" s="40">
        <v>21</v>
      </c>
      <c r="B24" s="207">
        <v>46316</v>
      </c>
      <c r="C24" s="165"/>
      <c r="D24" s="165"/>
      <c r="E24" s="59"/>
      <c r="F24" s="6"/>
      <c r="G24" s="8">
        <f t="shared" si="0"/>
        <v>0</v>
      </c>
      <c r="H24" s="59"/>
      <c r="I24" s="6"/>
      <c r="J24" s="8">
        <f t="shared" si="1"/>
        <v>0</v>
      </c>
      <c r="K24" s="8">
        <f t="shared" si="2"/>
        <v>0</v>
      </c>
      <c r="L24" s="62"/>
      <c r="M24" s="62">
        <f t="shared" si="6"/>
        <v>170632.99710000007</v>
      </c>
      <c r="N24" s="35"/>
    </row>
    <row r="25" spans="1:14">
      <c r="A25" s="40">
        <v>22</v>
      </c>
      <c r="B25" s="207">
        <v>46317</v>
      </c>
      <c r="C25" s="165"/>
      <c r="D25" s="165"/>
      <c r="E25" s="59"/>
      <c r="F25" s="6"/>
      <c r="G25" s="8">
        <f t="shared" si="0"/>
        <v>0</v>
      </c>
      <c r="H25" s="59"/>
      <c r="I25" s="6"/>
      <c r="J25" s="8">
        <f t="shared" si="1"/>
        <v>0</v>
      </c>
      <c r="K25" s="8">
        <f t="shared" si="2"/>
        <v>0</v>
      </c>
      <c r="L25" s="62"/>
      <c r="M25" s="62">
        <f t="shared" si="6"/>
        <v>170632.99710000007</v>
      </c>
      <c r="N25" s="35"/>
    </row>
    <row r="26" spans="1:14">
      <c r="A26" s="40">
        <v>23</v>
      </c>
      <c r="B26" s="207">
        <v>46318</v>
      </c>
      <c r="C26" s="198"/>
      <c r="D26" s="198"/>
      <c r="E26" s="59"/>
      <c r="F26" s="6"/>
      <c r="G26" s="8">
        <f t="shared" si="0"/>
        <v>0</v>
      </c>
      <c r="H26" s="59"/>
      <c r="I26" s="6"/>
      <c r="J26" s="8">
        <f t="shared" si="1"/>
        <v>0</v>
      </c>
      <c r="K26" s="8">
        <f t="shared" si="2"/>
        <v>0</v>
      </c>
      <c r="L26" s="62"/>
      <c r="M26" s="62">
        <f t="shared" si="6"/>
        <v>170632.99710000007</v>
      </c>
      <c r="N26" s="199"/>
    </row>
    <row r="27" spans="1:14">
      <c r="A27" s="40">
        <v>24</v>
      </c>
      <c r="B27" s="207">
        <v>46319</v>
      </c>
      <c r="C27" s="198"/>
      <c r="D27" s="198"/>
      <c r="E27" s="59"/>
      <c r="F27" s="6"/>
      <c r="G27" s="8">
        <f t="shared" si="0"/>
        <v>0</v>
      </c>
      <c r="H27" s="59"/>
      <c r="I27" s="6"/>
      <c r="J27" s="8">
        <f t="shared" si="1"/>
        <v>0</v>
      </c>
      <c r="K27" s="8">
        <f t="shared" si="2"/>
        <v>0</v>
      </c>
      <c r="L27" s="62"/>
      <c r="M27" s="62">
        <f t="shared" si="6"/>
        <v>170632.99710000007</v>
      </c>
      <c r="N27" s="199"/>
    </row>
    <row r="28" spans="1:14">
      <c r="A28" s="208">
        <v>25</v>
      </c>
      <c r="B28" s="207">
        <v>46320</v>
      </c>
      <c r="C28" s="198"/>
      <c r="D28" s="198"/>
      <c r="E28" s="290"/>
      <c r="F28" s="298"/>
      <c r="G28" s="8">
        <f t="shared" si="0"/>
        <v>0</v>
      </c>
      <c r="H28" s="59"/>
      <c r="I28" s="6"/>
      <c r="J28" s="8">
        <f t="shared" si="1"/>
        <v>0</v>
      </c>
      <c r="K28" s="8">
        <f t="shared" si="2"/>
        <v>0</v>
      </c>
      <c r="L28" s="62"/>
      <c r="M28" s="62">
        <f>M27+K28-L28</f>
        <v>170632.99710000007</v>
      </c>
      <c r="N28" s="199"/>
    </row>
    <row r="29" spans="1:14">
      <c r="A29" s="208">
        <v>26</v>
      </c>
      <c r="B29" s="207">
        <v>46321</v>
      </c>
      <c r="C29" s="198"/>
      <c r="D29" s="198"/>
      <c r="E29" s="290"/>
      <c r="F29" s="298"/>
      <c r="G29" s="8">
        <f t="shared" si="0"/>
        <v>0</v>
      </c>
      <c r="H29" s="59"/>
      <c r="I29" s="6"/>
      <c r="J29" s="8">
        <f t="shared" si="1"/>
        <v>0</v>
      </c>
      <c r="K29" s="8">
        <f t="shared" si="2"/>
        <v>0</v>
      </c>
      <c r="L29" s="62"/>
      <c r="M29" s="62">
        <f t="shared" si="6"/>
        <v>170632.99710000007</v>
      </c>
      <c r="N29" s="199"/>
    </row>
    <row r="30" spans="1:14">
      <c r="A30" s="208">
        <v>27</v>
      </c>
      <c r="B30" s="207">
        <v>46322</v>
      </c>
      <c r="C30" s="198"/>
      <c r="D30" s="198"/>
      <c r="E30" s="290"/>
      <c r="F30" s="298"/>
      <c r="G30" s="8">
        <f t="shared" si="0"/>
        <v>0</v>
      </c>
      <c r="H30" s="59"/>
      <c r="I30" s="6"/>
      <c r="J30" s="8">
        <f t="shared" si="1"/>
        <v>0</v>
      </c>
      <c r="K30" s="8">
        <f t="shared" si="2"/>
        <v>0</v>
      </c>
      <c r="L30" s="62"/>
      <c r="M30" s="62">
        <f t="shared" si="6"/>
        <v>170632.99710000007</v>
      </c>
      <c r="N30" s="199"/>
    </row>
    <row r="31" spans="1:14">
      <c r="A31" s="208">
        <v>28</v>
      </c>
      <c r="B31" s="207">
        <v>46323</v>
      </c>
      <c r="C31" s="198"/>
      <c r="D31" s="198"/>
      <c r="E31" s="34"/>
      <c r="F31" s="298"/>
      <c r="G31" s="8">
        <f t="shared" si="0"/>
        <v>0</v>
      </c>
      <c r="H31" s="59"/>
      <c r="I31" s="6"/>
      <c r="J31" s="8">
        <f t="shared" si="1"/>
        <v>0</v>
      </c>
      <c r="K31" s="8">
        <f t="shared" si="2"/>
        <v>0</v>
      </c>
      <c r="L31" s="62"/>
      <c r="M31" s="62">
        <f t="shared" si="6"/>
        <v>170632.99710000007</v>
      </c>
      <c r="N31" s="199"/>
    </row>
    <row r="32" spans="1:14">
      <c r="A32" s="209">
        <v>29</v>
      </c>
      <c r="B32" s="207">
        <v>46324</v>
      </c>
      <c r="C32" s="198"/>
      <c r="D32" s="198"/>
      <c r="E32" s="59"/>
      <c r="F32" s="6"/>
      <c r="G32" s="8">
        <f t="shared" si="0"/>
        <v>0</v>
      </c>
      <c r="H32" s="59"/>
      <c r="I32" s="6"/>
      <c r="J32" s="8">
        <f t="shared" si="1"/>
        <v>0</v>
      </c>
      <c r="K32" s="8">
        <f t="shared" si="2"/>
        <v>0</v>
      </c>
      <c r="L32" s="62"/>
      <c r="M32" s="62">
        <f t="shared" si="6"/>
        <v>170632.99710000007</v>
      </c>
      <c r="N32" s="199"/>
    </row>
    <row r="33" spans="1:16">
      <c r="A33" s="209">
        <v>30</v>
      </c>
      <c r="B33" s="207">
        <v>46325</v>
      </c>
      <c r="C33" s="198"/>
      <c r="D33" s="198"/>
      <c r="E33" s="59"/>
      <c r="F33" s="6"/>
      <c r="G33" s="8">
        <f t="shared" si="0"/>
        <v>0</v>
      </c>
      <c r="H33" s="59"/>
      <c r="I33" s="6"/>
      <c r="J33" s="8">
        <f t="shared" si="1"/>
        <v>0</v>
      </c>
      <c r="K33" s="8">
        <f t="shared" si="2"/>
        <v>0</v>
      </c>
      <c r="L33" s="62"/>
      <c r="M33" s="62">
        <f t="shared" si="6"/>
        <v>170632.99710000007</v>
      </c>
      <c r="N33" s="199"/>
    </row>
    <row r="34" spans="1:16">
      <c r="A34" s="209">
        <v>31</v>
      </c>
      <c r="B34" s="207">
        <v>46326</v>
      </c>
      <c r="C34" s="198"/>
      <c r="D34" s="198"/>
      <c r="E34" s="59"/>
      <c r="F34" s="6"/>
      <c r="G34" s="8">
        <f t="shared" si="0"/>
        <v>0</v>
      </c>
      <c r="H34" s="59"/>
      <c r="I34" s="6"/>
      <c r="J34" s="8">
        <f t="shared" si="1"/>
        <v>0</v>
      </c>
      <c r="K34" s="8">
        <f t="shared" si="2"/>
        <v>0</v>
      </c>
      <c r="L34" s="62"/>
      <c r="M34" s="62">
        <f t="shared" si="6"/>
        <v>170632.99710000007</v>
      </c>
      <c r="N34" s="199"/>
    </row>
    <row r="35" spans="1:16">
      <c r="A35" s="149"/>
      <c r="B35" s="149"/>
      <c r="C35" s="149"/>
      <c r="D35" s="149"/>
      <c r="E35" s="150">
        <f>SUM(E4:E34)</f>
        <v>405.85999999999996</v>
      </c>
      <c r="F35" s="150"/>
      <c r="G35" s="150">
        <f>SUM(G4:G34)</f>
        <v>40354.183200000007</v>
      </c>
      <c r="H35" s="150">
        <f>SUM(H4:H34)</f>
        <v>50.97</v>
      </c>
      <c r="I35" s="150"/>
      <c r="J35" s="150">
        <f>SUM(J4:J34)</f>
        <v>5708.1043000000009</v>
      </c>
      <c r="K35" s="150">
        <f>SUM(K4:K34)</f>
        <v>46062.287500000013</v>
      </c>
      <c r="L35" s="150">
        <f>SUM(L4:L34)</f>
        <v>0</v>
      </c>
      <c r="M35" s="150"/>
      <c r="N35" s="150"/>
    </row>
    <row r="36" spans="1:16">
      <c r="A36" s="66"/>
      <c r="B36" s="67"/>
      <c r="C36" s="66"/>
      <c r="D36" s="66"/>
      <c r="E36" s="68"/>
      <c r="F36" s="68"/>
      <c r="G36" s="68"/>
      <c r="H36" s="68"/>
      <c r="I36" s="68"/>
      <c r="J36" s="69"/>
      <c r="K36" s="69"/>
      <c r="L36" s="69"/>
      <c r="M36" s="69"/>
      <c r="N36" s="68"/>
      <c r="P36" s="62">
        <f t="shared" ref="P36" si="8">P35+N36-O36</f>
        <v>0</v>
      </c>
    </row>
  </sheetData>
  <mergeCells count="2">
    <mergeCell ref="A1:N1"/>
    <mergeCell ref="C3:D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37"/>
  <sheetViews>
    <sheetView workbookViewId="0">
      <pane ySplit="3" topLeftCell="A9" activePane="bottomLeft" state="frozen"/>
      <selection pane="bottomLeft" activeCell="D20" sqref="D20"/>
    </sheetView>
  </sheetViews>
  <sheetFormatPr defaultRowHeight="15"/>
  <cols>
    <col min="2" max="2" width="10.85546875" bestFit="1" customWidth="1"/>
    <col min="4" max="4" width="14.7109375" customWidth="1"/>
    <col min="5" max="5" width="12.140625" customWidth="1"/>
    <col min="7" max="7" width="13.5703125" customWidth="1"/>
    <col min="8" max="8" width="13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7.85546875" customWidth="1"/>
    <col min="17" max="17" width="9.140625" bestFit="1" customWidth="1"/>
  </cols>
  <sheetData>
    <row r="1" spans="1:15" ht="15.75">
      <c r="A1" s="631" t="s">
        <v>156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52"/>
      <c r="N1" s="652"/>
      <c r="O1" s="5"/>
    </row>
    <row r="2" spans="1:15" ht="17.25" customHeight="1">
      <c r="A2" s="58" t="s">
        <v>0</v>
      </c>
      <c r="B2" s="77" t="s">
        <v>167</v>
      </c>
      <c r="C2" s="77" t="s">
        <v>168</v>
      </c>
      <c r="D2" s="77" t="s">
        <v>189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499" t="s">
        <v>175</v>
      </c>
      <c r="M2" s="79" t="s">
        <v>190</v>
      </c>
      <c r="N2" s="77" t="s">
        <v>177</v>
      </c>
      <c r="O2" s="5"/>
    </row>
    <row r="3" spans="1:15">
      <c r="A3" s="650" t="s">
        <v>178</v>
      </c>
      <c r="B3" s="650"/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3">
        <v>27734.19</v>
      </c>
      <c r="N3" s="653"/>
      <c r="O3" s="5"/>
    </row>
    <row r="4" spans="1:15">
      <c r="A4" s="184">
        <v>1</v>
      </c>
      <c r="B4" s="207">
        <v>46296</v>
      </c>
      <c r="C4" s="6"/>
      <c r="D4" s="6"/>
      <c r="E4" s="59"/>
      <c r="F4" s="6"/>
      <c r="G4" s="60">
        <f>E4*F4</f>
        <v>0</v>
      </c>
      <c r="H4" s="59"/>
      <c r="I4" s="6"/>
      <c r="J4" s="60">
        <f>H4*I4</f>
        <v>0</v>
      </c>
      <c r="K4" s="60">
        <f>G4+J4</f>
        <v>0</v>
      </c>
      <c r="L4" s="500"/>
      <c r="M4" s="140">
        <f>M3+K4-L4</f>
        <v>27734.19</v>
      </c>
      <c r="N4" s="40"/>
      <c r="O4" s="5"/>
    </row>
    <row r="5" spans="1:15">
      <c r="A5" s="40">
        <v>2</v>
      </c>
      <c r="B5" s="207">
        <v>46297</v>
      </c>
      <c r="C5" s="6"/>
      <c r="D5" s="6"/>
      <c r="E5" s="59">
        <v>50</v>
      </c>
      <c r="F5" s="6">
        <v>99.07</v>
      </c>
      <c r="G5" s="60">
        <f t="shared" ref="G5:G17" si="0">E5*F5</f>
        <v>4953.5</v>
      </c>
      <c r="H5" s="59"/>
      <c r="I5" s="6"/>
      <c r="J5" s="60">
        <f t="shared" ref="J5:J20" si="1">H5*I5</f>
        <v>0</v>
      </c>
      <c r="K5" s="60">
        <f t="shared" ref="K5:K20" si="2">G5+J5</f>
        <v>4953.5</v>
      </c>
      <c r="L5" s="151"/>
      <c r="M5" s="275">
        <f t="shared" ref="M5:M20" si="3">M4+K5-L5</f>
        <v>32687.69</v>
      </c>
      <c r="N5" s="184"/>
      <c r="O5" s="5"/>
    </row>
    <row r="6" spans="1:15">
      <c r="A6" s="40">
        <v>3</v>
      </c>
      <c r="B6" s="207">
        <v>46298</v>
      </c>
      <c r="C6" s="6"/>
      <c r="D6" s="6"/>
      <c r="E6" s="59"/>
      <c r="F6" s="6"/>
      <c r="G6" s="60">
        <f t="shared" si="0"/>
        <v>0</v>
      </c>
      <c r="H6" s="59"/>
      <c r="I6" s="6"/>
      <c r="J6" s="60">
        <f t="shared" si="1"/>
        <v>0</v>
      </c>
      <c r="K6" s="60">
        <f t="shared" si="2"/>
        <v>0</v>
      </c>
      <c r="L6" s="151"/>
      <c r="M6" s="140">
        <f t="shared" si="3"/>
        <v>32687.69</v>
      </c>
      <c r="N6" s="40"/>
      <c r="O6" s="5"/>
    </row>
    <row r="7" spans="1:15">
      <c r="A7" s="40">
        <v>4</v>
      </c>
      <c r="B7" s="207">
        <v>46299</v>
      </c>
      <c r="C7" s="6"/>
      <c r="D7" s="6"/>
      <c r="E7" s="59"/>
      <c r="F7" s="6"/>
      <c r="G7" s="60">
        <f t="shared" si="0"/>
        <v>0</v>
      </c>
      <c r="H7" s="59"/>
      <c r="I7" s="6"/>
      <c r="J7" s="60">
        <f t="shared" si="1"/>
        <v>0</v>
      </c>
      <c r="K7" s="60">
        <f t="shared" si="2"/>
        <v>0</v>
      </c>
      <c r="L7" s="151"/>
      <c r="M7" s="140">
        <f t="shared" si="3"/>
        <v>32687.69</v>
      </c>
      <c r="N7" s="40"/>
      <c r="O7" s="5"/>
    </row>
    <row r="8" spans="1:15">
      <c r="A8" s="40">
        <v>5</v>
      </c>
      <c r="B8" s="207">
        <v>46300</v>
      </c>
      <c r="C8" s="6"/>
      <c r="D8" s="6"/>
      <c r="E8" s="59">
        <v>60</v>
      </c>
      <c r="F8" s="6">
        <v>99.07</v>
      </c>
      <c r="G8" s="60">
        <f t="shared" si="0"/>
        <v>5944.2</v>
      </c>
      <c r="H8" s="59"/>
      <c r="I8" s="6"/>
      <c r="J8" s="60">
        <f t="shared" si="1"/>
        <v>0</v>
      </c>
      <c r="K8" s="60">
        <f t="shared" si="2"/>
        <v>5944.2</v>
      </c>
      <c r="L8" s="151"/>
      <c r="M8" s="140">
        <f t="shared" si="3"/>
        <v>38631.89</v>
      </c>
      <c r="N8" s="40"/>
      <c r="O8" s="5"/>
    </row>
    <row r="9" spans="1:15">
      <c r="A9" s="40">
        <v>6</v>
      </c>
      <c r="B9" s="207">
        <v>46301</v>
      </c>
      <c r="C9" s="6"/>
      <c r="D9" s="6"/>
      <c r="E9" s="59"/>
      <c r="F9" s="6"/>
      <c r="G9" s="60">
        <f t="shared" si="0"/>
        <v>0</v>
      </c>
      <c r="H9" s="59"/>
      <c r="I9" s="6"/>
      <c r="J9" s="60">
        <f t="shared" si="1"/>
        <v>0</v>
      </c>
      <c r="K9" s="60">
        <f t="shared" si="2"/>
        <v>0</v>
      </c>
      <c r="L9" s="151"/>
      <c r="M9" s="140">
        <f t="shared" si="3"/>
        <v>38631.89</v>
      </c>
      <c r="N9" s="40"/>
      <c r="O9" s="5"/>
    </row>
    <row r="10" spans="1:15">
      <c r="A10" s="40">
        <v>7</v>
      </c>
      <c r="B10" s="207">
        <v>46302</v>
      </c>
      <c r="C10" s="6"/>
      <c r="D10" s="6"/>
      <c r="E10" s="59"/>
      <c r="F10" s="6"/>
      <c r="G10" s="60">
        <f t="shared" si="0"/>
        <v>0</v>
      </c>
      <c r="H10" s="59"/>
      <c r="I10" s="6"/>
      <c r="J10" s="60">
        <f t="shared" si="1"/>
        <v>0</v>
      </c>
      <c r="K10" s="60">
        <f t="shared" si="2"/>
        <v>0</v>
      </c>
      <c r="L10" s="151"/>
      <c r="M10" s="140">
        <f t="shared" si="3"/>
        <v>38631.89</v>
      </c>
      <c r="N10" s="40"/>
      <c r="O10" s="5"/>
    </row>
    <row r="11" spans="1:15">
      <c r="A11" s="40">
        <v>8</v>
      </c>
      <c r="B11" s="207">
        <v>46303</v>
      </c>
      <c r="C11" s="6"/>
      <c r="D11" s="6"/>
      <c r="E11" s="59"/>
      <c r="F11" s="6"/>
      <c r="G11" s="60">
        <f t="shared" si="0"/>
        <v>0</v>
      </c>
      <c r="H11" s="59"/>
      <c r="I11" s="6"/>
      <c r="J11" s="60">
        <f t="shared" si="1"/>
        <v>0</v>
      </c>
      <c r="K11" s="60">
        <f t="shared" si="2"/>
        <v>0</v>
      </c>
      <c r="L11" s="151"/>
      <c r="M11" s="140">
        <f t="shared" si="3"/>
        <v>38631.89</v>
      </c>
      <c r="N11" s="40"/>
      <c r="O11" s="5"/>
    </row>
    <row r="12" spans="1:15">
      <c r="A12" s="40">
        <v>9</v>
      </c>
      <c r="B12" s="207">
        <v>46304</v>
      </c>
      <c r="C12" s="6"/>
      <c r="D12" s="6"/>
      <c r="E12" s="59"/>
      <c r="F12" s="6"/>
      <c r="G12" s="60">
        <f t="shared" si="0"/>
        <v>0</v>
      </c>
      <c r="H12" s="59"/>
      <c r="I12" s="6"/>
      <c r="J12" s="60">
        <f t="shared" si="1"/>
        <v>0</v>
      </c>
      <c r="K12" s="60">
        <f t="shared" si="2"/>
        <v>0</v>
      </c>
      <c r="L12" s="151"/>
      <c r="M12" s="140">
        <f t="shared" si="3"/>
        <v>38631.89</v>
      </c>
      <c r="N12" s="40"/>
      <c r="O12" s="5"/>
    </row>
    <row r="13" spans="1:15">
      <c r="A13" s="40">
        <v>10</v>
      </c>
      <c r="B13" s="207">
        <v>46305</v>
      </c>
      <c r="C13" s="6"/>
      <c r="D13" s="6"/>
      <c r="E13" s="59"/>
      <c r="F13" s="6"/>
      <c r="G13" s="60">
        <f t="shared" si="0"/>
        <v>0</v>
      </c>
      <c r="H13" s="59"/>
      <c r="I13" s="6"/>
      <c r="J13" s="60">
        <f t="shared" si="1"/>
        <v>0</v>
      </c>
      <c r="K13" s="60">
        <f t="shared" si="2"/>
        <v>0</v>
      </c>
      <c r="L13" s="151"/>
      <c r="M13" s="140">
        <f t="shared" si="3"/>
        <v>38631.89</v>
      </c>
      <c r="N13" s="40"/>
      <c r="O13" s="5"/>
    </row>
    <row r="14" spans="1:15">
      <c r="A14" s="40">
        <v>11</v>
      </c>
      <c r="B14" s="207">
        <v>46306</v>
      </c>
      <c r="C14" s="6"/>
      <c r="D14" s="6"/>
      <c r="E14" s="59"/>
      <c r="F14" s="6"/>
      <c r="G14" s="60">
        <f t="shared" si="0"/>
        <v>0</v>
      </c>
      <c r="H14" s="59"/>
      <c r="I14" s="6"/>
      <c r="J14" s="60">
        <f t="shared" si="1"/>
        <v>0</v>
      </c>
      <c r="K14" s="60">
        <f t="shared" si="2"/>
        <v>0</v>
      </c>
      <c r="L14" s="151">
        <v>38500</v>
      </c>
      <c r="M14" s="140">
        <f t="shared" si="3"/>
        <v>131.88999999999942</v>
      </c>
      <c r="N14" s="40"/>
      <c r="O14" s="5"/>
    </row>
    <row r="15" spans="1:15">
      <c r="A15" s="40">
        <v>12</v>
      </c>
      <c r="B15" s="207">
        <v>46307</v>
      </c>
      <c r="C15" s="6"/>
      <c r="D15" s="6"/>
      <c r="E15" s="59">
        <v>40</v>
      </c>
      <c r="F15" s="6">
        <v>99.07</v>
      </c>
      <c r="G15" s="60">
        <f t="shared" si="0"/>
        <v>3962.7999999999997</v>
      </c>
      <c r="H15" s="59"/>
      <c r="I15" s="6"/>
      <c r="J15" s="60">
        <f t="shared" si="1"/>
        <v>0</v>
      </c>
      <c r="K15" s="60">
        <f t="shared" si="2"/>
        <v>3962.7999999999997</v>
      </c>
      <c r="L15" s="151"/>
      <c r="M15" s="140">
        <f t="shared" si="3"/>
        <v>4094.6899999999991</v>
      </c>
      <c r="N15" s="40"/>
      <c r="O15" s="5"/>
    </row>
    <row r="16" spans="1:15">
      <c r="A16" s="40">
        <v>13</v>
      </c>
      <c r="B16" s="207">
        <v>46308</v>
      </c>
      <c r="C16" s="6"/>
      <c r="D16" s="6"/>
      <c r="E16" s="59"/>
      <c r="F16" s="6"/>
      <c r="G16" s="60">
        <f t="shared" si="0"/>
        <v>0</v>
      </c>
      <c r="H16" s="59"/>
      <c r="I16" s="6"/>
      <c r="J16" s="60">
        <f t="shared" si="1"/>
        <v>0</v>
      </c>
      <c r="K16" s="60">
        <f t="shared" si="2"/>
        <v>0</v>
      </c>
      <c r="L16" s="151"/>
      <c r="M16" s="140">
        <f t="shared" si="3"/>
        <v>4094.6899999999991</v>
      </c>
      <c r="N16" s="40"/>
      <c r="O16" s="5"/>
    </row>
    <row r="17" spans="1:15">
      <c r="A17" s="40">
        <v>14</v>
      </c>
      <c r="B17" s="207">
        <v>46309</v>
      </c>
      <c r="C17" s="6"/>
      <c r="D17" s="6"/>
      <c r="E17" s="59"/>
      <c r="F17" s="6"/>
      <c r="G17" s="60">
        <f t="shared" si="0"/>
        <v>0</v>
      </c>
      <c r="H17" s="59"/>
      <c r="I17" s="6"/>
      <c r="J17" s="60">
        <f t="shared" si="1"/>
        <v>0</v>
      </c>
      <c r="K17" s="60">
        <f t="shared" si="2"/>
        <v>0</v>
      </c>
      <c r="L17" s="151"/>
      <c r="M17" s="140">
        <f t="shared" si="3"/>
        <v>4094.6899999999991</v>
      </c>
      <c r="N17" s="40"/>
      <c r="O17" s="5"/>
    </row>
    <row r="18" spans="1:15">
      <c r="A18" s="40">
        <v>15</v>
      </c>
      <c r="B18" s="207">
        <v>46310</v>
      </c>
      <c r="C18" s="6"/>
      <c r="D18" s="6"/>
      <c r="E18" s="59"/>
      <c r="F18" s="6"/>
      <c r="G18" s="60">
        <f t="shared" ref="G18:G19" si="4">E18*F18</f>
        <v>0</v>
      </c>
      <c r="H18" s="59"/>
      <c r="I18" s="6"/>
      <c r="J18" s="60">
        <f t="shared" si="1"/>
        <v>0</v>
      </c>
      <c r="K18" s="60">
        <f t="shared" si="2"/>
        <v>0</v>
      </c>
      <c r="L18" s="151"/>
      <c r="M18" s="140">
        <f>M17+K18-L18</f>
        <v>4094.6899999999991</v>
      </c>
      <c r="N18" s="40"/>
      <c r="O18" s="5"/>
    </row>
    <row r="19" spans="1:15">
      <c r="A19" s="40">
        <v>16</v>
      </c>
      <c r="B19" s="207">
        <v>46311</v>
      </c>
      <c r="C19" s="6"/>
      <c r="D19" s="6"/>
      <c r="E19" s="59"/>
      <c r="F19" s="6"/>
      <c r="G19" s="60">
        <f t="shared" si="4"/>
        <v>0</v>
      </c>
      <c r="H19" s="59"/>
      <c r="I19" s="6"/>
      <c r="J19" s="60">
        <f t="shared" si="1"/>
        <v>0</v>
      </c>
      <c r="K19" s="60">
        <f t="shared" si="2"/>
        <v>0</v>
      </c>
      <c r="L19" s="151"/>
      <c r="M19" s="140">
        <f t="shared" si="3"/>
        <v>4094.6899999999991</v>
      </c>
      <c r="N19" s="40"/>
      <c r="O19" s="5"/>
    </row>
    <row r="20" spans="1:15">
      <c r="A20" s="40">
        <v>17</v>
      </c>
      <c r="B20" s="207">
        <v>46312</v>
      </c>
      <c r="C20" s="6"/>
      <c r="D20" s="6"/>
      <c r="E20" s="59"/>
      <c r="F20" s="6"/>
      <c r="G20" s="60">
        <f>E20*F20</f>
        <v>0</v>
      </c>
      <c r="H20" s="59"/>
      <c r="I20" s="6"/>
      <c r="J20" s="60">
        <f t="shared" si="1"/>
        <v>0</v>
      </c>
      <c r="K20" s="60">
        <f t="shared" si="2"/>
        <v>0</v>
      </c>
      <c r="L20" s="151"/>
      <c r="M20" s="140">
        <f t="shared" si="3"/>
        <v>4094.6899999999991</v>
      </c>
      <c r="N20" s="40"/>
      <c r="O20" s="5"/>
    </row>
    <row r="21" spans="1:15">
      <c r="A21" s="40">
        <v>18</v>
      </c>
      <c r="B21" s="207">
        <v>46313</v>
      </c>
      <c r="C21" s="6"/>
      <c r="D21" s="6"/>
      <c r="E21" s="59"/>
      <c r="F21" s="6"/>
      <c r="G21" s="60">
        <f>E21*F21</f>
        <v>0</v>
      </c>
      <c r="H21" s="59"/>
      <c r="I21" s="6"/>
      <c r="J21" s="60">
        <f>H21*I21</f>
        <v>0</v>
      </c>
      <c r="K21" s="60">
        <f>G21+J21</f>
        <v>0</v>
      </c>
      <c r="L21" s="151"/>
      <c r="M21" s="140">
        <f>M20+K21-L21</f>
        <v>4094.6899999999991</v>
      </c>
      <c r="N21" s="40"/>
      <c r="O21" s="5"/>
    </row>
    <row r="22" spans="1:15">
      <c r="A22" s="40">
        <v>19</v>
      </c>
      <c r="B22" s="207">
        <v>46314</v>
      </c>
      <c r="C22" s="6"/>
      <c r="D22" s="6"/>
      <c r="E22" s="59"/>
      <c r="F22" s="6"/>
      <c r="G22" s="60">
        <f>E22*F22</f>
        <v>0</v>
      </c>
      <c r="H22" s="59"/>
      <c r="I22" s="6"/>
      <c r="J22" s="60">
        <f>H22*I22</f>
        <v>0</v>
      </c>
      <c r="K22" s="60">
        <f>G22+J22</f>
        <v>0</v>
      </c>
      <c r="L22" s="151"/>
      <c r="M22" s="140">
        <f>M21+K22-L22</f>
        <v>4094.6899999999991</v>
      </c>
      <c r="N22" s="40"/>
      <c r="O22" s="5"/>
    </row>
    <row r="23" spans="1:15">
      <c r="A23" s="40">
        <v>20</v>
      </c>
      <c r="B23" s="207">
        <v>46315</v>
      </c>
      <c r="C23" s="6"/>
      <c r="D23" s="6"/>
      <c r="E23" s="59"/>
      <c r="F23" s="6"/>
      <c r="G23" s="60">
        <f>E23*F23</f>
        <v>0</v>
      </c>
      <c r="H23" s="59"/>
      <c r="I23" s="6"/>
      <c r="J23" s="60">
        <f>H23*I23</f>
        <v>0</v>
      </c>
      <c r="K23" s="60">
        <f>G23+J23</f>
        <v>0</v>
      </c>
      <c r="L23" s="151"/>
      <c r="M23" s="140">
        <f>M22+K23-L23</f>
        <v>4094.6899999999991</v>
      </c>
      <c r="N23" s="40"/>
      <c r="O23" s="5"/>
    </row>
    <row r="24" spans="1:15">
      <c r="A24" s="40">
        <v>21</v>
      </c>
      <c r="B24" s="207">
        <v>46316</v>
      </c>
      <c r="C24" s="6"/>
      <c r="D24" s="6"/>
      <c r="E24" s="59"/>
      <c r="F24" s="6"/>
      <c r="G24" s="60">
        <f>E24*F24</f>
        <v>0</v>
      </c>
      <c r="H24" s="59"/>
      <c r="I24" s="6"/>
      <c r="J24" s="60">
        <f>H24*I24</f>
        <v>0</v>
      </c>
      <c r="K24" s="60">
        <f>G24+J24</f>
        <v>0</v>
      </c>
      <c r="L24" s="151"/>
      <c r="M24" s="140">
        <f>M23+K24-L24</f>
        <v>4094.6899999999991</v>
      </c>
      <c r="N24" s="40"/>
      <c r="O24" s="5"/>
    </row>
    <row r="25" spans="1:15">
      <c r="A25" s="40">
        <v>22</v>
      </c>
      <c r="B25" s="207">
        <v>46317</v>
      </c>
      <c r="C25" s="6"/>
      <c r="D25" s="6"/>
      <c r="E25" s="59"/>
      <c r="F25" s="6"/>
      <c r="G25" s="60">
        <f>E25*F25</f>
        <v>0</v>
      </c>
      <c r="H25" s="59"/>
      <c r="I25" s="6"/>
      <c r="J25" s="60">
        <f>H25*I25</f>
        <v>0</v>
      </c>
      <c r="K25" s="60">
        <f>G25+J25</f>
        <v>0</v>
      </c>
      <c r="L25" s="151"/>
      <c r="M25" s="140">
        <f>M24+K25-L25</f>
        <v>4094.6899999999991</v>
      </c>
      <c r="N25" s="40"/>
      <c r="O25" s="5"/>
    </row>
    <row r="26" spans="1:15">
      <c r="A26" s="40">
        <v>23</v>
      </c>
      <c r="B26" s="207">
        <v>46318</v>
      </c>
      <c r="C26" s="6"/>
      <c r="D26" s="6"/>
      <c r="E26" s="59"/>
      <c r="F26" s="6"/>
      <c r="G26" s="60">
        <f>E26*F26</f>
        <v>0</v>
      </c>
      <c r="H26" s="59"/>
      <c r="I26" s="6"/>
      <c r="J26" s="60">
        <f>H26*I26</f>
        <v>0</v>
      </c>
      <c r="K26" s="60">
        <f>G26+J26</f>
        <v>0</v>
      </c>
      <c r="L26" s="151"/>
      <c r="M26" s="140">
        <f>M25+K26-L26</f>
        <v>4094.6899999999991</v>
      </c>
      <c r="N26" s="40"/>
      <c r="O26" s="5"/>
    </row>
    <row r="27" spans="1:15">
      <c r="A27" s="40">
        <v>24</v>
      </c>
      <c r="B27" s="207">
        <v>46319</v>
      </c>
      <c r="C27" s="6"/>
      <c r="D27" s="6"/>
      <c r="E27" s="59"/>
      <c r="F27" s="6"/>
      <c r="G27" s="60">
        <f>E27*F27</f>
        <v>0</v>
      </c>
      <c r="H27" s="59"/>
      <c r="I27" s="6"/>
      <c r="J27" s="60">
        <f>H27*I27</f>
        <v>0</v>
      </c>
      <c r="K27" s="60">
        <f>G27+J27</f>
        <v>0</v>
      </c>
      <c r="L27" s="151"/>
      <c r="M27" s="140">
        <f>M26+K27-L27</f>
        <v>4094.6899999999991</v>
      </c>
      <c r="N27" s="6"/>
      <c r="O27" s="5"/>
    </row>
    <row r="28" spans="1:15">
      <c r="A28" s="208">
        <v>25</v>
      </c>
      <c r="B28" s="207">
        <v>46320</v>
      </c>
      <c r="C28" s="6"/>
      <c r="D28" s="6"/>
      <c r="E28" s="59"/>
      <c r="F28" s="6"/>
      <c r="G28" s="60">
        <f>E28*F28</f>
        <v>0</v>
      </c>
      <c r="H28" s="59"/>
      <c r="I28" s="6"/>
      <c r="J28" s="60">
        <f>H28*I28</f>
        <v>0</v>
      </c>
      <c r="K28" s="60">
        <f>G28+J28</f>
        <v>0</v>
      </c>
      <c r="L28" s="151"/>
      <c r="M28" s="140">
        <f>M27+K28-L28</f>
        <v>4094.6899999999991</v>
      </c>
      <c r="N28" s="6"/>
      <c r="O28" s="5"/>
    </row>
    <row r="29" spans="1:15">
      <c r="A29" s="208">
        <v>26</v>
      </c>
      <c r="B29" s="207">
        <v>46321</v>
      </c>
      <c r="C29" s="6"/>
      <c r="D29" s="6"/>
      <c r="E29" s="59"/>
      <c r="F29" s="6"/>
      <c r="G29" s="60">
        <f>E29*F29</f>
        <v>0</v>
      </c>
      <c r="H29" s="59"/>
      <c r="I29" s="6"/>
      <c r="J29" s="60">
        <f>H29*I29</f>
        <v>0</v>
      </c>
      <c r="K29" s="60">
        <f>G29+J29</f>
        <v>0</v>
      </c>
      <c r="L29" s="151"/>
      <c r="M29" s="140">
        <f>M28+K29-L29</f>
        <v>4094.6899999999991</v>
      </c>
      <c r="N29" s="6"/>
      <c r="O29" s="5"/>
    </row>
    <row r="30" spans="1:15">
      <c r="A30" s="208">
        <v>27</v>
      </c>
      <c r="B30" s="207">
        <v>46322</v>
      </c>
      <c r="C30" s="6"/>
      <c r="D30" s="6"/>
      <c r="E30" s="59"/>
      <c r="F30" s="6"/>
      <c r="G30" s="60">
        <f>E30*F30</f>
        <v>0</v>
      </c>
      <c r="H30" s="59"/>
      <c r="I30" s="6"/>
      <c r="J30" s="60">
        <f>H30*I30</f>
        <v>0</v>
      </c>
      <c r="K30" s="60">
        <f>G30+J30</f>
        <v>0</v>
      </c>
      <c r="L30" s="151"/>
      <c r="M30" s="140">
        <f>M29+K30-L30</f>
        <v>4094.6899999999991</v>
      </c>
      <c r="N30" s="6"/>
      <c r="O30" s="5"/>
    </row>
    <row r="31" spans="1:15">
      <c r="A31" s="208">
        <v>28</v>
      </c>
      <c r="B31" s="207">
        <v>46323</v>
      </c>
      <c r="C31" s="6"/>
      <c r="D31" s="6"/>
      <c r="E31" s="59"/>
      <c r="F31" s="6"/>
      <c r="G31" s="60">
        <f>E31*F31</f>
        <v>0</v>
      </c>
      <c r="H31" s="59"/>
      <c r="I31" s="6"/>
      <c r="J31" s="60">
        <f>H31*I31</f>
        <v>0</v>
      </c>
      <c r="K31" s="60">
        <f>G31+J31</f>
        <v>0</v>
      </c>
      <c r="L31" s="151"/>
      <c r="M31" s="140">
        <f>M30+K31-L31</f>
        <v>4094.6899999999991</v>
      </c>
      <c r="N31" s="6"/>
      <c r="O31" s="5"/>
    </row>
    <row r="32" spans="1:15">
      <c r="A32" s="209">
        <v>29</v>
      </c>
      <c r="B32" s="207">
        <v>46324</v>
      </c>
      <c r="C32" s="6"/>
      <c r="D32" s="6"/>
      <c r="E32" s="59"/>
      <c r="F32" s="6"/>
      <c r="G32" s="60">
        <f>E32*F32</f>
        <v>0</v>
      </c>
      <c r="H32" s="59"/>
      <c r="I32" s="6"/>
      <c r="J32" s="60">
        <f>H32*I32</f>
        <v>0</v>
      </c>
      <c r="K32" s="60">
        <f>G32+J32</f>
        <v>0</v>
      </c>
      <c r="L32" s="151"/>
      <c r="M32" s="140">
        <f>M31+K32-L32</f>
        <v>4094.6899999999991</v>
      </c>
      <c r="N32" s="6"/>
      <c r="O32" s="5"/>
    </row>
    <row r="33" spans="1:15">
      <c r="A33" s="209">
        <v>30</v>
      </c>
      <c r="B33" s="207">
        <v>46325</v>
      </c>
      <c r="C33" s="6"/>
      <c r="D33" s="6"/>
      <c r="E33" s="59"/>
      <c r="F33" s="6"/>
      <c r="G33" s="60">
        <f>E33*F33</f>
        <v>0</v>
      </c>
      <c r="H33" s="59"/>
      <c r="I33" s="6"/>
      <c r="J33" s="60">
        <f>H33*I33</f>
        <v>0</v>
      </c>
      <c r="K33" s="60">
        <f>G33+J33</f>
        <v>0</v>
      </c>
      <c r="L33" s="151"/>
      <c r="M33" s="140">
        <f>M32+K33-L33</f>
        <v>4094.6899999999991</v>
      </c>
      <c r="N33" s="6"/>
      <c r="O33" s="5"/>
    </row>
    <row r="34" spans="1:15">
      <c r="A34" s="209">
        <v>31</v>
      </c>
      <c r="B34" s="207">
        <v>46326</v>
      </c>
      <c r="C34" s="6"/>
      <c r="D34" s="6"/>
      <c r="E34" s="59"/>
      <c r="F34" s="6"/>
      <c r="G34" s="60">
        <f>E34*F34</f>
        <v>0</v>
      </c>
      <c r="H34" s="59"/>
      <c r="I34" s="6"/>
      <c r="J34" s="60">
        <f>H34*I34</f>
        <v>0</v>
      </c>
      <c r="K34" s="60">
        <f>G34+J34</f>
        <v>0</v>
      </c>
      <c r="L34" s="151"/>
      <c r="M34" s="140">
        <f>M33+K34-L34</f>
        <v>4094.6899999999991</v>
      </c>
      <c r="N34" s="6"/>
      <c r="O34" s="5"/>
    </row>
    <row r="35" spans="1:15">
      <c r="A35" s="56"/>
      <c r="B35" s="56"/>
      <c r="C35" s="56"/>
      <c r="D35" s="56"/>
      <c r="E35" s="57">
        <f>SUM(E4:E34)</f>
        <v>150</v>
      </c>
      <c r="F35" s="57"/>
      <c r="G35" s="57">
        <f>SUM(G4:G34)</f>
        <v>14860.5</v>
      </c>
      <c r="H35" s="57">
        <f>SUM(H4:H34)</f>
        <v>0</v>
      </c>
      <c r="I35" s="57"/>
      <c r="J35" s="57">
        <f>SUM(J4:J34)</f>
        <v>0</v>
      </c>
      <c r="K35" s="57">
        <f>SUM(K4:K34)</f>
        <v>14860.5</v>
      </c>
      <c r="L35" s="57">
        <f>SUM(L4:L34)</f>
        <v>38500</v>
      </c>
      <c r="M35" s="57"/>
      <c r="N35" s="57"/>
      <c r="O35" s="53"/>
    </row>
    <row r="36" spans="1:15">
      <c r="A36" s="5"/>
      <c r="B36" s="5"/>
      <c r="C36" s="5"/>
      <c r="D36" s="5"/>
      <c r="E36" s="5"/>
      <c r="F36" s="5"/>
      <c r="G36" s="96"/>
      <c r="H36" s="5"/>
      <c r="I36" s="5"/>
      <c r="J36" s="96"/>
      <c r="K36" s="5"/>
      <c r="L36" s="96"/>
      <c r="M36" s="96"/>
      <c r="N36" s="5"/>
      <c r="O36" s="5"/>
    </row>
    <row r="37" spans="1:15">
      <c r="A37" s="5"/>
      <c r="B37" s="5"/>
      <c r="C37" s="5"/>
      <c r="D37" s="5"/>
      <c r="E37" s="5"/>
      <c r="F37" s="5"/>
      <c r="G37" s="96"/>
      <c r="H37" s="5"/>
      <c r="I37" s="5"/>
      <c r="J37" s="96"/>
      <c r="K37" s="5"/>
      <c r="L37" s="96"/>
      <c r="M37" s="96"/>
      <c r="N37" s="5"/>
      <c r="O37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workbookViewId="0">
      <pane ySplit="3" topLeftCell="A5" activePane="bottomLeft" state="frozen"/>
      <selection pane="bottomLeft" activeCell="M17" sqref="M17"/>
    </sheetView>
  </sheetViews>
  <sheetFormatPr defaultRowHeight="15"/>
  <cols>
    <col min="2" max="2" width="10.85546875" bestFit="1" customWidth="1"/>
    <col min="4" max="4" width="13.28515625" customWidth="1"/>
    <col min="5" max="5" width="12.7109375" customWidth="1"/>
    <col min="7" max="7" width="11.85546875" bestFit="1" customWidth="1"/>
    <col min="8" max="8" width="13.42578125" customWidth="1"/>
    <col min="11" max="11" width="13.5703125" bestFit="1" customWidth="1"/>
    <col min="12" max="12" width="12.42578125" bestFit="1" customWidth="1"/>
    <col min="13" max="13" width="11.5703125" bestFit="1" customWidth="1"/>
    <col min="19" max="19" width="14.7109375" customWidth="1"/>
  </cols>
  <sheetData>
    <row r="1" spans="1:15" ht="15.75">
      <c r="A1" s="631" t="s">
        <v>158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5"/>
    </row>
    <row r="2" spans="1:15" ht="20.25" customHeight="1">
      <c r="A2" s="58" t="s">
        <v>0</v>
      </c>
      <c r="B2" s="77" t="s">
        <v>167</v>
      </c>
      <c r="C2" s="77" t="s">
        <v>168</v>
      </c>
      <c r="D2" s="77" t="s">
        <v>189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85" t="s">
        <v>175</v>
      </c>
      <c r="M2" s="79" t="s">
        <v>190</v>
      </c>
      <c r="N2" s="77" t="s">
        <v>177</v>
      </c>
      <c r="O2" s="5"/>
    </row>
    <row r="3" spans="1:15">
      <c r="A3" s="650" t="s">
        <v>178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4"/>
      <c r="M3" s="655">
        <v>178474.12</v>
      </c>
      <c r="N3" s="656"/>
      <c r="O3" s="5"/>
    </row>
    <row r="4" spans="1:15">
      <c r="A4" s="184">
        <v>1</v>
      </c>
      <c r="B4" s="207">
        <v>46296</v>
      </c>
      <c r="C4" s="6"/>
      <c r="D4" s="6"/>
      <c r="E4" s="59">
        <v>263.27999999999997</v>
      </c>
      <c r="F4" s="6">
        <v>99.23</v>
      </c>
      <c r="G4" s="60">
        <f>E4*F4</f>
        <v>26125.274399999998</v>
      </c>
      <c r="H4" s="59">
        <v>10</v>
      </c>
      <c r="I4" s="6">
        <v>113.2</v>
      </c>
      <c r="J4" s="60">
        <f>H4*I4</f>
        <v>1132</v>
      </c>
      <c r="K4" s="60">
        <f>G4+J4</f>
        <v>27257.274399999998</v>
      </c>
      <c r="L4" s="276">
        <v>0</v>
      </c>
      <c r="M4" s="140">
        <f>M3+K4-L4</f>
        <v>205731.39439999999</v>
      </c>
      <c r="N4" s="40"/>
      <c r="O4" s="5"/>
    </row>
    <row r="5" spans="1:15">
      <c r="A5" s="40">
        <v>2</v>
      </c>
      <c r="B5" s="207">
        <v>46297</v>
      </c>
      <c r="C5" s="6"/>
      <c r="D5" s="6"/>
      <c r="E5" s="59"/>
      <c r="F5" s="6"/>
      <c r="G5" s="60">
        <f>E5*F5</f>
        <v>0</v>
      </c>
      <c r="H5" s="59"/>
      <c r="I5" s="6"/>
      <c r="J5" s="60">
        <f t="shared" ref="J5:J34" si="0">H5*I5</f>
        <v>0</v>
      </c>
      <c r="K5" s="60">
        <f t="shared" ref="K5:K41" si="1">G5+J5</f>
        <v>0</v>
      </c>
      <c r="L5" s="276">
        <v>0</v>
      </c>
      <c r="M5" s="140">
        <f t="shared" ref="M5:M49" si="2">M4+K5-L5</f>
        <v>205731.39439999999</v>
      </c>
      <c r="N5" s="40"/>
      <c r="O5" s="5"/>
    </row>
    <row r="6" spans="1:15">
      <c r="A6" s="40">
        <v>3</v>
      </c>
      <c r="B6" s="207">
        <v>46298</v>
      </c>
      <c r="C6" s="6"/>
      <c r="D6" s="6" t="s">
        <v>226</v>
      </c>
      <c r="E6" s="59"/>
      <c r="F6" s="6"/>
      <c r="G6" s="60">
        <f t="shared" ref="G6:G34" si="3">E6*F6</f>
        <v>0</v>
      </c>
      <c r="I6" s="6"/>
      <c r="J6" s="60">
        <f>H6*I6</f>
        <v>0</v>
      </c>
      <c r="K6" s="60">
        <f t="shared" si="1"/>
        <v>0</v>
      </c>
      <c r="L6" s="276">
        <v>0</v>
      </c>
      <c r="M6" s="140">
        <f t="shared" si="2"/>
        <v>205731.39439999999</v>
      </c>
      <c r="N6" s="40"/>
      <c r="O6" s="5"/>
    </row>
    <row r="7" spans="1:15">
      <c r="A7" s="184">
        <v>4</v>
      </c>
      <c r="B7" s="207">
        <v>46299</v>
      </c>
      <c r="C7" s="6"/>
      <c r="D7" s="6"/>
      <c r="E7" s="59">
        <v>85</v>
      </c>
      <c r="F7" s="6">
        <v>99.23</v>
      </c>
      <c r="G7" s="60">
        <f t="shared" si="3"/>
        <v>8434.5500000000011</v>
      </c>
      <c r="H7" s="59"/>
      <c r="I7" s="6"/>
      <c r="J7" s="60">
        <f t="shared" si="0"/>
        <v>0</v>
      </c>
      <c r="K7" s="60">
        <f t="shared" si="1"/>
        <v>8434.5500000000011</v>
      </c>
      <c r="L7" s="276">
        <v>0</v>
      </c>
      <c r="M7" s="140">
        <f t="shared" si="2"/>
        <v>214165.94439999998</v>
      </c>
      <c r="N7" s="40"/>
      <c r="O7" s="5"/>
    </row>
    <row r="8" spans="1:15">
      <c r="A8" s="40">
        <v>5</v>
      </c>
      <c r="B8" s="207">
        <v>46300</v>
      </c>
      <c r="C8" s="6"/>
      <c r="D8" s="6"/>
      <c r="E8" s="59">
        <v>30</v>
      </c>
      <c r="F8" s="6">
        <v>99.23</v>
      </c>
      <c r="G8" s="60">
        <f t="shared" si="3"/>
        <v>2976.9</v>
      </c>
      <c r="H8" s="59"/>
      <c r="I8" s="6"/>
      <c r="J8" s="60">
        <f t="shared" si="0"/>
        <v>0</v>
      </c>
      <c r="K8" s="60">
        <f t="shared" si="1"/>
        <v>2976.9</v>
      </c>
      <c r="L8" s="276"/>
      <c r="M8" s="140">
        <f t="shared" si="2"/>
        <v>217142.84439999997</v>
      </c>
      <c r="N8" s="40"/>
      <c r="O8" s="5"/>
    </row>
    <row r="9" spans="1:15">
      <c r="A9" s="40">
        <v>6</v>
      </c>
      <c r="B9" s="207">
        <v>46301</v>
      </c>
      <c r="C9" s="6"/>
      <c r="D9" s="6"/>
      <c r="E9" s="59">
        <v>31.14</v>
      </c>
      <c r="F9" s="6">
        <v>99.23</v>
      </c>
      <c r="G9" s="60">
        <f t="shared" si="3"/>
        <v>3090.0222000000003</v>
      </c>
      <c r="H9" s="59">
        <v>5</v>
      </c>
      <c r="I9" s="6">
        <v>111.32</v>
      </c>
      <c r="J9" s="60">
        <f t="shared" si="0"/>
        <v>556.59999999999991</v>
      </c>
      <c r="K9" s="60">
        <f t="shared" si="1"/>
        <v>3646.6222000000002</v>
      </c>
      <c r="L9" s="276"/>
      <c r="M9" s="140">
        <f t="shared" si="2"/>
        <v>220789.46659999999</v>
      </c>
      <c r="N9" s="40"/>
      <c r="O9" s="5"/>
    </row>
    <row r="10" spans="1:15">
      <c r="A10" s="184">
        <v>7</v>
      </c>
      <c r="B10" s="207">
        <v>46302</v>
      </c>
      <c r="C10" s="6"/>
      <c r="D10" s="6"/>
      <c r="E10" s="59">
        <v>38</v>
      </c>
      <c r="F10" s="6">
        <v>99.23</v>
      </c>
      <c r="G10" s="60">
        <f t="shared" si="3"/>
        <v>3770.7400000000002</v>
      </c>
      <c r="H10" s="59"/>
      <c r="I10" s="6"/>
      <c r="J10" s="60">
        <f t="shared" si="0"/>
        <v>0</v>
      </c>
      <c r="K10" s="60">
        <f t="shared" si="1"/>
        <v>3770.7400000000002</v>
      </c>
      <c r="L10" s="276"/>
      <c r="M10" s="140">
        <f t="shared" si="2"/>
        <v>224560.20659999998</v>
      </c>
      <c r="N10" s="40"/>
      <c r="O10" s="5"/>
    </row>
    <row r="11" spans="1:15">
      <c r="A11" s="40">
        <v>8</v>
      </c>
      <c r="B11" s="207">
        <v>46303</v>
      </c>
      <c r="C11" s="6"/>
      <c r="D11" s="6"/>
      <c r="E11" s="59">
        <v>146.9</v>
      </c>
      <c r="F11" s="6">
        <v>99.23</v>
      </c>
      <c r="G11" s="60">
        <f t="shared" si="3"/>
        <v>14576.887000000001</v>
      </c>
      <c r="H11" s="59">
        <v>7</v>
      </c>
      <c r="I11" s="6">
        <v>111.32</v>
      </c>
      <c r="J11" s="60">
        <f>H11*I11</f>
        <v>779.24</v>
      </c>
      <c r="K11" s="60">
        <f t="shared" si="1"/>
        <v>15356.127</v>
      </c>
      <c r="L11" s="276"/>
      <c r="M11" s="140">
        <f t="shared" si="2"/>
        <v>239916.33359999998</v>
      </c>
      <c r="N11" s="40"/>
      <c r="O11" s="5"/>
    </row>
    <row r="12" spans="1:15">
      <c r="A12" s="40">
        <v>9</v>
      </c>
      <c r="B12" s="207">
        <v>46304</v>
      </c>
      <c r="C12" s="6"/>
      <c r="D12" s="6"/>
      <c r="E12" s="59">
        <v>77.14</v>
      </c>
      <c r="F12" s="6">
        <v>99.23</v>
      </c>
      <c r="G12" s="60">
        <f t="shared" si="3"/>
        <v>7654.6022000000003</v>
      </c>
      <c r="H12" s="59">
        <v>5</v>
      </c>
      <c r="I12" s="6">
        <v>111.32</v>
      </c>
      <c r="J12" s="60">
        <f t="shared" ref="J12:J30" si="4">H12*I12</f>
        <v>556.59999999999991</v>
      </c>
      <c r="K12" s="60">
        <f t="shared" si="1"/>
        <v>8211.2021999999997</v>
      </c>
      <c r="L12" s="276"/>
      <c r="M12" s="140">
        <f t="shared" si="2"/>
        <v>248127.53579999998</v>
      </c>
      <c r="N12" s="40"/>
      <c r="O12" s="5"/>
    </row>
    <row r="13" spans="1:15">
      <c r="A13" s="184">
        <v>10</v>
      </c>
      <c r="B13" s="207">
        <v>46305</v>
      </c>
      <c r="C13" s="6"/>
      <c r="D13" s="6"/>
      <c r="E13" s="59"/>
      <c r="F13" s="6"/>
      <c r="G13" s="60">
        <f t="shared" si="3"/>
        <v>0</v>
      </c>
      <c r="H13" s="59"/>
      <c r="I13" s="6"/>
      <c r="J13" s="60">
        <f t="shared" si="4"/>
        <v>0</v>
      </c>
      <c r="K13" s="60">
        <f t="shared" si="1"/>
        <v>0</v>
      </c>
      <c r="L13" s="276"/>
      <c r="M13" s="140">
        <f t="shared" si="2"/>
        <v>248127.53579999998</v>
      </c>
      <c r="N13" s="40"/>
      <c r="O13" s="5"/>
    </row>
    <row r="14" spans="1:15">
      <c r="A14" s="40">
        <v>11</v>
      </c>
      <c r="B14" s="207">
        <v>46306</v>
      </c>
      <c r="C14" s="6"/>
      <c r="D14" s="6"/>
      <c r="E14" s="59"/>
      <c r="F14" s="6"/>
      <c r="G14" s="60">
        <f t="shared" si="3"/>
        <v>0</v>
      </c>
      <c r="H14" s="59"/>
      <c r="I14" s="6"/>
      <c r="J14" s="60">
        <f t="shared" si="4"/>
        <v>0</v>
      </c>
      <c r="K14" s="60">
        <f t="shared" si="1"/>
        <v>0</v>
      </c>
      <c r="L14" s="276"/>
      <c r="M14" s="140">
        <f>M13+K14-L14</f>
        <v>248127.53579999998</v>
      </c>
      <c r="N14" s="40"/>
      <c r="O14" s="5"/>
    </row>
    <row r="15" spans="1:15">
      <c r="A15" s="40">
        <v>12</v>
      </c>
      <c r="B15" s="207">
        <v>46307</v>
      </c>
      <c r="C15" s="6"/>
      <c r="D15" s="6"/>
      <c r="E15" s="59"/>
      <c r="F15" s="6"/>
      <c r="G15" s="60">
        <f t="shared" si="3"/>
        <v>0</v>
      </c>
      <c r="H15" s="59"/>
      <c r="I15" s="6"/>
      <c r="J15" s="60">
        <f t="shared" si="4"/>
        <v>0</v>
      </c>
      <c r="K15" s="60">
        <f t="shared" si="1"/>
        <v>0</v>
      </c>
      <c r="L15" s="276"/>
      <c r="M15" s="140">
        <f t="shared" si="2"/>
        <v>248127.53579999998</v>
      </c>
      <c r="N15" s="40"/>
      <c r="O15" s="5"/>
    </row>
    <row r="16" spans="1:15">
      <c r="A16" s="184">
        <v>13</v>
      </c>
      <c r="B16" s="207">
        <v>46308</v>
      </c>
      <c r="C16" s="6"/>
      <c r="D16" s="6"/>
      <c r="E16" s="59">
        <v>142.65</v>
      </c>
      <c r="F16" s="6">
        <v>99.23</v>
      </c>
      <c r="G16" s="60">
        <f t="shared" si="3"/>
        <v>14155.159500000002</v>
      </c>
      <c r="H16" s="59">
        <v>5</v>
      </c>
      <c r="I16" s="6">
        <v>111.32</v>
      </c>
      <c r="J16" s="60">
        <f t="shared" si="4"/>
        <v>556.59999999999991</v>
      </c>
      <c r="K16" s="60">
        <f t="shared" si="1"/>
        <v>14711.759500000002</v>
      </c>
      <c r="L16" s="276"/>
      <c r="M16" s="140">
        <f t="shared" si="2"/>
        <v>262839.2953</v>
      </c>
      <c r="N16" s="40"/>
      <c r="O16" s="5"/>
    </row>
    <row r="17" spans="1:15">
      <c r="A17" s="40">
        <v>14</v>
      </c>
      <c r="B17" s="207">
        <v>46309</v>
      </c>
      <c r="C17" s="6"/>
      <c r="D17" s="6"/>
      <c r="E17" s="59">
        <v>93.48</v>
      </c>
      <c r="F17" s="6">
        <v>99.23</v>
      </c>
      <c r="G17" s="60">
        <f t="shared" si="3"/>
        <v>9276.0204000000012</v>
      </c>
      <c r="H17" s="59">
        <v>15</v>
      </c>
      <c r="I17" s="6">
        <v>111.32</v>
      </c>
      <c r="J17" s="60">
        <f t="shared" si="4"/>
        <v>1669.8</v>
      </c>
      <c r="K17" s="60">
        <f t="shared" si="1"/>
        <v>10945.820400000001</v>
      </c>
      <c r="L17" s="276"/>
      <c r="M17" s="140">
        <f t="shared" si="2"/>
        <v>273785.11570000002</v>
      </c>
      <c r="N17" s="40"/>
      <c r="O17" s="5"/>
    </row>
    <row r="18" spans="1:15">
      <c r="A18" s="40">
        <v>15</v>
      </c>
      <c r="B18" s="207">
        <v>46310</v>
      </c>
      <c r="C18" s="6"/>
      <c r="D18" s="6"/>
      <c r="E18" s="290">
        <v>114.7</v>
      </c>
      <c r="F18" s="6">
        <v>99.23</v>
      </c>
      <c r="G18" s="60">
        <f t="shared" si="3"/>
        <v>11381.681</v>
      </c>
      <c r="H18" s="59"/>
      <c r="I18" s="6"/>
      <c r="J18" s="60">
        <f>H18*I18</f>
        <v>0</v>
      </c>
      <c r="K18" s="60">
        <f>G18+J18</f>
        <v>11381.681</v>
      </c>
      <c r="L18" s="276">
        <v>150000</v>
      </c>
      <c r="M18" s="140">
        <f t="shared" si="2"/>
        <v>135166.79670000001</v>
      </c>
      <c r="N18" s="40"/>
      <c r="O18" s="5"/>
    </row>
    <row r="19" spans="1:15">
      <c r="A19" s="184">
        <v>16</v>
      </c>
      <c r="B19" s="207">
        <v>46311</v>
      </c>
      <c r="C19" s="6"/>
      <c r="D19" s="6"/>
      <c r="E19" s="290"/>
      <c r="F19" s="6"/>
      <c r="G19" s="60">
        <f t="shared" si="3"/>
        <v>0</v>
      </c>
      <c r="H19" s="59"/>
      <c r="I19" s="6"/>
      <c r="J19" s="60">
        <f>H19*I19</f>
        <v>0</v>
      </c>
      <c r="K19" s="60">
        <f t="shared" ref="K19:K23" si="5">G19+J19</f>
        <v>0</v>
      </c>
      <c r="L19" s="276"/>
      <c r="M19" s="140">
        <f t="shared" si="2"/>
        <v>135166.79670000001</v>
      </c>
      <c r="N19" s="40"/>
      <c r="O19" s="5"/>
    </row>
    <row r="20" spans="1:15">
      <c r="A20" s="40">
        <v>17</v>
      </c>
      <c r="B20" s="207">
        <v>46312</v>
      </c>
      <c r="C20" s="6"/>
      <c r="D20" s="6"/>
      <c r="E20" s="59"/>
      <c r="F20" s="6"/>
      <c r="G20" s="60">
        <f t="shared" si="3"/>
        <v>0</v>
      </c>
      <c r="H20" s="59"/>
      <c r="I20" s="6"/>
      <c r="J20" s="60">
        <f>H20*I20</f>
        <v>0</v>
      </c>
      <c r="K20" s="60">
        <f t="shared" si="5"/>
        <v>0</v>
      </c>
      <c r="L20" s="276"/>
      <c r="M20" s="140">
        <f t="shared" si="2"/>
        <v>135166.79670000001</v>
      </c>
      <c r="N20" s="40"/>
      <c r="O20" s="5"/>
    </row>
    <row r="21" spans="1:15">
      <c r="A21" s="40">
        <v>18</v>
      </c>
      <c r="B21" s="207">
        <v>46313</v>
      </c>
      <c r="C21" s="6"/>
      <c r="D21" s="6"/>
      <c r="E21" s="59"/>
      <c r="F21" s="6"/>
      <c r="G21" s="60">
        <f t="shared" si="3"/>
        <v>0</v>
      </c>
      <c r="H21" s="59"/>
      <c r="I21" s="6"/>
      <c r="J21" s="60">
        <f t="shared" si="4"/>
        <v>0</v>
      </c>
      <c r="K21" s="60">
        <f t="shared" si="5"/>
        <v>0</v>
      </c>
      <c r="L21" s="276"/>
      <c r="M21" s="140">
        <f t="shared" si="2"/>
        <v>135166.79670000001</v>
      </c>
      <c r="N21" s="40"/>
      <c r="O21" s="5"/>
    </row>
    <row r="22" spans="1:15">
      <c r="A22" s="184">
        <v>19</v>
      </c>
      <c r="B22" s="207">
        <v>46314</v>
      </c>
      <c r="C22" s="6"/>
      <c r="D22" s="6"/>
      <c r="E22" s="59"/>
      <c r="F22" s="6"/>
      <c r="G22" s="60">
        <f t="shared" si="3"/>
        <v>0</v>
      </c>
      <c r="H22" s="59"/>
      <c r="I22" s="6"/>
      <c r="J22" s="60">
        <f t="shared" si="4"/>
        <v>0</v>
      </c>
      <c r="K22" s="60">
        <f t="shared" si="5"/>
        <v>0</v>
      </c>
      <c r="L22" s="276"/>
      <c r="M22" s="140">
        <f t="shared" si="2"/>
        <v>135166.79670000001</v>
      </c>
      <c r="N22" s="40"/>
      <c r="O22" s="5"/>
    </row>
    <row r="23" spans="1:15">
      <c r="A23" s="40">
        <v>20</v>
      </c>
      <c r="B23" s="207">
        <v>46315</v>
      </c>
      <c r="C23" s="6"/>
      <c r="D23" s="6"/>
      <c r="E23" s="59"/>
      <c r="F23" s="6"/>
      <c r="G23" s="60">
        <f t="shared" si="3"/>
        <v>0</v>
      </c>
      <c r="H23" s="59"/>
      <c r="I23" s="6"/>
      <c r="J23" s="60">
        <f t="shared" si="4"/>
        <v>0</v>
      </c>
      <c r="K23" s="60">
        <f t="shared" si="5"/>
        <v>0</v>
      </c>
      <c r="L23" s="276"/>
      <c r="M23" s="140">
        <f t="shared" si="2"/>
        <v>135166.79670000001</v>
      </c>
      <c r="N23" s="40"/>
      <c r="O23" s="5"/>
    </row>
    <row r="24" spans="1:15">
      <c r="A24" s="40">
        <v>21</v>
      </c>
      <c r="B24" s="207">
        <v>46316</v>
      </c>
      <c r="C24" s="6"/>
      <c r="D24" s="6"/>
      <c r="E24" s="59"/>
      <c r="F24" s="6"/>
      <c r="G24" s="60">
        <f t="shared" si="3"/>
        <v>0</v>
      </c>
      <c r="H24" s="59"/>
      <c r="I24" s="6"/>
      <c r="J24" s="60">
        <f t="shared" si="4"/>
        <v>0</v>
      </c>
      <c r="K24" s="60">
        <f t="shared" si="1"/>
        <v>0</v>
      </c>
      <c r="L24" s="276"/>
      <c r="M24" s="140">
        <f t="shared" si="2"/>
        <v>135166.79670000001</v>
      </c>
      <c r="N24" s="40"/>
      <c r="O24" s="5"/>
    </row>
    <row r="25" spans="1:15">
      <c r="A25" s="184">
        <v>22</v>
      </c>
      <c r="B25" s="207">
        <v>46317</v>
      </c>
      <c r="C25" s="6"/>
      <c r="D25" s="6"/>
      <c r="E25" s="59"/>
      <c r="F25" s="6"/>
      <c r="G25" s="60">
        <f t="shared" si="3"/>
        <v>0</v>
      </c>
      <c r="H25" s="59"/>
      <c r="I25" s="6"/>
      <c r="J25" s="60">
        <f t="shared" si="4"/>
        <v>0</v>
      </c>
      <c r="K25" s="60">
        <f t="shared" si="1"/>
        <v>0</v>
      </c>
      <c r="L25" s="276"/>
      <c r="M25" s="140">
        <f t="shared" si="2"/>
        <v>135166.79670000001</v>
      </c>
      <c r="N25" s="40"/>
      <c r="O25" s="5"/>
    </row>
    <row r="26" spans="1:15">
      <c r="A26" s="40">
        <v>23</v>
      </c>
      <c r="B26" s="207">
        <v>46318</v>
      </c>
      <c r="C26" s="6"/>
      <c r="D26" s="6"/>
      <c r="E26" s="59"/>
      <c r="F26" s="6"/>
      <c r="G26" s="60">
        <f t="shared" si="3"/>
        <v>0</v>
      </c>
      <c r="H26" s="59"/>
      <c r="I26" s="6"/>
      <c r="J26" s="60">
        <f t="shared" si="4"/>
        <v>0</v>
      </c>
      <c r="K26" s="60">
        <f t="shared" si="1"/>
        <v>0</v>
      </c>
      <c r="L26" s="276"/>
      <c r="M26" s="140">
        <f t="shared" si="2"/>
        <v>135166.79670000001</v>
      </c>
      <c r="N26" s="40"/>
      <c r="O26" s="5"/>
    </row>
    <row r="27" spans="1:15">
      <c r="A27" s="40">
        <v>24</v>
      </c>
      <c r="B27" s="207">
        <v>46319</v>
      </c>
      <c r="C27" s="6"/>
      <c r="D27" s="6"/>
      <c r="E27" s="59"/>
      <c r="F27" s="6"/>
      <c r="G27" s="60">
        <f t="shared" si="3"/>
        <v>0</v>
      </c>
      <c r="H27" s="59"/>
      <c r="I27" s="6"/>
      <c r="J27" s="60">
        <f t="shared" si="4"/>
        <v>0</v>
      </c>
      <c r="K27" s="60">
        <f t="shared" si="1"/>
        <v>0</v>
      </c>
      <c r="L27" s="276"/>
      <c r="M27" s="140">
        <f t="shared" si="2"/>
        <v>135166.79670000001</v>
      </c>
      <c r="N27" s="40"/>
      <c r="O27" s="5"/>
    </row>
    <row r="28" spans="1:15">
      <c r="A28" s="184">
        <v>25</v>
      </c>
      <c r="B28" s="207">
        <v>46320</v>
      </c>
      <c r="C28" s="6"/>
      <c r="D28" s="6"/>
      <c r="E28" s="59"/>
      <c r="F28" s="6"/>
      <c r="G28" s="60">
        <f t="shared" si="3"/>
        <v>0</v>
      </c>
      <c r="H28" s="59"/>
      <c r="I28" s="6"/>
      <c r="J28" s="60">
        <f t="shared" si="4"/>
        <v>0</v>
      </c>
      <c r="K28" s="60">
        <f t="shared" si="1"/>
        <v>0</v>
      </c>
      <c r="L28" s="276"/>
      <c r="M28" s="140">
        <f t="shared" si="2"/>
        <v>135166.79670000001</v>
      </c>
      <c r="N28" s="40"/>
      <c r="O28" s="5"/>
    </row>
    <row r="29" spans="1:15">
      <c r="A29" s="40">
        <v>26</v>
      </c>
      <c r="B29" s="207">
        <v>46321</v>
      </c>
      <c r="C29" s="6"/>
      <c r="D29" s="6"/>
      <c r="E29" s="290"/>
      <c r="F29" s="290"/>
      <c r="G29" s="60">
        <f t="shared" si="3"/>
        <v>0</v>
      </c>
      <c r="H29" s="59"/>
      <c r="I29" s="6"/>
      <c r="J29" s="60">
        <f t="shared" si="4"/>
        <v>0</v>
      </c>
      <c r="K29" s="60">
        <f t="shared" si="1"/>
        <v>0</v>
      </c>
      <c r="L29" s="276"/>
      <c r="M29" s="140">
        <f t="shared" si="2"/>
        <v>135166.79670000001</v>
      </c>
      <c r="N29" s="40"/>
      <c r="O29" s="5"/>
    </row>
    <row r="30" spans="1:15">
      <c r="A30" s="40">
        <v>27</v>
      </c>
      <c r="B30" s="207">
        <v>46322</v>
      </c>
      <c r="C30" s="6"/>
      <c r="D30" s="6"/>
      <c r="E30" s="290"/>
      <c r="F30" s="290"/>
      <c r="G30" s="60">
        <f t="shared" si="3"/>
        <v>0</v>
      </c>
      <c r="H30" s="59"/>
      <c r="I30" s="6"/>
      <c r="J30" s="60">
        <f t="shared" si="4"/>
        <v>0</v>
      </c>
      <c r="K30" s="60">
        <f t="shared" si="1"/>
        <v>0</v>
      </c>
      <c r="L30" s="276"/>
      <c r="M30" s="140">
        <f t="shared" si="2"/>
        <v>135166.79670000001</v>
      </c>
      <c r="N30" s="40"/>
      <c r="O30" s="5"/>
    </row>
    <row r="31" spans="1:15">
      <c r="A31" s="184">
        <v>28</v>
      </c>
      <c r="B31" s="207">
        <v>46323</v>
      </c>
      <c r="C31" s="6"/>
      <c r="D31" s="6"/>
      <c r="E31" s="59"/>
      <c r="F31" s="6"/>
      <c r="G31" s="60">
        <f t="shared" si="3"/>
        <v>0</v>
      </c>
      <c r="H31" s="59"/>
      <c r="I31" s="6"/>
      <c r="J31" s="60">
        <f t="shared" si="0"/>
        <v>0</v>
      </c>
      <c r="K31" s="60">
        <f t="shared" si="1"/>
        <v>0</v>
      </c>
      <c r="L31" s="276"/>
      <c r="M31" s="140">
        <f t="shared" si="2"/>
        <v>135166.79670000001</v>
      </c>
      <c r="N31" s="40"/>
      <c r="O31" s="5"/>
    </row>
    <row r="32" spans="1:15">
      <c r="A32" s="40">
        <v>29</v>
      </c>
      <c r="B32" s="207">
        <v>46324</v>
      </c>
      <c r="C32" s="6"/>
      <c r="D32" s="6"/>
      <c r="E32" s="59"/>
      <c r="F32" s="6"/>
      <c r="G32" s="60">
        <f t="shared" si="3"/>
        <v>0</v>
      </c>
      <c r="H32" s="59"/>
      <c r="I32" s="6"/>
      <c r="J32" s="60">
        <f t="shared" si="0"/>
        <v>0</v>
      </c>
      <c r="K32" s="60">
        <f t="shared" si="1"/>
        <v>0</v>
      </c>
      <c r="L32" s="276"/>
      <c r="M32" s="140">
        <f t="shared" si="2"/>
        <v>135166.79670000001</v>
      </c>
      <c r="N32" s="40"/>
      <c r="O32" s="5"/>
    </row>
    <row r="33" spans="1:15">
      <c r="A33" s="40">
        <v>30</v>
      </c>
      <c r="B33" s="207">
        <v>46325</v>
      </c>
      <c r="C33" s="6"/>
      <c r="D33" s="6"/>
      <c r="E33" s="59"/>
      <c r="F33" s="6"/>
      <c r="G33" s="60">
        <f t="shared" si="3"/>
        <v>0</v>
      </c>
      <c r="H33" s="59"/>
      <c r="I33" s="6"/>
      <c r="J33" s="60">
        <f t="shared" si="0"/>
        <v>0</v>
      </c>
      <c r="K33" s="60">
        <f t="shared" si="1"/>
        <v>0</v>
      </c>
      <c r="L33" s="276"/>
      <c r="M33" s="140">
        <f t="shared" si="2"/>
        <v>135166.79670000001</v>
      </c>
      <c r="N33" s="40"/>
      <c r="O33" s="5"/>
    </row>
    <row r="34" spans="1:15">
      <c r="A34" s="184">
        <v>31</v>
      </c>
      <c r="B34" s="207">
        <v>46326</v>
      </c>
      <c r="C34" s="6"/>
      <c r="D34" s="6"/>
      <c r="E34" s="59"/>
      <c r="F34" s="6"/>
      <c r="G34" s="60">
        <f t="shared" si="3"/>
        <v>0</v>
      </c>
      <c r="H34" s="59"/>
      <c r="I34" s="6"/>
      <c r="J34" s="60">
        <f t="shared" si="0"/>
        <v>0</v>
      </c>
      <c r="K34" s="60">
        <f t="shared" si="1"/>
        <v>0</v>
      </c>
      <c r="L34" s="276"/>
      <c r="M34" s="140">
        <f t="shared" si="2"/>
        <v>135166.79670000001</v>
      </c>
      <c r="N34" s="40"/>
      <c r="O34" s="5"/>
    </row>
    <row r="35" spans="1:15">
      <c r="A35" s="40">
        <v>32</v>
      </c>
      <c r="B35" s="207"/>
      <c r="C35" s="6"/>
      <c r="D35" s="6"/>
      <c r="E35" s="59"/>
      <c r="F35" s="6"/>
      <c r="G35" s="60">
        <f t="shared" ref="G35:G41" si="6">E35*F35</f>
        <v>0</v>
      </c>
      <c r="H35" s="59"/>
      <c r="I35" s="6"/>
      <c r="J35" s="60">
        <f t="shared" ref="J35:J41" si="7">H35*I35</f>
        <v>0</v>
      </c>
      <c r="K35" s="60">
        <f t="shared" si="1"/>
        <v>0</v>
      </c>
      <c r="L35" s="276"/>
      <c r="M35" s="140">
        <f t="shared" si="2"/>
        <v>135166.79670000001</v>
      </c>
      <c r="N35" s="40"/>
      <c r="O35" s="5"/>
    </row>
    <row r="36" spans="1:15">
      <c r="A36" s="40">
        <v>33</v>
      </c>
      <c r="B36" s="207"/>
      <c r="C36" s="6"/>
      <c r="D36" s="6"/>
      <c r="E36" s="59"/>
      <c r="F36" s="6"/>
      <c r="G36" s="60">
        <f t="shared" si="6"/>
        <v>0</v>
      </c>
      <c r="H36" s="59"/>
      <c r="I36" s="6"/>
      <c r="J36" s="60">
        <f t="shared" si="7"/>
        <v>0</v>
      </c>
      <c r="K36" s="60">
        <f t="shared" si="1"/>
        <v>0</v>
      </c>
      <c r="L36" s="276"/>
      <c r="M36" s="140">
        <f t="shared" si="2"/>
        <v>135166.79670000001</v>
      </c>
      <c r="N36" s="40"/>
      <c r="O36" s="5"/>
    </row>
    <row r="37" spans="1:15">
      <c r="A37" s="184">
        <v>34</v>
      </c>
      <c r="B37" s="207"/>
      <c r="C37" s="6"/>
      <c r="D37" s="6"/>
      <c r="E37" s="59"/>
      <c r="F37" s="6"/>
      <c r="G37" s="60">
        <f t="shared" si="6"/>
        <v>0</v>
      </c>
      <c r="H37" s="59"/>
      <c r="I37" s="6"/>
      <c r="J37" s="60">
        <f t="shared" si="7"/>
        <v>0</v>
      </c>
      <c r="K37" s="60">
        <f t="shared" si="1"/>
        <v>0</v>
      </c>
      <c r="L37" s="276"/>
      <c r="M37" s="140">
        <f t="shared" si="2"/>
        <v>135166.79670000001</v>
      </c>
      <c r="N37" s="40"/>
      <c r="O37" s="5"/>
    </row>
    <row r="38" spans="1:15">
      <c r="A38" s="40">
        <v>35</v>
      </c>
      <c r="B38" s="207"/>
      <c r="C38" s="6"/>
      <c r="D38" s="6"/>
      <c r="E38" s="59"/>
      <c r="F38" s="6"/>
      <c r="G38" s="60">
        <f t="shared" si="6"/>
        <v>0</v>
      </c>
      <c r="H38" s="59"/>
      <c r="I38" s="6"/>
      <c r="J38" s="60">
        <f t="shared" si="7"/>
        <v>0</v>
      </c>
      <c r="K38" s="60">
        <f t="shared" si="1"/>
        <v>0</v>
      </c>
      <c r="L38" s="276"/>
      <c r="M38" s="140">
        <f t="shared" si="2"/>
        <v>135166.79670000001</v>
      </c>
      <c r="N38" s="40"/>
      <c r="O38" s="5"/>
    </row>
    <row r="39" spans="1:15">
      <c r="A39" s="40">
        <v>36</v>
      </c>
      <c r="B39" s="207"/>
      <c r="C39" s="6"/>
      <c r="D39" s="6"/>
      <c r="E39" s="59"/>
      <c r="F39" s="6"/>
      <c r="G39" s="60">
        <f t="shared" si="6"/>
        <v>0</v>
      </c>
      <c r="H39" s="59"/>
      <c r="I39" s="6"/>
      <c r="J39" s="60">
        <f t="shared" si="7"/>
        <v>0</v>
      </c>
      <c r="K39" s="60">
        <f t="shared" si="1"/>
        <v>0</v>
      </c>
      <c r="L39" s="276"/>
      <c r="M39" s="140">
        <f t="shared" si="2"/>
        <v>135166.79670000001</v>
      </c>
      <c r="N39" s="40"/>
      <c r="O39" s="5"/>
    </row>
    <row r="40" spans="1:15">
      <c r="A40" s="184">
        <v>37</v>
      </c>
      <c r="B40" s="207"/>
      <c r="C40" s="6"/>
      <c r="D40" s="6"/>
      <c r="E40" s="59"/>
      <c r="F40" s="6"/>
      <c r="G40" s="60">
        <f t="shared" si="6"/>
        <v>0</v>
      </c>
      <c r="H40" s="59"/>
      <c r="I40" s="6"/>
      <c r="J40" s="60">
        <f t="shared" si="7"/>
        <v>0</v>
      </c>
      <c r="K40" s="60">
        <f t="shared" si="1"/>
        <v>0</v>
      </c>
      <c r="L40" s="276"/>
      <c r="M40" s="140">
        <f t="shared" si="2"/>
        <v>135166.79670000001</v>
      </c>
      <c r="N40" s="40"/>
      <c r="O40" s="5"/>
    </row>
    <row r="41" spans="1:15">
      <c r="A41" s="40">
        <v>38</v>
      </c>
      <c r="B41" s="207"/>
      <c r="C41" s="6"/>
      <c r="D41" s="6"/>
      <c r="E41" s="59"/>
      <c r="F41" s="6"/>
      <c r="G41" s="60">
        <f t="shared" si="6"/>
        <v>0</v>
      </c>
      <c r="H41" s="59"/>
      <c r="I41" s="6"/>
      <c r="J41" s="60">
        <f t="shared" si="7"/>
        <v>0</v>
      </c>
      <c r="K41" s="60">
        <f t="shared" si="1"/>
        <v>0</v>
      </c>
      <c r="L41" s="276"/>
      <c r="M41" s="140">
        <f t="shared" si="2"/>
        <v>135166.79670000001</v>
      </c>
      <c r="N41" s="6"/>
      <c r="O41" s="5"/>
    </row>
    <row r="42" spans="1:15">
      <c r="A42" s="40">
        <v>39</v>
      </c>
      <c r="B42" s="207"/>
      <c r="C42" s="6"/>
      <c r="D42" s="6"/>
      <c r="E42" s="59"/>
      <c r="F42" s="6"/>
      <c r="G42" s="60">
        <f t="shared" ref="G25:G49" si="8">E42*F42</f>
        <v>0</v>
      </c>
      <c r="H42" s="59"/>
      <c r="I42" s="6"/>
      <c r="J42" s="60">
        <f t="shared" ref="J25:J49" si="9">H42*I42</f>
        <v>0</v>
      </c>
      <c r="K42" s="60">
        <f t="shared" ref="K42:K49" si="10">G42+J42</f>
        <v>0</v>
      </c>
      <c r="L42" s="276"/>
      <c r="M42" s="140">
        <f t="shared" si="2"/>
        <v>135166.79670000001</v>
      </c>
      <c r="N42" s="6"/>
      <c r="O42" s="5"/>
    </row>
    <row r="43" spans="1:15">
      <c r="A43" s="184">
        <v>40</v>
      </c>
      <c r="B43" s="207"/>
      <c r="C43" s="6"/>
      <c r="D43" s="6"/>
      <c r="E43" s="59"/>
      <c r="F43" s="6"/>
      <c r="G43" s="60">
        <f t="shared" si="8"/>
        <v>0</v>
      </c>
      <c r="H43" s="59"/>
      <c r="I43" s="6"/>
      <c r="J43" s="60">
        <f t="shared" si="9"/>
        <v>0</v>
      </c>
      <c r="K43" s="60">
        <f t="shared" si="10"/>
        <v>0</v>
      </c>
      <c r="L43" s="276"/>
      <c r="M43" s="140">
        <f t="shared" si="2"/>
        <v>135166.79670000001</v>
      </c>
      <c r="N43" s="6"/>
      <c r="O43" s="5"/>
    </row>
    <row r="44" spans="1:15">
      <c r="A44" s="40">
        <v>41</v>
      </c>
      <c r="B44" s="207"/>
      <c r="C44" s="6"/>
      <c r="D44" s="6"/>
      <c r="E44" s="59"/>
      <c r="F44" s="6"/>
      <c r="G44" s="60">
        <f t="shared" si="8"/>
        <v>0</v>
      </c>
      <c r="H44" s="59"/>
      <c r="I44" s="6"/>
      <c r="J44" s="60">
        <f t="shared" si="9"/>
        <v>0</v>
      </c>
      <c r="K44" s="60">
        <f t="shared" si="10"/>
        <v>0</v>
      </c>
      <c r="L44" s="276"/>
      <c r="M44" s="140">
        <f t="shared" si="2"/>
        <v>135166.79670000001</v>
      </c>
      <c r="N44" s="6"/>
      <c r="O44" s="5"/>
    </row>
    <row r="45" spans="1:15">
      <c r="A45" s="40">
        <v>42</v>
      </c>
      <c r="B45" s="207"/>
      <c r="C45" s="6"/>
      <c r="D45" s="6"/>
      <c r="E45" s="59"/>
      <c r="F45" s="6"/>
      <c r="G45" s="60">
        <f t="shared" si="8"/>
        <v>0</v>
      </c>
      <c r="H45" s="59"/>
      <c r="I45" s="6"/>
      <c r="J45" s="60">
        <f t="shared" si="9"/>
        <v>0</v>
      </c>
      <c r="K45" s="60">
        <f t="shared" si="10"/>
        <v>0</v>
      </c>
      <c r="L45" s="276"/>
      <c r="M45" s="140">
        <f t="shared" si="2"/>
        <v>135166.79670000001</v>
      </c>
      <c r="N45" s="6"/>
      <c r="O45" s="5"/>
    </row>
    <row r="46" spans="1:15">
      <c r="A46" s="184">
        <v>43</v>
      </c>
      <c r="B46" s="159"/>
      <c r="C46" s="158"/>
      <c r="D46" s="6"/>
      <c r="E46" s="59"/>
      <c r="F46" s="6"/>
      <c r="G46" s="60">
        <f t="shared" si="8"/>
        <v>0</v>
      </c>
      <c r="H46" s="59"/>
      <c r="I46" s="6"/>
      <c r="J46" s="60">
        <f t="shared" si="9"/>
        <v>0</v>
      </c>
      <c r="K46" s="60">
        <f t="shared" si="10"/>
        <v>0</v>
      </c>
      <c r="L46" s="276"/>
      <c r="M46" s="140">
        <f t="shared" si="2"/>
        <v>135166.79670000001</v>
      </c>
      <c r="N46" s="158"/>
      <c r="O46" s="5"/>
    </row>
    <row r="47" spans="1:15">
      <c r="A47" s="40">
        <v>44</v>
      </c>
      <c r="B47" s="6"/>
      <c r="C47" s="6"/>
      <c r="D47" s="6"/>
      <c r="E47" s="59"/>
      <c r="F47" s="6"/>
      <c r="G47" s="60">
        <f t="shared" si="8"/>
        <v>0</v>
      </c>
      <c r="H47" s="59"/>
      <c r="I47" s="6"/>
      <c r="J47" s="60">
        <f t="shared" si="9"/>
        <v>0</v>
      </c>
      <c r="K47" s="60">
        <f t="shared" si="10"/>
        <v>0</v>
      </c>
      <c r="L47" s="276">
        <v>0</v>
      </c>
      <c r="M47" s="140">
        <f t="shared" si="2"/>
        <v>135166.79670000001</v>
      </c>
      <c r="N47" s="6"/>
      <c r="O47" s="5"/>
    </row>
    <row r="48" spans="1:15">
      <c r="A48" s="40">
        <v>45</v>
      </c>
      <c r="B48" s="158"/>
      <c r="C48" s="158"/>
      <c r="D48" s="6"/>
      <c r="E48" s="59"/>
      <c r="F48" s="6"/>
      <c r="G48" s="60">
        <f t="shared" si="8"/>
        <v>0</v>
      </c>
      <c r="H48" s="59"/>
      <c r="I48" s="6"/>
      <c r="J48" s="60">
        <f t="shared" si="9"/>
        <v>0</v>
      </c>
      <c r="K48" s="160">
        <f t="shared" si="10"/>
        <v>0</v>
      </c>
      <c r="L48" s="151"/>
      <c r="M48" s="140">
        <f t="shared" si="2"/>
        <v>135166.79670000001</v>
      </c>
      <c r="N48" s="158"/>
      <c r="O48" s="5"/>
    </row>
    <row r="49" spans="1:15">
      <c r="A49" s="184">
        <v>46</v>
      </c>
      <c r="B49" s="158"/>
      <c r="C49" s="158"/>
      <c r="D49" s="6"/>
      <c r="E49" s="59"/>
      <c r="F49" s="6"/>
      <c r="G49" s="60">
        <f t="shared" si="8"/>
        <v>0</v>
      </c>
      <c r="H49" s="59"/>
      <c r="I49" s="6"/>
      <c r="J49" s="60">
        <f t="shared" si="9"/>
        <v>0</v>
      </c>
      <c r="K49" s="160">
        <f t="shared" si="10"/>
        <v>0</v>
      </c>
      <c r="L49" s="161"/>
      <c r="M49" s="140">
        <f t="shared" si="2"/>
        <v>135166.79670000001</v>
      </c>
      <c r="N49" s="158"/>
      <c r="O49" s="5"/>
    </row>
    <row r="50" spans="1:15">
      <c r="A50" s="56"/>
      <c r="B50" s="56"/>
      <c r="C50" s="56"/>
      <c r="D50" s="56"/>
      <c r="E50" s="57">
        <f>SUM(E4:E49)</f>
        <v>1022.29</v>
      </c>
      <c r="F50" s="57"/>
      <c r="G50" s="57">
        <f>SUM(G4:G49)</f>
        <v>101441.8367</v>
      </c>
      <c r="H50" s="57">
        <f>SUM(H4:H49)</f>
        <v>47</v>
      </c>
      <c r="I50" s="57"/>
      <c r="J50" s="57">
        <f>SUM(J4:J49)</f>
        <v>5250.84</v>
      </c>
      <c r="K50" s="57">
        <f>SUM(K4:K49)</f>
        <v>106692.67669999998</v>
      </c>
      <c r="L50" s="57">
        <f>SUM(L4:L49)</f>
        <v>150000</v>
      </c>
      <c r="M50" s="57"/>
      <c r="N50" s="57"/>
      <c r="O50" s="53"/>
    </row>
    <row r="51" spans="1:15">
      <c r="A51" s="5"/>
      <c r="B51" s="5"/>
      <c r="C51" s="5"/>
      <c r="D51" s="5"/>
      <c r="E51" s="5"/>
      <c r="F51" s="5"/>
      <c r="G51" s="96"/>
      <c r="H51" s="5"/>
      <c r="I51" s="5"/>
      <c r="J51" s="96"/>
      <c r="K51" s="5"/>
      <c r="L51" s="96"/>
      <c r="M51" s="96"/>
      <c r="N51" s="5"/>
      <c r="O51" s="5"/>
    </row>
    <row r="52" spans="1:15">
      <c r="A52" s="5"/>
      <c r="B52" s="5"/>
      <c r="C52" s="5"/>
      <c r="D52" s="5"/>
      <c r="E52" s="5"/>
      <c r="F52" s="5"/>
      <c r="G52" s="96"/>
      <c r="H52" s="5"/>
      <c r="I52" s="5"/>
      <c r="J52" s="96"/>
      <c r="K52" s="5"/>
      <c r="L52" s="96"/>
      <c r="M52" s="96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pane ySplit="3" topLeftCell="A4" activePane="bottomLeft" state="frozen"/>
      <selection pane="bottomLeft" activeCell="M17" sqref="M17"/>
    </sheetView>
  </sheetViews>
  <sheetFormatPr defaultRowHeight="15"/>
  <cols>
    <col min="1" max="1" width="6.140625" customWidth="1"/>
    <col min="2" max="2" width="11.5703125" bestFit="1" customWidth="1"/>
    <col min="4" max="4" width="15.42578125" customWidth="1"/>
    <col min="5" max="5" width="13.140625" customWidth="1"/>
    <col min="6" max="6" width="9.42578125" bestFit="1" customWidth="1"/>
    <col min="7" max="7" width="11.85546875" bestFit="1" customWidth="1"/>
    <col min="8" max="8" width="12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631" t="s">
        <v>160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5"/>
    </row>
    <row r="2" spans="1:15" ht="19.5" customHeight="1">
      <c r="A2" s="58" t="s">
        <v>0</v>
      </c>
      <c r="B2" s="77" t="s">
        <v>167</v>
      </c>
      <c r="C2" s="77" t="s">
        <v>168</v>
      </c>
      <c r="D2" s="77" t="s">
        <v>189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85" t="s">
        <v>175</v>
      </c>
      <c r="M2" s="79" t="s">
        <v>190</v>
      </c>
      <c r="N2" s="77" t="s">
        <v>177</v>
      </c>
      <c r="O2" s="5"/>
    </row>
    <row r="3" spans="1:15">
      <c r="A3" s="650" t="s">
        <v>178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4"/>
      <c r="M3" s="537">
        <v>23063</v>
      </c>
      <c r="N3" s="538"/>
      <c r="O3" s="5"/>
    </row>
    <row r="4" spans="1:15">
      <c r="A4" s="184">
        <v>1</v>
      </c>
      <c r="B4" s="207">
        <v>46296</v>
      </c>
      <c r="C4" s="6"/>
      <c r="D4" s="6"/>
      <c r="E4" s="59"/>
      <c r="F4" s="6"/>
      <c r="G4" s="60">
        <f>E4*F4</f>
        <v>0</v>
      </c>
      <c r="H4" s="59"/>
      <c r="I4" s="6"/>
      <c r="J4" s="60">
        <f>H4*I4</f>
        <v>0</v>
      </c>
      <c r="K4" s="60">
        <f>G4+J4</f>
        <v>0</v>
      </c>
      <c r="L4" s="151"/>
      <c r="M4" s="279">
        <f>M3+K4-L4</f>
        <v>23063</v>
      </c>
      <c r="N4" s="40"/>
      <c r="O4" s="5"/>
    </row>
    <row r="5" spans="1:15">
      <c r="A5" s="40">
        <v>2</v>
      </c>
      <c r="B5" s="207">
        <v>46297</v>
      </c>
      <c r="C5" s="6"/>
      <c r="D5" s="6"/>
      <c r="E5" s="59">
        <v>48.29</v>
      </c>
      <c r="F5" s="6">
        <v>99.28</v>
      </c>
      <c r="G5" s="60">
        <f t="shared" ref="G5:G34" si="0">E5*F5</f>
        <v>4794.2312000000002</v>
      </c>
      <c r="H5" s="59"/>
      <c r="I5" s="6"/>
      <c r="J5" s="60">
        <f t="shared" ref="J5:J41" si="1">H5*I5</f>
        <v>0</v>
      </c>
      <c r="K5" s="60">
        <f t="shared" ref="K5:L41" si="2">G5+J5</f>
        <v>4794.2312000000002</v>
      </c>
      <c r="L5" s="151"/>
      <c r="M5" s="279">
        <f t="shared" ref="M5:M18" si="3">M4+K5-L5</f>
        <v>27857.231200000002</v>
      </c>
      <c r="N5" s="40"/>
      <c r="O5" s="5"/>
    </row>
    <row r="6" spans="1:15">
      <c r="A6" s="40">
        <v>3</v>
      </c>
      <c r="B6" s="207">
        <v>46298</v>
      </c>
      <c r="C6" s="6"/>
      <c r="D6" s="6"/>
      <c r="E6" s="59"/>
      <c r="F6" s="6"/>
      <c r="G6" s="60">
        <f t="shared" si="0"/>
        <v>0</v>
      </c>
      <c r="H6" s="59">
        <v>6.29</v>
      </c>
      <c r="I6" s="6">
        <v>111.38</v>
      </c>
      <c r="J6" s="60">
        <f t="shared" si="1"/>
        <v>700.58019999999999</v>
      </c>
      <c r="K6" s="60">
        <f t="shared" si="2"/>
        <v>700.58019999999999</v>
      </c>
      <c r="L6" s="151"/>
      <c r="M6" s="279">
        <f t="shared" si="3"/>
        <v>28557.811400000002</v>
      </c>
      <c r="N6" s="40"/>
      <c r="O6" s="536"/>
    </row>
    <row r="7" spans="1:15">
      <c r="A7" s="40">
        <v>4</v>
      </c>
      <c r="B7" s="207">
        <v>46299</v>
      </c>
      <c r="C7" s="158"/>
      <c r="D7" s="158"/>
      <c r="E7" s="59"/>
      <c r="F7" s="6"/>
      <c r="G7" s="60">
        <f t="shared" si="0"/>
        <v>0</v>
      </c>
      <c r="H7" s="6"/>
      <c r="I7" s="60"/>
      <c r="J7" s="60">
        <f t="shared" si="1"/>
        <v>0</v>
      </c>
      <c r="K7" s="60">
        <f t="shared" si="2"/>
        <v>0</v>
      </c>
      <c r="L7" s="151"/>
      <c r="M7" s="279">
        <f t="shared" si="3"/>
        <v>28557.811400000002</v>
      </c>
      <c r="N7" s="40"/>
      <c r="O7" s="5"/>
    </row>
    <row r="8" spans="1:15">
      <c r="A8" s="208">
        <v>5</v>
      </c>
      <c r="B8" s="207">
        <v>46300</v>
      </c>
      <c r="C8" s="6"/>
      <c r="D8" s="6"/>
      <c r="E8" s="59"/>
      <c r="F8" s="6"/>
      <c r="G8" s="60">
        <f t="shared" si="0"/>
        <v>0</v>
      </c>
      <c r="H8" s="59"/>
      <c r="I8" s="6"/>
      <c r="J8" s="60">
        <f t="shared" si="1"/>
        <v>0</v>
      </c>
      <c r="K8" s="60">
        <f t="shared" si="2"/>
        <v>0</v>
      </c>
      <c r="L8" s="151"/>
      <c r="M8" s="279">
        <f t="shared" si="3"/>
        <v>28557.811400000002</v>
      </c>
      <c r="N8" s="40"/>
      <c r="O8" s="5"/>
    </row>
    <row r="9" spans="1:15">
      <c r="A9" s="208">
        <v>6</v>
      </c>
      <c r="B9" s="207">
        <v>46301</v>
      </c>
      <c r="C9" s="6"/>
      <c r="D9" s="6"/>
      <c r="E9" s="59"/>
      <c r="F9" s="6"/>
      <c r="G9" s="60">
        <f t="shared" si="0"/>
        <v>0</v>
      </c>
      <c r="H9" s="59">
        <v>5</v>
      </c>
      <c r="I9" s="6">
        <v>111.38</v>
      </c>
      <c r="J9" s="60">
        <f t="shared" si="1"/>
        <v>556.9</v>
      </c>
      <c r="K9" s="60">
        <f t="shared" si="2"/>
        <v>556.9</v>
      </c>
      <c r="L9" s="151"/>
      <c r="M9" s="279">
        <f t="shared" si="3"/>
        <v>29114.711400000004</v>
      </c>
      <c r="N9" s="40"/>
      <c r="O9" s="5"/>
    </row>
    <row r="10" spans="1:15">
      <c r="A10" s="208">
        <v>7</v>
      </c>
      <c r="B10" s="207">
        <v>46302</v>
      </c>
      <c r="C10" s="6"/>
      <c r="D10" s="6"/>
      <c r="E10" s="59"/>
      <c r="F10" s="6"/>
      <c r="G10" s="60">
        <f t="shared" si="0"/>
        <v>0</v>
      </c>
      <c r="H10" s="59"/>
      <c r="I10" s="6"/>
      <c r="J10" s="60">
        <f t="shared" si="1"/>
        <v>0</v>
      </c>
      <c r="K10" s="60">
        <f t="shared" si="2"/>
        <v>0</v>
      </c>
      <c r="L10" s="151"/>
      <c r="M10" s="279">
        <f t="shared" si="3"/>
        <v>29114.711400000004</v>
      </c>
      <c r="N10" s="40"/>
      <c r="O10" s="5"/>
    </row>
    <row r="11" spans="1:15">
      <c r="A11" s="208">
        <v>8</v>
      </c>
      <c r="B11" s="207">
        <v>46303</v>
      </c>
      <c r="C11" s="6"/>
      <c r="D11" s="6"/>
      <c r="E11" s="59"/>
      <c r="F11" s="6"/>
      <c r="G11" s="60">
        <f t="shared" si="0"/>
        <v>0</v>
      </c>
      <c r="H11" s="59"/>
      <c r="I11" s="6"/>
      <c r="J11" s="60">
        <f t="shared" si="1"/>
        <v>0</v>
      </c>
      <c r="K11" s="60">
        <f>G11+J11</f>
        <v>0</v>
      </c>
      <c r="L11" s="151"/>
      <c r="M11" s="279">
        <f t="shared" si="3"/>
        <v>29114.711400000004</v>
      </c>
      <c r="N11" s="40"/>
      <c r="O11" s="5"/>
    </row>
    <row r="12" spans="1:15">
      <c r="A12" s="208">
        <v>9</v>
      </c>
      <c r="B12" s="207">
        <v>46304</v>
      </c>
      <c r="C12" s="6"/>
      <c r="D12" s="6"/>
      <c r="E12" s="59"/>
      <c r="F12" s="6"/>
      <c r="G12" s="60">
        <f t="shared" si="0"/>
        <v>0</v>
      </c>
      <c r="H12" s="59"/>
      <c r="I12" s="6"/>
      <c r="J12" s="60">
        <f t="shared" si="1"/>
        <v>0</v>
      </c>
      <c r="K12" s="60">
        <f>G12+J12</f>
        <v>0</v>
      </c>
      <c r="L12" s="151"/>
      <c r="M12" s="279">
        <f t="shared" si="3"/>
        <v>29114.711400000004</v>
      </c>
      <c r="N12" s="40"/>
      <c r="O12" s="5"/>
    </row>
    <row r="13" spans="1:15">
      <c r="A13" s="208">
        <v>10</v>
      </c>
      <c r="B13" s="207">
        <v>46305</v>
      </c>
      <c r="C13" s="6"/>
      <c r="D13" s="6"/>
      <c r="E13" s="59"/>
      <c r="F13" s="6"/>
      <c r="G13" s="60">
        <f t="shared" si="0"/>
        <v>0</v>
      </c>
      <c r="H13" s="59">
        <v>6</v>
      </c>
      <c r="I13" s="6">
        <v>111.38</v>
      </c>
      <c r="J13" s="60">
        <f t="shared" si="1"/>
        <v>668.28</v>
      </c>
      <c r="K13" s="60">
        <f>G13+J13</f>
        <v>668.28</v>
      </c>
      <c r="L13" s="151"/>
      <c r="M13" s="279">
        <f t="shared" si="3"/>
        <v>29782.991400000003</v>
      </c>
      <c r="N13" s="40"/>
      <c r="O13" s="5"/>
    </row>
    <row r="14" spans="1:15">
      <c r="A14" s="208">
        <v>11</v>
      </c>
      <c r="B14" s="207">
        <v>46306</v>
      </c>
      <c r="C14" s="6"/>
      <c r="D14" s="6"/>
      <c r="E14" s="59"/>
      <c r="F14" s="6"/>
      <c r="G14" s="60">
        <f t="shared" si="0"/>
        <v>0</v>
      </c>
      <c r="H14" s="59"/>
      <c r="I14" s="6"/>
      <c r="J14" s="60">
        <f t="shared" si="1"/>
        <v>0</v>
      </c>
      <c r="K14" s="60">
        <f t="shared" si="2"/>
        <v>0</v>
      </c>
      <c r="L14" s="151"/>
      <c r="M14" s="279">
        <f t="shared" si="3"/>
        <v>29782.991400000003</v>
      </c>
      <c r="N14" s="40"/>
      <c r="O14" s="5"/>
    </row>
    <row r="15" spans="1:15">
      <c r="A15" s="208">
        <v>12</v>
      </c>
      <c r="B15" s="207">
        <v>46307</v>
      </c>
      <c r="C15" s="6"/>
      <c r="D15" s="6"/>
      <c r="E15" s="59"/>
      <c r="F15" s="6"/>
      <c r="G15" s="60">
        <f t="shared" si="0"/>
        <v>0</v>
      </c>
      <c r="H15" s="59"/>
      <c r="I15" s="6"/>
      <c r="J15" s="60">
        <f t="shared" si="1"/>
        <v>0</v>
      </c>
      <c r="K15" s="60">
        <f t="shared" si="2"/>
        <v>0</v>
      </c>
      <c r="L15" s="151"/>
      <c r="M15" s="279">
        <f t="shared" si="3"/>
        <v>29782.991400000003</v>
      </c>
      <c r="N15" s="40"/>
      <c r="O15" s="5"/>
    </row>
    <row r="16" spans="1:15">
      <c r="A16" s="208">
        <v>13</v>
      </c>
      <c r="B16" s="207">
        <v>46308</v>
      </c>
      <c r="C16" s="6"/>
      <c r="D16" s="6"/>
      <c r="E16" s="59"/>
      <c r="F16" s="6"/>
      <c r="G16" s="60">
        <f t="shared" si="0"/>
        <v>0</v>
      </c>
      <c r="H16" s="59"/>
      <c r="I16" s="6"/>
      <c r="J16" s="60">
        <f t="shared" si="1"/>
        <v>0</v>
      </c>
      <c r="K16" s="60">
        <f t="shared" si="2"/>
        <v>0</v>
      </c>
      <c r="L16" s="60"/>
      <c r="M16" s="279">
        <f t="shared" si="3"/>
        <v>29782.991400000003</v>
      </c>
      <c r="N16" s="40"/>
      <c r="O16" s="5"/>
    </row>
    <row r="17" spans="1:15">
      <c r="A17" s="208">
        <v>14</v>
      </c>
      <c r="B17" s="207">
        <v>46309</v>
      </c>
      <c r="C17" s="6"/>
      <c r="D17" s="6"/>
      <c r="E17" s="59">
        <v>126.46</v>
      </c>
      <c r="F17" s="6">
        <v>99.28</v>
      </c>
      <c r="G17" s="60">
        <f t="shared" si="0"/>
        <v>12554.9488</v>
      </c>
      <c r="H17" s="59"/>
      <c r="I17" s="6"/>
      <c r="J17" s="60">
        <f t="shared" si="1"/>
        <v>0</v>
      </c>
      <c r="K17" s="60">
        <f t="shared" si="2"/>
        <v>12554.9488</v>
      </c>
      <c r="L17" s="151"/>
      <c r="M17" s="279">
        <f t="shared" si="3"/>
        <v>42337.940200000005</v>
      </c>
      <c r="N17" s="40"/>
      <c r="O17" s="5"/>
    </row>
    <row r="18" spans="1:15">
      <c r="A18" s="208">
        <v>15</v>
      </c>
      <c r="B18" s="207">
        <v>46310</v>
      </c>
      <c r="C18" s="6"/>
      <c r="D18" s="6"/>
      <c r="E18" s="59"/>
      <c r="F18" s="6"/>
      <c r="G18" s="60">
        <f t="shared" si="0"/>
        <v>0</v>
      </c>
      <c r="H18" s="59">
        <v>5</v>
      </c>
      <c r="I18" s="6">
        <v>111.38</v>
      </c>
      <c r="J18" s="60">
        <f t="shared" si="1"/>
        <v>556.9</v>
      </c>
      <c r="K18" s="60">
        <f t="shared" si="2"/>
        <v>556.9</v>
      </c>
      <c r="L18" s="151">
        <v>29000</v>
      </c>
      <c r="M18" s="279">
        <f t="shared" si="3"/>
        <v>13894.840200000006</v>
      </c>
      <c r="N18" s="40"/>
      <c r="O18" s="5"/>
    </row>
    <row r="19" spans="1:15">
      <c r="A19" s="208">
        <v>16</v>
      </c>
      <c r="B19" s="207">
        <v>46311</v>
      </c>
      <c r="C19" s="6"/>
      <c r="D19" s="6"/>
      <c r="E19" s="59"/>
      <c r="F19" s="6"/>
      <c r="G19" s="60">
        <f t="shared" si="0"/>
        <v>0</v>
      </c>
      <c r="H19" s="59"/>
      <c r="I19" s="6"/>
      <c r="J19" s="60">
        <f t="shared" si="1"/>
        <v>0</v>
      </c>
      <c r="K19" s="60">
        <f t="shared" si="2"/>
        <v>0</v>
      </c>
      <c r="L19" s="151"/>
      <c r="M19" s="280">
        <f t="shared" ref="M15:M42" si="4">M18+K19-L19</f>
        <v>13894.840200000006</v>
      </c>
      <c r="N19" s="40"/>
      <c r="O19" s="5"/>
    </row>
    <row r="20" spans="1:15">
      <c r="A20" s="208">
        <v>17</v>
      </c>
      <c r="B20" s="207">
        <v>46312</v>
      </c>
      <c r="C20" s="6"/>
      <c r="D20" s="6"/>
      <c r="E20" s="59"/>
      <c r="F20" s="6"/>
      <c r="G20" s="60">
        <f t="shared" si="0"/>
        <v>0</v>
      </c>
      <c r="H20" s="59"/>
      <c r="I20" s="6"/>
      <c r="J20" s="60">
        <f t="shared" si="1"/>
        <v>0</v>
      </c>
      <c r="K20" s="60">
        <f t="shared" si="2"/>
        <v>0</v>
      </c>
      <c r="L20" s="151"/>
      <c r="M20" s="280">
        <f t="shared" si="4"/>
        <v>13894.840200000006</v>
      </c>
      <c r="N20" s="40"/>
      <c r="O20" s="5"/>
    </row>
    <row r="21" spans="1:15">
      <c r="A21" s="208">
        <v>18</v>
      </c>
      <c r="B21" s="207">
        <v>46313</v>
      </c>
      <c r="C21" s="6"/>
      <c r="D21" s="6"/>
      <c r="E21" s="59"/>
      <c r="F21" s="6"/>
      <c r="G21" s="60">
        <f t="shared" si="0"/>
        <v>0</v>
      </c>
      <c r="H21" s="59"/>
      <c r="I21" s="6"/>
      <c r="J21" s="60">
        <f t="shared" si="1"/>
        <v>0</v>
      </c>
      <c r="K21" s="60">
        <f t="shared" si="2"/>
        <v>0</v>
      </c>
      <c r="L21" s="151"/>
      <c r="M21" s="280">
        <f t="shared" si="4"/>
        <v>13894.840200000006</v>
      </c>
      <c r="N21" s="40"/>
      <c r="O21" s="5"/>
    </row>
    <row r="22" spans="1:15">
      <c r="A22" s="208">
        <v>19</v>
      </c>
      <c r="B22" s="207">
        <v>46314</v>
      </c>
      <c r="C22" s="6"/>
      <c r="D22" s="6"/>
      <c r="E22" s="59"/>
      <c r="F22" s="6"/>
      <c r="G22" s="60">
        <f t="shared" si="0"/>
        <v>0</v>
      </c>
      <c r="H22" s="59"/>
      <c r="I22" s="6"/>
      <c r="J22" s="60">
        <f t="shared" si="1"/>
        <v>0</v>
      </c>
      <c r="K22" s="60">
        <f t="shared" si="2"/>
        <v>0</v>
      </c>
      <c r="L22" s="151"/>
      <c r="M22" s="280">
        <f t="shared" si="4"/>
        <v>13894.840200000006</v>
      </c>
      <c r="N22" s="40"/>
      <c r="O22" s="5"/>
    </row>
    <row r="23" spans="1:15">
      <c r="A23" s="208">
        <v>20</v>
      </c>
      <c r="B23" s="207">
        <v>46315</v>
      </c>
      <c r="C23" s="6"/>
      <c r="D23" s="6"/>
      <c r="E23" s="59"/>
      <c r="F23" s="6"/>
      <c r="G23" s="60">
        <f t="shared" si="0"/>
        <v>0</v>
      </c>
      <c r="H23" s="59"/>
      <c r="I23" s="6"/>
      <c r="J23" s="60">
        <f t="shared" si="1"/>
        <v>0</v>
      </c>
      <c r="K23" s="60">
        <f t="shared" si="2"/>
        <v>0</v>
      </c>
      <c r="L23" s="151"/>
      <c r="M23" s="280">
        <f t="shared" si="4"/>
        <v>13894.840200000006</v>
      </c>
      <c r="N23" s="40"/>
      <c r="O23" s="5"/>
    </row>
    <row r="24" spans="1:15">
      <c r="A24" s="208">
        <v>21</v>
      </c>
      <c r="B24" s="207">
        <v>46316</v>
      </c>
      <c r="C24" s="6"/>
      <c r="D24" s="6"/>
      <c r="E24" s="59"/>
      <c r="F24" s="6"/>
      <c r="G24" s="60">
        <f t="shared" si="0"/>
        <v>0</v>
      </c>
      <c r="H24" s="59"/>
      <c r="I24" s="6"/>
      <c r="J24" s="60">
        <f t="shared" si="1"/>
        <v>0</v>
      </c>
      <c r="K24" s="60">
        <f t="shared" si="2"/>
        <v>0</v>
      </c>
      <c r="L24" s="151"/>
      <c r="M24" s="280">
        <f t="shared" si="4"/>
        <v>13894.840200000006</v>
      </c>
      <c r="N24" s="40"/>
      <c r="O24" s="5"/>
    </row>
    <row r="25" spans="1:15">
      <c r="A25" s="40">
        <v>22</v>
      </c>
      <c r="B25" s="207">
        <v>46317</v>
      </c>
      <c r="C25" s="305"/>
      <c r="D25" s="305"/>
      <c r="E25" s="59"/>
      <c r="F25" s="6"/>
      <c r="G25" s="60">
        <f t="shared" si="0"/>
        <v>0</v>
      </c>
      <c r="H25" s="59"/>
      <c r="I25" s="6"/>
      <c r="J25" s="60">
        <f t="shared" si="1"/>
        <v>0</v>
      </c>
      <c r="K25" s="60">
        <f t="shared" si="2"/>
        <v>0</v>
      </c>
      <c r="L25" s="151"/>
      <c r="M25" s="244">
        <f t="shared" si="4"/>
        <v>13894.840200000006</v>
      </c>
      <c r="N25" s="40"/>
      <c r="O25" s="5"/>
    </row>
    <row r="26" spans="1:15">
      <c r="A26" s="40">
        <v>23</v>
      </c>
      <c r="B26" s="207">
        <v>46318</v>
      </c>
      <c r="C26" s="6"/>
      <c r="D26" s="6"/>
      <c r="E26" s="59"/>
      <c r="F26" s="6"/>
      <c r="G26" s="60">
        <f t="shared" si="0"/>
        <v>0</v>
      </c>
      <c r="H26" s="59"/>
      <c r="I26" s="6"/>
      <c r="J26" s="60">
        <f t="shared" si="1"/>
        <v>0</v>
      </c>
      <c r="K26" s="60">
        <f t="shared" si="2"/>
        <v>0</v>
      </c>
      <c r="L26" s="151"/>
      <c r="M26" s="244">
        <f t="shared" si="4"/>
        <v>13894.840200000006</v>
      </c>
      <c r="N26" s="6"/>
      <c r="O26" s="5"/>
    </row>
    <row r="27" spans="1:15">
      <c r="A27" s="40">
        <v>24</v>
      </c>
      <c r="B27" s="207">
        <v>46319</v>
      </c>
      <c r="C27" s="6"/>
      <c r="D27" s="6"/>
      <c r="E27" s="59"/>
      <c r="F27" s="6"/>
      <c r="G27" s="60">
        <f t="shared" si="0"/>
        <v>0</v>
      </c>
      <c r="H27" s="59"/>
      <c r="I27" s="6"/>
      <c r="J27" s="60">
        <f t="shared" si="1"/>
        <v>0</v>
      </c>
      <c r="K27" s="60">
        <f t="shared" si="2"/>
        <v>0</v>
      </c>
      <c r="L27" s="151"/>
      <c r="M27" s="244">
        <f t="shared" si="4"/>
        <v>13894.840200000006</v>
      </c>
      <c r="N27" s="6"/>
      <c r="O27" s="5"/>
    </row>
    <row r="28" spans="1:15">
      <c r="A28" s="208">
        <v>25</v>
      </c>
      <c r="B28" s="207">
        <v>46320</v>
      </c>
      <c r="C28" s="6"/>
      <c r="D28" s="6"/>
      <c r="E28" s="59"/>
      <c r="F28" s="6"/>
      <c r="G28" s="60">
        <f t="shared" si="0"/>
        <v>0</v>
      </c>
      <c r="H28" s="59"/>
      <c r="I28" s="6"/>
      <c r="J28" s="60">
        <f t="shared" si="1"/>
        <v>0</v>
      </c>
      <c r="K28" s="60">
        <f t="shared" si="2"/>
        <v>0</v>
      </c>
      <c r="L28" s="151"/>
      <c r="M28" s="244">
        <f t="shared" si="4"/>
        <v>13894.840200000006</v>
      </c>
      <c r="N28" s="6"/>
      <c r="O28" s="5"/>
    </row>
    <row r="29" spans="1:15">
      <c r="A29" s="208">
        <v>26</v>
      </c>
      <c r="B29" s="207">
        <v>46321</v>
      </c>
      <c r="C29" s="6"/>
      <c r="D29" s="6"/>
      <c r="E29" s="59"/>
      <c r="F29" s="6"/>
      <c r="G29" s="60">
        <f t="shared" si="0"/>
        <v>0</v>
      </c>
      <c r="H29" s="290"/>
      <c r="I29" s="6"/>
      <c r="J29" s="60">
        <f t="shared" si="1"/>
        <v>0</v>
      </c>
      <c r="K29" s="60">
        <f t="shared" si="2"/>
        <v>0</v>
      </c>
      <c r="L29" s="151"/>
      <c r="M29" s="244">
        <f t="shared" si="4"/>
        <v>13894.840200000006</v>
      </c>
      <c r="N29" s="6"/>
      <c r="O29" s="5"/>
    </row>
    <row r="30" spans="1:15">
      <c r="A30" s="208">
        <v>27</v>
      </c>
      <c r="B30" s="207">
        <v>46322</v>
      </c>
      <c r="C30" s="6"/>
      <c r="D30" s="6"/>
      <c r="E30" s="59"/>
      <c r="F30" s="6"/>
      <c r="G30" s="60">
        <f t="shared" si="0"/>
        <v>0</v>
      </c>
      <c r="H30" s="59"/>
      <c r="I30" s="6"/>
      <c r="J30" s="60">
        <f t="shared" si="1"/>
        <v>0</v>
      </c>
      <c r="K30" s="60">
        <f t="shared" si="2"/>
        <v>0</v>
      </c>
      <c r="L30" s="151"/>
      <c r="M30" s="244">
        <f t="shared" si="4"/>
        <v>13894.840200000006</v>
      </c>
      <c r="N30" s="6"/>
      <c r="O30" s="5"/>
    </row>
    <row r="31" spans="1:15">
      <c r="A31" s="208">
        <v>28</v>
      </c>
      <c r="B31" s="207">
        <v>46323</v>
      </c>
      <c r="C31" s="6"/>
      <c r="D31" s="6"/>
      <c r="E31" s="59"/>
      <c r="F31" s="6"/>
      <c r="G31" s="60">
        <f t="shared" si="0"/>
        <v>0</v>
      </c>
      <c r="H31" s="59"/>
      <c r="I31" s="6"/>
      <c r="J31" s="60">
        <f t="shared" si="1"/>
        <v>0</v>
      </c>
      <c r="K31" s="60">
        <f t="shared" si="2"/>
        <v>0</v>
      </c>
      <c r="L31" s="151"/>
      <c r="M31" s="244">
        <f t="shared" si="4"/>
        <v>13894.840200000006</v>
      </c>
      <c r="N31" s="6"/>
      <c r="O31" s="5"/>
    </row>
    <row r="32" spans="1:15">
      <c r="A32" s="209">
        <v>29</v>
      </c>
      <c r="B32" s="207">
        <v>46324</v>
      </c>
      <c r="C32" s="6"/>
      <c r="D32" s="6"/>
      <c r="E32" s="59"/>
      <c r="F32" s="6"/>
      <c r="G32" s="60">
        <f t="shared" si="0"/>
        <v>0</v>
      </c>
      <c r="H32" s="6"/>
      <c r="I32" s="60"/>
      <c r="J32" s="60">
        <f t="shared" si="1"/>
        <v>0</v>
      </c>
      <c r="K32" s="60">
        <f t="shared" si="2"/>
        <v>0</v>
      </c>
      <c r="L32" s="151"/>
      <c r="M32" s="244">
        <f t="shared" si="4"/>
        <v>13894.840200000006</v>
      </c>
      <c r="N32" s="6"/>
      <c r="O32" s="5"/>
    </row>
    <row r="33" spans="1:15">
      <c r="A33" s="209">
        <v>30</v>
      </c>
      <c r="B33" s="207">
        <v>46325</v>
      </c>
      <c r="C33" s="6"/>
      <c r="D33" s="6"/>
      <c r="E33" s="59"/>
      <c r="F33" s="6"/>
      <c r="G33" s="60">
        <f t="shared" si="0"/>
        <v>0</v>
      </c>
      <c r="H33" s="59"/>
      <c r="I33" s="6"/>
      <c r="J33" s="60">
        <f t="shared" si="1"/>
        <v>0</v>
      </c>
      <c r="K33" s="60">
        <f t="shared" si="2"/>
        <v>0</v>
      </c>
      <c r="L33" s="151"/>
      <c r="M33" s="244">
        <f t="shared" si="4"/>
        <v>13894.840200000006</v>
      </c>
      <c r="N33" s="6"/>
      <c r="O33" s="5"/>
    </row>
    <row r="34" spans="1:15">
      <c r="A34" s="209">
        <v>31</v>
      </c>
      <c r="B34" s="207">
        <v>46326</v>
      </c>
      <c r="C34" s="6"/>
      <c r="D34" s="6"/>
      <c r="E34" s="59"/>
      <c r="F34" s="6"/>
      <c r="G34" s="60">
        <f t="shared" si="0"/>
        <v>0</v>
      </c>
      <c r="H34" s="59"/>
      <c r="I34" s="6"/>
      <c r="J34" s="60">
        <f t="shared" si="1"/>
        <v>0</v>
      </c>
      <c r="K34" s="60">
        <f t="shared" si="2"/>
        <v>0</v>
      </c>
      <c r="L34" s="151"/>
      <c r="M34" s="244">
        <f t="shared" si="4"/>
        <v>13894.840200000006</v>
      </c>
      <c r="N34" s="6"/>
      <c r="O34" s="5"/>
    </row>
    <row r="35" spans="1:15">
      <c r="A35" s="6">
        <v>35</v>
      </c>
      <c r="B35" s="72"/>
      <c r="C35" s="6"/>
      <c r="D35" s="6"/>
      <c r="E35" s="59"/>
      <c r="F35" s="6"/>
      <c r="G35" s="60">
        <v>0</v>
      </c>
      <c r="H35" s="59"/>
      <c r="I35" s="6"/>
      <c r="J35" s="60">
        <f t="shared" si="1"/>
        <v>0</v>
      </c>
      <c r="K35" s="60">
        <f t="shared" si="2"/>
        <v>0</v>
      </c>
      <c r="L35" s="151"/>
      <c r="M35" s="244">
        <f t="shared" si="4"/>
        <v>13894.840200000006</v>
      </c>
      <c r="N35" s="6"/>
      <c r="O35" s="5"/>
    </row>
    <row r="36" spans="1:15">
      <c r="A36" s="6">
        <v>36</v>
      </c>
      <c r="B36" s="72"/>
      <c r="C36" s="6"/>
      <c r="D36" s="6"/>
      <c r="E36" s="59"/>
      <c r="F36" s="6"/>
      <c r="G36" s="60">
        <v>0</v>
      </c>
      <c r="H36" s="59"/>
      <c r="I36" s="6"/>
      <c r="J36" s="60">
        <f t="shared" si="1"/>
        <v>0</v>
      </c>
      <c r="K36" s="60">
        <f t="shared" si="2"/>
        <v>0</v>
      </c>
      <c r="L36" s="151"/>
      <c r="M36" s="244">
        <f t="shared" si="4"/>
        <v>13894.840200000006</v>
      </c>
      <c r="N36" s="6"/>
      <c r="O36" s="5"/>
    </row>
    <row r="37" spans="1:15">
      <c r="A37" s="6">
        <v>37</v>
      </c>
      <c r="B37" s="72"/>
      <c r="C37" s="6"/>
      <c r="D37" s="6"/>
      <c r="E37" s="59"/>
      <c r="F37" s="6"/>
      <c r="G37" s="60">
        <v>0</v>
      </c>
      <c r="H37" s="59"/>
      <c r="I37" s="6"/>
      <c r="J37" s="60">
        <f t="shared" si="1"/>
        <v>0</v>
      </c>
      <c r="K37" s="60">
        <f t="shared" si="2"/>
        <v>0</v>
      </c>
      <c r="L37" s="151"/>
      <c r="M37" s="244">
        <f t="shared" si="4"/>
        <v>13894.840200000006</v>
      </c>
      <c r="N37" s="6"/>
      <c r="O37" s="5"/>
    </row>
    <row r="38" spans="1:15">
      <c r="A38" s="6">
        <v>38</v>
      </c>
      <c r="B38" s="72"/>
      <c r="C38" s="6"/>
      <c r="D38" s="6"/>
      <c r="E38" s="59"/>
      <c r="F38" s="6"/>
      <c r="G38" s="60">
        <v>0</v>
      </c>
      <c r="H38" s="59"/>
      <c r="I38" s="6"/>
      <c r="J38" s="60">
        <f t="shared" si="1"/>
        <v>0</v>
      </c>
      <c r="K38" s="60">
        <f t="shared" si="2"/>
        <v>0</v>
      </c>
      <c r="L38" s="151"/>
      <c r="M38" s="244">
        <f t="shared" si="4"/>
        <v>13894.840200000006</v>
      </c>
      <c r="N38" s="6"/>
      <c r="O38" s="5"/>
    </row>
    <row r="39" spans="1:15">
      <c r="A39" s="158">
        <v>39</v>
      </c>
      <c r="B39" s="159"/>
      <c r="C39" s="158"/>
      <c r="D39" s="6"/>
      <c r="E39" s="59"/>
      <c r="F39" s="6"/>
      <c r="G39" s="60">
        <v>0</v>
      </c>
      <c r="H39" s="59"/>
      <c r="I39" s="6"/>
      <c r="J39" s="60">
        <f t="shared" si="1"/>
        <v>0</v>
      </c>
      <c r="K39" s="60">
        <f t="shared" si="2"/>
        <v>0</v>
      </c>
      <c r="L39" s="151"/>
      <c r="M39" s="244">
        <f t="shared" si="4"/>
        <v>13894.840200000006</v>
      </c>
      <c r="N39" s="158"/>
      <c r="O39" s="5"/>
    </row>
    <row r="40" spans="1:15">
      <c r="A40" s="6">
        <v>40</v>
      </c>
      <c r="B40" s="6"/>
      <c r="C40" s="6"/>
      <c r="D40" s="6"/>
      <c r="E40" s="59"/>
      <c r="F40" s="6"/>
      <c r="G40" s="60">
        <v>0</v>
      </c>
      <c r="H40" s="59"/>
      <c r="I40" s="6"/>
      <c r="J40" s="60">
        <f t="shared" si="1"/>
        <v>0</v>
      </c>
      <c r="K40" s="60">
        <f t="shared" si="2"/>
        <v>0</v>
      </c>
      <c r="L40" s="151"/>
      <c r="M40" s="244">
        <f t="shared" si="4"/>
        <v>13894.840200000006</v>
      </c>
      <c r="N40" s="6"/>
      <c r="O40" s="5"/>
    </row>
    <row r="41" spans="1:15">
      <c r="A41" s="158">
        <v>41</v>
      </c>
      <c r="B41" s="158"/>
      <c r="C41" s="158"/>
      <c r="D41" s="6"/>
      <c r="E41" s="59"/>
      <c r="F41" s="6"/>
      <c r="G41" s="60">
        <v>0</v>
      </c>
      <c r="H41" s="59"/>
      <c r="I41" s="6"/>
      <c r="J41" s="60">
        <f t="shared" si="1"/>
        <v>0</v>
      </c>
      <c r="K41" s="60">
        <f t="shared" si="2"/>
        <v>0</v>
      </c>
      <c r="L41" s="151"/>
      <c r="M41" s="244">
        <f t="shared" si="4"/>
        <v>13894.840200000006</v>
      </c>
      <c r="N41" s="158"/>
      <c r="O41" s="5"/>
    </row>
    <row r="42" spans="1:15">
      <c r="A42" s="158">
        <v>42</v>
      </c>
      <c r="B42" s="158"/>
      <c r="C42" s="158"/>
      <c r="D42" s="6"/>
      <c r="E42" s="59"/>
      <c r="F42" s="6"/>
      <c r="G42" s="60">
        <f t="shared" ref="G42" si="5">E42*F42</f>
        <v>0</v>
      </c>
      <c r="H42" s="59"/>
      <c r="I42" s="6"/>
      <c r="J42" s="60">
        <f t="shared" ref="J42" si="6">H42*I42</f>
        <v>0</v>
      </c>
      <c r="K42" s="160">
        <f t="shared" ref="K42" si="7">G42+J42</f>
        <v>0</v>
      </c>
      <c r="L42" s="161"/>
      <c r="M42" s="244">
        <f t="shared" si="4"/>
        <v>13894.840200000006</v>
      </c>
      <c r="N42" s="158"/>
      <c r="O42" s="5"/>
    </row>
    <row r="43" spans="1:15">
      <c r="A43" s="56"/>
      <c r="B43" s="56"/>
      <c r="C43" s="56"/>
      <c r="D43" s="56"/>
      <c r="E43" s="57">
        <f>SUM(E4:E42)</f>
        <v>174.75</v>
      </c>
      <c r="F43" s="57"/>
      <c r="G43" s="57">
        <f>SUM(G4:G42)</f>
        <v>17349.18</v>
      </c>
      <c r="H43" s="57">
        <f>SUM(H4:H42)</f>
        <v>22.29</v>
      </c>
      <c r="I43" s="57"/>
      <c r="J43" s="57">
        <f>SUM(J4:J42)</f>
        <v>2482.6601999999998</v>
      </c>
      <c r="K43" s="57">
        <f>SUM(K4:K42)</f>
        <v>19831.840200000002</v>
      </c>
      <c r="L43" s="57">
        <f>SUM(L4:L42)</f>
        <v>29000</v>
      </c>
      <c r="M43" s="57"/>
      <c r="N43" s="57"/>
      <c r="O43" s="53"/>
    </row>
    <row r="44" spans="1:15">
      <c r="A44" s="5"/>
      <c r="B44" s="5"/>
      <c r="C44" s="5"/>
      <c r="D44" s="5"/>
      <c r="E44" s="5"/>
      <c r="F44" s="5"/>
      <c r="G44" s="96"/>
      <c r="H44" s="5"/>
      <c r="I44" s="5"/>
      <c r="J44" s="96"/>
      <c r="K44" s="5"/>
      <c r="L44" s="96"/>
      <c r="M44" s="96"/>
      <c r="N44" s="5"/>
      <c r="O44" s="5"/>
    </row>
    <row r="45" spans="1:15">
      <c r="A45" s="5"/>
      <c r="B45" s="5"/>
      <c r="C45" s="5"/>
      <c r="D45" s="5"/>
      <c r="E45" s="5"/>
      <c r="F45" s="5"/>
      <c r="G45" s="96"/>
      <c r="H45" s="5"/>
      <c r="I45" s="5"/>
      <c r="J45" s="96"/>
      <c r="K45" s="5"/>
      <c r="L45" s="96"/>
      <c r="M45" s="96"/>
      <c r="N45" s="5"/>
      <c r="O45" s="5"/>
    </row>
    <row r="47" spans="1:15">
      <c r="L47" s="163"/>
    </row>
  </sheetData>
  <mergeCells count="2">
    <mergeCell ref="A1:N1"/>
    <mergeCell ref="A3:L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workbookViewId="0">
      <pane ySplit="3" topLeftCell="A9" activePane="bottomLeft" state="frozen"/>
      <selection pane="bottomLeft" activeCell="M17" sqref="M17"/>
    </sheetView>
  </sheetViews>
  <sheetFormatPr defaultRowHeight="15"/>
  <cols>
    <col min="2" max="2" width="10.5703125" bestFit="1" customWidth="1"/>
    <col min="4" max="4" width="15" customWidth="1"/>
    <col min="5" max="5" width="13.28515625" customWidth="1"/>
    <col min="7" max="7" width="11.85546875" bestFit="1" customWidth="1"/>
    <col min="8" max="8" width="12.28515625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631" t="s">
        <v>162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8" ht="21" customHeight="1">
      <c r="A2" s="58" t="s">
        <v>0</v>
      </c>
      <c r="B2" s="77" t="s">
        <v>167</v>
      </c>
      <c r="C2" s="77" t="s">
        <v>168</v>
      </c>
      <c r="D2" s="77" t="s">
        <v>189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85" t="s">
        <v>175</v>
      </c>
      <c r="M2" s="79" t="s">
        <v>190</v>
      </c>
      <c r="N2" s="77" t="s">
        <v>177</v>
      </c>
    </row>
    <row r="3" spans="1:18">
      <c r="A3" s="650" t="s">
        <v>178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4"/>
      <c r="M3" s="655">
        <v>135406.60999999999</v>
      </c>
      <c r="N3" s="656"/>
    </row>
    <row r="4" spans="1:18">
      <c r="A4" s="184">
        <v>1</v>
      </c>
      <c r="B4" s="207">
        <v>46296</v>
      </c>
      <c r="C4" s="6"/>
      <c r="D4" s="6"/>
      <c r="E4" s="290">
        <v>90</v>
      </c>
      <c r="F4" s="498">
        <v>99.44</v>
      </c>
      <c r="G4" s="60">
        <f>E4*F4</f>
        <v>8949.6</v>
      </c>
      <c r="H4" s="59"/>
      <c r="I4" s="6"/>
      <c r="J4" s="60">
        <f>H4*I4</f>
        <v>0</v>
      </c>
      <c r="K4" s="60">
        <f>G4+J4</f>
        <v>8949.6</v>
      </c>
      <c r="L4" s="151"/>
      <c r="M4" s="140">
        <f>M3+K4-L4</f>
        <v>144356.21</v>
      </c>
      <c r="N4" s="40"/>
    </row>
    <row r="5" spans="1:18">
      <c r="A5" s="40">
        <v>2</v>
      </c>
      <c r="B5" s="207">
        <v>46297</v>
      </c>
      <c r="C5" s="6"/>
      <c r="D5" s="6"/>
      <c r="E5" s="290">
        <v>83.74</v>
      </c>
      <c r="F5" s="498">
        <v>99.44</v>
      </c>
      <c r="G5" s="60">
        <f t="shared" ref="G5:G38" si="0">E5*F5</f>
        <v>8327.105599999999</v>
      </c>
      <c r="H5" s="59">
        <v>5</v>
      </c>
      <c r="I5" s="6">
        <v>111.55</v>
      </c>
      <c r="J5" s="60">
        <f t="shared" ref="J5:J40" si="1">H5*I5</f>
        <v>557.75</v>
      </c>
      <c r="K5" s="60">
        <f t="shared" ref="K5:K10" si="2">G5+J5</f>
        <v>8884.855599999999</v>
      </c>
      <c r="L5" s="151"/>
      <c r="M5" s="140">
        <f t="shared" ref="M5:M33" si="3">M4+K5-L5</f>
        <v>153241.0656</v>
      </c>
      <c r="N5" s="40"/>
    </row>
    <row r="6" spans="1:18">
      <c r="A6" s="40">
        <v>3</v>
      </c>
      <c r="B6" s="207">
        <v>46298</v>
      </c>
      <c r="C6" s="6"/>
      <c r="D6" s="6"/>
      <c r="E6" s="59">
        <v>99.26</v>
      </c>
      <c r="F6" s="290">
        <v>99.44</v>
      </c>
      <c r="G6" s="60">
        <f t="shared" si="0"/>
        <v>9870.4143999999997</v>
      </c>
      <c r="H6" s="59"/>
      <c r="I6" s="6"/>
      <c r="J6" s="60">
        <f t="shared" si="1"/>
        <v>0</v>
      </c>
      <c r="K6" s="60">
        <f t="shared" si="2"/>
        <v>9870.4143999999997</v>
      </c>
      <c r="L6" s="151"/>
      <c r="M6" s="140">
        <f t="shared" si="3"/>
        <v>163111.48000000001</v>
      </c>
      <c r="N6" s="40"/>
    </row>
    <row r="7" spans="1:18">
      <c r="A7" s="40">
        <v>4</v>
      </c>
      <c r="B7" s="207">
        <v>46299</v>
      </c>
      <c r="C7" s="6"/>
      <c r="D7" s="6"/>
      <c r="E7" s="59">
        <v>40</v>
      </c>
      <c r="F7" s="290">
        <v>99.44</v>
      </c>
      <c r="G7" s="60">
        <f t="shared" si="0"/>
        <v>3977.6</v>
      </c>
      <c r="H7" s="59"/>
      <c r="I7" s="6"/>
      <c r="J7" s="60">
        <f t="shared" si="1"/>
        <v>0</v>
      </c>
      <c r="K7" s="60">
        <f t="shared" si="2"/>
        <v>3977.6</v>
      </c>
      <c r="L7" s="151"/>
      <c r="M7" s="140">
        <f t="shared" si="3"/>
        <v>167089.08000000002</v>
      </c>
      <c r="N7" s="40"/>
    </row>
    <row r="8" spans="1:18">
      <c r="A8" s="40">
        <v>5</v>
      </c>
      <c r="B8" s="207">
        <v>46300</v>
      </c>
      <c r="C8" s="6"/>
      <c r="D8" s="6"/>
      <c r="E8" s="59">
        <v>120</v>
      </c>
      <c r="F8" s="290">
        <v>99.44</v>
      </c>
      <c r="G8" s="60">
        <f t="shared" si="0"/>
        <v>11932.8</v>
      </c>
      <c r="H8" s="59">
        <v>16.54</v>
      </c>
      <c r="I8" s="6">
        <v>111.55</v>
      </c>
      <c r="J8" s="60">
        <f t="shared" si="1"/>
        <v>1845.0369999999998</v>
      </c>
      <c r="K8" s="60">
        <f t="shared" si="2"/>
        <v>13777.837</v>
      </c>
      <c r="L8" s="151"/>
      <c r="M8" s="140">
        <f t="shared" si="3"/>
        <v>180866.91700000002</v>
      </c>
      <c r="N8" s="40"/>
    </row>
    <row r="9" spans="1:18">
      <c r="A9" s="40">
        <v>6</v>
      </c>
      <c r="B9" s="207">
        <v>46301</v>
      </c>
      <c r="C9" s="6"/>
      <c r="D9" s="6"/>
      <c r="E9" s="59"/>
      <c r="F9" s="290"/>
      <c r="G9" s="60">
        <f t="shared" si="0"/>
        <v>0</v>
      </c>
      <c r="H9" s="59"/>
      <c r="I9" s="6"/>
      <c r="J9" s="60">
        <f t="shared" si="1"/>
        <v>0</v>
      </c>
      <c r="K9" s="60">
        <f t="shared" si="2"/>
        <v>0</v>
      </c>
      <c r="L9" s="151"/>
      <c r="M9" s="140">
        <f t="shared" si="3"/>
        <v>180866.91700000002</v>
      </c>
      <c r="N9" s="40"/>
    </row>
    <row r="10" spans="1:18">
      <c r="A10" s="40">
        <v>7</v>
      </c>
      <c r="B10" s="207">
        <v>46302</v>
      </c>
      <c r="C10" s="6"/>
      <c r="D10" s="6"/>
      <c r="E10" s="59">
        <v>90</v>
      </c>
      <c r="F10" s="290">
        <v>99.44</v>
      </c>
      <c r="G10" s="60">
        <f t="shared" si="0"/>
        <v>8949.6</v>
      </c>
      <c r="H10" s="59"/>
      <c r="I10" s="6"/>
      <c r="J10" s="60">
        <f t="shared" si="1"/>
        <v>0</v>
      </c>
      <c r="K10" s="60">
        <f t="shared" si="2"/>
        <v>8949.6</v>
      </c>
      <c r="L10" s="151"/>
      <c r="M10" s="140">
        <f t="shared" si="3"/>
        <v>189816.51700000002</v>
      </c>
      <c r="N10" s="40"/>
    </row>
    <row r="11" spans="1:18">
      <c r="A11" s="40">
        <v>8</v>
      </c>
      <c r="B11" s="207">
        <v>46303</v>
      </c>
      <c r="C11" s="6"/>
      <c r="D11" s="6"/>
      <c r="E11" s="59">
        <v>57.370000000000005</v>
      </c>
      <c r="F11" s="290">
        <v>99.44</v>
      </c>
      <c r="G11" s="60">
        <f t="shared" si="0"/>
        <v>5704.8728000000001</v>
      </c>
      <c r="H11" s="59">
        <v>7.35</v>
      </c>
      <c r="I11" s="6">
        <v>111.55</v>
      </c>
      <c r="J11" s="60">
        <f t="shared" si="1"/>
        <v>819.89249999999993</v>
      </c>
      <c r="K11" s="60">
        <f t="shared" ref="K5:K40" si="4">G11+J11</f>
        <v>6524.7653</v>
      </c>
      <c r="L11" s="151"/>
      <c r="M11" s="140">
        <f t="shared" si="3"/>
        <v>196341.28230000002</v>
      </c>
      <c r="N11" s="40"/>
    </row>
    <row r="12" spans="1:18">
      <c r="A12" s="40">
        <v>9</v>
      </c>
      <c r="B12" s="207">
        <v>46304</v>
      </c>
      <c r="C12" s="6"/>
      <c r="D12" s="6"/>
      <c r="E12" s="59"/>
      <c r="F12" s="290"/>
      <c r="G12" s="60">
        <f t="shared" si="0"/>
        <v>0</v>
      </c>
      <c r="H12" s="59">
        <v>6.07</v>
      </c>
      <c r="I12" s="6">
        <v>121.03</v>
      </c>
      <c r="J12" s="60">
        <f t="shared" si="1"/>
        <v>734.65210000000002</v>
      </c>
      <c r="K12" s="60">
        <f t="shared" si="4"/>
        <v>734.65210000000002</v>
      </c>
      <c r="L12" s="151"/>
      <c r="M12" s="140">
        <f t="shared" si="3"/>
        <v>197075.93440000003</v>
      </c>
      <c r="N12" s="40"/>
      <c r="R12" s="224"/>
    </row>
    <row r="13" spans="1:18">
      <c r="A13" s="40">
        <v>10</v>
      </c>
      <c r="B13" s="207">
        <v>46305</v>
      </c>
      <c r="C13" s="6"/>
      <c r="D13" s="6"/>
      <c r="E13" s="59">
        <v>120</v>
      </c>
      <c r="F13" s="290">
        <v>99.44</v>
      </c>
      <c r="G13" s="60">
        <f t="shared" si="0"/>
        <v>11932.8</v>
      </c>
      <c r="H13" s="59"/>
      <c r="I13" s="6"/>
      <c r="J13" s="60">
        <f t="shared" si="1"/>
        <v>0</v>
      </c>
      <c r="K13" s="60">
        <f t="shared" si="4"/>
        <v>11932.8</v>
      </c>
      <c r="L13" s="151"/>
      <c r="M13" s="140">
        <f t="shared" si="3"/>
        <v>209008.73440000002</v>
      </c>
      <c r="N13" s="40"/>
    </row>
    <row r="14" spans="1:18">
      <c r="A14" s="40">
        <v>11</v>
      </c>
      <c r="B14" s="207">
        <v>46306</v>
      </c>
      <c r="C14" s="6"/>
      <c r="D14" s="6"/>
      <c r="E14" s="59">
        <v>27.44</v>
      </c>
      <c r="F14" s="290">
        <v>99.44</v>
      </c>
      <c r="G14" s="60">
        <f t="shared" si="0"/>
        <v>2728.6336000000001</v>
      </c>
      <c r="H14" s="59">
        <v>10</v>
      </c>
      <c r="I14" s="6">
        <v>111.55</v>
      </c>
      <c r="J14" s="60">
        <f t="shared" si="1"/>
        <v>1115.5</v>
      </c>
      <c r="K14" s="60">
        <f t="shared" si="4"/>
        <v>3844.1336000000001</v>
      </c>
      <c r="L14" s="151"/>
      <c r="M14" s="140">
        <f t="shared" si="3"/>
        <v>212852.86800000002</v>
      </c>
      <c r="N14" s="40"/>
    </row>
    <row r="15" spans="1:18">
      <c r="A15" s="40">
        <v>12</v>
      </c>
      <c r="B15" s="207">
        <v>46307</v>
      </c>
      <c r="C15" s="6"/>
      <c r="D15" s="6"/>
      <c r="E15" s="59">
        <v>30.17</v>
      </c>
      <c r="F15" s="290">
        <v>99.44</v>
      </c>
      <c r="G15" s="60">
        <f t="shared" si="0"/>
        <v>3000.1048000000001</v>
      </c>
      <c r="H15" s="59"/>
      <c r="I15" s="6"/>
      <c r="J15" s="60">
        <f t="shared" si="1"/>
        <v>0</v>
      </c>
      <c r="K15" s="60">
        <f t="shared" si="4"/>
        <v>3000.1048000000001</v>
      </c>
      <c r="L15" s="151"/>
      <c r="M15" s="140">
        <f t="shared" si="3"/>
        <v>215852.97280000002</v>
      </c>
      <c r="N15" s="40"/>
    </row>
    <row r="16" spans="1:18">
      <c r="A16" s="40">
        <v>13</v>
      </c>
      <c r="B16" s="207">
        <v>46308</v>
      </c>
      <c r="C16" s="6"/>
      <c r="D16" s="6"/>
      <c r="E16" s="59"/>
      <c r="F16" s="290"/>
      <c r="G16" s="60">
        <f t="shared" si="0"/>
        <v>0</v>
      </c>
      <c r="H16" s="59">
        <v>5.37</v>
      </c>
      <c r="I16" s="6">
        <v>111.55</v>
      </c>
      <c r="J16" s="60">
        <f t="shared" si="1"/>
        <v>599.02350000000001</v>
      </c>
      <c r="K16" s="60">
        <f t="shared" si="4"/>
        <v>599.02350000000001</v>
      </c>
      <c r="L16" s="151"/>
      <c r="M16" s="140">
        <f t="shared" si="3"/>
        <v>216451.99630000003</v>
      </c>
      <c r="N16" s="40"/>
    </row>
    <row r="17" spans="1:14">
      <c r="A17" s="40">
        <v>14</v>
      </c>
      <c r="B17" s="207">
        <v>46309</v>
      </c>
      <c r="C17" s="6"/>
      <c r="D17" s="6"/>
      <c r="E17" s="59">
        <v>80</v>
      </c>
      <c r="F17" s="290">
        <v>99.44</v>
      </c>
      <c r="G17" s="60">
        <f t="shared" si="0"/>
        <v>7955.2</v>
      </c>
      <c r="H17" s="59"/>
      <c r="I17" s="6"/>
      <c r="J17" s="60">
        <f t="shared" si="1"/>
        <v>0</v>
      </c>
      <c r="K17" s="60">
        <f t="shared" si="4"/>
        <v>7955.2</v>
      </c>
      <c r="L17" s="151"/>
      <c r="M17" s="140">
        <f t="shared" si="3"/>
        <v>224407.19630000004</v>
      </c>
      <c r="N17" s="40"/>
    </row>
    <row r="18" spans="1:14">
      <c r="A18" s="40">
        <v>15</v>
      </c>
      <c r="B18" s="207">
        <v>46310</v>
      </c>
      <c r="C18" s="6"/>
      <c r="D18" s="6"/>
      <c r="E18" s="59">
        <v>38.53</v>
      </c>
      <c r="F18" s="290">
        <v>99.44</v>
      </c>
      <c r="G18" s="60">
        <f t="shared" si="0"/>
        <v>3831.4232000000002</v>
      </c>
      <c r="H18" s="59"/>
      <c r="I18" s="6"/>
      <c r="J18" s="60">
        <f t="shared" si="1"/>
        <v>0</v>
      </c>
      <c r="K18" s="60">
        <f t="shared" si="4"/>
        <v>3831.4232000000002</v>
      </c>
      <c r="L18" s="151"/>
      <c r="M18" s="140">
        <f t="shared" si="3"/>
        <v>228238.61950000003</v>
      </c>
      <c r="N18" s="40"/>
    </row>
    <row r="19" spans="1:14">
      <c r="A19" s="40">
        <v>16</v>
      </c>
      <c r="B19" s="207">
        <v>46311</v>
      </c>
      <c r="C19" s="6"/>
      <c r="D19" s="6"/>
      <c r="E19" s="59"/>
      <c r="F19" s="290"/>
      <c r="G19" s="60">
        <f t="shared" si="0"/>
        <v>0</v>
      </c>
      <c r="H19" s="59"/>
      <c r="I19" s="6"/>
      <c r="J19" s="60">
        <f t="shared" si="1"/>
        <v>0</v>
      </c>
      <c r="K19" s="60">
        <f t="shared" si="4"/>
        <v>0</v>
      </c>
      <c r="L19" s="151"/>
      <c r="M19" s="140">
        <f t="shared" si="3"/>
        <v>228238.61950000003</v>
      </c>
      <c r="N19" s="40"/>
    </row>
    <row r="20" spans="1:14">
      <c r="A20" s="40">
        <v>17</v>
      </c>
      <c r="B20" s="207">
        <v>46312</v>
      </c>
      <c r="C20" s="6"/>
      <c r="D20" s="6"/>
      <c r="E20" s="59"/>
      <c r="F20" s="290"/>
      <c r="G20" s="60">
        <f t="shared" si="0"/>
        <v>0</v>
      </c>
      <c r="H20" s="59"/>
      <c r="I20" s="6"/>
      <c r="J20" s="60">
        <f t="shared" si="1"/>
        <v>0</v>
      </c>
      <c r="K20" s="60">
        <f t="shared" si="4"/>
        <v>0</v>
      </c>
      <c r="L20" s="151"/>
      <c r="M20" s="140">
        <f t="shared" si="3"/>
        <v>228238.61950000003</v>
      </c>
      <c r="N20" s="40"/>
    </row>
    <row r="21" spans="1:14">
      <c r="A21" s="40">
        <v>18</v>
      </c>
      <c r="B21" s="207">
        <v>46313</v>
      </c>
      <c r="C21" s="6"/>
      <c r="D21" s="6"/>
      <c r="E21" s="59"/>
      <c r="F21" s="290"/>
      <c r="G21" s="60">
        <f t="shared" si="0"/>
        <v>0</v>
      </c>
      <c r="H21" s="59"/>
      <c r="I21" s="6"/>
      <c r="J21" s="60">
        <f t="shared" si="1"/>
        <v>0</v>
      </c>
      <c r="K21" s="60">
        <f t="shared" si="4"/>
        <v>0</v>
      </c>
      <c r="L21" s="151"/>
      <c r="M21" s="140">
        <f t="shared" si="3"/>
        <v>228238.61950000003</v>
      </c>
      <c r="N21" s="40"/>
    </row>
    <row r="22" spans="1:14">
      <c r="A22" s="40">
        <v>19</v>
      </c>
      <c r="B22" s="207">
        <v>46314</v>
      </c>
      <c r="C22" s="6"/>
      <c r="D22" s="6"/>
      <c r="E22" s="59"/>
      <c r="F22" s="290"/>
      <c r="G22" s="60">
        <f t="shared" si="0"/>
        <v>0</v>
      </c>
      <c r="H22" s="59"/>
      <c r="I22" s="6"/>
      <c r="J22" s="60">
        <f t="shared" si="1"/>
        <v>0</v>
      </c>
      <c r="K22" s="60">
        <f t="shared" si="4"/>
        <v>0</v>
      </c>
      <c r="L22" s="151"/>
      <c r="M22" s="140">
        <f t="shared" si="3"/>
        <v>228238.61950000003</v>
      </c>
      <c r="N22" s="40"/>
    </row>
    <row r="23" spans="1:14">
      <c r="A23" s="40">
        <v>20</v>
      </c>
      <c r="B23" s="207">
        <v>46315</v>
      </c>
      <c r="C23" s="6"/>
      <c r="D23" s="6"/>
      <c r="E23" s="59"/>
      <c r="F23" s="290"/>
      <c r="G23" s="60">
        <f>E23*F23</f>
        <v>0</v>
      </c>
      <c r="H23" s="59"/>
      <c r="I23" s="6"/>
      <c r="J23" s="60">
        <f t="shared" si="1"/>
        <v>0</v>
      </c>
      <c r="K23" s="60">
        <f t="shared" si="4"/>
        <v>0</v>
      </c>
      <c r="L23" s="151"/>
      <c r="M23" s="140">
        <f t="shared" si="3"/>
        <v>228238.61950000003</v>
      </c>
      <c r="N23" s="40"/>
    </row>
    <row r="24" spans="1:14">
      <c r="A24" s="40">
        <v>21</v>
      </c>
      <c r="B24" s="207">
        <v>46316</v>
      </c>
      <c r="C24" s="6"/>
      <c r="D24" s="6"/>
      <c r="E24" s="59"/>
      <c r="F24" s="290"/>
      <c r="G24" s="60">
        <f t="shared" si="0"/>
        <v>0</v>
      </c>
      <c r="H24" s="59"/>
      <c r="I24" s="6"/>
      <c r="J24" s="60">
        <f t="shared" si="1"/>
        <v>0</v>
      </c>
      <c r="K24" s="60">
        <f t="shared" si="4"/>
        <v>0</v>
      </c>
      <c r="L24" s="151"/>
      <c r="M24" s="140">
        <f>M23+K24-L24</f>
        <v>228238.61950000003</v>
      </c>
      <c r="N24" s="40"/>
    </row>
    <row r="25" spans="1:14">
      <c r="A25" s="40">
        <v>22</v>
      </c>
      <c r="B25" s="207">
        <v>46317</v>
      </c>
      <c r="C25" s="6"/>
      <c r="D25" s="6"/>
      <c r="E25" s="290"/>
      <c r="F25" s="498"/>
      <c r="G25" s="60">
        <f t="shared" si="0"/>
        <v>0</v>
      </c>
      <c r="H25" s="59"/>
      <c r="I25" s="6"/>
      <c r="J25" s="60">
        <f t="shared" si="1"/>
        <v>0</v>
      </c>
      <c r="K25" s="60">
        <f t="shared" si="4"/>
        <v>0</v>
      </c>
      <c r="L25" s="151"/>
      <c r="M25" s="140">
        <f t="shared" si="3"/>
        <v>228238.61950000003</v>
      </c>
      <c r="N25" s="40"/>
    </row>
    <row r="26" spans="1:14">
      <c r="A26" s="40">
        <v>23</v>
      </c>
      <c r="B26" s="207">
        <v>46318</v>
      </c>
      <c r="C26" s="6"/>
      <c r="D26" s="6"/>
      <c r="E26" s="59"/>
      <c r="F26" s="290"/>
      <c r="G26" s="60">
        <f t="shared" si="0"/>
        <v>0</v>
      </c>
      <c r="H26" s="59"/>
      <c r="I26" s="6"/>
      <c r="J26" s="60">
        <f t="shared" si="1"/>
        <v>0</v>
      </c>
      <c r="K26" s="60">
        <f t="shared" si="4"/>
        <v>0</v>
      </c>
      <c r="L26" s="151"/>
      <c r="M26" s="140">
        <f t="shared" si="3"/>
        <v>228238.61950000003</v>
      </c>
      <c r="N26" s="6"/>
    </row>
    <row r="27" spans="1:14">
      <c r="A27" s="40">
        <v>24</v>
      </c>
      <c r="B27" s="207">
        <v>46319</v>
      </c>
      <c r="C27" s="6"/>
      <c r="D27" s="6"/>
      <c r="E27" s="59"/>
      <c r="F27" s="290"/>
      <c r="G27" s="60">
        <f t="shared" si="0"/>
        <v>0</v>
      </c>
      <c r="H27" s="59"/>
      <c r="I27" s="6"/>
      <c r="J27" s="60">
        <f t="shared" si="1"/>
        <v>0</v>
      </c>
      <c r="K27" s="60">
        <f t="shared" si="4"/>
        <v>0</v>
      </c>
      <c r="L27" s="151"/>
      <c r="M27" s="140">
        <f t="shared" si="3"/>
        <v>228238.61950000003</v>
      </c>
      <c r="N27" s="6"/>
    </row>
    <row r="28" spans="1:14">
      <c r="A28" s="208">
        <v>25</v>
      </c>
      <c r="B28" s="207">
        <v>46320</v>
      </c>
      <c r="C28" s="6"/>
      <c r="D28" s="6"/>
      <c r="E28" s="59"/>
      <c r="F28" s="290"/>
      <c r="G28" s="60">
        <f t="shared" si="0"/>
        <v>0</v>
      </c>
      <c r="H28" s="59"/>
      <c r="I28" s="6"/>
      <c r="J28" s="60">
        <f t="shared" si="1"/>
        <v>0</v>
      </c>
      <c r="K28" s="60">
        <f t="shared" si="4"/>
        <v>0</v>
      </c>
      <c r="L28" s="151"/>
      <c r="M28" s="140">
        <f t="shared" si="3"/>
        <v>228238.61950000003</v>
      </c>
      <c r="N28" s="6"/>
    </row>
    <row r="29" spans="1:14">
      <c r="A29" s="208">
        <v>26</v>
      </c>
      <c r="B29" s="207">
        <v>46321</v>
      </c>
      <c r="C29" s="6"/>
      <c r="D29" s="6"/>
      <c r="E29" s="59"/>
      <c r="F29" s="290"/>
      <c r="G29" s="60">
        <f t="shared" si="0"/>
        <v>0</v>
      </c>
      <c r="H29" s="59"/>
      <c r="I29" s="6"/>
      <c r="J29" s="60">
        <f t="shared" si="1"/>
        <v>0</v>
      </c>
      <c r="K29" s="60">
        <f t="shared" si="4"/>
        <v>0</v>
      </c>
      <c r="L29" s="151"/>
      <c r="M29" s="140">
        <f t="shared" si="3"/>
        <v>228238.61950000003</v>
      </c>
      <c r="N29" s="6"/>
    </row>
    <row r="30" spans="1:14">
      <c r="A30" s="208">
        <v>27</v>
      </c>
      <c r="B30" s="207">
        <v>46322</v>
      </c>
      <c r="C30" s="6"/>
      <c r="D30" s="6"/>
      <c r="E30" s="59"/>
      <c r="F30" s="290"/>
      <c r="G30" s="60">
        <f t="shared" si="0"/>
        <v>0</v>
      </c>
      <c r="H30" s="59"/>
      <c r="I30" s="6"/>
      <c r="J30" s="60">
        <f t="shared" si="1"/>
        <v>0</v>
      </c>
      <c r="K30" s="60">
        <f t="shared" si="4"/>
        <v>0</v>
      </c>
      <c r="L30" s="151"/>
      <c r="M30" s="140">
        <f t="shared" si="3"/>
        <v>228238.61950000003</v>
      </c>
      <c r="N30" s="6"/>
    </row>
    <row r="31" spans="1:14">
      <c r="A31" s="208">
        <v>28</v>
      </c>
      <c r="B31" s="207">
        <v>46323</v>
      </c>
      <c r="C31" s="6"/>
      <c r="D31" s="6"/>
      <c r="E31" s="59"/>
      <c r="F31" s="290"/>
      <c r="G31" s="60">
        <f t="shared" si="0"/>
        <v>0</v>
      </c>
      <c r="H31" s="59"/>
      <c r="I31" s="6"/>
      <c r="J31" s="60">
        <f t="shared" si="1"/>
        <v>0</v>
      </c>
      <c r="K31" s="60">
        <f t="shared" si="4"/>
        <v>0</v>
      </c>
      <c r="L31" s="151"/>
      <c r="M31" s="140">
        <f t="shared" si="3"/>
        <v>228238.61950000003</v>
      </c>
      <c r="N31" s="6"/>
    </row>
    <row r="32" spans="1:14">
      <c r="A32" s="209">
        <v>29</v>
      </c>
      <c r="B32" s="207">
        <v>46324</v>
      </c>
      <c r="C32" s="6"/>
      <c r="D32" s="6"/>
      <c r="E32" s="290"/>
      <c r="F32" s="498"/>
      <c r="G32" s="60">
        <f t="shared" si="0"/>
        <v>0</v>
      </c>
      <c r="H32" s="59"/>
      <c r="I32" s="6"/>
      <c r="J32" s="60">
        <f t="shared" si="1"/>
        <v>0</v>
      </c>
      <c r="K32" s="60">
        <f t="shared" si="4"/>
        <v>0</v>
      </c>
      <c r="L32" s="151"/>
      <c r="M32" s="140">
        <f t="shared" si="3"/>
        <v>228238.61950000003</v>
      </c>
      <c r="N32" s="6"/>
    </row>
    <row r="33" spans="1:17">
      <c r="A33" s="209">
        <v>30</v>
      </c>
      <c r="B33" s="207">
        <v>46325</v>
      </c>
      <c r="C33" s="6"/>
      <c r="D33" s="6"/>
      <c r="E33" s="290"/>
      <c r="F33" s="498"/>
      <c r="G33" s="60">
        <f t="shared" si="0"/>
        <v>0</v>
      </c>
      <c r="H33" s="59"/>
      <c r="I33" s="6"/>
      <c r="J33" s="60">
        <f t="shared" si="1"/>
        <v>0</v>
      </c>
      <c r="K33" s="60">
        <f t="shared" si="4"/>
        <v>0</v>
      </c>
      <c r="L33" s="151"/>
      <c r="M33" s="140">
        <f t="shared" si="3"/>
        <v>228238.61950000003</v>
      </c>
      <c r="N33" s="6"/>
    </row>
    <row r="34" spans="1:17">
      <c r="A34" s="209">
        <v>31</v>
      </c>
      <c r="B34" s="207">
        <v>46326</v>
      </c>
      <c r="C34" s="6"/>
      <c r="D34" s="6"/>
      <c r="E34" s="59"/>
      <c r="F34" s="290"/>
      <c r="G34" s="60">
        <f t="shared" si="0"/>
        <v>0</v>
      </c>
      <c r="H34" s="59"/>
      <c r="I34" s="6"/>
      <c r="J34" s="60">
        <f t="shared" si="1"/>
        <v>0</v>
      </c>
      <c r="K34" s="60">
        <f t="shared" si="4"/>
        <v>0</v>
      </c>
      <c r="L34" s="151"/>
      <c r="M34" s="140">
        <f t="shared" ref="M34:M39" si="5">M33+K34-L34</f>
        <v>228238.61950000003</v>
      </c>
      <c r="N34" s="6"/>
    </row>
    <row r="35" spans="1:17">
      <c r="A35" s="6"/>
      <c r="B35" s="72"/>
      <c r="C35" s="6"/>
      <c r="D35" s="6"/>
      <c r="E35" s="59"/>
      <c r="F35" s="290"/>
      <c r="G35" s="60">
        <f t="shared" si="0"/>
        <v>0</v>
      </c>
      <c r="H35" s="59"/>
      <c r="I35" s="6"/>
      <c r="J35" s="60">
        <f t="shared" si="1"/>
        <v>0</v>
      </c>
      <c r="K35" s="60">
        <f t="shared" si="4"/>
        <v>0</v>
      </c>
      <c r="L35" s="151"/>
      <c r="M35" s="140">
        <f t="shared" si="5"/>
        <v>228238.61950000003</v>
      </c>
      <c r="N35" s="6"/>
    </row>
    <row r="36" spans="1:17">
      <c r="A36" s="6"/>
      <c r="B36" s="72"/>
      <c r="C36" s="6"/>
      <c r="D36" s="6"/>
      <c r="E36" s="59"/>
      <c r="F36" s="290"/>
      <c r="G36" s="60">
        <f t="shared" si="0"/>
        <v>0</v>
      </c>
      <c r="H36" s="59"/>
      <c r="I36" s="6"/>
      <c r="J36" s="60">
        <f t="shared" si="1"/>
        <v>0</v>
      </c>
      <c r="K36" s="60">
        <f t="shared" si="4"/>
        <v>0</v>
      </c>
      <c r="L36" s="151"/>
      <c r="M36" s="140">
        <f t="shared" si="5"/>
        <v>228238.61950000003</v>
      </c>
      <c r="N36" s="6"/>
    </row>
    <row r="37" spans="1:17">
      <c r="A37" s="6"/>
      <c r="B37" s="72"/>
      <c r="C37" s="6"/>
      <c r="D37" s="6"/>
      <c r="E37" s="59"/>
      <c r="F37" s="290"/>
      <c r="G37" s="60">
        <f t="shared" si="0"/>
        <v>0</v>
      </c>
      <c r="H37" s="59"/>
      <c r="I37" s="6"/>
      <c r="J37" s="60">
        <f t="shared" si="1"/>
        <v>0</v>
      </c>
      <c r="K37" s="60">
        <f t="shared" si="4"/>
        <v>0</v>
      </c>
      <c r="L37" s="151"/>
      <c r="M37" s="140">
        <f t="shared" si="5"/>
        <v>228238.61950000003</v>
      </c>
      <c r="N37" s="6"/>
    </row>
    <row r="38" spans="1:17">
      <c r="A38" s="6"/>
      <c r="B38" s="72"/>
      <c r="C38" s="6"/>
      <c r="D38" s="6"/>
      <c r="E38" s="59"/>
      <c r="F38" s="290"/>
      <c r="G38" s="60">
        <f t="shared" si="0"/>
        <v>0</v>
      </c>
      <c r="H38" s="59"/>
      <c r="I38" s="6"/>
      <c r="J38" s="60">
        <f t="shared" si="1"/>
        <v>0</v>
      </c>
      <c r="K38" s="60">
        <f t="shared" si="4"/>
        <v>0</v>
      </c>
      <c r="L38" s="151"/>
      <c r="M38" s="140">
        <f t="shared" si="5"/>
        <v>228238.61950000003</v>
      </c>
      <c r="N38" s="6"/>
    </row>
    <row r="39" spans="1:17">
      <c r="A39" s="158"/>
      <c r="B39" s="159"/>
      <c r="C39" s="158"/>
      <c r="D39" s="6"/>
      <c r="E39" s="59"/>
      <c r="F39" s="290"/>
      <c r="G39" s="60">
        <f t="shared" ref="G5:G40" si="6">E39*F39</f>
        <v>0</v>
      </c>
      <c r="H39" s="59"/>
      <c r="I39" s="6"/>
      <c r="J39" s="60">
        <f t="shared" si="1"/>
        <v>0</v>
      </c>
      <c r="K39" s="60">
        <f t="shared" si="4"/>
        <v>0</v>
      </c>
      <c r="L39" s="151"/>
      <c r="M39" s="140">
        <f>M38+K39-L39</f>
        <v>228238.61950000003</v>
      </c>
      <c r="N39" s="158"/>
    </row>
    <row r="40" spans="1:17">
      <c r="A40" s="6"/>
      <c r="B40" s="6"/>
      <c r="C40" s="6"/>
      <c r="D40" s="6"/>
      <c r="E40" s="59"/>
      <c r="F40" s="290"/>
      <c r="G40" s="60">
        <f t="shared" ref="G40:G42" si="7">E40*F40</f>
        <v>0</v>
      </c>
      <c r="H40" s="59"/>
      <c r="I40" s="6"/>
      <c r="J40" s="60">
        <f t="shared" si="1"/>
        <v>0</v>
      </c>
      <c r="K40" s="60">
        <f t="shared" si="4"/>
        <v>0</v>
      </c>
      <c r="L40" s="151"/>
      <c r="M40" s="140">
        <v>0</v>
      </c>
      <c r="N40" s="6"/>
    </row>
    <row r="41" spans="1:17">
      <c r="A41" s="158"/>
      <c r="B41" s="158"/>
      <c r="C41" s="158"/>
      <c r="D41" s="6"/>
      <c r="E41" s="59"/>
      <c r="F41" s="290"/>
      <c r="G41" s="60">
        <f t="shared" si="7"/>
        <v>0</v>
      </c>
      <c r="H41" s="59"/>
      <c r="I41" s="6"/>
      <c r="J41" s="60">
        <f t="shared" ref="J5:J41" si="8">H41*I41</f>
        <v>0</v>
      </c>
      <c r="K41" s="60">
        <f t="shared" ref="K5:K41" si="9">G41+J41</f>
        <v>0</v>
      </c>
      <c r="L41" s="151"/>
      <c r="M41" s="162">
        <v>0</v>
      </c>
      <c r="N41" s="158"/>
    </row>
    <row r="42" spans="1:17">
      <c r="A42" s="158"/>
      <c r="B42" s="158"/>
      <c r="C42" s="158"/>
      <c r="D42" s="6"/>
      <c r="E42" s="59"/>
      <c r="F42" s="290"/>
      <c r="G42" s="60">
        <f t="shared" si="7"/>
        <v>0</v>
      </c>
      <c r="H42" s="59"/>
      <c r="I42" s="6"/>
      <c r="J42" s="60">
        <f t="shared" ref="J42" si="10">H42*I42</f>
        <v>0</v>
      </c>
      <c r="K42" s="160">
        <f t="shared" ref="K42" si="11">G42+J42</f>
        <v>0</v>
      </c>
      <c r="L42" s="161"/>
      <c r="M42" s="162">
        <v>0</v>
      </c>
      <c r="N42" s="158"/>
    </row>
    <row r="43" spans="1:17">
      <c r="A43" s="56"/>
      <c r="B43" s="56"/>
      <c r="C43" s="56"/>
      <c r="D43" s="56"/>
      <c r="E43" s="57">
        <f>SUM(E4:E42)</f>
        <v>876.51</v>
      </c>
      <c r="F43" s="57"/>
      <c r="G43" s="57">
        <f>SUM(G4:G42)</f>
        <v>87160.154399999999</v>
      </c>
      <c r="H43" s="57">
        <f>SUM(H4:H42)</f>
        <v>50.33</v>
      </c>
      <c r="I43" s="57"/>
      <c r="J43" s="57">
        <f>SUM(J4:J42)</f>
        <v>5671.8550999999998</v>
      </c>
      <c r="K43" s="57">
        <f>SUM(K4:K42)</f>
        <v>92832.0095</v>
      </c>
      <c r="L43" s="57">
        <f>SUM(L4:L42)</f>
        <v>0</v>
      </c>
      <c r="M43" s="57"/>
      <c r="N43" s="57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3" topLeftCell="A4" activePane="bottomLeft" state="frozen"/>
      <selection pane="bottomLeft" activeCell="R32" sqref="R32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623" t="s">
        <v>164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76"/>
    </row>
    <row r="2" spans="1:15" ht="16.5" customHeight="1">
      <c r="A2" s="92" t="s">
        <v>0</v>
      </c>
      <c r="B2" s="93" t="s">
        <v>167</v>
      </c>
      <c r="C2" s="93" t="s">
        <v>168</v>
      </c>
      <c r="D2" s="93" t="s">
        <v>189</v>
      </c>
      <c r="E2" s="93" t="s">
        <v>170</v>
      </c>
      <c r="F2" s="93" t="s">
        <v>171</v>
      </c>
      <c r="G2" s="93" t="s">
        <v>172</v>
      </c>
      <c r="H2" s="93" t="s">
        <v>173</v>
      </c>
      <c r="I2" s="93" t="s">
        <v>171</v>
      </c>
      <c r="J2" s="130" t="s">
        <v>172</v>
      </c>
      <c r="K2" s="94" t="s">
        <v>174</v>
      </c>
      <c r="L2" s="131" t="s">
        <v>175</v>
      </c>
      <c r="M2" s="134" t="s">
        <v>190</v>
      </c>
      <c r="N2" s="95" t="s">
        <v>177</v>
      </c>
      <c r="O2" s="53"/>
    </row>
    <row r="3" spans="1:15" ht="16.5" customHeight="1">
      <c r="A3" s="620" t="s">
        <v>178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2"/>
      <c r="M3" s="139">
        <v>0</v>
      </c>
      <c r="N3" s="145"/>
      <c r="O3" s="53"/>
    </row>
    <row r="4" spans="1:15">
      <c r="A4" s="184">
        <v>1</v>
      </c>
      <c r="B4" s="207">
        <v>46296</v>
      </c>
      <c r="C4" s="61"/>
      <c r="D4" s="148"/>
      <c r="E4" s="59"/>
      <c r="F4" s="59"/>
      <c r="G4" s="8">
        <f>E4*F4</f>
        <v>0</v>
      </c>
      <c r="H4" s="59"/>
      <c r="I4" s="60"/>
      <c r="J4" s="8">
        <f>H4*I4</f>
        <v>0</v>
      </c>
      <c r="K4" s="8">
        <f>G4+J4</f>
        <v>0</v>
      </c>
      <c r="L4" s="62">
        <f>+K4</f>
        <v>0</v>
      </c>
      <c r="M4" s="62">
        <v>0</v>
      </c>
      <c r="N4" s="8"/>
    </row>
    <row r="5" spans="1:15">
      <c r="A5" s="40">
        <v>2</v>
      </c>
      <c r="B5" s="207">
        <v>46297</v>
      </c>
      <c r="C5" s="61"/>
      <c r="D5" s="148"/>
      <c r="E5" s="59"/>
      <c r="F5" s="59"/>
      <c r="G5" s="8">
        <f t="shared" ref="G5:G34" si="0">E5*F5</f>
        <v>0</v>
      </c>
      <c r="H5" s="59"/>
      <c r="I5" s="60"/>
      <c r="J5" s="8">
        <f t="shared" ref="J5:J8" si="1">H5*I5</f>
        <v>0</v>
      </c>
      <c r="K5" s="8">
        <f t="shared" ref="K5:K33" si="2">G5+J5</f>
        <v>0</v>
      </c>
      <c r="L5" s="62">
        <f t="shared" ref="L5:L33" si="3">+K5</f>
        <v>0</v>
      </c>
      <c r="M5" s="62">
        <v>0</v>
      </c>
      <c r="N5" s="8"/>
    </row>
    <row r="6" spans="1:15">
      <c r="A6" s="40">
        <v>3</v>
      </c>
      <c r="B6" s="207">
        <v>46298</v>
      </c>
      <c r="C6" s="61"/>
      <c r="D6" s="148"/>
      <c r="E6" s="59"/>
      <c r="F6" s="59"/>
      <c r="G6" s="8">
        <f t="shared" si="0"/>
        <v>0</v>
      </c>
      <c r="H6" s="59"/>
      <c r="I6" s="60"/>
      <c r="J6" s="8">
        <f t="shared" si="1"/>
        <v>0</v>
      </c>
      <c r="K6" s="8">
        <f t="shared" si="2"/>
        <v>0</v>
      </c>
      <c r="L6" s="62">
        <f t="shared" si="3"/>
        <v>0</v>
      </c>
      <c r="M6" s="62">
        <v>0</v>
      </c>
      <c r="N6" s="8"/>
    </row>
    <row r="7" spans="1:15">
      <c r="A7" s="40">
        <v>4</v>
      </c>
      <c r="B7" s="207">
        <v>46299</v>
      </c>
      <c r="C7" s="61"/>
      <c r="D7" s="148"/>
      <c r="E7" s="59"/>
      <c r="F7" s="59"/>
      <c r="G7" s="8">
        <f t="shared" si="0"/>
        <v>0</v>
      </c>
      <c r="H7" s="59"/>
      <c r="I7" s="60"/>
      <c r="J7" s="8">
        <f t="shared" ref="J7" si="4">H7*I7</f>
        <v>0</v>
      </c>
      <c r="K7" s="8">
        <f t="shared" si="2"/>
        <v>0</v>
      </c>
      <c r="L7" s="62">
        <f t="shared" si="3"/>
        <v>0</v>
      </c>
      <c r="M7" s="62">
        <v>0</v>
      </c>
      <c r="N7" s="8"/>
    </row>
    <row r="8" spans="1:15">
      <c r="A8" s="40">
        <v>5</v>
      </c>
      <c r="B8" s="207">
        <v>46300</v>
      </c>
      <c r="C8" s="61"/>
      <c r="D8" s="148"/>
      <c r="E8" s="59"/>
      <c r="F8" s="59"/>
      <c r="G8" s="8">
        <f t="shared" ref="G8:G33" si="5">E8*F8</f>
        <v>0</v>
      </c>
      <c r="H8" s="59"/>
      <c r="I8" s="60"/>
      <c r="J8" s="8">
        <f t="shared" ref="J8:J33" si="6">H8*I8</f>
        <v>0</v>
      </c>
      <c r="K8" s="8">
        <f t="shared" ref="K8:K33" si="7">G8+J8</f>
        <v>0</v>
      </c>
      <c r="L8" s="62">
        <f t="shared" si="3"/>
        <v>0</v>
      </c>
      <c r="M8" s="62">
        <v>0</v>
      </c>
      <c r="N8" s="8"/>
      <c r="O8" s="63"/>
    </row>
    <row r="9" spans="1:15">
      <c r="A9" s="40">
        <v>6</v>
      </c>
      <c r="B9" s="207">
        <v>46301</v>
      </c>
      <c r="C9" s="61"/>
      <c r="D9" s="148"/>
      <c r="E9" s="59"/>
      <c r="F9" s="59"/>
      <c r="G9" s="8">
        <f t="shared" si="5"/>
        <v>0</v>
      </c>
      <c r="H9" s="59"/>
      <c r="I9" s="60"/>
      <c r="J9" s="8">
        <f t="shared" si="6"/>
        <v>0</v>
      </c>
      <c r="K9" s="8">
        <f t="shared" si="7"/>
        <v>0</v>
      </c>
      <c r="L9" s="62">
        <f t="shared" si="3"/>
        <v>0</v>
      </c>
      <c r="M9" s="62">
        <v>0</v>
      </c>
      <c r="N9" s="8"/>
      <c r="O9" s="63"/>
    </row>
    <row r="10" spans="1:15">
      <c r="A10" s="40">
        <v>7</v>
      </c>
      <c r="B10" s="207">
        <v>46302</v>
      </c>
      <c r="C10" s="61"/>
      <c r="D10" s="148"/>
      <c r="E10" s="59"/>
      <c r="F10" s="59"/>
      <c r="G10" s="443">
        <f t="shared" si="5"/>
        <v>0</v>
      </c>
      <c r="H10" s="60"/>
      <c r="I10" s="8"/>
      <c r="J10" s="8">
        <f t="shared" si="6"/>
        <v>0</v>
      </c>
      <c r="K10" s="443">
        <f t="shared" si="7"/>
        <v>0</v>
      </c>
      <c r="L10" s="444">
        <f t="shared" si="3"/>
        <v>0</v>
      </c>
      <c r="M10" s="62">
        <v>0</v>
      </c>
      <c r="N10" s="8"/>
      <c r="O10" s="63"/>
    </row>
    <row r="11" spans="1:15">
      <c r="A11" s="40">
        <v>8</v>
      </c>
      <c r="B11" s="207">
        <v>46303</v>
      </c>
      <c r="C11" s="61"/>
      <c r="D11" s="148"/>
      <c r="E11" s="59"/>
      <c r="F11" s="59"/>
      <c r="G11" s="8">
        <f t="shared" si="5"/>
        <v>0</v>
      </c>
      <c r="H11" s="59"/>
      <c r="I11" s="60"/>
      <c r="J11" s="8">
        <f t="shared" si="6"/>
        <v>0</v>
      </c>
      <c r="K11" s="8">
        <f t="shared" si="7"/>
        <v>0</v>
      </c>
      <c r="L11" s="62">
        <f t="shared" si="3"/>
        <v>0</v>
      </c>
      <c r="M11" s="62">
        <v>0</v>
      </c>
      <c r="N11" s="8"/>
      <c r="O11" s="63"/>
    </row>
    <row r="12" spans="1:15">
      <c r="A12" s="40">
        <v>9</v>
      </c>
      <c r="B12" s="207">
        <v>46304</v>
      </c>
      <c r="C12" s="61"/>
      <c r="D12" s="148"/>
      <c r="E12" s="59"/>
      <c r="F12" s="59"/>
      <c r="G12" s="8">
        <f>E12*F12</f>
        <v>0</v>
      </c>
      <c r="H12" s="59"/>
      <c r="I12" s="60"/>
      <c r="J12" s="8">
        <f t="shared" si="6"/>
        <v>0</v>
      </c>
      <c r="K12" s="8">
        <f t="shared" si="7"/>
        <v>0</v>
      </c>
      <c r="L12" s="62">
        <f t="shared" si="3"/>
        <v>0</v>
      </c>
      <c r="M12" s="62">
        <v>0</v>
      </c>
      <c r="N12" s="8"/>
      <c r="O12" s="63"/>
    </row>
    <row r="13" spans="1:15">
      <c r="A13" s="40">
        <v>10</v>
      </c>
      <c r="B13" s="207">
        <v>46305</v>
      </c>
      <c r="C13" s="61"/>
      <c r="D13" s="148"/>
      <c r="E13" s="59"/>
      <c r="F13" s="59"/>
      <c r="G13" s="8">
        <f>E13*F13</f>
        <v>0</v>
      </c>
      <c r="H13" s="59"/>
      <c r="I13" s="60"/>
      <c r="J13" s="8">
        <f t="shared" si="6"/>
        <v>0</v>
      </c>
      <c r="K13" s="8">
        <f t="shared" si="7"/>
        <v>0</v>
      </c>
      <c r="L13" s="62">
        <f t="shared" si="3"/>
        <v>0</v>
      </c>
      <c r="M13" s="62">
        <v>0</v>
      </c>
      <c r="N13" s="8"/>
      <c r="O13" s="63"/>
    </row>
    <row r="14" spans="1:15">
      <c r="A14" s="40">
        <v>11</v>
      </c>
      <c r="B14" s="207">
        <v>46306</v>
      </c>
      <c r="C14" s="61"/>
      <c r="D14" s="148"/>
      <c r="E14" s="59"/>
      <c r="F14" s="59"/>
      <c r="G14" s="8">
        <f t="shared" si="5"/>
        <v>0</v>
      </c>
      <c r="H14" s="59"/>
      <c r="I14" s="60"/>
      <c r="J14" s="8">
        <f t="shared" si="6"/>
        <v>0</v>
      </c>
      <c r="K14" s="8">
        <f t="shared" si="7"/>
        <v>0</v>
      </c>
      <c r="L14" s="62">
        <f t="shared" si="3"/>
        <v>0</v>
      </c>
      <c r="M14" s="62">
        <v>0</v>
      </c>
      <c r="N14" s="8"/>
      <c r="O14" s="63"/>
    </row>
    <row r="15" spans="1:15">
      <c r="A15" s="40">
        <v>12</v>
      </c>
      <c r="B15" s="207">
        <v>46307</v>
      </c>
      <c r="C15" s="61"/>
      <c r="D15" s="148"/>
      <c r="E15" s="59"/>
      <c r="F15" s="59"/>
      <c r="G15" s="8">
        <f t="shared" si="5"/>
        <v>0</v>
      </c>
      <c r="H15" s="59"/>
      <c r="I15" s="60"/>
      <c r="J15" s="8">
        <f t="shared" si="6"/>
        <v>0</v>
      </c>
      <c r="K15" s="8">
        <f t="shared" si="7"/>
        <v>0</v>
      </c>
      <c r="L15" s="62">
        <f t="shared" si="3"/>
        <v>0</v>
      </c>
      <c r="M15" s="62">
        <v>0</v>
      </c>
      <c r="N15" s="8"/>
      <c r="O15" s="63"/>
    </row>
    <row r="16" spans="1:15">
      <c r="A16" s="40">
        <v>13</v>
      </c>
      <c r="B16" s="207">
        <v>46308</v>
      </c>
      <c r="C16" s="61"/>
      <c r="D16" s="148"/>
      <c r="E16" s="59"/>
      <c r="F16" s="59"/>
      <c r="G16" s="8">
        <f t="shared" si="5"/>
        <v>0</v>
      </c>
      <c r="H16" s="59"/>
      <c r="I16" s="60"/>
      <c r="J16" s="8">
        <f t="shared" si="6"/>
        <v>0</v>
      </c>
      <c r="K16" s="8">
        <f t="shared" si="7"/>
        <v>0</v>
      </c>
      <c r="L16" s="62">
        <f t="shared" si="3"/>
        <v>0</v>
      </c>
      <c r="M16" s="62">
        <v>0</v>
      </c>
      <c r="N16" s="8"/>
      <c r="O16" s="63"/>
    </row>
    <row r="17" spans="1:15">
      <c r="A17" s="40">
        <v>14</v>
      </c>
      <c r="B17" s="207">
        <v>46309</v>
      </c>
      <c r="C17" s="61"/>
      <c r="D17" s="148"/>
      <c r="E17" s="59"/>
      <c r="F17" s="59"/>
      <c r="G17" s="8"/>
      <c r="H17" s="59"/>
      <c r="I17" s="60"/>
      <c r="J17" s="8">
        <f t="shared" si="6"/>
        <v>0</v>
      </c>
      <c r="K17" s="8">
        <f t="shared" si="7"/>
        <v>0</v>
      </c>
      <c r="L17" s="62">
        <f t="shared" si="3"/>
        <v>0</v>
      </c>
      <c r="M17" s="62">
        <v>0</v>
      </c>
      <c r="N17" s="8"/>
      <c r="O17" s="63"/>
    </row>
    <row r="18" spans="1:15">
      <c r="A18" s="40">
        <v>15</v>
      </c>
      <c r="B18" s="207">
        <v>46310</v>
      </c>
      <c r="C18" s="61"/>
      <c r="D18" s="148"/>
      <c r="E18" s="59"/>
      <c r="F18" s="59"/>
      <c r="G18" s="8">
        <f t="shared" si="5"/>
        <v>0</v>
      </c>
      <c r="H18" s="59"/>
      <c r="I18" s="60"/>
      <c r="J18" s="8">
        <f t="shared" si="6"/>
        <v>0</v>
      </c>
      <c r="K18" s="8">
        <f t="shared" si="7"/>
        <v>0</v>
      </c>
      <c r="L18" s="62">
        <f t="shared" si="3"/>
        <v>0</v>
      </c>
      <c r="M18" s="62"/>
      <c r="N18" s="8"/>
      <c r="O18" s="63"/>
    </row>
    <row r="19" spans="1:15">
      <c r="A19" s="40">
        <v>16</v>
      </c>
      <c r="B19" s="207">
        <v>46311</v>
      </c>
      <c r="C19" s="61"/>
      <c r="D19" s="148"/>
      <c r="E19" s="59"/>
      <c r="F19" s="59"/>
      <c r="G19" s="8">
        <f t="shared" si="5"/>
        <v>0</v>
      </c>
      <c r="H19" s="59"/>
      <c r="I19" s="60"/>
      <c r="J19" s="8">
        <f t="shared" si="6"/>
        <v>0</v>
      </c>
      <c r="K19" s="8">
        <f t="shared" si="7"/>
        <v>0</v>
      </c>
      <c r="L19" s="62">
        <f>+K19</f>
        <v>0</v>
      </c>
      <c r="M19" s="62">
        <v>0</v>
      </c>
      <c r="N19" s="8"/>
      <c r="O19" s="63"/>
    </row>
    <row r="20" spans="1:15">
      <c r="A20" s="40">
        <v>17</v>
      </c>
      <c r="B20" s="207">
        <v>46312</v>
      </c>
      <c r="C20" s="61"/>
      <c r="D20" s="148"/>
      <c r="E20" s="59"/>
      <c r="F20" s="59"/>
      <c r="G20" s="8">
        <f t="shared" si="5"/>
        <v>0</v>
      </c>
      <c r="H20" s="59"/>
      <c r="I20" s="60"/>
      <c r="J20" s="8">
        <f t="shared" si="6"/>
        <v>0</v>
      </c>
      <c r="K20" s="8">
        <f t="shared" si="7"/>
        <v>0</v>
      </c>
      <c r="L20" s="62">
        <f t="shared" si="3"/>
        <v>0</v>
      </c>
      <c r="M20" s="62">
        <v>0</v>
      </c>
      <c r="N20" s="8"/>
      <c r="O20" s="63"/>
    </row>
    <row r="21" spans="1:15">
      <c r="A21" s="40">
        <v>18</v>
      </c>
      <c r="B21" s="207">
        <v>46313</v>
      </c>
      <c r="C21" s="61"/>
      <c r="D21" s="148"/>
      <c r="E21" s="59"/>
      <c r="F21" s="59"/>
      <c r="G21" s="8">
        <f t="shared" si="5"/>
        <v>0</v>
      </c>
      <c r="H21" s="59"/>
      <c r="I21" s="60"/>
      <c r="J21" s="8">
        <f t="shared" si="6"/>
        <v>0</v>
      </c>
      <c r="K21" s="8">
        <f t="shared" si="7"/>
        <v>0</v>
      </c>
      <c r="L21" s="62">
        <f t="shared" si="3"/>
        <v>0</v>
      </c>
      <c r="M21" s="62">
        <v>0</v>
      </c>
      <c r="N21" s="8"/>
      <c r="O21" s="63"/>
    </row>
    <row r="22" spans="1:15">
      <c r="A22" s="40">
        <v>19</v>
      </c>
      <c r="B22" s="207">
        <v>46314</v>
      </c>
      <c r="C22" s="61"/>
      <c r="D22" s="148"/>
      <c r="E22" s="59"/>
      <c r="F22" s="59"/>
      <c r="G22" s="8">
        <f t="shared" si="5"/>
        <v>0</v>
      </c>
      <c r="H22" s="59"/>
      <c r="I22" s="60"/>
      <c r="J22" s="8">
        <f t="shared" si="6"/>
        <v>0</v>
      </c>
      <c r="K22" s="8">
        <f t="shared" si="7"/>
        <v>0</v>
      </c>
      <c r="L22" s="62">
        <f t="shared" si="3"/>
        <v>0</v>
      </c>
      <c r="M22" s="62">
        <v>0</v>
      </c>
      <c r="N22" s="8"/>
      <c r="O22" s="63"/>
    </row>
    <row r="23" spans="1:15">
      <c r="A23" s="40">
        <v>20</v>
      </c>
      <c r="B23" s="207">
        <v>46315</v>
      </c>
      <c r="C23" s="61"/>
      <c r="D23" s="148"/>
      <c r="E23" s="59"/>
      <c r="F23" s="59"/>
      <c r="G23" s="8">
        <f t="shared" si="5"/>
        <v>0</v>
      </c>
      <c r="H23" s="59"/>
      <c r="I23" s="60"/>
      <c r="J23" s="8">
        <f t="shared" si="6"/>
        <v>0</v>
      </c>
      <c r="K23" s="8">
        <f t="shared" si="7"/>
        <v>0</v>
      </c>
      <c r="L23" s="62">
        <f t="shared" si="3"/>
        <v>0</v>
      </c>
      <c r="M23" s="62">
        <v>0</v>
      </c>
      <c r="N23" s="8"/>
      <c r="O23" s="63"/>
    </row>
    <row r="24" spans="1:15">
      <c r="A24" s="40">
        <v>21</v>
      </c>
      <c r="B24" s="207">
        <v>46316</v>
      </c>
      <c r="C24" s="61"/>
      <c r="D24" s="148"/>
      <c r="E24" s="59"/>
      <c r="F24" s="59"/>
      <c r="G24" s="8">
        <f t="shared" si="5"/>
        <v>0</v>
      </c>
      <c r="H24" s="59"/>
      <c r="I24" s="60"/>
      <c r="J24" s="8">
        <f t="shared" si="6"/>
        <v>0</v>
      </c>
      <c r="K24" s="8">
        <f t="shared" si="7"/>
        <v>0</v>
      </c>
      <c r="L24" s="62">
        <f t="shared" si="3"/>
        <v>0</v>
      </c>
      <c r="M24" s="62">
        <v>0</v>
      </c>
      <c r="N24" s="8"/>
      <c r="O24" s="63"/>
    </row>
    <row r="25" spans="1:15">
      <c r="A25" s="40">
        <v>22</v>
      </c>
      <c r="B25" s="207">
        <v>46317</v>
      </c>
      <c r="C25" s="61"/>
      <c r="D25" s="148"/>
      <c r="E25" s="59"/>
      <c r="F25" s="59"/>
      <c r="G25" s="8">
        <f t="shared" si="5"/>
        <v>0</v>
      </c>
      <c r="H25" s="59"/>
      <c r="I25" s="60"/>
      <c r="J25" s="8">
        <f t="shared" si="6"/>
        <v>0</v>
      </c>
      <c r="K25" s="8">
        <f t="shared" si="7"/>
        <v>0</v>
      </c>
      <c r="L25" s="62">
        <f t="shared" si="3"/>
        <v>0</v>
      </c>
      <c r="M25" s="62">
        <v>0</v>
      </c>
      <c r="N25" s="8"/>
      <c r="O25" s="63"/>
    </row>
    <row r="26" spans="1:15">
      <c r="A26" s="40">
        <v>23</v>
      </c>
      <c r="B26" s="207">
        <v>46318</v>
      </c>
      <c r="C26" s="61"/>
      <c r="D26" s="148"/>
      <c r="E26" s="59"/>
      <c r="F26" s="59"/>
      <c r="G26" s="8">
        <f t="shared" si="5"/>
        <v>0</v>
      </c>
      <c r="H26" s="59"/>
      <c r="I26" s="60"/>
      <c r="J26" s="8">
        <f t="shared" si="6"/>
        <v>0</v>
      </c>
      <c r="K26" s="8">
        <f t="shared" si="7"/>
        <v>0</v>
      </c>
      <c r="L26" s="62">
        <f t="shared" si="3"/>
        <v>0</v>
      </c>
      <c r="M26" s="62">
        <v>0</v>
      </c>
      <c r="N26" s="8"/>
      <c r="O26" s="63"/>
    </row>
    <row r="27" spans="1:15">
      <c r="A27" s="40">
        <v>24</v>
      </c>
      <c r="B27" s="207">
        <v>46319</v>
      </c>
      <c r="C27" s="61"/>
      <c r="D27" s="148"/>
      <c r="E27" s="59"/>
      <c r="F27" s="59"/>
      <c r="G27" s="8">
        <f t="shared" si="5"/>
        <v>0</v>
      </c>
      <c r="H27" s="59"/>
      <c r="I27" s="60"/>
      <c r="J27" s="8">
        <f t="shared" si="6"/>
        <v>0</v>
      </c>
      <c r="K27" s="8">
        <f t="shared" si="7"/>
        <v>0</v>
      </c>
      <c r="L27" s="62">
        <f t="shared" si="3"/>
        <v>0</v>
      </c>
      <c r="M27" s="62">
        <v>0</v>
      </c>
      <c r="N27" s="8"/>
      <c r="O27" s="63"/>
    </row>
    <row r="28" spans="1:15">
      <c r="A28" s="208">
        <v>25</v>
      </c>
      <c r="B28" s="207">
        <v>46320</v>
      </c>
      <c r="C28" s="61"/>
      <c r="D28" s="148"/>
      <c r="E28" s="59"/>
      <c r="F28" s="59"/>
      <c r="G28" s="8">
        <f t="shared" si="5"/>
        <v>0</v>
      </c>
      <c r="H28" s="59"/>
      <c r="I28" s="60"/>
      <c r="J28" s="8">
        <f t="shared" si="6"/>
        <v>0</v>
      </c>
      <c r="K28" s="8">
        <f t="shared" si="7"/>
        <v>0</v>
      </c>
      <c r="L28" s="62">
        <f t="shared" si="3"/>
        <v>0</v>
      </c>
      <c r="M28" s="62">
        <v>0</v>
      </c>
      <c r="N28" s="8"/>
      <c r="O28" s="63"/>
    </row>
    <row r="29" spans="1:15">
      <c r="A29" s="208">
        <v>26</v>
      </c>
      <c r="B29" s="207">
        <v>46321</v>
      </c>
      <c r="C29" s="61"/>
      <c r="D29" s="148"/>
      <c r="E29" s="59"/>
      <c r="F29" s="59"/>
      <c r="G29" s="8">
        <f t="shared" si="5"/>
        <v>0</v>
      </c>
      <c r="H29" s="59"/>
      <c r="I29" s="60"/>
      <c r="J29" s="8">
        <f t="shared" si="6"/>
        <v>0</v>
      </c>
      <c r="K29" s="8">
        <f t="shared" si="7"/>
        <v>0</v>
      </c>
      <c r="L29" s="62">
        <f t="shared" si="3"/>
        <v>0</v>
      </c>
      <c r="M29" s="62">
        <v>0</v>
      </c>
      <c r="N29" s="8"/>
      <c r="O29" s="63"/>
    </row>
    <row r="30" spans="1:15">
      <c r="A30" s="208">
        <v>27</v>
      </c>
      <c r="B30" s="207">
        <v>46322</v>
      </c>
      <c r="C30" s="61"/>
      <c r="D30" s="148"/>
      <c r="E30" s="59"/>
      <c r="F30" s="59"/>
      <c r="G30" s="8">
        <f t="shared" si="5"/>
        <v>0</v>
      </c>
      <c r="H30" s="59"/>
      <c r="I30" s="60"/>
      <c r="J30" s="8">
        <f t="shared" si="6"/>
        <v>0</v>
      </c>
      <c r="K30" s="8">
        <f t="shared" si="7"/>
        <v>0</v>
      </c>
      <c r="L30" s="62">
        <f t="shared" si="3"/>
        <v>0</v>
      </c>
      <c r="M30" s="62">
        <v>0</v>
      </c>
      <c r="N30" s="8"/>
      <c r="O30" s="63"/>
    </row>
    <row r="31" spans="1:15">
      <c r="A31" s="208">
        <v>28</v>
      </c>
      <c r="B31" s="207">
        <v>46323</v>
      </c>
      <c r="C31" s="61"/>
      <c r="D31" s="148"/>
      <c r="E31" s="59"/>
      <c r="F31" s="59"/>
      <c r="G31" s="8">
        <f t="shared" si="5"/>
        <v>0</v>
      </c>
      <c r="H31" s="59"/>
      <c r="I31" s="60"/>
      <c r="J31" s="8">
        <f t="shared" si="6"/>
        <v>0</v>
      </c>
      <c r="K31" s="8">
        <f t="shared" si="7"/>
        <v>0</v>
      </c>
      <c r="L31" s="62">
        <f t="shared" si="3"/>
        <v>0</v>
      </c>
      <c r="M31" s="62">
        <v>0</v>
      </c>
      <c r="N31" s="8"/>
      <c r="O31" s="63"/>
    </row>
    <row r="32" spans="1:15">
      <c r="A32" s="209">
        <v>29</v>
      </c>
      <c r="B32" s="207">
        <v>46324</v>
      </c>
      <c r="C32" s="61"/>
      <c r="D32" s="148"/>
      <c r="E32" s="59"/>
      <c r="F32" s="59"/>
      <c r="G32" s="8">
        <f t="shared" si="5"/>
        <v>0</v>
      </c>
      <c r="H32" s="59"/>
      <c r="I32" s="60"/>
      <c r="J32" s="8">
        <f t="shared" si="6"/>
        <v>0</v>
      </c>
      <c r="K32" s="8">
        <f t="shared" si="7"/>
        <v>0</v>
      </c>
      <c r="L32" s="62">
        <f t="shared" si="3"/>
        <v>0</v>
      </c>
      <c r="M32" s="62">
        <v>0</v>
      </c>
      <c r="N32" s="8"/>
      <c r="O32" s="63"/>
    </row>
    <row r="33" spans="1:15">
      <c r="A33" s="209">
        <v>30</v>
      </c>
      <c r="B33" s="207">
        <v>46325</v>
      </c>
      <c r="C33" s="61"/>
      <c r="D33" s="148"/>
      <c r="E33" s="59"/>
      <c r="F33" s="59"/>
      <c r="G33" s="8">
        <f t="shared" si="5"/>
        <v>0</v>
      </c>
      <c r="H33" s="59"/>
      <c r="I33" s="60"/>
      <c r="J33" s="8">
        <f t="shared" si="6"/>
        <v>0</v>
      </c>
      <c r="K33" s="8">
        <f t="shared" si="7"/>
        <v>0</v>
      </c>
      <c r="L33" s="62">
        <f t="shared" si="3"/>
        <v>0</v>
      </c>
      <c r="M33" s="62">
        <v>0</v>
      </c>
      <c r="N33" s="8"/>
      <c r="O33" s="63"/>
    </row>
    <row r="34" spans="1:15">
      <c r="A34" s="209">
        <v>31</v>
      </c>
      <c r="B34" s="207">
        <v>46326</v>
      </c>
      <c r="C34" s="61"/>
      <c r="D34" s="148"/>
      <c r="E34" s="59"/>
      <c r="F34" s="59"/>
      <c r="G34" s="8">
        <f t="shared" si="0"/>
        <v>0</v>
      </c>
      <c r="H34" s="59"/>
      <c r="I34" s="60"/>
      <c r="J34" s="8">
        <f t="shared" ref="J9:J34" si="8">H34*I34</f>
        <v>0</v>
      </c>
      <c r="K34" s="8">
        <f t="shared" ref="K34" si="9">G34+J34</f>
        <v>0</v>
      </c>
      <c r="L34" s="62">
        <f t="shared" ref="L34" si="10">+K34</f>
        <v>0</v>
      </c>
      <c r="M34" s="62">
        <v>0</v>
      </c>
      <c r="N34" s="8"/>
      <c r="O34" s="63"/>
    </row>
    <row r="35" spans="1:15">
      <c r="A35" s="56"/>
      <c r="B35" s="56"/>
      <c r="C35" s="56"/>
      <c r="D35" s="56"/>
      <c r="E35" s="57">
        <f>SUM(E4:E34)</f>
        <v>0</v>
      </c>
      <c r="F35" s="57"/>
      <c r="G35" s="57">
        <f>SUM(G4:G34)</f>
        <v>0</v>
      </c>
      <c r="H35" s="57">
        <f>SUM(H4:H34)</f>
        <v>0</v>
      </c>
      <c r="I35" s="57"/>
      <c r="J35" s="57">
        <f>SUM(J4:J34)</f>
        <v>0</v>
      </c>
      <c r="K35" s="57">
        <f>SUM(K4:K34)</f>
        <v>0</v>
      </c>
      <c r="L35" s="57">
        <f>SUM(L4:L34)</f>
        <v>0</v>
      </c>
      <c r="M35" s="57"/>
      <c r="N35" s="57"/>
      <c r="O35" s="53"/>
    </row>
    <row r="36" spans="1:15">
      <c r="A36" s="66"/>
      <c r="B36" s="67"/>
      <c r="C36" s="66"/>
      <c r="D36" s="66"/>
      <c r="E36" s="68"/>
      <c r="F36" s="68"/>
      <c r="G36" s="68"/>
      <c r="H36" s="68"/>
      <c r="I36" s="68"/>
      <c r="J36" s="69"/>
      <c r="K36" s="69"/>
      <c r="L36" s="69"/>
      <c r="M36" s="69"/>
      <c r="N36" s="68"/>
      <c r="O36" s="63"/>
    </row>
    <row r="37" spans="1:15">
      <c r="O37" s="63"/>
    </row>
    <row r="38" spans="1:15"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A42" s="63"/>
      <c r="B42" s="53"/>
      <c r="C42" s="63"/>
      <c r="D42" s="63"/>
      <c r="E42" s="63"/>
      <c r="F42" s="63"/>
      <c r="G42" s="70"/>
      <c r="H42" s="63"/>
      <c r="I42" s="63"/>
      <c r="J42" s="53"/>
      <c r="K42" s="53"/>
      <c r="L42" s="53"/>
      <c r="M42" s="53"/>
      <c r="N42" s="63"/>
      <c r="O42" s="68"/>
    </row>
    <row r="43" spans="1:15">
      <c r="A43" s="63"/>
      <c r="B43" s="624"/>
      <c r="C43" s="624"/>
      <c r="D43" s="624"/>
      <c r="E43" s="624"/>
      <c r="F43" s="63"/>
      <c r="G43" s="63"/>
      <c r="H43" s="63"/>
      <c r="I43" s="624"/>
      <c r="J43" s="624"/>
      <c r="K43" s="624"/>
      <c r="L43" s="624"/>
      <c r="M43" s="624"/>
      <c r="N43" s="624"/>
      <c r="O43" s="68"/>
    </row>
    <row r="44" spans="1:15">
      <c r="A44" s="63"/>
      <c r="B44" s="53"/>
      <c r="C44" s="63"/>
      <c r="D44" s="63"/>
      <c r="E44" s="63"/>
      <c r="F44" s="63"/>
      <c r="G44" s="63"/>
      <c r="H44" s="63"/>
      <c r="I44" s="63"/>
      <c r="J44" s="53"/>
      <c r="K44" s="53"/>
      <c r="L44" s="53"/>
      <c r="M44" s="53"/>
      <c r="N44" s="63"/>
      <c r="O44" s="68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06"/>
  <sheetViews>
    <sheetView workbookViewId="0">
      <pane ySplit="3" topLeftCell="C25" activePane="bottomLeft" state="frozen"/>
      <selection pane="bottomLeft" activeCell="N93" sqref="N93:P103"/>
    </sheetView>
  </sheetViews>
  <sheetFormatPr defaultRowHeight="15"/>
  <cols>
    <col min="1" max="1" width="21.28515625" customWidth="1"/>
    <col min="2" max="2" width="18.7109375" customWidth="1"/>
    <col min="3" max="3" width="63.5703125" bestFit="1" customWidth="1"/>
    <col min="4" max="4" width="15.5703125" customWidth="1"/>
    <col min="5" max="5" width="12.28515625" style="174" customWidth="1"/>
    <col min="6" max="6" width="12.85546875" style="174" customWidth="1"/>
    <col min="7" max="7" width="12.5703125" style="174" bestFit="1" customWidth="1"/>
    <col min="8" max="8" width="12.5703125" style="174" customWidth="1"/>
    <col min="9" max="10" width="9.140625" style="174"/>
    <col min="11" max="11" width="18.7109375" style="174" customWidth="1"/>
    <col min="12" max="12" width="24.140625" style="174" customWidth="1"/>
    <col min="13" max="13" width="16.5703125" style="174" customWidth="1"/>
    <col min="14" max="14" width="19.85546875" style="174" customWidth="1"/>
    <col min="15" max="15" width="13.42578125" style="174" customWidth="1"/>
    <col min="16" max="16" width="11.42578125" style="174" bestFit="1" customWidth="1"/>
    <col min="17" max="21" width="9.140625" style="174"/>
  </cols>
  <sheetData>
    <row r="1" spans="1:15" ht="15.75">
      <c r="A1" s="232" t="s">
        <v>227</v>
      </c>
      <c r="B1" s="232"/>
      <c r="C1" s="232"/>
      <c r="D1" s="232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</row>
    <row r="2" spans="1:15" ht="26.25" customHeight="1">
      <c r="A2" s="58" t="s">
        <v>0</v>
      </c>
      <c r="B2" s="77" t="s">
        <v>167</v>
      </c>
      <c r="C2" s="77" t="s">
        <v>228</v>
      </c>
      <c r="D2" s="77" t="s">
        <v>229</v>
      </c>
      <c r="E2" s="264" t="s">
        <v>170</v>
      </c>
      <c r="F2" s="264" t="s">
        <v>171</v>
      </c>
      <c r="G2" s="265" t="s">
        <v>172</v>
      </c>
      <c r="H2" s="264" t="s">
        <v>173</v>
      </c>
      <c r="I2" s="264" t="s">
        <v>171</v>
      </c>
      <c r="J2" s="265" t="s">
        <v>172</v>
      </c>
      <c r="K2" s="266" t="s">
        <v>174</v>
      </c>
      <c r="L2" s="267" t="s">
        <v>230</v>
      </c>
      <c r="M2" s="268" t="s">
        <v>190</v>
      </c>
      <c r="N2" s="264" t="s">
        <v>177</v>
      </c>
      <c r="O2" s="264" t="s">
        <v>231</v>
      </c>
    </row>
    <row r="3" spans="1:15" ht="15.75">
      <c r="A3" s="233" t="s">
        <v>178</v>
      </c>
      <c r="B3" s="233"/>
      <c r="C3" s="233"/>
      <c r="D3" s="233"/>
      <c r="E3" s="269"/>
      <c r="F3" s="269"/>
      <c r="G3" s="269"/>
      <c r="H3" s="269"/>
      <c r="I3" s="269"/>
      <c r="J3" s="269"/>
      <c r="K3" s="285">
        <v>0</v>
      </c>
      <c r="L3" s="285"/>
      <c r="M3" s="285"/>
      <c r="N3" s="285"/>
      <c r="O3" s="359"/>
    </row>
    <row r="4" spans="1:15">
      <c r="A4" s="358">
        <v>1</v>
      </c>
      <c r="B4" s="210"/>
      <c r="C4" s="351"/>
      <c r="D4" s="351"/>
      <c r="E4" s="270"/>
      <c r="F4" s="270"/>
      <c r="G4" s="270">
        <f>E4*F4</f>
        <v>0</v>
      </c>
      <c r="H4" s="98"/>
      <c r="I4" s="98"/>
      <c r="J4" s="270">
        <f>H4*I4</f>
        <v>0</v>
      </c>
      <c r="K4" s="270">
        <f>G4+J4</f>
        <v>0</v>
      </c>
      <c r="L4" s="271"/>
      <c r="M4" s="271">
        <f>K3+L4-K4</f>
        <v>0</v>
      </c>
      <c r="N4" s="271"/>
      <c r="O4" s="271"/>
    </row>
    <row r="5" spans="1:15">
      <c r="A5" s="14">
        <v>2</v>
      </c>
      <c r="B5" s="210"/>
      <c r="C5" s="351"/>
      <c r="D5" s="351"/>
      <c r="E5" s="98"/>
      <c r="F5" s="98"/>
      <c r="G5" s="270">
        <f>E5*F5</f>
        <v>0</v>
      </c>
      <c r="H5" s="98"/>
      <c r="I5" s="98"/>
      <c r="J5" s="270">
        <f t="shared" ref="J5:J73" si="0">H5*I5</f>
        <v>0</v>
      </c>
      <c r="K5" s="270">
        <f>G5+J5</f>
        <v>0</v>
      </c>
      <c r="L5" s="271"/>
      <c r="M5" s="270">
        <f>M4+L5-K5</f>
        <v>0</v>
      </c>
      <c r="N5" s="270"/>
      <c r="O5" s="270"/>
    </row>
    <row r="6" spans="1:15">
      <c r="A6" s="14">
        <v>3</v>
      </c>
      <c r="B6" s="210"/>
      <c r="C6" s="369"/>
      <c r="D6" s="369"/>
      <c r="E6" s="173"/>
      <c r="F6" s="173"/>
      <c r="G6" s="270">
        <f>E6*F6</f>
        <v>0</v>
      </c>
      <c r="H6" s="98"/>
      <c r="I6" s="98"/>
      <c r="J6" s="270">
        <f t="shared" si="0"/>
        <v>0</v>
      </c>
      <c r="K6" s="270">
        <f>G6+J6</f>
        <v>0</v>
      </c>
      <c r="L6" s="271"/>
      <c r="M6" s="270">
        <f>M5+L6-K6</f>
        <v>0</v>
      </c>
      <c r="N6" s="270"/>
      <c r="O6" s="270"/>
    </row>
    <row r="7" spans="1:15">
      <c r="A7" s="358">
        <v>4</v>
      </c>
      <c r="B7" s="210"/>
      <c r="C7" s="369"/>
      <c r="D7" s="369"/>
      <c r="E7" s="173"/>
      <c r="F7" s="173"/>
      <c r="G7" s="270">
        <f>E7*F7</f>
        <v>0</v>
      </c>
      <c r="H7" s="270"/>
      <c r="I7" s="98"/>
      <c r="J7" s="270">
        <f t="shared" si="0"/>
        <v>0</v>
      </c>
      <c r="K7" s="270">
        <f>G7+J7</f>
        <v>0</v>
      </c>
      <c r="L7" s="271"/>
      <c r="M7" s="270">
        <f>M6+L7-K7</f>
        <v>0</v>
      </c>
      <c r="N7" s="270"/>
      <c r="O7" s="270"/>
    </row>
    <row r="8" spans="1:15">
      <c r="A8" s="14">
        <v>5</v>
      </c>
      <c r="B8" s="210"/>
      <c r="C8" s="369"/>
      <c r="D8" s="369"/>
      <c r="E8" s="173"/>
      <c r="F8" s="173"/>
      <c r="G8" s="270">
        <f>E8*F8</f>
        <v>0</v>
      </c>
      <c r="H8" s="270"/>
      <c r="I8" s="98"/>
      <c r="J8" s="270">
        <f t="shared" si="0"/>
        <v>0</v>
      </c>
      <c r="K8" s="270">
        <f>G8+J8</f>
        <v>0</v>
      </c>
      <c r="L8" s="271"/>
      <c r="M8" s="270">
        <f>M7+L8-K8</f>
        <v>0</v>
      </c>
      <c r="N8" s="270"/>
      <c r="O8" s="270"/>
    </row>
    <row r="9" spans="1:15">
      <c r="A9" s="14">
        <v>6</v>
      </c>
      <c r="B9" s="210"/>
      <c r="C9" s="369"/>
      <c r="D9" s="369"/>
      <c r="E9" s="270"/>
      <c r="F9" s="270"/>
      <c r="G9" s="270">
        <f>E9*F9</f>
        <v>0</v>
      </c>
      <c r="H9" s="270"/>
      <c r="I9" s="98"/>
      <c r="J9" s="270">
        <f t="shared" si="0"/>
        <v>0</v>
      </c>
      <c r="K9" s="270">
        <f>G9+J9</f>
        <v>0</v>
      </c>
      <c r="L9" s="271"/>
      <c r="M9" s="270">
        <f>M8+L9-K9</f>
        <v>0</v>
      </c>
      <c r="N9" s="270"/>
      <c r="O9" s="270"/>
    </row>
    <row r="10" spans="1:15">
      <c r="A10" s="358">
        <v>7</v>
      </c>
      <c r="B10" s="210"/>
      <c r="C10" s="369"/>
      <c r="D10" s="369"/>
      <c r="E10" s="270"/>
      <c r="F10" s="270"/>
      <c r="G10" s="270">
        <f>E10*F10</f>
        <v>0</v>
      </c>
      <c r="H10" s="98"/>
      <c r="I10" s="98"/>
      <c r="J10" s="270">
        <f t="shared" si="0"/>
        <v>0</v>
      </c>
      <c r="K10" s="270">
        <f>G10+J10</f>
        <v>0</v>
      </c>
      <c r="L10" s="271"/>
      <c r="M10" s="270">
        <f>M9+L10-K10</f>
        <v>0</v>
      </c>
      <c r="N10" s="270"/>
      <c r="O10" s="270"/>
    </row>
    <row r="11" spans="1:15">
      <c r="A11" s="14">
        <v>8</v>
      </c>
      <c r="B11" s="210"/>
      <c r="C11" s="369"/>
      <c r="D11" s="369"/>
      <c r="E11" s="270"/>
      <c r="F11" s="270"/>
      <c r="G11" s="270">
        <f>E11*F11</f>
        <v>0</v>
      </c>
      <c r="H11" s="98"/>
      <c r="I11" s="98"/>
      <c r="J11" s="270">
        <f t="shared" si="0"/>
        <v>0</v>
      </c>
      <c r="K11" s="270">
        <f>G11+J11</f>
        <v>0</v>
      </c>
      <c r="L11" s="271"/>
      <c r="M11" s="270">
        <f>M10+L11-K11</f>
        <v>0</v>
      </c>
      <c r="N11" s="270"/>
      <c r="O11" s="270"/>
    </row>
    <row r="12" spans="1:15">
      <c r="A12" s="14">
        <v>9</v>
      </c>
      <c r="B12" s="210"/>
      <c r="C12" s="369"/>
      <c r="D12" s="369"/>
      <c r="E12" s="270"/>
      <c r="F12" s="270"/>
      <c r="G12" s="270">
        <f>E12*F12</f>
        <v>0</v>
      </c>
      <c r="H12" s="98"/>
      <c r="I12" s="98"/>
      <c r="J12" s="270">
        <f t="shared" si="0"/>
        <v>0</v>
      </c>
      <c r="K12" s="270">
        <f>G12+J12</f>
        <v>0</v>
      </c>
      <c r="L12" s="271"/>
      <c r="M12" s="270">
        <f>M11+L12-K12</f>
        <v>0</v>
      </c>
      <c r="N12" s="270"/>
      <c r="O12" s="270"/>
    </row>
    <row r="13" spans="1:15">
      <c r="A13" s="358">
        <v>10</v>
      </c>
      <c r="B13" s="210"/>
      <c r="C13" s="369"/>
      <c r="D13" s="369"/>
      <c r="E13" s="98"/>
      <c r="F13" s="98"/>
      <c r="G13" s="270">
        <f>E13*F13</f>
        <v>0</v>
      </c>
      <c r="H13" s="98"/>
      <c r="I13" s="98"/>
      <c r="J13" s="270">
        <f t="shared" si="0"/>
        <v>0</v>
      </c>
      <c r="K13" s="270">
        <f>G13+J13</f>
        <v>0</v>
      </c>
      <c r="L13" s="271"/>
      <c r="M13" s="270">
        <f>M12+L13-K13</f>
        <v>0</v>
      </c>
      <c r="N13" s="270"/>
      <c r="O13" s="270"/>
    </row>
    <row r="14" spans="1:15">
      <c r="A14" s="14">
        <v>11</v>
      </c>
      <c r="B14" s="210"/>
      <c r="C14" s="369"/>
      <c r="D14" s="369"/>
      <c r="E14"/>
      <c r="F14" s="98"/>
      <c r="G14" s="270">
        <f>E14*F14</f>
        <v>0</v>
      </c>
      <c r="H14" s="98"/>
      <c r="I14" s="98"/>
      <c r="J14" s="270">
        <f t="shared" si="0"/>
        <v>0</v>
      </c>
      <c r="K14" s="270">
        <f>G14+J14</f>
        <v>0</v>
      </c>
      <c r="L14" s="271"/>
      <c r="M14" s="270">
        <f>M13+L14-K14</f>
        <v>0</v>
      </c>
      <c r="N14" s="270"/>
      <c r="O14" s="270"/>
    </row>
    <row r="15" spans="1:15">
      <c r="A15" s="14">
        <v>12</v>
      </c>
      <c r="B15" s="210"/>
      <c r="C15" s="369"/>
      <c r="D15" s="369"/>
      <c r="E15" s="270"/>
      <c r="F15" s="270"/>
      <c r="G15" s="270">
        <f>E15*F15</f>
        <v>0</v>
      </c>
      <c r="H15" s="98"/>
      <c r="I15" s="98"/>
      <c r="J15" s="270">
        <f t="shared" si="0"/>
        <v>0</v>
      </c>
      <c r="K15" s="270">
        <f>G15+J15</f>
        <v>0</v>
      </c>
      <c r="L15" s="271"/>
      <c r="M15" s="270">
        <f>M14+L15-K15</f>
        <v>0</v>
      </c>
      <c r="N15" s="270"/>
      <c r="O15" s="270"/>
    </row>
    <row r="16" spans="1:15">
      <c r="A16" s="358">
        <v>13</v>
      </c>
      <c r="B16" s="210"/>
      <c r="C16" s="369"/>
      <c r="D16" s="369"/>
      <c r="E16" s="270"/>
      <c r="F16" s="270"/>
      <c r="G16" s="270">
        <f>E16*F16</f>
        <v>0</v>
      </c>
      <c r="H16" s="98"/>
      <c r="I16" s="98"/>
      <c r="J16" s="270">
        <f t="shared" si="0"/>
        <v>0</v>
      </c>
      <c r="K16" s="270">
        <f>G16+J16</f>
        <v>0</v>
      </c>
      <c r="L16" s="271"/>
      <c r="M16" s="270">
        <f>M15+L16-K16</f>
        <v>0</v>
      </c>
      <c r="N16" s="270"/>
      <c r="O16" s="270"/>
    </row>
    <row r="17" spans="1:15">
      <c r="A17" s="14">
        <v>14</v>
      </c>
      <c r="B17" s="210"/>
      <c r="C17" s="369"/>
      <c r="D17" s="369"/>
      <c r="E17" s="270"/>
      <c r="F17" s="270"/>
      <c r="G17" s="270">
        <f>E17*F17</f>
        <v>0</v>
      </c>
      <c r="H17" s="98"/>
      <c r="I17" s="98"/>
      <c r="J17" s="270">
        <f t="shared" si="0"/>
        <v>0</v>
      </c>
      <c r="K17" s="270">
        <f>G17+J17</f>
        <v>0</v>
      </c>
      <c r="L17" s="271"/>
      <c r="M17" s="270">
        <f>M16+L17-K17</f>
        <v>0</v>
      </c>
      <c r="N17" s="270"/>
      <c r="O17" s="270"/>
    </row>
    <row r="18" spans="1:15">
      <c r="A18" s="14">
        <v>15</v>
      </c>
      <c r="B18" s="210"/>
      <c r="C18" s="369"/>
      <c r="D18" s="369"/>
      <c r="E18" s="270"/>
      <c r="F18" s="270"/>
      <c r="G18" s="270">
        <f>E18*F18</f>
        <v>0</v>
      </c>
      <c r="H18" s="98"/>
      <c r="I18" s="98"/>
      <c r="J18" s="270">
        <f t="shared" si="0"/>
        <v>0</v>
      </c>
      <c r="K18" s="270">
        <f>G18+J18</f>
        <v>0</v>
      </c>
      <c r="L18" s="271"/>
      <c r="M18" s="270">
        <f>M17+L18-K18</f>
        <v>0</v>
      </c>
      <c r="N18" s="270"/>
      <c r="O18" s="270"/>
    </row>
    <row r="19" spans="1:15">
      <c r="A19" s="358">
        <v>16</v>
      </c>
      <c r="B19" s="210"/>
      <c r="C19" s="369"/>
      <c r="D19" s="369"/>
      <c r="E19" s="270"/>
      <c r="F19" s="270"/>
      <c r="G19" s="270">
        <f>E19*F19</f>
        <v>0</v>
      </c>
      <c r="H19" s="98"/>
      <c r="I19" s="98"/>
      <c r="J19" s="270">
        <f t="shared" si="0"/>
        <v>0</v>
      </c>
      <c r="K19" s="270">
        <f>G19+J19</f>
        <v>0</v>
      </c>
      <c r="L19" s="271"/>
      <c r="M19" s="270">
        <f>M18+L19-K19</f>
        <v>0</v>
      </c>
      <c r="N19" s="270"/>
      <c r="O19" s="270"/>
    </row>
    <row r="20" spans="1:15">
      <c r="A20" s="14">
        <v>17</v>
      </c>
      <c r="B20" s="210"/>
      <c r="C20" s="369"/>
      <c r="D20" s="369"/>
      <c r="E20" s="270"/>
      <c r="F20" s="270"/>
      <c r="G20" s="270">
        <f>E20*F20</f>
        <v>0</v>
      </c>
      <c r="H20" s="98"/>
      <c r="I20" s="98"/>
      <c r="J20" s="270">
        <f t="shared" si="0"/>
        <v>0</v>
      </c>
      <c r="K20" s="270">
        <f>G20+J20</f>
        <v>0</v>
      </c>
      <c r="L20" s="271"/>
      <c r="M20" s="270">
        <f>M19+L20-K20</f>
        <v>0</v>
      </c>
      <c r="N20" s="270"/>
      <c r="O20" s="270"/>
    </row>
    <row r="21" spans="1:15">
      <c r="A21" s="14">
        <v>18</v>
      </c>
      <c r="B21" s="210"/>
      <c r="C21" s="369"/>
      <c r="D21" s="369"/>
      <c r="E21" s="270"/>
      <c r="F21" s="270"/>
      <c r="G21" s="270">
        <f>E21*F21</f>
        <v>0</v>
      </c>
      <c r="H21" s="98"/>
      <c r="I21" s="98"/>
      <c r="J21" s="270">
        <f t="shared" si="0"/>
        <v>0</v>
      </c>
      <c r="K21" s="270">
        <f>G21+J21</f>
        <v>0</v>
      </c>
      <c r="L21" s="271"/>
      <c r="M21" s="270">
        <f>M20+L21-K21</f>
        <v>0</v>
      </c>
      <c r="N21" s="270"/>
      <c r="O21" s="270"/>
    </row>
    <row r="22" spans="1:15">
      <c r="A22" s="358">
        <v>19</v>
      </c>
      <c r="B22" s="210"/>
      <c r="C22" s="369"/>
      <c r="D22" s="369"/>
      <c r="E22" s="270"/>
      <c r="F22" s="270"/>
      <c r="G22" s="270">
        <f>E22*F22</f>
        <v>0</v>
      </c>
      <c r="H22" s="98"/>
      <c r="I22" s="98"/>
      <c r="J22" s="270">
        <f t="shared" si="0"/>
        <v>0</v>
      </c>
      <c r="K22" s="270">
        <f>G22+J22</f>
        <v>0</v>
      </c>
      <c r="L22" s="271"/>
      <c r="M22" s="270">
        <f>M21+L22-K22</f>
        <v>0</v>
      </c>
      <c r="N22" s="270"/>
      <c r="O22" s="270"/>
    </row>
    <row r="23" spans="1:15">
      <c r="A23" s="14">
        <v>20</v>
      </c>
      <c r="B23" s="210"/>
      <c r="C23" s="369"/>
      <c r="D23" s="369"/>
      <c r="E23" s="270"/>
      <c r="F23" s="270"/>
      <c r="G23" s="270">
        <f>E23*F23</f>
        <v>0</v>
      </c>
      <c r="H23" s="98"/>
      <c r="I23" s="98"/>
      <c r="J23" s="270">
        <f t="shared" si="0"/>
        <v>0</v>
      </c>
      <c r="K23" s="270">
        <f>G23+J23</f>
        <v>0</v>
      </c>
      <c r="L23" s="271"/>
      <c r="M23" s="270">
        <f>M22+L23-K23</f>
        <v>0</v>
      </c>
      <c r="N23" s="270"/>
      <c r="O23" s="270"/>
    </row>
    <row r="24" spans="1:15">
      <c r="A24" s="14">
        <v>21</v>
      </c>
      <c r="B24" s="210"/>
      <c r="C24" s="369"/>
      <c r="D24" s="369"/>
      <c r="E24" s="270"/>
      <c r="F24" s="270"/>
      <c r="G24" s="270">
        <f>E24*F24</f>
        <v>0</v>
      </c>
      <c r="H24" s="98"/>
      <c r="I24" s="98"/>
      <c r="J24" s="270">
        <f t="shared" si="0"/>
        <v>0</v>
      </c>
      <c r="K24" s="270">
        <f>G24+J24</f>
        <v>0</v>
      </c>
      <c r="L24" s="271"/>
      <c r="M24" s="270">
        <f>M23+L24-K24</f>
        <v>0</v>
      </c>
      <c r="N24" s="270"/>
      <c r="O24" s="270"/>
    </row>
    <row r="25" spans="1:15">
      <c r="A25" s="358">
        <v>22</v>
      </c>
      <c r="B25" s="210"/>
      <c r="C25" s="369"/>
      <c r="D25" s="369"/>
      <c r="E25" s="98"/>
      <c r="F25" s="270"/>
      <c r="G25" s="270">
        <f>E25*F25</f>
        <v>0</v>
      </c>
      <c r="H25" s="98"/>
      <c r="I25" s="98"/>
      <c r="J25" s="270">
        <f t="shared" si="0"/>
        <v>0</v>
      </c>
      <c r="K25" s="270">
        <f>G25+J25</f>
        <v>0</v>
      </c>
      <c r="L25" s="271"/>
      <c r="M25" s="270">
        <f>M24+L25-K25</f>
        <v>0</v>
      </c>
      <c r="N25" s="270"/>
      <c r="O25" s="270"/>
    </row>
    <row r="26" spans="1:15">
      <c r="A26" s="14">
        <v>23</v>
      </c>
      <c r="B26" s="210"/>
      <c r="C26" s="369"/>
      <c r="D26" s="369"/>
      <c r="E26" s="270"/>
      <c r="F26" s="270"/>
      <c r="G26" s="270">
        <f>E26*F26</f>
        <v>0</v>
      </c>
      <c r="H26" s="98"/>
      <c r="I26" s="98"/>
      <c r="J26" s="270">
        <f t="shared" si="0"/>
        <v>0</v>
      </c>
      <c r="K26" s="270">
        <f>G26+J26</f>
        <v>0</v>
      </c>
      <c r="L26" s="271"/>
      <c r="M26" s="270">
        <f>M25+L26-K26</f>
        <v>0</v>
      </c>
      <c r="N26" s="270"/>
      <c r="O26" s="270"/>
    </row>
    <row r="27" spans="1:15">
      <c r="A27" s="14">
        <v>24</v>
      </c>
      <c r="B27" s="210"/>
      <c r="C27" s="369"/>
      <c r="D27" s="369"/>
      <c r="E27" s="270"/>
      <c r="F27" s="270"/>
      <c r="G27" s="270">
        <f>E27*F27</f>
        <v>0</v>
      </c>
      <c r="H27" s="98"/>
      <c r="I27" s="98"/>
      <c r="J27" s="270">
        <f t="shared" si="0"/>
        <v>0</v>
      </c>
      <c r="K27" s="270">
        <f>G27+J27</f>
        <v>0</v>
      </c>
      <c r="L27" s="271"/>
      <c r="M27" s="270">
        <f>M26+L27-K27</f>
        <v>0</v>
      </c>
      <c r="N27" s="270"/>
      <c r="O27" s="270"/>
    </row>
    <row r="28" spans="1:15">
      <c r="A28" s="358">
        <v>25</v>
      </c>
      <c r="B28" s="210"/>
      <c r="C28" s="369"/>
      <c r="D28" s="369"/>
      <c r="E28" s="270"/>
      <c r="F28" s="270"/>
      <c r="G28" s="270">
        <f>E28*F28</f>
        <v>0</v>
      </c>
      <c r="H28" s="98"/>
      <c r="I28" s="98"/>
      <c r="J28" s="270">
        <f t="shared" si="0"/>
        <v>0</v>
      </c>
      <c r="K28" s="270">
        <f>G28+J28</f>
        <v>0</v>
      </c>
      <c r="L28" s="271"/>
      <c r="M28" s="270">
        <f>M27+L28-K28</f>
        <v>0</v>
      </c>
      <c r="N28" s="270"/>
      <c r="O28" s="270"/>
    </row>
    <row r="29" spans="1:15" ht="14.25" customHeight="1">
      <c r="A29" s="14">
        <v>26</v>
      </c>
      <c r="B29" s="210"/>
      <c r="C29" s="369"/>
      <c r="D29" s="369"/>
      <c r="E29" s="270"/>
      <c r="F29" s="270"/>
      <c r="G29" s="270">
        <f>E29*F29</f>
        <v>0</v>
      </c>
      <c r="H29" s="98"/>
      <c r="I29" s="98"/>
      <c r="J29" s="270">
        <f t="shared" si="0"/>
        <v>0</v>
      </c>
      <c r="K29" s="270">
        <f>G29+J29</f>
        <v>0</v>
      </c>
      <c r="L29" s="271"/>
      <c r="M29" s="270">
        <f>M28+L29-K29</f>
        <v>0</v>
      </c>
      <c r="N29" s="270"/>
      <c r="O29" s="270"/>
    </row>
    <row r="30" spans="1:15">
      <c r="A30" s="14">
        <v>27</v>
      </c>
      <c r="B30" s="210"/>
      <c r="C30" s="369"/>
      <c r="D30" s="369"/>
      <c r="E30" s="270"/>
      <c r="F30" s="270"/>
      <c r="G30" s="270">
        <f>E30*F30</f>
        <v>0</v>
      </c>
      <c r="H30" s="98"/>
      <c r="I30" s="98"/>
      <c r="J30" s="270">
        <f t="shared" si="0"/>
        <v>0</v>
      </c>
      <c r="K30" s="270">
        <f>G30+J30</f>
        <v>0</v>
      </c>
      <c r="L30" s="271"/>
      <c r="M30" s="270">
        <f>M29+L30-K30</f>
        <v>0</v>
      </c>
      <c r="N30" s="270"/>
      <c r="O30" s="270"/>
    </row>
    <row r="31" spans="1:15">
      <c r="A31" s="358">
        <v>28</v>
      </c>
      <c r="B31" s="210"/>
      <c r="C31" s="369"/>
      <c r="D31" s="369"/>
      <c r="E31" s="270"/>
      <c r="F31" s="270"/>
      <c r="G31" s="270">
        <f>E31*F31</f>
        <v>0</v>
      </c>
      <c r="H31" s="98"/>
      <c r="I31" s="98"/>
      <c r="J31" s="270">
        <f t="shared" si="0"/>
        <v>0</v>
      </c>
      <c r="K31" s="270">
        <f>G31+J31</f>
        <v>0</v>
      </c>
      <c r="L31" s="271"/>
      <c r="M31" s="270">
        <f>M30+L31-K31</f>
        <v>0</v>
      </c>
      <c r="N31" s="270"/>
      <c r="O31" s="270"/>
    </row>
    <row r="32" spans="1:15">
      <c r="A32" s="14">
        <v>29</v>
      </c>
      <c r="B32" s="210"/>
      <c r="C32" s="369"/>
      <c r="D32" s="369"/>
      <c r="E32" s="98"/>
      <c r="F32" s="98"/>
      <c r="G32" s="270">
        <f>E32*F32</f>
        <v>0</v>
      </c>
      <c r="H32" s="98"/>
      <c r="I32" s="98"/>
      <c r="J32" s="270">
        <f t="shared" si="0"/>
        <v>0</v>
      </c>
      <c r="K32" s="270">
        <f>G32+J32</f>
        <v>0</v>
      </c>
      <c r="L32" s="271"/>
      <c r="M32" s="270">
        <f>M31+L32-K32</f>
        <v>0</v>
      </c>
      <c r="N32" s="270"/>
      <c r="O32" s="270"/>
    </row>
    <row r="33" spans="1:16">
      <c r="A33" s="14">
        <v>30</v>
      </c>
      <c r="B33" s="210"/>
      <c r="C33" s="369"/>
      <c r="D33" s="369"/>
      <c r="E33" s="98"/>
      <c r="F33" s="98"/>
      <c r="G33" s="270">
        <f>E33*F33</f>
        <v>0</v>
      </c>
      <c r="H33" s="98"/>
      <c r="I33" s="98"/>
      <c r="J33" s="270">
        <f t="shared" si="0"/>
        <v>0</v>
      </c>
      <c r="K33" s="270">
        <f>G33+J33</f>
        <v>0</v>
      </c>
      <c r="L33" s="271"/>
      <c r="M33" s="270">
        <f>M32+L33-K33</f>
        <v>0</v>
      </c>
      <c r="N33" s="270"/>
      <c r="O33" s="270"/>
    </row>
    <row r="34" spans="1:16">
      <c r="A34" s="358">
        <v>31</v>
      </c>
      <c r="B34" s="210"/>
      <c r="C34" s="369"/>
      <c r="D34" s="369"/>
      <c r="E34" s="98"/>
      <c r="F34" s="98"/>
      <c r="G34" s="270">
        <f>E34*F34</f>
        <v>0</v>
      </c>
      <c r="H34" s="98"/>
      <c r="I34" s="98"/>
      <c r="J34" s="270">
        <f t="shared" si="0"/>
        <v>0</v>
      </c>
      <c r="K34" s="270">
        <f>G34+J34</f>
        <v>0</v>
      </c>
      <c r="L34" s="271"/>
      <c r="M34" s="270">
        <f>M33+L34-K34</f>
        <v>0</v>
      </c>
      <c r="N34" s="270"/>
      <c r="O34" s="270"/>
    </row>
    <row r="35" spans="1:16">
      <c r="A35" s="14">
        <v>32</v>
      </c>
      <c r="B35" s="210"/>
      <c r="C35" s="369"/>
      <c r="D35" s="369"/>
      <c r="E35" s="98"/>
      <c r="F35" s="98"/>
      <c r="G35" s="270">
        <f>E35*F35</f>
        <v>0</v>
      </c>
      <c r="H35" s="98"/>
      <c r="I35" s="98"/>
      <c r="J35" s="270">
        <f t="shared" si="0"/>
        <v>0</v>
      </c>
      <c r="K35" s="270">
        <f>G35+J35</f>
        <v>0</v>
      </c>
      <c r="L35" s="271"/>
      <c r="M35" s="270">
        <f>M34+L35-K35</f>
        <v>0</v>
      </c>
      <c r="N35" s="270"/>
      <c r="O35" s="270"/>
    </row>
    <row r="36" spans="1:16">
      <c r="A36" s="14">
        <v>33</v>
      </c>
      <c r="B36" s="210"/>
      <c r="C36" s="369"/>
      <c r="D36" s="369"/>
      <c r="E36" s="270"/>
      <c r="F36" s="270"/>
      <c r="G36" s="270">
        <f>E36*F36</f>
        <v>0</v>
      </c>
      <c r="H36" s="98"/>
      <c r="I36" s="98"/>
      <c r="J36" s="270">
        <f t="shared" si="0"/>
        <v>0</v>
      </c>
      <c r="K36" s="270">
        <f>G36+J36</f>
        <v>0</v>
      </c>
      <c r="L36" s="271"/>
      <c r="M36" s="270">
        <f>M35+L36-K36</f>
        <v>0</v>
      </c>
      <c r="N36" s="270"/>
      <c r="O36" s="270"/>
    </row>
    <row r="37" spans="1:16">
      <c r="A37" s="358">
        <v>34</v>
      </c>
      <c r="B37" s="210"/>
      <c r="C37" s="369"/>
      <c r="D37" s="369"/>
      <c r="E37" s="270"/>
      <c r="F37" s="270"/>
      <c r="G37" s="270">
        <f>E37*F37</f>
        <v>0</v>
      </c>
      <c r="H37" s="98"/>
      <c r="I37" s="98"/>
      <c r="J37" s="270">
        <f t="shared" si="0"/>
        <v>0</v>
      </c>
      <c r="K37" s="270">
        <f>G37+J37</f>
        <v>0</v>
      </c>
      <c r="L37" s="271"/>
      <c r="M37" s="270">
        <f>M36+L37-K37</f>
        <v>0</v>
      </c>
      <c r="N37" s="270"/>
      <c r="O37" s="270"/>
    </row>
    <row r="38" spans="1:16">
      <c r="A38" s="14">
        <v>35</v>
      </c>
      <c r="B38" s="210"/>
      <c r="C38" s="369"/>
      <c r="D38" s="369"/>
      <c r="E38" s="98"/>
      <c r="F38" s="98"/>
      <c r="G38" s="270">
        <f>E38*F38</f>
        <v>0</v>
      </c>
      <c r="H38" s="98"/>
      <c r="I38" s="98"/>
      <c r="J38" s="270">
        <f t="shared" si="0"/>
        <v>0</v>
      </c>
      <c r="K38" s="270">
        <f>G38+J38</f>
        <v>0</v>
      </c>
      <c r="L38" s="271"/>
      <c r="M38" s="270">
        <f>M37+L38-K38</f>
        <v>0</v>
      </c>
      <c r="N38" s="270"/>
      <c r="O38" s="270"/>
    </row>
    <row r="39" spans="1:16">
      <c r="A39" s="14">
        <v>36</v>
      </c>
      <c r="B39" s="210"/>
      <c r="C39" s="369"/>
      <c r="D39" s="369"/>
      <c r="E39" s="98"/>
      <c r="F39" s="98"/>
      <c r="G39" s="270">
        <f>E39*F39</f>
        <v>0</v>
      </c>
      <c r="H39" s="98"/>
      <c r="I39" s="98"/>
      <c r="J39" s="270">
        <f t="shared" si="0"/>
        <v>0</v>
      </c>
      <c r="K39" s="270">
        <f>G39+J39</f>
        <v>0</v>
      </c>
      <c r="L39" s="271"/>
      <c r="M39" s="270">
        <f>M38+L39-K39</f>
        <v>0</v>
      </c>
      <c r="N39" s="270"/>
      <c r="O39" s="270"/>
    </row>
    <row r="40" spans="1:16">
      <c r="A40" s="358">
        <v>37</v>
      </c>
      <c r="B40" s="210"/>
      <c r="C40" s="369"/>
      <c r="D40" s="369"/>
      <c r="E40" s="98"/>
      <c r="F40" s="98"/>
      <c r="G40" s="270">
        <f>E40*F40</f>
        <v>0</v>
      </c>
      <c r="H40" s="98"/>
      <c r="I40" s="98"/>
      <c r="J40" s="270">
        <f t="shared" si="0"/>
        <v>0</v>
      </c>
      <c r="K40" s="270">
        <f>G40+J40</f>
        <v>0</v>
      </c>
      <c r="L40" s="271"/>
      <c r="M40" s="270">
        <f>M39+L40-K40</f>
        <v>0</v>
      </c>
      <c r="N40" s="270"/>
      <c r="O40" s="270"/>
    </row>
    <row r="41" spans="1:16">
      <c r="A41" s="14">
        <v>38</v>
      </c>
      <c r="B41" s="210"/>
      <c r="C41" s="369"/>
      <c r="D41" s="369"/>
      <c r="E41" s="98"/>
      <c r="F41" s="98"/>
      <c r="G41" s="270">
        <f>E41*F41</f>
        <v>0</v>
      </c>
      <c r="H41" s="98"/>
      <c r="I41" s="98"/>
      <c r="J41" s="270">
        <f t="shared" si="0"/>
        <v>0</v>
      </c>
      <c r="K41" s="270">
        <f>G41+J41</f>
        <v>0</v>
      </c>
      <c r="L41" s="271"/>
      <c r="M41" s="270">
        <f>M40+L41-K41</f>
        <v>0</v>
      </c>
      <c r="N41" s="270"/>
      <c r="O41" s="270"/>
    </row>
    <row r="42" spans="1:16">
      <c r="A42" s="14">
        <v>39</v>
      </c>
      <c r="B42" s="210"/>
      <c r="C42" s="351"/>
      <c r="D42" s="351"/>
      <c r="E42" s="270"/>
      <c r="F42" s="270"/>
      <c r="G42" s="270">
        <f>E42*F42</f>
        <v>0</v>
      </c>
      <c r="H42" s="98"/>
      <c r="I42" s="98"/>
      <c r="J42" s="270">
        <f t="shared" si="0"/>
        <v>0</v>
      </c>
      <c r="K42" s="270">
        <f>G42+J42</f>
        <v>0</v>
      </c>
      <c r="L42" s="271"/>
      <c r="M42" s="270">
        <f>M41+L42-K42</f>
        <v>0</v>
      </c>
      <c r="N42" s="270"/>
      <c r="O42" s="270"/>
    </row>
    <row r="43" spans="1:16">
      <c r="A43" s="358">
        <v>40</v>
      </c>
      <c r="B43" s="378"/>
      <c r="C43" s="351"/>
      <c r="D43" s="351"/>
      <c r="E43" s="270"/>
      <c r="F43" s="270"/>
      <c r="G43" s="270">
        <f>E43*F43</f>
        <v>0</v>
      </c>
      <c r="H43" s="98"/>
      <c r="I43" s="98"/>
      <c r="J43" s="270">
        <f t="shared" si="0"/>
        <v>0</v>
      </c>
      <c r="K43" s="270">
        <f>G43+J43</f>
        <v>0</v>
      </c>
      <c r="L43" s="271"/>
      <c r="M43" s="270">
        <f>M42+L43-K43</f>
        <v>0</v>
      </c>
      <c r="N43" s="270"/>
      <c r="O43" s="270"/>
    </row>
    <row r="44" spans="1:16">
      <c r="A44" s="91">
        <v>41</v>
      </c>
      <c r="B44" s="210"/>
      <c r="C44" s="351"/>
      <c r="D44" s="351"/>
      <c r="E44" s="373"/>
      <c r="F44" s="371"/>
      <c r="G44" s="270">
        <f>E44*F44</f>
        <v>0</v>
      </c>
      <c r="H44" s="98"/>
      <c r="I44" s="98"/>
      <c r="J44" s="270">
        <f t="shared" si="0"/>
        <v>0</v>
      </c>
      <c r="K44" s="270">
        <f>G44+J44</f>
        <v>0</v>
      </c>
      <c r="L44" s="271"/>
      <c r="M44" s="270">
        <f>M43+L44-K44</f>
        <v>0</v>
      </c>
      <c r="N44" s="270"/>
      <c r="O44" s="270"/>
      <c r="P44" s="350"/>
    </row>
    <row r="45" spans="1:16">
      <c r="A45" s="91">
        <v>42</v>
      </c>
      <c r="B45" s="210"/>
      <c r="C45" s="351"/>
      <c r="D45" s="351"/>
      <c r="E45" s="374"/>
      <c r="F45" s="98"/>
      <c r="G45" s="270">
        <f>E45*F45</f>
        <v>0</v>
      </c>
      <c r="H45" s="98"/>
      <c r="I45" s="98"/>
      <c r="J45" s="270">
        <f t="shared" si="0"/>
        <v>0</v>
      </c>
      <c r="K45" s="270">
        <f>G45+J45</f>
        <v>0</v>
      </c>
      <c r="L45" s="271"/>
      <c r="M45" s="270">
        <f>M44+L45-K45</f>
        <v>0</v>
      </c>
      <c r="N45" s="270"/>
      <c r="O45" s="270"/>
    </row>
    <row r="46" spans="1:16">
      <c r="A46" s="283">
        <v>43</v>
      </c>
      <c r="B46" s="210"/>
      <c r="C46" s="351"/>
      <c r="D46" s="351"/>
      <c r="E46" s="287"/>
      <c r="F46" s="353"/>
      <c r="G46" s="270">
        <f>E46*F46</f>
        <v>0</v>
      </c>
      <c r="H46" s="370"/>
      <c r="I46" s="98"/>
      <c r="J46" s="270">
        <f t="shared" si="0"/>
        <v>0</v>
      </c>
      <c r="K46" s="270">
        <f>G46+J46</f>
        <v>0</v>
      </c>
      <c r="L46" s="271"/>
      <c r="M46" s="270">
        <f>M45+L46-K46</f>
        <v>0</v>
      </c>
      <c r="N46" s="270"/>
      <c r="O46" s="270"/>
    </row>
    <row r="47" spans="1:16">
      <c r="A47" s="91">
        <v>44</v>
      </c>
      <c r="B47" s="210"/>
      <c r="C47" s="351"/>
      <c r="D47" s="351"/>
      <c r="E47" s="344"/>
      <c r="F47" s="371"/>
      <c r="G47" s="270">
        <f>E47*F47</f>
        <v>0</v>
      </c>
      <c r="H47" s="98"/>
      <c r="I47" s="353"/>
      <c r="J47" s="270">
        <f t="shared" si="0"/>
        <v>0</v>
      </c>
      <c r="K47" s="270">
        <f>G47+J47</f>
        <v>0</v>
      </c>
      <c r="L47" s="271"/>
      <c r="M47" s="270">
        <f>M46+L47-K47</f>
        <v>0</v>
      </c>
      <c r="N47" s="270"/>
      <c r="O47" s="270"/>
    </row>
    <row r="48" spans="1:16">
      <c r="A48" s="91">
        <v>45</v>
      </c>
      <c r="B48" s="210"/>
      <c r="C48" s="351"/>
      <c r="D48" s="351"/>
      <c r="E48" s="374"/>
      <c r="F48" s="98"/>
      <c r="G48" s="270">
        <f>E48*F48</f>
        <v>0</v>
      </c>
      <c r="H48" s="284"/>
      <c r="I48" s="98"/>
      <c r="J48" s="270">
        <f t="shared" si="0"/>
        <v>0</v>
      </c>
      <c r="K48" s="270">
        <f>G48+J48</f>
        <v>0</v>
      </c>
      <c r="L48" s="271"/>
      <c r="M48" s="270">
        <f>M47+L48-K48</f>
        <v>0</v>
      </c>
      <c r="N48" s="270"/>
      <c r="O48" s="270"/>
    </row>
    <row r="49" spans="1:15">
      <c r="A49" s="283">
        <v>46</v>
      </c>
      <c r="B49" s="210"/>
      <c r="C49" s="351"/>
      <c r="D49" s="351"/>
      <c r="E49" s="287"/>
      <c r="F49" s="353"/>
      <c r="G49" s="270">
        <f>E49*F49</f>
        <v>0</v>
      </c>
      <c r="H49" s="211"/>
      <c r="I49" s="98"/>
      <c r="J49" s="270">
        <f t="shared" si="0"/>
        <v>0</v>
      </c>
      <c r="K49" s="270">
        <f>G49+J49</f>
        <v>0</v>
      </c>
      <c r="L49" s="271"/>
      <c r="M49" s="270">
        <f>M48+L49-K49</f>
        <v>0</v>
      </c>
      <c r="N49" s="270"/>
      <c r="O49" s="270"/>
    </row>
    <row r="50" spans="1:15">
      <c r="A50" s="91">
        <v>47</v>
      </c>
      <c r="B50" s="210"/>
      <c r="C50" s="351"/>
      <c r="D50" s="351"/>
      <c r="E50" s="299"/>
      <c r="F50" s="98"/>
      <c r="G50" s="270">
        <f>E50*F50</f>
        <v>0</v>
      </c>
      <c r="H50" s="38"/>
      <c r="I50" s="353"/>
      <c r="J50" s="270">
        <f t="shared" si="0"/>
        <v>0</v>
      </c>
      <c r="K50" s="270">
        <f>G50+J50</f>
        <v>0</v>
      </c>
      <c r="L50" s="271"/>
      <c r="M50" s="270">
        <f>M49+L50-K50</f>
        <v>0</v>
      </c>
      <c r="N50" s="270"/>
      <c r="O50" s="270"/>
    </row>
    <row r="51" spans="1:15">
      <c r="A51" s="91">
        <v>48</v>
      </c>
      <c r="B51" s="210"/>
      <c r="C51" s="351"/>
      <c r="D51" s="351"/>
      <c r="E51" s="287"/>
      <c r="F51" s="353"/>
      <c r="G51" s="270">
        <f>E51*F51</f>
        <v>0</v>
      </c>
      <c r="H51" s="379"/>
      <c r="I51" s="98"/>
      <c r="J51" s="270">
        <f t="shared" si="0"/>
        <v>0</v>
      </c>
      <c r="K51" s="270">
        <f>G51+J51</f>
        <v>0</v>
      </c>
      <c r="L51" s="271"/>
      <c r="M51" s="270">
        <f>M50+L51-K51</f>
        <v>0</v>
      </c>
      <c r="N51" s="270"/>
      <c r="O51" s="270"/>
    </row>
    <row r="52" spans="1:15">
      <c r="A52" s="283">
        <v>49</v>
      </c>
      <c r="B52" s="210"/>
      <c r="C52" s="351"/>
      <c r="D52" s="351"/>
      <c r="E52" s="287"/>
      <c r="F52" s="98"/>
      <c r="G52" s="270">
        <f>E52*F52</f>
        <v>0</v>
      </c>
      <c r="H52" s="98"/>
      <c r="I52" s="353"/>
      <c r="J52" s="270">
        <f t="shared" si="0"/>
        <v>0</v>
      </c>
      <c r="K52" s="270">
        <f>G52+J52</f>
        <v>0</v>
      </c>
      <c r="L52" s="271"/>
      <c r="M52" s="270">
        <f>M51+L52-K52</f>
        <v>0</v>
      </c>
      <c r="N52" s="270"/>
      <c r="O52" s="270"/>
    </row>
    <row r="53" spans="1:15">
      <c r="A53" s="91">
        <v>50</v>
      </c>
      <c r="B53" s="210"/>
      <c r="C53" s="351"/>
      <c r="D53" s="351"/>
      <c r="E53" s="287"/>
      <c r="F53" s="353"/>
      <c r="G53" s="270">
        <f>E53*F53</f>
        <v>0</v>
      </c>
      <c r="H53" s="284"/>
      <c r="I53" s="98"/>
      <c r="J53" s="270">
        <f t="shared" si="0"/>
        <v>0</v>
      </c>
      <c r="K53" s="270">
        <f>G53+J53</f>
        <v>0</v>
      </c>
      <c r="L53" s="271"/>
      <c r="M53" s="270">
        <f>M52+L53-K53</f>
        <v>0</v>
      </c>
      <c r="N53" s="270"/>
      <c r="O53" s="270"/>
    </row>
    <row r="54" spans="1:15">
      <c r="A54" s="91">
        <v>51</v>
      </c>
      <c r="B54" s="210"/>
      <c r="C54" s="351"/>
      <c r="D54" s="351"/>
      <c r="E54" s="373"/>
      <c r="F54" s="353"/>
      <c r="G54" s="270">
        <f>E54*F54</f>
        <v>0</v>
      </c>
      <c r="H54" s="370"/>
      <c r="I54" s="370"/>
      <c r="J54" s="371">
        <f t="shared" si="0"/>
        <v>0</v>
      </c>
      <c r="K54" s="270">
        <f>G54+J54</f>
        <v>0</v>
      </c>
      <c r="L54" s="271"/>
      <c r="M54" s="270">
        <f>M53+L54-K54</f>
        <v>0</v>
      </c>
      <c r="N54" s="270"/>
      <c r="O54" s="270"/>
    </row>
    <row r="55" spans="1:15">
      <c r="A55" s="381">
        <v>52</v>
      </c>
      <c r="B55" s="382"/>
      <c r="C55" s="351"/>
      <c r="D55" s="351"/>
      <c r="E55" s="98"/>
      <c r="F55" s="98"/>
      <c r="G55" s="270">
        <f>E55*F55</f>
        <v>0</v>
      </c>
      <c r="H55" s="98"/>
      <c r="I55" s="98"/>
      <c r="J55" s="270">
        <f t="shared" si="0"/>
        <v>0</v>
      </c>
      <c r="K55" s="270">
        <f>G55+J55</f>
        <v>0</v>
      </c>
      <c r="L55" s="385"/>
      <c r="M55" s="270">
        <f>M54+L55-K55</f>
        <v>0</v>
      </c>
      <c r="N55" s="270"/>
      <c r="O55" s="270"/>
    </row>
    <row r="56" spans="1:15">
      <c r="A56" s="14">
        <v>53</v>
      </c>
      <c r="B56" s="383"/>
      <c r="C56" s="351"/>
      <c r="D56" s="351"/>
      <c r="E56" s="98"/>
      <c r="F56" s="98"/>
      <c r="G56" s="270">
        <f>E56*F56</f>
        <v>0</v>
      </c>
      <c r="H56" s="98"/>
      <c r="I56" s="98"/>
      <c r="J56" s="270">
        <f t="shared" si="0"/>
        <v>0</v>
      </c>
      <c r="K56" s="270">
        <f>G56+J56</f>
        <v>0</v>
      </c>
      <c r="L56" s="386"/>
      <c r="M56" s="272">
        <f>M55+L56-K56</f>
        <v>0</v>
      </c>
      <c r="N56" s="270"/>
      <c r="O56" s="270"/>
    </row>
    <row r="57" spans="1:15" ht="15" customHeight="1">
      <c r="A57" s="14">
        <v>54</v>
      </c>
      <c r="B57" s="383"/>
      <c r="C57" s="351"/>
      <c r="D57" s="351"/>
      <c r="E57" s="98"/>
      <c r="F57" s="98"/>
      <c r="G57" s="270">
        <f>E57*F57</f>
        <v>0</v>
      </c>
      <c r="H57" s="98"/>
      <c r="I57" s="98"/>
      <c r="J57" s="270">
        <f t="shared" si="0"/>
        <v>0</v>
      </c>
      <c r="K57" s="270">
        <f>G57+J57</f>
        <v>0</v>
      </c>
      <c r="L57" s="386"/>
      <c r="M57" s="272">
        <f>M56+L57-K57</f>
        <v>0</v>
      </c>
      <c r="N57" s="270"/>
      <c r="O57" s="270"/>
    </row>
    <row r="58" spans="1:15" ht="15" customHeight="1">
      <c r="A58" s="14">
        <v>55</v>
      </c>
      <c r="B58" s="383"/>
      <c r="C58" s="351"/>
      <c r="D58" s="351"/>
      <c r="E58" s="98"/>
      <c r="F58" s="98"/>
      <c r="G58" s="270">
        <f>E58*F58</f>
        <v>0</v>
      </c>
      <c r="H58" s="98"/>
      <c r="I58" s="98"/>
      <c r="J58" s="270">
        <f t="shared" si="0"/>
        <v>0</v>
      </c>
      <c r="K58" s="270">
        <f>G58+J58</f>
        <v>0</v>
      </c>
      <c r="L58" s="386"/>
      <c r="M58" s="272">
        <f>M57+L58-K58</f>
        <v>0</v>
      </c>
      <c r="N58" s="270"/>
      <c r="O58" s="270"/>
    </row>
    <row r="59" spans="1:15" ht="15" customHeight="1">
      <c r="A59" s="14">
        <v>56</v>
      </c>
      <c r="B59" s="383"/>
      <c r="C59" s="351"/>
      <c r="D59" s="351"/>
      <c r="E59" s="98"/>
      <c r="F59" s="98"/>
      <c r="G59" s="270">
        <f>E59*F59</f>
        <v>0</v>
      </c>
      <c r="H59" s="98"/>
      <c r="I59" s="98"/>
      <c r="J59" s="270">
        <f t="shared" si="0"/>
        <v>0</v>
      </c>
      <c r="K59" s="270">
        <f>G59+J59</f>
        <v>0</v>
      </c>
      <c r="L59" s="386"/>
      <c r="M59" s="272">
        <f>M58+L59-K59</f>
        <v>0</v>
      </c>
      <c r="N59" s="270"/>
      <c r="O59" s="270"/>
    </row>
    <row r="60" spans="1:15" ht="15" customHeight="1">
      <c r="A60" s="14">
        <v>57</v>
      </c>
      <c r="B60" s="383"/>
      <c r="C60" s="351"/>
      <c r="D60" s="351"/>
      <c r="E60" s="98"/>
      <c r="F60" s="98"/>
      <c r="G60" s="270">
        <f>E60*F60</f>
        <v>0</v>
      </c>
      <c r="H60" s="98"/>
      <c r="I60" s="98"/>
      <c r="J60" s="270">
        <f t="shared" si="0"/>
        <v>0</v>
      </c>
      <c r="K60" s="270">
        <f>G60+J60</f>
        <v>0</v>
      </c>
      <c r="L60" s="386"/>
      <c r="M60" s="272">
        <f>M59+L60-K60</f>
        <v>0</v>
      </c>
      <c r="N60" s="270"/>
      <c r="O60" s="270"/>
    </row>
    <row r="61" spans="1:15" ht="15" customHeight="1">
      <c r="A61" s="14">
        <v>58</v>
      </c>
      <c r="B61" s="383"/>
      <c r="C61" s="351"/>
      <c r="D61" s="351"/>
      <c r="E61" s="98"/>
      <c r="F61" s="98"/>
      <c r="G61" s="270">
        <f>E61*F61</f>
        <v>0</v>
      </c>
      <c r="H61" s="98"/>
      <c r="I61" s="98"/>
      <c r="J61" s="270">
        <f t="shared" si="0"/>
        <v>0</v>
      </c>
      <c r="K61" s="270">
        <f>G61+J61</f>
        <v>0</v>
      </c>
      <c r="L61" s="386"/>
      <c r="M61" s="272">
        <f>M60+L61-K61</f>
        <v>0</v>
      </c>
      <c r="N61" s="270"/>
      <c r="O61" s="270"/>
    </row>
    <row r="62" spans="1:15" ht="15" customHeight="1">
      <c r="A62" s="14">
        <v>59</v>
      </c>
      <c r="B62" s="383"/>
      <c r="C62" s="351"/>
      <c r="D62" s="351"/>
      <c r="E62" s="98"/>
      <c r="F62" s="98"/>
      <c r="G62" s="270">
        <f>E62*F62</f>
        <v>0</v>
      </c>
      <c r="H62" s="98"/>
      <c r="I62" s="98"/>
      <c r="J62" s="270">
        <f t="shared" si="0"/>
        <v>0</v>
      </c>
      <c r="K62" s="270">
        <f>G62+J62</f>
        <v>0</v>
      </c>
      <c r="L62" s="386"/>
      <c r="M62" s="272">
        <f>M61+L62-K62</f>
        <v>0</v>
      </c>
      <c r="N62" s="270"/>
      <c r="O62" s="270"/>
    </row>
    <row r="63" spans="1:15">
      <c r="A63" s="358">
        <v>60</v>
      </c>
      <c r="B63" s="383"/>
      <c r="C63" s="98"/>
      <c r="D63" s="98"/>
      <c r="E63" s="270"/>
      <c r="F63" s="98"/>
      <c r="G63" s="270">
        <f>E63*F63</f>
        <v>0</v>
      </c>
      <c r="H63" s="98"/>
      <c r="I63" s="98"/>
      <c r="J63" s="270">
        <f t="shared" si="0"/>
        <v>0</v>
      </c>
      <c r="K63" s="270">
        <f>G63+J63</f>
        <v>0</v>
      </c>
      <c r="L63" s="386"/>
      <c r="M63" s="272">
        <f>M62+L63-K63</f>
        <v>0</v>
      </c>
      <c r="N63" s="270"/>
      <c r="O63" s="270"/>
    </row>
    <row r="64" spans="1:15">
      <c r="A64" s="360">
        <v>61</v>
      </c>
      <c r="B64" s="384"/>
      <c r="C64" s="98"/>
      <c r="D64" s="98"/>
      <c r="E64" s="270"/>
      <c r="F64" s="98"/>
      <c r="G64" s="270">
        <f>E64*F64</f>
        <v>0</v>
      </c>
      <c r="H64" s="98"/>
      <c r="I64" s="98"/>
      <c r="J64" s="270">
        <f t="shared" si="0"/>
        <v>0</v>
      </c>
      <c r="K64" s="270">
        <f>G64+J64</f>
        <v>0</v>
      </c>
      <c r="L64" s="387"/>
      <c r="M64" s="272">
        <f>M63+L64-K64</f>
        <v>0</v>
      </c>
      <c r="N64" s="270"/>
      <c r="O64" s="270"/>
    </row>
    <row r="65" spans="1:15">
      <c r="A65" s="91">
        <v>62</v>
      </c>
      <c r="B65" s="383"/>
      <c r="C65" s="98"/>
      <c r="D65" s="98"/>
      <c r="E65" s="98"/>
      <c r="F65" s="98"/>
      <c r="G65" s="270">
        <f>E65*F65</f>
        <v>0</v>
      </c>
      <c r="H65" s="98"/>
      <c r="I65" s="98"/>
      <c r="J65" s="270">
        <f t="shared" si="0"/>
        <v>0</v>
      </c>
      <c r="K65" s="270">
        <f>G65+J65</f>
        <v>0</v>
      </c>
      <c r="L65" s="386"/>
      <c r="M65" s="272">
        <f>M64+L65-K65</f>
        <v>0</v>
      </c>
      <c r="N65" s="270"/>
      <c r="O65" s="270"/>
    </row>
    <row r="66" spans="1:15">
      <c r="A66" s="283">
        <v>63</v>
      </c>
      <c r="B66" s="210"/>
      <c r="C66" s="284"/>
      <c r="D66" s="284"/>
      <c r="E66" s="299"/>
      <c r="F66" s="353"/>
      <c r="G66" s="270">
        <f>E66*F66</f>
        <v>0</v>
      </c>
      <c r="H66" s="380"/>
      <c r="I66" s="284"/>
      <c r="J66" s="273">
        <f t="shared" si="0"/>
        <v>0</v>
      </c>
      <c r="K66" s="270">
        <f>G66+J66</f>
        <v>0</v>
      </c>
      <c r="L66" s="271"/>
      <c r="M66" s="272">
        <f>M65+L66-K66</f>
        <v>0</v>
      </c>
      <c r="N66" s="270"/>
      <c r="O66" s="270"/>
    </row>
    <row r="67" spans="1:15">
      <c r="A67" s="91">
        <v>64</v>
      </c>
      <c r="B67" s="210"/>
      <c r="C67" s="98"/>
      <c r="D67" s="98"/>
      <c r="E67" s="344"/>
      <c r="F67" s="371"/>
      <c r="G67" s="270">
        <f>E67*F67</f>
        <v>0</v>
      </c>
      <c r="H67" s="98"/>
      <c r="I67" s="353"/>
      <c r="J67" s="270">
        <f t="shared" si="0"/>
        <v>0</v>
      </c>
      <c r="K67" s="270">
        <f>G67+J67</f>
        <v>0</v>
      </c>
      <c r="L67" s="271"/>
      <c r="M67" s="272">
        <f>M66+L67-K67</f>
        <v>0</v>
      </c>
      <c r="N67" s="270"/>
      <c r="O67" s="270"/>
    </row>
    <row r="68" spans="1:15">
      <c r="A68" s="91">
        <v>65</v>
      </c>
      <c r="B68" s="210"/>
      <c r="C68" s="98"/>
      <c r="D68" s="98"/>
      <c r="E68" s="376"/>
      <c r="F68" s="98"/>
      <c r="G68" s="270">
        <f>E68*F68</f>
        <v>0</v>
      </c>
      <c r="H68" s="380"/>
      <c r="I68" s="370"/>
      <c r="J68" s="270">
        <f t="shared" si="0"/>
        <v>0</v>
      </c>
      <c r="K68" s="270">
        <f>G68+J68</f>
        <v>0</v>
      </c>
      <c r="L68" s="271"/>
      <c r="M68" s="272">
        <f>M67+L68-K68</f>
        <v>0</v>
      </c>
      <c r="N68" s="270"/>
      <c r="O68" s="270"/>
    </row>
    <row r="69" spans="1:15">
      <c r="A69" s="283">
        <v>66</v>
      </c>
      <c r="B69" s="210"/>
      <c r="C69" s="98"/>
      <c r="D69" s="98"/>
      <c r="E69" s="272"/>
      <c r="F69" s="353"/>
      <c r="G69" s="270">
        <f>E69*F69</f>
        <v>0</v>
      </c>
      <c r="H69" s="372"/>
      <c r="I69" s="370"/>
      <c r="J69" s="270">
        <f t="shared" si="0"/>
        <v>0</v>
      </c>
      <c r="K69" s="270">
        <f>G69+J69</f>
        <v>0</v>
      </c>
      <c r="L69" s="271"/>
      <c r="M69" s="272">
        <f>M68+L69-K69</f>
        <v>0</v>
      </c>
      <c r="N69" s="270"/>
      <c r="O69" s="270"/>
    </row>
    <row r="70" spans="1:15">
      <c r="A70" s="91">
        <v>67</v>
      </c>
      <c r="B70" s="210"/>
      <c r="C70" s="98"/>
      <c r="D70" s="98"/>
      <c r="E70" s="272"/>
      <c r="F70" s="270"/>
      <c r="G70" s="270">
        <f>E70*F70</f>
        <v>0</v>
      </c>
      <c r="H70" s="372"/>
      <c r="I70" s="98"/>
      <c r="J70" s="270">
        <f t="shared" si="0"/>
        <v>0</v>
      </c>
      <c r="K70" s="270">
        <f>G70+J70</f>
        <v>0</v>
      </c>
      <c r="L70" s="271"/>
      <c r="M70" s="272">
        <f>M69+L70-K70</f>
        <v>0</v>
      </c>
      <c r="N70" s="339"/>
      <c r="O70" s="270"/>
    </row>
    <row r="71" spans="1:15">
      <c r="A71" s="91">
        <v>68</v>
      </c>
      <c r="B71" s="210"/>
      <c r="C71" s="98"/>
      <c r="D71" s="98"/>
      <c r="E71" s="375"/>
      <c r="F71" s="370"/>
      <c r="G71" s="270">
        <f>E71*F71</f>
        <v>0</v>
      </c>
      <c r="H71" s="98"/>
      <c r="I71" s="353"/>
      <c r="J71" s="270">
        <f t="shared" si="0"/>
        <v>0</v>
      </c>
      <c r="K71" s="270">
        <f>G71+J71</f>
        <v>0</v>
      </c>
      <c r="L71" s="271"/>
      <c r="M71" s="272">
        <f>M70+L71-K71</f>
        <v>0</v>
      </c>
      <c r="N71" s="173"/>
      <c r="O71" s="173"/>
    </row>
    <row r="72" spans="1:15">
      <c r="A72" s="283">
        <v>69</v>
      </c>
      <c r="B72" s="210"/>
      <c r="C72" s="98"/>
      <c r="D72" s="98"/>
      <c r="E72" s="377"/>
      <c r="F72" s="98"/>
      <c r="G72" s="270">
        <f>E72*F72</f>
        <v>0</v>
      </c>
      <c r="H72" s="284"/>
      <c r="I72" s="98"/>
      <c r="J72" s="270">
        <f t="shared" si="0"/>
        <v>0</v>
      </c>
      <c r="K72" s="270">
        <f>G72+J72</f>
        <v>0</v>
      </c>
      <c r="L72" s="271"/>
      <c r="M72" s="272">
        <f>M71+L72-K72</f>
        <v>0</v>
      </c>
      <c r="N72" s="173"/>
      <c r="O72" s="173"/>
    </row>
    <row r="73" spans="1:15">
      <c r="A73" s="388">
        <v>70</v>
      </c>
      <c r="B73" s="378"/>
      <c r="C73" s="370"/>
      <c r="D73" s="370"/>
      <c r="E73" s="389"/>
      <c r="F73" s="353"/>
      <c r="G73" s="270">
        <f>E73*F73</f>
        <v>0</v>
      </c>
      <c r="H73" s="371"/>
      <c r="I73" s="371"/>
      <c r="J73" s="371">
        <f t="shared" si="0"/>
        <v>0</v>
      </c>
      <c r="K73" s="270">
        <f>G73+J73</f>
        <v>0</v>
      </c>
      <c r="L73" s="390"/>
      <c r="M73" s="272">
        <f>M72+L73-K73</f>
        <v>0</v>
      </c>
      <c r="N73" s="173"/>
      <c r="O73" s="173"/>
    </row>
    <row r="74" spans="1:15">
      <c r="A74" s="14">
        <v>71</v>
      </c>
      <c r="B74" s="210"/>
      <c r="C74" s="38"/>
      <c r="D74" s="38"/>
      <c r="E74" s="38"/>
      <c r="F74" s="38"/>
      <c r="G74" s="270">
        <f>E74*F74</f>
        <v>0</v>
      </c>
      <c r="H74" s="270"/>
      <c r="I74" s="38"/>
      <c r="J74" s="270">
        <f t="shared" ref="J74:J97" si="1">H74*I74</f>
        <v>0</v>
      </c>
      <c r="K74" s="270">
        <f>G74+J74</f>
        <v>0</v>
      </c>
      <c r="L74" s="271"/>
      <c r="M74" s="272">
        <f>M73+L74-K74</f>
        <v>0</v>
      </c>
      <c r="N74" s="173"/>
      <c r="O74" s="173"/>
    </row>
    <row r="75" spans="1:15">
      <c r="A75" s="358">
        <v>72</v>
      </c>
      <c r="B75" s="210"/>
      <c r="C75" s="38"/>
      <c r="D75" s="38"/>
      <c r="E75" s="38"/>
      <c r="F75" s="38"/>
      <c r="G75" s="270">
        <f>E75*F75</f>
        <v>0</v>
      </c>
      <c r="H75" s="270"/>
      <c r="I75" s="270"/>
      <c r="J75" s="270">
        <f t="shared" si="1"/>
        <v>0</v>
      </c>
      <c r="K75" s="270">
        <f>G75+J75</f>
        <v>0</v>
      </c>
      <c r="L75" s="271"/>
      <c r="M75" s="272">
        <f>M74+L75-K75</f>
        <v>0</v>
      </c>
      <c r="N75" s="173"/>
      <c r="O75" s="173"/>
    </row>
    <row r="76" spans="1:15">
      <c r="A76" s="14">
        <v>73</v>
      </c>
      <c r="B76" s="210"/>
      <c r="C76" s="38"/>
      <c r="D76" s="38"/>
      <c r="E76" s="38"/>
      <c r="F76" s="38"/>
      <c r="G76" s="270">
        <f>E76*F76</f>
        <v>0</v>
      </c>
      <c r="H76" s="98"/>
      <c r="I76" s="98"/>
      <c r="J76" s="270">
        <f t="shared" si="1"/>
        <v>0</v>
      </c>
      <c r="K76" s="270">
        <f>G76+J76</f>
        <v>0</v>
      </c>
      <c r="L76" s="271"/>
      <c r="M76" s="272">
        <f>M75+L76-K76</f>
        <v>0</v>
      </c>
      <c r="N76" s="173"/>
      <c r="O76" s="173"/>
    </row>
    <row r="77" spans="1:15">
      <c r="A77" s="14">
        <v>74</v>
      </c>
      <c r="B77" s="210"/>
      <c r="C77" s="38"/>
      <c r="D77" s="38"/>
      <c r="E77" s="38"/>
      <c r="F77" s="38"/>
      <c r="G77" s="270">
        <f>E77*F77</f>
        <v>0</v>
      </c>
      <c r="H77" s="98"/>
      <c r="I77" s="98"/>
      <c r="J77" s="270">
        <f t="shared" si="1"/>
        <v>0</v>
      </c>
      <c r="K77" s="270">
        <f>G77+J77</f>
        <v>0</v>
      </c>
      <c r="L77" s="271"/>
      <c r="M77" s="272">
        <f>M76+L77-K77</f>
        <v>0</v>
      </c>
      <c r="N77" s="173"/>
      <c r="O77" s="173"/>
    </row>
    <row r="78" spans="1:15">
      <c r="A78" s="358">
        <v>75</v>
      </c>
      <c r="B78" s="210"/>
      <c r="C78" s="38"/>
      <c r="D78" s="38"/>
      <c r="E78" s="38"/>
      <c r="F78" s="38"/>
      <c r="G78" s="270">
        <f>E78*F78</f>
        <v>0</v>
      </c>
      <c r="H78" s="270"/>
      <c r="I78" s="270"/>
      <c r="J78" s="270">
        <f t="shared" si="1"/>
        <v>0</v>
      </c>
      <c r="K78" s="270">
        <f>G78+J78</f>
        <v>0</v>
      </c>
      <c r="L78" s="271"/>
      <c r="M78" s="272">
        <f>M77+L78-K78</f>
        <v>0</v>
      </c>
      <c r="N78" s="173"/>
      <c r="O78" s="173"/>
    </row>
    <row r="79" spans="1:15">
      <c r="A79" s="358">
        <v>76</v>
      </c>
      <c r="B79" s="361"/>
      <c r="C79" s="289"/>
      <c r="D79" s="289"/>
      <c r="E79" s="273"/>
      <c r="F79" s="273"/>
      <c r="G79" s="273">
        <f>E79*F79</f>
        <v>0</v>
      </c>
      <c r="H79" s="273"/>
      <c r="I79" s="273"/>
      <c r="J79" s="273">
        <f t="shared" si="1"/>
        <v>0</v>
      </c>
      <c r="K79" s="270">
        <f>G79+J79</f>
        <v>0</v>
      </c>
      <c r="L79" s="391"/>
      <c r="M79" s="272">
        <f>M78+L79-K79</f>
        <v>0</v>
      </c>
      <c r="N79" s="173"/>
      <c r="O79" s="173"/>
    </row>
    <row r="80" spans="1:15">
      <c r="A80" s="358">
        <v>77</v>
      </c>
      <c r="B80" s="210"/>
      <c r="C80" s="14"/>
      <c r="D80" s="156"/>
      <c r="E80" s="270"/>
      <c r="F80" s="270"/>
      <c r="G80" s="270">
        <f>E80*F80</f>
        <v>0</v>
      </c>
      <c r="H80" s="270"/>
      <c r="I80" s="270"/>
      <c r="J80" s="270">
        <f t="shared" si="1"/>
        <v>0</v>
      </c>
      <c r="K80" s="270">
        <f>G80+J80</f>
        <v>0</v>
      </c>
      <c r="L80" s="271"/>
      <c r="M80" s="272">
        <f>M79+L80-K80</f>
        <v>0</v>
      </c>
      <c r="N80" s="173"/>
      <c r="O80" s="173"/>
    </row>
    <row r="81" spans="1:15">
      <c r="A81" s="358">
        <v>78</v>
      </c>
      <c r="B81" s="210"/>
      <c r="C81" s="156"/>
      <c r="D81" s="156"/>
      <c r="E81" s="270"/>
      <c r="F81" s="270"/>
      <c r="G81" s="270">
        <f>E81*F81</f>
        <v>0</v>
      </c>
      <c r="H81" s="270"/>
      <c r="I81" s="270"/>
      <c r="J81" s="270">
        <f t="shared" si="1"/>
        <v>0</v>
      </c>
      <c r="K81" s="270">
        <f>G81+J81</f>
        <v>0</v>
      </c>
      <c r="L81" s="271"/>
      <c r="M81" s="272">
        <f>M80+L81-K81</f>
        <v>0</v>
      </c>
      <c r="N81" s="173"/>
      <c r="O81" s="173"/>
    </row>
    <row r="82" spans="1:15">
      <c r="A82" s="358">
        <v>79</v>
      </c>
      <c r="B82" s="210"/>
      <c r="C82" s="156"/>
      <c r="D82" s="156"/>
      <c r="E82" s="270"/>
      <c r="F82" s="270"/>
      <c r="G82" s="270">
        <f>E82*F82</f>
        <v>0</v>
      </c>
      <c r="H82" s="270"/>
      <c r="I82" s="270"/>
      <c r="J82" s="270">
        <f t="shared" si="1"/>
        <v>0</v>
      </c>
      <c r="K82" s="270">
        <f>G82+J82</f>
        <v>0</v>
      </c>
      <c r="L82" s="271"/>
      <c r="M82" s="272">
        <f>M81+L82-K82</f>
        <v>0</v>
      </c>
      <c r="N82" s="173"/>
      <c r="O82" s="173"/>
    </row>
    <row r="83" spans="1:15">
      <c r="A83" s="358">
        <v>80</v>
      </c>
      <c r="B83" s="210"/>
      <c r="C83" s="156"/>
      <c r="D83" s="156"/>
      <c r="E83" s="270"/>
      <c r="F83" s="270"/>
      <c r="G83" s="270">
        <f>E83*F83</f>
        <v>0</v>
      </c>
      <c r="H83" s="270"/>
      <c r="I83" s="270"/>
      <c r="J83" s="270">
        <f>H83*I83</f>
        <v>0</v>
      </c>
      <c r="K83" s="270">
        <f t="shared" ref="K75:K98" si="2">G83+J83</f>
        <v>0</v>
      </c>
      <c r="L83" s="271"/>
      <c r="M83" s="272">
        <f>M82+L83-K83</f>
        <v>0</v>
      </c>
      <c r="N83" s="173"/>
      <c r="O83" s="173"/>
    </row>
    <row r="84" spans="1:15">
      <c r="A84" s="358">
        <v>81</v>
      </c>
      <c r="B84" s="210"/>
      <c r="C84" s="156"/>
      <c r="D84" s="156"/>
      <c r="E84" s="270"/>
      <c r="F84" s="270"/>
      <c r="G84" s="270">
        <f>E84*F84</f>
        <v>0</v>
      </c>
      <c r="H84" s="270"/>
      <c r="I84" s="270"/>
      <c r="J84" s="270">
        <f>H84*I84</f>
        <v>0</v>
      </c>
      <c r="K84" s="270">
        <f t="shared" si="2"/>
        <v>0</v>
      </c>
      <c r="L84" s="271"/>
      <c r="M84" s="272">
        <f>M83+L84-K84</f>
        <v>0</v>
      </c>
      <c r="N84" s="173"/>
      <c r="O84" s="173"/>
    </row>
    <row r="85" spans="1:15">
      <c r="A85" s="358">
        <v>82</v>
      </c>
      <c r="B85" s="210"/>
      <c r="C85" s="156"/>
      <c r="D85" s="156"/>
      <c r="E85" s="270"/>
      <c r="F85" s="270"/>
      <c r="G85" s="270">
        <f>E85*F85</f>
        <v>0</v>
      </c>
      <c r="H85" s="270"/>
      <c r="I85" s="270"/>
      <c r="J85" s="270">
        <f>H85*I85</f>
        <v>0</v>
      </c>
      <c r="K85" s="270">
        <f t="shared" si="2"/>
        <v>0</v>
      </c>
      <c r="L85" s="271"/>
      <c r="M85" s="272">
        <f>M84+L85-K85</f>
        <v>0</v>
      </c>
      <c r="N85" s="173"/>
      <c r="O85" s="173"/>
    </row>
    <row r="86" spans="1:15">
      <c r="A86" s="358">
        <v>83</v>
      </c>
      <c r="B86" s="210"/>
      <c r="C86" s="156"/>
      <c r="D86" s="156"/>
      <c r="E86" s="270"/>
      <c r="F86" s="270"/>
      <c r="G86" s="270">
        <f>E86*F86</f>
        <v>0</v>
      </c>
      <c r="H86" s="270"/>
      <c r="I86" s="270"/>
      <c r="J86" s="270">
        <f>H86*I86</f>
        <v>0</v>
      </c>
      <c r="K86" s="270">
        <f t="shared" si="2"/>
        <v>0</v>
      </c>
      <c r="L86" s="271"/>
      <c r="M86" s="272">
        <f>M85+L86-K86</f>
        <v>0</v>
      </c>
      <c r="N86" s="173"/>
      <c r="O86" s="173"/>
    </row>
    <row r="87" spans="1:15">
      <c r="A87" s="358">
        <v>84</v>
      </c>
      <c r="B87" s="210"/>
      <c r="C87" s="156"/>
      <c r="D87" s="156"/>
      <c r="E87" s="270"/>
      <c r="F87" s="270"/>
      <c r="G87" s="270">
        <f>E87*F87</f>
        <v>0</v>
      </c>
      <c r="H87" s="270"/>
      <c r="I87" s="270"/>
      <c r="J87" s="270">
        <f t="shared" ref="J87:J91" si="3">H87*I87</f>
        <v>0</v>
      </c>
      <c r="K87" s="270">
        <f t="shared" si="2"/>
        <v>0</v>
      </c>
      <c r="L87" s="271"/>
      <c r="M87" s="272">
        <f>M86+L87-K87</f>
        <v>0</v>
      </c>
      <c r="N87" s="173"/>
      <c r="O87" s="173"/>
    </row>
    <row r="88" spans="1:15">
      <c r="A88" s="358">
        <v>85</v>
      </c>
      <c r="B88" s="210"/>
      <c r="C88" s="156"/>
      <c r="D88" s="156"/>
      <c r="E88" s="270"/>
      <c r="F88" s="270"/>
      <c r="G88" s="270">
        <f>E88*F88</f>
        <v>0</v>
      </c>
      <c r="H88" s="270"/>
      <c r="I88" s="270"/>
      <c r="J88" s="270">
        <f t="shared" si="3"/>
        <v>0</v>
      </c>
      <c r="K88" s="270">
        <f t="shared" si="2"/>
        <v>0</v>
      </c>
      <c r="L88" s="271"/>
      <c r="M88" s="272">
        <f>M87+L88-K88</f>
        <v>0</v>
      </c>
      <c r="N88" s="173"/>
      <c r="O88" s="173"/>
    </row>
    <row r="89" spans="1:15">
      <c r="A89" s="358">
        <v>86</v>
      </c>
      <c r="B89" s="210"/>
      <c r="C89" s="156"/>
      <c r="D89" s="156"/>
      <c r="E89" s="270"/>
      <c r="F89" s="270"/>
      <c r="G89" s="270">
        <f>E89*F89</f>
        <v>0</v>
      </c>
      <c r="H89" s="270"/>
      <c r="I89" s="270"/>
      <c r="J89" s="270">
        <f t="shared" si="3"/>
        <v>0</v>
      </c>
      <c r="K89" s="270">
        <f t="shared" si="2"/>
        <v>0</v>
      </c>
      <c r="L89" s="271"/>
      <c r="M89" s="272">
        <f>M88+L89-K89</f>
        <v>0</v>
      </c>
      <c r="N89" s="173"/>
      <c r="O89" s="173"/>
    </row>
    <row r="90" spans="1:15">
      <c r="A90" s="358">
        <v>87</v>
      </c>
      <c r="B90" s="210"/>
      <c r="C90" s="156"/>
      <c r="D90" s="156"/>
      <c r="E90" s="270"/>
      <c r="F90" s="270"/>
      <c r="G90" s="270">
        <f>E90*F90</f>
        <v>0</v>
      </c>
      <c r="H90" s="371"/>
      <c r="I90" s="371"/>
      <c r="J90" s="270">
        <f t="shared" si="3"/>
        <v>0</v>
      </c>
      <c r="K90" s="270">
        <f t="shared" si="2"/>
        <v>0</v>
      </c>
      <c r="L90" s="271"/>
      <c r="M90" s="272">
        <f>M89+L90-K90</f>
        <v>0</v>
      </c>
      <c r="N90" s="173"/>
      <c r="O90" s="173"/>
    </row>
    <row r="91" spans="1:15">
      <c r="A91" s="358">
        <v>88</v>
      </c>
      <c r="B91" s="210"/>
      <c r="C91" s="156"/>
      <c r="D91" s="156"/>
      <c r="E91" s="270"/>
      <c r="F91" s="270"/>
      <c r="G91" s="493">
        <f>E91*F91</f>
        <v>0</v>
      </c>
      <c r="H91" s="98"/>
      <c r="I91" s="98"/>
      <c r="J91" s="272">
        <f t="shared" si="3"/>
        <v>0</v>
      </c>
      <c r="K91" s="270">
        <f t="shared" si="2"/>
        <v>0</v>
      </c>
      <c r="L91" s="270"/>
      <c r="M91" s="272">
        <f>M90+L91-K91</f>
        <v>0</v>
      </c>
      <c r="N91" s="173"/>
      <c r="O91" s="173"/>
    </row>
    <row r="92" spans="1:15">
      <c r="A92" s="358">
        <v>89</v>
      </c>
      <c r="B92" s="361"/>
      <c r="C92" s="362"/>
      <c r="D92" s="289"/>
      <c r="E92" s="273"/>
      <c r="F92" s="273"/>
      <c r="G92" s="494">
        <f>E92*F92</f>
        <v>0</v>
      </c>
      <c r="H92" s="98"/>
      <c r="I92" s="98"/>
      <c r="J92" s="344">
        <f t="shared" si="1"/>
        <v>0</v>
      </c>
      <c r="K92" s="270">
        <f t="shared" si="2"/>
        <v>0</v>
      </c>
      <c r="L92" s="273"/>
      <c r="M92" s="272">
        <f>M91+L92-K92</f>
        <v>0</v>
      </c>
      <c r="N92" s="363"/>
      <c r="O92" s="363"/>
    </row>
    <row r="93" spans="1:15">
      <c r="A93" s="358">
        <v>90</v>
      </c>
      <c r="B93" s="210"/>
      <c r="C93" s="288"/>
      <c r="D93" s="156"/>
      <c r="E93" s="270"/>
      <c r="F93" s="270"/>
      <c r="G93" s="493">
        <f>E93*F93</f>
        <v>0</v>
      </c>
      <c r="H93" s="270"/>
      <c r="I93" s="270"/>
      <c r="J93" s="272">
        <f t="shared" si="1"/>
        <v>0</v>
      </c>
      <c r="K93" s="270">
        <f t="shared" si="2"/>
        <v>0</v>
      </c>
      <c r="L93" s="270"/>
      <c r="M93" s="272">
        <f>M92+L93-K93</f>
        <v>0</v>
      </c>
      <c r="N93" s="173"/>
      <c r="O93" s="173"/>
    </row>
    <row r="94" spans="1:15">
      <c r="A94" s="358">
        <v>91</v>
      </c>
      <c r="B94" s="210"/>
      <c r="C94" s="288"/>
      <c r="D94" s="156"/>
      <c r="E94" s="270"/>
      <c r="F94" s="270"/>
      <c r="G94" s="270">
        <f>E94*F94</f>
        <v>0</v>
      </c>
      <c r="H94" s="273"/>
      <c r="I94" s="273"/>
      <c r="J94" s="270">
        <f t="shared" si="1"/>
        <v>0</v>
      </c>
      <c r="K94" s="270">
        <f t="shared" si="2"/>
        <v>0</v>
      </c>
      <c r="L94" s="270"/>
      <c r="M94" s="272">
        <f>M93+L94-K94</f>
        <v>0</v>
      </c>
      <c r="N94" s="173"/>
      <c r="O94" s="173"/>
    </row>
    <row r="95" spans="1:15">
      <c r="A95" s="358">
        <v>92</v>
      </c>
      <c r="B95" s="210"/>
      <c r="C95" s="288"/>
      <c r="D95" s="156"/>
      <c r="E95" s="270"/>
      <c r="F95" s="270"/>
      <c r="G95" s="270">
        <f t="shared" ref="G95:G99" si="4">E95*F95</f>
        <v>0</v>
      </c>
      <c r="H95" s="270"/>
      <c r="I95" s="270"/>
      <c r="J95" s="270">
        <f t="shared" si="1"/>
        <v>0</v>
      </c>
      <c r="K95" s="270">
        <f t="shared" si="2"/>
        <v>0</v>
      </c>
      <c r="L95" s="270"/>
      <c r="M95" s="272">
        <f>M94+L95-K95</f>
        <v>0</v>
      </c>
      <c r="N95" s="347"/>
      <c r="O95" s="347"/>
    </row>
    <row r="96" spans="1:15">
      <c r="A96" s="358">
        <v>93</v>
      </c>
      <c r="B96" s="210"/>
      <c r="C96" s="288"/>
      <c r="D96" s="156"/>
      <c r="E96" s="270"/>
      <c r="F96" s="270"/>
      <c r="G96" s="270">
        <f t="shared" si="4"/>
        <v>0</v>
      </c>
      <c r="H96" s="270"/>
      <c r="I96" s="270"/>
      <c r="J96" s="270">
        <f t="shared" si="1"/>
        <v>0</v>
      </c>
      <c r="K96" s="270">
        <f t="shared" si="2"/>
        <v>0</v>
      </c>
      <c r="L96" s="270"/>
      <c r="M96" s="272">
        <f>M95+L96-K96</f>
        <v>0</v>
      </c>
      <c r="N96" s="173"/>
      <c r="O96" s="173"/>
    </row>
    <row r="97" spans="1:15">
      <c r="A97" s="358">
        <v>94</v>
      </c>
      <c r="B97" s="210"/>
      <c r="C97" s="288"/>
      <c r="D97" s="156"/>
      <c r="E97" s="270"/>
      <c r="F97" s="270"/>
      <c r="G97" s="270">
        <f t="shared" si="4"/>
        <v>0</v>
      </c>
      <c r="H97" s="270"/>
      <c r="I97" s="270"/>
      <c r="J97" s="270">
        <f t="shared" si="1"/>
        <v>0</v>
      </c>
      <c r="K97" s="270">
        <f t="shared" si="2"/>
        <v>0</v>
      </c>
      <c r="L97" s="270"/>
      <c r="M97" s="272">
        <f>M96+L97-K97</f>
        <v>0</v>
      </c>
      <c r="N97" s="339"/>
      <c r="O97" s="339"/>
    </row>
    <row r="98" spans="1:15">
      <c r="A98" s="366">
        <v>95</v>
      </c>
      <c r="B98" s="495"/>
      <c r="C98" s="288"/>
      <c r="D98" s="288"/>
      <c r="E98" s="371"/>
      <c r="F98" s="371"/>
      <c r="G98" s="270">
        <f t="shared" si="4"/>
        <v>0</v>
      </c>
      <c r="H98" s="371"/>
      <c r="I98" s="371"/>
      <c r="J98" s="371"/>
      <c r="K98" s="371">
        <f t="shared" si="2"/>
        <v>0</v>
      </c>
      <c r="L98" s="371"/>
      <c r="M98" s="373">
        <f>M97+L98-K98</f>
        <v>0</v>
      </c>
      <c r="N98" s="393"/>
      <c r="O98" s="393"/>
    </row>
    <row r="99" spans="1:15">
      <c r="A99" s="14">
        <v>96</v>
      </c>
      <c r="B99" s="496"/>
      <c r="C99" s="14"/>
      <c r="D99" s="14"/>
      <c r="E99" s="173"/>
      <c r="F99" s="173"/>
      <c r="G99" s="270">
        <f t="shared" si="4"/>
        <v>0</v>
      </c>
      <c r="H99" s="173"/>
      <c r="I99" s="173"/>
      <c r="J99" s="173"/>
      <c r="K99" s="173"/>
      <c r="L99" s="173"/>
      <c r="M99" s="173"/>
      <c r="N99" s="173"/>
      <c r="O99" s="173"/>
    </row>
    <row r="100" spans="1:15">
      <c r="A100" s="14">
        <v>97</v>
      </c>
      <c r="B100" s="14"/>
      <c r="C100" s="14"/>
      <c r="D100" s="14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</row>
    <row r="101" spans="1:15">
      <c r="A101" s="14">
        <v>98</v>
      </c>
      <c r="B101" s="14"/>
      <c r="C101" s="14"/>
      <c r="D101" s="14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</row>
    <row r="102" spans="1:15">
      <c r="A102" s="14">
        <v>99</v>
      </c>
      <c r="B102" s="14"/>
      <c r="C102" s="14"/>
      <c r="D102" s="14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</row>
    <row r="103" spans="1:15">
      <c r="A103" s="14">
        <v>100</v>
      </c>
      <c r="B103" s="14"/>
      <c r="C103" s="14"/>
      <c r="D103" s="14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</row>
    <row r="104" spans="1:15">
      <c r="E104" s="350"/>
    </row>
    <row r="106" spans="1:15">
      <c r="E106" s="350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32"/>
  <sheetViews>
    <sheetView topLeftCell="A89" workbookViewId="0">
      <selection activeCell="L16" sqref="L16"/>
    </sheetView>
  </sheetViews>
  <sheetFormatPr defaultRowHeight="15"/>
  <cols>
    <col min="1" max="1" width="9.140625" style="5"/>
    <col min="2" max="2" width="11.5703125" style="5" customWidth="1"/>
    <col min="3" max="3" width="61.140625" style="5" bestFit="1" customWidth="1"/>
    <col min="4" max="4" width="36.5703125" style="5" customWidth="1"/>
    <col min="5" max="5" width="15.7109375" style="5" customWidth="1"/>
    <col min="6" max="6" width="9.140625" style="5"/>
    <col min="7" max="7" width="22.42578125" style="5" customWidth="1"/>
    <col min="8" max="8" width="22.140625" style="5" customWidth="1"/>
    <col min="9" max="9" width="17.7109375" style="5" bestFit="1" customWidth="1"/>
    <col min="10" max="10" width="10.42578125" style="5" bestFit="1" customWidth="1"/>
    <col min="11" max="11" width="15.42578125" style="5" customWidth="1"/>
    <col min="12" max="12" width="17.7109375" style="5" customWidth="1"/>
    <col min="13" max="13" width="12.7109375" style="5" customWidth="1"/>
    <col min="14" max="14" width="15.140625" style="5" customWidth="1"/>
    <col min="15" max="15" width="20.5703125" style="5" customWidth="1"/>
    <col min="16" max="16384" width="9.140625" style="5"/>
  </cols>
  <sheetData>
    <row r="1" spans="1:15" ht="15.75">
      <c r="A1" s="631" t="s">
        <v>232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</row>
    <row r="2" spans="1:15">
      <c r="A2" s="58" t="s">
        <v>0</v>
      </c>
      <c r="B2" s="77" t="s">
        <v>167</v>
      </c>
      <c r="C2" s="77" t="s">
        <v>228</v>
      </c>
      <c r="D2" s="77" t="s">
        <v>229</v>
      </c>
      <c r="E2" s="77" t="s">
        <v>170</v>
      </c>
      <c r="F2" s="77" t="s">
        <v>171</v>
      </c>
      <c r="G2" s="84" t="s">
        <v>172</v>
      </c>
      <c r="H2" s="77" t="s">
        <v>173</v>
      </c>
      <c r="I2" s="77" t="s">
        <v>171</v>
      </c>
      <c r="J2" s="84" t="s">
        <v>172</v>
      </c>
      <c r="K2" s="58" t="s">
        <v>174</v>
      </c>
      <c r="L2" s="85" t="s">
        <v>230</v>
      </c>
      <c r="M2" s="79" t="s">
        <v>190</v>
      </c>
      <c r="N2" s="77" t="s">
        <v>177</v>
      </c>
      <c r="O2" s="77" t="s">
        <v>231</v>
      </c>
    </row>
    <row r="3" spans="1:15">
      <c r="A3" s="657" t="s">
        <v>178</v>
      </c>
      <c r="B3" s="657"/>
      <c r="C3" s="657"/>
      <c r="D3" s="657"/>
      <c r="E3" s="657"/>
      <c r="F3" s="657"/>
      <c r="G3" s="657"/>
      <c r="H3" s="657"/>
      <c r="I3" s="657"/>
      <c r="J3" s="657"/>
      <c r="K3" s="96"/>
      <c r="L3" s="211"/>
      <c r="M3" s="96"/>
      <c r="N3" s="158"/>
      <c r="O3" s="158"/>
    </row>
    <row r="4" spans="1:15" ht="15.75">
      <c r="A4" s="6">
        <v>1</v>
      </c>
      <c r="B4" s="72"/>
      <c r="C4" s="394"/>
      <c r="D4" s="662"/>
      <c r="E4" s="398"/>
      <c r="F4" s="398"/>
      <c r="G4" s="398">
        <f>E4*F4</f>
        <v>0</v>
      </c>
      <c r="H4" s="400"/>
      <c r="I4" s="400"/>
      <c r="J4" s="400">
        <f>H4*I4</f>
        <v>0</v>
      </c>
      <c r="K4" s="400">
        <f>G4+J4</f>
        <v>0</v>
      </c>
      <c r="L4" s="394"/>
      <c r="M4" s="395">
        <f>SUM(M3+L4-K4)</f>
        <v>0</v>
      </c>
      <c r="N4" s="6"/>
      <c r="O4" s="6"/>
    </row>
    <row r="5" spans="1:15" ht="15.75">
      <c r="A5" s="6">
        <v>2</v>
      </c>
      <c r="B5" s="72"/>
      <c r="C5" s="394"/>
      <c r="D5" s="662"/>
      <c r="E5" s="398"/>
      <c r="F5" s="398"/>
      <c r="G5" s="398">
        <f>E5*F5</f>
        <v>0</v>
      </c>
      <c r="H5" s="400"/>
      <c r="I5" s="400"/>
      <c r="J5" s="400">
        <f>H5*I5</f>
        <v>0</v>
      </c>
      <c r="K5" s="400">
        <f>G5+J5</f>
        <v>0</v>
      </c>
      <c r="L5" s="394"/>
      <c r="M5" s="395">
        <f>SUM(M4+L5-K5)</f>
        <v>0</v>
      </c>
      <c r="N5" s="6"/>
      <c r="O5" s="6"/>
    </row>
    <row r="6" spans="1:15" ht="15.75">
      <c r="A6" s="6">
        <v>3</v>
      </c>
      <c r="B6" s="72"/>
      <c r="C6" s="394"/>
      <c r="D6" s="419"/>
      <c r="E6" s="394"/>
      <c r="F6" s="398"/>
      <c r="G6" s="398">
        <f>E6*F6</f>
        <v>0</v>
      </c>
      <c r="H6" s="663"/>
      <c r="I6" s="663"/>
      <c r="J6" s="400">
        <f t="shared" ref="J6:J9" si="0">H6*I6</f>
        <v>0</v>
      </c>
      <c r="K6" s="400">
        <f t="shared" ref="K6:K94" si="1">G6+J6</f>
        <v>0</v>
      </c>
      <c r="L6" s="394"/>
      <c r="M6" s="395">
        <f t="shared" ref="M5:M57" si="2">SUM(M5+L6-K6)</f>
        <v>0</v>
      </c>
      <c r="N6" s="6"/>
      <c r="O6" s="6"/>
    </row>
    <row r="7" spans="1:15" ht="15.75">
      <c r="A7" s="6">
        <v>4</v>
      </c>
      <c r="B7" s="72"/>
      <c r="C7" s="394"/>
      <c r="D7" s="419"/>
      <c r="E7" s="394"/>
      <c r="F7" s="398"/>
      <c r="G7" s="398">
        <f>E7*F7</f>
        <v>0</v>
      </c>
      <c r="H7" s="663"/>
      <c r="I7" s="663"/>
      <c r="J7" s="400">
        <f t="shared" si="0"/>
        <v>0</v>
      </c>
      <c r="K7" s="400">
        <f t="shared" si="1"/>
        <v>0</v>
      </c>
      <c r="L7" s="394"/>
      <c r="M7" s="395">
        <f t="shared" si="2"/>
        <v>0</v>
      </c>
      <c r="N7" s="6"/>
      <c r="O7" s="6"/>
    </row>
    <row r="8" spans="1:15" ht="15.75">
      <c r="A8" s="6">
        <v>5</v>
      </c>
      <c r="B8" s="72"/>
      <c r="C8" s="394"/>
      <c r="D8" s="419"/>
      <c r="E8" s="394"/>
      <c r="F8" s="394"/>
      <c r="G8" s="398">
        <f>E8*F8</f>
        <v>0</v>
      </c>
      <c r="H8" s="663"/>
      <c r="I8" s="663"/>
      <c r="J8" s="400">
        <f t="shared" si="0"/>
        <v>0</v>
      </c>
      <c r="K8" s="400">
        <f t="shared" si="1"/>
        <v>0</v>
      </c>
      <c r="L8" s="394"/>
      <c r="M8" s="395">
        <f t="shared" si="2"/>
        <v>0</v>
      </c>
      <c r="N8" s="6"/>
      <c r="O8" s="6"/>
    </row>
    <row r="9" spans="1:15" ht="15.75">
      <c r="A9" s="6">
        <v>6</v>
      </c>
      <c r="B9" s="72"/>
      <c r="C9" s="394"/>
      <c r="D9" s="418"/>
      <c r="E9" s="394"/>
      <c r="F9" s="394"/>
      <c r="G9" s="398">
        <f>E9*F9</f>
        <v>0</v>
      </c>
      <c r="H9" s="663"/>
      <c r="I9" s="663"/>
      <c r="J9" s="400">
        <f t="shared" si="0"/>
        <v>0</v>
      </c>
      <c r="K9" s="400">
        <f t="shared" si="1"/>
        <v>0</v>
      </c>
      <c r="L9" s="394"/>
      <c r="M9" s="395">
        <f t="shared" si="2"/>
        <v>0</v>
      </c>
      <c r="N9" s="6"/>
      <c r="O9" s="6"/>
    </row>
    <row r="10" spans="1:15" ht="15.75">
      <c r="A10" s="6">
        <v>7</v>
      </c>
      <c r="B10" s="72"/>
      <c r="C10" s="394"/>
      <c r="D10" s="419"/>
      <c r="E10" s="394"/>
      <c r="F10" s="394"/>
      <c r="G10" s="398">
        <f>E10*F10</f>
        <v>0</v>
      </c>
      <c r="H10" s="663"/>
      <c r="I10" s="663"/>
      <c r="J10" s="400">
        <f t="shared" ref="J6:J55" si="3">H10*I10</f>
        <v>0</v>
      </c>
      <c r="K10" s="400">
        <f t="shared" si="1"/>
        <v>0</v>
      </c>
      <c r="L10" s="394"/>
      <c r="M10" s="395">
        <f t="shared" si="2"/>
        <v>0</v>
      </c>
      <c r="N10" s="6"/>
      <c r="O10" s="6"/>
    </row>
    <row r="11" spans="1:15" ht="15.75">
      <c r="A11" s="6">
        <v>8</v>
      </c>
      <c r="B11" s="72"/>
      <c r="C11" s="394"/>
      <c r="D11" s="419"/>
      <c r="E11" s="394"/>
      <c r="F11" s="394"/>
      <c r="G11" s="398"/>
      <c r="H11" s="663"/>
      <c r="I11" s="663"/>
      <c r="J11" s="400"/>
      <c r="K11" s="400"/>
      <c r="L11" s="394"/>
      <c r="M11" s="395">
        <f t="shared" si="2"/>
        <v>0</v>
      </c>
      <c r="N11" s="6"/>
      <c r="O11" s="6"/>
    </row>
    <row r="12" spans="1:15" ht="15.75">
      <c r="A12" s="6">
        <v>9</v>
      </c>
      <c r="B12" s="72"/>
      <c r="C12" s="394"/>
      <c r="D12" s="419"/>
      <c r="E12" s="394"/>
      <c r="F12" s="394"/>
      <c r="G12" s="398">
        <f t="shared" ref="G12:G55" si="4">E12*F12</f>
        <v>0</v>
      </c>
      <c r="H12" s="663"/>
      <c r="I12" s="663"/>
      <c r="J12" s="400">
        <f t="shared" si="3"/>
        <v>0</v>
      </c>
      <c r="K12" s="400">
        <f t="shared" si="1"/>
        <v>0</v>
      </c>
      <c r="L12" s="394"/>
      <c r="M12" s="395">
        <f t="shared" si="2"/>
        <v>0</v>
      </c>
      <c r="N12" s="6"/>
      <c r="O12" s="6"/>
    </row>
    <row r="13" spans="1:15" ht="15.75">
      <c r="A13" s="6">
        <v>10</v>
      </c>
      <c r="B13" s="72"/>
      <c r="C13" s="394"/>
      <c r="D13" s="662"/>
      <c r="E13" s="394"/>
      <c r="F13" s="394"/>
      <c r="G13" s="398">
        <f t="shared" si="4"/>
        <v>0</v>
      </c>
      <c r="H13" s="663"/>
      <c r="I13" s="663"/>
      <c r="J13" s="400">
        <f t="shared" si="3"/>
        <v>0</v>
      </c>
      <c r="K13" s="400">
        <f t="shared" si="1"/>
        <v>0</v>
      </c>
      <c r="L13" s="394"/>
      <c r="M13" s="395">
        <f t="shared" si="2"/>
        <v>0</v>
      </c>
      <c r="N13" s="6"/>
      <c r="O13" s="6"/>
    </row>
    <row r="14" spans="1:15" ht="15.75">
      <c r="A14" s="6">
        <v>11</v>
      </c>
      <c r="B14" s="72"/>
      <c r="C14" s="394"/>
      <c r="D14" s="419"/>
      <c r="E14" s="394"/>
      <c r="F14" s="394"/>
      <c r="G14" s="398">
        <f t="shared" si="4"/>
        <v>0</v>
      </c>
      <c r="H14" s="663"/>
      <c r="I14" s="663"/>
      <c r="J14" s="400">
        <f t="shared" si="3"/>
        <v>0</v>
      </c>
      <c r="K14" s="400">
        <f t="shared" si="1"/>
        <v>0</v>
      </c>
      <c r="L14" s="260"/>
      <c r="M14" s="395">
        <f t="shared" si="2"/>
        <v>0</v>
      </c>
      <c r="N14" s="6"/>
      <c r="O14" s="6"/>
    </row>
    <row r="15" spans="1:15" ht="15.75">
      <c r="A15" s="6">
        <v>12</v>
      </c>
      <c r="B15" s="72"/>
      <c r="C15" s="394"/>
      <c r="D15" s="419"/>
      <c r="E15" s="394"/>
      <c r="F15" s="394"/>
      <c r="G15" s="398">
        <f t="shared" si="4"/>
        <v>0</v>
      </c>
      <c r="H15" s="663"/>
      <c r="I15" s="663"/>
      <c r="J15" s="400">
        <f t="shared" si="3"/>
        <v>0</v>
      </c>
      <c r="K15" s="400">
        <f t="shared" si="1"/>
        <v>0</v>
      </c>
      <c r="L15" s="394"/>
      <c r="M15" s="395">
        <f t="shared" si="2"/>
        <v>0</v>
      </c>
      <c r="N15" s="6"/>
      <c r="O15" s="6"/>
    </row>
    <row r="16" spans="1:15" ht="15.75">
      <c r="A16" s="6">
        <v>13</v>
      </c>
      <c r="B16" s="72"/>
      <c r="C16" s="394"/>
      <c r="D16" s="418"/>
      <c r="E16" s="446"/>
      <c r="F16" s="446"/>
      <c r="G16" s="398">
        <f t="shared" si="4"/>
        <v>0</v>
      </c>
      <c r="H16" s="663"/>
      <c r="I16" s="663"/>
      <c r="J16" s="400">
        <f t="shared" si="3"/>
        <v>0</v>
      </c>
      <c r="K16" s="400">
        <f t="shared" si="1"/>
        <v>0</v>
      </c>
      <c r="L16" s="340"/>
      <c r="M16" s="395">
        <f t="shared" si="2"/>
        <v>0</v>
      </c>
      <c r="N16" s="6"/>
      <c r="O16" s="6"/>
    </row>
    <row r="17" spans="1:15" ht="15.75">
      <c r="A17" s="6">
        <v>14</v>
      </c>
      <c r="B17" s="72"/>
      <c r="C17" s="394"/>
      <c r="D17" s="419"/>
      <c r="E17" s="394"/>
      <c r="F17" s="394"/>
      <c r="G17" s="398">
        <f t="shared" si="4"/>
        <v>0</v>
      </c>
      <c r="H17" s="663"/>
      <c r="I17" s="663"/>
      <c r="J17" s="400">
        <f t="shared" si="3"/>
        <v>0</v>
      </c>
      <c r="K17" s="400">
        <f t="shared" si="1"/>
        <v>0</v>
      </c>
      <c r="L17" s="60"/>
      <c r="M17" s="395">
        <f t="shared" si="2"/>
        <v>0</v>
      </c>
      <c r="N17" s="6"/>
      <c r="O17" s="6"/>
    </row>
    <row r="18" spans="1:15" ht="15.75">
      <c r="A18" s="6">
        <v>15</v>
      </c>
      <c r="B18" s="72"/>
      <c r="C18" s="394"/>
      <c r="D18" s="418"/>
      <c r="E18" s="394"/>
      <c r="F18" s="394"/>
      <c r="G18" s="398">
        <f t="shared" si="4"/>
        <v>0</v>
      </c>
      <c r="H18" s="663"/>
      <c r="I18" s="663"/>
      <c r="J18" s="400">
        <f t="shared" si="3"/>
        <v>0</v>
      </c>
      <c r="K18" s="400">
        <f t="shared" si="1"/>
        <v>0</v>
      </c>
      <c r="L18" s="60"/>
      <c r="M18" s="395">
        <f t="shared" si="2"/>
        <v>0</v>
      </c>
      <c r="N18" s="6"/>
      <c r="O18" s="6"/>
    </row>
    <row r="19" spans="1:15" ht="15.75">
      <c r="A19" s="6">
        <v>16</v>
      </c>
      <c r="B19" s="72"/>
      <c r="C19" s="394"/>
      <c r="D19" s="419"/>
      <c r="E19" s="394"/>
      <c r="F19" s="394"/>
      <c r="G19" s="398">
        <f t="shared" si="4"/>
        <v>0</v>
      </c>
      <c r="H19" s="663"/>
      <c r="I19" s="663"/>
      <c r="J19" s="400">
        <f t="shared" si="3"/>
        <v>0</v>
      </c>
      <c r="K19" s="400">
        <f t="shared" si="1"/>
        <v>0</v>
      </c>
      <c r="L19" s="60"/>
      <c r="M19" s="395">
        <f t="shared" si="2"/>
        <v>0</v>
      </c>
      <c r="N19" s="6"/>
      <c r="O19" s="6"/>
    </row>
    <row r="20" spans="1:15" ht="15.75">
      <c r="A20" s="6">
        <v>17</v>
      </c>
      <c r="B20" s="72"/>
      <c r="C20" s="394"/>
      <c r="D20" s="445"/>
      <c r="E20" s="6"/>
      <c r="F20" s="6"/>
      <c r="G20" s="398">
        <f t="shared" si="4"/>
        <v>0</v>
      </c>
      <c r="H20" s="663"/>
      <c r="I20" s="663"/>
      <c r="J20" s="400">
        <f t="shared" si="3"/>
        <v>0</v>
      </c>
      <c r="K20" s="400">
        <f t="shared" si="1"/>
        <v>0</v>
      </c>
      <c r="L20" s="60"/>
      <c r="M20" s="395">
        <f t="shared" si="2"/>
        <v>0</v>
      </c>
      <c r="N20" s="6"/>
      <c r="O20" s="6"/>
    </row>
    <row r="21" spans="1:15" ht="15.75">
      <c r="A21" s="6">
        <v>18</v>
      </c>
      <c r="B21" s="72"/>
      <c r="C21" s="394"/>
      <c r="D21" s="445"/>
      <c r="E21" s="6"/>
      <c r="F21" s="6"/>
      <c r="G21" s="398">
        <f t="shared" si="4"/>
        <v>0</v>
      </c>
      <c r="H21" s="663"/>
      <c r="I21" s="663"/>
      <c r="J21" s="400">
        <f t="shared" si="3"/>
        <v>0</v>
      </c>
      <c r="K21" s="400">
        <f t="shared" si="1"/>
        <v>0</v>
      </c>
      <c r="L21" s="60"/>
      <c r="M21" s="395">
        <f t="shared" si="2"/>
        <v>0</v>
      </c>
      <c r="N21" s="6"/>
      <c r="O21" s="6"/>
    </row>
    <row r="22" spans="1:15" ht="15.75">
      <c r="A22" s="6">
        <v>19</v>
      </c>
      <c r="B22" s="72"/>
      <c r="C22" s="394"/>
      <c r="D22" s="445"/>
      <c r="E22" s="394"/>
      <c r="F22" s="394"/>
      <c r="G22" s="398">
        <f t="shared" si="4"/>
        <v>0</v>
      </c>
      <c r="H22" s="663"/>
      <c r="I22" s="663"/>
      <c r="J22" s="400">
        <f t="shared" si="3"/>
        <v>0</v>
      </c>
      <c r="K22" s="400">
        <f t="shared" si="1"/>
        <v>0</v>
      </c>
      <c r="L22" s="60"/>
      <c r="M22" s="395">
        <f t="shared" si="2"/>
        <v>0</v>
      </c>
      <c r="N22" s="6"/>
      <c r="O22" s="6"/>
    </row>
    <row r="23" spans="1:15" ht="15.75">
      <c r="A23" s="6">
        <v>20</v>
      </c>
      <c r="B23" s="72"/>
      <c r="C23" s="394"/>
      <c r="D23" s="445"/>
      <c r="E23" s="394"/>
      <c r="F23" s="394"/>
      <c r="G23" s="398">
        <f t="shared" si="4"/>
        <v>0</v>
      </c>
      <c r="H23" s="663"/>
      <c r="I23" s="663"/>
      <c r="J23" s="400">
        <f t="shared" si="3"/>
        <v>0</v>
      </c>
      <c r="K23" s="400">
        <f t="shared" si="1"/>
        <v>0</v>
      </c>
      <c r="L23" s="60"/>
      <c r="M23" s="395">
        <f t="shared" si="2"/>
        <v>0</v>
      </c>
      <c r="N23" s="6"/>
      <c r="O23" s="6"/>
    </row>
    <row r="24" spans="1:15" ht="15.75">
      <c r="A24" s="6">
        <v>21</v>
      </c>
      <c r="B24" s="72"/>
      <c r="C24" s="394"/>
      <c r="D24" s="418"/>
      <c r="E24" s="394"/>
      <c r="F24" s="394"/>
      <c r="G24" s="398">
        <f t="shared" si="4"/>
        <v>0</v>
      </c>
      <c r="H24" s="663"/>
      <c r="I24" s="663"/>
      <c r="J24" s="400">
        <f t="shared" si="3"/>
        <v>0</v>
      </c>
      <c r="K24" s="400">
        <f t="shared" si="1"/>
        <v>0</v>
      </c>
      <c r="L24" s="60"/>
      <c r="M24" s="395">
        <f t="shared" si="2"/>
        <v>0</v>
      </c>
      <c r="N24" s="6"/>
      <c r="O24" s="6"/>
    </row>
    <row r="25" spans="1:15" ht="15.75">
      <c r="A25" s="6">
        <v>22</v>
      </c>
      <c r="B25" s="72"/>
      <c r="C25" s="394"/>
      <c r="D25" s="445"/>
      <c r="E25" s="394"/>
      <c r="F25" s="394"/>
      <c r="G25" s="398">
        <f t="shared" si="4"/>
        <v>0</v>
      </c>
      <c r="H25" s="663"/>
      <c r="I25" s="663"/>
      <c r="J25" s="400">
        <f t="shared" si="3"/>
        <v>0</v>
      </c>
      <c r="K25" s="400">
        <f t="shared" si="1"/>
        <v>0</v>
      </c>
      <c r="L25" s="60"/>
      <c r="M25" s="395">
        <f t="shared" si="2"/>
        <v>0</v>
      </c>
      <c r="N25" s="6"/>
      <c r="O25" s="6"/>
    </row>
    <row r="26" spans="1:15" ht="15.75">
      <c r="A26" s="6">
        <v>23</v>
      </c>
      <c r="B26" s="72"/>
      <c r="C26" s="394"/>
      <c r="D26" s="445"/>
      <c r="E26" s="394"/>
      <c r="F26" s="394"/>
      <c r="G26" s="398">
        <f t="shared" si="4"/>
        <v>0</v>
      </c>
      <c r="H26" s="663"/>
      <c r="I26" s="663"/>
      <c r="J26" s="400">
        <f t="shared" si="3"/>
        <v>0</v>
      </c>
      <c r="K26" s="400">
        <f t="shared" si="1"/>
        <v>0</v>
      </c>
      <c r="L26" s="60"/>
      <c r="M26" s="395">
        <f t="shared" si="2"/>
        <v>0</v>
      </c>
      <c r="N26" s="6"/>
      <c r="O26" s="6"/>
    </row>
    <row r="27" spans="1:15" ht="15.75">
      <c r="A27" s="6">
        <v>24</v>
      </c>
      <c r="B27" s="72"/>
      <c r="C27" s="394"/>
      <c r="D27" s="418"/>
      <c r="E27" s="394"/>
      <c r="F27" s="394"/>
      <c r="G27" s="398">
        <f t="shared" si="4"/>
        <v>0</v>
      </c>
      <c r="H27" s="663"/>
      <c r="I27" s="663"/>
      <c r="J27" s="400">
        <f t="shared" si="3"/>
        <v>0</v>
      </c>
      <c r="K27" s="400">
        <f t="shared" si="1"/>
        <v>0</v>
      </c>
      <c r="L27" s="60"/>
      <c r="M27" s="395">
        <f t="shared" si="2"/>
        <v>0</v>
      </c>
      <c r="N27" s="6"/>
      <c r="O27" s="6"/>
    </row>
    <row r="28" spans="1:15" ht="15.75">
      <c r="A28" s="6">
        <v>25</v>
      </c>
      <c r="B28" s="72"/>
      <c r="C28" s="394"/>
      <c r="D28" s="418"/>
      <c r="E28" s="394"/>
      <c r="F28" s="394"/>
      <c r="G28" s="398">
        <f t="shared" si="4"/>
        <v>0</v>
      </c>
      <c r="H28" s="663"/>
      <c r="I28" s="663"/>
      <c r="J28" s="400">
        <f t="shared" si="3"/>
        <v>0</v>
      </c>
      <c r="K28" s="400">
        <f t="shared" si="1"/>
        <v>0</v>
      </c>
      <c r="L28" s="60"/>
      <c r="M28" s="395">
        <f t="shared" si="2"/>
        <v>0</v>
      </c>
      <c r="N28" s="6"/>
      <c r="O28" s="6"/>
    </row>
    <row r="29" spans="1:15" ht="15.75">
      <c r="A29" s="6">
        <v>26</v>
      </c>
      <c r="B29" s="72"/>
      <c r="C29" s="394"/>
      <c r="D29" s="418"/>
      <c r="E29" s="447"/>
      <c r="F29" s="447"/>
      <c r="G29" s="398">
        <f t="shared" si="4"/>
        <v>0</v>
      </c>
      <c r="H29" s="663"/>
      <c r="I29" s="663"/>
      <c r="J29" s="400">
        <f t="shared" si="3"/>
        <v>0</v>
      </c>
      <c r="K29" s="400">
        <f t="shared" si="1"/>
        <v>0</v>
      </c>
      <c r="L29" s="60"/>
      <c r="M29" s="395">
        <f t="shared" si="2"/>
        <v>0</v>
      </c>
      <c r="N29" s="6"/>
      <c r="O29" s="6"/>
    </row>
    <row r="30" spans="1:15" ht="15.75">
      <c r="A30" s="6">
        <v>27</v>
      </c>
      <c r="B30" s="72"/>
      <c r="C30" s="394"/>
      <c r="D30" s="418"/>
      <c r="E30" s="394"/>
      <c r="F30" s="394"/>
      <c r="G30" s="398">
        <f t="shared" si="4"/>
        <v>0</v>
      </c>
      <c r="H30" s="663"/>
      <c r="I30" s="663"/>
      <c r="J30" s="400">
        <f t="shared" si="3"/>
        <v>0</v>
      </c>
      <c r="K30" s="400">
        <f t="shared" si="1"/>
        <v>0</v>
      </c>
      <c r="L30" s="60"/>
      <c r="M30" s="395">
        <f t="shared" si="2"/>
        <v>0</v>
      </c>
      <c r="N30" s="6"/>
      <c r="O30" s="6"/>
    </row>
    <row r="31" spans="1:15" ht="15.75">
      <c r="A31" s="6">
        <v>28</v>
      </c>
      <c r="B31" s="72"/>
      <c r="C31" s="394"/>
      <c r="D31" s="418"/>
      <c r="E31" s="394"/>
      <c r="F31" s="394"/>
      <c r="G31" s="398">
        <f t="shared" si="4"/>
        <v>0</v>
      </c>
      <c r="H31" s="663"/>
      <c r="I31" s="663"/>
      <c r="J31" s="400">
        <f t="shared" si="3"/>
        <v>0</v>
      </c>
      <c r="K31" s="400">
        <f t="shared" si="1"/>
        <v>0</v>
      </c>
      <c r="L31" s="38"/>
      <c r="M31" s="395">
        <f t="shared" si="2"/>
        <v>0</v>
      </c>
      <c r="N31" s="6"/>
      <c r="O31" s="6"/>
    </row>
    <row r="32" spans="1:15" ht="15.75">
      <c r="A32" s="6">
        <v>29</v>
      </c>
      <c r="B32" s="72"/>
      <c r="C32" s="394"/>
      <c r="D32" s="418"/>
      <c r="E32" s="394"/>
      <c r="F32" s="394"/>
      <c r="G32" s="398">
        <f t="shared" si="4"/>
        <v>0</v>
      </c>
      <c r="H32" s="663"/>
      <c r="I32" s="663"/>
      <c r="J32" s="400">
        <f t="shared" si="3"/>
        <v>0</v>
      </c>
      <c r="K32" s="400">
        <f t="shared" si="1"/>
        <v>0</v>
      </c>
      <c r="L32" s="38"/>
      <c r="M32" s="395">
        <f t="shared" si="2"/>
        <v>0</v>
      </c>
      <c r="N32" s="6"/>
      <c r="O32" s="6"/>
    </row>
    <row r="33" spans="1:15" ht="15.75">
      <c r="A33" s="6">
        <v>30</v>
      </c>
      <c r="B33" s="72"/>
      <c r="C33" s="394"/>
      <c r="D33" s="418"/>
      <c r="E33" s="394"/>
      <c r="F33" s="394"/>
      <c r="G33" s="398">
        <f t="shared" si="4"/>
        <v>0</v>
      </c>
      <c r="H33" s="399"/>
      <c r="I33" s="399"/>
      <c r="J33" s="400">
        <f t="shared" si="3"/>
        <v>0</v>
      </c>
      <c r="K33" s="400">
        <f>G33+J33</f>
        <v>0</v>
      </c>
      <c r="L33" s="38"/>
      <c r="M33" s="395">
        <f t="shared" si="2"/>
        <v>0</v>
      </c>
      <c r="N33" s="6"/>
      <c r="O33" s="6"/>
    </row>
    <row r="34" spans="1:15" ht="15.75">
      <c r="A34" s="6">
        <v>31</v>
      </c>
      <c r="B34" s="72"/>
      <c r="C34" s="394"/>
      <c r="D34" s="418"/>
      <c r="E34" s="394"/>
      <c r="F34" s="394"/>
      <c r="G34" s="398">
        <f t="shared" si="4"/>
        <v>0</v>
      </c>
      <c r="H34" s="663"/>
      <c r="I34" s="663"/>
      <c r="J34" s="400">
        <f t="shared" si="3"/>
        <v>0</v>
      </c>
      <c r="K34" s="400">
        <f>G34+J34</f>
        <v>0</v>
      </c>
      <c r="L34" s="38"/>
      <c r="M34" s="395">
        <f t="shared" si="2"/>
        <v>0</v>
      </c>
      <c r="N34" s="6"/>
      <c r="O34" s="6"/>
    </row>
    <row r="35" spans="1:15" ht="15.75">
      <c r="A35" s="6">
        <v>32</v>
      </c>
      <c r="B35" s="72"/>
      <c r="C35" s="394"/>
      <c r="D35" s="418"/>
      <c r="E35" s="394"/>
      <c r="F35" s="394"/>
      <c r="G35" s="398">
        <f t="shared" si="4"/>
        <v>0</v>
      </c>
      <c r="H35" s="663"/>
      <c r="I35" s="663"/>
      <c r="J35" s="400">
        <f t="shared" si="3"/>
        <v>0</v>
      </c>
      <c r="K35" s="400">
        <f t="shared" si="1"/>
        <v>0</v>
      </c>
      <c r="L35" s="38"/>
      <c r="M35" s="395">
        <f t="shared" si="2"/>
        <v>0</v>
      </c>
      <c r="N35" s="6"/>
      <c r="O35" s="6"/>
    </row>
    <row r="36" spans="1:15" ht="15.75">
      <c r="A36" s="6">
        <v>33</v>
      </c>
      <c r="B36" s="72"/>
      <c r="C36" s="394"/>
      <c r="D36" s="418"/>
      <c r="E36" s="394"/>
      <c r="F36" s="394"/>
      <c r="G36" s="398">
        <f t="shared" si="4"/>
        <v>0</v>
      </c>
      <c r="H36" s="663"/>
      <c r="I36" s="663"/>
      <c r="J36" s="400">
        <f t="shared" si="3"/>
        <v>0</v>
      </c>
      <c r="K36" s="400">
        <f t="shared" si="1"/>
        <v>0</v>
      </c>
      <c r="L36" s="38"/>
      <c r="M36" s="395">
        <f t="shared" si="2"/>
        <v>0</v>
      </c>
      <c r="N36" s="6"/>
      <c r="O36" s="6"/>
    </row>
    <row r="37" spans="1:15" ht="15.75">
      <c r="A37" s="6">
        <v>34</v>
      </c>
      <c r="B37" s="72"/>
      <c r="C37" s="394"/>
      <c r="D37" s="418"/>
      <c r="E37" s="394"/>
      <c r="F37" s="394"/>
      <c r="G37" s="398">
        <f t="shared" si="4"/>
        <v>0</v>
      </c>
      <c r="H37" s="663"/>
      <c r="I37" s="663"/>
      <c r="J37" s="400">
        <f t="shared" si="3"/>
        <v>0</v>
      </c>
      <c r="K37" s="400">
        <f t="shared" si="1"/>
        <v>0</v>
      </c>
      <c r="L37" s="38"/>
      <c r="M37" s="395">
        <f t="shared" si="2"/>
        <v>0</v>
      </c>
      <c r="N37" s="6"/>
      <c r="O37" s="6"/>
    </row>
    <row r="38" spans="1:15" ht="15.75">
      <c r="A38" s="6">
        <v>35</v>
      </c>
      <c r="B38" s="72"/>
      <c r="C38" s="394"/>
      <c r="D38" s="418"/>
      <c r="E38" s="394"/>
      <c r="F38" s="394"/>
      <c r="G38" s="398">
        <f t="shared" si="4"/>
        <v>0</v>
      </c>
      <c r="H38" s="663"/>
      <c r="I38" s="399"/>
      <c r="J38" s="400">
        <f t="shared" si="3"/>
        <v>0</v>
      </c>
      <c r="K38" s="400">
        <f t="shared" si="1"/>
        <v>0</v>
      </c>
      <c r="L38" s="38"/>
      <c r="M38" s="395">
        <f t="shared" si="2"/>
        <v>0</v>
      </c>
      <c r="N38" s="6"/>
      <c r="O38" s="6"/>
    </row>
    <row r="39" spans="1:15" ht="15.75">
      <c r="A39" s="6">
        <v>36</v>
      </c>
      <c r="B39" s="72"/>
      <c r="C39" s="394"/>
      <c r="D39" s="418"/>
      <c r="E39" s="394"/>
      <c r="F39" s="394"/>
      <c r="G39" s="398">
        <f t="shared" si="4"/>
        <v>0</v>
      </c>
      <c r="H39" s="663"/>
      <c r="I39" s="399"/>
      <c r="J39" s="400">
        <f t="shared" si="3"/>
        <v>0</v>
      </c>
      <c r="K39" s="400">
        <f t="shared" si="1"/>
        <v>0</v>
      </c>
      <c r="L39" s="38"/>
      <c r="M39" s="395">
        <f t="shared" si="2"/>
        <v>0</v>
      </c>
      <c r="N39" s="6"/>
      <c r="O39" s="6"/>
    </row>
    <row r="40" spans="1:15" ht="15.75">
      <c r="A40" s="6">
        <v>37</v>
      </c>
      <c r="B40" s="72"/>
      <c r="C40" s="394"/>
      <c r="D40" s="418"/>
      <c r="E40" s="394"/>
      <c r="F40" s="394"/>
      <c r="G40" s="398">
        <f t="shared" si="4"/>
        <v>0</v>
      </c>
      <c r="H40" s="663"/>
      <c r="I40" s="663"/>
      <c r="J40" s="400">
        <f t="shared" si="3"/>
        <v>0</v>
      </c>
      <c r="K40" s="400">
        <f t="shared" si="1"/>
        <v>0</v>
      </c>
      <c r="L40" s="38"/>
      <c r="M40" s="395">
        <f t="shared" si="2"/>
        <v>0</v>
      </c>
      <c r="N40" s="6"/>
      <c r="O40" s="6"/>
    </row>
    <row r="41" spans="1:15" ht="15.75">
      <c r="A41" s="6">
        <v>38</v>
      </c>
      <c r="B41" s="72"/>
      <c r="C41" s="394"/>
      <c r="D41" s="418"/>
      <c r="E41" s="394"/>
      <c r="F41" s="394"/>
      <c r="G41" s="398">
        <f t="shared" si="4"/>
        <v>0</v>
      </c>
      <c r="H41" s="663"/>
      <c r="I41" s="663"/>
      <c r="J41" s="400">
        <f t="shared" si="3"/>
        <v>0</v>
      </c>
      <c r="K41" s="400">
        <f t="shared" si="1"/>
        <v>0</v>
      </c>
      <c r="L41" s="38"/>
      <c r="M41" s="395">
        <f t="shared" si="2"/>
        <v>0</v>
      </c>
      <c r="N41" s="6"/>
      <c r="O41" s="6"/>
    </row>
    <row r="42" spans="1:15" ht="15.75">
      <c r="A42" s="6">
        <v>39</v>
      </c>
      <c r="B42" s="72"/>
      <c r="C42" s="394"/>
      <c r="D42" s="418"/>
      <c r="E42" s="394"/>
      <c r="F42" s="394"/>
      <c r="G42" s="398">
        <f t="shared" si="4"/>
        <v>0</v>
      </c>
      <c r="H42" s="663"/>
      <c r="I42" s="663"/>
      <c r="J42" s="400">
        <f t="shared" si="3"/>
        <v>0</v>
      </c>
      <c r="K42" s="400">
        <f t="shared" si="1"/>
        <v>0</v>
      </c>
      <c r="L42" s="38"/>
      <c r="M42" s="395">
        <f t="shared" si="2"/>
        <v>0</v>
      </c>
      <c r="N42" s="6"/>
      <c r="O42" s="6"/>
    </row>
    <row r="43" spans="1:15" ht="15.75">
      <c r="A43" s="6">
        <v>40</v>
      </c>
      <c r="B43" s="72"/>
      <c r="C43" s="394"/>
      <c r="D43" s="418"/>
      <c r="E43" s="394"/>
      <c r="F43" s="394"/>
      <c r="G43" s="398">
        <f t="shared" si="4"/>
        <v>0</v>
      </c>
      <c r="H43" s="663"/>
      <c r="I43" s="663"/>
      <c r="J43" s="400">
        <f t="shared" si="3"/>
        <v>0</v>
      </c>
      <c r="K43" s="400">
        <f t="shared" si="1"/>
        <v>0</v>
      </c>
      <c r="L43" s="38"/>
      <c r="M43" s="395">
        <f t="shared" si="2"/>
        <v>0</v>
      </c>
      <c r="N43" s="6"/>
      <c r="O43" s="6"/>
    </row>
    <row r="44" spans="1:15" ht="15.75">
      <c r="A44" s="6">
        <v>41</v>
      </c>
      <c r="B44" s="72"/>
      <c r="C44" s="394"/>
      <c r="D44" s="418"/>
      <c r="E44" s="394"/>
      <c r="F44" s="394"/>
      <c r="G44" s="398">
        <f t="shared" si="4"/>
        <v>0</v>
      </c>
      <c r="H44" s="663"/>
      <c r="I44" s="663"/>
      <c r="J44" s="400">
        <f t="shared" si="3"/>
        <v>0</v>
      </c>
      <c r="K44" s="400">
        <f t="shared" si="1"/>
        <v>0</v>
      </c>
      <c r="L44" s="38"/>
      <c r="M44" s="395">
        <f t="shared" si="2"/>
        <v>0</v>
      </c>
      <c r="N44" s="6"/>
      <c r="O44" s="6"/>
    </row>
    <row r="45" spans="1:15" ht="15.75">
      <c r="A45" s="6">
        <v>42</v>
      </c>
      <c r="B45" s="72"/>
      <c r="C45" s="394"/>
      <c r="D45" s="418"/>
      <c r="F45" s="394"/>
      <c r="G45" s="398">
        <f t="shared" si="4"/>
        <v>0</v>
      </c>
      <c r="H45" s="663"/>
      <c r="I45" s="663"/>
      <c r="J45" s="400">
        <f t="shared" si="3"/>
        <v>0</v>
      </c>
      <c r="K45" s="400">
        <f t="shared" si="1"/>
        <v>0</v>
      </c>
      <c r="L45" s="38"/>
      <c r="M45" s="395">
        <f t="shared" si="2"/>
        <v>0</v>
      </c>
      <c r="N45" s="6"/>
      <c r="O45" s="6"/>
    </row>
    <row r="46" spans="1:15" ht="15.75">
      <c r="A46" s="6">
        <v>43</v>
      </c>
      <c r="B46" s="72"/>
      <c r="C46" s="394"/>
      <c r="D46" s="418"/>
      <c r="E46" s="394"/>
      <c r="F46" s="394"/>
      <c r="G46" s="398">
        <f t="shared" si="4"/>
        <v>0</v>
      </c>
      <c r="H46" s="663"/>
      <c r="I46" s="663"/>
      <c r="J46" s="400">
        <f t="shared" si="3"/>
        <v>0</v>
      </c>
      <c r="K46" s="400">
        <f t="shared" si="1"/>
        <v>0</v>
      </c>
      <c r="L46" s="38"/>
      <c r="M46" s="395">
        <f t="shared" si="2"/>
        <v>0</v>
      </c>
      <c r="N46" s="6"/>
      <c r="O46" s="6"/>
    </row>
    <row r="47" spans="1:15" ht="15.75">
      <c r="A47" s="6">
        <v>44</v>
      </c>
      <c r="B47" s="72"/>
      <c r="C47" s="394"/>
      <c r="D47" s="418"/>
      <c r="E47" s="394"/>
      <c r="F47" s="394"/>
      <c r="G47" s="398">
        <f t="shared" si="4"/>
        <v>0</v>
      </c>
      <c r="H47" s="663"/>
      <c r="I47" s="663"/>
      <c r="J47" s="400">
        <f t="shared" si="3"/>
        <v>0</v>
      </c>
      <c r="K47" s="400">
        <f t="shared" si="1"/>
        <v>0</v>
      </c>
      <c r="L47" s="41"/>
      <c r="M47" s="395">
        <f t="shared" si="2"/>
        <v>0</v>
      </c>
      <c r="N47" s="6"/>
      <c r="O47" s="6"/>
    </row>
    <row r="48" spans="1:15" ht="15.75">
      <c r="A48" s="6">
        <v>45</v>
      </c>
      <c r="B48" s="72"/>
      <c r="C48" s="394"/>
      <c r="D48" s="418"/>
      <c r="E48" s="394"/>
      <c r="F48" s="394"/>
      <c r="G48" s="398">
        <f t="shared" si="4"/>
        <v>0</v>
      </c>
      <c r="H48" s="663"/>
      <c r="I48" s="663"/>
      <c r="J48" s="400">
        <f t="shared" si="3"/>
        <v>0</v>
      </c>
      <c r="K48" s="400">
        <f t="shared" si="1"/>
        <v>0</v>
      </c>
      <c r="L48" s="41"/>
      <c r="M48" s="395">
        <f t="shared" si="2"/>
        <v>0</v>
      </c>
      <c r="N48" s="6"/>
      <c r="O48" s="6"/>
    </row>
    <row r="49" spans="1:15" ht="15.75">
      <c r="A49" s="6">
        <v>46</v>
      </c>
      <c r="B49" s="72"/>
      <c r="C49" s="394"/>
      <c r="D49" s="418"/>
      <c r="E49" s="394"/>
      <c r="F49" s="394"/>
      <c r="G49" s="398">
        <f t="shared" si="4"/>
        <v>0</v>
      </c>
      <c r="H49" s="663"/>
      <c r="I49" s="663"/>
      <c r="J49" s="400">
        <f t="shared" si="3"/>
        <v>0</v>
      </c>
      <c r="K49" s="400">
        <f t="shared" si="1"/>
        <v>0</v>
      </c>
      <c r="L49" s="41"/>
      <c r="M49" s="395">
        <f t="shared" si="2"/>
        <v>0</v>
      </c>
      <c r="N49" s="6"/>
      <c r="O49" s="6"/>
    </row>
    <row r="50" spans="1:15" ht="15.75">
      <c r="A50" s="6">
        <v>47</v>
      </c>
      <c r="B50" s="72"/>
      <c r="C50" s="394"/>
      <c r="D50" s="418"/>
      <c r="E50" s="394"/>
      <c r="F50" s="394"/>
      <c r="G50" s="398">
        <f t="shared" si="4"/>
        <v>0</v>
      </c>
      <c r="H50" s="663"/>
      <c r="I50" s="663"/>
      <c r="J50" s="400">
        <f t="shared" si="3"/>
        <v>0</v>
      </c>
      <c r="K50" s="400">
        <f t="shared" si="1"/>
        <v>0</v>
      </c>
      <c r="L50" s="41"/>
      <c r="M50" s="395">
        <f t="shared" si="2"/>
        <v>0</v>
      </c>
      <c r="N50" s="6"/>
      <c r="O50" s="6"/>
    </row>
    <row r="51" spans="1:15" ht="15.75">
      <c r="A51" s="6">
        <v>48</v>
      </c>
      <c r="B51" s="72"/>
      <c r="C51" s="394"/>
      <c r="D51" s="418"/>
      <c r="E51" s="394"/>
      <c r="F51" s="394"/>
      <c r="G51" s="398">
        <f t="shared" si="4"/>
        <v>0</v>
      </c>
      <c r="H51" s="394"/>
      <c r="I51" s="394"/>
      <c r="J51" s="400">
        <f t="shared" si="3"/>
        <v>0</v>
      </c>
      <c r="K51" s="400">
        <f t="shared" si="1"/>
        <v>0</v>
      </c>
      <c r="L51" s="41"/>
      <c r="M51" s="395">
        <f t="shared" si="2"/>
        <v>0</v>
      </c>
      <c r="N51" s="6"/>
      <c r="O51" s="6"/>
    </row>
    <row r="52" spans="1:15" ht="15.75">
      <c r="A52" s="6">
        <v>49</v>
      </c>
      <c r="B52" s="72"/>
      <c r="C52" s="394"/>
      <c r="D52" s="418"/>
      <c r="E52" s="394"/>
      <c r="F52" s="394"/>
      <c r="G52" s="398">
        <f t="shared" si="4"/>
        <v>0</v>
      </c>
      <c r="H52" s="394"/>
      <c r="I52" s="394"/>
      <c r="J52" s="400">
        <f t="shared" si="3"/>
        <v>0</v>
      </c>
      <c r="K52" s="400">
        <f t="shared" si="1"/>
        <v>0</v>
      </c>
      <c r="L52" s="41"/>
      <c r="M52" s="395">
        <f t="shared" si="2"/>
        <v>0</v>
      </c>
      <c r="N52" s="6"/>
      <c r="O52" s="6"/>
    </row>
    <row r="53" spans="1:15" ht="15.75">
      <c r="A53" s="6">
        <v>50</v>
      </c>
      <c r="B53" s="72"/>
      <c r="C53" s="394"/>
      <c r="D53" s="418"/>
      <c r="E53" s="394"/>
      <c r="F53" s="394"/>
      <c r="G53" s="398">
        <f t="shared" si="4"/>
        <v>0</v>
      </c>
      <c r="H53" s="394"/>
      <c r="I53" s="394"/>
      <c r="J53" s="400">
        <f t="shared" si="3"/>
        <v>0</v>
      </c>
      <c r="K53" s="400">
        <f t="shared" si="1"/>
        <v>0</v>
      </c>
      <c r="L53" s="41"/>
      <c r="M53" s="395">
        <f t="shared" si="2"/>
        <v>0</v>
      </c>
      <c r="N53" s="6"/>
      <c r="O53" s="6"/>
    </row>
    <row r="54" spans="1:15" ht="15.75">
      <c r="A54" s="6">
        <v>51</v>
      </c>
      <c r="B54" s="72"/>
      <c r="C54" s="394"/>
      <c r="D54" s="418"/>
      <c r="E54" s="394"/>
      <c r="F54" s="394"/>
      <c r="G54" s="398">
        <f t="shared" si="4"/>
        <v>0</v>
      </c>
      <c r="H54" s="394"/>
      <c r="I54" s="394"/>
      <c r="J54" s="400">
        <f t="shared" si="3"/>
        <v>0</v>
      </c>
      <c r="K54" s="400">
        <f t="shared" si="1"/>
        <v>0</v>
      </c>
      <c r="L54" s="41"/>
      <c r="M54" s="395">
        <f t="shared" si="2"/>
        <v>0</v>
      </c>
      <c r="N54" s="6"/>
      <c r="O54" s="6"/>
    </row>
    <row r="55" spans="1:15" ht="15.75">
      <c r="A55" s="6">
        <v>52</v>
      </c>
      <c r="B55" s="72"/>
      <c r="C55" s="394"/>
      <c r="D55" s="418"/>
      <c r="E55" s="394"/>
      <c r="F55" s="394"/>
      <c r="G55" s="398">
        <f t="shared" si="4"/>
        <v>0</v>
      </c>
      <c r="H55" s="394"/>
      <c r="I55" s="394"/>
      <c r="J55" s="400">
        <f t="shared" si="3"/>
        <v>0</v>
      </c>
      <c r="K55" s="400">
        <f t="shared" si="1"/>
        <v>0</v>
      </c>
      <c r="L55" s="41"/>
      <c r="M55" s="395">
        <f t="shared" si="2"/>
        <v>0</v>
      </c>
      <c r="N55" s="6"/>
      <c r="O55" s="6"/>
    </row>
    <row r="56" spans="1:15" ht="15.75">
      <c r="A56" s="6">
        <v>53</v>
      </c>
      <c r="B56" s="72"/>
      <c r="C56" s="394"/>
      <c r="D56" s="418"/>
      <c r="E56" s="394"/>
      <c r="F56" s="394"/>
      <c r="G56" s="394"/>
      <c r="H56" s="394"/>
      <c r="I56" s="394"/>
      <c r="J56" s="394"/>
      <c r="K56" s="400"/>
      <c r="L56" s="41"/>
      <c r="M56" s="395">
        <f t="shared" si="2"/>
        <v>0</v>
      </c>
      <c r="N56" s="6"/>
      <c r="O56" s="6"/>
    </row>
    <row r="57" spans="1:15" ht="15.75">
      <c r="A57" s="6">
        <v>54</v>
      </c>
      <c r="B57" s="72"/>
      <c r="C57" s="394"/>
      <c r="D57" s="418"/>
      <c r="E57" s="394"/>
      <c r="F57" s="394"/>
      <c r="G57" s="394"/>
      <c r="H57" s="394"/>
      <c r="I57" s="394"/>
      <c r="J57" s="394"/>
      <c r="K57" s="400"/>
      <c r="L57" s="41"/>
      <c r="M57" s="395">
        <f t="shared" si="2"/>
        <v>0</v>
      </c>
      <c r="N57" s="6"/>
      <c r="O57" s="6"/>
    </row>
    <row r="58" spans="1:15" ht="15.75">
      <c r="A58" s="6">
        <v>55</v>
      </c>
      <c r="B58" s="72"/>
      <c r="C58" s="394"/>
      <c r="D58" s="418"/>
      <c r="E58" s="394"/>
      <c r="F58" s="394"/>
      <c r="G58" s="394"/>
      <c r="H58" s="394"/>
      <c r="I58" s="394"/>
      <c r="J58" s="394"/>
      <c r="K58" s="400"/>
      <c r="L58" s="41"/>
      <c r="M58" s="395"/>
      <c r="N58" s="6"/>
      <c r="O58" s="6"/>
    </row>
    <row r="59" spans="1:15" ht="15.75">
      <c r="A59" s="6">
        <v>56</v>
      </c>
      <c r="B59" s="72"/>
      <c r="C59" s="394"/>
      <c r="D59" s="418"/>
      <c r="E59" s="394"/>
      <c r="F59" s="394"/>
      <c r="G59" s="394"/>
      <c r="H59" s="394"/>
      <c r="I59" s="394"/>
      <c r="J59" s="394"/>
      <c r="K59" s="400"/>
      <c r="L59" s="41"/>
      <c r="M59" s="395"/>
      <c r="N59" s="6"/>
      <c r="O59" s="6"/>
    </row>
    <row r="60" spans="1:15" ht="15.75">
      <c r="A60" s="6">
        <v>57</v>
      </c>
      <c r="B60" s="72"/>
      <c r="C60" s="394"/>
      <c r="D60" s="418"/>
      <c r="E60" s="394"/>
      <c r="F60" s="394"/>
      <c r="G60" s="394"/>
      <c r="H60" s="394"/>
      <c r="I60" s="394"/>
      <c r="J60" s="394"/>
      <c r="K60" s="400"/>
      <c r="L60" s="41"/>
      <c r="M60" s="395"/>
      <c r="N60" s="6"/>
      <c r="O60" s="6"/>
    </row>
    <row r="61" spans="1:15" ht="15.75">
      <c r="A61" s="6">
        <v>58</v>
      </c>
      <c r="B61" s="72"/>
      <c r="C61" s="394"/>
      <c r="D61" s="418"/>
      <c r="E61" s="394"/>
      <c r="F61" s="394"/>
      <c r="G61" s="394"/>
      <c r="H61" s="394"/>
      <c r="I61" s="394"/>
      <c r="J61" s="394"/>
      <c r="K61" s="400"/>
      <c r="L61" s="41"/>
      <c r="M61" s="395"/>
      <c r="N61" s="6"/>
      <c r="O61" s="6"/>
    </row>
    <row r="62" spans="1:15" ht="15.75">
      <c r="A62" s="6">
        <v>59</v>
      </c>
      <c r="B62" s="72"/>
      <c r="C62" s="394"/>
      <c r="D62" s="418"/>
      <c r="E62" s="394"/>
      <c r="F62" s="394"/>
      <c r="G62" s="394"/>
      <c r="H62" s="394"/>
      <c r="I62" s="394"/>
      <c r="J62" s="394"/>
      <c r="K62" s="400"/>
      <c r="L62" s="41"/>
      <c r="M62" s="395"/>
      <c r="N62" s="6"/>
      <c r="O62" s="6"/>
    </row>
    <row r="63" spans="1:15" ht="15.75">
      <c r="A63" s="6">
        <v>60</v>
      </c>
      <c r="B63" s="72"/>
      <c r="C63" s="394"/>
      <c r="D63" s="418"/>
      <c r="E63" s="394"/>
      <c r="F63" s="394"/>
      <c r="G63" s="394"/>
      <c r="H63" s="394"/>
      <c r="I63" s="394"/>
      <c r="J63" s="394"/>
      <c r="K63" s="400"/>
      <c r="L63" s="41"/>
      <c r="M63" s="395"/>
      <c r="N63" s="6"/>
      <c r="O63" s="6"/>
    </row>
    <row r="64" spans="1:15" ht="15.75">
      <c r="A64" s="6">
        <v>61</v>
      </c>
      <c r="B64" s="72"/>
      <c r="C64" s="394"/>
      <c r="D64" s="418"/>
      <c r="E64" s="394"/>
      <c r="F64" s="394"/>
      <c r="G64" s="394"/>
      <c r="H64" s="394"/>
      <c r="I64" s="394"/>
      <c r="J64" s="394"/>
      <c r="K64" s="400"/>
      <c r="L64" s="41"/>
      <c r="M64" s="395"/>
      <c r="N64" s="6"/>
      <c r="O64" s="6"/>
    </row>
    <row r="65" spans="1:15" ht="15.75">
      <c r="A65" s="6">
        <v>62</v>
      </c>
      <c r="B65" s="72"/>
      <c r="C65" s="394"/>
      <c r="D65" s="418"/>
      <c r="E65" s="394"/>
      <c r="F65" s="394"/>
      <c r="G65" s="394"/>
      <c r="H65" s="394"/>
      <c r="I65" s="394"/>
      <c r="J65" s="394"/>
      <c r="K65" s="400"/>
      <c r="L65" s="41"/>
      <c r="M65" s="395"/>
      <c r="N65" s="6"/>
      <c r="O65" s="6"/>
    </row>
    <row r="66" spans="1:15" ht="15.75">
      <c r="A66" s="6">
        <v>63</v>
      </c>
      <c r="B66" s="72"/>
      <c r="C66" s="394"/>
      <c r="D66" s="418"/>
      <c r="E66" s="394"/>
      <c r="F66" s="394"/>
      <c r="G66" s="394"/>
      <c r="H66" s="394"/>
      <c r="I66" s="394"/>
      <c r="J66" s="394"/>
      <c r="K66" s="400"/>
      <c r="L66" s="41"/>
      <c r="M66" s="395"/>
      <c r="N66" s="6"/>
      <c r="O66" s="6"/>
    </row>
    <row r="67" spans="1:15" ht="15.75">
      <c r="A67" s="6">
        <v>64</v>
      </c>
      <c r="B67" s="72"/>
      <c r="C67" s="394"/>
      <c r="D67" s="418"/>
      <c r="E67" s="394"/>
      <c r="F67" s="394"/>
      <c r="G67" s="394"/>
      <c r="H67" s="394"/>
      <c r="I67" s="394"/>
      <c r="J67" s="394"/>
      <c r="K67" s="400"/>
      <c r="L67" s="41"/>
      <c r="M67" s="395"/>
      <c r="N67" s="6"/>
      <c r="O67" s="6"/>
    </row>
    <row r="68" spans="1:15" ht="15.75">
      <c r="A68" s="6">
        <v>65</v>
      </c>
      <c r="B68" s="72"/>
      <c r="C68" s="394"/>
      <c r="D68" s="418"/>
      <c r="E68" s="394"/>
      <c r="F68" s="394"/>
      <c r="G68" s="394"/>
      <c r="H68" s="394"/>
      <c r="I68" s="394"/>
      <c r="J68" s="394"/>
      <c r="K68" s="400"/>
      <c r="L68" s="41"/>
      <c r="M68" s="395"/>
      <c r="N68" s="6"/>
      <c r="O68" s="6"/>
    </row>
    <row r="69" spans="1:15" ht="15.75">
      <c r="A69" s="6">
        <v>66</v>
      </c>
      <c r="B69" s="72"/>
      <c r="C69" s="394"/>
      <c r="D69" s="418"/>
      <c r="E69" s="394"/>
      <c r="F69" s="394"/>
      <c r="G69" s="394"/>
      <c r="H69" s="394"/>
      <c r="I69" s="394"/>
      <c r="J69" s="394"/>
      <c r="K69" s="400"/>
      <c r="L69" s="41"/>
      <c r="M69" s="395"/>
      <c r="N69" s="6"/>
      <c r="O69" s="6"/>
    </row>
    <row r="70" spans="1:15" ht="15.75">
      <c r="A70" s="6">
        <v>67</v>
      </c>
      <c r="B70" s="72"/>
      <c r="C70" s="394"/>
      <c r="D70" s="418"/>
      <c r="E70" s="394"/>
      <c r="F70" s="394"/>
      <c r="G70" s="394"/>
      <c r="H70" s="394"/>
      <c r="I70" s="394"/>
      <c r="J70" s="394"/>
      <c r="K70" s="400"/>
      <c r="L70" s="41"/>
      <c r="M70" s="395"/>
      <c r="N70" s="6"/>
      <c r="O70" s="6"/>
    </row>
    <row r="71" spans="1:15" ht="15.75">
      <c r="A71" s="6">
        <v>68</v>
      </c>
      <c r="B71" s="72"/>
      <c r="C71" s="394"/>
      <c r="D71" s="418"/>
      <c r="E71" s="394"/>
      <c r="F71" s="394"/>
      <c r="G71" s="394"/>
      <c r="H71" s="663"/>
      <c r="I71" s="663"/>
      <c r="J71" s="394"/>
      <c r="K71" s="400"/>
      <c r="L71" s="41"/>
      <c r="M71" s="395"/>
      <c r="N71" s="6"/>
      <c r="O71" s="6"/>
    </row>
    <row r="72" spans="1:15" ht="15.75">
      <c r="A72" s="6">
        <v>69</v>
      </c>
      <c r="B72" s="72"/>
      <c r="C72" s="394"/>
      <c r="D72" s="418"/>
      <c r="E72" s="394"/>
      <c r="F72" s="394"/>
      <c r="G72" s="394"/>
      <c r="H72" s="663"/>
      <c r="I72" s="663"/>
      <c r="J72" s="394"/>
      <c r="K72" s="400"/>
      <c r="L72" s="41"/>
      <c r="M72" s="395"/>
      <c r="N72" s="6"/>
      <c r="O72" s="6"/>
    </row>
    <row r="73" spans="1:15" ht="15.75">
      <c r="A73" s="6">
        <v>70</v>
      </c>
      <c r="B73" s="72"/>
      <c r="C73" s="394"/>
      <c r="D73" s="418"/>
      <c r="E73" s="394"/>
      <c r="F73" s="394"/>
      <c r="G73" s="394"/>
      <c r="H73" s="664"/>
      <c r="I73" s="664"/>
      <c r="J73" s="394"/>
      <c r="K73" s="400"/>
      <c r="L73" s="41"/>
      <c r="M73" s="395"/>
      <c r="N73" s="6"/>
      <c r="O73" s="6"/>
    </row>
    <row r="74" spans="1:15" ht="15.75">
      <c r="A74" s="6">
        <v>71</v>
      </c>
      <c r="B74" s="72"/>
      <c r="C74" s="394"/>
      <c r="D74" s="394"/>
      <c r="E74" s="394"/>
      <c r="F74" s="394"/>
      <c r="G74" s="394"/>
      <c r="H74" s="664"/>
      <c r="I74" s="664"/>
      <c r="J74" s="394"/>
      <c r="K74" s="400"/>
      <c r="L74" s="41"/>
      <c r="M74" s="395"/>
      <c r="N74" s="6"/>
      <c r="O74" s="6"/>
    </row>
    <row r="75" spans="1:15" ht="15.75">
      <c r="A75" s="6">
        <v>72</v>
      </c>
      <c r="B75" s="72"/>
      <c r="C75" s="394"/>
      <c r="D75" s="394"/>
      <c r="E75" s="394"/>
      <c r="F75" s="394"/>
      <c r="G75" s="394"/>
      <c r="H75" s="664"/>
      <c r="I75" s="664"/>
      <c r="J75" s="394"/>
      <c r="K75" s="400"/>
      <c r="L75" s="41"/>
      <c r="M75" s="395"/>
      <c r="N75" s="6"/>
      <c r="O75" s="6"/>
    </row>
    <row r="76" spans="1:15" ht="15.75">
      <c r="A76" s="6">
        <v>73</v>
      </c>
      <c r="B76" s="72"/>
      <c r="C76" s="394"/>
      <c r="D76" s="394"/>
      <c r="E76" s="394"/>
      <c r="F76" s="394"/>
      <c r="G76" s="394"/>
      <c r="H76" s="664"/>
      <c r="I76" s="664"/>
      <c r="J76" s="394"/>
      <c r="K76" s="400"/>
      <c r="L76" s="41"/>
      <c r="M76" s="395"/>
      <c r="N76" s="6"/>
      <c r="O76" s="6"/>
    </row>
    <row r="77" spans="1:15" ht="15.75">
      <c r="A77" s="6">
        <v>74</v>
      </c>
      <c r="B77" s="72"/>
      <c r="C77" s="394"/>
      <c r="D77" s="394"/>
      <c r="E77" s="394"/>
      <c r="F77" s="394"/>
      <c r="G77" s="394"/>
      <c r="H77" s="399"/>
      <c r="I77" s="399"/>
      <c r="J77" s="394"/>
      <c r="K77" s="400"/>
      <c r="L77" s="41"/>
      <c r="M77" s="395"/>
      <c r="N77" s="6"/>
      <c r="O77" s="6"/>
    </row>
    <row r="78" spans="1:15" ht="15.75">
      <c r="A78" s="6">
        <v>75</v>
      </c>
      <c r="B78" s="72"/>
      <c r="C78" s="394"/>
      <c r="D78" s="394"/>
      <c r="E78" s="394"/>
      <c r="F78" s="394"/>
      <c r="G78" s="394"/>
      <c r="H78" s="664"/>
      <c r="I78" s="664"/>
      <c r="J78" s="394"/>
      <c r="K78" s="400"/>
      <c r="L78" s="41"/>
      <c r="M78" s="395"/>
      <c r="N78" s="6"/>
      <c r="O78" s="6"/>
    </row>
    <row r="79" spans="1:15" ht="15.75">
      <c r="A79" s="6">
        <v>76</v>
      </c>
      <c r="B79" s="72"/>
      <c r="C79" s="394"/>
      <c r="D79" s="394"/>
      <c r="E79" s="394"/>
      <c r="F79" s="394"/>
      <c r="G79" s="394"/>
      <c r="H79" s="664"/>
      <c r="I79" s="664"/>
      <c r="J79" s="394"/>
      <c r="K79" s="400"/>
      <c r="L79" s="41"/>
      <c r="M79" s="395"/>
      <c r="N79" s="6"/>
      <c r="O79" s="60"/>
    </row>
    <row r="80" spans="1:15" ht="15.75">
      <c r="A80" s="6">
        <v>77</v>
      </c>
      <c r="B80" s="396"/>
      <c r="C80" s="394"/>
      <c r="D80" s="394"/>
      <c r="E80" s="394"/>
      <c r="F80" s="394"/>
      <c r="G80" s="394"/>
      <c r="H80" s="665"/>
      <c r="I80" s="665"/>
      <c r="J80" s="394"/>
      <c r="K80" s="400"/>
      <c r="L80" s="41"/>
      <c r="M80" s="395"/>
      <c r="N80" s="158"/>
      <c r="O80" s="158"/>
    </row>
    <row r="81" spans="1:15" ht="15.75">
      <c r="A81" s="6">
        <v>78</v>
      </c>
      <c r="B81" s="396"/>
      <c r="C81" s="394"/>
      <c r="D81" s="394"/>
      <c r="E81" s="394"/>
      <c r="F81" s="394"/>
      <c r="G81" s="394"/>
      <c r="H81" s="399"/>
      <c r="I81" s="399"/>
      <c r="J81" s="394"/>
      <c r="K81" s="400"/>
      <c r="L81" s="41"/>
      <c r="M81" s="395"/>
      <c r="N81" s="158"/>
      <c r="O81" s="158"/>
    </row>
    <row r="82" spans="1:15" ht="15.75">
      <c r="A82" s="6">
        <v>79</v>
      </c>
      <c r="B82" s="397"/>
      <c r="C82" s="394"/>
      <c r="D82" s="394"/>
      <c r="E82" s="394"/>
      <c r="F82" s="394"/>
      <c r="G82" s="394"/>
      <c r="H82" s="664"/>
      <c r="I82" s="664"/>
      <c r="J82" s="394"/>
      <c r="K82" s="400"/>
      <c r="L82" s="41"/>
      <c r="M82" s="395"/>
      <c r="N82" s="6"/>
      <c r="O82" s="6"/>
    </row>
    <row r="83" spans="1:15" ht="15.75">
      <c r="A83" s="6">
        <v>80</v>
      </c>
      <c r="B83" s="397"/>
      <c r="C83" s="394"/>
      <c r="D83" s="394"/>
      <c r="E83" s="394"/>
      <c r="F83" s="394"/>
      <c r="G83" s="394"/>
      <c r="H83" s="664"/>
      <c r="I83" s="664"/>
      <c r="J83" s="394"/>
      <c r="K83" s="400"/>
      <c r="L83" s="41"/>
      <c r="M83" s="395"/>
      <c r="N83" s="6"/>
      <c r="O83" s="6"/>
    </row>
    <row r="84" spans="1:15" ht="15.75">
      <c r="A84" s="6">
        <v>81</v>
      </c>
      <c r="B84" s="397"/>
      <c r="C84" s="394"/>
      <c r="D84" s="394"/>
      <c r="E84" s="394"/>
      <c r="F84" s="394"/>
      <c r="G84" s="394"/>
      <c r="H84" s="664"/>
      <c r="I84" s="664"/>
      <c r="J84" s="394"/>
      <c r="K84" s="400"/>
      <c r="L84" s="41"/>
      <c r="M84" s="395"/>
      <c r="N84" s="6"/>
      <c r="O84" s="6"/>
    </row>
    <row r="85" spans="1:15" ht="15.75">
      <c r="A85" s="6">
        <v>82</v>
      </c>
      <c r="B85" s="397"/>
      <c r="C85" s="394"/>
      <c r="D85" s="394"/>
      <c r="E85" s="394"/>
      <c r="F85" s="394"/>
      <c r="G85" s="394"/>
      <c r="H85" s="664"/>
      <c r="I85" s="664"/>
      <c r="J85" s="394"/>
      <c r="K85" s="400"/>
      <c r="L85" s="41"/>
      <c r="M85" s="395"/>
      <c r="N85" s="6"/>
      <c r="O85" s="6"/>
    </row>
    <row r="86" spans="1:15" ht="15.75">
      <c r="A86" s="6">
        <v>83</v>
      </c>
      <c r="B86" s="397"/>
      <c r="C86" s="394"/>
      <c r="D86" s="394"/>
      <c r="E86" s="394"/>
      <c r="F86" s="394"/>
      <c r="G86" s="394"/>
      <c r="H86" s="664"/>
      <c r="I86" s="664"/>
      <c r="J86" s="394"/>
      <c r="K86" s="400"/>
      <c r="L86" s="41"/>
      <c r="M86" s="395"/>
      <c r="N86" s="6"/>
      <c r="O86" s="6"/>
    </row>
    <row r="87" spans="1:15" ht="15.75">
      <c r="A87" s="6">
        <v>84</v>
      </c>
      <c r="B87" s="397"/>
      <c r="C87" s="394"/>
      <c r="D87" s="394"/>
      <c r="E87" s="394"/>
      <c r="F87" s="394"/>
      <c r="G87" s="394"/>
      <c r="H87" s="664"/>
      <c r="I87" s="664"/>
      <c r="J87" s="394"/>
      <c r="K87" s="400"/>
      <c r="L87" s="41"/>
      <c r="M87" s="395"/>
      <c r="N87" s="6"/>
      <c r="O87" s="6"/>
    </row>
    <row r="88" spans="1:15" ht="15.75">
      <c r="A88" s="6">
        <v>85</v>
      </c>
      <c r="B88" s="397"/>
      <c r="C88" s="394"/>
      <c r="D88" s="394"/>
      <c r="E88" s="394"/>
      <c r="F88" s="394"/>
      <c r="G88" s="394"/>
      <c r="H88" s="664"/>
      <c r="I88" s="664"/>
      <c r="J88" s="394"/>
      <c r="K88" s="400"/>
      <c r="L88" s="41"/>
      <c r="M88" s="395"/>
      <c r="N88" s="6"/>
      <c r="O88" s="6"/>
    </row>
    <row r="89" spans="1:15" ht="15.75">
      <c r="A89" s="6">
        <v>86</v>
      </c>
      <c r="B89" s="397"/>
      <c r="C89" s="394"/>
      <c r="D89" s="394"/>
      <c r="E89" s="394"/>
      <c r="F89" s="394"/>
      <c r="G89" s="394"/>
      <c r="H89" s="664"/>
      <c r="I89" s="664"/>
      <c r="J89" s="394"/>
      <c r="K89" s="400"/>
      <c r="L89" s="41"/>
      <c r="M89" s="395"/>
      <c r="N89" s="6"/>
      <c r="O89" s="6"/>
    </row>
    <row r="90" spans="1:15" ht="15.75">
      <c r="A90" s="6">
        <v>87</v>
      </c>
      <c r="B90" s="397"/>
      <c r="C90" s="394"/>
      <c r="D90" s="394"/>
      <c r="E90" s="394"/>
      <c r="F90" s="394"/>
      <c r="G90" s="394"/>
      <c r="H90" s="664"/>
      <c r="I90" s="664"/>
      <c r="J90" s="394"/>
      <c r="K90" s="400"/>
      <c r="L90" s="41"/>
      <c r="M90" s="395"/>
      <c r="N90" s="6"/>
      <c r="O90" s="6"/>
    </row>
    <row r="91" spans="1:15" ht="15.75">
      <c r="A91" s="6">
        <v>88</v>
      </c>
      <c r="B91" s="397"/>
      <c r="C91" s="394"/>
      <c r="D91" s="394"/>
      <c r="E91" s="394"/>
      <c r="F91" s="394"/>
      <c r="G91" s="394"/>
      <c r="H91" s="664"/>
      <c r="I91" s="399"/>
      <c r="J91" s="394"/>
      <c r="K91" s="400"/>
      <c r="L91" s="41"/>
      <c r="M91" s="395"/>
      <c r="N91" s="6"/>
      <c r="O91" s="6"/>
    </row>
    <row r="92" spans="1:15" ht="15.75">
      <c r="A92" s="6">
        <v>89</v>
      </c>
      <c r="B92" s="397"/>
      <c r="C92" s="394"/>
      <c r="D92" s="394"/>
      <c r="E92" s="394"/>
      <c r="F92" s="394"/>
      <c r="G92" s="394"/>
      <c r="H92" s="664"/>
      <c r="I92" s="664"/>
      <c r="J92" s="394"/>
      <c r="K92" s="400"/>
      <c r="L92" s="41"/>
      <c r="M92" s="395"/>
      <c r="N92" s="6"/>
      <c r="O92" s="6"/>
    </row>
    <row r="93" spans="1:15" ht="15.75">
      <c r="A93" s="6">
        <v>90</v>
      </c>
      <c r="B93" s="397"/>
      <c r="C93" s="394"/>
      <c r="D93" s="394"/>
      <c r="E93" s="394"/>
      <c r="F93" s="394"/>
      <c r="G93" s="394"/>
      <c r="H93" s="664"/>
      <c r="I93" s="664"/>
      <c r="J93" s="394"/>
      <c r="K93" s="400"/>
      <c r="L93" s="41"/>
      <c r="M93" s="395"/>
      <c r="N93" s="6"/>
      <c r="O93" s="6"/>
    </row>
    <row r="94" spans="1:15" ht="15.75">
      <c r="A94" s="6">
        <v>91</v>
      </c>
      <c r="B94" s="397"/>
      <c r="C94" s="394"/>
      <c r="D94" s="394"/>
      <c r="E94" s="394"/>
      <c r="F94" s="394"/>
      <c r="G94" s="394"/>
      <c r="H94" s="664"/>
      <c r="I94" s="664"/>
      <c r="J94" s="394"/>
      <c r="K94" s="400"/>
      <c r="L94" s="41"/>
      <c r="M94" s="395"/>
      <c r="N94" s="6"/>
      <c r="O94" s="6"/>
    </row>
    <row r="95" spans="1:15" ht="15.75">
      <c r="A95" s="6">
        <v>92</v>
      </c>
      <c r="B95" s="397"/>
      <c r="C95" s="394"/>
      <c r="D95" s="394"/>
      <c r="E95" s="394"/>
      <c r="F95" s="394"/>
      <c r="G95" s="394"/>
      <c r="H95" s="664"/>
      <c r="I95" s="664"/>
      <c r="J95" s="394"/>
      <c r="K95" s="400"/>
      <c r="L95" s="41"/>
      <c r="M95" s="395"/>
      <c r="N95" s="6"/>
      <c r="O95" s="6"/>
    </row>
    <row r="96" spans="1:15" ht="15.75">
      <c r="A96" s="6">
        <v>93</v>
      </c>
      <c r="B96" s="397"/>
      <c r="C96" s="394"/>
      <c r="D96" s="394"/>
      <c r="E96" s="394"/>
      <c r="F96" s="394"/>
      <c r="G96" s="394"/>
      <c r="H96" s="664"/>
      <c r="I96" s="399"/>
      <c r="J96" s="394"/>
      <c r="K96" s="400"/>
      <c r="L96" s="41"/>
      <c r="M96" s="395"/>
      <c r="N96" s="6"/>
      <c r="O96" s="6"/>
    </row>
    <row r="97" spans="1:15" ht="15.75">
      <c r="A97" s="6">
        <v>94</v>
      </c>
      <c r="B97" s="6"/>
      <c r="C97" s="6"/>
      <c r="D97" s="664"/>
      <c r="E97" s="664"/>
      <c r="F97" s="664"/>
      <c r="G97" s="664"/>
      <c r="H97" s="664"/>
      <c r="I97" s="664"/>
      <c r="J97" s="394"/>
      <c r="K97" s="400"/>
      <c r="L97" s="41"/>
      <c r="M97" s="395"/>
      <c r="N97" s="6"/>
      <c r="O97" s="6"/>
    </row>
    <row r="98" spans="1:15" ht="15.75">
      <c r="A98" s="6">
        <v>95</v>
      </c>
      <c r="B98" s="6"/>
      <c r="C98" s="6"/>
      <c r="D98" s="6"/>
      <c r="E98" s="6"/>
      <c r="F98" s="6"/>
      <c r="G98" s="6"/>
      <c r="H98" s="6"/>
      <c r="I98" s="6"/>
      <c r="J98" s="394"/>
      <c r="K98" s="400"/>
      <c r="L98" s="41"/>
      <c r="M98" s="395"/>
      <c r="N98" s="6"/>
      <c r="O98" s="6"/>
    </row>
    <row r="99" spans="1:15" ht="15.75">
      <c r="A99" s="6">
        <v>96</v>
      </c>
      <c r="B99" s="6"/>
      <c r="C99" s="6"/>
      <c r="D99" s="6"/>
      <c r="E99" s="6"/>
      <c r="F99" s="6"/>
      <c r="G99" s="6"/>
      <c r="H99" s="6"/>
      <c r="I99" s="6"/>
      <c r="J99" s="394"/>
      <c r="K99" s="400"/>
      <c r="L99" s="41"/>
      <c r="M99" s="395"/>
      <c r="N99" s="6"/>
      <c r="O99" s="6"/>
    </row>
    <row r="100" spans="1:15" ht="15.75">
      <c r="A100" s="6">
        <v>97</v>
      </c>
      <c r="B100" s="6"/>
      <c r="C100" s="6"/>
      <c r="D100" s="6"/>
      <c r="E100" s="6"/>
      <c r="F100" s="6"/>
      <c r="G100" s="6"/>
      <c r="H100" s="6"/>
      <c r="I100" s="6"/>
      <c r="J100" s="394"/>
      <c r="K100" s="400"/>
      <c r="L100" s="41"/>
      <c r="M100" s="395"/>
      <c r="N100" s="6"/>
      <c r="O100" s="6"/>
    </row>
    <row r="101" spans="1:15" ht="15.75">
      <c r="A101" s="6">
        <v>98</v>
      </c>
      <c r="B101" s="6"/>
      <c r="C101" s="6"/>
      <c r="D101" s="6"/>
      <c r="E101" s="6"/>
      <c r="F101" s="6"/>
      <c r="G101" s="6"/>
      <c r="H101" s="6"/>
      <c r="I101" s="6"/>
      <c r="J101" s="394"/>
      <c r="K101" s="400"/>
      <c r="L101" s="41"/>
      <c r="M101" s="395"/>
      <c r="N101" s="6"/>
      <c r="O101" s="6"/>
    </row>
    <row r="102" spans="1:15" ht="15.75">
      <c r="A102" s="6">
        <v>99</v>
      </c>
      <c r="B102" s="6"/>
      <c r="C102" s="6"/>
      <c r="D102" s="6"/>
      <c r="E102" s="6"/>
      <c r="F102" s="6"/>
      <c r="G102" s="6"/>
      <c r="H102" s="6"/>
      <c r="I102" s="6"/>
      <c r="J102" s="394"/>
      <c r="K102" s="400"/>
      <c r="L102" s="41"/>
      <c r="M102" s="395"/>
      <c r="N102" s="6"/>
      <c r="O102" s="6"/>
    </row>
    <row r="103" spans="1:15" ht="15.75">
      <c r="A103" s="6">
        <v>100</v>
      </c>
      <c r="B103" s="6"/>
      <c r="C103" s="6"/>
      <c r="D103" s="6"/>
      <c r="E103" s="6"/>
      <c r="F103" s="6"/>
      <c r="G103" s="6"/>
      <c r="H103" s="6"/>
      <c r="I103" s="6"/>
      <c r="J103" s="394"/>
      <c r="K103" s="400"/>
      <c r="L103" s="41"/>
      <c r="M103" s="395"/>
      <c r="N103" s="6"/>
      <c r="O103" s="6"/>
    </row>
    <row r="104" spans="1:15" ht="15.75">
      <c r="A104" s="6">
        <v>101</v>
      </c>
      <c r="B104" s="6"/>
      <c r="C104" s="6"/>
      <c r="D104" s="6"/>
      <c r="E104" s="6"/>
      <c r="F104" s="6"/>
      <c r="G104" s="6"/>
      <c r="H104" s="6"/>
      <c r="I104" s="6"/>
      <c r="J104" s="394"/>
      <c r="K104" s="400"/>
      <c r="L104" s="41"/>
      <c r="M104" s="395"/>
      <c r="N104" s="6"/>
      <c r="O104" s="6"/>
    </row>
    <row r="105" spans="1:15" ht="15.75">
      <c r="A105" s="6">
        <v>102</v>
      </c>
      <c r="B105" s="6"/>
      <c r="C105" s="6"/>
      <c r="D105" s="6"/>
      <c r="E105" s="6"/>
      <c r="F105" s="6"/>
      <c r="G105" s="6"/>
      <c r="H105" s="6"/>
      <c r="I105" s="6"/>
      <c r="J105" s="394"/>
      <c r="K105" s="400"/>
      <c r="L105" s="41"/>
      <c r="M105" s="6"/>
      <c r="N105" s="6"/>
      <c r="O105" s="6"/>
    </row>
    <row r="106" spans="1:15" ht="15.75">
      <c r="A106" s="6">
        <v>103</v>
      </c>
      <c r="B106" s="6"/>
      <c r="C106" s="6"/>
      <c r="D106" s="6"/>
      <c r="E106" s="6"/>
      <c r="F106" s="6"/>
      <c r="G106" s="6"/>
      <c r="H106" s="6"/>
      <c r="I106" s="6"/>
      <c r="J106" s="394"/>
      <c r="K106" s="400"/>
      <c r="L106" s="41"/>
      <c r="M106" s="6"/>
      <c r="N106" s="6"/>
      <c r="O106" s="6"/>
    </row>
    <row r="107" spans="1:15" ht="15.75">
      <c r="A107" s="6">
        <v>104</v>
      </c>
      <c r="B107" s="6"/>
      <c r="C107" s="6"/>
      <c r="D107" s="6"/>
      <c r="E107" s="6"/>
      <c r="F107" s="6"/>
      <c r="G107" s="6"/>
      <c r="H107" s="6"/>
      <c r="I107" s="6"/>
      <c r="J107" s="394"/>
      <c r="K107" s="400"/>
      <c r="L107" s="41"/>
      <c r="M107" s="6"/>
      <c r="N107" s="6"/>
      <c r="O107" s="6"/>
    </row>
    <row r="108" spans="1:15" ht="15.75">
      <c r="A108" s="6">
        <v>105</v>
      </c>
      <c r="B108" s="6"/>
      <c r="C108" s="6"/>
      <c r="D108" s="6"/>
      <c r="E108" s="6"/>
      <c r="F108" s="6"/>
      <c r="G108" s="6"/>
      <c r="H108" s="6"/>
      <c r="I108" s="6"/>
      <c r="J108" s="394"/>
      <c r="K108" s="400"/>
      <c r="L108" s="41"/>
      <c r="M108" s="6"/>
      <c r="N108" s="6"/>
      <c r="O108" s="6"/>
    </row>
    <row r="109" spans="1:15" ht="15.75">
      <c r="A109" s="6">
        <v>106</v>
      </c>
      <c r="B109" s="6"/>
      <c r="C109" s="6"/>
      <c r="D109" s="6"/>
      <c r="E109" s="6"/>
      <c r="F109" s="6"/>
      <c r="G109" s="6"/>
      <c r="H109" s="6"/>
      <c r="I109" s="6"/>
      <c r="J109" s="394"/>
      <c r="K109" s="400"/>
      <c r="L109" s="41"/>
      <c r="M109" s="6"/>
      <c r="N109" s="6"/>
      <c r="O109" s="6"/>
    </row>
    <row r="110" spans="1:15" ht="15.75">
      <c r="A110" s="6">
        <v>107</v>
      </c>
      <c r="B110" s="6"/>
      <c r="C110" s="6"/>
      <c r="D110" s="6"/>
      <c r="E110" s="6"/>
      <c r="F110" s="6"/>
      <c r="G110" s="6"/>
      <c r="H110" s="6"/>
      <c r="I110" s="6"/>
      <c r="J110" s="394"/>
      <c r="K110" s="400"/>
      <c r="L110" s="41"/>
      <c r="M110" s="6"/>
      <c r="N110" s="6"/>
      <c r="O110" s="6"/>
    </row>
    <row r="111" spans="1:15" ht="15.75">
      <c r="A111" s="6">
        <v>108</v>
      </c>
      <c r="B111" s="6"/>
      <c r="C111" s="6"/>
      <c r="D111" s="6"/>
      <c r="E111" s="6"/>
      <c r="F111" s="6"/>
      <c r="G111" s="6"/>
      <c r="H111" s="6"/>
      <c r="I111" s="6"/>
      <c r="J111" s="394"/>
      <c r="K111" s="400"/>
      <c r="L111" s="41"/>
      <c r="M111" s="6"/>
      <c r="N111" s="6"/>
      <c r="O111" s="6"/>
    </row>
    <row r="112" spans="1:15">
      <c r="A112" s="6">
        <v>109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>
        <v>110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>
        <v>111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>
        <v>112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6">
        <v>113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6">
        <v>114</v>
      </c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</row>
    <row r="118" spans="1:15">
      <c r="A118" s="6">
        <v>115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>
        <v>116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>
        <v>117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>
        <v>118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>
        <v>119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>
        <v>120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>
        <v>121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>
        <v>122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>
        <v>123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>
        <v>124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>
        <v>125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>
        <v>126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>
        <v>127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>
        <v>128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>
      <c r="A132" s="6">
        <v>129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</sheetData>
  <mergeCells count="2">
    <mergeCell ref="A1:O1"/>
    <mergeCell ref="A3:J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A2:A7"/>
  <sheetViews>
    <sheetView workbookViewId="0">
      <selection activeCell="G8" sqref="G8"/>
    </sheetView>
  </sheetViews>
  <sheetFormatPr defaultRowHeight="15"/>
  <cols>
    <col min="2" max="2" width="11.7109375" customWidth="1"/>
  </cols>
  <sheetData>
    <row r="2" ht="30" customHeight="1"/>
    <row r="3" ht="30" customHeight="1"/>
    <row r="4" ht="30" customHeight="1"/>
    <row r="5" ht="30" customHeight="1"/>
    <row r="6" ht="30" customHeight="1"/>
    <row r="7" ht="3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2026-10-16T06:27:21Z</dcterms:modified>
  <cp:category/>
  <cp:contentStatus/>
</cp:coreProperties>
</file>