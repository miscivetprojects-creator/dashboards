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18236" documentId="8_{21E78461-8472-4FC4-9B9A-C4551723630E}" xr6:coauthVersionLast="47" xr6:coauthVersionMax="47" xr10:uidLastSave="{83EBCDBC-22FC-4B07-AD37-73B128007F4F}"/>
  <bookViews>
    <workbookView xWindow="-60" yWindow="-60" windowWidth="15480" windowHeight="11640" firstSheet="35" activeTab="30" xr2:uid="{00000000-000D-0000-FFFF-FFFF00000000}"/>
  </bookViews>
  <sheets>
    <sheet name=" MIs" sheetId="84" state="hidden" r:id="rId1"/>
    <sheet name="March-2026" sheetId="56" r:id="rId2"/>
    <sheet name="HO(DG)" sheetId="81" r:id="rId3"/>
    <sheet name="Khammam-1" sheetId="50" r:id="rId4"/>
    <sheet name="Khammam-2" sheetId="47" r:id="rId5"/>
    <sheet name="Khammam-3" sheetId="82" r:id="rId6"/>
    <sheet name="Khammam-4" sheetId="87" r:id="rId7"/>
    <sheet name="Khammam-5" sheetId="90" r:id="rId8"/>
    <sheet name="Jadcherla-3" sheetId="72" r:id="rId9"/>
    <sheet name="Jadcherla-4" sheetId="78" r:id="rId10"/>
    <sheet name=" Sangareeddy-1" sheetId="88" r:id="rId11"/>
    <sheet name=" Sangareddy-2" sheetId="89" r:id="rId12"/>
    <sheet name="Dindi" sheetId="58" r:id="rId13"/>
    <sheet name="Amalapuram" sheetId="65" r:id="rId14"/>
    <sheet name="Madana palli" sheetId="71" r:id="rId15"/>
    <sheet name="Kadur" sheetId="7" r:id="rId16"/>
    <sheet name="YG Gudda-2" sheetId="62" r:id="rId17"/>
    <sheet name="Hosadurga -2" sheetId="52" r:id="rId18"/>
    <sheet name="Hiriyur(VJNL)" sheetId="3" r:id="rId19"/>
    <sheet name="Malebenur(KUWSDB)" sheetId="16" r:id="rId20"/>
    <sheet name="Molakamuru" sheetId="63" r:id="rId21"/>
    <sheet name="Chellakere -1" sheetId="68" r:id="rId22"/>
    <sheet name=" Chellakere-PKG-9" sheetId="73" r:id="rId23"/>
    <sheet name=" Chennagiri" sheetId="74" r:id="rId24"/>
    <sheet name="Khanapur" sheetId="24" r:id="rId25"/>
    <sheet name="Munavali" sheetId="61" r:id="rId26"/>
    <sheet name="Munavali-2" sheetId="80" r:id="rId27"/>
    <sheet name="Borgaon" sheetId="10" r:id="rId28"/>
    <sheet name="Ugar,Khagwad,Kudichi" sheetId="11" r:id="rId29"/>
    <sheet name="Kabbur" sheetId="40" r:id="rId30"/>
    <sheet name="kumta" sheetId="25" r:id="rId31"/>
    <sheet name="Jalgaon" sheetId="22" r:id="rId32"/>
    <sheet name="Jalgoan-2" sheetId="85" r:id="rId33"/>
    <sheet name=" Jalgoan-3" sheetId="91" r:id="rId34"/>
    <sheet name=" Jalgoan-4" sheetId="92" r:id="rId35"/>
    <sheet name="MKBD" sheetId="14" r:id="rId36"/>
    <sheet name=" Haveri-2" sheetId="75" r:id="rId37"/>
    <sheet name=" Guttal-2" sheetId="79" r:id="rId38"/>
    <sheet name="Rattihali" sheetId="37" r:id="rId39"/>
    <sheet name="Rattihali-2" sheetId="76" r:id="rId40"/>
    <sheet name="Gajendragada" sheetId="12" r:id="rId41"/>
    <sheet name="Gokak Dharwad PKG 3" sheetId="41" r:id="rId42"/>
    <sheet name="Ankalgi" sheetId="60" r:id="rId43"/>
    <sheet name=" TR Associates" sheetId="83" r:id="rId44"/>
    <sheet name=" Shankeshwar" sheetId="57" r:id="rId45"/>
    <sheet name=" Talikote" sheetId="26" r:id="rId46"/>
    <sheet name="Chadchan" sheetId="9" r:id="rId47"/>
    <sheet name="Sindagi" sheetId="33" r:id="rId48"/>
    <sheet name="Muddebhihal-2" sheetId="69" r:id="rId49"/>
    <sheet name="Alemela" sheetId="35" r:id="rId50"/>
    <sheet name="Nalatwad" sheetId="51" r:id="rId51"/>
    <sheet name="Srirangapatna" sheetId="19" r:id="rId52"/>
    <sheet name=" BPCL March 26" sheetId="44" r:id="rId53"/>
    <sheet name="HPCL March 26" sheetId="45" r:id="rId54"/>
    <sheet name="Sheet1" sheetId="86" r:id="rId55"/>
  </sheets>
  <definedNames>
    <definedName name="_xlnm._FilterDatabase" localSheetId="53" hidden="1">'HPCL March 26'!$A$1:$P$37</definedName>
    <definedName name="_xlnm._FilterDatabase" localSheetId="52" hidden="1">' BPCL March 26'!$A$1:$O$90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83" l="1"/>
  <c r="T11" i="81"/>
  <c r="S11" i="81"/>
  <c r="K20" i="26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44" i="44"/>
  <c r="K45" i="44"/>
  <c r="K46" i="44"/>
  <c r="K47" i="44"/>
  <c r="K48" i="44"/>
  <c r="K49" i="44"/>
  <c r="K50" i="44"/>
  <c r="K51" i="44"/>
  <c r="K52" i="44"/>
  <c r="K53" i="44"/>
  <c r="K54" i="44"/>
  <c r="K55" i="44"/>
  <c r="K56" i="44"/>
  <c r="K57" i="44"/>
  <c r="K58" i="44"/>
  <c r="K59" i="44"/>
  <c r="K60" i="44"/>
  <c r="K61" i="44"/>
  <c r="K62" i="44"/>
  <c r="K63" i="44"/>
  <c r="K64" i="44"/>
  <c r="K65" i="44"/>
  <c r="K66" i="44"/>
  <c r="K67" i="44"/>
  <c r="K68" i="44"/>
  <c r="K69" i="44"/>
  <c r="K70" i="44"/>
  <c r="K71" i="44"/>
  <c r="K72" i="44"/>
  <c r="K73" i="44"/>
  <c r="K74" i="44"/>
  <c r="K75" i="44"/>
  <c r="K76" i="44"/>
  <c r="K77" i="44"/>
  <c r="K78" i="44"/>
  <c r="K79" i="44"/>
  <c r="K80" i="44"/>
  <c r="K81" i="44"/>
  <c r="K82" i="44"/>
  <c r="K83" i="44"/>
  <c r="K84" i="44"/>
  <c r="K85" i="44"/>
  <c r="K86" i="44"/>
  <c r="K87" i="44"/>
  <c r="K88" i="44"/>
  <c r="K89" i="44"/>
  <c r="K90" i="44"/>
  <c r="J87" i="44"/>
  <c r="J88" i="44"/>
  <c r="J89" i="44"/>
  <c r="J90" i="44"/>
  <c r="G89" i="44"/>
  <c r="G88" i="44"/>
  <c r="G86" i="44"/>
  <c r="G87" i="44"/>
  <c r="H6" i="56"/>
  <c r="K6" i="56"/>
  <c r="J6" i="56"/>
  <c r="I6" i="56"/>
  <c r="G6" i="56"/>
  <c r="F6" i="56"/>
  <c r="E6" i="56"/>
  <c r="D6" i="56"/>
  <c r="L34" i="40"/>
  <c r="E55" i="85"/>
  <c r="J33" i="56"/>
  <c r="I33" i="56"/>
  <c r="G33" i="56"/>
  <c r="F33" i="56"/>
  <c r="E33" i="56"/>
  <c r="H33" i="56" s="1"/>
  <c r="K33" i="56" s="1"/>
  <c r="D33" i="56"/>
  <c r="M31" i="92"/>
  <c r="J32" i="56"/>
  <c r="I32" i="56"/>
  <c r="G32" i="56"/>
  <c r="F32" i="56"/>
  <c r="E32" i="56"/>
  <c r="H32" i="56" s="1"/>
  <c r="K32" i="56" s="1"/>
  <c r="D32" i="56"/>
  <c r="H37" i="80"/>
  <c r="G34" i="57"/>
  <c r="M39" i="51"/>
  <c r="M34" i="89"/>
  <c r="N32" i="45"/>
  <c r="N33" i="45"/>
  <c r="N34" i="45"/>
  <c r="N35" i="45"/>
  <c r="N36" i="45"/>
  <c r="N37" i="45"/>
  <c r="N38" i="45"/>
  <c r="N39" i="45"/>
  <c r="L34" i="45"/>
  <c r="L21" i="45"/>
  <c r="L38" i="45"/>
  <c r="L37" i="45"/>
  <c r="L39" i="45"/>
  <c r="L22" i="45"/>
  <c r="L23" i="45"/>
  <c r="L24" i="45"/>
  <c r="L25" i="45"/>
  <c r="L26" i="45"/>
  <c r="L27" i="45"/>
  <c r="L28" i="45"/>
  <c r="L29" i="45"/>
  <c r="L30" i="45"/>
  <c r="L31" i="45"/>
  <c r="L32" i="45"/>
  <c r="L33" i="45"/>
  <c r="L35" i="45"/>
  <c r="L36" i="45"/>
  <c r="J75" i="44"/>
  <c r="J76" i="44"/>
  <c r="J77" i="44"/>
  <c r="J78" i="44"/>
  <c r="J79" i="44"/>
  <c r="J80" i="44"/>
  <c r="J81" i="44"/>
  <c r="J82" i="44"/>
  <c r="J83" i="44"/>
  <c r="J84" i="44"/>
  <c r="J85" i="44"/>
  <c r="J86" i="44"/>
  <c r="G85" i="44"/>
  <c r="G84" i="44"/>
  <c r="G83" i="44"/>
  <c r="G82" i="44"/>
  <c r="G81" i="44"/>
  <c r="G80" i="44"/>
  <c r="G79" i="44"/>
  <c r="G78" i="44"/>
  <c r="G77" i="44"/>
  <c r="G76" i="44"/>
  <c r="G73" i="44"/>
  <c r="G74" i="44"/>
  <c r="G75" i="44"/>
  <c r="J74" i="44"/>
  <c r="J71" i="44"/>
  <c r="J72" i="44"/>
  <c r="J73" i="44"/>
  <c r="G71" i="44"/>
  <c r="G72" i="44"/>
  <c r="J69" i="44"/>
  <c r="J70" i="44"/>
  <c r="G69" i="44"/>
  <c r="H43" i="51"/>
  <c r="L34" i="91"/>
  <c r="E35" i="24"/>
  <c r="G33" i="25"/>
  <c r="L33" i="92"/>
  <c r="L32" i="92"/>
  <c r="K32" i="92"/>
  <c r="L31" i="92"/>
  <c r="L55" i="92"/>
  <c r="H55" i="92"/>
  <c r="E55" i="92"/>
  <c r="J54" i="92"/>
  <c r="G54" i="92"/>
  <c r="K54" i="92" s="1"/>
  <c r="J53" i="92"/>
  <c r="G53" i="92"/>
  <c r="K53" i="92" s="1"/>
  <c r="J52" i="92"/>
  <c r="G52" i="92"/>
  <c r="K52" i="92" s="1"/>
  <c r="J51" i="92"/>
  <c r="G51" i="92"/>
  <c r="K51" i="92" s="1"/>
  <c r="J50" i="92"/>
  <c r="G50" i="92"/>
  <c r="K50" i="92" s="1"/>
  <c r="J49" i="92"/>
  <c r="G49" i="92"/>
  <c r="K49" i="92" s="1"/>
  <c r="J48" i="92"/>
  <c r="G48" i="92"/>
  <c r="K48" i="92" s="1"/>
  <c r="J47" i="92"/>
  <c r="G47" i="92"/>
  <c r="K47" i="92" s="1"/>
  <c r="J46" i="92"/>
  <c r="G46" i="92"/>
  <c r="K46" i="92" s="1"/>
  <c r="J45" i="92"/>
  <c r="G45" i="92"/>
  <c r="K45" i="92" s="1"/>
  <c r="J44" i="92"/>
  <c r="G44" i="92"/>
  <c r="K44" i="92" s="1"/>
  <c r="J43" i="92"/>
  <c r="G43" i="92"/>
  <c r="K43" i="92" s="1"/>
  <c r="J42" i="92"/>
  <c r="G42" i="92"/>
  <c r="K42" i="92" s="1"/>
  <c r="J41" i="92"/>
  <c r="G41" i="92"/>
  <c r="K41" i="92" s="1"/>
  <c r="J40" i="92"/>
  <c r="G40" i="92"/>
  <c r="K40" i="92" s="1"/>
  <c r="J39" i="92"/>
  <c r="G39" i="92"/>
  <c r="K39" i="92" s="1"/>
  <c r="J38" i="92"/>
  <c r="G38" i="92"/>
  <c r="K38" i="92" s="1"/>
  <c r="J37" i="92"/>
  <c r="G37" i="92"/>
  <c r="K37" i="92" s="1"/>
  <c r="J36" i="92"/>
  <c r="G36" i="92"/>
  <c r="K36" i="92" s="1"/>
  <c r="J35" i="92"/>
  <c r="G35" i="92"/>
  <c r="K35" i="92" s="1"/>
  <c r="J34" i="92"/>
  <c r="G34" i="92"/>
  <c r="K34" i="92" s="1"/>
  <c r="J33" i="92"/>
  <c r="G33" i="92"/>
  <c r="K33" i="92" s="1"/>
  <c r="J32" i="92"/>
  <c r="G32" i="92"/>
  <c r="J31" i="92"/>
  <c r="G31" i="92"/>
  <c r="K31" i="92" s="1"/>
  <c r="J30" i="92"/>
  <c r="G30" i="92"/>
  <c r="K30" i="92" s="1"/>
  <c r="J29" i="92"/>
  <c r="G29" i="92"/>
  <c r="K29" i="92" s="1"/>
  <c r="J28" i="92"/>
  <c r="G28" i="92"/>
  <c r="K28" i="92" s="1"/>
  <c r="J27" i="92"/>
  <c r="G27" i="92"/>
  <c r="K27" i="92" s="1"/>
  <c r="J26" i="92"/>
  <c r="G26" i="92"/>
  <c r="K26" i="92" s="1"/>
  <c r="J25" i="92"/>
  <c r="G25" i="92"/>
  <c r="K25" i="92" s="1"/>
  <c r="J24" i="92"/>
  <c r="G24" i="92"/>
  <c r="K24" i="92" s="1"/>
  <c r="J23" i="92"/>
  <c r="G23" i="92"/>
  <c r="K23" i="92" s="1"/>
  <c r="J22" i="92"/>
  <c r="G22" i="92"/>
  <c r="K22" i="92" s="1"/>
  <c r="J21" i="92"/>
  <c r="G21" i="92"/>
  <c r="K21" i="92" s="1"/>
  <c r="J20" i="92"/>
  <c r="G20" i="92"/>
  <c r="K20" i="92" s="1"/>
  <c r="J19" i="92"/>
  <c r="G19" i="92"/>
  <c r="K19" i="92" s="1"/>
  <c r="J18" i="92"/>
  <c r="G18" i="92"/>
  <c r="K18" i="92" s="1"/>
  <c r="J17" i="92"/>
  <c r="G17" i="92"/>
  <c r="K17" i="92" s="1"/>
  <c r="J16" i="92"/>
  <c r="G16" i="92"/>
  <c r="K16" i="92" s="1"/>
  <c r="J15" i="92"/>
  <c r="G15" i="92"/>
  <c r="K15" i="92" s="1"/>
  <c r="J14" i="92"/>
  <c r="G14" i="92"/>
  <c r="K14" i="92" s="1"/>
  <c r="J13" i="92"/>
  <c r="G13" i="92"/>
  <c r="K13" i="92" s="1"/>
  <c r="J12" i="92"/>
  <c r="G12" i="92"/>
  <c r="K12" i="92" s="1"/>
  <c r="J11" i="92"/>
  <c r="G11" i="92"/>
  <c r="K11" i="92" s="1"/>
  <c r="J10" i="92"/>
  <c r="G10" i="92"/>
  <c r="K10" i="92" s="1"/>
  <c r="J9" i="92"/>
  <c r="G9" i="92"/>
  <c r="K9" i="92" s="1"/>
  <c r="J8" i="92"/>
  <c r="G8" i="92"/>
  <c r="K8" i="92" s="1"/>
  <c r="J7" i="92"/>
  <c r="G7" i="92"/>
  <c r="K7" i="92" s="1"/>
  <c r="G6" i="92"/>
  <c r="K6" i="92" s="1"/>
  <c r="J5" i="92"/>
  <c r="G5" i="92"/>
  <c r="K5" i="92" s="1"/>
  <c r="J4" i="92"/>
  <c r="J55" i="92" s="1"/>
  <c r="G4" i="92"/>
  <c r="M3" i="92"/>
  <c r="H55" i="91"/>
  <c r="E55" i="91"/>
  <c r="J54" i="91"/>
  <c r="G54" i="91"/>
  <c r="K54" i="91" s="1"/>
  <c r="J53" i="91"/>
  <c r="G53" i="91"/>
  <c r="K53" i="91" s="1"/>
  <c r="J52" i="91"/>
  <c r="G52" i="91"/>
  <c r="K52" i="91" s="1"/>
  <c r="J51" i="91"/>
  <c r="G51" i="91"/>
  <c r="K51" i="91" s="1"/>
  <c r="J50" i="91"/>
  <c r="G50" i="91"/>
  <c r="K50" i="91" s="1"/>
  <c r="J49" i="91"/>
  <c r="G49" i="91"/>
  <c r="K49" i="91" s="1"/>
  <c r="J48" i="91"/>
  <c r="G48" i="91"/>
  <c r="K48" i="91" s="1"/>
  <c r="J47" i="91"/>
  <c r="G47" i="91"/>
  <c r="K47" i="91" s="1"/>
  <c r="J46" i="91"/>
  <c r="G46" i="91"/>
  <c r="K46" i="91" s="1"/>
  <c r="J45" i="91"/>
  <c r="G45" i="91"/>
  <c r="K45" i="91" s="1"/>
  <c r="J44" i="91"/>
  <c r="G44" i="91"/>
  <c r="K44" i="91" s="1"/>
  <c r="J43" i="91"/>
  <c r="G43" i="91"/>
  <c r="K43" i="91" s="1"/>
  <c r="J42" i="91"/>
  <c r="G42" i="91"/>
  <c r="K42" i="91" s="1"/>
  <c r="J41" i="91"/>
  <c r="G41" i="91"/>
  <c r="K41" i="91" s="1"/>
  <c r="J40" i="91"/>
  <c r="G40" i="91"/>
  <c r="K40" i="91" s="1"/>
  <c r="J39" i="91"/>
  <c r="G39" i="91"/>
  <c r="K39" i="91" s="1"/>
  <c r="J38" i="91"/>
  <c r="G38" i="91"/>
  <c r="K38" i="91" s="1"/>
  <c r="J37" i="91"/>
  <c r="G37" i="91"/>
  <c r="K37" i="91" s="1"/>
  <c r="J36" i="91"/>
  <c r="G36" i="91"/>
  <c r="K36" i="91" s="1"/>
  <c r="J35" i="91"/>
  <c r="G35" i="91"/>
  <c r="K35" i="91" s="1"/>
  <c r="J34" i="91"/>
  <c r="G34" i="91"/>
  <c r="K34" i="91" s="1"/>
  <c r="J33" i="91"/>
  <c r="G33" i="91"/>
  <c r="K33" i="91" s="1"/>
  <c r="J32" i="91"/>
  <c r="G32" i="91"/>
  <c r="K32" i="91" s="1"/>
  <c r="J31" i="91"/>
  <c r="G31" i="91"/>
  <c r="K31" i="91" s="1"/>
  <c r="J30" i="91"/>
  <c r="G30" i="91"/>
  <c r="K30" i="91" s="1"/>
  <c r="J29" i="91"/>
  <c r="G29" i="91"/>
  <c r="K29" i="91" s="1"/>
  <c r="J28" i="91"/>
  <c r="G28" i="91"/>
  <c r="K28" i="91" s="1"/>
  <c r="J27" i="91"/>
  <c r="G27" i="91"/>
  <c r="K27" i="91" s="1"/>
  <c r="J26" i="91"/>
  <c r="G26" i="91"/>
  <c r="K26" i="91" s="1"/>
  <c r="J25" i="91"/>
  <c r="G25" i="91"/>
  <c r="K25" i="91" s="1"/>
  <c r="J24" i="91"/>
  <c r="G24" i="91"/>
  <c r="K24" i="91" s="1"/>
  <c r="J23" i="91"/>
  <c r="G23" i="91"/>
  <c r="K23" i="91" s="1"/>
  <c r="J22" i="91"/>
  <c r="G22" i="91"/>
  <c r="K22" i="91" s="1"/>
  <c r="J21" i="91"/>
  <c r="G21" i="91"/>
  <c r="K21" i="91" s="1"/>
  <c r="J20" i="91"/>
  <c r="G20" i="91"/>
  <c r="K20" i="91" s="1"/>
  <c r="J19" i="91"/>
  <c r="G19" i="91"/>
  <c r="K19" i="91" s="1"/>
  <c r="J18" i="91"/>
  <c r="G18" i="91"/>
  <c r="K18" i="91" s="1"/>
  <c r="J17" i="91"/>
  <c r="G17" i="91"/>
  <c r="K17" i="91" s="1"/>
  <c r="J16" i="91"/>
  <c r="G16" i="91"/>
  <c r="K16" i="91" s="1"/>
  <c r="J15" i="91"/>
  <c r="G15" i="91"/>
  <c r="K15" i="91" s="1"/>
  <c r="L55" i="91" s="1"/>
  <c r="J14" i="91"/>
  <c r="G14" i="91"/>
  <c r="K14" i="91" s="1"/>
  <c r="J13" i="91"/>
  <c r="G13" i="91"/>
  <c r="K13" i="91" s="1"/>
  <c r="J12" i="91"/>
  <c r="G12" i="91"/>
  <c r="K12" i="91" s="1"/>
  <c r="J11" i="91"/>
  <c r="G11" i="91"/>
  <c r="K11" i="91" s="1"/>
  <c r="J10" i="91"/>
  <c r="G10" i="91"/>
  <c r="K10" i="91" s="1"/>
  <c r="J9" i="91"/>
  <c r="G9" i="91"/>
  <c r="K9" i="91" s="1"/>
  <c r="J8" i="91"/>
  <c r="G8" i="91"/>
  <c r="K8" i="91" s="1"/>
  <c r="J7" i="91"/>
  <c r="G7" i="91"/>
  <c r="K7" i="91" s="1"/>
  <c r="G6" i="91"/>
  <c r="K6" i="91" s="1"/>
  <c r="J5" i="91"/>
  <c r="G5" i="91"/>
  <c r="K5" i="91" s="1"/>
  <c r="J4" i="91"/>
  <c r="J55" i="91" s="1"/>
  <c r="G4" i="91"/>
  <c r="M3" i="91"/>
  <c r="M31" i="89"/>
  <c r="M32" i="89"/>
  <c r="E32" i="89"/>
  <c r="E31" i="89"/>
  <c r="K15" i="69"/>
  <c r="G15" i="69"/>
  <c r="E20" i="69"/>
  <c r="E49" i="69" s="1"/>
  <c r="E32" i="9"/>
  <c r="U20" i="90"/>
  <c r="U19" i="90"/>
  <c r="R24" i="90"/>
  <c r="L30" i="90"/>
  <c r="G29" i="68"/>
  <c r="G30" i="68"/>
  <c r="M30" i="89"/>
  <c r="K30" i="52"/>
  <c r="J30" i="52"/>
  <c r="G30" i="52"/>
  <c r="J29" i="52"/>
  <c r="G29" i="52"/>
  <c r="K29" i="52" s="1"/>
  <c r="L29" i="90"/>
  <c r="M29" i="89"/>
  <c r="G27" i="14"/>
  <c r="G28" i="14"/>
  <c r="G29" i="14"/>
  <c r="M28" i="89"/>
  <c r="G28" i="89"/>
  <c r="L29" i="62"/>
  <c r="J29" i="62"/>
  <c r="K29" i="62"/>
  <c r="G29" i="62"/>
  <c r="J29" i="71"/>
  <c r="K29" i="71" s="1"/>
  <c r="L29" i="71" s="1"/>
  <c r="J22" i="68"/>
  <c r="J23" i="68"/>
  <c r="J24" i="68"/>
  <c r="J25" i="68"/>
  <c r="J26" i="68"/>
  <c r="J27" i="68"/>
  <c r="J28" i="68"/>
  <c r="G22" i="68"/>
  <c r="G23" i="68"/>
  <c r="G24" i="68"/>
  <c r="G25" i="68"/>
  <c r="G26" i="68"/>
  <c r="G27" i="68"/>
  <c r="G28" i="68"/>
  <c r="K28" i="81"/>
  <c r="G28" i="81"/>
  <c r="L27" i="81"/>
  <c r="G4" i="90"/>
  <c r="K4" i="90"/>
  <c r="M4" i="90"/>
  <c r="G5" i="90"/>
  <c r="J5" i="90"/>
  <c r="K5" i="90"/>
  <c r="M5" i="90"/>
  <c r="G6" i="90"/>
  <c r="J6" i="90"/>
  <c r="K6" i="90"/>
  <c r="M6" i="90"/>
  <c r="G7" i="90"/>
  <c r="J7" i="90"/>
  <c r="K7" i="90"/>
  <c r="M7" i="90"/>
  <c r="G8" i="90"/>
  <c r="J8" i="90"/>
  <c r="K8" i="90"/>
  <c r="M8" i="90"/>
  <c r="G9" i="90"/>
  <c r="J9" i="90"/>
  <c r="K9" i="90"/>
  <c r="M9" i="90"/>
  <c r="G10" i="90"/>
  <c r="J10" i="90"/>
  <c r="K10" i="90"/>
  <c r="M10" i="90"/>
  <c r="G11" i="90"/>
  <c r="J11" i="90"/>
  <c r="K11" i="90"/>
  <c r="M11" i="90"/>
  <c r="G12" i="90"/>
  <c r="J12" i="90"/>
  <c r="K12" i="90"/>
  <c r="M12" i="90"/>
  <c r="G13" i="90"/>
  <c r="J13" i="90"/>
  <c r="K13" i="90"/>
  <c r="M13" i="90"/>
  <c r="G14" i="90"/>
  <c r="J14" i="90"/>
  <c r="K14" i="90"/>
  <c r="M14" i="90"/>
  <c r="G15" i="90"/>
  <c r="J15" i="90"/>
  <c r="K15" i="90"/>
  <c r="M15" i="90"/>
  <c r="G16" i="90"/>
  <c r="J16" i="90"/>
  <c r="K16" i="90"/>
  <c r="M16" i="90"/>
  <c r="G17" i="90"/>
  <c r="J17" i="90"/>
  <c r="K17" i="90"/>
  <c r="M17" i="90"/>
  <c r="G18" i="90"/>
  <c r="J18" i="90"/>
  <c r="K18" i="90"/>
  <c r="M18" i="90"/>
  <c r="G19" i="90"/>
  <c r="J19" i="90"/>
  <c r="K19" i="90"/>
  <c r="M19" i="90"/>
  <c r="G20" i="90"/>
  <c r="J20" i="90"/>
  <c r="K20" i="90"/>
  <c r="M20" i="90"/>
  <c r="G21" i="90"/>
  <c r="J21" i="90"/>
  <c r="K21" i="90"/>
  <c r="M21" i="90"/>
  <c r="G22" i="90"/>
  <c r="J22" i="90"/>
  <c r="K22" i="90"/>
  <c r="M22" i="90"/>
  <c r="G23" i="90"/>
  <c r="J23" i="90"/>
  <c r="K23" i="90"/>
  <c r="M23" i="90"/>
  <c r="G24" i="90"/>
  <c r="J24" i="90"/>
  <c r="K24" i="90"/>
  <c r="M24" i="90"/>
  <c r="G25" i="90"/>
  <c r="J25" i="90"/>
  <c r="K25" i="90"/>
  <c r="M25" i="90"/>
  <c r="G26" i="90"/>
  <c r="J26" i="90"/>
  <c r="K26" i="90"/>
  <c r="M26" i="90"/>
  <c r="G27" i="90"/>
  <c r="J27" i="90"/>
  <c r="K27" i="90"/>
  <c r="M27" i="90"/>
  <c r="G28" i="90"/>
  <c r="J28" i="90"/>
  <c r="K28" i="90"/>
  <c r="M28" i="90"/>
  <c r="G29" i="90"/>
  <c r="J29" i="90"/>
  <c r="K29" i="90"/>
  <c r="M29" i="90"/>
  <c r="G30" i="90"/>
  <c r="J30" i="90"/>
  <c r="K30" i="90"/>
  <c r="M30" i="90"/>
  <c r="G31" i="90"/>
  <c r="J31" i="90"/>
  <c r="K31" i="90"/>
  <c r="M31" i="90"/>
  <c r="G32" i="90"/>
  <c r="J32" i="90"/>
  <c r="K32" i="90"/>
  <c r="M32" i="90"/>
  <c r="G33" i="90"/>
  <c r="J33" i="90"/>
  <c r="K33" i="90"/>
  <c r="M33" i="90"/>
  <c r="G34" i="90"/>
  <c r="K34" i="90"/>
  <c r="M34" i="90"/>
  <c r="G35" i="90"/>
  <c r="J35" i="90"/>
  <c r="K35" i="90"/>
  <c r="M35" i="90"/>
  <c r="G36" i="90"/>
  <c r="J36" i="90"/>
  <c r="K36" i="90"/>
  <c r="G37" i="90"/>
  <c r="J37" i="90"/>
  <c r="K37" i="90"/>
  <c r="E38" i="90"/>
  <c r="G38" i="90"/>
  <c r="H38" i="90"/>
  <c r="J38" i="90"/>
  <c r="K38" i="90"/>
  <c r="L38" i="90"/>
  <c r="M24" i="89"/>
  <c r="M25" i="89"/>
  <c r="G25" i="76"/>
  <c r="J5" i="56"/>
  <c r="I5" i="56"/>
  <c r="G5" i="56"/>
  <c r="F5" i="56"/>
  <c r="E5" i="56"/>
  <c r="H5" i="56" s="1"/>
  <c r="K5" i="56" s="1"/>
  <c r="D5" i="56"/>
  <c r="I10" i="56"/>
  <c r="J9" i="56"/>
  <c r="I9" i="56"/>
  <c r="G9" i="56"/>
  <c r="F9" i="56"/>
  <c r="E9" i="56"/>
  <c r="H9" i="56" s="1"/>
  <c r="K9" i="56" s="1"/>
  <c r="D9" i="56"/>
  <c r="H35" i="89"/>
  <c r="F10" i="56" s="1"/>
  <c r="E35" i="89"/>
  <c r="D10" i="56" s="1"/>
  <c r="E35" i="88"/>
  <c r="L35" i="88"/>
  <c r="K35" i="88"/>
  <c r="J35" i="88"/>
  <c r="H35" i="88"/>
  <c r="G35" i="88"/>
  <c r="K16" i="82"/>
  <c r="G24" i="89"/>
  <c r="L20" i="45"/>
  <c r="L17" i="45"/>
  <c r="L16" i="45"/>
  <c r="J44" i="44"/>
  <c r="J45" i="44"/>
  <c r="J42" i="44"/>
  <c r="J43" i="44"/>
  <c r="J41" i="44"/>
  <c r="J37" i="44"/>
  <c r="J38" i="44"/>
  <c r="J39" i="44"/>
  <c r="J40" i="44"/>
  <c r="M16" i="63"/>
  <c r="M17" i="63"/>
  <c r="M18" i="63"/>
  <c r="M19" i="63"/>
  <c r="M20" i="63"/>
  <c r="M21" i="63"/>
  <c r="M22" i="63"/>
  <c r="M23" i="63"/>
  <c r="M24" i="63"/>
  <c r="M25" i="63"/>
  <c r="G20" i="89"/>
  <c r="J20" i="89"/>
  <c r="M18" i="88"/>
  <c r="M19" i="88"/>
  <c r="M13" i="89"/>
  <c r="M14" i="89"/>
  <c r="M15" i="89"/>
  <c r="M16" i="89"/>
  <c r="M17" i="88"/>
  <c r="M5" i="89"/>
  <c r="M6" i="89"/>
  <c r="M7" i="89"/>
  <c r="M8" i="89"/>
  <c r="M9" i="89"/>
  <c r="M10" i="89"/>
  <c r="M11" i="89"/>
  <c r="M12" i="89"/>
  <c r="M4" i="89"/>
  <c r="M5" i="88"/>
  <c r="M6" i="88"/>
  <c r="M7" i="88"/>
  <c r="M8" i="88"/>
  <c r="M9" i="88"/>
  <c r="M10" i="88"/>
  <c r="M11" i="88"/>
  <c r="M12" i="88"/>
  <c r="M13" i="88"/>
  <c r="M14" i="88"/>
  <c r="M15" i="88"/>
  <c r="M16" i="88"/>
  <c r="M4" i="88"/>
  <c r="M10" i="87"/>
  <c r="H16" i="88"/>
  <c r="H14" i="88"/>
  <c r="H10" i="88"/>
  <c r="H8" i="88"/>
  <c r="H6" i="88"/>
  <c r="H5" i="88"/>
  <c r="E16" i="88"/>
  <c r="E14" i="88"/>
  <c r="E13" i="88"/>
  <c r="E10" i="88"/>
  <c r="E8" i="88"/>
  <c r="E6" i="88"/>
  <c r="J34" i="89"/>
  <c r="G34" i="89"/>
  <c r="K34" i="89" s="1"/>
  <c r="J33" i="89"/>
  <c r="G33" i="89"/>
  <c r="K33" i="89" s="1"/>
  <c r="J32" i="89"/>
  <c r="G32" i="89"/>
  <c r="K32" i="89" s="1"/>
  <c r="J31" i="89"/>
  <c r="G31" i="89"/>
  <c r="K31" i="89" s="1"/>
  <c r="J30" i="89"/>
  <c r="G30" i="89"/>
  <c r="K30" i="89" s="1"/>
  <c r="J29" i="89"/>
  <c r="G29" i="89"/>
  <c r="K29" i="89" s="1"/>
  <c r="J28" i="89"/>
  <c r="K28" i="89" s="1"/>
  <c r="J27" i="89"/>
  <c r="G27" i="89"/>
  <c r="K27" i="89" s="1"/>
  <c r="J26" i="89"/>
  <c r="G26" i="89"/>
  <c r="K26" i="89" s="1"/>
  <c r="J25" i="89"/>
  <c r="G25" i="89"/>
  <c r="K25" i="89" s="1"/>
  <c r="J24" i="89"/>
  <c r="J35" i="89" s="1"/>
  <c r="G10" i="56" s="1"/>
  <c r="K24" i="89"/>
  <c r="J23" i="89"/>
  <c r="G23" i="89"/>
  <c r="K23" i="89" s="1"/>
  <c r="J22" i="89"/>
  <c r="G22" i="89"/>
  <c r="K22" i="89" s="1"/>
  <c r="J21" i="89"/>
  <c r="G21" i="89"/>
  <c r="K21" i="89" s="1"/>
  <c r="K20" i="89"/>
  <c r="J19" i="89"/>
  <c r="G19" i="89"/>
  <c r="K19" i="89" s="1"/>
  <c r="J18" i="89"/>
  <c r="G18" i="89"/>
  <c r="K18" i="89" s="1"/>
  <c r="J17" i="89"/>
  <c r="G17" i="89"/>
  <c r="K17" i="89" s="1"/>
  <c r="J16" i="89"/>
  <c r="G16" i="89"/>
  <c r="K16" i="89" s="1"/>
  <c r="L16" i="89" s="1"/>
  <c r="J15" i="89"/>
  <c r="G15" i="89"/>
  <c r="K15" i="89" s="1"/>
  <c r="L15" i="89" s="1"/>
  <c r="J14" i="89"/>
  <c r="G14" i="89"/>
  <c r="K14" i="89" s="1"/>
  <c r="L14" i="89" s="1"/>
  <c r="J13" i="89"/>
  <c r="G13" i="89"/>
  <c r="K13" i="89" s="1"/>
  <c r="L13" i="89" s="1"/>
  <c r="J12" i="89"/>
  <c r="G12" i="89"/>
  <c r="K12" i="89" s="1"/>
  <c r="L12" i="89" s="1"/>
  <c r="J11" i="89"/>
  <c r="G11" i="89"/>
  <c r="K11" i="89" s="1"/>
  <c r="L11" i="89" s="1"/>
  <c r="J10" i="89"/>
  <c r="G10" i="89"/>
  <c r="K10" i="89" s="1"/>
  <c r="L10" i="89" s="1"/>
  <c r="J9" i="89"/>
  <c r="G9" i="89"/>
  <c r="K9" i="89" s="1"/>
  <c r="L9" i="89" s="1"/>
  <c r="J8" i="89"/>
  <c r="G8" i="89"/>
  <c r="K8" i="89" s="1"/>
  <c r="L8" i="89" s="1"/>
  <c r="J7" i="89"/>
  <c r="G7" i="89"/>
  <c r="K7" i="89" s="1"/>
  <c r="L7" i="89" s="1"/>
  <c r="J6" i="89"/>
  <c r="G6" i="89"/>
  <c r="K6" i="89" s="1"/>
  <c r="J5" i="89"/>
  <c r="G5" i="89"/>
  <c r="K5" i="89" s="1"/>
  <c r="L5" i="89" s="1"/>
  <c r="J4" i="89"/>
  <c r="G4" i="89"/>
  <c r="K4" i="89" s="1"/>
  <c r="L4" i="89" s="1"/>
  <c r="J34" i="88"/>
  <c r="G34" i="88"/>
  <c r="K34" i="88" s="1"/>
  <c r="L34" i="88" s="1"/>
  <c r="J33" i="88"/>
  <c r="G33" i="88"/>
  <c r="K33" i="88" s="1"/>
  <c r="L33" i="88" s="1"/>
  <c r="J32" i="88"/>
  <c r="G32" i="88"/>
  <c r="K32" i="88" s="1"/>
  <c r="L32" i="88" s="1"/>
  <c r="J31" i="88"/>
  <c r="G31" i="88"/>
  <c r="K31" i="88" s="1"/>
  <c r="L31" i="88" s="1"/>
  <c r="J30" i="88"/>
  <c r="G30" i="88"/>
  <c r="K30" i="88" s="1"/>
  <c r="L30" i="88" s="1"/>
  <c r="J29" i="88"/>
  <c r="G29" i="88"/>
  <c r="K29" i="88" s="1"/>
  <c r="L29" i="88" s="1"/>
  <c r="J28" i="88"/>
  <c r="K28" i="88" s="1"/>
  <c r="L28" i="88" s="1"/>
  <c r="J27" i="88"/>
  <c r="G27" i="88"/>
  <c r="K27" i="88" s="1"/>
  <c r="L27" i="88" s="1"/>
  <c r="J26" i="88"/>
  <c r="G26" i="88"/>
  <c r="K26" i="88" s="1"/>
  <c r="L26" i="88" s="1"/>
  <c r="J25" i="88"/>
  <c r="G25" i="88"/>
  <c r="K25" i="88" s="1"/>
  <c r="L25" i="88" s="1"/>
  <c r="J24" i="88"/>
  <c r="G24" i="88"/>
  <c r="K24" i="88" s="1"/>
  <c r="L24" i="88" s="1"/>
  <c r="J23" i="88"/>
  <c r="G23" i="88"/>
  <c r="K23" i="88" s="1"/>
  <c r="L23" i="88" s="1"/>
  <c r="J22" i="88"/>
  <c r="G22" i="88"/>
  <c r="K22" i="88" s="1"/>
  <c r="L22" i="88" s="1"/>
  <c r="J21" i="88"/>
  <c r="G21" i="88"/>
  <c r="K21" i="88" s="1"/>
  <c r="J20" i="88"/>
  <c r="G20" i="88"/>
  <c r="K20" i="88" s="1"/>
  <c r="J19" i="88"/>
  <c r="G19" i="88"/>
  <c r="K19" i="88" s="1"/>
  <c r="J18" i="88"/>
  <c r="G18" i="88"/>
  <c r="K18" i="88" s="1"/>
  <c r="L18" i="88" s="1"/>
  <c r="J17" i="88"/>
  <c r="G17" i="88"/>
  <c r="K17" i="88" s="1"/>
  <c r="J16" i="88"/>
  <c r="G16" i="88"/>
  <c r="K16" i="88" s="1"/>
  <c r="J15" i="88"/>
  <c r="G15" i="88"/>
  <c r="K15" i="88" s="1"/>
  <c r="J14" i="88"/>
  <c r="G14" i="88"/>
  <c r="K14" i="88" s="1"/>
  <c r="J13" i="88"/>
  <c r="G13" i="88"/>
  <c r="K13" i="88" s="1"/>
  <c r="J12" i="88"/>
  <c r="G12" i="88"/>
  <c r="K12" i="88" s="1"/>
  <c r="J11" i="88"/>
  <c r="G11" i="88"/>
  <c r="K11" i="88" s="1"/>
  <c r="J10" i="88"/>
  <c r="G10" i="88"/>
  <c r="K10" i="88" s="1"/>
  <c r="J9" i="88"/>
  <c r="G9" i="88"/>
  <c r="K9" i="88" s="1"/>
  <c r="J8" i="88"/>
  <c r="G8" i="88"/>
  <c r="K8" i="88" s="1"/>
  <c r="J7" i="88"/>
  <c r="G7" i="88"/>
  <c r="K7" i="88" s="1"/>
  <c r="J6" i="88"/>
  <c r="G6" i="88"/>
  <c r="K6" i="88" s="1"/>
  <c r="J5" i="88"/>
  <c r="G5" i="88"/>
  <c r="K5" i="88" s="1"/>
  <c r="J4" i="88"/>
  <c r="G4" i="88"/>
  <c r="K4" i="88" s="1"/>
  <c r="L18" i="22"/>
  <c r="L14" i="75"/>
  <c r="J13" i="80"/>
  <c r="J14" i="80"/>
  <c r="J15" i="80"/>
  <c r="J16" i="80"/>
  <c r="J12" i="80"/>
  <c r="K15" i="80"/>
  <c r="M15" i="63"/>
  <c r="L15" i="22"/>
  <c r="K15" i="75"/>
  <c r="J15" i="75"/>
  <c r="G10" i="87"/>
  <c r="L38" i="87"/>
  <c r="H38" i="87"/>
  <c r="E38" i="87"/>
  <c r="J37" i="87"/>
  <c r="G37" i="87"/>
  <c r="K37" i="87" s="1"/>
  <c r="J36" i="87"/>
  <c r="G36" i="87"/>
  <c r="K36" i="87" s="1"/>
  <c r="J35" i="87"/>
  <c r="G35" i="87"/>
  <c r="K35" i="87" s="1"/>
  <c r="G34" i="87"/>
  <c r="K34" i="87" s="1"/>
  <c r="J33" i="87"/>
  <c r="G33" i="87"/>
  <c r="K33" i="87" s="1"/>
  <c r="J32" i="87"/>
  <c r="G32" i="87"/>
  <c r="K32" i="87" s="1"/>
  <c r="J31" i="87"/>
  <c r="G31" i="87"/>
  <c r="K31" i="87" s="1"/>
  <c r="J30" i="87"/>
  <c r="G30" i="87"/>
  <c r="K30" i="87" s="1"/>
  <c r="J29" i="87"/>
  <c r="G29" i="87"/>
  <c r="K29" i="87" s="1"/>
  <c r="J28" i="87"/>
  <c r="G28" i="87"/>
  <c r="K28" i="87" s="1"/>
  <c r="J27" i="87"/>
  <c r="G27" i="87"/>
  <c r="K27" i="87" s="1"/>
  <c r="J26" i="87"/>
  <c r="G26" i="87"/>
  <c r="K26" i="87" s="1"/>
  <c r="J25" i="87"/>
  <c r="G25" i="87"/>
  <c r="K25" i="87" s="1"/>
  <c r="J24" i="87"/>
  <c r="G24" i="87"/>
  <c r="K24" i="87" s="1"/>
  <c r="J23" i="87"/>
  <c r="G23" i="87"/>
  <c r="K23" i="87" s="1"/>
  <c r="J22" i="87"/>
  <c r="G22" i="87"/>
  <c r="K22" i="87" s="1"/>
  <c r="J21" i="87"/>
  <c r="G21" i="87"/>
  <c r="K21" i="87" s="1"/>
  <c r="J20" i="87"/>
  <c r="G20" i="87"/>
  <c r="K20" i="87" s="1"/>
  <c r="J19" i="87"/>
  <c r="G19" i="87"/>
  <c r="K19" i="87" s="1"/>
  <c r="J18" i="87"/>
  <c r="G18" i="87"/>
  <c r="K18" i="87" s="1"/>
  <c r="J17" i="87"/>
  <c r="G17" i="87"/>
  <c r="K17" i="87" s="1"/>
  <c r="J16" i="87"/>
  <c r="G16" i="87"/>
  <c r="K16" i="87" s="1"/>
  <c r="J15" i="87"/>
  <c r="G15" i="87"/>
  <c r="K15" i="87" s="1"/>
  <c r="J14" i="87"/>
  <c r="G14" i="87"/>
  <c r="K14" i="87" s="1"/>
  <c r="J13" i="87"/>
  <c r="G13" i="87"/>
  <c r="K13" i="87" s="1"/>
  <c r="J12" i="87"/>
  <c r="G12" i="87"/>
  <c r="K12" i="87" s="1"/>
  <c r="J11" i="87"/>
  <c r="G11" i="87"/>
  <c r="K11" i="87" s="1"/>
  <c r="J10" i="87"/>
  <c r="K10" i="87"/>
  <c r="J9" i="87"/>
  <c r="G9" i="87"/>
  <c r="K9" i="87" s="1"/>
  <c r="J8" i="87"/>
  <c r="G8" i="87"/>
  <c r="K8" i="87" s="1"/>
  <c r="J7" i="87"/>
  <c r="G7" i="87"/>
  <c r="K7" i="87" s="1"/>
  <c r="J6" i="87"/>
  <c r="G6" i="87"/>
  <c r="K6" i="87" s="1"/>
  <c r="J5" i="87"/>
  <c r="J38" i="87" s="1"/>
  <c r="G5" i="87"/>
  <c r="K5" i="87" s="1"/>
  <c r="G4" i="87"/>
  <c r="J16" i="44"/>
  <c r="J7" i="33"/>
  <c r="J6" i="33"/>
  <c r="J8" i="26"/>
  <c r="J9" i="26"/>
  <c r="G9" i="47"/>
  <c r="J9" i="14"/>
  <c r="J9" i="80"/>
  <c r="M10" i="68"/>
  <c r="G7" i="82"/>
  <c r="G6" i="83"/>
  <c r="K6" i="83"/>
  <c r="P10" i="41"/>
  <c r="K6" i="22"/>
  <c r="G6" i="22"/>
  <c r="G5" i="71"/>
  <c r="G4" i="35"/>
  <c r="I43" i="56"/>
  <c r="I29" i="56"/>
  <c r="G4" i="25"/>
  <c r="G8" i="9"/>
  <c r="G9" i="9"/>
  <c r="G10" i="9"/>
  <c r="G11" i="9"/>
  <c r="G12" i="9"/>
  <c r="G13" i="9"/>
  <c r="G14" i="9"/>
  <c r="G10" i="85"/>
  <c r="J10" i="85"/>
  <c r="K10" i="85"/>
  <c r="G11" i="85"/>
  <c r="J11" i="85"/>
  <c r="K11" i="85"/>
  <c r="G12" i="85"/>
  <c r="J12" i="85"/>
  <c r="K12" i="85"/>
  <c r="J4" i="57"/>
  <c r="J5" i="57"/>
  <c r="J6" i="57"/>
  <c r="J7" i="57"/>
  <c r="J8" i="57"/>
  <c r="J9" i="57"/>
  <c r="J10" i="57"/>
  <c r="J11" i="57"/>
  <c r="J12" i="57"/>
  <c r="J13" i="57"/>
  <c r="J14" i="57"/>
  <c r="J15" i="57"/>
  <c r="J16" i="57"/>
  <c r="J17" i="57"/>
  <c r="J18" i="57"/>
  <c r="J19" i="57"/>
  <c r="J20" i="57"/>
  <c r="J21" i="57"/>
  <c r="J22" i="57"/>
  <c r="J23" i="57"/>
  <c r="J24" i="57"/>
  <c r="J25" i="57"/>
  <c r="J26" i="57"/>
  <c r="J27" i="57"/>
  <c r="J28" i="57"/>
  <c r="J29" i="57"/>
  <c r="J30" i="57"/>
  <c r="J31" i="57"/>
  <c r="J32" i="57"/>
  <c r="J33" i="57"/>
  <c r="J34" i="57"/>
  <c r="G11" i="40"/>
  <c r="G12" i="40"/>
  <c r="G13" i="40"/>
  <c r="G14" i="40"/>
  <c r="G7" i="62"/>
  <c r="G8" i="62"/>
  <c r="G9" i="62"/>
  <c r="G10" i="62"/>
  <c r="G11" i="62"/>
  <c r="G12" i="62"/>
  <c r="G13" i="62"/>
  <c r="G14" i="62"/>
  <c r="G15" i="62"/>
  <c r="G9" i="7"/>
  <c r="G10" i="7"/>
  <c r="G11" i="7"/>
  <c r="G12" i="7"/>
  <c r="G13" i="7"/>
  <c r="G14" i="7"/>
  <c r="G15" i="7"/>
  <c r="G16" i="7"/>
  <c r="G17" i="7"/>
  <c r="G18" i="7"/>
  <c r="J20" i="68"/>
  <c r="J21" i="68"/>
  <c r="G25" i="11"/>
  <c r="G26" i="12"/>
  <c r="J25" i="76"/>
  <c r="J26" i="76"/>
  <c r="J27" i="76"/>
  <c r="J22" i="9"/>
  <c r="G22" i="9"/>
  <c r="K22" i="9" s="1"/>
  <c r="G20" i="68"/>
  <c r="G21" i="68"/>
  <c r="J16" i="68"/>
  <c r="J17" i="68"/>
  <c r="J18" i="68"/>
  <c r="J19" i="68"/>
  <c r="G16" i="68"/>
  <c r="G17" i="68"/>
  <c r="G18" i="68"/>
  <c r="G19" i="68"/>
  <c r="J36" i="44"/>
  <c r="J34" i="44"/>
  <c r="J35" i="44"/>
  <c r="G17" i="82"/>
  <c r="G18" i="82"/>
  <c r="G18" i="75"/>
  <c r="J16" i="76"/>
  <c r="J17" i="76"/>
  <c r="J33" i="44"/>
  <c r="J31" i="44"/>
  <c r="J32" i="44"/>
  <c r="J27" i="44"/>
  <c r="J28" i="44"/>
  <c r="J29" i="44"/>
  <c r="J30" i="44"/>
  <c r="J15" i="78"/>
  <c r="K15" i="78" s="1"/>
  <c r="J10" i="78"/>
  <c r="K10" i="78"/>
  <c r="J11" i="78"/>
  <c r="K11" i="78"/>
  <c r="J12" i="78"/>
  <c r="K12" i="78"/>
  <c r="J13" i="78"/>
  <c r="K13" i="78"/>
  <c r="J14" i="78"/>
  <c r="K14" i="78"/>
  <c r="J9" i="68"/>
  <c r="J10" i="68"/>
  <c r="J11" i="68"/>
  <c r="J12" i="68"/>
  <c r="J13" i="68"/>
  <c r="J14" i="68"/>
  <c r="J15" i="68"/>
  <c r="G13" i="68"/>
  <c r="G14" i="68"/>
  <c r="G15" i="68"/>
  <c r="J13" i="47"/>
  <c r="G13" i="47"/>
  <c r="K13" i="47" s="1"/>
  <c r="K4" i="65"/>
  <c r="G8" i="65"/>
  <c r="K8" i="65" s="1"/>
  <c r="G9" i="65"/>
  <c r="K9" i="65" s="1"/>
  <c r="G10" i="65"/>
  <c r="K10" i="65" s="1"/>
  <c r="G5" i="65"/>
  <c r="K5" i="65" s="1"/>
  <c r="J25" i="44"/>
  <c r="J26" i="44"/>
  <c r="J19" i="44"/>
  <c r="J20" i="44"/>
  <c r="J21" i="44"/>
  <c r="J22" i="44"/>
  <c r="J23" i="44"/>
  <c r="J24" i="44"/>
  <c r="J10" i="44"/>
  <c r="J11" i="44"/>
  <c r="J12" i="44"/>
  <c r="J13" i="44"/>
  <c r="J14" i="44"/>
  <c r="J15" i="44"/>
  <c r="J17" i="44"/>
  <c r="J18" i="44"/>
  <c r="G9" i="68"/>
  <c r="G10" i="68"/>
  <c r="G11" i="68"/>
  <c r="G12" i="68"/>
  <c r="J10" i="9"/>
  <c r="K10" i="9"/>
  <c r="J11" i="9"/>
  <c r="K11" i="9"/>
  <c r="J9" i="9"/>
  <c r="K9" i="9"/>
  <c r="G9" i="51"/>
  <c r="G9" i="81"/>
  <c r="K9" i="81" s="1"/>
  <c r="J6" i="68"/>
  <c r="J8" i="68"/>
  <c r="G8" i="68"/>
  <c r="G7" i="68"/>
  <c r="G6" i="68"/>
  <c r="J7" i="68"/>
  <c r="G8" i="11"/>
  <c r="L10" i="45"/>
  <c r="J8" i="44"/>
  <c r="J9" i="44"/>
  <c r="J6" i="44"/>
  <c r="J7" i="44"/>
  <c r="J5" i="44"/>
  <c r="G6" i="51"/>
  <c r="G5" i="11"/>
  <c r="G6" i="11"/>
  <c r="G5" i="61"/>
  <c r="G6" i="61"/>
  <c r="G7" i="61"/>
  <c r="G5" i="80"/>
  <c r="H55" i="85"/>
  <c r="F31" i="56" s="1"/>
  <c r="D31" i="56"/>
  <c r="J54" i="85"/>
  <c r="G54" i="85"/>
  <c r="K54" i="85" s="1"/>
  <c r="J53" i="85"/>
  <c r="G53" i="85"/>
  <c r="K53" i="85" s="1"/>
  <c r="J52" i="85"/>
  <c r="G52" i="85"/>
  <c r="K52" i="85" s="1"/>
  <c r="J51" i="85"/>
  <c r="G51" i="85"/>
  <c r="K51" i="85" s="1"/>
  <c r="J50" i="85"/>
  <c r="G50" i="85"/>
  <c r="K50" i="85" s="1"/>
  <c r="J49" i="85"/>
  <c r="G49" i="85"/>
  <c r="K49" i="85" s="1"/>
  <c r="J48" i="85"/>
  <c r="G48" i="85"/>
  <c r="K48" i="85" s="1"/>
  <c r="J47" i="85"/>
  <c r="G47" i="85"/>
  <c r="K47" i="85" s="1"/>
  <c r="J46" i="85"/>
  <c r="G46" i="85"/>
  <c r="K46" i="85" s="1"/>
  <c r="J45" i="85"/>
  <c r="G45" i="85"/>
  <c r="K45" i="85" s="1"/>
  <c r="J44" i="85"/>
  <c r="G44" i="85"/>
  <c r="K44" i="85" s="1"/>
  <c r="J43" i="85"/>
  <c r="G43" i="85"/>
  <c r="K43" i="85" s="1"/>
  <c r="J42" i="85"/>
  <c r="G42" i="85"/>
  <c r="K42" i="85" s="1"/>
  <c r="J41" i="85"/>
  <c r="G41" i="85"/>
  <c r="K41" i="85" s="1"/>
  <c r="J40" i="85"/>
  <c r="G40" i="85"/>
  <c r="K40" i="85" s="1"/>
  <c r="J39" i="85"/>
  <c r="G39" i="85"/>
  <c r="K39" i="85" s="1"/>
  <c r="J38" i="85"/>
  <c r="G38" i="85"/>
  <c r="K38" i="85" s="1"/>
  <c r="J37" i="85"/>
  <c r="G37" i="85"/>
  <c r="K37" i="85" s="1"/>
  <c r="J36" i="85"/>
  <c r="G36" i="85"/>
  <c r="K36" i="85" s="1"/>
  <c r="J35" i="85"/>
  <c r="G35" i="85"/>
  <c r="K35" i="85" s="1"/>
  <c r="J34" i="85"/>
  <c r="G34" i="85"/>
  <c r="K34" i="85" s="1"/>
  <c r="J33" i="85"/>
  <c r="G33" i="85"/>
  <c r="K33" i="85" s="1"/>
  <c r="J32" i="85"/>
  <c r="G32" i="85"/>
  <c r="K32" i="85" s="1"/>
  <c r="J31" i="85"/>
  <c r="G31" i="85"/>
  <c r="K31" i="85" s="1"/>
  <c r="J30" i="85"/>
  <c r="G30" i="85"/>
  <c r="K30" i="85" s="1"/>
  <c r="J29" i="85"/>
  <c r="G29" i="85"/>
  <c r="K29" i="85" s="1"/>
  <c r="J28" i="85"/>
  <c r="G28" i="85"/>
  <c r="K28" i="85" s="1"/>
  <c r="J27" i="85"/>
  <c r="G27" i="85"/>
  <c r="K27" i="85" s="1"/>
  <c r="J26" i="85"/>
  <c r="G26" i="85"/>
  <c r="K26" i="85" s="1"/>
  <c r="J25" i="85"/>
  <c r="G25" i="85"/>
  <c r="K25" i="85" s="1"/>
  <c r="L25" i="85" s="1"/>
  <c r="L55" i="85" s="1"/>
  <c r="J31" i="56" s="1"/>
  <c r="J24" i="85"/>
  <c r="G24" i="85"/>
  <c r="K24" i="85" s="1"/>
  <c r="J23" i="85"/>
  <c r="G23" i="85"/>
  <c r="K23" i="85" s="1"/>
  <c r="J22" i="85"/>
  <c r="G22" i="85"/>
  <c r="K22" i="85" s="1"/>
  <c r="J21" i="85"/>
  <c r="G21" i="85"/>
  <c r="K21" i="85" s="1"/>
  <c r="J20" i="85"/>
  <c r="G20" i="85"/>
  <c r="K20" i="85" s="1"/>
  <c r="J19" i="85"/>
  <c r="G19" i="85"/>
  <c r="K19" i="85" s="1"/>
  <c r="J18" i="85"/>
  <c r="G18" i="85"/>
  <c r="K18" i="85" s="1"/>
  <c r="J17" i="85"/>
  <c r="G17" i="85"/>
  <c r="K17" i="85" s="1"/>
  <c r="J16" i="85"/>
  <c r="G16" i="85"/>
  <c r="K16" i="85" s="1"/>
  <c r="J15" i="85"/>
  <c r="G15" i="85"/>
  <c r="K15" i="85" s="1"/>
  <c r="J14" i="85"/>
  <c r="G14" i="85"/>
  <c r="K14" i="85" s="1"/>
  <c r="J13" i="85"/>
  <c r="G13" i="85"/>
  <c r="K13" i="85" s="1"/>
  <c r="J9" i="85"/>
  <c r="G9" i="85"/>
  <c r="K9" i="85" s="1"/>
  <c r="J8" i="85"/>
  <c r="G8" i="85"/>
  <c r="K8" i="85" s="1"/>
  <c r="J7" i="85"/>
  <c r="G7" i="85"/>
  <c r="K7" i="85" s="1"/>
  <c r="J6" i="85"/>
  <c r="G6" i="85"/>
  <c r="K6" i="85" s="1"/>
  <c r="J5" i="85"/>
  <c r="G5" i="85"/>
  <c r="K5" i="85" s="1"/>
  <c r="J4" i="85"/>
  <c r="J55" i="85" s="1"/>
  <c r="G31" i="56" s="1"/>
  <c r="G4" i="85"/>
  <c r="I31" i="56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7" i="12"/>
  <c r="G28" i="12"/>
  <c r="G29" i="12"/>
  <c r="G30" i="12"/>
  <c r="G31" i="12"/>
  <c r="G32" i="12"/>
  <c r="G33" i="12"/>
  <c r="G34" i="12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8" i="61"/>
  <c r="G9" i="61"/>
  <c r="G10" i="61"/>
  <c r="G11" i="61"/>
  <c r="G12" i="61"/>
  <c r="G13" i="61"/>
  <c r="G14" i="61"/>
  <c r="G15" i="61"/>
  <c r="M3" i="14"/>
  <c r="G4" i="22"/>
  <c r="K5" i="68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G5" i="63"/>
  <c r="J5" i="63"/>
  <c r="K5" i="63"/>
  <c r="G6" i="63"/>
  <c r="J6" i="63"/>
  <c r="K6" i="63"/>
  <c r="G7" i="63"/>
  <c r="J7" i="63"/>
  <c r="K7" i="63"/>
  <c r="G8" i="63"/>
  <c r="J8" i="63"/>
  <c r="K8" i="63"/>
  <c r="G9" i="63"/>
  <c r="J9" i="63"/>
  <c r="K9" i="63"/>
  <c r="G10" i="63"/>
  <c r="J10" i="63"/>
  <c r="K10" i="63"/>
  <c r="G11" i="63"/>
  <c r="J11" i="63"/>
  <c r="K11" i="63"/>
  <c r="G12" i="63"/>
  <c r="J12" i="63"/>
  <c r="K12" i="63"/>
  <c r="G13" i="63"/>
  <c r="J13" i="63"/>
  <c r="K13" i="63"/>
  <c r="G14" i="63"/>
  <c r="J14" i="63"/>
  <c r="K14" i="63"/>
  <c r="G15" i="63"/>
  <c r="J15" i="63"/>
  <c r="K15" i="63"/>
  <c r="G16" i="63"/>
  <c r="J16" i="63"/>
  <c r="K16" i="63"/>
  <c r="G17" i="63"/>
  <c r="J17" i="63"/>
  <c r="K17" i="63"/>
  <c r="G18" i="63"/>
  <c r="J18" i="63"/>
  <c r="K18" i="63"/>
  <c r="G19" i="63"/>
  <c r="J19" i="63"/>
  <c r="K19" i="63"/>
  <c r="G20" i="63"/>
  <c r="J20" i="63"/>
  <c r="K20" i="63"/>
  <c r="G21" i="63"/>
  <c r="J21" i="63"/>
  <c r="K21" i="63"/>
  <c r="G22" i="63"/>
  <c r="J22" i="63"/>
  <c r="K22" i="63"/>
  <c r="G23" i="63"/>
  <c r="J23" i="63"/>
  <c r="K23" i="63"/>
  <c r="G24" i="63"/>
  <c r="J24" i="63"/>
  <c r="K24" i="63"/>
  <c r="G25" i="63"/>
  <c r="J25" i="63"/>
  <c r="K25" i="63"/>
  <c r="G26" i="63"/>
  <c r="J26" i="63"/>
  <c r="K26" i="63"/>
  <c r="M26" i="63" s="1"/>
  <c r="M27" i="63" s="1"/>
  <c r="M28" i="63" s="1"/>
  <c r="M29" i="63" s="1"/>
  <c r="M30" i="63" s="1"/>
  <c r="G27" i="63"/>
  <c r="J27" i="63"/>
  <c r="K27" i="63"/>
  <c r="G28" i="63"/>
  <c r="J28" i="63"/>
  <c r="K28" i="63"/>
  <c r="G29" i="63"/>
  <c r="J29" i="63"/>
  <c r="K29" i="63"/>
  <c r="G30" i="63"/>
  <c r="J30" i="63"/>
  <c r="K30" i="63"/>
  <c r="G31" i="63"/>
  <c r="J31" i="63"/>
  <c r="K31" i="63"/>
  <c r="G32" i="63"/>
  <c r="J32" i="63"/>
  <c r="K32" i="63"/>
  <c r="G5" i="16"/>
  <c r="J5" i="16"/>
  <c r="K5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G15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K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J34" i="16"/>
  <c r="K34" i="16"/>
  <c r="G35" i="16"/>
  <c r="J35" i="16"/>
  <c r="K35" i="16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5" i="52"/>
  <c r="J5" i="52"/>
  <c r="K5" i="52"/>
  <c r="G6" i="52"/>
  <c r="J6" i="52"/>
  <c r="K6" i="52"/>
  <c r="G7" i="52"/>
  <c r="J7" i="52"/>
  <c r="K7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K20" i="52"/>
  <c r="G21" i="52"/>
  <c r="J21" i="52"/>
  <c r="K21" i="52"/>
  <c r="G22" i="52"/>
  <c r="J22" i="52"/>
  <c r="K22" i="52"/>
  <c r="G23" i="52"/>
  <c r="J23" i="52"/>
  <c r="K23" i="52"/>
  <c r="G24" i="52"/>
  <c r="J24" i="52"/>
  <c r="K24" i="52"/>
  <c r="G25" i="52"/>
  <c r="J25" i="52"/>
  <c r="K25" i="52"/>
  <c r="G26" i="52"/>
  <c r="J26" i="52"/>
  <c r="K26" i="52"/>
  <c r="G27" i="52"/>
  <c r="J27" i="52"/>
  <c r="K27" i="52"/>
  <c r="G28" i="52"/>
  <c r="J28" i="52"/>
  <c r="K28" i="52"/>
  <c r="G31" i="52"/>
  <c r="J31" i="52"/>
  <c r="K31" i="52"/>
  <c r="G5" i="62"/>
  <c r="J5" i="62"/>
  <c r="K5" i="62"/>
  <c r="G6" i="62"/>
  <c r="J6" i="62"/>
  <c r="K6" i="62"/>
  <c r="J7" i="62"/>
  <c r="K7" i="62"/>
  <c r="J8" i="62"/>
  <c r="K8" i="62"/>
  <c r="J9" i="62"/>
  <c r="K9" i="62"/>
  <c r="J10" i="62"/>
  <c r="K10" i="62"/>
  <c r="J11" i="62"/>
  <c r="K11" i="62"/>
  <c r="J12" i="62"/>
  <c r="K12" i="62"/>
  <c r="J13" i="62"/>
  <c r="K13" i="62"/>
  <c r="J14" i="62"/>
  <c r="K14" i="62"/>
  <c r="J15" i="62"/>
  <c r="K15" i="62"/>
  <c r="G16" i="62"/>
  <c r="J16" i="62"/>
  <c r="K16" i="62"/>
  <c r="G17" i="62"/>
  <c r="J17" i="62"/>
  <c r="K17" i="62"/>
  <c r="G18" i="62"/>
  <c r="J18" i="62"/>
  <c r="K18" i="62"/>
  <c r="G19" i="62"/>
  <c r="J19" i="62"/>
  <c r="K19" i="62"/>
  <c r="G20" i="62"/>
  <c r="J20" i="62"/>
  <c r="K20" i="62"/>
  <c r="G21" i="62"/>
  <c r="J21" i="62"/>
  <c r="K21" i="62"/>
  <c r="G22" i="62"/>
  <c r="J22" i="62"/>
  <c r="K22" i="62"/>
  <c r="G23" i="62"/>
  <c r="J23" i="62"/>
  <c r="K23" i="62"/>
  <c r="G24" i="62"/>
  <c r="J24" i="62"/>
  <c r="K24" i="62"/>
  <c r="G25" i="62"/>
  <c r="J25" i="62"/>
  <c r="K25" i="62"/>
  <c r="G26" i="62"/>
  <c r="J26" i="62"/>
  <c r="K26" i="62"/>
  <c r="G27" i="62"/>
  <c r="J27" i="62"/>
  <c r="K27" i="62"/>
  <c r="G28" i="62"/>
  <c r="J28" i="62"/>
  <c r="K28" i="62"/>
  <c r="G30" i="62"/>
  <c r="J30" i="62"/>
  <c r="K30" i="62"/>
  <c r="G31" i="62"/>
  <c r="J31" i="62"/>
  <c r="K31" i="62"/>
  <c r="G32" i="62"/>
  <c r="J32" i="62"/>
  <c r="K32" i="62"/>
  <c r="G33" i="62"/>
  <c r="J33" i="62"/>
  <c r="K33" i="62"/>
  <c r="G34" i="62"/>
  <c r="J34" i="62"/>
  <c r="K34" i="62"/>
  <c r="G33" i="58"/>
  <c r="J5" i="47"/>
  <c r="J6" i="47"/>
  <c r="J7" i="47"/>
  <c r="J8" i="47"/>
  <c r="J9" i="47"/>
  <c r="J10" i="47"/>
  <c r="J11" i="47"/>
  <c r="J12" i="47"/>
  <c r="J14" i="47"/>
  <c r="J15" i="47"/>
  <c r="J16" i="47"/>
  <c r="J17" i="47"/>
  <c r="J18" i="47"/>
  <c r="J19" i="47"/>
  <c r="J20" i="47"/>
  <c r="J21" i="47"/>
  <c r="J22" i="47"/>
  <c r="J23" i="47"/>
  <c r="J24" i="47"/>
  <c r="J25" i="47"/>
  <c r="J26" i="47"/>
  <c r="J27" i="47"/>
  <c r="J28" i="47"/>
  <c r="J29" i="47"/>
  <c r="J30" i="47"/>
  <c r="J31" i="47"/>
  <c r="J32" i="47"/>
  <c r="J33" i="47"/>
  <c r="J9" i="50"/>
  <c r="J10" i="50"/>
  <c r="J11" i="50"/>
  <c r="J12" i="50"/>
  <c r="J13" i="50"/>
  <c r="J14" i="50"/>
  <c r="J15" i="50"/>
  <c r="J16" i="50"/>
  <c r="J17" i="50"/>
  <c r="J18" i="50"/>
  <c r="J19" i="50"/>
  <c r="J20" i="50"/>
  <c r="J21" i="50"/>
  <c r="J22" i="50"/>
  <c r="J23" i="50"/>
  <c r="J24" i="50"/>
  <c r="J25" i="50"/>
  <c r="J26" i="50"/>
  <c r="J27" i="50"/>
  <c r="J28" i="50"/>
  <c r="G30" i="35"/>
  <c r="L6" i="45"/>
  <c r="G66" i="44"/>
  <c r="G67" i="44"/>
  <c r="G68" i="44"/>
  <c r="J66" i="44"/>
  <c r="J67" i="44"/>
  <c r="J68" i="44"/>
  <c r="J31" i="82"/>
  <c r="J20" i="78"/>
  <c r="J21" i="78"/>
  <c r="J22" i="78"/>
  <c r="J23" i="78"/>
  <c r="J24" i="78"/>
  <c r="J25" i="78"/>
  <c r="J26" i="78"/>
  <c r="J27" i="78"/>
  <c r="J28" i="78"/>
  <c r="J29" i="78"/>
  <c r="J30" i="78"/>
  <c r="J31" i="78"/>
  <c r="J32" i="78"/>
  <c r="J33" i="78"/>
  <c r="H37" i="76"/>
  <c r="H35" i="24"/>
  <c r="J29" i="35"/>
  <c r="G29" i="35"/>
  <c r="G28" i="35"/>
  <c r="J65" i="44"/>
  <c r="G64" i="44"/>
  <c r="G65" i="44"/>
  <c r="J64" i="44"/>
  <c r="J61" i="44"/>
  <c r="J62" i="44"/>
  <c r="J63" i="44"/>
  <c r="G62" i="44"/>
  <c r="G63" i="44"/>
  <c r="G60" i="44"/>
  <c r="G61" i="44"/>
  <c r="J55" i="44"/>
  <c r="J56" i="44"/>
  <c r="J57" i="44"/>
  <c r="J58" i="44"/>
  <c r="J59" i="44"/>
  <c r="J60" i="44"/>
  <c r="G59" i="44"/>
  <c r="G58" i="44"/>
  <c r="G57" i="44"/>
  <c r="G26" i="35"/>
  <c r="G27" i="35"/>
  <c r="AM5" i="84"/>
  <c r="AM6" i="84"/>
  <c r="AM7" i="84"/>
  <c r="AM8" i="84"/>
  <c r="AM9" i="84"/>
  <c r="AM10" i="84"/>
  <c r="AM11" i="84"/>
  <c r="AM12" i="84"/>
  <c r="AM13" i="84"/>
  <c r="AM14" i="84"/>
  <c r="AM15" i="84"/>
  <c r="AM4" i="84"/>
  <c r="G24" i="35"/>
  <c r="G25" i="35"/>
  <c r="G53" i="44"/>
  <c r="G54" i="44"/>
  <c r="G55" i="44"/>
  <c r="G56" i="44"/>
  <c r="J52" i="44"/>
  <c r="J53" i="44"/>
  <c r="J54" i="44"/>
  <c r="G52" i="44"/>
  <c r="G23" i="35"/>
  <c r="G22" i="35"/>
  <c r="G21" i="35"/>
  <c r="L18" i="45"/>
  <c r="L19" i="45"/>
  <c r="L14" i="45"/>
  <c r="L15" i="45"/>
  <c r="L11" i="45"/>
  <c r="L12" i="45"/>
  <c r="L13" i="45"/>
  <c r="L9" i="45"/>
  <c r="J46" i="44"/>
  <c r="J47" i="44"/>
  <c r="J48" i="44"/>
  <c r="J49" i="44"/>
  <c r="J50" i="44"/>
  <c r="J51" i="44"/>
  <c r="G51" i="44"/>
  <c r="G50" i="44"/>
  <c r="G49" i="44"/>
  <c r="G48" i="44"/>
  <c r="G47" i="44"/>
  <c r="G46" i="44"/>
  <c r="G44" i="44"/>
  <c r="G42" i="44"/>
  <c r="G43" i="44"/>
  <c r="G40" i="44"/>
  <c r="G41" i="44"/>
  <c r="G39" i="44"/>
  <c r="G38" i="44"/>
  <c r="G37" i="44"/>
  <c r="G36" i="44"/>
  <c r="G35" i="44"/>
  <c r="G33" i="44"/>
  <c r="G34" i="44"/>
  <c r="G32" i="44"/>
  <c r="G30" i="44"/>
  <c r="G31" i="44"/>
  <c r="G29" i="44"/>
  <c r="G28" i="44"/>
  <c r="G27" i="44"/>
  <c r="G26" i="44"/>
  <c r="G19" i="35"/>
  <c r="G20" i="35"/>
  <c r="G5" i="78"/>
  <c r="J18" i="75"/>
  <c r="G18" i="51"/>
  <c r="G18" i="35"/>
  <c r="I4" i="56"/>
  <c r="I41" i="56"/>
  <c r="L35" i="83"/>
  <c r="J41" i="56" s="1"/>
  <c r="H35" i="83"/>
  <c r="F41" i="56" s="1"/>
  <c r="E35" i="83"/>
  <c r="D41" i="56" s="1"/>
  <c r="J34" i="83"/>
  <c r="G34" i="83"/>
  <c r="K34" i="83" s="1"/>
  <c r="J33" i="83"/>
  <c r="G33" i="83"/>
  <c r="K33" i="83" s="1"/>
  <c r="J32" i="83"/>
  <c r="G32" i="83"/>
  <c r="K32" i="83" s="1"/>
  <c r="J31" i="83"/>
  <c r="G31" i="83"/>
  <c r="K31" i="83" s="1"/>
  <c r="J30" i="83"/>
  <c r="G30" i="83"/>
  <c r="K30" i="83" s="1"/>
  <c r="J29" i="83"/>
  <c r="G29" i="83"/>
  <c r="K29" i="83" s="1"/>
  <c r="J28" i="83"/>
  <c r="G28" i="83"/>
  <c r="K28" i="83" s="1"/>
  <c r="J27" i="83"/>
  <c r="G27" i="83"/>
  <c r="K27" i="83" s="1"/>
  <c r="J26" i="83"/>
  <c r="G26" i="83"/>
  <c r="K26" i="83" s="1"/>
  <c r="J25" i="83"/>
  <c r="G25" i="83"/>
  <c r="K25" i="83" s="1"/>
  <c r="J24" i="83"/>
  <c r="G24" i="83"/>
  <c r="K24" i="83" s="1"/>
  <c r="J23" i="83"/>
  <c r="G23" i="83"/>
  <c r="K23" i="83" s="1"/>
  <c r="J22" i="83"/>
  <c r="G22" i="83"/>
  <c r="K22" i="83" s="1"/>
  <c r="J21" i="83"/>
  <c r="G21" i="83"/>
  <c r="K21" i="83" s="1"/>
  <c r="J20" i="83"/>
  <c r="G20" i="83"/>
  <c r="K20" i="83" s="1"/>
  <c r="J19" i="83"/>
  <c r="G19" i="83"/>
  <c r="K19" i="83" s="1"/>
  <c r="J18" i="83"/>
  <c r="G18" i="83"/>
  <c r="K18" i="83" s="1"/>
  <c r="J17" i="83"/>
  <c r="G17" i="83"/>
  <c r="K17" i="83" s="1"/>
  <c r="J16" i="83"/>
  <c r="G16" i="83"/>
  <c r="K16" i="83" s="1"/>
  <c r="J15" i="83"/>
  <c r="G15" i="83"/>
  <c r="K15" i="83" s="1"/>
  <c r="J14" i="83"/>
  <c r="G14" i="83"/>
  <c r="K14" i="83" s="1"/>
  <c r="J13" i="83"/>
  <c r="G13" i="83"/>
  <c r="K13" i="83" s="1"/>
  <c r="J12" i="83"/>
  <c r="G12" i="83"/>
  <c r="K12" i="83" s="1"/>
  <c r="J11" i="83"/>
  <c r="G11" i="83"/>
  <c r="K11" i="83" s="1"/>
  <c r="J10" i="83"/>
  <c r="G10" i="83"/>
  <c r="K10" i="83" s="1"/>
  <c r="J9" i="83"/>
  <c r="G9" i="83"/>
  <c r="K9" i="83" s="1"/>
  <c r="J8" i="83"/>
  <c r="G8" i="83"/>
  <c r="K8" i="83" s="1"/>
  <c r="J7" i="83"/>
  <c r="G7" i="83"/>
  <c r="K7" i="83" s="1"/>
  <c r="J6" i="83"/>
  <c r="J5" i="83"/>
  <c r="G5" i="83"/>
  <c r="K5" i="83" s="1"/>
  <c r="J4" i="83"/>
  <c r="J35" i="83" s="1"/>
  <c r="G41" i="56" s="1"/>
  <c r="G4" i="83"/>
  <c r="L35" i="82"/>
  <c r="J4" i="56" s="1"/>
  <c r="H35" i="82"/>
  <c r="F4" i="56" s="1"/>
  <c r="E35" i="82"/>
  <c r="D4" i="56" s="1"/>
  <c r="J34" i="82"/>
  <c r="G34" i="82"/>
  <c r="K34" i="82" s="1"/>
  <c r="J33" i="82"/>
  <c r="G33" i="82"/>
  <c r="K33" i="82" s="1"/>
  <c r="J32" i="82"/>
  <c r="G32" i="82"/>
  <c r="K32" i="82" s="1"/>
  <c r="G31" i="82"/>
  <c r="K31" i="82" s="1"/>
  <c r="J30" i="82"/>
  <c r="G30" i="82"/>
  <c r="K30" i="82" s="1"/>
  <c r="J29" i="82"/>
  <c r="G29" i="82"/>
  <c r="K29" i="82" s="1"/>
  <c r="J28" i="82"/>
  <c r="G28" i="82"/>
  <c r="K28" i="82" s="1"/>
  <c r="J27" i="82"/>
  <c r="G27" i="82"/>
  <c r="K27" i="82" s="1"/>
  <c r="J26" i="82"/>
  <c r="G26" i="82"/>
  <c r="K26" i="82" s="1"/>
  <c r="J25" i="82"/>
  <c r="G25" i="82"/>
  <c r="K25" i="82" s="1"/>
  <c r="J24" i="82"/>
  <c r="G24" i="82"/>
  <c r="K24" i="82" s="1"/>
  <c r="J23" i="82"/>
  <c r="G23" i="82"/>
  <c r="K23" i="82" s="1"/>
  <c r="J22" i="82"/>
  <c r="G22" i="82"/>
  <c r="K22" i="82" s="1"/>
  <c r="J21" i="82"/>
  <c r="G21" i="82"/>
  <c r="K21" i="82" s="1"/>
  <c r="J20" i="82"/>
  <c r="G20" i="82"/>
  <c r="K20" i="82" s="1"/>
  <c r="J19" i="82"/>
  <c r="G19" i="82"/>
  <c r="K19" i="82" s="1"/>
  <c r="J18" i="82"/>
  <c r="K18" i="82"/>
  <c r="J17" i="82"/>
  <c r="K17" i="82"/>
  <c r="J16" i="82"/>
  <c r="G16" i="82"/>
  <c r="J15" i="82"/>
  <c r="G15" i="82"/>
  <c r="K15" i="82" s="1"/>
  <c r="J14" i="82"/>
  <c r="G14" i="82"/>
  <c r="K14" i="82" s="1"/>
  <c r="J13" i="82"/>
  <c r="G13" i="82"/>
  <c r="K13" i="82" s="1"/>
  <c r="J12" i="82"/>
  <c r="G12" i="82"/>
  <c r="K12" i="82" s="1"/>
  <c r="J11" i="82"/>
  <c r="G11" i="82"/>
  <c r="K11" i="82" s="1"/>
  <c r="J10" i="82"/>
  <c r="G10" i="82"/>
  <c r="K10" i="82" s="1"/>
  <c r="J9" i="82"/>
  <c r="G9" i="82"/>
  <c r="K9" i="82" s="1"/>
  <c r="J8" i="82"/>
  <c r="G8" i="82"/>
  <c r="K8" i="82" s="1"/>
  <c r="J7" i="82"/>
  <c r="K7" i="82"/>
  <c r="J6" i="82"/>
  <c r="G6" i="82"/>
  <c r="K6" i="82" s="1"/>
  <c r="J5" i="82"/>
  <c r="G5" i="82"/>
  <c r="K5" i="82" s="1"/>
  <c r="J4" i="82"/>
  <c r="J35" i="82" s="1"/>
  <c r="G4" i="56" s="1"/>
  <c r="G4" i="82"/>
  <c r="G25" i="44"/>
  <c r="G20" i="44"/>
  <c r="G21" i="44"/>
  <c r="G22" i="44"/>
  <c r="G23" i="44"/>
  <c r="G24" i="44"/>
  <c r="J11" i="25"/>
  <c r="J12" i="25"/>
  <c r="J13" i="25"/>
  <c r="J14" i="25"/>
  <c r="G12" i="35"/>
  <c r="G13" i="35"/>
  <c r="G19" i="44"/>
  <c r="G18" i="44"/>
  <c r="G17" i="44"/>
  <c r="I51" i="56"/>
  <c r="G6" i="72"/>
  <c r="G7" i="72"/>
  <c r="G8" i="72"/>
  <c r="G9" i="72"/>
  <c r="G10" i="72"/>
  <c r="G11" i="72"/>
  <c r="G12" i="72"/>
  <c r="G36" i="81"/>
  <c r="J36" i="81"/>
  <c r="K36" i="81"/>
  <c r="G37" i="81"/>
  <c r="J37" i="81"/>
  <c r="K37" i="81"/>
  <c r="M50" i="81"/>
  <c r="L39" i="81"/>
  <c r="J51" i="56" s="1"/>
  <c r="H39" i="81"/>
  <c r="F51" i="56" s="1"/>
  <c r="E39" i="81"/>
  <c r="D51" i="56" s="1"/>
  <c r="J38" i="81"/>
  <c r="G38" i="81"/>
  <c r="K38" i="81" s="1"/>
  <c r="J35" i="81"/>
  <c r="G35" i="81"/>
  <c r="K35" i="81" s="1"/>
  <c r="J34" i="81"/>
  <c r="G34" i="81"/>
  <c r="K34" i="81" s="1"/>
  <c r="J33" i="81"/>
  <c r="G33" i="81"/>
  <c r="K33" i="81" s="1"/>
  <c r="J32" i="81"/>
  <c r="G32" i="81"/>
  <c r="K32" i="81" s="1"/>
  <c r="J31" i="81"/>
  <c r="G31" i="81"/>
  <c r="K31" i="81" s="1"/>
  <c r="J30" i="81"/>
  <c r="G30" i="81"/>
  <c r="K30" i="81" s="1"/>
  <c r="J29" i="81"/>
  <c r="G29" i="81"/>
  <c r="K29" i="81" s="1"/>
  <c r="J27" i="81"/>
  <c r="G27" i="81"/>
  <c r="K27" i="81" s="1"/>
  <c r="J25" i="81"/>
  <c r="G25" i="81"/>
  <c r="K25" i="81" s="1"/>
  <c r="J24" i="81"/>
  <c r="G24" i="81"/>
  <c r="K24" i="81" s="1"/>
  <c r="J23" i="81"/>
  <c r="G23" i="81"/>
  <c r="K23" i="81" s="1"/>
  <c r="J22" i="81"/>
  <c r="G22" i="81"/>
  <c r="K22" i="81" s="1"/>
  <c r="J21" i="81"/>
  <c r="G21" i="81"/>
  <c r="K21" i="81" s="1"/>
  <c r="J20" i="81"/>
  <c r="G20" i="81"/>
  <c r="K20" i="81" s="1"/>
  <c r="J19" i="81"/>
  <c r="G19" i="81"/>
  <c r="K19" i="81" s="1"/>
  <c r="J18" i="81"/>
  <c r="G18" i="81"/>
  <c r="K18" i="81" s="1"/>
  <c r="J17" i="81"/>
  <c r="G17" i="81"/>
  <c r="K17" i="81" s="1"/>
  <c r="G16" i="81"/>
  <c r="K16" i="81" s="1"/>
  <c r="G15" i="81"/>
  <c r="K15" i="81" s="1"/>
  <c r="G14" i="81"/>
  <c r="K14" i="81" s="1"/>
  <c r="G13" i="81"/>
  <c r="K13" i="81" s="1"/>
  <c r="J12" i="81"/>
  <c r="G12" i="81"/>
  <c r="K12" i="81" s="1"/>
  <c r="J11" i="81"/>
  <c r="G11" i="81"/>
  <c r="K11" i="81" s="1"/>
  <c r="J10" i="81"/>
  <c r="G10" i="81"/>
  <c r="K10" i="81" s="1"/>
  <c r="J8" i="81"/>
  <c r="G8" i="81"/>
  <c r="K8" i="81" s="1"/>
  <c r="J7" i="81"/>
  <c r="G7" i="81"/>
  <c r="K7" i="81" s="1"/>
  <c r="J6" i="81"/>
  <c r="G6" i="81"/>
  <c r="K6" i="81" s="1"/>
  <c r="J5" i="81"/>
  <c r="G5" i="81"/>
  <c r="K5" i="81" s="1"/>
  <c r="J4" i="81"/>
  <c r="J39" i="81" s="1"/>
  <c r="G51" i="56" s="1"/>
  <c r="G4" i="81"/>
  <c r="L8" i="45"/>
  <c r="L5" i="45"/>
  <c r="G16" i="44"/>
  <c r="G13" i="44"/>
  <c r="G14" i="44"/>
  <c r="G15" i="44"/>
  <c r="G10" i="44"/>
  <c r="G11" i="44"/>
  <c r="G12" i="44"/>
  <c r="I25" i="56"/>
  <c r="I36" i="56"/>
  <c r="G8" i="50"/>
  <c r="G9" i="50"/>
  <c r="K9" i="50"/>
  <c r="G9" i="44"/>
  <c r="G8" i="44"/>
  <c r="G7" i="44"/>
  <c r="G6" i="44"/>
  <c r="L37" i="80"/>
  <c r="J25" i="56" s="1"/>
  <c r="F25" i="56"/>
  <c r="E37" i="80"/>
  <c r="D25" i="56" s="1"/>
  <c r="J36" i="80"/>
  <c r="G36" i="80"/>
  <c r="K36" i="80" s="1"/>
  <c r="J35" i="80"/>
  <c r="G35" i="80"/>
  <c r="K35" i="80" s="1"/>
  <c r="J34" i="80"/>
  <c r="G34" i="80"/>
  <c r="K34" i="80" s="1"/>
  <c r="J33" i="80"/>
  <c r="G33" i="80"/>
  <c r="K33" i="80" s="1"/>
  <c r="J32" i="80"/>
  <c r="G32" i="80"/>
  <c r="K32" i="80" s="1"/>
  <c r="J31" i="80"/>
  <c r="G31" i="80"/>
  <c r="K31" i="80" s="1"/>
  <c r="J30" i="80"/>
  <c r="G30" i="80"/>
  <c r="K30" i="80" s="1"/>
  <c r="J29" i="80"/>
  <c r="G29" i="80"/>
  <c r="K29" i="80" s="1"/>
  <c r="J28" i="80"/>
  <c r="G28" i="80"/>
  <c r="K28" i="80" s="1"/>
  <c r="J27" i="80"/>
  <c r="G27" i="80"/>
  <c r="K27" i="80" s="1"/>
  <c r="J26" i="80"/>
  <c r="G26" i="80"/>
  <c r="K26" i="80" s="1"/>
  <c r="J25" i="80"/>
  <c r="G25" i="80"/>
  <c r="K25" i="80" s="1"/>
  <c r="J24" i="80"/>
  <c r="G24" i="80"/>
  <c r="K24" i="80" s="1"/>
  <c r="J23" i="80"/>
  <c r="G23" i="80"/>
  <c r="K23" i="80" s="1"/>
  <c r="J22" i="80"/>
  <c r="G22" i="80"/>
  <c r="K22" i="80" s="1"/>
  <c r="J21" i="80"/>
  <c r="G21" i="80"/>
  <c r="K21" i="80" s="1"/>
  <c r="J20" i="80"/>
  <c r="G20" i="80"/>
  <c r="K20" i="80" s="1"/>
  <c r="J19" i="80"/>
  <c r="G19" i="80"/>
  <c r="K19" i="80" s="1"/>
  <c r="J18" i="80"/>
  <c r="G18" i="80"/>
  <c r="K18" i="80" s="1"/>
  <c r="J17" i="80"/>
  <c r="G17" i="80"/>
  <c r="K17" i="80" s="1"/>
  <c r="G16" i="80"/>
  <c r="K16" i="80" s="1"/>
  <c r="G15" i="80"/>
  <c r="G14" i="80"/>
  <c r="K14" i="80" s="1"/>
  <c r="G13" i="80"/>
  <c r="K13" i="80" s="1"/>
  <c r="G12" i="80"/>
  <c r="K12" i="80" s="1"/>
  <c r="J11" i="80"/>
  <c r="G11" i="80"/>
  <c r="K11" i="80" s="1"/>
  <c r="J10" i="80"/>
  <c r="G10" i="80"/>
  <c r="K10" i="80" s="1"/>
  <c r="G9" i="80"/>
  <c r="K9" i="80" s="1"/>
  <c r="J8" i="80"/>
  <c r="G8" i="80"/>
  <c r="K8" i="80" s="1"/>
  <c r="J7" i="80"/>
  <c r="G7" i="80"/>
  <c r="K7" i="80" s="1"/>
  <c r="J6" i="80"/>
  <c r="G6" i="80"/>
  <c r="K6" i="80" s="1"/>
  <c r="J5" i="80"/>
  <c r="K5" i="80"/>
  <c r="J4" i="80"/>
  <c r="J37" i="80" s="1"/>
  <c r="G25" i="56" s="1"/>
  <c r="G6" i="60"/>
  <c r="G5" i="79"/>
  <c r="G6" i="79"/>
  <c r="G7" i="79"/>
  <c r="L35" i="79"/>
  <c r="J36" i="56" s="1"/>
  <c r="H35" i="79"/>
  <c r="F36" i="56" s="1"/>
  <c r="E35" i="79"/>
  <c r="D36" i="56" s="1"/>
  <c r="J34" i="79"/>
  <c r="G34" i="79"/>
  <c r="K34" i="79" s="1"/>
  <c r="J33" i="79"/>
  <c r="G33" i="79"/>
  <c r="K33" i="79" s="1"/>
  <c r="J32" i="79"/>
  <c r="G32" i="79"/>
  <c r="K32" i="79" s="1"/>
  <c r="J31" i="79"/>
  <c r="G31" i="79"/>
  <c r="K31" i="79" s="1"/>
  <c r="J30" i="79"/>
  <c r="G30" i="79"/>
  <c r="K30" i="79" s="1"/>
  <c r="J29" i="79"/>
  <c r="G29" i="79"/>
  <c r="K29" i="79" s="1"/>
  <c r="J28" i="79"/>
  <c r="G28" i="79"/>
  <c r="K28" i="79" s="1"/>
  <c r="J27" i="79"/>
  <c r="G27" i="79"/>
  <c r="K27" i="79" s="1"/>
  <c r="J26" i="79"/>
  <c r="G26" i="79"/>
  <c r="K26" i="79" s="1"/>
  <c r="J25" i="79"/>
  <c r="G25" i="79"/>
  <c r="K25" i="79" s="1"/>
  <c r="J24" i="79"/>
  <c r="G24" i="79"/>
  <c r="K24" i="79" s="1"/>
  <c r="I38" i="79" s="1"/>
  <c r="J23" i="79"/>
  <c r="G23" i="79"/>
  <c r="K23" i="79" s="1"/>
  <c r="J22" i="79"/>
  <c r="G22" i="79"/>
  <c r="K22" i="79" s="1"/>
  <c r="J21" i="79"/>
  <c r="G21" i="79"/>
  <c r="K21" i="79" s="1"/>
  <c r="J20" i="79"/>
  <c r="G20" i="79"/>
  <c r="K20" i="79" s="1"/>
  <c r="J19" i="79"/>
  <c r="G19" i="79"/>
  <c r="K19" i="79" s="1"/>
  <c r="J18" i="79"/>
  <c r="G18" i="79"/>
  <c r="K18" i="79" s="1"/>
  <c r="J17" i="79"/>
  <c r="G17" i="79"/>
  <c r="K17" i="79" s="1"/>
  <c r="J16" i="79"/>
  <c r="G16" i="79"/>
  <c r="K16" i="79" s="1"/>
  <c r="J15" i="79"/>
  <c r="G15" i="79"/>
  <c r="K15" i="79" s="1"/>
  <c r="J14" i="79"/>
  <c r="G14" i="79"/>
  <c r="K14" i="79" s="1"/>
  <c r="J13" i="79"/>
  <c r="G13" i="79"/>
  <c r="K13" i="79" s="1"/>
  <c r="J12" i="79"/>
  <c r="G12" i="79"/>
  <c r="K12" i="79" s="1"/>
  <c r="J11" i="79"/>
  <c r="G11" i="79"/>
  <c r="K11" i="79" s="1"/>
  <c r="J10" i="79"/>
  <c r="G10" i="79"/>
  <c r="K10" i="79" s="1"/>
  <c r="J9" i="79"/>
  <c r="G9" i="79"/>
  <c r="K9" i="79" s="1"/>
  <c r="J8" i="79"/>
  <c r="G8" i="79"/>
  <c r="K8" i="79" s="1"/>
  <c r="J7" i="79"/>
  <c r="K7" i="79"/>
  <c r="J6" i="79"/>
  <c r="K6" i="79"/>
  <c r="J5" i="79"/>
  <c r="K5" i="79"/>
  <c r="J4" i="79"/>
  <c r="J35" i="79" s="1"/>
  <c r="G36" i="56" s="1"/>
  <c r="G4" i="79"/>
  <c r="G32" i="19"/>
  <c r="G33" i="19"/>
  <c r="G6" i="25"/>
  <c r="J6" i="25"/>
  <c r="G7" i="25"/>
  <c r="J7" i="25"/>
  <c r="G8" i="25"/>
  <c r="J8" i="25"/>
  <c r="G9" i="25"/>
  <c r="J9" i="25"/>
  <c r="G10" i="25"/>
  <c r="J10" i="25"/>
  <c r="G11" i="25"/>
  <c r="G12" i="25"/>
  <c r="G13" i="25"/>
  <c r="G14" i="25"/>
  <c r="G15" i="25"/>
  <c r="J15" i="25"/>
  <c r="G16" i="25"/>
  <c r="J16" i="25"/>
  <c r="G17" i="25"/>
  <c r="J17" i="25"/>
  <c r="G18" i="25"/>
  <c r="J18" i="25"/>
  <c r="G19" i="25"/>
  <c r="J19" i="25"/>
  <c r="G20" i="25"/>
  <c r="J20" i="25"/>
  <c r="G21" i="25"/>
  <c r="J21" i="25"/>
  <c r="G22" i="25"/>
  <c r="J22" i="25"/>
  <c r="G23" i="25"/>
  <c r="J23" i="25"/>
  <c r="G24" i="25"/>
  <c r="J24" i="25"/>
  <c r="G25" i="25"/>
  <c r="J25" i="25"/>
  <c r="G26" i="25"/>
  <c r="J26" i="25"/>
  <c r="G27" i="25"/>
  <c r="J27" i="25"/>
  <c r="G28" i="25"/>
  <c r="J28" i="25"/>
  <c r="G29" i="25"/>
  <c r="J29" i="25"/>
  <c r="G30" i="25"/>
  <c r="J30" i="25"/>
  <c r="G31" i="25"/>
  <c r="J31" i="25"/>
  <c r="G32" i="25"/>
  <c r="J32" i="25"/>
  <c r="J33" i="25"/>
  <c r="G34" i="25"/>
  <c r="J34" i="25"/>
  <c r="J36" i="65"/>
  <c r="G37" i="65"/>
  <c r="J37" i="65"/>
  <c r="G5" i="57"/>
  <c r="K5" i="57"/>
  <c r="K6" i="57"/>
  <c r="K7" i="57"/>
  <c r="G8" i="57"/>
  <c r="K8" i="57"/>
  <c r="G9" i="57"/>
  <c r="K9" i="57"/>
  <c r="G10" i="57"/>
  <c r="K10" i="57"/>
  <c r="G11" i="57"/>
  <c r="K11" i="57"/>
  <c r="G12" i="57"/>
  <c r="K12" i="57"/>
  <c r="G13" i="57"/>
  <c r="K13" i="57"/>
  <c r="G14" i="57"/>
  <c r="K14" i="57"/>
  <c r="G15" i="57"/>
  <c r="K15" i="57"/>
  <c r="G16" i="57"/>
  <c r="K16" i="57"/>
  <c r="G17" i="57"/>
  <c r="K17" i="57"/>
  <c r="G18" i="57"/>
  <c r="K18" i="57"/>
  <c r="G19" i="57"/>
  <c r="K19" i="57"/>
  <c r="G20" i="57"/>
  <c r="K20" i="57"/>
  <c r="G21" i="57"/>
  <c r="K21" i="57"/>
  <c r="G22" i="57"/>
  <c r="K22" i="57"/>
  <c r="G23" i="57"/>
  <c r="K23" i="57"/>
  <c r="G24" i="57"/>
  <c r="K24" i="57"/>
  <c r="G25" i="57"/>
  <c r="K25" i="57"/>
  <c r="G26" i="57"/>
  <c r="K26" i="57"/>
  <c r="G27" i="57"/>
  <c r="K27" i="57"/>
  <c r="G28" i="57"/>
  <c r="K28" i="57"/>
  <c r="G29" i="57"/>
  <c r="K29" i="57"/>
  <c r="G30" i="57"/>
  <c r="K30" i="57"/>
  <c r="G31" i="57"/>
  <c r="K31" i="57"/>
  <c r="G32" i="57"/>
  <c r="K32" i="57"/>
  <c r="G33" i="57"/>
  <c r="K33" i="57"/>
  <c r="K34" i="57"/>
  <c r="G4" i="41"/>
  <c r="G5" i="41"/>
  <c r="G5" i="60"/>
  <c r="J5" i="60"/>
  <c r="J6" i="60"/>
  <c r="G7" i="60"/>
  <c r="J7" i="60"/>
  <c r="G8" i="60"/>
  <c r="J8" i="60"/>
  <c r="G9" i="60"/>
  <c r="J9" i="60"/>
  <c r="G10" i="60"/>
  <c r="J10" i="60"/>
  <c r="G11" i="60"/>
  <c r="J11" i="60"/>
  <c r="G12" i="60"/>
  <c r="J12" i="60"/>
  <c r="G13" i="60"/>
  <c r="J13" i="60"/>
  <c r="G14" i="60"/>
  <c r="J14" i="60"/>
  <c r="G15" i="60"/>
  <c r="J15" i="60"/>
  <c r="G16" i="60"/>
  <c r="J16" i="60"/>
  <c r="G17" i="60"/>
  <c r="J17" i="60"/>
  <c r="G18" i="60"/>
  <c r="J18" i="60"/>
  <c r="G19" i="60"/>
  <c r="J19" i="60"/>
  <c r="G20" i="60"/>
  <c r="J20" i="60"/>
  <c r="G21" i="60"/>
  <c r="J21" i="60"/>
  <c r="G22" i="60"/>
  <c r="J22" i="60"/>
  <c r="G23" i="60"/>
  <c r="J23" i="60"/>
  <c r="G24" i="60"/>
  <c r="J24" i="60"/>
  <c r="G25" i="60"/>
  <c r="J25" i="60"/>
  <c r="G26" i="60"/>
  <c r="J26" i="60"/>
  <c r="G27" i="60"/>
  <c r="J27" i="60"/>
  <c r="G28" i="60"/>
  <c r="J28" i="60"/>
  <c r="G29" i="60"/>
  <c r="J29" i="60"/>
  <c r="G30" i="60"/>
  <c r="J30" i="60"/>
  <c r="G31" i="60"/>
  <c r="J31" i="60"/>
  <c r="G32" i="60"/>
  <c r="J32" i="60"/>
  <c r="G33" i="60"/>
  <c r="J33" i="60"/>
  <c r="G34" i="60"/>
  <c r="J34" i="60"/>
  <c r="J5" i="41"/>
  <c r="G6" i="41"/>
  <c r="J6" i="41"/>
  <c r="G7" i="41"/>
  <c r="J7" i="41"/>
  <c r="G8" i="41"/>
  <c r="J8" i="41"/>
  <c r="G9" i="41"/>
  <c r="J9" i="41"/>
  <c r="G10" i="41"/>
  <c r="J10" i="41"/>
  <c r="G11" i="41"/>
  <c r="J11" i="41"/>
  <c r="G12" i="41"/>
  <c r="J12" i="41"/>
  <c r="G13" i="41"/>
  <c r="J13" i="41"/>
  <c r="G14" i="41"/>
  <c r="J14" i="41"/>
  <c r="G15" i="41"/>
  <c r="J15" i="41"/>
  <c r="G16" i="41"/>
  <c r="J16" i="41"/>
  <c r="G17" i="41"/>
  <c r="J17" i="41"/>
  <c r="G18" i="41"/>
  <c r="J18" i="41"/>
  <c r="G19" i="41"/>
  <c r="J19" i="41"/>
  <c r="G20" i="41"/>
  <c r="J20" i="41"/>
  <c r="G21" i="41"/>
  <c r="J21" i="41"/>
  <c r="G22" i="41"/>
  <c r="J22" i="41"/>
  <c r="G23" i="41"/>
  <c r="J23" i="41"/>
  <c r="G24" i="41"/>
  <c r="J24" i="41"/>
  <c r="G25" i="41"/>
  <c r="J25" i="41"/>
  <c r="G26" i="41"/>
  <c r="J26" i="41"/>
  <c r="G27" i="41"/>
  <c r="J27" i="41"/>
  <c r="G28" i="41"/>
  <c r="J28" i="41"/>
  <c r="G29" i="41"/>
  <c r="J29" i="41"/>
  <c r="G30" i="41"/>
  <c r="J30" i="41"/>
  <c r="G31" i="41"/>
  <c r="J31" i="41"/>
  <c r="G32" i="41"/>
  <c r="J32" i="41"/>
  <c r="G33" i="41"/>
  <c r="J33" i="41"/>
  <c r="G34" i="41"/>
  <c r="J34" i="41"/>
  <c r="G35" i="41"/>
  <c r="J35" i="41"/>
  <c r="G36" i="41"/>
  <c r="J36" i="41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G16" i="61"/>
  <c r="G17" i="61"/>
  <c r="G18" i="61"/>
  <c r="G19" i="61"/>
  <c r="G20" i="61"/>
  <c r="G21" i="61"/>
  <c r="G22" i="61"/>
  <c r="G23" i="61"/>
  <c r="G24" i="61"/>
  <c r="G25" i="61"/>
  <c r="G26" i="61"/>
  <c r="G27" i="61"/>
  <c r="G28" i="61"/>
  <c r="G29" i="61"/>
  <c r="G30" i="61"/>
  <c r="G31" i="61"/>
  <c r="G32" i="61"/>
  <c r="G33" i="61"/>
  <c r="G34" i="61"/>
  <c r="G35" i="61"/>
  <c r="G5" i="22"/>
  <c r="J5" i="22"/>
  <c r="K5" i="22"/>
  <c r="G7" i="22"/>
  <c r="J7" i="22"/>
  <c r="K7" i="22"/>
  <c r="G8" i="22"/>
  <c r="J8" i="22"/>
  <c r="K8" i="22"/>
  <c r="G9" i="22"/>
  <c r="J9" i="22"/>
  <c r="K9" i="22"/>
  <c r="G10" i="22"/>
  <c r="J10" i="22"/>
  <c r="K10" i="22"/>
  <c r="G11" i="22"/>
  <c r="J11" i="22"/>
  <c r="K11" i="22"/>
  <c r="G12" i="22"/>
  <c r="J12" i="22"/>
  <c r="K12" i="22"/>
  <c r="G13" i="22"/>
  <c r="J13" i="22"/>
  <c r="K13" i="22"/>
  <c r="G14" i="22"/>
  <c r="J14" i="22"/>
  <c r="K14" i="22"/>
  <c r="G15" i="22"/>
  <c r="J15" i="22"/>
  <c r="K15" i="22"/>
  <c r="G16" i="22"/>
  <c r="J16" i="22"/>
  <c r="K16" i="22"/>
  <c r="G17" i="22"/>
  <c r="J17" i="22"/>
  <c r="K17" i="22"/>
  <c r="G18" i="22"/>
  <c r="J18" i="22"/>
  <c r="K18" i="22"/>
  <c r="G19" i="22"/>
  <c r="J19" i="22"/>
  <c r="K19" i="22"/>
  <c r="G20" i="22"/>
  <c r="J20" i="22"/>
  <c r="K20" i="22"/>
  <c r="G21" i="22"/>
  <c r="J21" i="22"/>
  <c r="K21" i="22"/>
  <c r="G22" i="22"/>
  <c r="J22" i="22"/>
  <c r="K22" i="22"/>
  <c r="G23" i="22"/>
  <c r="J23" i="22"/>
  <c r="K23" i="22"/>
  <c r="G24" i="22"/>
  <c r="J24" i="22"/>
  <c r="K24" i="22"/>
  <c r="G25" i="22"/>
  <c r="J25" i="22"/>
  <c r="K25" i="22"/>
  <c r="G26" i="22"/>
  <c r="J26" i="22"/>
  <c r="K26" i="22"/>
  <c r="G27" i="22"/>
  <c r="J27" i="22"/>
  <c r="K27" i="22"/>
  <c r="G28" i="22"/>
  <c r="J28" i="22"/>
  <c r="K28" i="22"/>
  <c r="G29" i="22"/>
  <c r="J29" i="22"/>
  <c r="K29" i="22"/>
  <c r="G30" i="22"/>
  <c r="J30" i="22"/>
  <c r="K30" i="22"/>
  <c r="G31" i="22"/>
  <c r="J31" i="22"/>
  <c r="K31" i="22"/>
  <c r="G32" i="22"/>
  <c r="J32" i="22"/>
  <c r="K32" i="22"/>
  <c r="G33" i="22"/>
  <c r="J33" i="22"/>
  <c r="K33" i="22"/>
  <c r="G34" i="22"/>
  <c r="J34" i="22"/>
  <c r="K34" i="22"/>
  <c r="G35" i="22"/>
  <c r="J35" i="22"/>
  <c r="K35" i="22"/>
  <c r="G36" i="22"/>
  <c r="J36" i="22"/>
  <c r="K36" i="22"/>
  <c r="G37" i="22"/>
  <c r="J37" i="22"/>
  <c r="K37" i="22"/>
  <c r="G38" i="22"/>
  <c r="J38" i="22"/>
  <c r="K38" i="22"/>
  <c r="G39" i="22"/>
  <c r="J39" i="22"/>
  <c r="K39" i="22"/>
  <c r="G5" i="51"/>
  <c r="J5" i="51"/>
  <c r="K5" i="51"/>
  <c r="J6" i="51"/>
  <c r="K6" i="51"/>
  <c r="G7" i="51"/>
  <c r="J7" i="51"/>
  <c r="K7" i="51"/>
  <c r="G8" i="51"/>
  <c r="J8" i="51"/>
  <c r="K8" i="51"/>
  <c r="J9" i="51"/>
  <c r="K9" i="51"/>
  <c r="G10" i="51"/>
  <c r="J10" i="51"/>
  <c r="K10" i="51"/>
  <c r="G11" i="51"/>
  <c r="J11" i="51"/>
  <c r="K11" i="51"/>
  <c r="G12" i="51"/>
  <c r="J12" i="51"/>
  <c r="K12" i="51"/>
  <c r="G13" i="51"/>
  <c r="J13" i="51"/>
  <c r="K13" i="51"/>
  <c r="G14" i="51"/>
  <c r="J14" i="51"/>
  <c r="K14" i="51"/>
  <c r="G15" i="51"/>
  <c r="J15" i="51"/>
  <c r="K15" i="51"/>
  <c r="G16" i="51"/>
  <c r="J16" i="51"/>
  <c r="K16" i="51"/>
  <c r="G17" i="51"/>
  <c r="J17" i="51"/>
  <c r="K17" i="51"/>
  <c r="J18" i="51"/>
  <c r="K18" i="51"/>
  <c r="G19" i="51"/>
  <c r="J19" i="51"/>
  <c r="K19" i="51"/>
  <c r="G20" i="51"/>
  <c r="J20" i="51"/>
  <c r="K20" i="51"/>
  <c r="G21" i="51"/>
  <c r="J21" i="51"/>
  <c r="K21" i="51"/>
  <c r="G22" i="51"/>
  <c r="J22" i="51"/>
  <c r="K22" i="51"/>
  <c r="G23" i="51"/>
  <c r="J23" i="51"/>
  <c r="K23" i="51"/>
  <c r="G24" i="51"/>
  <c r="J24" i="51"/>
  <c r="K24" i="51"/>
  <c r="G25" i="51"/>
  <c r="J25" i="51"/>
  <c r="K25" i="51"/>
  <c r="G26" i="51"/>
  <c r="J26" i="51"/>
  <c r="K26" i="51"/>
  <c r="G27" i="51"/>
  <c r="J27" i="51"/>
  <c r="K27" i="51"/>
  <c r="G28" i="51"/>
  <c r="J28" i="51"/>
  <c r="K28" i="51"/>
  <c r="G29" i="51"/>
  <c r="J29" i="51"/>
  <c r="K29" i="51"/>
  <c r="G30" i="51"/>
  <c r="J30" i="51"/>
  <c r="K30" i="51"/>
  <c r="G31" i="51"/>
  <c r="J31" i="51"/>
  <c r="K31" i="51"/>
  <c r="G32" i="51"/>
  <c r="J32" i="51"/>
  <c r="K32" i="51"/>
  <c r="G33" i="51"/>
  <c r="J33" i="51"/>
  <c r="K33" i="51"/>
  <c r="G34" i="51"/>
  <c r="J34" i="51"/>
  <c r="K34" i="51"/>
  <c r="G35" i="51"/>
  <c r="J35" i="51"/>
  <c r="K35" i="51"/>
  <c r="G36" i="51"/>
  <c r="J36" i="51"/>
  <c r="K36" i="51"/>
  <c r="G37" i="51"/>
  <c r="J37" i="51"/>
  <c r="K37" i="51"/>
  <c r="G38" i="51"/>
  <c r="J38" i="51"/>
  <c r="K38" i="51"/>
  <c r="G39" i="51"/>
  <c r="J39" i="51"/>
  <c r="K39" i="51"/>
  <c r="G40" i="51"/>
  <c r="J40" i="51"/>
  <c r="K40" i="51"/>
  <c r="G5" i="69"/>
  <c r="J5" i="69"/>
  <c r="K5" i="69"/>
  <c r="G6" i="69"/>
  <c r="J6" i="69"/>
  <c r="K6" i="69"/>
  <c r="G7" i="69"/>
  <c r="J7" i="69"/>
  <c r="K7" i="69"/>
  <c r="G8" i="69"/>
  <c r="J8" i="69"/>
  <c r="K8" i="69"/>
  <c r="G9" i="69"/>
  <c r="J9" i="69"/>
  <c r="K9" i="69"/>
  <c r="G10" i="69"/>
  <c r="J10" i="69"/>
  <c r="K10" i="69"/>
  <c r="G11" i="69"/>
  <c r="J11" i="69"/>
  <c r="K11" i="69"/>
  <c r="G12" i="69"/>
  <c r="J12" i="69"/>
  <c r="K12" i="69"/>
  <c r="G13" i="69"/>
  <c r="J13" i="69"/>
  <c r="K13" i="69"/>
  <c r="G14" i="69"/>
  <c r="J14" i="69"/>
  <c r="K14" i="69"/>
  <c r="G16" i="69"/>
  <c r="J16" i="69"/>
  <c r="K16" i="69"/>
  <c r="G17" i="69"/>
  <c r="J17" i="69"/>
  <c r="K17" i="69"/>
  <c r="G18" i="69"/>
  <c r="J18" i="69"/>
  <c r="K18" i="69"/>
  <c r="G19" i="69"/>
  <c r="J19" i="69"/>
  <c r="K19" i="69"/>
  <c r="G20" i="69"/>
  <c r="J20" i="69"/>
  <c r="K20" i="69"/>
  <c r="G21" i="69"/>
  <c r="J21" i="69"/>
  <c r="K21" i="69"/>
  <c r="G22" i="69"/>
  <c r="J22" i="69"/>
  <c r="K22" i="69"/>
  <c r="G23" i="69"/>
  <c r="J23" i="69"/>
  <c r="K23" i="69"/>
  <c r="G24" i="69"/>
  <c r="J24" i="69"/>
  <c r="K24" i="69"/>
  <c r="G25" i="69"/>
  <c r="J25" i="69"/>
  <c r="K25" i="69"/>
  <c r="G26" i="69"/>
  <c r="J26" i="69"/>
  <c r="K26" i="69"/>
  <c r="G27" i="69"/>
  <c r="J27" i="69"/>
  <c r="K27" i="69"/>
  <c r="G28" i="69"/>
  <c r="J28" i="69"/>
  <c r="K28" i="69"/>
  <c r="G29" i="69"/>
  <c r="J29" i="69"/>
  <c r="K29" i="69"/>
  <c r="G30" i="69"/>
  <c r="J30" i="69"/>
  <c r="K30" i="69"/>
  <c r="G31" i="69"/>
  <c r="J31" i="69"/>
  <c r="K31" i="69"/>
  <c r="G32" i="69"/>
  <c r="J32" i="69"/>
  <c r="K32" i="69"/>
  <c r="G33" i="69"/>
  <c r="J33" i="69"/>
  <c r="K33" i="69"/>
  <c r="G34" i="69"/>
  <c r="J34" i="69"/>
  <c r="K34" i="69"/>
  <c r="G35" i="69"/>
  <c r="J35" i="69"/>
  <c r="K35" i="69"/>
  <c r="G36" i="69"/>
  <c r="J36" i="69"/>
  <c r="K36" i="69"/>
  <c r="G37" i="69"/>
  <c r="J37" i="69"/>
  <c r="K37" i="69"/>
  <c r="G38" i="69"/>
  <c r="J38" i="69"/>
  <c r="K38" i="69"/>
  <c r="G39" i="69"/>
  <c r="J39" i="69"/>
  <c r="K39" i="69"/>
  <c r="G40" i="69"/>
  <c r="J40" i="69"/>
  <c r="K40" i="69"/>
  <c r="G5" i="9"/>
  <c r="J5" i="9"/>
  <c r="G6" i="9"/>
  <c r="J6" i="9"/>
  <c r="G7" i="9"/>
  <c r="J7" i="9"/>
  <c r="J8" i="9"/>
  <c r="J12" i="9"/>
  <c r="J13" i="9"/>
  <c r="J14" i="9"/>
  <c r="G15" i="9"/>
  <c r="J15" i="9"/>
  <c r="G16" i="9"/>
  <c r="J16" i="9"/>
  <c r="G17" i="9"/>
  <c r="J17" i="9"/>
  <c r="G18" i="9"/>
  <c r="J18" i="9"/>
  <c r="G19" i="9"/>
  <c r="J19" i="9"/>
  <c r="G20" i="9"/>
  <c r="J20" i="9"/>
  <c r="G21" i="9"/>
  <c r="J21" i="9"/>
  <c r="G23" i="9"/>
  <c r="J23" i="9"/>
  <c r="G24" i="9"/>
  <c r="J24" i="9"/>
  <c r="G25" i="9"/>
  <c r="J25" i="9"/>
  <c r="G26" i="9"/>
  <c r="J26" i="9"/>
  <c r="G27" i="9"/>
  <c r="J27" i="9"/>
  <c r="G28" i="9"/>
  <c r="J28" i="9"/>
  <c r="G29" i="9"/>
  <c r="J29" i="9"/>
  <c r="G30" i="9"/>
  <c r="J30" i="9"/>
  <c r="G31" i="9"/>
  <c r="J31" i="9"/>
  <c r="G32" i="9"/>
  <c r="J32" i="9"/>
  <c r="G33" i="9"/>
  <c r="J33" i="9"/>
  <c r="G34" i="9"/>
  <c r="J34" i="9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J35" i="62"/>
  <c r="J5" i="11"/>
  <c r="J6" i="11"/>
  <c r="G7" i="11"/>
  <c r="J7" i="11"/>
  <c r="J8" i="11"/>
  <c r="G9" i="11"/>
  <c r="J9" i="11"/>
  <c r="G10" i="11"/>
  <c r="J10" i="11"/>
  <c r="G11" i="11"/>
  <c r="J11" i="11"/>
  <c r="G12" i="11"/>
  <c r="J12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1" i="11"/>
  <c r="J21" i="11"/>
  <c r="G22" i="11"/>
  <c r="J22" i="11"/>
  <c r="G23" i="11"/>
  <c r="J23" i="11"/>
  <c r="G24" i="11"/>
  <c r="J24" i="11"/>
  <c r="J25" i="11"/>
  <c r="G26" i="11"/>
  <c r="J26" i="11"/>
  <c r="G27" i="11"/>
  <c r="J27" i="11"/>
  <c r="G28" i="11"/>
  <c r="J28" i="11"/>
  <c r="G29" i="11"/>
  <c r="J29" i="11"/>
  <c r="G30" i="11"/>
  <c r="J30" i="11"/>
  <c r="G31" i="11"/>
  <c r="J31" i="11"/>
  <c r="G32" i="11"/>
  <c r="J32" i="11"/>
  <c r="G33" i="11"/>
  <c r="J33" i="11"/>
  <c r="G34" i="11"/>
  <c r="J34" i="11"/>
  <c r="G5" i="10"/>
  <c r="J5" i="10"/>
  <c r="G6" i="10"/>
  <c r="J6" i="10"/>
  <c r="G7" i="10"/>
  <c r="J7" i="10"/>
  <c r="G8" i="10"/>
  <c r="J8" i="10"/>
  <c r="G9" i="10"/>
  <c r="J9" i="10"/>
  <c r="G10" i="10"/>
  <c r="J10" i="10"/>
  <c r="G11" i="10"/>
  <c r="J11" i="10"/>
  <c r="G12" i="10"/>
  <c r="J12" i="10"/>
  <c r="G13" i="10"/>
  <c r="J13" i="10"/>
  <c r="G14" i="10"/>
  <c r="J14" i="10"/>
  <c r="G15" i="10"/>
  <c r="J15" i="10"/>
  <c r="G16" i="10"/>
  <c r="J16" i="10"/>
  <c r="G17" i="10"/>
  <c r="J17" i="10"/>
  <c r="G18" i="10"/>
  <c r="J18" i="10"/>
  <c r="G19" i="10"/>
  <c r="J19" i="10"/>
  <c r="G20" i="10"/>
  <c r="J20" i="10"/>
  <c r="G21" i="10"/>
  <c r="J21" i="10"/>
  <c r="G22" i="10"/>
  <c r="J22" i="10"/>
  <c r="G23" i="10"/>
  <c r="J23" i="10"/>
  <c r="G24" i="10"/>
  <c r="J24" i="10"/>
  <c r="G25" i="10"/>
  <c r="J25" i="10"/>
  <c r="G26" i="10"/>
  <c r="J26" i="10"/>
  <c r="G27" i="10"/>
  <c r="J27" i="10"/>
  <c r="G28" i="10"/>
  <c r="J28" i="10"/>
  <c r="G29" i="10"/>
  <c r="J29" i="10"/>
  <c r="G30" i="10"/>
  <c r="J30" i="10"/>
  <c r="G31" i="10"/>
  <c r="J31" i="10"/>
  <c r="G32" i="10"/>
  <c r="J32" i="10"/>
  <c r="G33" i="10"/>
  <c r="J33" i="10"/>
  <c r="G34" i="10"/>
  <c r="J34" i="10"/>
  <c r="G4" i="76"/>
  <c r="G20" i="76"/>
  <c r="J20" i="76"/>
  <c r="G21" i="76"/>
  <c r="J21" i="76"/>
  <c r="G22" i="76"/>
  <c r="J22" i="76"/>
  <c r="G23" i="76"/>
  <c r="J23" i="76"/>
  <c r="G24" i="76"/>
  <c r="J24" i="76"/>
  <c r="G26" i="76"/>
  <c r="G27" i="76"/>
  <c r="G28" i="76"/>
  <c r="J28" i="76"/>
  <c r="G29" i="76"/>
  <c r="J29" i="76"/>
  <c r="G30" i="76"/>
  <c r="J30" i="76"/>
  <c r="G31" i="76"/>
  <c r="J31" i="76"/>
  <c r="G32" i="76"/>
  <c r="J32" i="76"/>
  <c r="G33" i="76"/>
  <c r="J33" i="76"/>
  <c r="G34" i="76"/>
  <c r="J34" i="76"/>
  <c r="G4" i="75"/>
  <c r="J34" i="73"/>
  <c r="G31" i="73"/>
  <c r="G32" i="73"/>
  <c r="G33" i="73"/>
  <c r="G34" i="73"/>
  <c r="K34" i="73" s="1"/>
  <c r="L34" i="73" s="1"/>
  <c r="K34" i="24"/>
  <c r="K34" i="60"/>
  <c r="G17" i="35"/>
  <c r="G33" i="63"/>
  <c r="G34" i="63"/>
  <c r="K34" i="63" s="1"/>
  <c r="E35" i="74"/>
  <c r="G27" i="74"/>
  <c r="G28" i="74"/>
  <c r="G29" i="74"/>
  <c r="G30" i="74"/>
  <c r="G31" i="74"/>
  <c r="G32" i="74"/>
  <c r="G33" i="74"/>
  <c r="K33" i="74" s="1"/>
  <c r="L33" i="74" s="1"/>
  <c r="G34" i="74"/>
  <c r="K34" i="74" s="1"/>
  <c r="L34" i="74" s="1"/>
  <c r="J29" i="50"/>
  <c r="J30" i="50"/>
  <c r="J31" i="50"/>
  <c r="J32" i="50"/>
  <c r="J33" i="50"/>
  <c r="I8" i="56"/>
  <c r="G32" i="78"/>
  <c r="K32" i="78"/>
  <c r="G33" i="78"/>
  <c r="K33" i="78"/>
  <c r="G34" i="78"/>
  <c r="J34" i="78"/>
  <c r="K34" i="78"/>
  <c r="L35" i="78"/>
  <c r="J8" i="56" s="1"/>
  <c r="H35" i="78"/>
  <c r="F8" i="56" s="1"/>
  <c r="E35" i="78"/>
  <c r="D8" i="56" s="1"/>
  <c r="G31" i="78"/>
  <c r="K31" i="78" s="1"/>
  <c r="G30" i="78"/>
  <c r="K30" i="78" s="1"/>
  <c r="G29" i="78"/>
  <c r="K29" i="78" s="1"/>
  <c r="G28" i="78"/>
  <c r="K28" i="78" s="1"/>
  <c r="G27" i="78"/>
  <c r="K27" i="78" s="1"/>
  <c r="G26" i="78"/>
  <c r="G25" i="78"/>
  <c r="K25" i="78" s="1"/>
  <c r="G24" i="78"/>
  <c r="K24" i="78" s="1"/>
  <c r="G23" i="78"/>
  <c r="K23" i="78" s="1"/>
  <c r="G22" i="78"/>
  <c r="K22" i="78" s="1"/>
  <c r="G21" i="78"/>
  <c r="K21" i="78" s="1"/>
  <c r="G20" i="78"/>
  <c r="K20" i="78" s="1"/>
  <c r="J19" i="78"/>
  <c r="G19" i="78"/>
  <c r="K19" i="78" s="1"/>
  <c r="J18" i="78"/>
  <c r="G18" i="78"/>
  <c r="K18" i="78" s="1"/>
  <c r="J17" i="78"/>
  <c r="G17" i="78"/>
  <c r="K17" i="78" s="1"/>
  <c r="J16" i="78"/>
  <c r="G16" i="78"/>
  <c r="K16" i="78" s="1"/>
  <c r="G15" i="78"/>
  <c r="G14" i="78"/>
  <c r="G13" i="78"/>
  <c r="G12" i="78"/>
  <c r="G11" i="78"/>
  <c r="G10" i="78"/>
  <c r="J9" i="78"/>
  <c r="G9" i="78"/>
  <c r="K9" i="78" s="1"/>
  <c r="J8" i="78"/>
  <c r="G8" i="78"/>
  <c r="K8" i="78" s="1"/>
  <c r="J7" i="78"/>
  <c r="G7" i="78"/>
  <c r="K7" i="78" s="1"/>
  <c r="J6" i="78"/>
  <c r="G6" i="78"/>
  <c r="K6" i="78" s="1"/>
  <c r="J5" i="78"/>
  <c r="K5" i="78"/>
  <c r="J4" i="78"/>
  <c r="G4" i="78"/>
  <c r="K4" i="78" s="1"/>
  <c r="M4" i="78" s="1"/>
  <c r="M5" i="78" s="1"/>
  <c r="M6" i="78" s="1"/>
  <c r="M7" i="78" s="1"/>
  <c r="M8" i="78" s="1"/>
  <c r="M9" i="78" s="1"/>
  <c r="M10" i="78" s="1"/>
  <c r="M11" i="78" s="1"/>
  <c r="M12" i="78" s="1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E37" i="61"/>
  <c r="G18" i="58"/>
  <c r="G19" i="58"/>
  <c r="G20" i="58"/>
  <c r="G21" i="58"/>
  <c r="G22" i="58"/>
  <c r="G23" i="58"/>
  <c r="G24" i="58"/>
  <c r="G25" i="58"/>
  <c r="G26" i="58"/>
  <c r="G27" i="58"/>
  <c r="J29" i="14"/>
  <c r="K29" i="14" s="1"/>
  <c r="Q22" i="14"/>
  <c r="J6" i="14"/>
  <c r="J23" i="14"/>
  <c r="K23" i="14"/>
  <c r="I38" i="56"/>
  <c r="L37" i="76"/>
  <c r="J38" i="56" s="1"/>
  <c r="F38" i="56"/>
  <c r="E37" i="76"/>
  <c r="D38" i="56" s="1"/>
  <c r="J35" i="76"/>
  <c r="G35" i="76"/>
  <c r="K35" i="76" s="1"/>
  <c r="K34" i="76"/>
  <c r="K33" i="76"/>
  <c r="K32" i="76"/>
  <c r="K31" i="76"/>
  <c r="K30" i="76"/>
  <c r="K29" i="76"/>
  <c r="K28" i="76"/>
  <c r="K27" i="76"/>
  <c r="K26" i="76"/>
  <c r="K25" i="76"/>
  <c r="I40" i="76" s="1"/>
  <c r="K24" i="76"/>
  <c r="K23" i="76"/>
  <c r="K22" i="76"/>
  <c r="K21" i="76"/>
  <c r="K20" i="76"/>
  <c r="J19" i="76"/>
  <c r="G19" i="76"/>
  <c r="K19" i="76" s="1"/>
  <c r="J18" i="76"/>
  <c r="G18" i="76"/>
  <c r="K18" i="76" s="1"/>
  <c r="G17" i="76"/>
  <c r="K17" i="76" s="1"/>
  <c r="G16" i="76"/>
  <c r="K16" i="76" s="1"/>
  <c r="J15" i="76"/>
  <c r="G15" i="76"/>
  <c r="K15" i="76" s="1"/>
  <c r="J14" i="76"/>
  <c r="G14" i="76"/>
  <c r="K14" i="76" s="1"/>
  <c r="J13" i="76"/>
  <c r="G13" i="76"/>
  <c r="K13" i="76" s="1"/>
  <c r="J12" i="76"/>
  <c r="G12" i="76"/>
  <c r="K12" i="76" s="1"/>
  <c r="J11" i="76"/>
  <c r="G11" i="76"/>
  <c r="K11" i="76" s="1"/>
  <c r="J10" i="76"/>
  <c r="G10" i="76"/>
  <c r="K10" i="76" s="1"/>
  <c r="J9" i="76"/>
  <c r="G9" i="76"/>
  <c r="K9" i="76" s="1"/>
  <c r="J8" i="76"/>
  <c r="G8" i="76"/>
  <c r="K8" i="76" s="1"/>
  <c r="J7" i="76"/>
  <c r="G7" i="76"/>
  <c r="K7" i="76" s="1"/>
  <c r="J6" i="76"/>
  <c r="G6" i="76"/>
  <c r="K6" i="76" s="1"/>
  <c r="J5" i="76"/>
  <c r="G5" i="76"/>
  <c r="J4" i="76"/>
  <c r="G21" i="7"/>
  <c r="I35" i="56"/>
  <c r="E35" i="57"/>
  <c r="L35" i="9"/>
  <c r="E35" i="10"/>
  <c r="E35" i="60"/>
  <c r="G12" i="58"/>
  <c r="G13" i="58"/>
  <c r="G14" i="58"/>
  <c r="G15" i="58"/>
  <c r="G16" i="58"/>
  <c r="G17" i="58"/>
  <c r="K12" i="58"/>
  <c r="L12" i="58"/>
  <c r="K13" i="58"/>
  <c r="L13" i="58"/>
  <c r="K14" i="58"/>
  <c r="L14" i="58"/>
  <c r="K15" i="58"/>
  <c r="L15" i="58"/>
  <c r="K16" i="58"/>
  <c r="L16" i="58"/>
  <c r="K17" i="58"/>
  <c r="L17" i="58"/>
  <c r="K18" i="58"/>
  <c r="L18" i="58"/>
  <c r="G9" i="58"/>
  <c r="G10" i="58"/>
  <c r="G11" i="58"/>
  <c r="J7" i="50"/>
  <c r="J8" i="50"/>
  <c r="L38" i="75"/>
  <c r="J35" i="56" s="1"/>
  <c r="H38" i="75"/>
  <c r="F35" i="56" s="1"/>
  <c r="E38" i="75"/>
  <c r="D35" i="56" s="1"/>
  <c r="J36" i="75"/>
  <c r="G36" i="75"/>
  <c r="K36" i="75" s="1"/>
  <c r="J35" i="75"/>
  <c r="G35" i="75"/>
  <c r="K35" i="75" s="1"/>
  <c r="J34" i="75"/>
  <c r="G34" i="75"/>
  <c r="K34" i="75" s="1"/>
  <c r="J33" i="75"/>
  <c r="G33" i="75"/>
  <c r="K33" i="75" s="1"/>
  <c r="J32" i="75"/>
  <c r="G32" i="75"/>
  <c r="K32" i="75" s="1"/>
  <c r="J31" i="75"/>
  <c r="G31" i="75"/>
  <c r="K31" i="75" s="1"/>
  <c r="J30" i="75"/>
  <c r="G30" i="75"/>
  <c r="K30" i="75" s="1"/>
  <c r="J29" i="75"/>
  <c r="G29" i="75"/>
  <c r="K29" i="75" s="1"/>
  <c r="J28" i="75"/>
  <c r="G28" i="75"/>
  <c r="K28" i="75" s="1"/>
  <c r="J27" i="75"/>
  <c r="G27" i="75"/>
  <c r="K27" i="75" s="1"/>
  <c r="J26" i="75"/>
  <c r="G26" i="75"/>
  <c r="K26" i="75" s="1"/>
  <c r="I41" i="75" s="1"/>
  <c r="J25" i="75"/>
  <c r="G25" i="75"/>
  <c r="K25" i="75" s="1"/>
  <c r="J24" i="75"/>
  <c r="G24" i="75"/>
  <c r="K24" i="75" s="1"/>
  <c r="J23" i="75"/>
  <c r="G23" i="75"/>
  <c r="K23" i="75" s="1"/>
  <c r="J22" i="75"/>
  <c r="G22" i="75"/>
  <c r="K22" i="75" s="1"/>
  <c r="J21" i="75"/>
  <c r="G21" i="75"/>
  <c r="K21" i="75" s="1"/>
  <c r="J20" i="75"/>
  <c r="G20" i="75"/>
  <c r="K20" i="75" s="1"/>
  <c r="J19" i="75"/>
  <c r="G19" i="75"/>
  <c r="K19" i="75" s="1"/>
  <c r="K18" i="75"/>
  <c r="J17" i="75"/>
  <c r="G17" i="75"/>
  <c r="K17" i="75" s="1"/>
  <c r="J16" i="75"/>
  <c r="G16" i="75"/>
  <c r="K16" i="75" s="1"/>
  <c r="J14" i="75"/>
  <c r="G14" i="75"/>
  <c r="K14" i="75" s="1"/>
  <c r="J13" i="75"/>
  <c r="G13" i="75"/>
  <c r="K13" i="75" s="1"/>
  <c r="J12" i="75"/>
  <c r="G12" i="75"/>
  <c r="K12" i="75" s="1"/>
  <c r="J11" i="75"/>
  <c r="G11" i="75"/>
  <c r="K11" i="75" s="1"/>
  <c r="J10" i="75"/>
  <c r="G10" i="75"/>
  <c r="K10" i="75" s="1"/>
  <c r="J9" i="75"/>
  <c r="G9" i="75"/>
  <c r="K9" i="75" s="1"/>
  <c r="J8" i="75"/>
  <c r="G8" i="75"/>
  <c r="K8" i="75" s="1"/>
  <c r="J7" i="75"/>
  <c r="G7" i="75"/>
  <c r="K7" i="75" s="1"/>
  <c r="J6" i="75"/>
  <c r="G6" i="75"/>
  <c r="K6" i="75" s="1"/>
  <c r="J5" i="75"/>
  <c r="G5" i="75"/>
  <c r="J4" i="75"/>
  <c r="J6" i="50"/>
  <c r="J5" i="50"/>
  <c r="I22" i="56"/>
  <c r="J4" i="25"/>
  <c r="G4" i="60"/>
  <c r="K4" i="68"/>
  <c r="E55" i="22"/>
  <c r="G30" i="50"/>
  <c r="I20" i="56"/>
  <c r="H35" i="74"/>
  <c r="F22" i="56" s="1"/>
  <c r="D22" i="56"/>
  <c r="J33" i="74"/>
  <c r="J32" i="74"/>
  <c r="J31" i="74"/>
  <c r="J30" i="74"/>
  <c r="J29" i="74"/>
  <c r="K29" i="74"/>
  <c r="L29" i="74" s="1"/>
  <c r="J28" i="74"/>
  <c r="K28" i="74"/>
  <c r="L28" i="74" s="1"/>
  <c r="J27" i="74"/>
  <c r="K27" i="74"/>
  <c r="L27" i="74" s="1"/>
  <c r="J26" i="74"/>
  <c r="G26" i="74"/>
  <c r="K26" i="74" s="1"/>
  <c r="L26" i="74" s="1"/>
  <c r="J25" i="74"/>
  <c r="G25" i="74"/>
  <c r="K25" i="74" s="1"/>
  <c r="L25" i="74" s="1"/>
  <c r="J24" i="74"/>
  <c r="G24" i="74"/>
  <c r="K24" i="74" s="1"/>
  <c r="L24" i="74" s="1"/>
  <c r="J23" i="74"/>
  <c r="G23" i="74"/>
  <c r="K23" i="74" s="1"/>
  <c r="L23" i="74" s="1"/>
  <c r="J22" i="74"/>
  <c r="G22" i="74"/>
  <c r="K22" i="74" s="1"/>
  <c r="L22" i="74" s="1"/>
  <c r="J21" i="74"/>
  <c r="G21" i="74"/>
  <c r="K21" i="74" s="1"/>
  <c r="L21" i="74" s="1"/>
  <c r="J20" i="74"/>
  <c r="G20" i="74"/>
  <c r="K20" i="74" s="1"/>
  <c r="L20" i="74" s="1"/>
  <c r="J19" i="74"/>
  <c r="G19" i="74"/>
  <c r="K19" i="74" s="1"/>
  <c r="L19" i="74" s="1"/>
  <c r="J18" i="74"/>
  <c r="G18" i="74"/>
  <c r="K18" i="74" s="1"/>
  <c r="L18" i="74" s="1"/>
  <c r="J17" i="74"/>
  <c r="G17" i="74"/>
  <c r="K17" i="74" s="1"/>
  <c r="L17" i="74" s="1"/>
  <c r="J16" i="74"/>
  <c r="G16" i="74"/>
  <c r="K16" i="74" s="1"/>
  <c r="L16" i="74" s="1"/>
  <c r="J15" i="74"/>
  <c r="G15" i="74"/>
  <c r="K15" i="74" s="1"/>
  <c r="L15" i="74" s="1"/>
  <c r="J14" i="74"/>
  <c r="G14" i="74"/>
  <c r="K14" i="74" s="1"/>
  <c r="L14" i="74" s="1"/>
  <c r="J13" i="74"/>
  <c r="G13" i="74"/>
  <c r="K13" i="74" s="1"/>
  <c r="L13" i="74" s="1"/>
  <c r="J12" i="74"/>
  <c r="G12" i="74"/>
  <c r="K12" i="74" s="1"/>
  <c r="L12" i="74" s="1"/>
  <c r="J11" i="74"/>
  <c r="G11" i="74"/>
  <c r="K11" i="74" s="1"/>
  <c r="L11" i="74" s="1"/>
  <c r="J10" i="74"/>
  <c r="G10" i="74"/>
  <c r="K10" i="74" s="1"/>
  <c r="L10" i="74" s="1"/>
  <c r="J9" i="74"/>
  <c r="G9" i="74"/>
  <c r="K9" i="74" s="1"/>
  <c r="L9" i="74" s="1"/>
  <c r="J8" i="74"/>
  <c r="G8" i="74"/>
  <c r="K8" i="74" s="1"/>
  <c r="L8" i="74" s="1"/>
  <c r="J7" i="74"/>
  <c r="G7" i="74"/>
  <c r="K7" i="74" s="1"/>
  <c r="L7" i="74" s="1"/>
  <c r="J6" i="74"/>
  <c r="G6" i="74"/>
  <c r="K6" i="74" s="1"/>
  <c r="L6" i="74" s="1"/>
  <c r="J5" i="74"/>
  <c r="G5" i="74"/>
  <c r="K5" i="74" s="1"/>
  <c r="L5" i="74" s="1"/>
  <c r="J4" i="74"/>
  <c r="J35" i="74" s="1"/>
  <c r="G22" i="56" s="1"/>
  <c r="G4" i="74"/>
  <c r="M3" i="74"/>
  <c r="H35" i="73"/>
  <c r="F20" i="56" s="1"/>
  <c r="E35" i="73"/>
  <c r="D20" i="56" s="1"/>
  <c r="J33" i="73"/>
  <c r="K33" i="73"/>
  <c r="L33" i="73" s="1"/>
  <c r="J32" i="73"/>
  <c r="K32" i="73"/>
  <c r="L32" i="73" s="1"/>
  <c r="J31" i="73"/>
  <c r="K31" i="73"/>
  <c r="L31" i="73" s="1"/>
  <c r="J30" i="73"/>
  <c r="G30" i="73"/>
  <c r="K30" i="73" s="1"/>
  <c r="L30" i="73" s="1"/>
  <c r="J29" i="73"/>
  <c r="G29" i="73"/>
  <c r="K29" i="73" s="1"/>
  <c r="L29" i="73" s="1"/>
  <c r="J28" i="73"/>
  <c r="G28" i="73"/>
  <c r="K28" i="73" s="1"/>
  <c r="L28" i="73" s="1"/>
  <c r="J27" i="73"/>
  <c r="G27" i="73"/>
  <c r="K27" i="73" s="1"/>
  <c r="L27" i="73" s="1"/>
  <c r="J26" i="73"/>
  <c r="G26" i="73"/>
  <c r="K26" i="73" s="1"/>
  <c r="L26" i="73" s="1"/>
  <c r="J25" i="73"/>
  <c r="G25" i="73"/>
  <c r="K25" i="73" s="1"/>
  <c r="L25" i="73" s="1"/>
  <c r="J24" i="73"/>
  <c r="G24" i="73"/>
  <c r="K24" i="73" s="1"/>
  <c r="L24" i="73" s="1"/>
  <c r="J23" i="73"/>
  <c r="G23" i="73"/>
  <c r="K23" i="73" s="1"/>
  <c r="L23" i="73" s="1"/>
  <c r="J22" i="73"/>
  <c r="G22" i="73"/>
  <c r="K22" i="73" s="1"/>
  <c r="L22" i="73" s="1"/>
  <c r="J21" i="73"/>
  <c r="G21" i="73"/>
  <c r="K21" i="73" s="1"/>
  <c r="L21" i="73" s="1"/>
  <c r="J20" i="73"/>
  <c r="G20" i="73"/>
  <c r="K20" i="73" s="1"/>
  <c r="L20" i="73" s="1"/>
  <c r="J19" i="73"/>
  <c r="G19" i="73"/>
  <c r="K19" i="73" s="1"/>
  <c r="L19" i="73" s="1"/>
  <c r="J18" i="73"/>
  <c r="G18" i="73"/>
  <c r="K18" i="73" s="1"/>
  <c r="L18" i="73" s="1"/>
  <c r="J17" i="73"/>
  <c r="G17" i="73"/>
  <c r="K17" i="73" s="1"/>
  <c r="L17" i="73" s="1"/>
  <c r="J16" i="73"/>
  <c r="G16" i="73"/>
  <c r="K16" i="73" s="1"/>
  <c r="L16" i="73" s="1"/>
  <c r="J15" i="73"/>
  <c r="G15" i="73"/>
  <c r="K15" i="73" s="1"/>
  <c r="L15" i="73" s="1"/>
  <c r="J14" i="73"/>
  <c r="G14" i="73"/>
  <c r="K14" i="73" s="1"/>
  <c r="L14" i="73" s="1"/>
  <c r="J13" i="73"/>
  <c r="G13" i="73"/>
  <c r="K13" i="73" s="1"/>
  <c r="L13" i="73" s="1"/>
  <c r="J12" i="73"/>
  <c r="G12" i="73"/>
  <c r="K12" i="73" s="1"/>
  <c r="L12" i="73" s="1"/>
  <c r="J11" i="73"/>
  <c r="G11" i="73"/>
  <c r="K11" i="73" s="1"/>
  <c r="L11" i="73" s="1"/>
  <c r="J10" i="73"/>
  <c r="G10" i="73"/>
  <c r="K10" i="73" s="1"/>
  <c r="L10" i="73" s="1"/>
  <c r="J9" i="73"/>
  <c r="G9" i="73"/>
  <c r="K9" i="73" s="1"/>
  <c r="L9" i="73" s="1"/>
  <c r="J8" i="73"/>
  <c r="G8" i="73"/>
  <c r="K8" i="73" s="1"/>
  <c r="L8" i="73" s="1"/>
  <c r="J7" i="73"/>
  <c r="G7" i="73"/>
  <c r="K7" i="73" s="1"/>
  <c r="L7" i="73" s="1"/>
  <c r="J6" i="73"/>
  <c r="G6" i="73"/>
  <c r="K6" i="73" s="1"/>
  <c r="L6" i="73" s="1"/>
  <c r="J5" i="73"/>
  <c r="G5" i="73"/>
  <c r="K5" i="73" s="1"/>
  <c r="L5" i="73" s="1"/>
  <c r="J4" i="73"/>
  <c r="J35" i="73" s="1"/>
  <c r="G20" i="56" s="1"/>
  <c r="G4" i="73"/>
  <c r="G18" i="72"/>
  <c r="G19" i="72"/>
  <c r="G17" i="72"/>
  <c r="J13" i="14"/>
  <c r="G13" i="14"/>
  <c r="K13" i="14" s="1"/>
  <c r="H35" i="9"/>
  <c r="L7" i="45"/>
  <c r="L4" i="45"/>
  <c r="P17" i="71"/>
  <c r="O12" i="71"/>
  <c r="Q12" i="71" s="1"/>
  <c r="I11" i="56"/>
  <c r="I7" i="56"/>
  <c r="G7" i="56"/>
  <c r="F7" i="56"/>
  <c r="G11" i="56"/>
  <c r="L35" i="72"/>
  <c r="J7" i="56" s="1"/>
  <c r="H35" i="72"/>
  <c r="E35" i="72"/>
  <c r="D7" i="56" s="1"/>
  <c r="J34" i="72"/>
  <c r="G34" i="72"/>
  <c r="K34" i="72" s="1"/>
  <c r="J33" i="72"/>
  <c r="G33" i="72"/>
  <c r="K33" i="72" s="1"/>
  <c r="J32" i="72"/>
  <c r="G32" i="72"/>
  <c r="K32" i="72" s="1"/>
  <c r="J31" i="72"/>
  <c r="G31" i="72"/>
  <c r="K31" i="72" s="1"/>
  <c r="J30" i="72"/>
  <c r="G30" i="72"/>
  <c r="K30" i="72" s="1"/>
  <c r="J29" i="72"/>
  <c r="G29" i="72"/>
  <c r="K29" i="72" s="1"/>
  <c r="J28" i="72"/>
  <c r="G28" i="72"/>
  <c r="K28" i="72" s="1"/>
  <c r="J27" i="72"/>
  <c r="G27" i="72"/>
  <c r="K27" i="72" s="1"/>
  <c r="J26" i="72"/>
  <c r="G26" i="72"/>
  <c r="K26" i="72" s="1"/>
  <c r="J25" i="72"/>
  <c r="G25" i="72"/>
  <c r="K25" i="72" s="1"/>
  <c r="J24" i="72"/>
  <c r="G24" i="72"/>
  <c r="K24" i="72" s="1"/>
  <c r="J23" i="72"/>
  <c r="G23" i="72"/>
  <c r="K23" i="72" s="1"/>
  <c r="J22" i="72"/>
  <c r="G22" i="72"/>
  <c r="K22" i="72" s="1"/>
  <c r="J21" i="72"/>
  <c r="G21" i="72"/>
  <c r="K21" i="72" s="1"/>
  <c r="J20" i="72"/>
  <c r="G20" i="72"/>
  <c r="K20" i="72" s="1"/>
  <c r="J19" i="72"/>
  <c r="K19" i="72" s="1"/>
  <c r="J18" i="72"/>
  <c r="K18" i="72" s="1"/>
  <c r="J17" i="72"/>
  <c r="K17" i="72" s="1"/>
  <c r="J16" i="72"/>
  <c r="G16" i="72"/>
  <c r="K16" i="72" s="1"/>
  <c r="J15" i="72"/>
  <c r="G15" i="72"/>
  <c r="K15" i="72" s="1"/>
  <c r="J14" i="72"/>
  <c r="G14" i="72"/>
  <c r="K14" i="72" s="1"/>
  <c r="J13" i="72"/>
  <c r="G13" i="72"/>
  <c r="K13" i="72" s="1"/>
  <c r="J12" i="72"/>
  <c r="K12" i="72"/>
  <c r="J11" i="72"/>
  <c r="K11" i="72"/>
  <c r="J10" i="72"/>
  <c r="K10" i="72"/>
  <c r="J9" i="72"/>
  <c r="K9" i="72"/>
  <c r="J8" i="72"/>
  <c r="K8" i="72"/>
  <c r="J7" i="72"/>
  <c r="K7" i="72"/>
  <c r="J6" i="72"/>
  <c r="K6" i="72"/>
  <c r="J5" i="72"/>
  <c r="G5" i="72"/>
  <c r="K5" i="72" s="1"/>
  <c r="J4" i="72"/>
  <c r="J35" i="72" s="1"/>
  <c r="G4" i="72"/>
  <c r="J7" i="61"/>
  <c r="I19" i="56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5" i="40"/>
  <c r="J4" i="40"/>
  <c r="J10" i="7"/>
  <c r="K10" i="7"/>
  <c r="J11" i="7"/>
  <c r="K11" i="7"/>
  <c r="J12" i="7"/>
  <c r="K12" i="7"/>
  <c r="J13" i="7"/>
  <c r="K13" i="7"/>
  <c r="J14" i="7"/>
  <c r="K14" i="7"/>
  <c r="J15" i="7"/>
  <c r="K15" i="7"/>
  <c r="J16" i="7"/>
  <c r="K16" i="7"/>
  <c r="J17" i="7"/>
  <c r="K17" i="7"/>
  <c r="H36" i="71"/>
  <c r="G16" i="35"/>
  <c r="H43" i="35"/>
  <c r="G14" i="35"/>
  <c r="G15" i="35"/>
  <c r="I12" i="56"/>
  <c r="F12" i="56"/>
  <c r="E36" i="71"/>
  <c r="D12" i="56" s="1"/>
  <c r="J35" i="71"/>
  <c r="G35" i="71"/>
  <c r="K35" i="71" s="1"/>
  <c r="L35" i="71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30" i="71"/>
  <c r="G30" i="71"/>
  <c r="K30" i="71" s="1"/>
  <c r="L30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G6" i="71"/>
  <c r="K6" i="71" s="1"/>
  <c r="L6" i="71" s="1"/>
  <c r="J5" i="71"/>
  <c r="K5" i="71"/>
  <c r="L5" i="71" s="1"/>
  <c r="J4" i="71"/>
  <c r="J36" i="71" s="1"/>
  <c r="G12" i="56" s="1"/>
  <c r="G4" i="71"/>
  <c r="H55" i="22"/>
  <c r="I47" i="56"/>
  <c r="H46" i="26"/>
  <c r="H49" i="69"/>
  <c r="F47" i="56" s="1"/>
  <c r="J48" i="69"/>
  <c r="G48" i="69"/>
  <c r="K48" i="69" s="1"/>
  <c r="L48" i="69" s="1"/>
  <c r="J47" i="69"/>
  <c r="G47" i="69"/>
  <c r="K47" i="69" s="1"/>
  <c r="L47" i="69" s="1"/>
  <c r="L49" i="69" s="1"/>
  <c r="J47" i="56" s="1"/>
  <c r="J46" i="69"/>
  <c r="G46" i="69"/>
  <c r="K46" i="69" s="1"/>
  <c r="J45" i="69"/>
  <c r="G45" i="69"/>
  <c r="K45" i="69" s="1"/>
  <c r="J44" i="69"/>
  <c r="G44" i="69"/>
  <c r="K44" i="69" s="1"/>
  <c r="J43" i="69"/>
  <c r="G43" i="69"/>
  <c r="K43" i="69" s="1"/>
  <c r="J42" i="69"/>
  <c r="G42" i="69"/>
  <c r="K42" i="69" s="1"/>
  <c r="J41" i="69"/>
  <c r="G41" i="69"/>
  <c r="K41" i="69" s="1"/>
  <c r="J4" i="69"/>
  <c r="J49" i="69" s="1"/>
  <c r="G47" i="56" s="1"/>
  <c r="G4" i="69"/>
  <c r="H35" i="68"/>
  <c r="F19" i="56" s="1"/>
  <c r="E35" i="68"/>
  <c r="D19" i="56" s="1"/>
  <c r="J35" i="68"/>
  <c r="G19" i="56" s="1"/>
  <c r="G11" i="35"/>
  <c r="G10" i="35"/>
  <c r="G7" i="35"/>
  <c r="G8" i="35"/>
  <c r="G9" i="35"/>
  <c r="I23" i="56"/>
  <c r="G5" i="40"/>
  <c r="G6" i="40"/>
  <c r="G7" i="40"/>
  <c r="G8" i="40"/>
  <c r="G9" i="40"/>
  <c r="G10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G9" i="14"/>
  <c r="K9" i="14"/>
  <c r="G10" i="14"/>
  <c r="J10" i="14"/>
  <c r="K10" i="14"/>
  <c r="G11" i="14"/>
  <c r="J11" i="14"/>
  <c r="K11" i="14"/>
  <c r="G12" i="14"/>
  <c r="J12" i="14"/>
  <c r="K12" i="14"/>
  <c r="G14" i="14"/>
  <c r="J14" i="14"/>
  <c r="K14" i="14"/>
  <c r="G15" i="14"/>
  <c r="J15" i="14"/>
  <c r="K15" i="14"/>
  <c r="G16" i="14"/>
  <c r="J16" i="14"/>
  <c r="K16" i="14"/>
  <c r="G17" i="14"/>
  <c r="J17" i="14"/>
  <c r="K17" i="14"/>
  <c r="G18" i="14"/>
  <c r="J18" i="14"/>
  <c r="K18" i="14"/>
  <c r="G19" i="14"/>
  <c r="J19" i="14"/>
  <c r="K19" i="14"/>
  <c r="G20" i="14"/>
  <c r="J20" i="14"/>
  <c r="K20" i="14"/>
  <c r="G21" i="14"/>
  <c r="J21" i="14"/>
  <c r="K21" i="14"/>
  <c r="G22" i="14"/>
  <c r="J22" i="14"/>
  <c r="K22" i="14"/>
  <c r="G24" i="14"/>
  <c r="J24" i="14"/>
  <c r="K24" i="14"/>
  <c r="G25" i="14"/>
  <c r="J25" i="14"/>
  <c r="K25" i="14"/>
  <c r="G26" i="14"/>
  <c r="J26" i="14"/>
  <c r="K26" i="14"/>
  <c r="J27" i="14"/>
  <c r="K27" i="14"/>
  <c r="J28" i="14"/>
  <c r="K28" i="14"/>
  <c r="G30" i="14"/>
  <c r="J30" i="14"/>
  <c r="K30" i="14"/>
  <c r="G31" i="14"/>
  <c r="J31" i="14"/>
  <c r="K31" i="14"/>
  <c r="G32" i="14"/>
  <c r="J32" i="14"/>
  <c r="K32" i="14"/>
  <c r="G33" i="14"/>
  <c r="J33" i="14"/>
  <c r="K33" i="14"/>
  <c r="G34" i="14"/>
  <c r="J34" i="14"/>
  <c r="K34" i="14"/>
  <c r="G35" i="14"/>
  <c r="J35" i="14"/>
  <c r="K35" i="14"/>
  <c r="G36" i="14"/>
  <c r="J36" i="14"/>
  <c r="K36" i="14"/>
  <c r="G6" i="35"/>
  <c r="G5" i="35"/>
  <c r="G40" i="22"/>
  <c r="J40" i="22"/>
  <c r="K40" i="22"/>
  <c r="G41" i="22"/>
  <c r="J41" i="22"/>
  <c r="K41" i="22"/>
  <c r="G42" i="22"/>
  <c r="J42" i="22"/>
  <c r="K42" i="22"/>
  <c r="G43" i="22"/>
  <c r="J43" i="22"/>
  <c r="K43" i="22"/>
  <c r="G44" i="22"/>
  <c r="J44" i="22"/>
  <c r="K44" i="22"/>
  <c r="G45" i="22"/>
  <c r="J45" i="22"/>
  <c r="K45" i="22"/>
  <c r="G46" i="22"/>
  <c r="J46" i="22"/>
  <c r="K46" i="22"/>
  <c r="G47" i="22"/>
  <c r="J47" i="22"/>
  <c r="K47" i="22"/>
  <c r="G48" i="22"/>
  <c r="J48" i="22"/>
  <c r="K48" i="22"/>
  <c r="G49" i="22"/>
  <c r="J49" i="22"/>
  <c r="K49" i="22"/>
  <c r="G50" i="22"/>
  <c r="J50" i="22"/>
  <c r="K50" i="22"/>
  <c r="G51" i="22"/>
  <c r="J51" i="22"/>
  <c r="K51" i="22"/>
  <c r="G52" i="22"/>
  <c r="J52" i="22"/>
  <c r="K52" i="22"/>
  <c r="G53" i="22"/>
  <c r="J53" i="22"/>
  <c r="K53" i="22"/>
  <c r="M3" i="22"/>
  <c r="M4" i="22" s="1"/>
  <c r="G5" i="12"/>
  <c r="J5" i="12"/>
  <c r="K5" i="12"/>
  <c r="G6" i="12"/>
  <c r="J6" i="12"/>
  <c r="K6" i="12"/>
  <c r="G7" i="12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3" i="12"/>
  <c r="K23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J33" i="12"/>
  <c r="K33" i="12"/>
  <c r="J34" i="12"/>
  <c r="K34" i="12"/>
  <c r="G5" i="37"/>
  <c r="J5" i="37"/>
  <c r="K5" i="37"/>
  <c r="G6" i="37"/>
  <c r="J6" i="37"/>
  <c r="K6" i="37"/>
  <c r="G7" i="37"/>
  <c r="J7" i="37"/>
  <c r="K7" i="37"/>
  <c r="G8" i="37"/>
  <c r="J8" i="37"/>
  <c r="K8" i="37"/>
  <c r="G9" i="37"/>
  <c r="J9" i="37"/>
  <c r="K9" i="37"/>
  <c r="G10" i="37"/>
  <c r="J10" i="37"/>
  <c r="K10" i="37"/>
  <c r="G11" i="37"/>
  <c r="J11" i="37"/>
  <c r="K11" i="37"/>
  <c r="G12" i="37"/>
  <c r="J12" i="37"/>
  <c r="K12" i="37"/>
  <c r="G13" i="37"/>
  <c r="J13" i="37"/>
  <c r="K13" i="37"/>
  <c r="G14" i="37"/>
  <c r="J14" i="37"/>
  <c r="K14" i="37"/>
  <c r="G15" i="37"/>
  <c r="J15" i="37"/>
  <c r="K15" i="37"/>
  <c r="G16" i="37"/>
  <c r="J16" i="37"/>
  <c r="K16" i="37"/>
  <c r="G17" i="37"/>
  <c r="J17" i="37"/>
  <c r="K17" i="37"/>
  <c r="G18" i="37"/>
  <c r="J18" i="37"/>
  <c r="K18" i="37"/>
  <c r="G19" i="37"/>
  <c r="J19" i="37"/>
  <c r="K19" i="37"/>
  <c r="G20" i="37"/>
  <c r="J20" i="37"/>
  <c r="K20" i="37"/>
  <c r="G21" i="37"/>
  <c r="J21" i="37"/>
  <c r="K21" i="37"/>
  <c r="G22" i="37"/>
  <c r="J22" i="37"/>
  <c r="K22" i="37"/>
  <c r="G23" i="37"/>
  <c r="J23" i="37"/>
  <c r="K23" i="37"/>
  <c r="G24" i="37"/>
  <c r="J24" i="37"/>
  <c r="K24" i="37"/>
  <c r="G25" i="37"/>
  <c r="J25" i="37"/>
  <c r="K25" i="37"/>
  <c r="G26" i="37"/>
  <c r="J26" i="37"/>
  <c r="K26" i="37"/>
  <c r="G27" i="37"/>
  <c r="J27" i="37"/>
  <c r="K27" i="37"/>
  <c r="G28" i="37"/>
  <c r="J28" i="37"/>
  <c r="K28" i="37"/>
  <c r="G29" i="37"/>
  <c r="J29" i="37"/>
  <c r="K29" i="37"/>
  <c r="G30" i="37"/>
  <c r="J30" i="37"/>
  <c r="K30" i="37"/>
  <c r="G31" i="37"/>
  <c r="J31" i="37"/>
  <c r="K31" i="37"/>
  <c r="G32" i="37"/>
  <c r="J32" i="37"/>
  <c r="K32" i="37"/>
  <c r="G33" i="37"/>
  <c r="J33" i="37"/>
  <c r="K33" i="37"/>
  <c r="M3" i="16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7" i="19"/>
  <c r="G5" i="25"/>
  <c r="J5" i="25"/>
  <c r="K5" i="25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33" i="25"/>
  <c r="K34" i="25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L35" i="24"/>
  <c r="J23" i="56" s="1"/>
  <c r="J5" i="61"/>
  <c r="K5" i="61"/>
  <c r="J6" i="61"/>
  <c r="K6" i="61"/>
  <c r="K7" i="61"/>
  <c r="J8" i="61"/>
  <c r="K8" i="61"/>
  <c r="J9" i="61"/>
  <c r="K9" i="61"/>
  <c r="J10" i="61"/>
  <c r="K10" i="61"/>
  <c r="J11" i="61"/>
  <c r="K11" i="61"/>
  <c r="J12" i="61"/>
  <c r="K12" i="61"/>
  <c r="J13" i="61"/>
  <c r="K13" i="61"/>
  <c r="J14" i="61"/>
  <c r="K14" i="61"/>
  <c r="J15" i="61"/>
  <c r="K15" i="61"/>
  <c r="J16" i="61"/>
  <c r="K16" i="61"/>
  <c r="J17" i="61"/>
  <c r="K17" i="61"/>
  <c r="J18" i="61"/>
  <c r="K18" i="61"/>
  <c r="J19" i="61"/>
  <c r="K19" i="61"/>
  <c r="J20" i="61"/>
  <c r="K20" i="61"/>
  <c r="J21" i="61"/>
  <c r="K21" i="61"/>
  <c r="J22" i="61"/>
  <c r="K22" i="61"/>
  <c r="J23" i="61"/>
  <c r="K23" i="61"/>
  <c r="J24" i="61"/>
  <c r="K24" i="61"/>
  <c r="J25" i="61"/>
  <c r="K25" i="61"/>
  <c r="J26" i="61"/>
  <c r="K26" i="61"/>
  <c r="J27" i="61"/>
  <c r="K27" i="61"/>
  <c r="J28" i="61"/>
  <c r="K28" i="61"/>
  <c r="J29" i="61"/>
  <c r="K29" i="61"/>
  <c r="J30" i="61"/>
  <c r="K30" i="61"/>
  <c r="J31" i="61"/>
  <c r="K31" i="61"/>
  <c r="J32" i="61"/>
  <c r="K32" i="61"/>
  <c r="J33" i="61"/>
  <c r="K33" i="61"/>
  <c r="J34" i="61"/>
  <c r="K34" i="61"/>
  <c r="J35" i="61"/>
  <c r="K35" i="61"/>
  <c r="G36" i="61"/>
  <c r="J36" i="61"/>
  <c r="K36" i="61"/>
  <c r="K5" i="60"/>
  <c r="K6" i="60"/>
  <c r="K7" i="60"/>
  <c r="K8" i="60"/>
  <c r="K9" i="60"/>
  <c r="K10" i="60"/>
  <c r="K11" i="60"/>
  <c r="K12" i="60"/>
  <c r="K13" i="60"/>
  <c r="K14" i="60"/>
  <c r="K15" i="60"/>
  <c r="K16" i="60"/>
  <c r="K17" i="60"/>
  <c r="K18" i="60"/>
  <c r="K19" i="60"/>
  <c r="K20" i="60"/>
  <c r="K21" i="60"/>
  <c r="K22" i="60"/>
  <c r="K23" i="60"/>
  <c r="K24" i="60"/>
  <c r="K25" i="60"/>
  <c r="K26" i="60"/>
  <c r="K27" i="60"/>
  <c r="K28" i="60"/>
  <c r="K29" i="60"/>
  <c r="K30" i="60"/>
  <c r="K31" i="60"/>
  <c r="K32" i="60"/>
  <c r="K33" i="60"/>
  <c r="K5" i="41"/>
  <c r="K6" i="41"/>
  <c r="K7" i="41"/>
  <c r="K8" i="41"/>
  <c r="K9" i="41"/>
  <c r="K10" i="41"/>
  <c r="K11" i="41"/>
  <c r="K12" i="41"/>
  <c r="K13" i="41"/>
  <c r="K14" i="41"/>
  <c r="K15" i="41"/>
  <c r="K16" i="41"/>
  <c r="K17" i="41"/>
  <c r="K18" i="41"/>
  <c r="K19" i="41"/>
  <c r="K20" i="41"/>
  <c r="K21" i="41"/>
  <c r="K22" i="41"/>
  <c r="K23" i="41"/>
  <c r="K24" i="41"/>
  <c r="K25" i="41"/>
  <c r="K26" i="41"/>
  <c r="K27" i="41"/>
  <c r="K28" i="41"/>
  <c r="K29" i="41"/>
  <c r="K30" i="41"/>
  <c r="K31" i="41"/>
  <c r="K32" i="41"/>
  <c r="K33" i="41"/>
  <c r="K34" i="41"/>
  <c r="K35" i="41"/>
  <c r="K36" i="41"/>
  <c r="G37" i="41"/>
  <c r="J37" i="41"/>
  <c r="K37" i="41"/>
  <c r="G38" i="41"/>
  <c r="J38" i="41"/>
  <c r="K38" i="41"/>
  <c r="G39" i="41"/>
  <c r="J39" i="41"/>
  <c r="K39" i="41"/>
  <c r="G41" i="51"/>
  <c r="J41" i="51"/>
  <c r="K41" i="51"/>
  <c r="J5" i="35"/>
  <c r="K5" i="35"/>
  <c r="J6" i="35"/>
  <c r="K6" i="35"/>
  <c r="J7" i="35"/>
  <c r="K7" i="35"/>
  <c r="J8" i="35"/>
  <c r="K8" i="35"/>
  <c r="J9" i="35"/>
  <c r="K9" i="35"/>
  <c r="J10" i="35"/>
  <c r="K10" i="35"/>
  <c r="J11" i="35"/>
  <c r="J12" i="35"/>
  <c r="K12" i="35" s="1"/>
  <c r="J13" i="35"/>
  <c r="K13" i="35" s="1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K29" i="35"/>
  <c r="J30" i="35"/>
  <c r="K30" i="35"/>
  <c r="J31" i="35"/>
  <c r="K31" i="35"/>
  <c r="J32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K5" i="9"/>
  <c r="K6" i="9"/>
  <c r="K7" i="9"/>
  <c r="K8" i="9"/>
  <c r="K12" i="9"/>
  <c r="K13" i="9"/>
  <c r="K14" i="9"/>
  <c r="K15" i="9"/>
  <c r="K16" i="9"/>
  <c r="K17" i="9"/>
  <c r="K18" i="9"/>
  <c r="K19" i="9"/>
  <c r="K20" i="9"/>
  <c r="K21" i="9"/>
  <c r="K23" i="9"/>
  <c r="K24" i="9"/>
  <c r="K25" i="9"/>
  <c r="K26" i="9"/>
  <c r="K27" i="9"/>
  <c r="K28" i="9"/>
  <c r="K29" i="9"/>
  <c r="K30" i="9"/>
  <c r="K31" i="9"/>
  <c r="K32" i="9"/>
  <c r="K33" i="9"/>
  <c r="K34" i="9"/>
  <c r="J5" i="26"/>
  <c r="K5" i="26"/>
  <c r="J6" i="26"/>
  <c r="K6" i="26"/>
  <c r="J7" i="26"/>
  <c r="K7" i="26"/>
  <c r="K8" i="26"/>
  <c r="K9" i="26"/>
  <c r="J10" i="26"/>
  <c r="K10" i="26"/>
  <c r="J11" i="26"/>
  <c r="K11" i="26"/>
  <c r="J12" i="26"/>
  <c r="K12" i="26"/>
  <c r="J13" i="26"/>
  <c r="K13" i="26"/>
  <c r="J14" i="26"/>
  <c r="K14" i="26"/>
  <c r="J15" i="26"/>
  <c r="K15" i="26"/>
  <c r="J16" i="26"/>
  <c r="K16" i="26"/>
  <c r="J17" i="26"/>
  <c r="K17" i="26"/>
  <c r="G18" i="26"/>
  <c r="J18" i="26"/>
  <c r="K18" i="26"/>
  <c r="G19" i="26"/>
  <c r="J19" i="26"/>
  <c r="K19" i="26"/>
  <c r="G20" i="26"/>
  <c r="J20" i="26"/>
  <c r="G21" i="26"/>
  <c r="J21" i="26"/>
  <c r="K21" i="26"/>
  <c r="G22" i="26"/>
  <c r="J22" i="26"/>
  <c r="K22" i="26"/>
  <c r="G23" i="26"/>
  <c r="J23" i="26"/>
  <c r="K23" i="26"/>
  <c r="G24" i="26"/>
  <c r="J24" i="26"/>
  <c r="K24" i="26"/>
  <c r="G25" i="26"/>
  <c r="J25" i="26"/>
  <c r="K25" i="26"/>
  <c r="G26" i="26"/>
  <c r="J26" i="26"/>
  <c r="K26" i="26"/>
  <c r="G27" i="26"/>
  <c r="J27" i="26"/>
  <c r="K27" i="26"/>
  <c r="G28" i="26"/>
  <c r="J28" i="26"/>
  <c r="K28" i="26"/>
  <c r="G29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J41" i="26"/>
  <c r="K41" i="26"/>
  <c r="G42" i="26"/>
  <c r="J42" i="26"/>
  <c r="K42" i="26"/>
  <c r="G43" i="26"/>
  <c r="J43" i="26"/>
  <c r="K43" i="26"/>
  <c r="G44" i="26"/>
  <c r="J44" i="26"/>
  <c r="K44" i="26"/>
  <c r="K6" i="10"/>
  <c r="K7" i="10"/>
  <c r="K8" i="10"/>
  <c r="K9" i="10"/>
  <c r="K10" i="10"/>
  <c r="K11" i="10"/>
  <c r="K12" i="10"/>
  <c r="K13" i="10"/>
  <c r="K14" i="10"/>
  <c r="K15" i="10"/>
  <c r="K16" i="10"/>
  <c r="K17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G5" i="19"/>
  <c r="J5" i="19"/>
  <c r="G6" i="19"/>
  <c r="J6" i="19"/>
  <c r="G7" i="19"/>
  <c r="G8" i="19"/>
  <c r="J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4" i="19"/>
  <c r="G5" i="33"/>
  <c r="J5" i="33"/>
  <c r="K5" i="33"/>
  <c r="G6" i="33"/>
  <c r="K6" i="33"/>
  <c r="G7" i="33"/>
  <c r="K7" i="33"/>
  <c r="G8" i="33"/>
  <c r="J8" i="33"/>
  <c r="K8" i="33"/>
  <c r="G9" i="33"/>
  <c r="J9" i="33"/>
  <c r="K9" i="33"/>
  <c r="G10" i="33"/>
  <c r="J10" i="33"/>
  <c r="K10" i="33"/>
  <c r="G11" i="33"/>
  <c r="J11" i="33"/>
  <c r="K11" i="33"/>
  <c r="G12" i="33"/>
  <c r="J12" i="33"/>
  <c r="K12" i="33"/>
  <c r="G13" i="33"/>
  <c r="J13" i="33"/>
  <c r="K13" i="33"/>
  <c r="G14" i="33"/>
  <c r="J14" i="33"/>
  <c r="K14" i="33"/>
  <c r="G15" i="33"/>
  <c r="J15" i="33"/>
  <c r="K15" i="33"/>
  <c r="G16" i="33"/>
  <c r="J16" i="33"/>
  <c r="K16" i="33"/>
  <c r="G17" i="33"/>
  <c r="J17" i="33"/>
  <c r="K17" i="33"/>
  <c r="G18" i="33"/>
  <c r="J18" i="33"/>
  <c r="K18" i="33"/>
  <c r="G19" i="33"/>
  <c r="J19" i="33"/>
  <c r="K19" i="33"/>
  <c r="G20" i="33"/>
  <c r="J20" i="33"/>
  <c r="K20" i="33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G35" i="33"/>
  <c r="J35" i="33"/>
  <c r="K35" i="33"/>
  <c r="G36" i="33"/>
  <c r="J36" i="33"/>
  <c r="K36" i="33"/>
  <c r="G37" i="33"/>
  <c r="J37" i="33"/>
  <c r="K37" i="33"/>
  <c r="G38" i="33"/>
  <c r="J38" i="33"/>
  <c r="K38" i="33"/>
  <c r="G39" i="33"/>
  <c r="J39" i="33"/>
  <c r="K39" i="33"/>
  <c r="G40" i="33"/>
  <c r="J40" i="33"/>
  <c r="K40" i="33"/>
  <c r="G41" i="33"/>
  <c r="J41" i="33"/>
  <c r="K41" i="33"/>
  <c r="G42" i="33"/>
  <c r="J42" i="33"/>
  <c r="K42" i="33"/>
  <c r="G8" i="14"/>
  <c r="J8" i="14"/>
  <c r="K8" i="14"/>
  <c r="G37" i="14"/>
  <c r="J37" i="14"/>
  <c r="K37" i="14"/>
  <c r="G54" i="22"/>
  <c r="J54" i="22"/>
  <c r="K54" i="22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/>
  <c r="K5" i="10"/>
  <c r="K34" i="10"/>
  <c r="H35" i="10"/>
  <c r="L35" i="10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J33" i="63"/>
  <c r="G5" i="3"/>
  <c r="J5" i="3"/>
  <c r="K5" i="3"/>
  <c r="G36" i="16"/>
  <c r="J36" i="16"/>
  <c r="K36" i="16"/>
  <c r="G32" i="52"/>
  <c r="J32" i="52"/>
  <c r="K32" i="52"/>
  <c r="G33" i="52"/>
  <c r="J33" i="52"/>
  <c r="K33" i="52"/>
  <c r="G35" i="62"/>
  <c r="K35" i="62"/>
  <c r="G36" i="62"/>
  <c r="J36" i="62"/>
  <c r="K36" i="62"/>
  <c r="L38" i="65"/>
  <c r="J13" i="56" s="1"/>
  <c r="K36" i="65"/>
  <c r="K37" i="65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J9" i="58"/>
  <c r="K9" i="58"/>
  <c r="L9" i="58"/>
  <c r="J10" i="58"/>
  <c r="K10" i="58"/>
  <c r="L10" i="58"/>
  <c r="J11" i="58"/>
  <c r="K11" i="58"/>
  <c r="L11" i="58"/>
  <c r="J12" i="58"/>
  <c r="J13" i="58"/>
  <c r="J14" i="58"/>
  <c r="J15" i="58"/>
  <c r="J16" i="58"/>
  <c r="J17" i="58"/>
  <c r="J18" i="58"/>
  <c r="J19" i="58"/>
  <c r="K19" i="58"/>
  <c r="L19" i="58"/>
  <c r="J20" i="58"/>
  <c r="K20" i="58"/>
  <c r="L20" i="58"/>
  <c r="J21" i="58"/>
  <c r="K21" i="58"/>
  <c r="L21" i="58"/>
  <c r="J22" i="58"/>
  <c r="K22" i="58"/>
  <c r="L22" i="58"/>
  <c r="J23" i="58"/>
  <c r="K23" i="58"/>
  <c r="L23" i="58"/>
  <c r="J24" i="58"/>
  <c r="K24" i="58"/>
  <c r="L24" i="58"/>
  <c r="J25" i="58"/>
  <c r="K25" i="58"/>
  <c r="L25" i="58"/>
  <c r="J26" i="58"/>
  <c r="K26" i="58"/>
  <c r="L26" i="58"/>
  <c r="J27" i="58"/>
  <c r="K27" i="58"/>
  <c r="L27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J33" i="58"/>
  <c r="K33" i="58"/>
  <c r="L33" i="58"/>
  <c r="G5" i="47"/>
  <c r="K5" i="47"/>
  <c r="G6" i="47"/>
  <c r="K6" i="47"/>
  <c r="G7" i="47"/>
  <c r="K7" i="47"/>
  <c r="G8" i="47"/>
  <c r="K8" i="47"/>
  <c r="K9" i="47"/>
  <c r="G10" i="47"/>
  <c r="K10" i="47"/>
  <c r="G11" i="47"/>
  <c r="K11" i="47"/>
  <c r="G12" i="47"/>
  <c r="K12" i="47"/>
  <c r="G14" i="47"/>
  <c r="K14" i="47"/>
  <c r="G15" i="47"/>
  <c r="K15" i="47"/>
  <c r="G16" i="47"/>
  <c r="K16" i="47"/>
  <c r="G17" i="47"/>
  <c r="K17" i="47"/>
  <c r="G18" i="47"/>
  <c r="K18" i="47"/>
  <c r="G19" i="47"/>
  <c r="K19" i="47"/>
  <c r="G20" i="47"/>
  <c r="K20" i="47"/>
  <c r="G21" i="47"/>
  <c r="K21" i="47"/>
  <c r="G22" i="47"/>
  <c r="K22" i="47"/>
  <c r="G23" i="47"/>
  <c r="K23" i="47"/>
  <c r="G24" i="47"/>
  <c r="K24" i="47"/>
  <c r="G25" i="47"/>
  <c r="K25" i="47"/>
  <c r="G26" i="47"/>
  <c r="K26" i="47"/>
  <c r="G27" i="47"/>
  <c r="K27" i="47"/>
  <c r="G28" i="47"/>
  <c r="K28" i="47"/>
  <c r="G29" i="47"/>
  <c r="K29" i="47"/>
  <c r="G30" i="47"/>
  <c r="K30" i="47"/>
  <c r="G31" i="47"/>
  <c r="K31" i="47"/>
  <c r="G32" i="47"/>
  <c r="K32" i="47"/>
  <c r="G33" i="47"/>
  <c r="K33" i="47"/>
  <c r="G34" i="47"/>
  <c r="J34" i="47"/>
  <c r="K34" i="47"/>
  <c r="G5" i="50"/>
  <c r="K5" i="50"/>
  <c r="G6" i="50"/>
  <c r="K6" i="50"/>
  <c r="G7" i="50"/>
  <c r="K7" i="50"/>
  <c r="K8" i="50"/>
  <c r="G10" i="50"/>
  <c r="K10" i="50"/>
  <c r="G11" i="50"/>
  <c r="K11" i="50"/>
  <c r="G12" i="50"/>
  <c r="K12" i="50"/>
  <c r="G13" i="50"/>
  <c r="K13" i="50"/>
  <c r="G14" i="50"/>
  <c r="K14" i="50"/>
  <c r="G15" i="50"/>
  <c r="K15" i="50"/>
  <c r="G16" i="50"/>
  <c r="K16" i="50"/>
  <c r="G17" i="50"/>
  <c r="K17" i="50"/>
  <c r="G18" i="50"/>
  <c r="K18" i="50"/>
  <c r="G19" i="50"/>
  <c r="K19" i="50"/>
  <c r="G20" i="50"/>
  <c r="K20" i="50"/>
  <c r="G21" i="50"/>
  <c r="K21" i="50"/>
  <c r="G22" i="50"/>
  <c r="K22" i="50"/>
  <c r="G23" i="50"/>
  <c r="K23" i="50"/>
  <c r="G24" i="50"/>
  <c r="K24" i="50"/>
  <c r="G25" i="50"/>
  <c r="K25" i="50"/>
  <c r="G26" i="50"/>
  <c r="K26" i="50"/>
  <c r="G27" i="50"/>
  <c r="K27" i="50"/>
  <c r="G28" i="50"/>
  <c r="K28" i="50"/>
  <c r="G29" i="50"/>
  <c r="K29" i="50"/>
  <c r="K30" i="50"/>
  <c r="G31" i="50"/>
  <c r="K31" i="50"/>
  <c r="G32" i="50"/>
  <c r="K32" i="50"/>
  <c r="G33" i="50"/>
  <c r="K33" i="50"/>
  <c r="G34" i="50"/>
  <c r="K34" i="50"/>
  <c r="G35" i="50"/>
  <c r="J35" i="50"/>
  <c r="K35" i="50"/>
  <c r="G36" i="50"/>
  <c r="J36" i="50"/>
  <c r="K36" i="50"/>
  <c r="G37" i="50"/>
  <c r="J37" i="50"/>
  <c r="K37" i="50"/>
  <c r="I13" i="56"/>
  <c r="H38" i="65"/>
  <c r="F13" i="56" s="1"/>
  <c r="E38" i="65"/>
  <c r="D13" i="56" s="1"/>
  <c r="J38" i="65"/>
  <c r="G13" i="56" s="1"/>
  <c r="I21" i="56"/>
  <c r="H35" i="63"/>
  <c r="F21" i="56" s="1"/>
  <c r="E35" i="63"/>
  <c r="D21" i="56" s="1"/>
  <c r="J4" i="63"/>
  <c r="J35" i="63" s="1"/>
  <c r="G21" i="56" s="1"/>
  <c r="G4" i="63"/>
  <c r="G5" i="44"/>
  <c r="I27" i="56"/>
  <c r="L37" i="62"/>
  <c r="J14" i="56" s="1"/>
  <c r="H37" i="62"/>
  <c r="F14" i="56" s="1"/>
  <c r="E37" i="62"/>
  <c r="D14" i="56" s="1"/>
  <c r="J4" i="62"/>
  <c r="J37" i="62" s="1"/>
  <c r="G14" i="56" s="1"/>
  <c r="G4" i="62"/>
  <c r="I14" i="56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 s="1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K28" i="19"/>
  <c r="L28" i="19"/>
  <c r="K29" i="19"/>
  <c r="L29" i="19"/>
  <c r="K30" i="19"/>
  <c r="L30" i="19"/>
  <c r="K31" i="19"/>
  <c r="L31" i="19"/>
  <c r="K32" i="19"/>
  <c r="L32" i="19"/>
  <c r="K33" i="19"/>
  <c r="L33" i="19"/>
  <c r="G43" i="33"/>
  <c r="J43" i="33"/>
  <c r="K43" i="33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G34" i="37"/>
  <c r="J34" i="37"/>
  <c r="K34" i="37"/>
  <c r="L34" i="37"/>
  <c r="G6" i="14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J32" i="7"/>
  <c r="K32" i="7"/>
  <c r="H35" i="37"/>
  <c r="E43" i="35"/>
  <c r="E35" i="11"/>
  <c r="H40" i="41"/>
  <c r="I42" i="56"/>
  <c r="I24" i="56"/>
  <c r="H37" i="61"/>
  <c r="F24" i="56" s="1"/>
  <c r="D24" i="56"/>
  <c r="L37" i="61"/>
  <c r="J24" i="56" s="1"/>
  <c r="J4" i="61"/>
  <c r="J37" i="61" s="1"/>
  <c r="G24" i="56" s="1"/>
  <c r="G4" i="61"/>
  <c r="H35" i="12"/>
  <c r="E35" i="37"/>
  <c r="I48" i="56"/>
  <c r="I46" i="56"/>
  <c r="H35" i="60"/>
  <c r="F42" i="56" s="1"/>
  <c r="D42" i="56"/>
  <c r="J4" i="60"/>
  <c r="J35" i="60" s="1"/>
  <c r="G42" i="56" s="1"/>
  <c r="I37" i="56"/>
  <c r="I44" i="56"/>
  <c r="G4" i="52"/>
  <c r="J4" i="47"/>
  <c r="J5" i="14"/>
  <c r="P11" i="33"/>
  <c r="L40" i="41"/>
  <c r="I49" i="56"/>
  <c r="I45" i="56"/>
  <c r="I40" i="56"/>
  <c r="I39" i="56"/>
  <c r="I34" i="56"/>
  <c r="I30" i="56"/>
  <c r="I26" i="56"/>
  <c r="I18" i="56"/>
  <c r="I17" i="56"/>
  <c r="I16" i="56"/>
  <c r="I15" i="56"/>
  <c r="N3" i="45"/>
  <c r="G4" i="9"/>
  <c r="K34" i="19"/>
  <c r="L34" i="19"/>
  <c r="L33" i="57"/>
  <c r="L34" i="57"/>
  <c r="G4" i="37"/>
  <c r="G5" i="14"/>
  <c r="K5" i="14" s="1"/>
  <c r="G5" i="7"/>
  <c r="J5" i="7"/>
  <c r="G6" i="7"/>
  <c r="J6" i="7"/>
  <c r="G7" i="7"/>
  <c r="J7" i="7"/>
  <c r="G8" i="7"/>
  <c r="J8" i="7"/>
  <c r="J9" i="7"/>
  <c r="J18" i="7"/>
  <c r="G19" i="7"/>
  <c r="J19" i="7"/>
  <c r="G20" i="7"/>
  <c r="J20" i="7"/>
  <c r="K20" i="7" s="1"/>
  <c r="J21" i="7"/>
  <c r="J22" i="7"/>
  <c r="G33" i="7"/>
  <c r="J33" i="7"/>
  <c r="G4" i="50"/>
  <c r="K4" i="50"/>
  <c r="G34" i="58"/>
  <c r="J34" i="58"/>
  <c r="K34" i="58"/>
  <c r="L34" i="58"/>
  <c r="J4" i="58"/>
  <c r="G4" i="58"/>
  <c r="H35" i="58"/>
  <c r="F11" i="56" s="1"/>
  <c r="E35" i="58"/>
  <c r="D11" i="56" s="1"/>
  <c r="J35" i="58"/>
  <c r="H35" i="19"/>
  <c r="E35" i="19"/>
  <c r="E43" i="51"/>
  <c r="F50" i="56"/>
  <c r="D50" i="56"/>
  <c r="F49" i="56"/>
  <c r="D49" i="56"/>
  <c r="D48" i="56"/>
  <c r="E44" i="33"/>
  <c r="D46" i="56" s="1"/>
  <c r="F45" i="56"/>
  <c r="E35" i="9"/>
  <c r="D45" i="56" s="1"/>
  <c r="F44" i="56"/>
  <c r="E46" i="26"/>
  <c r="D44" i="56" s="1"/>
  <c r="H35" i="57"/>
  <c r="F43" i="56" s="1"/>
  <c r="D43" i="56"/>
  <c r="J35" i="57"/>
  <c r="G43" i="56" s="1"/>
  <c r="G4" i="57"/>
  <c r="J40" i="56"/>
  <c r="F40" i="56"/>
  <c r="E40" i="41"/>
  <c r="E35" i="12"/>
  <c r="L35" i="12"/>
  <c r="J39" i="56"/>
  <c r="F39" i="56"/>
  <c r="D39" i="56"/>
  <c r="F30" i="56"/>
  <c r="D30" i="56"/>
  <c r="D37" i="56"/>
  <c r="E38" i="14"/>
  <c r="D34" i="56" s="1"/>
  <c r="E35" i="25"/>
  <c r="D29" i="56" s="1"/>
  <c r="E35" i="40"/>
  <c r="D28" i="56" s="1"/>
  <c r="D27" i="56"/>
  <c r="J26" i="56"/>
  <c r="D26" i="56"/>
  <c r="D23" i="56"/>
  <c r="E35" i="3"/>
  <c r="D18" i="56" s="1"/>
  <c r="E35" i="7"/>
  <c r="D17" i="56" s="1"/>
  <c r="E37" i="16"/>
  <c r="D16" i="56" s="1"/>
  <c r="L37" i="16"/>
  <c r="E35" i="52"/>
  <c r="D15" i="56" s="1"/>
  <c r="J45" i="56"/>
  <c r="F37" i="56"/>
  <c r="L35" i="11"/>
  <c r="H35" i="11"/>
  <c r="F27" i="56" s="1"/>
  <c r="F26" i="56"/>
  <c r="H35" i="3"/>
  <c r="F18" i="56" s="1"/>
  <c r="L35" i="3"/>
  <c r="J18" i="56" s="1"/>
  <c r="H35" i="7"/>
  <c r="F17" i="56" s="1"/>
  <c r="I3" i="56"/>
  <c r="I2" i="56"/>
  <c r="L38" i="50"/>
  <c r="J2" i="56" s="1"/>
  <c r="H38" i="50"/>
  <c r="F2" i="56" s="1"/>
  <c r="E38" i="50"/>
  <c r="D2" i="56" s="1"/>
  <c r="F48" i="56"/>
  <c r="L38" i="14"/>
  <c r="J34" i="56" s="1"/>
  <c r="H38" i="14"/>
  <c r="F34" i="56" s="1"/>
  <c r="H35" i="25"/>
  <c r="F29" i="56" s="1"/>
  <c r="J35" i="40"/>
  <c r="G28" i="56" s="1"/>
  <c r="H35" i="40"/>
  <c r="F28" i="56" s="1"/>
  <c r="F23" i="56"/>
  <c r="K38" i="16"/>
  <c r="L35" i="52"/>
  <c r="J15" i="56" s="1"/>
  <c r="H35" i="52"/>
  <c r="F15" i="56" s="1"/>
  <c r="E35" i="47"/>
  <c r="D3" i="56" s="1"/>
  <c r="L35" i="47"/>
  <c r="J3" i="56" s="1"/>
  <c r="H35" i="47"/>
  <c r="F3" i="56" s="1"/>
  <c r="G4" i="44"/>
  <c r="G4" i="51"/>
  <c r="K5" i="7"/>
  <c r="K6" i="7"/>
  <c r="K7" i="7"/>
  <c r="K8" i="7"/>
  <c r="K9" i="7"/>
  <c r="K18" i="7"/>
  <c r="K19" i="7"/>
  <c r="K21" i="7"/>
  <c r="K22" i="7"/>
  <c r="K33" i="7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 s="1"/>
  <c r="M18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M31" i="52"/>
  <c r="J45" i="26"/>
  <c r="J4" i="41"/>
  <c r="J42" i="51"/>
  <c r="G42" i="51"/>
  <c r="K42" i="51" s="1"/>
  <c r="L42" i="51" s="1"/>
  <c r="J4" i="51"/>
  <c r="G45" i="26"/>
  <c r="K45" i="26"/>
  <c r="G34" i="7"/>
  <c r="J34" i="7"/>
  <c r="K34" i="7"/>
  <c r="G4" i="47"/>
  <c r="G4" i="40"/>
  <c r="J4" i="24"/>
  <c r="J35" i="24" s="1"/>
  <c r="G23" i="56" s="1"/>
  <c r="G4" i="12"/>
  <c r="G35" i="12" s="1"/>
  <c r="E39" i="56" s="1"/>
  <c r="H37" i="16"/>
  <c r="F16" i="56" s="1"/>
  <c r="M3" i="40"/>
  <c r="I38" i="37"/>
  <c r="J4" i="37"/>
  <c r="J42" i="35"/>
  <c r="G42" i="35"/>
  <c r="K42" i="35" s="1"/>
  <c r="L42" i="35" s="1"/>
  <c r="J4" i="35"/>
  <c r="H44" i="33"/>
  <c r="F46" i="56" s="1"/>
  <c r="J4" i="33"/>
  <c r="J44" i="33" s="1"/>
  <c r="G46" i="56" s="1"/>
  <c r="G4" i="33"/>
  <c r="J4" i="10"/>
  <c r="J35" i="10" s="1"/>
  <c r="J4" i="22"/>
  <c r="J55" i="22" s="1"/>
  <c r="G30" i="56" s="1"/>
  <c r="L35" i="7"/>
  <c r="J17" i="56" s="1"/>
  <c r="J4" i="26"/>
  <c r="J4" i="9"/>
  <c r="G4" i="7"/>
  <c r="G4" i="24"/>
  <c r="G4" i="19"/>
  <c r="G35" i="19" s="1"/>
  <c r="E50" i="56" s="1"/>
  <c r="J4" i="19"/>
  <c r="K4" i="19"/>
  <c r="J4" i="16"/>
  <c r="G4" i="16"/>
  <c r="K4" i="16" s="1"/>
  <c r="J4" i="14"/>
  <c r="G4" i="14"/>
  <c r="K4" i="14"/>
  <c r="J4" i="7"/>
  <c r="J35" i="7" s="1"/>
  <c r="G17" i="56" s="1"/>
  <c r="J4" i="12"/>
  <c r="G4" i="11"/>
  <c r="J4" i="11"/>
  <c r="J35" i="11" s="1"/>
  <c r="G27" i="56" s="1"/>
  <c r="K4" i="11"/>
  <c r="M4" i="11" s="1"/>
  <c r="M5" i="11" s="1"/>
  <c r="G4" i="10"/>
  <c r="G35" i="10" s="1"/>
  <c r="J4" i="3"/>
  <c r="J35" i="3" s="1"/>
  <c r="G18" i="56" s="1"/>
  <c r="G4" i="3"/>
  <c r="G35" i="3" s="1"/>
  <c r="E18" i="56" s="1"/>
  <c r="D40" i="56" l="1"/>
  <c r="K43" i="51"/>
  <c r="M33" i="89"/>
  <c r="G55" i="92"/>
  <c r="K4" i="92"/>
  <c r="G55" i="91"/>
  <c r="K4" i="91"/>
  <c r="J27" i="56"/>
  <c r="J52" i="56" s="1"/>
  <c r="M26" i="89"/>
  <c r="M27" i="89" s="1"/>
  <c r="L35" i="89"/>
  <c r="J10" i="56" s="1"/>
  <c r="K35" i="89"/>
  <c r="G35" i="89"/>
  <c r="E10" i="56" s="1"/>
  <c r="H10" i="56" s="1"/>
  <c r="K10" i="56" s="1"/>
  <c r="M20" i="88"/>
  <c r="M21" i="88" s="1"/>
  <c r="M22" i="88" s="1"/>
  <c r="M23" i="88" s="1"/>
  <c r="M24" i="88" s="1"/>
  <c r="M25" i="88" s="1"/>
  <c r="M17" i="89"/>
  <c r="M18" i="89" s="1"/>
  <c r="M19" i="89" s="1"/>
  <c r="M20" i="89" s="1"/>
  <c r="M21" i="89" s="1"/>
  <c r="M22" i="89" s="1"/>
  <c r="M23" i="89" s="1"/>
  <c r="G38" i="87"/>
  <c r="K4" i="87"/>
  <c r="M5" i="22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G55" i="85"/>
  <c r="E31" i="56" s="1"/>
  <c r="H31" i="56" s="1"/>
  <c r="K31" i="56" s="1"/>
  <c r="K4" i="85"/>
  <c r="J35" i="78"/>
  <c r="G8" i="56" s="1"/>
  <c r="G35" i="83"/>
  <c r="E41" i="56" s="1"/>
  <c r="H41" i="56" s="1"/>
  <c r="K41" i="56" s="1"/>
  <c r="K4" i="83"/>
  <c r="G35" i="82"/>
  <c r="E4" i="56" s="1"/>
  <c r="H4" i="56" s="1"/>
  <c r="K4" i="56" s="1"/>
  <c r="K4" i="82"/>
  <c r="F52" i="56"/>
  <c r="G39" i="81"/>
  <c r="E51" i="56" s="1"/>
  <c r="H51" i="56" s="1"/>
  <c r="K51" i="56" s="1"/>
  <c r="M51" i="56" s="1"/>
  <c r="K4" i="81"/>
  <c r="G37" i="80"/>
  <c r="E25" i="56" s="1"/>
  <c r="H25" i="56" s="1"/>
  <c r="K25" i="56" s="1"/>
  <c r="M25" i="56" s="1"/>
  <c r="K4" i="80"/>
  <c r="G35" i="79"/>
  <c r="E36" i="56" s="1"/>
  <c r="H36" i="56" s="1"/>
  <c r="K36" i="56" s="1"/>
  <c r="K4" i="79"/>
  <c r="K32" i="74"/>
  <c r="L32" i="74" s="1"/>
  <c r="K31" i="74"/>
  <c r="L31" i="74" s="1"/>
  <c r="K30" i="74"/>
  <c r="L30" i="74" s="1"/>
  <c r="K33" i="63"/>
  <c r="L33" i="63" s="1"/>
  <c r="L32" i="63"/>
  <c r="M31" i="63"/>
  <c r="M32" i="63" s="1"/>
  <c r="M33" i="63" s="1"/>
  <c r="M34" i="63" s="1"/>
  <c r="K26" i="78"/>
  <c r="G35" i="78"/>
  <c r="E8" i="56" s="1"/>
  <c r="K6" i="14"/>
  <c r="J37" i="76"/>
  <c r="G38" i="56" s="1"/>
  <c r="K4" i="76"/>
  <c r="G37" i="76"/>
  <c r="E38" i="56" s="1"/>
  <c r="H38" i="56" s="1"/>
  <c r="K38" i="56" s="1"/>
  <c r="K5" i="76"/>
  <c r="J38" i="75"/>
  <c r="G35" i="56" s="1"/>
  <c r="K4" i="75"/>
  <c r="G38" i="75"/>
  <c r="E35" i="56" s="1"/>
  <c r="H35" i="56" s="1"/>
  <c r="K35" i="56" s="1"/>
  <c r="K5" i="75"/>
  <c r="K18" i="10"/>
  <c r="G35" i="74"/>
  <c r="E22" i="56" s="1"/>
  <c r="H22" i="56" s="1"/>
  <c r="K4" i="74"/>
  <c r="G35" i="73"/>
  <c r="E20" i="56" s="1"/>
  <c r="H20" i="56" s="1"/>
  <c r="K4" i="73"/>
  <c r="G35" i="72"/>
  <c r="E7" i="56" s="1"/>
  <c r="H7" i="56" s="1"/>
  <c r="K7" i="56" s="1"/>
  <c r="K4" i="72"/>
  <c r="H18" i="56"/>
  <c r="K18" i="56" s="1"/>
  <c r="M32" i="52"/>
  <c r="M33" i="52" s="1"/>
  <c r="K11" i="35"/>
  <c r="G36" i="71"/>
  <c r="E12" i="56" s="1"/>
  <c r="H12" i="56" s="1"/>
  <c r="K4" i="71"/>
  <c r="N4" i="45"/>
  <c r="N5" i="45" s="1"/>
  <c r="N6" i="45" s="1"/>
  <c r="N7" i="45" s="1"/>
  <c r="N8" i="45" s="1"/>
  <c r="N9" i="45" s="1"/>
  <c r="N10" i="45" s="1"/>
  <c r="N11" i="45" s="1"/>
  <c r="N12" i="45" s="1"/>
  <c r="N13" i="45" s="1"/>
  <c r="N14" i="45" s="1"/>
  <c r="N15" i="45" s="1"/>
  <c r="N16" i="45" s="1"/>
  <c r="N17" i="45" s="1"/>
  <c r="N18" i="45" s="1"/>
  <c r="N19" i="45" s="1"/>
  <c r="N20" i="45" s="1"/>
  <c r="N21" i="45" s="1"/>
  <c r="N22" i="45" s="1"/>
  <c r="N23" i="45" s="1"/>
  <c r="N24" i="45" s="1"/>
  <c r="N25" i="45" s="1"/>
  <c r="N26" i="45" s="1"/>
  <c r="N27" i="45" s="1"/>
  <c r="N28" i="45" s="1"/>
  <c r="N29" i="45" s="1"/>
  <c r="N30" i="45" s="1"/>
  <c r="N31" i="45" s="1"/>
  <c r="K4" i="69"/>
  <c r="D47" i="56"/>
  <c r="D52" i="56" s="1"/>
  <c r="G35" i="68"/>
  <c r="E19" i="56" s="1"/>
  <c r="K4" i="44"/>
  <c r="M4" i="44" s="1"/>
  <c r="M6" i="11"/>
  <c r="G38" i="65"/>
  <c r="E13" i="56" s="1"/>
  <c r="H13" i="56" s="1"/>
  <c r="K13" i="56" s="1"/>
  <c r="K38" i="65"/>
  <c r="J37" i="16"/>
  <c r="G16" i="56" s="1"/>
  <c r="L46" i="26"/>
  <c r="G35" i="63"/>
  <c r="E21" i="56" s="1"/>
  <c r="H21" i="56" s="1"/>
  <c r="K4" i="63"/>
  <c r="M7" i="11"/>
  <c r="M8" i="11" s="1"/>
  <c r="G37" i="62"/>
  <c r="E14" i="56" s="1"/>
  <c r="H14" i="56" s="1"/>
  <c r="K14" i="56" s="1"/>
  <c r="K4" i="62"/>
  <c r="G37" i="61"/>
  <c r="E24" i="56" s="1"/>
  <c r="H24" i="56" s="1"/>
  <c r="K24" i="56" s="1"/>
  <c r="K4" i="61"/>
  <c r="G35" i="60"/>
  <c r="E42" i="56" s="1"/>
  <c r="H42" i="56" s="1"/>
  <c r="K4" i="60"/>
  <c r="J43" i="51"/>
  <c r="G49" i="56" s="1"/>
  <c r="J16" i="56"/>
  <c r="K4" i="12"/>
  <c r="K35" i="12" s="1"/>
  <c r="J35" i="12"/>
  <c r="G39" i="56" s="1"/>
  <c r="H39" i="56"/>
  <c r="K39" i="56" s="1"/>
  <c r="G44" i="33"/>
  <c r="E46" i="56" s="1"/>
  <c r="H46" i="56" s="1"/>
  <c r="J35" i="9"/>
  <c r="G45" i="56" s="1"/>
  <c r="J46" i="26"/>
  <c r="G44" i="56" s="1"/>
  <c r="G55" i="22"/>
  <c r="E30" i="56" s="1"/>
  <c r="H30" i="56" s="1"/>
  <c r="K4" i="40"/>
  <c r="L4" i="40" s="1"/>
  <c r="G35" i="40"/>
  <c r="E28" i="56" s="1"/>
  <c r="H28" i="56" s="1"/>
  <c r="L35" i="40"/>
  <c r="J28" i="56" s="1"/>
  <c r="K35" i="40"/>
  <c r="J35" i="52"/>
  <c r="G15" i="56" s="1"/>
  <c r="K35" i="52"/>
  <c r="H15" i="56" s="1"/>
  <c r="K15" i="56" s="1"/>
  <c r="G35" i="52"/>
  <c r="J40" i="41"/>
  <c r="G40" i="56" s="1"/>
  <c r="G35" i="11"/>
  <c r="E27" i="56" s="1"/>
  <c r="G43" i="35"/>
  <c r="E48" i="56" s="1"/>
  <c r="G43" i="51"/>
  <c r="E49" i="56" s="1"/>
  <c r="H49" i="56" s="1"/>
  <c r="J44" i="56"/>
  <c r="G46" i="26"/>
  <c r="E44" i="56" s="1"/>
  <c r="J35" i="19"/>
  <c r="G50" i="56" s="1"/>
  <c r="H50" i="56" s="1"/>
  <c r="H44" i="56"/>
  <c r="J43" i="35"/>
  <c r="G48" i="56" s="1"/>
  <c r="H48" i="56" s="1"/>
  <c r="G35" i="9"/>
  <c r="E45" i="56" s="1"/>
  <c r="G40" i="41"/>
  <c r="E40" i="56" s="1"/>
  <c r="H40" i="56" s="1"/>
  <c r="G35" i="58"/>
  <c r="E11" i="56" s="1"/>
  <c r="H11" i="56" s="1"/>
  <c r="K4" i="58"/>
  <c r="G35" i="57"/>
  <c r="E43" i="56" s="1"/>
  <c r="H43" i="56" s="1"/>
  <c r="K4" i="57"/>
  <c r="L4" i="57" s="1"/>
  <c r="L35" i="57" s="1"/>
  <c r="J43" i="56" s="1"/>
  <c r="H27" i="56"/>
  <c r="K27" i="56" s="1"/>
  <c r="G35" i="7"/>
  <c r="E17" i="56" s="1"/>
  <c r="J35" i="47"/>
  <c r="G3" i="56" s="1"/>
  <c r="G26" i="56"/>
  <c r="J35" i="37"/>
  <c r="G37" i="56" s="1"/>
  <c r="J38" i="14"/>
  <c r="G34" i="56" s="1"/>
  <c r="G38" i="14"/>
  <c r="E34" i="56" s="1"/>
  <c r="H34" i="56" s="1"/>
  <c r="K34" i="56" s="1"/>
  <c r="G35" i="47"/>
  <c r="E3" i="56" s="1"/>
  <c r="K35" i="19"/>
  <c r="H19" i="56"/>
  <c r="J38" i="50"/>
  <c r="G2" i="56" s="1"/>
  <c r="G38" i="50"/>
  <c r="E2" i="56" s="1"/>
  <c r="G35" i="25"/>
  <c r="E29" i="56" s="1"/>
  <c r="J35" i="25"/>
  <c r="G29" i="56" s="1"/>
  <c r="H29" i="56" s="1"/>
  <c r="K35" i="11"/>
  <c r="E26" i="56"/>
  <c r="G35" i="24"/>
  <c r="E23" i="56" s="1"/>
  <c r="H23" i="56" s="1"/>
  <c r="G35" i="37"/>
  <c r="E37" i="56" s="1"/>
  <c r="H37" i="56" s="1"/>
  <c r="K4" i="41"/>
  <c r="K38" i="14"/>
  <c r="K4" i="22"/>
  <c r="P54" i="22" s="1"/>
  <c r="K4" i="51"/>
  <c r="K4" i="24"/>
  <c r="M4" i="24" s="1"/>
  <c r="K38" i="50"/>
  <c r="K4" i="47"/>
  <c r="K35" i="47" s="1"/>
  <c r="M4" i="47"/>
  <c r="O4" i="47" s="1"/>
  <c r="G37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25" i="47" s="1"/>
  <c r="M26" i="47" s="1"/>
  <c r="M27" i="47" s="1"/>
  <c r="M28" i="47" s="1"/>
  <c r="M29" i="47" s="1"/>
  <c r="M30" i="47" s="1"/>
  <c r="M31" i="47" s="1"/>
  <c r="M32" i="47" s="1"/>
  <c r="M33" i="47" s="1"/>
  <c r="M34" i="47" s="1"/>
  <c r="M4" i="12"/>
  <c r="M5" i="12" s="1"/>
  <c r="K4" i="37"/>
  <c r="K4" i="35"/>
  <c r="M4" i="35" s="1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K4" i="33"/>
  <c r="L4" i="19"/>
  <c r="L35" i="19" s="1"/>
  <c r="J50" i="56" s="1"/>
  <c r="K4" i="7"/>
  <c r="K35" i="7" s="1"/>
  <c r="M4" i="14"/>
  <c r="M5" i="14" s="1"/>
  <c r="M6" i="14" s="1"/>
  <c r="M7" i="14" s="1"/>
  <c r="M8" i="14" s="1"/>
  <c r="M9" i="14" s="1"/>
  <c r="M10" i="14" s="1"/>
  <c r="K4" i="9"/>
  <c r="K4" i="10"/>
  <c r="K35" i="10" s="1"/>
  <c r="K4" i="26"/>
  <c r="M4" i="26" s="1"/>
  <c r="M5" i="26" s="1"/>
  <c r="M11" i="14"/>
  <c r="M12" i="14" s="1"/>
  <c r="M13" i="14" s="1"/>
  <c r="M14" i="14" s="1"/>
  <c r="M15" i="14" s="1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K4" i="25"/>
  <c r="K4" i="3"/>
  <c r="P38" i="45" l="1"/>
  <c r="K55" i="92"/>
  <c r="M4" i="92"/>
  <c r="M5" i="92" s="1"/>
  <c r="M6" i="92" s="1"/>
  <c r="M7" i="92" s="1"/>
  <c r="M8" i="92" s="1"/>
  <c r="M9" i="92" s="1"/>
  <c r="M10" i="92" s="1"/>
  <c r="M11" i="92" s="1"/>
  <c r="M12" i="92" s="1"/>
  <c r="M13" i="92" s="1"/>
  <c r="M14" i="92" s="1"/>
  <c r="M15" i="92" s="1"/>
  <c r="M16" i="92" s="1"/>
  <c r="M17" i="92" s="1"/>
  <c r="M18" i="92" s="1"/>
  <c r="M19" i="92" s="1"/>
  <c r="M20" i="92" s="1"/>
  <c r="M21" i="92" s="1"/>
  <c r="M22" i="92" s="1"/>
  <c r="M23" i="92" s="1"/>
  <c r="M24" i="92" s="1"/>
  <c r="M25" i="92" s="1"/>
  <c r="M26" i="92" s="1"/>
  <c r="M27" i="92" s="1"/>
  <c r="M28" i="92" s="1"/>
  <c r="M29" i="92" s="1"/>
  <c r="M30" i="92" s="1"/>
  <c r="M32" i="92" s="1"/>
  <c r="M33" i="92" s="1"/>
  <c r="M34" i="92" s="1"/>
  <c r="M35" i="92" s="1"/>
  <c r="M36" i="92" s="1"/>
  <c r="M37" i="92" s="1"/>
  <c r="M38" i="92" s="1"/>
  <c r="M39" i="92" s="1"/>
  <c r="M40" i="92" s="1"/>
  <c r="M41" i="92" s="1"/>
  <c r="M42" i="92" s="1"/>
  <c r="M43" i="92" s="1"/>
  <c r="M44" i="92" s="1"/>
  <c r="M45" i="92" s="1"/>
  <c r="M46" i="92" s="1"/>
  <c r="M47" i="92" s="1"/>
  <c r="M48" i="92" s="1"/>
  <c r="M49" i="92" s="1"/>
  <c r="M50" i="92" s="1"/>
  <c r="M51" i="92" s="1"/>
  <c r="M52" i="92" s="1"/>
  <c r="M53" i="92" s="1"/>
  <c r="M54" i="92" s="1"/>
  <c r="K55" i="91"/>
  <c r="M4" i="91"/>
  <c r="M5" i="91" s="1"/>
  <c r="M6" i="91" s="1"/>
  <c r="M7" i="91" s="1"/>
  <c r="M8" i="91" s="1"/>
  <c r="M9" i="91" s="1"/>
  <c r="M10" i="91" s="1"/>
  <c r="M11" i="91" s="1"/>
  <c r="M12" i="91" s="1"/>
  <c r="M13" i="91" s="1"/>
  <c r="M14" i="91" s="1"/>
  <c r="M15" i="91" s="1"/>
  <c r="M16" i="91" s="1"/>
  <c r="M17" i="91" s="1"/>
  <c r="M18" i="91" s="1"/>
  <c r="M19" i="91" s="1"/>
  <c r="M20" i="91" s="1"/>
  <c r="M21" i="91" s="1"/>
  <c r="M22" i="91" s="1"/>
  <c r="M23" i="91" s="1"/>
  <c r="M24" i="91" s="1"/>
  <c r="M25" i="91" s="1"/>
  <c r="M26" i="91" s="1"/>
  <c r="M27" i="91" s="1"/>
  <c r="M28" i="91" s="1"/>
  <c r="M29" i="91" s="1"/>
  <c r="M30" i="91" s="1"/>
  <c r="M31" i="91" s="1"/>
  <c r="M32" i="91" s="1"/>
  <c r="M33" i="91" s="1"/>
  <c r="M34" i="91" s="1"/>
  <c r="M35" i="91" s="1"/>
  <c r="M36" i="91" s="1"/>
  <c r="M37" i="91" s="1"/>
  <c r="M38" i="91" s="1"/>
  <c r="M39" i="91" s="1"/>
  <c r="M40" i="91" s="1"/>
  <c r="M41" i="91" s="1"/>
  <c r="M42" i="91" s="1"/>
  <c r="M43" i="91" s="1"/>
  <c r="M44" i="91" s="1"/>
  <c r="M45" i="91" s="1"/>
  <c r="M46" i="91" s="1"/>
  <c r="M47" i="91" s="1"/>
  <c r="M48" i="91" s="1"/>
  <c r="M49" i="91" s="1"/>
  <c r="M50" i="91" s="1"/>
  <c r="M51" i="91" s="1"/>
  <c r="M52" i="91" s="1"/>
  <c r="M53" i="91" s="1"/>
  <c r="M54" i="91" s="1"/>
  <c r="H8" i="56"/>
  <c r="K8" i="56" s="1"/>
  <c r="K38" i="87"/>
  <c r="M4" i="87"/>
  <c r="M5" i="87" s="1"/>
  <c r="M6" i="87" s="1"/>
  <c r="M7" i="87" s="1"/>
  <c r="M8" i="87" s="1"/>
  <c r="M9" i="87" s="1"/>
  <c r="M11" i="87" s="1"/>
  <c r="M12" i="87" s="1"/>
  <c r="M13" i="87" s="1"/>
  <c r="M14" i="87" s="1"/>
  <c r="M15" i="87" s="1"/>
  <c r="M16" i="87" s="1"/>
  <c r="M17" i="87" s="1"/>
  <c r="M18" i="87" s="1"/>
  <c r="M19" i="87" s="1"/>
  <c r="M20" i="87" s="1"/>
  <c r="M21" i="87" s="1"/>
  <c r="M22" i="87" s="1"/>
  <c r="M23" i="87" s="1"/>
  <c r="M24" i="87" s="1"/>
  <c r="M25" i="87" s="1"/>
  <c r="M26" i="87" s="1"/>
  <c r="M27" i="87" s="1"/>
  <c r="M28" i="87" s="1"/>
  <c r="M29" i="87" s="1"/>
  <c r="M30" i="87" s="1"/>
  <c r="M31" i="87" s="1"/>
  <c r="M32" i="87" s="1"/>
  <c r="M33" i="87" s="1"/>
  <c r="M34" i="87" s="1"/>
  <c r="M35" i="87" s="1"/>
  <c r="K43" i="56"/>
  <c r="M9" i="1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K55" i="85"/>
  <c r="M4" i="85"/>
  <c r="M5" i="85" s="1"/>
  <c r="M6" i="85" s="1"/>
  <c r="M7" i="85" s="1"/>
  <c r="M8" i="85" s="1"/>
  <c r="M9" i="85" s="1"/>
  <c r="K35" i="83"/>
  <c r="M4" i="83"/>
  <c r="M5" i="83" s="1"/>
  <c r="M6" i="83" s="1"/>
  <c r="M7" i="83" s="1"/>
  <c r="M8" i="83" s="1"/>
  <c r="M9" i="83" s="1"/>
  <c r="M10" i="83" s="1"/>
  <c r="M11" i="83" s="1"/>
  <c r="M12" i="83" s="1"/>
  <c r="M13" i="83" s="1"/>
  <c r="M14" i="83" s="1"/>
  <c r="M15" i="83" s="1"/>
  <c r="M16" i="83" s="1"/>
  <c r="M17" i="83" s="1"/>
  <c r="M18" i="83" s="1"/>
  <c r="M19" i="83" s="1"/>
  <c r="M20" i="83" s="1"/>
  <c r="M21" i="83" s="1"/>
  <c r="M22" i="83" s="1"/>
  <c r="M23" i="83" s="1"/>
  <c r="M24" i="83" s="1"/>
  <c r="M25" i="83" s="1"/>
  <c r="M26" i="83" s="1"/>
  <c r="M27" i="83" s="1"/>
  <c r="M28" i="83" s="1"/>
  <c r="M29" i="83" s="1"/>
  <c r="M30" i="83" s="1"/>
  <c r="M31" i="83" s="1"/>
  <c r="M32" i="83" s="1"/>
  <c r="M33" i="83" s="1"/>
  <c r="M34" i="83" s="1"/>
  <c r="P34" i="83" s="1"/>
  <c r="K35" i="82"/>
  <c r="M4" i="82"/>
  <c r="G52" i="56"/>
  <c r="H2" i="56"/>
  <c r="K39" i="81"/>
  <c r="M4" i="81"/>
  <c r="M5" i="81" s="1"/>
  <c r="M6" i="81" s="1"/>
  <c r="M7" i="81" s="1"/>
  <c r="M8" i="81" s="1"/>
  <c r="M9" i="81" s="1"/>
  <c r="M10" i="81" s="1"/>
  <c r="M11" i="81" s="1"/>
  <c r="M12" i="81" s="1"/>
  <c r="M13" i="81" s="1"/>
  <c r="M14" i="81" s="1"/>
  <c r="M15" i="81" s="1"/>
  <c r="M16" i="81" s="1"/>
  <c r="M17" i="81" s="1"/>
  <c r="M18" i="81" s="1"/>
  <c r="M19" i="81" s="1"/>
  <c r="M20" i="81" s="1"/>
  <c r="M21" i="81" s="1"/>
  <c r="M22" i="81" s="1"/>
  <c r="M23" i="81" s="1"/>
  <c r="M24" i="81" s="1"/>
  <c r="M25" i="81" s="1"/>
  <c r="M5" i="44"/>
  <c r="M6" i="44" s="1"/>
  <c r="M7" i="44" s="1"/>
  <c r="M8" i="44" s="1"/>
  <c r="M9" i="44" s="1"/>
  <c r="M10" i="44" s="1"/>
  <c r="M11" i="44" s="1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M23" i="44" s="1"/>
  <c r="M24" i="44" s="1"/>
  <c r="M25" i="44" s="1"/>
  <c r="M26" i="44" s="1"/>
  <c r="K37" i="80"/>
  <c r="M4" i="80"/>
  <c r="M5" i="80" s="1"/>
  <c r="M6" i="80" s="1"/>
  <c r="M7" i="80" s="1"/>
  <c r="M8" i="80" s="1"/>
  <c r="M9" i="80" s="1"/>
  <c r="M10" i="80" s="1"/>
  <c r="M11" i="80" s="1"/>
  <c r="M12" i="80" s="1"/>
  <c r="M13" i="80" s="1"/>
  <c r="M14" i="80" s="1"/>
  <c r="K35" i="79"/>
  <c r="M4" i="79"/>
  <c r="M5" i="79" s="1"/>
  <c r="M6" i="79" s="1"/>
  <c r="M7" i="79" s="1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K35" i="78"/>
  <c r="M26" i="78"/>
  <c r="M27" i="78" s="1"/>
  <c r="M28" i="78" s="1"/>
  <c r="M29" i="78" s="1"/>
  <c r="M30" i="78" s="1"/>
  <c r="M31" i="78" s="1"/>
  <c r="M32" i="78" s="1"/>
  <c r="M33" i="78" s="1"/>
  <c r="M34" i="78" s="1"/>
  <c r="K37" i="76"/>
  <c r="M4" i="76"/>
  <c r="M5" i="76" s="1"/>
  <c r="M6" i="76" s="1"/>
  <c r="M7" i="76" s="1"/>
  <c r="M8" i="76" s="1"/>
  <c r="M9" i="76" s="1"/>
  <c r="M10" i="76" s="1"/>
  <c r="M11" i="76" s="1"/>
  <c r="M12" i="76" s="1"/>
  <c r="M13" i="76" s="1"/>
  <c r="M14" i="76" s="1"/>
  <c r="M15" i="76" s="1"/>
  <c r="M16" i="76" s="1"/>
  <c r="M17" i="76" s="1"/>
  <c r="M18" i="76" s="1"/>
  <c r="M19" i="76" s="1"/>
  <c r="M20" i="76" s="1"/>
  <c r="M21" i="76" s="1"/>
  <c r="M22" i="76" s="1"/>
  <c r="M23" i="76" s="1"/>
  <c r="M24" i="76" s="1"/>
  <c r="M25" i="76" s="1"/>
  <c r="M26" i="76" s="1"/>
  <c r="M27" i="76" s="1"/>
  <c r="M28" i="76" s="1"/>
  <c r="M29" i="76" s="1"/>
  <c r="M30" i="76" s="1"/>
  <c r="M31" i="76" s="1"/>
  <c r="M32" i="76" s="1"/>
  <c r="M33" i="76" s="1"/>
  <c r="M34" i="76" s="1"/>
  <c r="M35" i="76" s="1"/>
  <c r="M36" i="76" s="1"/>
  <c r="K38" i="75"/>
  <c r="M4" i="75"/>
  <c r="M5" i="75" s="1"/>
  <c r="M6" i="75" s="1"/>
  <c r="M7" i="75" s="1"/>
  <c r="M8" i="75" s="1"/>
  <c r="M9" i="75" s="1"/>
  <c r="M10" i="75" s="1"/>
  <c r="M11" i="75" s="1"/>
  <c r="M12" i="75" s="1"/>
  <c r="M13" i="75" s="1"/>
  <c r="M14" i="75" s="1"/>
  <c r="M15" i="75" s="1"/>
  <c r="M16" i="75" s="1"/>
  <c r="M17" i="75" s="1"/>
  <c r="M18" i="75" s="1"/>
  <c r="M19" i="75" s="1"/>
  <c r="M20" i="75" s="1"/>
  <c r="M21" i="75" s="1"/>
  <c r="M22" i="75" s="1"/>
  <c r="M23" i="75" s="1"/>
  <c r="M24" i="75" s="1"/>
  <c r="M25" i="75" s="1"/>
  <c r="M26" i="75" s="1"/>
  <c r="M27" i="75" s="1"/>
  <c r="M28" i="75" s="1"/>
  <c r="M29" i="75" s="1"/>
  <c r="M30" i="75" s="1"/>
  <c r="M31" i="75" s="1"/>
  <c r="M32" i="75" s="1"/>
  <c r="M33" i="75" s="1"/>
  <c r="M34" i="75" s="1"/>
  <c r="M35" i="75" s="1"/>
  <c r="M36" i="75" s="1"/>
  <c r="M37" i="75" s="1"/>
  <c r="K35" i="74"/>
  <c r="L4" i="74"/>
  <c r="L35" i="74" s="1"/>
  <c r="J22" i="56" s="1"/>
  <c r="K22" i="56" s="1"/>
  <c r="M4" i="74"/>
  <c r="M5" i="74" s="1"/>
  <c r="M6" i="74" s="1"/>
  <c r="M7" i="74" s="1"/>
  <c r="M8" i="74" s="1"/>
  <c r="M9" i="74" s="1"/>
  <c r="M10" i="74" s="1"/>
  <c r="M11" i="74" s="1"/>
  <c r="M12" i="74" s="1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K35" i="73"/>
  <c r="L4" i="73"/>
  <c r="L35" i="73" s="1"/>
  <c r="J20" i="56" s="1"/>
  <c r="M4" i="73"/>
  <c r="M5" i="73" s="1"/>
  <c r="M6" i="73" s="1"/>
  <c r="M7" i="73" s="1"/>
  <c r="M8" i="73" s="1"/>
  <c r="M9" i="73" s="1"/>
  <c r="M10" i="73" s="1"/>
  <c r="M11" i="73" s="1"/>
  <c r="M12" i="73" s="1"/>
  <c r="M13" i="73" s="1"/>
  <c r="M14" i="73" s="1"/>
  <c r="M15" i="73" s="1"/>
  <c r="M16" i="73" s="1"/>
  <c r="M17" i="73" s="1"/>
  <c r="M18" i="73" s="1"/>
  <c r="M19" i="73" s="1"/>
  <c r="M20" i="73" s="1"/>
  <c r="M21" i="73" s="1"/>
  <c r="M22" i="73" s="1"/>
  <c r="M23" i="73" s="1"/>
  <c r="M24" i="73" s="1"/>
  <c r="M25" i="73" s="1"/>
  <c r="M26" i="73" s="1"/>
  <c r="M27" i="73" s="1"/>
  <c r="K35" i="72"/>
  <c r="M4" i="72"/>
  <c r="M5" i="72" s="1"/>
  <c r="M6" i="72" s="1"/>
  <c r="M7" i="72" s="1"/>
  <c r="M8" i="72" s="1"/>
  <c r="M9" i="72" s="1"/>
  <c r="M10" i="72" s="1"/>
  <c r="M11" i="72" s="1"/>
  <c r="M12" i="72" s="1"/>
  <c r="M13" i="72" s="1"/>
  <c r="M14" i="72" s="1"/>
  <c r="M15" i="72" s="1"/>
  <c r="M16" i="72" s="1"/>
  <c r="M17" i="72" s="1"/>
  <c r="M18" i="72" s="1"/>
  <c r="M19" i="72" s="1"/>
  <c r="M20" i="72" s="1"/>
  <c r="M21" i="72" s="1"/>
  <c r="M22" i="72" s="1"/>
  <c r="M23" i="72" s="1"/>
  <c r="M24" i="72" s="1"/>
  <c r="M25" i="72" s="1"/>
  <c r="M26" i="72" s="1"/>
  <c r="M27" i="72" s="1"/>
  <c r="M28" i="72" s="1"/>
  <c r="M29" i="72" s="1"/>
  <c r="M30" i="72" s="1"/>
  <c r="M31" i="72" s="1"/>
  <c r="M32" i="72" s="1"/>
  <c r="M33" i="72" s="1"/>
  <c r="M34" i="72" s="1"/>
  <c r="M5" i="24"/>
  <c r="M6" i="24" s="1"/>
  <c r="M7" i="24" s="1"/>
  <c r="M8" i="24" s="1"/>
  <c r="M9" i="24" s="1"/>
  <c r="M10" i="24" s="1"/>
  <c r="M11" i="24" s="1"/>
  <c r="M12" i="24" s="1"/>
  <c r="K35" i="24"/>
  <c r="H3" i="56"/>
  <c r="K3" i="56" s="1"/>
  <c r="K36" i="71"/>
  <c r="L4" i="71"/>
  <c r="L36" i="71" s="1"/>
  <c r="J12" i="56" s="1"/>
  <c r="K12" i="56" s="1"/>
  <c r="G49" i="69"/>
  <c r="E47" i="56" s="1"/>
  <c r="K49" i="69"/>
  <c r="H47" i="56" s="1"/>
  <c r="M4" i="69"/>
  <c r="M5" i="69" s="1"/>
  <c r="M6" i="69" s="1"/>
  <c r="M7" i="69" s="1"/>
  <c r="M8" i="69" s="1"/>
  <c r="M9" i="69" s="1"/>
  <c r="K35" i="68"/>
  <c r="L35" i="68"/>
  <c r="J19" i="56" s="1"/>
  <c r="M4" i="68"/>
  <c r="M5" i="68" s="1"/>
  <c r="M6" i="68" s="1"/>
  <c r="M7" i="68" s="1"/>
  <c r="M8" i="68" s="1"/>
  <c r="M9" i="68" s="1"/>
  <c r="M11" i="68" s="1"/>
  <c r="M12" i="68" s="1"/>
  <c r="M13" i="68" s="1"/>
  <c r="M14" i="68" s="1"/>
  <c r="M15" i="68" s="1"/>
  <c r="M16" i="68" s="1"/>
  <c r="M17" i="68" s="1"/>
  <c r="M18" i="68" s="1"/>
  <c r="M19" i="68" s="1"/>
  <c r="M20" i="68" s="1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K35" i="25"/>
  <c r="H45" i="56"/>
  <c r="K45" i="56" s="1"/>
  <c r="H17" i="56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K35" i="3"/>
  <c r="M20" i="1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4" i="65"/>
  <c r="M5" i="65" s="1"/>
  <c r="M6" i="65" s="1"/>
  <c r="E16" i="56"/>
  <c r="H16" i="56" s="1"/>
  <c r="K16" i="56" s="1"/>
  <c r="K35" i="63"/>
  <c r="L35" i="63"/>
  <c r="J21" i="56" s="1"/>
  <c r="M4" i="63"/>
  <c r="M5" i="63" s="1"/>
  <c r="M6" i="63" s="1"/>
  <c r="M7" i="63" s="1"/>
  <c r="M8" i="63" s="1"/>
  <c r="M9" i="63" s="1"/>
  <c r="M10" i="63" s="1"/>
  <c r="M11" i="63" s="1"/>
  <c r="M12" i="63" s="1"/>
  <c r="M13" i="63" s="1"/>
  <c r="M14" i="63" s="1"/>
  <c r="K37" i="62"/>
  <c r="M4" i="62"/>
  <c r="M5" i="62" s="1"/>
  <c r="M6" i="62" s="1"/>
  <c r="M7" i="62" s="1"/>
  <c r="M8" i="62" s="1"/>
  <c r="M9" i="62" s="1"/>
  <c r="M10" i="62" s="1"/>
  <c r="M11" i="62" s="1"/>
  <c r="M12" i="62" s="1"/>
  <c r="M13" i="62" s="1"/>
  <c r="M14" i="62" s="1"/>
  <c r="M15" i="62" s="1"/>
  <c r="M16" i="62" s="1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M36" i="62" s="1"/>
  <c r="L43" i="51"/>
  <c r="M4" i="51"/>
  <c r="M5" i="51" s="1"/>
  <c r="M6" i="51" s="1"/>
  <c r="K44" i="56"/>
  <c r="K37" i="61"/>
  <c r="M5" i="61"/>
  <c r="M6" i="61" s="1"/>
  <c r="M7" i="61" s="1"/>
  <c r="M8" i="61" s="1"/>
  <c r="M9" i="61" s="1"/>
  <c r="M10" i="61" s="1"/>
  <c r="M11" i="61" s="1"/>
  <c r="M12" i="61" s="1"/>
  <c r="M13" i="61" s="1"/>
  <c r="K40" i="56"/>
  <c r="K35" i="60"/>
  <c r="K46" i="26"/>
  <c r="M4" i="10"/>
  <c r="K44" i="33"/>
  <c r="K35" i="9"/>
  <c r="M4" i="9"/>
  <c r="M16" i="14"/>
  <c r="M17" i="14" s="1"/>
  <c r="M18" i="14" s="1"/>
  <c r="M19" i="14" s="1"/>
  <c r="M20" i="14" s="1"/>
  <c r="M21" i="14" s="1"/>
  <c r="M22" i="14" s="1"/>
  <c r="E15" i="56"/>
  <c r="E52" i="56" s="1"/>
  <c r="M16" i="12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K35" i="37"/>
  <c r="K28" i="56"/>
  <c r="H26" i="56"/>
  <c r="K26" i="56" s="1"/>
  <c r="M4" i="41"/>
  <c r="M5" i="41" s="1"/>
  <c r="M6" i="41" s="1"/>
  <c r="M7" i="41" s="1"/>
  <c r="M8" i="41" s="1"/>
  <c r="M9" i="41" s="1"/>
  <c r="M10" i="41" s="1"/>
  <c r="M11" i="41" s="1"/>
  <c r="M12" i="41" s="1"/>
  <c r="K40" i="41"/>
  <c r="M4" i="16"/>
  <c r="K37" i="16"/>
  <c r="K50" i="56"/>
  <c r="K35" i="58"/>
  <c r="L4" i="58"/>
  <c r="L35" i="58" s="1"/>
  <c r="J11" i="56" s="1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55" i="22"/>
  <c r="K2" i="56"/>
  <c r="M6" i="26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" i="50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K43" i="35"/>
  <c r="L43" i="35"/>
  <c r="J48" i="56" s="1"/>
  <c r="K48" i="56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K19" i="56"/>
  <c r="M29" i="16" l="1"/>
  <c r="M30" i="16" s="1"/>
  <c r="M31" i="16" s="1"/>
  <c r="M32" i="16" s="1"/>
  <c r="M33" i="16" s="1"/>
  <c r="M34" i="16" s="1"/>
  <c r="M35" i="16" s="1"/>
  <c r="M36" i="16" s="1"/>
  <c r="M7" i="65"/>
  <c r="M8" i="65" s="1"/>
  <c r="M9" i="65" s="1"/>
  <c r="M10" i="65" s="1"/>
  <c r="M11" i="65" s="1"/>
  <c r="M12" i="65" s="1"/>
  <c r="M13" i="65" s="1"/>
  <c r="M14" i="65" s="1"/>
  <c r="M15" i="65" s="1"/>
  <c r="M16" i="65" s="1"/>
  <c r="M15" i="80"/>
  <c r="M16" i="80" s="1"/>
  <c r="M17" i="80" s="1"/>
  <c r="M18" i="80" s="1"/>
  <c r="M19" i="80" s="1"/>
  <c r="M20" i="80" s="1"/>
  <c r="M21" i="80" s="1"/>
  <c r="M22" i="80" s="1"/>
  <c r="M23" i="80" s="1"/>
  <c r="M24" i="80" s="1"/>
  <c r="M25" i="80" s="1"/>
  <c r="M26" i="80" s="1"/>
  <c r="M27" i="80" s="1"/>
  <c r="M28" i="80" s="1"/>
  <c r="M29" i="80" s="1"/>
  <c r="M30" i="80" s="1"/>
  <c r="M31" i="80" s="1"/>
  <c r="M32" i="80" s="1"/>
  <c r="M33" i="80" s="1"/>
  <c r="M34" i="80" s="1"/>
  <c r="M35" i="80" s="1"/>
  <c r="M36" i="80" s="1"/>
  <c r="M10" i="85"/>
  <c r="M11" i="85" s="1"/>
  <c r="M12" i="85" s="1"/>
  <c r="M13" i="85" s="1"/>
  <c r="M14" i="85" s="1"/>
  <c r="M15" i="85" s="1"/>
  <c r="M16" i="85" s="1"/>
  <c r="M17" i="85" s="1"/>
  <c r="M18" i="85" s="1"/>
  <c r="M19" i="85" s="1"/>
  <c r="M20" i="85" s="1"/>
  <c r="M21" i="85" s="1"/>
  <c r="M22" i="85" s="1"/>
  <c r="M23" i="85" s="1"/>
  <c r="M24" i="85" s="1"/>
  <c r="M25" i="85" s="1"/>
  <c r="M26" i="85" s="1"/>
  <c r="M27" i="85" s="1"/>
  <c r="M28" i="85" s="1"/>
  <c r="M29" i="85" s="1"/>
  <c r="M30" i="85" s="1"/>
  <c r="M31" i="85" s="1"/>
  <c r="M32" i="85" s="1"/>
  <c r="M33" i="85" s="1"/>
  <c r="M34" i="85" s="1"/>
  <c r="M35" i="85" s="1"/>
  <c r="M36" i="85" s="1"/>
  <c r="M37" i="85" s="1"/>
  <c r="M38" i="85" s="1"/>
  <c r="M39" i="85" s="1"/>
  <c r="M40" i="85" s="1"/>
  <c r="M41" i="85" s="1"/>
  <c r="M42" i="85" s="1"/>
  <c r="M43" i="85" s="1"/>
  <c r="M44" i="85" s="1"/>
  <c r="M45" i="85" s="1"/>
  <c r="M46" i="85" s="1"/>
  <c r="M47" i="85" s="1"/>
  <c r="M48" i="85" s="1"/>
  <c r="M49" i="85" s="1"/>
  <c r="M50" i="85" s="1"/>
  <c r="M51" i="85" s="1"/>
  <c r="M52" i="85" s="1"/>
  <c r="M53" i="85" s="1"/>
  <c r="M54" i="85" s="1"/>
  <c r="P54" i="85" s="1"/>
  <c r="M26" i="81"/>
  <c r="M27" i="81" s="1"/>
  <c r="M27" i="44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M43" i="44" s="1"/>
  <c r="J49" i="56"/>
  <c r="K49" i="56" s="1"/>
  <c r="M5" i="82"/>
  <c r="M6" i="82" s="1"/>
  <c r="M7" i="82" s="1"/>
  <c r="M8" i="82" s="1"/>
  <c r="M9" i="82" s="1"/>
  <c r="M10" i="82" s="1"/>
  <c r="M11" i="82" s="1"/>
  <c r="M12" i="82" s="1"/>
  <c r="M13" i="82" s="1"/>
  <c r="M14" i="82" s="1"/>
  <c r="M15" i="82" s="1"/>
  <c r="H52" i="56"/>
  <c r="Q15" i="81"/>
  <c r="K20" i="56"/>
  <c r="K21" i="56"/>
  <c r="M13" i="4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35" i="41" s="1"/>
  <c r="M36" i="41" s="1"/>
  <c r="M37" i="41" s="1"/>
  <c r="M38" i="41" s="1"/>
  <c r="M39" i="41" s="1"/>
  <c r="M7" i="51"/>
  <c r="M8" i="51" s="1"/>
  <c r="M9" i="51" s="1"/>
  <c r="M10" i="51" s="1"/>
  <c r="M11" i="51" s="1"/>
  <c r="M12" i="51" s="1"/>
  <c r="M13" i="51" s="1"/>
  <c r="M14" i="51" s="1"/>
  <c r="M10" i="69"/>
  <c r="M11" i="69" s="1"/>
  <c r="M12" i="69" s="1"/>
  <c r="M13" i="69" s="1"/>
  <c r="M14" i="69" s="1"/>
  <c r="C61" i="56" a="1"/>
  <c r="C61" i="56" s="1"/>
  <c r="M23" i="14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M36" i="14" s="1"/>
  <c r="M37" i="14" s="1"/>
  <c r="M5" i="10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3" i="24"/>
  <c r="M18" i="65"/>
  <c r="M19" i="65" s="1"/>
  <c r="M20" i="65" s="1"/>
  <c r="M21" i="65" s="1"/>
  <c r="M22" i="65" s="1"/>
  <c r="M23" i="65" s="1"/>
  <c r="M24" i="65" s="1"/>
  <c r="M25" i="65" s="1"/>
  <c r="M26" i="65" s="1"/>
  <c r="M27" i="65" s="1"/>
  <c r="M28" i="65" s="1"/>
  <c r="M29" i="65" s="1"/>
  <c r="M30" i="65" s="1"/>
  <c r="M31" i="65" s="1"/>
  <c r="M32" i="65" s="1"/>
  <c r="M33" i="65" s="1"/>
  <c r="M34" i="65" s="1"/>
  <c r="M35" i="65" s="1"/>
  <c r="M36" i="65" s="1"/>
  <c r="M37" i="65" s="1"/>
  <c r="M17" i="65"/>
  <c r="M15" i="3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18" i="10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L35" i="25"/>
  <c r="J29" i="56" s="1"/>
  <c r="M4" i="25"/>
  <c r="M5" i="25" s="1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K17" i="56"/>
  <c r="M14" i="61"/>
  <c r="M15" i="61" s="1"/>
  <c r="M16" i="61"/>
  <c r="M17" i="61" s="1"/>
  <c r="M18" i="61" s="1"/>
  <c r="M19" i="61" s="1"/>
  <c r="M20" i="61" s="1"/>
  <c r="M21" i="61" s="1"/>
  <c r="M22" i="61" s="1"/>
  <c r="M23" i="61" s="1"/>
  <c r="M24" i="61" s="1"/>
  <c r="M25" i="61" s="1"/>
  <c r="M26" i="61" s="1"/>
  <c r="M27" i="61" s="1"/>
  <c r="M28" i="61" s="1"/>
  <c r="M29" i="61" s="1"/>
  <c r="M30" i="61" s="1"/>
  <c r="M31" i="61" s="1"/>
  <c r="M32" i="61" s="1"/>
  <c r="L35" i="37"/>
  <c r="J37" i="56" s="1"/>
  <c r="K37" i="56" s="1"/>
  <c r="M4" i="37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L35" i="60"/>
  <c r="J42" i="56" s="1"/>
  <c r="K42" i="56" s="1"/>
  <c r="M4" i="60"/>
  <c r="L44" i="33"/>
  <c r="J46" i="56" s="1"/>
  <c r="M4" i="33"/>
  <c r="K11" i="56"/>
  <c r="L55" i="22"/>
  <c r="J30" i="56" s="1"/>
  <c r="M5" i="50"/>
  <c r="M6" i="50" s="1"/>
  <c r="M7" i="50" s="1"/>
  <c r="M8" i="50" s="1"/>
  <c r="M9" i="50" s="1"/>
  <c r="M10" i="50" s="1"/>
  <c r="M11" i="50" s="1"/>
  <c r="M12" i="50" s="1"/>
  <c r="M13" i="50" s="1"/>
  <c r="M13" i="9"/>
  <c r="M14" i="9" s="1"/>
  <c r="L47" i="35"/>
  <c r="M15" i="69" l="1"/>
  <c r="M16" i="69" s="1"/>
  <c r="M17" i="69" s="1"/>
  <c r="M18" i="69" s="1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2" i="69" s="1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M47" i="69" s="1"/>
  <c r="M48" i="69" s="1"/>
  <c r="K47" i="56" s="1"/>
  <c r="M28" i="81"/>
  <c r="M29" i="81" s="1"/>
  <c r="M30" i="81" s="1"/>
  <c r="M31" i="81" s="1"/>
  <c r="M32" i="81" s="1"/>
  <c r="M33" i="81" s="1"/>
  <c r="M34" i="81" s="1"/>
  <c r="M35" i="81" s="1"/>
  <c r="M36" i="81" s="1"/>
  <c r="M37" i="81" s="1"/>
  <c r="M38" i="81" s="1"/>
  <c r="M15" i="51"/>
  <c r="M16" i="51" s="1"/>
  <c r="M17" i="51" s="1"/>
  <c r="M18" i="51" s="1"/>
  <c r="M19" i="51" s="1"/>
  <c r="M20" i="51" s="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5" i="60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M44" i="44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O44" i="44"/>
  <c r="M15" i="9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16" i="82"/>
  <c r="M17" i="82" s="1"/>
  <c r="M18" i="82" s="1"/>
  <c r="M19" i="82" s="1"/>
  <c r="M20" i="82" s="1"/>
  <c r="M21" i="82" s="1"/>
  <c r="M22" i="82" s="1"/>
  <c r="M23" i="82" s="1"/>
  <c r="M24" i="82" s="1"/>
  <c r="M25" i="82" s="1"/>
  <c r="M26" i="82" s="1"/>
  <c r="M27" i="82" s="1"/>
  <c r="M28" i="82" s="1"/>
  <c r="M29" i="82" s="1"/>
  <c r="M30" i="82" s="1"/>
  <c r="M31" i="82" s="1"/>
  <c r="M32" i="82" s="1"/>
  <c r="M33" i="82" s="1"/>
  <c r="M34" i="82" s="1"/>
  <c r="K29" i="56"/>
  <c r="P37" i="81"/>
  <c r="Q37" i="14"/>
  <c r="K46" i="56"/>
  <c r="B58" i="56" a="1"/>
  <c r="B58" i="56" s="1"/>
  <c r="M32" i="51"/>
  <c r="M33" i="51" s="1"/>
  <c r="M34" i="51" s="1"/>
  <c r="M35" i="51" s="1"/>
  <c r="M36" i="51" s="1"/>
  <c r="M37" i="51" s="1"/>
  <c r="M38" i="51" s="1"/>
  <c r="M14" i="24"/>
  <c r="M17" i="37"/>
  <c r="M18" i="37" s="1"/>
  <c r="M19" i="37" s="1"/>
  <c r="M20" i="37" s="1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M32" i="37" s="1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14" i="50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28" i="9"/>
  <c r="M29" i="9" s="1"/>
  <c r="M30" i="9" s="1"/>
  <c r="M31" i="9" s="1"/>
  <c r="M32" i="9" s="1"/>
  <c r="M33" i="9" s="1"/>
  <c r="M34" i="9" s="1"/>
  <c r="M33" i="61"/>
  <c r="M34" i="61" s="1"/>
  <c r="M35" i="61" s="1"/>
  <c r="M36" i="61" s="1"/>
  <c r="M31" i="50"/>
  <c r="M32" i="50" s="1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K30" i="56"/>
  <c r="I52" i="56" l="1"/>
  <c r="K52" i="56" s="1"/>
  <c r="O65" i="44"/>
  <c r="M66" i="44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M83" i="44" s="1"/>
  <c r="M84" i="44" s="1"/>
  <c r="M85" i="44" s="1"/>
  <c r="M86" i="44" s="1"/>
  <c r="M33" i="37"/>
  <c r="M34" i="37" s="1"/>
  <c r="M15" i="24"/>
  <c r="M16" i="24" s="1"/>
  <c r="M17" i="24" s="1"/>
  <c r="M52" i="56"/>
  <c r="M33" i="50"/>
  <c r="M34" i="50" s="1"/>
  <c r="M35" i="50" s="1"/>
  <c r="M19" i="35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87" i="44" l="1"/>
  <c r="M88" i="44" s="1"/>
  <c r="M89" i="44" s="1"/>
  <c r="M90" i="44" s="1"/>
  <c r="M18" i="24"/>
  <c r="M19" i="24" l="1"/>
  <c r="M20" i="24" l="1"/>
  <c r="M21" i="24" l="1"/>
  <c r="M22" i="24" l="1"/>
  <c r="M23" i="24" l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M34" i="24" s="1"/>
  <c r="M35" i="24"/>
  <c r="K23" i="5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  <author>tc={B68CA3D8-A5D3-4B1C-A2C1-48D51CD71136}</author>
    <author>tc={F24533A0-9DA3-401B-B748-BF6A3E41DC6B}</author>
    <author>tc={92D15538-18D9-4425-BFA7-1CCE6425034F}</author>
    <author>tc={E0BCBD63-6A06-404E-B242-1A9E223A7834}</author>
  </authors>
  <commentList>
    <comment ref="E8" authorId="0" shapeId="0" xr:uid="{E871C0B4-0D86-4675-94B6-46F62D990475}">
      <text>
        <r>
          <rPr>
            <sz val="11"/>
            <color theme="1"/>
            <rFont val="Calibri"/>
            <family val="2"/>
            <scheme val="minor"/>
          </rPr>
          <t xml:space="preserve">MIS:
New Innova  Ho to Jalgaon
instruction BY
Venkatesh Sir
03.03.2026
 </t>
        </r>
      </text>
    </comment>
    <comment ref="E34" authorId="1" shapeId="0" xr:uid="{B68CA3D8-A5D3-4B1C-A2C1-48D51CD711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Sangareddy Site Visited by MIS Team
</t>
      </text>
    </comment>
    <comment ref="L45" authorId="2" shapeId="0" xr:uid="{F24533A0-9DA3-401B-B748-BF6A3E41DC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Redeem Cash
</t>
      </text>
    </comment>
    <comment ref="E49" authorId="3" shapeId="0" xr:uid="{92D15538-18D9-4425-BFA7-1CCE642503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YG Gudato Ho
HO To YG Guddq
Boloro 1405
</t>
      </text>
    </comment>
    <comment ref="L73" authorId="4" shapeId="0" xr:uid="{E0BCBD63-6A06-404E-B242-1A9E223A78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Redeem Cash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tc={ACD19876-CFAE-485B-8AD5-2DBAE375E1CD}</author>
  </authors>
  <commentList>
    <comment ref="M16" authorId="0" shapeId="0" xr:uid="{ACD19876-CFAE-485B-8AD5-2DBAE375E1CD}">
      <text>
        <t>[Threaded comment]
Your version of Excel allows you to read this threaded comment; however, any edits to it will get removed if the file is opened in a newer version of Excel. Learn more: https://go.microsoft.com/fwlink/?linkid=870924
Comment:
    Redeem Cash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<sst xmlns="http://schemas.openxmlformats.org/spreadsheetml/2006/main" count="1669" uniqueCount="342">
  <si>
    <t>S.No</t>
  </si>
  <si>
    <t>NAme</t>
  </si>
  <si>
    <t>Lacation</t>
  </si>
  <si>
    <t>Card Number</t>
  </si>
  <si>
    <t>Category</t>
  </si>
  <si>
    <t>1st Jan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</si>
  <si>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</si>
  <si>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</si>
  <si>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</si>
  <si>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</si>
  <si>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</si>
  <si>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</si>
  <si>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</si>
  <si>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</si>
  <si>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</si>
  <si>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11th Jan</t>
  </si>
  <si>
    <t>12th Jan</t>
  </si>
  <si>
    <t>13th Jan</t>
  </si>
  <si>
    <t>14th Jan</t>
  </si>
  <si>
    <t>15th Jan</t>
  </si>
  <si>
    <t>16th Jan</t>
  </si>
  <si>
    <t>17th Jan</t>
  </si>
  <si>
    <t>18th Jan</t>
  </si>
  <si>
    <t>19th Jan</t>
  </si>
  <si>
    <t>20th Jan</t>
  </si>
  <si>
    <t>21st Jan</t>
  </si>
  <si>
    <t>22nd Jan</t>
  </si>
  <si>
    <t>23rd Jan</t>
  </si>
  <si>
    <t>24th Jan</t>
  </si>
  <si>
    <t>25th Jan</t>
  </si>
  <si>
    <t>26th Jan</t>
  </si>
  <si>
    <t>27th Jan</t>
  </si>
  <si>
    <t>28th Jan</t>
  </si>
  <si>
    <t>29th Jan</t>
  </si>
  <si>
    <t>30th Jan</t>
  </si>
  <si>
    <t>31st Jan</t>
  </si>
  <si>
    <t>Total</t>
  </si>
  <si>
    <t>Diesel</t>
  </si>
  <si>
    <t>Rambabu</t>
  </si>
  <si>
    <t>HO(Two Wheeler)</t>
  </si>
  <si>
    <t>FC3450563999</t>
  </si>
  <si>
    <t>Petrol</t>
  </si>
  <si>
    <t>Hanumanth Rao</t>
  </si>
  <si>
    <t>HO</t>
  </si>
  <si>
    <t>FC3450676131</t>
  </si>
  <si>
    <t>Radhakrishna</t>
  </si>
  <si>
    <t>FC8000207658</t>
  </si>
  <si>
    <t>VIjay</t>
  </si>
  <si>
    <t>FC3450698859</t>
  </si>
  <si>
    <t>Client</t>
  </si>
  <si>
    <t>Hiriyur</t>
  </si>
  <si>
    <t>FC3450698864</t>
  </si>
  <si>
    <t>Hosadurga</t>
  </si>
  <si>
    <t>FC3450698865</t>
  </si>
  <si>
    <t>Diesel Price</t>
  </si>
  <si>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</si>
  <si>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</si>
  <si>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</si>
  <si>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</si>
  <si>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</si>
  <si>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</si>
  <si>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</si>
  <si>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</si>
  <si>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</si>
  <si>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</si>
  <si>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</si>
  <si>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</si>
  <si>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</si>
  <si>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</t>
  </si>
  <si>
    <t>Khammam-2</t>
  </si>
  <si>
    <t>Jayasai union bunk</t>
  </si>
  <si>
    <t>Khammam-3</t>
  </si>
  <si>
    <t>JSASFuel Genie India Pvt.Ltd</t>
  </si>
  <si>
    <t>Khammam-4</t>
  </si>
  <si>
    <t xml:space="preserve">Vajra Mahalakshmi filling station </t>
  </si>
  <si>
    <t>Khammam-5</t>
  </si>
  <si>
    <t>SR HP Filling Station ( Dhamsalapuram)</t>
  </si>
  <si>
    <t>Jadcherla-3</t>
  </si>
  <si>
    <t>Jadcherla-4</t>
  </si>
  <si>
    <t>Shree Poornima F/S</t>
  </si>
  <si>
    <t>Sangareddy-1</t>
  </si>
  <si>
    <t>Durga Indhan</t>
  </si>
  <si>
    <t>Sangareddy-2</t>
  </si>
  <si>
    <t>Durga Bhavani F/S</t>
  </si>
  <si>
    <t>Dindi</t>
  </si>
  <si>
    <t>Akarapu Balakistamma Fillling</t>
  </si>
  <si>
    <t>Madanapalli</t>
  </si>
  <si>
    <t>Kakinada</t>
  </si>
  <si>
    <t>YG Gudda-2</t>
  </si>
  <si>
    <t>Pankaja HP Fuel Center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</si>
  <si>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</si>
  <si>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</si>
  <si>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</si>
  <si>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</si>
  <si>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</si>
  <si>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</si>
  <si>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</si>
  <si>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</si>
  <si>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</si>
  <si>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Shivaganga Service Station</t>
  </si>
  <si>
    <t>Chellakere(KUWSDB)-09</t>
  </si>
  <si>
    <t>Molakalmuru</t>
  </si>
  <si>
    <t>Sri Lakshmi Venkateshwara Filling Station</t>
  </si>
  <si>
    <t>Chennagiri</t>
  </si>
  <si>
    <t>Khanapur(PKG-3)</t>
  </si>
  <si>
    <t>V.V.Varde</t>
  </si>
  <si>
    <t>Munavalli(PKG-3)-1</t>
  </si>
  <si>
    <t xml:space="preserve">Shri Daneshwari </t>
  </si>
  <si>
    <t>Munavalli(PKG-3)-2</t>
  </si>
  <si>
    <t>Shre Shiva Petroleum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</si>
  <si>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</si>
  <si>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</si>
  <si>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</si>
  <si>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</si>
  <si>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</si>
  <si>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</si>
  <si>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</si>
  <si>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 xml:space="preserve">V.M.MIRJANKAR (KUMTA) BHARAT </t>
  </si>
  <si>
    <t>Jalgaon</t>
  </si>
  <si>
    <t>Jai Bajarang Sarvo Center Bodwad</t>
  </si>
  <si>
    <t>Jalgaon-2</t>
  </si>
  <si>
    <t>Agrawal Petrol Pump</t>
  </si>
  <si>
    <t>Jalgaon-3</t>
  </si>
  <si>
    <t>T R KAPOOR AND CO</t>
  </si>
  <si>
    <t>Jalgaon-4</t>
  </si>
  <si>
    <t>RAKSHA AUTO FUELS BPCL OTP</t>
  </si>
  <si>
    <t>MKBD</t>
  </si>
  <si>
    <t>Shree Sai Samarth Petroleum</t>
  </si>
  <si>
    <t>Haveri</t>
  </si>
  <si>
    <t>M/s Magavi City Fuels</t>
  </si>
  <si>
    <t>Guttal-2</t>
  </si>
  <si>
    <t>Himagiri Petroleum</t>
  </si>
  <si>
    <t>Rattihali</t>
  </si>
  <si>
    <t xml:space="preserve"> Shree Siri Gowari petroliam</t>
  </si>
  <si>
    <t>Rattihali-2</t>
  </si>
  <si>
    <t>Shiva Oil Traders</t>
  </si>
  <si>
    <t>Gajendragada</t>
  </si>
  <si>
    <t>Vanasri Petrol Pump</t>
  </si>
  <si>
    <t>Gokak(PKG-3)</t>
  </si>
  <si>
    <t>AJ Petrolinks</t>
  </si>
  <si>
    <t>Hukkere</t>
  </si>
  <si>
    <t>TR Assocites</t>
  </si>
  <si>
    <t>Ankaligi</t>
  </si>
  <si>
    <t>Shivaganga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</si>
  <si>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</si>
  <si>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</si>
  <si>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</si>
  <si>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</si>
  <si>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</si>
  <si>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</si>
  <si>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</si>
  <si>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</si>
  <si>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</si>
  <si>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</si>
  <si>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</si>
  <si>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</si>
  <si>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</si>
  <si>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</si>
  <si>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</si>
  <si>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Anupama F/S</t>
  </si>
  <si>
    <t>HO(DG)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</si>
  <si>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</si>
  <si>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</si>
  <si>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</si>
  <si>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</si>
  <si>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</si>
  <si>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</si>
  <si>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</si>
  <si>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</si>
  <si>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</si>
  <si>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</si>
  <si>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</si>
  <si>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</si>
  <si>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As 0n Date</t>
  </si>
  <si>
    <t xml:space="preserve">100000 Cash &amp;Carry </t>
  </si>
  <si>
    <t>512000 Cash &amp;Carry</t>
  </si>
  <si>
    <t>25-26/S4 (MP3 Grease)</t>
  </si>
  <si>
    <t xml:space="preserve">JSASFuel Genie India Pvt.Ltd													</t>
  </si>
  <si>
    <t>TDS194Q</t>
  </si>
  <si>
    <t xml:space="preserve"> Vajra Mahalakshmi filling station </t>
  </si>
  <si>
    <t>Ind no/Bill No</t>
  </si>
  <si>
    <t>As on Date</t>
  </si>
  <si>
    <t>/</t>
  </si>
  <si>
    <t>Sri Venkateswara Enterprises</t>
  </si>
  <si>
    <t>Yanam</t>
  </si>
  <si>
    <t>BPCL-207659</t>
  </si>
  <si>
    <t>Sree Prasad Filling Station</t>
  </si>
  <si>
    <t>Tuni</t>
  </si>
  <si>
    <t> </t>
  </si>
  <si>
    <t>IOCL-159657</t>
  </si>
  <si>
    <t>BP-KAKINADA BHARAT PETROLEUM</t>
  </si>
  <si>
    <t>KAKINADA</t>
  </si>
  <si>
    <t>BP-LALLACHERUVU BHARAT PETROLEUM</t>
  </si>
  <si>
    <t>RAJAHMUNDRY</t>
  </si>
  <si>
    <t>JVVR Filling Station BPCL</t>
  </si>
  <si>
    <t>Gollaprolu</t>
  </si>
  <si>
    <t>APSRTC Petrol Bunk (Rangampeta)</t>
  </si>
  <si>
    <t>Peddapuram</t>
  </si>
  <si>
    <t>Vishnu Filling Station</t>
  </si>
  <si>
    <t>BP Kakinada Bhanugudi Junction</t>
  </si>
  <si>
    <t>BP Lalacheruvu</t>
  </si>
  <si>
    <t>Rajahmundry</t>
  </si>
  <si>
    <t>BP Rajanagaram</t>
  </si>
  <si>
    <t>Rajanagaram(Peddapuram)</t>
  </si>
  <si>
    <t>Sri Balaji Agencies BPCL</t>
  </si>
  <si>
    <t>BPCL-207660</t>
  </si>
  <si>
    <t>Bhaskara Agencies IOCL</t>
  </si>
  <si>
    <t>BP Chakradwarabandam</t>
  </si>
  <si>
    <t xml:space="preserve"> </t>
  </si>
  <si>
    <t>IOCL</t>
  </si>
  <si>
    <t>HPCL</t>
  </si>
  <si>
    <t>Sree Veerabhadreshwara Service Station</t>
  </si>
  <si>
    <t>Molakamuru</t>
  </si>
  <si>
    <t>Shivaganga Service Station (BPCL)</t>
  </si>
  <si>
    <t>Chellakere-PKG-09</t>
  </si>
  <si>
    <t>Date of payment</t>
  </si>
  <si>
    <t>Shiri Shva Petroluem</t>
  </si>
  <si>
    <t>Start</t>
  </si>
  <si>
    <t>d</t>
  </si>
  <si>
    <t>Jai Bajarang Sarvo Senter Bodwad</t>
  </si>
  <si>
    <t xml:space="preserve"> Nayara</t>
  </si>
  <si>
    <t xml:space="preserve">T R KAPOOR AND CO </t>
  </si>
  <si>
    <t xml:space="preserve"> Cash &amp;Carry</t>
  </si>
  <si>
    <t>Lubricant Purchaged</t>
  </si>
  <si>
    <t xml:space="preserve"> Magavi fuel F/S</t>
  </si>
  <si>
    <t>.</t>
  </si>
  <si>
    <t>BPCL OTP</t>
  </si>
  <si>
    <t>`</t>
  </si>
  <si>
    <t xml:space="preserve">  Shree Siri Gowari petroliam</t>
  </si>
  <si>
    <t>Round off</t>
  </si>
  <si>
    <t>raja bhakshi</t>
  </si>
  <si>
    <t>Shiva ganga</t>
  </si>
  <si>
    <t xml:space="preserve">  TR Associates</t>
  </si>
  <si>
    <t xml:space="preserve"> S R PATIL</t>
  </si>
  <si>
    <t>Talikote</t>
  </si>
  <si>
    <t>IOCL Card</t>
  </si>
  <si>
    <t>BPCL Card Ledger</t>
  </si>
  <si>
    <t>Petrol Bunk Name</t>
  </si>
  <si>
    <t>Card No</t>
  </si>
  <si>
    <t>Recharge Amount</t>
  </si>
  <si>
    <t>Redeem</t>
  </si>
  <si>
    <t>SRI DURGAMBA SERVICE STATION BHARAT PETROLEUM DEALERS</t>
  </si>
  <si>
    <t>VIJAYA BHARAT FUEL &amp; SERVICES BHARAT PETROLEUM DEALERS</t>
  </si>
  <si>
    <t>SHIVAGANGA SERVICE STATION BHARAT PETROLEUM DEALERS</t>
  </si>
  <si>
    <t>FC3450698863</t>
  </si>
  <si>
    <t>SRI VENKATESWARA ENTERPRISES BHARAT PETROLEUM DEALERS</t>
  </si>
  <si>
    <t>FC8000207659</t>
  </si>
  <si>
    <t>SANDHYA FUEL STATION BHARAT PETROLEUM DEALERS</t>
  </si>
  <si>
    <t>V.M.MIRJANKAR (KUMTA) BHARAT PETROLEUM DEALERS</t>
  </si>
  <si>
    <t>FC8000207650</t>
  </si>
  <si>
    <t>BP-KAKINADA BHARAT PETROLEUM CORPORATION L</t>
  </si>
  <si>
    <t>BP-LALLACHERUVU BHARAT PETROLEUM DEALERS</t>
  </si>
  <si>
    <t>JVVR FILLING STATION BHARAT PETROLEUM DEALERS</t>
  </si>
  <si>
    <t>VAMSHI FUEL POINT BHARAT PETROLEUM DEALERS,</t>
  </si>
  <si>
    <t>T. R. ASSOCIATES BHARAT PETROLEUM DEALERS</t>
  </si>
  <si>
    <t>FC3450698868</t>
  </si>
  <si>
    <t>DANESWARI PETROLEUM BHARAT PETROLEUM DEALERS</t>
  </si>
  <si>
    <t>FC8000207648</t>
  </si>
  <si>
    <t>V.V.VARDE BHARAT PETROLEUM DEALERS</t>
  </si>
  <si>
    <t>FC8000207649</t>
  </si>
  <si>
    <t>MAGAVI CITY FUELS BHARAT PETROLEUM DEALERS</t>
  </si>
  <si>
    <t>SHRI BRAHMANATH PETROLEUM BHARAT PETROLEUM DEALERS</t>
  </si>
  <si>
    <t>SREE VEERABHADRESHWARA SER.STA BHARAT PETROLEUM DEALERS</t>
  </si>
  <si>
    <t>APSRTC PETROL BUNK,RANGAMPETA BHARAT PETROLEUM DEALERS</t>
  </si>
  <si>
    <t>PRIYANKA PETROLEUM BHARAT PETROLEUM DEALERS</t>
  </si>
  <si>
    <t>P S NAGATHAN PETROLEUMS BHARAT PETROLEUM DEALERS</t>
  </si>
  <si>
    <t>VISHNU FILLING STATION BHARAT PETROLEUM DEALERS</t>
  </si>
  <si>
    <t>SINDHOOR ENTERPRISES BHARAT PETROLEUM DEALERS</t>
  </si>
  <si>
    <t>W SRINIVAS RAO &amp; SONS BHARAT PETROLEUM DEALERS</t>
  </si>
  <si>
    <t>TS POLICE WELFARE SOCIETY-CYD- BHARAT PETROLEUM DEALERS</t>
  </si>
  <si>
    <t xml:space="preserve">SHIVANANDI FUELS BHARAT PETROLEUM </t>
  </si>
  <si>
    <t>BP-RAJANAGARAM BHARAT PETROLEUM CORPORATION L</t>
  </si>
  <si>
    <t>SRI DURGA BHAVANI FILLING STAT BHARAT PETROLEUM DEALERS</t>
  </si>
  <si>
    <t>FC3450698862</t>
  </si>
  <si>
    <t>SRINIVASA SER.STN. BHARAT PETROLEUM DEALERS</t>
  </si>
  <si>
    <t>SRI BALAJI AGENCIES BHARAT PETROLEUM DEALERS</t>
  </si>
  <si>
    <t>RAKSHA AUTO FUELS BHARAT PETROLEUM DEALERS</t>
  </si>
  <si>
    <t>EARTH PAVERS (HYD) PRIVATE LIM BHARAT PETROLEUM DEALERS</t>
  </si>
  <si>
    <t>K.VENKATA LAKSHMI SRINIVASA FU BHARAT PETROLEUM DEALERS</t>
  </si>
  <si>
    <t>FC3450676134</t>
  </si>
  <si>
    <t>T.R. KAPOOR &amp; CO. BHARAT PETROLEUM DEALERS</t>
  </si>
  <si>
    <t>VASUDEO NIVRUTTI MAHAJAN BHARAT PETROLEUM DEALERS</t>
  </si>
  <si>
    <t>W SRINIVAS RAO &amp; SONS BHARAT PETROLEUM</t>
  </si>
  <si>
    <t>CHAKRADWARABANDHAM BHARAT PETROLEUM</t>
  </si>
  <si>
    <t xml:space="preserve"> FC8000207659</t>
  </si>
  <si>
    <t>VIJAYA BHARAT FUEL &amp; SERVICES BHARAT PETROLEUM</t>
  </si>
  <si>
    <t>RAJ SERVICE STATION, BHARAT PETROLEUM DEALERS</t>
  </si>
  <si>
    <t xml:space="preserve"> FC3450563999</t>
  </si>
  <si>
    <t>8,90,355.23</t>
  </si>
  <si>
    <t>HPCL Card Ledger</t>
  </si>
  <si>
    <t>06.03.2026</t>
  </si>
  <si>
    <t>MOSCO</t>
  </si>
  <si>
    <t>Madanpali</t>
  </si>
  <si>
    <t>8200079004507062</t>
  </si>
  <si>
    <t>SHRI SHIVA PETROLEUM</t>
  </si>
  <si>
    <t>Munnavali</t>
  </si>
  <si>
    <t>8200079005271387</t>
  </si>
  <si>
    <t>07.03.2026</t>
  </si>
  <si>
    <t>JAMBGI AUTO SERVICE</t>
  </si>
  <si>
    <t>TUMCOS FUEL STATION</t>
  </si>
  <si>
    <t>09.03.2026</t>
  </si>
  <si>
    <t>11.03.2026</t>
  </si>
  <si>
    <t>JANATHA SERVICE STATION</t>
  </si>
  <si>
    <t>YG Gudda</t>
  </si>
  <si>
    <t>8200079004507153</t>
  </si>
  <si>
    <t>12.03.2026</t>
  </si>
  <si>
    <t>AJ PETROLINKS</t>
  </si>
  <si>
    <t>Dharwad</t>
  </si>
  <si>
    <t>MSHSD SHRI HEMAGIRI PETROLEUM</t>
  </si>
  <si>
    <t>Guttal</t>
  </si>
  <si>
    <t>8200079004507121</t>
  </si>
  <si>
    <t>PANKAJA HP FUEL CENTRE</t>
  </si>
  <si>
    <t>SHIVA OIL TRADERS</t>
  </si>
  <si>
    <t>Rettihali</t>
  </si>
  <si>
    <t>8200079004507138</t>
  </si>
  <si>
    <t>13.03.2026</t>
  </si>
  <si>
    <t>14.03.2026</t>
  </si>
  <si>
    <t>15.03.2026</t>
  </si>
  <si>
    <t>POORNIMA FILLING STATION</t>
  </si>
  <si>
    <t>Jadcherla</t>
  </si>
  <si>
    <t>8200079000522041</t>
  </si>
  <si>
    <t>17.03.2026</t>
  </si>
  <si>
    <t>DIVYA LAXMI GANAPATHI AUTO SERVICES</t>
  </si>
  <si>
    <t>Khammam</t>
  </si>
  <si>
    <t>8200079000522057</t>
  </si>
  <si>
    <t>23.03.2026</t>
  </si>
  <si>
    <t>24.03.2026</t>
  </si>
  <si>
    <t>SR HP Filling station</t>
  </si>
  <si>
    <t>HUNDEKAR PETROLEUMS</t>
  </si>
  <si>
    <t>YG GUdda</t>
  </si>
  <si>
    <t>25.03.2026</t>
  </si>
  <si>
    <t>26.03.2026</t>
  </si>
  <si>
    <t>VANITA PETRO PARK</t>
  </si>
  <si>
    <t>Kagwad to Khammam</t>
  </si>
  <si>
    <t>27.03.2026</t>
  </si>
  <si>
    <t>ISNAPUR SERVICE STATION</t>
  </si>
  <si>
    <t xml:space="preserve">MIS Team  Vist Narayankhed </t>
  </si>
  <si>
    <t>28.03.2026</t>
  </si>
  <si>
    <t>Venkatadri fuel Point</t>
  </si>
  <si>
    <t>HO DG</t>
  </si>
  <si>
    <t>30.03.2026</t>
  </si>
  <si>
    <t>FC3450698866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</si>
</sst>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.0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</font>
    <font>
      <sz val="8"/>
      <color rgb="FF000000"/>
      <name val="Calibri"/>
    </font>
    <font>
      <sz val="8"/>
      <color rgb="FF000000"/>
      <name val="Inter"/>
      <family val="2"/>
    </font>
    <font>
      <sz val="12"/>
      <color theme="1"/>
      <name val="Calibri"/>
      <family val="2"/>
      <scheme val="minor"/>
    </font>
    <font>
      <sz val="11"/>
      <color theme="1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757171"/>
      </right>
      <top/>
      <bottom style="thin">
        <color rgb="FF75717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499">
    <xf numFmtId="0" fontId="0" fillId="0" borderId="0" xfId="0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164" fontId="3" fillId="0" borderId="2" xfId="1" applyFont="1" applyBorder="1" applyAlignment="1">
      <alignment horizontal="center" vertical="center"/>
    </xf>
    <xf numFmtId="164" fontId="3" fillId="0" borderId="5" xfId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164" fontId="3" fillId="0" borderId="2" xfId="1" applyFont="1" applyBorder="1" applyAlignment="1">
      <alignment horizontal="center" vertical="top"/>
    </xf>
    <xf numFmtId="164" fontId="3" fillId="0" borderId="6" xfId="1" applyFont="1" applyBorder="1" applyAlignment="1">
      <alignment horizontal="center" vertical="top"/>
    </xf>
    <xf numFmtId="164" fontId="3" fillId="0" borderId="4" xfId="1" applyFont="1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 applyAlignment="1">
      <alignment horizontal="center" vertical="center" wrapText="1"/>
    </xf>
    <xf numFmtId="164" fontId="3" fillId="0" borderId="12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2" fontId="0" fillId="0" borderId="0" xfId="0" applyNumberFormat="1"/>
    <xf numFmtId="0" fontId="7" fillId="0" borderId="2" xfId="3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2" xfId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164" fontId="10" fillId="0" borderId="5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2" fontId="0" fillId="0" borderId="5" xfId="0" applyNumberFormat="1" applyBorder="1"/>
    <xf numFmtId="164" fontId="3" fillId="0" borderId="5" xfId="1" applyFont="1" applyBorder="1" applyAlignment="1">
      <alignment vertical="center"/>
    </xf>
    <xf numFmtId="2" fontId="9" fillId="4" borderId="5" xfId="0" applyNumberFormat="1" applyFont="1" applyFill="1" applyBorder="1" applyAlignment="1">
      <alignment horizontal="center" vertical="center"/>
    </xf>
    <xf numFmtId="164" fontId="9" fillId="4" borderId="5" xfId="1" applyFont="1" applyFill="1" applyBorder="1" applyAlignment="1">
      <alignment horizontal="center" vertical="center"/>
    </xf>
    <xf numFmtId="0" fontId="5" fillId="0" borderId="5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43" fontId="3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43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43" fontId="13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0" xfId="0" applyFont="1"/>
    <xf numFmtId="2" fontId="4" fillId="4" borderId="5" xfId="0" applyNumberFormat="1" applyFont="1" applyFill="1" applyBorder="1" applyAlignment="1">
      <alignment horizontal="center" vertical="center"/>
    </xf>
    <xf numFmtId="164" fontId="4" fillId="4" borderId="5" xfId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/>
    </xf>
    <xf numFmtId="2" fontId="3" fillId="0" borderId="5" xfId="0" applyNumberFormat="1" applyFont="1" applyBorder="1"/>
    <xf numFmtId="0" fontId="3" fillId="0" borderId="5" xfId="0" applyFont="1" applyBorder="1" applyAlignment="1">
      <alignment vertical="center"/>
    </xf>
    <xf numFmtId="164" fontId="3" fillId="0" borderId="5" xfId="1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3" fillId="0" borderId="5" xfId="1" applyFont="1" applyBorder="1" applyAlignment="1">
      <alignment horizontal="center" inden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12" xfId="0" applyFont="1" applyBorder="1"/>
    <xf numFmtId="0" fontId="0" fillId="0" borderId="13" xfId="0" applyBorder="1"/>
    <xf numFmtId="0" fontId="17" fillId="0" borderId="5" xfId="0" applyFont="1" applyBorder="1"/>
    <xf numFmtId="2" fontId="17" fillId="0" borderId="5" xfId="0" applyNumberFormat="1" applyFont="1" applyBorder="1"/>
    <xf numFmtId="0" fontId="0" fillId="0" borderId="10" xfId="0" applyBorder="1"/>
    <xf numFmtId="0" fontId="13" fillId="3" borderId="1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1" fillId="3" borderId="5" xfId="0" applyFont="1" applyFill="1" applyBorder="1" applyAlignment="1">
      <alignment horizontal="center" vertical="center"/>
    </xf>
    <xf numFmtId="0" fontId="18" fillId="0" borderId="5" xfId="0" applyFont="1" applyBorder="1"/>
    <xf numFmtId="164" fontId="0" fillId="0" borderId="5" xfId="0" applyNumberFormat="1" applyBorder="1"/>
    <xf numFmtId="0" fontId="11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4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18" xfId="1" applyFont="1" applyFill="1" applyBorder="1" applyAlignment="1">
      <alignment horizontal="center" vertical="center"/>
    </xf>
    <xf numFmtId="43" fontId="11" fillId="3" borderId="17" xfId="0" applyNumberFormat="1" applyFont="1" applyFill="1" applyBorder="1" applyAlignment="1">
      <alignment horizontal="center" vertical="center" wrapText="1"/>
    </xf>
    <xf numFmtId="43" fontId="11" fillId="3" borderId="6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/>
    </xf>
    <xf numFmtId="0" fontId="11" fillId="3" borderId="6" xfId="0" applyFont="1" applyFill="1" applyBorder="1" applyAlignment="1">
      <alignment horizontal="center" vertical="center"/>
    </xf>
    <xf numFmtId="43" fontId="11" fillId="3" borderId="6" xfId="0" applyNumberFormat="1" applyFont="1" applyFill="1" applyBorder="1" applyAlignment="1">
      <alignment horizontal="center" vertical="center"/>
    </xf>
    <xf numFmtId="43" fontId="11" fillId="3" borderId="17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12" fillId="0" borderId="7" xfId="3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4" fontId="6" fillId="0" borderId="12" xfId="0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43" fontId="13" fillId="3" borderId="13" xfId="0" applyNumberFormat="1" applyFont="1" applyFill="1" applyBorder="1" applyAlignment="1">
      <alignment horizontal="center" vertical="center" wrapText="1"/>
    </xf>
    <xf numFmtId="43" fontId="13" fillId="3" borderId="13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4" fontId="3" fillId="0" borderId="12" xfId="0" applyNumberFormat="1" applyFont="1" applyBorder="1" applyAlignment="1">
      <alignment vertical="center"/>
    </xf>
    <xf numFmtId="164" fontId="3" fillId="0" borderId="12" xfId="1" applyFont="1" applyBorder="1" applyAlignment="1">
      <alignment horizontal="center" vertical="top"/>
    </xf>
    <xf numFmtId="164" fontId="9" fillId="0" borderId="5" xfId="1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2" xfId="0" applyBorder="1"/>
    <xf numFmtId="43" fontId="13" fillId="3" borderId="6" xfId="0" applyNumberFormat="1" applyFont="1" applyFill="1" applyBorder="1" applyAlignment="1">
      <alignment horizontal="center" vertical="center" wrapText="1"/>
    </xf>
    <xf numFmtId="43" fontId="13" fillId="3" borderId="6" xfId="0" applyNumberFormat="1" applyFont="1" applyFill="1" applyBorder="1" applyAlignment="1">
      <alignment horizontal="center" vertical="center"/>
    </xf>
    <xf numFmtId="164" fontId="3" fillId="0" borderId="8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top"/>
    </xf>
    <xf numFmtId="164" fontId="3" fillId="0" borderId="7" xfId="1" applyFont="1" applyBorder="1" applyAlignment="1">
      <alignment vertical="center"/>
    </xf>
    <xf numFmtId="43" fontId="13" fillId="3" borderId="17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/>
    </xf>
    <xf numFmtId="43" fontId="5" fillId="2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6" fontId="3" fillId="0" borderId="12" xfId="0" applyNumberFormat="1" applyFont="1" applyBorder="1" applyAlignment="1">
      <alignment horizontal="center"/>
    </xf>
    <xf numFmtId="2" fontId="3" fillId="0" borderId="12" xfId="0" applyNumberFormat="1" applyFont="1" applyBorder="1"/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2" fontId="4" fillId="4" borderId="12" xfId="0" applyNumberFormat="1" applyFont="1" applyFill="1" applyBorder="1" applyAlignment="1">
      <alignment horizontal="center" vertical="center"/>
    </xf>
    <xf numFmtId="164" fontId="4" fillId="4" borderId="12" xfId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/>
    </xf>
    <xf numFmtId="164" fontId="4" fillId="0" borderId="5" xfId="1" applyFont="1" applyBorder="1" applyAlignment="1">
      <alignment horizontal="center" vertical="center" indent="1"/>
    </xf>
    <xf numFmtId="0" fontId="5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43" fontId="11" fillId="3" borderId="5" xfId="0" applyNumberFormat="1" applyFont="1" applyFill="1" applyBorder="1" applyAlignment="1">
      <alignment horizontal="center" vertical="center"/>
    </xf>
    <xf numFmtId="0" fontId="18" fillId="2" borderId="5" xfId="0" applyFont="1" applyFill="1" applyBorder="1"/>
    <xf numFmtId="0" fontId="10" fillId="0" borderId="17" xfId="0" applyFont="1" applyBorder="1" applyAlignment="1">
      <alignment horizontal="center" vertical="center"/>
    </xf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2" fontId="3" fillId="0" borderId="13" xfId="0" applyNumberFormat="1" applyFont="1" applyBorder="1"/>
    <xf numFmtId="2" fontId="3" fillId="0" borderId="13" xfId="0" applyNumberFormat="1" applyFont="1" applyBorder="1" applyAlignment="1">
      <alignment horizontal="right"/>
    </xf>
    <xf numFmtId="43" fontId="5" fillId="2" borderId="13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3" fillId="3" borderId="13" xfId="0" applyNumberFormat="1" applyFont="1" applyFill="1" applyBorder="1" applyAlignment="1">
      <alignment horizontal="center" vertical="center"/>
    </xf>
    <xf numFmtId="0" fontId="3" fillId="0" borderId="5" xfId="1" applyNumberFormat="1" applyFont="1" applyBorder="1" applyAlignment="1">
      <alignment vertical="center"/>
    </xf>
    <xf numFmtId="0" fontId="3" fillId="0" borderId="11" xfId="0" applyFont="1" applyBorder="1"/>
    <xf numFmtId="2" fontId="4" fillId="0" borderId="0" xfId="0" applyNumberFormat="1" applyFont="1"/>
    <xf numFmtId="2" fontId="0" fillId="0" borderId="12" xfId="0" applyNumberFormat="1" applyBorder="1"/>
    <xf numFmtId="0" fontId="10" fillId="0" borderId="13" xfId="0" applyFont="1" applyBorder="1" applyAlignment="1">
      <alignment horizontal="center" vertical="center"/>
    </xf>
    <xf numFmtId="2" fontId="9" fillId="4" borderId="26" xfId="0" applyNumberFormat="1" applyFont="1" applyFill="1" applyBorder="1" applyAlignment="1">
      <alignment horizontal="center" vertical="center"/>
    </xf>
    <xf numFmtId="164" fontId="3" fillId="0" borderId="13" xfId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43" fontId="13" fillId="3" borderId="6" xfId="0" applyNumberFormat="1" applyFont="1" applyFill="1" applyBorder="1" applyAlignment="1">
      <alignment horizontal="right" vertical="center" wrapText="1"/>
    </xf>
    <xf numFmtId="0" fontId="3" fillId="0" borderId="5" xfId="3" applyNumberFormat="1" applyFont="1" applyBorder="1" applyAlignment="1">
      <alignment vertical="center"/>
    </xf>
    <xf numFmtId="3" fontId="3" fillId="0" borderId="5" xfId="3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164" fontId="3" fillId="0" borderId="13" xfId="1" applyFont="1" applyBorder="1" applyAlignment="1">
      <alignment vertical="center"/>
    </xf>
    <xf numFmtId="164" fontId="3" fillId="0" borderId="11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horizontal="center"/>
    </xf>
    <xf numFmtId="164" fontId="10" fillId="0" borderId="10" xfId="1" applyFont="1" applyBorder="1" applyAlignment="1">
      <alignment horizontal="center" vertical="center"/>
    </xf>
    <xf numFmtId="164" fontId="10" fillId="0" borderId="11" xfId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5" xfId="1" applyFont="1" applyBorder="1" applyAlignment="1">
      <alignment horizontal="left" vertical="top"/>
    </xf>
    <xf numFmtId="165" fontId="3" fillId="0" borderId="10" xfId="0" applyNumberFormat="1" applyFont="1" applyBorder="1" applyAlignment="1">
      <alignment horizontal="center"/>
    </xf>
    <xf numFmtId="164" fontId="9" fillId="0" borderId="13" xfId="1" applyFont="1" applyBorder="1" applyAlignment="1">
      <alignment horizontal="center" vertical="center"/>
    </xf>
    <xf numFmtId="0" fontId="10" fillId="0" borderId="13" xfId="0" applyFont="1" applyBorder="1"/>
    <xf numFmtId="2" fontId="9" fillId="4" borderId="12" xfId="0" applyNumberFormat="1" applyFont="1" applyFill="1" applyBorder="1" applyAlignment="1">
      <alignment horizontal="center" vertical="center"/>
    </xf>
    <xf numFmtId="164" fontId="9" fillId="4" borderId="12" xfId="1" applyFont="1" applyFill="1" applyBorder="1" applyAlignment="1">
      <alignment horizontal="center" vertical="center"/>
    </xf>
    <xf numFmtId="0" fontId="12" fillId="0" borderId="5" xfId="3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2" fillId="0" borderId="17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3" fillId="0" borderId="12" xfId="1" applyNumberFormat="1" applyFont="1" applyBorder="1" applyAlignment="1">
      <alignment vertical="center"/>
    </xf>
    <xf numFmtId="164" fontId="3" fillId="0" borderId="12" xfId="1" applyFont="1" applyBorder="1" applyAlignment="1">
      <alignment vertical="center"/>
    </xf>
    <xf numFmtId="2" fontId="0" fillId="0" borderId="13" xfId="0" applyNumberFormat="1" applyBorder="1"/>
    <xf numFmtId="2" fontId="13" fillId="3" borderId="1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13" fillId="2" borderId="13" xfId="0" applyFont="1" applyFill="1" applyBorder="1" applyAlignment="1">
      <alignment horizontal="center" vertical="center" wrapText="1"/>
    </xf>
    <xf numFmtId="164" fontId="10" fillId="0" borderId="12" xfId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165" fontId="3" fillId="0" borderId="27" xfId="0" applyNumberFormat="1" applyFont="1" applyBorder="1" applyAlignment="1">
      <alignment horizontal="center"/>
    </xf>
    <xf numFmtId="0" fontId="0" fillId="0" borderId="21" xfId="0" applyBorder="1"/>
    <xf numFmtId="0" fontId="3" fillId="0" borderId="10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15" fontId="18" fillId="2" borderId="5" xfId="0" applyNumberFormat="1" applyFont="1" applyFill="1" applyBorder="1"/>
    <xf numFmtId="0" fontId="5" fillId="0" borderId="13" xfId="0" applyFont="1" applyBorder="1"/>
    <xf numFmtId="0" fontId="20" fillId="0" borderId="0" xfId="0" applyFont="1"/>
    <xf numFmtId="2" fontId="13" fillId="3" borderId="6" xfId="0" applyNumberFormat="1" applyFont="1" applyFill="1" applyBorder="1" applyAlignment="1">
      <alignment horizontal="center" vertical="center" wrapText="1"/>
    </xf>
    <xf numFmtId="2" fontId="13" fillId="3" borderId="6" xfId="0" applyNumberFormat="1" applyFont="1" applyFill="1" applyBorder="1" applyAlignment="1">
      <alignment horizontal="center" vertical="center"/>
    </xf>
    <xf numFmtId="0" fontId="17" fillId="0" borderId="13" xfId="0" applyFont="1" applyBorder="1"/>
    <xf numFmtId="2" fontId="9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3" fillId="2" borderId="5" xfId="1" applyFont="1" applyFill="1" applyBorder="1" applyAlignment="1">
      <alignment horizontal="center" vertical="center"/>
    </xf>
    <xf numFmtId="164" fontId="9" fillId="0" borderId="10" xfId="1" applyFont="1" applyBorder="1" applyAlignment="1">
      <alignment vertical="center"/>
    </xf>
    <xf numFmtId="0" fontId="0" fillId="0" borderId="11" xfId="0" applyBorder="1"/>
    <xf numFmtId="164" fontId="10" fillId="0" borderId="8" xfId="1" applyFont="1" applyBorder="1" applyAlignment="1">
      <alignment horizontal="center" vertical="center"/>
    </xf>
    <xf numFmtId="164" fontId="10" fillId="0" borderId="4" xfId="1" applyFont="1" applyBorder="1" applyAlignment="1">
      <alignment horizontal="center" vertical="center"/>
    </xf>
    <xf numFmtId="164" fontId="10" fillId="0" borderId="18" xfId="1" applyFont="1" applyBorder="1" applyAlignment="1">
      <alignment horizontal="center" vertical="center"/>
    </xf>
    <xf numFmtId="164" fontId="10" fillId="0" borderId="24" xfId="1" applyFont="1" applyBorder="1" applyAlignment="1">
      <alignment horizontal="center" vertical="center"/>
    </xf>
    <xf numFmtId="167" fontId="0" fillId="0" borderId="0" xfId="0" applyNumberFormat="1"/>
    <xf numFmtId="4" fontId="3" fillId="0" borderId="0" xfId="0" applyNumberFormat="1" applyFont="1" applyAlignment="1">
      <alignment vertical="center" wrapText="1"/>
    </xf>
    <xf numFmtId="43" fontId="3" fillId="0" borderId="0" xfId="0" applyNumberFormat="1" applyFont="1" applyAlignment="1">
      <alignment vertical="center"/>
    </xf>
    <xf numFmtId="4" fontId="0" fillId="0" borderId="0" xfId="0" applyNumberFormat="1"/>
    <xf numFmtId="168" fontId="3" fillId="0" borderId="2" xfId="1" applyNumberFormat="1" applyFont="1" applyBorder="1" applyAlignment="1">
      <alignment horizontal="center" vertical="top"/>
    </xf>
    <xf numFmtId="0" fontId="4" fillId="7" borderId="0" xfId="0" applyFont="1" applyFill="1" applyAlignment="1">
      <alignment vertical="center"/>
    </xf>
    <xf numFmtId="0" fontId="17" fillId="7" borderId="0" xfId="0" applyFont="1" applyFill="1"/>
    <xf numFmtId="0" fontId="0" fillId="0" borderId="12" xfId="0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2" fontId="3" fillId="0" borderId="5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4" fontId="5" fillId="0" borderId="5" xfId="0" applyNumberFormat="1" applyFont="1" applyBorder="1"/>
    <xf numFmtId="164" fontId="0" fillId="0" borderId="0" xfId="0" applyNumberFormat="1" applyAlignment="1">
      <alignment horizontal="center"/>
    </xf>
    <xf numFmtId="0" fontId="13" fillId="3" borderId="6" xfId="0" applyFont="1" applyFill="1" applyBorder="1" applyAlignment="1">
      <alignment vertical="center" wrapText="1"/>
    </xf>
    <xf numFmtId="166" fontId="3" fillId="0" borderId="5" xfId="0" applyNumberFormat="1" applyFont="1" applyBorder="1"/>
    <xf numFmtId="164" fontId="4" fillId="4" borderId="5" xfId="1" applyFont="1" applyFill="1" applyBorder="1" applyAlignment="1">
      <alignment vertical="center"/>
    </xf>
    <xf numFmtId="169" fontId="0" fillId="0" borderId="11" xfId="0" applyNumberFormat="1" applyBorder="1"/>
    <xf numFmtId="0" fontId="23" fillId="0" borderId="11" xfId="0" applyFont="1" applyBorder="1" applyAlignment="1">
      <alignment horizontal="center" vertical="center"/>
    </xf>
    <xf numFmtId="1" fontId="17" fillId="0" borderId="20" xfId="0" applyNumberFormat="1" applyFont="1" applyBorder="1" applyAlignment="1">
      <alignment vertical="center"/>
    </xf>
    <xf numFmtId="164" fontId="19" fillId="0" borderId="32" xfId="1" applyFont="1" applyBorder="1" applyAlignment="1">
      <alignment horizontal="center"/>
    </xf>
    <xf numFmtId="1" fontId="3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8" fillId="0" borderId="5" xfId="0" applyFont="1" applyBorder="1"/>
    <xf numFmtId="166" fontId="24" fillId="0" borderId="5" xfId="0" applyNumberFormat="1" applyFont="1" applyBorder="1" applyAlignment="1">
      <alignment horizontal="center"/>
    </xf>
    <xf numFmtId="166" fontId="23" fillId="0" borderId="5" xfId="0" applyNumberFormat="1" applyFont="1" applyBorder="1" applyAlignment="1">
      <alignment horizontal="center" vertical="center"/>
    </xf>
    <xf numFmtId="0" fontId="25" fillId="8" borderId="28" xfId="0" applyFont="1" applyFill="1" applyBorder="1"/>
    <xf numFmtId="0" fontId="25" fillId="8" borderId="29" xfId="0" applyFont="1" applyFill="1" applyBorder="1"/>
    <xf numFmtId="2" fontId="25" fillId="8" borderId="29" xfId="0" applyNumberFormat="1" applyFont="1" applyFill="1" applyBorder="1"/>
    <xf numFmtId="2" fontId="25" fillId="8" borderId="30" xfId="0" applyNumberFormat="1" applyFont="1" applyFill="1" applyBorder="1"/>
    <xf numFmtId="0" fontId="26" fillId="0" borderId="0" xfId="0" applyFont="1"/>
    <xf numFmtId="0" fontId="26" fillId="0" borderId="5" xfId="0" applyFont="1" applyBorder="1"/>
    <xf numFmtId="1" fontId="26" fillId="2" borderId="5" xfId="0" applyNumberFormat="1" applyFont="1" applyFill="1" applyBorder="1"/>
    <xf numFmtId="0" fontId="26" fillId="0" borderId="5" xfId="0" applyFont="1" applyBorder="1" applyAlignment="1">
      <alignment wrapText="1"/>
    </xf>
    <xf numFmtId="2" fontId="26" fillId="0" borderId="5" xfId="0" applyNumberFormat="1" applyFont="1" applyBorder="1"/>
    <xf numFmtId="2" fontId="26" fillId="0" borderId="0" xfId="0" applyNumberFormat="1" applyFont="1"/>
    <xf numFmtId="1" fontId="26" fillId="0" borderId="0" xfId="0" applyNumberFormat="1" applyFont="1"/>
    <xf numFmtId="164" fontId="28" fillId="0" borderId="5" xfId="4" applyNumberFormat="1" applyBorder="1" applyAlignment="1">
      <alignment horizontal="center" vertical="center"/>
    </xf>
    <xf numFmtId="0" fontId="14" fillId="5" borderId="5" xfId="0" applyFont="1" applyFill="1" applyBorder="1" applyAlignment="1">
      <alignment horizontal="right" vertical="center"/>
    </xf>
    <xf numFmtId="0" fontId="13" fillId="3" borderId="5" xfId="0" applyFont="1" applyFill="1" applyBorder="1" applyAlignment="1">
      <alignment horizontal="right" vertical="center" wrapText="1"/>
    </xf>
    <xf numFmtId="2" fontId="13" fillId="3" borderId="5" xfId="0" applyNumberFormat="1" applyFont="1" applyFill="1" applyBorder="1" applyAlignment="1">
      <alignment horizontal="right" vertical="center" wrapText="1"/>
    </xf>
    <xf numFmtId="0" fontId="13" fillId="3" borderId="5" xfId="0" applyFont="1" applyFill="1" applyBorder="1" applyAlignment="1">
      <alignment horizontal="right" vertical="center"/>
    </xf>
    <xf numFmtId="2" fontId="13" fillId="3" borderId="5" xfId="0" applyNumberFormat="1" applyFont="1" applyFill="1" applyBorder="1" applyAlignment="1">
      <alignment horizontal="right" vertical="center"/>
    </xf>
    <xf numFmtId="43" fontId="13" fillId="3" borderId="5" xfId="0" applyNumberFormat="1" applyFont="1" applyFill="1" applyBorder="1" applyAlignment="1">
      <alignment horizontal="right" vertical="center"/>
    </xf>
    <xf numFmtId="0" fontId="22" fillId="6" borderId="13" xfId="0" applyFont="1" applyFill="1" applyBorder="1" applyAlignment="1">
      <alignment horizontal="right"/>
    </xf>
    <xf numFmtId="2" fontId="21" fillId="6" borderId="21" xfId="0" applyNumberFormat="1" applyFont="1" applyFill="1" applyBorder="1" applyAlignment="1">
      <alignment horizontal="right"/>
    </xf>
    <xf numFmtId="2" fontId="21" fillId="6" borderId="11" xfId="0" applyNumberFormat="1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0" fontId="0" fillId="0" borderId="13" xfId="0" applyBorder="1" applyAlignment="1">
      <alignment horizontal="right"/>
    </xf>
    <xf numFmtId="2" fontId="4" fillId="2" borderId="1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vertical="center"/>
    </xf>
    <xf numFmtId="43" fontId="5" fillId="2" borderId="12" xfId="0" applyNumberFormat="1" applyFont="1" applyFill="1" applyBorder="1" applyAlignment="1">
      <alignment horizontal="center" vertical="center"/>
    </xf>
    <xf numFmtId="164" fontId="29" fillId="0" borderId="5" xfId="1" applyFont="1" applyBorder="1" applyAlignment="1"/>
    <xf numFmtId="0" fontId="24" fillId="0" borderId="5" xfId="0" applyFont="1" applyBorder="1"/>
    <xf numFmtId="1" fontId="26" fillId="2" borderId="0" xfId="1" applyNumberFormat="1" applyFont="1" applyFill="1" applyBorder="1" applyAlignment="1">
      <alignment vertical="center"/>
    </xf>
    <xf numFmtId="170" fontId="5" fillId="2" borderId="5" xfId="0" applyNumberFormat="1" applyFont="1" applyFill="1" applyBorder="1" applyAlignment="1">
      <alignment horizontal="center" vertical="center"/>
    </xf>
    <xf numFmtId="170" fontId="0" fillId="0" borderId="11" xfId="0" applyNumberFormat="1" applyBorder="1"/>
    <xf numFmtId="43" fontId="30" fillId="0" borderId="0" xfId="0" applyNumberFormat="1" applyFont="1"/>
    <xf numFmtId="2" fontId="13" fillId="3" borderId="17" xfId="0" applyNumberFormat="1" applyFont="1" applyFill="1" applyBorder="1" applyAlignment="1">
      <alignment horizontal="center" vertical="center"/>
    </xf>
    <xf numFmtId="2" fontId="0" fillId="0" borderId="11" xfId="0" applyNumberFormat="1" applyBorder="1"/>
    <xf numFmtId="2" fontId="0" fillId="2" borderId="11" xfId="0" applyNumberFormat="1" applyFill="1" applyBorder="1" applyAlignment="1">
      <alignment horizontal="right"/>
    </xf>
    <xf numFmtId="0" fontId="0" fillId="2" borderId="10" xfId="0" applyFill="1" applyBorder="1"/>
    <xf numFmtId="0" fontId="18" fillId="0" borderId="12" xfId="0" applyFont="1" applyBorder="1"/>
    <xf numFmtId="2" fontId="21" fillId="6" borderId="25" xfId="0" applyNumberFormat="1" applyFon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0" fontId="18" fillId="0" borderId="13" xfId="0" applyFont="1" applyBorder="1"/>
    <xf numFmtId="0" fontId="3" fillId="2" borderId="31" xfId="0" applyFont="1" applyFill="1" applyBorder="1"/>
    <xf numFmtId="2" fontId="0" fillId="0" borderId="24" xfId="0" applyNumberFormat="1" applyBorder="1" applyAlignment="1">
      <alignment horizontal="right"/>
    </xf>
    <xf numFmtId="0" fontId="18" fillId="0" borderId="11" xfId="0" applyFont="1" applyBorder="1"/>
    <xf numFmtId="0" fontId="18" fillId="2" borderId="13" xfId="0" applyFont="1" applyFill="1" applyBorder="1"/>
    <xf numFmtId="0" fontId="18" fillId="2" borderId="12" xfId="0" applyFont="1" applyFill="1" applyBorder="1"/>
    <xf numFmtId="166" fontId="29" fillId="0" borderId="5" xfId="0" applyNumberFormat="1" applyFont="1" applyBorder="1" applyAlignment="1">
      <alignment horizontal="center"/>
    </xf>
    <xf numFmtId="2" fontId="3" fillId="0" borderId="3" xfId="1" applyNumberFormat="1" applyFont="1" applyBorder="1" applyAlignment="1">
      <alignment vertical="center"/>
    </xf>
    <xf numFmtId="0" fontId="25" fillId="8" borderId="5" xfId="0" applyFont="1" applyFill="1" applyBorder="1"/>
    <xf numFmtId="2" fontId="25" fillId="8" borderId="5" xfId="0" applyNumberFormat="1" applyFont="1" applyFill="1" applyBorder="1"/>
    <xf numFmtId="0" fontId="26" fillId="10" borderId="5" xfId="0" applyFont="1" applyFill="1" applyBorder="1"/>
    <xf numFmtId="164" fontId="29" fillId="0" borderId="5" xfId="1" applyFont="1" applyBorder="1" applyAlignment="1">
      <alignment vertical="center"/>
    </xf>
    <xf numFmtId="0" fontId="0" fillId="0" borderId="5" xfId="0" applyBorder="1" applyAlignment="1">
      <alignment horizontal="left"/>
    </xf>
    <xf numFmtId="0" fontId="18" fillId="0" borderId="0" xfId="0" applyFont="1"/>
    <xf numFmtId="0" fontId="30" fillId="0" borderId="0" xfId="0" applyFont="1"/>
    <xf numFmtId="0" fontId="0" fillId="0" borderId="11" xfId="0" applyBorder="1" applyAlignment="1">
      <alignment horizontal="right"/>
    </xf>
    <xf numFmtId="0" fontId="0" fillId="0" borderId="24" xfId="0" applyBorder="1" applyAlignment="1">
      <alignment horizontal="right"/>
    </xf>
    <xf numFmtId="1" fontId="0" fillId="0" borderId="0" xfId="0" applyNumberFormat="1"/>
    <xf numFmtId="0" fontId="29" fillId="0" borderId="5" xfId="0" applyFont="1" applyBorder="1"/>
    <xf numFmtId="0" fontId="0" fillId="0" borderId="2" xfId="0" applyBorder="1" applyAlignment="1">
      <alignment horizontal="center" vertical="center"/>
    </xf>
    <xf numFmtId="0" fontId="18" fillId="0" borderId="33" xfId="0" applyFont="1" applyBorder="1"/>
    <xf numFmtId="15" fontId="18" fillId="2" borderId="10" xfId="0" applyNumberFormat="1" applyFont="1" applyFill="1" applyBorder="1"/>
    <xf numFmtId="164" fontId="3" fillId="0" borderId="10" xfId="0" applyNumberFormat="1" applyFont="1" applyBorder="1" applyAlignment="1">
      <alignment vertical="center"/>
    </xf>
    <xf numFmtId="166" fontId="3" fillId="0" borderId="13" xfId="0" applyNumberFormat="1" applyFont="1" applyBorder="1"/>
    <xf numFmtId="164" fontId="3" fillId="0" borderId="13" xfId="1" applyFont="1" applyBorder="1" applyAlignment="1">
      <alignment horizontal="center" vertical="top"/>
    </xf>
    <xf numFmtId="164" fontId="10" fillId="2" borderId="5" xfId="1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/>
    </xf>
    <xf numFmtId="0" fontId="3" fillId="0" borderId="12" xfId="0" applyFont="1" applyBorder="1"/>
    <xf numFmtId="164" fontId="19" fillId="0" borderId="2" xfId="1" applyFont="1" applyBorder="1" applyAlignment="1">
      <alignment horizontal="center"/>
    </xf>
    <xf numFmtId="16" fontId="0" fillId="0" borderId="0" xfId="0" applyNumberFormat="1"/>
    <xf numFmtId="0" fontId="18" fillId="2" borderId="33" xfId="0" applyFont="1" applyFill="1" applyBorder="1"/>
    <xf numFmtId="0" fontId="26" fillId="0" borderId="11" xfId="0" applyFont="1" applyBorder="1"/>
    <xf numFmtId="0" fontId="26" fillId="10" borderId="0" xfId="0" applyFont="1" applyFill="1"/>
    <xf numFmtId="0" fontId="26" fillId="11" borderId="0" xfId="0" applyFont="1" applyFill="1"/>
    <xf numFmtId="0" fontId="31" fillId="0" borderId="5" xfId="0" applyFont="1" applyBorder="1"/>
    <xf numFmtId="0" fontId="3" fillId="2" borderId="11" xfId="0" applyFont="1" applyFill="1" applyBorder="1"/>
    <xf numFmtId="0" fontId="26" fillId="0" borderId="31" xfId="0" applyFont="1" applyBorder="1" applyAlignment="1">
      <alignment horizontal="center"/>
    </xf>
    <xf numFmtId="1" fontId="26" fillId="2" borderId="34" xfId="0" applyNumberFormat="1" applyFont="1" applyFill="1" applyBorder="1"/>
    <xf numFmtId="1" fontId="26" fillId="9" borderId="38" xfId="0" applyNumberFormat="1" applyFont="1" applyFill="1" applyBorder="1"/>
    <xf numFmtId="1" fontId="26" fillId="9" borderId="39" xfId="0" applyNumberFormat="1" applyFont="1" applyFill="1" applyBorder="1"/>
    <xf numFmtId="0" fontId="18" fillId="2" borderId="11" xfId="0" applyFont="1" applyFill="1" applyBorder="1"/>
    <xf numFmtId="1" fontId="0" fillId="0" borderId="5" xfId="0" applyNumberFormat="1" applyBorder="1"/>
    <xf numFmtId="171" fontId="0" fillId="0" borderId="0" xfId="0" applyNumberFormat="1"/>
    <xf numFmtId="1" fontId="26" fillId="2" borderId="13" xfId="0" applyNumberFormat="1" applyFont="1" applyFill="1" applyBorder="1"/>
    <xf numFmtId="0" fontId="0" fillId="10" borderId="5" xfId="0" applyFill="1" applyBorder="1"/>
    <xf numFmtId="0" fontId="14" fillId="5" borderId="9" xfId="0" applyFont="1" applyFill="1" applyBorder="1" applyAlignment="1">
      <alignment horizontal="center" vertical="center"/>
    </xf>
    <xf numFmtId="4" fontId="18" fillId="0" borderId="11" xfId="0" applyNumberFormat="1" applyFont="1" applyBorder="1"/>
    <xf numFmtId="1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2" fontId="9" fillId="4" borderId="42" xfId="0" applyNumberFormat="1" applyFont="1" applyFill="1" applyBorder="1" applyAlignment="1">
      <alignment horizontal="center" vertical="center"/>
    </xf>
    <xf numFmtId="164" fontId="9" fillId="4" borderId="42" xfId="1" applyFont="1" applyFill="1" applyBorder="1" applyAlignment="1">
      <alignment horizontal="center" vertical="center"/>
    </xf>
    <xf numFmtId="164" fontId="9" fillId="4" borderId="43" xfId="1" applyFont="1" applyFill="1" applyBorder="1" applyAlignment="1">
      <alignment horizontal="center" vertical="center"/>
    </xf>
    <xf numFmtId="164" fontId="9" fillId="4" borderId="44" xfId="1" applyFont="1" applyFill="1" applyBorder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7" fillId="0" borderId="0" xfId="0" applyFont="1"/>
    <xf numFmtId="1" fontId="26" fillId="2" borderId="5" xfId="1" applyNumberFormat="1" applyFont="1" applyFill="1" applyBorder="1" applyAlignment="1">
      <alignment vertical="center"/>
    </xf>
    <xf numFmtId="1" fontId="26" fillId="2" borderId="10" xfId="0" applyNumberFormat="1" applyFont="1" applyFill="1" applyBorder="1"/>
    <xf numFmtId="1" fontId="26" fillId="2" borderId="11" xfId="0" applyNumberFormat="1" applyFont="1" applyFill="1" applyBorder="1"/>
    <xf numFmtId="1" fontId="26" fillId="2" borderId="17" xfId="1" applyNumberFormat="1" applyFont="1" applyFill="1" applyBorder="1" applyAlignment="1">
      <alignment vertical="center"/>
    </xf>
    <xf numFmtId="0" fontId="18" fillId="0" borderId="10" xfId="0" applyFont="1" applyBorder="1"/>
    <xf numFmtId="0" fontId="18" fillId="2" borderId="10" xfId="0" applyFont="1" applyFill="1" applyBorder="1"/>
    <xf numFmtId="0" fontId="18" fillId="0" borderId="27" xfId="0" applyFont="1" applyBorder="1"/>
    <xf numFmtId="0" fontId="0" fillId="2" borderId="0" xfId="0" applyFill="1"/>
    <xf numFmtId="2" fontId="32" fillId="2" borderId="5" xfId="0" applyNumberFormat="1" applyFont="1" applyFill="1" applyBorder="1" applyAlignment="1">
      <alignment horizontal="center" vertical="center"/>
    </xf>
    <xf numFmtId="171" fontId="0" fillId="0" borderId="5" xfId="0" applyNumberFormat="1" applyBorder="1"/>
    <xf numFmtId="0" fontId="32" fillId="12" borderId="5" xfId="0" applyFont="1" applyFill="1" applyBorder="1" applyAlignment="1">
      <alignment horizontal="center" vertical="center" wrapText="1"/>
    </xf>
    <xf numFmtId="2" fontId="32" fillId="12" borderId="5" xfId="0" applyNumberFormat="1" applyFont="1" applyFill="1" applyBorder="1" applyAlignment="1">
      <alignment horizontal="left" vertical="center" wrapText="1"/>
    </xf>
    <xf numFmtId="2" fontId="32" fillId="12" borderId="5" xfId="0" applyNumberFormat="1" applyFont="1" applyFill="1" applyBorder="1" applyAlignment="1">
      <alignment horizontal="center" vertical="center" wrapText="1"/>
    </xf>
    <xf numFmtId="2" fontId="32" fillId="12" borderId="5" xfId="0" applyNumberFormat="1" applyFont="1" applyFill="1" applyBorder="1" applyAlignment="1">
      <alignment horizontal="center" vertical="center"/>
    </xf>
    <xf numFmtId="14" fontId="32" fillId="12" borderId="5" xfId="0" applyNumberFormat="1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 wrapText="1"/>
    </xf>
    <xf numFmtId="2" fontId="32" fillId="2" borderId="5" xfId="0" applyNumberFormat="1" applyFont="1" applyFill="1" applyBorder="1" applyAlignment="1">
      <alignment horizontal="left" vertical="center" wrapText="1"/>
    </xf>
    <xf numFmtId="2" fontId="32" fillId="2" borderId="5" xfId="0" applyNumberFormat="1" applyFont="1" applyFill="1" applyBorder="1" applyAlignment="1">
      <alignment horizontal="center" vertical="center" wrapText="1"/>
    </xf>
    <xf numFmtId="2" fontId="35" fillId="2" borderId="5" xfId="0" applyNumberFormat="1" applyFont="1" applyFill="1" applyBorder="1" applyAlignment="1">
      <alignment horizontal="center" vertical="center" wrapText="1"/>
    </xf>
    <xf numFmtId="14" fontId="32" fillId="2" borderId="5" xfId="0" applyNumberFormat="1" applyFont="1" applyFill="1" applyBorder="1" applyAlignment="1">
      <alignment horizontal="center" vertical="center"/>
    </xf>
    <xf numFmtId="0" fontId="34" fillId="7" borderId="5" xfId="0" applyFont="1" applyFill="1" applyBorder="1"/>
    <xf numFmtId="0" fontId="34" fillId="6" borderId="5" xfId="0" applyFont="1" applyFill="1" applyBorder="1"/>
    <xf numFmtId="171" fontId="18" fillId="0" borderId="5" xfId="0" applyNumberFormat="1" applyFont="1" applyBorder="1"/>
    <xf numFmtId="0" fontId="34" fillId="9" borderId="5" xfId="0" applyFont="1" applyFill="1" applyBorder="1"/>
    <xf numFmtId="0" fontId="18" fillId="0" borderId="21" xfId="0" applyFont="1" applyBorder="1"/>
    <xf numFmtId="4" fontId="0" fillId="0" borderId="5" xfId="0" applyNumberFormat="1" applyBorder="1" applyAlignment="1">
      <alignment horizontal="right"/>
    </xf>
    <xf numFmtId="2" fontId="5" fillId="0" borderId="13" xfId="0" applyNumberFormat="1" applyFont="1" applyBorder="1"/>
    <xf numFmtId="0" fontId="3" fillId="0" borderId="23" xfId="0" applyFont="1" applyBorder="1"/>
    <xf numFmtId="0" fontId="3" fillId="0" borderId="5" xfId="0" quotePrefix="1" applyFont="1" applyBorder="1" applyAlignment="1">
      <alignment horizontal="center"/>
    </xf>
    <xf numFmtId="2" fontId="5" fillId="0" borderId="24" xfId="0" applyNumberFormat="1" applyFont="1" applyBorder="1"/>
    <xf numFmtId="0" fontId="36" fillId="0" borderId="5" xfId="0" applyFont="1" applyBorder="1"/>
    <xf numFmtId="0" fontId="3" fillId="0" borderId="5" xfId="0" quotePrefix="1" applyFont="1" applyBorder="1"/>
    <xf numFmtId="0" fontId="3" fillId="0" borderId="24" xfId="0" applyFont="1" applyBorder="1"/>
    <xf numFmtId="1" fontId="3" fillId="0" borderId="5" xfId="0" quotePrefix="1" applyNumberFormat="1" applyFont="1" applyBorder="1"/>
    <xf numFmtId="0" fontId="3" fillId="0" borderId="13" xfId="0" quotePrefix="1" applyFont="1" applyBorder="1"/>
    <xf numFmtId="171" fontId="5" fillId="0" borderId="12" xfId="0" applyNumberFormat="1" applyFont="1" applyBorder="1"/>
    <xf numFmtId="2" fontId="0" fillId="0" borderId="23" xfId="0" applyNumberFormat="1" applyBorder="1" applyAlignment="1">
      <alignment horizontal="right"/>
    </xf>
    <xf numFmtId="2" fontId="0" fillId="0" borderId="45" xfId="0" applyNumberFormat="1" applyBorder="1" applyAlignment="1">
      <alignment horizontal="right"/>
    </xf>
    <xf numFmtId="2" fontId="0" fillId="0" borderId="40" xfId="0" applyNumberFormat="1" applyBorder="1" applyAlignment="1">
      <alignment horizontal="right"/>
    </xf>
    <xf numFmtId="0" fontId="18" fillId="0" borderId="41" xfId="0" applyFont="1" applyBorder="1"/>
    <xf numFmtId="0" fontId="37" fillId="0" borderId="5" xfId="0" applyFont="1" applyBorder="1"/>
    <xf numFmtId="15" fontId="18" fillId="2" borderId="23" xfId="0" applyNumberFormat="1" applyFont="1" applyFill="1" applyBorder="1"/>
    <xf numFmtId="0" fontId="18" fillId="0" borderId="23" xfId="0" applyFont="1" applyBorder="1"/>
    <xf numFmtId="1" fontId="26" fillId="2" borderId="12" xfId="0" applyNumberFormat="1" applyFont="1" applyFill="1" applyBorder="1"/>
    <xf numFmtId="166" fontId="24" fillId="0" borderId="5" xfId="0" applyNumberFormat="1" applyFont="1" applyBorder="1" applyAlignment="1">
      <alignment horizontal="center" indent="1"/>
    </xf>
    <xf numFmtId="164" fontId="3" fillId="0" borderId="10" xfId="1" applyFont="1" applyBorder="1" applyAlignment="1">
      <alignment horizontal="center" vertical="top"/>
    </xf>
    <xf numFmtId="0" fontId="18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vertical="center"/>
    </xf>
    <xf numFmtId="166" fontId="24" fillId="0" borderId="12" xfId="0" applyNumberFormat="1" applyFont="1" applyBorder="1" applyAlignment="1">
      <alignment horizontal="left" indent="1"/>
    </xf>
    <xf numFmtId="166" fontId="24" fillId="0" borderId="5" xfId="0" applyNumberFormat="1" applyFont="1" applyBorder="1" applyAlignment="1">
      <alignment horizontal="left" indent="1"/>
    </xf>
    <xf numFmtId="0" fontId="18" fillId="0" borderId="2" xfId="0" applyFont="1" applyBorder="1"/>
    <xf numFmtId="4" fontId="18" fillId="0" borderId="21" xfId="0" applyNumberFormat="1" applyFont="1" applyBorder="1"/>
    <xf numFmtId="0" fontId="18" fillId="0" borderId="7" xfId="0" applyFont="1" applyBorder="1"/>
    <xf numFmtId="2" fontId="0" fillId="2" borderId="13" xfId="0" applyNumberFormat="1" applyFill="1" applyBorder="1" applyAlignment="1">
      <alignment horizontal="right"/>
    </xf>
    <xf numFmtId="2" fontId="0" fillId="0" borderId="33" xfId="0" applyNumberFormat="1" applyBorder="1" applyAlignment="1">
      <alignment horizontal="right"/>
    </xf>
    <xf numFmtId="2" fontId="0" fillId="0" borderId="27" xfId="0" applyNumberFormat="1" applyBorder="1" applyAlignment="1">
      <alignment horizontal="right"/>
    </xf>
    <xf numFmtId="0" fontId="18" fillId="0" borderId="10" xfId="0" applyFont="1" applyBorder="1" applyAlignment="1">
      <alignment wrapText="1"/>
    </xf>
    <xf numFmtId="0" fontId="18" fillId="0" borderId="25" xfId="0" applyFont="1" applyBorder="1"/>
    <xf numFmtId="0" fontId="18" fillId="2" borderId="27" xfId="0" applyFont="1" applyFill="1" applyBorder="1"/>
    <xf numFmtId="0" fontId="24" fillId="0" borderId="5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/>
    <xf numFmtId="0" fontId="18" fillId="0" borderId="40" xfId="0" applyFont="1" applyBorder="1"/>
    <xf numFmtId="0" fontId="3" fillId="0" borderId="5" xfId="0" quotePrefix="1" applyFont="1" applyBorder="1" applyAlignment="1">
      <alignment horizontal="center" wrapText="1"/>
    </xf>
    <xf numFmtId="0" fontId="18" fillId="0" borderId="8" xfId="0" applyFont="1" applyBorder="1"/>
    <xf numFmtId="166" fontId="3" fillId="10" borderId="5" xfId="0" applyNumberFormat="1" applyFont="1" applyFill="1" applyBorder="1"/>
    <xf numFmtId="164" fontId="29" fillId="10" borderId="5" xfId="1" applyFont="1" applyFill="1" applyBorder="1" applyAlignment="1">
      <alignment vertical="center"/>
    </xf>
    <xf numFmtId="0" fontId="18" fillId="0" borderId="24" xfId="0" applyFont="1" applyBorder="1"/>
    <xf numFmtId="0" fontId="18" fillId="0" borderId="4" xfId="0" applyFont="1" applyBorder="1"/>
    <xf numFmtId="0" fontId="18" fillId="0" borderId="46" xfId="0" applyFont="1" applyBorder="1"/>
    <xf numFmtId="2" fontId="0" fillId="10" borderId="5" xfId="0" applyNumberFormat="1" applyFill="1" applyBorder="1"/>
    <xf numFmtId="2" fontId="38" fillId="10" borderId="5" xfId="0" applyNumberFormat="1" applyFont="1" applyFill="1" applyBorder="1"/>
    <xf numFmtId="3" fontId="0" fillId="0" borderId="0" xfId="0" applyNumberFormat="1"/>
    <xf numFmtId="166" fontId="39" fillId="0" borderId="5" xfId="0" applyNumberFormat="1" applyFont="1" applyBorder="1" applyAlignment="1">
      <alignment horizontal="center"/>
    </xf>
    <xf numFmtId="4" fontId="18" fillId="0" borderId="33" xfId="0" applyNumberFormat="1" applyFont="1" applyBorder="1"/>
    <xf numFmtId="0" fontId="23" fillId="10" borderId="11" xfId="0" applyFont="1" applyFill="1" applyBorder="1" applyAlignment="1">
      <alignment horizontal="center" vertical="center"/>
    </xf>
    <xf numFmtId="2" fontId="0" fillId="0" borderId="10" xfId="0" applyNumberFormat="1" applyBorder="1" applyAlignment="1">
      <alignment horizontal="right"/>
    </xf>
    <xf numFmtId="4" fontId="0" fillId="0" borderId="13" xfId="0" applyNumberFormat="1" applyBorder="1" applyAlignment="1">
      <alignment horizontal="right"/>
    </xf>
    <xf numFmtId="0" fontId="18" fillId="10" borderId="5" xfId="0" applyFont="1" applyFill="1" applyBorder="1"/>
    <xf numFmtId="0" fontId="4" fillId="0" borderId="0" xfId="0" applyFont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2" fontId="32" fillId="12" borderId="5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27" fillId="9" borderId="35" xfId="0" applyFont="1" applyFill="1" applyBorder="1" applyAlignment="1">
      <alignment horizontal="center"/>
    </xf>
    <xf numFmtId="0" fontId="27" fillId="9" borderId="36" xfId="0" applyFont="1" applyFill="1" applyBorder="1" applyAlignment="1">
      <alignment horizontal="center"/>
    </xf>
    <xf numFmtId="0" fontId="27" fillId="9" borderId="3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4" fillId="5" borderId="4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4" fillId="5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4" fillId="5" borderId="0" xfId="0" applyFont="1" applyFill="1" applyAlignment="1">
      <alignment horizontal="center" wrapText="1"/>
    </xf>
    <xf numFmtId="0" fontId="4" fillId="0" borderId="21" xfId="0" applyFont="1" applyBorder="1" applyAlignment="1">
      <alignment horizontal="center"/>
    </xf>
    <xf numFmtId="0" fontId="14" fillId="5" borderId="0" xfId="0" applyFont="1" applyFill="1" applyAlignment="1">
      <alignment horizontal="center"/>
    </xf>
    <xf numFmtId="43" fontId="4" fillId="0" borderId="0" xfId="0" applyNumberFormat="1" applyFont="1" applyAlignment="1">
      <alignment horizontal="center" vertical="center"/>
    </xf>
    <xf numFmtId="2" fontId="14" fillId="5" borderId="10" xfId="0" applyNumberFormat="1" applyFont="1" applyFill="1" applyBorder="1" applyAlignment="1">
      <alignment horizontal="center" vertical="center"/>
    </xf>
    <xf numFmtId="2" fontId="14" fillId="5" borderId="21" xfId="0" applyNumberFormat="1" applyFont="1" applyFill="1" applyBorder="1" applyAlignment="1">
      <alignment horizontal="center" vertical="center"/>
    </xf>
    <xf numFmtId="2" fontId="14" fillId="5" borderId="11" xfId="0" applyNumberFormat="1" applyFont="1" applyFill="1" applyBorder="1" applyAlignment="1">
      <alignment horizontal="center" vertical="center"/>
    </xf>
    <xf numFmtId="2" fontId="4" fillId="2" borderId="10" xfId="0" applyNumberFormat="1" applyFont="1" applyFill="1" applyBorder="1" applyAlignment="1">
      <alignment horizontal="center" vertical="center"/>
    </xf>
    <xf numFmtId="2" fontId="4" fillId="2" borderId="21" xfId="0" applyNumberFormat="1" applyFont="1" applyFill="1" applyBorder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14" fillId="5" borderId="5" xfId="0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43" fontId="4" fillId="2" borderId="10" xfId="0" applyNumberFormat="1" applyFont="1" applyFill="1" applyBorder="1" applyAlignment="1">
      <alignment horizontal="center" vertical="center"/>
    </xf>
    <xf numFmtId="43" fontId="4" fillId="2" borderId="11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ECDA2E53-E796-4FA2-B0EA-83016F93297E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4" dT="2026-03-20T10:54:48.01" personId="{ECDA2E53-E796-4FA2-B0EA-83016F93297E}" id="{B68CA3D8-A5D3-4B1C-A2C1-48D51CD71136}">
    <text xml:space="preserve">Sangareddy Site Visited by MIS Team
</text>
  </threadedComment>
  <threadedComment ref="L45" dT="2026-03-20T11:27:24.75" personId="{ECDA2E53-E796-4FA2-B0EA-83016F93297E}" id="{F24533A0-9DA3-401B-B748-BF6A3E41DC6B}">
    <text xml:space="preserve">Redeem Cash
</text>
  </threadedComment>
  <threadedComment ref="E49" dT="2026-03-20T11:11:19.71" personId="{ECDA2E53-E796-4FA2-B0EA-83016F93297E}" id="{92D15538-18D9-4425-BFA7-1CCE6425034F}">
    <text xml:space="preserve">YG Gudato Ho
HO To YG Guddq
Boloro 1405
</text>
  </threadedComment>
  <threadedComment ref="L73" dT="2026-04-03T11:04:11.94" personId="{ECDA2E53-E796-4FA2-B0EA-83016F93297E}" id="{E0BCBD63-6A06-404E-B242-1A9E223A7834}">
    <text>Redeem Cash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6" dT="2026-03-20T12:23:24.71" personId="{ECDA2E53-E796-4FA2-B0EA-83016F93297E}" id="{ACD19876-CFAE-485B-8AD5-2DBAE375E1CD}">
    <text>Redeem Cash</text>
  </threadedComment>
</ThreadedComments>
</file>

<file path=xl/worksheets/_rels/sheet5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C797-301E-4D70-B954-BDEBA92A43C0}">
  <dimension ref="A2:AM18"/>
  <sheetViews>
    <sheetView workbookViewId="0">
      <pane xSplit="5" topLeftCell="AW1" activePane="topRight" state="frozen"/>
      <selection pane="topRight" activeCell="AF19" sqref="AF19"/>
    </sheetView>
  </sheetViews>
  <sheetFormatPr defaultRowHeight="15"/>
  <cols>
    <col min="2" max="2" width="16" bestFit="1" customWidth="1"/>
    <col min="3" max="3" width="17.42578125" bestFit="1" customWidth="1"/>
    <col min="4" max="4" width="24.85546875" customWidth="1"/>
    <col min="5" max="5" width="18" customWidth="1"/>
    <col min="7" max="7" width="11.28515625" bestFit="1" customWidth="1"/>
    <col min="8" max="8" width="11.140625" bestFit="1" customWidth="1"/>
  </cols>
  <sheetData>
    <row r="2" spans="1:39">
      <c r="A2" s="376" t="s">
        <v>0</v>
      </c>
      <c r="B2" s="377" t="s">
        <v>1</v>
      </c>
      <c r="C2" s="378" t="s">
        <v>2</v>
      </c>
      <c r="D2" s="378" t="s">
        <v>3</v>
      </c>
      <c r="E2" s="378" t="s">
        <v>3</v>
      </c>
      <c r="F2" s="378" t="s">
        <v>4</v>
      </c>
      <c r="G2" s="450" t="s">
        <v>5</v>
      </c>
      <c r="H2" s="450"/>
      <c r="I2" s="379" t="s">
        <v>6</v>
      </c>
      <c r="J2" s="379" t="s">
        <v>7</v>
      </c>
      <c r="K2" s="379" t="s">
        <v>8</v>
      </c>
      <c r="L2" s="379" t="s">
        <v>9</v>
      </c>
      <c r="M2" s="379" t="s">
        <v>10</v>
      </c>
      <c r="N2" s="379" t="s">
        <v>11</v>
      </c>
      <c r="O2" s="379" t="s">
        <v>12</v>
      </c>
      <c r="P2" s="379" t="s">
        <v>13</v>
      </c>
      <c r="Q2" s="379" t="s">
        <v>14</v>
      </c>
      <c r="R2" s="379" t="s">
        <v>15</v>
      </c>
      <c r="S2" s="379" t="s">
        <v>16</v>
      </c>
      <c r="T2" s="379" t="s">
        <v>17</v>
      </c>
      <c r="U2" s="379" t="s">
        <v>18</v>
      </c>
      <c r="V2" s="379" t="s">
        <v>19</v>
      </c>
      <c r="W2" s="379" t="s">
        <v>20</v>
      </c>
      <c r="X2" s="379" t="s">
        <v>21</v>
      </c>
      <c r="Y2" s="379" t="s">
        <v>22</v>
      </c>
      <c r="Z2" s="379" t="s">
        <v>23</v>
      </c>
      <c r="AA2" s="379" t="s">
        <v>24</v>
      </c>
      <c r="AB2" s="379" t="s">
        <v>25</v>
      </c>
      <c r="AC2" s="379" t="s">
        <v>26</v>
      </c>
      <c r="AD2" s="379" t="s">
        <v>27</v>
      </c>
      <c r="AE2" s="379" t="s">
        <v>28</v>
      </c>
      <c r="AF2" s="379" t="s">
        <v>29</v>
      </c>
      <c r="AG2" s="379" t="s">
        <v>30</v>
      </c>
      <c r="AH2" s="379" t="s">
        <v>31</v>
      </c>
      <c r="AI2" s="379" t="s">
        <v>32</v>
      </c>
      <c r="AJ2" s="379" t="s">
        <v>33</v>
      </c>
      <c r="AK2" s="379" t="s">
        <v>34</v>
      </c>
      <c r="AL2" s="379" t="s">
        <v>35</v>
      </c>
      <c r="AM2" s="380" t="s">
        <v>36</v>
      </c>
    </row>
    <row r="3" spans="1:39" s="373" customFormat="1">
      <c r="A3" s="381"/>
      <c r="B3" s="382"/>
      <c r="C3" s="383"/>
      <c r="D3" s="383"/>
      <c r="E3" s="383"/>
      <c r="F3" s="384" t="s">
        <v>37</v>
      </c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4"/>
      <c r="AJ3" s="374"/>
      <c r="AK3" s="374"/>
      <c r="AL3" s="374"/>
      <c r="AM3" s="385"/>
    </row>
    <row r="4" spans="1:39" ht="15.75">
      <c r="A4" s="449">
        <v>1</v>
      </c>
      <c r="B4" s="448" t="s">
        <v>38</v>
      </c>
      <c r="C4" s="448" t="s">
        <v>39</v>
      </c>
      <c r="D4" s="451" t="s">
        <v>40</v>
      </c>
      <c r="E4" s="386" t="s">
        <v>37</v>
      </c>
      <c r="F4" s="375">
        <v>0</v>
      </c>
      <c r="G4" s="375">
        <v>0</v>
      </c>
      <c r="H4" s="375">
        <v>0</v>
      </c>
      <c r="I4" s="375">
        <v>0</v>
      </c>
      <c r="J4" s="375">
        <v>0</v>
      </c>
      <c r="K4" s="375">
        <v>0</v>
      </c>
      <c r="L4" s="375">
        <v>0</v>
      </c>
      <c r="M4" s="375">
        <v>0</v>
      </c>
      <c r="N4" s="375">
        <v>0</v>
      </c>
      <c r="O4" s="375">
        <v>0</v>
      </c>
      <c r="P4" s="375">
        <v>0</v>
      </c>
      <c r="Q4" s="375">
        <v>0</v>
      </c>
      <c r="R4" s="375">
        <v>0</v>
      </c>
      <c r="S4" s="375">
        <v>0</v>
      </c>
      <c r="T4" s="375">
        <v>0</v>
      </c>
      <c r="U4" s="375">
        <v>0</v>
      </c>
      <c r="V4" s="375">
        <v>0</v>
      </c>
      <c r="W4" s="375">
        <v>0</v>
      </c>
      <c r="X4" s="375">
        <v>5.22</v>
      </c>
      <c r="Y4" s="375">
        <v>0</v>
      </c>
      <c r="Z4" s="375">
        <v>0</v>
      </c>
      <c r="AA4" s="375">
        <v>0</v>
      </c>
      <c r="AB4" s="375">
        <v>0</v>
      </c>
      <c r="AC4" s="375">
        <v>0</v>
      </c>
      <c r="AD4" s="375">
        <v>60</v>
      </c>
      <c r="AE4" s="375">
        <v>0</v>
      </c>
      <c r="AF4" s="375">
        <v>0</v>
      </c>
      <c r="AG4" s="375">
        <v>0</v>
      </c>
      <c r="AH4" s="375">
        <v>4.5599999999999996</v>
      </c>
      <c r="AI4" s="375">
        <v>0</v>
      </c>
      <c r="AJ4" s="375">
        <v>0</v>
      </c>
      <c r="AK4" s="375">
        <v>0</v>
      </c>
      <c r="AL4" s="375">
        <v>0</v>
      </c>
      <c r="AM4" s="375">
        <f>SUM(F4:AL4)</f>
        <v>69.78</v>
      </c>
    </row>
    <row r="5" spans="1:39" ht="15.75">
      <c r="A5" s="449"/>
      <c r="B5" s="448"/>
      <c r="C5" s="448"/>
      <c r="D5" s="451"/>
      <c r="E5" s="387" t="s">
        <v>41</v>
      </c>
      <c r="F5" s="375">
        <v>0</v>
      </c>
      <c r="G5" s="375">
        <v>4.6900000000000004</v>
      </c>
      <c r="H5" s="375">
        <v>0</v>
      </c>
      <c r="I5" s="375">
        <v>0</v>
      </c>
      <c r="J5" s="375">
        <v>0</v>
      </c>
      <c r="K5" s="375">
        <v>0</v>
      </c>
      <c r="L5" s="375">
        <v>0</v>
      </c>
      <c r="M5" s="375">
        <v>0</v>
      </c>
      <c r="N5" s="375">
        <v>3.91</v>
      </c>
      <c r="O5" s="375">
        <v>0</v>
      </c>
      <c r="P5" s="375">
        <v>6.98</v>
      </c>
      <c r="Q5" s="375">
        <v>0</v>
      </c>
      <c r="R5" s="375">
        <v>0</v>
      </c>
      <c r="S5" s="375">
        <v>0</v>
      </c>
      <c r="T5" s="375">
        <v>0</v>
      </c>
      <c r="U5" s="375">
        <v>0</v>
      </c>
      <c r="V5" s="375">
        <v>0</v>
      </c>
      <c r="W5" s="375">
        <v>0</v>
      </c>
      <c r="X5" s="375">
        <v>0</v>
      </c>
      <c r="Y5" s="375">
        <v>0</v>
      </c>
      <c r="Z5" s="375">
        <v>0</v>
      </c>
      <c r="AA5" s="375"/>
      <c r="AB5" s="375">
        <v>0</v>
      </c>
      <c r="AC5" s="388">
        <v>0</v>
      </c>
      <c r="AD5" s="375">
        <v>0</v>
      </c>
      <c r="AE5" s="375">
        <v>0</v>
      </c>
      <c r="AF5" s="375">
        <v>0</v>
      </c>
      <c r="AG5" s="375">
        <v>0</v>
      </c>
      <c r="AH5" s="375">
        <v>0</v>
      </c>
      <c r="AI5" s="375">
        <v>0</v>
      </c>
      <c r="AJ5" s="375">
        <v>0</v>
      </c>
      <c r="AK5" s="375">
        <v>0</v>
      </c>
      <c r="AL5" s="375">
        <v>0</v>
      </c>
      <c r="AM5" s="375">
        <f t="shared" ref="AM5:AM15" si="0">SUM(F5:AL5)</f>
        <v>15.580000000000002</v>
      </c>
    </row>
    <row r="6" spans="1:39" ht="15.75">
      <c r="A6" s="449">
        <v>2</v>
      </c>
      <c r="B6" s="448" t="s">
        <v>42</v>
      </c>
      <c r="C6" s="448" t="s">
        <v>43</v>
      </c>
      <c r="D6" s="451" t="s">
        <v>44</v>
      </c>
      <c r="E6" s="389" t="s">
        <v>37</v>
      </c>
      <c r="F6" s="375">
        <v>0</v>
      </c>
      <c r="G6" s="375">
        <v>0</v>
      </c>
      <c r="H6" s="375">
        <v>0</v>
      </c>
      <c r="I6" s="375">
        <v>0</v>
      </c>
      <c r="J6" s="375">
        <v>0</v>
      </c>
      <c r="K6" s="375">
        <v>0</v>
      </c>
      <c r="L6" s="375">
        <v>0</v>
      </c>
      <c r="M6" s="375">
        <v>0</v>
      </c>
      <c r="N6" s="375">
        <v>0</v>
      </c>
      <c r="O6" s="375">
        <v>0</v>
      </c>
      <c r="P6" s="375">
        <v>0</v>
      </c>
      <c r="Q6" s="375">
        <v>0</v>
      </c>
      <c r="R6" s="375">
        <v>0</v>
      </c>
      <c r="S6" s="375">
        <v>0</v>
      </c>
      <c r="T6" s="375">
        <v>0</v>
      </c>
      <c r="U6" s="375">
        <v>0</v>
      </c>
      <c r="V6" s="375">
        <v>0</v>
      </c>
      <c r="W6" s="375">
        <v>0</v>
      </c>
      <c r="X6" s="375">
        <v>0</v>
      </c>
      <c r="Y6" s="375">
        <v>0</v>
      </c>
      <c r="Z6" s="375">
        <v>0</v>
      </c>
      <c r="AA6" s="375">
        <v>0</v>
      </c>
      <c r="AB6" s="375">
        <v>0</v>
      </c>
      <c r="AC6" s="375">
        <v>0</v>
      </c>
      <c r="AD6" s="375">
        <v>0</v>
      </c>
      <c r="AE6" s="375">
        <v>0</v>
      </c>
      <c r="AF6" s="375">
        <v>0</v>
      </c>
      <c r="AG6" s="375">
        <v>0</v>
      </c>
      <c r="AH6" s="375">
        <v>0</v>
      </c>
      <c r="AI6" s="375">
        <v>0</v>
      </c>
      <c r="AJ6" s="375">
        <v>0</v>
      </c>
      <c r="AK6" s="375">
        <v>0</v>
      </c>
      <c r="AL6" s="375">
        <v>0</v>
      </c>
      <c r="AM6" s="375">
        <f t="shared" si="0"/>
        <v>0</v>
      </c>
    </row>
    <row r="7" spans="1:39" ht="15.75">
      <c r="A7" s="449"/>
      <c r="B7" s="448"/>
      <c r="C7" s="448"/>
      <c r="D7" s="451"/>
      <c r="E7" s="387" t="s">
        <v>41</v>
      </c>
      <c r="F7" s="375">
        <v>0</v>
      </c>
      <c r="G7" s="375">
        <v>0</v>
      </c>
      <c r="H7" s="375">
        <v>0</v>
      </c>
      <c r="I7" s="375">
        <v>0</v>
      </c>
      <c r="J7" s="375">
        <v>0</v>
      </c>
      <c r="K7" s="375">
        <v>0</v>
      </c>
      <c r="L7" s="375">
        <v>0</v>
      </c>
      <c r="M7" s="375">
        <v>0</v>
      </c>
      <c r="N7" s="375">
        <v>0</v>
      </c>
      <c r="O7" s="375">
        <v>0</v>
      </c>
      <c r="P7" s="375">
        <v>0</v>
      </c>
      <c r="Q7" s="375">
        <v>0</v>
      </c>
      <c r="R7" s="375">
        <v>0</v>
      </c>
      <c r="S7" s="375">
        <v>0</v>
      </c>
      <c r="T7" s="375">
        <v>0</v>
      </c>
      <c r="U7" s="375">
        <v>0</v>
      </c>
      <c r="V7" s="375">
        <v>0</v>
      </c>
      <c r="W7" s="375">
        <v>0</v>
      </c>
      <c r="X7" s="375">
        <v>0</v>
      </c>
      <c r="Y7" s="375">
        <v>0</v>
      </c>
      <c r="Z7" s="375">
        <v>0</v>
      </c>
      <c r="AA7" s="375"/>
      <c r="AB7" s="375">
        <v>0</v>
      </c>
      <c r="AC7" s="388">
        <v>0</v>
      </c>
      <c r="AD7" s="375">
        <v>0</v>
      </c>
      <c r="AE7" s="375">
        <v>0</v>
      </c>
      <c r="AF7" s="375">
        <v>0</v>
      </c>
      <c r="AG7" s="375">
        <v>0</v>
      </c>
      <c r="AH7" s="375">
        <v>0</v>
      </c>
      <c r="AI7" s="375">
        <v>0</v>
      </c>
      <c r="AJ7" s="375">
        <v>0</v>
      </c>
      <c r="AK7" s="375">
        <v>0</v>
      </c>
      <c r="AL7" s="375">
        <v>0</v>
      </c>
      <c r="AM7" s="375">
        <f t="shared" si="0"/>
        <v>0</v>
      </c>
    </row>
    <row r="8" spans="1:39" ht="15.75">
      <c r="A8" s="449">
        <v>3</v>
      </c>
      <c r="B8" s="448" t="s">
        <v>45</v>
      </c>
      <c r="C8" s="448" t="s">
        <v>43</v>
      </c>
      <c r="D8" s="451" t="s">
        <v>46</v>
      </c>
      <c r="E8" s="389" t="s">
        <v>37</v>
      </c>
      <c r="F8" s="375">
        <v>0</v>
      </c>
      <c r="G8" s="375">
        <v>0</v>
      </c>
      <c r="H8" s="375">
        <v>0</v>
      </c>
      <c r="I8" s="375">
        <v>0</v>
      </c>
      <c r="J8" s="375">
        <v>33.44</v>
      </c>
      <c r="K8" s="375">
        <v>0</v>
      </c>
      <c r="L8" s="375">
        <v>0</v>
      </c>
      <c r="M8" s="375">
        <v>0</v>
      </c>
      <c r="N8" s="375">
        <v>0</v>
      </c>
      <c r="O8" s="375">
        <v>0</v>
      </c>
      <c r="P8" s="375">
        <v>0</v>
      </c>
      <c r="Q8" s="375">
        <v>0</v>
      </c>
      <c r="R8" s="375">
        <v>35.53</v>
      </c>
      <c r="S8" s="375">
        <v>0</v>
      </c>
      <c r="T8" s="375">
        <v>0</v>
      </c>
      <c r="U8" s="375">
        <v>0</v>
      </c>
      <c r="V8" s="375">
        <v>0</v>
      </c>
      <c r="W8" s="375">
        <v>0</v>
      </c>
      <c r="X8" s="375">
        <v>0</v>
      </c>
      <c r="Y8" s="375">
        <v>0</v>
      </c>
      <c r="Z8" s="375">
        <v>0</v>
      </c>
      <c r="AA8" s="375">
        <v>0</v>
      </c>
      <c r="AB8" s="375">
        <v>33.44</v>
      </c>
      <c r="AC8" s="375">
        <v>0</v>
      </c>
      <c r="AD8" s="375">
        <v>0</v>
      </c>
      <c r="AE8" s="375">
        <v>0</v>
      </c>
      <c r="AF8" s="375">
        <v>0</v>
      </c>
      <c r="AG8" s="375">
        <v>0</v>
      </c>
      <c r="AH8" s="375">
        <v>0</v>
      </c>
      <c r="AI8" s="375">
        <v>0</v>
      </c>
      <c r="AJ8" s="375">
        <v>0</v>
      </c>
      <c r="AK8" s="375">
        <v>0</v>
      </c>
      <c r="AL8" s="375">
        <v>0</v>
      </c>
      <c r="AM8" s="375">
        <f t="shared" si="0"/>
        <v>102.41</v>
      </c>
    </row>
    <row r="9" spans="1:39" ht="15.75">
      <c r="A9" s="449"/>
      <c r="B9" s="448"/>
      <c r="C9" s="448"/>
      <c r="D9" s="451"/>
      <c r="E9" s="387" t="s">
        <v>41</v>
      </c>
      <c r="F9" s="375">
        <v>0</v>
      </c>
      <c r="G9" s="375">
        <v>0</v>
      </c>
      <c r="H9" s="375">
        <v>0</v>
      </c>
      <c r="I9" s="375">
        <v>0</v>
      </c>
      <c r="J9" s="375">
        <v>0</v>
      </c>
      <c r="K9" s="375">
        <v>0</v>
      </c>
      <c r="L9" s="375">
        <v>0</v>
      </c>
      <c r="M9" s="375">
        <v>0</v>
      </c>
      <c r="N9" s="375">
        <v>0</v>
      </c>
      <c r="O9" s="375">
        <v>0</v>
      </c>
      <c r="P9" s="375">
        <v>0</v>
      </c>
      <c r="Q9" s="375">
        <v>0</v>
      </c>
      <c r="R9" s="375">
        <v>0</v>
      </c>
      <c r="S9" s="375">
        <v>0</v>
      </c>
      <c r="T9" s="375">
        <v>0</v>
      </c>
      <c r="U9" s="375">
        <v>0</v>
      </c>
      <c r="V9" s="375">
        <v>0</v>
      </c>
      <c r="W9" s="375">
        <v>0</v>
      </c>
      <c r="X9" s="375">
        <v>0</v>
      </c>
      <c r="Y9" s="375">
        <v>0</v>
      </c>
      <c r="Z9" s="375">
        <v>0</v>
      </c>
      <c r="AA9" s="375"/>
      <c r="AB9" s="375">
        <v>0</v>
      </c>
      <c r="AC9" s="388">
        <v>0</v>
      </c>
      <c r="AD9" s="375">
        <v>0</v>
      </c>
      <c r="AE9" s="375">
        <v>0</v>
      </c>
      <c r="AF9" s="375">
        <v>0</v>
      </c>
      <c r="AG9" s="375">
        <v>0</v>
      </c>
      <c r="AH9" s="375">
        <v>0</v>
      </c>
      <c r="AI9" s="375">
        <v>0</v>
      </c>
      <c r="AJ9" s="375">
        <v>0</v>
      </c>
      <c r="AK9" s="375">
        <v>0</v>
      </c>
      <c r="AL9" s="375">
        <v>0</v>
      </c>
      <c r="AM9" s="375">
        <f t="shared" si="0"/>
        <v>0</v>
      </c>
    </row>
    <row r="10" spans="1:39" ht="15.75">
      <c r="A10" s="449">
        <v>4</v>
      </c>
      <c r="B10" s="448" t="s">
        <v>47</v>
      </c>
      <c r="C10" s="448" t="s">
        <v>43</v>
      </c>
      <c r="D10" s="451" t="s">
        <v>48</v>
      </c>
      <c r="E10" s="389" t="s">
        <v>37</v>
      </c>
      <c r="F10" s="375">
        <v>0</v>
      </c>
      <c r="G10" s="375">
        <v>0</v>
      </c>
      <c r="H10" s="375">
        <v>0</v>
      </c>
      <c r="I10" s="375">
        <v>0</v>
      </c>
      <c r="J10" s="375">
        <v>0</v>
      </c>
      <c r="K10" s="375">
        <v>0</v>
      </c>
      <c r="L10" s="375">
        <v>0</v>
      </c>
      <c r="M10" s="375">
        <v>0</v>
      </c>
      <c r="N10" s="375">
        <v>0</v>
      </c>
      <c r="O10" s="375">
        <v>0</v>
      </c>
      <c r="P10" s="375">
        <v>49.22</v>
      </c>
      <c r="Q10" s="375">
        <v>0</v>
      </c>
      <c r="R10" s="375">
        <v>0</v>
      </c>
      <c r="S10" s="375">
        <v>0</v>
      </c>
      <c r="T10" s="375">
        <v>0</v>
      </c>
      <c r="U10" s="375">
        <v>54.57</v>
      </c>
      <c r="V10" s="375">
        <v>0</v>
      </c>
      <c r="W10" s="375">
        <v>0</v>
      </c>
      <c r="X10" s="375">
        <v>0</v>
      </c>
      <c r="Y10" s="375">
        <v>0</v>
      </c>
      <c r="Z10" s="375">
        <v>0</v>
      </c>
      <c r="AA10" s="375">
        <v>0</v>
      </c>
      <c r="AB10" s="375">
        <v>0</v>
      </c>
      <c r="AC10" s="375">
        <v>0</v>
      </c>
      <c r="AD10" s="375">
        <v>49.8</v>
      </c>
      <c r="AE10" s="375">
        <v>0</v>
      </c>
      <c r="AF10" s="375">
        <v>0</v>
      </c>
      <c r="AG10" s="375">
        <v>0</v>
      </c>
      <c r="AH10" s="375">
        <v>0</v>
      </c>
      <c r="AI10" s="375">
        <v>0</v>
      </c>
      <c r="AJ10" s="375">
        <v>0</v>
      </c>
      <c r="AK10" s="375">
        <v>0</v>
      </c>
      <c r="AL10" s="375">
        <v>0</v>
      </c>
      <c r="AM10" s="375">
        <f t="shared" si="0"/>
        <v>153.58999999999997</v>
      </c>
    </row>
    <row r="11" spans="1:39" ht="15.75">
      <c r="A11" s="449"/>
      <c r="B11" s="448"/>
      <c r="C11" s="448"/>
      <c r="D11" s="451"/>
      <c r="E11" s="387" t="s">
        <v>41</v>
      </c>
      <c r="F11" s="375">
        <v>0</v>
      </c>
      <c r="G11" s="375">
        <v>0</v>
      </c>
      <c r="H11" s="375">
        <v>0</v>
      </c>
      <c r="I11" s="375">
        <v>0</v>
      </c>
      <c r="J11" s="375">
        <v>0</v>
      </c>
      <c r="K11" s="375">
        <v>0</v>
      </c>
      <c r="L11" s="375">
        <v>0</v>
      </c>
      <c r="M11" s="375">
        <v>0</v>
      </c>
      <c r="N11" s="375">
        <v>0</v>
      </c>
      <c r="O11" s="375">
        <v>0</v>
      </c>
      <c r="P11" s="375">
        <v>0</v>
      </c>
      <c r="Q11" s="375">
        <v>0</v>
      </c>
      <c r="R11" s="375">
        <v>0</v>
      </c>
      <c r="S11" s="375">
        <v>0</v>
      </c>
      <c r="T11" s="375">
        <v>0</v>
      </c>
      <c r="U11" s="375">
        <v>0</v>
      </c>
      <c r="V11" s="375">
        <v>0</v>
      </c>
      <c r="W11" s="375">
        <v>0</v>
      </c>
      <c r="X11" s="375">
        <v>0</v>
      </c>
      <c r="Y11" s="375">
        <v>0</v>
      </c>
      <c r="Z11" s="375">
        <v>0</v>
      </c>
      <c r="AA11" s="375"/>
      <c r="AB11" s="375">
        <v>0</v>
      </c>
      <c r="AC11" s="388">
        <v>0</v>
      </c>
      <c r="AD11" s="375">
        <v>0</v>
      </c>
      <c r="AE11" s="375">
        <v>0</v>
      </c>
      <c r="AF11" s="375">
        <v>0</v>
      </c>
      <c r="AG11" s="375">
        <v>0</v>
      </c>
      <c r="AH11" s="375">
        <v>0</v>
      </c>
      <c r="AI11" s="375">
        <v>0</v>
      </c>
      <c r="AJ11" s="375">
        <v>0</v>
      </c>
      <c r="AK11" s="375">
        <v>0</v>
      </c>
      <c r="AL11" s="375">
        <v>0</v>
      </c>
      <c r="AM11" s="375">
        <f t="shared" si="0"/>
        <v>0</v>
      </c>
    </row>
    <row r="12" spans="1:39" ht="15.75">
      <c r="A12" s="449">
        <v>5</v>
      </c>
      <c r="B12" s="448" t="s">
        <v>49</v>
      </c>
      <c r="C12" s="448" t="s">
        <v>50</v>
      </c>
      <c r="D12" s="451" t="s">
        <v>51</v>
      </c>
      <c r="E12" s="389" t="s">
        <v>37</v>
      </c>
      <c r="F12" s="375">
        <v>0</v>
      </c>
      <c r="G12" s="375">
        <v>0</v>
      </c>
      <c r="H12" s="375">
        <v>0</v>
      </c>
      <c r="I12" s="375">
        <v>0</v>
      </c>
      <c r="J12" s="375">
        <v>0</v>
      </c>
      <c r="K12" s="375">
        <v>0</v>
      </c>
      <c r="L12" s="375">
        <v>0</v>
      </c>
      <c r="M12" s="375">
        <v>0</v>
      </c>
      <c r="N12" s="375">
        <v>86.29</v>
      </c>
      <c r="O12" s="375">
        <v>0</v>
      </c>
      <c r="P12" s="375">
        <v>0</v>
      </c>
      <c r="Q12" s="375">
        <v>0</v>
      </c>
      <c r="R12" s="375">
        <v>0</v>
      </c>
      <c r="S12" s="375">
        <v>0</v>
      </c>
      <c r="T12" s="375">
        <v>0</v>
      </c>
      <c r="U12" s="375">
        <v>0</v>
      </c>
      <c r="V12" s="375">
        <v>0</v>
      </c>
      <c r="W12" s="375">
        <v>0</v>
      </c>
      <c r="X12" s="375">
        <v>0</v>
      </c>
      <c r="Y12" s="375">
        <v>0</v>
      </c>
      <c r="Z12" s="375">
        <v>0</v>
      </c>
      <c r="AA12" s="375">
        <v>0</v>
      </c>
      <c r="AB12" s="375">
        <v>0</v>
      </c>
      <c r="AC12" s="375">
        <v>0</v>
      </c>
      <c r="AD12" s="375">
        <v>145.61000000000001</v>
      </c>
      <c r="AE12" s="375">
        <v>0</v>
      </c>
      <c r="AF12" s="375">
        <v>0</v>
      </c>
      <c r="AG12" s="375">
        <v>0</v>
      </c>
      <c r="AH12" s="375">
        <v>0</v>
      </c>
      <c r="AI12" s="375">
        <v>0</v>
      </c>
      <c r="AJ12" s="375">
        <v>0</v>
      </c>
      <c r="AK12" s="375">
        <v>0</v>
      </c>
      <c r="AL12" s="375">
        <v>0</v>
      </c>
      <c r="AM12" s="375">
        <f t="shared" si="0"/>
        <v>231.90000000000003</v>
      </c>
    </row>
    <row r="13" spans="1:39" ht="15.75">
      <c r="A13" s="449"/>
      <c r="B13" s="448"/>
      <c r="C13" s="448"/>
      <c r="D13" s="451"/>
      <c r="E13" s="387" t="s">
        <v>41</v>
      </c>
      <c r="F13" s="375">
        <v>0</v>
      </c>
      <c r="G13" s="375">
        <v>0</v>
      </c>
      <c r="H13" s="375">
        <v>0</v>
      </c>
      <c r="I13" s="375">
        <v>0</v>
      </c>
      <c r="J13" s="375">
        <v>0</v>
      </c>
      <c r="K13" s="375">
        <v>0</v>
      </c>
      <c r="L13" s="375">
        <v>0</v>
      </c>
      <c r="M13" s="375">
        <v>0</v>
      </c>
      <c r="N13" s="375">
        <v>0</v>
      </c>
      <c r="O13" s="375">
        <v>0</v>
      </c>
      <c r="P13" s="375">
        <v>0</v>
      </c>
      <c r="Q13" s="375">
        <v>0</v>
      </c>
      <c r="R13" s="375">
        <v>0</v>
      </c>
      <c r="S13" s="375">
        <v>0</v>
      </c>
      <c r="T13" s="375">
        <v>0</v>
      </c>
      <c r="U13" s="375">
        <v>0</v>
      </c>
      <c r="V13" s="375">
        <v>0</v>
      </c>
      <c r="W13" s="375">
        <v>0</v>
      </c>
      <c r="X13" s="375">
        <v>0</v>
      </c>
      <c r="Y13" s="375">
        <v>0</v>
      </c>
      <c r="Z13" s="375">
        <v>0</v>
      </c>
      <c r="AA13" s="375"/>
      <c r="AB13" s="375">
        <v>0</v>
      </c>
      <c r="AC13" s="388">
        <v>0</v>
      </c>
      <c r="AD13" s="375">
        <v>0</v>
      </c>
      <c r="AE13" s="375">
        <v>0</v>
      </c>
      <c r="AF13" s="375">
        <v>0</v>
      </c>
      <c r="AG13" s="375">
        <v>0</v>
      </c>
      <c r="AH13" s="375">
        <v>0</v>
      </c>
      <c r="AI13" s="375">
        <v>0</v>
      </c>
      <c r="AJ13" s="375">
        <v>0</v>
      </c>
      <c r="AK13" s="375">
        <v>0</v>
      </c>
      <c r="AL13" s="375">
        <v>0</v>
      </c>
      <c r="AM13" s="375">
        <f t="shared" si="0"/>
        <v>0</v>
      </c>
    </row>
    <row r="14" spans="1:39" ht="15.75">
      <c r="A14" s="449">
        <v>6</v>
      </c>
      <c r="B14" s="448" t="s">
        <v>49</v>
      </c>
      <c r="C14" s="448" t="s">
        <v>52</v>
      </c>
      <c r="D14" s="451" t="s">
        <v>53</v>
      </c>
      <c r="E14" s="389" t="s">
        <v>37</v>
      </c>
      <c r="F14" s="375">
        <v>0</v>
      </c>
      <c r="G14" s="375">
        <v>0</v>
      </c>
      <c r="H14" s="375">
        <v>0</v>
      </c>
      <c r="I14" s="375">
        <v>0</v>
      </c>
      <c r="J14" s="375">
        <v>0</v>
      </c>
      <c r="K14" s="375">
        <v>0</v>
      </c>
      <c r="L14" s="375">
        <v>40</v>
      </c>
      <c r="M14" s="375">
        <v>40</v>
      </c>
      <c r="N14" s="375">
        <v>0</v>
      </c>
      <c r="O14" s="375">
        <v>36</v>
      </c>
      <c r="P14" s="375">
        <v>35</v>
      </c>
      <c r="Q14" s="375">
        <v>0</v>
      </c>
      <c r="R14" s="375">
        <v>0</v>
      </c>
      <c r="S14" s="375">
        <v>0</v>
      </c>
      <c r="T14" s="375">
        <v>0</v>
      </c>
      <c r="U14" s="375">
        <v>0</v>
      </c>
      <c r="V14" s="375">
        <v>0</v>
      </c>
      <c r="W14" s="375">
        <v>45</v>
      </c>
      <c r="X14" s="375">
        <v>45</v>
      </c>
      <c r="Y14" s="375">
        <v>43.53</v>
      </c>
      <c r="Z14" s="375">
        <v>40</v>
      </c>
      <c r="AA14" s="375">
        <v>43</v>
      </c>
      <c r="AB14" s="375">
        <v>0</v>
      </c>
      <c r="AC14" s="375">
        <v>40</v>
      </c>
      <c r="AD14" s="375">
        <v>0</v>
      </c>
      <c r="AE14" s="375">
        <v>40</v>
      </c>
      <c r="AF14" s="375">
        <v>0</v>
      </c>
      <c r="AG14" s="375">
        <v>0</v>
      </c>
      <c r="AH14" s="375">
        <v>0</v>
      </c>
      <c r="AI14" s="375">
        <v>0</v>
      </c>
      <c r="AJ14" s="375">
        <v>0</v>
      </c>
      <c r="AK14" s="375">
        <v>0</v>
      </c>
      <c r="AL14" s="375">
        <v>0</v>
      </c>
      <c r="AM14" s="375">
        <f t="shared" si="0"/>
        <v>447.53</v>
      </c>
    </row>
    <row r="15" spans="1:39" ht="15.75">
      <c r="A15" s="449"/>
      <c r="B15" s="448"/>
      <c r="C15" s="448"/>
      <c r="D15" s="451"/>
      <c r="E15" s="387" t="s">
        <v>41</v>
      </c>
      <c r="F15" s="375">
        <v>0</v>
      </c>
      <c r="G15" s="375">
        <v>0</v>
      </c>
      <c r="H15" s="375">
        <v>0</v>
      </c>
      <c r="I15" s="375">
        <v>0</v>
      </c>
      <c r="J15" s="375">
        <v>0</v>
      </c>
      <c r="K15" s="375">
        <v>0</v>
      </c>
      <c r="L15" s="375">
        <v>0</v>
      </c>
      <c r="M15" s="375">
        <v>0</v>
      </c>
      <c r="N15" s="375">
        <v>0</v>
      </c>
      <c r="O15" s="375">
        <v>0</v>
      </c>
      <c r="P15" s="375">
        <v>0</v>
      </c>
      <c r="Q15" s="375">
        <v>0</v>
      </c>
      <c r="R15" s="375">
        <v>0</v>
      </c>
      <c r="S15" s="375">
        <v>0</v>
      </c>
      <c r="T15" s="375">
        <v>0</v>
      </c>
      <c r="U15" s="375">
        <v>0</v>
      </c>
      <c r="V15" s="375">
        <v>0</v>
      </c>
      <c r="W15" s="375">
        <v>0</v>
      </c>
      <c r="X15" s="375">
        <v>0</v>
      </c>
      <c r="Y15" s="375">
        <v>0</v>
      </c>
      <c r="Z15" s="375">
        <v>0</v>
      </c>
      <c r="AA15" s="375"/>
      <c r="AB15" s="375">
        <v>0</v>
      </c>
      <c r="AC15" s="388">
        <v>0</v>
      </c>
      <c r="AD15" s="375">
        <v>0</v>
      </c>
      <c r="AE15" s="375">
        <v>0</v>
      </c>
      <c r="AF15" s="375">
        <v>0</v>
      </c>
      <c r="AG15" s="375">
        <v>0</v>
      </c>
      <c r="AH15" s="375">
        <v>0</v>
      </c>
      <c r="AI15" s="375">
        <v>0</v>
      </c>
      <c r="AJ15" s="375">
        <v>0</v>
      </c>
      <c r="AK15" s="375">
        <v>0</v>
      </c>
      <c r="AL15" s="375">
        <v>0</v>
      </c>
      <c r="AM15" s="375">
        <f t="shared" si="0"/>
        <v>0</v>
      </c>
    </row>
    <row r="18" spans="7:7">
      <c r="G18" t="s">
        <v>54</v>
      </c>
    </row>
  </sheetData>
  <mergeCells count="25">
    <mergeCell ref="G2:H2"/>
    <mergeCell ref="C10:C11"/>
    <mergeCell ref="C12:C13"/>
    <mergeCell ref="C14:C15"/>
    <mergeCell ref="D4:D5"/>
    <mergeCell ref="D6:D7"/>
    <mergeCell ref="D8:D9"/>
    <mergeCell ref="D10:D11"/>
    <mergeCell ref="D12:D13"/>
    <mergeCell ref="D14:D15"/>
    <mergeCell ref="B14:B15"/>
    <mergeCell ref="C4:C5"/>
    <mergeCell ref="C6:C7"/>
    <mergeCell ref="C8:C9"/>
    <mergeCell ref="A4:A5"/>
    <mergeCell ref="A6:A7"/>
    <mergeCell ref="A8:A9"/>
    <mergeCell ref="A10:A11"/>
    <mergeCell ref="A12:A13"/>
    <mergeCell ref="A14:A15"/>
    <mergeCell ref="B4:B5"/>
    <mergeCell ref="B6:B7"/>
    <mergeCell ref="B8:B9"/>
    <mergeCell ref="B10:B11"/>
    <mergeCell ref="B12:B13"/>
  </mergeCells>
  <conditionalFormatting sqref="F5:AL5">
    <cfRule type="cellIs" dxfId="11" priority="12" operator="greaterThan">
      <formula>0</formula>
    </cfRule>
  </conditionalFormatting>
  <conditionalFormatting sqref="F7:AL7">
    <cfRule type="cellIs" dxfId="10" priority="11" operator="greaterThan">
      <formula>0</formula>
    </cfRule>
  </conditionalFormatting>
  <conditionalFormatting sqref="F9:AL9">
    <cfRule type="cellIs" dxfId="9" priority="10" operator="greaterThan">
      <formula>0</formula>
    </cfRule>
  </conditionalFormatting>
  <conditionalFormatting sqref="F11:AL11">
    <cfRule type="cellIs" dxfId="8" priority="9" operator="greaterThan">
      <formula>0</formula>
    </cfRule>
  </conditionalFormatting>
  <conditionalFormatting sqref="F13:AL13">
    <cfRule type="cellIs" dxfId="7" priority="8" operator="greaterThan">
      <formula>0</formula>
    </cfRule>
  </conditionalFormatting>
  <conditionalFormatting sqref="F15:AL15">
    <cfRule type="cellIs" dxfId="6" priority="7" operator="greaterThan">
      <formula>0</formula>
    </cfRule>
  </conditionalFormatting>
  <conditionalFormatting sqref="F4:AM4 AM5:AM15">
    <cfRule type="cellIs" dxfId="5" priority="6" operator="greaterThan">
      <formula>0</formula>
    </cfRule>
  </conditionalFormatting>
  <conditionalFormatting sqref="F6:AL6">
    <cfRule type="cellIs" dxfId="4" priority="5" operator="greaterThan">
      <formula>0</formula>
    </cfRule>
  </conditionalFormatting>
  <conditionalFormatting sqref="F8:AL8">
    <cfRule type="cellIs" dxfId="3" priority="4" operator="greaterThan">
      <formula>0</formula>
    </cfRule>
  </conditionalFormatting>
  <conditionalFormatting sqref="F10:AL10">
    <cfRule type="cellIs" dxfId="2" priority="3" operator="greaterThan">
      <formula>0</formula>
    </cfRule>
  </conditionalFormatting>
  <conditionalFormatting sqref="F12:AL12">
    <cfRule type="cellIs" dxfId="1" priority="2" operator="greaterThan">
      <formula>0</formula>
    </cfRule>
  </conditionalFormatting>
  <conditionalFormatting sqref="F14:AL1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N77"/>
  <sheetViews>
    <sheetView topLeftCell="A36" workbookViewId="0">
      <selection activeCell="C41" sqref="C41"/>
    </sheetView>
  </sheetViews>
  <sheetFormatPr defaultColWidth="8.28515625" defaultRowHeight="15.75"/>
  <cols>
    <col min="1" max="1" width="8.28515625" style="272"/>
    <col min="2" max="2" width="25" style="272" customWidth="1"/>
    <col min="3" max="3" width="38.140625" style="272" bestFit="1" customWidth="1"/>
    <col min="4" max="4" width="13.5703125" style="272" bestFit="1" customWidth="1"/>
    <col min="5" max="5" width="15.42578125" style="272" customWidth="1"/>
    <col min="6" max="6" width="14.5703125" style="272" customWidth="1"/>
    <col min="7" max="7" width="16.5703125" style="272" customWidth="1"/>
    <col min="8" max="8" width="23.5703125" style="272" customWidth="1"/>
    <col min="9" max="9" width="17.42578125" style="272" customWidth="1"/>
    <col min="10" max="10" width="16.7109375" style="272" customWidth="1"/>
    <col min="11" max="11" width="20.42578125" style="272" customWidth="1"/>
    <col min="12" max="12" width="22.7109375" style="272" customWidth="1"/>
    <col min="13" max="13" width="16.85546875" style="272" customWidth="1"/>
    <col min="14" max="16384" width="8.28515625" style="272"/>
  </cols>
  <sheetData>
    <row r="1" spans="1:12">
      <c r="A1" s="268" t="s">
        <v>55</v>
      </c>
      <c r="B1" s="269" t="s">
        <v>56</v>
      </c>
      <c r="C1" s="269" t="s">
        <v>57</v>
      </c>
      <c r="D1" s="270" t="s">
        <v>58</v>
      </c>
      <c r="E1" s="270" t="s">
        <v>59</v>
      </c>
      <c r="F1" s="270" t="s">
        <v>60</v>
      </c>
      <c r="G1" s="270" t="s">
        <v>61</v>
      </c>
      <c r="H1" s="270" t="s">
        <v>62</v>
      </c>
      <c r="I1" s="270" t="s">
        <v>63</v>
      </c>
      <c r="J1" s="270" t="s">
        <v>64</v>
      </c>
      <c r="K1" s="271" t="s">
        <v>65</v>
      </c>
    </row>
    <row r="2" spans="1:12">
      <c r="A2" s="347">
        <v>1</v>
      </c>
      <c r="B2" s="273" t="s">
        <v>66</v>
      </c>
      <c r="C2" s="273" t="s">
        <v>67</v>
      </c>
      <c r="D2" s="274">
        <f>+'Khammam-1'!E38</f>
        <v>4500</v>
      </c>
      <c r="E2" s="274">
        <f>+'Khammam-1'!G38</f>
        <v>430560</v>
      </c>
      <c r="F2" s="274">
        <f>+'Khammam-1'!H38</f>
        <v>80</v>
      </c>
      <c r="G2" s="274">
        <f>+'Khammam-1'!J38</f>
        <v>8596.7999999999993</v>
      </c>
      <c r="H2" s="274">
        <f>E2+G2</f>
        <v>439156.8</v>
      </c>
      <c r="I2" s="274">
        <f>+'Khammam-1'!K3</f>
        <v>8237254.8869000003</v>
      </c>
      <c r="J2" s="274">
        <f>+'Khammam-1'!L38</f>
        <v>4500000</v>
      </c>
      <c r="K2" s="348">
        <f>H2+I2-J2</f>
        <v>4176411.686900001</v>
      </c>
      <c r="L2" s="272" t="s">
        <v>68</v>
      </c>
    </row>
    <row r="3" spans="1:12">
      <c r="A3" s="347">
        <v>2</v>
      </c>
      <c r="B3" s="273" t="s">
        <v>69</v>
      </c>
      <c r="C3" s="273" t="s">
        <v>70</v>
      </c>
      <c r="D3" s="274">
        <f>+'Khammam-2'!E35</f>
        <v>60358.173000000003</v>
      </c>
      <c r="E3" s="274">
        <f>+'Khammam-2'!G35</f>
        <v>5864453.0778299989</v>
      </c>
      <c r="F3" s="274">
        <f>+'Khammam-2'!H35</f>
        <v>1045</v>
      </c>
      <c r="G3" s="274">
        <f>+'Khammam-2'!J35</f>
        <v>112327.05</v>
      </c>
      <c r="H3" s="274">
        <f>E3+G3</f>
        <v>5976780.1278299987</v>
      </c>
      <c r="I3" s="274">
        <f>+'Khammam-2'!K3</f>
        <v>5555857.1683999998</v>
      </c>
      <c r="J3" s="274">
        <f>+'Khammam-2'!L35</f>
        <v>3500000</v>
      </c>
      <c r="K3" s="348">
        <f>H3+I3-J3</f>
        <v>8032637.2962299995</v>
      </c>
      <c r="L3" s="272" t="s">
        <v>68</v>
      </c>
    </row>
    <row r="4" spans="1:12">
      <c r="A4" s="347">
        <v>3</v>
      </c>
      <c r="B4" s="273" t="s">
        <v>71</v>
      </c>
      <c r="C4" s="273" t="s">
        <v>72</v>
      </c>
      <c r="D4" s="274">
        <f>+'Khammam-3'!E35</f>
        <v>138043.93</v>
      </c>
      <c r="E4" s="274">
        <f>+'Khammam-3'!G35</f>
        <v>13087760.171</v>
      </c>
      <c r="F4" s="274">
        <f>+'Khammam-3'!H35</f>
        <v>0</v>
      </c>
      <c r="G4" s="274">
        <f>+'Khammam-3'!J35</f>
        <v>0</v>
      </c>
      <c r="H4" s="274">
        <f>E4+G4</f>
        <v>13087760.171</v>
      </c>
      <c r="I4" s="274">
        <f>+'Khammam-3'!M3</f>
        <v>1140143.0999999996</v>
      </c>
      <c r="J4" s="274">
        <f>+'Khammam-3'!L35</f>
        <v>6000000</v>
      </c>
      <c r="K4" s="348">
        <f>H4+I4-J4</f>
        <v>8227903.2709999997</v>
      </c>
      <c r="L4" s="272" t="s">
        <v>68</v>
      </c>
    </row>
    <row r="5" spans="1:12">
      <c r="A5" s="347">
        <v>4</v>
      </c>
      <c r="B5" s="273" t="s">
        <v>73</v>
      </c>
      <c r="C5" s="273" t="s">
        <v>74</v>
      </c>
      <c r="D5" s="274">
        <f>+'Khammam-4'!E38</f>
        <v>3459.76</v>
      </c>
      <c r="E5" s="274">
        <f>+'Khammam-4'!G38</f>
        <v>330407.08</v>
      </c>
      <c r="F5" s="274">
        <f>+'Khammam-4'!H38</f>
        <v>0</v>
      </c>
      <c r="G5" s="274">
        <f>+'Khammam-4'!J38</f>
        <v>0</v>
      </c>
      <c r="H5" s="274">
        <f>E5+G5</f>
        <v>330407.08</v>
      </c>
      <c r="I5" s="274">
        <f>+'Khammam-4'!M3</f>
        <v>0</v>
      </c>
      <c r="J5" s="274">
        <f>+'Khammam-4'!L38</f>
        <v>0</v>
      </c>
      <c r="K5" s="348">
        <f>H5+I5-J5</f>
        <v>330407.08</v>
      </c>
      <c r="L5" s="272" t="s">
        <v>68</v>
      </c>
    </row>
    <row r="6" spans="1:12">
      <c r="A6" s="347">
        <v>5</v>
      </c>
      <c r="B6" s="273" t="s">
        <v>75</v>
      </c>
      <c r="C6" s="273" t="s">
        <v>76</v>
      </c>
      <c r="D6" s="274">
        <f>+'Khammam-5'!E38</f>
        <v>6273.1600000000008</v>
      </c>
      <c r="E6" s="274">
        <f>+'Khammam-5'!G38</f>
        <v>600215.94880000013</v>
      </c>
      <c r="F6" s="274">
        <f>+'Khammam-5'!H38</f>
        <v>0</v>
      </c>
      <c r="G6" s="274">
        <f>+'Khammam-5'!J38</f>
        <v>0</v>
      </c>
      <c r="H6" s="274">
        <f>E6+G6</f>
        <v>600215.94880000013</v>
      </c>
      <c r="I6" s="274">
        <f>+'Khammam-5'!M3</f>
        <v>0</v>
      </c>
      <c r="J6" s="274">
        <f>+'Khammam-5'!L38</f>
        <v>600215.26240000012</v>
      </c>
      <c r="K6" s="348">
        <f>H6+I6-J6</f>
        <v>0.68640000000596046</v>
      </c>
    </row>
    <row r="7" spans="1:12">
      <c r="A7" s="347">
        <v>6</v>
      </c>
      <c r="B7" s="273" t="s">
        <v>77</v>
      </c>
      <c r="C7" s="273" t="s">
        <v>72</v>
      </c>
      <c r="D7" s="274">
        <f>+'Jadcherla-3'!E35</f>
        <v>25398</v>
      </c>
      <c r="E7" s="274">
        <f>+'Jadcherla-3'!G35</f>
        <v>2426931.14</v>
      </c>
      <c r="F7" s="274">
        <f>+'Jadcherla-3'!H35</f>
        <v>0</v>
      </c>
      <c r="G7" s="274">
        <f>+'Jadcherla-3'!J35</f>
        <v>0</v>
      </c>
      <c r="H7" s="274">
        <f>E7+G7</f>
        <v>2426931.14</v>
      </c>
      <c r="I7" s="274">
        <f>+'Jadcherla-3'!M3</f>
        <v>1026278.25</v>
      </c>
      <c r="J7" s="274">
        <f>+'Jadcherla-3'!L35</f>
        <v>1000000</v>
      </c>
      <c r="K7" s="348">
        <f>H7+I7-J7</f>
        <v>2453209.39</v>
      </c>
      <c r="L7" s="272" t="s">
        <v>68</v>
      </c>
    </row>
    <row r="8" spans="1:12">
      <c r="A8" s="347">
        <v>7</v>
      </c>
      <c r="B8" s="273" t="s">
        <v>78</v>
      </c>
      <c r="C8" s="273" t="s">
        <v>79</v>
      </c>
      <c r="D8" s="274">
        <f>+'Jadcherla-4'!E35</f>
        <v>0</v>
      </c>
      <c r="E8" s="274">
        <f>+'Jadcherla-4'!G35</f>
        <v>0</v>
      </c>
      <c r="F8" s="274">
        <f>+'Jadcherla-4'!H35</f>
        <v>210</v>
      </c>
      <c r="G8" s="274">
        <f>+'Jadcherla-4'!J35</f>
        <v>22701</v>
      </c>
      <c r="H8" s="274">
        <f>E8+G8</f>
        <v>22701</v>
      </c>
      <c r="I8" s="274">
        <f>+'Jadcherla-4'!M3</f>
        <v>24863</v>
      </c>
      <c r="J8" s="274">
        <f>+'Jadcherla-4'!L35</f>
        <v>37835</v>
      </c>
      <c r="K8" s="348">
        <f>H8+I8-J8</f>
        <v>9729</v>
      </c>
      <c r="L8" s="272" t="s">
        <v>68</v>
      </c>
    </row>
    <row r="9" spans="1:12">
      <c r="A9" s="347">
        <v>8</v>
      </c>
      <c r="B9" s="273" t="s">
        <v>80</v>
      </c>
      <c r="C9" s="273" t="s">
        <v>81</v>
      </c>
      <c r="D9" s="274">
        <f>+' Sangareeddy-1'!E35</f>
        <v>2727.6900000000005</v>
      </c>
      <c r="E9" s="274">
        <f>+' Sangareeddy-1'!G35</f>
        <v>262867.4853</v>
      </c>
      <c r="F9" s="274">
        <f>+' Sangareeddy-1'!H35</f>
        <v>153.31</v>
      </c>
      <c r="G9" s="274">
        <f>+' Sangareeddy-1'!J35</f>
        <v>16583.542700000002</v>
      </c>
      <c r="H9" s="274">
        <f>E9+G9</f>
        <v>279451.02799999999</v>
      </c>
      <c r="I9" s="274">
        <f>+' Sangareeddy-1'!M3</f>
        <v>151710.01999999999</v>
      </c>
      <c r="J9" s="274">
        <f>+' Sangareeddy-1'!L35</f>
        <v>360000</v>
      </c>
      <c r="K9" s="348">
        <f>H9+I9-J9</f>
        <v>71161.047999999952</v>
      </c>
      <c r="L9" s="272" t="s">
        <v>68</v>
      </c>
    </row>
    <row r="10" spans="1:12">
      <c r="A10" s="347">
        <v>9</v>
      </c>
      <c r="B10" s="273" t="s">
        <v>82</v>
      </c>
      <c r="C10" s="273" t="s">
        <v>83</v>
      </c>
      <c r="D10" s="274">
        <f>+' Sangareddy-2'!E35</f>
        <v>6245.7</v>
      </c>
      <c r="E10" s="274">
        <f>+' Sangareddy-2'!G35</f>
        <v>602335.30800000008</v>
      </c>
      <c r="F10" s="274">
        <f>+' Sangareddy-2'!H35</f>
        <v>205.97</v>
      </c>
      <c r="G10" s="274">
        <f>+' Sangareddy-2'!J35</f>
        <v>22308.610699999997</v>
      </c>
      <c r="H10" s="274">
        <f>E10+G10</f>
        <v>624643.91870000004</v>
      </c>
      <c r="I10" s="274">
        <f>+' Sangareddy-2'!M3</f>
        <v>0</v>
      </c>
      <c r="J10" s="274">
        <f>+' Sangareddy-2'!L35</f>
        <v>300000</v>
      </c>
      <c r="K10" s="348">
        <f>H10+I10-J10</f>
        <v>324643.91870000004</v>
      </c>
      <c r="L10" s="272" t="s">
        <v>68</v>
      </c>
    </row>
    <row r="11" spans="1:12">
      <c r="A11" s="347">
        <v>10</v>
      </c>
      <c r="B11" s="273" t="s">
        <v>84</v>
      </c>
      <c r="C11" s="273" t="s">
        <v>85</v>
      </c>
      <c r="D11" s="274">
        <f>+Dindi!E35</f>
        <v>35.409999999999997</v>
      </c>
      <c r="E11" s="274">
        <f>+Dindi!G35</f>
        <v>3402.1927999999998</v>
      </c>
      <c r="F11" s="274">
        <f>+Dindi!H35</f>
        <v>0</v>
      </c>
      <c r="G11" s="274">
        <f>+Dindi!J35</f>
        <v>0</v>
      </c>
      <c r="H11" s="274">
        <f>E11+G11</f>
        <v>3402.1927999999998</v>
      </c>
      <c r="I11" s="274">
        <f>+Dindi!M3</f>
        <v>0</v>
      </c>
      <c r="J11" s="274">
        <f>+Dindi!L35</f>
        <v>3402.1927999999998</v>
      </c>
      <c r="K11" s="348">
        <f t="shared" ref="K11:K51" si="0">H11+I11-J11</f>
        <v>0</v>
      </c>
      <c r="L11" s="272" t="s">
        <v>68</v>
      </c>
    </row>
    <row r="12" spans="1:12">
      <c r="A12" s="347">
        <v>11</v>
      </c>
      <c r="B12" s="273" t="s">
        <v>86</v>
      </c>
      <c r="C12" s="273"/>
      <c r="D12" s="274">
        <f>+'Madana palli'!E36</f>
        <v>430.78</v>
      </c>
      <c r="E12" s="274">
        <f>+'Madana palli'!G36</f>
        <v>42114.895400000001</v>
      </c>
      <c r="F12" s="274">
        <f>+'Madana palli'!H36</f>
        <v>20.97</v>
      </c>
      <c r="G12" s="274">
        <f>+'Madana palli'!J36</f>
        <v>2298.7313999999997</v>
      </c>
      <c r="H12" s="274">
        <f>E12+G12</f>
        <v>44413.626799999998</v>
      </c>
      <c r="I12" s="274">
        <f>+'Madana palli'!M3</f>
        <v>0</v>
      </c>
      <c r="J12" s="274">
        <f>+'Madana palli'!L36</f>
        <v>44413.626799999998</v>
      </c>
      <c r="K12" s="348">
        <f t="shared" si="0"/>
        <v>0</v>
      </c>
      <c r="L12" s="272" t="s">
        <v>68</v>
      </c>
    </row>
    <row r="13" spans="1:12">
      <c r="A13" s="347">
        <v>12</v>
      </c>
      <c r="B13" s="273" t="s">
        <v>87</v>
      </c>
      <c r="C13" s="273"/>
      <c r="D13" s="274">
        <f>+Amalapuram!E38</f>
        <v>491.85</v>
      </c>
      <c r="E13" s="274">
        <f>+Amalapuram!G38</f>
        <v>47376.804699999993</v>
      </c>
      <c r="F13" s="274">
        <f>+Amalapuram!H38</f>
        <v>82.93</v>
      </c>
      <c r="G13" s="274">
        <f>+Amalapuram!J38</f>
        <v>8948.8700000000008</v>
      </c>
      <c r="H13" s="274">
        <f>E13+G13</f>
        <v>56325.674699999996</v>
      </c>
      <c r="I13" s="274">
        <f>+Amalapuram!M3</f>
        <v>0</v>
      </c>
      <c r="J13" s="274">
        <f>+Amalapuram!L38</f>
        <v>56325.674699999989</v>
      </c>
      <c r="K13" s="348">
        <f t="shared" si="0"/>
        <v>0</v>
      </c>
      <c r="L13" s="272" t="s">
        <v>68</v>
      </c>
    </row>
    <row r="14" spans="1:12">
      <c r="A14" s="347">
        <v>13</v>
      </c>
      <c r="B14" s="273" t="s">
        <v>88</v>
      </c>
      <c r="C14" s="273" t="s">
        <v>89</v>
      </c>
      <c r="D14" s="274">
        <f>+'YG Gudda-2'!E37</f>
        <v>8492.77</v>
      </c>
      <c r="E14" s="274">
        <f>+'YG Gudda-2'!G37</f>
        <v>775644.68409999995</v>
      </c>
      <c r="F14" s="274">
        <f>+'YG Gudda-2'!H37</f>
        <v>245</v>
      </c>
      <c r="G14" s="274">
        <f>+'YG Gudda-2'!J37</f>
        <v>25301.15</v>
      </c>
      <c r="H14" s="274">
        <f t="shared" ref="H14" si="1">E14+G14</f>
        <v>800945.83409999998</v>
      </c>
      <c r="I14" s="274">
        <f>+'YG Gudda-2'!M3</f>
        <v>531383.80290300003</v>
      </c>
      <c r="J14" s="274">
        <f>+'YG Gudda-2'!L37</f>
        <v>1081999.7271</v>
      </c>
      <c r="K14" s="348">
        <f t="shared" si="0"/>
        <v>250329.90990299988</v>
      </c>
      <c r="L14" s="272" t="s">
        <v>68</v>
      </c>
    </row>
    <row r="15" spans="1:12">
      <c r="A15" s="347">
        <v>14</v>
      </c>
      <c r="B15" s="273" t="s">
        <v>90</v>
      </c>
      <c r="C15" s="273" t="s">
        <v>91</v>
      </c>
      <c r="D15" s="274">
        <f>+'Hosadurga -2'!E35</f>
        <v>5200.1499999999996</v>
      </c>
      <c r="E15" s="274">
        <f>+'Hosadurga -2'!G35</f>
        <v>476023.72499999998</v>
      </c>
      <c r="F15" s="274">
        <f>+'Hosadurga -2'!H35</f>
        <v>245</v>
      </c>
      <c r="G15" s="274">
        <f>+'Hosadurga -2'!J35</f>
        <v>25413.850000000002</v>
      </c>
      <c r="H15" s="274">
        <f>+'Hosadurga -2'!K35</f>
        <v>501437.57499999995</v>
      </c>
      <c r="I15" s="274">
        <f>+'Hosadurga -2'!K3</f>
        <v>197359.39999999991</v>
      </c>
      <c r="J15" s="274">
        <f>+'Hosadurga -2'!L35</f>
        <v>500000</v>
      </c>
      <c r="K15" s="348">
        <f>H15+I15-J15</f>
        <v>198796.97499999986</v>
      </c>
      <c r="L15" s="272" t="s">
        <v>68</v>
      </c>
    </row>
    <row r="16" spans="1:12" ht="15.75" customHeight="1">
      <c r="A16" s="347">
        <v>15</v>
      </c>
      <c r="B16" s="275" t="s">
        <v>92</v>
      </c>
      <c r="C16" s="275" t="s">
        <v>93</v>
      </c>
      <c r="D16" s="274">
        <f>+'Malebenur(KUWSDB)'!E37</f>
        <v>4600</v>
      </c>
      <c r="E16" s="274">
        <f>+'Malebenur(KUWSDB)'!G37</f>
        <v>423982</v>
      </c>
      <c r="F16" s="274">
        <f>+'Malebenur(KUWSDB)'!H37</f>
        <v>205</v>
      </c>
      <c r="G16" s="274">
        <f>+'Malebenur(KUWSDB)'!J37</f>
        <v>21336.95</v>
      </c>
      <c r="H16" s="274">
        <f>E16+G16</f>
        <v>445318.95</v>
      </c>
      <c r="I16" s="274">
        <f>+'Malebenur(KUWSDB)'!K3</f>
        <v>58952.959699999948</v>
      </c>
      <c r="J16" s="274">
        <f>+'Malebenur(KUWSDB)'!L37</f>
        <v>424793.9</v>
      </c>
      <c r="K16" s="348">
        <f>H16+I16-J16</f>
        <v>79478.009699999937</v>
      </c>
      <c r="L16" s="272" t="s">
        <v>68</v>
      </c>
    </row>
    <row r="17" spans="1:13">
      <c r="A17" s="347">
        <v>16</v>
      </c>
      <c r="B17" s="273" t="s">
        <v>94</v>
      </c>
      <c r="C17" s="273" t="s">
        <v>95</v>
      </c>
      <c r="D17" s="274">
        <f>+Kadur!E35</f>
        <v>1600</v>
      </c>
      <c r="E17" s="274">
        <f>+Kadur!G35</f>
        <v>147440</v>
      </c>
      <c r="F17" s="274">
        <f>+Kadur!H35</f>
        <v>140</v>
      </c>
      <c r="G17" s="274">
        <f>+Kadur!J35</f>
        <v>14593.599999999999</v>
      </c>
      <c r="H17" s="274">
        <f t="shared" ref="H17:H51" si="2">E17+G17</f>
        <v>162033.60000000001</v>
      </c>
      <c r="I17" s="274">
        <f>+Kadur!K3</f>
        <v>240937.03099999976</v>
      </c>
      <c r="J17" s="274">
        <f>+Kadur!L35</f>
        <v>300000</v>
      </c>
      <c r="K17" s="348">
        <f t="shared" si="0"/>
        <v>102970.63099999976</v>
      </c>
      <c r="L17" s="272" t="s">
        <v>68</v>
      </c>
    </row>
    <row r="18" spans="1:13">
      <c r="A18" s="347">
        <v>17</v>
      </c>
      <c r="B18" s="273" t="s">
        <v>96</v>
      </c>
      <c r="C18" s="273" t="s">
        <v>97</v>
      </c>
      <c r="D18" s="274">
        <f>+'Hiriyur(VJNL)'!E35</f>
        <v>4700</v>
      </c>
      <c r="E18" s="274">
        <f>+'Hiriyur(VJNL)'!G35</f>
        <v>433622</v>
      </c>
      <c r="F18" s="274">
        <f>+'Hiriyur(VJNL)'!H35</f>
        <v>245</v>
      </c>
      <c r="G18" s="274">
        <f>+'Hiriyur(VJNL)'!J35</f>
        <v>25511.85</v>
      </c>
      <c r="H18" s="274">
        <f t="shared" si="2"/>
        <v>459133.85</v>
      </c>
      <c r="I18" s="274">
        <f>+'Hiriyur(VJNL)'!K3</f>
        <v>6935.9500000000116</v>
      </c>
      <c r="J18" s="274">
        <f>+'Hiriyur(VJNL)'!L35</f>
        <v>466000</v>
      </c>
      <c r="K18" s="348">
        <f t="shared" si="0"/>
        <v>69.799999999988358</v>
      </c>
      <c r="L18" s="272" t="s">
        <v>68</v>
      </c>
    </row>
    <row r="19" spans="1:13">
      <c r="A19" s="347">
        <v>18</v>
      </c>
      <c r="B19" s="273" t="s">
        <v>98</v>
      </c>
      <c r="C19" s="273" t="s">
        <v>99</v>
      </c>
      <c r="D19" s="274">
        <f>+'Chellakere -1'!E35</f>
        <v>4199.6399999999994</v>
      </c>
      <c r="E19" s="274">
        <f>+'Chellakere -1'!G35</f>
        <v>387332.79720000003</v>
      </c>
      <c r="F19" s="274">
        <f>+'Chellakere -1'!H35</f>
        <v>140</v>
      </c>
      <c r="G19" s="274">
        <f>+'Chellakere -1'!J35</f>
        <v>14572.6</v>
      </c>
      <c r="H19" s="274">
        <f t="shared" si="2"/>
        <v>401905.39720000001</v>
      </c>
      <c r="I19" s="274">
        <f>+'Chellakere -1'!K3</f>
        <v>268656.67720000003</v>
      </c>
      <c r="J19" s="274">
        <f>+'Chellakere -1'!L35</f>
        <v>455000</v>
      </c>
      <c r="K19" s="348">
        <f t="shared" si="0"/>
        <v>215562.07440000004</v>
      </c>
      <c r="L19" s="272" t="s">
        <v>68</v>
      </c>
    </row>
    <row r="20" spans="1:13">
      <c r="A20" s="347">
        <v>19</v>
      </c>
      <c r="B20" s="273" t="s">
        <v>100</v>
      </c>
      <c r="C20" s="342"/>
      <c r="D20" s="274">
        <f>+' Chellakere-PKG-9'!E35</f>
        <v>215.05</v>
      </c>
      <c r="E20" s="274">
        <f>+' Chellakere-PKG-9'!G35</f>
        <v>19834.0615</v>
      </c>
      <c r="F20" s="274">
        <f>+' Chellakere-PKG-9'!H35</f>
        <v>38.99</v>
      </c>
      <c r="G20" s="274">
        <f>+' Chellakere-PKG-9'!J35</f>
        <v>4058.4691000000003</v>
      </c>
      <c r="H20" s="274">
        <f t="shared" si="2"/>
        <v>23892.530599999998</v>
      </c>
      <c r="I20" s="274">
        <f>+' Chellakere-PKG-9'!M3</f>
        <v>0</v>
      </c>
      <c r="J20" s="274">
        <f>+' Chellakere-PKG-9'!L35</f>
        <v>23892.530599999998</v>
      </c>
      <c r="K20" s="348">
        <f t="shared" si="0"/>
        <v>0</v>
      </c>
      <c r="L20" s="272" t="s">
        <v>68</v>
      </c>
    </row>
    <row r="21" spans="1:13">
      <c r="A21" s="347">
        <v>20</v>
      </c>
      <c r="B21" s="273" t="s">
        <v>101</v>
      </c>
      <c r="C21" s="312" t="s">
        <v>102</v>
      </c>
      <c r="D21" s="274">
        <f>+Molakamuru!E35</f>
        <v>200</v>
      </c>
      <c r="E21" s="274">
        <f>+Molakamuru!G35</f>
        <v>18444</v>
      </c>
      <c r="F21" s="274">
        <f>+Molakamuru!H35</f>
        <v>95</v>
      </c>
      <c r="G21" s="274">
        <f>+Molakamuru!J35</f>
        <v>9904.1</v>
      </c>
      <c r="H21" s="274">
        <f t="shared" si="2"/>
        <v>28348.1</v>
      </c>
      <c r="I21" s="274">
        <f>+Molakamuru!K3</f>
        <v>22607.215199999977</v>
      </c>
      <c r="J21" s="274">
        <f>+Molakamuru!L35</f>
        <v>46775.6</v>
      </c>
      <c r="K21" s="348">
        <f t="shared" si="0"/>
        <v>4179.7151999999769</v>
      </c>
      <c r="L21" s="272" t="s">
        <v>68</v>
      </c>
    </row>
    <row r="22" spans="1:13">
      <c r="A22" s="347">
        <v>21</v>
      </c>
      <c r="B22" s="273" t="s">
        <v>103</v>
      </c>
      <c r="C22" s="346"/>
      <c r="D22" s="274">
        <f>+' Chennagiri'!E35</f>
        <v>210</v>
      </c>
      <c r="E22" s="274">
        <f>+' Chennagiri'!G35</f>
        <v>19330.5</v>
      </c>
      <c r="F22" s="274">
        <f>+' Chennagiri'!H35</f>
        <v>72</v>
      </c>
      <c r="G22" s="274">
        <f>+' Chennagiri'!J35</f>
        <v>7498.08</v>
      </c>
      <c r="H22" s="274">
        <f t="shared" si="2"/>
        <v>26828.58</v>
      </c>
      <c r="I22" s="274">
        <f>+' Chennagiri'!K3</f>
        <v>0</v>
      </c>
      <c r="J22" s="274">
        <f>+' Chennagiri'!L35</f>
        <v>26828.58</v>
      </c>
      <c r="K22" s="348">
        <f t="shared" si="0"/>
        <v>0</v>
      </c>
      <c r="L22" s="272" t="s">
        <v>68</v>
      </c>
    </row>
    <row r="23" spans="1:13">
      <c r="A23" s="347">
        <v>22</v>
      </c>
      <c r="B23" s="273" t="s">
        <v>104</v>
      </c>
      <c r="C23" s="273" t="s">
        <v>105</v>
      </c>
      <c r="D23" s="274">
        <f>+Khanapur!E35</f>
        <v>2052.69</v>
      </c>
      <c r="E23" s="274">
        <f>+Khanapur!G35</f>
        <v>186548.46719999996</v>
      </c>
      <c r="F23" s="274">
        <f>+Khanapur!H35</f>
        <v>81</v>
      </c>
      <c r="G23" s="274">
        <f>+Khanapur!J35</f>
        <v>8324.3700000000008</v>
      </c>
      <c r="H23" s="274">
        <f t="shared" si="2"/>
        <v>194872.83719999995</v>
      </c>
      <c r="I23" s="274">
        <f>+Khanapur!M3</f>
        <v>68785.912599999996</v>
      </c>
      <c r="J23" s="274">
        <f>+Khanapur!L35</f>
        <v>110000</v>
      </c>
      <c r="K23" s="348">
        <f t="shared" si="0"/>
        <v>153658.74979999993</v>
      </c>
      <c r="L23" s="272" t="s">
        <v>68</v>
      </c>
    </row>
    <row r="24" spans="1:13">
      <c r="A24" s="347">
        <v>23</v>
      </c>
      <c r="B24" s="273" t="s">
        <v>106</v>
      </c>
      <c r="C24" s="273" t="s">
        <v>107</v>
      </c>
      <c r="D24" s="274">
        <f>+Munavali!E37</f>
        <v>0</v>
      </c>
      <c r="E24" s="274">
        <f>+Munavali!G37</f>
        <v>0</v>
      </c>
      <c r="F24" s="274">
        <f>+Munavali!H37</f>
        <v>0</v>
      </c>
      <c r="G24" s="274">
        <f>+Munavali!J37</f>
        <v>0</v>
      </c>
      <c r="H24" s="274">
        <f t="shared" si="2"/>
        <v>0</v>
      </c>
      <c r="I24" s="274">
        <f>+Munavali!M3</f>
        <v>0</v>
      </c>
      <c r="J24" s="274">
        <f>+Munavali!L37</f>
        <v>0</v>
      </c>
      <c r="K24" s="348">
        <f t="shared" si="0"/>
        <v>0</v>
      </c>
      <c r="L24" s="272" t="s">
        <v>68</v>
      </c>
    </row>
    <row r="25" spans="1:13">
      <c r="A25" s="347">
        <v>24</v>
      </c>
      <c r="B25" s="273" t="s">
        <v>108</v>
      </c>
      <c r="C25" s="273" t="s">
        <v>109</v>
      </c>
      <c r="D25" s="274">
        <f>+'Munavali-2'!E37</f>
        <v>15520</v>
      </c>
      <c r="E25" s="274">
        <f>+'Munavali-2'!G37</f>
        <v>1420700.8000000003</v>
      </c>
      <c r="F25" s="274">
        <f>+'Munavali-2'!H37</f>
        <v>165.47</v>
      </c>
      <c r="G25" s="274">
        <f>+'Munavali-2'!J37</f>
        <v>18179.926800000001</v>
      </c>
      <c r="H25" s="274">
        <f t="shared" si="2"/>
        <v>1438880.7268000003</v>
      </c>
      <c r="I25" s="274">
        <f>+'Munavali-2'!M3</f>
        <v>738510.09106000012</v>
      </c>
      <c r="J25" s="274">
        <f>+'Munavali-2'!L37</f>
        <v>1570331.31</v>
      </c>
      <c r="K25" s="348">
        <f t="shared" si="0"/>
        <v>607059.50786000025</v>
      </c>
      <c r="L25" s="272">
        <v>597732</v>
      </c>
      <c r="M25" s="278">
        <f>K25-L25</f>
        <v>9327.5078600002453</v>
      </c>
    </row>
    <row r="26" spans="1:13">
      <c r="A26" s="347">
        <v>25</v>
      </c>
      <c r="B26" s="273" t="s">
        <v>110</v>
      </c>
      <c r="C26" s="273" t="s">
        <v>111</v>
      </c>
      <c r="D26" s="274">
        <f>+Borgaon!E35</f>
        <v>5405</v>
      </c>
      <c r="E26" s="274">
        <f>+Borgaon!G35</f>
        <v>496016.85</v>
      </c>
      <c r="F26" s="274">
        <f>+Borgaon!H35</f>
        <v>95.799999999999983</v>
      </c>
      <c r="G26" s="274">
        <f>+Borgaon!J35</f>
        <v>9937.3340000000007</v>
      </c>
      <c r="H26" s="274">
        <f t="shared" si="2"/>
        <v>505954.18399999995</v>
      </c>
      <c r="I26" s="274">
        <f>+Borgaon!K3</f>
        <v>29558.90419999999</v>
      </c>
      <c r="J26" s="274">
        <f>+Borgaon!L35</f>
        <v>450000</v>
      </c>
      <c r="K26" s="348">
        <f>H26+I26-J26</f>
        <v>85513.088199999882</v>
      </c>
      <c r="L26" s="272" t="s">
        <v>68</v>
      </c>
    </row>
    <row r="27" spans="1:13">
      <c r="A27" s="347">
        <v>26</v>
      </c>
      <c r="B27" s="273" t="s">
        <v>112</v>
      </c>
      <c r="C27" s="273" t="s">
        <v>113</v>
      </c>
      <c r="D27" s="274">
        <f>+'Ugar,Khagwad,Kudichi'!E35</f>
        <v>7528.79</v>
      </c>
      <c r="E27" s="274">
        <f>+'Ugar,Khagwad,Kudichi'!G35</f>
        <v>692121.66470000008</v>
      </c>
      <c r="F27" s="274">
        <f>+'Ugar,Khagwad,Kudichi'!H35</f>
        <v>265</v>
      </c>
      <c r="G27" s="274">
        <f>+'Ugar,Khagwad,Kudichi'!J35</f>
        <v>27860.2</v>
      </c>
      <c r="H27" s="274">
        <f t="shared" si="2"/>
        <v>719981.86470000003</v>
      </c>
      <c r="I27" s="274">
        <f>+'Ugar,Khagwad,Kudichi'!M3</f>
        <v>215407.74809999997</v>
      </c>
      <c r="J27" s="274">
        <f>+'Ugar,Khagwad,Kudichi'!L35</f>
        <v>500974</v>
      </c>
      <c r="K27" s="348">
        <f>H27+I27-J27</f>
        <v>434415.6128</v>
      </c>
      <c r="L27" s="272" t="s">
        <v>68</v>
      </c>
    </row>
    <row r="28" spans="1:13">
      <c r="A28" s="347">
        <v>27</v>
      </c>
      <c r="B28" s="273" t="s">
        <v>114</v>
      </c>
      <c r="C28" s="273" t="s">
        <v>115</v>
      </c>
      <c r="D28" s="274">
        <f>+Kabbur!E35</f>
        <v>375</v>
      </c>
      <c r="E28" s="274">
        <f>+Kabbur!G35</f>
        <v>34350</v>
      </c>
      <c r="F28" s="274">
        <f>+Kabbur!H35</f>
        <v>34</v>
      </c>
      <c r="G28" s="274">
        <f>+Kabbur!J35</f>
        <v>3520.31</v>
      </c>
      <c r="H28" s="274">
        <f t="shared" si="2"/>
        <v>37870.31</v>
      </c>
      <c r="I28" s="274">
        <v>0</v>
      </c>
      <c r="J28" s="274">
        <f>+Kabbur!L35</f>
        <v>37870.310000000005</v>
      </c>
      <c r="K28" s="348">
        <f t="shared" si="0"/>
        <v>0</v>
      </c>
      <c r="L28" s="272" t="s">
        <v>68</v>
      </c>
    </row>
    <row r="29" spans="1:13">
      <c r="A29" s="347">
        <v>28</v>
      </c>
      <c r="B29" s="273" t="s">
        <v>116</v>
      </c>
      <c r="C29" s="273" t="s">
        <v>117</v>
      </c>
      <c r="D29" s="274">
        <f>+kumta!E35</f>
        <v>2115</v>
      </c>
      <c r="E29" s="274">
        <f>+kumta!G35</f>
        <v>194516.55000000005</v>
      </c>
      <c r="F29" s="274">
        <f>+kumta!H35</f>
        <v>185</v>
      </c>
      <c r="G29" s="274">
        <f>+kumta!J35</f>
        <v>19241.849999999999</v>
      </c>
      <c r="H29" s="274">
        <f t="shared" si="2"/>
        <v>213758.40000000005</v>
      </c>
      <c r="I29" s="274">
        <f>kumta!M3</f>
        <v>27054.699999999997</v>
      </c>
      <c r="J29" s="274">
        <f>+kumta!L35</f>
        <v>206053.8</v>
      </c>
      <c r="K29" s="348">
        <f t="shared" si="0"/>
        <v>34759.300000000047</v>
      </c>
      <c r="L29" s="272" t="s">
        <v>68</v>
      </c>
    </row>
    <row r="30" spans="1:13">
      <c r="A30" s="347">
        <v>29</v>
      </c>
      <c r="B30" s="273" t="s">
        <v>118</v>
      </c>
      <c r="C30" s="273" t="s">
        <v>119</v>
      </c>
      <c r="D30" s="274">
        <f>+Jalgaon!E55</f>
        <v>17988.96</v>
      </c>
      <c r="E30" s="274">
        <f>+Jalgaon!G55</f>
        <v>1649851.4965000001</v>
      </c>
      <c r="F30" s="274">
        <f>+Jalgaon!H55</f>
        <v>112.74000000000001</v>
      </c>
      <c r="G30" s="274">
        <f>+Jalgaon!J55</f>
        <v>11859.1206</v>
      </c>
      <c r="H30" s="274">
        <f t="shared" si="2"/>
        <v>1661710.6171000001</v>
      </c>
      <c r="I30" s="274">
        <f>+Jalgaon!K3</f>
        <v>337793.25360000017</v>
      </c>
      <c r="J30" s="274">
        <f>+Jalgaon!L55</f>
        <v>348495.99160000001</v>
      </c>
      <c r="K30" s="348">
        <f t="shared" si="0"/>
        <v>1651007.8791000003</v>
      </c>
      <c r="L30" s="272" t="s">
        <v>68</v>
      </c>
    </row>
    <row r="31" spans="1:13">
      <c r="A31" s="347">
        <v>30</v>
      </c>
      <c r="B31" s="273" t="s">
        <v>120</v>
      </c>
      <c r="C31" s="273" t="s">
        <v>121</v>
      </c>
      <c r="D31" s="274">
        <f>+'Jalgoan-2'!E55</f>
        <v>56137.39</v>
      </c>
      <c r="E31" s="274">
        <f>'Jalgoan-2'!G55</f>
        <v>5180158.8069000002</v>
      </c>
      <c r="F31" s="274">
        <f>+'Jalgoan-2'!H55</f>
        <v>360</v>
      </c>
      <c r="G31" s="274">
        <f>+'Jalgoan-2'!J55</f>
        <v>38558.400000000001</v>
      </c>
      <c r="H31" s="274">
        <f t="shared" si="2"/>
        <v>5218717.2069000006</v>
      </c>
      <c r="I31" s="274">
        <f>+'Jalgoan-2'!M3</f>
        <v>2953127.7761999997</v>
      </c>
      <c r="J31" s="274">
        <f>+'Jalgoan-2'!L55</f>
        <v>2700000</v>
      </c>
      <c r="K31" s="348">
        <f t="shared" si="0"/>
        <v>5471844.9831000008</v>
      </c>
      <c r="L31" s="272" t="s">
        <v>68</v>
      </c>
    </row>
    <row r="32" spans="1:13">
      <c r="A32" s="347">
        <v>31</v>
      </c>
      <c r="B32" s="273" t="s">
        <v>122</v>
      </c>
      <c r="C32" s="225" t="s">
        <v>123</v>
      </c>
      <c r="D32" s="274">
        <f>+' Jalgoan-3'!E55</f>
        <v>2500</v>
      </c>
      <c r="E32" s="274">
        <f>+' Jalgoan-3'!G55</f>
        <v>229925</v>
      </c>
      <c r="F32" s="274">
        <f>+' Jalgoan-3'!H55</f>
        <v>0</v>
      </c>
      <c r="G32" s="274">
        <f>+' Jalgoan-3'!J55</f>
        <v>0</v>
      </c>
      <c r="H32" s="274">
        <f t="shared" si="2"/>
        <v>229925</v>
      </c>
      <c r="I32" s="274">
        <f>+' Jalgoan-3'!M3</f>
        <v>0</v>
      </c>
      <c r="J32" s="274">
        <f>+' Jalgoan-3'!L55</f>
        <v>229925</v>
      </c>
      <c r="K32" s="348">
        <f t="shared" si="0"/>
        <v>0</v>
      </c>
      <c r="L32" s="272" t="s">
        <v>68</v>
      </c>
    </row>
    <row r="33" spans="1:13">
      <c r="A33" s="347">
        <v>32</v>
      </c>
      <c r="B33" s="273" t="s">
        <v>124</v>
      </c>
      <c r="C33" s="273" t="s">
        <v>125</v>
      </c>
      <c r="D33" s="274">
        <f>+' Jalgoan-4'!E55</f>
        <v>4000</v>
      </c>
      <c r="E33" s="274">
        <f>+' Jalgoan-4'!G55</f>
        <v>366680</v>
      </c>
      <c r="F33" s="274">
        <f>+' Jalgoan-4'!H55</f>
        <v>0</v>
      </c>
      <c r="G33" s="274">
        <f>+' Jalgoan-4'!J55</f>
        <v>0</v>
      </c>
      <c r="H33" s="274">
        <f t="shared" si="2"/>
        <v>366680</v>
      </c>
      <c r="I33" s="274">
        <f>+' Jalgoan-4'!M3</f>
        <v>0</v>
      </c>
      <c r="J33" s="274">
        <f>+' Jalgoan-4'!L55</f>
        <v>366680</v>
      </c>
      <c r="K33" s="348">
        <f t="shared" si="0"/>
        <v>0</v>
      </c>
      <c r="L33" s="272" t="s">
        <v>68</v>
      </c>
    </row>
    <row r="34" spans="1:13">
      <c r="A34" s="347">
        <v>33</v>
      </c>
      <c r="B34" s="273" t="s">
        <v>126</v>
      </c>
      <c r="C34" s="273" t="s">
        <v>127</v>
      </c>
      <c r="D34" s="274">
        <f>+MKBD!E38</f>
        <v>14800</v>
      </c>
      <c r="E34" s="274">
        <f>+MKBD!G38</f>
        <v>1348872</v>
      </c>
      <c r="F34" s="274">
        <f>+MKBD!H38</f>
        <v>110.21000000000001</v>
      </c>
      <c r="G34" s="274">
        <f>+MKBD!J38</f>
        <v>11527.966</v>
      </c>
      <c r="H34" s="274">
        <f t="shared" si="2"/>
        <v>1360399.966</v>
      </c>
      <c r="I34" s="274">
        <f>+MKBD!K3</f>
        <v>103006.58380000037</v>
      </c>
      <c r="J34" s="274">
        <f>+MKBD!L38</f>
        <v>0</v>
      </c>
      <c r="K34" s="348">
        <f t="shared" si="0"/>
        <v>1463406.5498000004</v>
      </c>
      <c r="L34" s="272" t="s">
        <v>68</v>
      </c>
    </row>
    <row r="35" spans="1:13">
      <c r="A35" s="347">
        <v>34</v>
      </c>
      <c r="B35" s="273" t="s">
        <v>128</v>
      </c>
      <c r="C35" s="273" t="s">
        <v>129</v>
      </c>
      <c r="D35" s="274">
        <f>' Haveri-2'!E38</f>
        <v>1427.7699999999998</v>
      </c>
      <c r="E35" s="274">
        <f>' Haveri-2'!G38</f>
        <v>130626.3363</v>
      </c>
      <c r="F35" s="274">
        <f>' Haveri-2'!H38</f>
        <v>75.11</v>
      </c>
      <c r="G35" s="274">
        <f>' Haveri-2'!J38</f>
        <v>7809.1713000000018</v>
      </c>
      <c r="H35" s="274">
        <f t="shared" si="2"/>
        <v>138435.50760000001</v>
      </c>
      <c r="I35" s="274">
        <f>' Haveri-2'!M3</f>
        <v>90409.198799999984</v>
      </c>
      <c r="J35" s="274">
        <f>+' Haveri-2'!L38</f>
        <v>151559.56349999999</v>
      </c>
      <c r="K35" s="348">
        <f t="shared" si="0"/>
        <v>77285.142900000006</v>
      </c>
      <c r="L35" s="272" t="s">
        <v>68</v>
      </c>
    </row>
    <row r="36" spans="1:13">
      <c r="A36" s="347">
        <v>35</v>
      </c>
      <c r="B36" s="273" t="s">
        <v>130</v>
      </c>
      <c r="C36" s="273" t="s">
        <v>131</v>
      </c>
      <c r="D36" s="274">
        <f>+' Guttal-2'!E35</f>
        <v>4113.96</v>
      </c>
      <c r="E36" s="274">
        <f>+' Guttal-2'!G35</f>
        <v>377579.24880000006</v>
      </c>
      <c r="F36" s="274">
        <f>+' Guttal-2'!H35</f>
        <v>171</v>
      </c>
      <c r="G36" s="274">
        <f>+' Guttal-2'!J35</f>
        <v>17739.54</v>
      </c>
      <c r="H36" s="274">
        <f t="shared" si="2"/>
        <v>395318.78880000004</v>
      </c>
      <c r="I36" s="274">
        <f>+' Guttal-2'!M3</f>
        <v>118610.54580000014</v>
      </c>
      <c r="J36" s="274">
        <f>+' Guttal-2'!L35</f>
        <v>310000</v>
      </c>
      <c r="K36" s="348">
        <f t="shared" si="0"/>
        <v>203929.33460000018</v>
      </c>
      <c r="L36" s="272" t="s">
        <v>68</v>
      </c>
    </row>
    <row r="37" spans="1:13">
      <c r="A37" s="347">
        <v>36</v>
      </c>
      <c r="B37" s="273" t="s">
        <v>132</v>
      </c>
      <c r="C37" s="273" t="s">
        <v>133</v>
      </c>
      <c r="D37" s="274">
        <f>+Rattihali!E35</f>
        <v>0</v>
      </c>
      <c r="E37" s="274">
        <f>+Rattihali!G35</f>
        <v>0</v>
      </c>
      <c r="F37" s="274">
        <f>+Rattihali!H35</f>
        <v>0</v>
      </c>
      <c r="G37" s="274">
        <f>+Rattihali!J35</f>
        <v>0</v>
      </c>
      <c r="H37" s="274">
        <f t="shared" si="2"/>
        <v>0</v>
      </c>
      <c r="I37" s="274">
        <f>+Rattihali!M3</f>
        <v>6442.7239999999874</v>
      </c>
      <c r="J37" s="274">
        <f>+Rattihali!L35</f>
        <v>6442.72</v>
      </c>
      <c r="K37" s="348">
        <f t="shared" si="0"/>
        <v>3.9999999871724867E-3</v>
      </c>
      <c r="L37" s="272" t="s">
        <v>68</v>
      </c>
    </row>
    <row r="38" spans="1:13">
      <c r="A38" s="347">
        <v>37</v>
      </c>
      <c r="B38" s="273" t="s">
        <v>134</v>
      </c>
      <c r="C38" s="273" t="s">
        <v>135</v>
      </c>
      <c r="D38" s="274">
        <f>+'Rattihali-2'!E37</f>
        <v>4383.6100000000006</v>
      </c>
      <c r="E38" s="274">
        <f>+'Rattihali-2'!G37</f>
        <v>402809.92289999995</v>
      </c>
      <c r="F38" s="274">
        <f>+'Rattihali-2'!H37</f>
        <v>110</v>
      </c>
      <c r="G38" s="274">
        <f>+'Rattihali-2'!J37</f>
        <v>11423.5</v>
      </c>
      <c r="H38" s="274">
        <f t="shared" si="2"/>
        <v>414233.42289999995</v>
      </c>
      <c r="I38" s="274">
        <f>+'Rattihali-2'!M3</f>
        <v>149508.67440000002</v>
      </c>
      <c r="J38" s="274">
        <f>+'Rattihali-2'!L37</f>
        <v>300000</v>
      </c>
      <c r="K38" s="348">
        <f t="shared" si="0"/>
        <v>263742.09730000002</v>
      </c>
      <c r="L38" s="272" t="s">
        <v>68</v>
      </c>
    </row>
    <row r="39" spans="1:13">
      <c r="A39" s="347">
        <v>38</v>
      </c>
      <c r="B39" s="273" t="s">
        <v>136</v>
      </c>
      <c r="C39" s="273" t="s">
        <v>137</v>
      </c>
      <c r="D39" s="274">
        <f>+Gajendragada!E35</f>
        <v>1151</v>
      </c>
      <c r="E39" s="274">
        <f>+Gajendragada!G35</f>
        <v>105696.33</v>
      </c>
      <c r="F39" s="274">
        <f>+Gajendragada!H35</f>
        <v>149.95999999999998</v>
      </c>
      <c r="G39" s="274">
        <f>+Gajendragada!J35</f>
        <v>15565.848</v>
      </c>
      <c r="H39" s="274">
        <f t="shared" si="2"/>
        <v>121262.178</v>
      </c>
      <c r="I39" s="274">
        <f>+Gajendragada!K3</f>
        <v>126102.90150000001</v>
      </c>
      <c r="J39" s="274">
        <f>+Gajendragada!L35</f>
        <v>200000</v>
      </c>
      <c r="K39" s="348">
        <f t="shared" si="0"/>
        <v>47365.079499999993</v>
      </c>
      <c r="L39" s="272" t="s">
        <v>68</v>
      </c>
    </row>
    <row r="40" spans="1:13">
      <c r="A40" s="347">
        <v>39</v>
      </c>
      <c r="B40" s="276" t="s">
        <v>138</v>
      </c>
      <c r="C40" s="276" t="s">
        <v>139</v>
      </c>
      <c r="D40" s="274">
        <f>+'Gokak Dharwad PKG 3'!E40</f>
        <v>11542.14</v>
      </c>
      <c r="E40" s="274">
        <f>+'Gokak Dharwad PKG 3'!G40</f>
        <v>1055874.9672000001</v>
      </c>
      <c r="F40" s="274">
        <f>+'Gokak Dharwad PKG 3'!H40</f>
        <v>330</v>
      </c>
      <c r="G40" s="274">
        <f>+'Gokak Dharwad PKG 3'!J40</f>
        <v>34311.539999999994</v>
      </c>
      <c r="H40" s="274">
        <f t="shared" si="2"/>
        <v>1090186.5072000001</v>
      </c>
      <c r="I40" s="369">
        <f>+'Gokak Dharwad PKG 3'!K3</f>
        <v>227750.47940000115</v>
      </c>
      <c r="J40" s="274">
        <f>+'Gokak Dharwad PKG 3'!L40</f>
        <v>950000</v>
      </c>
      <c r="K40" s="348">
        <f t="shared" si="0"/>
        <v>367936.98660000134</v>
      </c>
      <c r="L40" s="272" t="s">
        <v>68</v>
      </c>
      <c r="M40" s="278"/>
    </row>
    <row r="41" spans="1:13">
      <c r="A41" s="347">
        <v>40</v>
      </c>
      <c r="B41" s="276" t="s">
        <v>140</v>
      </c>
      <c r="C41" s="276" t="s">
        <v>141</v>
      </c>
      <c r="D41" s="274">
        <f>+' TR Associates'!E35</f>
        <v>12090.880000000001</v>
      </c>
      <c r="E41" s="274">
        <f>+' TR Associates'!G35</f>
        <v>1104139.1615999998</v>
      </c>
      <c r="F41" s="274">
        <f>+' TR Associates'!H35</f>
        <v>6</v>
      </c>
      <c r="G41" s="274">
        <f>+' TR Associates'!J35</f>
        <v>619.38</v>
      </c>
      <c r="H41" s="367">
        <f t="shared" si="2"/>
        <v>1104758.5415999996</v>
      </c>
      <c r="I41" s="366">
        <f>+' TR Associates'!M3</f>
        <v>301816.68719999993</v>
      </c>
      <c r="J41" s="368">
        <f>+' TR Associates'!L35</f>
        <v>700000</v>
      </c>
      <c r="K41" s="348">
        <f t="shared" si="0"/>
        <v>706575.22879999969</v>
      </c>
      <c r="L41" s="272" t="s">
        <v>68</v>
      </c>
      <c r="M41" s="278"/>
    </row>
    <row r="42" spans="1:13">
      <c r="A42" s="347">
        <v>41</v>
      </c>
      <c r="B42" s="276" t="s">
        <v>142</v>
      </c>
      <c r="C42" s="276" t="s">
        <v>143</v>
      </c>
      <c r="D42" s="274">
        <f>+Ankalgi!E35</f>
        <v>4182.87</v>
      </c>
      <c r="E42" s="274">
        <f>+Ankalgi!G35</f>
        <v>381948.2487</v>
      </c>
      <c r="F42" s="274">
        <f>+Ankalgi!H35</f>
        <v>82</v>
      </c>
      <c r="G42" s="274">
        <f>+Ankalgi!J35</f>
        <v>8465.119999999999</v>
      </c>
      <c r="H42" s="274">
        <f t="shared" si="2"/>
        <v>390413.36869999999</v>
      </c>
      <c r="I42" s="300">
        <f>+Ankalgi!M3</f>
        <v>94860.976399999985</v>
      </c>
      <c r="J42" s="274">
        <f>+Ankalgi!L35</f>
        <v>300000</v>
      </c>
      <c r="K42" s="348">
        <f>H42+I42-J42</f>
        <v>185274.34509999998</v>
      </c>
      <c r="L42" s="272" t="s">
        <v>68</v>
      </c>
    </row>
    <row r="43" spans="1:13">
      <c r="A43" s="347">
        <v>42</v>
      </c>
      <c r="B43" s="276" t="s">
        <v>144</v>
      </c>
      <c r="C43" s="276" t="s">
        <v>145</v>
      </c>
      <c r="D43" s="274">
        <f>+' Shankeshwar'!E35</f>
        <v>565</v>
      </c>
      <c r="E43" s="274">
        <f>+' Shankeshwar'!G35</f>
        <v>51584.5</v>
      </c>
      <c r="F43" s="274">
        <f>+' Shankeshwar'!H35</f>
        <v>77.78</v>
      </c>
      <c r="G43" s="274">
        <f>+' Shankeshwar'!J35</f>
        <v>8028.7815999999984</v>
      </c>
      <c r="H43" s="367">
        <f t="shared" si="2"/>
        <v>59613.281600000002</v>
      </c>
      <c r="I43" s="366">
        <f>' Shankeshwar'!M3</f>
        <v>0</v>
      </c>
      <c r="J43" s="368">
        <f>+' Shankeshwar'!L35</f>
        <v>59613.281600000002</v>
      </c>
      <c r="K43" s="348">
        <f t="shared" si="0"/>
        <v>0</v>
      </c>
      <c r="L43" s="272" t="s">
        <v>68</v>
      </c>
    </row>
    <row r="44" spans="1:13">
      <c r="A44" s="347">
        <v>43</v>
      </c>
      <c r="B44" s="276" t="s">
        <v>146</v>
      </c>
      <c r="C44" s="276" t="s">
        <v>147</v>
      </c>
      <c r="D44" s="274">
        <f>+' Talikote'!E46</f>
        <v>367.57</v>
      </c>
      <c r="E44" s="274">
        <f>+' Talikote'!G46</f>
        <v>33754.8678</v>
      </c>
      <c r="F44" s="274">
        <f>+' Talikote'!H46</f>
        <v>70.47</v>
      </c>
      <c r="G44" s="274">
        <f>+' Talikote'!J46</f>
        <v>7289.4168000000009</v>
      </c>
      <c r="H44" s="274">
        <f t="shared" si="2"/>
        <v>41044.284599999999</v>
      </c>
      <c r="I44" s="409">
        <f>+' Talikote'!N3</f>
        <v>2423.9634999999794</v>
      </c>
      <c r="J44" s="274">
        <f>+' Talikote'!L46</f>
        <v>41000</v>
      </c>
      <c r="K44" s="348">
        <f t="shared" si="0"/>
        <v>2468.2480999999752</v>
      </c>
      <c r="L44" s="272" t="s">
        <v>68</v>
      </c>
    </row>
    <row r="45" spans="1:13">
      <c r="A45" s="347">
        <v>44</v>
      </c>
      <c r="B45" s="276" t="s">
        <v>148</v>
      </c>
      <c r="C45" s="276" t="s">
        <v>149</v>
      </c>
      <c r="D45" s="274">
        <f>+Chadchan!E35</f>
        <v>1320.99</v>
      </c>
      <c r="E45" s="274">
        <f>+Chadchan!G35</f>
        <v>120513.91770000001</v>
      </c>
      <c r="F45" s="274">
        <f>+Chadchan!H35</f>
        <v>100.52</v>
      </c>
      <c r="G45" s="274">
        <f>+Chadchan!J35</f>
        <v>10350.663200000001</v>
      </c>
      <c r="H45" s="274">
        <f t="shared" si="2"/>
        <v>130864.5809</v>
      </c>
      <c r="I45" s="274">
        <f>+Chadchan!K3</f>
        <v>126345.08390000011</v>
      </c>
      <c r="J45" s="274">
        <f>+Chadchan!L35</f>
        <v>200000</v>
      </c>
      <c r="K45" s="348">
        <f t="shared" si="0"/>
        <v>57209.664800000115</v>
      </c>
      <c r="L45" s="272" t="s">
        <v>68</v>
      </c>
    </row>
    <row r="46" spans="1:13">
      <c r="A46" s="347">
        <v>45</v>
      </c>
      <c r="B46" s="276" t="s">
        <v>150</v>
      </c>
      <c r="C46" s="276" t="s">
        <v>151</v>
      </c>
      <c r="D46" s="274">
        <f>+Sindagi!E44</f>
        <v>751.95</v>
      </c>
      <c r="E46" s="274">
        <f>+Sindagi!G44</f>
        <v>68603.025500000018</v>
      </c>
      <c r="F46" s="274">
        <f>+Sindagi!H44</f>
        <v>20</v>
      </c>
      <c r="G46" s="274">
        <f>+Sindagi!J44</f>
        <v>2231</v>
      </c>
      <c r="H46" s="274">
        <f t="shared" si="2"/>
        <v>70834.025500000018</v>
      </c>
      <c r="I46" s="274">
        <f>+Sindagi!M3</f>
        <v>4750.3871999999974</v>
      </c>
      <c r="J46" s="274">
        <f>+Sindagi!L44</f>
        <v>60000</v>
      </c>
      <c r="K46" s="348">
        <f t="shared" si="0"/>
        <v>15584.412700000015</v>
      </c>
      <c r="L46" s="272" t="s">
        <v>68</v>
      </c>
    </row>
    <row r="47" spans="1:13">
      <c r="A47" s="347">
        <v>46</v>
      </c>
      <c r="B47" s="276" t="s">
        <v>152</v>
      </c>
      <c r="C47" s="276" t="s">
        <v>153</v>
      </c>
      <c r="D47" s="274">
        <f>+'Muddebhihal-2'!E49</f>
        <v>863.72</v>
      </c>
      <c r="E47" s="274">
        <f>+'Muddebhihal-2'!G49</f>
        <v>78961.282399999996</v>
      </c>
      <c r="F47" s="274">
        <f>+'Muddebhihal-2'!H49</f>
        <v>31.48</v>
      </c>
      <c r="G47" s="274">
        <f>+'Muddebhihal-2'!J49</f>
        <v>3286.2731999999996</v>
      </c>
      <c r="H47" s="274">
        <f>+'Muddebhihal-2'!K49</f>
        <v>82247.555599999992</v>
      </c>
      <c r="I47" s="274">
        <f>+'Muddebhihal-2'!M3</f>
        <v>87558.79</v>
      </c>
      <c r="J47" s="274">
        <f>+'Muddebhihal-2'!L49</f>
        <v>110000</v>
      </c>
      <c r="K47" s="348">
        <f>+'Muddebhihal-2'!M48</f>
        <v>59806.345600000015</v>
      </c>
      <c r="L47" s="272" t="s">
        <v>68</v>
      </c>
    </row>
    <row r="48" spans="1:13">
      <c r="A48" s="347">
        <v>47</v>
      </c>
      <c r="B48" s="276" t="s">
        <v>154</v>
      </c>
      <c r="C48" s="276" t="s">
        <v>155</v>
      </c>
      <c r="D48" s="274">
        <f>+Alemela!E43</f>
        <v>1435.0500000000002</v>
      </c>
      <c r="E48" s="274">
        <f>+Alemela!G43</f>
        <v>131249.67299999998</v>
      </c>
      <c r="F48" s="274">
        <f>+Alemela!H43</f>
        <v>124.94</v>
      </c>
      <c r="G48" s="274">
        <f>+Alemela!J43</f>
        <v>12918.795999999998</v>
      </c>
      <c r="H48" s="274">
        <f t="shared" si="2"/>
        <v>144168.46899999998</v>
      </c>
      <c r="I48" s="274">
        <f>+Alemela!M3</f>
        <v>57123.166900000004</v>
      </c>
      <c r="J48" s="274">
        <f>+Alemela!L43</f>
        <v>200000</v>
      </c>
      <c r="K48" s="348">
        <f t="shared" si="0"/>
        <v>1291.6358999999939</v>
      </c>
      <c r="L48" s="272" t="s">
        <v>68</v>
      </c>
    </row>
    <row r="49" spans="1:13">
      <c r="A49" s="347">
        <v>48</v>
      </c>
      <c r="B49" s="276" t="s">
        <v>156</v>
      </c>
      <c r="C49" s="276" t="s">
        <v>157</v>
      </c>
      <c r="D49" s="274">
        <f>+Nalatwad!E43</f>
        <v>630.5200000000001</v>
      </c>
      <c r="E49" s="274">
        <f>+Nalatwad!G43</f>
        <v>57768.242399999996</v>
      </c>
      <c r="F49" s="274">
        <f>+Nalatwad!H43</f>
        <v>60.49</v>
      </c>
      <c r="G49" s="274">
        <f>+Nalatwad!J43</f>
        <v>6264.9492999999993</v>
      </c>
      <c r="H49" s="274">
        <f>E49+G49</f>
        <v>64033.191699999996</v>
      </c>
      <c r="I49" s="274">
        <f>+Nalatwad!M3</f>
        <v>39139.75</v>
      </c>
      <c r="J49" s="274">
        <f>+Nalatwad!L43</f>
        <v>50000</v>
      </c>
      <c r="K49" s="348">
        <f>H49+I49-J49</f>
        <v>53172.941699999996</v>
      </c>
      <c r="L49" s="272" t="s">
        <v>68</v>
      </c>
    </row>
    <row r="50" spans="1:13">
      <c r="A50" s="347">
        <v>49</v>
      </c>
      <c r="B50" s="276" t="s">
        <v>158</v>
      </c>
      <c r="C50" s="276" t="s">
        <v>159</v>
      </c>
      <c r="D50" s="274">
        <f>+Srirangapatna!E35</f>
        <v>0</v>
      </c>
      <c r="E50" s="274">
        <f>+Srirangapatna!G35</f>
        <v>0</v>
      </c>
      <c r="F50" s="274">
        <f>+Srirangapatna!H35</f>
        <v>18.5</v>
      </c>
      <c r="G50" s="274">
        <f>+Srirangapatna!J35</f>
        <v>1895.6949999999999</v>
      </c>
      <c r="H50" s="274">
        <f t="shared" si="2"/>
        <v>1895.6949999999999</v>
      </c>
      <c r="I50" s="274">
        <v>0</v>
      </c>
      <c r="J50" s="274">
        <f>+Srirangapatna!L35</f>
        <v>1895.6949999999999</v>
      </c>
      <c r="K50" s="348">
        <f t="shared" si="0"/>
        <v>0</v>
      </c>
      <c r="L50" s="272" t="s">
        <v>68</v>
      </c>
    </row>
    <row r="51" spans="1:13">
      <c r="A51" s="347">
        <v>50</v>
      </c>
      <c r="B51" s="276" t="s">
        <v>160</v>
      </c>
      <c r="C51" s="273" t="s">
        <v>72</v>
      </c>
      <c r="D51" s="354">
        <f>+'HO(DG)'!E39</f>
        <v>1068.42</v>
      </c>
      <c r="E51" s="354">
        <f>+'HO(DG)'!G39</f>
        <v>102382.13860000001</v>
      </c>
      <c r="F51" s="354">
        <f>+'HO(DG)'!H39</f>
        <v>0</v>
      </c>
      <c r="G51" s="354">
        <f>+'HO(DG)'!J39</f>
        <v>0</v>
      </c>
      <c r="H51" s="274">
        <f t="shared" si="2"/>
        <v>102382.13860000001</v>
      </c>
      <c r="I51" s="354">
        <f>+'HO(DG)'!M3</f>
        <v>89488.581900000019</v>
      </c>
      <c r="J51" s="354">
        <f>+'HO(DG)'!L39</f>
        <v>3349.5</v>
      </c>
      <c r="K51" s="348">
        <f t="shared" si="0"/>
        <v>188521.22050000002</v>
      </c>
      <c r="L51" s="272">
        <v>191263</v>
      </c>
      <c r="M51" s="278">
        <f>L51-K51</f>
        <v>2741.7794999999751</v>
      </c>
    </row>
    <row r="52" spans="1:13">
      <c r="A52" s="452" t="s">
        <v>36</v>
      </c>
      <c r="B52" s="453"/>
      <c r="C52" s="454"/>
      <c r="D52" s="349">
        <f>SUM(D2:D51)</f>
        <v>451700.34300000005</v>
      </c>
      <c r="E52" s="349">
        <f t="shared" ref="E52:G52" si="3">SUM(E2:E51)</f>
        <v>42403311.369829997</v>
      </c>
      <c r="F52" s="349">
        <f t="shared" si="3"/>
        <v>6061.6399999999994</v>
      </c>
      <c r="G52" s="349">
        <f>SUM(G2:G51)</f>
        <v>639164.40569999989</v>
      </c>
      <c r="H52" s="349">
        <f t="shared" ref="H52:J52" si="4">SUM(H2:H51)</f>
        <v>43042475.775529988</v>
      </c>
      <c r="I52" s="349">
        <f t="shared" si="4"/>
        <v>23458516.341763008</v>
      </c>
      <c r="J52" s="349">
        <f>SUM(J2:J51)</f>
        <v>29891673.266099993</v>
      </c>
      <c r="K52" s="350">
        <f>H52+I52-J52</f>
        <v>36609318.851193011</v>
      </c>
      <c r="L52" s="272">
        <v>36462814.426592998</v>
      </c>
      <c r="M52" s="278">
        <f>K52-L52</f>
        <v>146504.4246000126</v>
      </c>
    </row>
    <row r="53" spans="1:13">
      <c r="K53" s="277"/>
    </row>
    <row r="55" spans="1:13">
      <c r="K55" s="277"/>
    </row>
    <row r="56" spans="1:13">
      <c r="K56" s="277"/>
    </row>
    <row r="57" spans="1:13">
      <c r="A57" s="319" t="s">
        <v>55</v>
      </c>
      <c r="B57" s="319" t="s">
        <v>56</v>
      </c>
      <c r="C57" s="319" t="s">
        <v>57</v>
      </c>
      <c r="D57" s="320" t="s">
        <v>58</v>
      </c>
      <c r="E57" s="320" t="s">
        <v>59</v>
      </c>
      <c r="F57" s="320" t="s">
        <v>60</v>
      </c>
      <c r="G57" s="320" t="s">
        <v>61</v>
      </c>
      <c r="H57" s="320" t="s">
        <v>62</v>
      </c>
      <c r="I57" s="320" t="s">
        <v>63</v>
      </c>
      <c r="J57" s="320" t="s">
        <v>64</v>
      </c>
      <c r="K57" s="320" t="s">
        <v>65</v>
      </c>
    </row>
    <row r="58" spans="1:13">
      <c r="A58" s="321">
        <v>39</v>
      </c>
      <c r="B58" s="321" t="str" cm="1">
        <f t="array" ref="B58:K58">VLOOKUP(A58,A1:K50,{2,3,4,5,6,7,8,9,10,11},FALSE)</f>
        <v>Gokak(PKG-3)</v>
      </c>
      <c r="C58" s="321" t="str">
        <v>AJ Petrolinks</v>
      </c>
      <c r="D58" s="321">
        <v>11542.14</v>
      </c>
      <c r="E58" s="321">
        <v>1055874.9672000001</v>
      </c>
      <c r="F58" s="321">
        <v>330</v>
      </c>
      <c r="G58" s="321">
        <v>34311.539999999994</v>
      </c>
      <c r="H58" s="321">
        <v>1090186.5072000001</v>
      </c>
      <c r="I58" s="321">
        <v>227750.47940000115</v>
      </c>
      <c r="J58" s="321">
        <v>950000</v>
      </c>
      <c r="K58" s="321">
        <v>367936.98660000134</v>
      </c>
    </row>
    <row r="60" spans="1:13">
      <c r="B60" s="319" t="s">
        <v>56</v>
      </c>
      <c r="C60" s="319" t="s">
        <v>57</v>
      </c>
      <c r="D60" s="320" t="s">
        <v>58</v>
      </c>
      <c r="E60" s="320" t="s">
        <v>59</v>
      </c>
      <c r="F60" s="320" t="s">
        <v>60</v>
      </c>
      <c r="G60" s="320" t="s">
        <v>61</v>
      </c>
      <c r="H60" s="320" t="s">
        <v>62</v>
      </c>
      <c r="I60" s="320" t="s">
        <v>63</v>
      </c>
      <c r="J60" s="320" t="s">
        <v>64</v>
      </c>
      <c r="K60" s="320" t="s">
        <v>65</v>
      </c>
    </row>
    <row r="61" spans="1:13">
      <c r="B61" s="6" t="s">
        <v>120</v>
      </c>
      <c r="C61" s="272" t="str" cm="1">
        <f t="array" ref="C61:K61">VLOOKUP(B61,B1:K50,{2,3,4,5,6,7,8,9,10},FALSE)</f>
        <v>Agrawal Petrol Pump</v>
      </c>
      <c r="D61" s="272">
        <v>56137.39</v>
      </c>
      <c r="E61" s="272">
        <v>5180158.8069000002</v>
      </c>
      <c r="F61" s="272">
        <v>360</v>
      </c>
      <c r="G61" s="272">
        <v>38558.400000000001</v>
      </c>
      <c r="H61" s="272">
        <v>5218717.2069000006</v>
      </c>
      <c r="I61" s="272">
        <v>2953127.7761999997</v>
      </c>
      <c r="J61" s="272">
        <v>2700000</v>
      </c>
      <c r="K61" s="272">
        <v>5471844.9831000008</v>
      </c>
    </row>
    <row r="68" spans="2:14">
      <c r="B68" s="272">
        <v>60000</v>
      </c>
    </row>
    <row r="69" spans="2:14">
      <c r="B69" s="272">
        <v>18000</v>
      </c>
    </row>
    <row r="70" spans="2:14">
      <c r="B70" s="272">
        <v>18000</v>
      </c>
    </row>
    <row r="71" spans="2:14">
      <c r="B71" s="272">
        <v>75000</v>
      </c>
    </row>
    <row r="72" spans="2:14">
      <c r="B72" s="272">
        <v>360000</v>
      </c>
    </row>
    <row r="76" spans="2:14">
      <c r="M76" s="344"/>
    </row>
    <row r="77" spans="2:14">
      <c r="M77" s="344"/>
      <c r="N77" s="343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52:C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39FC-1DEE-4D53-95A1-C1F1A0CD88CD}">
  <dimension ref="A1:T50"/>
  <sheetViews>
    <sheetView workbookViewId="0">
      <selection activeCell="T11" sqref="T11"/>
    </sheetView>
  </sheetViews>
  <sheetFormatPr defaultRowHeight="15"/>
  <cols>
    <col min="2" max="2" width="10.42578125" bestFit="1" customWidth="1"/>
    <col min="7" max="7" width="10.42578125" bestFit="1" customWidth="1"/>
    <col min="11" max="11" width="10.42578125" bestFit="1" customWidth="1"/>
    <col min="12" max="12" width="9.5703125" bestFit="1" customWidth="1"/>
    <col min="13" max="13" width="11.42578125" bestFit="1" customWidth="1"/>
    <col min="16" max="16" width="13.5703125" bestFit="1" customWidth="1"/>
    <col min="17" max="17" width="15.85546875" customWidth="1"/>
  </cols>
  <sheetData>
    <row r="1" spans="1:20" ht="15.75">
      <c r="A1" s="455" t="s">
        <v>72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</row>
    <row r="2" spans="1:20" ht="27">
      <c r="A2" s="103" t="s">
        <v>0</v>
      </c>
      <c r="B2" s="106" t="s">
        <v>161</v>
      </c>
      <c r="C2" s="106" t="s">
        <v>162</v>
      </c>
      <c r="D2" s="106" t="s">
        <v>163</v>
      </c>
      <c r="E2" s="106" t="s">
        <v>164</v>
      </c>
      <c r="F2" s="106" t="s">
        <v>165</v>
      </c>
      <c r="G2" s="106" t="s">
        <v>166</v>
      </c>
      <c r="H2" s="106" t="s">
        <v>167</v>
      </c>
      <c r="I2" s="106" t="s">
        <v>165</v>
      </c>
      <c r="J2" s="106" t="s">
        <v>166</v>
      </c>
      <c r="K2" s="144" t="s">
        <v>168</v>
      </c>
      <c r="L2" s="144" t="s">
        <v>169</v>
      </c>
      <c r="M2" s="144" t="s">
        <v>170</v>
      </c>
      <c r="N2" s="106" t="s">
        <v>171</v>
      </c>
    </row>
    <row r="3" spans="1:20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8"/>
      <c r="K3" s="131"/>
      <c r="L3" s="232"/>
      <c r="M3" s="328">
        <v>89488.581900000019</v>
      </c>
      <c r="N3" s="233"/>
      <c r="O3">
        <v>2623243.3616999988</v>
      </c>
    </row>
    <row r="4" spans="1:20">
      <c r="A4" s="26">
        <v>1</v>
      </c>
      <c r="B4" s="27">
        <v>46082</v>
      </c>
      <c r="C4" s="107"/>
      <c r="D4" s="35"/>
      <c r="E4" s="36"/>
      <c r="F4" s="36"/>
      <c r="G4" s="36">
        <f>E4*F4</f>
        <v>0</v>
      </c>
      <c r="H4" s="336">
        <v>0</v>
      </c>
      <c r="I4" s="336">
        <v>0</v>
      </c>
      <c r="J4" s="36">
        <f>H4*I4</f>
        <v>0</v>
      </c>
      <c r="K4" s="36">
        <f t="shared" ref="K4:L38" si="0">G4+J4</f>
        <v>0</v>
      </c>
      <c r="L4" s="197">
        <v>0</v>
      </c>
      <c r="M4" s="36">
        <f>M3+K4-L4</f>
        <v>89488.581900000019</v>
      </c>
      <c r="N4" s="234"/>
      <c r="P4" s="22"/>
    </row>
    <row r="5" spans="1:20">
      <c r="A5" s="26">
        <v>2</v>
      </c>
      <c r="B5" s="27">
        <v>46083</v>
      </c>
      <c r="C5" s="107"/>
      <c r="D5" s="35"/>
      <c r="E5" s="36"/>
      <c r="F5" s="36"/>
      <c r="G5" s="36">
        <f t="shared" ref="G5:G35" si="1">E5*F5</f>
        <v>0</v>
      </c>
      <c r="H5" s="336">
        <v>0</v>
      </c>
      <c r="I5" s="336">
        <v>0</v>
      </c>
      <c r="J5" s="36">
        <f t="shared" ref="J5:J12" si="2">H5*I5</f>
        <v>0</v>
      </c>
      <c r="K5" s="36">
        <f t="shared" si="0"/>
        <v>0</v>
      </c>
      <c r="L5" s="197">
        <v>0</v>
      </c>
      <c r="M5" s="36">
        <f t="shared" ref="M5:M6" si="3">M4+K5-L5</f>
        <v>89488.581900000019</v>
      </c>
      <c r="N5" s="235"/>
      <c r="S5">
        <v>16291</v>
      </c>
    </row>
    <row r="6" spans="1:20">
      <c r="A6" s="26">
        <v>3</v>
      </c>
      <c r="B6" s="27">
        <v>46084</v>
      </c>
      <c r="C6" s="107"/>
      <c r="D6" s="35"/>
      <c r="E6" s="36"/>
      <c r="F6" s="36"/>
      <c r="G6" s="36">
        <f t="shared" si="1"/>
        <v>0</v>
      </c>
      <c r="H6" s="336">
        <v>0</v>
      </c>
      <c r="I6" s="336">
        <v>0</v>
      </c>
      <c r="J6" s="36">
        <f t="shared" si="2"/>
        <v>0</v>
      </c>
      <c r="K6" s="36">
        <f t="shared" si="0"/>
        <v>0</v>
      </c>
      <c r="L6" s="197">
        <v>0</v>
      </c>
      <c r="M6" s="36">
        <f t="shared" si="3"/>
        <v>89488.581900000019</v>
      </c>
      <c r="N6" s="236"/>
      <c r="S6">
        <v>16291</v>
      </c>
    </row>
    <row r="7" spans="1:20">
      <c r="A7" s="26">
        <v>4</v>
      </c>
      <c r="B7" s="27">
        <v>46085</v>
      </c>
      <c r="C7" s="107"/>
      <c r="D7" s="35"/>
      <c r="E7" s="36">
        <v>170</v>
      </c>
      <c r="F7" s="36">
        <v>95.83</v>
      </c>
      <c r="G7" s="36">
        <f t="shared" si="1"/>
        <v>16291.1</v>
      </c>
      <c r="H7" s="336">
        <v>0</v>
      </c>
      <c r="I7" s="336">
        <v>0</v>
      </c>
      <c r="J7" s="36">
        <f t="shared" si="2"/>
        <v>0</v>
      </c>
      <c r="K7" s="36">
        <f t="shared" si="0"/>
        <v>16291.1</v>
      </c>
      <c r="L7" s="197">
        <v>0</v>
      </c>
      <c r="M7" s="36">
        <f>M6+K7-L7</f>
        <v>105779.68190000003</v>
      </c>
      <c r="N7" s="198"/>
      <c r="P7">
        <v>5679</v>
      </c>
      <c r="S7">
        <v>17249</v>
      </c>
    </row>
    <row r="8" spans="1:20">
      <c r="A8" s="26">
        <v>5</v>
      </c>
      <c r="B8" s="27">
        <v>46086</v>
      </c>
      <c r="C8" s="34"/>
      <c r="D8" s="35"/>
      <c r="E8" s="36"/>
      <c r="F8" s="36"/>
      <c r="G8" s="36">
        <f t="shared" si="1"/>
        <v>0</v>
      </c>
      <c r="H8" s="336">
        <v>0</v>
      </c>
      <c r="I8" s="336">
        <v>0</v>
      </c>
      <c r="J8" s="36">
        <f t="shared" si="2"/>
        <v>0</v>
      </c>
      <c r="K8" s="36">
        <f t="shared" si="0"/>
        <v>0</v>
      </c>
      <c r="L8" s="197">
        <v>0</v>
      </c>
      <c r="M8" s="36">
        <f t="shared" ref="M8:M38" si="4">M7+K8-L8</f>
        <v>105779.68190000003</v>
      </c>
      <c r="N8" s="198"/>
      <c r="S8">
        <v>17249</v>
      </c>
    </row>
    <row r="9" spans="1:20">
      <c r="A9" s="26">
        <v>6</v>
      </c>
      <c r="B9" s="27">
        <v>46087</v>
      </c>
      <c r="C9" s="34"/>
      <c r="D9" s="35"/>
      <c r="E9" s="36"/>
      <c r="F9" s="36"/>
      <c r="G9" s="36">
        <f t="shared" si="1"/>
        <v>0</v>
      </c>
      <c r="H9" s="336"/>
      <c r="I9" s="336"/>
      <c r="J9" s="36"/>
      <c r="K9" s="36">
        <f t="shared" si="0"/>
        <v>0</v>
      </c>
      <c r="L9" s="197">
        <v>0</v>
      </c>
      <c r="M9" s="36">
        <f t="shared" si="4"/>
        <v>105779.68190000003</v>
      </c>
      <c r="N9" s="198"/>
      <c r="S9">
        <v>14894</v>
      </c>
    </row>
    <row r="10" spans="1:20">
      <c r="A10" s="26">
        <v>7</v>
      </c>
      <c r="B10" s="27">
        <v>46088</v>
      </c>
      <c r="C10" s="34"/>
      <c r="D10" s="35"/>
      <c r="E10" s="36"/>
      <c r="F10" s="36"/>
      <c r="G10" s="36">
        <f t="shared" si="1"/>
        <v>0</v>
      </c>
      <c r="H10" s="336">
        <v>0</v>
      </c>
      <c r="I10" s="336">
        <v>0</v>
      </c>
      <c r="J10" s="36">
        <f t="shared" si="2"/>
        <v>0</v>
      </c>
      <c r="K10" s="36">
        <f t="shared" si="0"/>
        <v>0</v>
      </c>
      <c r="L10" s="197">
        <v>0</v>
      </c>
      <c r="M10" s="36">
        <f t="shared" si="4"/>
        <v>105779.68190000003</v>
      </c>
      <c r="N10" s="198"/>
      <c r="S10">
        <v>16578</v>
      </c>
      <c r="T10">
        <v>122085</v>
      </c>
    </row>
    <row r="11" spans="1:20">
      <c r="A11" s="26">
        <v>8</v>
      </c>
      <c r="B11" s="27">
        <v>46089</v>
      </c>
      <c r="C11" s="34"/>
      <c r="D11" s="35"/>
      <c r="E11" s="36">
        <v>170</v>
      </c>
      <c r="F11" s="36">
        <v>95.83</v>
      </c>
      <c r="G11" s="36">
        <f t="shared" si="1"/>
        <v>16291.1</v>
      </c>
      <c r="H11" s="336">
        <v>0</v>
      </c>
      <c r="I11" s="336">
        <v>0</v>
      </c>
      <c r="J11" s="36">
        <f t="shared" si="2"/>
        <v>0</v>
      </c>
      <c r="K11" s="36">
        <f t="shared" si="0"/>
        <v>16291.1</v>
      </c>
      <c r="L11" s="197">
        <v>0</v>
      </c>
      <c r="M11" s="36">
        <f t="shared" si="4"/>
        <v>122070.78190000003</v>
      </c>
      <c r="N11" s="198"/>
      <c r="S11">
        <f>SUM(S5:S10)</f>
        <v>98552</v>
      </c>
      <c r="T11">
        <f>T10+S11</f>
        <v>220637</v>
      </c>
    </row>
    <row r="12" spans="1:20">
      <c r="A12" s="26">
        <v>9</v>
      </c>
      <c r="B12" s="27">
        <v>46090</v>
      </c>
      <c r="C12" s="34"/>
      <c r="D12" s="35"/>
      <c r="E12" s="36"/>
      <c r="F12" s="36"/>
      <c r="G12" s="36">
        <f t="shared" si="1"/>
        <v>0</v>
      </c>
      <c r="H12" s="336">
        <v>0</v>
      </c>
      <c r="I12" s="336">
        <v>0</v>
      </c>
      <c r="J12" s="36">
        <f t="shared" si="2"/>
        <v>0</v>
      </c>
      <c r="K12" s="36">
        <f t="shared" si="0"/>
        <v>0</v>
      </c>
      <c r="L12" s="197">
        <v>0</v>
      </c>
      <c r="M12" s="36">
        <f t="shared" si="4"/>
        <v>122070.78190000003</v>
      </c>
      <c r="N12" s="198"/>
    </row>
    <row r="13" spans="1:20">
      <c r="A13" s="26">
        <v>10</v>
      </c>
      <c r="B13" s="27">
        <v>46091</v>
      </c>
      <c r="C13" s="34"/>
      <c r="D13" s="35"/>
      <c r="E13" s="36"/>
      <c r="F13" s="36"/>
      <c r="G13" s="36">
        <f t="shared" si="1"/>
        <v>0</v>
      </c>
      <c r="H13" s="336">
        <v>0</v>
      </c>
      <c r="I13" s="336">
        <v>0</v>
      </c>
      <c r="J13" s="36"/>
      <c r="K13" s="36">
        <f t="shared" si="0"/>
        <v>0</v>
      </c>
      <c r="L13" s="197">
        <v>0</v>
      </c>
      <c r="M13" s="36">
        <f t="shared" si="4"/>
        <v>122070.78190000003</v>
      </c>
      <c r="N13" s="198"/>
    </row>
    <row r="14" spans="1:20">
      <c r="A14" s="26">
        <v>11</v>
      </c>
      <c r="B14" s="27">
        <v>46092</v>
      </c>
      <c r="C14" s="34"/>
      <c r="D14" s="35"/>
      <c r="E14" s="36"/>
      <c r="F14" s="36"/>
      <c r="G14" s="36">
        <f t="shared" si="1"/>
        <v>0</v>
      </c>
      <c r="H14" s="336">
        <v>0</v>
      </c>
      <c r="I14" s="336">
        <v>0</v>
      </c>
      <c r="J14" s="36"/>
      <c r="K14" s="36">
        <f t="shared" si="0"/>
        <v>0</v>
      </c>
      <c r="L14" s="197">
        <v>0</v>
      </c>
      <c r="M14" s="36">
        <f t="shared" si="4"/>
        <v>122070.78190000003</v>
      </c>
      <c r="N14" s="198"/>
    </row>
    <row r="15" spans="1:20">
      <c r="A15" s="26">
        <v>12</v>
      </c>
      <c r="B15" s="27">
        <v>46093</v>
      </c>
      <c r="C15" s="34"/>
      <c r="D15" s="35"/>
      <c r="E15" s="36"/>
      <c r="F15" s="36"/>
      <c r="G15" s="36">
        <f t="shared" si="1"/>
        <v>0</v>
      </c>
      <c r="H15" s="336">
        <v>0</v>
      </c>
      <c r="I15" s="336">
        <v>0</v>
      </c>
      <c r="J15" s="36"/>
      <c r="K15" s="36">
        <f t="shared" si="0"/>
        <v>0</v>
      </c>
      <c r="L15" s="197">
        <v>0</v>
      </c>
      <c r="M15" s="36">
        <f t="shared" si="4"/>
        <v>122070.78190000003</v>
      </c>
      <c r="N15" s="198"/>
      <c r="P15">
        <v>1905988</v>
      </c>
      <c r="Q15" s="174">
        <f>P15-M15</f>
        <v>1783917.2180999999</v>
      </c>
    </row>
    <row r="16" spans="1:20">
      <c r="A16" s="26">
        <v>13</v>
      </c>
      <c r="B16" s="27">
        <v>46094</v>
      </c>
      <c r="C16" s="34"/>
      <c r="D16" s="35"/>
      <c r="E16" s="36">
        <v>180</v>
      </c>
      <c r="F16" s="36">
        <v>95.83</v>
      </c>
      <c r="G16" s="36">
        <f t="shared" si="1"/>
        <v>17249.400000000001</v>
      </c>
      <c r="H16" s="336">
        <v>0</v>
      </c>
      <c r="I16" s="336">
        <v>0</v>
      </c>
      <c r="J16" s="36"/>
      <c r="K16" s="36">
        <f t="shared" si="0"/>
        <v>17249.400000000001</v>
      </c>
      <c r="L16" s="197">
        <v>0</v>
      </c>
      <c r="M16" s="36">
        <f t="shared" si="4"/>
        <v>139320.18190000003</v>
      </c>
      <c r="N16" s="198"/>
    </row>
    <row r="17" spans="1:14">
      <c r="A17" s="26">
        <v>14</v>
      </c>
      <c r="B17" s="27">
        <v>46095</v>
      </c>
      <c r="C17" s="34"/>
      <c r="D17" s="35"/>
      <c r="E17" s="36"/>
      <c r="F17" s="36"/>
      <c r="G17" s="36">
        <f t="shared" si="1"/>
        <v>0</v>
      </c>
      <c r="H17" s="336">
        <v>0</v>
      </c>
      <c r="I17" s="336">
        <v>0</v>
      </c>
      <c r="J17" s="36">
        <f t="shared" ref="J17:J38" si="5">H17*I17</f>
        <v>0</v>
      </c>
      <c r="K17" s="36">
        <f t="shared" si="0"/>
        <v>0</v>
      </c>
      <c r="L17" s="197">
        <v>0</v>
      </c>
      <c r="M17" s="36">
        <f t="shared" si="4"/>
        <v>139320.18190000003</v>
      </c>
      <c r="N17" s="198"/>
    </row>
    <row r="18" spans="1:14">
      <c r="A18" s="26">
        <v>15</v>
      </c>
      <c r="B18" s="27">
        <v>46096</v>
      </c>
      <c r="C18" s="34"/>
      <c r="D18" s="35"/>
      <c r="E18" s="36"/>
      <c r="F18" s="36"/>
      <c r="G18" s="36">
        <f t="shared" si="1"/>
        <v>0</v>
      </c>
      <c r="H18" s="336">
        <v>0</v>
      </c>
      <c r="I18" s="336">
        <v>0</v>
      </c>
      <c r="J18" s="36">
        <f t="shared" si="5"/>
        <v>0</v>
      </c>
      <c r="K18" s="36">
        <f t="shared" si="0"/>
        <v>0</v>
      </c>
      <c r="L18" s="197">
        <v>0</v>
      </c>
      <c r="M18" s="36">
        <f t="shared" si="4"/>
        <v>139320.18190000003</v>
      </c>
      <c r="N18" s="198"/>
    </row>
    <row r="19" spans="1:14">
      <c r="A19" s="26">
        <v>16</v>
      </c>
      <c r="B19" s="27">
        <v>46097</v>
      </c>
      <c r="C19" s="168"/>
      <c r="D19" s="35"/>
      <c r="E19" s="36"/>
      <c r="F19" s="36"/>
      <c r="G19" s="36">
        <f t="shared" si="1"/>
        <v>0</v>
      </c>
      <c r="H19" s="336">
        <v>0</v>
      </c>
      <c r="I19" s="336">
        <v>0</v>
      </c>
      <c r="J19" s="36">
        <f t="shared" si="5"/>
        <v>0</v>
      </c>
      <c r="K19" s="36">
        <f t="shared" si="0"/>
        <v>0</v>
      </c>
      <c r="L19" s="197">
        <v>0</v>
      </c>
      <c r="M19" s="36">
        <f t="shared" si="4"/>
        <v>139320.18190000003</v>
      </c>
      <c r="N19" s="237"/>
    </row>
    <row r="20" spans="1:14">
      <c r="A20" s="26">
        <v>17</v>
      </c>
      <c r="B20" s="27">
        <v>46098</v>
      </c>
      <c r="C20" s="107"/>
      <c r="D20" s="35"/>
      <c r="E20" s="36">
        <v>185</v>
      </c>
      <c r="F20" s="36">
        <v>95.83</v>
      </c>
      <c r="G20" s="36">
        <f t="shared" si="1"/>
        <v>17728.55</v>
      </c>
      <c r="H20" s="336">
        <v>0</v>
      </c>
      <c r="I20" s="336">
        <v>0</v>
      </c>
      <c r="J20" s="36">
        <f t="shared" si="5"/>
        <v>0</v>
      </c>
      <c r="K20" s="36">
        <f t="shared" si="0"/>
        <v>17728.55</v>
      </c>
      <c r="L20" s="197">
        <v>0</v>
      </c>
      <c r="M20" s="36">
        <f t="shared" si="4"/>
        <v>157048.73190000001</v>
      </c>
      <c r="N20" s="237"/>
    </row>
    <row r="21" spans="1:14">
      <c r="A21" s="26">
        <v>18</v>
      </c>
      <c r="B21" s="27">
        <v>46099</v>
      </c>
      <c r="C21" s="180"/>
      <c r="D21" s="35"/>
      <c r="E21" s="36"/>
      <c r="F21" s="36"/>
      <c r="G21" s="36">
        <f t="shared" si="1"/>
        <v>0</v>
      </c>
      <c r="H21" s="336"/>
      <c r="I21" s="336"/>
      <c r="J21" s="36">
        <f t="shared" si="5"/>
        <v>0</v>
      </c>
      <c r="K21" s="36">
        <f t="shared" si="0"/>
        <v>0</v>
      </c>
      <c r="L21" s="197">
        <v>0</v>
      </c>
      <c r="M21" s="36">
        <f t="shared" si="4"/>
        <v>157048.73190000001</v>
      </c>
      <c r="N21" s="237"/>
    </row>
    <row r="22" spans="1:14">
      <c r="A22" s="26">
        <v>19</v>
      </c>
      <c r="B22" s="27">
        <v>46100</v>
      </c>
      <c r="C22" s="180"/>
      <c r="D22" s="35"/>
      <c r="E22" s="36"/>
      <c r="F22" s="36"/>
      <c r="G22" s="36">
        <f t="shared" si="1"/>
        <v>0</v>
      </c>
      <c r="H22" s="336"/>
      <c r="I22" s="336"/>
      <c r="J22" s="36">
        <f t="shared" si="5"/>
        <v>0</v>
      </c>
      <c r="K22" s="36">
        <f t="shared" si="0"/>
        <v>0</v>
      </c>
      <c r="L22" s="197">
        <v>0</v>
      </c>
      <c r="M22" s="36">
        <f>M21+K22-L22</f>
        <v>157048.73190000001</v>
      </c>
      <c r="N22" s="237"/>
    </row>
    <row r="23" spans="1:14">
      <c r="A23" s="26">
        <v>20</v>
      </c>
      <c r="B23" s="27">
        <v>46101</v>
      </c>
      <c r="C23" s="107"/>
      <c r="D23" s="35"/>
      <c r="E23" s="36"/>
      <c r="F23" s="36"/>
      <c r="G23" s="36">
        <f t="shared" si="1"/>
        <v>0</v>
      </c>
      <c r="H23" s="336"/>
      <c r="I23" s="336"/>
      <c r="J23" s="36">
        <f t="shared" si="5"/>
        <v>0</v>
      </c>
      <c r="K23" s="36">
        <f t="shared" si="0"/>
        <v>0</v>
      </c>
      <c r="L23" s="197">
        <v>0</v>
      </c>
      <c r="M23" s="36">
        <f t="shared" si="4"/>
        <v>157048.73190000001</v>
      </c>
      <c r="N23" s="198"/>
    </row>
    <row r="24" spans="1:14">
      <c r="A24" s="26">
        <v>21</v>
      </c>
      <c r="B24" s="27">
        <v>46102</v>
      </c>
      <c r="C24" s="107"/>
      <c r="D24" s="35"/>
      <c r="E24" s="36"/>
      <c r="F24" s="36"/>
      <c r="G24" s="36">
        <f t="shared" si="1"/>
        <v>0</v>
      </c>
      <c r="H24" s="336"/>
      <c r="I24" s="336"/>
      <c r="J24" s="36">
        <f t="shared" si="5"/>
        <v>0</v>
      </c>
      <c r="K24" s="36">
        <f t="shared" si="0"/>
        <v>0</v>
      </c>
      <c r="L24" s="197">
        <v>0</v>
      </c>
      <c r="M24" s="36">
        <f t="shared" si="4"/>
        <v>157048.73190000001</v>
      </c>
      <c r="N24" s="198"/>
    </row>
    <row r="25" spans="1:14">
      <c r="A25" s="26">
        <v>22</v>
      </c>
      <c r="B25" s="27">
        <v>46103</v>
      </c>
      <c r="C25" s="107"/>
      <c r="D25" s="35"/>
      <c r="E25" s="36"/>
      <c r="F25" s="36"/>
      <c r="G25" s="36">
        <f t="shared" si="1"/>
        <v>0</v>
      </c>
      <c r="H25" s="336"/>
      <c r="I25" s="336"/>
      <c r="J25" s="36">
        <f t="shared" si="5"/>
        <v>0</v>
      </c>
      <c r="K25" s="36">
        <f t="shared" si="0"/>
        <v>0</v>
      </c>
      <c r="L25" s="197">
        <v>0</v>
      </c>
      <c r="M25" s="36">
        <f t="shared" si="4"/>
        <v>157048.73190000001</v>
      </c>
      <c r="N25" s="198"/>
    </row>
    <row r="26" spans="1:14">
      <c r="A26" s="26">
        <v>23</v>
      </c>
      <c r="B26" s="27">
        <v>46104</v>
      </c>
      <c r="C26" s="107"/>
      <c r="D26" s="35"/>
      <c r="E26" s="36"/>
      <c r="F26" s="36"/>
      <c r="G26" s="36"/>
      <c r="H26" s="336"/>
      <c r="I26" s="336"/>
      <c r="J26" s="36"/>
      <c r="K26" s="36"/>
      <c r="L26" s="197"/>
      <c r="M26" s="36">
        <f t="shared" si="4"/>
        <v>157048.73190000001</v>
      </c>
      <c r="N26" s="198"/>
    </row>
    <row r="27" spans="1:14">
      <c r="A27" s="26">
        <v>24</v>
      </c>
      <c r="B27" s="27">
        <v>46105</v>
      </c>
      <c r="C27" s="107"/>
      <c r="D27" s="35"/>
      <c r="E27" s="36">
        <v>35</v>
      </c>
      <c r="F27" s="36">
        <v>95.7</v>
      </c>
      <c r="G27" s="36">
        <f t="shared" si="1"/>
        <v>3349.5</v>
      </c>
      <c r="H27" s="336"/>
      <c r="I27" s="336"/>
      <c r="J27" s="36">
        <f t="shared" si="5"/>
        <v>0</v>
      </c>
      <c r="K27" s="36">
        <f t="shared" si="0"/>
        <v>3349.5</v>
      </c>
      <c r="L27" s="36">
        <f t="shared" si="0"/>
        <v>3349.5</v>
      </c>
      <c r="M27" s="36">
        <f t="shared" si="4"/>
        <v>157048.73190000001</v>
      </c>
      <c r="N27" s="198"/>
    </row>
    <row r="28" spans="1:14">
      <c r="A28" s="26"/>
      <c r="B28" s="27">
        <v>46105</v>
      </c>
      <c r="C28" s="107"/>
      <c r="D28" s="35"/>
      <c r="E28" s="36">
        <v>173</v>
      </c>
      <c r="F28" s="36">
        <v>95.83</v>
      </c>
      <c r="G28" s="36">
        <f t="shared" si="1"/>
        <v>16578.59</v>
      </c>
      <c r="H28" s="336"/>
      <c r="I28" s="336"/>
      <c r="J28" s="36"/>
      <c r="K28" s="36">
        <f t="shared" si="0"/>
        <v>16578.59</v>
      </c>
      <c r="L28" s="197">
        <v>0</v>
      </c>
      <c r="M28" s="36">
        <f t="shared" si="4"/>
        <v>173627.32190000001</v>
      </c>
      <c r="N28" s="198"/>
    </row>
    <row r="29" spans="1:14">
      <c r="A29" s="26">
        <v>25</v>
      </c>
      <c r="B29" s="27">
        <v>46106</v>
      </c>
      <c r="C29" s="107"/>
      <c r="D29" s="35"/>
      <c r="E29" s="36"/>
      <c r="F29" s="36"/>
      <c r="G29" s="36">
        <f t="shared" si="1"/>
        <v>0</v>
      </c>
      <c r="H29" s="336"/>
      <c r="I29" s="336"/>
      <c r="J29" s="36">
        <f t="shared" si="5"/>
        <v>0</v>
      </c>
      <c r="K29" s="36">
        <f t="shared" si="0"/>
        <v>0</v>
      </c>
      <c r="L29" s="197">
        <v>0</v>
      </c>
      <c r="M29" s="36">
        <f t="shared" si="4"/>
        <v>173627.32190000001</v>
      </c>
      <c r="N29" s="198"/>
    </row>
    <row r="30" spans="1:14">
      <c r="A30" s="26">
        <v>26</v>
      </c>
      <c r="B30" s="27">
        <v>46107</v>
      </c>
      <c r="C30" s="107"/>
      <c r="D30" s="35"/>
      <c r="E30" s="36"/>
      <c r="F30" s="36"/>
      <c r="G30" s="36">
        <f t="shared" si="1"/>
        <v>0</v>
      </c>
      <c r="H30" s="336"/>
      <c r="I30" s="336"/>
      <c r="J30" s="36">
        <f t="shared" si="5"/>
        <v>0</v>
      </c>
      <c r="K30" s="36">
        <f t="shared" si="0"/>
        <v>0</v>
      </c>
      <c r="L30" s="197">
        <v>0</v>
      </c>
      <c r="M30" s="36">
        <f t="shared" si="4"/>
        <v>173627.32190000001</v>
      </c>
      <c r="N30" s="198"/>
    </row>
    <row r="31" spans="1:14">
      <c r="A31" s="26">
        <v>27</v>
      </c>
      <c r="B31" s="27">
        <v>46108</v>
      </c>
      <c r="C31" s="107"/>
      <c r="D31" s="35"/>
      <c r="E31" s="36"/>
      <c r="F31" s="36"/>
      <c r="G31" s="36">
        <f t="shared" si="1"/>
        <v>0</v>
      </c>
      <c r="H31" s="336"/>
      <c r="I31" s="336"/>
      <c r="J31" s="36">
        <f t="shared" si="5"/>
        <v>0</v>
      </c>
      <c r="K31" s="36">
        <f t="shared" si="0"/>
        <v>0</v>
      </c>
      <c r="L31" s="197">
        <v>0</v>
      </c>
      <c r="M31" s="36">
        <f t="shared" si="4"/>
        <v>173627.32190000001</v>
      </c>
      <c r="N31" s="198"/>
    </row>
    <row r="32" spans="1:14">
      <c r="A32" s="26">
        <v>28</v>
      </c>
      <c r="B32" s="27">
        <v>46109</v>
      </c>
      <c r="C32" s="107"/>
      <c r="D32" s="35"/>
      <c r="E32" s="36">
        <v>155.41999999999999</v>
      </c>
      <c r="F32" s="36">
        <v>95.83</v>
      </c>
      <c r="G32" s="36">
        <f t="shared" si="1"/>
        <v>14893.898599999999</v>
      </c>
      <c r="H32" s="336"/>
      <c r="I32" s="336"/>
      <c r="J32" s="36">
        <f t="shared" si="5"/>
        <v>0</v>
      </c>
      <c r="K32" s="36">
        <f t="shared" si="0"/>
        <v>14893.898599999999</v>
      </c>
      <c r="L32" s="197">
        <v>0</v>
      </c>
      <c r="M32" s="36">
        <f t="shared" si="4"/>
        <v>188521.2205</v>
      </c>
      <c r="N32" s="198"/>
    </row>
    <row r="33" spans="1:16">
      <c r="A33" s="26">
        <v>29</v>
      </c>
      <c r="B33" s="27">
        <v>46110</v>
      </c>
      <c r="C33" s="107"/>
      <c r="D33" s="35"/>
      <c r="E33" s="36"/>
      <c r="F33" s="36"/>
      <c r="G33" s="36">
        <f t="shared" si="1"/>
        <v>0</v>
      </c>
      <c r="H33" s="336"/>
      <c r="I33" s="336"/>
      <c r="J33" s="36">
        <f t="shared" si="5"/>
        <v>0</v>
      </c>
      <c r="K33" s="36">
        <f t="shared" si="0"/>
        <v>0</v>
      </c>
      <c r="L33" s="197"/>
      <c r="M33" s="36">
        <f t="shared" si="4"/>
        <v>188521.2205</v>
      </c>
      <c r="N33" s="198"/>
    </row>
    <row r="34" spans="1:16">
      <c r="A34" s="26">
        <v>30</v>
      </c>
      <c r="B34" s="27">
        <v>46111</v>
      </c>
      <c r="C34" s="107"/>
      <c r="D34" s="35"/>
      <c r="E34" s="36"/>
      <c r="F34" s="36"/>
      <c r="G34" s="36">
        <f t="shared" si="1"/>
        <v>0</v>
      </c>
      <c r="H34" s="336"/>
      <c r="I34" s="336"/>
      <c r="J34" s="36">
        <f t="shared" si="5"/>
        <v>0</v>
      </c>
      <c r="K34" s="36">
        <f t="shared" si="0"/>
        <v>0</v>
      </c>
      <c r="L34" s="197"/>
      <c r="M34" s="36">
        <f t="shared" si="4"/>
        <v>188521.2205</v>
      </c>
      <c r="N34" s="198"/>
    </row>
    <row r="35" spans="1:16">
      <c r="A35" s="26">
        <v>31</v>
      </c>
      <c r="B35" s="27">
        <v>46112</v>
      </c>
      <c r="C35" s="107"/>
      <c r="D35" s="35"/>
      <c r="E35" s="36"/>
      <c r="F35" s="36"/>
      <c r="G35" s="36">
        <f t="shared" si="1"/>
        <v>0</v>
      </c>
      <c r="H35" s="336"/>
      <c r="I35" s="336"/>
      <c r="J35" s="36">
        <f t="shared" si="5"/>
        <v>0</v>
      </c>
      <c r="K35" s="36">
        <f t="shared" si="0"/>
        <v>0</v>
      </c>
      <c r="L35" s="197"/>
      <c r="M35" s="36">
        <f t="shared" si="4"/>
        <v>188521.2205</v>
      </c>
      <c r="N35" s="198"/>
    </row>
    <row r="36" spans="1:16">
      <c r="A36" s="26">
        <v>32</v>
      </c>
      <c r="B36" s="27"/>
      <c r="C36" s="107"/>
      <c r="D36" s="35"/>
      <c r="E36" s="36"/>
      <c r="F36" s="36"/>
      <c r="G36" s="36">
        <f t="shared" ref="G36:G37" si="6">E36*F36</f>
        <v>0</v>
      </c>
      <c r="H36" s="336"/>
      <c r="I36" s="336"/>
      <c r="J36" s="36">
        <f t="shared" ref="J36:J37" si="7">H36*I36</f>
        <v>0</v>
      </c>
      <c r="K36" s="36">
        <f t="shared" ref="K36:K37" si="8">G36+J36</f>
        <v>0</v>
      </c>
      <c r="L36" s="197"/>
      <c r="M36" s="36">
        <f t="shared" si="4"/>
        <v>188521.2205</v>
      </c>
      <c r="N36" s="198"/>
    </row>
    <row r="37" spans="1:16">
      <c r="A37" s="26">
        <v>33</v>
      </c>
      <c r="B37" s="27"/>
      <c r="C37" s="107"/>
      <c r="D37" s="35"/>
      <c r="E37" s="36"/>
      <c r="F37" s="36"/>
      <c r="G37" s="36">
        <f t="shared" si="6"/>
        <v>0</v>
      </c>
      <c r="H37" s="336"/>
      <c r="I37" s="336"/>
      <c r="J37" s="36">
        <f t="shared" si="7"/>
        <v>0</v>
      </c>
      <c r="K37" s="36">
        <f t="shared" si="8"/>
        <v>0</v>
      </c>
      <c r="L37" s="197">
        <v>0</v>
      </c>
      <c r="M37" s="36">
        <f t="shared" si="4"/>
        <v>188521.2205</v>
      </c>
      <c r="N37" s="237"/>
      <c r="O37">
        <v>2669494</v>
      </c>
      <c r="P37" s="174">
        <f>O37-M37</f>
        <v>2480972.7795000002</v>
      </c>
    </row>
    <row r="38" spans="1:16">
      <c r="A38" s="358"/>
      <c r="B38" s="27"/>
      <c r="C38" s="33"/>
      <c r="D38" s="359"/>
      <c r="E38" s="36">
        <v>0</v>
      </c>
      <c r="F38" s="36">
        <v>0</v>
      </c>
      <c r="G38" s="36">
        <f>E38*F38</f>
        <v>0</v>
      </c>
      <c r="H38" s="36"/>
      <c r="I38" s="36"/>
      <c r="J38" s="36">
        <f t="shared" si="5"/>
        <v>0</v>
      </c>
      <c r="K38" s="36">
        <f t="shared" si="0"/>
        <v>0</v>
      </c>
      <c r="L38" s="38"/>
      <c r="M38" s="36">
        <f t="shared" si="4"/>
        <v>188521.2205</v>
      </c>
      <c r="N38" s="36"/>
    </row>
    <row r="39" spans="1:16">
      <c r="A39" s="181"/>
      <c r="B39" s="360"/>
      <c r="C39" s="360"/>
      <c r="D39" s="360"/>
      <c r="E39" s="361">
        <f>SUM(E4:E37)</f>
        <v>1068.42</v>
      </c>
      <c r="F39" s="361"/>
      <c r="G39" s="361">
        <f>SUM(G4:G37)</f>
        <v>102382.13860000001</v>
      </c>
      <c r="H39" s="361">
        <f>SUM(H4:H37)</f>
        <v>0</v>
      </c>
      <c r="I39" s="361"/>
      <c r="J39" s="361">
        <f>SUM(J4:J37)</f>
        <v>0</v>
      </c>
      <c r="K39" s="361">
        <f>SUM(K4:K37)</f>
        <v>102382.13860000001</v>
      </c>
      <c r="L39" s="361">
        <f>SUM(L4:L37)</f>
        <v>3349.5</v>
      </c>
      <c r="M39" s="362"/>
      <c r="N39" s="363"/>
    </row>
    <row r="40" spans="1:16">
      <c r="A40" s="37"/>
      <c r="B40" s="37"/>
      <c r="C40" s="37"/>
      <c r="D40" s="37"/>
      <c r="E40" s="364"/>
      <c r="F40" s="364"/>
      <c r="G40" s="364"/>
      <c r="H40" s="364"/>
      <c r="I40" s="364"/>
      <c r="J40" s="364"/>
      <c r="K40" s="364"/>
      <c r="L40" s="364"/>
      <c r="M40" s="364"/>
      <c r="N40" s="364"/>
    </row>
    <row r="41" spans="1:16">
      <c r="A41" s="33"/>
      <c r="B41" s="33"/>
      <c r="C41" s="33"/>
      <c r="D41" s="33"/>
      <c r="E41" s="33"/>
      <c r="F41" s="33"/>
      <c r="G41" s="39"/>
      <c r="H41" s="33"/>
      <c r="I41" s="33"/>
      <c r="J41" s="33"/>
      <c r="K41" s="33"/>
      <c r="L41" s="33"/>
      <c r="M41" s="33"/>
      <c r="N41" s="33"/>
    </row>
    <row r="42" spans="1:16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</row>
    <row r="46" spans="1:16">
      <c r="E46" s="174"/>
    </row>
    <row r="48" spans="1:16">
      <c r="M48">
        <v>2408309</v>
      </c>
    </row>
    <row r="49" spans="13:13">
      <c r="M49">
        <v>5327.86</v>
      </c>
    </row>
    <row r="50" spans="13:13">
      <c r="M50" s="365">
        <f>M48-M49</f>
        <v>2402981.14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8"/>
  <sheetViews>
    <sheetView workbookViewId="0">
      <selection activeCell="L38" sqref="L38"/>
    </sheetView>
  </sheetViews>
  <sheetFormatPr defaultRowHeight="15"/>
  <cols>
    <col min="2" max="2" width="10.5703125" bestFit="1" customWidth="1"/>
    <col min="4" max="4" width="14" customWidth="1"/>
    <col min="5" max="5" width="16.85546875" customWidth="1"/>
    <col min="7" max="7" width="13.85546875" customWidth="1"/>
    <col min="11" max="11" width="13" customWidth="1"/>
    <col min="12" max="12" width="16.42578125" customWidth="1"/>
    <col min="13" max="13" width="12.28515625" bestFit="1" customWidth="1"/>
    <col min="16" max="16" width="12.140625" bestFit="1" customWidth="1"/>
    <col min="17" max="17" width="10.42578125" bestFit="1" customWidth="1"/>
    <col min="18" max="18" width="13" bestFit="1" customWidth="1"/>
  </cols>
  <sheetData>
    <row r="1" spans="1:18" ht="15.75">
      <c r="A1" s="459" t="s">
        <v>67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</row>
    <row r="2" spans="1:18" ht="30">
      <c r="A2" s="124" t="s">
        <v>0</v>
      </c>
      <c r="B2" s="125" t="s">
        <v>161</v>
      </c>
      <c r="C2" s="125" t="s">
        <v>162</v>
      </c>
      <c r="D2" s="125" t="s">
        <v>163</v>
      </c>
      <c r="E2" s="125" t="s">
        <v>164</v>
      </c>
      <c r="F2" s="125" t="s">
        <v>165</v>
      </c>
      <c r="G2" s="125" t="s">
        <v>166</v>
      </c>
      <c r="H2" s="125" t="s">
        <v>167</v>
      </c>
      <c r="I2" s="125" t="s">
        <v>165</v>
      </c>
      <c r="J2" s="126" t="s">
        <v>166</v>
      </c>
      <c r="K2" s="124" t="s">
        <v>168</v>
      </c>
      <c r="L2" s="127" t="s">
        <v>169</v>
      </c>
      <c r="M2" s="127" t="s">
        <v>173</v>
      </c>
      <c r="N2" s="125" t="s">
        <v>171</v>
      </c>
    </row>
    <row r="3" spans="1:18">
      <c r="A3" s="460" t="s">
        <v>172</v>
      </c>
      <c r="B3" s="460"/>
      <c r="C3" s="460"/>
      <c r="D3" s="460"/>
      <c r="E3" s="460"/>
      <c r="F3" s="460"/>
      <c r="G3" s="460"/>
      <c r="H3" s="460"/>
      <c r="I3" s="460"/>
      <c r="J3" s="460"/>
      <c r="K3" s="212">
        <v>8237254.8869000003</v>
      </c>
      <c r="L3" s="228"/>
      <c r="M3" s="212">
        <v>8237254.8869000003</v>
      </c>
      <c r="N3" s="94"/>
    </row>
    <row r="4" spans="1:18">
      <c r="A4" s="26">
        <v>1</v>
      </c>
      <c r="B4" s="27">
        <v>46082</v>
      </c>
      <c r="C4" s="17"/>
      <c r="D4" s="17"/>
      <c r="E4" s="17"/>
      <c r="F4" s="17"/>
      <c r="G4" s="17">
        <f>E4*F4</f>
        <v>0</v>
      </c>
      <c r="H4" s="323"/>
      <c r="I4" s="17"/>
      <c r="J4" s="17"/>
      <c r="K4" s="17">
        <f>G4+J4</f>
        <v>0</v>
      </c>
      <c r="L4" s="17">
        <v>0</v>
      </c>
      <c r="M4" s="40">
        <f>M3+K4-L4</f>
        <v>8237254.8869000003</v>
      </c>
      <c r="N4" s="17"/>
    </row>
    <row r="5" spans="1:18">
      <c r="A5" s="26">
        <v>2</v>
      </c>
      <c r="B5" s="27">
        <v>46083</v>
      </c>
      <c r="C5" s="17"/>
      <c r="D5" s="17"/>
      <c r="E5" s="17">
        <v>1800</v>
      </c>
      <c r="F5" s="17">
        <v>95.68</v>
      </c>
      <c r="G5" s="17">
        <f>E5*F5</f>
        <v>172224</v>
      </c>
      <c r="H5" s="323">
        <v>60</v>
      </c>
      <c r="I5" s="17">
        <v>107.46</v>
      </c>
      <c r="J5" s="17">
        <f>H5*I5</f>
        <v>6447.5999999999995</v>
      </c>
      <c r="K5" s="17">
        <f t="shared" ref="K5:K37" si="0">G5+J5</f>
        <v>178671.6</v>
      </c>
      <c r="L5" s="17">
        <v>0</v>
      </c>
      <c r="M5" s="40">
        <f>M4+K5-L5</f>
        <v>8415926.4868999999</v>
      </c>
      <c r="N5" s="17"/>
    </row>
    <row r="6" spans="1:18">
      <c r="A6" s="26">
        <v>3</v>
      </c>
      <c r="B6" s="27">
        <v>46084</v>
      </c>
      <c r="C6" s="17"/>
      <c r="D6" s="17"/>
      <c r="E6" s="17"/>
      <c r="F6" s="17"/>
      <c r="G6" s="17">
        <f>E6*F6</f>
        <v>0</v>
      </c>
      <c r="H6" s="323"/>
      <c r="I6" s="17"/>
      <c r="J6" s="17">
        <f>H6*I6</f>
        <v>0</v>
      </c>
      <c r="K6" s="17">
        <f t="shared" si="0"/>
        <v>0</v>
      </c>
      <c r="L6" s="17">
        <v>0</v>
      </c>
      <c r="M6" s="40">
        <f t="shared" ref="M6:M8" si="1">M5+K6-L6</f>
        <v>8415926.4868999999</v>
      </c>
      <c r="N6" s="17"/>
    </row>
    <row r="7" spans="1:18">
      <c r="A7" s="26">
        <v>4</v>
      </c>
      <c r="B7" s="27">
        <v>46085</v>
      </c>
      <c r="C7" s="17"/>
      <c r="D7" s="17"/>
      <c r="E7" s="17"/>
      <c r="F7" s="17"/>
      <c r="G7" s="17">
        <f>E7*F7</f>
        <v>0</v>
      </c>
      <c r="H7" s="323"/>
      <c r="I7" s="17"/>
      <c r="J7" s="17">
        <f t="shared" ref="J7:J33" si="2">H7*I7</f>
        <v>0</v>
      </c>
      <c r="K7" s="17">
        <f t="shared" si="0"/>
        <v>0</v>
      </c>
      <c r="L7" s="17">
        <v>0</v>
      </c>
      <c r="M7" s="40">
        <f t="shared" si="1"/>
        <v>8415926.4868999999</v>
      </c>
      <c r="N7" s="17"/>
    </row>
    <row r="8" spans="1:18">
      <c r="A8" s="26">
        <v>5</v>
      </c>
      <c r="B8" s="27">
        <v>46086</v>
      </c>
      <c r="C8" s="17"/>
      <c r="D8" s="17"/>
      <c r="E8" s="17"/>
      <c r="F8" s="17"/>
      <c r="G8" s="40">
        <f t="shared" ref="G8:G9" si="3">E8*F8</f>
        <v>0</v>
      </c>
      <c r="H8" s="323"/>
      <c r="I8" s="17"/>
      <c r="J8" s="17">
        <f t="shared" si="2"/>
        <v>0</v>
      </c>
      <c r="K8" s="40">
        <f t="shared" si="0"/>
        <v>0</v>
      </c>
      <c r="L8" s="17">
        <v>0</v>
      </c>
      <c r="M8" s="40">
        <f t="shared" si="1"/>
        <v>8415926.4868999999</v>
      </c>
      <c r="N8" s="17"/>
    </row>
    <row r="9" spans="1:18">
      <c r="A9" s="26">
        <v>6</v>
      </c>
      <c r="B9" s="27">
        <v>46087</v>
      </c>
      <c r="C9" s="17"/>
      <c r="D9" s="17"/>
      <c r="E9" s="17"/>
      <c r="F9" s="17"/>
      <c r="G9" s="40">
        <f t="shared" si="3"/>
        <v>0</v>
      </c>
      <c r="H9" s="323"/>
      <c r="I9" s="17"/>
      <c r="J9" s="17">
        <f t="shared" ref="J9:J28" si="4">H9*I9</f>
        <v>0</v>
      </c>
      <c r="K9" s="40">
        <f>G9+J9</f>
        <v>0</v>
      </c>
      <c r="L9" s="17">
        <v>0</v>
      </c>
      <c r="M9" s="40">
        <f>M8+K9-L9</f>
        <v>8415926.4868999999</v>
      </c>
      <c r="N9" s="17"/>
    </row>
    <row r="10" spans="1:18">
      <c r="A10" s="26">
        <v>7</v>
      </c>
      <c r="B10" s="27">
        <v>46088</v>
      </c>
      <c r="C10" s="17"/>
      <c r="D10" s="17"/>
      <c r="E10" s="17"/>
      <c r="F10" s="17"/>
      <c r="G10" s="40">
        <f>E10*F10</f>
        <v>0</v>
      </c>
      <c r="H10" s="323"/>
      <c r="I10" s="17"/>
      <c r="J10" s="17">
        <f t="shared" si="4"/>
        <v>0</v>
      </c>
      <c r="K10" s="40">
        <f t="shared" si="0"/>
        <v>0</v>
      </c>
      <c r="L10" s="17">
        <v>0</v>
      </c>
      <c r="M10" s="40">
        <f>M9+K10-L10</f>
        <v>8415926.4868999999</v>
      </c>
      <c r="N10" s="17"/>
    </row>
    <row r="11" spans="1:18">
      <c r="A11" s="26">
        <v>8</v>
      </c>
      <c r="B11" s="27">
        <v>46089</v>
      </c>
      <c r="C11" s="17"/>
      <c r="D11" s="17"/>
      <c r="E11" s="17"/>
      <c r="F11" s="17"/>
      <c r="G11" s="40">
        <f>E11*F11</f>
        <v>0</v>
      </c>
      <c r="H11" s="323"/>
      <c r="I11" s="17"/>
      <c r="J11" s="17">
        <f t="shared" si="4"/>
        <v>0</v>
      </c>
      <c r="K11" s="40">
        <f t="shared" si="0"/>
        <v>0</v>
      </c>
      <c r="L11" s="17">
        <v>0</v>
      </c>
      <c r="M11" s="40">
        <f>M10+K11-L11</f>
        <v>8415926.4868999999</v>
      </c>
      <c r="N11" s="17"/>
    </row>
    <row r="12" spans="1:18">
      <c r="A12" s="26">
        <v>9</v>
      </c>
      <c r="B12" s="27">
        <v>46090</v>
      </c>
      <c r="C12" s="17"/>
      <c r="D12" s="17"/>
      <c r="E12" s="17"/>
      <c r="F12" s="17"/>
      <c r="G12" s="40">
        <f>E12*F12</f>
        <v>0</v>
      </c>
      <c r="H12" s="323"/>
      <c r="I12" s="17"/>
      <c r="J12" s="17">
        <f t="shared" si="4"/>
        <v>0</v>
      </c>
      <c r="K12" s="40">
        <f t="shared" si="0"/>
        <v>0</v>
      </c>
      <c r="L12" s="17">
        <v>0</v>
      </c>
      <c r="M12" s="40">
        <f>M11+K12-L12</f>
        <v>8415926.4868999999</v>
      </c>
      <c r="N12" s="17"/>
    </row>
    <row r="13" spans="1:18">
      <c r="A13" s="26">
        <v>10</v>
      </c>
      <c r="B13" s="27">
        <v>46091</v>
      </c>
      <c r="C13" s="17"/>
      <c r="D13" s="17"/>
      <c r="E13" s="17"/>
      <c r="F13" s="17"/>
      <c r="G13" s="40">
        <f>E13*F13</f>
        <v>0</v>
      </c>
      <c r="H13" s="323"/>
      <c r="I13" s="17"/>
      <c r="J13" s="17">
        <f t="shared" si="4"/>
        <v>0</v>
      </c>
      <c r="K13" s="40">
        <f t="shared" si="0"/>
        <v>0</v>
      </c>
      <c r="L13" s="17">
        <v>0</v>
      </c>
      <c r="M13" s="40">
        <f t="shared" ref="M13:M35" si="5">M12+K13-L13</f>
        <v>8415926.4868999999</v>
      </c>
      <c r="N13" s="17"/>
      <c r="P13" s="22"/>
    </row>
    <row r="14" spans="1:18">
      <c r="A14" s="26">
        <v>11</v>
      </c>
      <c r="B14" s="27">
        <v>46092</v>
      </c>
      <c r="C14" s="17"/>
      <c r="D14" s="17"/>
      <c r="E14" s="17"/>
      <c r="F14" s="17"/>
      <c r="G14" s="40">
        <f>E14*F14</f>
        <v>0</v>
      </c>
      <c r="H14" s="323"/>
      <c r="I14" s="17"/>
      <c r="J14" s="17">
        <f t="shared" si="4"/>
        <v>0</v>
      </c>
      <c r="K14" s="40">
        <f t="shared" si="0"/>
        <v>0</v>
      </c>
      <c r="L14" s="17">
        <v>0</v>
      </c>
      <c r="M14" s="40">
        <f t="shared" si="5"/>
        <v>8415926.4868999999</v>
      </c>
      <c r="N14" s="17"/>
    </row>
    <row r="15" spans="1:18">
      <c r="A15" s="26">
        <v>12</v>
      </c>
      <c r="B15" s="27">
        <v>46093</v>
      </c>
      <c r="C15" s="17"/>
      <c r="D15" s="17"/>
      <c r="E15" s="17"/>
      <c r="F15" s="17"/>
      <c r="G15" s="40">
        <f>E15*F15</f>
        <v>0</v>
      </c>
      <c r="H15" s="323"/>
      <c r="I15" s="17"/>
      <c r="J15" s="17">
        <f t="shared" si="4"/>
        <v>0</v>
      </c>
      <c r="K15" s="40">
        <f t="shared" si="0"/>
        <v>0</v>
      </c>
      <c r="L15" s="17">
        <v>0</v>
      </c>
      <c r="M15" s="40">
        <f t="shared" si="5"/>
        <v>8415926.4868999999</v>
      </c>
      <c r="N15" s="17"/>
      <c r="R15" s="22"/>
    </row>
    <row r="16" spans="1:18">
      <c r="A16" s="26">
        <v>13</v>
      </c>
      <c r="B16" s="27">
        <v>46094</v>
      </c>
      <c r="C16" s="17"/>
      <c r="D16" s="17"/>
      <c r="E16" s="17"/>
      <c r="F16" s="17"/>
      <c r="G16" s="40">
        <f>E16*F16</f>
        <v>0</v>
      </c>
      <c r="H16" s="323"/>
      <c r="I16" s="17"/>
      <c r="J16" s="17">
        <f t="shared" si="4"/>
        <v>0</v>
      </c>
      <c r="K16" s="40">
        <f t="shared" si="0"/>
        <v>0</v>
      </c>
      <c r="L16" s="17">
        <v>0</v>
      </c>
      <c r="M16" s="40">
        <f t="shared" si="5"/>
        <v>8415926.4868999999</v>
      </c>
      <c r="N16" s="17"/>
    </row>
    <row r="17" spans="1:16">
      <c r="A17" s="26">
        <v>14</v>
      </c>
      <c r="B17" s="27">
        <v>46095</v>
      </c>
      <c r="C17" s="17"/>
      <c r="D17" s="17"/>
      <c r="E17" s="17"/>
      <c r="F17" s="17"/>
      <c r="G17" s="40">
        <f>E17*F17</f>
        <v>0</v>
      </c>
      <c r="H17" s="323"/>
      <c r="I17" s="17"/>
      <c r="J17" s="17">
        <f t="shared" si="4"/>
        <v>0</v>
      </c>
      <c r="K17" s="17">
        <f t="shared" si="0"/>
        <v>0</v>
      </c>
      <c r="L17" s="17">
        <v>0</v>
      </c>
      <c r="M17" s="40">
        <f t="shared" si="5"/>
        <v>8415926.4868999999</v>
      </c>
      <c r="N17" s="17"/>
    </row>
    <row r="18" spans="1:16">
      <c r="A18" s="26">
        <v>15</v>
      </c>
      <c r="B18" s="27">
        <v>46096</v>
      </c>
      <c r="C18" s="17"/>
      <c r="D18" s="17"/>
      <c r="E18" s="17"/>
      <c r="F18" s="17"/>
      <c r="G18" s="40">
        <f>E18*F18</f>
        <v>0</v>
      </c>
      <c r="H18" s="323"/>
      <c r="I18" s="17"/>
      <c r="J18" s="17">
        <f t="shared" si="4"/>
        <v>0</v>
      </c>
      <c r="K18" s="17">
        <f t="shared" si="0"/>
        <v>0</v>
      </c>
      <c r="L18" s="17">
        <v>0</v>
      </c>
      <c r="M18" s="40">
        <f t="shared" si="5"/>
        <v>8415926.4868999999</v>
      </c>
      <c r="N18" s="17"/>
    </row>
    <row r="19" spans="1:16">
      <c r="A19" s="26">
        <v>16</v>
      </c>
      <c r="B19" s="27">
        <v>46097</v>
      </c>
      <c r="C19" s="17"/>
      <c r="D19" s="17"/>
      <c r="E19" s="17"/>
      <c r="F19" s="17"/>
      <c r="G19" s="40">
        <f>E19*F19</f>
        <v>0</v>
      </c>
      <c r="H19" s="323"/>
      <c r="I19" s="17"/>
      <c r="J19" s="17">
        <f t="shared" si="4"/>
        <v>0</v>
      </c>
      <c r="K19" s="17">
        <f t="shared" si="0"/>
        <v>0</v>
      </c>
      <c r="L19" s="17">
        <v>0</v>
      </c>
      <c r="M19" s="40">
        <f t="shared" si="5"/>
        <v>8415926.4868999999</v>
      </c>
      <c r="N19" s="17"/>
    </row>
    <row r="20" spans="1:16">
      <c r="A20" s="26">
        <v>17</v>
      </c>
      <c r="B20" s="27">
        <v>46098</v>
      </c>
      <c r="C20" s="17"/>
      <c r="D20" s="17"/>
      <c r="E20" s="17"/>
      <c r="F20" s="17"/>
      <c r="G20" s="40">
        <f>E20*F20</f>
        <v>0</v>
      </c>
      <c r="H20" s="323"/>
      <c r="I20" s="17"/>
      <c r="J20" s="17">
        <f t="shared" si="4"/>
        <v>0</v>
      </c>
      <c r="K20" s="17">
        <f t="shared" si="0"/>
        <v>0</v>
      </c>
      <c r="L20" s="17">
        <v>4500000</v>
      </c>
      <c r="M20" s="40">
        <f t="shared" si="5"/>
        <v>3915926.4868999999</v>
      </c>
      <c r="N20" s="17"/>
    </row>
    <row r="21" spans="1:16">
      <c r="A21" s="26">
        <v>18</v>
      </c>
      <c r="B21" s="27">
        <v>46099</v>
      </c>
      <c r="C21" s="17"/>
      <c r="D21" s="17"/>
      <c r="E21" s="17"/>
      <c r="F21" s="17"/>
      <c r="G21" s="40">
        <f>E21*F21</f>
        <v>0</v>
      </c>
      <c r="H21" s="323"/>
      <c r="I21" s="17"/>
      <c r="J21" s="17">
        <f t="shared" si="4"/>
        <v>0</v>
      </c>
      <c r="K21" s="17">
        <f t="shared" si="0"/>
        <v>0</v>
      </c>
      <c r="L21" s="17">
        <v>0</v>
      </c>
      <c r="M21" s="40">
        <f t="shared" si="5"/>
        <v>3915926.4868999999</v>
      </c>
      <c r="N21" s="17"/>
    </row>
    <row r="22" spans="1:16">
      <c r="A22" s="26">
        <v>19</v>
      </c>
      <c r="B22" s="27">
        <v>46100</v>
      </c>
      <c r="C22" s="17"/>
      <c r="D22" s="17"/>
      <c r="E22" s="17"/>
      <c r="F22" s="17"/>
      <c r="G22" s="352">
        <f>E22*F22</f>
        <v>0</v>
      </c>
      <c r="H22" s="323"/>
      <c r="I22" s="17"/>
      <c r="J22" s="17">
        <f t="shared" si="4"/>
        <v>0</v>
      </c>
      <c r="K22" s="17">
        <f t="shared" si="0"/>
        <v>0</v>
      </c>
      <c r="L22" s="17">
        <v>0</v>
      </c>
      <c r="M22" s="40">
        <f t="shared" si="5"/>
        <v>3915926.4868999999</v>
      </c>
      <c r="N22" s="17"/>
    </row>
    <row r="23" spans="1:16">
      <c r="A23" s="26">
        <v>20</v>
      </c>
      <c r="B23" s="27">
        <v>46101</v>
      </c>
      <c r="C23" s="17"/>
      <c r="D23" s="17"/>
      <c r="E23" s="17"/>
      <c r="F23" s="17"/>
      <c r="G23" s="352">
        <f>E23*F23</f>
        <v>0</v>
      </c>
      <c r="H23" s="323"/>
      <c r="I23" s="17"/>
      <c r="J23" s="17">
        <f t="shared" si="4"/>
        <v>0</v>
      </c>
      <c r="K23" s="17">
        <f t="shared" si="0"/>
        <v>0</v>
      </c>
      <c r="L23" s="17">
        <v>0</v>
      </c>
      <c r="M23" s="40">
        <f t="shared" si="5"/>
        <v>3915926.4868999999</v>
      </c>
      <c r="N23" s="17"/>
    </row>
    <row r="24" spans="1:16">
      <c r="A24" s="26">
        <v>21</v>
      </c>
      <c r="B24" s="27">
        <v>46102</v>
      </c>
      <c r="C24" s="17"/>
      <c r="D24" s="17"/>
      <c r="E24" s="17"/>
      <c r="F24" s="17"/>
      <c r="G24" s="352">
        <f>E24*F24</f>
        <v>0</v>
      </c>
      <c r="H24" s="323"/>
      <c r="I24" s="17"/>
      <c r="J24" s="17">
        <f t="shared" si="4"/>
        <v>0</v>
      </c>
      <c r="K24" s="17">
        <f t="shared" si="0"/>
        <v>0</v>
      </c>
      <c r="L24" s="17">
        <v>0</v>
      </c>
      <c r="M24" s="40">
        <f t="shared" si="5"/>
        <v>3915926.4868999999</v>
      </c>
      <c r="N24" s="17"/>
    </row>
    <row r="25" spans="1:16">
      <c r="A25" s="26">
        <v>22</v>
      </c>
      <c r="B25" s="27">
        <v>46103</v>
      </c>
      <c r="C25" s="17"/>
      <c r="D25" s="17"/>
      <c r="E25" s="17"/>
      <c r="F25" s="17"/>
      <c r="G25" s="352">
        <f>E25*F25</f>
        <v>0</v>
      </c>
      <c r="H25" s="323"/>
      <c r="I25" s="17"/>
      <c r="J25" s="17">
        <f t="shared" si="4"/>
        <v>0</v>
      </c>
      <c r="K25" s="17">
        <f t="shared" si="0"/>
        <v>0</v>
      </c>
      <c r="L25" s="17">
        <v>0</v>
      </c>
      <c r="M25" s="40">
        <f t="shared" si="5"/>
        <v>3915926.4868999999</v>
      </c>
      <c r="N25" s="17"/>
    </row>
    <row r="26" spans="1:16">
      <c r="A26" s="26">
        <v>23</v>
      </c>
      <c r="B26" s="27">
        <v>46104</v>
      </c>
      <c r="C26" s="17"/>
      <c r="D26" s="17"/>
      <c r="E26" s="17"/>
      <c r="F26" s="17"/>
      <c r="G26" s="352">
        <f>E26*F26</f>
        <v>0</v>
      </c>
      <c r="H26" s="323"/>
      <c r="I26" s="17"/>
      <c r="J26" s="17">
        <f t="shared" si="4"/>
        <v>0</v>
      </c>
      <c r="K26" s="17">
        <f t="shared" si="0"/>
        <v>0</v>
      </c>
      <c r="L26" s="17">
        <v>0</v>
      </c>
      <c r="M26" s="40">
        <f t="shared" si="5"/>
        <v>3915926.4868999999</v>
      </c>
      <c r="N26" s="17"/>
    </row>
    <row r="27" spans="1:16">
      <c r="A27" s="26">
        <v>24</v>
      </c>
      <c r="B27" s="27">
        <v>46105</v>
      </c>
      <c r="C27" s="17"/>
      <c r="D27" s="17"/>
      <c r="E27" s="17"/>
      <c r="F27" s="17"/>
      <c r="G27" s="352">
        <f>E27*F27</f>
        <v>0</v>
      </c>
      <c r="H27" s="323"/>
      <c r="I27" s="17"/>
      <c r="J27" s="17">
        <f t="shared" si="4"/>
        <v>0</v>
      </c>
      <c r="K27" s="17">
        <f t="shared" si="0"/>
        <v>0</v>
      </c>
      <c r="L27" s="17">
        <v>0</v>
      </c>
      <c r="M27" s="40">
        <f t="shared" si="5"/>
        <v>3915926.4868999999</v>
      </c>
      <c r="N27" s="17"/>
    </row>
    <row r="28" spans="1:16">
      <c r="A28" s="26">
        <v>25</v>
      </c>
      <c r="B28" s="27">
        <v>46106</v>
      </c>
      <c r="C28" s="17"/>
      <c r="D28" s="17"/>
      <c r="E28" s="17"/>
      <c r="F28" s="17"/>
      <c r="G28" s="352">
        <f>E28*F28</f>
        <v>0</v>
      </c>
      <c r="H28" s="323"/>
      <c r="I28" s="17"/>
      <c r="J28" s="17">
        <f t="shared" si="4"/>
        <v>0</v>
      </c>
      <c r="K28" s="17">
        <f t="shared" si="0"/>
        <v>0</v>
      </c>
      <c r="L28" s="17">
        <v>0</v>
      </c>
      <c r="M28" s="40">
        <f t="shared" si="5"/>
        <v>3915926.4868999999</v>
      </c>
      <c r="N28" s="17"/>
    </row>
    <row r="29" spans="1:16">
      <c r="A29" s="26">
        <v>26</v>
      </c>
      <c r="B29" s="27">
        <v>46107</v>
      </c>
      <c r="C29" s="17"/>
      <c r="D29" s="17"/>
      <c r="E29" s="17"/>
      <c r="F29" s="17"/>
      <c r="G29" s="352">
        <f>E29*F29</f>
        <v>0</v>
      </c>
      <c r="H29" s="323"/>
      <c r="I29" s="17"/>
      <c r="J29" s="17">
        <f t="shared" si="2"/>
        <v>0</v>
      </c>
      <c r="K29" s="17">
        <f t="shared" si="0"/>
        <v>0</v>
      </c>
      <c r="L29" s="17">
        <v>0</v>
      </c>
      <c r="M29" s="40">
        <f t="shared" si="5"/>
        <v>3915926.4868999999</v>
      </c>
      <c r="N29" s="17"/>
    </row>
    <row r="30" spans="1:16">
      <c r="A30" s="26">
        <v>27</v>
      </c>
      <c r="B30" s="27">
        <v>46108</v>
      </c>
      <c r="C30" s="17"/>
      <c r="D30" s="17"/>
      <c r="E30" s="17"/>
      <c r="F30" s="17"/>
      <c r="G30" s="352">
        <f t="shared" ref="G30" si="6">E30*F30</f>
        <v>0</v>
      </c>
      <c r="H30" s="323"/>
      <c r="I30" s="17"/>
      <c r="J30" s="17">
        <f t="shared" si="2"/>
        <v>0</v>
      </c>
      <c r="K30" s="17">
        <f t="shared" si="0"/>
        <v>0</v>
      </c>
      <c r="L30" s="17">
        <v>0</v>
      </c>
      <c r="M30" s="40">
        <f t="shared" si="5"/>
        <v>3915926.4868999999</v>
      </c>
      <c r="N30" s="17"/>
      <c r="P30" s="22"/>
    </row>
    <row r="31" spans="1:16">
      <c r="A31" s="26">
        <v>28</v>
      </c>
      <c r="B31" s="27">
        <v>46109</v>
      </c>
      <c r="C31" s="17"/>
      <c r="D31" s="17"/>
      <c r="E31" s="17">
        <v>2700</v>
      </c>
      <c r="F31" s="17">
        <v>95.68</v>
      </c>
      <c r="G31" s="352">
        <f>E31*F31</f>
        <v>258336.00000000003</v>
      </c>
      <c r="H31" s="323">
        <v>20</v>
      </c>
      <c r="I31" s="17">
        <v>107.46</v>
      </c>
      <c r="J31" s="17">
        <f t="shared" si="2"/>
        <v>2149.1999999999998</v>
      </c>
      <c r="K31" s="17">
        <f t="shared" si="0"/>
        <v>260485.20000000004</v>
      </c>
      <c r="L31" s="17">
        <v>0</v>
      </c>
      <c r="M31" s="40">
        <f t="shared" si="5"/>
        <v>4176411.6869000001</v>
      </c>
      <c r="N31" s="17"/>
    </row>
    <row r="32" spans="1:16">
      <c r="A32" s="26">
        <v>29</v>
      </c>
      <c r="B32" s="27">
        <v>46110</v>
      </c>
      <c r="C32" s="17"/>
      <c r="D32" s="17"/>
      <c r="E32" s="17"/>
      <c r="F32" s="17"/>
      <c r="G32" s="352">
        <f>E32*F32</f>
        <v>0</v>
      </c>
      <c r="H32" s="323"/>
      <c r="I32" s="17"/>
      <c r="J32" s="17">
        <f t="shared" si="2"/>
        <v>0</v>
      </c>
      <c r="K32" s="17">
        <f t="shared" si="0"/>
        <v>0</v>
      </c>
      <c r="L32" s="17">
        <v>0</v>
      </c>
      <c r="M32" s="40">
        <f t="shared" si="5"/>
        <v>4176411.6869000001</v>
      </c>
      <c r="N32" s="17"/>
      <c r="P32" s="22"/>
    </row>
    <row r="33" spans="1:17">
      <c r="A33" s="26">
        <v>30</v>
      </c>
      <c r="B33" s="27">
        <v>46111</v>
      </c>
      <c r="C33" s="17"/>
      <c r="D33" s="17"/>
      <c r="E33" s="17"/>
      <c r="F33" s="17"/>
      <c r="G33" s="352">
        <f>E33*F33</f>
        <v>0</v>
      </c>
      <c r="H33" s="323"/>
      <c r="I33" s="17"/>
      <c r="J33" s="17">
        <f t="shared" si="2"/>
        <v>0</v>
      </c>
      <c r="K33" s="17">
        <f t="shared" si="0"/>
        <v>0</v>
      </c>
      <c r="L33" s="17">
        <v>0</v>
      </c>
      <c r="M33" s="40">
        <f t="shared" si="5"/>
        <v>4176411.6869000001</v>
      </c>
      <c r="N33" s="17"/>
    </row>
    <row r="34" spans="1:17">
      <c r="A34" s="26">
        <v>31</v>
      </c>
      <c r="B34" s="27">
        <v>46112</v>
      </c>
      <c r="C34" s="17"/>
      <c r="D34" s="17"/>
      <c r="E34" s="17"/>
      <c r="F34" s="17"/>
      <c r="G34" s="352">
        <f>E34*F34</f>
        <v>0</v>
      </c>
      <c r="H34" s="323"/>
      <c r="I34" s="17"/>
      <c r="J34" s="17"/>
      <c r="K34" s="17">
        <f t="shared" si="0"/>
        <v>0</v>
      </c>
      <c r="L34" s="17">
        <v>0</v>
      </c>
      <c r="M34" s="40">
        <f t="shared" si="5"/>
        <v>4176411.6869000001</v>
      </c>
      <c r="N34" s="17"/>
    </row>
    <row r="35" spans="1:17">
      <c r="A35" s="26">
        <v>32</v>
      </c>
      <c r="B35" s="27"/>
      <c r="C35" s="17"/>
      <c r="D35" s="17"/>
      <c r="E35" s="17"/>
      <c r="F35" s="17"/>
      <c r="G35" s="352">
        <f>E35*F35</f>
        <v>0</v>
      </c>
      <c r="H35" s="323"/>
      <c r="I35" s="17"/>
      <c r="J35" s="17">
        <f t="shared" ref="J5:J37" si="7">H35*I35</f>
        <v>0</v>
      </c>
      <c r="K35" s="17">
        <f t="shared" si="0"/>
        <v>0</v>
      </c>
      <c r="L35" s="17">
        <v>0</v>
      </c>
      <c r="M35" s="40">
        <f t="shared" si="5"/>
        <v>4176411.6869000001</v>
      </c>
      <c r="N35" s="17"/>
      <c r="Q35" s="22"/>
    </row>
    <row r="36" spans="1:17">
      <c r="A36" s="26">
        <v>33</v>
      </c>
      <c r="B36" s="27"/>
      <c r="C36" s="17"/>
      <c r="D36" s="17"/>
      <c r="E36" s="17"/>
      <c r="F36" s="17"/>
      <c r="G36" s="352">
        <f>E36*F36</f>
        <v>0</v>
      </c>
      <c r="H36" s="323"/>
      <c r="I36" s="17"/>
      <c r="J36" s="17">
        <f t="shared" si="7"/>
        <v>0</v>
      </c>
      <c r="K36" s="17">
        <f t="shared" si="0"/>
        <v>0</v>
      </c>
      <c r="L36" s="17">
        <v>0</v>
      </c>
      <c r="M36" s="17"/>
      <c r="N36" s="17"/>
    </row>
    <row r="37" spans="1:17">
      <c r="A37" s="26">
        <v>34</v>
      </c>
      <c r="B37" s="27"/>
      <c r="C37" s="17"/>
      <c r="D37" s="17"/>
      <c r="E37" s="17"/>
      <c r="F37" s="17"/>
      <c r="G37" s="352">
        <f>E37*F37</f>
        <v>0</v>
      </c>
      <c r="H37" s="323"/>
      <c r="I37" s="17"/>
      <c r="J37" s="17">
        <f t="shared" si="7"/>
        <v>0</v>
      </c>
      <c r="K37" s="17">
        <f t="shared" si="0"/>
        <v>0</v>
      </c>
      <c r="L37" s="17"/>
      <c r="M37" s="17"/>
      <c r="N37" s="17"/>
    </row>
    <row r="38" spans="1:17">
      <c r="A38" s="42"/>
      <c r="B38" s="42"/>
      <c r="C38" s="42"/>
      <c r="D38" s="42"/>
      <c r="E38" s="229">
        <f>SUM(E3:E37)</f>
        <v>4500</v>
      </c>
      <c r="F38" s="229"/>
      <c r="G38" s="229">
        <f>SUM(G3:G37)</f>
        <v>430560</v>
      </c>
      <c r="H38" s="229">
        <f>SUM(H3:H37)</f>
        <v>80</v>
      </c>
      <c r="I38" s="229"/>
      <c r="J38" s="229">
        <f>SUM(J3:J37)</f>
        <v>8596.7999999999993</v>
      </c>
      <c r="K38" s="229">
        <f>SUM(K4:K37)</f>
        <v>439156.80000000005</v>
      </c>
      <c r="L38" s="229">
        <f>SUM(L3:L37)</f>
        <v>4500000</v>
      </c>
      <c r="M38" s="229"/>
      <c r="N38" s="229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P39"/>
  <sheetViews>
    <sheetView topLeftCell="A30" workbookViewId="0">
      <selection activeCell="J5" sqref="J5"/>
    </sheetView>
  </sheetViews>
  <sheetFormatPr defaultRowHeight="15"/>
  <cols>
    <col min="2" max="2" width="12.140625" customWidth="1"/>
    <col min="4" max="4" width="20.28515625" bestFit="1" customWidth="1"/>
    <col min="5" max="5" width="23.42578125" customWidth="1"/>
    <col min="7" max="7" width="14.42578125" customWidth="1"/>
    <col min="10" max="10" width="10.42578125" bestFit="1" customWidth="1"/>
    <col min="11" max="11" width="12.85546875" customWidth="1"/>
    <col min="12" max="12" width="13.7109375" customWidth="1"/>
    <col min="13" max="13" width="16" customWidth="1"/>
    <col min="14" max="14" width="34.5703125" customWidth="1"/>
    <col min="15" max="15" width="12.5703125" bestFit="1" customWidth="1"/>
  </cols>
  <sheetData>
    <row r="1" spans="1:16" ht="15.75">
      <c r="A1" s="459" t="s">
        <v>70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</row>
    <row r="2" spans="1:16" ht="30">
      <c r="A2" s="64" t="s">
        <v>0</v>
      </c>
      <c r="B2" s="83" t="s">
        <v>161</v>
      </c>
      <c r="C2" s="83" t="s">
        <v>162</v>
      </c>
      <c r="D2" s="83" t="s">
        <v>163</v>
      </c>
      <c r="E2" s="83" t="s">
        <v>164</v>
      </c>
      <c r="F2" s="83" t="s">
        <v>165</v>
      </c>
      <c r="G2" s="83" t="s">
        <v>166</v>
      </c>
      <c r="H2" s="83" t="s">
        <v>167</v>
      </c>
      <c r="I2" s="83" t="s">
        <v>165</v>
      </c>
      <c r="J2" s="84" t="s">
        <v>166</v>
      </c>
      <c r="K2" s="124" t="s">
        <v>168</v>
      </c>
      <c r="L2" s="127" t="s">
        <v>169</v>
      </c>
      <c r="M2" s="127" t="s">
        <v>173</v>
      </c>
      <c r="N2" s="125" t="s">
        <v>171</v>
      </c>
      <c r="O2" s="325"/>
      <c r="P2" s="22"/>
    </row>
    <row r="3" spans="1:16">
      <c r="A3" s="461" t="s">
        <v>172</v>
      </c>
      <c r="B3" s="462"/>
      <c r="C3" s="462"/>
      <c r="D3" s="462"/>
      <c r="E3" s="462"/>
      <c r="F3" s="462"/>
      <c r="G3" s="462"/>
      <c r="H3" s="462"/>
      <c r="I3" s="462"/>
      <c r="J3" s="462"/>
      <c r="K3">
        <v>5555857.1683999998</v>
      </c>
      <c r="L3" s="228"/>
      <c r="M3">
        <v>5555857.1683999998</v>
      </c>
      <c r="N3" s="94"/>
    </row>
    <row r="4" spans="1:16">
      <c r="A4" s="26">
        <v>1</v>
      </c>
      <c r="B4" s="27">
        <v>46082</v>
      </c>
      <c r="C4" s="17"/>
      <c r="D4" s="260"/>
      <c r="E4" s="267"/>
      <c r="F4" s="322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40">
        <f>M3+K4-L4</f>
        <v>5555857.1683999998</v>
      </c>
      <c r="N4" s="17"/>
      <c r="O4" s="40">
        <f t="shared" ref="O4" si="0">O3+M4-N4</f>
        <v>5555857.1683999998</v>
      </c>
    </row>
    <row r="5" spans="1:16">
      <c r="A5" s="26">
        <v>2</v>
      </c>
      <c r="B5" s="27">
        <v>46083</v>
      </c>
      <c r="C5" s="17"/>
      <c r="D5" s="260"/>
      <c r="E5" s="267">
        <v>1600</v>
      </c>
      <c r="F5" s="322">
        <v>95.71</v>
      </c>
      <c r="G5" s="17">
        <f t="shared" ref="G5:G34" si="1">E5*F5</f>
        <v>153136</v>
      </c>
      <c r="H5" s="17">
        <v>40</v>
      </c>
      <c r="I5" s="17">
        <v>107.49</v>
      </c>
      <c r="J5" s="17">
        <f t="shared" ref="J5:J33" si="2">H5*I5</f>
        <v>4299.5999999999995</v>
      </c>
      <c r="K5" s="17">
        <f t="shared" ref="K5:K34" si="3">G5+J5</f>
        <v>157435.6</v>
      </c>
      <c r="L5" s="17"/>
      <c r="M5" s="40">
        <f t="shared" ref="M5:M16" si="4">M4+K5-L5</f>
        <v>5713292.7683999995</v>
      </c>
      <c r="N5" s="17"/>
    </row>
    <row r="6" spans="1:16">
      <c r="A6" s="26">
        <v>3</v>
      </c>
      <c r="B6" s="27">
        <v>46084</v>
      </c>
      <c r="C6" s="17"/>
      <c r="D6" s="260"/>
      <c r="E6" s="267">
        <v>2100</v>
      </c>
      <c r="F6" s="322">
        <v>95.71</v>
      </c>
      <c r="G6" s="17">
        <f t="shared" si="1"/>
        <v>200991</v>
      </c>
      <c r="H6" s="17">
        <v>55</v>
      </c>
      <c r="I6" s="17">
        <v>107.49</v>
      </c>
      <c r="J6" s="17">
        <f t="shared" si="2"/>
        <v>5911.95</v>
      </c>
      <c r="K6" s="17">
        <f t="shared" si="3"/>
        <v>206902.95</v>
      </c>
      <c r="L6" s="17"/>
      <c r="M6" s="40">
        <f t="shared" si="4"/>
        <v>5920195.7183999997</v>
      </c>
      <c r="N6" s="17"/>
    </row>
    <row r="7" spans="1:16">
      <c r="A7" s="26">
        <v>4</v>
      </c>
      <c r="B7" s="27">
        <v>46085</v>
      </c>
      <c r="C7" s="17"/>
      <c r="D7" s="260"/>
      <c r="E7" s="267"/>
      <c r="F7" s="322"/>
      <c r="G7" s="17">
        <f t="shared" si="1"/>
        <v>0</v>
      </c>
      <c r="H7" s="17"/>
      <c r="I7" s="17"/>
      <c r="J7" s="17">
        <f t="shared" si="2"/>
        <v>0</v>
      </c>
      <c r="K7" s="17">
        <f t="shared" si="3"/>
        <v>0</v>
      </c>
      <c r="L7" s="17"/>
      <c r="M7" s="40">
        <f t="shared" si="4"/>
        <v>5920195.7183999997</v>
      </c>
      <c r="N7" s="17"/>
    </row>
    <row r="8" spans="1:16">
      <c r="A8" s="26">
        <v>5</v>
      </c>
      <c r="B8" s="27">
        <v>46086</v>
      </c>
      <c r="C8" s="17"/>
      <c r="D8" s="260"/>
      <c r="E8" s="267">
        <v>2700</v>
      </c>
      <c r="F8" s="322">
        <v>95.71</v>
      </c>
      <c r="G8" s="17">
        <f t="shared" si="1"/>
        <v>258416.99999999997</v>
      </c>
      <c r="H8" s="17">
        <v>40</v>
      </c>
      <c r="I8" s="17">
        <v>107.49</v>
      </c>
      <c r="J8" s="17">
        <f t="shared" si="2"/>
        <v>4299.5999999999995</v>
      </c>
      <c r="K8" s="17">
        <f t="shared" si="3"/>
        <v>262716.59999999998</v>
      </c>
      <c r="L8" s="17"/>
      <c r="M8" s="40">
        <f t="shared" si="4"/>
        <v>6182912.3183999993</v>
      </c>
      <c r="N8" s="17"/>
      <c r="O8">
        <v>12802499.148000002</v>
      </c>
    </row>
    <row r="9" spans="1:16">
      <c r="A9" s="26">
        <v>6</v>
      </c>
      <c r="B9" s="27">
        <v>46087</v>
      </c>
      <c r="C9" s="17"/>
      <c r="D9" s="260"/>
      <c r="E9" s="267">
        <v>2700</v>
      </c>
      <c r="F9" s="322">
        <v>95.71</v>
      </c>
      <c r="G9" s="17">
        <f t="shared" ref="G9" si="5">E9*F9</f>
        <v>258416.99999999997</v>
      </c>
      <c r="H9" s="17">
        <v>40</v>
      </c>
      <c r="I9" s="17">
        <v>107.49</v>
      </c>
      <c r="J9" s="17">
        <f t="shared" si="2"/>
        <v>4299.5999999999995</v>
      </c>
      <c r="K9" s="17">
        <f t="shared" si="3"/>
        <v>262716.59999999998</v>
      </c>
      <c r="L9" s="17"/>
      <c r="M9" s="40">
        <f t="shared" si="4"/>
        <v>6445628.9183999989</v>
      </c>
      <c r="N9" s="230"/>
    </row>
    <row r="10" spans="1:16">
      <c r="A10" s="26">
        <v>7</v>
      </c>
      <c r="B10" s="27">
        <v>46088</v>
      </c>
      <c r="C10" s="17"/>
      <c r="D10" s="260"/>
      <c r="E10" s="267">
        <v>4755.3900000000003</v>
      </c>
      <c r="F10" s="322">
        <v>95.71</v>
      </c>
      <c r="G10" s="17">
        <f t="shared" si="1"/>
        <v>455138.37689999997</v>
      </c>
      <c r="H10" s="17"/>
      <c r="I10" s="17"/>
      <c r="J10" s="17">
        <f t="shared" si="2"/>
        <v>0</v>
      </c>
      <c r="K10" s="17">
        <f t="shared" si="3"/>
        <v>455138.37689999997</v>
      </c>
      <c r="L10" s="17"/>
      <c r="M10" s="40">
        <f t="shared" si="4"/>
        <v>6900767.2952999985</v>
      </c>
      <c r="N10" s="17"/>
    </row>
    <row r="11" spans="1:16">
      <c r="A11" s="26">
        <v>8</v>
      </c>
      <c r="B11" s="27">
        <v>46089</v>
      </c>
      <c r="C11" s="17"/>
      <c r="D11" s="260"/>
      <c r="E11" s="267"/>
      <c r="F11" s="322"/>
      <c r="G11" s="17">
        <f t="shared" si="1"/>
        <v>0</v>
      </c>
      <c r="H11" s="17"/>
      <c r="I11" s="17"/>
      <c r="J11" s="17">
        <f t="shared" si="2"/>
        <v>0</v>
      </c>
      <c r="K11" s="17">
        <f t="shared" si="3"/>
        <v>0</v>
      </c>
      <c r="L11" s="17"/>
      <c r="M11" s="40">
        <f t="shared" si="4"/>
        <v>6900767.2952999985</v>
      </c>
      <c r="N11" s="17"/>
    </row>
    <row r="12" spans="1:16">
      <c r="A12" s="26">
        <v>9</v>
      </c>
      <c r="B12" s="27">
        <v>46090</v>
      </c>
      <c r="C12" s="17"/>
      <c r="D12" s="260"/>
      <c r="E12" s="267"/>
      <c r="F12" s="322"/>
      <c r="G12" s="17">
        <f t="shared" si="1"/>
        <v>0</v>
      </c>
      <c r="H12" s="17">
        <v>80</v>
      </c>
      <c r="I12" s="17">
        <v>107.49</v>
      </c>
      <c r="J12" s="17">
        <f t="shared" si="2"/>
        <v>8599.1999999999989</v>
      </c>
      <c r="K12" s="17">
        <f t="shared" si="3"/>
        <v>8599.1999999999989</v>
      </c>
      <c r="L12" s="17"/>
      <c r="M12" s="40">
        <f t="shared" si="4"/>
        <v>6909366.4952999987</v>
      </c>
      <c r="N12" s="17"/>
    </row>
    <row r="13" spans="1:16">
      <c r="A13" s="26">
        <v>10</v>
      </c>
      <c r="B13" s="27">
        <v>46091</v>
      </c>
      <c r="C13" s="17"/>
      <c r="D13" s="260"/>
      <c r="E13" s="267">
        <v>4500</v>
      </c>
      <c r="F13" s="322">
        <v>95.71</v>
      </c>
      <c r="G13" s="17">
        <f t="shared" ref="G13" si="6">E13*F13</f>
        <v>430695</v>
      </c>
      <c r="H13" s="17">
        <v>75</v>
      </c>
      <c r="I13" s="17">
        <v>107.49</v>
      </c>
      <c r="J13" s="17">
        <f t="shared" ref="J13" si="7">H13*I13</f>
        <v>8061.75</v>
      </c>
      <c r="K13" s="17">
        <f t="shared" ref="K13" si="8">G13+J13</f>
        <v>438756.75</v>
      </c>
      <c r="L13" s="17"/>
      <c r="M13" s="40">
        <f t="shared" si="4"/>
        <v>7348123.2452999987</v>
      </c>
      <c r="N13" s="17"/>
    </row>
    <row r="14" spans="1:16">
      <c r="A14" s="26">
        <v>11</v>
      </c>
      <c r="B14" s="27">
        <v>46092</v>
      </c>
      <c r="C14" s="17"/>
      <c r="D14" s="260"/>
      <c r="E14" s="267">
        <v>5500</v>
      </c>
      <c r="F14" s="322">
        <v>95.71</v>
      </c>
      <c r="G14" s="17">
        <f t="shared" si="1"/>
        <v>526405</v>
      </c>
      <c r="H14" s="17">
        <v>40</v>
      </c>
      <c r="I14" s="17">
        <v>107.49</v>
      </c>
      <c r="J14" s="17">
        <f t="shared" si="2"/>
        <v>4299.5999999999995</v>
      </c>
      <c r="K14" s="17">
        <f t="shared" si="3"/>
        <v>530704.6</v>
      </c>
      <c r="L14" s="17"/>
      <c r="M14" s="40">
        <f t="shared" si="4"/>
        <v>7878827.8452999983</v>
      </c>
      <c r="N14" s="17"/>
    </row>
    <row r="15" spans="1:16">
      <c r="A15" s="26">
        <v>12</v>
      </c>
      <c r="B15" s="27">
        <v>46093</v>
      </c>
      <c r="C15" s="17"/>
      <c r="D15" s="260"/>
      <c r="E15" s="267">
        <v>7830</v>
      </c>
      <c r="F15" s="322">
        <v>95.71</v>
      </c>
      <c r="G15" s="17">
        <f t="shared" si="1"/>
        <v>749409.29999999993</v>
      </c>
      <c r="H15" s="17">
        <v>40</v>
      </c>
      <c r="I15" s="17">
        <v>107.49</v>
      </c>
      <c r="J15" s="17">
        <f t="shared" si="2"/>
        <v>4299.5999999999995</v>
      </c>
      <c r="K15" s="40">
        <f t="shared" si="3"/>
        <v>753708.89999999991</v>
      </c>
      <c r="L15" s="17"/>
      <c r="M15" s="40">
        <f t="shared" si="4"/>
        <v>8632536.7452999987</v>
      </c>
      <c r="N15" s="17"/>
    </row>
    <row r="16" spans="1:16">
      <c r="A16" s="26">
        <v>13</v>
      </c>
      <c r="B16" s="27">
        <v>46094</v>
      </c>
      <c r="C16" s="17"/>
      <c r="D16" s="260"/>
      <c r="E16" s="267">
        <v>1044.8230000000001</v>
      </c>
      <c r="F16" s="322">
        <v>95.71</v>
      </c>
      <c r="G16" s="352">
        <f t="shared" si="1"/>
        <v>100000.00933</v>
      </c>
      <c r="H16" s="17"/>
      <c r="I16" s="17"/>
      <c r="J16" s="17">
        <f t="shared" si="2"/>
        <v>0</v>
      </c>
      <c r="K16" s="352">
        <f t="shared" si="3"/>
        <v>100000.00933</v>
      </c>
      <c r="L16" s="17">
        <v>0</v>
      </c>
      <c r="M16" s="40">
        <f t="shared" si="4"/>
        <v>8732536.7546299994</v>
      </c>
      <c r="N16" s="17" t="s">
        <v>174</v>
      </c>
    </row>
    <row r="17" spans="1:14">
      <c r="A17" s="26">
        <v>14</v>
      </c>
      <c r="B17" s="27">
        <v>46095</v>
      </c>
      <c r="C17" s="17"/>
      <c r="D17" s="260"/>
      <c r="E17" s="267"/>
      <c r="F17" s="322"/>
      <c r="G17" s="17">
        <f t="shared" si="1"/>
        <v>0</v>
      </c>
      <c r="H17" s="17"/>
      <c r="I17" s="17"/>
      <c r="J17" s="17">
        <f t="shared" si="2"/>
        <v>0</v>
      </c>
      <c r="K17" s="17">
        <f t="shared" si="3"/>
        <v>0</v>
      </c>
      <c r="L17" s="17"/>
      <c r="M17" s="40">
        <f t="shared" ref="M17:M34" si="9">M16+K17-L17</f>
        <v>8732536.7546299994</v>
      </c>
      <c r="N17" s="17"/>
    </row>
    <row r="18" spans="1:14">
      <c r="A18" s="26">
        <v>15</v>
      </c>
      <c r="B18" s="27">
        <v>46096</v>
      </c>
      <c r="C18" s="17"/>
      <c r="D18" s="260"/>
      <c r="E18" s="267"/>
      <c r="F18" s="322"/>
      <c r="G18" s="17">
        <f t="shared" si="1"/>
        <v>0</v>
      </c>
      <c r="H18" s="17"/>
      <c r="I18" s="17"/>
      <c r="J18" s="17">
        <f t="shared" si="2"/>
        <v>0</v>
      </c>
      <c r="K18" s="17">
        <f t="shared" si="3"/>
        <v>0</v>
      </c>
      <c r="L18" s="17"/>
      <c r="M18" s="40">
        <f t="shared" si="9"/>
        <v>8732536.7546299994</v>
      </c>
      <c r="N18" s="17"/>
    </row>
    <row r="19" spans="1:14">
      <c r="A19" s="26">
        <v>16</v>
      </c>
      <c r="B19" s="27">
        <v>46097</v>
      </c>
      <c r="C19" s="17"/>
      <c r="D19" s="260"/>
      <c r="E19" s="267">
        <v>5152.96</v>
      </c>
      <c r="F19" s="322">
        <v>95.71</v>
      </c>
      <c r="G19" s="352">
        <f t="shared" si="1"/>
        <v>493189.80159999995</v>
      </c>
      <c r="H19" s="17">
        <v>175</v>
      </c>
      <c r="I19" s="17">
        <v>107.49</v>
      </c>
      <c r="J19" s="17">
        <f t="shared" si="2"/>
        <v>18810.75</v>
      </c>
      <c r="K19" s="17">
        <f t="shared" si="3"/>
        <v>512000.55159999995</v>
      </c>
      <c r="L19" s="17"/>
      <c r="M19" s="40">
        <f t="shared" si="9"/>
        <v>9244537.3062299993</v>
      </c>
      <c r="N19" s="17" t="s">
        <v>175</v>
      </c>
    </row>
    <row r="20" spans="1:14">
      <c r="A20" s="26">
        <v>17</v>
      </c>
      <c r="B20" s="27">
        <v>46098</v>
      </c>
      <c r="C20" s="17"/>
      <c r="D20" s="260"/>
      <c r="E20" s="267"/>
      <c r="F20" s="322"/>
      <c r="G20" s="17">
        <f t="shared" si="1"/>
        <v>0</v>
      </c>
      <c r="H20" s="17"/>
      <c r="I20" s="17"/>
      <c r="J20" s="17">
        <f t="shared" si="2"/>
        <v>0</v>
      </c>
      <c r="K20" s="17">
        <f t="shared" si="3"/>
        <v>0</v>
      </c>
      <c r="L20" s="17">
        <v>3500000</v>
      </c>
      <c r="M20" s="40">
        <f t="shared" si="9"/>
        <v>5744537.3062299993</v>
      </c>
      <c r="N20" s="17"/>
    </row>
    <row r="21" spans="1:14">
      <c r="A21" s="26">
        <v>18</v>
      </c>
      <c r="B21" s="27">
        <v>46099</v>
      </c>
      <c r="C21" s="17"/>
      <c r="D21" s="260"/>
      <c r="E21" s="267"/>
      <c r="F21" s="322"/>
      <c r="G21" s="17">
        <f t="shared" si="1"/>
        <v>0</v>
      </c>
      <c r="H21" s="17"/>
      <c r="I21" s="17"/>
      <c r="J21" s="17">
        <f t="shared" si="2"/>
        <v>0</v>
      </c>
      <c r="K21" s="17">
        <f t="shared" si="3"/>
        <v>0</v>
      </c>
      <c r="L21" s="17"/>
      <c r="M21" s="40">
        <f t="shared" si="9"/>
        <v>5744537.3062299993</v>
      </c>
      <c r="N21" s="17"/>
    </row>
    <row r="22" spans="1:14">
      <c r="A22" s="26">
        <v>19</v>
      </c>
      <c r="B22" s="27">
        <v>46100</v>
      </c>
      <c r="C22" s="17"/>
      <c r="D22" s="260"/>
      <c r="E22" s="267"/>
      <c r="F22" s="322"/>
      <c r="G22" s="17">
        <f t="shared" si="1"/>
        <v>0</v>
      </c>
      <c r="H22" s="17"/>
      <c r="I22" s="17"/>
      <c r="J22" s="17">
        <f t="shared" si="2"/>
        <v>0</v>
      </c>
      <c r="K22" s="17">
        <f t="shared" si="3"/>
        <v>0</v>
      </c>
      <c r="L22" s="17">
        <v>0</v>
      </c>
      <c r="M22" s="40">
        <f t="shared" si="9"/>
        <v>5744537.3062299993</v>
      </c>
      <c r="N22" s="17"/>
    </row>
    <row r="23" spans="1:14">
      <c r="A23" s="26">
        <v>20</v>
      </c>
      <c r="B23" s="27">
        <v>46101</v>
      </c>
      <c r="C23" s="17"/>
      <c r="D23" s="260"/>
      <c r="E23" s="267"/>
      <c r="F23" s="322"/>
      <c r="G23" s="17">
        <f t="shared" si="1"/>
        <v>0</v>
      </c>
      <c r="H23" s="17">
        <v>115</v>
      </c>
      <c r="I23" s="17">
        <v>107.49</v>
      </c>
      <c r="J23" s="17">
        <f t="shared" si="2"/>
        <v>12361.349999999999</v>
      </c>
      <c r="K23" s="17">
        <f t="shared" si="3"/>
        <v>12361.349999999999</v>
      </c>
      <c r="L23" s="17"/>
      <c r="M23" s="40">
        <f t="shared" si="9"/>
        <v>5756898.6562299989</v>
      </c>
      <c r="N23" s="17"/>
    </row>
    <row r="24" spans="1:14">
      <c r="A24" s="26">
        <v>21</v>
      </c>
      <c r="B24" s="27">
        <v>46102</v>
      </c>
      <c r="C24" s="17"/>
      <c r="D24" s="260"/>
      <c r="E24" s="267">
        <v>2100</v>
      </c>
      <c r="F24" s="322">
        <v>95.71</v>
      </c>
      <c r="G24" s="17">
        <f t="shared" si="1"/>
        <v>200991</v>
      </c>
      <c r="H24" s="17">
        <v>60</v>
      </c>
      <c r="I24" s="17">
        <v>107.49</v>
      </c>
      <c r="J24" s="17">
        <f t="shared" si="2"/>
        <v>6449.4</v>
      </c>
      <c r="K24" s="17">
        <f t="shared" si="3"/>
        <v>207440.4</v>
      </c>
      <c r="L24" s="17"/>
      <c r="M24" s="40">
        <f t="shared" si="9"/>
        <v>5964339.0562299993</v>
      </c>
      <c r="N24" s="17"/>
    </row>
    <row r="25" spans="1:14">
      <c r="A25" s="26">
        <v>22</v>
      </c>
      <c r="B25" s="27">
        <v>46103</v>
      </c>
      <c r="C25" s="17"/>
      <c r="D25" s="260"/>
      <c r="E25" s="267"/>
      <c r="F25" s="322"/>
      <c r="G25" s="17">
        <f t="shared" si="1"/>
        <v>0</v>
      </c>
      <c r="H25" s="17"/>
      <c r="I25" s="17"/>
      <c r="J25" s="17">
        <f t="shared" si="2"/>
        <v>0</v>
      </c>
      <c r="K25" s="17">
        <f t="shared" si="3"/>
        <v>0</v>
      </c>
      <c r="L25" s="17"/>
      <c r="M25" s="40">
        <f t="shared" si="9"/>
        <v>5964339.0562299993</v>
      </c>
      <c r="N25" s="17"/>
    </row>
    <row r="26" spans="1:14">
      <c r="A26" s="26">
        <v>23</v>
      </c>
      <c r="B26" s="27">
        <v>46104</v>
      </c>
      <c r="C26" s="17"/>
      <c r="D26" s="260"/>
      <c r="E26" s="267">
        <v>2100</v>
      </c>
      <c r="F26" s="322">
        <v>95.71</v>
      </c>
      <c r="G26" s="17">
        <f t="shared" si="1"/>
        <v>200991</v>
      </c>
      <c r="H26" s="17">
        <v>40</v>
      </c>
      <c r="I26" s="17">
        <v>107.49</v>
      </c>
      <c r="J26" s="17">
        <f t="shared" si="2"/>
        <v>4299.5999999999995</v>
      </c>
      <c r="K26" s="17">
        <f t="shared" si="3"/>
        <v>205290.6</v>
      </c>
      <c r="L26" s="17"/>
      <c r="M26" s="40">
        <f t="shared" si="9"/>
        <v>6169629.6562299989</v>
      </c>
      <c r="N26" s="17"/>
    </row>
    <row r="27" spans="1:14">
      <c r="A27" s="26">
        <v>24</v>
      </c>
      <c r="B27" s="27">
        <v>46105</v>
      </c>
      <c r="C27" s="17"/>
      <c r="D27" s="260"/>
      <c r="E27" s="267"/>
      <c r="F27" s="322"/>
      <c r="G27" s="17">
        <f t="shared" si="1"/>
        <v>0</v>
      </c>
      <c r="H27" s="17"/>
      <c r="I27" s="17"/>
      <c r="J27" s="17">
        <f t="shared" si="2"/>
        <v>0</v>
      </c>
      <c r="K27" s="17">
        <f t="shared" si="3"/>
        <v>0</v>
      </c>
      <c r="L27" s="17"/>
      <c r="M27" s="40">
        <f t="shared" si="9"/>
        <v>6169629.6562299989</v>
      </c>
      <c r="N27" s="17"/>
    </row>
    <row r="28" spans="1:14">
      <c r="A28" s="26">
        <v>25</v>
      </c>
      <c r="B28" s="27">
        <v>46106</v>
      </c>
      <c r="C28" s="17"/>
      <c r="D28" s="260"/>
      <c r="E28" s="267">
        <v>2700</v>
      </c>
      <c r="F28" s="322">
        <v>95.71</v>
      </c>
      <c r="G28" s="17">
        <f t="shared" si="1"/>
        <v>258416.99999999997</v>
      </c>
      <c r="H28" s="17">
        <v>125</v>
      </c>
      <c r="I28" s="17">
        <v>107.49</v>
      </c>
      <c r="J28" s="17">
        <f t="shared" si="2"/>
        <v>13436.25</v>
      </c>
      <c r="K28" s="17">
        <f t="shared" si="3"/>
        <v>271853.25</v>
      </c>
      <c r="L28" s="17"/>
      <c r="M28" s="40">
        <f t="shared" si="9"/>
        <v>6441482.9062299989</v>
      </c>
      <c r="N28" s="17"/>
    </row>
    <row r="29" spans="1:14">
      <c r="A29" s="26">
        <v>26</v>
      </c>
      <c r="B29" s="27">
        <v>46107</v>
      </c>
      <c r="C29" s="17"/>
      <c r="D29" s="260"/>
      <c r="E29" s="267">
        <v>2700</v>
      </c>
      <c r="F29" s="322">
        <v>95.71</v>
      </c>
      <c r="G29" s="17">
        <f t="shared" si="1"/>
        <v>258416.99999999997</v>
      </c>
      <c r="H29" s="17">
        <v>20</v>
      </c>
      <c r="I29" s="17">
        <v>107.49</v>
      </c>
      <c r="J29" s="17">
        <f t="shared" si="2"/>
        <v>2149.7999999999997</v>
      </c>
      <c r="K29" s="17">
        <f t="shared" si="3"/>
        <v>260566.79999999996</v>
      </c>
      <c r="L29" s="17"/>
      <c r="M29" s="40">
        <f t="shared" si="9"/>
        <v>6702049.7062299987</v>
      </c>
      <c r="N29" s="17"/>
    </row>
    <row r="30" spans="1:14">
      <c r="A30" s="26">
        <v>27</v>
      </c>
      <c r="B30" s="27">
        <v>46108</v>
      </c>
      <c r="C30" s="17"/>
      <c r="D30" s="260"/>
      <c r="E30" s="267">
        <v>2800</v>
      </c>
      <c r="F30" s="322">
        <v>95.71</v>
      </c>
      <c r="G30" s="17">
        <f t="shared" si="1"/>
        <v>267988</v>
      </c>
      <c r="H30" s="17"/>
      <c r="I30" s="17"/>
      <c r="J30" s="17">
        <f t="shared" si="2"/>
        <v>0</v>
      </c>
      <c r="K30" s="17">
        <f t="shared" si="3"/>
        <v>267988</v>
      </c>
      <c r="L30" s="17"/>
      <c r="M30" s="40">
        <f t="shared" si="9"/>
        <v>6970037.7062299987</v>
      </c>
      <c r="N30" s="17"/>
    </row>
    <row r="31" spans="1:14">
      <c r="A31" s="26">
        <v>28</v>
      </c>
      <c r="B31" s="27">
        <v>46109</v>
      </c>
      <c r="C31" s="17"/>
      <c r="D31" s="442" t="s">
        <v>176</v>
      </c>
      <c r="E31" s="267">
        <v>546</v>
      </c>
      <c r="F31" s="322">
        <v>256.09890109890102</v>
      </c>
      <c r="G31" s="17">
        <f t="shared" si="1"/>
        <v>139829.99999999997</v>
      </c>
      <c r="H31" s="17">
        <v>0</v>
      </c>
      <c r="I31" s="17">
        <v>0</v>
      </c>
      <c r="J31" s="17">
        <f t="shared" si="2"/>
        <v>0</v>
      </c>
      <c r="K31" s="17">
        <f t="shared" si="3"/>
        <v>139829.99999999997</v>
      </c>
      <c r="L31" s="17"/>
      <c r="M31" s="40">
        <f t="shared" si="9"/>
        <v>7109867.7062299987</v>
      </c>
      <c r="N31" s="17"/>
    </row>
    <row r="32" spans="1:14">
      <c r="A32" s="26">
        <v>29</v>
      </c>
      <c r="B32" s="27">
        <v>46109</v>
      </c>
      <c r="C32" s="17"/>
      <c r="D32" s="260"/>
      <c r="E32" s="267">
        <v>2800</v>
      </c>
      <c r="F32" s="322">
        <v>95.71</v>
      </c>
      <c r="G32" s="17">
        <f t="shared" si="1"/>
        <v>267988</v>
      </c>
      <c r="H32" s="17">
        <v>40</v>
      </c>
      <c r="I32" s="17">
        <v>107.49</v>
      </c>
      <c r="J32" s="17">
        <f t="shared" si="2"/>
        <v>4299.5999999999995</v>
      </c>
      <c r="K32" s="17">
        <f t="shared" si="3"/>
        <v>272287.59999999998</v>
      </c>
      <c r="L32" s="17"/>
      <c r="M32" s="40">
        <f t="shared" si="9"/>
        <v>7382155.3062299984</v>
      </c>
      <c r="N32" s="17"/>
    </row>
    <row r="33" spans="1:14">
      <c r="A33" s="26">
        <v>30</v>
      </c>
      <c r="B33" s="27">
        <v>46111</v>
      </c>
      <c r="C33" s="17"/>
      <c r="D33" s="260"/>
      <c r="E33" s="267">
        <v>4029</v>
      </c>
      <c r="F33" s="322">
        <v>95.71</v>
      </c>
      <c r="G33" s="17">
        <f t="shared" si="1"/>
        <v>385615.58999999997</v>
      </c>
      <c r="H33" s="17">
        <v>60</v>
      </c>
      <c r="I33" s="17">
        <v>107.49</v>
      </c>
      <c r="J33" s="17">
        <f t="shared" si="2"/>
        <v>6449.4</v>
      </c>
      <c r="K33" s="17">
        <f t="shared" si="3"/>
        <v>392064.99</v>
      </c>
      <c r="L33" s="17"/>
      <c r="M33" s="40">
        <f t="shared" si="9"/>
        <v>7774220.2962299986</v>
      </c>
      <c r="N33" s="17"/>
    </row>
    <row r="34" spans="1:14">
      <c r="A34" s="26">
        <v>31</v>
      </c>
      <c r="B34" s="27"/>
      <c r="C34" s="17"/>
      <c r="D34" s="260"/>
      <c r="E34" s="267">
        <v>2700</v>
      </c>
      <c r="F34" s="322">
        <v>95.71</v>
      </c>
      <c r="G34" s="17">
        <f t="shared" si="1"/>
        <v>258416.99999999997</v>
      </c>
      <c r="H34" s="17"/>
      <c r="I34" s="17"/>
      <c r="J34" s="17">
        <f t="shared" ref="J5:J34" si="10">H34*I34</f>
        <v>0</v>
      </c>
      <c r="K34" s="17">
        <f t="shared" si="3"/>
        <v>258416.99999999997</v>
      </c>
      <c r="L34" s="17"/>
      <c r="M34" s="40">
        <f t="shared" si="9"/>
        <v>8032637.2962299986</v>
      </c>
      <c r="N34" s="17"/>
    </row>
    <row r="35" spans="1:14">
      <c r="A35" s="42"/>
      <c r="B35" s="42"/>
      <c r="C35" s="42"/>
      <c r="D35" s="42"/>
      <c r="E35" s="43">
        <f>SUM(E4:E34)</f>
        <v>60358.173000000003</v>
      </c>
      <c r="F35" s="43"/>
      <c r="G35" s="43">
        <f>SUM(G4:G34)</f>
        <v>5864453.0778299989</v>
      </c>
      <c r="H35" s="43">
        <f>SUM(H4:H34)</f>
        <v>1045</v>
      </c>
      <c r="I35" s="43"/>
      <c r="J35" s="43">
        <f>SUM(J4:J34)</f>
        <v>112327.05</v>
      </c>
      <c r="K35" s="43">
        <f>SUM(K4:K34)</f>
        <v>5976780.1278299997</v>
      </c>
      <c r="L35" s="43">
        <f>SUM(L4:L34)</f>
        <v>3500000</v>
      </c>
      <c r="M35" s="43"/>
      <c r="N35" s="43"/>
    </row>
    <row r="39" spans="1:14">
      <c r="M39" s="22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2600-625A-4673-A405-708447C74D8E}">
  <sheetPr>
    <tabColor rgb="FF00B050"/>
  </sheetPr>
  <dimension ref="A1:P39"/>
  <sheetViews>
    <sheetView workbookViewId="0">
      <selection activeCell="P34" sqref="P34"/>
    </sheetView>
  </sheetViews>
  <sheetFormatPr defaultRowHeight="15"/>
  <cols>
    <col min="2" max="2" width="14.140625" customWidth="1"/>
    <col min="5" max="5" width="10.42578125" bestFit="1" customWidth="1"/>
    <col min="6" max="6" width="7.28515625" bestFit="1" customWidth="1"/>
    <col min="7" max="7" width="12.85546875" bestFit="1" customWidth="1"/>
    <col min="11" max="12" width="13.5703125" bestFit="1" customWidth="1"/>
    <col min="13" max="13" width="12.5703125" bestFit="1" customWidth="1"/>
    <col min="14" max="14" width="8.7109375" bestFit="1" customWidth="1"/>
    <col min="15" max="15" width="11.42578125" bestFit="1" customWidth="1"/>
  </cols>
  <sheetData>
    <row r="1" spans="1:16" ht="15.75">
      <c r="A1" s="459" t="s">
        <v>177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</row>
    <row r="2" spans="1:16" ht="30.75">
      <c r="A2" s="64" t="s">
        <v>0</v>
      </c>
      <c r="B2" s="83" t="s">
        <v>161</v>
      </c>
      <c r="C2" s="83" t="s">
        <v>162</v>
      </c>
      <c r="D2" s="83" t="s">
        <v>163</v>
      </c>
      <c r="E2" s="83" t="s">
        <v>164</v>
      </c>
      <c r="F2" s="83" t="s">
        <v>165</v>
      </c>
      <c r="G2" s="83" t="s">
        <v>166</v>
      </c>
      <c r="H2" s="83" t="s">
        <v>167</v>
      </c>
      <c r="I2" s="83" t="s">
        <v>165</v>
      </c>
      <c r="J2" s="84" t="s">
        <v>166</v>
      </c>
      <c r="K2" s="124" t="s">
        <v>168</v>
      </c>
      <c r="L2" s="127" t="s">
        <v>169</v>
      </c>
      <c r="M2" s="127" t="s">
        <v>173</v>
      </c>
      <c r="N2" s="125" t="s">
        <v>171</v>
      </c>
      <c r="O2" s="325"/>
      <c r="P2" s="22"/>
    </row>
    <row r="3" spans="1:16">
      <c r="A3" s="461" t="s">
        <v>172</v>
      </c>
      <c r="B3" s="462"/>
      <c r="C3" s="462"/>
      <c r="D3" s="462"/>
      <c r="E3" s="462"/>
      <c r="F3" s="462"/>
      <c r="G3" s="462"/>
      <c r="H3" s="462"/>
      <c r="I3" s="462"/>
      <c r="J3" s="462"/>
      <c r="K3">
        <v>1140143.0999999996</v>
      </c>
      <c r="L3" s="228"/>
      <c r="M3">
        <v>1140143.0999999996</v>
      </c>
      <c r="N3" s="94"/>
    </row>
    <row r="4" spans="1:16">
      <c r="A4" s="26">
        <v>1</v>
      </c>
      <c r="B4" s="27">
        <v>46082</v>
      </c>
      <c r="C4" s="17"/>
      <c r="D4" s="260"/>
      <c r="E4" s="267">
        <v>6000</v>
      </c>
      <c r="F4" s="322">
        <v>94.7</v>
      </c>
      <c r="G4" s="17">
        <f>E4*F4</f>
        <v>568200</v>
      </c>
      <c r="H4" s="17"/>
      <c r="I4" s="17"/>
      <c r="J4" s="17">
        <f>H4*I4</f>
        <v>0</v>
      </c>
      <c r="K4" s="17">
        <f>G4+J4</f>
        <v>568200</v>
      </c>
      <c r="L4" s="17"/>
      <c r="M4" s="40">
        <f>M3+K4-L4</f>
        <v>1708343.0999999996</v>
      </c>
      <c r="N4" s="17"/>
      <c r="O4" s="40"/>
    </row>
    <row r="5" spans="1:16">
      <c r="A5" s="26">
        <v>2</v>
      </c>
      <c r="B5" s="27">
        <v>46083</v>
      </c>
      <c r="C5" s="17"/>
      <c r="D5" s="260"/>
      <c r="E5" s="267">
        <v>6000</v>
      </c>
      <c r="F5" s="322">
        <v>94.7</v>
      </c>
      <c r="G5" s="17">
        <f t="shared" ref="G5:G34" si="0">E5*F5</f>
        <v>568200</v>
      </c>
      <c r="H5" s="17"/>
      <c r="I5" s="17"/>
      <c r="J5" s="17">
        <f>H5*I5</f>
        <v>0</v>
      </c>
      <c r="K5" s="17">
        <f>G5+J5</f>
        <v>568200</v>
      </c>
      <c r="L5" s="17"/>
      <c r="M5" s="40">
        <f>M4+K5-L5</f>
        <v>2276543.0999999996</v>
      </c>
      <c r="N5" s="17"/>
    </row>
    <row r="6" spans="1:16">
      <c r="A6" s="26">
        <v>3</v>
      </c>
      <c r="B6" s="27">
        <v>46084</v>
      </c>
      <c r="C6" s="17"/>
      <c r="D6" s="260"/>
      <c r="E6" s="267">
        <v>6000</v>
      </c>
      <c r="F6" s="322">
        <v>94.7</v>
      </c>
      <c r="G6" s="17">
        <f t="shared" si="0"/>
        <v>568200</v>
      </c>
      <c r="H6" s="17"/>
      <c r="I6" s="17"/>
      <c r="J6" s="17">
        <f>H6*I6</f>
        <v>0</v>
      </c>
      <c r="K6" s="17">
        <f>G6+J6</f>
        <v>568200</v>
      </c>
      <c r="L6" s="17"/>
      <c r="M6" s="40">
        <f t="shared" ref="M6:M34" si="1">M5+K6-L6</f>
        <v>2844743.0999999996</v>
      </c>
      <c r="N6" s="17"/>
    </row>
    <row r="7" spans="1:16">
      <c r="A7" s="26">
        <v>4</v>
      </c>
      <c r="B7" s="27">
        <v>46085</v>
      </c>
      <c r="C7" s="17"/>
      <c r="D7" s="260"/>
      <c r="E7" s="267">
        <v>6000</v>
      </c>
      <c r="F7" s="322">
        <v>94.7</v>
      </c>
      <c r="G7" s="17">
        <f t="shared" si="0"/>
        <v>568200</v>
      </c>
      <c r="H7" s="17"/>
      <c r="I7" s="17"/>
      <c r="J7" s="17">
        <f>H7*I7</f>
        <v>0</v>
      </c>
      <c r="K7" s="17">
        <f>G7+J7</f>
        <v>568200</v>
      </c>
      <c r="L7" s="17"/>
      <c r="M7" s="40">
        <f>M6+K7-L7</f>
        <v>3412943.0999999996</v>
      </c>
      <c r="N7" s="17"/>
    </row>
    <row r="8" spans="1:16">
      <c r="A8" s="26">
        <v>5</v>
      </c>
      <c r="B8" s="27">
        <v>46086</v>
      </c>
      <c r="C8" s="17"/>
      <c r="D8" s="260"/>
      <c r="E8" s="267">
        <v>6000</v>
      </c>
      <c r="F8" s="322">
        <v>94.7</v>
      </c>
      <c r="G8" s="17">
        <f t="shared" si="0"/>
        <v>568200</v>
      </c>
      <c r="H8" s="17"/>
      <c r="I8" s="17"/>
      <c r="J8" s="17">
        <f>H8*I8</f>
        <v>0</v>
      </c>
      <c r="K8" s="17">
        <f>G8+J8</f>
        <v>568200</v>
      </c>
      <c r="L8" s="17"/>
      <c r="M8" s="40">
        <f t="shared" si="1"/>
        <v>3981143.0999999996</v>
      </c>
      <c r="N8" s="17"/>
    </row>
    <row r="9" spans="1:16">
      <c r="A9" s="26">
        <v>6</v>
      </c>
      <c r="B9" s="27">
        <v>46087</v>
      </c>
      <c r="C9" s="17"/>
      <c r="D9" s="260"/>
      <c r="E9" s="267">
        <v>6000</v>
      </c>
      <c r="F9" s="322">
        <v>94.7</v>
      </c>
      <c r="G9" s="17">
        <f t="shared" si="0"/>
        <v>568200</v>
      </c>
      <c r="H9" s="17"/>
      <c r="I9" s="17"/>
      <c r="J9" s="17">
        <f>H9*I9</f>
        <v>0</v>
      </c>
      <c r="K9" s="17">
        <f>G9+J9</f>
        <v>568200</v>
      </c>
      <c r="L9" s="17"/>
      <c r="M9" s="40">
        <f t="shared" si="1"/>
        <v>4549343.0999999996</v>
      </c>
      <c r="N9" s="230"/>
    </row>
    <row r="10" spans="1:16">
      <c r="A10" s="26">
        <v>7</v>
      </c>
      <c r="B10" s="27">
        <v>46088</v>
      </c>
      <c r="C10" s="17"/>
      <c r="D10" s="260"/>
      <c r="E10" s="267">
        <v>6000</v>
      </c>
      <c r="F10" s="322">
        <v>94.7</v>
      </c>
      <c r="G10" s="17">
        <f t="shared" si="0"/>
        <v>568200</v>
      </c>
      <c r="H10" s="17"/>
      <c r="I10" s="17"/>
      <c r="J10" s="17">
        <f>H10*I10</f>
        <v>0</v>
      </c>
      <c r="K10" s="17">
        <f>G10+J10</f>
        <v>568200</v>
      </c>
      <c r="L10" s="17"/>
      <c r="M10" s="40">
        <f t="shared" si="1"/>
        <v>5117543.0999999996</v>
      </c>
      <c r="N10" s="17"/>
    </row>
    <row r="11" spans="1:16">
      <c r="A11" s="26">
        <v>8</v>
      </c>
      <c r="B11" s="27">
        <v>46089</v>
      </c>
      <c r="C11" s="17"/>
      <c r="D11" s="260"/>
      <c r="E11" s="267">
        <v>6000</v>
      </c>
      <c r="F11" s="322">
        <v>94.7</v>
      </c>
      <c r="G11" s="17">
        <f t="shared" si="0"/>
        <v>568200</v>
      </c>
      <c r="H11" s="17"/>
      <c r="I11" s="17"/>
      <c r="J11" s="17">
        <f>H11*I11</f>
        <v>0</v>
      </c>
      <c r="K11" s="17">
        <f>G11+J11</f>
        <v>568200</v>
      </c>
      <c r="L11" s="17"/>
      <c r="M11" s="40">
        <f t="shared" si="1"/>
        <v>5685743.0999999996</v>
      </c>
      <c r="N11" s="17"/>
    </row>
    <row r="12" spans="1:16">
      <c r="A12" s="26">
        <v>9</v>
      </c>
      <c r="B12" s="27">
        <v>46090</v>
      </c>
      <c r="C12" s="17"/>
      <c r="D12" s="260"/>
      <c r="E12" s="267">
        <v>12000</v>
      </c>
      <c r="F12" s="322">
        <v>94.7</v>
      </c>
      <c r="G12" s="17">
        <f t="shared" si="0"/>
        <v>1136400</v>
      </c>
      <c r="H12" s="17"/>
      <c r="I12" s="17"/>
      <c r="J12" s="17">
        <f>H12*I12</f>
        <v>0</v>
      </c>
      <c r="K12" s="17">
        <f>G12+J12</f>
        <v>1136400</v>
      </c>
      <c r="L12" s="17"/>
      <c r="M12" s="40">
        <f t="shared" si="1"/>
        <v>6822143.0999999996</v>
      </c>
      <c r="N12" s="17"/>
    </row>
    <row r="13" spans="1:16">
      <c r="A13" s="26">
        <v>10</v>
      </c>
      <c r="B13" s="27">
        <v>46091</v>
      </c>
      <c r="C13" s="17"/>
      <c r="D13" s="260"/>
      <c r="E13" s="267">
        <v>6000</v>
      </c>
      <c r="F13" s="322">
        <v>94.7</v>
      </c>
      <c r="G13" s="17">
        <f t="shared" si="0"/>
        <v>568200</v>
      </c>
      <c r="H13" s="17"/>
      <c r="I13" s="17"/>
      <c r="J13" s="17">
        <f>H13*I13</f>
        <v>0</v>
      </c>
      <c r="K13" s="17">
        <f>G13+J13</f>
        <v>568200</v>
      </c>
      <c r="L13" s="17"/>
      <c r="M13" s="40">
        <f t="shared" si="1"/>
        <v>7390343.0999999996</v>
      </c>
      <c r="N13" s="17"/>
    </row>
    <row r="14" spans="1:16">
      <c r="A14" s="26">
        <v>11</v>
      </c>
      <c r="B14" s="27">
        <v>46092</v>
      </c>
      <c r="C14" s="17"/>
      <c r="D14" s="260"/>
      <c r="E14" s="267">
        <v>6000</v>
      </c>
      <c r="F14" s="322">
        <v>94.7</v>
      </c>
      <c r="G14" s="17">
        <f t="shared" si="0"/>
        <v>568200</v>
      </c>
      <c r="H14" s="17"/>
      <c r="I14" s="17"/>
      <c r="J14" s="17">
        <f>H14*I14</f>
        <v>0</v>
      </c>
      <c r="K14" s="17">
        <f>G14+J14</f>
        <v>568200</v>
      </c>
      <c r="L14" s="17"/>
      <c r="M14" s="40">
        <f t="shared" si="1"/>
        <v>7958543.0999999996</v>
      </c>
      <c r="N14" s="17"/>
    </row>
    <row r="15" spans="1:16">
      <c r="A15" s="26">
        <v>12</v>
      </c>
      <c r="B15" s="27">
        <v>46093</v>
      </c>
      <c r="C15" s="17"/>
      <c r="D15" s="260"/>
      <c r="E15" s="267">
        <v>6050</v>
      </c>
      <c r="F15" s="322">
        <v>94.7</v>
      </c>
      <c r="G15" s="17">
        <f t="shared" si="0"/>
        <v>572935</v>
      </c>
      <c r="H15" s="17"/>
      <c r="I15" s="17"/>
      <c r="J15" s="17">
        <f>H15*I15</f>
        <v>0</v>
      </c>
      <c r="K15" s="17">
        <f>G15+J15</f>
        <v>572935</v>
      </c>
      <c r="L15" s="17"/>
      <c r="M15" s="40">
        <f t="shared" si="1"/>
        <v>8531478.0999999996</v>
      </c>
      <c r="N15" s="17"/>
    </row>
    <row r="16" spans="1:16">
      <c r="A16" s="26">
        <v>13</v>
      </c>
      <c r="B16" s="27">
        <v>46094</v>
      </c>
      <c r="C16" s="17"/>
      <c r="D16" s="260"/>
      <c r="E16" s="267">
        <v>5993.93</v>
      </c>
      <c r="F16" s="322">
        <v>94.7</v>
      </c>
      <c r="G16" s="40">
        <f t="shared" si="0"/>
        <v>567625.17100000009</v>
      </c>
      <c r="H16" s="17"/>
      <c r="I16" s="17"/>
      <c r="J16" s="17">
        <f>H16*I16</f>
        <v>0</v>
      </c>
      <c r="K16" s="40">
        <f>G16+J16</f>
        <v>567625.17100000009</v>
      </c>
      <c r="L16" s="17"/>
      <c r="M16" s="40">
        <f>M15+K16-L16</f>
        <v>9099103.2709999997</v>
      </c>
      <c r="N16" s="17"/>
    </row>
    <row r="17" spans="1:14">
      <c r="A17" s="26">
        <v>14</v>
      </c>
      <c r="B17" s="27">
        <v>46095</v>
      </c>
      <c r="C17" s="17"/>
      <c r="D17" s="260"/>
      <c r="E17" s="267"/>
      <c r="F17" s="322"/>
      <c r="G17" s="17">
        <f t="shared" ref="G17:G18" si="2">E17*F17</f>
        <v>0</v>
      </c>
      <c r="H17" s="17"/>
      <c r="I17" s="17"/>
      <c r="J17" s="17">
        <f>H17*I17</f>
        <v>0</v>
      </c>
      <c r="K17" s="17">
        <f>G17+J17</f>
        <v>0</v>
      </c>
      <c r="L17" s="17"/>
      <c r="M17" s="40">
        <f t="shared" si="1"/>
        <v>9099103.2709999997</v>
      </c>
      <c r="N17" s="17"/>
    </row>
    <row r="18" spans="1:14">
      <c r="A18" s="26">
        <v>15</v>
      </c>
      <c r="B18" s="27">
        <v>46096</v>
      </c>
      <c r="C18" s="17"/>
      <c r="D18" s="260"/>
      <c r="E18" s="267"/>
      <c r="F18" s="322"/>
      <c r="G18" s="17">
        <f t="shared" si="2"/>
        <v>0</v>
      </c>
      <c r="H18" s="17"/>
      <c r="I18" s="17"/>
      <c r="J18" s="17">
        <f>H18*I18</f>
        <v>0</v>
      </c>
      <c r="K18" s="17">
        <f>G18+J18</f>
        <v>0</v>
      </c>
      <c r="L18" s="17"/>
      <c r="M18" s="40">
        <f t="shared" si="1"/>
        <v>9099103.2709999997</v>
      </c>
      <c r="N18" s="17"/>
    </row>
    <row r="19" spans="1:14">
      <c r="A19" s="26">
        <v>16</v>
      </c>
      <c r="B19" s="27">
        <v>46097</v>
      </c>
      <c r="C19" s="17"/>
      <c r="D19" s="260"/>
      <c r="E19" s="267"/>
      <c r="F19" s="322"/>
      <c r="G19" s="17">
        <f t="shared" si="0"/>
        <v>0</v>
      </c>
      <c r="H19" s="17"/>
      <c r="I19" s="17"/>
      <c r="J19" s="17">
        <f>H19*I19</f>
        <v>0</v>
      </c>
      <c r="K19" s="17">
        <f>G19+J19</f>
        <v>0</v>
      </c>
      <c r="L19" s="17"/>
      <c r="M19" s="40">
        <f t="shared" si="1"/>
        <v>9099103.2709999997</v>
      </c>
      <c r="N19" s="17"/>
    </row>
    <row r="20" spans="1:14">
      <c r="A20" s="26">
        <v>17</v>
      </c>
      <c r="B20" s="27">
        <v>46098</v>
      </c>
      <c r="C20" s="17"/>
      <c r="D20" s="260"/>
      <c r="E20" s="267">
        <v>6000</v>
      </c>
      <c r="F20" s="322">
        <v>94.7</v>
      </c>
      <c r="G20" s="17">
        <f t="shared" si="0"/>
        <v>568200</v>
      </c>
      <c r="H20" s="17"/>
      <c r="I20" s="17"/>
      <c r="J20" s="17">
        <f>H20*I20</f>
        <v>0</v>
      </c>
      <c r="K20" s="17">
        <f>G20+J20</f>
        <v>568200</v>
      </c>
      <c r="L20" s="17"/>
      <c r="M20" s="40">
        <f t="shared" si="1"/>
        <v>9667303.2709999997</v>
      </c>
      <c r="N20" s="17"/>
    </row>
    <row r="21" spans="1:14">
      <c r="A21" s="26">
        <v>18</v>
      </c>
      <c r="B21" s="27">
        <v>46099</v>
      </c>
      <c r="C21" s="17"/>
      <c r="D21" s="260"/>
      <c r="E21" s="267">
        <v>6000</v>
      </c>
      <c r="F21" s="322">
        <v>94.7</v>
      </c>
      <c r="G21" s="17">
        <f t="shared" si="0"/>
        <v>568200</v>
      </c>
      <c r="H21" s="17"/>
      <c r="I21" s="17"/>
      <c r="J21" s="17">
        <f>H21*I21</f>
        <v>0</v>
      </c>
      <c r="K21" s="17">
        <f>G21+J21</f>
        <v>568200</v>
      </c>
      <c r="L21" s="17"/>
      <c r="M21" s="40">
        <f t="shared" si="1"/>
        <v>10235503.271</v>
      </c>
      <c r="N21" s="17"/>
    </row>
    <row r="22" spans="1:14">
      <c r="A22" s="26">
        <v>19</v>
      </c>
      <c r="B22" s="27">
        <v>46100</v>
      </c>
      <c r="C22" s="17"/>
      <c r="D22" s="260"/>
      <c r="E22" s="267"/>
      <c r="F22" s="322"/>
      <c r="G22" s="17">
        <f t="shared" si="0"/>
        <v>0</v>
      </c>
      <c r="H22" s="17"/>
      <c r="I22" s="17"/>
      <c r="J22" s="17">
        <f>H22*I22</f>
        <v>0</v>
      </c>
      <c r="K22" s="17">
        <f>G22+J22</f>
        <v>0</v>
      </c>
      <c r="L22" s="17"/>
      <c r="M22" s="40">
        <f t="shared" si="1"/>
        <v>10235503.271</v>
      </c>
      <c r="N22" s="17"/>
    </row>
    <row r="23" spans="1:14">
      <c r="A23" s="26">
        <v>20</v>
      </c>
      <c r="B23" s="27">
        <v>46101</v>
      </c>
      <c r="C23" s="17"/>
      <c r="D23" s="260"/>
      <c r="E23" s="267">
        <v>6000</v>
      </c>
      <c r="F23" s="322">
        <v>94.7</v>
      </c>
      <c r="G23" s="17">
        <f t="shared" si="0"/>
        <v>568200</v>
      </c>
      <c r="H23" s="17"/>
      <c r="I23" s="17"/>
      <c r="J23" s="17">
        <f>H23*I23</f>
        <v>0</v>
      </c>
      <c r="K23" s="17">
        <f>G23+J23</f>
        <v>568200</v>
      </c>
      <c r="L23" s="17"/>
      <c r="M23" s="40">
        <f t="shared" si="1"/>
        <v>10803703.271</v>
      </c>
      <c r="N23" s="17"/>
    </row>
    <row r="24" spans="1:14">
      <c r="A24" s="26">
        <v>21</v>
      </c>
      <c r="B24" s="27">
        <v>46102</v>
      </c>
      <c r="C24" s="17"/>
      <c r="D24" s="260"/>
      <c r="E24" s="267">
        <v>6000</v>
      </c>
      <c r="F24" s="322">
        <v>94.7</v>
      </c>
      <c r="G24" s="17">
        <f t="shared" si="0"/>
        <v>568200</v>
      </c>
      <c r="H24" s="17"/>
      <c r="I24" s="17"/>
      <c r="J24" s="17">
        <f>H24*I24</f>
        <v>0</v>
      </c>
      <c r="K24" s="17">
        <f>G24+J24</f>
        <v>568200</v>
      </c>
      <c r="L24" s="17"/>
      <c r="M24" s="40">
        <f t="shared" si="1"/>
        <v>11371903.271</v>
      </c>
      <c r="N24" s="17"/>
    </row>
    <row r="25" spans="1:14">
      <c r="A25" s="26">
        <v>22</v>
      </c>
      <c r="B25" s="27">
        <v>46103</v>
      </c>
      <c r="C25" s="17"/>
      <c r="D25" s="260"/>
      <c r="E25" s="267"/>
      <c r="F25" s="322"/>
      <c r="G25" s="17">
        <f t="shared" si="0"/>
        <v>0</v>
      </c>
      <c r="H25" s="17"/>
      <c r="I25" s="17"/>
      <c r="J25" s="17">
        <f>H25*I25</f>
        <v>0</v>
      </c>
      <c r="K25" s="17">
        <f>G25+J25</f>
        <v>0</v>
      </c>
      <c r="L25" s="17"/>
      <c r="M25" s="40">
        <f t="shared" si="1"/>
        <v>11371903.271</v>
      </c>
      <c r="N25" s="17"/>
    </row>
    <row r="26" spans="1:14">
      <c r="A26" s="26">
        <v>23</v>
      </c>
      <c r="B26" s="27">
        <v>46104</v>
      </c>
      <c r="C26" s="17"/>
      <c r="D26" s="260"/>
      <c r="E26" s="267">
        <v>6000</v>
      </c>
      <c r="F26" s="433">
        <v>95.2</v>
      </c>
      <c r="G26" s="17">
        <f t="shared" si="0"/>
        <v>571200</v>
      </c>
      <c r="H26" s="17"/>
      <c r="I26" s="17"/>
      <c r="J26" s="17">
        <f>H26*I26</f>
        <v>0</v>
      </c>
      <c r="K26" s="17">
        <f>G26+J26</f>
        <v>571200</v>
      </c>
      <c r="L26" s="17">
        <v>6000000</v>
      </c>
      <c r="M26" s="40">
        <f t="shared" si="1"/>
        <v>5943103.2709999997</v>
      </c>
      <c r="N26" s="17"/>
    </row>
    <row r="27" spans="1:14">
      <c r="A27" s="26">
        <v>24</v>
      </c>
      <c r="B27" s="27">
        <v>46105</v>
      </c>
      <c r="C27" s="17"/>
      <c r="D27" s="260"/>
      <c r="E27" s="267">
        <v>6000</v>
      </c>
      <c r="F27" s="433">
        <v>95.2</v>
      </c>
      <c r="G27" s="17">
        <f t="shared" si="0"/>
        <v>571200</v>
      </c>
      <c r="H27" s="17"/>
      <c r="I27" s="17"/>
      <c r="J27" s="17">
        <f>H27*I27</f>
        <v>0</v>
      </c>
      <c r="K27" s="17">
        <f>G27+J27</f>
        <v>571200</v>
      </c>
      <c r="L27" s="17"/>
      <c r="M27" s="40">
        <f t="shared" si="1"/>
        <v>6514303.2709999997</v>
      </c>
      <c r="N27" s="17"/>
    </row>
    <row r="28" spans="1:14">
      <c r="A28" s="26">
        <v>25</v>
      </c>
      <c r="B28" s="27">
        <v>46106</v>
      </c>
      <c r="C28" s="17"/>
      <c r="D28" s="260"/>
      <c r="E28" s="267">
        <v>6000</v>
      </c>
      <c r="F28" s="433">
        <v>95.2</v>
      </c>
      <c r="G28" s="17">
        <f t="shared" si="0"/>
        <v>571200</v>
      </c>
      <c r="H28" s="17"/>
      <c r="I28" s="17"/>
      <c r="J28" s="17">
        <f>H28*I28</f>
        <v>0</v>
      </c>
      <c r="K28" s="17">
        <f>G28+J28</f>
        <v>571200</v>
      </c>
      <c r="L28" s="17"/>
      <c r="M28" s="40">
        <f t="shared" si="1"/>
        <v>7085503.2709999997</v>
      </c>
      <c r="N28" s="17"/>
    </row>
    <row r="29" spans="1:14">
      <c r="A29" s="26">
        <v>26</v>
      </c>
      <c r="B29" s="27">
        <v>46107</v>
      </c>
      <c r="C29" s="17"/>
      <c r="D29" s="260"/>
      <c r="E29" s="267"/>
      <c r="F29" s="322"/>
      <c r="G29" s="17">
        <f t="shared" si="0"/>
        <v>0</v>
      </c>
      <c r="H29" s="17"/>
      <c r="I29" s="17"/>
      <c r="J29" s="17">
        <f>H29*I29</f>
        <v>0</v>
      </c>
      <c r="K29" s="17">
        <f>G29+J29</f>
        <v>0</v>
      </c>
      <c r="L29" s="17"/>
      <c r="M29" s="40">
        <f t="shared" si="1"/>
        <v>7085503.2709999997</v>
      </c>
      <c r="N29" s="17"/>
    </row>
    <row r="30" spans="1:14">
      <c r="A30" s="26">
        <v>27</v>
      </c>
      <c r="B30" s="27">
        <v>46108</v>
      </c>
      <c r="C30" s="17"/>
      <c r="D30" s="260"/>
      <c r="E30" s="267"/>
      <c r="F30" s="322"/>
      <c r="G30" s="17">
        <f t="shared" si="0"/>
        <v>0</v>
      </c>
      <c r="H30" s="17"/>
      <c r="I30" s="17"/>
      <c r="J30" s="17">
        <f>H30*I30</f>
        <v>0</v>
      </c>
      <c r="K30" s="17">
        <f>G30+J30</f>
        <v>0</v>
      </c>
      <c r="L30" s="17"/>
      <c r="M30" s="40">
        <f t="shared" si="1"/>
        <v>7085503.2709999997</v>
      </c>
      <c r="N30" s="17"/>
    </row>
    <row r="31" spans="1:14">
      <c r="A31" s="26">
        <v>28</v>
      </c>
      <c r="B31" s="27">
        <v>46109</v>
      </c>
      <c r="C31" s="17"/>
      <c r="D31" s="260"/>
      <c r="E31" s="267"/>
      <c r="F31" s="322"/>
      <c r="G31" s="17">
        <f t="shared" si="0"/>
        <v>0</v>
      </c>
      <c r="J31" s="17">
        <f>H31*I31</f>
        <v>0</v>
      </c>
      <c r="K31" s="17">
        <f>G31+J31</f>
        <v>0</v>
      </c>
      <c r="L31" s="17"/>
      <c r="M31" s="40">
        <f t="shared" si="1"/>
        <v>7085503.2709999997</v>
      </c>
      <c r="N31" s="17"/>
    </row>
    <row r="32" spans="1:14">
      <c r="A32" s="26">
        <v>29</v>
      </c>
      <c r="B32" s="27">
        <v>46110</v>
      </c>
      <c r="C32" s="17"/>
      <c r="D32" s="260"/>
      <c r="E32" s="267">
        <v>6000</v>
      </c>
      <c r="F32" s="433">
        <v>95.2</v>
      </c>
      <c r="G32" s="17">
        <f t="shared" si="0"/>
        <v>571200</v>
      </c>
      <c r="H32" s="17"/>
      <c r="I32" s="17"/>
      <c r="J32" s="17">
        <f>H32*I32</f>
        <v>0</v>
      </c>
      <c r="K32" s="17">
        <f>G32+J32</f>
        <v>571200</v>
      </c>
      <c r="L32" s="17"/>
      <c r="M32" s="40">
        <f t="shared" si="1"/>
        <v>7656703.2709999997</v>
      </c>
      <c r="N32" s="17"/>
    </row>
    <row r="33" spans="1:16">
      <c r="A33" s="26">
        <v>30</v>
      </c>
      <c r="B33" s="27">
        <v>46111</v>
      </c>
      <c r="C33" s="17"/>
      <c r="D33" s="260"/>
      <c r="E33" s="267"/>
      <c r="F33" s="322"/>
      <c r="G33" s="17">
        <f t="shared" si="0"/>
        <v>0</v>
      </c>
      <c r="H33" s="17"/>
      <c r="I33" s="17"/>
      <c r="J33" s="17">
        <f>H33*I33</f>
        <v>0</v>
      </c>
      <c r="K33" s="17">
        <f>G33+J33</f>
        <v>0</v>
      </c>
      <c r="L33" s="17"/>
      <c r="M33" s="40">
        <f t="shared" si="1"/>
        <v>7656703.2709999997</v>
      </c>
      <c r="N33" s="17"/>
      <c r="O33">
        <v>5486</v>
      </c>
      <c r="P33" t="s">
        <v>178</v>
      </c>
    </row>
    <row r="34" spans="1:16">
      <c r="A34" s="26">
        <v>31</v>
      </c>
      <c r="B34" s="27">
        <v>46112</v>
      </c>
      <c r="C34" s="17"/>
      <c r="D34" s="260"/>
      <c r="E34" s="267">
        <v>6000</v>
      </c>
      <c r="F34" s="433">
        <v>95.2</v>
      </c>
      <c r="G34" s="17">
        <f t="shared" si="0"/>
        <v>571200</v>
      </c>
      <c r="H34" s="17"/>
      <c r="I34" s="17"/>
      <c r="J34" s="17">
        <f>H34*I34</f>
        <v>0</v>
      </c>
      <c r="K34" s="17">
        <f>G34+J34</f>
        <v>571200</v>
      </c>
      <c r="L34" s="17"/>
      <c r="M34" s="40">
        <f t="shared" si="1"/>
        <v>8227903.2709999997</v>
      </c>
      <c r="N34" s="17"/>
    </row>
    <row r="35" spans="1:16">
      <c r="A35" s="42"/>
      <c r="B35" s="42"/>
      <c r="C35" s="42"/>
      <c r="D35" s="42"/>
      <c r="E35" s="43">
        <f>SUM(E4:E34)</f>
        <v>138043.93</v>
      </c>
      <c r="F35" s="43"/>
      <c r="G35" s="43">
        <f>SUM(G4:G34)</f>
        <v>13087760.171</v>
      </c>
      <c r="H35" s="43">
        <f>SUM(H4:H34)</f>
        <v>0</v>
      </c>
      <c r="I35" s="43"/>
      <c r="J35" s="43">
        <f>SUM(J4:J34)</f>
        <v>0</v>
      </c>
      <c r="K35" s="43">
        <f>SUM(K4:K34)</f>
        <v>13087760.171</v>
      </c>
      <c r="L35" s="43">
        <f>SUM(L4:L34)</f>
        <v>6000000</v>
      </c>
      <c r="M35" s="43"/>
      <c r="N35" s="43"/>
    </row>
    <row r="39" spans="1:16">
      <c r="M39" s="22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0BBC-AF11-4FF3-8EC8-007C6BC504BD}">
  <sheetPr>
    <tabColor rgb="FF00B050"/>
  </sheetPr>
  <dimension ref="A1:R38"/>
  <sheetViews>
    <sheetView workbookViewId="0">
      <selection activeCell="R13" sqref="R13"/>
    </sheetView>
  </sheetViews>
  <sheetFormatPr defaultRowHeight="15"/>
  <cols>
    <col min="2" max="2" width="10.42578125" bestFit="1" customWidth="1"/>
    <col min="7" max="7" width="10.42578125" bestFit="1" customWidth="1"/>
    <col min="11" max="11" width="13.5703125" bestFit="1" customWidth="1"/>
    <col min="13" max="13" width="11.42578125" bestFit="1" customWidth="1"/>
  </cols>
  <sheetData>
    <row r="1" spans="1:18" ht="15.75">
      <c r="A1" s="459" t="s">
        <v>179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</row>
    <row r="2" spans="1:18" ht="30.75">
      <c r="A2" s="124" t="s">
        <v>0</v>
      </c>
      <c r="B2" s="125" t="s">
        <v>161</v>
      </c>
      <c r="C2" s="125" t="s">
        <v>162</v>
      </c>
      <c r="D2" s="125" t="s">
        <v>163</v>
      </c>
      <c r="E2" s="125" t="s">
        <v>164</v>
      </c>
      <c r="F2" s="125" t="s">
        <v>165</v>
      </c>
      <c r="G2" s="125" t="s">
        <v>166</v>
      </c>
      <c r="H2" s="125" t="s">
        <v>167</v>
      </c>
      <c r="I2" s="125" t="s">
        <v>165</v>
      </c>
      <c r="J2" s="126" t="s">
        <v>166</v>
      </c>
      <c r="K2" s="124" t="s">
        <v>168</v>
      </c>
      <c r="L2" s="127" t="s">
        <v>169</v>
      </c>
      <c r="M2" s="127" t="s">
        <v>173</v>
      </c>
      <c r="N2" s="125" t="s">
        <v>171</v>
      </c>
    </row>
    <row r="3" spans="1:18">
      <c r="A3" s="460" t="s">
        <v>172</v>
      </c>
      <c r="B3" s="460"/>
      <c r="C3" s="460"/>
      <c r="D3" s="460"/>
      <c r="E3" s="460"/>
      <c r="F3" s="460"/>
      <c r="G3" s="460"/>
      <c r="H3" s="460"/>
      <c r="I3" s="460"/>
      <c r="J3" s="460"/>
      <c r="K3" s="212">
        <v>0</v>
      </c>
      <c r="L3" s="228"/>
      <c r="M3" s="212">
        <v>0</v>
      </c>
      <c r="N3" s="94"/>
    </row>
    <row r="4" spans="1:18">
      <c r="A4" s="26">
        <v>1</v>
      </c>
      <c r="B4" s="27">
        <v>46082</v>
      </c>
      <c r="C4" s="17"/>
      <c r="D4" s="17"/>
      <c r="E4" s="17"/>
      <c r="F4" s="17"/>
      <c r="G4" s="17">
        <f>E4*F4</f>
        <v>0</v>
      </c>
      <c r="H4" s="323"/>
      <c r="I4" s="17"/>
      <c r="J4" s="17"/>
      <c r="K4" s="17">
        <f>G4+J4</f>
        <v>0</v>
      </c>
      <c r="L4" s="17">
        <v>0</v>
      </c>
      <c r="M4" s="40">
        <f>M3+K4-L4</f>
        <v>0</v>
      </c>
      <c r="N4" s="17"/>
    </row>
    <row r="5" spans="1:18">
      <c r="A5" s="26">
        <v>2</v>
      </c>
      <c r="B5" s="27">
        <v>46083</v>
      </c>
      <c r="C5" s="17"/>
      <c r="D5" s="17"/>
      <c r="E5" s="17">
        <v>0</v>
      </c>
      <c r="F5" s="17">
        <v>0</v>
      </c>
      <c r="G5" s="17">
        <f>E5*F5</f>
        <v>0</v>
      </c>
      <c r="H5" s="323">
        <v>0</v>
      </c>
      <c r="I5" s="17">
        <v>0</v>
      </c>
      <c r="J5" s="17">
        <f>H5*I5</f>
        <v>0</v>
      </c>
      <c r="K5" s="17">
        <f t="shared" ref="K5:K37" si="0">G5+J5</f>
        <v>0</v>
      </c>
      <c r="L5" s="17">
        <v>0</v>
      </c>
      <c r="M5" s="40">
        <f>M4+K5-L5</f>
        <v>0</v>
      </c>
      <c r="N5" s="17"/>
    </row>
    <row r="6" spans="1:18">
      <c r="A6" s="26">
        <v>3</v>
      </c>
      <c r="B6" s="27">
        <v>46084</v>
      </c>
      <c r="C6" s="17"/>
      <c r="D6" s="17"/>
      <c r="E6" s="17"/>
      <c r="F6" s="17"/>
      <c r="G6" s="17">
        <f>E6*F6</f>
        <v>0</v>
      </c>
      <c r="H6" s="323"/>
      <c r="I6" s="17"/>
      <c r="J6" s="17">
        <f>H6*I6</f>
        <v>0</v>
      </c>
      <c r="K6" s="17">
        <f t="shared" si="0"/>
        <v>0</v>
      </c>
      <c r="L6" s="17">
        <v>0</v>
      </c>
      <c r="M6" s="40">
        <f t="shared" ref="M6:M8" si="1">M5+K6-L6</f>
        <v>0</v>
      </c>
      <c r="N6" s="17"/>
    </row>
    <row r="7" spans="1:18">
      <c r="A7" s="26">
        <v>4</v>
      </c>
      <c r="B7" s="27">
        <v>46085</v>
      </c>
      <c r="C7" s="17"/>
      <c r="D7" s="17"/>
      <c r="E7" s="17"/>
      <c r="F7" s="17"/>
      <c r="G7" s="17">
        <f>E7*F7</f>
        <v>0</v>
      </c>
      <c r="H7" s="323"/>
      <c r="I7" s="17"/>
      <c r="J7" s="17">
        <f t="shared" ref="J7:J33" si="2">H7*I7</f>
        <v>0</v>
      </c>
      <c r="K7" s="17">
        <f t="shared" si="0"/>
        <v>0</v>
      </c>
      <c r="L7" s="17">
        <v>0</v>
      </c>
      <c r="M7" s="40">
        <f t="shared" si="1"/>
        <v>0</v>
      </c>
      <c r="N7" s="17"/>
    </row>
    <row r="8" spans="1:18">
      <c r="A8" s="26">
        <v>5</v>
      </c>
      <c r="B8" s="27">
        <v>46086</v>
      </c>
      <c r="C8" s="17"/>
      <c r="D8" s="17"/>
      <c r="E8" s="17"/>
      <c r="F8" s="17"/>
      <c r="G8" s="40">
        <f t="shared" ref="G8:G9" si="3">E8*F8</f>
        <v>0</v>
      </c>
      <c r="H8" s="323"/>
      <c r="I8" s="17"/>
      <c r="J8" s="17">
        <f t="shared" si="2"/>
        <v>0</v>
      </c>
      <c r="K8" s="40">
        <f t="shared" si="0"/>
        <v>0</v>
      </c>
      <c r="L8" s="17">
        <v>0</v>
      </c>
      <c r="M8" s="40">
        <f t="shared" si="1"/>
        <v>0</v>
      </c>
      <c r="N8" s="17"/>
    </row>
    <row r="9" spans="1:18">
      <c r="A9" s="26">
        <v>6</v>
      </c>
      <c r="B9" s="27">
        <v>46087</v>
      </c>
      <c r="C9" s="17"/>
      <c r="D9" s="17"/>
      <c r="E9" s="17"/>
      <c r="F9" s="17"/>
      <c r="G9" s="40">
        <f t="shared" si="3"/>
        <v>0</v>
      </c>
      <c r="H9" s="323"/>
      <c r="I9" s="17"/>
      <c r="J9" s="17">
        <f t="shared" si="2"/>
        <v>0</v>
      </c>
      <c r="K9" s="40">
        <f>G9+J9</f>
        <v>0</v>
      </c>
      <c r="L9" s="17">
        <v>0</v>
      </c>
      <c r="M9" s="40">
        <f>M8+K9-L9</f>
        <v>0</v>
      </c>
      <c r="N9" s="17"/>
    </row>
    <row r="10" spans="1:18">
      <c r="A10" s="26">
        <v>7</v>
      </c>
      <c r="B10" s="27">
        <v>46088</v>
      </c>
      <c r="C10" s="17"/>
      <c r="D10" s="17"/>
      <c r="E10" s="17">
        <v>2700</v>
      </c>
      <c r="F10" s="17">
        <v>95.5</v>
      </c>
      <c r="G10" s="40">
        <f>E10*F10</f>
        <v>257850</v>
      </c>
      <c r="H10" s="323"/>
      <c r="I10" s="17"/>
      <c r="J10" s="17">
        <f t="shared" si="2"/>
        <v>0</v>
      </c>
      <c r="K10" s="40">
        <f t="shared" si="0"/>
        <v>257850</v>
      </c>
      <c r="L10" s="17">
        <v>0</v>
      </c>
      <c r="M10" s="40">
        <f>M9+K10-L10</f>
        <v>257850</v>
      </c>
      <c r="N10" s="17"/>
    </row>
    <row r="11" spans="1:18">
      <c r="A11" s="26">
        <v>8</v>
      </c>
      <c r="B11" s="27">
        <v>46089</v>
      </c>
      <c r="C11" s="17"/>
      <c r="D11" s="17"/>
      <c r="E11" s="17"/>
      <c r="F11" s="17"/>
      <c r="G11" s="40">
        <f>E11*F11</f>
        <v>0</v>
      </c>
      <c r="H11" s="323"/>
      <c r="I11" s="17"/>
      <c r="J11" s="17">
        <f t="shared" si="2"/>
        <v>0</v>
      </c>
      <c r="K11" s="40">
        <f t="shared" si="0"/>
        <v>0</v>
      </c>
      <c r="L11" s="17">
        <v>0</v>
      </c>
      <c r="M11" s="40">
        <f>M10+K11-L11</f>
        <v>257850</v>
      </c>
      <c r="N11" s="17"/>
    </row>
    <row r="12" spans="1:18">
      <c r="A12" s="26">
        <v>9</v>
      </c>
      <c r="B12" s="27">
        <v>46090</v>
      </c>
      <c r="C12" s="17"/>
      <c r="D12" s="17"/>
      <c r="E12" s="17"/>
      <c r="F12" s="17"/>
      <c r="G12" s="40">
        <f>E12*F12</f>
        <v>0</v>
      </c>
      <c r="H12" s="323"/>
      <c r="I12" s="17"/>
      <c r="J12" s="17">
        <f t="shared" si="2"/>
        <v>0</v>
      </c>
      <c r="K12" s="40">
        <f t="shared" si="0"/>
        <v>0</v>
      </c>
      <c r="L12" s="17">
        <v>0</v>
      </c>
      <c r="M12" s="40">
        <f>M11+K12-L12</f>
        <v>257850</v>
      </c>
      <c r="N12" s="17"/>
    </row>
    <row r="13" spans="1:18">
      <c r="A13" s="26">
        <v>10</v>
      </c>
      <c r="B13" s="27">
        <v>46091</v>
      </c>
      <c r="C13" s="17"/>
      <c r="D13" s="17"/>
      <c r="E13" s="17">
        <v>759.76</v>
      </c>
      <c r="F13" s="17">
        <v>95.5</v>
      </c>
      <c r="G13" s="40">
        <f>E13*F13</f>
        <v>72557.08</v>
      </c>
      <c r="H13" s="323"/>
      <c r="I13" s="17"/>
      <c r="J13" s="17">
        <f t="shared" si="2"/>
        <v>0</v>
      </c>
      <c r="K13" s="40">
        <f t="shared" si="0"/>
        <v>72557.08</v>
      </c>
      <c r="L13" s="17">
        <v>0</v>
      </c>
      <c r="M13" s="40">
        <f t="shared" ref="M13:M35" si="4">M12+K13-L13</f>
        <v>330407.08</v>
      </c>
      <c r="N13" s="17"/>
      <c r="P13" s="22"/>
    </row>
    <row r="14" spans="1:18">
      <c r="A14" s="26">
        <v>11</v>
      </c>
      <c r="B14" s="27">
        <v>46092</v>
      </c>
      <c r="C14" s="17"/>
      <c r="D14" s="17"/>
      <c r="E14" s="17"/>
      <c r="F14" s="17"/>
      <c r="G14" s="40">
        <f>E14*F14</f>
        <v>0</v>
      </c>
      <c r="H14" s="323"/>
      <c r="I14" s="17"/>
      <c r="J14" s="17">
        <f t="shared" si="2"/>
        <v>0</v>
      </c>
      <c r="K14" s="40">
        <f t="shared" si="0"/>
        <v>0</v>
      </c>
      <c r="L14" s="17">
        <v>0</v>
      </c>
      <c r="M14" s="40">
        <f t="shared" si="4"/>
        <v>330407.08</v>
      </c>
      <c r="N14" s="17"/>
    </row>
    <row r="15" spans="1:18">
      <c r="A15" s="26">
        <v>12</v>
      </c>
      <c r="B15" s="27">
        <v>46093</v>
      </c>
      <c r="C15" s="17"/>
      <c r="D15" s="17"/>
      <c r="E15" s="17"/>
      <c r="F15" s="17"/>
      <c r="G15" s="40">
        <f>E15*F15</f>
        <v>0</v>
      </c>
      <c r="H15" s="323"/>
      <c r="I15" s="17"/>
      <c r="J15" s="17">
        <f t="shared" si="2"/>
        <v>0</v>
      </c>
      <c r="K15" s="40">
        <f t="shared" si="0"/>
        <v>0</v>
      </c>
      <c r="L15" s="17">
        <v>0</v>
      </c>
      <c r="M15" s="40">
        <f t="shared" si="4"/>
        <v>330407.08</v>
      </c>
      <c r="N15" s="17"/>
      <c r="R15" s="22"/>
    </row>
    <row r="16" spans="1:18">
      <c r="A16" s="26">
        <v>13</v>
      </c>
      <c r="B16" s="27">
        <v>46094</v>
      </c>
      <c r="C16" s="17"/>
      <c r="D16" s="17"/>
      <c r="E16" s="17"/>
      <c r="F16" s="17"/>
      <c r="G16" s="40">
        <f>E16*F16</f>
        <v>0</v>
      </c>
      <c r="H16" s="323"/>
      <c r="I16" s="17"/>
      <c r="J16" s="17">
        <f t="shared" si="2"/>
        <v>0</v>
      </c>
      <c r="K16" s="40">
        <f t="shared" si="0"/>
        <v>0</v>
      </c>
      <c r="L16" s="17">
        <v>0</v>
      </c>
      <c r="M16" s="40">
        <f t="shared" si="4"/>
        <v>330407.08</v>
      </c>
      <c r="N16" s="17"/>
    </row>
    <row r="17" spans="1:16">
      <c r="A17" s="26">
        <v>14</v>
      </c>
      <c r="B17" s="27">
        <v>46095</v>
      </c>
      <c r="C17" s="17"/>
      <c r="D17" s="17"/>
      <c r="E17" s="17"/>
      <c r="F17" s="17"/>
      <c r="G17" s="40">
        <f>E17*F17</f>
        <v>0</v>
      </c>
      <c r="H17" s="323"/>
      <c r="I17" s="17"/>
      <c r="J17" s="17">
        <f t="shared" si="2"/>
        <v>0</v>
      </c>
      <c r="K17" s="17">
        <f t="shared" si="0"/>
        <v>0</v>
      </c>
      <c r="L17" s="17">
        <v>0</v>
      </c>
      <c r="M17" s="40">
        <f t="shared" si="4"/>
        <v>330407.08</v>
      </c>
      <c r="N17" s="17"/>
    </row>
    <row r="18" spans="1:16">
      <c r="A18" s="26">
        <v>15</v>
      </c>
      <c r="B18" s="27">
        <v>46096</v>
      </c>
      <c r="C18" s="17"/>
      <c r="D18" s="17"/>
      <c r="E18" s="17"/>
      <c r="F18" s="17"/>
      <c r="G18" s="40">
        <f>E18*F18</f>
        <v>0</v>
      </c>
      <c r="H18" s="323"/>
      <c r="I18" s="17"/>
      <c r="J18" s="17">
        <f t="shared" si="2"/>
        <v>0</v>
      </c>
      <c r="K18" s="17">
        <f t="shared" si="0"/>
        <v>0</v>
      </c>
      <c r="L18" s="17">
        <v>0</v>
      </c>
      <c r="M18" s="40">
        <f t="shared" si="4"/>
        <v>330407.08</v>
      </c>
      <c r="N18" s="17"/>
    </row>
    <row r="19" spans="1:16">
      <c r="A19" s="26">
        <v>16</v>
      </c>
      <c r="B19" s="27">
        <v>46097</v>
      </c>
      <c r="C19" s="17"/>
      <c r="D19" s="17"/>
      <c r="E19" s="17"/>
      <c r="F19" s="17"/>
      <c r="G19" s="40">
        <f>E19*F19</f>
        <v>0</v>
      </c>
      <c r="H19" s="323"/>
      <c r="I19" s="17"/>
      <c r="J19" s="17">
        <f t="shared" si="2"/>
        <v>0</v>
      </c>
      <c r="K19" s="17">
        <f t="shared" si="0"/>
        <v>0</v>
      </c>
      <c r="L19" s="17">
        <v>0</v>
      </c>
      <c r="M19" s="40">
        <f t="shared" si="4"/>
        <v>330407.08</v>
      </c>
      <c r="N19" s="17"/>
    </row>
    <row r="20" spans="1:16">
      <c r="A20" s="26">
        <v>17</v>
      </c>
      <c r="B20" s="27">
        <v>46098</v>
      </c>
      <c r="C20" s="17"/>
      <c r="D20" s="17"/>
      <c r="E20" s="17"/>
      <c r="F20" s="17"/>
      <c r="G20" s="40">
        <f>E20*F20</f>
        <v>0</v>
      </c>
      <c r="H20" s="323"/>
      <c r="I20" s="17"/>
      <c r="J20" s="17">
        <f t="shared" si="2"/>
        <v>0</v>
      </c>
      <c r="K20" s="17">
        <f t="shared" si="0"/>
        <v>0</v>
      </c>
      <c r="L20" s="17">
        <v>0</v>
      </c>
      <c r="M20" s="40">
        <f t="shared" si="4"/>
        <v>330407.08</v>
      </c>
      <c r="N20" s="17"/>
    </row>
    <row r="21" spans="1:16">
      <c r="A21" s="26">
        <v>18</v>
      </c>
      <c r="B21" s="27">
        <v>46099</v>
      </c>
      <c r="C21" s="17"/>
      <c r="D21" s="17"/>
      <c r="E21" s="17"/>
      <c r="F21" s="17"/>
      <c r="G21" s="40">
        <f>E21*F21</f>
        <v>0</v>
      </c>
      <c r="H21" s="323"/>
      <c r="I21" s="17"/>
      <c r="J21" s="17">
        <f t="shared" si="2"/>
        <v>0</v>
      </c>
      <c r="K21" s="17">
        <f t="shared" si="0"/>
        <v>0</v>
      </c>
      <c r="L21" s="17">
        <v>0</v>
      </c>
      <c r="M21" s="40">
        <f t="shared" si="4"/>
        <v>330407.08</v>
      </c>
      <c r="N21" s="17"/>
    </row>
    <row r="22" spans="1:16">
      <c r="A22" s="26">
        <v>19</v>
      </c>
      <c r="B22" s="27">
        <v>46100</v>
      </c>
      <c r="C22" s="17"/>
      <c r="D22" s="17"/>
      <c r="E22" s="17"/>
      <c r="F22" s="17"/>
      <c r="G22" s="352">
        <f>E22*F22</f>
        <v>0</v>
      </c>
      <c r="H22" s="323"/>
      <c r="I22" s="17"/>
      <c r="J22" s="17">
        <f t="shared" si="2"/>
        <v>0</v>
      </c>
      <c r="K22" s="17">
        <f t="shared" si="0"/>
        <v>0</v>
      </c>
      <c r="L22" s="17">
        <v>0</v>
      </c>
      <c r="M22" s="40">
        <f t="shared" si="4"/>
        <v>330407.08</v>
      </c>
      <c r="N22" s="17"/>
    </row>
    <row r="23" spans="1:16">
      <c r="A23" s="26">
        <v>20</v>
      </c>
      <c r="B23" s="27">
        <v>46101</v>
      </c>
      <c r="C23" s="17"/>
      <c r="D23" s="17"/>
      <c r="E23" s="17"/>
      <c r="F23" s="17"/>
      <c r="G23" s="352">
        <f>E23*F23</f>
        <v>0</v>
      </c>
      <c r="H23" s="323"/>
      <c r="I23" s="17"/>
      <c r="J23" s="17">
        <f t="shared" si="2"/>
        <v>0</v>
      </c>
      <c r="K23" s="17">
        <f t="shared" si="0"/>
        <v>0</v>
      </c>
      <c r="L23" s="17">
        <v>0</v>
      </c>
      <c r="M23" s="40">
        <f t="shared" si="4"/>
        <v>330407.08</v>
      </c>
      <c r="N23" s="17"/>
    </row>
    <row r="24" spans="1:16">
      <c r="A24" s="26">
        <v>21</v>
      </c>
      <c r="B24" s="27">
        <v>46102</v>
      </c>
      <c r="C24" s="17"/>
      <c r="D24" s="17"/>
      <c r="E24" s="17"/>
      <c r="F24" s="17"/>
      <c r="G24" s="352">
        <f>E24*F24</f>
        <v>0</v>
      </c>
      <c r="H24" s="323"/>
      <c r="I24" s="17"/>
      <c r="J24" s="17">
        <f t="shared" si="2"/>
        <v>0</v>
      </c>
      <c r="K24" s="17">
        <f t="shared" si="0"/>
        <v>0</v>
      </c>
      <c r="L24" s="17">
        <v>0</v>
      </c>
      <c r="M24" s="40">
        <f t="shared" si="4"/>
        <v>330407.08</v>
      </c>
      <c r="N24" s="17"/>
    </row>
    <row r="25" spans="1:16">
      <c r="A25" s="26">
        <v>22</v>
      </c>
      <c r="B25" s="27">
        <v>46103</v>
      </c>
      <c r="C25" s="17"/>
      <c r="D25" s="17"/>
      <c r="E25" s="17"/>
      <c r="F25" s="17"/>
      <c r="G25" s="352">
        <f>E25*F25</f>
        <v>0</v>
      </c>
      <c r="H25" s="323"/>
      <c r="I25" s="17"/>
      <c r="J25" s="17">
        <f t="shared" si="2"/>
        <v>0</v>
      </c>
      <c r="K25" s="17">
        <f t="shared" si="0"/>
        <v>0</v>
      </c>
      <c r="L25" s="17">
        <v>0</v>
      </c>
      <c r="M25" s="40">
        <f t="shared" si="4"/>
        <v>330407.08</v>
      </c>
      <c r="N25" s="17"/>
    </row>
    <row r="26" spans="1:16">
      <c r="A26" s="26">
        <v>23</v>
      </c>
      <c r="B26" s="27">
        <v>46104</v>
      </c>
      <c r="C26" s="17"/>
      <c r="D26" s="17"/>
      <c r="E26" s="17"/>
      <c r="F26" s="17"/>
      <c r="G26" s="352">
        <f>E26*F26</f>
        <v>0</v>
      </c>
      <c r="H26" s="323"/>
      <c r="I26" s="17"/>
      <c r="J26" s="17">
        <f t="shared" si="2"/>
        <v>0</v>
      </c>
      <c r="K26" s="17">
        <f t="shared" si="0"/>
        <v>0</v>
      </c>
      <c r="L26" s="17">
        <v>0</v>
      </c>
      <c r="M26" s="40">
        <f t="shared" si="4"/>
        <v>330407.08</v>
      </c>
      <c r="N26" s="17"/>
    </row>
    <row r="27" spans="1:16">
      <c r="A27" s="26">
        <v>24</v>
      </c>
      <c r="B27" s="27">
        <v>46105</v>
      </c>
      <c r="C27" s="17"/>
      <c r="D27" s="17"/>
      <c r="E27" s="17"/>
      <c r="F27" s="17"/>
      <c r="G27" s="352">
        <f>E27*F27</f>
        <v>0</v>
      </c>
      <c r="H27" s="323"/>
      <c r="I27" s="17"/>
      <c r="J27" s="17">
        <f t="shared" si="2"/>
        <v>0</v>
      </c>
      <c r="K27" s="17">
        <f t="shared" si="0"/>
        <v>0</v>
      </c>
      <c r="L27" s="17">
        <v>0</v>
      </c>
      <c r="M27" s="40">
        <f t="shared" si="4"/>
        <v>330407.08</v>
      </c>
      <c r="N27" s="17"/>
    </row>
    <row r="28" spans="1:16">
      <c r="A28" s="26">
        <v>25</v>
      </c>
      <c r="B28" s="27">
        <v>46106</v>
      </c>
      <c r="C28" s="17"/>
      <c r="D28" s="17"/>
      <c r="E28" s="17"/>
      <c r="F28" s="17"/>
      <c r="G28" s="352">
        <f>E28*F28</f>
        <v>0</v>
      </c>
      <c r="H28" s="323"/>
      <c r="I28" s="17"/>
      <c r="J28" s="17">
        <f t="shared" si="2"/>
        <v>0</v>
      </c>
      <c r="K28" s="17">
        <f t="shared" si="0"/>
        <v>0</v>
      </c>
      <c r="L28" s="17">
        <v>0</v>
      </c>
      <c r="M28" s="40">
        <f t="shared" si="4"/>
        <v>330407.08</v>
      </c>
      <c r="N28" s="17"/>
    </row>
    <row r="29" spans="1:16">
      <c r="A29" s="26">
        <v>26</v>
      </c>
      <c r="B29" s="27">
        <v>46107</v>
      </c>
      <c r="C29" s="17"/>
      <c r="D29" s="17"/>
      <c r="E29" s="17"/>
      <c r="F29" s="17"/>
      <c r="G29" s="352">
        <f>E29*F29</f>
        <v>0</v>
      </c>
      <c r="H29" s="323"/>
      <c r="I29" s="17"/>
      <c r="J29" s="17">
        <f t="shared" si="2"/>
        <v>0</v>
      </c>
      <c r="K29" s="17">
        <f t="shared" si="0"/>
        <v>0</v>
      </c>
      <c r="L29" s="17">
        <v>0</v>
      </c>
      <c r="M29" s="40">
        <f t="shared" si="4"/>
        <v>330407.08</v>
      </c>
      <c r="N29" s="17"/>
    </row>
    <row r="30" spans="1:16">
      <c r="A30" s="26">
        <v>27</v>
      </c>
      <c r="B30" s="27">
        <v>46108</v>
      </c>
      <c r="C30" s="17"/>
      <c r="D30" s="17"/>
      <c r="E30" s="17"/>
      <c r="F30" s="17"/>
      <c r="G30" s="352">
        <f t="shared" ref="G30" si="5">E30*F30</f>
        <v>0</v>
      </c>
      <c r="H30" s="323"/>
      <c r="I30" s="17"/>
      <c r="J30" s="17">
        <f t="shared" si="2"/>
        <v>0</v>
      </c>
      <c r="K30" s="17">
        <f t="shared" si="0"/>
        <v>0</v>
      </c>
      <c r="L30" s="17">
        <v>0</v>
      </c>
      <c r="M30" s="40">
        <f t="shared" si="4"/>
        <v>330407.08</v>
      </c>
      <c r="N30" s="17"/>
      <c r="P30" s="22"/>
    </row>
    <row r="31" spans="1:16">
      <c r="A31" s="26">
        <v>28</v>
      </c>
      <c r="B31" s="27">
        <v>46109</v>
      </c>
      <c r="C31" s="17"/>
      <c r="D31" s="17"/>
      <c r="E31" s="17"/>
      <c r="F31" s="17"/>
      <c r="G31" s="352">
        <f>E31*F31</f>
        <v>0</v>
      </c>
      <c r="H31" s="323"/>
      <c r="I31" s="17"/>
      <c r="J31" s="17">
        <f t="shared" si="2"/>
        <v>0</v>
      </c>
      <c r="K31" s="17">
        <f t="shared" si="0"/>
        <v>0</v>
      </c>
      <c r="L31" s="17">
        <v>0</v>
      </c>
      <c r="M31" s="40">
        <f t="shared" si="4"/>
        <v>330407.08</v>
      </c>
      <c r="N31" s="17"/>
    </row>
    <row r="32" spans="1:16">
      <c r="A32" s="26">
        <v>29</v>
      </c>
      <c r="B32" s="27">
        <v>46110</v>
      </c>
      <c r="C32" s="17"/>
      <c r="D32" s="17"/>
      <c r="E32" s="17"/>
      <c r="F32" s="17"/>
      <c r="G32" s="352">
        <f>E32*F32</f>
        <v>0</v>
      </c>
      <c r="H32" s="323"/>
      <c r="I32" s="17"/>
      <c r="J32" s="17">
        <f t="shared" si="2"/>
        <v>0</v>
      </c>
      <c r="K32" s="17">
        <f t="shared" si="0"/>
        <v>0</v>
      </c>
      <c r="L32" s="17">
        <v>0</v>
      </c>
      <c r="M32" s="40">
        <f t="shared" si="4"/>
        <v>330407.08</v>
      </c>
      <c r="N32" s="17"/>
      <c r="P32" s="22"/>
    </row>
    <row r="33" spans="1:14">
      <c r="A33" s="26">
        <v>30</v>
      </c>
      <c r="B33" s="27">
        <v>46111</v>
      </c>
      <c r="C33" s="17"/>
      <c r="D33" s="17"/>
      <c r="E33" s="17"/>
      <c r="F33" s="17"/>
      <c r="G33" s="352">
        <f>E33*F33</f>
        <v>0</v>
      </c>
      <c r="H33" s="323"/>
      <c r="I33" s="17"/>
      <c r="J33" s="17">
        <f t="shared" si="2"/>
        <v>0</v>
      </c>
      <c r="K33" s="17">
        <f t="shared" si="0"/>
        <v>0</v>
      </c>
      <c r="L33" s="17">
        <v>0</v>
      </c>
      <c r="M33" s="40">
        <f t="shared" si="4"/>
        <v>330407.08</v>
      </c>
      <c r="N33" s="17"/>
    </row>
    <row r="34" spans="1:14">
      <c r="A34" s="26">
        <v>31</v>
      </c>
      <c r="B34" s="27">
        <v>46112</v>
      </c>
      <c r="C34" s="17"/>
      <c r="D34" s="17"/>
      <c r="E34" s="17"/>
      <c r="F34" s="17"/>
      <c r="G34" s="352">
        <f>E34*F34</f>
        <v>0</v>
      </c>
      <c r="H34" s="323"/>
      <c r="I34" s="17"/>
      <c r="J34" s="17"/>
      <c r="K34" s="17">
        <f t="shared" si="0"/>
        <v>0</v>
      </c>
      <c r="L34" s="17">
        <v>0</v>
      </c>
      <c r="M34" s="40">
        <f t="shared" si="4"/>
        <v>330407.08</v>
      </c>
      <c r="N34" s="17"/>
    </row>
    <row r="35" spans="1:14">
      <c r="A35" s="26">
        <v>32</v>
      </c>
      <c r="B35" s="27"/>
      <c r="C35" s="17"/>
      <c r="D35" s="17"/>
      <c r="E35" s="17"/>
      <c r="F35" s="17"/>
      <c r="G35" s="352">
        <f>E35*F35</f>
        <v>0</v>
      </c>
      <c r="H35" s="323"/>
      <c r="I35" s="17"/>
      <c r="J35" s="17">
        <f t="shared" ref="J35:J38" si="6">H35*I35</f>
        <v>0</v>
      </c>
      <c r="K35" s="17">
        <f t="shared" si="0"/>
        <v>0</v>
      </c>
      <c r="L35" s="17">
        <v>0</v>
      </c>
      <c r="M35" s="40">
        <f t="shared" si="4"/>
        <v>330407.08</v>
      </c>
      <c r="N35" s="17"/>
    </row>
    <row r="36" spans="1:14">
      <c r="A36" s="26">
        <v>33</v>
      </c>
      <c r="B36" s="27"/>
      <c r="C36" s="17"/>
      <c r="D36" s="17"/>
      <c r="E36" s="17"/>
      <c r="F36" s="17"/>
      <c r="G36" s="352">
        <f>E36*F36</f>
        <v>0</v>
      </c>
      <c r="H36" s="323"/>
      <c r="I36" s="17"/>
      <c r="J36" s="17">
        <f t="shared" si="6"/>
        <v>0</v>
      </c>
      <c r="K36" s="17">
        <f t="shared" si="0"/>
        <v>0</v>
      </c>
      <c r="L36" s="17">
        <v>0</v>
      </c>
      <c r="M36" s="17"/>
      <c r="N36" s="17"/>
    </row>
    <row r="37" spans="1:14">
      <c r="A37" s="26">
        <v>34</v>
      </c>
      <c r="B37" s="27"/>
      <c r="C37" s="17"/>
      <c r="D37" s="17"/>
      <c r="E37" s="17"/>
      <c r="F37" s="17"/>
      <c r="G37" s="352">
        <f>E37*F37</f>
        <v>0</v>
      </c>
      <c r="H37" s="323"/>
      <c r="I37" s="17"/>
      <c r="J37" s="17">
        <f t="shared" si="6"/>
        <v>0</v>
      </c>
      <c r="K37" s="17">
        <f t="shared" si="0"/>
        <v>0</v>
      </c>
      <c r="L37" s="17"/>
      <c r="M37" s="17"/>
      <c r="N37" s="17"/>
    </row>
    <row r="38" spans="1:14">
      <c r="A38" s="42"/>
      <c r="B38" s="42"/>
      <c r="C38" s="42"/>
      <c r="D38" s="42"/>
      <c r="E38" s="229">
        <f>SUM(E3:E37)</f>
        <v>3459.76</v>
      </c>
      <c r="F38" s="229"/>
      <c r="G38" s="229">
        <f>SUM(G3:G37)</f>
        <v>330407.08</v>
      </c>
      <c r="H38" s="229">
        <f>SUM(H3:H37)</f>
        <v>0</v>
      </c>
      <c r="I38" s="229"/>
      <c r="J38" s="229">
        <f>SUM(J3:J37)</f>
        <v>0</v>
      </c>
      <c r="K38" s="229">
        <f>SUM(K4:K37)</f>
        <v>330407.08</v>
      </c>
      <c r="L38" s="229">
        <f>SUM(L3:L37)</f>
        <v>0</v>
      </c>
      <c r="M38" s="229"/>
      <c r="N38" s="229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7877-8B14-4CE6-B5B8-E55E3F328CE2}">
  <sheetPr>
    <tabColor rgb="FF00B050"/>
  </sheetPr>
  <dimension ref="A1:U38"/>
  <sheetViews>
    <sheetView workbookViewId="0">
      <selection activeCell="K40" sqref="K40"/>
    </sheetView>
  </sheetViews>
  <sheetFormatPr defaultRowHeight="15"/>
  <cols>
    <col min="2" max="2" width="9.85546875" customWidth="1"/>
    <col min="12" max="12" width="13.5703125" bestFit="1" customWidth="1"/>
    <col min="13" max="13" width="11.42578125" bestFit="1" customWidth="1"/>
  </cols>
  <sheetData>
    <row r="1" spans="1:18" ht="15.75" customHeight="1">
      <c r="A1" s="459" t="s">
        <v>76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</row>
    <row r="2" spans="1:18" ht="30.75">
      <c r="A2" s="124" t="s">
        <v>0</v>
      </c>
      <c r="B2" s="125" t="s">
        <v>161</v>
      </c>
      <c r="C2" s="125" t="s">
        <v>162</v>
      </c>
      <c r="D2" s="125" t="s">
        <v>163</v>
      </c>
      <c r="E2" s="125" t="s">
        <v>164</v>
      </c>
      <c r="F2" s="125" t="s">
        <v>165</v>
      </c>
      <c r="G2" s="125" t="s">
        <v>166</v>
      </c>
      <c r="H2" s="125" t="s">
        <v>167</v>
      </c>
      <c r="I2" s="125" t="s">
        <v>165</v>
      </c>
      <c r="J2" s="126" t="s">
        <v>166</v>
      </c>
      <c r="K2" s="124" t="s">
        <v>168</v>
      </c>
      <c r="L2" s="127" t="s">
        <v>169</v>
      </c>
      <c r="M2" s="127" t="s">
        <v>173</v>
      </c>
      <c r="N2" s="125" t="s">
        <v>171</v>
      </c>
    </row>
    <row r="3" spans="1:18">
      <c r="A3" s="460" t="s">
        <v>172</v>
      </c>
      <c r="B3" s="460"/>
      <c r="C3" s="460"/>
      <c r="D3" s="460"/>
      <c r="E3" s="460"/>
      <c r="F3" s="460"/>
      <c r="G3" s="460"/>
      <c r="H3" s="460"/>
      <c r="I3" s="460"/>
      <c r="J3" s="460"/>
      <c r="K3" s="212">
        <v>0</v>
      </c>
      <c r="L3" s="228"/>
      <c r="M3" s="212">
        <v>0</v>
      </c>
      <c r="N3" s="94"/>
    </row>
    <row r="4" spans="1:18">
      <c r="A4" s="26">
        <v>1</v>
      </c>
      <c r="B4" s="27">
        <v>46082</v>
      </c>
      <c r="C4" s="17"/>
      <c r="D4" s="17"/>
      <c r="E4" s="17"/>
      <c r="F4" s="17"/>
      <c r="G4" s="17">
        <f>E4*F4</f>
        <v>0</v>
      </c>
      <c r="H4" s="323"/>
      <c r="I4" s="17"/>
      <c r="J4" s="17"/>
      <c r="K4" s="17">
        <f>G4+J4</f>
        <v>0</v>
      </c>
      <c r="L4" s="17">
        <v>0</v>
      </c>
      <c r="M4" s="40">
        <f>M3+K4-L4</f>
        <v>0</v>
      </c>
      <c r="N4" s="17"/>
    </row>
    <row r="5" spans="1:18">
      <c r="A5" s="26">
        <v>2</v>
      </c>
      <c r="B5" s="27">
        <v>46083</v>
      </c>
      <c r="C5" s="17"/>
      <c r="D5" s="17"/>
      <c r="E5" s="17"/>
      <c r="F5" s="17"/>
      <c r="G5" s="17">
        <f>E5*F5</f>
        <v>0</v>
      </c>
      <c r="H5" s="323"/>
      <c r="I5" s="17"/>
      <c r="J5" s="17">
        <f>H5*I5</f>
        <v>0</v>
      </c>
      <c r="K5" s="17">
        <f>G5+J5</f>
        <v>0</v>
      </c>
      <c r="L5" s="17">
        <v>0</v>
      </c>
      <c r="M5" s="40">
        <f>M4+K5-L5</f>
        <v>0</v>
      </c>
      <c r="N5" s="17"/>
    </row>
    <row r="6" spans="1:18">
      <c r="A6" s="26">
        <v>3</v>
      </c>
      <c r="B6" s="27">
        <v>46084</v>
      </c>
      <c r="C6" s="17"/>
      <c r="D6" s="17"/>
      <c r="E6" s="17"/>
      <c r="F6" s="17"/>
      <c r="G6" s="17">
        <f>E6*F6</f>
        <v>0</v>
      </c>
      <c r="H6" s="323"/>
      <c r="I6" s="17"/>
      <c r="J6" s="17">
        <f>H6*I6</f>
        <v>0</v>
      </c>
      <c r="K6" s="17">
        <f>G6+J6</f>
        <v>0</v>
      </c>
      <c r="L6" s="17">
        <v>0</v>
      </c>
      <c r="M6" s="40">
        <f>M5+K6-L6</f>
        <v>0</v>
      </c>
      <c r="N6" s="17"/>
    </row>
    <row r="7" spans="1:18">
      <c r="A7" s="26">
        <v>4</v>
      </c>
      <c r="B7" s="27">
        <v>46085</v>
      </c>
      <c r="C7" s="17"/>
      <c r="D7" s="17"/>
      <c r="E7" s="17"/>
      <c r="F7" s="17"/>
      <c r="G7" s="17">
        <f>E7*F7</f>
        <v>0</v>
      </c>
      <c r="H7" s="323"/>
      <c r="I7" s="17"/>
      <c r="J7" s="17">
        <f>H7*I7</f>
        <v>0</v>
      </c>
      <c r="K7" s="17">
        <f>G7+J7</f>
        <v>0</v>
      </c>
      <c r="L7" s="17">
        <v>0</v>
      </c>
      <c r="M7" s="40">
        <f>M6+K7-L7</f>
        <v>0</v>
      </c>
      <c r="N7" s="17"/>
    </row>
    <row r="8" spans="1:18">
      <c r="A8" s="26">
        <v>5</v>
      </c>
      <c r="B8" s="27">
        <v>46086</v>
      </c>
      <c r="C8" s="17"/>
      <c r="D8" s="17"/>
      <c r="E8" s="17"/>
      <c r="F8" s="17"/>
      <c r="G8" s="40">
        <f>E8*F8</f>
        <v>0</v>
      </c>
      <c r="H8" s="323"/>
      <c r="I8" s="17"/>
      <c r="J8" s="17">
        <f>H8*I8</f>
        <v>0</v>
      </c>
      <c r="K8" s="40">
        <f>G8+J8</f>
        <v>0</v>
      </c>
      <c r="L8" s="17">
        <v>0</v>
      </c>
      <c r="M8" s="40">
        <f>M7+K8-L8</f>
        <v>0</v>
      </c>
      <c r="N8" s="17"/>
    </row>
    <row r="9" spans="1:18">
      <c r="A9" s="26">
        <v>6</v>
      </c>
      <c r="B9" s="27">
        <v>46087</v>
      </c>
      <c r="C9" s="17"/>
      <c r="D9" s="17"/>
      <c r="E9" s="17"/>
      <c r="F9" s="17"/>
      <c r="G9" s="40">
        <f>E9*F9</f>
        <v>0</v>
      </c>
      <c r="H9" s="323"/>
      <c r="I9" s="17"/>
      <c r="J9" s="17">
        <f>H9*I9</f>
        <v>0</v>
      </c>
      <c r="K9" s="40">
        <f>G9+J9</f>
        <v>0</v>
      </c>
      <c r="L9" s="17">
        <v>0</v>
      </c>
      <c r="M9" s="40">
        <f>M8+K9-L9</f>
        <v>0</v>
      </c>
      <c r="N9" s="17"/>
    </row>
    <row r="10" spans="1:18">
      <c r="A10" s="26">
        <v>7</v>
      </c>
      <c r="B10" s="27">
        <v>46088</v>
      </c>
      <c r="C10" s="17"/>
      <c r="D10" s="17"/>
      <c r="E10" s="17"/>
      <c r="F10" s="17"/>
      <c r="G10" s="40">
        <f>E10*F10</f>
        <v>0</v>
      </c>
      <c r="H10" s="323"/>
      <c r="I10" s="17"/>
      <c r="J10" s="17">
        <f>H10*I10</f>
        <v>0</v>
      </c>
      <c r="K10" s="40">
        <f>G10+J10</f>
        <v>0</v>
      </c>
      <c r="L10" s="17">
        <v>0</v>
      </c>
      <c r="M10" s="40">
        <f>M9+K10-L10</f>
        <v>0</v>
      </c>
      <c r="N10" s="17"/>
    </row>
    <row r="11" spans="1:18">
      <c r="A11" s="26">
        <v>8</v>
      </c>
      <c r="B11" s="27">
        <v>46089</v>
      </c>
      <c r="C11" s="17"/>
      <c r="D11" s="17"/>
      <c r="E11" s="17"/>
      <c r="F11" s="17"/>
      <c r="G11" s="40">
        <f>E11*F11</f>
        <v>0</v>
      </c>
      <c r="H11" s="323"/>
      <c r="I11" s="17"/>
      <c r="J11" s="17">
        <f>H11*I11</f>
        <v>0</v>
      </c>
      <c r="K11" s="40">
        <f>G11+J11</f>
        <v>0</v>
      </c>
      <c r="L11" s="17">
        <v>0</v>
      </c>
      <c r="M11" s="40">
        <f>M10+K11-L11</f>
        <v>0</v>
      </c>
      <c r="N11" s="17"/>
    </row>
    <row r="12" spans="1:18">
      <c r="A12" s="26">
        <v>9</v>
      </c>
      <c r="B12" s="27">
        <v>46090</v>
      </c>
      <c r="C12" s="17"/>
      <c r="D12" s="17"/>
      <c r="E12" s="17"/>
      <c r="F12" s="17"/>
      <c r="G12" s="40">
        <f>E12*F12</f>
        <v>0</v>
      </c>
      <c r="H12" s="323"/>
      <c r="I12" s="17"/>
      <c r="J12" s="17">
        <f>H12*I12</f>
        <v>0</v>
      </c>
      <c r="K12" s="40">
        <f>G12+J12</f>
        <v>0</v>
      </c>
      <c r="L12" s="17">
        <v>0</v>
      </c>
      <c r="M12" s="40">
        <f>M11+K12-L12</f>
        <v>0</v>
      </c>
      <c r="N12" s="17"/>
    </row>
    <row r="13" spans="1:18">
      <c r="A13" s="26">
        <v>10</v>
      </c>
      <c r="B13" s="27">
        <v>46091</v>
      </c>
      <c r="C13" s="17"/>
      <c r="D13" s="17"/>
      <c r="E13" s="17"/>
      <c r="F13" s="17"/>
      <c r="G13" s="40">
        <f>E13*F13</f>
        <v>0</v>
      </c>
      <c r="H13" s="323"/>
      <c r="I13" s="17"/>
      <c r="J13" s="17">
        <f>H13*I13</f>
        <v>0</v>
      </c>
      <c r="K13" s="40">
        <f>G13+J13</f>
        <v>0</v>
      </c>
      <c r="L13" s="17">
        <v>0</v>
      </c>
      <c r="M13" s="40">
        <f>M12+K13-L13</f>
        <v>0</v>
      </c>
      <c r="N13" s="17"/>
      <c r="P13" s="22"/>
    </row>
    <row r="14" spans="1:18">
      <c r="A14" s="26">
        <v>11</v>
      </c>
      <c r="B14" s="27">
        <v>46092</v>
      </c>
      <c r="C14" s="17"/>
      <c r="D14" s="17"/>
      <c r="E14" s="17"/>
      <c r="F14" s="17"/>
      <c r="G14" s="40">
        <f>E14*F14</f>
        <v>0</v>
      </c>
      <c r="H14" s="323"/>
      <c r="I14" s="17"/>
      <c r="J14" s="17">
        <f>H14*I14</f>
        <v>0</v>
      </c>
      <c r="K14" s="40">
        <f>G14+J14</f>
        <v>0</v>
      </c>
      <c r="L14" s="17">
        <v>0</v>
      </c>
      <c r="M14" s="40">
        <f>M13+K14-L14</f>
        <v>0</v>
      </c>
      <c r="N14" s="17"/>
    </row>
    <row r="15" spans="1:18">
      <c r="A15" s="26">
        <v>12</v>
      </c>
      <c r="B15" s="27">
        <v>46093</v>
      </c>
      <c r="C15" s="17"/>
      <c r="D15" s="17"/>
      <c r="E15" s="17"/>
      <c r="F15" s="17"/>
      <c r="G15" s="40">
        <f>E15*F15</f>
        <v>0</v>
      </c>
      <c r="H15" s="323"/>
      <c r="I15" s="17"/>
      <c r="J15" s="17">
        <f>H15*I15</f>
        <v>0</v>
      </c>
      <c r="K15" s="40">
        <f>G15+J15</f>
        <v>0</v>
      </c>
      <c r="L15" s="17">
        <v>0</v>
      </c>
      <c r="M15" s="40">
        <f>M14+K15-L15</f>
        <v>0</v>
      </c>
      <c r="N15" s="17"/>
      <c r="R15" s="22"/>
    </row>
    <row r="16" spans="1:18">
      <c r="A16" s="26">
        <v>13</v>
      </c>
      <c r="B16" s="27">
        <v>46094</v>
      </c>
      <c r="C16" s="17"/>
      <c r="D16" s="17"/>
      <c r="E16" s="17"/>
      <c r="F16" s="17"/>
      <c r="G16" s="40">
        <f>E16*F16</f>
        <v>0</v>
      </c>
      <c r="H16" s="323"/>
      <c r="I16" s="17"/>
      <c r="J16" s="17">
        <f>H16*I16</f>
        <v>0</v>
      </c>
      <c r="K16" s="40">
        <f>G16+J16</f>
        <v>0</v>
      </c>
      <c r="L16" s="17">
        <v>0</v>
      </c>
      <c r="M16" s="40">
        <f>M15+K16-L16</f>
        <v>0</v>
      </c>
      <c r="N16" s="17"/>
    </row>
    <row r="17" spans="1:21">
      <c r="A17" s="26">
        <v>14</v>
      </c>
      <c r="B17" s="27">
        <v>46095</v>
      </c>
      <c r="C17" s="17"/>
      <c r="D17" s="17"/>
      <c r="E17" s="17"/>
      <c r="F17" s="17"/>
      <c r="G17" s="40">
        <f>E17*F17</f>
        <v>0</v>
      </c>
      <c r="H17" s="323"/>
      <c r="I17" s="17"/>
      <c r="J17" s="17">
        <f>H17*I17</f>
        <v>0</v>
      </c>
      <c r="K17" s="17">
        <f>G17+J17</f>
        <v>0</v>
      </c>
      <c r="L17" s="17">
        <v>0</v>
      </c>
      <c r="M17" s="40">
        <f>M16+K17-L17</f>
        <v>0</v>
      </c>
      <c r="N17" s="17"/>
      <c r="U17" s="439">
        <v>257315</v>
      </c>
    </row>
    <row r="18" spans="1:21">
      <c r="A18" s="26">
        <v>15</v>
      </c>
      <c r="B18" s="27">
        <v>46096</v>
      </c>
      <c r="C18" s="17"/>
      <c r="D18" s="17"/>
      <c r="E18" s="17"/>
      <c r="F18" s="17"/>
      <c r="G18" s="40">
        <f>E18*F18</f>
        <v>0</v>
      </c>
      <c r="H18" s="323"/>
      <c r="I18" s="17"/>
      <c r="J18" s="17">
        <f>H18*I18</f>
        <v>0</v>
      </c>
      <c r="K18" s="17">
        <f>G18+J18</f>
        <v>0</v>
      </c>
      <c r="L18" s="17">
        <v>0</v>
      </c>
      <c r="M18" s="40">
        <f>M17+K18-L18</f>
        <v>0</v>
      </c>
      <c r="N18" s="17"/>
      <c r="U18" s="439">
        <v>22996</v>
      </c>
    </row>
    <row r="19" spans="1:21">
      <c r="A19" s="26">
        <v>16</v>
      </c>
      <c r="B19" s="27">
        <v>46097</v>
      </c>
      <c r="C19" s="17"/>
      <c r="D19" s="17"/>
      <c r="E19" s="17"/>
      <c r="F19" s="17"/>
      <c r="G19" s="40">
        <f>E19*F19</f>
        <v>0</v>
      </c>
      <c r="H19" s="323"/>
      <c r="I19" s="17"/>
      <c r="J19" s="17">
        <f>H19*I19</f>
        <v>0</v>
      </c>
      <c r="K19" s="17">
        <f>G19+J19</f>
        <v>0</v>
      </c>
      <c r="L19" s="17">
        <v>0</v>
      </c>
      <c r="M19" s="40">
        <f>M18+K19-L19</f>
        <v>0</v>
      </c>
      <c r="N19" s="17"/>
      <c r="U19" s="439">
        <f>U17+U18</f>
        <v>280311</v>
      </c>
    </row>
    <row r="20" spans="1:21">
      <c r="A20" s="26">
        <v>17</v>
      </c>
      <c r="B20" s="27">
        <v>46098</v>
      </c>
      <c r="C20" s="17"/>
      <c r="D20" s="17"/>
      <c r="E20" s="17"/>
      <c r="F20" s="17"/>
      <c r="G20" s="40">
        <f>E20*F20</f>
        <v>0</v>
      </c>
      <c r="H20" s="323"/>
      <c r="I20" s="17"/>
      <c r="J20" s="17">
        <f>H20*I20</f>
        <v>0</v>
      </c>
      <c r="K20" s="17">
        <f>G20+J20</f>
        <v>0</v>
      </c>
      <c r="L20" s="17">
        <v>0</v>
      </c>
      <c r="M20" s="40">
        <f>M19+K20-L20</f>
        <v>0</v>
      </c>
      <c r="N20" s="17"/>
      <c r="U20" s="439">
        <f>U19-183340</f>
        <v>96971</v>
      </c>
    </row>
    <row r="21" spans="1:21">
      <c r="A21" s="26">
        <v>18</v>
      </c>
      <c r="B21" s="27">
        <v>46099</v>
      </c>
      <c r="C21" s="17"/>
      <c r="D21" s="17"/>
      <c r="E21" s="17"/>
      <c r="F21" s="17"/>
      <c r="G21" s="40">
        <f>E21*F21</f>
        <v>0</v>
      </c>
      <c r="H21" s="323"/>
      <c r="I21" s="17"/>
      <c r="J21" s="17">
        <f>H21*I21</f>
        <v>0</v>
      </c>
      <c r="K21" s="17">
        <f>G21+J21</f>
        <v>0</v>
      </c>
      <c r="L21" s="17">
        <v>0</v>
      </c>
      <c r="M21" s="40">
        <f>M20+K21-L21</f>
        <v>0</v>
      </c>
      <c r="N21" s="17"/>
    </row>
    <row r="22" spans="1:21">
      <c r="A22" s="26">
        <v>19</v>
      </c>
      <c r="B22" s="27">
        <v>46100</v>
      </c>
      <c r="C22" s="17"/>
      <c r="D22" s="17"/>
      <c r="E22" s="17"/>
      <c r="F22" s="17"/>
      <c r="G22" s="352">
        <f>E22*F22</f>
        <v>0</v>
      </c>
      <c r="H22" s="323"/>
      <c r="I22" s="17"/>
      <c r="J22" s="17">
        <f>H22*I22</f>
        <v>0</v>
      </c>
      <c r="K22" s="17">
        <f>G22+J22</f>
        <v>0</v>
      </c>
      <c r="L22" s="17">
        <v>0</v>
      </c>
      <c r="M22" s="40">
        <f>M21+K22-L22</f>
        <v>0</v>
      </c>
      <c r="N22" s="17"/>
      <c r="R22">
        <v>91.67</v>
      </c>
    </row>
    <row r="23" spans="1:21">
      <c r="A23" s="26">
        <v>20</v>
      </c>
      <c r="B23" s="27">
        <v>46101</v>
      </c>
      <c r="C23" s="17"/>
      <c r="D23" s="17"/>
      <c r="E23" s="17"/>
      <c r="F23" s="17"/>
      <c r="G23" s="352">
        <f>E23*F23</f>
        <v>0</v>
      </c>
      <c r="H23" s="323"/>
      <c r="I23" s="17"/>
      <c r="J23" s="17">
        <f>H23*I23</f>
        <v>0</v>
      </c>
      <c r="K23" s="17">
        <f>G23+J23</f>
        <v>0</v>
      </c>
      <c r="L23" s="17">
        <v>0</v>
      </c>
      <c r="M23" s="40">
        <f>M22+K23-L23</f>
        <v>0</v>
      </c>
      <c r="N23" s="17"/>
      <c r="R23">
        <v>2000</v>
      </c>
      <c r="U23">
        <v>197391.46</v>
      </c>
    </row>
    <row r="24" spans="1:21">
      <c r="A24" s="26">
        <v>21</v>
      </c>
      <c r="B24" s="27">
        <v>46102</v>
      </c>
      <c r="C24" s="17"/>
      <c r="D24" s="17"/>
      <c r="E24" s="17"/>
      <c r="F24" s="17"/>
      <c r="G24" s="352">
        <f>E24*F24</f>
        <v>0</v>
      </c>
      <c r="H24" s="323"/>
      <c r="I24" s="17"/>
      <c r="J24" s="17">
        <f>H24*I24</f>
        <v>0</v>
      </c>
      <c r="K24" s="17">
        <f>G24+J24</f>
        <v>0</v>
      </c>
      <c r="L24" s="17">
        <v>0</v>
      </c>
      <c r="M24" s="40">
        <f>M23+K24-L24</f>
        <v>0</v>
      </c>
      <c r="N24" s="17"/>
      <c r="R24">
        <f>R23*R22</f>
        <v>183340</v>
      </c>
    </row>
    <row r="25" spans="1:21">
      <c r="A25" s="26">
        <v>22</v>
      </c>
      <c r="B25" s="27">
        <v>46103</v>
      </c>
      <c r="C25" s="17"/>
      <c r="D25" s="17"/>
      <c r="E25" s="17"/>
      <c r="F25" s="17"/>
      <c r="G25" s="352">
        <f>E25*F25</f>
        <v>0</v>
      </c>
      <c r="H25" s="323"/>
      <c r="I25" s="17"/>
      <c r="J25" s="17">
        <f>H25*I25</f>
        <v>0</v>
      </c>
      <c r="K25" s="17">
        <f>G25+J25</f>
        <v>0</v>
      </c>
      <c r="L25" s="17">
        <v>0</v>
      </c>
      <c r="M25" s="40">
        <f>M24+K25-L25</f>
        <v>0</v>
      </c>
      <c r="N25" s="17"/>
    </row>
    <row r="26" spans="1:21">
      <c r="A26" s="26">
        <v>23</v>
      </c>
      <c r="B26" s="27">
        <v>46104</v>
      </c>
      <c r="C26" s="17"/>
      <c r="D26" s="17"/>
      <c r="E26" s="17"/>
      <c r="F26" s="17"/>
      <c r="G26" s="352">
        <f>E26*F26</f>
        <v>0</v>
      </c>
      <c r="H26" s="323"/>
      <c r="I26" s="17"/>
      <c r="J26" s="17">
        <f>H26*I26</f>
        <v>0</v>
      </c>
      <c r="K26" s="17">
        <f>G26+J26</f>
        <v>0</v>
      </c>
      <c r="L26" s="17">
        <v>0</v>
      </c>
      <c r="M26" s="40">
        <f>M25+K26-L26</f>
        <v>0</v>
      </c>
      <c r="N26" s="17"/>
    </row>
    <row r="27" spans="1:21">
      <c r="A27" s="26">
        <v>24</v>
      </c>
      <c r="B27" s="27">
        <v>46105</v>
      </c>
      <c r="C27" s="17"/>
      <c r="D27" s="17"/>
      <c r="E27" s="17">
        <v>1569.98</v>
      </c>
      <c r="F27" s="17">
        <v>95.68</v>
      </c>
      <c r="G27" s="352">
        <f>E27*F27</f>
        <v>150215.68640000001</v>
      </c>
      <c r="H27" s="323"/>
      <c r="I27" s="17"/>
      <c r="J27" s="17">
        <f>H27*I27</f>
        <v>0</v>
      </c>
      <c r="K27" s="17">
        <f>G27+J27</f>
        <v>150215.68640000001</v>
      </c>
      <c r="L27" s="17">
        <v>150215</v>
      </c>
      <c r="M27" s="40">
        <f>M26+K27-L27</f>
        <v>0.68640000000596046</v>
      </c>
      <c r="N27" s="17"/>
    </row>
    <row r="28" spans="1:21">
      <c r="A28" s="26">
        <v>25</v>
      </c>
      <c r="B28" s="27">
        <v>46106</v>
      </c>
      <c r="C28" s="17"/>
      <c r="D28" s="17"/>
      <c r="E28" s="17"/>
      <c r="F28" s="17"/>
      <c r="G28" s="352">
        <f>E28*F28</f>
        <v>0</v>
      </c>
      <c r="H28" s="323"/>
      <c r="I28" s="17"/>
      <c r="J28" s="17">
        <f>H28*I28</f>
        <v>0</v>
      </c>
      <c r="K28" s="17">
        <f>G28+J28</f>
        <v>0</v>
      </c>
      <c r="L28" s="17">
        <v>0</v>
      </c>
      <c r="M28" s="40">
        <f>M27+K28-L28</f>
        <v>0.68640000000596046</v>
      </c>
      <c r="N28" s="17"/>
    </row>
    <row r="29" spans="1:21">
      <c r="A29" s="26">
        <v>26</v>
      </c>
      <c r="B29" s="27">
        <v>46107</v>
      </c>
      <c r="C29" s="17"/>
      <c r="D29" s="17"/>
      <c r="E29" s="17">
        <v>2612.88</v>
      </c>
      <c r="F29" s="17">
        <v>95.68</v>
      </c>
      <c r="G29" s="352">
        <f>E29*F29</f>
        <v>250000.35840000003</v>
      </c>
      <c r="H29" s="323"/>
      <c r="I29" s="17"/>
      <c r="J29" s="17">
        <f>H29*I29</f>
        <v>0</v>
      </c>
      <c r="K29" s="17">
        <f>G29+J29</f>
        <v>250000.35840000003</v>
      </c>
      <c r="L29" s="17">
        <f>H29+K29</f>
        <v>250000.35840000003</v>
      </c>
      <c r="M29" s="40">
        <f>M28+K29-L29</f>
        <v>0.68640000000596046</v>
      </c>
      <c r="N29" s="17"/>
    </row>
    <row r="30" spans="1:21">
      <c r="A30" s="26">
        <v>27</v>
      </c>
      <c r="B30" s="27">
        <v>46108</v>
      </c>
      <c r="C30" s="17"/>
      <c r="D30" s="17"/>
      <c r="E30" s="17">
        <v>2090.3000000000002</v>
      </c>
      <c r="F30" s="17">
        <v>95.68</v>
      </c>
      <c r="G30" s="352">
        <f>E30*F30</f>
        <v>199999.90400000004</v>
      </c>
      <c r="H30" s="323"/>
      <c r="I30" s="17"/>
      <c r="J30" s="17">
        <f>H30*I30</f>
        <v>0</v>
      </c>
      <c r="K30" s="17">
        <f>G30+J30</f>
        <v>199999.90400000004</v>
      </c>
      <c r="L30" s="17">
        <f>H30+K30</f>
        <v>199999.90400000004</v>
      </c>
      <c r="M30" s="40">
        <f>M29+K30-L30</f>
        <v>0.68640000000596046</v>
      </c>
      <c r="N30" s="17"/>
      <c r="P30" s="22"/>
    </row>
    <row r="31" spans="1:21">
      <c r="A31" s="26">
        <v>28</v>
      </c>
      <c r="B31" s="27">
        <v>46109</v>
      </c>
      <c r="C31" s="17"/>
      <c r="D31" s="17"/>
      <c r="E31" s="17"/>
      <c r="F31" s="17"/>
      <c r="G31" s="352">
        <f>E31*F31</f>
        <v>0</v>
      </c>
      <c r="H31" s="323"/>
      <c r="I31" s="17"/>
      <c r="J31" s="17">
        <f>H31*I31</f>
        <v>0</v>
      </c>
      <c r="K31" s="17">
        <f>G31+J31</f>
        <v>0</v>
      </c>
      <c r="L31" s="17">
        <v>0</v>
      </c>
      <c r="M31" s="40">
        <f>M30+K31-L31</f>
        <v>0.68640000000596046</v>
      </c>
      <c r="N31" s="17"/>
    </row>
    <row r="32" spans="1:21">
      <c r="A32" s="26">
        <v>29</v>
      </c>
      <c r="B32" s="27">
        <v>46110</v>
      </c>
      <c r="C32" s="17"/>
      <c r="D32" s="17"/>
      <c r="E32" s="17"/>
      <c r="F32" s="17"/>
      <c r="G32" s="352">
        <f>E32*F32</f>
        <v>0</v>
      </c>
      <c r="H32" s="323"/>
      <c r="I32" s="17"/>
      <c r="J32" s="17">
        <f>H32*I32</f>
        <v>0</v>
      </c>
      <c r="K32" s="17">
        <f>G32+J32</f>
        <v>0</v>
      </c>
      <c r="L32" s="17">
        <v>0</v>
      </c>
      <c r="M32" s="40">
        <f>M31+K32-L32</f>
        <v>0.68640000000596046</v>
      </c>
      <c r="N32" s="17"/>
      <c r="P32" s="22"/>
    </row>
    <row r="33" spans="1:14">
      <c r="A33" s="26">
        <v>30</v>
      </c>
      <c r="B33" s="27">
        <v>46111</v>
      </c>
      <c r="C33" s="17"/>
      <c r="D33" s="17"/>
      <c r="E33" s="17"/>
      <c r="F33" s="17"/>
      <c r="G33" s="352">
        <f>E33*F33</f>
        <v>0</v>
      </c>
      <c r="H33" s="323"/>
      <c r="I33" s="17"/>
      <c r="J33" s="17">
        <f>H33*I33</f>
        <v>0</v>
      </c>
      <c r="K33" s="17">
        <f>G33+J33</f>
        <v>0</v>
      </c>
      <c r="L33" s="17">
        <v>0</v>
      </c>
      <c r="M33" s="40">
        <f>M32+K33-L33</f>
        <v>0.68640000000596046</v>
      </c>
      <c r="N33" s="17"/>
    </row>
    <row r="34" spans="1:14">
      <c r="A34" s="26">
        <v>31</v>
      </c>
      <c r="B34" s="27">
        <v>46112</v>
      </c>
      <c r="C34" s="17"/>
      <c r="D34" s="17"/>
      <c r="E34" s="17"/>
      <c r="F34" s="17"/>
      <c r="G34" s="352">
        <f>E34*F34</f>
        <v>0</v>
      </c>
      <c r="H34" s="323"/>
      <c r="I34" s="17"/>
      <c r="J34" s="17"/>
      <c r="K34" s="17">
        <f>G34+J34</f>
        <v>0</v>
      </c>
      <c r="L34" s="17">
        <v>0</v>
      </c>
      <c r="M34" s="40">
        <f>M33+K34-L34</f>
        <v>0.68640000000596046</v>
      </c>
      <c r="N34" s="17"/>
    </row>
    <row r="35" spans="1:14">
      <c r="A35" s="26">
        <v>32</v>
      </c>
      <c r="B35" s="27"/>
      <c r="C35" s="17"/>
      <c r="D35" s="17"/>
      <c r="E35" s="17"/>
      <c r="F35" s="17"/>
      <c r="G35" s="352">
        <f>E35*F35</f>
        <v>0</v>
      </c>
      <c r="H35" s="323"/>
      <c r="I35" s="17"/>
      <c r="J35" s="17">
        <f>H35*I35</f>
        <v>0</v>
      </c>
      <c r="K35" s="17">
        <f>G35+J35</f>
        <v>0</v>
      </c>
      <c r="L35" s="17">
        <v>0</v>
      </c>
      <c r="M35" s="40">
        <f>M34+K35-L35</f>
        <v>0.68640000000596046</v>
      </c>
      <c r="N35" s="17"/>
    </row>
    <row r="36" spans="1:14">
      <c r="A36" s="26">
        <v>33</v>
      </c>
      <c r="B36" s="27"/>
      <c r="C36" s="17"/>
      <c r="D36" s="17"/>
      <c r="E36" s="17"/>
      <c r="F36" s="17"/>
      <c r="G36" s="352">
        <f>E36*F36</f>
        <v>0</v>
      </c>
      <c r="H36" s="323"/>
      <c r="I36" s="17"/>
      <c r="J36" s="17">
        <f>H36*I36</f>
        <v>0</v>
      </c>
      <c r="K36" s="17">
        <f>G36+J36</f>
        <v>0</v>
      </c>
      <c r="L36" s="17">
        <v>0</v>
      </c>
      <c r="M36" s="17"/>
      <c r="N36" s="17"/>
    </row>
    <row r="37" spans="1:14">
      <c r="A37" s="26">
        <v>34</v>
      </c>
      <c r="B37" s="27"/>
      <c r="C37" s="17"/>
      <c r="D37" s="17"/>
      <c r="E37" s="17"/>
      <c r="F37" s="17"/>
      <c r="G37" s="352">
        <f>E37*F37</f>
        <v>0</v>
      </c>
      <c r="H37" s="323"/>
      <c r="I37" s="17"/>
      <c r="J37" s="17">
        <f>H37*I37</f>
        <v>0</v>
      </c>
      <c r="K37" s="17">
        <f>G37+J37</f>
        <v>0</v>
      </c>
      <c r="L37" s="17"/>
      <c r="M37" s="17"/>
      <c r="N37" s="17"/>
    </row>
    <row r="38" spans="1:14">
      <c r="A38" s="42"/>
      <c r="B38" s="42"/>
      <c r="C38" s="42"/>
      <c r="D38" s="42"/>
      <c r="E38" s="229">
        <f>SUM(E3:E37)</f>
        <v>6273.1600000000008</v>
      </c>
      <c r="F38" s="229"/>
      <c r="G38" s="229">
        <f>SUM(G3:G37)</f>
        <v>600215.94880000013</v>
      </c>
      <c r="H38" s="229">
        <f>SUM(H3:H37)</f>
        <v>0</v>
      </c>
      <c r="I38" s="229"/>
      <c r="J38" s="229">
        <f>SUM(J3:J37)</f>
        <v>0</v>
      </c>
      <c r="K38" s="229">
        <f>SUM(K4:K37)</f>
        <v>600215.94880000013</v>
      </c>
      <c r="L38" s="229">
        <f>SUM(L3:L37)</f>
        <v>600215.26240000012</v>
      </c>
      <c r="M38" s="229"/>
      <c r="N38" s="229"/>
    </row>
  </sheetData>
  <mergeCells count="2">
    <mergeCell ref="A1:N1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4AB8-1190-4CA3-8E20-1BC2619602FD}">
  <dimension ref="A1:S44"/>
  <sheetViews>
    <sheetView topLeftCell="A19" workbookViewId="0">
      <selection activeCell="E35" sqref="E35"/>
    </sheetView>
  </sheetViews>
  <sheetFormatPr defaultRowHeight="15"/>
  <cols>
    <col min="2" max="2" width="10.42578125" bestFit="1" customWidth="1"/>
    <col min="3" max="3" width="12.140625" customWidth="1"/>
    <col min="4" max="4" width="15.140625" customWidth="1"/>
    <col min="5" max="5" width="10.85546875" customWidth="1"/>
    <col min="7" max="7" width="13.7109375" bestFit="1" customWidth="1"/>
    <col min="11" max="12" width="13.5703125" bestFit="1" customWidth="1"/>
    <col min="13" max="13" width="13.140625" bestFit="1" customWidth="1"/>
    <col min="14" max="14" width="8.42578125" bestFit="1" customWidth="1"/>
  </cols>
  <sheetData>
    <row r="1" spans="1:19" ht="15.75">
      <c r="A1" s="455" t="s">
        <v>72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82"/>
    </row>
    <row r="2" spans="1:19" ht="30.75">
      <c r="A2" s="98" t="s">
        <v>0</v>
      </c>
      <c r="B2" s="99" t="s">
        <v>161</v>
      </c>
      <c r="C2" s="99" t="s">
        <v>162</v>
      </c>
      <c r="D2" s="99" t="s">
        <v>180</v>
      </c>
      <c r="E2" s="256" t="s">
        <v>164</v>
      </c>
      <c r="F2" s="256" t="s">
        <v>165</v>
      </c>
      <c r="G2" s="99" t="s">
        <v>166</v>
      </c>
      <c r="H2" s="99" t="s">
        <v>167</v>
      </c>
      <c r="I2" s="99" t="s">
        <v>165</v>
      </c>
      <c r="J2" s="138" t="s">
        <v>166</v>
      </c>
      <c r="K2" s="100" t="s">
        <v>168</v>
      </c>
      <c r="L2" s="139" t="s">
        <v>169</v>
      </c>
      <c r="M2" s="143" t="s">
        <v>181</v>
      </c>
      <c r="N2" s="101" t="s">
        <v>171</v>
      </c>
      <c r="O2" s="59"/>
    </row>
    <row r="3" spans="1:19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  <c r="M3" s="148">
        <v>1026278.25</v>
      </c>
      <c r="N3" s="156"/>
      <c r="O3" s="59"/>
    </row>
    <row r="4" spans="1:19">
      <c r="A4" s="196">
        <v>1</v>
      </c>
      <c r="B4" s="219">
        <v>46082</v>
      </c>
      <c r="C4" s="67"/>
      <c r="D4" s="159"/>
      <c r="E4" s="257">
        <v>2200</v>
      </c>
      <c r="F4" s="257">
        <v>95.43</v>
      </c>
      <c r="G4" s="8">
        <f t="shared" ref="G4:G34" si="0">E4*F4</f>
        <v>209946.00000000003</v>
      </c>
      <c r="H4" s="65">
        <v>0</v>
      </c>
      <c r="I4" s="66">
        <v>0</v>
      </c>
      <c r="J4" s="8">
        <f>H4*I4</f>
        <v>0</v>
      </c>
      <c r="K4" s="8">
        <f>G4+J4</f>
        <v>209946.00000000003</v>
      </c>
      <c r="L4" s="68">
        <v>0</v>
      </c>
      <c r="M4" s="68">
        <f>+M3+K4-L4</f>
        <v>1236224.25</v>
      </c>
      <c r="N4" s="8"/>
    </row>
    <row r="5" spans="1:19">
      <c r="A5" s="46">
        <v>2</v>
      </c>
      <c r="B5" s="219">
        <v>46083</v>
      </c>
      <c r="C5" s="67"/>
      <c r="D5" s="159"/>
      <c r="E5" s="257">
        <v>2400</v>
      </c>
      <c r="F5" s="257">
        <v>95.43</v>
      </c>
      <c r="G5" s="8">
        <f t="shared" si="0"/>
        <v>229032.00000000003</v>
      </c>
      <c r="H5" s="65">
        <v>0</v>
      </c>
      <c r="I5" s="66">
        <v>0</v>
      </c>
      <c r="J5" s="8">
        <f t="shared" ref="J5:J34" si="1">H5*I5</f>
        <v>0</v>
      </c>
      <c r="K5" s="8">
        <f t="shared" ref="K5:K34" si="2">G5+J5</f>
        <v>229032.00000000003</v>
      </c>
      <c r="L5" s="68">
        <v>0</v>
      </c>
      <c r="M5" s="68">
        <f t="shared" ref="M5:M34" si="3">+M4+K5-L5</f>
        <v>1465256.25</v>
      </c>
      <c r="N5" s="8"/>
    </row>
    <row r="6" spans="1:19">
      <c r="A6" s="46">
        <v>3</v>
      </c>
      <c r="B6" s="219">
        <v>46084</v>
      </c>
      <c r="C6" s="67"/>
      <c r="D6" s="159"/>
      <c r="E6" s="257"/>
      <c r="F6" s="257"/>
      <c r="G6" s="8">
        <f t="shared" si="0"/>
        <v>0</v>
      </c>
      <c r="H6" s="65">
        <v>0</v>
      </c>
      <c r="I6" s="66">
        <v>0</v>
      </c>
      <c r="J6" s="8">
        <f t="shared" si="1"/>
        <v>0</v>
      </c>
      <c r="K6" s="8">
        <f t="shared" si="2"/>
        <v>0</v>
      </c>
      <c r="L6" s="68">
        <v>0</v>
      </c>
      <c r="M6" s="68">
        <f t="shared" si="3"/>
        <v>1465256.25</v>
      </c>
      <c r="N6" s="8"/>
    </row>
    <row r="7" spans="1:19">
      <c r="A7" s="46">
        <v>4</v>
      </c>
      <c r="B7" s="219">
        <v>46085</v>
      </c>
      <c r="C7" s="67"/>
      <c r="D7" s="159"/>
      <c r="E7" s="257"/>
      <c r="F7" s="257"/>
      <c r="G7" s="8">
        <f t="shared" si="0"/>
        <v>0</v>
      </c>
      <c r="H7" s="65">
        <v>0</v>
      </c>
      <c r="I7" s="66">
        <v>0</v>
      </c>
      <c r="J7" s="8">
        <f t="shared" si="1"/>
        <v>0</v>
      </c>
      <c r="K7" s="8">
        <f t="shared" si="2"/>
        <v>0</v>
      </c>
      <c r="L7" s="68">
        <v>0</v>
      </c>
      <c r="M7" s="68">
        <f t="shared" si="3"/>
        <v>1465256.25</v>
      </c>
      <c r="N7" s="8"/>
    </row>
    <row r="8" spans="1:19">
      <c r="A8" s="46">
        <v>5</v>
      </c>
      <c r="B8" s="219">
        <v>46086</v>
      </c>
      <c r="C8" s="67"/>
      <c r="D8" s="159"/>
      <c r="E8" s="257"/>
      <c r="F8" s="257"/>
      <c r="G8" s="8">
        <f t="shared" si="0"/>
        <v>0</v>
      </c>
      <c r="H8" s="65">
        <v>0</v>
      </c>
      <c r="I8" s="66">
        <v>0</v>
      </c>
      <c r="J8" s="8">
        <f t="shared" si="1"/>
        <v>0</v>
      </c>
      <c r="K8" s="8">
        <f t="shared" si="2"/>
        <v>0</v>
      </c>
      <c r="L8" s="68">
        <v>0</v>
      </c>
      <c r="M8" s="68">
        <f t="shared" si="3"/>
        <v>1465256.25</v>
      </c>
      <c r="N8" s="8"/>
      <c r="O8" s="69"/>
      <c r="R8" s="225"/>
    </row>
    <row r="9" spans="1:19">
      <c r="A9" s="46">
        <v>6</v>
      </c>
      <c r="B9" s="219">
        <v>46087</v>
      </c>
      <c r="C9" s="67"/>
      <c r="D9" s="159"/>
      <c r="E9" s="257"/>
      <c r="F9" s="257"/>
      <c r="G9" s="8">
        <f t="shared" si="0"/>
        <v>0</v>
      </c>
      <c r="H9" s="65">
        <v>0</v>
      </c>
      <c r="I9" s="66">
        <v>0</v>
      </c>
      <c r="J9" s="8">
        <f t="shared" si="1"/>
        <v>0</v>
      </c>
      <c r="K9" s="8">
        <f t="shared" si="2"/>
        <v>0</v>
      </c>
      <c r="L9" s="68">
        <v>0</v>
      </c>
      <c r="M9" s="68">
        <f t="shared" si="3"/>
        <v>1465256.25</v>
      </c>
      <c r="N9" s="8"/>
      <c r="O9" s="69"/>
    </row>
    <row r="10" spans="1:19">
      <c r="A10" s="46">
        <v>7</v>
      </c>
      <c r="B10" s="219">
        <v>46088</v>
      </c>
      <c r="C10" s="67"/>
      <c r="D10" s="159"/>
      <c r="E10" s="257">
        <v>2000</v>
      </c>
      <c r="F10" s="257">
        <v>95.43</v>
      </c>
      <c r="G10" s="8">
        <f t="shared" si="0"/>
        <v>190860</v>
      </c>
      <c r="H10" s="65">
        <v>0</v>
      </c>
      <c r="I10" s="66">
        <v>0</v>
      </c>
      <c r="J10" s="8">
        <f t="shared" si="1"/>
        <v>0</v>
      </c>
      <c r="K10" s="8">
        <f t="shared" si="2"/>
        <v>190860</v>
      </c>
      <c r="L10" s="68">
        <v>0</v>
      </c>
      <c r="M10" s="68">
        <f t="shared" si="3"/>
        <v>1656116.25</v>
      </c>
      <c r="N10" s="8"/>
      <c r="O10" s="69"/>
      <c r="R10">
        <v>700</v>
      </c>
    </row>
    <row r="11" spans="1:19">
      <c r="A11" s="46">
        <v>8</v>
      </c>
      <c r="B11" s="219">
        <v>46089</v>
      </c>
      <c r="C11" s="67"/>
      <c r="D11" s="159"/>
      <c r="E11" s="257"/>
      <c r="F11" s="257"/>
      <c r="G11" s="8">
        <f t="shared" si="0"/>
        <v>0</v>
      </c>
      <c r="H11" s="65">
        <v>0</v>
      </c>
      <c r="I11" s="66">
        <v>0</v>
      </c>
      <c r="J11" s="8">
        <f t="shared" si="1"/>
        <v>0</v>
      </c>
      <c r="K11" s="8">
        <f t="shared" si="2"/>
        <v>0</v>
      </c>
      <c r="L11" s="68">
        <v>0</v>
      </c>
      <c r="M11" s="68">
        <f t="shared" si="3"/>
        <v>1656116.25</v>
      </c>
      <c r="N11" s="8"/>
      <c r="O11" s="69"/>
      <c r="S11">
        <v>5000</v>
      </c>
    </row>
    <row r="12" spans="1:19">
      <c r="A12" s="46">
        <v>9</v>
      </c>
      <c r="B12" s="219">
        <v>46090</v>
      </c>
      <c r="C12" s="67"/>
      <c r="D12" s="159"/>
      <c r="E12" s="257">
        <v>2000</v>
      </c>
      <c r="F12" s="257">
        <v>95.43</v>
      </c>
      <c r="G12" s="8">
        <f t="shared" si="0"/>
        <v>190860</v>
      </c>
      <c r="H12" s="65">
        <v>0</v>
      </c>
      <c r="I12" s="66">
        <v>0</v>
      </c>
      <c r="J12" s="8">
        <f t="shared" si="1"/>
        <v>0</v>
      </c>
      <c r="K12" s="8">
        <f t="shared" si="2"/>
        <v>190860</v>
      </c>
      <c r="L12" s="68">
        <v>0</v>
      </c>
      <c r="M12" s="68">
        <f t="shared" si="3"/>
        <v>1846976.25</v>
      </c>
      <c r="N12" s="8"/>
      <c r="O12" s="69"/>
      <c r="S12">
        <v>1500</v>
      </c>
    </row>
    <row r="13" spans="1:19">
      <c r="A13" s="46">
        <v>10</v>
      </c>
      <c r="B13" s="219">
        <v>46091</v>
      </c>
      <c r="C13" s="67"/>
      <c r="D13" s="159"/>
      <c r="E13" s="257"/>
      <c r="F13" s="257"/>
      <c r="G13" s="8">
        <f t="shared" si="0"/>
        <v>0</v>
      </c>
      <c r="H13" s="65">
        <v>0</v>
      </c>
      <c r="I13" s="66">
        <v>0</v>
      </c>
      <c r="J13" s="8">
        <f t="shared" si="1"/>
        <v>0</v>
      </c>
      <c r="K13" s="8">
        <f t="shared" si="2"/>
        <v>0</v>
      </c>
      <c r="L13" s="68">
        <v>0</v>
      </c>
      <c r="M13" s="68">
        <f t="shared" si="3"/>
        <v>1846976.25</v>
      </c>
      <c r="N13" s="8"/>
      <c r="O13" s="69"/>
      <c r="S13">
        <v>500</v>
      </c>
    </row>
    <row r="14" spans="1:19">
      <c r="A14" s="46">
        <v>11</v>
      </c>
      <c r="B14" s="219">
        <v>46092</v>
      </c>
      <c r="C14" s="67"/>
      <c r="D14" s="159"/>
      <c r="E14" s="257">
        <v>1000</v>
      </c>
      <c r="F14" s="257">
        <v>95.43</v>
      </c>
      <c r="G14" s="8">
        <f t="shared" si="0"/>
        <v>95430</v>
      </c>
      <c r="H14" s="65">
        <v>0</v>
      </c>
      <c r="I14" s="66">
        <v>0</v>
      </c>
      <c r="J14" s="8">
        <f t="shared" si="1"/>
        <v>0</v>
      </c>
      <c r="K14" s="8">
        <f t="shared" si="2"/>
        <v>95430</v>
      </c>
      <c r="L14" s="68">
        <v>0</v>
      </c>
      <c r="M14" s="68">
        <f t="shared" si="3"/>
        <v>1942406.25</v>
      </c>
      <c r="N14" s="8"/>
      <c r="O14" s="69"/>
    </row>
    <row r="15" spans="1:19">
      <c r="A15" s="46">
        <v>12</v>
      </c>
      <c r="B15" s="219">
        <v>46093</v>
      </c>
      <c r="C15" s="67"/>
      <c r="D15" s="159"/>
      <c r="E15" s="257"/>
      <c r="F15" s="257"/>
      <c r="G15" s="8">
        <f t="shared" si="0"/>
        <v>0</v>
      </c>
      <c r="H15" s="65">
        <v>0</v>
      </c>
      <c r="I15" s="66">
        <v>0</v>
      </c>
      <c r="J15" s="8">
        <f t="shared" si="1"/>
        <v>0</v>
      </c>
      <c r="K15" s="8">
        <f t="shared" si="2"/>
        <v>0</v>
      </c>
      <c r="L15" s="68">
        <v>0</v>
      </c>
      <c r="M15" s="68">
        <f t="shared" si="3"/>
        <v>1942406.25</v>
      </c>
      <c r="N15" s="8"/>
      <c r="O15" s="69"/>
    </row>
    <row r="16" spans="1:19">
      <c r="A16" s="46">
        <v>13</v>
      </c>
      <c r="B16" s="219">
        <v>46094</v>
      </c>
      <c r="C16" s="67"/>
      <c r="D16" s="159"/>
      <c r="E16" s="257">
        <v>1998</v>
      </c>
      <c r="F16" s="257">
        <v>95.43</v>
      </c>
      <c r="G16" s="8">
        <f t="shared" si="0"/>
        <v>190669.14</v>
      </c>
      <c r="H16" s="65">
        <v>0</v>
      </c>
      <c r="I16" s="66">
        <v>0</v>
      </c>
      <c r="J16" s="8">
        <f t="shared" si="1"/>
        <v>0</v>
      </c>
      <c r="K16" s="8">
        <f t="shared" si="2"/>
        <v>190669.14</v>
      </c>
      <c r="L16" s="68">
        <v>0</v>
      </c>
      <c r="M16" s="68">
        <f t="shared" si="3"/>
        <v>2133075.39</v>
      </c>
      <c r="N16" s="8"/>
      <c r="O16" s="69"/>
    </row>
    <row r="17" spans="1:17">
      <c r="A17" s="46">
        <v>14</v>
      </c>
      <c r="B17" s="219">
        <v>46095</v>
      </c>
      <c r="C17" s="67"/>
      <c r="D17" s="159"/>
      <c r="E17" s="257">
        <v>2000</v>
      </c>
      <c r="F17" s="257">
        <v>95.43</v>
      </c>
      <c r="G17" s="8">
        <f t="shared" si="0"/>
        <v>190860</v>
      </c>
      <c r="H17" s="65">
        <v>0</v>
      </c>
      <c r="I17" s="66">
        <v>0</v>
      </c>
      <c r="J17" s="8">
        <f t="shared" si="1"/>
        <v>0</v>
      </c>
      <c r="K17" s="8">
        <f t="shared" si="2"/>
        <v>190860</v>
      </c>
      <c r="L17" s="68">
        <v>0</v>
      </c>
      <c r="M17" s="68">
        <f t="shared" si="3"/>
        <v>2323935.39</v>
      </c>
      <c r="N17" s="8"/>
      <c r="O17" s="69"/>
    </row>
    <row r="18" spans="1:17">
      <c r="A18" s="46">
        <v>15</v>
      </c>
      <c r="B18" s="219">
        <v>46096</v>
      </c>
      <c r="C18" s="67"/>
      <c r="D18" s="159"/>
      <c r="E18" s="257"/>
      <c r="F18" s="257"/>
      <c r="G18" s="8">
        <f t="shared" si="0"/>
        <v>0</v>
      </c>
      <c r="H18" s="65">
        <v>0</v>
      </c>
      <c r="I18" s="66">
        <v>0</v>
      </c>
      <c r="J18" s="8">
        <f t="shared" si="1"/>
        <v>0</v>
      </c>
      <c r="K18" s="8">
        <f t="shared" si="2"/>
        <v>0</v>
      </c>
      <c r="L18" s="68">
        <v>0</v>
      </c>
      <c r="M18" s="68">
        <f t="shared" si="3"/>
        <v>2323935.39</v>
      </c>
      <c r="N18" s="182"/>
      <c r="O18" s="69"/>
    </row>
    <row r="19" spans="1:17">
      <c r="A19" s="46">
        <v>16</v>
      </c>
      <c r="B19" s="219">
        <v>46097</v>
      </c>
      <c r="C19" s="67"/>
      <c r="D19" s="159"/>
      <c r="E19" s="257">
        <v>2400</v>
      </c>
      <c r="F19" s="257">
        <v>95.43</v>
      </c>
      <c r="G19" s="8">
        <f t="shared" si="0"/>
        <v>229032.00000000003</v>
      </c>
      <c r="H19" s="65">
        <v>0</v>
      </c>
      <c r="I19" s="66">
        <v>0</v>
      </c>
      <c r="J19" s="8">
        <f t="shared" si="1"/>
        <v>0</v>
      </c>
      <c r="K19" s="8">
        <f t="shared" si="2"/>
        <v>229032.00000000003</v>
      </c>
      <c r="L19" s="68">
        <v>0</v>
      </c>
      <c r="M19" s="68">
        <f t="shared" si="3"/>
        <v>2552967.39</v>
      </c>
      <c r="N19" s="279"/>
      <c r="O19" s="69"/>
    </row>
    <row r="20" spans="1:17">
      <c r="A20" s="46">
        <v>17</v>
      </c>
      <c r="B20" s="219">
        <v>46098</v>
      </c>
      <c r="C20" s="67"/>
      <c r="D20" s="159"/>
      <c r="E20" s="257">
        <v>2000</v>
      </c>
      <c r="F20" s="257">
        <v>95.43</v>
      </c>
      <c r="G20" s="8">
        <f t="shared" si="0"/>
        <v>190860</v>
      </c>
      <c r="H20" s="65">
        <v>0</v>
      </c>
      <c r="I20" s="66">
        <v>0</v>
      </c>
      <c r="J20" s="8">
        <f t="shared" si="1"/>
        <v>0</v>
      </c>
      <c r="K20" s="8">
        <f t="shared" si="2"/>
        <v>190860</v>
      </c>
      <c r="L20" s="68">
        <v>0</v>
      </c>
      <c r="M20" s="68">
        <f t="shared" si="3"/>
        <v>2743827.39</v>
      </c>
      <c r="N20" s="19"/>
      <c r="O20" s="69"/>
    </row>
    <row r="21" spans="1:17">
      <c r="A21" s="46">
        <v>18</v>
      </c>
      <c r="B21" s="219">
        <v>46099</v>
      </c>
      <c r="C21" s="67"/>
      <c r="D21" s="159"/>
      <c r="E21" s="257"/>
      <c r="F21" s="257"/>
      <c r="G21" s="8">
        <f t="shared" si="0"/>
        <v>0</v>
      </c>
      <c r="H21" s="65">
        <v>0</v>
      </c>
      <c r="I21" s="66">
        <v>0</v>
      </c>
      <c r="J21" s="8">
        <f t="shared" si="1"/>
        <v>0</v>
      </c>
      <c r="K21" s="8">
        <f t="shared" si="2"/>
        <v>0</v>
      </c>
      <c r="L21" s="68"/>
      <c r="M21" s="68">
        <f t="shared" si="3"/>
        <v>2743827.39</v>
      </c>
      <c r="N21" s="8"/>
      <c r="O21" s="69"/>
    </row>
    <row r="22" spans="1:17">
      <c r="A22" s="46">
        <v>19</v>
      </c>
      <c r="B22" s="219">
        <v>46100</v>
      </c>
      <c r="C22" s="67"/>
      <c r="D22" s="159"/>
      <c r="E22" s="257"/>
      <c r="F22" s="257"/>
      <c r="G22" s="8">
        <f t="shared" si="0"/>
        <v>0</v>
      </c>
      <c r="H22" s="65">
        <v>0</v>
      </c>
      <c r="I22" s="66">
        <v>0</v>
      </c>
      <c r="J22" s="8">
        <f t="shared" si="1"/>
        <v>0</v>
      </c>
      <c r="K22" s="8">
        <f t="shared" si="2"/>
        <v>0</v>
      </c>
      <c r="L22" s="68">
        <v>1000000</v>
      </c>
      <c r="M22" s="68">
        <f t="shared" si="3"/>
        <v>1743827.3900000001</v>
      </c>
      <c r="N22" s="8"/>
      <c r="O22" s="69"/>
      <c r="Q22" s="22"/>
    </row>
    <row r="23" spans="1:17">
      <c r="A23" s="46">
        <v>20</v>
      </c>
      <c r="B23" s="219">
        <v>46101</v>
      </c>
      <c r="C23" s="67"/>
      <c r="D23" s="159"/>
      <c r="E23" s="257">
        <v>1000</v>
      </c>
      <c r="F23" s="257">
        <v>95.43</v>
      </c>
      <c r="G23" s="8">
        <f t="shared" si="0"/>
        <v>95430</v>
      </c>
      <c r="H23" s="65">
        <v>0</v>
      </c>
      <c r="I23" s="66">
        <v>0</v>
      </c>
      <c r="J23" s="8">
        <f t="shared" si="1"/>
        <v>0</v>
      </c>
      <c r="K23" s="8">
        <f t="shared" si="2"/>
        <v>95430</v>
      </c>
      <c r="L23" s="68">
        <v>0</v>
      </c>
      <c r="M23" s="68">
        <f t="shared" si="3"/>
        <v>1839257.3900000001</v>
      </c>
      <c r="N23" s="8"/>
      <c r="O23" s="69"/>
    </row>
    <row r="24" spans="1:17">
      <c r="A24" s="46">
        <v>21</v>
      </c>
      <c r="B24" s="219">
        <v>46102</v>
      </c>
      <c r="C24" s="67"/>
      <c r="D24" s="159"/>
      <c r="E24" s="257"/>
      <c r="F24" s="257"/>
      <c r="G24" s="8">
        <f t="shared" si="0"/>
        <v>0</v>
      </c>
      <c r="H24" s="65">
        <v>0</v>
      </c>
      <c r="I24" s="66">
        <v>0</v>
      </c>
      <c r="J24" s="8">
        <f t="shared" si="1"/>
        <v>0</v>
      </c>
      <c r="K24" s="8">
        <f t="shared" si="2"/>
        <v>0</v>
      </c>
      <c r="L24" s="68">
        <v>0</v>
      </c>
      <c r="M24" s="68">
        <f t="shared" si="3"/>
        <v>1839257.3900000001</v>
      </c>
      <c r="N24" s="8"/>
      <c r="O24" s="69"/>
    </row>
    <row r="25" spans="1:17">
      <c r="A25" s="46">
        <v>22</v>
      </c>
      <c r="B25" s="219">
        <v>46103</v>
      </c>
      <c r="C25" s="67"/>
      <c r="D25" s="159"/>
      <c r="E25" s="257"/>
      <c r="F25" s="257"/>
      <c r="G25" s="8">
        <f t="shared" si="0"/>
        <v>0</v>
      </c>
      <c r="H25" s="65">
        <v>0</v>
      </c>
      <c r="I25" s="66">
        <v>0</v>
      </c>
      <c r="J25" s="8">
        <f t="shared" si="1"/>
        <v>0</v>
      </c>
      <c r="K25" s="8">
        <f t="shared" si="2"/>
        <v>0</v>
      </c>
      <c r="L25" s="68">
        <v>0</v>
      </c>
      <c r="M25" s="68">
        <f t="shared" si="3"/>
        <v>1839257.3900000001</v>
      </c>
      <c r="N25" s="8"/>
      <c r="O25" s="69"/>
    </row>
    <row r="26" spans="1:17">
      <c r="A26" s="46">
        <v>23</v>
      </c>
      <c r="B26" s="219">
        <v>46104</v>
      </c>
      <c r="C26" s="67"/>
      <c r="D26" s="159"/>
      <c r="E26" s="257">
        <v>2000</v>
      </c>
      <c r="F26" s="432">
        <v>95.93</v>
      </c>
      <c r="G26" s="8">
        <f t="shared" si="0"/>
        <v>191860</v>
      </c>
      <c r="H26" s="65">
        <v>0</v>
      </c>
      <c r="I26" s="66">
        <v>0</v>
      </c>
      <c r="J26" s="8">
        <f t="shared" si="1"/>
        <v>0</v>
      </c>
      <c r="K26" s="8">
        <f t="shared" si="2"/>
        <v>191860</v>
      </c>
      <c r="L26" s="68">
        <v>0</v>
      </c>
      <c r="M26" s="68">
        <f t="shared" si="3"/>
        <v>2031117.3900000001</v>
      </c>
      <c r="N26" s="8"/>
      <c r="O26" s="69"/>
    </row>
    <row r="27" spans="1:17">
      <c r="A27" s="46">
        <v>24</v>
      </c>
      <c r="B27" s="219">
        <v>46105</v>
      </c>
      <c r="C27" s="67"/>
      <c r="D27" s="159"/>
      <c r="E27" s="257">
        <v>2400</v>
      </c>
      <c r="F27" s="432">
        <v>95.93</v>
      </c>
      <c r="G27" s="8">
        <f t="shared" si="0"/>
        <v>230232.00000000003</v>
      </c>
      <c r="H27" s="65">
        <v>0</v>
      </c>
      <c r="I27" s="66">
        <v>0</v>
      </c>
      <c r="J27" s="8">
        <f t="shared" si="1"/>
        <v>0</v>
      </c>
      <c r="K27" s="8">
        <f t="shared" si="2"/>
        <v>230232.00000000003</v>
      </c>
      <c r="L27" s="68">
        <v>0</v>
      </c>
      <c r="M27" s="68">
        <f t="shared" si="3"/>
        <v>2261349.39</v>
      </c>
      <c r="N27" s="8"/>
      <c r="O27" s="69"/>
    </row>
    <row r="28" spans="1:17">
      <c r="A28" s="221">
        <v>25</v>
      </c>
      <c r="B28" s="219">
        <v>46106</v>
      </c>
      <c r="C28" s="67"/>
      <c r="D28" s="159"/>
      <c r="E28" s="257"/>
      <c r="F28" s="257"/>
      <c r="G28" s="8">
        <f t="shared" si="0"/>
        <v>0</v>
      </c>
      <c r="H28" s="65">
        <v>0</v>
      </c>
      <c r="I28" s="66">
        <v>0</v>
      </c>
      <c r="J28" s="8">
        <f t="shared" si="1"/>
        <v>0</v>
      </c>
      <c r="K28" s="8">
        <f t="shared" si="2"/>
        <v>0</v>
      </c>
      <c r="L28" s="68">
        <v>0</v>
      </c>
      <c r="M28" s="68">
        <f t="shared" si="3"/>
        <v>2261349.39</v>
      </c>
      <c r="N28" s="8"/>
      <c r="O28" s="69"/>
    </row>
    <row r="29" spans="1:17">
      <c r="A29" s="221">
        <v>26</v>
      </c>
      <c r="B29" s="219">
        <v>46107</v>
      </c>
      <c r="C29" s="67"/>
      <c r="D29" s="159"/>
      <c r="E29" s="257">
        <v>1000</v>
      </c>
      <c r="F29" s="257">
        <v>95.93</v>
      </c>
      <c r="G29" s="8">
        <f t="shared" si="0"/>
        <v>95930</v>
      </c>
      <c r="H29" s="65">
        <v>0</v>
      </c>
      <c r="I29" s="66">
        <v>0</v>
      </c>
      <c r="J29" s="8">
        <f t="shared" si="1"/>
        <v>0</v>
      </c>
      <c r="K29" s="8">
        <f t="shared" si="2"/>
        <v>95930</v>
      </c>
      <c r="L29" s="68"/>
      <c r="M29" s="68">
        <f t="shared" si="3"/>
        <v>2357279.39</v>
      </c>
      <c r="N29" s="8"/>
      <c r="O29" s="69"/>
    </row>
    <row r="30" spans="1:17">
      <c r="A30" s="221">
        <v>27</v>
      </c>
      <c r="B30" s="219">
        <v>46108</v>
      </c>
      <c r="C30" s="67"/>
      <c r="D30" s="159"/>
      <c r="E30" s="257"/>
      <c r="F30" s="257"/>
      <c r="G30" s="8">
        <f t="shared" si="0"/>
        <v>0</v>
      </c>
      <c r="H30" s="65">
        <v>0</v>
      </c>
      <c r="I30" s="66">
        <v>0</v>
      </c>
      <c r="J30" s="8">
        <f t="shared" si="1"/>
        <v>0</v>
      </c>
      <c r="K30" s="8">
        <f t="shared" si="2"/>
        <v>0</v>
      </c>
      <c r="L30" s="68"/>
      <c r="M30" s="68">
        <f t="shared" si="3"/>
        <v>2357279.39</v>
      </c>
      <c r="N30" s="8"/>
      <c r="O30" s="69"/>
    </row>
    <row r="31" spans="1:17">
      <c r="A31" s="221">
        <v>28</v>
      </c>
      <c r="B31" s="219">
        <v>46109</v>
      </c>
      <c r="C31" s="67"/>
      <c r="D31" s="159"/>
      <c r="E31" s="257"/>
      <c r="F31" s="257"/>
      <c r="G31" s="8">
        <f t="shared" si="0"/>
        <v>0</v>
      </c>
      <c r="H31" s="65">
        <v>0</v>
      </c>
      <c r="I31" s="66">
        <v>0</v>
      </c>
      <c r="J31" s="8">
        <f t="shared" si="1"/>
        <v>0</v>
      </c>
      <c r="K31" s="8">
        <f t="shared" si="2"/>
        <v>0</v>
      </c>
      <c r="L31" s="68"/>
      <c r="M31" s="68">
        <f t="shared" si="3"/>
        <v>2357279.39</v>
      </c>
      <c r="N31" s="8"/>
      <c r="O31" s="69"/>
    </row>
    <row r="32" spans="1:17">
      <c r="A32" s="222">
        <v>29</v>
      </c>
      <c r="B32" s="219">
        <v>46111</v>
      </c>
      <c r="C32" s="67"/>
      <c r="D32" s="159"/>
      <c r="E32" s="257">
        <v>1000</v>
      </c>
      <c r="F32" s="257">
        <v>95.93</v>
      </c>
      <c r="G32" s="8">
        <f t="shared" si="0"/>
        <v>95930</v>
      </c>
      <c r="H32" s="65">
        <v>0</v>
      </c>
      <c r="I32" s="66">
        <v>0</v>
      </c>
      <c r="J32" s="8">
        <f t="shared" si="1"/>
        <v>0</v>
      </c>
      <c r="K32" s="8">
        <f t="shared" si="2"/>
        <v>95930</v>
      </c>
      <c r="L32" s="68"/>
      <c r="M32" s="68">
        <f t="shared" si="3"/>
        <v>2453209.39</v>
      </c>
      <c r="N32" s="8"/>
      <c r="O32" s="69"/>
    </row>
    <row r="33" spans="1:15">
      <c r="A33" s="222">
        <v>30</v>
      </c>
      <c r="B33" s="219"/>
      <c r="C33" s="67"/>
      <c r="D33" s="159"/>
      <c r="E33" s="257"/>
      <c r="F33" s="257"/>
      <c r="G33" s="8">
        <f t="shared" si="0"/>
        <v>0</v>
      </c>
      <c r="H33" s="65">
        <v>0</v>
      </c>
      <c r="I33" s="66">
        <v>0</v>
      </c>
      <c r="J33" s="8">
        <f t="shared" si="1"/>
        <v>0</v>
      </c>
      <c r="K33" s="8">
        <f t="shared" si="2"/>
        <v>0</v>
      </c>
      <c r="L33" s="68"/>
      <c r="M33" s="68">
        <f t="shared" si="3"/>
        <v>2453209.39</v>
      </c>
      <c r="N33" s="8"/>
      <c r="O33" s="69"/>
    </row>
    <row r="34" spans="1:15">
      <c r="A34" s="222">
        <v>31</v>
      </c>
      <c r="B34" s="219"/>
      <c r="C34" s="67"/>
      <c r="D34" s="159"/>
      <c r="E34" s="257"/>
      <c r="F34" s="257"/>
      <c r="G34" s="8">
        <f t="shared" si="0"/>
        <v>0</v>
      </c>
      <c r="H34" s="65">
        <v>0</v>
      </c>
      <c r="I34" s="66">
        <v>0</v>
      </c>
      <c r="J34" s="8">
        <f t="shared" si="1"/>
        <v>0</v>
      </c>
      <c r="K34" s="8">
        <f t="shared" si="2"/>
        <v>0</v>
      </c>
      <c r="L34" s="68">
        <v>0</v>
      </c>
      <c r="M34" s="68">
        <f t="shared" si="3"/>
        <v>2453209.39</v>
      </c>
      <c r="N34" s="8"/>
      <c r="O34" s="69"/>
    </row>
    <row r="35" spans="1:15">
      <c r="A35" s="62"/>
      <c r="B35" s="62"/>
      <c r="C35" s="62"/>
      <c r="D35" s="62"/>
      <c r="E35" s="258">
        <f>SUM(E4:E34)</f>
        <v>25398</v>
      </c>
      <c r="F35" s="258"/>
      <c r="G35" s="63">
        <f>SUM(G4:G34)</f>
        <v>2426931.14</v>
      </c>
      <c r="H35" s="63">
        <f>SUM(H4:H34)</f>
        <v>0</v>
      </c>
      <c r="I35" s="63"/>
      <c r="J35" s="63">
        <f>SUM(J4:J34)</f>
        <v>0</v>
      </c>
      <c r="K35" s="63">
        <f>SUM(K4:K34)</f>
        <v>2426931.14</v>
      </c>
      <c r="L35" s="63">
        <f>SUM(L4:L34)</f>
        <v>1000000</v>
      </c>
      <c r="M35" s="63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F38" t="s">
        <v>182</v>
      </c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463"/>
      <c r="C43" s="463"/>
      <c r="D43" s="463"/>
      <c r="E43" s="463"/>
      <c r="F43" s="69"/>
      <c r="G43" s="69"/>
      <c r="H43" s="69"/>
      <c r="I43" s="463"/>
      <c r="J43" s="463"/>
      <c r="K43" s="463"/>
      <c r="L43" s="463"/>
      <c r="M43" s="463"/>
      <c r="N43" s="463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FE56-609E-4DFF-AE6F-57743C385CA3}">
  <dimension ref="A1:N35"/>
  <sheetViews>
    <sheetView workbookViewId="0">
      <selection activeCell="M30" sqref="M30"/>
    </sheetView>
  </sheetViews>
  <sheetFormatPr defaultRowHeight="15"/>
  <cols>
    <col min="2" max="2" width="10.140625" bestFit="1" customWidth="1"/>
    <col min="10" max="12" width="10.85546875" bestFit="1" customWidth="1"/>
  </cols>
  <sheetData>
    <row r="1" spans="1:14" ht="15.75">
      <c r="A1" s="464" t="s">
        <v>79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</row>
    <row r="2" spans="1:14" ht="27">
      <c r="A2" s="103" t="s">
        <v>0</v>
      </c>
      <c r="B2" s="106" t="s">
        <v>161</v>
      </c>
      <c r="C2" s="106" t="s">
        <v>162</v>
      </c>
      <c r="D2" s="106" t="s">
        <v>163</v>
      </c>
      <c r="E2" s="106" t="s">
        <v>164</v>
      </c>
      <c r="F2" s="106" t="s">
        <v>165</v>
      </c>
      <c r="G2" s="106" t="s">
        <v>166</v>
      </c>
      <c r="H2" s="106" t="s">
        <v>167</v>
      </c>
      <c r="I2" s="106" t="s">
        <v>165</v>
      </c>
      <c r="J2" s="106" t="s">
        <v>166</v>
      </c>
      <c r="K2" s="144" t="s">
        <v>168</v>
      </c>
      <c r="L2" s="144" t="s">
        <v>169</v>
      </c>
      <c r="M2" s="144" t="s">
        <v>170</v>
      </c>
      <c r="N2" s="106" t="s">
        <v>171</v>
      </c>
    </row>
    <row r="3" spans="1:14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8"/>
      <c r="K3" s="131"/>
      <c r="L3" s="232"/>
      <c r="M3" s="328">
        <v>24863</v>
      </c>
      <c r="N3" s="233"/>
    </row>
    <row r="4" spans="1:14">
      <c r="A4" s="26">
        <v>1</v>
      </c>
      <c r="B4" s="27">
        <v>46082</v>
      </c>
      <c r="C4" s="107"/>
      <c r="D4" s="35"/>
      <c r="E4" s="36"/>
      <c r="F4" s="36"/>
      <c r="G4" s="36">
        <f>E4*F4</f>
        <v>0</v>
      </c>
      <c r="H4" s="336">
        <v>40</v>
      </c>
      <c r="I4" s="336">
        <v>108.1</v>
      </c>
      <c r="J4" s="36">
        <f>H4*I4</f>
        <v>4324</v>
      </c>
      <c r="K4" s="36">
        <f t="shared" ref="K4:K31" si="0">G4+J4</f>
        <v>4324</v>
      </c>
      <c r="L4" s="197">
        <v>0</v>
      </c>
      <c r="M4" s="36">
        <f>M3+K4-L4</f>
        <v>29187</v>
      </c>
      <c r="N4" s="234"/>
    </row>
    <row r="5" spans="1:14">
      <c r="A5" s="26">
        <v>2</v>
      </c>
      <c r="B5" s="27">
        <v>46083</v>
      </c>
      <c r="C5" s="107"/>
      <c r="D5" s="35"/>
      <c r="E5" s="36"/>
      <c r="F5" s="36"/>
      <c r="G5" s="36">
        <f>E5*F5</f>
        <v>0</v>
      </c>
      <c r="H5" s="336">
        <v>0</v>
      </c>
      <c r="I5" s="336">
        <v>0</v>
      </c>
      <c r="J5" s="36">
        <f>H5*I5</f>
        <v>0</v>
      </c>
      <c r="K5" s="36">
        <f t="shared" si="0"/>
        <v>0</v>
      </c>
      <c r="L5" s="197">
        <v>0</v>
      </c>
      <c r="M5" s="36">
        <f t="shared" ref="M5:M31" si="1">M4+K5-L5</f>
        <v>29187</v>
      </c>
      <c r="N5" s="235"/>
    </row>
    <row r="6" spans="1:14">
      <c r="A6" s="26">
        <v>3</v>
      </c>
      <c r="B6" s="27">
        <v>46084</v>
      </c>
      <c r="C6" s="107"/>
      <c r="D6" s="35"/>
      <c r="E6" s="36"/>
      <c r="F6" s="36"/>
      <c r="G6" s="36">
        <f t="shared" ref="G6:G31" si="2">E6*F6</f>
        <v>0</v>
      </c>
      <c r="H6" s="336">
        <v>0</v>
      </c>
      <c r="I6" s="336">
        <v>0</v>
      </c>
      <c r="J6" s="36">
        <f t="shared" ref="J6:J11" si="3">H6*I6</f>
        <v>0</v>
      </c>
      <c r="K6" s="36">
        <f t="shared" si="0"/>
        <v>0</v>
      </c>
      <c r="L6" s="197">
        <v>0</v>
      </c>
      <c r="M6" s="36">
        <f t="shared" si="1"/>
        <v>29187</v>
      </c>
      <c r="N6" s="236"/>
    </row>
    <row r="7" spans="1:14">
      <c r="A7" s="26">
        <v>4</v>
      </c>
      <c r="B7" s="27">
        <v>46085</v>
      </c>
      <c r="C7" s="107"/>
      <c r="D7" s="35"/>
      <c r="E7" s="36"/>
      <c r="F7" s="36"/>
      <c r="G7" s="36">
        <f t="shared" si="2"/>
        <v>0</v>
      </c>
      <c r="H7" s="336">
        <v>0</v>
      </c>
      <c r="I7" s="336">
        <v>0</v>
      </c>
      <c r="J7" s="36">
        <f t="shared" si="3"/>
        <v>0</v>
      </c>
      <c r="K7" s="36">
        <f t="shared" si="0"/>
        <v>0</v>
      </c>
      <c r="L7" s="197">
        <v>0</v>
      </c>
      <c r="M7" s="36">
        <f>M6+K7-L7</f>
        <v>29187</v>
      </c>
      <c r="N7" s="198"/>
    </row>
    <row r="8" spans="1:14">
      <c r="A8" s="26">
        <v>5</v>
      </c>
      <c r="B8" s="27">
        <v>46086</v>
      </c>
      <c r="C8" s="34"/>
      <c r="D8" s="35"/>
      <c r="E8" s="36"/>
      <c r="F8" s="36"/>
      <c r="G8" s="36">
        <f t="shared" si="2"/>
        <v>0</v>
      </c>
      <c r="H8" s="336">
        <v>40</v>
      </c>
      <c r="I8" s="336">
        <v>108.1</v>
      </c>
      <c r="J8" s="36">
        <f t="shared" si="3"/>
        <v>4324</v>
      </c>
      <c r="K8" s="36">
        <f t="shared" si="0"/>
        <v>4324</v>
      </c>
      <c r="L8" s="197">
        <v>0</v>
      </c>
      <c r="M8" s="36">
        <f>M7+K8-L8</f>
        <v>33511</v>
      </c>
      <c r="N8" s="198"/>
    </row>
    <row r="9" spans="1:14">
      <c r="A9" s="26">
        <v>6</v>
      </c>
      <c r="B9" s="27">
        <v>46087</v>
      </c>
      <c r="C9" s="34"/>
      <c r="D9" s="35"/>
      <c r="E9" s="36"/>
      <c r="F9" s="36"/>
      <c r="G9" s="36">
        <f t="shared" si="2"/>
        <v>0</v>
      </c>
      <c r="H9" s="336">
        <v>0</v>
      </c>
      <c r="I9" s="336">
        <v>0</v>
      </c>
      <c r="J9" s="36">
        <f t="shared" si="3"/>
        <v>0</v>
      </c>
      <c r="K9" s="36">
        <f t="shared" si="0"/>
        <v>0</v>
      </c>
      <c r="L9" s="197">
        <v>0</v>
      </c>
      <c r="M9" s="36">
        <f t="shared" si="1"/>
        <v>33511</v>
      </c>
      <c r="N9" s="198"/>
    </row>
    <row r="10" spans="1:14">
      <c r="A10" s="26">
        <v>7</v>
      </c>
      <c r="B10" s="27">
        <v>46088</v>
      </c>
      <c r="C10" s="34"/>
      <c r="D10" s="35"/>
      <c r="E10" s="36"/>
      <c r="F10" s="36"/>
      <c r="G10" s="36">
        <f t="shared" si="2"/>
        <v>0</v>
      </c>
      <c r="H10" s="336">
        <v>0</v>
      </c>
      <c r="I10" s="336">
        <v>0</v>
      </c>
      <c r="J10" s="36">
        <f t="shared" ref="J10:J15" si="4">H10*I10</f>
        <v>0</v>
      </c>
      <c r="K10" s="36">
        <f t="shared" ref="K10:K15" si="5">G10+J10</f>
        <v>0</v>
      </c>
      <c r="L10" s="197">
        <v>0</v>
      </c>
      <c r="M10" s="36">
        <f t="shared" si="1"/>
        <v>33511</v>
      </c>
      <c r="N10" s="198"/>
    </row>
    <row r="11" spans="1:14">
      <c r="A11" s="26">
        <v>8</v>
      </c>
      <c r="B11" s="27">
        <v>46089</v>
      </c>
      <c r="C11" s="34"/>
      <c r="D11" s="35"/>
      <c r="E11" s="36"/>
      <c r="F11" s="36"/>
      <c r="G11" s="36">
        <f t="shared" si="2"/>
        <v>0</v>
      </c>
      <c r="H11" s="336">
        <v>0</v>
      </c>
      <c r="I11" s="336">
        <v>0</v>
      </c>
      <c r="J11" s="36">
        <f t="shared" si="4"/>
        <v>0</v>
      </c>
      <c r="K11" s="36">
        <f t="shared" si="5"/>
        <v>0</v>
      </c>
      <c r="L11" s="197">
        <v>0</v>
      </c>
      <c r="M11" s="36">
        <f t="shared" si="1"/>
        <v>33511</v>
      </c>
      <c r="N11" s="198"/>
    </row>
    <row r="12" spans="1:14">
      <c r="A12" s="26">
        <v>9</v>
      </c>
      <c r="B12" s="27">
        <v>46090</v>
      </c>
      <c r="C12" s="34"/>
      <c r="D12" s="35"/>
      <c r="E12" s="36"/>
      <c r="F12" s="36"/>
      <c r="G12" s="36">
        <f t="shared" si="2"/>
        <v>0</v>
      </c>
      <c r="H12" s="336">
        <v>0</v>
      </c>
      <c r="I12" s="336">
        <v>0</v>
      </c>
      <c r="J12" s="36">
        <f t="shared" si="4"/>
        <v>0</v>
      </c>
      <c r="K12" s="36">
        <f t="shared" si="5"/>
        <v>0</v>
      </c>
      <c r="L12" s="197">
        <v>0</v>
      </c>
      <c r="M12" s="36">
        <f t="shared" si="1"/>
        <v>33511</v>
      </c>
      <c r="N12" s="198"/>
    </row>
    <row r="13" spans="1:14">
      <c r="A13" s="26">
        <v>10</v>
      </c>
      <c r="B13" s="27">
        <v>46091</v>
      </c>
      <c r="C13" s="34"/>
      <c r="D13" s="35"/>
      <c r="E13" s="36"/>
      <c r="F13" s="36"/>
      <c r="G13" s="36">
        <f t="shared" si="2"/>
        <v>0</v>
      </c>
      <c r="H13" s="336">
        <v>0</v>
      </c>
      <c r="I13" s="336">
        <v>0</v>
      </c>
      <c r="J13" s="36">
        <f t="shared" si="4"/>
        <v>0</v>
      </c>
      <c r="K13" s="36">
        <f t="shared" si="5"/>
        <v>0</v>
      </c>
      <c r="L13" s="197">
        <v>0</v>
      </c>
      <c r="M13" s="36">
        <f>M12+K13-L13</f>
        <v>33511</v>
      </c>
      <c r="N13" s="198"/>
    </row>
    <row r="14" spans="1:14">
      <c r="A14" s="26">
        <v>11</v>
      </c>
      <c r="B14" s="27">
        <v>46092</v>
      </c>
      <c r="C14" s="34"/>
      <c r="D14" s="35"/>
      <c r="E14" s="36"/>
      <c r="F14" s="36"/>
      <c r="G14" s="36">
        <f t="shared" si="2"/>
        <v>0</v>
      </c>
      <c r="H14" s="336">
        <v>40</v>
      </c>
      <c r="I14" s="336">
        <v>108.1</v>
      </c>
      <c r="J14" s="36">
        <f t="shared" si="4"/>
        <v>4324</v>
      </c>
      <c r="K14" s="36">
        <f t="shared" si="5"/>
        <v>4324</v>
      </c>
      <c r="L14" s="197">
        <v>0</v>
      </c>
      <c r="M14" s="36">
        <f>M13+K14-L14</f>
        <v>37835</v>
      </c>
      <c r="N14" s="198"/>
    </row>
    <row r="15" spans="1:14">
      <c r="A15" s="26">
        <v>12</v>
      </c>
      <c r="B15" s="27">
        <v>46093</v>
      </c>
      <c r="C15" s="34"/>
      <c r="D15" s="35"/>
      <c r="E15" s="36"/>
      <c r="F15" s="36"/>
      <c r="G15" s="36">
        <f t="shared" si="2"/>
        <v>0</v>
      </c>
      <c r="H15" s="336">
        <v>0</v>
      </c>
      <c r="I15" s="336">
        <v>0</v>
      </c>
      <c r="J15" s="36">
        <f>H15*I15</f>
        <v>0</v>
      </c>
      <c r="K15" s="36">
        <f>G15+J15</f>
        <v>0</v>
      </c>
      <c r="L15" s="197">
        <v>0</v>
      </c>
      <c r="M15" s="36">
        <f t="shared" si="1"/>
        <v>37835</v>
      </c>
      <c r="N15" s="198"/>
    </row>
    <row r="16" spans="1:14">
      <c r="A16" s="26">
        <v>13</v>
      </c>
      <c r="B16" s="27">
        <v>46094</v>
      </c>
      <c r="C16" s="34"/>
      <c r="D16" s="35"/>
      <c r="E16" s="36"/>
      <c r="F16" s="36"/>
      <c r="G16" s="36">
        <f t="shared" si="2"/>
        <v>0</v>
      </c>
      <c r="H16" s="336">
        <v>0</v>
      </c>
      <c r="I16" s="336">
        <v>0</v>
      </c>
      <c r="J16" s="36">
        <f t="shared" ref="J16:J33" si="6">H16*I16</f>
        <v>0</v>
      </c>
      <c r="K16" s="36">
        <f t="shared" si="0"/>
        <v>0</v>
      </c>
      <c r="L16" s="197">
        <v>0</v>
      </c>
      <c r="M16" s="36">
        <f t="shared" si="1"/>
        <v>37835</v>
      </c>
      <c r="N16" s="198"/>
    </row>
    <row r="17" spans="1:14">
      <c r="A17" s="26">
        <v>14</v>
      </c>
      <c r="B17" s="27">
        <v>46095</v>
      </c>
      <c r="C17" s="34"/>
      <c r="D17" s="35"/>
      <c r="E17" s="36"/>
      <c r="F17" s="36"/>
      <c r="G17" s="36">
        <f t="shared" si="2"/>
        <v>0</v>
      </c>
      <c r="H17" s="336">
        <v>0</v>
      </c>
      <c r="I17" s="336">
        <v>0</v>
      </c>
      <c r="J17" s="36">
        <f t="shared" si="6"/>
        <v>0</v>
      </c>
      <c r="K17" s="36">
        <f t="shared" si="0"/>
        <v>0</v>
      </c>
      <c r="L17" s="197">
        <v>0</v>
      </c>
      <c r="M17" s="36">
        <f t="shared" si="1"/>
        <v>37835</v>
      </c>
      <c r="N17" s="198"/>
    </row>
    <row r="18" spans="1:14">
      <c r="A18" s="26">
        <v>15</v>
      </c>
      <c r="B18" s="27">
        <v>46096</v>
      </c>
      <c r="C18" s="168"/>
      <c r="D18" s="35"/>
      <c r="E18" s="36"/>
      <c r="F18" s="36"/>
      <c r="G18" s="36">
        <f t="shared" si="2"/>
        <v>0</v>
      </c>
      <c r="H18" s="336">
        <v>0</v>
      </c>
      <c r="I18" s="336">
        <v>0</v>
      </c>
      <c r="J18" s="36">
        <f t="shared" si="6"/>
        <v>0</v>
      </c>
      <c r="K18" s="36">
        <f t="shared" si="0"/>
        <v>0</v>
      </c>
      <c r="L18" s="197">
        <v>37835</v>
      </c>
      <c r="M18" s="36">
        <f t="shared" si="1"/>
        <v>0</v>
      </c>
      <c r="N18" s="237"/>
    </row>
    <row r="19" spans="1:14">
      <c r="A19" s="26">
        <v>16</v>
      </c>
      <c r="B19" s="27">
        <v>46097</v>
      </c>
      <c r="C19" s="107"/>
      <c r="D19" s="35"/>
      <c r="E19" s="36"/>
      <c r="F19" s="36"/>
      <c r="G19" s="36">
        <f t="shared" si="2"/>
        <v>0</v>
      </c>
      <c r="H19" s="336">
        <v>0</v>
      </c>
      <c r="I19" s="336">
        <v>0</v>
      </c>
      <c r="J19" s="36">
        <f t="shared" si="6"/>
        <v>0</v>
      </c>
      <c r="K19" s="36">
        <f t="shared" si="0"/>
        <v>0</v>
      </c>
      <c r="L19" s="197">
        <v>0</v>
      </c>
      <c r="M19" s="36">
        <f t="shared" si="1"/>
        <v>0</v>
      </c>
      <c r="N19" s="237"/>
    </row>
    <row r="20" spans="1:14">
      <c r="A20" s="26">
        <v>17</v>
      </c>
      <c r="B20" s="27">
        <v>46098</v>
      </c>
      <c r="C20" s="180"/>
      <c r="D20" s="35"/>
      <c r="E20" s="36"/>
      <c r="F20" s="36"/>
      <c r="G20" s="36">
        <f t="shared" si="2"/>
        <v>0</v>
      </c>
      <c r="H20" s="336">
        <v>40</v>
      </c>
      <c r="I20" s="336">
        <v>108.1</v>
      </c>
      <c r="J20" s="36">
        <f t="shared" si="6"/>
        <v>4324</v>
      </c>
      <c r="K20" s="36">
        <f t="shared" si="0"/>
        <v>4324</v>
      </c>
      <c r="L20" s="197">
        <v>0</v>
      </c>
      <c r="M20" s="36">
        <f t="shared" si="1"/>
        <v>4324</v>
      </c>
      <c r="N20" s="237"/>
    </row>
    <row r="21" spans="1:14">
      <c r="A21" s="26">
        <v>18</v>
      </c>
      <c r="B21" s="27">
        <v>46099</v>
      </c>
      <c r="C21" s="180"/>
      <c r="D21" s="35"/>
      <c r="E21" s="36"/>
      <c r="F21" s="36"/>
      <c r="G21" s="36">
        <f t="shared" si="2"/>
        <v>0</v>
      </c>
      <c r="H21" s="336">
        <v>0</v>
      </c>
      <c r="I21" s="336">
        <v>0</v>
      </c>
      <c r="J21" s="36">
        <f t="shared" si="6"/>
        <v>0</v>
      </c>
      <c r="K21" s="36">
        <f t="shared" si="0"/>
        <v>0</v>
      </c>
      <c r="L21" s="197">
        <v>0</v>
      </c>
      <c r="M21" s="36">
        <f t="shared" si="1"/>
        <v>4324</v>
      </c>
      <c r="N21" s="237"/>
    </row>
    <row r="22" spans="1:14">
      <c r="A22" s="26">
        <v>19</v>
      </c>
      <c r="B22" s="27">
        <v>46100</v>
      </c>
      <c r="C22" s="107"/>
      <c r="D22" s="35"/>
      <c r="E22" s="36"/>
      <c r="F22" s="36"/>
      <c r="G22" s="36">
        <f t="shared" si="2"/>
        <v>0</v>
      </c>
      <c r="H22" s="336">
        <v>0</v>
      </c>
      <c r="I22" s="336">
        <v>0</v>
      </c>
      <c r="J22" s="36">
        <f t="shared" si="6"/>
        <v>0</v>
      </c>
      <c r="K22" s="36">
        <f t="shared" si="0"/>
        <v>0</v>
      </c>
      <c r="L22" s="197">
        <v>0</v>
      </c>
      <c r="M22" s="36">
        <f t="shared" si="1"/>
        <v>4324</v>
      </c>
      <c r="N22" s="198"/>
    </row>
    <row r="23" spans="1:14">
      <c r="A23" s="26">
        <v>20</v>
      </c>
      <c r="B23" s="27">
        <v>46101</v>
      </c>
      <c r="C23" s="107"/>
      <c r="D23" s="35"/>
      <c r="E23" s="36"/>
      <c r="F23" s="36"/>
      <c r="G23" s="36">
        <f t="shared" si="2"/>
        <v>0</v>
      </c>
      <c r="H23" s="336">
        <v>0</v>
      </c>
      <c r="I23" s="336">
        <v>0</v>
      </c>
      <c r="J23" s="36">
        <f t="shared" si="6"/>
        <v>0</v>
      </c>
      <c r="K23" s="36">
        <f t="shared" si="0"/>
        <v>0</v>
      </c>
      <c r="L23" s="197">
        <v>0</v>
      </c>
      <c r="M23" s="36">
        <f t="shared" si="1"/>
        <v>4324</v>
      </c>
      <c r="N23" s="198"/>
    </row>
    <row r="24" spans="1:14">
      <c r="A24" s="26">
        <v>21</v>
      </c>
      <c r="B24" s="27">
        <v>46102</v>
      </c>
      <c r="C24" s="107"/>
      <c r="D24" s="35"/>
      <c r="E24" s="36"/>
      <c r="F24" s="36"/>
      <c r="G24" s="36">
        <f t="shared" si="2"/>
        <v>0</v>
      </c>
      <c r="H24" s="336">
        <v>0</v>
      </c>
      <c r="I24" s="336">
        <v>0</v>
      </c>
      <c r="J24" s="36">
        <f t="shared" si="6"/>
        <v>0</v>
      </c>
      <c r="K24" s="36">
        <f t="shared" si="0"/>
        <v>0</v>
      </c>
      <c r="L24" s="197">
        <v>0</v>
      </c>
      <c r="M24" s="36">
        <f t="shared" si="1"/>
        <v>4324</v>
      </c>
      <c r="N24" s="198"/>
    </row>
    <row r="25" spans="1:14">
      <c r="A25" s="26">
        <v>22</v>
      </c>
      <c r="B25" s="27">
        <v>46103</v>
      </c>
      <c r="C25" s="107"/>
      <c r="D25" s="35"/>
      <c r="E25" s="36"/>
      <c r="F25" s="36"/>
      <c r="G25" s="36">
        <f t="shared" si="2"/>
        <v>0</v>
      </c>
      <c r="H25" s="336">
        <v>0</v>
      </c>
      <c r="I25" s="336">
        <v>0</v>
      </c>
      <c r="J25" s="36">
        <f t="shared" si="6"/>
        <v>0</v>
      </c>
      <c r="K25" s="36">
        <f t="shared" si="0"/>
        <v>0</v>
      </c>
      <c r="L25" s="197">
        <v>0</v>
      </c>
      <c r="M25" s="36">
        <f t="shared" si="1"/>
        <v>4324</v>
      </c>
      <c r="N25" s="198"/>
    </row>
    <row r="26" spans="1:14">
      <c r="A26" s="26">
        <v>23</v>
      </c>
      <c r="B26" s="27">
        <v>46104</v>
      </c>
      <c r="C26" s="107"/>
      <c r="D26" s="35"/>
      <c r="E26" s="36">
        <v>0</v>
      </c>
      <c r="F26" s="36">
        <v>0</v>
      </c>
      <c r="G26" s="36">
        <f t="shared" si="2"/>
        <v>0</v>
      </c>
      <c r="H26" s="336">
        <v>0</v>
      </c>
      <c r="I26" s="336">
        <v>0</v>
      </c>
      <c r="J26" s="36">
        <f t="shared" si="6"/>
        <v>0</v>
      </c>
      <c r="K26" s="36">
        <f t="shared" si="0"/>
        <v>0</v>
      </c>
      <c r="L26" s="197">
        <v>0</v>
      </c>
      <c r="M26" s="36">
        <f t="shared" si="1"/>
        <v>4324</v>
      </c>
      <c r="N26" s="198"/>
    </row>
    <row r="27" spans="1:14">
      <c r="A27" s="26">
        <v>24</v>
      </c>
      <c r="B27" s="27">
        <v>46105</v>
      </c>
      <c r="C27" s="107"/>
      <c r="D27" s="35"/>
      <c r="E27" s="36"/>
      <c r="F27" s="36"/>
      <c r="G27" s="36">
        <f t="shared" si="2"/>
        <v>0</v>
      </c>
      <c r="H27" s="336">
        <v>0</v>
      </c>
      <c r="I27" s="336">
        <v>0</v>
      </c>
      <c r="J27" s="36">
        <f t="shared" si="6"/>
        <v>0</v>
      </c>
      <c r="K27" s="36">
        <f t="shared" si="0"/>
        <v>0</v>
      </c>
      <c r="L27" s="197">
        <v>0</v>
      </c>
      <c r="M27" s="36">
        <f t="shared" si="1"/>
        <v>4324</v>
      </c>
      <c r="N27" s="198"/>
    </row>
    <row r="28" spans="1:14">
      <c r="A28" s="26">
        <v>25</v>
      </c>
      <c r="B28" s="27">
        <v>46106</v>
      </c>
      <c r="C28" s="107"/>
      <c r="D28" s="35"/>
      <c r="E28" s="36"/>
      <c r="F28" s="36"/>
      <c r="G28" s="36">
        <f t="shared" si="2"/>
        <v>0</v>
      </c>
      <c r="H28" s="336">
        <v>0</v>
      </c>
      <c r="I28" s="336">
        <v>0</v>
      </c>
      <c r="J28" s="36">
        <f t="shared" si="6"/>
        <v>0</v>
      </c>
      <c r="K28" s="36">
        <f t="shared" si="0"/>
        <v>0</v>
      </c>
      <c r="L28" s="197">
        <v>0</v>
      </c>
      <c r="M28" s="36">
        <f t="shared" si="1"/>
        <v>4324</v>
      </c>
      <c r="N28" s="198"/>
    </row>
    <row r="29" spans="1:14">
      <c r="A29" s="26">
        <v>26</v>
      </c>
      <c r="B29" s="27">
        <v>46107</v>
      </c>
      <c r="C29" s="107"/>
      <c r="D29" s="35"/>
      <c r="E29" s="36"/>
      <c r="F29" s="36"/>
      <c r="G29" s="36">
        <f t="shared" si="2"/>
        <v>0</v>
      </c>
      <c r="H29" s="336">
        <v>50</v>
      </c>
      <c r="I29" s="336">
        <v>108.1</v>
      </c>
      <c r="J29" s="36">
        <f t="shared" si="6"/>
        <v>5405</v>
      </c>
      <c r="K29" s="36">
        <f t="shared" si="0"/>
        <v>5405</v>
      </c>
      <c r="L29" s="197">
        <v>0</v>
      </c>
      <c r="M29" s="36">
        <f t="shared" si="1"/>
        <v>9729</v>
      </c>
      <c r="N29" s="198"/>
    </row>
    <row r="30" spans="1:14">
      <c r="A30" s="26">
        <v>27</v>
      </c>
      <c r="B30" s="27">
        <v>46108</v>
      </c>
      <c r="C30" s="107"/>
      <c r="D30" s="35"/>
      <c r="E30" s="36"/>
      <c r="F30" s="36"/>
      <c r="G30" s="36">
        <f t="shared" si="2"/>
        <v>0</v>
      </c>
      <c r="H30" s="336">
        <v>0</v>
      </c>
      <c r="I30" s="336">
        <v>0</v>
      </c>
      <c r="J30" s="36">
        <f t="shared" si="6"/>
        <v>0</v>
      </c>
      <c r="K30" s="36">
        <f t="shared" si="0"/>
        <v>0</v>
      </c>
      <c r="L30" s="197">
        <v>0</v>
      </c>
      <c r="M30" s="36">
        <f>M29+K30-L30</f>
        <v>9729</v>
      </c>
      <c r="N30" s="198"/>
    </row>
    <row r="31" spans="1:14">
      <c r="A31" s="26">
        <v>28</v>
      </c>
      <c r="B31" s="27">
        <v>46109</v>
      </c>
      <c r="C31" s="107"/>
      <c r="D31" s="35"/>
      <c r="E31" s="36"/>
      <c r="F31" s="36"/>
      <c r="G31" s="36">
        <f t="shared" si="2"/>
        <v>0</v>
      </c>
      <c r="H31" s="336">
        <v>0</v>
      </c>
      <c r="I31" s="336">
        <v>0</v>
      </c>
      <c r="J31" s="36">
        <f t="shared" si="6"/>
        <v>0</v>
      </c>
      <c r="K31" s="36">
        <f t="shared" si="0"/>
        <v>0</v>
      </c>
      <c r="L31" s="197"/>
      <c r="M31" s="36">
        <f t="shared" si="1"/>
        <v>9729</v>
      </c>
      <c r="N31" s="198"/>
    </row>
    <row r="32" spans="1:14">
      <c r="A32" s="26">
        <v>29</v>
      </c>
      <c r="B32" s="27">
        <v>46110</v>
      </c>
      <c r="C32" s="107"/>
      <c r="D32" s="35"/>
      <c r="E32" s="36"/>
      <c r="F32" s="36"/>
      <c r="G32" s="36">
        <f t="shared" ref="G32:G34" si="7">E32*F32</f>
        <v>0</v>
      </c>
      <c r="H32" s="336">
        <v>0</v>
      </c>
      <c r="I32" s="336">
        <v>0</v>
      </c>
      <c r="J32" s="36">
        <f t="shared" si="6"/>
        <v>0</v>
      </c>
      <c r="K32" s="36">
        <f t="shared" ref="K32:K34" si="8">G32+J32</f>
        <v>0</v>
      </c>
      <c r="L32" s="197"/>
      <c r="M32" s="36">
        <f t="shared" ref="M32:M34" si="9">M31+K32-L32</f>
        <v>9729</v>
      </c>
      <c r="N32" s="198"/>
    </row>
    <row r="33" spans="1:14">
      <c r="A33" s="26">
        <v>30</v>
      </c>
      <c r="B33" s="27">
        <v>46111</v>
      </c>
      <c r="C33" s="107"/>
      <c r="D33" s="35"/>
      <c r="E33" s="36"/>
      <c r="F33" s="36"/>
      <c r="G33" s="36">
        <f t="shared" si="7"/>
        <v>0</v>
      </c>
      <c r="H33" s="336">
        <v>0</v>
      </c>
      <c r="I33" s="336">
        <v>0</v>
      </c>
      <c r="J33" s="36">
        <f t="shared" si="6"/>
        <v>0</v>
      </c>
      <c r="K33" s="36">
        <f t="shared" si="8"/>
        <v>0</v>
      </c>
      <c r="L33" s="197"/>
      <c r="M33" s="36">
        <f t="shared" si="9"/>
        <v>9729</v>
      </c>
      <c r="N33" s="198"/>
    </row>
    <row r="34" spans="1:14">
      <c r="A34" s="26">
        <v>31</v>
      </c>
      <c r="B34" s="27">
        <v>46112</v>
      </c>
      <c r="C34" s="107"/>
      <c r="D34" s="35"/>
      <c r="E34" s="36"/>
      <c r="F34" s="36"/>
      <c r="G34" s="36">
        <f t="shared" si="7"/>
        <v>0</v>
      </c>
      <c r="H34" s="336"/>
      <c r="I34" s="336"/>
      <c r="J34" s="36">
        <f t="shared" ref="J32:J34" si="10">H34*I34</f>
        <v>0</v>
      </c>
      <c r="K34" s="36">
        <f t="shared" si="8"/>
        <v>0</v>
      </c>
      <c r="L34" s="197"/>
      <c r="M34" s="36">
        <f t="shared" si="9"/>
        <v>9729</v>
      </c>
      <c r="N34" s="198"/>
    </row>
    <row r="35" spans="1:14">
      <c r="A35" s="62"/>
      <c r="B35" s="62"/>
      <c r="C35" s="62"/>
      <c r="D35" s="62"/>
      <c r="E35" s="258">
        <f>SUM(E4:E34)</f>
        <v>0</v>
      </c>
      <c r="F35" s="258"/>
      <c r="G35" s="63">
        <f>SUM(G4:G34)</f>
        <v>0</v>
      </c>
      <c r="H35" s="63">
        <f>SUM(H4:H34)</f>
        <v>210</v>
      </c>
      <c r="I35" s="63"/>
      <c r="J35" s="63">
        <f>SUM(J4:J34)</f>
        <v>22701</v>
      </c>
      <c r="K35" s="63">
        <f>SUM(K4:K34)</f>
        <v>22701</v>
      </c>
      <c r="L35" s="63">
        <f>SUM(L4:L34)</f>
        <v>37835</v>
      </c>
      <c r="M35" s="63"/>
      <c r="N35" s="63"/>
    </row>
  </sheetData>
  <mergeCells count="2">
    <mergeCell ref="A1:N1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7F56-11F8-444B-ADE5-EA1B4D8F04F7}">
  <dimension ref="A1:N35"/>
  <sheetViews>
    <sheetView workbookViewId="0">
      <selection activeCell="R13" sqref="R13"/>
    </sheetView>
  </sheetViews>
  <sheetFormatPr defaultRowHeight="15"/>
  <cols>
    <col min="2" max="2" width="10.42578125" bestFit="1" customWidth="1"/>
    <col min="7" max="7" width="10.85546875" bestFit="1" customWidth="1"/>
    <col min="10" max="10" width="10.85546875" bestFit="1" customWidth="1"/>
    <col min="11" max="12" width="13.5703125" bestFit="1" customWidth="1"/>
    <col min="13" max="13" width="11.85546875" bestFit="1" customWidth="1"/>
  </cols>
  <sheetData>
    <row r="1" spans="1:14" ht="15.75">
      <c r="A1" s="455" t="s">
        <v>81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</row>
    <row r="2" spans="1:14" ht="30.75">
      <c r="A2" s="98" t="s">
        <v>0</v>
      </c>
      <c r="B2" s="99" t="s">
        <v>161</v>
      </c>
      <c r="C2" s="99" t="s">
        <v>162</v>
      </c>
      <c r="D2" s="99" t="s">
        <v>180</v>
      </c>
      <c r="E2" s="256" t="s">
        <v>164</v>
      </c>
      <c r="F2" s="256" t="s">
        <v>165</v>
      </c>
      <c r="G2" s="99" t="s">
        <v>166</v>
      </c>
      <c r="H2" s="99" t="s">
        <v>167</v>
      </c>
      <c r="I2" s="99" t="s">
        <v>165</v>
      </c>
      <c r="J2" s="138" t="s">
        <v>166</v>
      </c>
      <c r="K2" s="100" t="s">
        <v>168</v>
      </c>
      <c r="L2" s="139" t="s">
        <v>169</v>
      </c>
      <c r="M2" s="143" t="s">
        <v>181</v>
      </c>
      <c r="N2" s="101" t="s">
        <v>171</v>
      </c>
    </row>
    <row r="3" spans="1:14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  <c r="M3" s="148">
        <v>151710.01999999999</v>
      </c>
      <c r="N3" s="156"/>
    </row>
    <row r="4" spans="1:14">
      <c r="A4" s="196">
        <v>1</v>
      </c>
      <c r="B4" s="219">
        <v>45717</v>
      </c>
      <c r="C4" s="67"/>
      <c r="D4" s="159"/>
      <c r="E4" s="266">
        <v>200</v>
      </c>
      <c r="F4" s="426">
        <v>96.37</v>
      </c>
      <c r="G4" s="8">
        <f t="shared" ref="G4:G34" si="0">E4*F4</f>
        <v>19274</v>
      </c>
      <c r="H4" s="266">
        <v>5</v>
      </c>
      <c r="I4" s="299">
        <v>108.17</v>
      </c>
      <c r="J4" s="8">
        <f>H4*I4</f>
        <v>540.85</v>
      </c>
      <c r="K4" s="8">
        <f>G4+J4</f>
        <v>19814.849999999999</v>
      </c>
      <c r="L4" s="68">
        <v>0</v>
      </c>
      <c r="M4" s="40">
        <f>M3+K4-L4</f>
        <v>171524.87</v>
      </c>
      <c r="N4" s="8"/>
    </row>
    <row r="5" spans="1:14">
      <c r="A5" s="46">
        <v>2</v>
      </c>
      <c r="B5" s="219">
        <v>45718</v>
      </c>
      <c r="C5" s="67"/>
      <c r="D5" s="159"/>
      <c r="E5" s="266">
        <v>37.67</v>
      </c>
      <c r="F5" s="426">
        <v>96.37</v>
      </c>
      <c r="G5" s="8">
        <f t="shared" si="0"/>
        <v>3630.2579000000005</v>
      </c>
      <c r="H5" s="266">
        <f>4+4+5</f>
        <v>13</v>
      </c>
      <c r="I5" s="299">
        <v>108.17</v>
      </c>
      <c r="J5" s="8">
        <f t="shared" ref="J5:J34" si="1">H5*I5</f>
        <v>1406.21</v>
      </c>
      <c r="K5" s="8">
        <f t="shared" ref="K5:K34" si="2">G5+J5</f>
        <v>5036.4679000000006</v>
      </c>
      <c r="L5" s="68">
        <v>0</v>
      </c>
      <c r="M5" s="40">
        <f t="shared" ref="M5:M25" si="3">M4+K5-L5</f>
        <v>176561.33789999998</v>
      </c>
      <c r="N5" s="8"/>
    </row>
    <row r="6" spans="1:14">
      <c r="A6" s="46">
        <v>3</v>
      </c>
      <c r="B6" s="219">
        <v>45719</v>
      </c>
      <c r="C6" s="67"/>
      <c r="D6" s="159"/>
      <c r="E6" s="266">
        <f>200+49.72</f>
        <v>249.72</v>
      </c>
      <c r="F6" s="427">
        <v>96.37</v>
      </c>
      <c r="G6" s="8">
        <f t="shared" si="0"/>
        <v>24065.5164</v>
      </c>
      <c r="H6" s="266">
        <f>5+5+5</f>
        <v>15</v>
      </c>
      <c r="I6" s="299">
        <v>108.17</v>
      </c>
      <c r="J6" s="8">
        <f t="shared" si="1"/>
        <v>1622.55</v>
      </c>
      <c r="K6" s="8">
        <f t="shared" si="2"/>
        <v>25688.0664</v>
      </c>
      <c r="L6" s="68">
        <v>0</v>
      </c>
      <c r="M6" s="40">
        <f t="shared" si="3"/>
        <v>202249.40429999999</v>
      </c>
      <c r="N6" s="8"/>
    </row>
    <row r="7" spans="1:14">
      <c r="A7" s="46">
        <v>4</v>
      </c>
      <c r="B7" s="219">
        <v>45720</v>
      </c>
      <c r="C7" s="67"/>
      <c r="D7" s="159"/>
      <c r="E7" s="266">
        <v>30</v>
      </c>
      <c r="F7" s="427">
        <v>96.37</v>
      </c>
      <c r="G7" s="8">
        <f t="shared" si="0"/>
        <v>2891.1000000000004</v>
      </c>
      <c r="H7" s="266">
        <v>0</v>
      </c>
      <c r="I7" s="428">
        <v>108.17</v>
      </c>
      <c r="J7" s="8">
        <f t="shared" si="1"/>
        <v>0</v>
      </c>
      <c r="K7" s="8">
        <f t="shared" si="2"/>
        <v>2891.1000000000004</v>
      </c>
      <c r="L7" s="68">
        <v>0</v>
      </c>
      <c r="M7" s="40">
        <f t="shared" si="3"/>
        <v>205140.5043</v>
      </c>
      <c r="N7" s="8"/>
    </row>
    <row r="8" spans="1:14">
      <c r="A8" s="46">
        <v>5</v>
      </c>
      <c r="B8" s="219">
        <v>45721</v>
      </c>
      <c r="C8" s="67"/>
      <c r="D8" s="159"/>
      <c r="E8" s="266">
        <f>200+200+43.89</f>
        <v>443.89</v>
      </c>
      <c r="F8" s="427">
        <v>96.37</v>
      </c>
      <c r="G8" s="8">
        <f t="shared" si="0"/>
        <v>42777.679300000003</v>
      </c>
      <c r="H8" s="266">
        <f>5+45.31</f>
        <v>50.31</v>
      </c>
      <c r="I8" s="428">
        <v>108.17</v>
      </c>
      <c r="J8" s="8">
        <f t="shared" si="1"/>
        <v>5442.0327000000007</v>
      </c>
      <c r="K8" s="8">
        <f t="shared" si="2"/>
        <v>48219.712000000007</v>
      </c>
      <c r="L8" s="68">
        <v>0</v>
      </c>
      <c r="M8" s="40">
        <f t="shared" si="3"/>
        <v>253360.2163</v>
      </c>
      <c r="N8" s="8"/>
    </row>
    <row r="9" spans="1:14">
      <c r="A9" s="46">
        <v>6</v>
      </c>
      <c r="B9" s="219">
        <v>45722</v>
      </c>
      <c r="C9" s="67"/>
      <c r="D9" s="159"/>
      <c r="E9" s="266">
        <v>200</v>
      </c>
      <c r="F9" s="427">
        <v>96.37</v>
      </c>
      <c r="G9" s="8">
        <f t="shared" si="0"/>
        <v>19274</v>
      </c>
      <c r="H9" s="266">
        <v>0</v>
      </c>
      <c r="I9" s="428">
        <v>108.17</v>
      </c>
      <c r="J9" s="8">
        <f t="shared" si="1"/>
        <v>0</v>
      </c>
      <c r="K9" s="8">
        <f t="shared" si="2"/>
        <v>19274</v>
      </c>
      <c r="L9" s="68">
        <v>0</v>
      </c>
      <c r="M9" s="40">
        <f t="shared" si="3"/>
        <v>272634.21629999997</v>
      </c>
      <c r="N9" s="8"/>
    </row>
    <row r="10" spans="1:14">
      <c r="A10" s="46">
        <v>7</v>
      </c>
      <c r="B10" s="219">
        <v>45723</v>
      </c>
      <c r="C10" s="67"/>
      <c r="D10" s="159"/>
      <c r="E10" s="266">
        <f>19.18+83.81+100+200</f>
        <v>402.99</v>
      </c>
      <c r="F10" s="427">
        <v>96.37</v>
      </c>
      <c r="G10" s="8">
        <f t="shared" si="0"/>
        <v>38836.1463</v>
      </c>
      <c r="H10" s="266">
        <f>4+5+5</f>
        <v>14</v>
      </c>
      <c r="I10" s="428">
        <v>108.17</v>
      </c>
      <c r="J10" s="8">
        <f t="shared" si="1"/>
        <v>1514.38</v>
      </c>
      <c r="K10" s="8">
        <f t="shared" si="2"/>
        <v>40350.526299999998</v>
      </c>
      <c r="L10" s="68">
        <v>0</v>
      </c>
      <c r="M10" s="40">
        <f t="shared" si="3"/>
        <v>312984.7426</v>
      </c>
      <c r="N10" s="8"/>
    </row>
    <row r="11" spans="1:14">
      <c r="A11" s="46">
        <v>8</v>
      </c>
      <c r="B11" s="219">
        <v>45724</v>
      </c>
      <c r="C11" s="67"/>
      <c r="D11" s="159"/>
      <c r="E11" s="266">
        <v>0</v>
      </c>
      <c r="F11" s="427">
        <v>96.37</v>
      </c>
      <c r="G11" s="8">
        <f t="shared" si="0"/>
        <v>0</v>
      </c>
      <c r="H11" s="266">
        <v>0</v>
      </c>
      <c r="I11" s="428">
        <v>108.17</v>
      </c>
      <c r="J11" s="8">
        <f t="shared" si="1"/>
        <v>0</v>
      </c>
      <c r="K11" s="8">
        <f t="shared" si="2"/>
        <v>0</v>
      </c>
      <c r="L11" s="68">
        <v>0</v>
      </c>
      <c r="M11" s="40">
        <f t="shared" si="3"/>
        <v>312984.7426</v>
      </c>
      <c r="N11" s="8"/>
    </row>
    <row r="12" spans="1:14">
      <c r="A12" s="46">
        <v>9</v>
      </c>
      <c r="B12" s="219">
        <v>45725</v>
      </c>
      <c r="C12" s="67"/>
      <c r="D12" s="159"/>
      <c r="E12" s="266">
        <v>0</v>
      </c>
      <c r="F12" s="427">
        <v>96.37</v>
      </c>
      <c r="G12" s="8">
        <f t="shared" si="0"/>
        <v>0</v>
      </c>
      <c r="H12" s="266">
        <v>9</v>
      </c>
      <c r="I12" s="428">
        <v>108.17</v>
      </c>
      <c r="J12" s="8">
        <f t="shared" si="1"/>
        <v>973.53</v>
      </c>
      <c r="K12" s="8">
        <f t="shared" si="2"/>
        <v>973.53</v>
      </c>
      <c r="L12" s="68">
        <v>0</v>
      </c>
      <c r="M12" s="40">
        <f t="shared" si="3"/>
        <v>313958.27260000003</v>
      </c>
      <c r="N12" s="8"/>
    </row>
    <row r="13" spans="1:14">
      <c r="A13" s="46">
        <v>10</v>
      </c>
      <c r="B13" s="219">
        <v>45726</v>
      </c>
      <c r="C13" s="67"/>
      <c r="D13" s="159"/>
      <c r="E13" s="266">
        <f>59.13+400+30.73</f>
        <v>489.86</v>
      </c>
      <c r="F13" s="427">
        <v>96.37</v>
      </c>
      <c r="G13" s="8">
        <f t="shared" si="0"/>
        <v>47207.808200000007</v>
      </c>
      <c r="H13" s="266">
        <v>0</v>
      </c>
      <c r="I13" s="428">
        <v>108.17</v>
      </c>
      <c r="J13" s="8">
        <f t="shared" si="1"/>
        <v>0</v>
      </c>
      <c r="K13" s="8">
        <f t="shared" si="2"/>
        <v>47207.808200000007</v>
      </c>
      <c r="L13" s="68">
        <v>360000</v>
      </c>
      <c r="M13" s="40">
        <f t="shared" si="3"/>
        <v>1166.0808000000543</v>
      </c>
      <c r="N13" s="8"/>
    </row>
    <row r="14" spans="1:14">
      <c r="A14" s="46">
        <v>11</v>
      </c>
      <c r="B14" s="219">
        <v>45727</v>
      </c>
      <c r="C14" s="67"/>
      <c r="D14" s="159"/>
      <c r="E14" s="266">
        <f>42.79+61.28</f>
        <v>104.07</v>
      </c>
      <c r="F14" s="427">
        <v>96.37</v>
      </c>
      <c r="G14" s="8">
        <f t="shared" si="0"/>
        <v>10029.225899999999</v>
      </c>
      <c r="H14" s="266">
        <f>5+5</f>
        <v>10</v>
      </c>
      <c r="I14" s="428">
        <v>108.17</v>
      </c>
      <c r="J14" s="8">
        <f t="shared" si="1"/>
        <v>1081.7</v>
      </c>
      <c r="K14" s="8">
        <f t="shared" si="2"/>
        <v>11110.9259</v>
      </c>
      <c r="L14" s="68">
        <v>0</v>
      </c>
      <c r="M14" s="40">
        <f t="shared" si="3"/>
        <v>12277.006700000054</v>
      </c>
      <c r="N14" s="8"/>
    </row>
    <row r="15" spans="1:14">
      <c r="A15" s="46">
        <v>12</v>
      </c>
      <c r="B15" s="219">
        <v>45728</v>
      </c>
      <c r="C15" s="67"/>
      <c r="D15" s="159"/>
      <c r="E15" s="266">
        <v>200</v>
      </c>
      <c r="F15" s="427">
        <v>96.37</v>
      </c>
      <c r="G15" s="8">
        <f t="shared" si="0"/>
        <v>19274</v>
      </c>
      <c r="H15" s="266">
        <v>3</v>
      </c>
      <c r="I15" s="428">
        <v>108.17</v>
      </c>
      <c r="J15" s="8">
        <f t="shared" si="1"/>
        <v>324.51</v>
      </c>
      <c r="K15" s="8">
        <f t="shared" si="2"/>
        <v>19598.509999999998</v>
      </c>
      <c r="L15" s="68">
        <v>0</v>
      </c>
      <c r="M15" s="40">
        <f t="shared" si="3"/>
        <v>31875.516700000051</v>
      </c>
      <c r="N15" s="8"/>
    </row>
    <row r="16" spans="1:14">
      <c r="A16" s="46">
        <v>13</v>
      </c>
      <c r="B16" s="219">
        <v>45729</v>
      </c>
      <c r="C16" s="67"/>
      <c r="D16" s="159"/>
      <c r="E16" s="266">
        <f>100+67.66+41.08</f>
        <v>208.74</v>
      </c>
      <c r="F16" s="427">
        <v>96.37</v>
      </c>
      <c r="G16" s="8">
        <f t="shared" si="0"/>
        <v>20116.273800000003</v>
      </c>
      <c r="H16" s="266">
        <f>5+5+5+4</f>
        <v>19</v>
      </c>
      <c r="I16" s="428">
        <v>108.17</v>
      </c>
      <c r="J16" s="8">
        <f t="shared" si="1"/>
        <v>2055.23</v>
      </c>
      <c r="K16" s="8">
        <f t="shared" si="2"/>
        <v>22171.503800000002</v>
      </c>
      <c r="L16" s="68">
        <v>0</v>
      </c>
      <c r="M16" s="40">
        <f t="shared" si="3"/>
        <v>54047.020500000057</v>
      </c>
      <c r="N16" s="8"/>
    </row>
    <row r="17" spans="1:14">
      <c r="A17" s="46">
        <v>14</v>
      </c>
      <c r="B17" s="219">
        <v>45730</v>
      </c>
      <c r="C17" s="67"/>
      <c r="D17" s="159"/>
      <c r="E17" s="257"/>
      <c r="F17" s="257"/>
      <c r="G17" s="8">
        <f t="shared" si="0"/>
        <v>0</v>
      </c>
      <c r="H17" s="65">
        <v>6</v>
      </c>
      <c r="I17" s="428">
        <v>108.17</v>
      </c>
      <c r="J17" s="8">
        <f t="shared" si="1"/>
        <v>649.02</v>
      </c>
      <c r="K17" s="8">
        <f t="shared" si="2"/>
        <v>649.02</v>
      </c>
      <c r="L17" s="68"/>
      <c r="M17" s="40">
        <f t="shared" si="3"/>
        <v>54696.040500000054</v>
      </c>
      <c r="N17" s="8"/>
    </row>
    <row r="18" spans="1:14">
      <c r="A18" s="46">
        <v>15</v>
      </c>
      <c r="B18" s="219">
        <v>45731</v>
      </c>
      <c r="C18" s="67"/>
      <c r="D18" s="159"/>
      <c r="E18" s="257"/>
      <c r="F18" s="257"/>
      <c r="G18" s="8">
        <f t="shared" si="0"/>
        <v>0</v>
      </c>
      <c r="H18" s="65">
        <v>0</v>
      </c>
      <c r="I18" s="66">
        <v>0</v>
      </c>
      <c r="J18" s="8">
        <f t="shared" si="1"/>
        <v>0</v>
      </c>
      <c r="K18" s="8">
        <f t="shared" si="2"/>
        <v>0</v>
      </c>
      <c r="L18" s="68">
        <f t="shared" ref="L5:L34" si="4">+K18</f>
        <v>0</v>
      </c>
      <c r="M18" s="40">
        <f t="shared" si="3"/>
        <v>54696.040500000054</v>
      </c>
      <c r="N18" s="8"/>
    </row>
    <row r="19" spans="1:14">
      <c r="A19" s="46">
        <v>16</v>
      </c>
      <c r="B19" s="219">
        <v>45732</v>
      </c>
      <c r="C19" s="67"/>
      <c r="D19" s="159"/>
      <c r="E19" s="257"/>
      <c r="F19" s="257"/>
      <c r="G19" s="8">
        <f t="shared" si="0"/>
        <v>0</v>
      </c>
      <c r="H19" s="65">
        <v>4</v>
      </c>
      <c r="I19" s="66">
        <v>108.17</v>
      </c>
      <c r="J19" s="8">
        <f t="shared" si="1"/>
        <v>432.68</v>
      </c>
      <c r="K19" s="8">
        <f t="shared" si="2"/>
        <v>432.68</v>
      </c>
      <c r="L19" s="68"/>
      <c r="M19" s="40">
        <f t="shared" si="3"/>
        <v>55128.720500000054</v>
      </c>
      <c r="N19" s="8"/>
    </row>
    <row r="20" spans="1:14">
      <c r="A20" s="46">
        <v>17</v>
      </c>
      <c r="B20" s="219">
        <v>45733</v>
      </c>
      <c r="C20" s="67"/>
      <c r="D20" s="159"/>
      <c r="E20" s="257"/>
      <c r="F20" s="257"/>
      <c r="G20" s="8">
        <f t="shared" si="0"/>
        <v>0</v>
      </c>
      <c r="H20" s="65">
        <v>5</v>
      </c>
      <c r="I20" s="66">
        <v>108.17</v>
      </c>
      <c r="J20" s="8">
        <f t="shared" si="1"/>
        <v>540.85</v>
      </c>
      <c r="K20" s="8">
        <f t="shared" si="2"/>
        <v>540.85</v>
      </c>
      <c r="L20" s="68"/>
      <c r="M20" s="40">
        <f t="shared" si="3"/>
        <v>55669.570500000053</v>
      </c>
      <c r="N20" s="8"/>
    </row>
    <row r="21" spans="1:14">
      <c r="A21" s="46">
        <v>18</v>
      </c>
      <c r="B21" s="219">
        <v>45734</v>
      </c>
      <c r="C21" s="67"/>
      <c r="D21" s="159"/>
      <c r="E21" s="257">
        <v>160.75</v>
      </c>
      <c r="F21" s="257">
        <v>96.37</v>
      </c>
      <c r="G21" s="8">
        <f t="shared" si="0"/>
        <v>15491.477500000001</v>
      </c>
      <c r="H21" s="65">
        <v>0</v>
      </c>
      <c r="I21" s="66">
        <v>0</v>
      </c>
      <c r="J21" s="8">
        <f t="shared" si="1"/>
        <v>0</v>
      </c>
      <c r="K21" s="8">
        <f t="shared" si="2"/>
        <v>15491.477500000001</v>
      </c>
      <c r="L21" s="68">
        <v>0</v>
      </c>
      <c r="M21" s="40">
        <f t="shared" si="3"/>
        <v>71161.048000000053</v>
      </c>
      <c r="N21" s="8"/>
    </row>
    <row r="22" spans="1:14">
      <c r="A22" s="46">
        <v>19</v>
      </c>
      <c r="B22" s="219">
        <v>45735</v>
      </c>
      <c r="C22" s="67"/>
      <c r="D22" s="159"/>
      <c r="E22" s="257"/>
      <c r="F22" s="257"/>
      <c r="G22" s="8">
        <f t="shared" si="0"/>
        <v>0</v>
      </c>
      <c r="H22" s="65">
        <v>0</v>
      </c>
      <c r="I22" s="66">
        <v>0</v>
      </c>
      <c r="J22" s="8">
        <f t="shared" si="1"/>
        <v>0</v>
      </c>
      <c r="K22" s="8">
        <f t="shared" si="2"/>
        <v>0</v>
      </c>
      <c r="L22" s="68">
        <f t="shared" si="4"/>
        <v>0</v>
      </c>
      <c r="M22" s="40">
        <f t="shared" si="3"/>
        <v>71161.048000000053</v>
      </c>
      <c r="N22" s="8"/>
    </row>
    <row r="23" spans="1:14">
      <c r="A23" s="46">
        <v>20</v>
      </c>
      <c r="B23" s="219">
        <v>45736</v>
      </c>
      <c r="C23" s="67"/>
      <c r="D23" s="159"/>
      <c r="E23" s="257"/>
      <c r="F23" s="257"/>
      <c r="G23" s="8">
        <f t="shared" si="0"/>
        <v>0</v>
      </c>
      <c r="H23" s="65">
        <v>0</v>
      </c>
      <c r="I23" s="66">
        <v>0</v>
      </c>
      <c r="J23" s="8">
        <f t="shared" si="1"/>
        <v>0</v>
      </c>
      <c r="K23" s="8">
        <f t="shared" si="2"/>
        <v>0</v>
      </c>
      <c r="L23" s="68">
        <f t="shared" si="4"/>
        <v>0</v>
      </c>
      <c r="M23" s="40">
        <f t="shared" si="3"/>
        <v>71161.048000000053</v>
      </c>
      <c r="N23" s="8"/>
    </row>
    <row r="24" spans="1:14">
      <c r="A24" s="46">
        <v>21</v>
      </c>
      <c r="B24" s="219">
        <v>45737</v>
      </c>
      <c r="C24" s="67"/>
      <c r="D24" s="159"/>
      <c r="E24" s="257"/>
      <c r="F24" s="257"/>
      <c r="G24" s="8">
        <f t="shared" si="0"/>
        <v>0</v>
      </c>
      <c r="H24" s="65">
        <v>0</v>
      </c>
      <c r="I24" s="66">
        <v>0</v>
      </c>
      <c r="J24" s="8">
        <f t="shared" si="1"/>
        <v>0</v>
      </c>
      <c r="K24" s="8">
        <f t="shared" si="2"/>
        <v>0</v>
      </c>
      <c r="L24" s="68">
        <f t="shared" si="4"/>
        <v>0</v>
      </c>
      <c r="M24" s="40">
        <f t="shared" si="3"/>
        <v>71161.048000000053</v>
      </c>
      <c r="N24" s="8"/>
    </row>
    <row r="25" spans="1:14">
      <c r="A25" s="46">
        <v>22</v>
      </c>
      <c r="B25" s="219">
        <v>45738</v>
      </c>
      <c r="C25" s="67"/>
      <c r="D25" s="159"/>
      <c r="E25" s="257"/>
      <c r="F25" s="257"/>
      <c r="G25" s="8">
        <f t="shared" si="0"/>
        <v>0</v>
      </c>
      <c r="H25" s="65">
        <v>0</v>
      </c>
      <c r="I25" s="66">
        <v>0</v>
      </c>
      <c r="J25" s="8">
        <f t="shared" si="1"/>
        <v>0</v>
      </c>
      <c r="K25" s="8">
        <f t="shared" si="2"/>
        <v>0</v>
      </c>
      <c r="L25" s="68">
        <f t="shared" si="4"/>
        <v>0</v>
      </c>
      <c r="M25" s="40">
        <f t="shared" si="3"/>
        <v>71161.048000000053</v>
      </c>
      <c r="N25" s="8"/>
    </row>
    <row r="26" spans="1:14">
      <c r="A26" s="46">
        <v>23</v>
      </c>
      <c r="B26" s="219">
        <v>45739</v>
      </c>
      <c r="C26" s="67"/>
      <c r="D26" s="159"/>
      <c r="E26" s="257"/>
      <c r="F26" s="8"/>
      <c r="G26" s="8">
        <f t="shared" si="0"/>
        <v>0</v>
      </c>
      <c r="H26" s="65">
        <v>0</v>
      </c>
      <c r="I26" s="66">
        <v>0</v>
      </c>
      <c r="J26" s="8">
        <f t="shared" si="1"/>
        <v>0</v>
      </c>
      <c r="K26" s="8">
        <f t="shared" si="2"/>
        <v>0</v>
      </c>
      <c r="L26" s="68">
        <f t="shared" si="4"/>
        <v>0</v>
      </c>
      <c r="M26" s="68">
        <v>0</v>
      </c>
      <c r="N26" s="8"/>
    </row>
    <row r="27" spans="1:14">
      <c r="A27" s="46">
        <v>24</v>
      </c>
      <c r="B27" s="219">
        <v>45740</v>
      </c>
      <c r="C27" s="67"/>
      <c r="D27" s="159"/>
      <c r="E27" s="257"/>
      <c r="F27" s="257"/>
      <c r="G27" s="8">
        <f t="shared" si="0"/>
        <v>0</v>
      </c>
      <c r="H27" s="65">
        <v>0</v>
      </c>
      <c r="I27" s="66">
        <v>0</v>
      </c>
      <c r="J27" s="8">
        <f t="shared" si="1"/>
        <v>0</v>
      </c>
      <c r="K27" s="8">
        <f t="shared" si="2"/>
        <v>0</v>
      </c>
      <c r="L27" s="68">
        <f t="shared" si="4"/>
        <v>0</v>
      </c>
      <c r="M27" s="68">
        <v>0</v>
      </c>
      <c r="N27" s="8"/>
    </row>
    <row r="28" spans="1:14">
      <c r="A28" s="221">
        <v>25</v>
      </c>
      <c r="B28" s="219">
        <v>45741</v>
      </c>
      <c r="C28" s="67"/>
      <c r="D28" s="159"/>
      <c r="E28" s="257"/>
      <c r="F28" s="257"/>
      <c r="G28" s="8"/>
      <c r="H28" s="65">
        <v>0</v>
      </c>
      <c r="I28" s="66">
        <v>0</v>
      </c>
      <c r="J28" s="8">
        <f t="shared" si="1"/>
        <v>0</v>
      </c>
      <c r="K28" s="8">
        <f t="shared" si="2"/>
        <v>0</v>
      </c>
      <c r="L28" s="68">
        <f t="shared" si="4"/>
        <v>0</v>
      </c>
      <c r="M28" s="68">
        <v>0</v>
      </c>
      <c r="N28" s="8"/>
    </row>
    <row r="29" spans="1:14">
      <c r="A29" s="221">
        <v>26</v>
      </c>
      <c r="B29" s="219">
        <v>45742</v>
      </c>
      <c r="C29" s="67"/>
      <c r="D29" s="159"/>
      <c r="E29" s="257"/>
      <c r="F29" s="257"/>
      <c r="G29" s="8">
        <f t="shared" si="0"/>
        <v>0</v>
      </c>
      <c r="H29" s="65">
        <v>0</v>
      </c>
      <c r="I29" s="66">
        <v>0</v>
      </c>
      <c r="J29" s="8">
        <f t="shared" si="1"/>
        <v>0</v>
      </c>
      <c r="K29" s="8">
        <f t="shared" si="2"/>
        <v>0</v>
      </c>
      <c r="L29" s="68">
        <f t="shared" si="4"/>
        <v>0</v>
      </c>
      <c r="M29" s="68">
        <v>0</v>
      </c>
      <c r="N29" s="8"/>
    </row>
    <row r="30" spans="1:14">
      <c r="A30" s="221">
        <v>27</v>
      </c>
      <c r="B30" s="219">
        <v>45743</v>
      </c>
      <c r="C30" s="67"/>
      <c r="D30" s="159"/>
      <c r="E30" s="257"/>
      <c r="F30" s="257"/>
      <c r="G30" s="8">
        <f t="shared" si="0"/>
        <v>0</v>
      </c>
      <c r="H30" s="65">
        <v>0</v>
      </c>
      <c r="I30" s="66">
        <v>0</v>
      </c>
      <c r="J30" s="8">
        <f t="shared" si="1"/>
        <v>0</v>
      </c>
      <c r="K30" s="8">
        <f t="shared" si="2"/>
        <v>0</v>
      </c>
      <c r="L30" s="68">
        <f t="shared" si="4"/>
        <v>0</v>
      </c>
      <c r="M30" s="68">
        <v>0</v>
      </c>
      <c r="N30" s="8"/>
    </row>
    <row r="31" spans="1:14">
      <c r="A31" s="221">
        <v>28</v>
      </c>
      <c r="B31" s="219">
        <v>45744</v>
      </c>
      <c r="C31" s="67"/>
      <c r="D31" s="159"/>
      <c r="E31" s="257"/>
      <c r="F31" s="257"/>
      <c r="G31" s="8">
        <f t="shared" si="0"/>
        <v>0</v>
      </c>
      <c r="H31" s="65">
        <v>0</v>
      </c>
      <c r="I31" s="66">
        <v>0</v>
      </c>
      <c r="J31" s="8">
        <f t="shared" si="1"/>
        <v>0</v>
      </c>
      <c r="K31" s="8">
        <f t="shared" si="2"/>
        <v>0</v>
      </c>
      <c r="L31" s="68">
        <f t="shared" si="4"/>
        <v>0</v>
      </c>
      <c r="M31" s="68">
        <v>0</v>
      </c>
      <c r="N31" s="8"/>
    </row>
    <row r="32" spans="1:14">
      <c r="A32" s="222">
        <v>29</v>
      </c>
      <c r="B32" s="219">
        <v>45745</v>
      </c>
      <c r="C32" s="67"/>
      <c r="D32" s="159"/>
      <c r="E32" s="257"/>
      <c r="F32" s="257"/>
      <c r="G32" s="8">
        <f t="shared" si="0"/>
        <v>0</v>
      </c>
      <c r="H32" s="65">
        <v>0</v>
      </c>
      <c r="I32" s="66">
        <v>0</v>
      </c>
      <c r="J32" s="8">
        <f t="shared" si="1"/>
        <v>0</v>
      </c>
      <c r="K32" s="8">
        <f t="shared" si="2"/>
        <v>0</v>
      </c>
      <c r="L32" s="68">
        <f t="shared" si="4"/>
        <v>0</v>
      </c>
      <c r="M32" s="68">
        <v>0</v>
      </c>
      <c r="N32" s="8"/>
    </row>
    <row r="33" spans="1:14">
      <c r="A33" s="222">
        <v>30</v>
      </c>
      <c r="B33" s="219">
        <v>45746</v>
      </c>
      <c r="C33" s="67"/>
      <c r="D33" s="159"/>
      <c r="E33" s="257"/>
      <c r="F33" s="257"/>
      <c r="G33" s="8">
        <f t="shared" si="0"/>
        <v>0</v>
      </c>
      <c r="H33" s="65">
        <v>0</v>
      </c>
      <c r="I33" s="66">
        <v>0</v>
      </c>
      <c r="J33" s="8">
        <f t="shared" si="1"/>
        <v>0</v>
      </c>
      <c r="K33" s="8">
        <f t="shared" si="2"/>
        <v>0</v>
      </c>
      <c r="L33" s="68">
        <f t="shared" si="4"/>
        <v>0</v>
      </c>
      <c r="M33" s="68">
        <v>0</v>
      </c>
      <c r="N33" s="8"/>
    </row>
    <row r="34" spans="1:14">
      <c r="A34" s="222">
        <v>31</v>
      </c>
      <c r="B34" s="219">
        <v>45747</v>
      </c>
      <c r="C34" s="67"/>
      <c r="D34" s="159"/>
      <c r="E34" s="257"/>
      <c r="F34" s="257"/>
      <c r="G34" s="8">
        <f t="shared" si="0"/>
        <v>0</v>
      </c>
      <c r="H34" s="65">
        <v>0</v>
      </c>
      <c r="I34" s="66">
        <v>0</v>
      </c>
      <c r="J34" s="8">
        <f t="shared" si="1"/>
        <v>0</v>
      </c>
      <c r="K34" s="8">
        <f t="shared" si="2"/>
        <v>0</v>
      </c>
      <c r="L34" s="68">
        <f t="shared" si="4"/>
        <v>0</v>
      </c>
      <c r="M34" s="68">
        <v>0</v>
      </c>
      <c r="N34" s="8"/>
    </row>
    <row r="35" spans="1:14">
      <c r="A35" s="62"/>
      <c r="B35" s="62"/>
      <c r="C35" s="62"/>
      <c r="D35" s="62"/>
      <c r="E35" s="258">
        <f>SUM(E4:E34)</f>
        <v>2727.6900000000005</v>
      </c>
      <c r="F35" s="258"/>
      <c r="G35" s="63">
        <f>SUM(G4:G34)</f>
        <v>262867.4853</v>
      </c>
      <c r="H35" s="63">
        <f>SUM(H4:H34)</f>
        <v>153.31</v>
      </c>
      <c r="I35" s="63"/>
      <c r="J35" s="63">
        <f>SUM(J4:J34)</f>
        <v>16583.542700000002</v>
      </c>
      <c r="K35" s="63">
        <f>SUM(K4:K34)</f>
        <v>279451.02799999999</v>
      </c>
      <c r="L35" s="63">
        <f>SUM(L4:L34)</f>
        <v>360000</v>
      </c>
      <c r="M35" s="63"/>
      <c r="N35" s="63"/>
    </row>
  </sheetData>
  <mergeCells count="2">
    <mergeCell ref="A1:N1"/>
    <mergeCell ref="A3:L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CFE9-973B-4F2F-982C-C713DBE1FA46}">
  <dimension ref="A1:N35"/>
  <sheetViews>
    <sheetView topLeftCell="A6" workbookViewId="0">
      <selection activeCell="K40" sqref="K40"/>
    </sheetView>
  </sheetViews>
  <sheetFormatPr defaultRowHeight="15"/>
  <cols>
    <col min="2" max="2" width="11.85546875" customWidth="1"/>
    <col min="4" max="4" width="12" customWidth="1"/>
    <col min="7" max="7" width="11.85546875" bestFit="1" customWidth="1"/>
    <col min="10" max="10" width="10.85546875" bestFit="1" customWidth="1"/>
    <col min="11" max="11" width="13.5703125" bestFit="1" customWidth="1"/>
    <col min="12" max="12" width="11.140625" customWidth="1"/>
    <col min="13" max="13" width="10.140625" customWidth="1"/>
  </cols>
  <sheetData>
    <row r="1" spans="1:14" ht="15.75">
      <c r="A1" s="455" t="s">
        <v>83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</row>
    <row r="2" spans="1:14" ht="30.75">
      <c r="A2" s="98" t="s">
        <v>0</v>
      </c>
      <c r="B2" s="99" t="s">
        <v>161</v>
      </c>
      <c r="C2" s="99" t="s">
        <v>162</v>
      </c>
      <c r="D2" s="99" t="s">
        <v>180</v>
      </c>
      <c r="E2" s="256" t="s">
        <v>164</v>
      </c>
      <c r="F2" s="256" t="s">
        <v>165</v>
      </c>
      <c r="G2" s="99" t="s">
        <v>166</v>
      </c>
      <c r="H2" s="99" t="s">
        <v>167</v>
      </c>
      <c r="I2" s="99" t="s">
        <v>165</v>
      </c>
      <c r="J2" s="138" t="s">
        <v>166</v>
      </c>
      <c r="K2" s="100" t="s">
        <v>168</v>
      </c>
      <c r="L2" s="139" t="s">
        <v>169</v>
      </c>
      <c r="M2" s="143" t="s">
        <v>181</v>
      </c>
      <c r="N2" s="101" t="s">
        <v>171</v>
      </c>
    </row>
    <row r="3" spans="1:14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  <c r="M3" s="148">
        <v>0</v>
      </c>
      <c r="N3" s="156"/>
    </row>
    <row r="4" spans="1:14">
      <c r="A4" s="196">
        <v>1</v>
      </c>
      <c r="B4" s="219">
        <v>45717</v>
      </c>
      <c r="C4" s="67"/>
      <c r="D4" s="159"/>
      <c r="E4" s="257"/>
      <c r="F4" s="257"/>
      <c r="G4" s="8">
        <f t="shared" ref="G4:G34" si="0">E4*F4</f>
        <v>0</v>
      </c>
      <c r="H4" s="65">
        <v>0</v>
      </c>
      <c r="I4" s="66">
        <v>0</v>
      </c>
      <c r="J4" s="8">
        <f>H4*I4</f>
        <v>0</v>
      </c>
      <c r="K4" s="8">
        <f>G4+J4</f>
        <v>0</v>
      </c>
      <c r="L4" s="68">
        <f>+K4</f>
        <v>0</v>
      </c>
      <c r="M4" s="40">
        <f t="shared" ref="M4:M34" si="1">M3+K4-L4</f>
        <v>0</v>
      </c>
      <c r="N4" s="8"/>
    </row>
    <row r="5" spans="1:14">
      <c r="A5" s="46">
        <v>2</v>
      </c>
      <c r="B5" s="219">
        <v>45718</v>
      </c>
      <c r="C5" s="67"/>
      <c r="D5" s="159"/>
      <c r="E5" s="257"/>
      <c r="F5" s="257"/>
      <c r="G5" s="8">
        <f t="shared" si="0"/>
        <v>0</v>
      </c>
      <c r="H5" s="65">
        <v>0</v>
      </c>
      <c r="I5" s="66">
        <v>0</v>
      </c>
      <c r="J5" s="8">
        <f t="shared" ref="J5:J34" si="2">H5*I5</f>
        <v>0</v>
      </c>
      <c r="K5" s="8">
        <f t="shared" ref="K5:K34" si="3">G5+J5</f>
        <v>0</v>
      </c>
      <c r="L5" s="68">
        <f t="shared" ref="L5:L34" si="4">+K5</f>
        <v>0</v>
      </c>
      <c r="M5" s="40">
        <f t="shared" si="1"/>
        <v>0</v>
      </c>
      <c r="N5" s="8"/>
    </row>
    <row r="6" spans="1:14">
      <c r="A6" s="46">
        <v>3</v>
      </c>
      <c r="B6" s="219">
        <v>45719</v>
      </c>
      <c r="C6" s="67"/>
      <c r="D6" s="159"/>
      <c r="E6" s="257">
        <v>47.79</v>
      </c>
      <c r="F6" s="257">
        <v>96.44</v>
      </c>
      <c r="G6" s="8">
        <f t="shared" si="0"/>
        <v>4608.8675999999996</v>
      </c>
      <c r="H6" s="65">
        <v>0</v>
      </c>
      <c r="I6" s="66">
        <v>0</v>
      </c>
      <c r="J6" s="8">
        <f t="shared" si="2"/>
        <v>0</v>
      </c>
      <c r="K6" s="8">
        <f t="shared" si="3"/>
        <v>4608.8675999999996</v>
      </c>
      <c r="L6" s="68"/>
      <c r="M6" s="40">
        <f t="shared" si="1"/>
        <v>4608.8675999999996</v>
      </c>
      <c r="N6" s="8"/>
    </row>
    <row r="7" spans="1:14">
      <c r="A7" s="46">
        <v>4</v>
      </c>
      <c r="B7" s="219">
        <v>45720</v>
      </c>
      <c r="C7" s="67"/>
      <c r="D7" s="159"/>
      <c r="E7" s="257"/>
      <c r="F7" s="257"/>
      <c r="G7" s="8">
        <f t="shared" si="0"/>
        <v>0</v>
      </c>
      <c r="H7" s="65">
        <v>0</v>
      </c>
      <c r="I7" s="66">
        <v>0</v>
      </c>
      <c r="J7" s="8">
        <f t="shared" si="2"/>
        <v>0</v>
      </c>
      <c r="K7" s="8">
        <f t="shared" si="3"/>
        <v>0</v>
      </c>
      <c r="L7" s="68">
        <f t="shared" si="4"/>
        <v>0</v>
      </c>
      <c r="M7" s="40">
        <f t="shared" si="1"/>
        <v>4608.8675999999996</v>
      </c>
      <c r="N7" s="8"/>
    </row>
    <row r="8" spans="1:14">
      <c r="A8" s="46">
        <v>5</v>
      </c>
      <c r="B8" s="219">
        <v>45721</v>
      </c>
      <c r="C8" s="67"/>
      <c r="D8" s="159"/>
      <c r="E8" s="257"/>
      <c r="F8" s="257"/>
      <c r="G8" s="8">
        <f t="shared" si="0"/>
        <v>0</v>
      </c>
      <c r="H8" s="65">
        <v>0</v>
      </c>
      <c r="I8" s="66">
        <v>0</v>
      </c>
      <c r="J8" s="8">
        <f t="shared" si="2"/>
        <v>0</v>
      </c>
      <c r="K8" s="8">
        <f t="shared" si="3"/>
        <v>0</v>
      </c>
      <c r="L8" s="68">
        <f t="shared" si="4"/>
        <v>0</v>
      </c>
      <c r="M8" s="40">
        <f t="shared" si="1"/>
        <v>4608.8675999999996</v>
      </c>
      <c r="N8" s="8"/>
    </row>
    <row r="9" spans="1:14">
      <c r="A9" s="46">
        <v>6</v>
      </c>
      <c r="B9" s="219">
        <v>45722</v>
      </c>
      <c r="C9" s="67"/>
      <c r="D9" s="159"/>
      <c r="E9" s="257"/>
      <c r="F9" s="257"/>
      <c r="G9" s="8">
        <f t="shared" si="0"/>
        <v>0</v>
      </c>
      <c r="H9" s="65">
        <v>0</v>
      </c>
      <c r="I9" s="66">
        <v>0</v>
      </c>
      <c r="J9" s="8">
        <f t="shared" si="2"/>
        <v>0</v>
      </c>
      <c r="K9" s="8">
        <f t="shared" si="3"/>
        <v>0</v>
      </c>
      <c r="L9" s="68">
        <f t="shared" si="4"/>
        <v>0</v>
      </c>
      <c r="M9" s="40">
        <f t="shared" si="1"/>
        <v>4608.8675999999996</v>
      </c>
      <c r="N9" s="8"/>
    </row>
    <row r="10" spans="1:14">
      <c r="A10" s="46">
        <v>7</v>
      </c>
      <c r="B10" s="219">
        <v>45723</v>
      </c>
      <c r="C10" s="67"/>
      <c r="D10" s="159"/>
      <c r="E10" s="257"/>
      <c r="F10" s="257"/>
      <c r="G10" s="8">
        <f t="shared" si="0"/>
        <v>0</v>
      </c>
      <c r="H10" s="65">
        <v>0</v>
      </c>
      <c r="I10" s="66">
        <v>0</v>
      </c>
      <c r="J10" s="8">
        <f t="shared" si="2"/>
        <v>0</v>
      </c>
      <c r="K10" s="8">
        <f t="shared" si="3"/>
        <v>0</v>
      </c>
      <c r="L10" s="68">
        <f t="shared" si="4"/>
        <v>0</v>
      </c>
      <c r="M10" s="40">
        <f t="shared" si="1"/>
        <v>4608.8675999999996</v>
      </c>
      <c r="N10" s="8"/>
    </row>
    <row r="11" spans="1:14">
      <c r="A11" s="46">
        <v>8</v>
      </c>
      <c r="B11" s="219">
        <v>45724</v>
      </c>
      <c r="C11" s="67"/>
      <c r="D11" s="159"/>
      <c r="E11" s="257"/>
      <c r="F11" s="257"/>
      <c r="G11" s="8">
        <f t="shared" si="0"/>
        <v>0</v>
      </c>
      <c r="H11" s="65">
        <v>0</v>
      </c>
      <c r="I11" s="66">
        <v>0</v>
      </c>
      <c r="J11" s="8">
        <f t="shared" si="2"/>
        <v>0</v>
      </c>
      <c r="K11" s="8">
        <f t="shared" si="3"/>
        <v>0</v>
      </c>
      <c r="L11" s="68">
        <f t="shared" si="4"/>
        <v>0</v>
      </c>
      <c r="M11" s="40">
        <f t="shared" si="1"/>
        <v>4608.8675999999996</v>
      </c>
      <c r="N11" s="8"/>
    </row>
    <row r="12" spans="1:14">
      <c r="A12" s="46">
        <v>9</v>
      </c>
      <c r="B12" s="219">
        <v>45725</v>
      </c>
      <c r="C12" s="67"/>
      <c r="D12" s="159"/>
      <c r="E12" s="257"/>
      <c r="F12" s="257"/>
      <c r="G12" s="8">
        <f t="shared" si="0"/>
        <v>0</v>
      </c>
      <c r="H12" s="65">
        <v>0</v>
      </c>
      <c r="I12" s="66">
        <v>0</v>
      </c>
      <c r="J12" s="8">
        <f t="shared" si="2"/>
        <v>0</v>
      </c>
      <c r="K12" s="8">
        <f t="shared" si="3"/>
        <v>0</v>
      </c>
      <c r="L12" s="68">
        <f t="shared" si="4"/>
        <v>0</v>
      </c>
      <c r="M12" s="40">
        <f t="shared" si="1"/>
        <v>4608.8675999999996</v>
      </c>
      <c r="N12" s="8"/>
    </row>
    <row r="13" spans="1:14">
      <c r="A13" s="46">
        <v>10</v>
      </c>
      <c r="B13" s="219">
        <v>45726</v>
      </c>
      <c r="C13" s="67"/>
      <c r="D13" s="159"/>
      <c r="E13" s="257"/>
      <c r="F13" s="257"/>
      <c r="G13" s="8">
        <f t="shared" si="0"/>
        <v>0</v>
      </c>
      <c r="H13" s="65">
        <v>0</v>
      </c>
      <c r="I13" s="66">
        <v>0</v>
      </c>
      <c r="J13" s="8">
        <f t="shared" si="2"/>
        <v>0</v>
      </c>
      <c r="K13" s="8">
        <f t="shared" si="3"/>
        <v>0</v>
      </c>
      <c r="L13" s="68">
        <f t="shared" si="4"/>
        <v>0</v>
      </c>
      <c r="M13" s="40">
        <f t="shared" si="1"/>
        <v>4608.8675999999996</v>
      </c>
      <c r="N13" s="8"/>
    </row>
    <row r="14" spans="1:14">
      <c r="A14" s="46">
        <v>11</v>
      </c>
      <c r="B14" s="219">
        <v>45727</v>
      </c>
      <c r="C14" s="67"/>
      <c r="D14" s="159"/>
      <c r="E14" s="257"/>
      <c r="F14" s="257"/>
      <c r="G14" s="8">
        <f t="shared" si="0"/>
        <v>0</v>
      </c>
      <c r="H14" s="65">
        <v>0</v>
      </c>
      <c r="I14" s="66">
        <v>0</v>
      </c>
      <c r="J14" s="8">
        <f t="shared" si="2"/>
        <v>0</v>
      </c>
      <c r="K14" s="8">
        <f t="shared" si="3"/>
        <v>0</v>
      </c>
      <c r="L14" s="68">
        <f t="shared" si="4"/>
        <v>0</v>
      </c>
      <c r="M14" s="40">
        <f t="shared" si="1"/>
        <v>4608.8675999999996</v>
      </c>
      <c r="N14" s="8"/>
    </row>
    <row r="15" spans="1:14">
      <c r="A15" s="46">
        <v>12</v>
      </c>
      <c r="B15" s="219">
        <v>45728</v>
      </c>
      <c r="C15" s="67"/>
      <c r="D15" s="159"/>
      <c r="E15" s="257"/>
      <c r="F15" s="257"/>
      <c r="G15" s="8">
        <f t="shared" si="0"/>
        <v>0</v>
      </c>
      <c r="H15" s="65">
        <v>0</v>
      </c>
      <c r="I15" s="66">
        <v>0</v>
      </c>
      <c r="J15" s="8">
        <f t="shared" si="2"/>
        <v>0</v>
      </c>
      <c r="K15" s="8">
        <f t="shared" si="3"/>
        <v>0</v>
      </c>
      <c r="L15" s="68">
        <f t="shared" si="4"/>
        <v>0</v>
      </c>
      <c r="M15" s="40">
        <f t="shared" si="1"/>
        <v>4608.8675999999996</v>
      </c>
      <c r="N15" s="8"/>
    </row>
    <row r="16" spans="1:14">
      <c r="A16" s="46">
        <v>13</v>
      </c>
      <c r="B16" s="219">
        <v>45729</v>
      </c>
      <c r="C16" s="67"/>
      <c r="D16" s="159"/>
      <c r="E16" s="257"/>
      <c r="F16" s="257"/>
      <c r="G16" s="8">
        <f t="shared" si="0"/>
        <v>0</v>
      </c>
      <c r="H16" s="65">
        <v>0</v>
      </c>
      <c r="I16" s="66">
        <v>0</v>
      </c>
      <c r="J16" s="8">
        <f t="shared" si="2"/>
        <v>0</v>
      </c>
      <c r="K16" s="8">
        <f t="shared" si="3"/>
        <v>0</v>
      </c>
      <c r="L16" s="68">
        <f t="shared" si="4"/>
        <v>0</v>
      </c>
      <c r="M16" s="40">
        <f t="shared" si="1"/>
        <v>4608.8675999999996</v>
      </c>
      <c r="N16" s="8"/>
    </row>
    <row r="17" spans="1:14">
      <c r="A17" s="46">
        <v>14</v>
      </c>
      <c r="B17" s="219">
        <v>45730</v>
      </c>
      <c r="C17" s="67"/>
      <c r="D17" s="159"/>
      <c r="E17" s="257">
        <v>258</v>
      </c>
      <c r="F17" s="257">
        <v>96.44</v>
      </c>
      <c r="G17" s="8">
        <f t="shared" si="0"/>
        <v>24881.52</v>
      </c>
      <c r="H17" s="65">
        <v>0</v>
      </c>
      <c r="I17" s="66">
        <v>0</v>
      </c>
      <c r="J17" s="8">
        <f t="shared" si="2"/>
        <v>0</v>
      </c>
      <c r="K17" s="8">
        <f t="shared" si="3"/>
        <v>24881.52</v>
      </c>
      <c r="L17" s="68">
        <v>0</v>
      </c>
      <c r="M17" s="40">
        <f t="shared" si="1"/>
        <v>29490.387600000002</v>
      </c>
      <c r="N17" s="8"/>
    </row>
    <row r="18" spans="1:14">
      <c r="A18" s="46">
        <v>15</v>
      </c>
      <c r="B18" s="219">
        <v>45731</v>
      </c>
      <c r="C18" s="67"/>
      <c r="D18" s="159"/>
      <c r="E18" s="257">
        <v>254.2</v>
      </c>
      <c r="F18" s="257">
        <v>96.44</v>
      </c>
      <c r="G18" s="8">
        <f t="shared" si="0"/>
        <v>24515.047999999999</v>
      </c>
      <c r="H18" s="65">
        <v>9</v>
      </c>
      <c r="I18" s="66">
        <v>108.31</v>
      </c>
      <c r="J18" s="8">
        <f t="shared" si="2"/>
        <v>974.79</v>
      </c>
      <c r="K18" s="8">
        <f t="shared" si="3"/>
        <v>25489.838</v>
      </c>
      <c r="L18" s="68">
        <v>0</v>
      </c>
      <c r="M18" s="40">
        <f t="shared" si="1"/>
        <v>54980.225600000005</v>
      </c>
      <c r="N18" s="8"/>
    </row>
    <row r="19" spans="1:14">
      <c r="A19" s="46">
        <v>16</v>
      </c>
      <c r="B19" s="219">
        <v>45732</v>
      </c>
      <c r="C19" s="67"/>
      <c r="D19" s="159"/>
      <c r="E19" s="257">
        <v>320</v>
      </c>
      <c r="F19" s="257">
        <v>96.44</v>
      </c>
      <c r="G19" s="8">
        <f t="shared" si="0"/>
        <v>30860.799999999999</v>
      </c>
      <c r="H19" s="65">
        <v>5</v>
      </c>
      <c r="I19" s="66">
        <v>108.31</v>
      </c>
      <c r="J19" s="8">
        <f t="shared" si="2"/>
        <v>541.54999999999995</v>
      </c>
      <c r="K19" s="8">
        <f t="shared" si="3"/>
        <v>31402.35</v>
      </c>
      <c r="L19" s="68"/>
      <c r="M19" s="40">
        <f t="shared" si="1"/>
        <v>86382.575600000011</v>
      </c>
      <c r="N19" s="8"/>
    </row>
    <row r="20" spans="1:14">
      <c r="A20" s="46">
        <v>17</v>
      </c>
      <c r="B20" s="219">
        <v>45733</v>
      </c>
      <c r="C20" s="67"/>
      <c r="D20" s="159"/>
      <c r="E20" s="257">
        <v>14</v>
      </c>
      <c r="F20" s="257">
        <v>96.44</v>
      </c>
      <c r="G20" s="8">
        <f>E20*F20</f>
        <v>1350.1599999999999</v>
      </c>
      <c r="H20" s="257">
        <v>46.66</v>
      </c>
      <c r="I20" s="66">
        <v>108.31</v>
      </c>
      <c r="J20" s="8">
        <f>H20*I20</f>
        <v>5053.7446</v>
      </c>
      <c r="K20" s="8">
        <f t="shared" si="3"/>
        <v>6403.9045999999998</v>
      </c>
      <c r="L20" s="68"/>
      <c r="M20" s="40">
        <f t="shared" si="1"/>
        <v>92786.480200000005</v>
      </c>
      <c r="N20" s="8"/>
    </row>
    <row r="21" spans="1:14">
      <c r="A21" s="46">
        <v>18</v>
      </c>
      <c r="B21" s="219">
        <v>45734</v>
      </c>
      <c r="C21" s="67"/>
      <c r="D21" s="159"/>
      <c r="E21" s="257">
        <v>218.68</v>
      </c>
      <c r="F21" s="257">
        <v>96.44</v>
      </c>
      <c r="G21" s="8">
        <f t="shared" si="0"/>
        <v>21089.499199999998</v>
      </c>
      <c r="H21" s="65">
        <v>10</v>
      </c>
      <c r="I21" s="66">
        <v>108.31</v>
      </c>
      <c r="J21" s="8">
        <f t="shared" si="2"/>
        <v>1083.0999999999999</v>
      </c>
      <c r="K21" s="8">
        <f t="shared" si="3"/>
        <v>22172.599199999997</v>
      </c>
      <c r="L21" s="68">
        <v>0</v>
      </c>
      <c r="M21" s="40">
        <f t="shared" si="1"/>
        <v>114959.0794</v>
      </c>
      <c r="N21" s="8"/>
    </row>
    <row r="22" spans="1:14">
      <c r="A22" s="46">
        <v>19</v>
      </c>
      <c r="B22" s="219">
        <v>45735</v>
      </c>
      <c r="C22" s="67"/>
      <c r="D22" s="159"/>
      <c r="E22" s="257">
        <v>0</v>
      </c>
      <c r="F22" s="257">
        <v>0</v>
      </c>
      <c r="G22" s="8">
        <f t="shared" si="0"/>
        <v>0</v>
      </c>
      <c r="H22" s="65">
        <v>2</v>
      </c>
      <c r="I22" s="66">
        <v>108.31</v>
      </c>
      <c r="J22" s="8">
        <f t="shared" si="2"/>
        <v>216.62</v>
      </c>
      <c r="K22" s="8">
        <f t="shared" si="3"/>
        <v>216.62</v>
      </c>
      <c r="L22" s="68">
        <v>0</v>
      </c>
      <c r="M22" s="40">
        <f t="shared" si="1"/>
        <v>115175.6994</v>
      </c>
      <c r="N22" s="8"/>
    </row>
    <row r="23" spans="1:14">
      <c r="A23" s="46">
        <v>20</v>
      </c>
      <c r="B23" s="219">
        <v>45736</v>
      </c>
      <c r="C23" s="67"/>
      <c r="D23" s="159"/>
      <c r="E23" s="257">
        <v>400</v>
      </c>
      <c r="F23" s="257">
        <v>96.44</v>
      </c>
      <c r="G23" s="8">
        <f t="shared" si="0"/>
        <v>38576</v>
      </c>
      <c r="H23" s="65">
        <v>3</v>
      </c>
      <c r="I23" s="66">
        <v>108.31</v>
      </c>
      <c r="J23" s="8">
        <f t="shared" si="2"/>
        <v>324.93</v>
      </c>
      <c r="K23" s="8">
        <f t="shared" si="3"/>
        <v>38900.93</v>
      </c>
      <c r="L23" s="68">
        <v>0</v>
      </c>
      <c r="M23" s="40">
        <f t="shared" si="1"/>
        <v>154076.62940000001</v>
      </c>
      <c r="N23" s="8"/>
    </row>
    <row r="24" spans="1:14">
      <c r="A24" s="46">
        <v>21</v>
      </c>
      <c r="B24" s="219">
        <v>45737</v>
      </c>
      <c r="C24" s="67"/>
      <c r="D24" s="159"/>
      <c r="E24" s="257">
        <v>200</v>
      </c>
      <c r="F24" s="257">
        <v>96.44</v>
      </c>
      <c r="G24" s="8">
        <f t="shared" si="0"/>
        <v>19288</v>
      </c>
      <c r="H24" s="65">
        <v>13</v>
      </c>
      <c r="I24" s="66">
        <v>108.31</v>
      </c>
      <c r="J24" s="8">
        <f t="shared" si="2"/>
        <v>1408.03</v>
      </c>
      <c r="K24" s="8">
        <f t="shared" si="3"/>
        <v>20696.03</v>
      </c>
      <c r="L24" s="68">
        <v>0</v>
      </c>
      <c r="M24" s="40">
        <f t="shared" si="1"/>
        <v>174772.6594</v>
      </c>
      <c r="N24" s="8"/>
    </row>
    <row r="25" spans="1:14">
      <c r="A25" s="46">
        <v>22</v>
      </c>
      <c r="B25" s="219">
        <v>45738</v>
      </c>
      <c r="C25" s="67"/>
      <c r="D25" s="159"/>
      <c r="E25" s="257">
        <v>325.82</v>
      </c>
      <c r="F25" s="257">
        <v>96.44</v>
      </c>
      <c r="G25" s="8">
        <f t="shared" si="0"/>
        <v>31422.0808</v>
      </c>
      <c r="H25" s="65">
        <v>3</v>
      </c>
      <c r="I25" s="66">
        <v>108.31</v>
      </c>
      <c r="J25" s="8">
        <f t="shared" si="2"/>
        <v>324.93</v>
      </c>
      <c r="K25" s="8">
        <f t="shared" si="3"/>
        <v>31747.0108</v>
      </c>
      <c r="L25" s="68">
        <v>0</v>
      </c>
      <c r="M25" s="40">
        <f t="shared" si="1"/>
        <v>206519.67019999999</v>
      </c>
      <c r="N25" s="8"/>
    </row>
    <row r="26" spans="1:14">
      <c r="A26" s="46">
        <v>23</v>
      </c>
      <c r="B26" s="219">
        <v>45739</v>
      </c>
      <c r="C26" s="67"/>
      <c r="D26" s="159"/>
      <c r="E26" s="257">
        <v>111.32</v>
      </c>
      <c r="F26" s="8">
        <v>96.44</v>
      </c>
      <c r="G26" s="8">
        <f t="shared" si="0"/>
        <v>10735.700799999999</v>
      </c>
      <c r="H26" s="65">
        <v>8</v>
      </c>
      <c r="I26" s="66">
        <v>108.31</v>
      </c>
      <c r="J26" s="8">
        <f t="shared" si="2"/>
        <v>866.48</v>
      </c>
      <c r="K26" s="8">
        <f t="shared" si="3"/>
        <v>11602.180799999998</v>
      </c>
      <c r="L26" s="68">
        <v>0</v>
      </c>
      <c r="M26" s="40">
        <f t="shared" si="1"/>
        <v>218121.851</v>
      </c>
      <c r="N26" s="8"/>
    </row>
    <row r="27" spans="1:14">
      <c r="A27" s="46">
        <v>24</v>
      </c>
      <c r="B27" s="219">
        <v>45740</v>
      </c>
      <c r="C27" s="67"/>
      <c r="D27" s="159"/>
      <c r="E27" s="257">
        <v>1105.21</v>
      </c>
      <c r="F27" s="8">
        <v>96.44</v>
      </c>
      <c r="G27" s="8">
        <f t="shared" si="0"/>
        <v>106586.45239999999</v>
      </c>
      <c r="H27" s="65">
        <v>8</v>
      </c>
      <c r="I27" s="66">
        <v>108.31</v>
      </c>
      <c r="J27" s="8">
        <f t="shared" si="2"/>
        <v>866.48</v>
      </c>
      <c r="K27" s="8">
        <f t="shared" si="3"/>
        <v>107452.93239999999</v>
      </c>
      <c r="L27" s="68">
        <v>100000</v>
      </c>
      <c r="M27" s="40">
        <f t="shared" si="1"/>
        <v>225574.78339999996</v>
      </c>
      <c r="N27" s="8"/>
    </row>
    <row r="28" spans="1:14">
      <c r="A28" s="221">
        <v>25</v>
      </c>
      <c r="B28" s="219">
        <v>45741</v>
      </c>
      <c r="C28" s="67"/>
      <c r="D28" s="159"/>
      <c r="E28" s="257">
        <v>885.31999999999994</v>
      </c>
      <c r="F28" s="257">
        <v>96.44</v>
      </c>
      <c r="G28" s="8">
        <f t="shared" si="0"/>
        <v>85380.260799999989</v>
      </c>
      <c r="H28" s="65">
        <v>58.31</v>
      </c>
      <c r="I28" s="66">
        <v>108.31</v>
      </c>
      <c r="J28" s="8">
        <f t="shared" si="2"/>
        <v>6315.5561000000007</v>
      </c>
      <c r="K28" s="8">
        <f t="shared" si="3"/>
        <v>91695.816899999991</v>
      </c>
      <c r="L28" s="68">
        <v>0</v>
      </c>
      <c r="M28" s="40">
        <f t="shared" si="1"/>
        <v>317270.60029999993</v>
      </c>
      <c r="N28" s="8"/>
    </row>
    <row r="29" spans="1:14">
      <c r="A29" s="221">
        <v>26</v>
      </c>
      <c r="B29" s="219">
        <v>45742</v>
      </c>
      <c r="C29" s="67"/>
      <c r="D29" s="159"/>
      <c r="E29" s="257"/>
      <c r="F29" s="257"/>
      <c r="G29" s="8">
        <f t="shared" si="0"/>
        <v>0</v>
      </c>
      <c r="H29" s="65">
        <v>5</v>
      </c>
      <c r="I29" s="66">
        <v>108.31</v>
      </c>
      <c r="J29" s="8">
        <f t="shared" si="2"/>
        <v>541.54999999999995</v>
      </c>
      <c r="K29" s="8">
        <f t="shared" si="3"/>
        <v>541.54999999999995</v>
      </c>
      <c r="L29" s="68">
        <v>0</v>
      </c>
      <c r="M29" s="40">
        <f t="shared" si="1"/>
        <v>317812.15029999992</v>
      </c>
      <c r="N29" s="8"/>
    </row>
    <row r="30" spans="1:14">
      <c r="A30" s="221">
        <v>27</v>
      </c>
      <c r="B30" s="219">
        <v>45743</v>
      </c>
      <c r="C30" s="67"/>
      <c r="D30" s="159"/>
      <c r="E30" s="257">
        <v>207.38</v>
      </c>
      <c r="F30" s="257">
        <v>96.44</v>
      </c>
      <c r="G30" s="8">
        <f t="shared" si="0"/>
        <v>19999.727199999998</v>
      </c>
      <c r="H30" s="65">
        <v>10</v>
      </c>
      <c r="I30" s="66">
        <v>108.31</v>
      </c>
      <c r="J30" s="8">
        <f t="shared" si="2"/>
        <v>1083.0999999999999</v>
      </c>
      <c r="K30" s="8">
        <f t="shared" si="3"/>
        <v>21082.827199999996</v>
      </c>
      <c r="L30" s="68">
        <v>0</v>
      </c>
      <c r="M30" s="40">
        <f t="shared" si="1"/>
        <v>338894.97749999992</v>
      </c>
      <c r="N30" s="8"/>
    </row>
    <row r="31" spans="1:14">
      <c r="A31" s="221">
        <v>28</v>
      </c>
      <c r="B31" s="219">
        <v>45744</v>
      </c>
      <c r="C31" s="67"/>
      <c r="D31" s="159"/>
      <c r="E31" s="266">
        <f>400+34.11+34.83</f>
        <v>468.94</v>
      </c>
      <c r="F31" s="427">
        <v>96.44</v>
      </c>
      <c r="G31" s="8">
        <f t="shared" si="0"/>
        <v>45224.573599999996</v>
      </c>
      <c r="H31" s="65">
        <v>5</v>
      </c>
      <c r="I31" s="66">
        <v>108.31</v>
      </c>
      <c r="J31" s="8">
        <f t="shared" si="2"/>
        <v>541.54999999999995</v>
      </c>
      <c r="K31" s="8">
        <f t="shared" si="3"/>
        <v>45766.123599999999</v>
      </c>
      <c r="L31" s="68">
        <v>0</v>
      </c>
      <c r="M31" s="40">
        <f t="shared" si="1"/>
        <v>384661.10109999991</v>
      </c>
      <c r="N31" s="8"/>
    </row>
    <row r="32" spans="1:14">
      <c r="A32" s="222">
        <v>29</v>
      </c>
      <c r="B32" s="219">
        <v>45745</v>
      </c>
      <c r="C32" s="67"/>
      <c r="D32" s="159"/>
      <c r="E32" s="266">
        <f>81.6+31.43+5+95.35</f>
        <v>213.38</v>
      </c>
      <c r="F32" s="427">
        <v>96.44</v>
      </c>
      <c r="G32" s="8">
        <f t="shared" si="0"/>
        <v>20578.367200000001</v>
      </c>
      <c r="H32" s="65">
        <v>0</v>
      </c>
      <c r="I32" s="66">
        <v>0</v>
      </c>
      <c r="J32" s="8">
        <f t="shared" si="2"/>
        <v>0</v>
      </c>
      <c r="K32" s="8">
        <f t="shared" si="3"/>
        <v>20578.367200000001</v>
      </c>
      <c r="L32" s="68">
        <v>0</v>
      </c>
      <c r="M32" s="40">
        <f t="shared" si="1"/>
        <v>405239.46829999989</v>
      </c>
      <c r="N32" s="8"/>
    </row>
    <row r="33" spans="1:14">
      <c r="A33" s="222">
        <v>30</v>
      </c>
      <c r="B33" s="219">
        <v>45746</v>
      </c>
      <c r="C33" s="67"/>
      <c r="D33" s="159"/>
      <c r="E33" s="257">
        <v>1083.77</v>
      </c>
      <c r="F33" s="257">
        <v>96.44</v>
      </c>
      <c r="G33" s="8">
        <f t="shared" si="0"/>
        <v>104518.7788</v>
      </c>
      <c r="H33" s="65">
        <v>15</v>
      </c>
      <c r="I33" s="66">
        <v>108.31</v>
      </c>
      <c r="J33" s="8">
        <f t="shared" si="2"/>
        <v>1624.65</v>
      </c>
      <c r="K33" s="8">
        <f t="shared" si="3"/>
        <v>106143.42879999999</v>
      </c>
      <c r="L33" s="68">
        <v>200000</v>
      </c>
      <c r="M33" s="40">
        <f t="shared" si="1"/>
        <v>311382.89709999989</v>
      </c>
      <c r="N33" s="8"/>
    </row>
    <row r="34" spans="1:14">
      <c r="A34" s="222">
        <v>31</v>
      </c>
      <c r="B34" s="219">
        <v>45747</v>
      </c>
      <c r="C34" s="67"/>
      <c r="D34" s="159"/>
      <c r="E34" s="257">
        <v>131.88999999999999</v>
      </c>
      <c r="F34" s="257">
        <v>96.44</v>
      </c>
      <c r="G34" s="8">
        <f t="shared" si="0"/>
        <v>12719.471599999999</v>
      </c>
      <c r="H34" s="65">
        <v>5</v>
      </c>
      <c r="I34" s="66">
        <v>108.31</v>
      </c>
      <c r="J34" s="8">
        <f t="shared" si="2"/>
        <v>541.54999999999995</v>
      </c>
      <c r="K34" s="8">
        <f t="shared" si="3"/>
        <v>13261.021599999998</v>
      </c>
      <c r="L34" s="68">
        <v>0</v>
      </c>
      <c r="M34" s="40">
        <f t="shared" si="1"/>
        <v>324643.91869999986</v>
      </c>
      <c r="N34" s="8"/>
    </row>
    <row r="35" spans="1:14">
      <c r="A35" s="62"/>
      <c r="B35" s="62"/>
      <c r="C35" s="62"/>
      <c r="D35" s="62"/>
      <c r="E35" s="258">
        <f>SUM(E4:E34)</f>
        <v>6245.7</v>
      </c>
      <c r="F35" s="258"/>
      <c r="G35" s="63">
        <f>SUM(G4:G34)</f>
        <v>602335.30800000008</v>
      </c>
      <c r="H35" s="63">
        <f>SUM(H4:H34)</f>
        <v>205.97</v>
      </c>
      <c r="I35" s="63"/>
      <c r="J35" s="63">
        <f>SUM(J4:J34)</f>
        <v>22308.610699999997</v>
      </c>
      <c r="K35" s="63">
        <f>SUM(K4:K34)</f>
        <v>624643.91869999992</v>
      </c>
      <c r="L35" s="63">
        <f>SUM(L4:L34)</f>
        <v>300000</v>
      </c>
      <c r="M35" s="63"/>
      <c r="N35" s="63"/>
    </row>
  </sheetData>
  <mergeCells count="2">
    <mergeCell ref="A1:N1"/>
    <mergeCell ref="A3:L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topLeftCell="A16" workbookViewId="0">
      <selection activeCell="L31" sqref="L31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55" t="s">
        <v>85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82"/>
    </row>
    <row r="2" spans="1:18">
      <c r="A2" s="98" t="s">
        <v>0</v>
      </c>
      <c r="B2" s="99" t="s">
        <v>161</v>
      </c>
      <c r="C2" s="99" t="s">
        <v>162</v>
      </c>
      <c r="D2" s="99" t="s">
        <v>180</v>
      </c>
      <c r="E2" s="256" t="s">
        <v>164</v>
      </c>
      <c r="F2" s="256" t="s">
        <v>165</v>
      </c>
      <c r="G2" s="99" t="s">
        <v>166</v>
      </c>
      <c r="H2" s="99" t="s">
        <v>167</v>
      </c>
      <c r="I2" s="99" t="s">
        <v>165</v>
      </c>
      <c r="J2" s="138" t="s">
        <v>166</v>
      </c>
      <c r="K2" s="100" t="s">
        <v>168</v>
      </c>
      <c r="L2" s="139" t="s">
        <v>169</v>
      </c>
      <c r="M2" s="143" t="s">
        <v>181</v>
      </c>
      <c r="N2" s="101" t="s">
        <v>171</v>
      </c>
      <c r="O2" s="59"/>
    </row>
    <row r="3" spans="1:18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  <c r="M3" s="148">
        <v>0</v>
      </c>
      <c r="N3" s="156"/>
      <c r="O3" s="59"/>
    </row>
    <row r="4" spans="1:18">
      <c r="A4" s="196">
        <v>1</v>
      </c>
      <c r="B4" s="219">
        <v>45717</v>
      </c>
      <c r="C4" s="67"/>
      <c r="D4" s="159"/>
      <c r="E4" s="257"/>
      <c r="F4" s="257"/>
      <c r="G4" s="8">
        <f t="shared" ref="G4" si="0">E4*F4</f>
        <v>0</v>
      </c>
      <c r="H4" s="65">
        <v>0</v>
      </c>
      <c r="I4" s="66">
        <v>0</v>
      </c>
      <c r="J4" s="8">
        <f>H4*I4</f>
        <v>0</v>
      </c>
      <c r="K4" s="8">
        <f>G4+J4</f>
        <v>0</v>
      </c>
      <c r="L4" s="68">
        <f>+K4</f>
        <v>0</v>
      </c>
      <c r="M4" s="68">
        <v>0</v>
      </c>
      <c r="N4" s="8"/>
    </row>
    <row r="5" spans="1:18">
      <c r="A5" s="46">
        <v>2</v>
      </c>
      <c r="B5" s="219">
        <v>45718</v>
      </c>
      <c r="C5" s="67"/>
      <c r="D5" s="159"/>
      <c r="E5" s="257"/>
      <c r="F5" s="257"/>
      <c r="G5" s="8">
        <f t="shared" ref="G5:G33" si="1">E5*F5</f>
        <v>0</v>
      </c>
      <c r="H5" s="65">
        <v>0</v>
      </c>
      <c r="I5" s="66">
        <v>0</v>
      </c>
      <c r="J5" s="8">
        <f t="shared" ref="J5:J33" si="2">H5*I5</f>
        <v>0</v>
      </c>
      <c r="K5" s="8">
        <f t="shared" ref="K5:K33" si="3">G5+J5</f>
        <v>0</v>
      </c>
      <c r="L5" s="68">
        <f t="shared" ref="L5:L33" si="4">+K5</f>
        <v>0</v>
      </c>
      <c r="M5" s="68">
        <v>0</v>
      </c>
      <c r="N5" s="8"/>
    </row>
    <row r="6" spans="1:18">
      <c r="A6" s="46">
        <v>3</v>
      </c>
      <c r="B6" s="219">
        <v>45719</v>
      </c>
      <c r="C6" s="67"/>
      <c r="D6" s="159"/>
      <c r="E6" s="257"/>
      <c r="F6" s="257"/>
      <c r="G6" s="8">
        <f t="shared" si="1"/>
        <v>0</v>
      </c>
      <c r="H6" s="65">
        <v>0</v>
      </c>
      <c r="I6" s="66">
        <v>0</v>
      </c>
      <c r="J6" s="8">
        <f t="shared" si="2"/>
        <v>0</v>
      </c>
      <c r="K6" s="8">
        <f t="shared" si="3"/>
        <v>0</v>
      </c>
      <c r="L6" s="68">
        <f t="shared" si="4"/>
        <v>0</v>
      </c>
      <c r="M6" s="68">
        <v>0</v>
      </c>
      <c r="N6" s="8"/>
    </row>
    <row r="7" spans="1:18">
      <c r="A7" s="46">
        <v>4</v>
      </c>
      <c r="B7" s="219">
        <v>45720</v>
      </c>
      <c r="C7" s="67"/>
      <c r="D7" s="159"/>
      <c r="E7" s="257"/>
      <c r="F7" s="257"/>
      <c r="G7" s="8">
        <f t="shared" si="1"/>
        <v>0</v>
      </c>
      <c r="H7" s="65">
        <v>0</v>
      </c>
      <c r="I7" s="66">
        <v>0</v>
      </c>
      <c r="J7" s="8">
        <f t="shared" si="2"/>
        <v>0</v>
      </c>
      <c r="K7" s="8">
        <f t="shared" si="3"/>
        <v>0</v>
      </c>
      <c r="L7" s="68">
        <f t="shared" si="4"/>
        <v>0</v>
      </c>
      <c r="M7" s="68">
        <v>0</v>
      </c>
      <c r="N7" s="8"/>
    </row>
    <row r="8" spans="1:18">
      <c r="A8" s="46">
        <v>5</v>
      </c>
      <c r="B8" s="219">
        <v>45721</v>
      </c>
      <c r="C8" s="67"/>
      <c r="D8" s="159"/>
      <c r="E8" s="257"/>
      <c r="F8" s="257"/>
      <c r="G8" s="8">
        <f t="shared" si="1"/>
        <v>0</v>
      </c>
      <c r="H8" s="65">
        <v>0</v>
      </c>
      <c r="I8" s="66">
        <v>0</v>
      </c>
      <c r="J8" s="8">
        <f t="shared" si="2"/>
        <v>0</v>
      </c>
      <c r="K8" s="8">
        <f t="shared" si="3"/>
        <v>0</v>
      </c>
      <c r="L8" s="68">
        <f t="shared" si="4"/>
        <v>0</v>
      </c>
      <c r="M8" s="68">
        <v>0</v>
      </c>
      <c r="N8" s="8"/>
      <c r="O8" s="69"/>
      <c r="R8" s="225"/>
    </row>
    <row r="9" spans="1:18">
      <c r="A9" s="46">
        <v>6</v>
      </c>
      <c r="B9" s="219">
        <v>45722</v>
      </c>
      <c r="C9" s="67"/>
      <c r="D9" s="159"/>
      <c r="E9" s="257"/>
      <c r="F9" s="257"/>
      <c r="G9" s="8">
        <f t="shared" si="1"/>
        <v>0</v>
      </c>
      <c r="H9" s="65">
        <v>0</v>
      </c>
      <c r="I9" s="66">
        <v>0</v>
      </c>
      <c r="J9" s="8">
        <f t="shared" si="2"/>
        <v>0</v>
      </c>
      <c r="K9" s="8">
        <f t="shared" si="3"/>
        <v>0</v>
      </c>
      <c r="L9" s="68">
        <f t="shared" si="4"/>
        <v>0</v>
      </c>
      <c r="M9" s="68">
        <v>0</v>
      </c>
      <c r="N9" s="8"/>
      <c r="O9" s="69"/>
    </row>
    <row r="10" spans="1:18">
      <c r="A10" s="46">
        <v>7</v>
      </c>
      <c r="B10" s="219">
        <v>45723</v>
      </c>
      <c r="C10" s="67"/>
      <c r="D10" s="159"/>
      <c r="E10" s="257"/>
      <c r="F10" s="257"/>
      <c r="G10" s="8">
        <f t="shared" si="1"/>
        <v>0</v>
      </c>
      <c r="H10" s="65">
        <v>0</v>
      </c>
      <c r="I10" s="66">
        <v>0</v>
      </c>
      <c r="J10" s="8">
        <f t="shared" si="2"/>
        <v>0</v>
      </c>
      <c r="K10" s="8">
        <f t="shared" si="3"/>
        <v>0</v>
      </c>
      <c r="L10" s="68">
        <f t="shared" si="4"/>
        <v>0</v>
      </c>
      <c r="M10" s="68">
        <v>0</v>
      </c>
      <c r="N10" s="8"/>
      <c r="O10" s="69"/>
    </row>
    <row r="11" spans="1:18">
      <c r="A11" s="46">
        <v>8</v>
      </c>
      <c r="B11" s="219">
        <v>45724</v>
      </c>
      <c r="C11" s="67"/>
      <c r="D11" s="159"/>
      <c r="E11" s="257"/>
      <c r="F11" s="257"/>
      <c r="G11" s="8">
        <f t="shared" si="1"/>
        <v>0</v>
      </c>
      <c r="H11" s="65">
        <v>0</v>
      </c>
      <c r="I11" s="66">
        <v>0</v>
      </c>
      <c r="J11" s="8">
        <f t="shared" si="2"/>
        <v>0</v>
      </c>
      <c r="K11" s="8">
        <f t="shared" si="3"/>
        <v>0</v>
      </c>
      <c r="L11" s="68">
        <f t="shared" si="4"/>
        <v>0</v>
      </c>
      <c r="M11" s="68">
        <v>0</v>
      </c>
      <c r="N11" s="8"/>
      <c r="O11" s="69"/>
    </row>
    <row r="12" spans="1:18">
      <c r="A12" s="46">
        <v>9</v>
      </c>
      <c r="B12" s="219">
        <v>45725</v>
      </c>
      <c r="C12" s="67"/>
      <c r="D12" s="159"/>
      <c r="E12" s="257"/>
      <c r="F12" s="257"/>
      <c r="G12" s="8">
        <f t="shared" si="1"/>
        <v>0</v>
      </c>
      <c r="H12" s="65">
        <v>0</v>
      </c>
      <c r="I12" s="66">
        <v>0</v>
      </c>
      <c r="J12" s="8">
        <f t="shared" si="2"/>
        <v>0</v>
      </c>
      <c r="K12" s="8">
        <f t="shared" ref="K12:K18" si="5">G12+J12</f>
        <v>0</v>
      </c>
      <c r="L12" s="68">
        <f t="shared" ref="L12:L18" si="6">+K12</f>
        <v>0</v>
      </c>
      <c r="M12" s="68">
        <v>0</v>
      </c>
      <c r="N12" s="8"/>
      <c r="O12" s="69"/>
    </row>
    <row r="13" spans="1:18">
      <c r="A13" s="46">
        <v>10</v>
      </c>
      <c r="B13" s="219">
        <v>45726</v>
      </c>
      <c r="C13" s="67"/>
      <c r="D13" s="159"/>
      <c r="E13" s="257"/>
      <c r="F13" s="257"/>
      <c r="G13" s="8">
        <f t="shared" si="1"/>
        <v>0</v>
      </c>
      <c r="H13" s="65">
        <v>0</v>
      </c>
      <c r="I13" s="66">
        <v>0</v>
      </c>
      <c r="J13" s="8">
        <f t="shared" si="2"/>
        <v>0</v>
      </c>
      <c r="K13" s="8">
        <f t="shared" si="5"/>
        <v>0</v>
      </c>
      <c r="L13" s="68">
        <f t="shared" si="6"/>
        <v>0</v>
      </c>
      <c r="M13" s="68">
        <v>0</v>
      </c>
      <c r="N13" s="8"/>
      <c r="O13" s="69"/>
    </row>
    <row r="14" spans="1:18">
      <c r="A14" s="46">
        <v>11</v>
      </c>
      <c r="B14" s="219">
        <v>45727</v>
      </c>
      <c r="C14" s="67"/>
      <c r="D14" s="159"/>
      <c r="E14" s="257"/>
      <c r="F14" s="257"/>
      <c r="G14" s="8">
        <f t="shared" si="1"/>
        <v>0</v>
      </c>
      <c r="H14" s="65">
        <v>0</v>
      </c>
      <c r="I14" s="66">
        <v>0</v>
      </c>
      <c r="J14" s="8">
        <f t="shared" si="2"/>
        <v>0</v>
      </c>
      <c r="K14" s="8">
        <f t="shared" si="5"/>
        <v>0</v>
      </c>
      <c r="L14" s="68">
        <f t="shared" si="6"/>
        <v>0</v>
      </c>
      <c r="M14" s="68">
        <v>0</v>
      </c>
      <c r="N14" s="8"/>
      <c r="O14" s="69"/>
    </row>
    <row r="15" spans="1:18">
      <c r="A15" s="46">
        <v>12</v>
      </c>
      <c r="B15" s="219">
        <v>45728</v>
      </c>
      <c r="C15" s="67"/>
      <c r="D15" s="159"/>
      <c r="E15" s="257"/>
      <c r="F15" s="257"/>
      <c r="G15" s="8">
        <f t="shared" si="1"/>
        <v>0</v>
      </c>
      <c r="H15" s="65">
        <v>0</v>
      </c>
      <c r="I15" s="66">
        <v>0</v>
      </c>
      <c r="J15" s="8">
        <f t="shared" si="2"/>
        <v>0</v>
      </c>
      <c r="K15" s="8">
        <f t="shared" si="5"/>
        <v>0</v>
      </c>
      <c r="L15" s="68">
        <f t="shared" si="6"/>
        <v>0</v>
      </c>
      <c r="M15" s="68">
        <v>0</v>
      </c>
      <c r="N15" s="8"/>
      <c r="O15" s="69"/>
    </row>
    <row r="16" spans="1:18">
      <c r="A16" s="46">
        <v>13</v>
      </c>
      <c r="B16" s="219">
        <v>45729</v>
      </c>
      <c r="C16" s="67"/>
      <c r="D16" s="159"/>
      <c r="E16" s="257"/>
      <c r="F16" s="257"/>
      <c r="G16" s="8">
        <f t="shared" si="1"/>
        <v>0</v>
      </c>
      <c r="H16" s="65">
        <v>0</v>
      </c>
      <c r="I16" s="66">
        <v>0</v>
      </c>
      <c r="J16" s="8">
        <f t="shared" si="2"/>
        <v>0</v>
      </c>
      <c r="K16" s="8">
        <f t="shared" si="5"/>
        <v>0</v>
      </c>
      <c r="L16" s="68">
        <f t="shared" si="6"/>
        <v>0</v>
      </c>
      <c r="M16" s="68">
        <v>0</v>
      </c>
      <c r="N16" s="8"/>
      <c r="O16" s="69"/>
    </row>
    <row r="17" spans="1:15">
      <c r="A17" s="46">
        <v>14</v>
      </c>
      <c r="B17" s="219">
        <v>45730</v>
      </c>
      <c r="C17" s="67"/>
      <c r="D17" s="159"/>
      <c r="E17" s="257"/>
      <c r="F17" s="257"/>
      <c r="G17" s="8">
        <f t="shared" si="1"/>
        <v>0</v>
      </c>
      <c r="H17" s="65">
        <v>0</v>
      </c>
      <c r="I17" s="66">
        <v>0</v>
      </c>
      <c r="J17" s="8">
        <f t="shared" si="2"/>
        <v>0</v>
      </c>
      <c r="K17" s="8">
        <f t="shared" si="5"/>
        <v>0</v>
      </c>
      <c r="L17" s="68">
        <f t="shared" si="6"/>
        <v>0</v>
      </c>
      <c r="M17" s="68">
        <v>0</v>
      </c>
      <c r="N17" s="8"/>
      <c r="O17" s="69"/>
    </row>
    <row r="18" spans="1:15">
      <c r="A18" s="46">
        <v>15</v>
      </c>
      <c r="B18" s="219">
        <v>45731</v>
      </c>
      <c r="C18" s="67"/>
      <c r="D18" s="159"/>
      <c r="E18" s="257"/>
      <c r="F18" s="257"/>
      <c r="G18" s="8">
        <f t="shared" si="1"/>
        <v>0</v>
      </c>
      <c r="H18" s="65">
        <v>0</v>
      </c>
      <c r="I18" s="66">
        <v>0</v>
      </c>
      <c r="J18" s="8">
        <f t="shared" si="2"/>
        <v>0</v>
      </c>
      <c r="K18" s="8">
        <f t="shared" si="5"/>
        <v>0</v>
      </c>
      <c r="L18" s="68">
        <f t="shared" si="6"/>
        <v>0</v>
      </c>
      <c r="M18" s="68">
        <v>0</v>
      </c>
      <c r="N18" s="8"/>
      <c r="O18" s="69"/>
    </row>
    <row r="19" spans="1:15">
      <c r="A19" s="46">
        <v>16</v>
      </c>
      <c r="B19" s="219">
        <v>45732</v>
      </c>
      <c r="C19" s="67"/>
      <c r="D19" s="159"/>
      <c r="E19" s="257"/>
      <c r="F19" s="257"/>
      <c r="G19" s="8">
        <f t="shared" si="1"/>
        <v>0</v>
      </c>
      <c r="H19" s="65">
        <v>0</v>
      </c>
      <c r="I19" s="66">
        <v>0</v>
      </c>
      <c r="J19" s="8">
        <f t="shared" si="2"/>
        <v>0</v>
      </c>
      <c r="K19" s="8">
        <f t="shared" si="3"/>
        <v>0</v>
      </c>
      <c r="L19" s="68">
        <f t="shared" si="4"/>
        <v>0</v>
      </c>
      <c r="M19" s="68">
        <v>0</v>
      </c>
      <c r="N19" s="8"/>
      <c r="O19" s="69"/>
    </row>
    <row r="20" spans="1:15">
      <c r="A20" s="46">
        <v>17</v>
      </c>
      <c r="B20" s="219">
        <v>45733</v>
      </c>
      <c r="C20" s="67"/>
      <c r="D20" s="159"/>
      <c r="E20" s="257"/>
      <c r="F20" s="257"/>
      <c r="G20" s="8">
        <f t="shared" si="1"/>
        <v>0</v>
      </c>
      <c r="H20" s="65">
        <v>0</v>
      </c>
      <c r="I20" s="66">
        <v>0</v>
      </c>
      <c r="J20" s="8">
        <f t="shared" si="2"/>
        <v>0</v>
      </c>
      <c r="K20" s="8">
        <f t="shared" si="3"/>
        <v>0</v>
      </c>
      <c r="L20" s="68">
        <f t="shared" si="4"/>
        <v>0</v>
      </c>
      <c r="M20" s="68">
        <v>0</v>
      </c>
      <c r="N20" s="8"/>
      <c r="O20" s="69"/>
    </row>
    <row r="21" spans="1:15">
      <c r="A21" s="46">
        <v>18</v>
      </c>
      <c r="B21" s="219">
        <v>45734</v>
      </c>
      <c r="C21" s="67"/>
      <c r="D21" s="159"/>
      <c r="E21" s="257"/>
      <c r="F21" s="257"/>
      <c r="G21" s="8">
        <f t="shared" si="1"/>
        <v>0</v>
      </c>
      <c r="H21" s="65">
        <v>0</v>
      </c>
      <c r="I21" s="66">
        <v>0</v>
      </c>
      <c r="J21" s="8">
        <f t="shared" si="2"/>
        <v>0</v>
      </c>
      <c r="K21" s="8">
        <f t="shared" si="3"/>
        <v>0</v>
      </c>
      <c r="L21" s="68">
        <f t="shared" si="4"/>
        <v>0</v>
      </c>
      <c r="M21" s="68">
        <v>0</v>
      </c>
      <c r="N21" s="8"/>
      <c r="O21" s="69"/>
    </row>
    <row r="22" spans="1:15">
      <c r="A22" s="46">
        <v>19</v>
      </c>
      <c r="B22" s="219">
        <v>45735</v>
      </c>
      <c r="C22" s="67"/>
      <c r="D22" s="159"/>
      <c r="E22" s="257"/>
      <c r="F22" s="257"/>
      <c r="G22" s="8">
        <f t="shared" si="1"/>
        <v>0</v>
      </c>
      <c r="H22" s="65">
        <v>0</v>
      </c>
      <c r="I22" s="66">
        <v>0</v>
      </c>
      <c r="J22" s="8">
        <f t="shared" si="2"/>
        <v>0</v>
      </c>
      <c r="K22" s="8">
        <f t="shared" si="3"/>
        <v>0</v>
      </c>
      <c r="L22" s="68">
        <f t="shared" si="4"/>
        <v>0</v>
      </c>
      <c r="M22" s="68">
        <v>0</v>
      </c>
      <c r="N22" s="8"/>
      <c r="O22" s="69"/>
    </row>
    <row r="23" spans="1:15">
      <c r="A23" s="46">
        <v>20</v>
      </c>
      <c r="B23" s="219">
        <v>45736</v>
      </c>
      <c r="C23" s="67"/>
      <c r="D23" s="159"/>
      <c r="E23" s="257"/>
      <c r="F23" s="257"/>
      <c r="G23" s="8">
        <f t="shared" si="1"/>
        <v>0</v>
      </c>
      <c r="H23" s="65">
        <v>0</v>
      </c>
      <c r="I23" s="66">
        <v>0</v>
      </c>
      <c r="J23" s="8">
        <f t="shared" si="2"/>
        <v>0</v>
      </c>
      <c r="K23" s="8">
        <f t="shared" si="3"/>
        <v>0</v>
      </c>
      <c r="L23" s="68">
        <f t="shared" si="4"/>
        <v>0</v>
      </c>
      <c r="M23" s="68">
        <v>0</v>
      </c>
      <c r="N23" s="8"/>
      <c r="O23" s="69"/>
    </row>
    <row r="24" spans="1:15">
      <c r="A24" s="46">
        <v>21</v>
      </c>
      <c r="B24" s="219">
        <v>45737</v>
      </c>
      <c r="C24" s="67"/>
      <c r="D24" s="159"/>
      <c r="E24" s="257"/>
      <c r="F24" s="257"/>
      <c r="G24" s="8">
        <f t="shared" si="1"/>
        <v>0</v>
      </c>
      <c r="H24" s="65">
        <v>0</v>
      </c>
      <c r="I24" s="66">
        <v>0</v>
      </c>
      <c r="J24" s="8">
        <f t="shared" si="2"/>
        <v>0</v>
      </c>
      <c r="K24" s="8">
        <f t="shared" si="3"/>
        <v>0</v>
      </c>
      <c r="L24" s="68">
        <f t="shared" si="4"/>
        <v>0</v>
      </c>
      <c r="M24" s="68">
        <v>0</v>
      </c>
      <c r="N24" s="8"/>
      <c r="O24" s="69"/>
    </row>
    <row r="25" spans="1:15">
      <c r="A25" s="46">
        <v>22</v>
      </c>
      <c r="B25" s="219">
        <v>45738</v>
      </c>
      <c r="C25" s="67"/>
      <c r="D25" s="159"/>
      <c r="E25" s="257"/>
      <c r="F25" s="257"/>
      <c r="G25" s="8">
        <f t="shared" si="1"/>
        <v>0</v>
      </c>
      <c r="H25" s="65">
        <v>0</v>
      </c>
      <c r="I25" s="66">
        <v>0</v>
      </c>
      <c r="J25" s="8">
        <f t="shared" si="2"/>
        <v>0</v>
      </c>
      <c r="K25" s="8">
        <f t="shared" si="3"/>
        <v>0</v>
      </c>
      <c r="L25" s="68">
        <f t="shared" si="4"/>
        <v>0</v>
      </c>
      <c r="M25" s="68">
        <v>0</v>
      </c>
      <c r="N25" s="8"/>
      <c r="O25" s="69"/>
    </row>
    <row r="26" spans="1:15">
      <c r="A26" s="46">
        <v>23</v>
      </c>
      <c r="B26" s="219">
        <v>45739</v>
      </c>
      <c r="C26" s="67"/>
      <c r="D26" s="159"/>
      <c r="E26" s="257"/>
      <c r="F26" s="8"/>
      <c r="G26" s="8">
        <f t="shared" si="1"/>
        <v>0</v>
      </c>
      <c r="H26" s="65">
        <v>0</v>
      </c>
      <c r="I26" s="66">
        <v>0</v>
      </c>
      <c r="J26" s="8">
        <f t="shared" si="2"/>
        <v>0</v>
      </c>
      <c r="K26" s="8">
        <f t="shared" si="3"/>
        <v>0</v>
      </c>
      <c r="L26" s="68">
        <f t="shared" si="4"/>
        <v>0</v>
      </c>
      <c r="M26" s="68">
        <v>0</v>
      </c>
      <c r="N26" s="8"/>
      <c r="O26" s="69"/>
    </row>
    <row r="27" spans="1:15">
      <c r="A27" s="46">
        <v>24</v>
      </c>
      <c r="B27" s="219">
        <v>45740</v>
      </c>
      <c r="C27" s="67"/>
      <c r="D27" s="159"/>
      <c r="E27" s="257"/>
      <c r="F27" s="257"/>
      <c r="G27" s="8">
        <f t="shared" si="1"/>
        <v>0</v>
      </c>
      <c r="H27" s="65">
        <v>0</v>
      </c>
      <c r="I27" s="66">
        <v>0</v>
      </c>
      <c r="J27" s="8">
        <f t="shared" si="2"/>
        <v>0</v>
      </c>
      <c r="K27" s="8">
        <f t="shared" si="3"/>
        <v>0</v>
      </c>
      <c r="L27" s="68">
        <f t="shared" si="4"/>
        <v>0</v>
      </c>
      <c r="M27" s="68">
        <v>0</v>
      </c>
      <c r="N27" s="8"/>
      <c r="O27" s="69"/>
    </row>
    <row r="28" spans="1:15">
      <c r="A28" s="221">
        <v>25</v>
      </c>
      <c r="B28" s="219">
        <v>45741</v>
      </c>
      <c r="C28" s="67"/>
      <c r="D28" s="159"/>
      <c r="E28" s="257"/>
      <c r="F28" s="257"/>
      <c r="G28" s="8"/>
      <c r="H28" s="65">
        <v>0</v>
      </c>
      <c r="I28" s="66">
        <v>0</v>
      </c>
      <c r="J28" s="8">
        <f t="shared" si="2"/>
        <v>0</v>
      </c>
      <c r="K28" s="8">
        <f t="shared" si="3"/>
        <v>0</v>
      </c>
      <c r="L28" s="68">
        <f t="shared" si="4"/>
        <v>0</v>
      </c>
      <c r="M28" s="68">
        <v>0</v>
      </c>
      <c r="N28" s="8"/>
      <c r="O28" s="69"/>
    </row>
    <row r="29" spans="1:15">
      <c r="A29" s="221">
        <v>26</v>
      </c>
      <c r="B29" s="219">
        <v>45742</v>
      </c>
      <c r="C29" s="67"/>
      <c r="D29" s="159"/>
      <c r="E29" s="257"/>
      <c r="F29" s="257"/>
      <c r="G29" s="8">
        <f t="shared" si="1"/>
        <v>0</v>
      </c>
      <c r="H29" s="65">
        <v>0</v>
      </c>
      <c r="I29" s="66">
        <v>0</v>
      </c>
      <c r="J29" s="8">
        <f t="shared" si="2"/>
        <v>0</v>
      </c>
      <c r="K29" s="8">
        <f t="shared" si="3"/>
        <v>0</v>
      </c>
      <c r="L29" s="68">
        <f t="shared" si="4"/>
        <v>0</v>
      </c>
      <c r="M29" s="68">
        <v>0</v>
      </c>
      <c r="N29" s="8"/>
      <c r="O29" s="69"/>
    </row>
    <row r="30" spans="1:15">
      <c r="A30" s="221">
        <v>27</v>
      </c>
      <c r="B30" s="219">
        <v>45743</v>
      </c>
      <c r="C30" s="67"/>
      <c r="D30" s="159"/>
      <c r="E30" s="257"/>
      <c r="F30" s="257"/>
      <c r="G30" s="8">
        <f t="shared" si="1"/>
        <v>0</v>
      </c>
      <c r="H30" s="65">
        <v>0</v>
      </c>
      <c r="I30" s="66">
        <v>0</v>
      </c>
      <c r="J30" s="8">
        <f t="shared" si="2"/>
        <v>0</v>
      </c>
      <c r="K30" s="8">
        <f t="shared" si="3"/>
        <v>0</v>
      </c>
      <c r="L30" s="68">
        <f t="shared" si="4"/>
        <v>0</v>
      </c>
      <c r="M30" s="68">
        <v>0</v>
      </c>
      <c r="N30" s="8"/>
      <c r="O30" s="69"/>
    </row>
    <row r="31" spans="1:15">
      <c r="A31" s="221">
        <v>28</v>
      </c>
      <c r="B31" s="219">
        <v>45744</v>
      </c>
      <c r="C31" s="67"/>
      <c r="D31" s="159"/>
      <c r="E31" s="257">
        <v>35.409999999999997</v>
      </c>
      <c r="F31" s="257">
        <v>96.08</v>
      </c>
      <c r="G31" s="8">
        <f t="shared" si="1"/>
        <v>3402.1927999999998</v>
      </c>
      <c r="H31" s="65">
        <v>0</v>
      </c>
      <c r="I31" s="66">
        <v>0</v>
      </c>
      <c r="J31" s="8">
        <f t="shared" si="2"/>
        <v>0</v>
      </c>
      <c r="K31" s="8">
        <f t="shared" si="3"/>
        <v>3402.1927999999998</v>
      </c>
      <c r="L31" s="68">
        <f t="shared" si="4"/>
        <v>3402.1927999999998</v>
      </c>
      <c r="M31" s="68">
        <v>0</v>
      </c>
      <c r="N31" s="8"/>
      <c r="O31" s="69"/>
    </row>
    <row r="32" spans="1:15">
      <c r="A32" s="222">
        <v>29</v>
      </c>
      <c r="B32" s="219"/>
      <c r="C32" s="67"/>
      <c r="D32" s="159"/>
      <c r="E32" s="257"/>
      <c r="F32" s="257"/>
      <c r="G32" s="8">
        <f t="shared" si="1"/>
        <v>0</v>
      </c>
      <c r="H32" s="65">
        <v>0</v>
      </c>
      <c r="I32" s="66">
        <v>0</v>
      </c>
      <c r="J32" s="8">
        <f t="shared" si="2"/>
        <v>0</v>
      </c>
      <c r="K32" s="8">
        <f t="shared" si="3"/>
        <v>0</v>
      </c>
      <c r="L32" s="68">
        <f t="shared" si="4"/>
        <v>0</v>
      </c>
      <c r="M32" s="68">
        <v>0</v>
      </c>
      <c r="N32" s="8"/>
      <c r="O32" s="69"/>
    </row>
    <row r="33" spans="1:15">
      <c r="A33" s="222">
        <v>30</v>
      </c>
      <c r="B33" s="219"/>
      <c r="C33" s="67"/>
      <c r="D33" s="159"/>
      <c r="E33" s="257"/>
      <c r="F33" s="257"/>
      <c r="G33" s="8">
        <f t="shared" ref="G33" si="7">E33*F33</f>
        <v>0</v>
      </c>
      <c r="H33" s="65">
        <v>0</v>
      </c>
      <c r="I33" s="66">
        <v>0</v>
      </c>
      <c r="J33" s="8">
        <f t="shared" si="2"/>
        <v>0</v>
      </c>
      <c r="K33" s="8">
        <f t="shared" si="3"/>
        <v>0</v>
      </c>
      <c r="L33" s="68">
        <f t="shared" si="4"/>
        <v>0</v>
      </c>
      <c r="M33" s="68">
        <v>0</v>
      </c>
      <c r="N33" s="8"/>
      <c r="O33" s="69"/>
    </row>
    <row r="34" spans="1:15">
      <c r="A34" s="222">
        <v>31</v>
      </c>
      <c r="B34" s="219"/>
      <c r="C34" s="67"/>
      <c r="D34" s="159"/>
      <c r="E34" s="257"/>
      <c r="F34" s="257"/>
      <c r="G34" s="8">
        <f t="shared" ref="G34" si="8">E34*F34</f>
        <v>0</v>
      </c>
      <c r="H34" s="65">
        <v>0</v>
      </c>
      <c r="I34" s="66">
        <v>0</v>
      </c>
      <c r="J34" s="8">
        <f t="shared" ref="J34" si="9">H34*I34</f>
        <v>0</v>
      </c>
      <c r="K34" s="8">
        <f t="shared" ref="K34" si="10">G34+J34</f>
        <v>0</v>
      </c>
      <c r="L34" s="68">
        <f t="shared" ref="L34" si="11">+K34</f>
        <v>0</v>
      </c>
      <c r="M34" s="68">
        <v>0</v>
      </c>
      <c r="N34" s="8"/>
      <c r="O34" s="69"/>
    </row>
    <row r="35" spans="1:15">
      <c r="A35" s="62"/>
      <c r="B35" s="62"/>
      <c r="C35" s="62"/>
      <c r="D35" s="62"/>
      <c r="E35" s="258">
        <f>SUM(E4:E34)</f>
        <v>35.409999999999997</v>
      </c>
      <c r="F35" s="258"/>
      <c r="G35" s="63">
        <f>SUM(G4:G34)</f>
        <v>3402.1927999999998</v>
      </c>
      <c r="H35" s="63">
        <f>SUM(H4:H34)</f>
        <v>0</v>
      </c>
      <c r="I35" s="63"/>
      <c r="J35" s="63">
        <f>SUM(J4:J34)</f>
        <v>0</v>
      </c>
      <c r="K35" s="63">
        <f>SUM(K4:K34)</f>
        <v>3402.1927999999998</v>
      </c>
      <c r="L35" s="63">
        <f>SUM(L4:L34)</f>
        <v>3402.1927999999998</v>
      </c>
      <c r="M35" s="63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463"/>
      <c r="C43" s="463"/>
      <c r="D43" s="463"/>
      <c r="E43" s="463"/>
      <c r="F43" s="69"/>
      <c r="G43" s="69"/>
      <c r="H43" s="69"/>
      <c r="I43" s="463"/>
      <c r="J43" s="463"/>
      <c r="K43" s="463"/>
      <c r="L43" s="463"/>
      <c r="M43" s="463"/>
      <c r="N43" s="463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dimension ref="A1:R47"/>
  <sheetViews>
    <sheetView topLeftCell="B6" workbookViewId="0">
      <selection activeCell="M16" sqref="M16"/>
    </sheetView>
  </sheetViews>
  <sheetFormatPr defaultColWidth="18.28515625" defaultRowHeight="15"/>
  <cols>
    <col min="1" max="1" width="13.42578125" customWidth="1"/>
    <col min="3" max="3" width="43" bestFit="1" customWidth="1"/>
    <col min="4" max="4" width="25" bestFit="1" customWidth="1"/>
    <col min="5" max="5" width="11.5703125" customWidth="1"/>
    <col min="6" max="6" width="11.140625" customWidth="1"/>
    <col min="7" max="7" width="11.28515625" customWidth="1"/>
    <col min="8" max="8" width="9.85546875" customWidth="1"/>
    <col min="10" max="10" width="16.5703125" customWidth="1"/>
  </cols>
  <sheetData>
    <row r="1" spans="1:18" ht="15.75">
      <c r="A1" s="356"/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82"/>
    </row>
    <row r="2" spans="1:18" ht="30.75">
      <c r="A2" s="98" t="s">
        <v>0</v>
      </c>
      <c r="B2" s="99" t="s">
        <v>161</v>
      </c>
      <c r="C2" s="99" t="s">
        <v>162</v>
      </c>
      <c r="D2" s="99" t="s">
        <v>180</v>
      </c>
      <c r="E2" s="256" t="s">
        <v>164</v>
      </c>
      <c r="F2" s="256" t="s">
        <v>165</v>
      </c>
      <c r="G2" s="99" t="s">
        <v>166</v>
      </c>
      <c r="H2" s="99" t="s">
        <v>167</v>
      </c>
      <c r="I2" s="99" t="s">
        <v>165</v>
      </c>
      <c r="J2" s="138" t="s">
        <v>166</v>
      </c>
      <c r="K2" s="100" t="s">
        <v>168</v>
      </c>
      <c r="L2" s="139" t="s">
        <v>169</v>
      </c>
      <c r="M2" s="143" t="s">
        <v>181</v>
      </c>
      <c r="N2" s="101" t="s">
        <v>171</v>
      </c>
      <c r="O2" s="59"/>
    </row>
    <row r="3" spans="1:18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  <c r="M3" s="148">
        <v>0</v>
      </c>
      <c r="N3" s="156"/>
      <c r="O3" s="59"/>
    </row>
    <row r="4" spans="1:18">
      <c r="A4" s="196">
        <v>1</v>
      </c>
      <c r="B4" s="219"/>
      <c r="C4" s="314"/>
      <c r="D4" s="314"/>
      <c r="E4" s="314"/>
      <c r="F4" s="314"/>
      <c r="G4" s="314">
        <v>0</v>
      </c>
      <c r="H4" s="314">
        <v>0</v>
      </c>
      <c r="I4" s="314">
        <v>0</v>
      </c>
      <c r="J4" s="314">
        <v>0</v>
      </c>
      <c r="K4" s="357">
        <f>G4+J4</f>
        <v>0</v>
      </c>
      <c r="L4" s="68"/>
      <c r="M4" s="68">
        <f>+M3+K4-L4</f>
        <v>0</v>
      </c>
      <c r="N4" s="8"/>
    </row>
    <row r="5" spans="1:18">
      <c r="A5" s="46">
        <v>2</v>
      </c>
      <c r="B5" s="219"/>
      <c r="C5" s="314"/>
      <c r="D5" s="314"/>
      <c r="E5" s="314"/>
      <c r="F5" s="314"/>
      <c r="G5" s="314">
        <f>E5*F5</f>
        <v>0</v>
      </c>
      <c r="H5" s="314">
        <v>0</v>
      </c>
      <c r="I5" s="314">
        <v>0</v>
      </c>
      <c r="J5" s="314">
        <v>0</v>
      </c>
      <c r="K5" s="357">
        <f t="shared" ref="K5:L10" si="0">G5+J5</f>
        <v>0</v>
      </c>
      <c r="L5" s="68"/>
      <c r="M5" s="68">
        <f t="shared" ref="M5:M37" si="1">+M4+K5-L5</f>
        <v>0</v>
      </c>
      <c r="N5" s="8"/>
    </row>
    <row r="6" spans="1:18">
      <c r="A6" s="46">
        <v>3</v>
      </c>
      <c r="B6" s="219">
        <v>46084</v>
      </c>
      <c r="C6" s="314" t="s">
        <v>183</v>
      </c>
      <c r="D6" s="314" t="s">
        <v>184</v>
      </c>
      <c r="E6" s="314">
        <v>43</v>
      </c>
      <c r="F6" s="314">
        <v>86.75</v>
      </c>
      <c r="G6" s="314">
        <v>3730.25</v>
      </c>
      <c r="H6" s="314">
        <v>9.81</v>
      </c>
      <c r="I6" s="314">
        <v>96.91</v>
      </c>
      <c r="J6" s="314">
        <v>950.69</v>
      </c>
      <c r="K6" s="357">
        <v>4680.9399999999996</v>
      </c>
      <c r="L6" s="357">
        <v>4680.9399999999996</v>
      </c>
      <c r="M6" s="68">
        <f t="shared" si="1"/>
        <v>0</v>
      </c>
      <c r="N6" s="417" t="s">
        <v>185</v>
      </c>
    </row>
    <row r="7" spans="1:18">
      <c r="A7" s="196">
        <v>4</v>
      </c>
      <c r="B7" s="219"/>
      <c r="C7" s="314" t="s">
        <v>186</v>
      </c>
      <c r="D7" s="314" t="s">
        <v>187</v>
      </c>
      <c r="E7" s="314">
        <v>41.19</v>
      </c>
      <c r="F7" s="314">
        <v>97.12</v>
      </c>
      <c r="G7" s="314">
        <v>4000.37</v>
      </c>
      <c r="H7" s="314">
        <v>0</v>
      </c>
      <c r="I7" s="314" t="s">
        <v>188</v>
      </c>
      <c r="J7" s="314"/>
      <c r="K7" s="357">
        <v>4000.37</v>
      </c>
      <c r="L7" s="357">
        <v>4000.37</v>
      </c>
      <c r="M7" s="68">
        <f t="shared" si="1"/>
        <v>0</v>
      </c>
      <c r="N7" s="419" t="s">
        <v>189</v>
      </c>
      <c r="O7" s="418"/>
    </row>
    <row r="8" spans="1:18">
      <c r="A8" s="46">
        <v>5</v>
      </c>
      <c r="B8" s="219">
        <v>46090</v>
      </c>
      <c r="C8" s="67" t="s">
        <v>190</v>
      </c>
      <c r="D8" s="159" t="s">
        <v>191</v>
      </c>
      <c r="E8" s="104">
        <v>46.57</v>
      </c>
      <c r="F8" s="257">
        <v>97.71</v>
      </c>
      <c r="G8" s="314">
        <f t="shared" ref="G8:G19" si="2">E8*F8</f>
        <v>4550.3546999999999</v>
      </c>
      <c r="H8" s="314">
        <v>5.12</v>
      </c>
      <c r="I8" s="314">
        <v>109.94</v>
      </c>
      <c r="J8" s="314">
        <v>563</v>
      </c>
      <c r="K8" s="357">
        <f t="shared" si="0"/>
        <v>5113.3546999999999</v>
      </c>
      <c r="L8" s="357">
        <v>5113.3546999999999</v>
      </c>
      <c r="M8" s="68">
        <f t="shared" si="1"/>
        <v>0</v>
      </c>
      <c r="N8" s="8"/>
      <c r="O8" s="69"/>
      <c r="R8" s="225"/>
    </row>
    <row r="9" spans="1:18">
      <c r="A9" s="46">
        <v>6</v>
      </c>
      <c r="B9" s="219"/>
      <c r="C9" s="314" t="s">
        <v>192</v>
      </c>
      <c r="D9" s="314" t="s">
        <v>193</v>
      </c>
      <c r="E9" s="314"/>
      <c r="F9" s="314"/>
      <c r="G9" s="314">
        <f t="shared" si="2"/>
        <v>0</v>
      </c>
      <c r="H9" s="314">
        <v>5</v>
      </c>
      <c r="I9" s="314">
        <v>108.86</v>
      </c>
      <c r="J9" s="314">
        <v>544.29999999999995</v>
      </c>
      <c r="K9" s="357">
        <f>G9+J9</f>
        <v>544.29999999999995</v>
      </c>
      <c r="L9" s="357">
        <v>544.29999999999995</v>
      </c>
      <c r="M9" s="68">
        <f t="shared" si="1"/>
        <v>0</v>
      </c>
      <c r="N9" s="8"/>
      <c r="O9" s="69"/>
    </row>
    <row r="10" spans="1:18">
      <c r="A10" s="196">
        <v>7</v>
      </c>
      <c r="B10" s="219">
        <v>46091</v>
      </c>
      <c r="C10" s="314" t="s">
        <v>192</v>
      </c>
      <c r="D10" s="314" t="s">
        <v>193</v>
      </c>
      <c r="E10" s="314"/>
      <c r="F10" s="314"/>
      <c r="G10" s="314">
        <f t="shared" si="2"/>
        <v>0</v>
      </c>
      <c r="H10" s="314">
        <v>5</v>
      </c>
      <c r="I10" s="314">
        <v>108.86</v>
      </c>
      <c r="J10" s="314">
        <v>544.29999999999995</v>
      </c>
      <c r="K10" s="357">
        <f t="shared" ref="K10:L21" si="3">G10+J10</f>
        <v>544.29999999999995</v>
      </c>
      <c r="L10" s="357">
        <v>544.29999999999995</v>
      </c>
      <c r="M10" s="68">
        <f t="shared" si="1"/>
        <v>0</v>
      </c>
      <c r="N10" s="8"/>
      <c r="O10" s="69"/>
    </row>
    <row r="11" spans="1:18">
      <c r="A11" s="46">
        <v>8</v>
      </c>
      <c r="B11" s="219">
        <v>46092</v>
      </c>
      <c r="C11" s="67" t="s">
        <v>194</v>
      </c>
      <c r="D11" s="159" t="s">
        <v>195</v>
      </c>
      <c r="E11" s="104">
        <v>50.49</v>
      </c>
      <c r="F11" s="257">
        <v>97.47</v>
      </c>
      <c r="G11" s="314">
        <v>4921.26</v>
      </c>
      <c r="H11" s="314">
        <v>0</v>
      </c>
      <c r="I11" s="314"/>
      <c r="J11" s="314"/>
      <c r="K11" s="357">
        <v>4921.26</v>
      </c>
      <c r="L11" s="357">
        <v>4921.26</v>
      </c>
      <c r="M11" s="68">
        <f t="shared" si="1"/>
        <v>0</v>
      </c>
      <c r="N11" s="8"/>
      <c r="O11" s="69"/>
    </row>
    <row r="12" spans="1:18">
      <c r="A12" s="46">
        <v>9</v>
      </c>
      <c r="B12" s="219">
        <v>46094</v>
      </c>
      <c r="C12" s="314" t="s">
        <v>196</v>
      </c>
      <c r="D12" s="314" t="s">
        <v>197</v>
      </c>
      <c r="E12" s="314">
        <v>42.28</v>
      </c>
      <c r="F12" s="314">
        <v>96.67</v>
      </c>
      <c r="G12" s="314">
        <v>4087.21</v>
      </c>
      <c r="H12" s="314">
        <v>0</v>
      </c>
      <c r="I12" s="314" t="s">
        <v>188</v>
      </c>
      <c r="J12" s="314" t="s">
        <v>188</v>
      </c>
      <c r="K12" s="357">
        <v>4087.21</v>
      </c>
      <c r="L12" s="357">
        <v>4087.21</v>
      </c>
      <c r="M12" s="68">
        <f t="shared" si="1"/>
        <v>0</v>
      </c>
      <c r="N12" s="8"/>
      <c r="O12" s="69"/>
    </row>
    <row r="13" spans="1:18">
      <c r="A13" s="196">
        <v>10</v>
      </c>
      <c r="B13" s="219">
        <v>46095</v>
      </c>
      <c r="C13" s="314" t="s">
        <v>198</v>
      </c>
      <c r="D13" s="314" t="s">
        <v>87</v>
      </c>
      <c r="E13" s="314">
        <v>0</v>
      </c>
      <c r="F13" s="314"/>
      <c r="G13" s="314"/>
      <c r="H13" s="314">
        <v>5</v>
      </c>
      <c r="I13" s="314">
        <v>109.94</v>
      </c>
      <c r="J13" s="314">
        <v>549.70000000000005</v>
      </c>
      <c r="K13" s="357">
        <v>549.70000000000005</v>
      </c>
      <c r="L13" s="357">
        <v>549.70000000000005</v>
      </c>
      <c r="M13" s="68">
        <f t="shared" si="1"/>
        <v>0</v>
      </c>
      <c r="N13" s="8"/>
      <c r="O13" s="69"/>
    </row>
    <row r="14" spans="1:18">
      <c r="A14" s="46">
        <v>11</v>
      </c>
      <c r="B14" s="219">
        <v>46096</v>
      </c>
      <c r="C14" s="67" t="s">
        <v>199</v>
      </c>
      <c r="D14" s="159" t="s">
        <v>87</v>
      </c>
      <c r="E14" s="104">
        <v>0</v>
      </c>
      <c r="F14" s="257"/>
      <c r="G14" s="314"/>
      <c r="H14" s="314">
        <v>5</v>
      </c>
      <c r="I14" s="314">
        <v>109.94</v>
      </c>
      <c r="J14" s="314">
        <v>550</v>
      </c>
      <c r="K14" s="357">
        <v>550</v>
      </c>
      <c r="L14" s="357">
        <v>550</v>
      </c>
      <c r="M14" s="68">
        <f t="shared" si="1"/>
        <v>0</v>
      </c>
      <c r="N14" s="8"/>
      <c r="O14" s="69"/>
    </row>
    <row r="15" spans="1:18">
      <c r="A15" s="46">
        <v>12</v>
      </c>
      <c r="B15" s="219">
        <v>46099</v>
      </c>
      <c r="C15" s="417" t="s">
        <v>199</v>
      </c>
      <c r="D15" s="314" t="s">
        <v>87</v>
      </c>
      <c r="E15" s="314">
        <v>43.76</v>
      </c>
      <c r="F15" s="314">
        <v>97.91</v>
      </c>
      <c r="G15" s="314">
        <v>4284.54</v>
      </c>
      <c r="H15" s="314">
        <v>5</v>
      </c>
      <c r="I15" s="314">
        <v>109.94</v>
      </c>
      <c r="J15" s="314">
        <v>549.70000000000005</v>
      </c>
      <c r="K15" s="357">
        <v>4834.24</v>
      </c>
      <c r="L15" s="357">
        <v>4834.24</v>
      </c>
      <c r="M15" s="68">
        <f t="shared" si="1"/>
        <v>0</v>
      </c>
      <c r="N15" s="8"/>
      <c r="O15" s="69"/>
    </row>
    <row r="16" spans="1:18">
      <c r="A16" s="196">
        <v>13</v>
      </c>
      <c r="B16" s="219">
        <v>46100</v>
      </c>
      <c r="C16" s="419" t="s">
        <v>200</v>
      </c>
      <c r="D16" s="331" t="s">
        <v>201</v>
      </c>
      <c r="E16" s="331">
        <v>0</v>
      </c>
      <c r="F16" s="331" t="s">
        <v>188</v>
      </c>
      <c r="G16" s="331" t="s">
        <v>188</v>
      </c>
      <c r="H16" s="331">
        <v>5</v>
      </c>
      <c r="I16" s="331">
        <v>108.86</v>
      </c>
      <c r="J16" s="331">
        <v>544.29999999999995</v>
      </c>
      <c r="K16" s="331">
        <v>544.29999999999995</v>
      </c>
      <c r="L16" s="331">
        <v>544.29999999999995</v>
      </c>
      <c r="M16" s="68">
        <f t="shared" si="1"/>
        <v>0</v>
      </c>
      <c r="N16" s="8"/>
      <c r="O16" s="69"/>
    </row>
    <row r="17" spans="1:17">
      <c r="A17" s="46">
        <v>14</v>
      </c>
      <c r="B17" s="219">
        <v>46103</v>
      </c>
      <c r="C17" s="417" t="s">
        <v>200</v>
      </c>
      <c r="D17" s="314" t="s">
        <v>201</v>
      </c>
      <c r="E17" s="314">
        <v>0</v>
      </c>
      <c r="F17" s="314" t="s">
        <v>188</v>
      </c>
      <c r="G17" s="314" t="s">
        <v>188</v>
      </c>
      <c r="H17" s="314">
        <v>5</v>
      </c>
      <c r="I17" s="314">
        <v>108.86</v>
      </c>
      <c r="J17" s="314">
        <v>544.29999999999995</v>
      </c>
      <c r="K17" s="314">
        <v>544.29999999999995</v>
      </c>
      <c r="L17" s="314">
        <v>544.29999999999995</v>
      </c>
      <c r="M17" s="68">
        <f t="shared" si="1"/>
        <v>0</v>
      </c>
      <c r="N17" s="8"/>
      <c r="O17" s="69"/>
    </row>
    <row r="18" spans="1:17">
      <c r="A18" s="46">
        <v>15</v>
      </c>
      <c r="B18" s="219">
        <v>46104</v>
      </c>
      <c r="C18" s="314" t="s">
        <v>202</v>
      </c>
      <c r="D18" s="314" t="s">
        <v>203</v>
      </c>
      <c r="E18" s="314">
        <v>36.229999999999997</v>
      </c>
      <c r="F18" s="314">
        <v>96.63</v>
      </c>
      <c r="G18" s="314">
        <v>3500.9</v>
      </c>
      <c r="H18" s="314">
        <v>0</v>
      </c>
      <c r="I18" s="314" t="s">
        <v>188</v>
      </c>
      <c r="J18" s="314" t="s">
        <v>188</v>
      </c>
      <c r="K18" s="357">
        <v>3500.9</v>
      </c>
      <c r="L18" s="357">
        <v>3500.9</v>
      </c>
      <c r="M18" s="68">
        <f>+M16+K18-L18</f>
        <v>0</v>
      </c>
      <c r="N18" s="8"/>
      <c r="O18" s="69"/>
    </row>
    <row r="19" spans="1:17">
      <c r="A19" s="196">
        <v>16</v>
      </c>
      <c r="B19" s="219">
        <v>46104</v>
      </c>
      <c r="C19" s="431" t="s">
        <v>200</v>
      </c>
      <c r="D19" s="331" t="s">
        <v>201</v>
      </c>
      <c r="E19" s="331">
        <v>0</v>
      </c>
      <c r="F19" s="331" t="s">
        <v>188</v>
      </c>
      <c r="G19" s="331" t="s">
        <v>188</v>
      </c>
      <c r="H19" s="331">
        <v>5</v>
      </c>
      <c r="I19" s="331">
        <v>108.86</v>
      </c>
      <c r="J19" s="331">
        <v>544.29999999999995</v>
      </c>
      <c r="K19" s="331">
        <v>544.29999999999995</v>
      </c>
      <c r="L19" s="331">
        <v>544.29999999999995</v>
      </c>
      <c r="M19" s="68">
        <f t="shared" si="1"/>
        <v>0</v>
      </c>
      <c r="N19" s="182"/>
      <c r="O19" s="69"/>
    </row>
    <row r="20" spans="1:17">
      <c r="A20" s="46">
        <v>17</v>
      </c>
      <c r="B20" s="219">
        <v>46105</v>
      </c>
      <c r="C20" s="435" t="s">
        <v>200</v>
      </c>
      <c r="D20" s="314" t="s">
        <v>201</v>
      </c>
      <c r="E20" s="314">
        <v>0</v>
      </c>
      <c r="F20" s="314" t="s">
        <v>188</v>
      </c>
      <c r="G20" s="314" t="s">
        <v>188</v>
      </c>
      <c r="H20" s="314">
        <v>3</v>
      </c>
      <c r="I20" s="314">
        <v>108.86</v>
      </c>
      <c r="J20" s="314">
        <v>326.58</v>
      </c>
      <c r="K20" s="314">
        <v>326.58</v>
      </c>
      <c r="L20" s="314">
        <v>326.58</v>
      </c>
      <c r="M20" s="68">
        <f t="shared" si="1"/>
        <v>0</v>
      </c>
      <c r="N20" s="279"/>
      <c r="O20" s="69"/>
    </row>
    <row r="21" spans="1:17">
      <c r="A21" s="46">
        <v>18</v>
      </c>
      <c r="B21" s="219">
        <v>46106</v>
      </c>
      <c r="C21" s="67" t="s">
        <v>204</v>
      </c>
      <c r="D21" s="159" t="s">
        <v>87</v>
      </c>
      <c r="E21" s="104">
        <v>0</v>
      </c>
      <c r="F21" s="257"/>
      <c r="G21" s="8"/>
      <c r="H21" s="104">
        <v>5</v>
      </c>
      <c r="I21" s="257">
        <v>109.94</v>
      </c>
      <c r="J21" s="8">
        <v>549.70000000000005</v>
      </c>
      <c r="K21" s="357">
        <v>549.70000000000005</v>
      </c>
      <c r="L21" s="357">
        <v>549.70000000000005</v>
      </c>
      <c r="M21" s="68">
        <f t="shared" si="1"/>
        <v>0</v>
      </c>
      <c r="N21" s="19"/>
      <c r="O21" s="69"/>
    </row>
    <row r="22" spans="1:17">
      <c r="A22" s="196">
        <v>19</v>
      </c>
      <c r="B22" s="219">
        <v>46109</v>
      </c>
      <c r="C22" s="435" t="s">
        <v>200</v>
      </c>
      <c r="D22" s="314" t="s">
        <v>201</v>
      </c>
      <c r="E22" s="314">
        <v>0</v>
      </c>
      <c r="F22" s="314" t="s">
        <v>188</v>
      </c>
      <c r="G22" s="314" t="s">
        <v>188</v>
      </c>
      <c r="H22" s="314">
        <v>10</v>
      </c>
      <c r="I22" s="314">
        <v>108.86</v>
      </c>
      <c r="J22" s="314">
        <v>1088.5999999999999</v>
      </c>
      <c r="K22" s="357">
        <v>1088.5999999999999</v>
      </c>
      <c r="L22" s="357">
        <v>1088.5999999999999</v>
      </c>
      <c r="M22" s="68">
        <f t="shared" si="1"/>
        <v>0</v>
      </c>
      <c r="N22" s="417" t="s">
        <v>205</v>
      </c>
      <c r="O22" s="69"/>
    </row>
    <row r="23" spans="1:17">
      <c r="A23" s="46">
        <v>20</v>
      </c>
      <c r="B23" s="219">
        <v>46109</v>
      </c>
      <c r="C23" s="331" t="s">
        <v>206</v>
      </c>
      <c r="D23" s="331" t="s">
        <v>201</v>
      </c>
      <c r="E23" s="331">
        <v>51.7</v>
      </c>
      <c r="F23" s="331">
        <v>96.71</v>
      </c>
      <c r="G23" s="331">
        <v>5000</v>
      </c>
      <c r="H23" s="331">
        <v>0</v>
      </c>
      <c r="I23" s="331" t="s">
        <v>188</v>
      </c>
      <c r="J23" s="331" t="s">
        <v>188</v>
      </c>
      <c r="K23" s="441">
        <v>5000</v>
      </c>
      <c r="L23" s="441">
        <v>5000</v>
      </c>
      <c r="M23" s="68">
        <f t="shared" si="1"/>
        <v>0</v>
      </c>
      <c r="N23" s="419" t="s">
        <v>189</v>
      </c>
      <c r="O23" s="69"/>
      <c r="Q23" s="22"/>
    </row>
    <row r="24" spans="1:17">
      <c r="A24" s="46">
        <v>21</v>
      </c>
      <c r="B24" s="219">
        <v>46110</v>
      </c>
      <c r="C24" s="67" t="s">
        <v>204</v>
      </c>
      <c r="D24" s="159" t="s">
        <v>87</v>
      </c>
      <c r="E24" s="104">
        <v>45.36</v>
      </c>
      <c r="F24" s="257">
        <v>97.71</v>
      </c>
      <c r="G24" s="8">
        <v>4432.13</v>
      </c>
      <c r="H24" s="104">
        <v>0</v>
      </c>
      <c r="I24" s="257">
        <v>109.94</v>
      </c>
      <c r="J24" s="8">
        <v>0</v>
      </c>
      <c r="K24" s="8">
        <v>4432.13</v>
      </c>
      <c r="L24" s="8">
        <v>4432.13</v>
      </c>
      <c r="M24" s="68">
        <f t="shared" si="1"/>
        <v>0</v>
      </c>
      <c r="N24" s="8"/>
      <c r="O24" s="69"/>
    </row>
    <row r="25" spans="1:17">
      <c r="A25" s="196">
        <v>22</v>
      </c>
      <c r="B25" s="219">
        <v>46110</v>
      </c>
      <c r="C25" s="67" t="s">
        <v>198</v>
      </c>
      <c r="D25" s="159" t="s">
        <v>87</v>
      </c>
      <c r="E25" s="104">
        <v>0</v>
      </c>
      <c r="F25" s="257"/>
      <c r="G25" s="8"/>
      <c r="H25" s="104">
        <v>5</v>
      </c>
      <c r="I25" s="257">
        <v>109.94</v>
      </c>
      <c r="J25" s="8">
        <v>549.70000000000005</v>
      </c>
      <c r="K25" s="8">
        <v>549.70000000000005</v>
      </c>
      <c r="L25" s="8">
        <v>549.70000000000005</v>
      </c>
      <c r="M25" s="68">
        <f t="shared" si="1"/>
        <v>0</v>
      </c>
      <c r="N25" s="8"/>
      <c r="O25" s="69"/>
    </row>
    <row r="26" spans="1:17">
      <c r="A26" s="46">
        <v>23</v>
      </c>
      <c r="B26" s="219">
        <v>46111</v>
      </c>
      <c r="C26" s="314" t="s">
        <v>204</v>
      </c>
      <c r="D26" s="314" t="s">
        <v>87</v>
      </c>
      <c r="E26" s="314">
        <v>45.36</v>
      </c>
      <c r="F26" s="314">
        <v>97.71</v>
      </c>
      <c r="G26" s="314">
        <v>4432.13</v>
      </c>
      <c r="H26" s="314">
        <v>0</v>
      </c>
      <c r="I26" s="314">
        <v>109.94</v>
      </c>
      <c r="J26" s="314">
        <v>0</v>
      </c>
      <c r="K26" s="357">
        <v>4432.13</v>
      </c>
      <c r="L26" s="357">
        <v>4432.13</v>
      </c>
      <c r="M26" s="68">
        <f t="shared" si="1"/>
        <v>0</v>
      </c>
      <c r="N26" s="8"/>
      <c r="O26" s="69"/>
    </row>
    <row r="27" spans="1:17">
      <c r="A27" s="46">
        <v>24</v>
      </c>
      <c r="B27" s="219">
        <v>46111</v>
      </c>
      <c r="C27" s="331" t="s">
        <v>198</v>
      </c>
      <c r="D27" s="331" t="s">
        <v>87</v>
      </c>
      <c r="E27" s="331">
        <v>0</v>
      </c>
      <c r="F27" s="331" t="s">
        <v>188</v>
      </c>
      <c r="G27" s="331" t="s">
        <v>188</v>
      </c>
      <c r="H27" s="331">
        <v>5</v>
      </c>
      <c r="I27" s="331">
        <v>109.94</v>
      </c>
      <c r="J27" s="331">
        <v>549.70000000000005</v>
      </c>
      <c r="K27" s="331">
        <v>549.70000000000005</v>
      </c>
      <c r="L27" s="331">
        <v>549.70000000000005</v>
      </c>
      <c r="M27" s="68">
        <f t="shared" si="1"/>
        <v>0</v>
      </c>
      <c r="N27" s="8"/>
      <c r="O27" s="69"/>
    </row>
    <row r="28" spans="1:17">
      <c r="A28" s="196">
        <v>25</v>
      </c>
      <c r="B28" s="219">
        <v>46112</v>
      </c>
      <c r="C28" s="67" t="s">
        <v>207</v>
      </c>
      <c r="D28" s="159" t="s">
        <v>201</v>
      </c>
      <c r="E28" s="104">
        <v>45.91</v>
      </c>
      <c r="F28" s="257">
        <v>96.66</v>
      </c>
      <c r="G28" s="8">
        <v>4437.66</v>
      </c>
      <c r="H28" s="104">
        <v>0</v>
      </c>
      <c r="I28" s="257"/>
      <c r="J28" s="8"/>
      <c r="K28" s="8">
        <v>4437.66</v>
      </c>
      <c r="L28" s="8">
        <v>4437.66</v>
      </c>
      <c r="M28" s="68">
        <f t="shared" si="1"/>
        <v>0</v>
      </c>
      <c r="N28" s="8"/>
      <c r="O28" s="69"/>
    </row>
    <row r="29" spans="1:17">
      <c r="A29" s="46">
        <v>26</v>
      </c>
      <c r="B29" s="219"/>
      <c r="C29" s="67"/>
      <c r="D29" s="159"/>
      <c r="E29" s="104"/>
      <c r="F29" s="257"/>
      <c r="G29" s="8"/>
      <c r="H29" s="104"/>
      <c r="I29" s="257"/>
      <c r="J29" s="8"/>
      <c r="K29" s="8"/>
      <c r="L29" s="68"/>
      <c r="M29" s="68">
        <f t="shared" si="1"/>
        <v>0</v>
      </c>
      <c r="N29" s="8"/>
      <c r="O29" s="69"/>
    </row>
    <row r="30" spans="1:17">
      <c r="A30" s="46">
        <v>27</v>
      </c>
      <c r="B30" s="219"/>
      <c r="C30" s="67"/>
      <c r="D30" s="159"/>
      <c r="E30" s="104"/>
      <c r="F30" s="257"/>
      <c r="G30" s="8"/>
      <c r="H30" s="104"/>
      <c r="I30" s="257"/>
      <c r="J30" s="8"/>
      <c r="K30" s="8"/>
      <c r="L30" s="68"/>
      <c r="M30" s="68">
        <f t="shared" si="1"/>
        <v>0</v>
      </c>
      <c r="N30" s="8"/>
      <c r="O30" s="69"/>
    </row>
    <row r="31" spans="1:17">
      <c r="A31" s="196">
        <v>28</v>
      </c>
      <c r="B31" s="219"/>
      <c r="C31" s="67"/>
      <c r="D31" s="159"/>
      <c r="E31" s="104"/>
      <c r="F31" s="257"/>
      <c r="G31" s="8"/>
      <c r="H31" s="104"/>
      <c r="I31" s="257"/>
      <c r="J31" s="8"/>
      <c r="K31" s="8"/>
      <c r="L31" s="68"/>
      <c r="M31" s="68">
        <f t="shared" si="1"/>
        <v>0</v>
      </c>
      <c r="N31" s="8"/>
      <c r="O31" s="69"/>
    </row>
    <row r="32" spans="1:17">
      <c r="A32" s="46">
        <v>29</v>
      </c>
      <c r="B32" s="219"/>
      <c r="C32" s="67"/>
      <c r="D32" s="159"/>
      <c r="E32" s="104"/>
      <c r="F32" s="257"/>
      <c r="G32" s="8"/>
      <c r="H32" s="104"/>
      <c r="I32" s="257"/>
      <c r="J32" s="8"/>
      <c r="K32" s="8"/>
      <c r="L32" s="68"/>
      <c r="M32" s="68">
        <f t="shared" si="1"/>
        <v>0</v>
      </c>
      <c r="N32" s="8"/>
      <c r="O32" s="69"/>
    </row>
    <row r="33" spans="1:15">
      <c r="A33" s="46">
        <v>30</v>
      </c>
      <c r="B33" s="219"/>
      <c r="C33" s="314"/>
      <c r="D33" s="314"/>
      <c r="E33" s="314"/>
      <c r="F33" s="314"/>
      <c r="G33" s="314"/>
      <c r="H33" s="314"/>
      <c r="I33" s="314"/>
      <c r="J33" s="314"/>
      <c r="K33" s="357"/>
      <c r="L33" s="8"/>
      <c r="M33" s="68">
        <f t="shared" si="1"/>
        <v>0</v>
      </c>
      <c r="N33" s="8"/>
      <c r="O33" s="69"/>
    </row>
    <row r="34" spans="1:15">
      <c r="A34" s="46">
        <v>30</v>
      </c>
      <c r="B34" s="219"/>
      <c r="C34" s="331"/>
      <c r="D34" s="331"/>
      <c r="E34" s="331"/>
      <c r="F34" s="331"/>
      <c r="G34" s="331"/>
      <c r="H34" s="331"/>
      <c r="I34" s="331"/>
      <c r="J34" s="331"/>
      <c r="K34" s="331"/>
      <c r="L34" s="8"/>
      <c r="M34" s="68">
        <f t="shared" si="1"/>
        <v>0</v>
      </c>
      <c r="N34" s="8"/>
      <c r="O34" s="69"/>
    </row>
    <row r="35" spans="1:15">
      <c r="A35" s="196">
        <v>31</v>
      </c>
      <c r="B35" s="219"/>
      <c r="C35" s="67"/>
      <c r="D35" s="159"/>
      <c r="E35" s="104"/>
      <c r="F35" s="257"/>
      <c r="G35" s="8"/>
      <c r="H35" s="104"/>
      <c r="I35" s="257"/>
      <c r="J35" s="8"/>
      <c r="K35" s="8"/>
      <c r="L35" s="8"/>
      <c r="M35" s="68">
        <f t="shared" si="1"/>
        <v>0</v>
      </c>
      <c r="N35" s="8"/>
      <c r="O35" s="69"/>
    </row>
    <row r="36" spans="1:15">
      <c r="A36" s="46">
        <v>32</v>
      </c>
      <c r="B36" s="219"/>
      <c r="C36" s="67"/>
      <c r="D36" s="159"/>
      <c r="E36" s="104"/>
      <c r="F36" s="257"/>
      <c r="G36" s="8"/>
      <c r="H36" s="104"/>
      <c r="I36" s="257">
        <v>0</v>
      </c>
      <c r="J36" s="8">
        <f t="shared" ref="J5:J37" si="4">H36*I36</f>
        <v>0</v>
      </c>
      <c r="K36" s="8">
        <f t="shared" ref="K5:K37" si="5">G36+J36</f>
        <v>0</v>
      </c>
      <c r="L36" s="68"/>
      <c r="M36" s="68">
        <f t="shared" si="1"/>
        <v>0</v>
      </c>
      <c r="N36" s="8"/>
      <c r="O36" s="69"/>
    </row>
    <row r="37" spans="1:15">
      <c r="A37" s="46">
        <v>33</v>
      </c>
      <c r="B37" s="219"/>
      <c r="C37" s="67"/>
      <c r="D37" s="159"/>
      <c r="E37" s="104"/>
      <c r="F37" s="257"/>
      <c r="G37" s="8">
        <f t="shared" ref="G5:G37" si="6">E37*F37</f>
        <v>0</v>
      </c>
      <c r="H37" s="104">
        <v>0</v>
      </c>
      <c r="I37" s="257">
        <v>0</v>
      </c>
      <c r="J37" s="8">
        <f t="shared" si="4"/>
        <v>0</v>
      </c>
      <c r="K37" s="8">
        <f t="shared" si="5"/>
        <v>0</v>
      </c>
      <c r="L37" s="68"/>
      <c r="M37" s="68">
        <f t="shared" si="1"/>
        <v>0</v>
      </c>
      <c r="N37" s="8"/>
      <c r="O37" s="69"/>
    </row>
    <row r="38" spans="1:15">
      <c r="A38" s="62"/>
      <c r="B38" s="62"/>
      <c r="C38" s="62"/>
      <c r="D38" s="62"/>
      <c r="E38" s="258">
        <f>SUM(E4:E37)</f>
        <v>491.85</v>
      </c>
      <c r="F38" s="258"/>
      <c r="G38" s="63">
        <f>SUM(G4:G37)</f>
        <v>47376.804699999993</v>
      </c>
      <c r="H38" s="63">
        <f>SUM(H4:H37)</f>
        <v>82.93</v>
      </c>
      <c r="I38" s="63"/>
      <c r="J38" s="63">
        <f>SUM(J4:J37)</f>
        <v>8948.8700000000008</v>
      </c>
      <c r="K38" s="63">
        <f>SUM(K4:K37)</f>
        <v>56325.674699999989</v>
      </c>
      <c r="L38" s="63">
        <f>SUM(L4:L37)</f>
        <v>56325.674699999989</v>
      </c>
      <c r="M38" s="63"/>
      <c r="N38" s="63"/>
      <c r="O38" s="59"/>
    </row>
    <row r="39" spans="1:15">
      <c r="A39" s="72"/>
      <c r="B39" s="73"/>
      <c r="C39" s="72"/>
      <c r="D39" s="72"/>
      <c r="E39" s="74"/>
      <c r="F39" s="74"/>
      <c r="G39" s="74"/>
      <c r="H39" s="74"/>
      <c r="I39" s="74"/>
      <c r="J39" s="75"/>
      <c r="K39" s="75"/>
      <c r="L39" s="75"/>
      <c r="M39" s="75"/>
      <c r="N39" s="74"/>
      <c r="O39" s="69"/>
    </row>
    <row r="40" spans="1:15">
      <c r="O40" s="69"/>
    </row>
    <row r="41" spans="1:15">
      <c r="O41" s="69"/>
    </row>
    <row r="42" spans="1:15">
      <c r="O42" s="69"/>
    </row>
    <row r="43" spans="1:15">
      <c r="O43" s="69"/>
    </row>
    <row r="44" spans="1:15">
      <c r="O44" s="69"/>
    </row>
    <row r="45" spans="1:15">
      <c r="A45" s="69"/>
      <c r="B45" s="59"/>
      <c r="C45" s="69"/>
      <c r="D45" s="69"/>
      <c r="E45" s="69"/>
      <c r="F45" s="69"/>
      <c r="G45" s="76"/>
      <c r="H45" s="69"/>
      <c r="I45" s="69"/>
      <c r="J45" s="59"/>
      <c r="K45" s="59"/>
      <c r="L45" s="59"/>
      <c r="M45" s="59"/>
      <c r="N45" s="69"/>
      <c r="O45" s="74"/>
    </row>
    <row r="46" spans="1:15">
      <c r="A46" s="69"/>
      <c r="B46" s="463"/>
      <c r="C46" s="463"/>
      <c r="D46" s="463"/>
      <c r="E46" s="463"/>
      <c r="F46" s="69"/>
      <c r="G46" s="69"/>
      <c r="H46" s="69"/>
      <c r="I46" s="463"/>
      <c r="J46" s="463"/>
      <c r="K46" s="463"/>
      <c r="L46" s="463"/>
      <c r="M46" s="463"/>
      <c r="N46" s="463"/>
      <c r="O46" s="74"/>
    </row>
    <row r="47" spans="1:15">
      <c r="A47" s="69"/>
      <c r="B47" s="59"/>
      <c r="C47" s="69"/>
      <c r="D47" s="69"/>
      <c r="E47" s="69"/>
      <c r="F47" s="69"/>
      <c r="G47" s="69"/>
      <c r="H47" s="69"/>
      <c r="I47" s="69"/>
      <c r="J47" s="59"/>
      <c r="K47" s="59"/>
      <c r="L47" s="59"/>
      <c r="M47" s="59"/>
      <c r="N47" s="69"/>
      <c r="O47" s="74"/>
    </row>
  </sheetData>
  <mergeCells count="3">
    <mergeCell ref="A3:L3"/>
    <mergeCell ref="B46:E46"/>
    <mergeCell ref="I46:N4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5"/>
  <sheetViews>
    <sheetView topLeftCell="A14" workbookViewId="0">
      <selection activeCell="L28" sqref="L28:L29"/>
    </sheetView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0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55" t="s">
        <v>208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82"/>
    </row>
    <row r="2" spans="1:18" ht="30.75">
      <c r="A2" s="98" t="s">
        <v>0</v>
      </c>
      <c r="B2" s="99" t="s">
        <v>161</v>
      </c>
      <c r="C2" s="99" t="s">
        <v>162</v>
      </c>
      <c r="D2" s="99" t="s">
        <v>180</v>
      </c>
      <c r="E2" s="256" t="s">
        <v>164</v>
      </c>
      <c r="F2" s="256" t="s">
        <v>165</v>
      </c>
      <c r="G2" s="99" t="s">
        <v>166</v>
      </c>
      <c r="H2" s="99" t="s">
        <v>167</v>
      </c>
      <c r="I2" s="99" t="s">
        <v>165</v>
      </c>
      <c r="J2" s="138" t="s">
        <v>166</v>
      </c>
      <c r="K2" s="100" t="s">
        <v>168</v>
      </c>
      <c r="L2" s="139" t="s">
        <v>169</v>
      </c>
      <c r="M2" s="143" t="s">
        <v>181</v>
      </c>
      <c r="N2" s="101" t="s">
        <v>171</v>
      </c>
      <c r="O2" s="59"/>
    </row>
    <row r="3" spans="1:18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  <c r="M3" s="148">
        <v>0</v>
      </c>
      <c r="N3" s="156"/>
      <c r="O3" s="59"/>
    </row>
    <row r="4" spans="1:18">
      <c r="A4" s="196">
        <v>1</v>
      </c>
      <c r="B4" s="219">
        <v>46082</v>
      </c>
      <c r="C4" s="67"/>
      <c r="D4" s="159"/>
      <c r="E4" s="257"/>
      <c r="F4" s="257"/>
      <c r="G4" s="8">
        <f t="shared" ref="G4:G35" si="0">E4*F4</f>
        <v>0</v>
      </c>
      <c r="H4" s="65">
        <v>0</v>
      </c>
      <c r="I4" s="66">
        <v>0</v>
      </c>
      <c r="J4" s="8">
        <f>H4*I4</f>
        <v>0</v>
      </c>
      <c r="K4" s="8">
        <f>G4+J4</f>
        <v>0</v>
      </c>
      <c r="L4" s="68">
        <f>+K4</f>
        <v>0</v>
      </c>
      <c r="M4" s="68">
        <v>0</v>
      </c>
      <c r="N4" s="8"/>
    </row>
    <row r="5" spans="1:18">
      <c r="A5" s="46">
        <v>2</v>
      </c>
      <c r="B5" s="219">
        <v>46083</v>
      </c>
      <c r="C5" s="67"/>
      <c r="E5" s="159">
        <v>30.78</v>
      </c>
      <c r="F5" s="257">
        <v>97.43</v>
      </c>
      <c r="G5" s="8">
        <f t="shared" si="0"/>
        <v>2998.8954000000003</v>
      </c>
      <c r="H5" s="65">
        <v>6.38</v>
      </c>
      <c r="I5" s="66">
        <v>109.62</v>
      </c>
      <c r="J5" s="8">
        <f t="shared" ref="J5:J35" si="1">H5*I5</f>
        <v>699.37559999999996</v>
      </c>
      <c r="K5" s="8">
        <f t="shared" ref="K5:K35" si="2">G5+J5</f>
        <v>3698.2710000000002</v>
      </c>
      <c r="L5" s="68">
        <f t="shared" ref="L5:L35" si="3">+K5</f>
        <v>3698.2710000000002</v>
      </c>
      <c r="M5" s="68">
        <v>0</v>
      </c>
      <c r="N5" s="182" t="s">
        <v>209</v>
      </c>
    </row>
    <row r="6" spans="1:18">
      <c r="A6" s="46">
        <v>3</v>
      </c>
      <c r="B6" s="219">
        <v>46084</v>
      </c>
      <c r="C6" s="67"/>
      <c r="D6" s="159"/>
      <c r="E6" s="257"/>
      <c r="F6" s="257"/>
      <c r="G6" s="8">
        <f t="shared" si="0"/>
        <v>0</v>
      </c>
      <c r="H6" s="65">
        <v>0</v>
      </c>
      <c r="I6" s="66">
        <v>0</v>
      </c>
      <c r="J6" s="8">
        <f t="shared" si="1"/>
        <v>0</v>
      </c>
      <c r="K6" s="8">
        <f t="shared" si="2"/>
        <v>0</v>
      </c>
      <c r="L6" s="68">
        <f t="shared" si="3"/>
        <v>0</v>
      </c>
      <c r="M6" s="411">
        <v>0</v>
      </c>
      <c r="N6" s="17"/>
    </row>
    <row r="7" spans="1:18">
      <c r="A7" s="46">
        <v>4</v>
      </c>
      <c r="B7" s="219">
        <v>46085</v>
      </c>
      <c r="C7" s="67"/>
      <c r="D7" s="159"/>
      <c r="E7" s="257"/>
      <c r="F7" s="257"/>
      <c r="G7" s="8">
        <f t="shared" si="0"/>
        <v>0</v>
      </c>
      <c r="H7" s="65">
        <v>0</v>
      </c>
      <c r="I7" s="66">
        <v>0</v>
      </c>
      <c r="J7" s="8">
        <f t="shared" si="1"/>
        <v>0</v>
      </c>
      <c r="K7" s="8">
        <f t="shared" si="2"/>
        <v>0</v>
      </c>
      <c r="L7" s="68">
        <f t="shared" si="3"/>
        <v>0</v>
      </c>
      <c r="M7" s="411">
        <v>0</v>
      </c>
      <c r="N7" s="8"/>
    </row>
    <row r="8" spans="1:18">
      <c r="A8" s="46">
        <v>5</v>
      </c>
      <c r="B8" s="219">
        <v>46086</v>
      </c>
      <c r="C8" s="67"/>
      <c r="D8" s="159"/>
      <c r="E8" s="257"/>
      <c r="F8" s="257"/>
      <c r="G8" s="8">
        <f t="shared" si="0"/>
        <v>0</v>
      </c>
      <c r="H8" s="65">
        <v>0</v>
      </c>
      <c r="I8" s="66">
        <v>0</v>
      </c>
      <c r="J8" s="8">
        <f t="shared" si="1"/>
        <v>0</v>
      </c>
      <c r="K8" s="8">
        <f t="shared" si="2"/>
        <v>0</v>
      </c>
      <c r="L8" s="68">
        <f t="shared" si="3"/>
        <v>0</v>
      </c>
      <c r="M8" s="411">
        <v>0</v>
      </c>
      <c r="N8" s="8"/>
      <c r="O8" s="69"/>
      <c r="R8" s="225"/>
    </row>
    <row r="9" spans="1:18">
      <c r="A9" s="46">
        <v>6</v>
      </c>
      <c r="B9" s="219">
        <v>46087</v>
      </c>
      <c r="C9" s="67"/>
      <c r="D9" s="159"/>
      <c r="E9" s="257">
        <v>200</v>
      </c>
      <c r="F9" s="257">
        <v>97.79</v>
      </c>
      <c r="G9" s="8">
        <f t="shared" si="0"/>
        <v>19558</v>
      </c>
      <c r="H9" s="65">
        <v>0</v>
      </c>
      <c r="I9" s="66">
        <v>0</v>
      </c>
      <c r="J9" s="8">
        <f t="shared" si="1"/>
        <v>0</v>
      </c>
      <c r="K9" s="8">
        <f t="shared" si="2"/>
        <v>19558</v>
      </c>
      <c r="L9" s="68">
        <f t="shared" si="3"/>
        <v>19558</v>
      </c>
      <c r="M9" s="68">
        <v>0</v>
      </c>
      <c r="N9" s="19" t="s">
        <v>210</v>
      </c>
      <c r="O9" s="69"/>
    </row>
    <row r="10" spans="1:18">
      <c r="A10" s="46">
        <v>7</v>
      </c>
      <c r="B10" s="219">
        <v>46088</v>
      </c>
      <c r="C10" s="67"/>
      <c r="D10" s="159"/>
      <c r="E10" s="257"/>
      <c r="F10" s="257"/>
      <c r="G10" s="8">
        <f t="shared" si="0"/>
        <v>0</v>
      </c>
      <c r="H10" s="65">
        <v>5.47</v>
      </c>
      <c r="I10" s="66">
        <v>109.62</v>
      </c>
      <c r="J10" s="8">
        <f t="shared" si="1"/>
        <v>599.62139999999999</v>
      </c>
      <c r="K10" s="8">
        <f t="shared" si="2"/>
        <v>599.62139999999999</v>
      </c>
      <c r="L10" s="68">
        <f t="shared" si="3"/>
        <v>599.62139999999999</v>
      </c>
      <c r="M10" s="68">
        <v>0</v>
      </c>
      <c r="N10" s="8"/>
      <c r="O10" s="69">
        <v>169.99</v>
      </c>
    </row>
    <row r="11" spans="1:18">
      <c r="A11" s="46">
        <v>8</v>
      </c>
      <c r="B11" s="219">
        <v>46089</v>
      </c>
      <c r="C11" s="67"/>
      <c r="D11" s="159"/>
      <c r="E11" s="257"/>
      <c r="F11" s="257"/>
      <c r="G11" s="8">
        <f t="shared" si="0"/>
        <v>0</v>
      </c>
      <c r="H11" s="65">
        <v>0</v>
      </c>
      <c r="I11" s="66">
        <v>0</v>
      </c>
      <c r="J11" s="8">
        <f t="shared" si="1"/>
        <v>0</v>
      </c>
      <c r="K11" s="8">
        <f t="shared" si="2"/>
        <v>0</v>
      </c>
      <c r="L11" s="68">
        <f t="shared" si="3"/>
        <v>0</v>
      </c>
      <c r="M11" s="68">
        <v>0</v>
      </c>
      <c r="N11" s="8"/>
      <c r="O11" s="69">
        <v>80</v>
      </c>
    </row>
    <row r="12" spans="1:18">
      <c r="A12" s="46">
        <v>9</v>
      </c>
      <c r="B12" s="219">
        <v>46090</v>
      </c>
      <c r="C12" s="67"/>
      <c r="D12" s="159"/>
      <c r="E12" s="257"/>
      <c r="F12" s="257"/>
      <c r="G12" s="8">
        <f t="shared" si="0"/>
        <v>0</v>
      </c>
      <c r="H12" s="65">
        <v>0</v>
      </c>
      <c r="I12" s="66">
        <v>0</v>
      </c>
      <c r="J12" s="8">
        <f t="shared" si="1"/>
        <v>0</v>
      </c>
      <c r="K12" s="8">
        <f t="shared" si="2"/>
        <v>0</v>
      </c>
      <c r="L12" s="68">
        <f t="shared" si="3"/>
        <v>0</v>
      </c>
      <c r="M12" s="68">
        <v>0</v>
      </c>
      <c r="N12" s="8"/>
      <c r="O12" s="69">
        <f>SUM(O10:O11)</f>
        <v>249.99</v>
      </c>
      <c r="P12">
        <v>97.76</v>
      </c>
      <c r="Q12">
        <f>O12*P12</f>
        <v>24439.022400000002</v>
      </c>
    </row>
    <row r="13" spans="1:18">
      <c r="A13" s="46">
        <v>10</v>
      </c>
      <c r="B13" s="219">
        <v>46091</v>
      </c>
      <c r="C13" s="67"/>
      <c r="D13" s="159"/>
      <c r="E13" s="257"/>
      <c r="F13" s="257"/>
      <c r="G13" s="8">
        <f t="shared" si="0"/>
        <v>0</v>
      </c>
      <c r="H13" s="65">
        <v>0</v>
      </c>
      <c r="I13" s="66">
        <v>0</v>
      </c>
      <c r="J13" s="8">
        <f t="shared" si="1"/>
        <v>0</v>
      </c>
      <c r="K13" s="8">
        <f t="shared" si="2"/>
        <v>0</v>
      </c>
      <c r="L13" s="68">
        <f t="shared" si="3"/>
        <v>0</v>
      </c>
      <c r="M13" s="68">
        <v>0</v>
      </c>
      <c r="N13" s="8"/>
      <c r="O13" s="69"/>
    </row>
    <row r="14" spans="1:18">
      <c r="A14" s="46">
        <v>11</v>
      </c>
      <c r="B14" s="219">
        <v>46092</v>
      </c>
      <c r="C14" s="67"/>
      <c r="D14" s="159"/>
      <c r="E14" s="257"/>
      <c r="F14" s="257"/>
      <c r="G14" s="8">
        <f t="shared" si="0"/>
        <v>0</v>
      </c>
      <c r="H14" s="65">
        <v>0</v>
      </c>
      <c r="I14" s="66">
        <v>0</v>
      </c>
      <c r="J14" s="8">
        <f t="shared" si="1"/>
        <v>0</v>
      </c>
      <c r="K14" s="8">
        <f>G14+J14</f>
        <v>0</v>
      </c>
      <c r="L14" s="68">
        <f>+K14</f>
        <v>0</v>
      </c>
      <c r="M14" s="68">
        <v>0</v>
      </c>
      <c r="N14" s="8"/>
      <c r="O14" s="69"/>
    </row>
    <row r="15" spans="1:18">
      <c r="A15" s="46">
        <v>12</v>
      </c>
      <c r="B15" s="219">
        <v>46093</v>
      </c>
      <c r="C15" s="67"/>
      <c r="D15" s="159"/>
      <c r="E15" s="257"/>
      <c r="F15" s="257"/>
      <c r="G15" s="8">
        <f t="shared" si="0"/>
        <v>0</v>
      </c>
      <c r="H15" s="65">
        <v>0</v>
      </c>
      <c r="I15" s="66">
        <v>0</v>
      </c>
      <c r="J15" s="8">
        <f t="shared" si="1"/>
        <v>0</v>
      </c>
      <c r="K15" s="8">
        <f t="shared" si="2"/>
        <v>0</v>
      </c>
      <c r="L15" s="68">
        <f t="shared" si="3"/>
        <v>0</v>
      </c>
      <c r="M15" s="68">
        <v>0</v>
      </c>
      <c r="N15" s="8"/>
      <c r="O15" s="69"/>
      <c r="P15">
        <v>7820.8</v>
      </c>
    </row>
    <row r="16" spans="1:18">
      <c r="A16" s="46">
        <v>13</v>
      </c>
      <c r="B16" s="219">
        <v>46094</v>
      </c>
      <c r="C16" s="67"/>
      <c r="D16" s="159"/>
      <c r="E16" s="257"/>
      <c r="F16" s="257"/>
      <c r="G16" s="8">
        <f t="shared" si="0"/>
        <v>0</v>
      </c>
      <c r="H16" s="65">
        <v>0</v>
      </c>
      <c r="I16" s="66">
        <v>0</v>
      </c>
      <c r="J16" s="8">
        <f t="shared" si="1"/>
        <v>0</v>
      </c>
      <c r="K16" s="8">
        <f t="shared" si="2"/>
        <v>0</v>
      </c>
      <c r="L16" s="68">
        <f t="shared" si="3"/>
        <v>0</v>
      </c>
      <c r="M16" s="68">
        <v>0</v>
      </c>
      <c r="N16" s="8"/>
      <c r="O16" s="69"/>
      <c r="P16">
        <v>16619.2</v>
      </c>
    </row>
    <row r="17" spans="1:16">
      <c r="A17" s="46">
        <v>14</v>
      </c>
      <c r="B17" s="219">
        <v>46095</v>
      </c>
      <c r="C17" s="67"/>
      <c r="D17" s="159"/>
      <c r="E17" s="257"/>
      <c r="F17" s="257"/>
      <c r="G17" s="8">
        <f t="shared" si="0"/>
        <v>0</v>
      </c>
      <c r="H17" s="65">
        <v>0</v>
      </c>
      <c r="I17" s="66">
        <v>0</v>
      </c>
      <c r="J17" s="8">
        <f t="shared" si="1"/>
        <v>0</v>
      </c>
      <c r="K17" s="8">
        <f t="shared" si="2"/>
        <v>0</v>
      </c>
      <c r="L17" s="68">
        <f t="shared" si="3"/>
        <v>0</v>
      </c>
      <c r="M17" s="68">
        <v>0</v>
      </c>
      <c r="N17" s="8"/>
      <c r="O17" s="69"/>
      <c r="P17">
        <f>SUM(P15:P16)</f>
        <v>24440</v>
      </c>
    </row>
    <row r="18" spans="1:16">
      <c r="A18" s="46">
        <v>15</v>
      </c>
      <c r="B18" s="219">
        <v>46096</v>
      </c>
      <c r="C18" s="67"/>
      <c r="D18" s="159"/>
      <c r="E18" s="334"/>
      <c r="F18" s="334"/>
      <c r="G18" s="182">
        <f t="shared" si="0"/>
        <v>0</v>
      </c>
      <c r="H18" s="65">
        <v>0</v>
      </c>
      <c r="I18" s="66">
        <v>0</v>
      </c>
      <c r="J18" s="182">
        <f t="shared" si="1"/>
        <v>0</v>
      </c>
      <c r="K18" s="182">
        <f t="shared" si="2"/>
        <v>0</v>
      </c>
      <c r="L18" s="335">
        <f t="shared" si="3"/>
        <v>0</v>
      </c>
      <c r="M18" s="335">
        <v>0</v>
      </c>
      <c r="N18" s="8"/>
      <c r="O18" s="69"/>
    </row>
    <row r="19" spans="1:16">
      <c r="A19" s="46">
        <v>16</v>
      </c>
      <c r="B19" s="219">
        <v>46097</v>
      </c>
      <c r="C19" s="67"/>
      <c r="D19" s="333"/>
      <c r="E19" s="257"/>
      <c r="F19" s="257"/>
      <c r="G19" s="8">
        <f t="shared" si="0"/>
        <v>0</v>
      </c>
      <c r="H19" s="65">
        <v>5.47</v>
      </c>
      <c r="I19" s="66">
        <v>109.62</v>
      </c>
      <c r="J19" s="8">
        <f t="shared" si="1"/>
        <v>599.62139999999999</v>
      </c>
      <c r="K19" s="8">
        <f t="shared" si="2"/>
        <v>599.62139999999999</v>
      </c>
      <c r="L19" s="68">
        <f>+K19</f>
        <v>599.62139999999999</v>
      </c>
      <c r="M19" s="68">
        <v>0</v>
      </c>
      <c r="N19" s="193"/>
      <c r="O19" s="69"/>
    </row>
    <row r="20" spans="1:16">
      <c r="A20" s="46">
        <v>17</v>
      </c>
      <c r="B20" s="219">
        <v>46098</v>
      </c>
      <c r="C20" s="67"/>
      <c r="D20" s="333"/>
      <c r="E20" s="257"/>
      <c r="F20" s="257"/>
      <c r="G20" s="8">
        <f t="shared" si="0"/>
        <v>0</v>
      </c>
      <c r="H20" s="65">
        <v>0</v>
      </c>
      <c r="I20" s="66">
        <v>0</v>
      </c>
      <c r="J20" s="8">
        <f t="shared" si="1"/>
        <v>0</v>
      </c>
      <c r="K20" s="8">
        <f t="shared" si="2"/>
        <v>0</v>
      </c>
      <c r="L20" s="68">
        <f t="shared" si="3"/>
        <v>0</v>
      </c>
      <c r="M20" s="68">
        <v>0</v>
      </c>
      <c r="N20" s="193"/>
      <c r="O20" s="69"/>
    </row>
    <row r="21" spans="1:16">
      <c r="A21" s="46">
        <v>18</v>
      </c>
      <c r="B21" s="219">
        <v>46099</v>
      </c>
      <c r="C21" s="67"/>
      <c r="D21" s="333"/>
      <c r="E21" s="17"/>
      <c r="F21" s="17"/>
      <c r="G21" s="8">
        <f t="shared" si="0"/>
        <v>0</v>
      </c>
      <c r="H21" s="65">
        <v>0</v>
      </c>
      <c r="I21" s="66">
        <v>0</v>
      </c>
      <c r="J21" s="8">
        <f t="shared" si="1"/>
        <v>0</v>
      </c>
      <c r="K21" s="8">
        <f t="shared" si="2"/>
        <v>0</v>
      </c>
      <c r="L21" s="68">
        <f t="shared" si="3"/>
        <v>0</v>
      </c>
      <c r="M21" s="68">
        <v>0</v>
      </c>
      <c r="N21" s="193"/>
      <c r="O21" s="69"/>
    </row>
    <row r="22" spans="1:16">
      <c r="A22" s="46">
        <v>19</v>
      </c>
      <c r="B22" s="219">
        <v>46100</v>
      </c>
      <c r="C22" s="67"/>
      <c r="D22" s="333"/>
      <c r="E22" s="17"/>
      <c r="F22" s="17"/>
      <c r="G22" s="8">
        <f t="shared" si="0"/>
        <v>0</v>
      </c>
      <c r="H22" s="65">
        <v>0</v>
      </c>
      <c r="I22" s="66">
        <v>0</v>
      </c>
      <c r="J22" s="8">
        <f t="shared" si="1"/>
        <v>0</v>
      </c>
      <c r="K22" s="8">
        <f t="shared" si="2"/>
        <v>0</v>
      </c>
      <c r="L22" s="68">
        <f t="shared" si="3"/>
        <v>0</v>
      </c>
      <c r="M22" s="68">
        <v>0</v>
      </c>
      <c r="N22" s="193"/>
      <c r="O22" s="69"/>
    </row>
    <row r="23" spans="1:16">
      <c r="A23" s="46">
        <v>20</v>
      </c>
      <c r="B23" s="219">
        <v>46101</v>
      </c>
      <c r="C23" s="67"/>
      <c r="D23" s="333"/>
      <c r="E23" s="17"/>
      <c r="F23" s="17"/>
      <c r="G23" s="8">
        <f t="shared" si="0"/>
        <v>0</v>
      </c>
      <c r="H23" s="65">
        <v>0</v>
      </c>
      <c r="I23" s="66">
        <v>0</v>
      </c>
      <c r="J23" s="8">
        <f t="shared" si="1"/>
        <v>0</v>
      </c>
      <c r="K23" s="8">
        <f t="shared" si="2"/>
        <v>0</v>
      </c>
      <c r="L23" s="68">
        <f t="shared" si="3"/>
        <v>0</v>
      </c>
      <c r="M23" s="68">
        <v>0</v>
      </c>
      <c r="N23" s="193"/>
      <c r="O23" s="69"/>
    </row>
    <row r="24" spans="1:16">
      <c r="A24" s="46">
        <v>21</v>
      </c>
      <c r="B24" s="219">
        <v>46102</v>
      </c>
      <c r="C24" s="67"/>
      <c r="D24" s="333"/>
      <c r="E24" s="17"/>
      <c r="F24" s="17"/>
      <c r="G24" s="8">
        <f t="shared" si="0"/>
        <v>0</v>
      </c>
      <c r="H24" s="65">
        <v>0</v>
      </c>
      <c r="I24" s="66">
        <v>0</v>
      </c>
      <c r="J24" s="8">
        <f t="shared" si="1"/>
        <v>0</v>
      </c>
      <c r="K24" s="8">
        <f t="shared" si="2"/>
        <v>0</v>
      </c>
      <c r="L24" s="68">
        <f t="shared" si="3"/>
        <v>0</v>
      </c>
      <c r="M24" s="68">
        <v>0</v>
      </c>
      <c r="N24" s="193"/>
      <c r="O24" s="69"/>
    </row>
    <row r="25" spans="1:16">
      <c r="A25" s="46">
        <v>22</v>
      </c>
      <c r="B25" s="219">
        <v>46103</v>
      </c>
      <c r="C25" s="67"/>
      <c r="D25" s="333"/>
      <c r="E25" s="17"/>
      <c r="F25" s="17"/>
      <c r="G25" s="8">
        <f t="shared" si="0"/>
        <v>0</v>
      </c>
      <c r="H25" s="65">
        <v>0</v>
      </c>
      <c r="I25" s="66">
        <v>0</v>
      </c>
      <c r="J25" s="8">
        <f t="shared" si="1"/>
        <v>0</v>
      </c>
      <c r="K25" s="8">
        <f t="shared" si="2"/>
        <v>0</v>
      </c>
      <c r="L25" s="68">
        <f t="shared" si="3"/>
        <v>0</v>
      </c>
      <c r="M25" s="68">
        <v>0</v>
      </c>
      <c r="N25" s="193"/>
      <c r="O25" s="69"/>
    </row>
    <row r="26" spans="1:16">
      <c r="A26" s="46">
        <v>23</v>
      </c>
      <c r="B26" s="219">
        <v>46104</v>
      </c>
      <c r="C26" s="67"/>
      <c r="D26" s="333"/>
      <c r="E26" s="17"/>
      <c r="F26" s="17"/>
      <c r="G26" s="8">
        <f t="shared" si="0"/>
        <v>0</v>
      </c>
      <c r="H26" s="65">
        <v>0</v>
      </c>
      <c r="I26" s="66">
        <v>0</v>
      </c>
      <c r="J26" s="8">
        <f t="shared" si="1"/>
        <v>0</v>
      </c>
      <c r="K26" s="8">
        <f t="shared" si="2"/>
        <v>0</v>
      </c>
      <c r="L26" s="68">
        <f t="shared" si="3"/>
        <v>0</v>
      </c>
      <c r="M26" s="68">
        <v>0</v>
      </c>
      <c r="N26" s="193"/>
      <c r="O26" s="69"/>
    </row>
    <row r="27" spans="1:16">
      <c r="A27" s="46">
        <v>24</v>
      </c>
      <c r="B27" s="219">
        <v>46105</v>
      </c>
      <c r="C27" s="67"/>
      <c r="D27" s="333"/>
      <c r="E27" s="17"/>
      <c r="F27" s="17"/>
      <c r="G27" s="8">
        <f t="shared" si="0"/>
        <v>0</v>
      </c>
      <c r="H27" s="65">
        <v>0</v>
      </c>
      <c r="I27" s="66">
        <v>0</v>
      </c>
      <c r="J27" s="8">
        <f t="shared" si="1"/>
        <v>0</v>
      </c>
      <c r="K27" s="8">
        <f t="shared" si="2"/>
        <v>0</v>
      </c>
      <c r="L27" s="68">
        <f t="shared" si="3"/>
        <v>0</v>
      </c>
      <c r="M27" s="68">
        <v>0</v>
      </c>
      <c r="N27" s="193"/>
      <c r="O27" s="69"/>
    </row>
    <row r="28" spans="1:16">
      <c r="A28" s="221">
        <v>25</v>
      </c>
      <c r="B28" s="219">
        <v>46106</v>
      </c>
      <c r="C28" s="67"/>
      <c r="D28" s="333"/>
      <c r="E28" s="17">
        <v>200</v>
      </c>
      <c r="F28" s="17">
        <v>97.79</v>
      </c>
      <c r="G28" s="8">
        <f t="shared" si="0"/>
        <v>19558</v>
      </c>
      <c r="H28" s="65">
        <v>0</v>
      </c>
      <c r="I28" s="66">
        <v>0</v>
      </c>
      <c r="J28" s="8">
        <f t="shared" si="1"/>
        <v>0</v>
      </c>
      <c r="K28" s="8">
        <f t="shared" si="2"/>
        <v>19558</v>
      </c>
      <c r="L28" s="68">
        <f t="shared" si="3"/>
        <v>19558</v>
      </c>
      <c r="M28" s="68">
        <v>0</v>
      </c>
      <c r="N28" s="193"/>
      <c r="O28" s="69"/>
    </row>
    <row r="29" spans="1:16">
      <c r="A29" s="221"/>
      <c r="B29" s="219">
        <v>46106</v>
      </c>
      <c r="C29" s="67"/>
      <c r="D29" s="333"/>
      <c r="E29" s="17"/>
      <c r="F29" s="17"/>
      <c r="G29" s="19"/>
      <c r="H29" s="65">
        <v>3.65</v>
      </c>
      <c r="I29" s="66">
        <v>109.62</v>
      </c>
      <c r="J29" s="8">
        <f t="shared" si="1"/>
        <v>400.113</v>
      </c>
      <c r="K29" s="8">
        <f t="shared" si="2"/>
        <v>400.113</v>
      </c>
      <c r="L29" s="68">
        <f t="shared" si="3"/>
        <v>400.113</v>
      </c>
      <c r="M29" s="130"/>
      <c r="N29" s="193"/>
      <c r="O29" s="69"/>
    </row>
    <row r="30" spans="1:16">
      <c r="A30" s="221">
        <v>26</v>
      </c>
      <c r="B30" s="219">
        <v>46107</v>
      </c>
      <c r="C30" s="67"/>
      <c r="D30" s="159"/>
      <c r="E30" s="17"/>
      <c r="F30" s="17"/>
      <c r="G30" s="19">
        <f t="shared" si="0"/>
        <v>0</v>
      </c>
      <c r="H30" s="65">
        <v>0</v>
      </c>
      <c r="I30" s="66">
        <v>0</v>
      </c>
      <c r="J30" s="19">
        <f t="shared" si="1"/>
        <v>0</v>
      </c>
      <c r="K30" s="19">
        <f t="shared" si="2"/>
        <v>0</v>
      </c>
      <c r="L30" s="130">
        <f t="shared" si="3"/>
        <v>0</v>
      </c>
      <c r="M30" s="130">
        <v>0</v>
      </c>
      <c r="N30" s="8"/>
      <c r="O30" s="69"/>
    </row>
    <row r="31" spans="1:16">
      <c r="A31" s="221">
        <v>27</v>
      </c>
      <c r="B31" s="219">
        <v>46108</v>
      </c>
      <c r="C31" s="67"/>
      <c r="D31" s="159"/>
      <c r="E31" s="17"/>
      <c r="F31" s="17"/>
      <c r="G31" s="8">
        <f t="shared" si="0"/>
        <v>0</v>
      </c>
      <c r="H31" s="65">
        <v>0</v>
      </c>
      <c r="I31" s="66">
        <v>0</v>
      </c>
      <c r="J31" s="8">
        <f t="shared" si="1"/>
        <v>0</v>
      </c>
      <c r="K31" s="8">
        <f t="shared" si="2"/>
        <v>0</v>
      </c>
      <c r="L31" s="68">
        <f t="shared" si="3"/>
        <v>0</v>
      </c>
      <c r="M31" s="68">
        <v>0</v>
      </c>
      <c r="N31" s="8"/>
      <c r="O31" s="69"/>
    </row>
    <row r="32" spans="1:16">
      <c r="A32" s="221">
        <v>28</v>
      </c>
      <c r="B32" s="219">
        <v>46109</v>
      </c>
      <c r="C32" s="67"/>
      <c r="D32" s="159"/>
      <c r="E32" s="17"/>
      <c r="F32" s="17"/>
      <c r="G32" s="8">
        <f t="shared" si="0"/>
        <v>0</v>
      </c>
      <c r="H32" s="65">
        <v>0</v>
      </c>
      <c r="I32" s="66">
        <v>0</v>
      </c>
      <c r="J32" s="8">
        <f t="shared" si="1"/>
        <v>0</v>
      </c>
      <c r="K32" s="8">
        <f t="shared" si="2"/>
        <v>0</v>
      </c>
      <c r="L32" s="68">
        <f t="shared" si="3"/>
        <v>0</v>
      </c>
      <c r="M32" s="68">
        <v>0</v>
      </c>
      <c r="N32" s="8"/>
      <c r="O32" s="69"/>
    </row>
    <row r="33" spans="1:15">
      <c r="A33" s="222">
        <v>29</v>
      </c>
      <c r="B33" s="219"/>
      <c r="C33" s="67"/>
      <c r="D33" s="159"/>
      <c r="E33" s="17"/>
      <c r="F33" s="17"/>
      <c r="G33" s="8">
        <f t="shared" si="0"/>
        <v>0</v>
      </c>
      <c r="H33" s="65">
        <v>0</v>
      </c>
      <c r="I33" s="66">
        <v>0</v>
      </c>
      <c r="J33" s="8">
        <f t="shared" si="1"/>
        <v>0</v>
      </c>
      <c r="K33" s="8">
        <f t="shared" si="2"/>
        <v>0</v>
      </c>
      <c r="L33" s="68">
        <f t="shared" si="3"/>
        <v>0</v>
      </c>
      <c r="M33" s="68">
        <v>0</v>
      </c>
      <c r="N33" s="8"/>
      <c r="O33" s="69"/>
    </row>
    <row r="34" spans="1:15">
      <c r="A34" s="222">
        <v>30</v>
      </c>
      <c r="B34" s="219"/>
      <c r="C34" s="67"/>
      <c r="D34" s="159"/>
      <c r="E34" s="17"/>
      <c r="F34" s="17"/>
      <c r="G34" s="8">
        <f t="shared" si="0"/>
        <v>0</v>
      </c>
      <c r="H34" s="65">
        <v>0</v>
      </c>
      <c r="I34" s="66">
        <v>0</v>
      </c>
      <c r="J34" s="8">
        <f t="shared" si="1"/>
        <v>0</v>
      </c>
      <c r="K34" s="8">
        <f t="shared" si="2"/>
        <v>0</v>
      </c>
      <c r="L34" s="68">
        <f t="shared" si="3"/>
        <v>0</v>
      </c>
      <c r="M34" s="68">
        <v>0</v>
      </c>
      <c r="N34" s="8"/>
      <c r="O34" s="69"/>
    </row>
    <row r="35" spans="1:15">
      <c r="A35" s="222">
        <v>31</v>
      </c>
      <c r="B35" s="219"/>
      <c r="C35" s="67"/>
      <c r="D35" s="159"/>
      <c r="E35" s="257"/>
      <c r="F35" s="257"/>
      <c r="G35" s="8">
        <f t="shared" si="0"/>
        <v>0</v>
      </c>
      <c r="H35" s="65">
        <v>0</v>
      </c>
      <c r="I35" s="66">
        <v>0</v>
      </c>
      <c r="J35" s="8">
        <f t="shared" si="1"/>
        <v>0</v>
      </c>
      <c r="K35" s="8">
        <f t="shared" si="2"/>
        <v>0</v>
      </c>
      <c r="L35" s="68">
        <f t="shared" si="3"/>
        <v>0</v>
      </c>
      <c r="M35" s="68">
        <v>0</v>
      </c>
      <c r="N35" s="8"/>
      <c r="O35" s="69"/>
    </row>
    <row r="36" spans="1:15">
      <c r="A36" s="62"/>
      <c r="B36" s="62"/>
      <c r="C36" s="62"/>
      <c r="D36" s="62"/>
      <c r="E36" s="258">
        <f>SUM(E4:E35)</f>
        <v>430.78</v>
      </c>
      <c r="F36" s="258"/>
      <c r="G36" s="63">
        <f>SUM(G4:G35)</f>
        <v>42114.895400000001</v>
      </c>
      <c r="H36" s="63">
        <f>SUM(H4:H35)</f>
        <v>20.97</v>
      </c>
      <c r="I36" s="63"/>
      <c r="J36" s="63">
        <f>SUM(J4:J35)</f>
        <v>2298.7313999999997</v>
      </c>
      <c r="K36" s="63">
        <f>SUM(K4:K35)</f>
        <v>44413.626799999998</v>
      </c>
      <c r="L36" s="63">
        <f>SUM(L4:L35)</f>
        <v>44413.626799999998</v>
      </c>
      <c r="M36" s="63"/>
      <c r="N36" s="63"/>
      <c r="O36" s="59"/>
    </row>
    <row r="37" spans="1:15">
      <c r="A37" s="72"/>
      <c r="B37" s="73"/>
      <c r="C37" s="72"/>
      <c r="D37" s="72"/>
      <c r="E37" s="74"/>
      <c r="F37" s="74"/>
      <c r="G37" s="74"/>
      <c r="H37" s="74"/>
      <c r="I37" s="74"/>
      <c r="J37" s="75"/>
      <c r="K37" s="75"/>
      <c r="L37" s="75"/>
      <c r="M37" s="75"/>
      <c r="N37" s="74"/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O42" s="69"/>
    </row>
    <row r="43" spans="1:15">
      <c r="A43" s="69"/>
      <c r="B43" s="59"/>
      <c r="C43" s="69"/>
      <c r="D43" s="69"/>
      <c r="E43" s="69"/>
      <c r="F43" s="69"/>
      <c r="G43" s="76"/>
      <c r="H43" s="69"/>
      <c r="I43" s="69"/>
      <c r="J43" s="59"/>
      <c r="K43" s="59"/>
      <c r="L43" s="59"/>
      <c r="M43" s="59"/>
      <c r="N43" s="69"/>
      <c r="O43" s="74"/>
    </row>
    <row r="44" spans="1:15">
      <c r="A44" s="69"/>
      <c r="B44" s="463"/>
      <c r="C44" s="463"/>
      <c r="D44" s="463"/>
      <c r="E44" s="463"/>
      <c r="F44" s="69"/>
      <c r="G44" s="69"/>
      <c r="H44" s="69"/>
      <c r="I44" s="463"/>
      <c r="J44" s="463"/>
      <c r="K44" s="463"/>
      <c r="L44" s="463"/>
      <c r="M44" s="463"/>
      <c r="N44" s="463"/>
      <c r="O44" s="74"/>
    </row>
    <row r="45" spans="1:15">
      <c r="A45" s="69"/>
      <c r="B45" s="59"/>
      <c r="C45" s="69"/>
      <c r="D45" s="69"/>
      <c r="E45" s="69"/>
      <c r="F45" s="69"/>
      <c r="G45" s="69"/>
      <c r="H45" s="69"/>
      <c r="I45" s="69"/>
      <c r="J45" s="59"/>
      <c r="K45" s="59"/>
      <c r="L45" s="59"/>
      <c r="M45" s="59"/>
      <c r="N45" s="69"/>
      <c r="O45" s="74"/>
    </row>
  </sheetData>
  <mergeCells count="4">
    <mergeCell ref="A1:N1"/>
    <mergeCell ref="A3:L3"/>
    <mergeCell ref="B44:E44"/>
    <mergeCell ref="I44:N4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A23" activePane="bottomLeft" state="frozen"/>
      <selection pane="bottomLeft" activeCell="M20" sqref="M20"/>
    </sheetView>
  </sheetViews>
  <sheetFormatPr defaultColWidth="12.28515625" defaultRowHeight="12.75"/>
  <cols>
    <col min="1" max="1" width="8.42578125" style="61" customWidth="1"/>
    <col min="2" max="3" width="12.28515625" style="61"/>
    <col min="4" max="4" width="13.5703125" style="61" customWidth="1"/>
    <col min="5" max="5" width="12.28515625" style="61"/>
    <col min="6" max="6" width="13.7109375" style="61" bestFit="1" customWidth="1"/>
    <col min="7" max="16384" width="12.28515625" style="61"/>
  </cols>
  <sheetData>
    <row r="1" spans="1:15" ht="15.75" customHeight="1">
      <c r="A1" s="447" t="s">
        <v>95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60"/>
    </row>
    <row r="2" spans="1:15" ht="15.75" customHeight="1">
      <c r="A2" s="87" t="s">
        <v>0</v>
      </c>
      <c r="B2" s="88" t="s">
        <v>161</v>
      </c>
      <c r="C2" s="88" t="s">
        <v>162</v>
      </c>
      <c r="D2" s="88" t="s">
        <v>163</v>
      </c>
      <c r="E2" s="88" t="s">
        <v>164</v>
      </c>
      <c r="F2" s="88" t="s">
        <v>165</v>
      </c>
      <c r="G2" s="88" t="s">
        <v>166</v>
      </c>
      <c r="H2" s="88" t="s">
        <v>167</v>
      </c>
      <c r="I2" s="88" t="s">
        <v>165</v>
      </c>
      <c r="J2" s="112" t="s">
        <v>166</v>
      </c>
      <c r="K2" s="114" t="s">
        <v>168</v>
      </c>
      <c r="L2" s="115" t="s">
        <v>169</v>
      </c>
      <c r="M2" s="116" t="s">
        <v>181</v>
      </c>
      <c r="N2" s="89" t="s">
        <v>171</v>
      </c>
      <c r="O2" s="33"/>
    </row>
    <row r="3" spans="1:15" ht="15.75" customHeight="1">
      <c r="A3" s="456" t="s">
        <v>172</v>
      </c>
      <c r="B3" s="457"/>
      <c r="C3" s="462"/>
      <c r="D3" s="462"/>
      <c r="E3" s="462"/>
      <c r="F3" s="462"/>
      <c r="G3" s="462"/>
      <c r="H3" s="462"/>
      <c r="I3" s="462"/>
      <c r="J3" s="466"/>
      <c r="K3" s="200">
        <v>240937.03099999976</v>
      </c>
      <c r="L3" s="203"/>
      <c r="M3" s="200">
        <v>240937.03099999976</v>
      </c>
      <c r="N3" s="203"/>
      <c r="O3" s="33">
        <v>207239.43099999998</v>
      </c>
    </row>
    <row r="4" spans="1:15" ht="15">
      <c r="A4" s="26">
        <v>1</v>
      </c>
      <c r="B4" s="27">
        <v>45717</v>
      </c>
      <c r="C4" s="107"/>
      <c r="D4" s="107"/>
      <c r="E4" s="36"/>
      <c r="F4" s="36">
        <v>0</v>
      </c>
      <c r="G4" s="36">
        <f>E4*F4</f>
        <v>0</v>
      </c>
      <c r="H4" s="199">
        <v>0</v>
      </c>
      <c r="I4" s="199">
        <v>0</v>
      </c>
      <c r="J4" s="36">
        <f>H4*I4</f>
        <v>0</v>
      </c>
      <c r="K4" s="36">
        <f>G4+J4</f>
        <v>0</v>
      </c>
      <c r="L4" s="203"/>
      <c r="M4" s="200">
        <f>M3+K4-L4</f>
        <v>240937.03099999976</v>
      </c>
      <c r="N4" s="36"/>
      <c r="O4" s="28"/>
    </row>
    <row r="5" spans="1:15" ht="15">
      <c r="A5" s="26">
        <v>2</v>
      </c>
      <c r="B5" s="27">
        <v>45718</v>
      </c>
      <c r="C5" s="107"/>
      <c r="D5" s="107"/>
      <c r="E5" s="36"/>
      <c r="F5" s="36">
        <v>0</v>
      </c>
      <c r="G5" s="36">
        <f t="shared" ref="G5:G33" si="0">E5*F5</f>
        <v>0</v>
      </c>
      <c r="H5" s="199">
        <v>0</v>
      </c>
      <c r="I5" s="199">
        <v>0</v>
      </c>
      <c r="J5" s="36">
        <f t="shared" ref="J5:J33" si="1">H5*I5</f>
        <v>0</v>
      </c>
      <c r="K5" s="36">
        <f t="shared" ref="K5:K33" si="2">G5+J5</f>
        <v>0</v>
      </c>
      <c r="L5" s="203"/>
      <c r="M5" s="200">
        <f>M4+K5-L5</f>
        <v>240937.03099999976</v>
      </c>
      <c r="N5" s="36"/>
      <c r="O5" s="28"/>
    </row>
    <row r="6" spans="1:15" ht="15">
      <c r="A6" s="26">
        <v>3</v>
      </c>
      <c r="B6" s="27">
        <v>45719</v>
      </c>
      <c r="C6" s="107"/>
      <c r="D6" s="107"/>
      <c r="E6" s="36"/>
      <c r="F6" s="36">
        <v>0</v>
      </c>
      <c r="G6" s="36">
        <f t="shared" si="0"/>
        <v>0</v>
      </c>
      <c r="H6" s="199">
        <v>0</v>
      </c>
      <c r="I6" s="199">
        <v>0</v>
      </c>
      <c r="J6" s="36">
        <f t="shared" si="1"/>
        <v>0</v>
      </c>
      <c r="K6" s="36">
        <f t="shared" si="2"/>
        <v>0</v>
      </c>
      <c r="L6" s="203"/>
      <c r="M6" s="200">
        <f>M5+K6-L6</f>
        <v>240937.03099999976</v>
      </c>
      <c r="N6" s="36"/>
      <c r="O6" s="28"/>
    </row>
    <row r="7" spans="1:15" ht="15">
      <c r="A7" s="26">
        <v>4</v>
      </c>
      <c r="B7" s="27">
        <v>45720</v>
      </c>
      <c r="C7" s="107"/>
      <c r="D7" s="107"/>
      <c r="E7" s="36"/>
      <c r="F7" s="36">
        <v>0</v>
      </c>
      <c r="G7" s="36">
        <f t="shared" si="0"/>
        <v>0</v>
      </c>
      <c r="H7" s="199">
        <v>0</v>
      </c>
      <c r="I7" s="199">
        <v>0</v>
      </c>
      <c r="J7" s="36">
        <f t="shared" si="1"/>
        <v>0</v>
      </c>
      <c r="K7" s="36">
        <f t="shared" si="2"/>
        <v>0</v>
      </c>
      <c r="L7" s="203"/>
      <c r="M7" s="200">
        <f>M6+K7-L7</f>
        <v>240937.03099999976</v>
      </c>
      <c r="N7" s="36"/>
      <c r="O7" s="28"/>
    </row>
    <row r="8" spans="1:15" ht="15">
      <c r="A8" s="26">
        <v>5</v>
      </c>
      <c r="B8" s="27">
        <v>45721</v>
      </c>
      <c r="C8" s="107"/>
      <c r="D8" s="107"/>
      <c r="E8" s="36"/>
      <c r="F8" s="36">
        <v>0</v>
      </c>
      <c r="G8" s="36">
        <f t="shared" si="0"/>
        <v>0</v>
      </c>
      <c r="H8" s="199">
        <v>0</v>
      </c>
      <c r="I8" s="199">
        <v>0</v>
      </c>
      <c r="J8" s="36">
        <f t="shared" si="1"/>
        <v>0</v>
      </c>
      <c r="K8" s="36">
        <f t="shared" si="2"/>
        <v>0</v>
      </c>
      <c r="L8" s="203"/>
      <c r="M8" s="200">
        <f>M7+K8-L8</f>
        <v>240937.03099999976</v>
      </c>
      <c r="N8" s="36"/>
      <c r="O8" s="28"/>
    </row>
    <row r="9" spans="1:15" ht="15">
      <c r="A9" s="26">
        <v>6</v>
      </c>
      <c r="B9" s="27">
        <v>45722</v>
      </c>
      <c r="C9" s="107"/>
      <c r="D9" s="107"/>
      <c r="E9" s="36">
        <v>1600</v>
      </c>
      <c r="F9" s="36">
        <v>92.15</v>
      </c>
      <c r="G9" s="36">
        <f t="shared" ref="G9:G18" si="3">E9*F9</f>
        <v>147440</v>
      </c>
      <c r="H9" s="199">
        <v>0</v>
      </c>
      <c r="I9" s="199">
        <v>0</v>
      </c>
      <c r="J9" s="36">
        <f t="shared" si="1"/>
        <v>0</v>
      </c>
      <c r="K9" s="36">
        <f t="shared" si="2"/>
        <v>147440</v>
      </c>
      <c r="L9" s="203"/>
      <c r="M9" s="200">
        <f t="shared" ref="M9:M33" si="4">M8+K9-L9</f>
        <v>388377.03099999973</v>
      </c>
      <c r="N9" s="36"/>
      <c r="O9" s="28"/>
    </row>
    <row r="10" spans="1:15" ht="15">
      <c r="A10" s="26">
        <v>7</v>
      </c>
      <c r="B10" s="27">
        <v>45723</v>
      </c>
      <c r="C10" s="107"/>
      <c r="D10" s="107"/>
      <c r="E10" s="36"/>
      <c r="F10" s="36">
        <v>0</v>
      </c>
      <c r="G10" s="36">
        <f t="shared" si="3"/>
        <v>0</v>
      </c>
      <c r="H10" s="199">
        <v>0</v>
      </c>
      <c r="I10" s="199">
        <v>0</v>
      </c>
      <c r="J10" s="36">
        <f t="shared" ref="J10:J17" si="5">H10*I10</f>
        <v>0</v>
      </c>
      <c r="K10" s="36">
        <f t="shared" ref="K10:K17" si="6">G10+J10</f>
        <v>0</v>
      </c>
      <c r="L10" s="203"/>
      <c r="M10" s="200">
        <f t="shared" si="4"/>
        <v>388377.03099999973</v>
      </c>
      <c r="N10" s="36"/>
      <c r="O10" s="28"/>
    </row>
    <row r="11" spans="1:15" ht="15">
      <c r="A11" s="26">
        <v>8</v>
      </c>
      <c r="B11" s="27">
        <v>45724</v>
      </c>
      <c r="C11" s="107"/>
      <c r="D11" s="107"/>
      <c r="E11" s="36"/>
      <c r="F11" s="36">
        <v>0</v>
      </c>
      <c r="G11" s="36">
        <f t="shared" si="3"/>
        <v>0</v>
      </c>
      <c r="H11" s="199">
        <v>0</v>
      </c>
      <c r="I11" s="199">
        <v>0</v>
      </c>
      <c r="J11" s="36">
        <f t="shared" si="5"/>
        <v>0</v>
      </c>
      <c r="K11" s="36">
        <f t="shared" si="6"/>
        <v>0</v>
      </c>
      <c r="L11" s="203"/>
      <c r="M11" s="200">
        <f t="shared" si="4"/>
        <v>388377.03099999973</v>
      </c>
      <c r="N11" s="36"/>
      <c r="O11" s="28"/>
    </row>
    <row r="12" spans="1:15" ht="15">
      <c r="A12" s="26">
        <v>9</v>
      </c>
      <c r="B12" s="27">
        <v>45725</v>
      </c>
      <c r="C12" s="107"/>
      <c r="D12" s="107"/>
      <c r="E12" s="36"/>
      <c r="F12" s="36">
        <v>0</v>
      </c>
      <c r="G12" s="36">
        <f t="shared" si="3"/>
        <v>0</v>
      </c>
      <c r="H12" s="199">
        <v>0</v>
      </c>
      <c r="I12" s="199">
        <v>0</v>
      </c>
      <c r="J12" s="36">
        <f t="shared" si="5"/>
        <v>0</v>
      </c>
      <c r="K12" s="36">
        <f t="shared" si="6"/>
        <v>0</v>
      </c>
      <c r="L12" s="203"/>
      <c r="M12" s="200">
        <f t="shared" si="4"/>
        <v>388377.03099999973</v>
      </c>
      <c r="N12" s="36"/>
      <c r="O12" s="28"/>
    </row>
    <row r="13" spans="1:15" ht="15">
      <c r="A13" s="26">
        <v>10</v>
      </c>
      <c r="B13" s="27">
        <v>45726</v>
      </c>
      <c r="C13" s="107"/>
      <c r="D13" s="107"/>
      <c r="E13" s="36"/>
      <c r="F13" s="36">
        <v>0</v>
      </c>
      <c r="G13" s="36">
        <f t="shared" si="3"/>
        <v>0</v>
      </c>
      <c r="H13" s="199">
        <v>0</v>
      </c>
      <c r="I13" s="199">
        <v>0</v>
      </c>
      <c r="J13" s="36">
        <f t="shared" si="5"/>
        <v>0</v>
      </c>
      <c r="K13" s="36">
        <f t="shared" si="6"/>
        <v>0</v>
      </c>
      <c r="L13" s="203"/>
      <c r="M13" s="200">
        <f t="shared" si="4"/>
        <v>388377.03099999973</v>
      </c>
      <c r="N13" s="36"/>
      <c r="O13" s="28"/>
    </row>
    <row r="14" spans="1:15" ht="15">
      <c r="A14" s="26">
        <v>11</v>
      </c>
      <c r="B14" s="27">
        <v>45727</v>
      </c>
      <c r="C14" s="107"/>
      <c r="D14" s="107"/>
      <c r="E14" s="36"/>
      <c r="F14" s="36">
        <v>0</v>
      </c>
      <c r="G14" s="36">
        <f t="shared" si="3"/>
        <v>0</v>
      </c>
      <c r="H14" s="199">
        <v>0</v>
      </c>
      <c r="I14" s="199">
        <v>0</v>
      </c>
      <c r="J14" s="36">
        <f t="shared" si="5"/>
        <v>0</v>
      </c>
      <c r="K14" s="36">
        <f t="shared" si="6"/>
        <v>0</v>
      </c>
      <c r="L14" s="203"/>
      <c r="M14" s="200">
        <f t="shared" si="4"/>
        <v>388377.03099999973</v>
      </c>
      <c r="N14" s="36"/>
      <c r="O14" s="28"/>
    </row>
    <row r="15" spans="1:15" ht="15">
      <c r="A15" s="26">
        <v>12</v>
      </c>
      <c r="B15" s="27">
        <v>45728</v>
      </c>
      <c r="C15" s="107"/>
      <c r="D15" s="107"/>
      <c r="E15" s="36"/>
      <c r="F15" s="36">
        <v>0</v>
      </c>
      <c r="G15" s="36">
        <f t="shared" si="3"/>
        <v>0</v>
      </c>
      <c r="H15" s="199">
        <v>0</v>
      </c>
      <c r="I15" s="199">
        <v>0</v>
      </c>
      <c r="J15" s="36">
        <f t="shared" si="5"/>
        <v>0</v>
      </c>
      <c r="K15" s="36">
        <f t="shared" si="6"/>
        <v>0</v>
      </c>
      <c r="L15" s="203"/>
      <c r="M15" s="200">
        <f t="shared" si="4"/>
        <v>388377.03099999973</v>
      </c>
      <c r="N15" s="36"/>
      <c r="O15" s="28"/>
    </row>
    <row r="16" spans="1:15" ht="15">
      <c r="A16" s="26">
        <v>13</v>
      </c>
      <c r="B16" s="27">
        <v>45729</v>
      </c>
      <c r="C16" s="107"/>
      <c r="D16" s="107"/>
      <c r="E16" s="36"/>
      <c r="F16" s="36">
        <v>0</v>
      </c>
      <c r="G16" s="36">
        <f t="shared" si="3"/>
        <v>0</v>
      </c>
      <c r="H16" s="199">
        <v>0</v>
      </c>
      <c r="I16" s="199">
        <v>0</v>
      </c>
      <c r="J16" s="36">
        <f t="shared" si="5"/>
        <v>0</v>
      </c>
      <c r="K16" s="36">
        <f t="shared" si="6"/>
        <v>0</v>
      </c>
      <c r="L16" s="203"/>
      <c r="M16" s="200">
        <f t="shared" si="4"/>
        <v>388377.03099999973</v>
      </c>
      <c r="N16" s="36"/>
      <c r="O16" s="28"/>
    </row>
    <row r="17" spans="1:15" ht="15">
      <c r="A17" s="26">
        <v>14</v>
      </c>
      <c r="B17" s="27">
        <v>45730</v>
      </c>
      <c r="C17" s="107"/>
      <c r="D17" s="107"/>
      <c r="E17" s="36"/>
      <c r="F17" s="36">
        <v>0</v>
      </c>
      <c r="G17" s="36">
        <f t="shared" si="3"/>
        <v>0</v>
      </c>
      <c r="H17" s="199">
        <v>0</v>
      </c>
      <c r="I17" s="199">
        <v>0</v>
      </c>
      <c r="J17" s="36">
        <f t="shared" si="5"/>
        <v>0</v>
      </c>
      <c r="K17" s="36">
        <f t="shared" si="6"/>
        <v>0</v>
      </c>
      <c r="L17" s="203"/>
      <c r="M17" s="200">
        <f t="shared" si="4"/>
        <v>388377.03099999973</v>
      </c>
      <c r="N17" s="36"/>
      <c r="O17" s="28"/>
    </row>
    <row r="18" spans="1:15" ht="15">
      <c r="A18" s="26">
        <v>15</v>
      </c>
      <c r="B18" s="27">
        <v>45731</v>
      </c>
      <c r="C18" s="107"/>
      <c r="D18" s="107"/>
      <c r="E18" s="36"/>
      <c r="F18" s="36">
        <v>0</v>
      </c>
      <c r="G18" s="36">
        <f t="shared" si="3"/>
        <v>0</v>
      </c>
      <c r="H18" s="199">
        <v>0</v>
      </c>
      <c r="I18" s="199">
        <v>0</v>
      </c>
      <c r="J18" s="36">
        <f t="shared" si="1"/>
        <v>0</v>
      </c>
      <c r="K18" s="36">
        <f t="shared" si="2"/>
        <v>0</v>
      </c>
      <c r="L18" s="203"/>
      <c r="M18" s="200">
        <f t="shared" si="4"/>
        <v>388377.03099999973</v>
      </c>
      <c r="N18" s="36"/>
      <c r="O18" s="28"/>
    </row>
    <row r="19" spans="1:15" ht="15">
      <c r="A19" s="26">
        <v>16</v>
      </c>
      <c r="B19" s="27">
        <v>45732</v>
      </c>
      <c r="C19" s="107"/>
      <c r="D19" s="107"/>
      <c r="E19" s="36"/>
      <c r="F19" s="36">
        <v>0</v>
      </c>
      <c r="G19" s="36">
        <f t="shared" si="0"/>
        <v>0</v>
      </c>
      <c r="H19" s="199">
        <v>0</v>
      </c>
      <c r="I19" s="199">
        <v>0</v>
      </c>
      <c r="J19" s="36">
        <f t="shared" si="1"/>
        <v>0</v>
      </c>
      <c r="K19" s="36">
        <f t="shared" si="2"/>
        <v>0</v>
      </c>
      <c r="L19" s="203"/>
      <c r="M19" s="200">
        <f t="shared" si="4"/>
        <v>388377.03099999973</v>
      </c>
      <c r="N19" s="36"/>
      <c r="O19" s="28"/>
    </row>
    <row r="20" spans="1:15" ht="15">
      <c r="A20" s="26">
        <v>17</v>
      </c>
      <c r="B20" s="27">
        <v>45733</v>
      </c>
      <c r="C20" s="107"/>
      <c r="D20" s="107"/>
      <c r="E20" s="36"/>
      <c r="F20" s="36">
        <v>0</v>
      </c>
      <c r="G20" s="36">
        <f t="shared" si="0"/>
        <v>0</v>
      </c>
      <c r="H20" s="199">
        <v>140</v>
      </c>
      <c r="I20" s="199">
        <v>104.24</v>
      </c>
      <c r="J20" s="36">
        <f t="shared" si="1"/>
        <v>14593.599999999999</v>
      </c>
      <c r="K20" s="36">
        <f t="shared" si="2"/>
        <v>14593.599999999999</v>
      </c>
      <c r="L20" s="203">
        <v>300000</v>
      </c>
      <c r="M20" s="200">
        <f t="shared" si="4"/>
        <v>102970.6309999997</v>
      </c>
      <c r="N20" s="36"/>
      <c r="O20" s="28"/>
    </row>
    <row r="21" spans="1:15" ht="15">
      <c r="A21" s="26">
        <v>18</v>
      </c>
      <c r="B21" s="27">
        <v>45734</v>
      </c>
      <c r="C21" s="107"/>
      <c r="D21" s="107"/>
      <c r="E21" s="36"/>
      <c r="F21" s="36">
        <v>0</v>
      </c>
      <c r="G21" s="36">
        <f t="shared" si="0"/>
        <v>0</v>
      </c>
      <c r="H21" s="199">
        <v>0</v>
      </c>
      <c r="I21" s="199">
        <v>0</v>
      </c>
      <c r="J21" s="36">
        <f t="shared" si="1"/>
        <v>0</v>
      </c>
      <c r="K21" s="36">
        <f t="shared" si="2"/>
        <v>0</v>
      </c>
      <c r="L21" s="203"/>
      <c r="M21" s="200">
        <f t="shared" si="4"/>
        <v>102970.6309999997</v>
      </c>
      <c r="N21" s="36"/>
      <c r="O21" s="28"/>
    </row>
    <row r="22" spans="1:15" ht="15">
      <c r="A22" s="26">
        <v>19</v>
      </c>
      <c r="B22" s="27">
        <v>45735</v>
      </c>
      <c r="C22" s="107"/>
      <c r="D22" s="107"/>
      <c r="E22" s="36"/>
      <c r="F22" s="36">
        <v>0</v>
      </c>
      <c r="G22" s="36"/>
      <c r="H22" s="199">
        <v>0</v>
      </c>
      <c r="I22" s="199">
        <v>0</v>
      </c>
      <c r="J22" s="36">
        <f t="shared" si="1"/>
        <v>0</v>
      </c>
      <c r="K22" s="36">
        <f t="shared" si="2"/>
        <v>0</v>
      </c>
      <c r="L22" s="203"/>
      <c r="M22" s="200">
        <f t="shared" si="4"/>
        <v>102970.6309999997</v>
      </c>
      <c r="N22" s="36"/>
      <c r="O22" s="28"/>
    </row>
    <row r="23" spans="1:15" ht="15">
      <c r="A23" s="26">
        <v>20</v>
      </c>
      <c r="B23" s="27">
        <v>45736</v>
      </c>
      <c r="C23" s="107"/>
      <c r="D23" s="107"/>
      <c r="E23" s="36"/>
      <c r="F23" s="36">
        <v>0</v>
      </c>
      <c r="G23" s="36"/>
      <c r="H23" s="199"/>
      <c r="I23" s="199"/>
      <c r="J23" s="36">
        <f t="shared" ref="J23:J32" si="7">H23*I23</f>
        <v>0</v>
      </c>
      <c r="K23" s="36">
        <f t="shared" ref="K23:K32" si="8">G23+J23</f>
        <v>0</v>
      </c>
      <c r="L23" s="203"/>
      <c r="M23" s="200">
        <f t="shared" si="4"/>
        <v>102970.6309999997</v>
      </c>
      <c r="N23" s="36"/>
      <c r="O23" s="28"/>
    </row>
    <row r="24" spans="1:15" ht="15">
      <c r="A24" s="26">
        <v>21</v>
      </c>
      <c r="B24" s="27">
        <v>45737</v>
      </c>
      <c r="C24" s="107"/>
      <c r="D24" s="107"/>
      <c r="E24" s="36"/>
      <c r="F24" s="36">
        <v>0</v>
      </c>
      <c r="G24" s="36"/>
      <c r="H24" s="199"/>
      <c r="I24" s="199"/>
      <c r="J24" s="36">
        <f t="shared" si="7"/>
        <v>0</v>
      </c>
      <c r="K24" s="36">
        <f t="shared" si="8"/>
        <v>0</v>
      </c>
      <c r="L24" s="203"/>
      <c r="M24" s="200">
        <f t="shared" si="4"/>
        <v>102970.6309999997</v>
      </c>
      <c r="N24" s="36"/>
      <c r="O24" s="28"/>
    </row>
    <row r="25" spans="1:15" ht="15">
      <c r="A25" s="26">
        <v>22</v>
      </c>
      <c r="B25" s="27">
        <v>45738</v>
      </c>
      <c r="C25" s="107"/>
      <c r="D25" s="107"/>
      <c r="E25" s="36"/>
      <c r="F25" s="36">
        <v>0</v>
      </c>
      <c r="G25" s="36"/>
      <c r="H25" s="199"/>
      <c r="I25" s="199"/>
      <c r="J25" s="36">
        <f t="shared" si="7"/>
        <v>0</v>
      </c>
      <c r="K25" s="36">
        <f t="shared" si="8"/>
        <v>0</v>
      </c>
      <c r="L25" s="203"/>
      <c r="M25" s="200">
        <f t="shared" si="4"/>
        <v>102970.6309999997</v>
      </c>
      <c r="N25" s="36"/>
      <c r="O25" s="28"/>
    </row>
    <row r="26" spans="1:15" ht="15">
      <c r="A26" s="26">
        <v>23</v>
      </c>
      <c r="B26" s="27">
        <v>45739</v>
      </c>
      <c r="C26" s="107"/>
      <c r="D26" s="107"/>
      <c r="E26" s="36"/>
      <c r="F26" s="36">
        <v>0</v>
      </c>
      <c r="G26" s="36"/>
      <c r="H26" s="199"/>
      <c r="I26" s="199"/>
      <c r="J26" s="36">
        <f t="shared" si="7"/>
        <v>0</v>
      </c>
      <c r="K26" s="36">
        <f t="shared" si="8"/>
        <v>0</v>
      </c>
      <c r="L26" s="203"/>
      <c r="M26" s="200">
        <f t="shared" si="4"/>
        <v>102970.6309999997</v>
      </c>
      <c r="N26" s="36"/>
      <c r="O26" s="28"/>
    </row>
    <row r="27" spans="1:15" ht="15">
      <c r="A27" s="26">
        <v>24</v>
      </c>
      <c r="B27" s="27">
        <v>45740</v>
      </c>
      <c r="C27" s="107"/>
      <c r="D27" s="107"/>
      <c r="E27" s="36"/>
      <c r="F27" s="36">
        <v>0</v>
      </c>
      <c r="G27" s="36"/>
      <c r="H27" s="199"/>
      <c r="I27" s="199"/>
      <c r="J27" s="36">
        <f t="shared" si="7"/>
        <v>0</v>
      </c>
      <c r="K27" s="36">
        <f t="shared" si="8"/>
        <v>0</v>
      </c>
      <c r="L27" s="203"/>
      <c r="M27" s="200">
        <f t="shared" si="4"/>
        <v>102970.6309999997</v>
      </c>
      <c r="N27" s="36"/>
      <c r="O27" s="28"/>
    </row>
    <row r="28" spans="1:15" ht="15">
      <c r="A28" s="26">
        <v>25</v>
      </c>
      <c r="B28" s="27">
        <v>45741</v>
      </c>
      <c r="C28" s="107"/>
      <c r="D28" s="107"/>
      <c r="E28" s="36"/>
      <c r="F28" s="36">
        <v>0</v>
      </c>
      <c r="G28" s="36"/>
      <c r="H28" s="199"/>
      <c r="I28" s="199"/>
      <c r="J28" s="36">
        <f t="shared" si="7"/>
        <v>0</v>
      </c>
      <c r="K28" s="36">
        <f t="shared" si="8"/>
        <v>0</v>
      </c>
      <c r="L28" s="203"/>
      <c r="M28" s="200">
        <f>M27+K28-L28</f>
        <v>102970.6309999997</v>
      </c>
      <c r="N28" s="36"/>
      <c r="O28" s="28"/>
    </row>
    <row r="29" spans="1:15" ht="15">
      <c r="A29" s="26">
        <v>26</v>
      </c>
      <c r="B29" s="27">
        <v>45742</v>
      </c>
      <c r="C29" s="107"/>
      <c r="D29" s="107"/>
      <c r="E29" s="36"/>
      <c r="F29" s="36">
        <v>0</v>
      </c>
      <c r="G29" s="36"/>
      <c r="H29" s="199"/>
      <c r="I29" s="199"/>
      <c r="J29" s="36">
        <f t="shared" si="7"/>
        <v>0</v>
      </c>
      <c r="K29" s="36">
        <f t="shared" si="8"/>
        <v>0</v>
      </c>
      <c r="L29" s="203"/>
      <c r="M29" s="200">
        <f t="shared" si="4"/>
        <v>102970.6309999997</v>
      </c>
      <c r="N29" s="36"/>
      <c r="O29" s="28"/>
    </row>
    <row r="30" spans="1:15" ht="15">
      <c r="A30" s="26">
        <v>27</v>
      </c>
      <c r="B30" s="27">
        <v>45743</v>
      </c>
      <c r="C30" s="107"/>
      <c r="D30" s="107"/>
      <c r="E30" s="36"/>
      <c r="F30" s="36">
        <v>0</v>
      </c>
      <c r="G30" s="36"/>
      <c r="H30" s="199"/>
      <c r="I30" s="199"/>
      <c r="J30" s="36">
        <f t="shared" si="7"/>
        <v>0</v>
      </c>
      <c r="K30" s="36">
        <f t="shared" si="8"/>
        <v>0</v>
      </c>
      <c r="L30" s="203"/>
      <c r="M30" s="200">
        <f t="shared" si="4"/>
        <v>102970.6309999997</v>
      </c>
      <c r="N30" s="36"/>
      <c r="O30" s="28"/>
    </row>
    <row r="31" spans="1:15" ht="15">
      <c r="A31" s="26">
        <v>28</v>
      </c>
      <c r="B31" s="27">
        <v>45744</v>
      </c>
      <c r="C31" s="107"/>
      <c r="D31" s="107"/>
      <c r="E31" s="36"/>
      <c r="F31" s="36">
        <v>0</v>
      </c>
      <c r="G31" s="36"/>
      <c r="H31" s="199"/>
      <c r="I31" s="199"/>
      <c r="J31" s="36">
        <f t="shared" si="7"/>
        <v>0</v>
      </c>
      <c r="K31" s="36">
        <f t="shared" si="8"/>
        <v>0</v>
      </c>
      <c r="L31" s="203"/>
      <c r="M31" s="200">
        <f t="shared" si="4"/>
        <v>102970.6309999997</v>
      </c>
      <c r="N31" s="36"/>
      <c r="O31" s="28"/>
    </row>
    <row r="32" spans="1:15" ht="15">
      <c r="A32" s="26">
        <v>29</v>
      </c>
      <c r="B32" s="27">
        <v>45745</v>
      </c>
      <c r="C32" s="107"/>
      <c r="D32" s="107"/>
      <c r="E32" s="36"/>
      <c r="F32" s="36">
        <v>0</v>
      </c>
      <c r="G32" s="36">
        <f t="shared" ref="G32" si="9">E32*F32</f>
        <v>0</v>
      </c>
      <c r="H32" s="199">
        <v>0</v>
      </c>
      <c r="I32" s="199">
        <v>0</v>
      </c>
      <c r="J32" s="36">
        <f t="shared" si="7"/>
        <v>0</v>
      </c>
      <c r="K32" s="36">
        <f t="shared" si="8"/>
        <v>0</v>
      </c>
      <c r="L32" s="203"/>
      <c r="M32" s="200">
        <f t="shared" si="4"/>
        <v>102970.6309999997</v>
      </c>
      <c r="N32" s="216"/>
      <c r="O32" s="28"/>
    </row>
    <row r="33" spans="1:15" ht="15">
      <c r="A33" s="26">
        <v>30</v>
      </c>
      <c r="B33" s="27">
        <v>45746</v>
      </c>
      <c r="C33" s="107"/>
      <c r="D33" s="107"/>
      <c r="E33" s="36"/>
      <c r="F33" s="36">
        <v>0</v>
      </c>
      <c r="G33" s="36">
        <f t="shared" si="0"/>
        <v>0</v>
      </c>
      <c r="H33" s="199">
        <v>0</v>
      </c>
      <c r="I33" s="199">
        <v>0</v>
      </c>
      <c r="J33" s="36">
        <f t="shared" si="1"/>
        <v>0</v>
      </c>
      <c r="K33" s="36">
        <f t="shared" si="2"/>
        <v>0</v>
      </c>
      <c r="L33" s="203"/>
      <c r="M33" s="200">
        <f t="shared" si="4"/>
        <v>102970.6309999997</v>
      </c>
      <c r="N33" s="216"/>
      <c r="O33" s="28"/>
    </row>
    <row r="34" spans="1:15" ht="15">
      <c r="A34" s="26">
        <v>31</v>
      </c>
      <c r="B34" s="27">
        <v>45747</v>
      </c>
      <c r="C34" s="107"/>
      <c r="D34" s="107"/>
      <c r="E34" s="36"/>
      <c r="F34" s="36">
        <v>0</v>
      </c>
      <c r="G34" s="36">
        <f t="shared" ref="G34" si="10">E34*F34</f>
        <v>0</v>
      </c>
      <c r="H34" s="199"/>
      <c r="I34" s="199"/>
      <c r="J34" s="36">
        <f t="shared" ref="J34" si="11">H34*I34</f>
        <v>0</v>
      </c>
      <c r="K34" s="36">
        <f t="shared" ref="K34" si="12">G34+J34</f>
        <v>0</v>
      </c>
      <c r="L34" s="203"/>
      <c r="M34" s="216"/>
      <c r="N34" s="216"/>
      <c r="O34" s="28"/>
    </row>
    <row r="35" spans="1:15">
      <c r="A35" s="42"/>
      <c r="B35" s="42"/>
      <c r="C35" s="204"/>
      <c r="D35" s="204"/>
      <c r="E35" s="205">
        <f>SUM(E4:E34)</f>
        <v>1600</v>
      </c>
      <c r="F35" s="205"/>
      <c r="G35" s="205">
        <f>SUM(G4:G34)</f>
        <v>147440</v>
      </c>
      <c r="H35" s="205">
        <f>SUM(H4:H34)</f>
        <v>140</v>
      </c>
      <c r="I35" s="205"/>
      <c r="J35" s="205">
        <f>SUM(J4:J34)</f>
        <v>14593.599999999999</v>
      </c>
      <c r="K35" s="205">
        <f>SUM(K4:K34)</f>
        <v>162033.60000000001</v>
      </c>
      <c r="L35" s="205">
        <f>SUM(L4:L31)</f>
        <v>300000</v>
      </c>
      <c r="M35" s="205"/>
      <c r="N35" s="205"/>
      <c r="O35" s="33"/>
    </row>
    <row r="36" spans="1:15">
      <c r="A36" s="30"/>
      <c r="B36" s="30"/>
      <c r="C36" s="30"/>
      <c r="D36" s="3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8"/>
    </row>
    <row r="37" spans="1:15">
      <c r="A37" s="28"/>
      <c r="B37" s="28"/>
      <c r="C37" s="28"/>
      <c r="D37" s="28"/>
      <c r="E37" s="28"/>
      <c r="F37" s="28"/>
      <c r="G37" s="31"/>
      <c r="H37" s="28"/>
      <c r="I37" s="28"/>
      <c r="J37" s="28"/>
      <c r="K37" s="28"/>
      <c r="L37" s="28"/>
      <c r="M37" s="28"/>
      <c r="N37" s="28"/>
      <c r="O37" s="32"/>
    </row>
    <row r="38" spans="1:15">
      <c r="A38" s="28"/>
      <c r="B38" s="465"/>
      <c r="C38" s="465"/>
      <c r="D38" s="465"/>
      <c r="E38" s="465"/>
      <c r="F38" s="28"/>
      <c r="G38" s="28"/>
      <c r="H38" s="28"/>
      <c r="I38" s="465"/>
      <c r="J38" s="465"/>
      <c r="K38" s="465"/>
      <c r="L38" s="465"/>
      <c r="M38" s="465"/>
      <c r="N38" s="465"/>
      <c r="O38" s="32"/>
    </row>
    <row r="39" spans="1:1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2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39"/>
  <sheetViews>
    <sheetView workbookViewId="0">
      <selection activeCell="V19" sqref="V19"/>
    </sheetView>
  </sheetViews>
  <sheetFormatPr defaultRowHeight="15"/>
  <cols>
    <col min="2" max="2" width="10.28515625" customWidth="1"/>
    <col min="5" max="5" width="12.5703125" bestFit="1" customWidth="1"/>
    <col min="10" max="10" width="10.85546875" bestFit="1" customWidth="1"/>
    <col min="11" max="11" width="10.42578125" bestFit="1" customWidth="1"/>
    <col min="12" max="13" width="11.85546875" bestFit="1" customWidth="1"/>
  </cols>
  <sheetData>
    <row r="1" spans="1:34">
      <c r="A1" s="467" t="s">
        <v>89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</row>
    <row r="2" spans="1:34" ht="25.5">
      <c r="A2" s="87" t="s">
        <v>0</v>
      </c>
      <c r="B2" s="88" t="s">
        <v>161</v>
      </c>
      <c r="C2" s="88" t="s">
        <v>162</v>
      </c>
      <c r="D2" s="88" t="s">
        <v>163</v>
      </c>
      <c r="E2" s="88" t="s">
        <v>164</v>
      </c>
      <c r="F2" s="88" t="s">
        <v>165</v>
      </c>
      <c r="G2" s="88" t="s">
        <v>166</v>
      </c>
      <c r="H2" s="88" t="s">
        <v>167</v>
      </c>
      <c r="I2" s="88" t="s">
        <v>165</v>
      </c>
      <c r="J2" s="112" t="s">
        <v>166</v>
      </c>
      <c r="K2" s="88" t="s">
        <v>168</v>
      </c>
      <c r="L2" s="112" t="s">
        <v>169</v>
      </c>
      <c r="M2" s="111" t="s">
        <v>181</v>
      </c>
      <c r="N2" s="89" t="s">
        <v>171</v>
      </c>
      <c r="O2" s="33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</row>
    <row r="3" spans="1:34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68"/>
      <c r="K3" s="29">
        <v>531383.80290300003</v>
      </c>
      <c r="L3" s="46"/>
      <c r="M3" s="113">
        <v>531383.80290300003</v>
      </c>
      <c r="N3" s="46"/>
      <c r="O3" s="33"/>
      <c r="P3" s="49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</row>
    <row r="4" spans="1:34">
      <c r="A4" s="26">
        <v>1</v>
      </c>
      <c r="B4" s="27">
        <v>46082</v>
      </c>
      <c r="C4" s="47" t="s">
        <v>188</v>
      </c>
      <c r="D4" s="48" t="s">
        <v>188</v>
      </c>
      <c r="E4" s="47"/>
      <c r="F4" s="47"/>
      <c r="G4" s="46">
        <f t="shared" ref="G4" si="0">E4*F4</f>
        <v>0</v>
      </c>
      <c r="H4" s="47"/>
      <c r="I4" s="47"/>
      <c r="J4" s="49">
        <f t="shared" ref="J4" si="1">H4*I4</f>
        <v>0</v>
      </c>
      <c r="K4" s="46">
        <f t="shared" ref="K4" si="2">G4+J4</f>
        <v>0</v>
      </c>
      <c r="L4" s="46"/>
      <c r="M4" s="49">
        <f>M3+K4-L4</f>
        <v>531383.80290300003</v>
      </c>
      <c r="N4" s="104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</row>
    <row r="5" spans="1:34">
      <c r="A5" s="26">
        <v>2</v>
      </c>
      <c r="B5" s="27">
        <v>46083</v>
      </c>
      <c r="C5" s="47" t="s">
        <v>188</v>
      </c>
      <c r="D5" s="48" t="s">
        <v>188</v>
      </c>
      <c r="E5" s="47"/>
      <c r="F5" s="47"/>
      <c r="G5" s="46">
        <f t="shared" ref="G5:G34" si="3">E5*F5</f>
        <v>0</v>
      </c>
      <c r="H5" s="47"/>
      <c r="I5" s="47"/>
      <c r="J5" s="49">
        <f t="shared" ref="J5:J34" si="4">H5*I5</f>
        <v>0</v>
      </c>
      <c r="K5" s="46">
        <f t="shared" ref="K5:L34" si="5">G5+J5</f>
        <v>0</v>
      </c>
      <c r="L5" s="46"/>
      <c r="M5" s="49">
        <f t="shared" ref="M5:M36" si="6">M4+K5-L5</f>
        <v>531383.80290300003</v>
      </c>
      <c r="N5" s="104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</row>
    <row r="6" spans="1:34">
      <c r="A6" s="26">
        <v>3</v>
      </c>
      <c r="B6" s="27">
        <v>46084</v>
      </c>
      <c r="C6" s="47" t="s">
        <v>188</v>
      </c>
      <c r="D6" s="48" t="s">
        <v>188</v>
      </c>
      <c r="E6" s="47"/>
      <c r="F6" s="47"/>
      <c r="G6" s="46">
        <f t="shared" si="3"/>
        <v>0</v>
      </c>
      <c r="H6" s="47"/>
      <c r="I6" s="47"/>
      <c r="J6" s="49">
        <f t="shared" si="4"/>
        <v>0</v>
      </c>
      <c r="K6" s="46">
        <f t="shared" si="5"/>
        <v>0</v>
      </c>
      <c r="L6" s="46"/>
      <c r="M6" s="49">
        <f t="shared" si="6"/>
        <v>531383.80290300003</v>
      </c>
      <c r="N6" s="110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7" spans="1:34">
      <c r="A7" s="26">
        <v>4</v>
      </c>
      <c r="B7" s="27">
        <v>46085</v>
      </c>
      <c r="C7" s="47" t="s">
        <v>188</v>
      </c>
      <c r="D7" s="48" t="s">
        <v>188</v>
      </c>
      <c r="E7" s="47"/>
      <c r="F7" s="47"/>
      <c r="G7" s="46">
        <f t="shared" ref="G7:G15" si="7">E7*F7</f>
        <v>0</v>
      </c>
      <c r="H7" s="47"/>
      <c r="I7" s="47"/>
      <c r="J7" s="49">
        <f t="shared" si="4"/>
        <v>0</v>
      </c>
      <c r="K7" s="46">
        <f t="shared" si="5"/>
        <v>0</v>
      </c>
      <c r="L7" s="46"/>
      <c r="M7" s="49">
        <f t="shared" si="6"/>
        <v>531383.80290300003</v>
      </c>
      <c r="N7" s="110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>
      <c r="A8" s="26">
        <v>5</v>
      </c>
      <c r="B8" s="27">
        <v>46086</v>
      </c>
      <c r="C8" s="47" t="s">
        <v>188</v>
      </c>
      <c r="D8" s="48" t="s">
        <v>188</v>
      </c>
      <c r="E8" s="47"/>
      <c r="F8" s="47"/>
      <c r="G8" s="46">
        <f t="shared" si="7"/>
        <v>0</v>
      </c>
      <c r="H8" s="47"/>
      <c r="I8" s="47"/>
      <c r="J8" s="49">
        <f t="shared" si="4"/>
        <v>0</v>
      </c>
      <c r="K8" s="46">
        <f t="shared" si="5"/>
        <v>0</v>
      </c>
      <c r="L8" s="46"/>
      <c r="M8" s="49">
        <f t="shared" si="6"/>
        <v>531383.80290300003</v>
      </c>
      <c r="N8" s="104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>
      <c r="A9" s="26">
        <v>6</v>
      </c>
      <c r="B9" s="27">
        <v>46087</v>
      </c>
      <c r="C9" s="47" t="s">
        <v>188</v>
      </c>
      <c r="D9" s="48" t="s">
        <v>188</v>
      </c>
      <c r="E9" s="47">
        <v>1200</v>
      </c>
      <c r="F9" s="47">
        <v>91.33</v>
      </c>
      <c r="G9" s="46">
        <f t="shared" si="7"/>
        <v>109596</v>
      </c>
      <c r="H9" s="47">
        <v>35</v>
      </c>
      <c r="I9" s="47">
        <v>103.27</v>
      </c>
      <c r="J9" s="49">
        <f t="shared" si="4"/>
        <v>3614.45</v>
      </c>
      <c r="K9" s="46">
        <f t="shared" si="5"/>
        <v>113210.45</v>
      </c>
      <c r="L9" s="46"/>
      <c r="M9" s="49">
        <f t="shared" si="6"/>
        <v>644594.25290299999</v>
      </c>
      <c r="N9" s="110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34">
      <c r="A10" s="26">
        <v>7</v>
      </c>
      <c r="B10" s="27">
        <v>46088</v>
      </c>
      <c r="C10" s="47" t="s">
        <v>188</v>
      </c>
      <c r="D10" s="48" t="s">
        <v>188</v>
      </c>
      <c r="E10" s="47"/>
      <c r="F10" s="47"/>
      <c r="G10" s="46">
        <f t="shared" si="7"/>
        <v>0</v>
      </c>
      <c r="H10" s="47"/>
      <c r="I10" s="47"/>
      <c r="J10" s="49">
        <f t="shared" si="4"/>
        <v>0</v>
      </c>
      <c r="K10" s="46">
        <f t="shared" si="5"/>
        <v>0</v>
      </c>
      <c r="L10" s="108"/>
      <c r="M10" s="49">
        <f t="shared" si="6"/>
        <v>644594.25290299999</v>
      </c>
      <c r="N10" s="104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34">
      <c r="A11" s="26">
        <v>8</v>
      </c>
      <c r="B11" s="27">
        <v>46089</v>
      </c>
      <c r="C11" s="47" t="s">
        <v>188</v>
      </c>
      <c r="D11" s="48" t="s">
        <v>188</v>
      </c>
      <c r="E11" s="47"/>
      <c r="F11" s="47"/>
      <c r="G11" s="46">
        <f t="shared" si="7"/>
        <v>0</v>
      </c>
      <c r="H11" s="47"/>
      <c r="I11" s="47"/>
      <c r="J11" s="49">
        <f t="shared" si="4"/>
        <v>0</v>
      </c>
      <c r="K11" s="46">
        <f t="shared" si="5"/>
        <v>0</v>
      </c>
      <c r="L11" s="108"/>
      <c r="M11" s="49">
        <f t="shared" si="6"/>
        <v>644594.25290299999</v>
      </c>
      <c r="N11" s="109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</row>
    <row r="12" spans="1:34">
      <c r="A12" s="26">
        <v>9</v>
      </c>
      <c r="B12" s="27">
        <v>46090</v>
      </c>
      <c r="C12" s="47" t="s">
        <v>188</v>
      </c>
      <c r="D12" s="48" t="s">
        <v>188</v>
      </c>
      <c r="E12" s="47">
        <v>1000</v>
      </c>
      <c r="F12" s="47">
        <v>91.33</v>
      </c>
      <c r="G12" s="46">
        <f t="shared" si="7"/>
        <v>91330</v>
      </c>
      <c r="H12" s="47">
        <v>35</v>
      </c>
      <c r="I12" s="47">
        <v>103.27</v>
      </c>
      <c r="J12" s="49">
        <f t="shared" si="4"/>
        <v>3614.45</v>
      </c>
      <c r="K12" s="46">
        <f t="shared" si="5"/>
        <v>94944.45</v>
      </c>
      <c r="L12" s="108"/>
      <c r="M12" s="49">
        <f t="shared" si="6"/>
        <v>739538.70290299994</v>
      </c>
      <c r="N12" s="104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</row>
    <row r="13" spans="1:34">
      <c r="A13" s="26">
        <v>10</v>
      </c>
      <c r="B13" s="27">
        <v>46091</v>
      </c>
      <c r="C13" s="47" t="s">
        <v>188</v>
      </c>
      <c r="D13" s="48" t="s">
        <v>188</v>
      </c>
      <c r="E13" s="47"/>
      <c r="F13" s="47"/>
      <c r="G13" s="46">
        <f t="shared" si="7"/>
        <v>0</v>
      </c>
      <c r="H13" s="47"/>
      <c r="I13" s="47"/>
      <c r="J13" s="49">
        <f t="shared" si="4"/>
        <v>0</v>
      </c>
      <c r="K13" s="46">
        <f t="shared" si="5"/>
        <v>0</v>
      </c>
      <c r="L13" s="108"/>
      <c r="M13" s="49">
        <f t="shared" si="6"/>
        <v>739538.70290299994</v>
      </c>
      <c r="N13" s="104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</row>
    <row r="14" spans="1:34">
      <c r="A14" s="26">
        <v>11</v>
      </c>
      <c r="B14" s="27">
        <v>46092</v>
      </c>
      <c r="C14" s="47" t="s">
        <v>188</v>
      </c>
      <c r="D14" s="48" t="s">
        <v>188</v>
      </c>
      <c r="E14" s="47">
        <v>437.97</v>
      </c>
      <c r="F14" s="47">
        <v>91.33</v>
      </c>
      <c r="G14" s="46">
        <f t="shared" si="7"/>
        <v>39999.8001</v>
      </c>
      <c r="H14" s="47"/>
      <c r="I14" s="47"/>
      <c r="J14" s="49">
        <f t="shared" si="4"/>
        <v>0</v>
      </c>
      <c r="K14" s="46">
        <f t="shared" si="5"/>
        <v>39999.8001</v>
      </c>
      <c r="L14" s="108">
        <v>39999.800000000003</v>
      </c>
      <c r="M14" s="49">
        <f t="shared" si="6"/>
        <v>739538.70300299989</v>
      </c>
      <c r="N14" s="104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</row>
    <row r="15" spans="1:34">
      <c r="A15" s="26">
        <v>12</v>
      </c>
      <c r="B15" s="27">
        <v>46093</v>
      </c>
      <c r="C15" s="47" t="s">
        <v>188</v>
      </c>
      <c r="D15" s="48" t="s">
        <v>188</v>
      </c>
      <c r="E15" s="47">
        <v>1094.93</v>
      </c>
      <c r="F15" s="47">
        <v>91.33</v>
      </c>
      <c r="G15" s="46">
        <f t="shared" si="7"/>
        <v>99999.956900000005</v>
      </c>
      <c r="H15" s="47"/>
      <c r="I15" s="47"/>
      <c r="J15" s="49">
        <f t="shared" si="4"/>
        <v>0</v>
      </c>
      <c r="K15" s="46">
        <f t="shared" si="5"/>
        <v>99999.956900000005</v>
      </c>
      <c r="L15" s="108">
        <v>800000</v>
      </c>
      <c r="M15" s="49">
        <f t="shared" si="6"/>
        <v>39538.659902999876</v>
      </c>
      <c r="N15" s="104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</row>
    <row r="16" spans="1:34">
      <c r="A16" s="26">
        <v>13</v>
      </c>
      <c r="B16" s="27">
        <v>46094</v>
      </c>
      <c r="C16" s="47" t="s">
        <v>188</v>
      </c>
      <c r="D16" s="48" t="s">
        <v>188</v>
      </c>
      <c r="E16" s="47"/>
      <c r="F16" s="47"/>
      <c r="G16" s="46">
        <f t="shared" si="3"/>
        <v>0</v>
      </c>
      <c r="H16" s="47"/>
      <c r="I16" s="47"/>
      <c r="J16" s="49">
        <f t="shared" si="4"/>
        <v>0</v>
      </c>
      <c r="K16" s="46">
        <f t="shared" si="5"/>
        <v>0</v>
      </c>
      <c r="L16" s="108"/>
      <c r="M16" s="49">
        <f t="shared" si="6"/>
        <v>39538.659902999876</v>
      </c>
      <c r="N16" s="104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</row>
    <row r="17" spans="1:34">
      <c r="A17" s="26">
        <v>14</v>
      </c>
      <c r="B17" s="27">
        <v>46095</v>
      </c>
      <c r="C17" s="47" t="s">
        <v>188</v>
      </c>
      <c r="D17" s="48" t="s">
        <v>188</v>
      </c>
      <c r="E17" s="47">
        <v>1500</v>
      </c>
      <c r="F17" s="47">
        <v>91.33</v>
      </c>
      <c r="G17" s="46">
        <f t="shared" si="3"/>
        <v>136995</v>
      </c>
      <c r="H17" s="47">
        <v>70</v>
      </c>
      <c r="I17" s="47">
        <v>103.27</v>
      </c>
      <c r="J17" s="49">
        <f t="shared" si="4"/>
        <v>7228.9</v>
      </c>
      <c r="K17" s="46">
        <f t="shared" si="5"/>
        <v>144223.9</v>
      </c>
      <c r="L17" s="108"/>
      <c r="M17" s="49">
        <f t="shared" si="6"/>
        <v>183762.55990299987</v>
      </c>
      <c r="N17" s="104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</row>
    <row r="18" spans="1:34">
      <c r="A18" s="26">
        <v>15</v>
      </c>
      <c r="B18" s="27">
        <v>46096</v>
      </c>
      <c r="C18" s="47" t="s">
        <v>188</v>
      </c>
      <c r="D18" s="48" t="s">
        <v>188</v>
      </c>
      <c r="E18" s="47"/>
      <c r="F18" s="47"/>
      <c r="G18" s="46">
        <f t="shared" si="3"/>
        <v>0</v>
      </c>
      <c r="H18" s="47"/>
      <c r="I18" s="47"/>
      <c r="J18" s="49">
        <f t="shared" si="4"/>
        <v>0</v>
      </c>
      <c r="K18" s="46">
        <f t="shared" si="5"/>
        <v>0</v>
      </c>
      <c r="L18" s="108"/>
      <c r="M18" s="49">
        <f t="shared" si="6"/>
        <v>183762.55990299987</v>
      </c>
      <c r="N18" s="104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</row>
    <row r="19" spans="1:34">
      <c r="A19" s="26">
        <v>16</v>
      </c>
      <c r="B19" s="27">
        <v>46097</v>
      </c>
      <c r="C19" s="47" t="s">
        <v>188</v>
      </c>
      <c r="D19" s="48" t="s">
        <v>188</v>
      </c>
      <c r="E19" s="47"/>
      <c r="F19" s="47"/>
      <c r="G19" s="46">
        <f t="shared" si="3"/>
        <v>0</v>
      </c>
      <c r="H19" s="47"/>
      <c r="I19" s="47"/>
      <c r="J19" s="49">
        <f t="shared" si="4"/>
        <v>0</v>
      </c>
      <c r="K19" s="46">
        <f t="shared" si="5"/>
        <v>0</v>
      </c>
      <c r="L19" s="108"/>
      <c r="M19" s="49">
        <f t="shared" si="6"/>
        <v>183762.55990299987</v>
      </c>
      <c r="N19" s="104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</row>
    <row r="20" spans="1:34">
      <c r="A20" s="26">
        <v>17</v>
      </c>
      <c r="B20" s="27">
        <v>46098</v>
      </c>
      <c r="C20" s="47" t="s">
        <v>188</v>
      </c>
      <c r="D20" s="48" t="s">
        <v>188</v>
      </c>
      <c r="E20" s="47"/>
      <c r="F20" s="47"/>
      <c r="G20" s="46">
        <f t="shared" si="3"/>
        <v>0</v>
      </c>
      <c r="H20" s="47"/>
      <c r="I20" s="47"/>
      <c r="J20" s="49">
        <f t="shared" si="4"/>
        <v>0</v>
      </c>
      <c r="K20" s="46">
        <f t="shared" si="5"/>
        <v>0</v>
      </c>
      <c r="L20" s="108"/>
      <c r="M20" s="49">
        <f t="shared" si="6"/>
        <v>183762.55990299987</v>
      </c>
      <c r="N20" s="104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</row>
    <row r="21" spans="1:34">
      <c r="A21" s="26">
        <v>18</v>
      </c>
      <c r="B21" s="27">
        <v>46099</v>
      </c>
      <c r="C21" s="47" t="s">
        <v>188</v>
      </c>
      <c r="D21" s="48" t="s">
        <v>188</v>
      </c>
      <c r="E21" s="47"/>
      <c r="F21" s="47"/>
      <c r="G21" s="46">
        <f t="shared" si="3"/>
        <v>0</v>
      </c>
      <c r="H21" s="47"/>
      <c r="I21" s="47"/>
      <c r="J21" s="49">
        <f t="shared" si="4"/>
        <v>0</v>
      </c>
      <c r="K21" s="46">
        <f t="shared" si="5"/>
        <v>0</v>
      </c>
      <c r="L21" s="108"/>
      <c r="M21" s="49">
        <f t="shared" si="6"/>
        <v>183762.55990299987</v>
      </c>
      <c r="N21" s="104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</row>
    <row r="22" spans="1:34">
      <c r="A22" s="26">
        <v>19</v>
      </c>
      <c r="B22" s="27">
        <v>46100</v>
      </c>
      <c r="C22" s="47" t="s">
        <v>188</v>
      </c>
      <c r="D22" s="48" t="s">
        <v>188</v>
      </c>
      <c r="E22" s="47"/>
      <c r="F22" s="47"/>
      <c r="G22" s="46">
        <f t="shared" si="3"/>
        <v>0</v>
      </c>
      <c r="H22" s="47"/>
      <c r="I22" s="47"/>
      <c r="J22" s="49">
        <f t="shared" si="4"/>
        <v>0</v>
      </c>
      <c r="K22" s="46">
        <f t="shared" si="5"/>
        <v>0</v>
      </c>
      <c r="L22" s="108"/>
      <c r="M22" s="49">
        <f t="shared" si="6"/>
        <v>183762.55990299987</v>
      </c>
      <c r="N22" s="104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</row>
    <row r="23" spans="1:34">
      <c r="A23" s="26">
        <v>20</v>
      </c>
      <c r="B23" s="27">
        <v>46101</v>
      </c>
      <c r="C23" s="47" t="s">
        <v>188</v>
      </c>
      <c r="D23" s="48" t="s">
        <v>188</v>
      </c>
      <c r="E23" s="47">
        <v>1000</v>
      </c>
      <c r="F23" s="47">
        <v>91.33</v>
      </c>
      <c r="G23" s="46">
        <f t="shared" si="3"/>
        <v>91330</v>
      </c>
      <c r="H23" s="47">
        <v>35</v>
      </c>
      <c r="I23" s="47">
        <v>103.27</v>
      </c>
      <c r="J23" s="49">
        <f t="shared" si="4"/>
        <v>3614.45</v>
      </c>
      <c r="K23" s="46">
        <f t="shared" si="5"/>
        <v>94944.45</v>
      </c>
      <c r="L23" s="108"/>
      <c r="M23" s="49">
        <f t="shared" si="6"/>
        <v>278707.00990299985</v>
      </c>
      <c r="N23" s="104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</row>
    <row r="24" spans="1:34">
      <c r="A24" s="26">
        <v>21</v>
      </c>
      <c r="B24" s="27">
        <v>46102</v>
      </c>
      <c r="C24" s="47" t="s">
        <v>188</v>
      </c>
      <c r="D24" s="48" t="s">
        <v>188</v>
      </c>
      <c r="E24" s="47"/>
      <c r="F24" s="47"/>
      <c r="G24" s="46">
        <f t="shared" si="3"/>
        <v>0</v>
      </c>
      <c r="H24" s="47"/>
      <c r="I24" s="47"/>
      <c r="J24" s="49">
        <f t="shared" si="4"/>
        <v>0</v>
      </c>
      <c r="K24" s="46">
        <f t="shared" si="5"/>
        <v>0</v>
      </c>
      <c r="L24" s="108"/>
      <c r="M24" s="49">
        <f t="shared" si="6"/>
        <v>278707.00990299985</v>
      </c>
      <c r="N24" s="104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</row>
    <row r="25" spans="1:34">
      <c r="A25" s="26">
        <v>22</v>
      </c>
      <c r="B25" s="27">
        <v>46103</v>
      </c>
      <c r="C25" s="47" t="s">
        <v>188</v>
      </c>
      <c r="D25" s="48" t="s">
        <v>188</v>
      </c>
      <c r="E25" s="47"/>
      <c r="F25" s="47"/>
      <c r="G25" s="46">
        <f t="shared" si="3"/>
        <v>0</v>
      </c>
      <c r="H25" s="47"/>
      <c r="I25" s="47"/>
      <c r="J25" s="49">
        <f t="shared" si="4"/>
        <v>0</v>
      </c>
      <c r="K25" s="46">
        <f t="shared" si="5"/>
        <v>0</v>
      </c>
      <c r="L25" s="108"/>
      <c r="M25" s="49">
        <f t="shared" si="6"/>
        <v>278707.00990299985</v>
      </c>
      <c r="N25" s="104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</row>
    <row r="26" spans="1:34">
      <c r="A26" s="26">
        <v>23</v>
      </c>
      <c r="B26" s="27">
        <v>46104</v>
      </c>
      <c r="C26" s="47" t="s">
        <v>188</v>
      </c>
      <c r="D26" s="48" t="s">
        <v>188</v>
      </c>
      <c r="E26" s="47"/>
      <c r="F26" s="47"/>
      <c r="G26" s="46">
        <f t="shared" si="3"/>
        <v>0</v>
      </c>
      <c r="H26" s="47"/>
      <c r="I26" s="47"/>
      <c r="J26" s="49">
        <f t="shared" si="4"/>
        <v>0</v>
      </c>
      <c r="K26" s="46">
        <f t="shared" si="5"/>
        <v>0</v>
      </c>
      <c r="L26" s="108"/>
      <c r="M26" s="49">
        <f t="shared" si="6"/>
        <v>278707.00990299985</v>
      </c>
      <c r="N26" s="104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</row>
    <row r="27" spans="1:34">
      <c r="A27" s="26">
        <v>24</v>
      </c>
      <c r="B27" s="27">
        <v>46105</v>
      </c>
      <c r="C27" s="47" t="s">
        <v>188</v>
      </c>
      <c r="D27" s="48" t="s">
        <v>188</v>
      </c>
      <c r="E27" s="47"/>
      <c r="F27" s="47"/>
      <c r="G27" s="46">
        <f t="shared" si="3"/>
        <v>0</v>
      </c>
      <c r="H27" s="47"/>
      <c r="I27" s="47"/>
      <c r="J27" s="49">
        <f t="shared" si="4"/>
        <v>0</v>
      </c>
      <c r="K27" s="46">
        <f t="shared" si="5"/>
        <v>0</v>
      </c>
      <c r="L27" s="108"/>
      <c r="M27" s="49">
        <f t="shared" si="6"/>
        <v>278707.00990299985</v>
      </c>
      <c r="N27" s="104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</row>
    <row r="28" spans="1:34">
      <c r="A28" s="26">
        <v>25</v>
      </c>
      <c r="B28" s="27">
        <v>46106</v>
      </c>
      <c r="C28" s="47"/>
      <c r="D28" s="48"/>
      <c r="E28" s="47">
        <v>1200</v>
      </c>
      <c r="F28" s="47">
        <v>91.33</v>
      </c>
      <c r="G28" s="46">
        <f t="shared" si="3"/>
        <v>109596</v>
      </c>
      <c r="H28" s="47">
        <v>35</v>
      </c>
      <c r="I28" s="47">
        <v>103.27</v>
      </c>
      <c r="J28" s="49">
        <f t="shared" si="4"/>
        <v>3614.45</v>
      </c>
      <c r="K28" s="46">
        <f t="shared" si="5"/>
        <v>113210.45</v>
      </c>
      <c r="L28" s="108"/>
      <c r="M28" s="49">
        <f t="shared" si="6"/>
        <v>391917.45990299986</v>
      </c>
      <c r="N28" s="104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</row>
    <row r="29" spans="1:34">
      <c r="A29" s="26">
        <v>26</v>
      </c>
      <c r="B29" s="27">
        <v>46106</v>
      </c>
      <c r="C29" s="47"/>
      <c r="D29" s="48"/>
      <c r="E29" s="47">
        <v>459.87</v>
      </c>
      <c r="F29" s="47">
        <v>91.33</v>
      </c>
      <c r="G29" s="46">
        <f t="shared" si="3"/>
        <v>41999.927100000001</v>
      </c>
      <c r="H29" s="47"/>
      <c r="I29" s="47"/>
      <c r="J29" s="49">
        <f t="shared" si="4"/>
        <v>0</v>
      </c>
      <c r="K29" s="46">
        <f t="shared" si="5"/>
        <v>41999.927100000001</v>
      </c>
      <c r="L29" s="46">
        <f t="shared" si="5"/>
        <v>41999.927100000001</v>
      </c>
      <c r="M29" s="49">
        <f t="shared" si="6"/>
        <v>391917.45990299992</v>
      </c>
      <c r="N29" s="104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</row>
    <row r="30" spans="1:34">
      <c r="A30" s="26">
        <v>27</v>
      </c>
      <c r="B30" s="27">
        <v>46107</v>
      </c>
      <c r="C30" s="47" t="s">
        <v>188</v>
      </c>
      <c r="D30" s="48" t="s">
        <v>188</v>
      </c>
      <c r="E30" s="47"/>
      <c r="F30" s="47"/>
      <c r="G30" s="46">
        <f t="shared" si="3"/>
        <v>0</v>
      </c>
      <c r="H30" s="47"/>
      <c r="I30" s="47"/>
      <c r="J30" s="49">
        <f t="shared" si="4"/>
        <v>0</v>
      </c>
      <c r="K30" s="46">
        <f t="shared" si="5"/>
        <v>0</v>
      </c>
      <c r="L30" s="108"/>
      <c r="M30" s="49">
        <f t="shared" si="6"/>
        <v>391917.45990299992</v>
      </c>
      <c r="N30" s="104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</row>
    <row r="31" spans="1:34">
      <c r="A31" s="26">
        <v>28</v>
      </c>
      <c r="B31" s="27">
        <v>46108</v>
      </c>
      <c r="C31" s="47" t="s">
        <v>188</v>
      </c>
      <c r="D31" s="48" t="s">
        <v>188</v>
      </c>
      <c r="E31" s="47"/>
      <c r="F31" s="47"/>
      <c r="G31" s="46">
        <f t="shared" si="3"/>
        <v>0</v>
      </c>
      <c r="H31" s="47"/>
      <c r="I31" s="47"/>
      <c r="J31" s="49">
        <f t="shared" si="4"/>
        <v>0</v>
      </c>
      <c r="K31" s="46">
        <f t="shared" si="5"/>
        <v>0</v>
      </c>
      <c r="L31" s="108"/>
      <c r="M31" s="49">
        <f t="shared" si="6"/>
        <v>391917.45990299992</v>
      </c>
      <c r="N31" s="104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</row>
    <row r="32" spans="1:34">
      <c r="A32" s="26">
        <v>29</v>
      </c>
      <c r="B32" s="27">
        <v>46109</v>
      </c>
      <c r="C32" s="47" t="s">
        <v>188</v>
      </c>
      <c r="D32" s="48" t="s">
        <v>188</v>
      </c>
      <c r="E32" s="47"/>
      <c r="F32" s="47"/>
      <c r="G32" s="46">
        <f t="shared" si="3"/>
        <v>0</v>
      </c>
      <c r="H32" s="47"/>
      <c r="I32" s="47"/>
      <c r="J32" s="49">
        <f t="shared" si="4"/>
        <v>0</v>
      </c>
      <c r="K32" s="46">
        <f t="shared" si="5"/>
        <v>0</v>
      </c>
      <c r="L32" s="108"/>
      <c r="M32" s="49">
        <f t="shared" si="6"/>
        <v>391917.45990299992</v>
      </c>
      <c r="N32" s="104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</row>
    <row r="33" spans="1:34">
      <c r="A33" s="26">
        <v>30</v>
      </c>
      <c r="B33" s="27">
        <v>46110</v>
      </c>
      <c r="C33" s="46"/>
      <c r="D33" s="48" t="s">
        <v>188</v>
      </c>
      <c r="E33" s="47"/>
      <c r="F33" s="47"/>
      <c r="G33" s="46">
        <f t="shared" si="3"/>
        <v>0</v>
      </c>
      <c r="H33" s="47"/>
      <c r="I33" s="47"/>
      <c r="J33" s="49">
        <f t="shared" si="4"/>
        <v>0</v>
      </c>
      <c r="K33" s="46">
        <f t="shared" si="5"/>
        <v>0</v>
      </c>
      <c r="L33" s="108"/>
      <c r="M33" s="49">
        <f t="shared" si="6"/>
        <v>391917.45990299992</v>
      </c>
      <c r="N33" s="104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</row>
    <row r="34" spans="1:34">
      <c r="A34" s="26">
        <v>31</v>
      </c>
      <c r="B34" s="27">
        <v>46111</v>
      </c>
      <c r="C34" s="46"/>
      <c r="D34" s="48" t="s">
        <v>188</v>
      </c>
      <c r="E34" s="47"/>
      <c r="F34" s="47"/>
      <c r="G34" s="46">
        <f t="shared" si="3"/>
        <v>0</v>
      </c>
      <c r="H34" s="47"/>
      <c r="I34" s="47"/>
      <c r="J34" s="49">
        <f t="shared" si="4"/>
        <v>0</v>
      </c>
      <c r="K34" s="46">
        <f t="shared" si="5"/>
        <v>0</v>
      </c>
      <c r="L34" s="108">
        <v>200000</v>
      </c>
      <c r="M34" s="49">
        <f t="shared" si="6"/>
        <v>191917.45990299992</v>
      </c>
      <c r="N34" s="104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</row>
    <row r="35" spans="1:34">
      <c r="A35" s="26">
        <v>32</v>
      </c>
      <c r="B35" s="27">
        <v>46112</v>
      </c>
      <c r="C35" s="46"/>
      <c r="D35" s="48" t="s">
        <v>188</v>
      </c>
      <c r="E35" s="47">
        <v>600</v>
      </c>
      <c r="F35" s="47">
        <v>91.33</v>
      </c>
      <c r="G35" s="46">
        <f t="shared" ref="G5:G36" si="8">E35*F35</f>
        <v>54798</v>
      </c>
      <c r="H35" s="47">
        <v>35</v>
      </c>
      <c r="I35" s="47">
        <v>103.27</v>
      </c>
      <c r="J35" s="49">
        <f t="shared" ref="J5:J35" si="9">H35*I35</f>
        <v>3614.45</v>
      </c>
      <c r="K35" s="46">
        <f t="shared" ref="K5:K36" si="10">G35+J35</f>
        <v>58412.45</v>
      </c>
      <c r="L35" s="108"/>
      <c r="M35" s="49">
        <f t="shared" si="6"/>
        <v>250329.90990299993</v>
      </c>
      <c r="N35" s="104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</row>
    <row r="36" spans="1:34">
      <c r="A36" s="26">
        <v>33</v>
      </c>
      <c r="B36" s="27"/>
      <c r="C36" s="46"/>
      <c r="D36" s="48" t="s">
        <v>188</v>
      </c>
      <c r="E36" s="47"/>
      <c r="F36" s="47"/>
      <c r="G36" s="46">
        <f t="shared" si="8"/>
        <v>0</v>
      </c>
      <c r="H36" s="47">
        <v>0</v>
      </c>
      <c r="I36" s="47">
        <v>0</v>
      </c>
      <c r="J36" s="49">
        <f t="shared" ref="J5:J36" si="11">H36*I36</f>
        <v>0</v>
      </c>
      <c r="K36" s="46">
        <f t="shared" si="10"/>
        <v>0</v>
      </c>
      <c r="L36" s="108"/>
      <c r="M36" s="49">
        <f t="shared" si="6"/>
        <v>250329.90990299993</v>
      </c>
      <c r="N36" s="104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</row>
    <row r="37" spans="1:34">
      <c r="A37" s="42"/>
      <c r="B37" s="42"/>
      <c r="C37" s="42"/>
      <c r="D37" s="42"/>
      <c r="E37" s="43">
        <f>SUM(E4:E36)</f>
        <v>8492.77</v>
      </c>
      <c r="F37" s="43"/>
      <c r="G37" s="43">
        <f>SUM(G4:G36)</f>
        <v>775644.68409999995</v>
      </c>
      <c r="H37" s="43">
        <f>SUM(H4:H36)</f>
        <v>245</v>
      </c>
      <c r="I37" s="43"/>
      <c r="J37" s="43">
        <f>SUM(J4:J36)</f>
        <v>25301.15</v>
      </c>
      <c r="K37" s="43">
        <f>SUM(K4:K36)</f>
        <v>800945.83409999986</v>
      </c>
      <c r="L37" s="43">
        <f>SUM(L4:L36)</f>
        <v>1081999.7271</v>
      </c>
      <c r="M37" s="43"/>
      <c r="N37" s="43"/>
      <c r="O37" s="33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spans="1:34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</row>
    <row r="39" spans="1:34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</row>
  </sheetData>
  <mergeCells count="2">
    <mergeCell ref="A1:N1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topLeftCell="A22" workbookViewId="0">
      <selection activeCell="R36" sqref="R36"/>
    </sheetView>
  </sheetViews>
  <sheetFormatPr defaultRowHeight="15"/>
  <cols>
    <col min="2" max="2" width="10.1406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6" max="16" width="10" customWidth="1"/>
  </cols>
  <sheetData>
    <row r="1" spans="1:14" ht="15.75" customHeight="1">
      <c r="A1" s="469" t="s">
        <v>91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</row>
    <row r="2" spans="1:14" ht="25.5">
      <c r="A2" s="103" t="s">
        <v>0</v>
      </c>
      <c r="B2" s="106" t="s">
        <v>161</v>
      </c>
      <c r="C2" s="106" t="s">
        <v>162</v>
      </c>
      <c r="D2" s="106" t="s">
        <v>163</v>
      </c>
      <c r="E2" s="106" t="s">
        <v>164</v>
      </c>
      <c r="F2" s="106" t="s">
        <v>165</v>
      </c>
      <c r="G2" s="106" t="s">
        <v>166</v>
      </c>
      <c r="H2" s="106" t="s">
        <v>167</v>
      </c>
      <c r="I2" s="106" t="s">
        <v>165</v>
      </c>
      <c r="J2" s="106" t="s">
        <v>166</v>
      </c>
      <c r="K2" s="106" t="s">
        <v>168</v>
      </c>
      <c r="L2" s="106" t="s">
        <v>169</v>
      </c>
      <c r="M2" s="106" t="s">
        <v>181</v>
      </c>
      <c r="N2" s="106" t="s">
        <v>171</v>
      </c>
    </row>
    <row r="3" spans="1:14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8"/>
      <c r="K3">
        <v>197359.39999999991</v>
      </c>
      <c r="L3" s="150"/>
      <c r="M3" s="150">
        <v>197359.39999999991</v>
      </c>
      <c r="N3" s="107"/>
    </row>
    <row r="4" spans="1:14">
      <c r="A4" s="26">
        <v>1</v>
      </c>
      <c r="B4" s="27">
        <v>46082</v>
      </c>
      <c r="C4" s="107">
        <v>0</v>
      </c>
      <c r="D4" s="121"/>
      <c r="E4" s="36"/>
      <c r="F4" s="36"/>
      <c r="G4" s="36">
        <f>E4*F4</f>
        <v>0</v>
      </c>
      <c r="H4" s="122"/>
      <c r="I4" s="122"/>
      <c r="J4" s="36">
        <f>H4*I4</f>
        <v>0</v>
      </c>
      <c r="K4" s="36">
        <f>G4+J4</f>
        <v>0</v>
      </c>
      <c r="L4" s="36"/>
      <c r="M4" s="36">
        <f t="shared" ref="M4:M33" si="0">M3+K4-L4</f>
        <v>197359.39999999991</v>
      </c>
      <c r="N4" s="44"/>
    </row>
    <row r="5" spans="1:14">
      <c r="A5" s="26">
        <v>2</v>
      </c>
      <c r="B5" s="27">
        <v>46083</v>
      </c>
      <c r="C5" s="107">
        <v>0</v>
      </c>
      <c r="D5" s="121"/>
      <c r="E5" s="36"/>
      <c r="F5" s="36"/>
      <c r="G5" s="36">
        <f t="shared" ref="G5:G31" si="1">E5*F5</f>
        <v>0</v>
      </c>
      <c r="H5" s="122"/>
      <c r="I5" s="122"/>
      <c r="J5" s="36">
        <f t="shared" ref="J5:J31" si="2">H5*I5</f>
        <v>0</v>
      </c>
      <c r="K5" s="36">
        <f t="shared" ref="K5:K31" si="3">G5+J5</f>
        <v>0</v>
      </c>
      <c r="L5" s="36"/>
      <c r="M5" s="36">
        <f t="shared" si="0"/>
        <v>197359.39999999991</v>
      </c>
      <c r="N5" s="44"/>
    </row>
    <row r="6" spans="1:14">
      <c r="A6" s="26">
        <v>3</v>
      </c>
      <c r="B6" s="27">
        <v>46084</v>
      </c>
      <c r="C6" s="107">
        <v>0</v>
      </c>
      <c r="D6" s="121"/>
      <c r="E6" s="36"/>
      <c r="F6" s="36"/>
      <c r="G6" s="36">
        <f t="shared" si="1"/>
        <v>0</v>
      </c>
      <c r="H6" s="122"/>
      <c r="I6" s="122"/>
      <c r="J6" s="36">
        <f t="shared" si="2"/>
        <v>0</v>
      </c>
      <c r="K6" s="36">
        <f t="shared" si="3"/>
        <v>0</v>
      </c>
      <c r="L6" s="36"/>
      <c r="M6" s="36">
        <f t="shared" si="0"/>
        <v>197359.39999999991</v>
      </c>
      <c r="N6" s="44"/>
    </row>
    <row r="7" spans="1:14">
      <c r="A7" s="26">
        <v>4</v>
      </c>
      <c r="B7" s="27">
        <v>46085</v>
      </c>
      <c r="C7" s="107">
        <v>0</v>
      </c>
      <c r="D7" s="121"/>
      <c r="E7" s="36"/>
      <c r="F7" s="36"/>
      <c r="G7" s="36">
        <f t="shared" si="1"/>
        <v>0</v>
      </c>
      <c r="H7" s="122"/>
      <c r="I7" s="122"/>
      <c r="J7" s="36">
        <f t="shared" si="2"/>
        <v>0</v>
      </c>
      <c r="K7" s="36">
        <f t="shared" si="3"/>
        <v>0</v>
      </c>
      <c r="L7" s="36"/>
      <c r="M7" s="36">
        <f t="shared" si="0"/>
        <v>197359.39999999991</v>
      </c>
      <c r="N7" s="44"/>
    </row>
    <row r="8" spans="1:14">
      <c r="A8" s="26">
        <v>5</v>
      </c>
      <c r="B8" s="27">
        <v>46086</v>
      </c>
      <c r="C8" s="107">
        <v>0</v>
      </c>
      <c r="D8" s="121"/>
      <c r="E8" s="36"/>
      <c r="F8" s="36"/>
      <c r="G8" s="36">
        <f t="shared" si="1"/>
        <v>0</v>
      </c>
      <c r="H8" s="122"/>
      <c r="I8" s="122"/>
      <c r="J8" s="36">
        <f t="shared" si="2"/>
        <v>0</v>
      </c>
      <c r="K8" s="36">
        <f t="shared" si="3"/>
        <v>0</v>
      </c>
      <c r="L8" s="36"/>
      <c r="M8" s="36">
        <f t="shared" si="0"/>
        <v>197359.39999999991</v>
      </c>
      <c r="N8" s="44"/>
    </row>
    <row r="9" spans="1:14">
      <c r="A9" s="26">
        <v>6</v>
      </c>
      <c r="B9" s="27">
        <v>46087</v>
      </c>
      <c r="C9" s="107">
        <v>0</v>
      </c>
      <c r="D9" s="121"/>
      <c r="E9" s="36">
        <v>1400</v>
      </c>
      <c r="F9" s="36">
        <v>91.55</v>
      </c>
      <c r="G9" s="36">
        <f t="shared" si="1"/>
        <v>128170</v>
      </c>
      <c r="H9" s="122">
        <v>70</v>
      </c>
      <c r="I9" s="122">
        <v>103.73</v>
      </c>
      <c r="J9" s="36">
        <f t="shared" si="2"/>
        <v>7261.1</v>
      </c>
      <c r="K9" s="36">
        <f t="shared" si="3"/>
        <v>135431.1</v>
      </c>
      <c r="L9" s="36"/>
      <c r="M9" s="36">
        <f t="shared" si="0"/>
        <v>332790.49999999988</v>
      </c>
      <c r="N9" s="44"/>
    </row>
    <row r="10" spans="1:14">
      <c r="A10" s="26">
        <v>7</v>
      </c>
      <c r="B10" s="27">
        <v>46088</v>
      </c>
      <c r="C10" s="107">
        <v>0</v>
      </c>
      <c r="D10" s="121"/>
      <c r="E10" s="36"/>
      <c r="F10" s="36"/>
      <c r="G10" s="36">
        <f t="shared" si="1"/>
        <v>0</v>
      </c>
      <c r="H10" s="122"/>
      <c r="I10" s="122"/>
      <c r="J10" s="36">
        <f t="shared" si="2"/>
        <v>0</v>
      </c>
      <c r="K10" s="36">
        <f t="shared" si="3"/>
        <v>0</v>
      </c>
      <c r="L10" s="36"/>
      <c r="M10" s="36">
        <f t="shared" si="0"/>
        <v>332790.49999999988</v>
      </c>
      <c r="N10" s="44"/>
    </row>
    <row r="11" spans="1:14">
      <c r="A11" s="26">
        <v>8</v>
      </c>
      <c r="B11" s="27">
        <v>46089</v>
      </c>
      <c r="C11" s="107">
        <v>0</v>
      </c>
      <c r="D11" s="121"/>
      <c r="E11" s="36"/>
      <c r="F11" s="36"/>
      <c r="G11" s="36">
        <f t="shared" si="1"/>
        <v>0</v>
      </c>
      <c r="H11" s="122"/>
      <c r="I11" s="122"/>
      <c r="J11" s="36">
        <f t="shared" si="2"/>
        <v>0</v>
      </c>
      <c r="K11" s="36">
        <f t="shared" si="3"/>
        <v>0</v>
      </c>
      <c r="L11" s="36"/>
      <c r="M11" s="36">
        <f t="shared" si="0"/>
        <v>332790.49999999988</v>
      </c>
      <c r="N11" s="44"/>
    </row>
    <row r="12" spans="1:14">
      <c r="A12" s="26">
        <v>9</v>
      </c>
      <c r="B12" s="27">
        <v>46090</v>
      </c>
      <c r="C12" s="107">
        <v>0</v>
      </c>
      <c r="D12" s="121"/>
      <c r="E12" s="36"/>
      <c r="F12" s="36"/>
      <c r="G12" s="36">
        <f t="shared" si="1"/>
        <v>0</v>
      </c>
      <c r="H12" s="122"/>
      <c r="I12" s="122"/>
      <c r="J12" s="36">
        <f t="shared" si="2"/>
        <v>0</v>
      </c>
      <c r="K12" s="36">
        <f t="shared" si="3"/>
        <v>0</v>
      </c>
      <c r="L12" s="36"/>
      <c r="M12" s="36">
        <f t="shared" si="0"/>
        <v>332790.49999999988</v>
      </c>
      <c r="N12" s="44"/>
    </row>
    <row r="13" spans="1:14">
      <c r="A13" s="26">
        <v>10</v>
      </c>
      <c r="B13" s="27">
        <v>46091</v>
      </c>
      <c r="C13" s="107">
        <v>0</v>
      </c>
      <c r="D13" s="121"/>
      <c r="E13" s="36"/>
      <c r="F13" s="36"/>
      <c r="G13" s="36">
        <f t="shared" si="1"/>
        <v>0</v>
      </c>
      <c r="H13" s="122"/>
      <c r="I13" s="122"/>
      <c r="J13" s="36">
        <f t="shared" si="2"/>
        <v>0</v>
      </c>
      <c r="K13" s="36">
        <f t="shared" si="3"/>
        <v>0</v>
      </c>
      <c r="L13" s="36"/>
      <c r="M13" s="36">
        <f t="shared" si="0"/>
        <v>332790.49999999988</v>
      </c>
      <c r="N13" s="44"/>
    </row>
    <row r="14" spans="1:14">
      <c r="A14" s="26">
        <v>11</v>
      </c>
      <c r="B14" s="27">
        <v>46092</v>
      </c>
      <c r="C14" s="107">
        <v>0</v>
      </c>
      <c r="D14" s="121"/>
      <c r="E14" s="36"/>
      <c r="F14" s="36"/>
      <c r="G14" s="36">
        <f t="shared" si="1"/>
        <v>0</v>
      </c>
      <c r="H14" s="122"/>
      <c r="I14" s="122"/>
      <c r="J14" s="36">
        <f t="shared" si="2"/>
        <v>0</v>
      </c>
      <c r="K14" s="36">
        <f t="shared" si="3"/>
        <v>0</v>
      </c>
      <c r="L14" s="36"/>
      <c r="M14" s="36">
        <f t="shared" si="0"/>
        <v>332790.49999999988</v>
      </c>
      <c r="N14" s="44"/>
    </row>
    <row r="15" spans="1:14">
      <c r="A15" s="26">
        <v>12</v>
      </c>
      <c r="B15" s="27">
        <v>46093</v>
      </c>
      <c r="C15" s="107">
        <v>0</v>
      </c>
      <c r="D15" s="121"/>
      <c r="E15" s="36"/>
      <c r="F15" s="36"/>
      <c r="G15" s="36">
        <f t="shared" si="1"/>
        <v>0</v>
      </c>
      <c r="H15" s="122"/>
      <c r="I15" s="122"/>
      <c r="J15" s="36">
        <f t="shared" si="2"/>
        <v>0</v>
      </c>
      <c r="K15" s="36">
        <f t="shared" si="3"/>
        <v>0</v>
      </c>
      <c r="L15" s="36"/>
      <c r="M15" s="36">
        <f t="shared" si="0"/>
        <v>332790.49999999988</v>
      </c>
      <c r="N15" s="44"/>
    </row>
    <row r="16" spans="1:14">
      <c r="A16" s="26">
        <v>13</v>
      </c>
      <c r="B16" s="27">
        <v>46094</v>
      </c>
      <c r="C16" s="107">
        <v>0</v>
      </c>
      <c r="D16" s="121"/>
      <c r="E16" s="36"/>
      <c r="F16" s="36"/>
      <c r="G16" s="36">
        <f t="shared" si="1"/>
        <v>0</v>
      </c>
      <c r="H16" s="122"/>
      <c r="I16" s="122"/>
      <c r="J16" s="36">
        <f t="shared" si="2"/>
        <v>0</v>
      </c>
      <c r="K16" s="36">
        <f t="shared" si="3"/>
        <v>0</v>
      </c>
      <c r="L16" s="36">
        <v>200000</v>
      </c>
      <c r="M16" s="36">
        <f t="shared" si="0"/>
        <v>132790.49999999988</v>
      </c>
      <c r="N16" s="44"/>
    </row>
    <row r="17" spans="1:14">
      <c r="A17" s="26">
        <v>14</v>
      </c>
      <c r="B17" s="27">
        <v>46095</v>
      </c>
      <c r="C17" s="107">
        <v>0</v>
      </c>
      <c r="D17" s="121"/>
      <c r="E17" s="36">
        <v>1800</v>
      </c>
      <c r="F17" s="36">
        <v>91.55</v>
      </c>
      <c r="G17" s="36">
        <f t="shared" si="1"/>
        <v>164790</v>
      </c>
      <c r="H17" s="122">
        <v>70</v>
      </c>
      <c r="I17" s="122">
        <v>103.73</v>
      </c>
      <c r="J17" s="36">
        <f t="shared" si="2"/>
        <v>7261.1</v>
      </c>
      <c r="K17" s="36">
        <f t="shared" si="3"/>
        <v>172051.1</v>
      </c>
      <c r="L17" s="36"/>
      <c r="M17" s="36">
        <f t="shared" si="0"/>
        <v>304841.59999999986</v>
      </c>
      <c r="N17" s="44"/>
    </row>
    <row r="18" spans="1:14">
      <c r="A18" s="26">
        <v>15</v>
      </c>
      <c r="B18" s="27">
        <v>46096</v>
      </c>
      <c r="C18" s="107">
        <v>0</v>
      </c>
      <c r="D18" s="121"/>
      <c r="E18" s="36"/>
      <c r="F18" s="36"/>
      <c r="G18" s="36">
        <f t="shared" si="1"/>
        <v>0</v>
      </c>
      <c r="H18" s="122"/>
      <c r="I18" s="122"/>
      <c r="J18" s="36">
        <f t="shared" si="2"/>
        <v>0</v>
      </c>
      <c r="K18" s="36">
        <f t="shared" si="3"/>
        <v>0</v>
      </c>
      <c r="L18" s="36"/>
      <c r="M18" s="36">
        <f t="shared" si="0"/>
        <v>304841.59999999986</v>
      </c>
      <c r="N18" s="44"/>
    </row>
    <row r="19" spans="1:14">
      <c r="A19" s="26">
        <v>16</v>
      </c>
      <c r="B19" s="27">
        <v>46097</v>
      </c>
      <c r="C19" s="107">
        <v>0</v>
      </c>
      <c r="D19" s="121"/>
      <c r="E19" s="36"/>
      <c r="F19" s="36"/>
      <c r="G19" s="36">
        <f t="shared" si="1"/>
        <v>0</v>
      </c>
      <c r="H19" s="122"/>
      <c r="I19" s="122"/>
      <c r="J19" s="36">
        <f t="shared" si="2"/>
        <v>0</v>
      </c>
      <c r="K19" s="36">
        <f t="shared" si="3"/>
        <v>0</v>
      </c>
      <c r="L19" s="36"/>
      <c r="M19" s="36">
        <f t="shared" si="0"/>
        <v>304841.59999999986</v>
      </c>
      <c r="N19" s="44"/>
    </row>
    <row r="20" spans="1:14">
      <c r="A20" s="26">
        <v>17</v>
      </c>
      <c r="B20" s="27">
        <v>46098</v>
      </c>
      <c r="C20" s="107">
        <v>0</v>
      </c>
      <c r="D20" s="121"/>
      <c r="E20" s="36"/>
      <c r="F20" s="36"/>
      <c r="G20" s="36">
        <f t="shared" si="1"/>
        <v>0</v>
      </c>
      <c r="H20" s="122"/>
      <c r="I20" s="122"/>
      <c r="J20" s="36">
        <f t="shared" si="2"/>
        <v>0</v>
      </c>
      <c r="K20" s="36">
        <f t="shared" si="3"/>
        <v>0</v>
      </c>
      <c r="L20" s="36"/>
      <c r="M20" s="36">
        <f t="shared" si="0"/>
        <v>304841.59999999986</v>
      </c>
      <c r="N20" s="44"/>
    </row>
    <row r="21" spans="1:14">
      <c r="A21" s="26">
        <v>18</v>
      </c>
      <c r="B21" s="27">
        <v>46099</v>
      </c>
      <c r="C21" s="107">
        <v>0</v>
      </c>
      <c r="D21" s="121"/>
      <c r="E21" s="36"/>
      <c r="F21" s="36"/>
      <c r="G21" s="36">
        <f t="shared" si="1"/>
        <v>0</v>
      </c>
      <c r="H21" s="122"/>
      <c r="I21" s="122"/>
      <c r="J21" s="36">
        <f t="shared" si="2"/>
        <v>0</v>
      </c>
      <c r="K21" s="36">
        <f t="shared" si="3"/>
        <v>0</v>
      </c>
      <c r="L21" s="36"/>
      <c r="M21" s="36">
        <f t="shared" si="0"/>
        <v>304841.59999999986</v>
      </c>
      <c r="N21" s="44"/>
    </row>
    <row r="22" spans="1:14">
      <c r="A22" s="26">
        <v>19</v>
      </c>
      <c r="B22" s="27">
        <v>46100</v>
      </c>
      <c r="C22" s="107">
        <v>0</v>
      </c>
      <c r="D22" s="121"/>
      <c r="E22" s="36"/>
      <c r="F22" s="36"/>
      <c r="G22" s="36">
        <f t="shared" si="1"/>
        <v>0</v>
      </c>
      <c r="H22" s="122"/>
      <c r="I22" s="122"/>
      <c r="J22" s="36">
        <f t="shared" si="2"/>
        <v>0</v>
      </c>
      <c r="K22" s="36">
        <f t="shared" si="3"/>
        <v>0</v>
      </c>
      <c r="L22" s="36"/>
      <c r="M22" s="36">
        <f t="shared" si="0"/>
        <v>304841.59999999986</v>
      </c>
      <c r="N22" s="44"/>
    </row>
    <row r="23" spans="1:14">
      <c r="A23" s="26">
        <v>20</v>
      </c>
      <c r="B23" s="27">
        <v>46101</v>
      </c>
      <c r="C23" s="107">
        <v>0</v>
      </c>
      <c r="D23" s="121"/>
      <c r="E23" s="36"/>
      <c r="F23" s="36"/>
      <c r="G23" s="36">
        <f t="shared" si="1"/>
        <v>0</v>
      </c>
      <c r="H23" s="122"/>
      <c r="I23" s="122"/>
      <c r="J23" s="36">
        <f t="shared" si="2"/>
        <v>0</v>
      </c>
      <c r="K23" s="36">
        <f t="shared" si="3"/>
        <v>0</v>
      </c>
      <c r="L23" s="36"/>
      <c r="M23" s="36">
        <f t="shared" si="0"/>
        <v>304841.59999999986</v>
      </c>
      <c r="N23" s="44"/>
    </row>
    <row r="24" spans="1:14">
      <c r="A24" s="26">
        <v>21</v>
      </c>
      <c r="B24" s="27">
        <v>46102</v>
      </c>
      <c r="C24" s="107">
        <v>0</v>
      </c>
      <c r="D24" s="121"/>
      <c r="E24" s="36"/>
      <c r="F24" s="36"/>
      <c r="G24" s="36">
        <f t="shared" si="1"/>
        <v>0</v>
      </c>
      <c r="H24" s="122"/>
      <c r="I24" s="122"/>
      <c r="J24" s="36">
        <f t="shared" si="2"/>
        <v>0</v>
      </c>
      <c r="K24" s="36">
        <f t="shared" si="3"/>
        <v>0</v>
      </c>
      <c r="L24" s="36"/>
      <c r="M24" s="36">
        <f t="shared" si="0"/>
        <v>304841.59999999986</v>
      </c>
      <c r="N24" s="44"/>
    </row>
    <row r="25" spans="1:14">
      <c r="A25" s="26">
        <v>22</v>
      </c>
      <c r="B25" s="27">
        <v>46103</v>
      </c>
      <c r="C25" s="107">
        <v>0</v>
      </c>
      <c r="D25" s="121"/>
      <c r="E25" s="36"/>
      <c r="F25" s="36"/>
      <c r="G25" s="36">
        <f t="shared" si="1"/>
        <v>0</v>
      </c>
      <c r="H25" s="122"/>
      <c r="I25" s="122"/>
      <c r="J25" s="36">
        <f t="shared" si="2"/>
        <v>0</v>
      </c>
      <c r="K25" s="36">
        <f t="shared" si="3"/>
        <v>0</v>
      </c>
      <c r="L25" s="36"/>
      <c r="M25" s="36">
        <f t="shared" si="0"/>
        <v>304841.59999999986</v>
      </c>
      <c r="N25" s="44"/>
    </row>
    <row r="26" spans="1:14">
      <c r="A26" s="26">
        <v>23</v>
      </c>
      <c r="B26" s="27">
        <v>46104</v>
      </c>
      <c r="C26" s="107">
        <v>0</v>
      </c>
      <c r="D26" s="121"/>
      <c r="E26" s="36"/>
      <c r="F26" s="36"/>
      <c r="G26" s="36">
        <f t="shared" si="1"/>
        <v>0</v>
      </c>
      <c r="H26" s="122">
        <v>70</v>
      </c>
      <c r="I26" s="122">
        <v>103.73</v>
      </c>
      <c r="J26" s="36">
        <f t="shared" si="2"/>
        <v>7261.1</v>
      </c>
      <c r="K26" s="36">
        <f t="shared" si="3"/>
        <v>7261.1</v>
      </c>
      <c r="L26" s="36"/>
      <c r="M26" s="36">
        <f t="shared" si="0"/>
        <v>312102.69999999984</v>
      </c>
      <c r="N26" s="44"/>
    </row>
    <row r="27" spans="1:14">
      <c r="A27" s="26">
        <v>24</v>
      </c>
      <c r="B27" s="27">
        <v>46105</v>
      </c>
      <c r="C27" s="107">
        <v>0</v>
      </c>
      <c r="D27" s="121"/>
      <c r="E27" s="36"/>
      <c r="F27" s="36"/>
      <c r="G27" s="36">
        <f t="shared" si="1"/>
        <v>0</v>
      </c>
      <c r="H27" s="122"/>
      <c r="I27" s="122"/>
      <c r="J27" s="36">
        <f t="shared" si="2"/>
        <v>0</v>
      </c>
      <c r="K27" s="36">
        <f t="shared" si="3"/>
        <v>0</v>
      </c>
      <c r="L27" s="36"/>
      <c r="M27" s="36">
        <f t="shared" si="0"/>
        <v>312102.69999999984</v>
      </c>
      <c r="N27" s="44"/>
    </row>
    <row r="28" spans="1:14">
      <c r="A28" s="26">
        <v>25</v>
      </c>
      <c r="B28" s="27">
        <v>46106</v>
      </c>
      <c r="C28" s="107">
        <v>0</v>
      </c>
      <c r="D28" s="121"/>
      <c r="E28" s="36"/>
      <c r="F28" s="36"/>
      <c r="G28" s="36">
        <f t="shared" si="1"/>
        <v>0</v>
      </c>
      <c r="H28" s="122"/>
      <c r="I28" s="122"/>
      <c r="J28" s="36">
        <f t="shared" si="2"/>
        <v>0</v>
      </c>
      <c r="K28" s="36">
        <f t="shared" si="3"/>
        <v>0</v>
      </c>
      <c r="L28" s="36"/>
      <c r="M28" s="36">
        <f t="shared" si="0"/>
        <v>312102.69999999984</v>
      </c>
      <c r="N28" s="44"/>
    </row>
    <row r="29" spans="1:14">
      <c r="A29" s="26">
        <v>26</v>
      </c>
      <c r="B29" s="27">
        <v>46107</v>
      </c>
      <c r="C29" s="107">
        <v>0</v>
      </c>
      <c r="D29" s="121"/>
      <c r="E29" s="36">
        <v>1000</v>
      </c>
      <c r="F29" s="36">
        <v>91.55</v>
      </c>
      <c r="G29" s="36">
        <f t="shared" ref="G29:G30" si="4">E29*F29</f>
        <v>91550</v>
      </c>
      <c r="H29" s="122">
        <v>35</v>
      </c>
      <c r="I29" s="122">
        <v>103.73</v>
      </c>
      <c r="J29" s="36">
        <f t="shared" ref="J29:J30" si="5">H29*I29</f>
        <v>3630.55</v>
      </c>
      <c r="K29" s="36">
        <f t="shared" ref="K29:K30" si="6">G29+J29</f>
        <v>95180.55</v>
      </c>
      <c r="L29" s="36"/>
      <c r="M29" s="36">
        <f t="shared" si="0"/>
        <v>407283.24999999983</v>
      </c>
      <c r="N29" s="44"/>
    </row>
    <row r="30" spans="1:14">
      <c r="A30" s="26">
        <v>27</v>
      </c>
      <c r="B30" s="27">
        <v>46108</v>
      </c>
      <c r="C30" s="107">
        <v>0</v>
      </c>
      <c r="D30" s="121"/>
      <c r="E30" s="36">
        <v>0</v>
      </c>
      <c r="F30" s="36">
        <v>0</v>
      </c>
      <c r="G30" s="36">
        <f t="shared" si="4"/>
        <v>0</v>
      </c>
      <c r="H30" s="122">
        <v>0</v>
      </c>
      <c r="I30" s="122">
        <v>0</v>
      </c>
      <c r="J30" s="36">
        <f t="shared" si="5"/>
        <v>0</v>
      </c>
      <c r="K30" s="36">
        <f t="shared" si="6"/>
        <v>0</v>
      </c>
      <c r="L30" s="36">
        <v>300000</v>
      </c>
      <c r="M30" s="36">
        <f t="shared" si="0"/>
        <v>107283.24999999983</v>
      </c>
      <c r="N30" s="44"/>
    </row>
    <row r="31" spans="1:14">
      <c r="A31" s="26">
        <v>28</v>
      </c>
      <c r="B31" s="27">
        <v>46109</v>
      </c>
      <c r="C31" s="107">
        <v>0</v>
      </c>
      <c r="D31" s="121"/>
      <c r="E31" s="36"/>
      <c r="F31" s="36"/>
      <c r="G31" s="36">
        <f t="shared" si="1"/>
        <v>0</v>
      </c>
      <c r="H31" s="122"/>
      <c r="I31" s="122"/>
      <c r="J31" s="36">
        <f t="shared" si="2"/>
        <v>0</v>
      </c>
      <c r="K31" s="36">
        <f t="shared" si="3"/>
        <v>0</v>
      </c>
      <c r="L31" s="36"/>
      <c r="M31" s="36">
        <f t="shared" si="0"/>
        <v>107283.24999999983</v>
      </c>
      <c r="N31" s="44"/>
    </row>
    <row r="32" spans="1:14">
      <c r="A32" s="26">
        <v>29</v>
      </c>
      <c r="B32" s="27">
        <v>46110</v>
      </c>
      <c r="C32" s="107">
        <v>0</v>
      </c>
      <c r="D32" s="121"/>
      <c r="E32" s="36">
        <v>1000.15</v>
      </c>
      <c r="F32" s="36">
        <v>91.5</v>
      </c>
      <c r="G32" s="36">
        <f t="shared" ref="G5:G33" si="7">E32*F32</f>
        <v>91513.724999999991</v>
      </c>
      <c r="H32" s="122"/>
      <c r="I32" s="122"/>
      <c r="J32" s="36">
        <f t="shared" ref="J5:J33" si="8">H32*I32</f>
        <v>0</v>
      </c>
      <c r="K32" s="36">
        <f t="shared" ref="K5:K33" si="9">G32+J32</f>
        <v>91513.724999999991</v>
      </c>
      <c r="L32" s="36"/>
      <c r="M32" s="36">
        <f t="shared" si="0"/>
        <v>198796.9749999998</v>
      </c>
      <c r="N32" s="44"/>
    </row>
    <row r="33" spans="1:14">
      <c r="A33" s="26">
        <v>30</v>
      </c>
      <c r="B33" s="27">
        <v>46111</v>
      </c>
      <c r="C33" s="107">
        <v>0</v>
      </c>
      <c r="D33" s="121"/>
      <c r="E33" s="36"/>
      <c r="F33" s="36"/>
      <c r="G33" s="36">
        <f t="shared" si="7"/>
        <v>0</v>
      </c>
      <c r="H33" s="122"/>
      <c r="I33" s="122"/>
      <c r="J33" s="36">
        <f t="shared" si="8"/>
        <v>0</v>
      </c>
      <c r="K33" s="36">
        <f t="shared" si="9"/>
        <v>0</v>
      </c>
      <c r="L33" s="36">
        <v>0</v>
      </c>
      <c r="M33" s="36">
        <f t="shared" si="0"/>
        <v>198796.9749999998</v>
      </c>
      <c r="N33" s="44"/>
    </row>
    <row r="34" spans="1:14">
      <c r="A34" s="26">
        <v>31</v>
      </c>
      <c r="B34" s="27">
        <v>46112</v>
      </c>
      <c r="C34" s="107"/>
      <c r="D34" s="121"/>
      <c r="E34" s="36"/>
      <c r="F34" s="36"/>
      <c r="G34" s="36"/>
      <c r="H34" s="122"/>
      <c r="I34" s="122"/>
      <c r="J34" s="36"/>
      <c r="K34" s="36"/>
      <c r="L34" s="36"/>
      <c r="M34" s="36"/>
      <c r="N34" s="44"/>
    </row>
    <row r="35" spans="1:14">
      <c r="A35" s="42"/>
      <c r="B35" s="42"/>
      <c r="C35" s="42"/>
      <c r="D35" s="42"/>
      <c r="E35" s="43">
        <f>SUM(E4:E34)</f>
        <v>5200.1499999999996</v>
      </c>
      <c r="F35" s="43"/>
      <c r="G35" s="43">
        <f>SUM(G4:G34)</f>
        <v>476023.72499999998</v>
      </c>
      <c r="H35" s="43">
        <f>SUM(H4:H34)</f>
        <v>245</v>
      </c>
      <c r="I35" s="43"/>
      <c r="J35" s="43">
        <f>SUM(J4:J34)</f>
        <v>25413.850000000002</v>
      </c>
      <c r="K35" s="43">
        <f>SUM(K4:K34)</f>
        <v>501437.57499999995</v>
      </c>
      <c r="L35" s="43">
        <f>SUM(L4:L34)</f>
        <v>500000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U23" activePane="bottomLeft" state="frozen"/>
      <selection pane="bottomLeft" activeCell="L31" sqref="L31:M31"/>
    </sheetView>
  </sheetViews>
  <sheetFormatPr defaultColWidth="9.28515625" defaultRowHeight="15"/>
  <cols>
    <col min="1" max="1" width="5.42578125" style="51" bestFit="1" customWidth="1"/>
    <col min="2" max="2" width="11" style="51" bestFit="1" customWidth="1"/>
    <col min="3" max="3" width="7.140625" style="51" bestFit="1" customWidth="1"/>
    <col min="4" max="4" width="15.140625" style="51" bestFit="1" customWidth="1"/>
    <col min="5" max="5" width="9.28515625" style="51"/>
    <col min="6" max="6" width="9.85546875" style="51" bestFit="1" customWidth="1"/>
    <col min="7" max="7" width="10.42578125" style="51" bestFit="1" customWidth="1"/>
    <col min="8" max="8" width="9.28515625" style="51"/>
    <col min="9" max="9" width="7.140625" style="51" bestFit="1" customWidth="1"/>
    <col min="10" max="10" width="9.5703125" style="51" bestFit="1" customWidth="1"/>
    <col min="11" max="11" width="12.28515625" style="51" customWidth="1"/>
    <col min="12" max="12" width="11.7109375" style="51" bestFit="1" customWidth="1"/>
    <col min="13" max="13" width="11.7109375" style="51" customWidth="1"/>
    <col min="14" max="14" width="17.7109375" style="51" bestFit="1" customWidth="1"/>
    <col min="15" max="16384" width="9.28515625" style="51"/>
  </cols>
  <sheetData>
    <row r="1" spans="1:15" ht="15.75">
      <c r="A1" s="470" t="s">
        <v>97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15" ht="25.5">
      <c r="A2" s="87" t="s">
        <v>0</v>
      </c>
      <c r="B2" s="88" t="s">
        <v>161</v>
      </c>
      <c r="C2" s="88" t="s">
        <v>162</v>
      </c>
      <c r="D2" s="88" t="s">
        <v>163</v>
      </c>
      <c r="E2" s="88" t="s">
        <v>164</v>
      </c>
      <c r="F2" s="88" t="s">
        <v>165</v>
      </c>
      <c r="G2" s="88" t="s">
        <v>166</v>
      </c>
      <c r="H2" s="88" t="s">
        <v>167</v>
      </c>
      <c r="I2" s="88" t="s">
        <v>165</v>
      </c>
      <c r="J2" s="112" t="s">
        <v>166</v>
      </c>
      <c r="K2" s="114" t="s">
        <v>168</v>
      </c>
      <c r="L2" s="115" t="s">
        <v>169</v>
      </c>
      <c r="M2" s="116" t="s">
        <v>181</v>
      </c>
      <c r="N2" s="89" t="s">
        <v>171</v>
      </c>
      <c r="O2" s="33"/>
    </row>
    <row r="3" spans="1:15" ht="15.75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8"/>
      <c r="K3" s="52">
        <v>6935.9500000000116</v>
      </c>
      <c r="L3" s="123"/>
      <c r="M3" s="120">
        <v>6935.9500000000116</v>
      </c>
      <c r="N3" s="50"/>
    </row>
    <row r="4" spans="1:15" ht="15.75">
      <c r="A4" s="26">
        <v>1</v>
      </c>
      <c r="B4" s="27">
        <v>46082</v>
      </c>
      <c r="C4" s="118"/>
      <c r="D4" s="119"/>
      <c r="E4" s="79"/>
      <c r="F4" s="117"/>
      <c r="G4" s="117">
        <f>E4*F4</f>
        <v>0</v>
      </c>
      <c r="H4" s="117"/>
      <c r="I4" s="117"/>
      <c r="J4" s="117">
        <f>H4*I4</f>
        <v>0</v>
      </c>
      <c r="K4" s="117">
        <f>G4+J4</f>
        <v>0</v>
      </c>
      <c r="L4" s="117"/>
      <c r="M4" s="123">
        <f>M3+K4-L4</f>
        <v>6935.9500000000116</v>
      </c>
      <c r="N4" s="117"/>
    </row>
    <row r="5" spans="1:15" ht="15.75">
      <c r="A5" s="26">
        <v>2</v>
      </c>
      <c r="B5" s="27">
        <v>46083</v>
      </c>
      <c r="C5" s="23"/>
      <c r="D5" s="24"/>
      <c r="E5" s="79">
        <v>2500</v>
      </c>
      <c r="F5" s="117">
        <v>92.26</v>
      </c>
      <c r="G5" s="117">
        <f t="shared" ref="G5:G33" si="0">E5*F5</f>
        <v>230650</v>
      </c>
      <c r="H5" s="117">
        <v>70</v>
      </c>
      <c r="I5" s="117">
        <v>104.13</v>
      </c>
      <c r="J5" s="117">
        <f t="shared" ref="J5:J33" si="1">H5*I5</f>
        <v>7289.0999999999995</v>
      </c>
      <c r="K5" s="117">
        <f t="shared" ref="K5:K33" si="2">G5+J5</f>
        <v>237939.1</v>
      </c>
      <c r="L5" s="117"/>
      <c r="M5" s="123">
        <f>M4+K5-L5</f>
        <v>244875.05000000002</v>
      </c>
      <c r="N5" s="44"/>
    </row>
    <row r="6" spans="1:15" ht="18.75" customHeight="1">
      <c r="A6" s="26">
        <v>3</v>
      </c>
      <c r="B6" s="27">
        <v>46084</v>
      </c>
      <c r="C6" s="208"/>
      <c r="D6" s="189"/>
      <c r="E6" s="79"/>
      <c r="F6" s="117"/>
      <c r="G6" s="117">
        <f t="shared" ref="G6:G33" si="3">E6*F6</f>
        <v>0</v>
      </c>
      <c r="H6" s="117"/>
      <c r="I6" s="117"/>
      <c r="J6" s="117">
        <f t="shared" ref="J6:J33" si="4">H6*I6</f>
        <v>0</v>
      </c>
      <c r="K6" s="117">
        <f t="shared" ref="K6:K33" si="5">G6+J6</f>
        <v>0</v>
      </c>
      <c r="L6" s="117"/>
      <c r="M6" s="123">
        <f>M5+K6-L6</f>
        <v>244875.05000000002</v>
      </c>
      <c r="N6" s="50"/>
    </row>
    <row r="7" spans="1:15" ht="15.75">
      <c r="A7" s="26">
        <v>4</v>
      </c>
      <c r="B7" s="27">
        <v>46085</v>
      </c>
      <c r="C7" s="206"/>
      <c r="D7" s="207"/>
      <c r="E7" s="79"/>
      <c r="F7" s="117"/>
      <c r="G7" s="117">
        <f t="shared" si="3"/>
        <v>0</v>
      </c>
      <c r="H7" s="117"/>
      <c r="I7" s="117"/>
      <c r="J7" s="117">
        <f t="shared" si="4"/>
        <v>0</v>
      </c>
      <c r="K7" s="117">
        <f t="shared" si="5"/>
        <v>0</v>
      </c>
      <c r="L7" s="117"/>
      <c r="M7" s="123">
        <f>M6+K7-L7</f>
        <v>244875.05000000002</v>
      </c>
      <c r="N7" s="44"/>
    </row>
    <row r="8" spans="1:15" ht="15.75" customHeight="1">
      <c r="A8" s="26">
        <v>5</v>
      </c>
      <c r="B8" s="27">
        <v>46086</v>
      </c>
      <c r="C8" s="117"/>
      <c r="D8" s="117"/>
      <c r="E8" s="79"/>
      <c r="F8" s="117"/>
      <c r="G8" s="117">
        <f t="shared" si="3"/>
        <v>0</v>
      </c>
      <c r="H8" s="117"/>
      <c r="I8" s="117"/>
      <c r="J8" s="117">
        <f t="shared" si="4"/>
        <v>0</v>
      </c>
      <c r="K8" s="117">
        <f t="shared" si="5"/>
        <v>0</v>
      </c>
      <c r="L8" s="117"/>
      <c r="M8" s="123">
        <f t="shared" ref="M8:M34" si="6">M7+K8-L8</f>
        <v>244875.05000000002</v>
      </c>
      <c r="N8" s="50"/>
    </row>
    <row r="9" spans="1:15" ht="15.75" customHeight="1">
      <c r="A9" s="26">
        <v>6</v>
      </c>
      <c r="B9" s="27">
        <v>46087</v>
      </c>
      <c r="C9" s="50"/>
      <c r="D9" s="117"/>
      <c r="E9" s="79"/>
      <c r="F9" s="117"/>
      <c r="G9" s="117">
        <f t="shared" si="3"/>
        <v>0</v>
      </c>
      <c r="H9" s="117"/>
      <c r="I9" s="117"/>
      <c r="J9" s="117">
        <f t="shared" si="4"/>
        <v>0</v>
      </c>
      <c r="K9" s="117">
        <f t="shared" si="5"/>
        <v>0</v>
      </c>
      <c r="L9" s="117"/>
      <c r="M9" s="123">
        <f t="shared" si="6"/>
        <v>244875.05000000002</v>
      </c>
      <c r="N9" s="50"/>
    </row>
    <row r="10" spans="1:15" ht="15.75" customHeight="1">
      <c r="A10" s="26">
        <v>7</v>
      </c>
      <c r="B10" s="27">
        <v>46088</v>
      </c>
      <c r="C10" s="50"/>
      <c r="D10" s="117"/>
      <c r="E10" s="79"/>
      <c r="F10" s="117"/>
      <c r="G10" s="117">
        <f t="shared" si="3"/>
        <v>0</v>
      </c>
      <c r="H10" s="117"/>
      <c r="I10" s="117"/>
      <c r="J10" s="117">
        <f t="shared" si="4"/>
        <v>0</v>
      </c>
      <c r="K10" s="117">
        <f t="shared" si="5"/>
        <v>0</v>
      </c>
      <c r="L10" s="117"/>
      <c r="M10" s="123">
        <f t="shared" si="6"/>
        <v>244875.05000000002</v>
      </c>
      <c r="N10" s="50"/>
    </row>
    <row r="11" spans="1:15" ht="15.75" customHeight="1">
      <c r="A11" s="26">
        <v>8</v>
      </c>
      <c r="B11" s="27">
        <v>46089</v>
      </c>
      <c r="C11" s="50"/>
      <c r="D11" s="117"/>
      <c r="E11" s="79"/>
      <c r="F11" s="117"/>
      <c r="G11" s="117">
        <f t="shared" si="3"/>
        <v>0</v>
      </c>
      <c r="H11" s="117"/>
      <c r="I11" s="117"/>
      <c r="J11" s="117">
        <f t="shared" si="4"/>
        <v>0</v>
      </c>
      <c r="K11" s="117">
        <f t="shared" si="5"/>
        <v>0</v>
      </c>
      <c r="L11" s="117"/>
      <c r="M11" s="123">
        <f t="shared" si="6"/>
        <v>244875.05000000002</v>
      </c>
      <c r="N11" s="50"/>
    </row>
    <row r="12" spans="1:15" ht="15.75" customHeight="1">
      <c r="A12" s="26">
        <v>9</v>
      </c>
      <c r="B12" s="27">
        <v>46090</v>
      </c>
      <c r="C12" s="50"/>
      <c r="D12" s="117"/>
      <c r="E12" s="79"/>
      <c r="F12" s="117"/>
      <c r="G12" s="117">
        <f t="shared" si="3"/>
        <v>0</v>
      </c>
      <c r="H12" s="117"/>
      <c r="I12" s="117"/>
      <c r="J12" s="117">
        <f t="shared" si="4"/>
        <v>0</v>
      </c>
      <c r="K12" s="117">
        <f t="shared" si="5"/>
        <v>0</v>
      </c>
      <c r="L12" s="117"/>
      <c r="M12" s="123">
        <f t="shared" si="6"/>
        <v>244875.05000000002</v>
      </c>
      <c r="N12" s="50"/>
    </row>
    <row r="13" spans="1:15" ht="15.75" customHeight="1">
      <c r="A13" s="26">
        <v>10</v>
      </c>
      <c r="B13" s="27">
        <v>46091</v>
      </c>
      <c r="C13" s="50"/>
      <c r="D13" s="117"/>
      <c r="E13" s="79"/>
      <c r="F13" s="117"/>
      <c r="G13" s="117">
        <f t="shared" si="3"/>
        <v>0</v>
      </c>
      <c r="H13" s="117"/>
      <c r="I13" s="117"/>
      <c r="J13" s="117">
        <f t="shared" si="4"/>
        <v>0</v>
      </c>
      <c r="K13" s="117">
        <f t="shared" si="5"/>
        <v>0</v>
      </c>
      <c r="L13" s="117"/>
      <c r="M13" s="123">
        <f t="shared" si="6"/>
        <v>244875.05000000002</v>
      </c>
      <c r="N13" s="50"/>
    </row>
    <row r="14" spans="1:15" ht="15.75" customHeight="1">
      <c r="A14" s="26">
        <v>11</v>
      </c>
      <c r="B14" s="27">
        <v>46092</v>
      </c>
      <c r="C14" s="50"/>
      <c r="D14" s="117"/>
      <c r="E14" s="79"/>
      <c r="F14" s="117"/>
      <c r="G14" s="117">
        <f t="shared" si="3"/>
        <v>0</v>
      </c>
      <c r="H14" s="117">
        <v>70</v>
      </c>
      <c r="I14" s="117">
        <v>104.13</v>
      </c>
      <c r="J14" s="117">
        <f t="shared" si="4"/>
        <v>7289.0999999999995</v>
      </c>
      <c r="K14" s="117">
        <f t="shared" si="5"/>
        <v>7289.0999999999995</v>
      </c>
      <c r="L14" s="117"/>
      <c r="M14" s="123">
        <f t="shared" si="6"/>
        <v>252164.15000000002</v>
      </c>
      <c r="N14" s="50"/>
    </row>
    <row r="15" spans="1:15" ht="15.75" customHeight="1">
      <c r="A15" s="26">
        <v>12</v>
      </c>
      <c r="B15" s="27">
        <v>46093</v>
      </c>
      <c r="C15" s="50"/>
      <c r="D15" s="117"/>
      <c r="E15" s="79"/>
      <c r="F15" s="117"/>
      <c r="G15" s="117">
        <f t="shared" si="3"/>
        <v>0</v>
      </c>
      <c r="H15" s="117"/>
      <c r="I15" s="117"/>
      <c r="J15" s="117">
        <f t="shared" si="4"/>
        <v>0</v>
      </c>
      <c r="K15" s="117">
        <f t="shared" si="5"/>
        <v>0</v>
      </c>
      <c r="L15" s="117">
        <v>200000</v>
      </c>
      <c r="M15" s="123">
        <f t="shared" si="6"/>
        <v>52164.150000000023</v>
      </c>
      <c r="N15" s="50"/>
    </row>
    <row r="16" spans="1:15" ht="15.75" customHeight="1">
      <c r="A16" s="26">
        <v>13</v>
      </c>
      <c r="B16" s="27">
        <v>46094</v>
      </c>
      <c r="C16" s="50"/>
      <c r="D16" s="117"/>
      <c r="E16" s="79"/>
      <c r="F16" s="117"/>
      <c r="G16" s="117">
        <f t="shared" si="3"/>
        <v>0</v>
      </c>
      <c r="H16" s="117"/>
      <c r="I16" s="117"/>
      <c r="J16" s="117">
        <f t="shared" si="4"/>
        <v>0</v>
      </c>
      <c r="K16" s="117">
        <f t="shared" si="5"/>
        <v>0</v>
      </c>
      <c r="L16" s="117"/>
      <c r="M16" s="123">
        <f t="shared" si="6"/>
        <v>52164.150000000023</v>
      </c>
      <c r="N16" s="50"/>
    </row>
    <row r="17" spans="1:14" ht="15.75" customHeight="1">
      <c r="A17" s="26">
        <v>14</v>
      </c>
      <c r="B17" s="27">
        <v>46095</v>
      </c>
      <c r="C17" s="50"/>
      <c r="D17" s="117"/>
      <c r="E17" s="79"/>
      <c r="F17" s="117"/>
      <c r="G17" s="117">
        <f t="shared" si="3"/>
        <v>0</v>
      </c>
      <c r="H17" s="117"/>
      <c r="I17" s="117"/>
      <c r="J17" s="117">
        <f t="shared" si="4"/>
        <v>0</v>
      </c>
      <c r="K17" s="117">
        <f t="shared" si="5"/>
        <v>0</v>
      </c>
      <c r="L17" s="117"/>
      <c r="M17" s="123">
        <f t="shared" si="6"/>
        <v>52164.150000000023</v>
      </c>
      <c r="N17" s="50"/>
    </row>
    <row r="18" spans="1:14" ht="15.75" customHeight="1">
      <c r="A18" s="26">
        <v>15</v>
      </c>
      <c r="B18" s="27">
        <v>46096</v>
      </c>
      <c r="C18" s="50"/>
      <c r="D18" s="117"/>
      <c r="E18" s="79"/>
      <c r="F18" s="117"/>
      <c r="G18" s="117">
        <f t="shared" si="3"/>
        <v>0</v>
      </c>
      <c r="H18" s="117"/>
      <c r="I18" s="117"/>
      <c r="J18" s="117">
        <f t="shared" si="4"/>
        <v>0</v>
      </c>
      <c r="K18" s="117">
        <f t="shared" si="5"/>
        <v>0</v>
      </c>
      <c r="L18" s="117"/>
      <c r="M18" s="123">
        <f t="shared" si="6"/>
        <v>52164.150000000023</v>
      </c>
      <c r="N18" s="50"/>
    </row>
    <row r="19" spans="1:14" ht="15.75" customHeight="1">
      <c r="A19" s="26">
        <v>16</v>
      </c>
      <c r="B19" s="27">
        <v>46097</v>
      </c>
      <c r="C19" s="50"/>
      <c r="D19" s="117"/>
      <c r="E19" s="79">
        <v>2200</v>
      </c>
      <c r="F19" s="117">
        <v>92.26</v>
      </c>
      <c r="G19" s="117">
        <f t="shared" si="3"/>
        <v>202972</v>
      </c>
      <c r="H19" s="117">
        <v>35</v>
      </c>
      <c r="I19" s="117">
        <v>104.13</v>
      </c>
      <c r="J19" s="117">
        <f t="shared" si="4"/>
        <v>3644.5499999999997</v>
      </c>
      <c r="K19" s="117">
        <f t="shared" si="5"/>
        <v>206616.55</v>
      </c>
      <c r="L19" s="117"/>
      <c r="M19" s="123">
        <f t="shared" si="6"/>
        <v>258780.7</v>
      </c>
      <c r="N19" s="50"/>
    </row>
    <row r="20" spans="1:14" ht="15.75" customHeight="1">
      <c r="A20" s="26">
        <v>17</v>
      </c>
      <c r="B20" s="27">
        <v>46098</v>
      </c>
      <c r="C20" s="50"/>
      <c r="D20" s="117"/>
      <c r="E20" s="79"/>
      <c r="F20" s="117"/>
      <c r="G20" s="117">
        <f t="shared" si="3"/>
        <v>0</v>
      </c>
      <c r="H20" s="117"/>
      <c r="I20" s="117"/>
      <c r="J20" s="117">
        <f t="shared" si="4"/>
        <v>0</v>
      </c>
      <c r="K20" s="117">
        <f t="shared" si="5"/>
        <v>0</v>
      </c>
      <c r="L20" s="117"/>
      <c r="M20" s="123">
        <f t="shared" si="6"/>
        <v>258780.7</v>
      </c>
      <c r="N20" s="50"/>
    </row>
    <row r="21" spans="1:14" ht="15.75" customHeight="1">
      <c r="A21" s="26">
        <v>18</v>
      </c>
      <c r="B21" s="27">
        <v>46099</v>
      </c>
      <c r="C21" s="50"/>
      <c r="D21" s="117"/>
      <c r="E21" s="79"/>
      <c r="F21" s="117"/>
      <c r="G21" s="117">
        <f t="shared" si="3"/>
        <v>0</v>
      </c>
      <c r="H21" s="117"/>
      <c r="I21" s="117"/>
      <c r="J21" s="117">
        <f t="shared" si="4"/>
        <v>0</v>
      </c>
      <c r="K21" s="117">
        <f t="shared" si="5"/>
        <v>0</v>
      </c>
      <c r="L21" s="117"/>
      <c r="M21" s="123">
        <f t="shared" si="6"/>
        <v>258780.7</v>
      </c>
      <c r="N21" s="50"/>
    </row>
    <row r="22" spans="1:14" ht="15.75" customHeight="1">
      <c r="A22" s="26">
        <v>19</v>
      </c>
      <c r="B22" s="27">
        <v>46100</v>
      </c>
      <c r="C22" s="50"/>
      <c r="D22" s="117"/>
      <c r="E22" s="79"/>
      <c r="F22" s="117"/>
      <c r="G22" s="117">
        <f t="shared" si="3"/>
        <v>0</v>
      </c>
      <c r="H22" s="117"/>
      <c r="I22" s="117"/>
      <c r="J22" s="117">
        <f t="shared" si="4"/>
        <v>0</v>
      </c>
      <c r="K22" s="117">
        <f t="shared" si="5"/>
        <v>0</v>
      </c>
      <c r="L22" s="117"/>
      <c r="M22" s="123">
        <f t="shared" si="6"/>
        <v>258780.7</v>
      </c>
      <c r="N22" s="50"/>
    </row>
    <row r="23" spans="1:14" ht="15.75" customHeight="1">
      <c r="A23" s="26">
        <v>20</v>
      </c>
      <c r="B23" s="27">
        <v>46101</v>
      </c>
      <c r="C23" s="50"/>
      <c r="D23" s="117"/>
      <c r="E23" s="79"/>
      <c r="F23" s="117"/>
      <c r="G23" s="117">
        <f t="shared" si="3"/>
        <v>0</v>
      </c>
      <c r="H23" s="117"/>
      <c r="I23" s="117"/>
      <c r="J23" s="117">
        <f t="shared" si="4"/>
        <v>0</v>
      </c>
      <c r="K23" s="117">
        <f t="shared" si="5"/>
        <v>0</v>
      </c>
      <c r="L23" s="117"/>
      <c r="M23" s="123">
        <f t="shared" si="6"/>
        <v>258780.7</v>
      </c>
      <c r="N23" s="50"/>
    </row>
    <row r="24" spans="1:14" ht="15.75" customHeight="1">
      <c r="A24" s="26">
        <v>21</v>
      </c>
      <c r="B24" s="27">
        <v>46102</v>
      </c>
      <c r="C24" s="50"/>
      <c r="D24" s="117"/>
      <c r="E24" s="79"/>
      <c r="F24" s="117"/>
      <c r="G24" s="117">
        <f t="shared" si="3"/>
        <v>0</v>
      </c>
      <c r="H24" s="117"/>
      <c r="I24" s="117"/>
      <c r="J24" s="117">
        <f t="shared" si="4"/>
        <v>0</v>
      </c>
      <c r="K24" s="117">
        <f t="shared" si="5"/>
        <v>0</v>
      </c>
      <c r="L24" s="117"/>
      <c r="M24" s="123">
        <f t="shared" si="6"/>
        <v>258780.7</v>
      </c>
      <c r="N24" s="50"/>
    </row>
    <row r="25" spans="1:14" ht="15.75" customHeight="1">
      <c r="A25" s="26">
        <v>22</v>
      </c>
      <c r="B25" s="27">
        <v>46103</v>
      </c>
      <c r="C25" s="50"/>
      <c r="D25" s="117"/>
      <c r="E25" s="79"/>
      <c r="F25" s="117"/>
      <c r="G25" s="117">
        <f t="shared" si="3"/>
        <v>0</v>
      </c>
      <c r="H25" s="117"/>
      <c r="I25" s="117"/>
      <c r="J25" s="117">
        <f t="shared" si="4"/>
        <v>0</v>
      </c>
      <c r="K25" s="117">
        <f t="shared" si="5"/>
        <v>0</v>
      </c>
      <c r="L25" s="117"/>
      <c r="M25" s="123">
        <f t="shared" si="6"/>
        <v>258780.7</v>
      </c>
      <c r="N25" s="50"/>
    </row>
    <row r="26" spans="1:14" ht="15.75" customHeight="1">
      <c r="A26" s="26">
        <v>23</v>
      </c>
      <c r="B26" s="27">
        <v>46104</v>
      </c>
      <c r="C26" s="50"/>
      <c r="D26" s="117"/>
      <c r="E26" s="79"/>
      <c r="F26" s="117"/>
      <c r="G26" s="117">
        <f t="shared" si="3"/>
        <v>0</v>
      </c>
      <c r="H26" s="117"/>
      <c r="I26" s="117"/>
      <c r="J26" s="117">
        <f t="shared" si="4"/>
        <v>0</v>
      </c>
      <c r="K26" s="117">
        <f t="shared" si="5"/>
        <v>0</v>
      </c>
      <c r="L26" s="117"/>
      <c r="M26" s="123">
        <f t="shared" si="6"/>
        <v>258780.7</v>
      </c>
      <c r="N26" s="50"/>
    </row>
    <row r="27" spans="1:14" ht="15.75" customHeight="1">
      <c r="A27" s="26">
        <v>24</v>
      </c>
      <c r="B27" s="27">
        <v>46105</v>
      </c>
      <c r="C27" s="50"/>
      <c r="D27" s="117"/>
      <c r="E27" s="79"/>
      <c r="F27" s="117"/>
      <c r="G27" s="117">
        <f t="shared" si="3"/>
        <v>0</v>
      </c>
      <c r="H27" s="117"/>
      <c r="I27" s="117"/>
      <c r="J27" s="117">
        <f t="shared" si="4"/>
        <v>0</v>
      </c>
      <c r="K27" s="117">
        <f t="shared" si="5"/>
        <v>0</v>
      </c>
      <c r="L27" s="117"/>
      <c r="M27" s="123">
        <f t="shared" si="6"/>
        <v>258780.7</v>
      </c>
      <c r="N27" s="50"/>
    </row>
    <row r="28" spans="1:14" ht="15.75" customHeight="1">
      <c r="A28" s="26">
        <v>25</v>
      </c>
      <c r="B28" s="27">
        <v>46106</v>
      </c>
      <c r="C28" s="50"/>
      <c r="D28" s="117"/>
      <c r="E28" s="79"/>
      <c r="F28" s="117"/>
      <c r="G28" s="117">
        <f t="shared" si="3"/>
        <v>0</v>
      </c>
      <c r="H28" s="117"/>
      <c r="I28" s="117"/>
      <c r="J28" s="117">
        <f t="shared" si="4"/>
        <v>0</v>
      </c>
      <c r="K28" s="117">
        <f t="shared" si="5"/>
        <v>0</v>
      </c>
      <c r="L28" s="117"/>
      <c r="M28" s="123">
        <f t="shared" si="6"/>
        <v>258780.7</v>
      </c>
      <c r="N28" s="50"/>
    </row>
    <row r="29" spans="1:14" ht="15.75" customHeight="1">
      <c r="A29" s="26">
        <v>26</v>
      </c>
      <c r="B29" s="27">
        <v>46107</v>
      </c>
      <c r="C29" s="50"/>
      <c r="D29" s="117"/>
      <c r="E29" s="79"/>
      <c r="F29" s="117"/>
      <c r="G29" s="117">
        <f t="shared" si="3"/>
        <v>0</v>
      </c>
      <c r="H29" s="117"/>
      <c r="I29" s="117"/>
      <c r="J29" s="117">
        <f t="shared" si="4"/>
        <v>0</v>
      </c>
      <c r="K29" s="117">
        <f t="shared" si="5"/>
        <v>0</v>
      </c>
      <c r="L29" s="117"/>
      <c r="M29" s="123">
        <f t="shared" si="6"/>
        <v>258780.7</v>
      </c>
      <c r="N29" s="50"/>
    </row>
    <row r="30" spans="1:14" ht="15.75" customHeight="1">
      <c r="A30" s="26">
        <v>27</v>
      </c>
      <c r="B30" s="27">
        <v>46108</v>
      </c>
      <c r="C30" s="50"/>
      <c r="D30" s="117"/>
      <c r="E30" s="79">
        <v>0</v>
      </c>
      <c r="F30" s="117"/>
      <c r="G30" s="117">
        <f t="shared" si="3"/>
        <v>0</v>
      </c>
      <c r="H30" s="117">
        <v>70</v>
      </c>
      <c r="I30" s="117">
        <v>104.13</v>
      </c>
      <c r="J30" s="117">
        <f t="shared" si="4"/>
        <v>7289.0999999999995</v>
      </c>
      <c r="K30" s="117">
        <f t="shared" si="5"/>
        <v>7289.0999999999995</v>
      </c>
      <c r="L30" s="117"/>
      <c r="M30" s="123">
        <f t="shared" si="6"/>
        <v>266069.8</v>
      </c>
      <c r="N30" s="50"/>
    </row>
    <row r="31" spans="1:14" ht="15.75" customHeight="1">
      <c r="A31" s="26">
        <v>28</v>
      </c>
      <c r="B31" s="27">
        <v>46109</v>
      </c>
      <c r="C31" s="50"/>
      <c r="D31" s="117"/>
      <c r="E31" s="79"/>
      <c r="F31" s="117"/>
      <c r="G31" s="117">
        <f t="shared" si="3"/>
        <v>0</v>
      </c>
      <c r="H31" s="117"/>
      <c r="I31" s="117"/>
      <c r="J31" s="117">
        <f t="shared" si="4"/>
        <v>0</v>
      </c>
      <c r="K31" s="117">
        <f t="shared" si="5"/>
        <v>0</v>
      </c>
      <c r="L31" s="117">
        <v>266000</v>
      </c>
      <c r="M31" s="123">
        <f t="shared" si="6"/>
        <v>69.799999999988358</v>
      </c>
      <c r="N31" s="50"/>
    </row>
    <row r="32" spans="1:14" ht="15.75" customHeight="1">
      <c r="A32" s="26">
        <v>29</v>
      </c>
      <c r="B32" s="27">
        <v>46110</v>
      </c>
      <c r="C32" s="50"/>
      <c r="D32" s="117"/>
      <c r="E32" s="79"/>
      <c r="F32" s="117"/>
      <c r="G32" s="117">
        <f t="shared" si="3"/>
        <v>0</v>
      </c>
      <c r="H32" s="117"/>
      <c r="I32" s="117"/>
      <c r="J32" s="117">
        <f t="shared" si="4"/>
        <v>0</v>
      </c>
      <c r="K32" s="117">
        <f t="shared" si="5"/>
        <v>0</v>
      </c>
      <c r="L32" s="117"/>
      <c r="M32" s="123">
        <f t="shared" si="6"/>
        <v>69.799999999988358</v>
      </c>
      <c r="N32" s="50"/>
    </row>
    <row r="33" spans="1:15" ht="15.75" customHeight="1">
      <c r="A33" s="26">
        <v>30</v>
      </c>
      <c r="B33" s="27">
        <v>46111</v>
      </c>
      <c r="C33" s="50"/>
      <c r="D33" s="117"/>
      <c r="E33" s="79"/>
      <c r="F33" s="117"/>
      <c r="G33" s="117">
        <f t="shared" si="3"/>
        <v>0</v>
      </c>
      <c r="H33" s="117"/>
      <c r="I33" s="117"/>
      <c r="J33" s="117">
        <f t="shared" si="4"/>
        <v>0</v>
      </c>
      <c r="K33" s="117">
        <f t="shared" si="5"/>
        <v>0</v>
      </c>
      <c r="L33" s="117"/>
      <c r="M33" s="123">
        <f t="shared" si="6"/>
        <v>69.799999999988358</v>
      </c>
      <c r="N33" s="50"/>
    </row>
    <row r="34" spans="1:15" ht="15.75" customHeight="1">
      <c r="A34" s="26">
        <v>31</v>
      </c>
      <c r="B34" s="27">
        <v>46112</v>
      </c>
      <c r="C34" s="50"/>
      <c r="D34" s="117"/>
      <c r="E34" s="79"/>
      <c r="F34" s="117"/>
      <c r="G34" s="117">
        <f t="shared" ref="G34" si="7">E34*F34</f>
        <v>0</v>
      </c>
      <c r="H34" s="117"/>
      <c r="I34" s="117"/>
      <c r="J34" s="117">
        <f t="shared" ref="J34" si="8">H34*I34</f>
        <v>0</v>
      </c>
      <c r="K34" s="117">
        <f t="shared" ref="K34" si="9">G34+J34</f>
        <v>0</v>
      </c>
      <c r="L34" s="117"/>
      <c r="M34" s="123">
        <f t="shared" si="6"/>
        <v>69.799999999988358</v>
      </c>
      <c r="N34" s="50"/>
    </row>
    <row r="35" spans="1:15">
      <c r="A35" s="42"/>
      <c r="B35" s="42"/>
      <c r="C35" s="42"/>
      <c r="D35" s="42"/>
      <c r="E35" s="43">
        <f>SUM(E4:E34)</f>
        <v>4700</v>
      </c>
      <c r="F35" s="43"/>
      <c r="G35" s="43">
        <f>SUM(G4:G34)</f>
        <v>433622</v>
      </c>
      <c r="H35" s="43">
        <f>SUM(H4:H34)</f>
        <v>245</v>
      </c>
      <c r="I35" s="43"/>
      <c r="J35" s="43">
        <f>SUM(J4:J34)</f>
        <v>25511.85</v>
      </c>
      <c r="K35" s="43">
        <f>SUM(K4:K34)</f>
        <v>459133.85</v>
      </c>
      <c r="L35" s="43">
        <f>SUM(L4:L34)</f>
        <v>466000</v>
      </c>
      <c r="M35" s="43"/>
      <c r="N35" s="43"/>
      <c r="O35" s="33"/>
    </row>
    <row r="37" spans="1:15">
      <c r="D37" s="45"/>
      <c r="E37" s="45"/>
    </row>
  </sheetData>
  <mergeCells count="2">
    <mergeCell ref="A1:N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S46"/>
  <sheetViews>
    <sheetView workbookViewId="0">
      <pane ySplit="2" topLeftCell="A30" activePane="bottomLeft" state="frozen"/>
      <selection pane="bottomLeft" activeCell="M36" sqref="M36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19.28515625" bestFit="1" customWidth="1"/>
    <col min="16" max="16" width="12" bestFit="1" customWidth="1"/>
    <col min="19" max="19" width="12" bestFit="1" customWidth="1"/>
  </cols>
  <sheetData>
    <row r="1" spans="1:15">
      <c r="A1" s="471" t="s">
        <v>211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82"/>
    </row>
    <row r="2" spans="1:15">
      <c r="A2" s="124" t="s">
        <v>0</v>
      </c>
      <c r="B2" s="125" t="s">
        <v>161</v>
      </c>
      <c r="C2" s="125" t="s">
        <v>162</v>
      </c>
      <c r="D2" s="125" t="s">
        <v>163</v>
      </c>
      <c r="E2" s="125" t="s">
        <v>164</v>
      </c>
      <c r="F2" s="125" t="s">
        <v>165</v>
      </c>
      <c r="G2" s="125" t="s">
        <v>166</v>
      </c>
      <c r="H2" s="125" t="s">
        <v>167</v>
      </c>
      <c r="I2" s="125" t="s">
        <v>165</v>
      </c>
      <c r="J2" s="126" t="s">
        <v>166</v>
      </c>
      <c r="K2" s="124" t="s">
        <v>168</v>
      </c>
      <c r="L2" s="127" t="s">
        <v>169</v>
      </c>
      <c r="M2" s="127" t="s">
        <v>181</v>
      </c>
      <c r="N2" s="125" t="s">
        <v>171</v>
      </c>
      <c r="O2" s="59"/>
    </row>
    <row r="3" spans="1:15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8"/>
      <c r="K3" s="96">
        <v>58952.959699999948</v>
      </c>
      <c r="L3" s="40"/>
      <c r="M3" s="40">
        <f>+K3</f>
        <v>58952.959699999948</v>
      </c>
      <c r="N3" s="17"/>
      <c r="O3" s="59">
        <v>46138.763999999966</v>
      </c>
    </row>
    <row r="4" spans="1:15">
      <c r="A4" s="26">
        <v>1</v>
      </c>
      <c r="B4" s="27">
        <v>45717</v>
      </c>
      <c r="C4" s="128"/>
      <c r="D4" s="129"/>
      <c r="E4" s="93">
        <v>0</v>
      </c>
      <c r="F4" s="93">
        <v>0</v>
      </c>
      <c r="G4" s="19">
        <f>E4*F4</f>
        <v>0</v>
      </c>
      <c r="H4" s="93">
        <v>0</v>
      </c>
      <c r="I4" s="345">
        <v>0</v>
      </c>
      <c r="J4" s="19">
        <f>H4*I4</f>
        <v>0</v>
      </c>
      <c r="K4" s="19">
        <f>G4+J4</f>
        <v>0</v>
      </c>
      <c r="L4" s="130">
        <v>0</v>
      </c>
      <c r="M4" s="130">
        <f>M3+K4-L4</f>
        <v>58952.959699999948</v>
      </c>
      <c r="N4" s="44"/>
    </row>
    <row r="5" spans="1:15">
      <c r="A5" s="26">
        <v>2</v>
      </c>
      <c r="B5" s="27">
        <v>45718</v>
      </c>
      <c r="C5" s="128"/>
      <c r="D5" s="129"/>
      <c r="E5" s="93">
        <v>0</v>
      </c>
      <c r="F5" s="93">
        <v>0</v>
      </c>
      <c r="G5" s="19">
        <f t="shared" ref="G5:G35" si="0">E5*F5</f>
        <v>0</v>
      </c>
      <c r="H5" s="93">
        <v>0</v>
      </c>
      <c r="I5" s="345">
        <v>0</v>
      </c>
      <c r="J5" s="19">
        <f t="shared" ref="J5:J35" si="1">H5*I5</f>
        <v>0</v>
      </c>
      <c r="K5" s="19">
        <f t="shared" ref="K5:K35" si="2">G5+J5</f>
        <v>0</v>
      </c>
      <c r="L5" s="130">
        <v>0</v>
      </c>
      <c r="M5" s="130">
        <f>M4+K5-L5</f>
        <v>58952.959699999948</v>
      </c>
      <c r="N5" s="44"/>
    </row>
    <row r="6" spans="1:15">
      <c r="A6" s="26">
        <v>3</v>
      </c>
      <c r="B6" s="27">
        <v>45719</v>
      </c>
      <c r="C6" s="128"/>
      <c r="D6" s="129"/>
      <c r="E6" s="93">
        <v>600</v>
      </c>
      <c r="F6" s="93">
        <v>92.17</v>
      </c>
      <c r="G6" s="19">
        <v>55302</v>
      </c>
      <c r="H6" s="93">
        <v>20</v>
      </c>
      <c r="I6" s="345">
        <v>104.03</v>
      </c>
      <c r="J6" s="19">
        <v>2080.6</v>
      </c>
      <c r="K6" s="19">
        <f t="shared" si="2"/>
        <v>57382.6</v>
      </c>
      <c r="L6" s="130">
        <v>0</v>
      </c>
      <c r="M6" s="130">
        <f>M5+K6-L6</f>
        <v>116335.55969999995</v>
      </c>
      <c r="N6" s="44"/>
    </row>
    <row r="7" spans="1:15">
      <c r="A7" s="26">
        <v>4</v>
      </c>
      <c r="B7" s="27">
        <v>45720</v>
      </c>
      <c r="C7" s="128"/>
      <c r="D7" s="129"/>
      <c r="E7" s="93">
        <v>0</v>
      </c>
      <c r="F7" s="93">
        <v>0</v>
      </c>
      <c r="G7" s="19">
        <f t="shared" si="0"/>
        <v>0</v>
      </c>
      <c r="H7" s="93">
        <v>0</v>
      </c>
      <c r="I7" s="345">
        <v>0</v>
      </c>
      <c r="J7" s="19">
        <f t="shared" si="1"/>
        <v>0</v>
      </c>
      <c r="K7" s="19">
        <f t="shared" si="2"/>
        <v>0</v>
      </c>
      <c r="L7" s="130">
        <v>0</v>
      </c>
      <c r="M7" s="130">
        <f>M6+K7-L7</f>
        <v>116335.55969999995</v>
      </c>
      <c r="N7" s="44"/>
    </row>
    <row r="8" spans="1:15">
      <c r="A8" s="26">
        <v>5</v>
      </c>
      <c r="B8" s="27">
        <v>45721</v>
      </c>
      <c r="C8" s="128"/>
      <c r="D8" s="129"/>
      <c r="E8" s="93">
        <v>0</v>
      </c>
      <c r="F8" s="93">
        <v>0</v>
      </c>
      <c r="G8" s="19">
        <f t="shared" si="0"/>
        <v>0</v>
      </c>
      <c r="H8" s="93">
        <v>0</v>
      </c>
      <c r="I8" s="345">
        <v>0</v>
      </c>
      <c r="J8" s="19">
        <f t="shared" si="1"/>
        <v>0</v>
      </c>
      <c r="K8" s="19">
        <f t="shared" si="2"/>
        <v>0</v>
      </c>
      <c r="L8" s="130">
        <v>0</v>
      </c>
      <c r="M8" s="130">
        <f t="shared" ref="M8:M36" si="3">M7+K8-L8</f>
        <v>116335.55969999995</v>
      </c>
      <c r="N8" s="44"/>
      <c r="O8" s="69"/>
    </row>
    <row r="9" spans="1:15">
      <c r="A9" s="26">
        <v>6</v>
      </c>
      <c r="B9" s="27">
        <v>45722</v>
      </c>
      <c r="C9" s="128"/>
      <c r="D9" s="129"/>
      <c r="E9" s="93">
        <v>600</v>
      </c>
      <c r="F9" s="93">
        <v>92.17</v>
      </c>
      <c r="G9" s="19">
        <f t="shared" si="0"/>
        <v>55302</v>
      </c>
      <c r="H9" s="93">
        <v>35</v>
      </c>
      <c r="I9" s="345">
        <v>104.03</v>
      </c>
      <c r="J9" s="19">
        <f t="shared" si="1"/>
        <v>3641.05</v>
      </c>
      <c r="K9" s="19">
        <f t="shared" si="2"/>
        <v>58943.05</v>
      </c>
      <c r="L9" s="130">
        <v>0</v>
      </c>
      <c r="M9" s="130">
        <f t="shared" si="3"/>
        <v>175278.60969999997</v>
      </c>
      <c r="N9" s="44"/>
      <c r="O9" s="69"/>
    </row>
    <row r="10" spans="1:15">
      <c r="A10" s="26">
        <v>7</v>
      </c>
      <c r="B10" s="27">
        <v>45723</v>
      </c>
      <c r="C10" s="128"/>
      <c r="D10" s="129"/>
      <c r="E10" s="93">
        <v>0</v>
      </c>
      <c r="F10" s="93">
        <v>0</v>
      </c>
      <c r="G10" s="19">
        <f t="shared" si="0"/>
        <v>0</v>
      </c>
      <c r="H10" s="93">
        <v>0</v>
      </c>
      <c r="I10" s="345">
        <v>0</v>
      </c>
      <c r="J10" s="19">
        <f t="shared" si="1"/>
        <v>0</v>
      </c>
      <c r="K10" s="19">
        <f t="shared" si="2"/>
        <v>0</v>
      </c>
      <c r="L10" s="130">
        <v>0</v>
      </c>
      <c r="M10" s="130">
        <f t="shared" si="3"/>
        <v>175278.60969999997</v>
      </c>
      <c r="N10" s="44"/>
      <c r="O10" s="69"/>
    </row>
    <row r="11" spans="1:15">
      <c r="A11" s="26">
        <v>8</v>
      </c>
      <c r="B11" s="27">
        <v>45724</v>
      </c>
      <c r="C11" s="128"/>
      <c r="D11" s="129"/>
      <c r="E11" s="93">
        <v>0</v>
      </c>
      <c r="F11" s="93">
        <v>0</v>
      </c>
      <c r="G11" s="19">
        <f t="shared" si="0"/>
        <v>0</v>
      </c>
      <c r="H11" s="93">
        <v>0</v>
      </c>
      <c r="I11" s="345">
        <v>0</v>
      </c>
      <c r="J11" s="19">
        <f t="shared" si="1"/>
        <v>0</v>
      </c>
      <c r="K11" s="19">
        <f t="shared" si="2"/>
        <v>0</v>
      </c>
      <c r="L11" s="130">
        <v>0</v>
      </c>
      <c r="M11" s="130">
        <f t="shared" si="3"/>
        <v>175278.60969999997</v>
      </c>
      <c r="N11" s="44"/>
      <c r="O11" s="69"/>
    </row>
    <row r="12" spans="1:15">
      <c r="A12" s="26">
        <v>9</v>
      </c>
      <c r="B12" s="27">
        <v>45725</v>
      </c>
      <c r="C12" s="128"/>
      <c r="D12" s="129"/>
      <c r="E12" s="93">
        <v>400</v>
      </c>
      <c r="F12" s="93">
        <v>92.17</v>
      </c>
      <c r="G12" s="19">
        <f t="shared" si="0"/>
        <v>36868</v>
      </c>
      <c r="H12" s="93">
        <v>0</v>
      </c>
      <c r="I12" s="345">
        <v>0</v>
      </c>
      <c r="J12" s="19">
        <f t="shared" si="1"/>
        <v>0</v>
      </c>
      <c r="K12" s="19">
        <f t="shared" si="2"/>
        <v>36868</v>
      </c>
      <c r="L12" s="130">
        <v>0</v>
      </c>
      <c r="M12" s="130">
        <f t="shared" si="3"/>
        <v>212146.60969999997</v>
      </c>
      <c r="N12" s="44"/>
      <c r="O12" s="69"/>
    </row>
    <row r="13" spans="1:15">
      <c r="A13" s="26">
        <v>10</v>
      </c>
      <c r="B13" s="27">
        <v>45726</v>
      </c>
      <c r="C13" s="128"/>
      <c r="D13" s="129"/>
      <c r="E13" s="93">
        <v>0</v>
      </c>
      <c r="F13" s="93">
        <v>0</v>
      </c>
      <c r="G13" s="19">
        <f t="shared" si="0"/>
        <v>0</v>
      </c>
      <c r="H13" s="93">
        <v>0</v>
      </c>
      <c r="I13" s="345">
        <v>0</v>
      </c>
      <c r="J13" s="19">
        <f t="shared" si="1"/>
        <v>0</v>
      </c>
      <c r="K13" s="19">
        <f t="shared" si="2"/>
        <v>0</v>
      </c>
      <c r="L13" s="130">
        <v>0</v>
      </c>
      <c r="M13" s="130">
        <f t="shared" si="3"/>
        <v>212146.60969999997</v>
      </c>
      <c r="N13" s="44"/>
      <c r="O13" s="69"/>
    </row>
    <row r="14" spans="1:15">
      <c r="A14" s="26">
        <v>11</v>
      </c>
      <c r="B14" s="27">
        <v>45727</v>
      </c>
      <c r="C14" s="128"/>
      <c r="D14" s="129"/>
      <c r="E14" s="93">
        <v>600</v>
      </c>
      <c r="F14" s="93">
        <v>92.17</v>
      </c>
      <c r="G14" s="19">
        <f t="shared" si="0"/>
        <v>55302</v>
      </c>
      <c r="H14" s="93">
        <v>35</v>
      </c>
      <c r="I14" s="345">
        <v>104.03</v>
      </c>
      <c r="J14" s="19">
        <f t="shared" si="1"/>
        <v>3641.05</v>
      </c>
      <c r="K14" s="19">
        <f t="shared" si="2"/>
        <v>58943.05</v>
      </c>
      <c r="L14" s="130">
        <v>0</v>
      </c>
      <c r="M14" s="130">
        <f t="shared" si="3"/>
        <v>271089.65969999996</v>
      </c>
      <c r="N14" s="44"/>
      <c r="O14" s="69"/>
    </row>
    <row r="15" spans="1:15">
      <c r="A15" s="26">
        <v>12</v>
      </c>
      <c r="B15" s="27">
        <v>45728</v>
      </c>
      <c r="C15" s="128"/>
      <c r="D15" s="129"/>
      <c r="E15" s="93">
        <v>0</v>
      </c>
      <c r="F15" s="93">
        <v>0</v>
      </c>
      <c r="G15" s="19">
        <f t="shared" si="0"/>
        <v>0</v>
      </c>
      <c r="H15" s="93">
        <v>0</v>
      </c>
      <c r="I15" s="345">
        <v>0</v>
      </c>
      <c r="J15" s="19">
        <f t="shared" si="1"/>
        <v>0</v>
      </c>
      <c r="K15" s="19">
        <f t="shared" si="2"/>
        <v>0</v>
      </c>
      <c r="L15" s="130">
        <v>212137</v>
      </c>
      <c r="M15" s="130">
        <f t="shared" si="3"/>
        <v>58952.65969999996</v>
      </c>
      <c r="N15" s="44"/>
      <c r="O15" s="69"/>
    </row>
    <row r="16" spans="1:15">
      <c r="A16" s="26">
        <v>13</v>
      </c>
      <c r="B16" s="27">
        <v>45729</v>
      </c>
      <c r="C16" s="128"/>
      <c r="D16" s="129"/>
      <c r="E16" s="93">
        <v>0</v>
      </c>
      <c r="F16" s="93">
        <v>0</v>
      </c>
      <c r="G16" s="19">
        <f t="shared" si="0"/>
        <v>0</v>
      </c>
      <c r="H16" s="93">
        <v>0</v>
      </c>
      <c r="I16" s="345">
        <v>0</v>
      </c>
      <c r="J16" s="19">
        <f t="shared" si="1"/>
        <v>0</v>
      </c>
      <c r="K16" s="19">
        <f t="shared" si="2"/>
        <v>0</v>
      </c>
      <c r="L16" s="130">
        <v>0</v>
      </c>
      <c r="M16" s="130">
        <f t="shared" si="3"/>
        <v>58952.65969999996</v>
      </c>
      <c r="N16" s="44"/>
      <c r="O16" s="69"/>
    </row>
    <row r="17" spans="1:19">
      <c r="A17" s="26">
        <v>14</v>
      </c>
      <c r="B17" s="27">
        <v>45730</v>
      </c>
      <c r="C17" s="128"/>
      <c r="D17" s="129"/>
      <c r="E17" s="93">
        <v>0</v>
      </c>
      <c r="F17" s="93">
        <v>0</v>
      </c>
      <c r="G17" s="19">
        <f t="shared" si="0"/>
        <v>0</v>
      </c>
      <c r="H17" s="93">
        <v>0</v>
      </c>
      <c r="I17" s="345">
        <v>0</v>
      </c>
      <c r="J17" s="19">
        <f t="shared" si="1"/>
        <v>0</v>
      </c>
      <c r="K17" s="19">
        <f t="shared" si="2"/>
        <v>0</v>
      </c>
      <c r="L17" s="130">
        <v>0</v>
      </c>
      <c r="M17" s="130">
        <f t="shared" si="3"/>
        <v>58952.65969999996</v>
      </c>
      <c r="N17" s="44"/>
      <c r="O17" s="69"/>
    </row>
    <row r="18" spans="1:19">
      <c r="A18" s="26">
        <v>15</v>
      </c>
      <c r="B18" s="27">
        <v>45731</v>
      </c>
      <c r="C18" s="128"/>
      <c r="D18" s="129"/>
      <c r="E18" s="93">
        <v>600</v>
      </c>
      <c r="F18" s="93">
        <v>92.17</v>
      </c>
      <c r="G18" s="19">
        <f t="shared" si="0"/>
        <v>55302</v>
      </c>
      <c r="H18" s="93">
        <v>20</v>
      </c>
      <c r="I18" s="345">
        <v>104.3</v>
      </c>
      <c r="J18" s="19">
        <f t="shared" si="1"/>
        <v>2086</v>
      </c>
      <c r="K18" s="19">
        <f t="shared" si="2"/>
        <v>57388</v>
      </c>
      <c r="L18" s="130">
        <v>0</v>
      </c>
      <c r="M18" s="130">
        <f t="shared" si="3"/>
        <v>116340.65969999996</v>
      </c>
      <c r="N18" s="44"/>
      <c r="O18" s="69"/>
      <c r="Q18" s="241"/>
      <c r="S18" s="174"/>
    </row>
    <row r="19" spans="1:19">
      <c r="A19" s="26">
        <v>16</v>
      </c>
      <c r="B19" s="27">
        <v>45732</v>
      </c>
      <c r="C19" s="128"/>
      <c r="D19" s="129"/>
      <c r="E19" s="93">
        <v>0</v>
      </c>
      <c r="F19" s="93">
        <v>0</v>
      </c>
      <c r="G19" s="19">
        <f t="shared" si="0"/>
        <v>0</v>
      </c>
      <c r="H19" s="93">
        <v>0</v>
      </c>
      <c r="I19" s="345">
        <v>0</v>
      </c>
      <c r="J19" s="19">
        <f t="shared" si="1"/>
        <v>0</v>
      </c>
      <c r="K19" s="19">
        <f t="shared" si="2"/>
        <v>0</v>
      </c>
      <c r="L19" s="130">
        <v>0</v>
      </c>
      <c r="M19" s="130">
        <f t="shared" si="3"/>
        <v>116340.65969999996</v>
      </c>
      <c r="N19" s="44"/>
      <c r="O19" s="69"/>
    </row>
    <row r="20" spans="1:19">
      <c r="A20" s="26">
        <v>17</v>
      </c>
      <c r="B20" s="27">
        <v>45733</v>
      </c>
      <c r="C20" s="128"/>
      <c r="D20" s="129"/>
      <c r="E20" s="93">
        <v>600</v>
      </c>
      <c r="F20" s="93">
        <v>92.17</v>
      </c>
      <c r="G20" s="19">
        <f t="shared" si="0"/>
        <v>55302</v>
      </c>
      <c r="H20" s="93">
        <v>20</v>
      </c>
      <c r="I20" s="345">
        <v>104.3</v>
      </c>
      <c r="J20" s="19">
        <f t="shared" si="1"/>
        <v>2086</v>
      </c>
      <c r="K20" s="19">
        <f t="shared" si="2"/>
        <v>57388</v>
      </c>
      <c r="L20" s="130">
        <v>0</v>
      </c>
      <c r="M20" s="130">
        <f t="shared" si="3"/>
        <v>173728.65969999996</v>
      </c>
      <c r="N20" s="44"/>
      <c r="O20" s="69"/>
    </row>
    <row r="21" spans="1:19">
      <c r="A21" s="26">
        <v>18</v>
      </c>
      <c r="B21" s="27">
        <v>45734</v>
      </c>
      <c r="C21" s="128"/>
      <c r="D21" s="129"/>
      <c r="E21" s="93">
        <v>0</v>
      </c>
      <c r="F21" s="93">
        <v>0</v>
      </c>
      <c r="G21" s="19">
        <f t="shared" si="0"/>
        <v>0</v>
      </c>
      <c r="H21" s="93">
        <v>0</v>
      </c>
      <c r="I21" s="345">
        <v>0</v>
      </c>
      <c r="J21" s="19">
        <f t="shared" si="1"/>
        <v>0</v>
      </c>
      <c r="K21" s="19">
        <f t="shared" si="2"/>
        <v>0</v>
      </c>
      <c r="L21" s="130">
        <v>0</v>
      </c>
      <c r="M21" s="130">
        <f t="shared" si="3"/>
        <v>173728.65969999996</v>
      </c>
      <c r="N21" s="44"/>
      <c r="O21" s="69"/>
    </row>
    <row r="22" spans="1:19">
      <c r="A22" s="26">
        <v>19</v>
      </c>
      <c r="B22" s="27">
        <v>45735</v>
      </c>
      <c r="C22" s="128"/>
      <c r="D22" s="129"/>
      <c r="E22" s="93">
        <v>0</v>
      </c>
      <c r="F22" s="93">
        <v>0</v>
      </c>
      <c r="G22" s="19">
        <f t="shared" si="0"/>
        <v>0</v>
      </c>
      <c r="H22" s="93">
        <v>0</v>
      </c>
      <c r="I22" s="345">
        <v>0</v>
      </c>
      <c r="J22" s="19">
        <f t="shared" si="1"/>
        <v>0</v>
      </c>
      <c r="K22" s="19">
        <f t="shared" si="2"/>
        <v>0</v>
      </c>
      <c r="L22" s="130">
        <v>0</v>
      </c>
      <c r="M22" s="130">
        <f t="shared" si="3"/>
        <v>173728.65969999996</v>
      </c>
      <c r="N22" s="44"/>
      <c r="O22" s="69"/>
    </row>
    <row r="23" spans="1:19">
      <c r="A23" s="26">
        <v>20</v>
      </c>
      <c r="B23" s="27">
        <v>45736</v>
      </c>
      <c r="C23" s="128"/>
      <c r="D23" s="129"/>
      <c r="E23" s="93">
        <v>0</v>
      </c>
      <c r="F23" s="93">
        <v>0</v>
      </c>
      <c r="G23" s="19">
        <f t="shared" si="0"/>
        <v>0</v>
      </c>
      <c r="H23" s="93">
        <v>0</v>
      </c>
      <c r="I23" s="345">
        <v>0</v>
      </c>
      <c r="J23" s="19">
        <f t="shared" si="1"/>
        <v>0</v>
      </c>
      <c r="K23" s="19">
        <f t="shared" si="2"/>
        <v>0</v>
      </c>
      <c r="L23" s="130">
        <v>0</v>
      </c>
      <c r="M23" s="130">
        <f t="shared" si="3"/>
        <v>173728.65969999996</v>
      </c>
      <c r="N23" s="44"/>
      <c r="O23" s="69"/>
    </row>
    <row r="24" spans="1:19">
      <c r="A24" s="26">
        <v>21</v>
      </c>
      <c r="B24" s="27">
        <v>45737</v>
      </c>
      <c r="C24" s="128"/>
      <c r="D24" s="129"/>
      <c r="E24" s="93">
        <v>400</v>
      </c>
      <c r="F24" s="93">
        <v>92.17</v>
      </c>
      <c r="G24" s="19">
        <f t="shared" si="0"/>
        <v>36868</v>
      </c>
      <c r="H24" s="93">
        <v>20</v>
      </c>
      <c r="I24" s="345">
        <v>104.03</v>
      </c>
      <c r="J24" s="19">
        <f t="shared" si="1"/>
        <v>2080.6</v>
      </c>
      <c r="K24" s="19">
        <f t="shared" si="2"/>
        <v>38948.6</v>
      </c>
      <c r="L24" s="130">
        <v>0</v>
      </c>
      <c r="M24" s="130">
        <f t="shared" si="3"/>
        <v>212677.25969999997</v>
      </c>
      <c r="N24" s="254"/>
      <c r="O24" s="240"/>
    </row>
    <row r="25" spans="1:19">
      <c r="A25" s="26">
        <v>22</v>
      </c>
      <c r="B25" s="27">
        <v>45738</v>
      </c>
      <c r="C25" s="128"/>
      <c r="D25" s="129"/>
      <c r="E25" s="93">
        <v>0</v>
      </c>
      <c r="F25" s="93">
        <v>0</v>
      </c>
      <c r="G25" s="19">
        <f t="shared" si="0"/>
        <v>0</v>
      </c>
      <c r="H25" s="93">
        <v>0</v>
      </c>
      <c r="I25" s="345">
        <v>0</v>
      </c>
      <c r="J25" s="19">
        <f t="shared" si="1"/>
        <v>0</v>
      </c>
      <c r="K25" s="19">
        <f t="shared" si="2"/>
        <v>0</v>
      </c>
      <c r="L25" s="130">
        <v>0</v>
      </c>
      <c r="M25" s="130">
        <f t="shared" si="3"/>
        <v>212677.25969999997</v>
      </c>
      <c r="N25" s="44"/>
      <c r="O25" s="69"/>
    </row>
    <row r="26" spans="1:19">
      <c r="A26" s="26">
        <v>23</v>
      </c>
      <c r="B26" s="27">
        <v>45739</v>
      </c>
      <c r="C26" s="128"/>
      <c r="D26" s="129"/>
      <c r="E26" s="93">
        <v>0</v>
      </c>
      <c r="F26" s="93">
        <v>0</v>
      </c>
      <c r="G26" s="19">
        <f t="shared" si="0"/>
        <v>0</v>
      </c>
      <c r="H26" s="93">
        <v>0</v>
      </c>
      <c r="I26" s="345">
        <v>0</v>
      </c>
      <c r="J26" s="19">
        <f t="shared" si="1"/>
        <v>0</v>
      </c>
      <c r="K26" s="19">
        <f t="shared" si="2"/>
        <v>0</v>
      </c>
      <c r="L26" s="130">
        <v>212656.9</v>
      </c>
      <c r="M26" s="130">
        <f t="shared" si="3"/>
        <v>20.359699999971781</v>
      </c>
      <c r="N26" s="44"/>
      <c r="O26" s="69"/>
    </row>
    <row r="27" spans="1:19">
      <c r="A27" s="26">
        <v>24</v>
      </c>
      <c r="B27" s="27">
        <v>45740</v>
      </c>
      <c r="C27" s="128"/>
      <c r="D27" s="129"/>
      <c r="E27" s="93">
        <v>0</v>
      </c>
      <c r="F27" s="93">
        <v>0</v>
      </c>
      <c r="G27" s="19">
        <f t="shared" si="0"/>
        <v>0</v>
      </c>
      <c r="H27" s="93">
        <v>0</v>
      </c>
      <c r="I27" s="345">
        <v>0</v>
      </c>
      <c r="J27" s="19">
        <f t="shared" si="1"/>
        <v>0</v>
      </c>
      <c r="K27" s="19">
        <f t="shared" si="2"/>
        <v>0</v>
      </c>
      <c r="L27" s="130">
        <v>0</v>
      </c>
      <c r="M27" s="130">
        <f t="shared" si="3"/>
        <v>20.359699999971781</v>
      </c>
      <c r="N27" s="44"/>
      <c r="O27" s="69"/>
    </row>
    <row r="28" spans="1:19">
      <c r="A28" s="26">
        <v>25</v>
      </c>
      <c r="B28" s="27">
        <v>45741</v>
      </c>
      <c r="C28" s="128"/>
      <c r="D28" s="129"/>
      <c r="E28" s="93">
        <v>0</v>
      </c>
      <c r="F28" s="93">
        <v>0</v>
      </c>
      <c r="G28" s="19">
        <f t="shared" si="0"/>
        <v>0</v>
      </c>
      <c r="H28" s="93">
        <v>0</v>
      </c>
      <c r="I28" s="345">
        <v>0</v>
      </c>
      <c r="J28" s="19">
        <f t="shared" si="1"/>
        <v>0</v>
      </c>
      <c r="K28" s="19">
        <f t="shared" si="2"/>
        <v>0</v>
      </c>
      <c r="L28" s="130">
        <v>0</v>
      </c>
      <c r="M28" s="130">
        <f t="shared" si="3"/>
        <v>20.359699999971781</v>
      </c>
      <c r="N28" s="44"/>
      <c r="O28" s="69"/>
    </row>
    <row r="29" spans="1:19">
      <c r="A29" s="26">
        <v>26</v>
      </c>
      <c r="B29" s="27">
        <v>45742</v>
      </c>
      <c r="C29" s="128"/>
      <c r="D29" s="129"/>
      <c r="E29" s="93">
        <v>400</v>
      </c>
      <c r="F29" s="93">
        <v>92.17</v>
      </c>
      <c r="G29" s="19">
        <f t="shared" si="0"/>
        <v>36868</v>
      </c>
      <c r="H29" s="93">
        <v>35</v>
      </c>
      <c r="I29" s="345">
        <v>104.03</v>
      </c>
      <c r="J29" s="19">
        <f t="shared" si="1"/>
        <v>3641.05</v>
      </c>
      <c r="K29" s="19">
        <f t="shared" si="2"/>
        <v>40509.050000000003</v>
      </c>
      <c r="L29" s="130">
        <v>0</v>
      </c>
      <c r="M29" s="130">
        <f>M28+K29-L29</f>
        <v>40529.409699999975</v>
      </c>
      <c r="N29" s="44"/>
      <c r="O29" s="69"/>
    </row>
    <row r="30" spans="1:19">
      <c r="A30" s="26">
        <v>27</v>
      </c>
      <c r="B30" s="27">
        <v>45743</v>
      </c>
      <c r="C30" s="128"/>
      <c r="D30" s="129"/>
      <c r="E30" s="93">
        <v>0</v>
      </c>
      <c r="F30" s="93">
        <v>0</v>
      </c>
      <c r="G30" s="19">
        <f t="shared" si="0"/>
        <v>0</v>
      </c>
      <c r="H30" s="93">
        <v>0</v>
      </c>
      <c r="I30" s="345">
        <v>0</v>
      </c>
      <c r="J30" s="19">
        <f t="shared" si="1"/>
        <v>0</v>
      </c>
      <c r="K30" s="19">
        <f t="shared" si="2"/>
        <v>0</v>
      </c>
      <c r="L30" s="130">
        <v>0</v>
      </c>
      <c r="M30" s="130">
        <f t="shared" si="3"/>
        <v>40529.409699999975</v>
      </c>
      <c r="N30" s="44"/>
      <c r="O30" s="69"/>
    </row>
    <row r="31" spans="1:19">
      <c r="A31" s="26">
        <v>28</v>
      </c>
      <c r="B31" s="27">
        <v>45744</v>
      </c>
      <c r="C31" s="128"/>
      <c r="D31" s="129"/>
      <c r="E31" s="93">
        <v>0</v>
      </c>
      <c r="F31" s="93">
        <v>0</v>
      </c>
      <c r="G31" s="19">
        <f t="shared" si="0"/>
        <v>0</v>
      </c>
      <c r="H31" s="93">
        <v>0</v>
      </c>
      <c r="I31" s="345">
        <v>0</v>
      </c>
      <c r="J31" s="19">
        <f t="shared" si="1"/>
        <v>0</v>
      </c>
      <c r="K31" s="19">
        <f t="shared" si="2"/>
        <v>0</v>
      </c>
      <c r="L31" s="130">
        <v>0</v>
      </c>
      <c r="M31" s="130">
        <f t="shared" si="3"/>
        <v>40529.409699999975</v>
      </c>
      <c r="N31" s="44"/>
      <c r="O31" s="69"/>
      <c r="P31" s="241"/>
    </row>
    <row r="32" spans="1:19">
      <c r="A32" s="26">
        <v>29</v>
      </c>
      <c r="B32" s="27">
        <v>45745</v>
      </c>
      <c r="C32" s="128"/>
      <c r="D32" s="129"/>
      <c r="E32" s="93">
        <v>0</v>
      </c>
      <c r="F32" s="93">
        <v>0</v>
      </c>
      <c r="G32" s="19">
        <f t="shared" si="0"/>
        <v>0</v>
      </c>
      <c r="H32" s="93">
        <v>0</v>
      </c>
      <c r="I32" s="345">
        <v>0</v>
      </c>
      <c r="J32" s="19">
        <f t="shared" si="1"/>
        <v>0</v>
      </c>
      <c r="K32" s="19">
        <f t="shared" si="2"/>
        <v>0</v>
      </c>
      <c r="L32" s="130">
        <v>0</v>
      </c>
      <c r="M32" s="130">
        <f t="shared" si="3"/>
        <v>40529.409699999975</v>
      </c>
      <c r="N32" s="44"/>
      <c r="O32" s="69"/>
    </row>
    <row r="33" spans="1:19">
      <c r="A33" s="26">
        <v>30</v>
      </c>
      <c r="B33" s="27">
        <v>45746</v>
      </c>
      <c r="C33" s="128"/>
      <c r="D33" s="129"/>
      <c r="E33" s="93">
        <v>0</v>
      </c>
      <c r="F33" s="93">
        <v>0</v>
      </c>
      <c r="G33" s="19">
        <f t="shared" si="0"/>
        <v>0</v>
      </c>
      <c r="H33" s="93">
        <v>0</v>
      </c>
      <c r="I33" s="345">
        <v>0</v>
      </c>
      <c r="J33" s="19">
        <f t="shared" si="1"/>
        <v>0</v>
      </c>
      <c r="K33" s="19">
        <f t="shared" si="2"/>
        <v>0</v>
      </c>
      <c r="L33" s="130">
        <v>0</v>
      </c>
      <c r="M33" s="130">
        <f t="shared" si="3"/>
        <v>40529.409699999975</v>
      </c>
      <c r="N33" s="44"/>
      <c r="O33" s="69"/>
      <c r="P33" s="241"/>
    </row>
    <row r="34" spans="1:19">
      <c r="A34" s="26">
        <v>31</v>
      </c>
      <c r="B34" s="27">
        <v>45747</v>
      </c>
      <c r="C34" s="128"/>
      <c r="D34" s="129"/>
      <c r="E34" s="93">
        <v>400</v>
      </c>
      <c r="F34" s="93">
        <v>92.17</v>
      </c>
      <c r="G34" s="19">
        <v>36868</v>
      </c>
      <c r="H34" s="93">
        <v>20</v>
      </c>
      <c r="I34" s="345">
        <v>104.03</v>
      </c>
      <c r="J34" s="19">
        <f t="shared" si="1"/>
        <v>2080.6</v>
      </c>
      <c r="K34" s="19">
        <f t="shared" si="2"/>
        <v>38948.6</v>
      </c>
      <c r="L34" s="130">
        <v>0</v>
      </c>
      <c r="M34" s="130">
        <f t="shared" si="3"/>
        <v>79478.009699999966</v>
      </c>
      <c r="N34" s="44"/>
      <c r="O34" s="69"/>
    </row>
    <row r="35" spans="1:19">
      <c r="A35" s="26"/>
      <c r="B35" s="27"/>
      <c r="C35" s="128"/>
      <c r="D35" s="129"/>
      <c r="E35" s="93">
        <v>0</v>
      </c>
      <c r="F35" s="93">
        <v>0</v>
      </c>
      <c r="G35" s="19">
        <f t="shared" si="0"/>
        <v>0</v>
      </c>
      <c r="H35" s="93">
        <v>0</v>
      </c>
      <c r="I35" s="345">
        <v>0</v>
      </c>
      <c r="J35" s="19">
        <f t="shared" si="1"/>
        <v>0</v>
      </c>
      <c r="K35" s="19">
        <f t="shared" si="2"/>
        <v>0</v>
      </c>
      <c r="L35" s="130">
        <v>0</v>
      </c>
      <c r="M35" s="130">
        <f t="shared" si="3"/>
        <v>79478.009699999966</v>
      </c>
      <c r="N35" s="44"/>
      <c r="O35" s="69"/>
    </row>
    <row r="36" spans="1:19">
      <c r="A36" s="26"/>
      <c r="B36" s="27"/>
      <c r="C36" s="128"/>
      <c r="D36" s="129"/>
      <c r="E36" s="93">
        <v>0</v>
      </c>
      <c r="F36" s="93">
        <v>0</v>
      </c>
      <c r="G36" s="19">
        <f t="shared" ref="G36" si="4">E36*F36</f>
        <v>0</v>
      </c>
      <c r="H36" s="93">
        <v>0</v>
      </c>
      <c r="I36" s="345">
        <v>0</v>
      </c>
      <c r="J36" s="19">
        <f t="shared" ref="J36" si="5">H36*I36</f>
        <v>0</v>
      </c>
      <c r="K36" s="19">
        <f t="shared" ref="K36" si="6">G36+J36</f>
        <v>0</v>
      </c>
      <c r="L36" s="130">
        <v>0</v>
      </c>
      <c r="M36" s="130">
        <f t="shared" si="3"/>
        <v>79478.009699999966</v>
      </c>
      <c r="N36" s="44"/>
      <c r="O36" s="69"/>
    </row>
    <row r="37" spans="1:19">
      <c r="A37" s="42"/>
      <c r="B37" s="42"/>
      <c r="C37" s="42"/>
      <c r="D37" s="42"/>
      <c r="E37" s="43">
        <f>SUM(E4:E35)</f>
        <v>4600</v>
      </c>
      <c r="F37" s="43"/>
      <c r="G37" s="43">
        <f>SUM(G4:G35)</f>
        <v>423982</v>
      </c>
      <c r="H37" s="43">
        <f>SUM(H4:H35)</f>
        <v>205</v>
      </c>
      <c r="I37" s="43"/>
      <c r="J37" s="43">
        <f>SUM(J4:J35)</f>
        <v>21336.95</v>
      </c>
      <c r="K37" s="43">
        <f>SUM(K4:K35)</f>
        <v>445318.94999999995</v>
      </c>
      <c r="L37" s="43">
        <f>SUM(L4:L35)</f>
        <v>424793.9</v>
      </c>
      <c r="M37" s="43"/>
      <c r="N37" s="43"/>
      <c r="O37" s="33"/>
    </row>
    <row r="38" spans="1:19">
      <c r="A38" s="72"/>
      <c r="B38" s="73"/>
      <c r="C38" s="72"/>
      <c r="D38" s="72"/>
      <c r="E38" s="74">
        <v>0</v>
      </c>
      <c r="F38" s="74"/>
      <c r="G38" s="74">
        <v>0</v>
      </c>
      <c r="H38" s="74">
        <v>0</v>
      </c>
      <c r="I38" s="74"/>
      <c r="J38" s="75">
        <v>0</v>
      </c>
      <c r="K38" s="75">
        <f>G38+J38</f>
        <v>0</v>
      </c>
      <c r="L38" s="75">
        <v>0</v>
      </c>
      <c r="M38" s="75"/>
      <c r="N38" s="74"/>
      <c r="O38" s="69"/>
    </row>
    <row r="39" spans="1:19">
      <c r="E39" s="135"/>
      <c r="F39" s="135"/>
      <c r="G39" s="135"/>
      <c r="H39" s="135"/>
      <c r="I39" s="135"/>
      <c r="J39" s="135"/>
      <c r="K39" s="135"/>
      <c r="L39" s="135"/>
      <c r="M39" s="241"/>
      <c r="O39" s="69"/>
    </row>
    <row r="40" spans="1:19">
      <c r="O40" s="69"/>
    </row>
    <row r="41" spans="1:19">
      <c r="M41" s="174"/>
      <c r="O41" s="69"/>
    </row>
    <row r="42" spans="1:19">
      <c r="O42" s="69"/>
    </row>
    <row r="43" spans="1:19">
      <c r="O43" s="69"/>
      <c r="S43">
        <v>9052944708</v>
      </c>
    </row>
    <row r="44" spans="1:19">
      <c r="A44" s="69"/>
      <c r="B44" s="59"/>
      <c r="C44" s="69"/>
      <c r="D44" s="69"/>
      <c r="E44" s="69"/>
      <c r="F44" s="69"/>
      <c r="G44" s="76"/>
      <c r="H44" s="69"/>
      <c r="I44" s="69"/>
      <c r="J44" s="59"/>
      <c r="K44" s="59"/>
      <c r="L44" s="59"/>
      <c r="M44" s="59"/>
      <c r="N44" s="69"/>
      <c r="O44" s="74"/>
    </row>
    <row r="45" spans="1:19">
      <c r="A45" s="69"/>
      <c r="B45" s="463"/>
      <c r="C45" s="463"/>
      <c r="D45" s="463"/>
      <c r="E45" s="463"/>
      <c r="F45" s="69"/>
      <c r="G45" s="69"/>
      <c r="H45" s="69"/>
      <c r="I45" s="463"/>
      <c r="J45" s="463"/>
      <c r="K45" s="463"/>
      <c r="L45" s="463"/>
      <c r="M45" s="463"/>
      <c r="N45" s="463"/>
      <c r="O45" s="74"/>
    </row>
    <row r="46" spans="1:19">
      <c r="A46" s="69"/>
      <c r="B46" s="59"/>
      <c r="C46" s="69"/>
      <c r="D46" s="69"/>
      <c r="E46" s="69"/>
      <c r="F46" s="69"/>
      <c r="G46" s="69"/>
      <c r="H46" s="69"/>
      <c r="I46" s="69"/>
      <c r="J46" s="59"/>
      <c r="K46" s="59"/>
      <c r="L46" s="59"/>
      <c r="M46" s="59"/>
      <c r="N46" s="69"/>
      <c r="O46" s="74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topLeftCell="A19" workbookViewId="0">
      <selection activeCell="M32" sqref="M32"/>
    </sheetView>
  </sheetViews>
  <sheetFormatPr defaultRowHeight="15"/>
  <cols>
    <col min="2" max="2" width="10.140625" bestFit="1" customWidth="1"/>
    <col min="4" max="4" width="24.85546875" bestFit="1" customWidth="1"/>
    <col min="12" max="12" width="9.28515625" bestFit="1" customWidth="1"/>
  </cols>
  <sheetData>
    <row r="1" spans="1:14" ht="15.75">
      <c r="A1" s="469" t="s">
        <v>212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</row>
    <row r="2" spans="1:14" ht="25.5">
      <c r="A2" s="103" t="s">
        <v>0</v>
      </c>
      <c r="B2" s="106" t="s">
        <v>161</v>
      </c>
      <c r="C2" s="106" t="s">
        <v>162</v>
      </c>
      <c r="D2" s="106" t="s">
        <v>163</v>
      </c>
      <c r="E2" s="106" t="s">
        <v>164</v>
      </c>
      <c r="F2" s="106" t="s">
        <v>165</v>
      </c>
      <c r="G2" s="106" t="s">
        <v>166</v>
      </c>
      <c r="H2" s="106" t="s">
        <v>167</v>
      </c>
      <c r="I2" s="106" t="s">
        <v>165</v>
      </c>
      <c r="J2" s="106" t="s">
        <v>166</v>
      </c>
      <c r="K2" s="106" t="s">
        <v>168</v>
      </c>
      <c r="L2" s="106" t="s">
        <v>169</v>
      </c>
      <c r="M2" s="106" t="s">
        <v>181</v>
      </c>
      <c r="N2" s="106" t="s">
        <v>171</v>
      </c>
    </row>
    <row r="3" spans="1:14">
      <c r="A3" s="472" t="s">
        <v>172</v>
      </c>
      <c r="B3" s="472"/>
      <c r="C3" s="472"/>
      <c r="D3" s="472"/>
      <c r="E3" s="472"/>
      <c r="F3" s="472"/>
      <c r="G3" s="472"/>
      <c r="H3" s="472"/>
      <c r="I3" s="472"/>
      <c r="J3" s="472"/>
      <c r="K3" s="95">
        <v>22607.215199999977</v>
      </c>
      <c r="L3" s="95">
        <v>0</v>
      </c>
      <c r="M3" s="95">
        <v>22607.215199999977</v>
      </c>
      <c r="N3" s="17"/>
    </row>
    <row r="4" spans="1:14">
      <c r="A4" s="26">
        <v>1</v>
      </c>
      <c r="B4" s="27">
        <v>46082</v>
      </c>
      <c r="C4" s="17"/>
      <c r="D4" s="17"/>
      <c r="E4" s="86"/>
      <c r="F4" s="86"/>
      <c r="G4" s="17">
        <f>E4*F4</f>
        <v>0</v>
      </c>
      <c r="H4" s="86"/>
      <c r="I4" s="86"/>
      <c r="J4" s="17">
        <f>H4*I4</f>
        <v>0</v>
      </c>
      <c r="K4" s="17">
        <f>G4+J4</f>
        <v>0</v>
      </c>
      <c r="L4" s="17"/>
      <c r="M4" s="17">
        <f>M3+K4-L4</f>
        <v>22607.215199999977</v>
      </c>
      <c r="N4" s="44"/>
    </row>
    <row r="5" spans="1:14">
      <c r="A5" s="26">
        <v>2</v>
      </c>
      <c r="B5" s="27">
        <v>46083</v>
      </c>
      <c r="C5" s="17"/>
      <c r="D5" s="17"/>
      <c r="E5" s="86"/>
      <c r="F5" s="86"/>
      <c r="G5" s="17">
        <f t="shared" ref="G5:G32" si="0">E5*F5</f>
        <v>0</v>
      </c>
      <c r="H5" s="86"/>
      <c r="I5" s="86"/>
      <c r="J5" s="17">
        <f t="shared" ref="J5:J32" si="1">H5*I5</f>
        <v>0</v>
      </c>
      <c r="K5" s="17">
        <f t="shared" ref="K5:K32" si="2">G5+J5</f>
        <v>0</v>
      </c>
      <c r="L5" s="17"/>
      <c r="M5" s="17">
        <f t="shared" ref="M5:M34" si="3">M4+K5-L5</f>
        <v>22607.215199999977</v>
      </c>
      <c r="N5" s="44"/>
    </row>
    <row r="6" spans="1:14">
      <c r="A6" s="26">
        <v>3</v>
      </c>
      <c r="B6" s="27">
        <v>46084</v>
      </c>
      <c r="C6" s="17"/>
      <c r="D6" s="17"/>
      <c r="E6" s="86"/>
      <c r="F6" s="86"/>
      <c r="G6" s="17">
        <f t="shared" si="0"/>
        <v>0</v>
      </c>
      <c r="H6" s="86"/>
      <c r="I6" s="86"/>
      <c r="J6" s="17">
        <f t="shared" si="1"/>
        <v>0</v>
      </c>
      <c r="K6" s="17">
        <f t="shared" si="2"/>
        <v>0</v>
      </c>
      <c r="L6" s="17"/>
      <c r="M6" s="17">
        <f t="shared" si="3"/>
        <v>22607.215199999977</v>
      </c>
      <c r="N6" s="44"/>
    </row>
    <row r="7" spans="1:14">
      <c r="A7" s="26">
        <v>4</v>
      </c>
      <c r="B7" s="27">
        <v>46085</v>
      </c>
      <c r="C7" s="17"/>
      <c r="D7" s="17"/>
      <c r="E7" s="86"/>
      <c r="F7" s="86"/>
      <c r="G7" s="17">
        <f t="shared" si="0"/>
        <v>0</v>
      </c>
      <c r="H7" s="86"/>
      <c r="I7" s="86"/>
      <c r="J7" s="17">
        <f t="shared" si="1"/>
        <v>0</v>
      </c>
      <c r="K7" s="17">
        <f t="shared" si="2"/>
        <v>0</v>
      </c>
      <c r="L7" s="17"/>
      <c r="M7" s="17">
        <f t="shared" si="3"/>
        <v>22607.215199999977</v>
      </c>
      <c r="N7" s="44"/>
    </row>
    <row r="8" spans="1:14">
      <c r="A8" s="26">
        <v>5</v>
      </c>
      <c r="B8" s="27">
        <v>46086</v>
      </c>
      <c r="C8" s="17"/>
      <c r="D8" s="17"/>
      <c r="E8" s="86"/>
      <c r="F8" s="86"/>
      <c r="G8" s="17">
        <f t="shared" si="0"/>
        <v>0</v>
      </c>
      <c r="H8" s="86"/>
      <c r="I8" s="86"/>
      <c r="J8" s="17">
        <f t="shared" si="1"/>
        <v>0</v>
      </c>
      <c r="K8" s="17">
        <f t="shared" si="2"/>
        <v>0</v>
      </c>
      <c r="L8" s="17"/>
      <c r="M8" s="17">
        <f t="shared" si="3"/>
        <v>22607.215199999977</v>
      </c>
      <c r="N8" s="44"/>
    </row>
    <row r="9" spans="1:14">
      <c r="A9" s="26">
        <v>6</v>
      </c>
      <c r="B9" s="27">
        <v>46087</v>
      </c>
      <c r="C9" s="17"/>
      <c r="D9" s="17"/>
      <c r="E9" s="86">
        <v>200</v>
      </c>
      <c r="F9" s="86">
        <v>92.22</v>
      </c>
      <c r="G9" s="17">
        <f t="shared" si="0"/>
        <v>18444</v>
      </c>
      <c r="H9" s="86">
        <v>55</v>
      </c>
      <c r="I9" s="86">
        <v>104.38</v>
      </c>
      <c r="J9" s="17">
        <f t="shared" si="1"/>
        <v>5740.9</v>
      </c>
      <c r="K9" s="17">
        <f t="shared" si="2"/>
        <v>24184.9</v>
      </c>
      <c r="L9" s="17"/>
      <c r="M9" s="17">
        <f t="shared" si="3"/>
        <v>46792.115199999978</v>
      </c>
      <c r="N9" s="44"/>
    </row>
    <row r="10" spans="1:14">
      <c r="A10" s="26">
        <v>7</v>
      </c>
      <c r="B10" s="27">
        <v>46088</v>
      </c>
      <c r="C10" s="17"/>
      <c r="D10" s="17"/>
      <c r="E10" s="86"/>
      <c r="F10" s="86"/>
      <c r="G10" s="17">
        <f t="shared" si="0"/>
        <v>0</v>
      </c>
      <c r="H10" s="86"/>
      <c r="I10" s="86"/>
      <c r="J10" s="17">
        <f t="shared" si="1"/>
        <v>0</v>
      </c>
      <c r="K10" s="17">
        <f t="shared" si="2"/>
        <v>0</v>
      </c>
      <c r="L10" s="17"/>
      <c r="M10" s="17">
        <f t="shared" si="3"/>
        <v>46792.115199999978</v>
      </c>
      <c r="N10" s="44"/>
    </row>
    <row r="11" spans="1:14">
      <c r="A11" s="26">
        <v>8</v>
      </c>
      <c r="B11" s="27">
        <v>46089</v>
      </c>
      <c r="C11" s="17"/>
      <c r="D11" s="17"/>
      <c r="E11" s="86"/>
      <c r="F11" s="86"/>
      <c r="G11" s="17">
        <f t="shared" si="0"/>
        <v>0</v>
      </c>
      <c r="H11" s="86"/>
      <c r="I11" s="86"/>
      <c r="J11" s="17">
        <f t="shared" si="1"/>
        <v>0</v>
      </c>
      <c r="K11" s="17">
        <f t="shared" si="2"/>
        <v>0</v>
      </c>
      <c r="L11" s="17"/>
      <c r="M11" s="17">
        <f t="shared" si="3"/>
        <v>46792.115199999978</v>
      </c>
      <c r="N11" s="44"/>
    </row>
    <row r="12" spans="1:14">
      <c r="A12" s="26">
        <v>9</v>
      </c>
      <c r="B12" s="27">
        <v>46090</v>
      </c>
      <c r="C12" s="17"/>
      <c r="D12" s="17"/>
      <c r="E12" s="86"/>
      <c r="F12" s="86"/>
      <c r="G12" s="17">
        <f t="shared" si="0"/>
        <v>0</v>
      </c>
      <c r="H12" s="86"/>
      <c r="I12" s="86"/>
      <c r="J12" s="17">
        <f t="shared" si="1"/>
        <v>0</v>
      </c>
      <c r="K12" s="17">
        <f t="shared" si="2"/>
        <v>0</v>
      </c>
      <c r="L12" s="17"/>
      <c r="M12" s="17">
        <f t="shared" si="3"/>
        <v>46792.115199999978</v>
      </c>
      <c r="N12" s="44"/>
    </row>
    <row r="13" spans="1:14">
      <c r="A13" s="26">
        <v>10</v>
      </c>
      <c r="B13" s="27">
        <v>46091</v>
      </c>
      <c r="C13" s="17"/>
      <c r="D13" s="17"/>
      <c r="E13" s="86"/>
      <c r="F13" s="86"/>
      <c r="G13" s="17">
        <f t="shared" si="0"/>
        <v>0</v>
      </c>
      <c r="H13" s="86"/>
      <c r="I13" s="86"/>
      <c r="J13" s="17">
        <f t="shared" si="1"/>
        <v>0</v>
      </c>
      <c r="K13" s="17">
        <f t="shared" si="2"/>
        <v>0</v>
      </c>
      <c r="L13" s="17"/>
      <c r="M13" s="17">
        <f t="shared" si="3"/>
        <v>46792.115199999978</v>
      </c>
      <c r="N13" s="44"/>
    </row>
    <row r="14" spans="1:14">
      <c r="A14" s="26">
        <v>11</v>
      </c>
      <c r="B14" s="27">
        <v>46092</v>
      </c>
      <c r="C14" s="17"/>
      <c r="D14" s="17"/>
      <c r="E14" s="86"/>
      <c r="F14" s="86"/>
      <c r="G14" s="17">
        <f t="shared" si="0"/>
        <v>0</v>
      </c>
      <c r="H14" s="86"/>
      <c r="I14" s="86"/>
      <c r="J14" s="17">
        <f t="shared" si="1"/>
        <v>0</v>
      </c>
      <c r="K14" s="17">
        <f t="shared" si="2"/>
        <v>0</v>
      </c>
      <c r="L14" s="17"/>
      <c r="M14" s="17">
        <f t="shared" si="3"/>
        <v>46792.115199999978</v>
      </c>
      <c r="N14" s="44"/>
    </row>
    <row r="15" spans="1:14">
      <c r="A15" s="26">
        <v>12</v>
      </c>
      <c r="B15" s="27">
        <v>46093</v>
      </c>
      <c r="C15" s="17"/>
      <c r="D15" s="17"/>
      <c r="E15" s="86"/>
      <c r="F15" s="86"/>
      <c r="G15" s="17">
        <f t="shared" si="0"/>
        <v>0</v>
      </c>
      <c r="H15" s="86"/>
      <c r="I15" s="86"/>
      <c r="J15" s="17">
        <f t="shared" si="1"/>
        <v>0</v>
      </c>
      <c r="K15" s="17">
        <f t="shared" si="2"/>
        <v>0</v>
      </c>
      <c r="L15" s="17">
        <v>46775.6</v>
      </c>
      <c r="M15" s="40">
        <f t="shared" si="3"/>
        <v>16.515199999979814</v>
      </c>
      <c r="N15" s="44"/>
    </row>
    <row r="16" spans="1:14">
      <c r="A16" s="26">
        <v>13</v>
      </c>
      <c r="B16" s="27">
        <v>46094</v>
      </c>
      <c r="C16" s="17"/>
      <c r="D16" s="17"/>
      <c r="E16" s="86"/>
      <c r="F16" s="86"/>
      <c r="G16" s="17">
        <f t="shared" si="0"/>
        <v>0</v>
      </c>
      <c r="H16" s="86"/>
      <c r="I16" s="86"/>
      <c r="J16" s="17">
        <f t="shared" si="1"/>
        <v>0</v>
      </c>
      <c r="K16" s="17">
        <f t="shared" si="2"/>
        <v>0</v>
      </c>
      <c r="L16" s="17"/>
      <c r="M16" s="40">
        <f t="shared" si="3"/>
        <v>16.515199999979814</v>
      </c>
      <c r="N16" s="44"/>
    </row>
    <row r="17" spans="1:14">
      <c r="A17" s="26">
        <v>14</v>
      </c>
      <c r="B17" s="27">
        <v>46095</v>
      </c>
      <c r="C17" s="17"/>
      <c r="D17" s="17"/>
      <c r="E17" s="86"/>
      <c r="F17" s="86"/>
      <c r="G17" s="17">
        <f t="shared" si="0"/>
        <v>0</v>
      </c>
      <c r="H17" s="86"/>
      <c r="I17" s="86"/>
      <c r="J17" s="17">
        <f t="shared" si="1"/>
        <v>0</v>
      </c>
      <c r="K17" s="17">
        <f t="shared" si="2"/>
        <v>0</v>
      </c>
      <c r="L17" s="17"/>
      <c r="M17" s="40">
        <f t="shared" si="3"/>
        <v>16.515199999979814</v>
      </c>
      <c r="N17" s="44"/>
    </row>
    <row r="18" spans="1:14">
      <c r="A18" s="26">
        <v>15</v>
      </c>
      <c r="B18" s="27">
        <v>46096</v>
      </c>
      <c r="C18" s="17"/>
      <c r="D18" s="17"/>
      <c r="E18" s="86"/>
      <c r="F18" s="86"/>
      <c r="G18" s="17">
        <f t="shared" si="0"/>
        <v>0</v>
      </c>
      <c r="H18" s="86"/>
      <c r="I18" s="86"/>
      <c r="J18" s="17">
        <f t="shared" si="1"/>
        <v>0</v>
      </c>
      <c r="K18" s="17">
        <f t="shared" si="2"/>
        <v>0</v>
      </c>
      <c r="L18" s="17"/>
      <c r="M18" s="40">
        <f t="shared" si="3"/>
        <v>16.515199999979814</v>
      </c>
      <c r="N18" s="44"/>
    </row>
    <row r="19" spans="1:14">
      <c r="A19" s="26">
        <v>16</v>
      </c>
      <c r="B19" s="27">
        <v>46097</v>
      </c>
      <c r="C19" s="17"/>
      <c r="D19" s="17"/>
      <c r="E19" s="86"/>
      <c r="F19" s="86"/>
      <c r="G19" s="17">
        <f t="shared" si="0"/>
        <v>0</v>
      </c>
      <c r="H19" s="86"/>
      <c r="I19" s="86"/>
      <c r="J19" s="17">
        <f t="shared" si="1"/>
        <v>0</v>
      </c>
      <c r="K19" s="17">
        <f t="shared" si="2"/>
        <v>0</v>
      </c>
      <c r="L19" s="17"/>
      <c r="M19" s="40">
        <f t="shared" si="3"/>
        <v>16.515199999979814</v>
      </c>
      <c r="N19" s="44"/>
    </row>
    <row r="20" spans="1:14">
      <c r="A20" s="26">
        <v>17</v>
      </c>
      <c r="B20" s="27">
        <v>46098</v>
      </c>
      <c r="C20" s="17"/>
      <c r="D20" s="17"/>
      <c r="E20" s="86"/>
      <c r="F20" s="86"/>
      <c r="G20" s="17">
        <f t="shared" si="0"/>
        <v>0</v>
      </c>
      <c r="H20" s="86"/>
      <c r="I20" s="86"/>
      <c r="J20" s="17">
        <f t="shared" si="1"/>
        <v>0</v>
      </c>
      <c r="K20" s="17">
        <f t="shared" si="2"/>
        <v>0</v>
      </c>
      <c r="L20" s="17"/>
      <c r="M20" s="40">
        <f t="shared" si="3"/>
        <v>16.515199999979814</v>
      </c>
      <c r="N20" s="44"/>
    </row>
    <row r="21" spans="1:14">
      <c r="A21" s="26">
        <v>18</v>
      </c>
      <c r="B21" s="27">
        <v>46099</v>
      </c>
      <c r="C21" s="17"/>
      <c r="D21" s="17"/>
      <c r="E21" s="86"/>
      <c r="F21" s="86"/>
      <c r="G21" s="17">
        <f t="shared" si="0"/>
        <v>0</v>
      </c>
      <c r="H21" s="86"/>
      <c r="I21" s="86"/>
      <c r="J21" s="17">
        <f t="shared" si="1"/>
        <v>0</v>
      </c>
      <c r="K21" s="17">
        <f t="shared" si="2"/>
        <v>0</v>
      </c>
      <c r="L21" s="17"/>
      <c r="M21" s="40">
        <f t="shared" si="3"/>
        <v>16.515199999979814</v>
      </c>
      <c r="N21" s="44"/>
    </row>
    <row r="22" spans="1:14">
      <c r="A22" s="26">
        <v>19</v>
      </c>
      <c r="B22" s="27">
        <v>46100</v>
      </c>
      <c r="C22" s="17"/>
      <c r="D22" s="17"/>
      <c r="E22" s="86"/>
      <c r="F22" s="86"/>
      <c r="G22" s="17">
        <f t="shared" si="0"/>
        <v>0</v>
      </c>
      <c r="H22" s="86"/>
      <c r="I22" s="86"/>
      <c r="J22" s="17">
        <f t="shared" si="1"/>
        <v>0</v>
      </c>
      <c r="K22" s="17">
        <f t="shared" si="2"/>
        <v>0</v>
      </c>
      <c r="L22" s="17"/>
      <c r="M22" s="40">
        <f t="shared" si="3"/>
        <v>16.515199999979814</v>
      </c>
      <c r="N22" s="44"/>
    </row>
    <row r="23" spans="1:14">
      <c r="A23" s="26">
        <v>20</v>
      </c>
      <c r="B23" s="27">
        <v>46101</v>
      </c>
      <c r="C23" s="17"/>
      <c r="D23" s="17"/>
      <c r="E23" s="86"/>
      <c r="F23" s="86"/>
      <c r="G23" s="17">
        <f t="shared" si="0"/>
        <v>0</v>
      </c>
      <c r="H23" s="86"/>
      <c r="I23" s="86"/>
      <c r="J23" s="17">
        <f t="shared" si="1"/>
        <v>0</v>
      </c>
      <c r="K23" s="17">
        <f t="shared" si="2"/>
        <v>0</v>
      </c>
      <c r="L23" s="17"/>
      <c r="M23" s="40">
        <f t="shared" si="3"/>
        <v>16.515199999979814</v>
      </c>
      <c r="N23" s="44"/>
    </row>
    <row r="24" spans="1:14">
      <c r="A24" s="26">
        <v>21</v>
      </c>
      <c r="B24" s="27">
        <v>46102</v>
      </c>
      <c r="C24" s="17"/>
      <c r="D24" s="17"/>
      <c r="E24" s="86"/>
      <c r="F24" s="86"/>
      <c r="G24" s="17">
        <f t="shared" si="0"/>
        <v>0</v>
      </c>
      <c r="H24" s="86"/>
      <c r="I24" s="86"/>
      <c r="J24" s="17">
        <f t="shared" si="1"/>
        <v>0</v>
      </c>
      <c r="K24" s="17">
        <f t="shared" si="2"/>
        <v>0</v>
      </c>
      <c r="L24" s="17"/>
      <c r="M24" s="40">
        <f t="shared" si="3"/>
        <v>16.515199999979814</v>
      </c>
      <c r="N24" s="44"/>
    </row>
    <row r="25" spans="1:14">
      <c r="A25" s="26">
        <v>22</v>
      </c>
      <c r="B25" s="27">
        <v>46103</v>
      </c>
      <c r="C25" s="17"/>
      <c r="D25" s="17"/>
      <c r="E25" s="86"/>
      <c r="F25" s="86"/>
      <c r="G25" s="17">
        <f t="shared" si="0"/>
        <v>0</v>
      </c>
      <c r="H25" s="86"/>
      <c r="I25" s="86"/>
      <c r="J25" s="17">
        <f t="shared" si="1"/>
        <v>0</v>
      </c>
      <c r="K25" s="17">
        <f t="shared" si="2"/>
        <v>0</v>
      </c>
      <c r="L25" s="17"/>
      <c r="M25" s="40">
        <f t="shared" si="3"/>
        <v>16.515199999979814</v>
      </c>
      <c r="N25" s="44"/>
    </row>
    <row r="26" spans="1:14">
      <c r="A26" s="26">
        <v>23</v>
      </c>
      <c r="B26" s="27">
        <v>46104</v>
      </c>
      <c r="C26" s="17"/>
      <c r="D26" s="17"/>
      <c r="E26" s="86"/>
      <c r="F26" s="86"/>
      <c r="G26" s="17">
        <f t="shared" si="0"/>
        <v>0</v>
      </c>
      <c r="H26" s="86">
        <v>20</v>
      </c>
      <c r="I26" s="86">
        <v>104.08</v>
      </c>
      <c r="J26" s="17">
        <f t="shared" si="1"/>
        <v>2081.6</v>
      </c>
      <c r="K26" s="17">
        <f t="shared" si="2"/>
        <v>2081.6</v>
      </c>
      <c r="L26" s="17"/>
      <c r="M26" s="40">
        <f t="shared" si="3"/>
        <v>2098.1151999999797</v>
      </c>
      <c r="N26" s="44"/>
    </row>
    <row r="27" spans="1:14">
      <c r="A27" s="26">
        <v>24</v>
      </c>
      <c r="B27" s="27">
        <v>46105</v>
      </c>
      <c r="C27" s="17"/>
      <c r="D27" s="17"/>
      <c r="E27" s="86"/>
      <c r="F27" s="86"/>
      <c r="G27" s="17">
        <f t="shared" si="0"/>
        <v>0</v>
      </c>
      <c r="H27" s="86"/>
      <c r="I27" s="86"/>
      <c r="J27" s="17">
        <f t="shared" si="1"/>
        <v>0</v>
      </c>
      <c r="K27" s="17">
        <f t="shared" si="2"/>
        <v>0</v>
      </c>
      <c r="L27" s="17"/>
      <c r="M27" s="40">
        <f t="shared" si="3"/>
        <v>2098.1151999999797</v>
      </c>
      <c r="N27" s="44"/>
    </row>
    <row r="28" spans="1:14">
      <c r="A28" s="26">
        <v>25</v>
      </c>
      <c r="B28" s="27">
        <v>46106</v>
      </c>
      <c r="C28" s="17"/>
      <c r="D28" s="17"/>
      <c r="E28" s="86"/>
      <c r="F28" s="86"/>
      <c r="G28" s="17">
        <f t="shared" si="0"/>
        <v>0</v>
      </c>
      <c r="H28" s="86"/>
      <c r="I28" s="86"/>
      <c r="J28" s="17">
        <f t="shared" si="1"/>
        <v>0</v>
      </c>
      <c r="K28" s="17">
        <f t="shared" si="2"/>
        <v>0</v>
      </c>
      <c r="L28" s="17"/>
      <c r="M28" s="40">
        <f t="shared" si="3"/>
        <v>2098.1151999999797</v>
      </c>
      <c r="N28" s="44"/>
    </row>
    <row r="29" spans="1:14">
      <c r="A29" s="26">
        <v>26</v>
      </c>
      <c r="B29" s="27">
        <v>46107</v>
      </c>
      <c r="C29" s="17"/>
      <c r="D29" s="17"/>
      <c r="E29" s="86"/>
      <c r="F29" s="86"/>
      <c r="G29" s="17">
        <f t="shared" si="0"/>
        <v>0</v>
      </c>
      <c r="H29" s="86"/>
      <c r="I29" s="86"/>
      <c r="J29" s="17">
        <f t="shared" si="1"/>
        <v>0</v>
      </c>
      <c r="K29" s="17">
        <f t="shared" si="2"/>
        <v>0</v>
      </c>
      <c r="L29" s="17"/>
      <c r="M29" s="40">
        <f t="shared" si="3"/>
        <v>2098.1151999999797</v>
      </c>
      <c r="N29" s="44"/>
    </row>
    <row r="30" spans="1:14">
      <c r="A30" s="26">
        <v>27</v>
      </c>
      <c r="B30" s="27">
        <v>46108</v>
      </c>
      <c r="C30" s="17"/>
      <c r="D30" s="17"/>
      <c r="E30" s="86"/>
      <c r="F30" s="86"/>
      <c r="G30" s="17">
        <f t="shared" si="0"/>
        <v>0</v>
      </c>
      <c r="H30" s="86"/>
      <c r="I30" s="86"/>
      <c r="J30" s="17">
        <f t="shared" si="1"/>
        <v>0</v>
      </c>
      <c r="K30" s="17">
        <f t="shared" si="2"/>
        <v>0</v>
      </c>
      <c r="L30" s="17"/>
      <c r="M30" s="40">
        <f t="shared" si="3"/>
        <v>2098.1151999999797</v>
      </c>
      <c r="N30" s="44"/>
    </row>
    <row r="31" spans="1:14">
      <c r="A31" s="26">
        <v>28</v>
      </c>
      <c r="B31" s="27">
        <v>46109</v>
      </c>
      <c r="C31" s="17"/>
      <c r="D31" s="17"/>
      <c r="E31" s="86"/>
      <c r="F31" s="86"/>
      <c r="G31" s="17">
        <f t="shared" si="0"/>
        <v>0</v>
      </c>
      <c r="H31" s="86">
        <v>20</v>
      </c>
      <c r="I31" s="86">
        <v>104.08</v>
      </c>
      <c r="J31" s="17">
        <f t="shared" si="1"/>
        <v>2081.6</v>
      </c>
      <c r="K31" s="17">
        <f t="shared" si="2"/>
        <v>2081.6</v>
      </c>
      <c r="L31" s="17"/>
      <c r="M31" s="40">
        <f t="shared" si="3"/>
        <v>4179.7151999999796</v>
      </c>
      <c r="N31" s="44"/>
    </row>
    <row r="32" spans="1:14">
      <c r="A32" s="26">
        <v>29</v>
      </c>
      <c r="B32" s="27">
        <v>46110</v>
      </c>
      <c r="C32" s="17"/>
      <c r="D32" s="17"/>
      <c r="E32" s="86"/>
      <c r="F32" s="86"/>
      <c r="G32" s="17">
        <f t="shared" si="0"/>
        <v>0</v>
      </c>
      <c r="H32" s="86"/>
      <c r="I32" s="86"/>
      <c r="J32" s="17">
        <f t="shared" si="1"/>
        <v>0</v>
      </c>
      <c r="K32" s="17">
        <f t="shared" si="2"/>
        <v>0</v>
      </c>
      <c r="L32" s="17">
        <f t="shared" ref="L5:L33" si="4">K32</f>
        <v>0</v>
      </c>
      <c r="M32" s="40">
        <f t="shared" si="3"/>
        <v>4179.7151999999796</v>
      </c>
      <c r="N32" s="44"/>
    </row>
    <row r="33" spans="1:14">
      <c r="A33" s="26">
        <v>30</v>
      </c>
      <c r="B33" s="27">
        <v>46111</v>
      </c>
      <c r="C33" s="17"/>
      <c r="D33" s="17"/>
      <c r="E33" s="86"/>
      <c r="F33" s="86"/>
      <c r="G33" s="17">
        <f t="shared" ref="G5:G34" si="5">E33*F33</f>
        <v>0</v>
      </c>
      <c r="H33" s="86"/>
      <c r="I33" s="86"/>
      <c r="J33" s="17">
        <f t="shared" ref="J5:J33" si="6">H33*I33</f>
        <v>0</v>
      </c>
      <c r="K33" s="17">
        <f t="shared" ref="K5:K34" si="7">G33+J33</f>
        <v>0</v>
      </c>
      <c r="L33" s="17">
        <f t="shared" ref="L33:L34" si="8">K33</f>
        <v>0</v>
      </c>
      <c r="M33" s="40">
        <f t="shared" si="3"/>
        <v>4179.7151999999796</v>
      </c>
      <c r="N33" s="44"/>
    </row>
    <row r="34" spans="1:14">
      <c r="A34" s="26">
        <v>31</v>
      </c>
      <c r="B34" s="27">
        <v>46112</v>
      </c>
      <c r="C34" s="17"/>
      <c r="D34" s="17"/>
      <c r="E34" s="86"/>
      <c r="F34" s="86"/>
      <c r="G34" s="17">
        <f t="shared" si="5"/>
        <v>0</v>
      </c>
      <c r="H34" s="86"/>
      <c r="I34" s="86"/>
      <c r="J34" s="17"/>
      <c r="K34" s="17">
        <f>G34+J34</f>
        <v>0</v>
      </c>
      <c r="L34" s="17">
        <v>0</v>
      </c>
      <c r="M34" s="40">
        <f t="shared" si="3"/>
        <v>4179.7151999999796</v>
      </c>
      <c r="N34" s="44"/>
    </row>
    <row r="35" spans="1:14">
      <c r="A35" s="42"/>
      <c r="B35" s="42"/>
      <c r="C35" s="42"/>
      <c r="D35" s="42"/>
      <c r="E35" s="42">
        <f>SUM(E4:E34)</f>
        <v>200</v>
      </c>
      <c r="F35" s="42"/>
      <c r="G35" s="42">
        <f>SUM(G4:G34)</f>
        <v>18444</v>
      </c>
      <c r="H35" s="42">
        <f>SUM(H4:H34)</f>
        <v>95</v>
      </c>
      <c r="I35" s="42"/>
      <c r="J35" s="42">
        <f>SUM(J4:J34)</f>
        <v>9904.1</v>
      </c>
      <c r="K35" s="42">
        <f>SUM(K4:K34)</f>
        <v>28348.1</v>
      </c>
      <c r="L35" s="42">
        <f>SUM(L4:L34)</f>
        <v>46775.6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N35"/>
  <sheetViews>
    <sheetView topLeftCell="A18" workbookViewId="0">
      <selection activeCell="M31" sqref="M31"/>
    </sheetView>
  </sheetViews>
  <sheetFormatPr defaultRowHeight="15"/>
  <cols>
    <col min="2" max="2" width="18.42578125" customWidth="1"/>
    <col min="5" max="5" width="9.28515625" bestFit="1" customWidth="1"/>
    <col min="7" max="7" width="9.28515625" bestFit="1" customWidth="1"/>
    <col min="12" max="12" width="16.85546875" customWidth="1"/>
  </cols>
  <sheetData>
    <row r="1" spans="1:14" ht="15.75">
      <c r="A1" s="469" t="s">
        <v>213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</row>
    <row r="2" spans="1:14" ht="25.5">
      <c r="A2" s="103" t="s">
        <v>0</v>
      </c>
      <c r="B2" s="106" t="s">
        <v>161</v>
      </c>
      <c r="C2" s="106" t="s">
        <v>162</v>
      </c>
      <c r="D2" s="106" t="s">
        <v>163</v>
      </c>
      <c r="E2" s="106" t="s">
        <v>164</v>
      </c>
      <c r="F2" s="106" t="s">
        <v>165</v>
      </c>
      <c r="G2" s="106" t="s">
        <v>166</v>
      </c>
      <c r="H2" s="106" t="s">
        <v>167</v>
      </c>
      <c r="I2" s="106" t="s">
        <v>165</v>
      </c>
      <c r="J2" s="106" t="s">
        <v>166</v>
      </c>
      <c r="K2" s="106" t="s">
        <v>168</v>
      </c>
      <c r="L2" s="106" t="s">
        <v>169</v>
      </c>
      <c r="M2" s="106" t="s">
        <v>181</v>
      </c>
      <c r="N2" s="106" t="s">
        <v>171</v>
      </c>
    </row>
    <row r="3" spans="1:14">
      <c r="A3" s="472" t="s">
        <v>172</v>
      </c>
      <c r="B3" s="472"/>
      <c r="C3" s="472"/>
      <c r="D3" s="472"/>
      <c r="E3" s="472"/>
      <c r="F3" s="472"/>
      <c r="G3" s="472"/>
      <c r="H3" s="472"/>
      <c r="I3" s="472"/>
      <c r="J3" s="472"/>
      <c r="K3" s="95">
        <v>268656.67720000003</v>
      </c>
      <c r="L3" s="95">
        <v>268656.67720000003</v>
      </c>
      <c r="M3" s="95">
        <v>268656.67720000003</v>
      </c>
      <c r="N3" s="17"/>
    </row>
    <row r="4" spans="1:14">
      <c r="A4" s="26">
        <v>1</v>
      </c>
      <c r="B4" s="27">
        <v>46082</v>
      </c>
      <c r="C4" s="17"/>
      <c r="D4" s="17"/>
      <c r="E4" s="86">
        <v>0</v>
      </c>
      <c r="F4" s="86">
        <v>0</v>
      </c>
      <c r="G4" s="17">
        <v>0</v>
      </c>
      <c r="H4" s="86">
        <v>0</v>
      </c>
      <c r="I4" s="86">
        <v>0</v>
      </c>
      <c r="J4" s="17">
        <v>0</v>
      </c>
      <c r="K4" s="17">
        <f>G4+J4</f>
        <v>0</v>
      </c>
      <c r="L4" s="17"/>
      <c r="M4" s="17">
        <f>M3+K4-L4</f>
        <v>268656.67720000003</v>
      </c>
      <c r="N4" s="44"/>
    </row>
    <row r="5" spans="1:14">
      <c r="A5" s="26">
        <v>2</v>
      </c>
      <c r="B5" s="27">
        <v>46083</v>
      </c>
      <c r="C5" s="17"/>
      <c r="D5" s="17"/>
      <c r="E5" s="86">
        <v>0</v>
      </c>
      <c r="F5" s="86">
        <v>0</v>
      </c>
      <c r="G5" s="17">
        <v>0</v>
      </c>
      <c r="H5" s="86">
        <v>0</v>
      </c>
      <c r="I5" s="86">
        <v>0</v>
      </c>
      <c r="J5" s="17">
        <v>0</v>
      </c>
      <c r="K5" s="17">
        <f t="shared" ref="K5:K33" si="0">G5+J5</f>
        <v>0</v>
      </c>
      <c r="L5" s="17"/>
      <c r="M5" s="17">
        <f t="shared" ref="M5:M33" si="1">M4+K5-L5</f>
        <v>268656.67720000003</v>
      </c>
      <c r="N5" s="44"/>
    </row>
    <row r="6" spans="1:14">
      <c r="A6" s="26">
        <v>3</v>
      </c>
      <c r="B6" s="27">
        <v>46084</v>
      </c>
      <c r="C6" s="17"/>
      <c r="D6" s="17"/>
      <c r="E6" s="86">
        <v>400</v>
      </c>
      <c r="F6" s="86">
        <v>92.23</v>
      </c>
      <c r="G6" s="17">
        <f>E6*F6</f>
        <v>36892</v>
      </c>
      <c r="H6" s="86">
        <v>0</v>
      </c>
      <c r="I6" s="86">
        <v>0</v>
      </c>
      <c r="J6" s="17">
        <f>H6*I6</f>
        <v>0</v>
      </c>
      <c r="K6" s="17">
        <f t="shared" si="0"/>
        <v>36892</v>
      </c>
      <c r="L6" s="17"/>
      <c r="M6" s="17">
        <f t="shared" si="1"/>
        <v>305548.67720000003</v>
      </c>
      <c r="N6" s="44"/>
    </row>
    <row r="7" spans="1:14">
      <c r="A7" s="26">
        <v>4</v>
      </c>
      <c r="B7" s="27">
        <v>46085</v>
      </c>
      <c r="C7" s="17"/>
      <c r="D7" s="17"/>
      <c r="E7" s="86">
        <v>0</v>
      </c>
      <c r="F7" s="86">
        <v>0</v>
      </c>
      <c r="G7" s="17">
        <f>E7*F7</f>
        <v>0</v>
      </c>
      <c r="H7" s="86">
        <v>0</v>
      </c>
      <c r="I7" s="86">
        <v>0</v>
      </c>
      <c r="J7" s="17">
        <f t="shared" ref="J7:J8" si="2">H7*I7</f>
        <v>0</v>
      </c>
      <c r="K7" s="17">
        <f t="shared" si="0"/>
        <v>0</v>
      </c>
      <c r="L7" s="17"/>
      <c r="M7" s="17">
        <f t="shared" si="1"/>
        <v>305548.67720000003</v>
      </c>
      <c r="N7" s="44"/>
    </row>
    <row r="8" spans="1:14">
      <c r="A8" s="26">
        <v>5</v>
      </c>
      <c r="B8" s="27">
        <v>46086</v>
      </c>
      <c r="C8" s="17"/>
      <c r="D8" s="17"/>
      <c r="E8" s="86">
        <v>0</v>
      </c>
      <c r="F8" s="86">
        <v>0</v>
      </c>
      <c r="G8" s="17">
        <f>E8*F8</f>
        <v>0</v>
      </c>
      <c r="H8" s="86">
        <v>0</v>
      </c>
      <c r="I8" s="86">
        <v>0</v>
      </c>
      <c r="J8" s="17">
        <f>H8*I8</f>
        <v>0</v>
      </c>
      <c r="K8" s="17">
        <f t="shared" si="0"/>
        <v>0</v>
      </c>
      <c r="L8" s="17">
        <v>125000</v>
      </c>
      <c r="M8" s="17">
        <f t="shared" si="1"/>
        <v>180548.67720000003</v>
      </c>
      <c r="N8" s="44"/>
    </row>
    <row r="9" spans="1:14">
      <c r="A9" s="26">
        <v>6</v>
      </c>
      <c r="B9" s="27">
        <v>46087</v>
      </c>
      <c r="C9" s="17"/>
      <c r="D9" s="17"/>
      <c r="E9" s="86">
        <v>400</v>
      </c>
      <c r="F9" s="86">
        <v>92.23</v>
      </c>
      <c r="G9" s="17">
        <f t="shared" ref="G9:G30" si="3">E9*F9</f>
        <v>36892</v>
      </c>
      <c r="H9" s="86">
        <v>35</v>
      </c>
      <c r="I9" s="86">
        <v>104.09</v>
      </c>
      <c r="J9" s="17">
        <f t="shared" ref="J9:J28" si="4">H9*I9</f>
        <v>3643.15</v>
      </c>
      <c r="K9" s="17">
        <f t="shared" si="0"/>
        <v>40535.15</v>
      </c>
      <c r="L9" s="17"/>
      <c r="M9" s="17">
        <f t="shared" si="1"/>
        <v>221083.82720000003</v>
      </c>
      <c r="N9" s="44"/>
    </row>
    <row r="10" spans="1:14">
      <c r="A10" s="26">
        <v>7</v>
      </c>
      <c r="B10" s="27">
        <v>46088</v>
      </c>
      <c r="C10" s="17"/>
      <c r="D10" s="17"/>
      <c r="E10" s="86">
        <v>0</v>
      </c>
      <c r="F10" s="86">
        <v>0</v>
      </c>
      <c r="G10" s="17">
        <f t="shared" si="3"/>
        <v>0</v>
      </c>
      <c r="H10" s="86">
        <v>0</v>
      </c>
      <c r="I10" s="86">
        <v>0</v>
      </c>
      <c r="J10" s="17">
        <f t="shared" si="4"/>
        <v>0</v>
      </c>
      <c r="K10" s="17">
        <f t="shared" si="0"/>
        <v>0</v>
      </c>
      <c r="L10" s="17"/>
      <c r="M10" s="17">
        <f>M9+K10-L10</f>
        <v>221083.82720000003</v>
      </c>
      <c r="N10" s="44"/>
    </row>
    <row r="11" spans="1:14">
      <c r="A11" s="26">
        <v>8</v>
      </c>
      <c r="B11" s="27">
        <v>46089</v>
      </c>
      <c r="C11" s="17"/>
      <c r="D11" s="17"/>
      <c r="E11" s="86">
        <v>0</v>
      </c>
      <c r="F11" s="86">
        <v>0</v>
      </c>
      <c r="G11" s="17">
        <f t="shared" si="3"/>
        <v>0</v>
      </c>
      <c r="H11" s="86">
        <v>0</v>
      </c>
      <c r="I11" s="86">
        <v>0</v>
      </c>
      <c r="J11" s="17">
        <f t="shared" si="4"/>
        <v>0</v>
      </c>
      <c r="K11" s="17">
        <f t="shared" si="0"/>
        <v>0</v>
      </c>
      <c r="L11" s="17"/>
      <c r="M11" s="17">
        <f t="shared" si="1"/>
        <v>221083.82720000003</v>
      </c>
      <c r="N11" s="44"/>
    </row>
    <row r="12" spans="1:14">
      <c r="A12" s="26">
        <v>9</v>
      </c>
      <c r="B12" s="27">
        <v>46090</v>
      </c>
      <c r="C12" s="17"/>
      <c r="D12" s="17"/>
      <c r="E12" s="86">
        <v>599.64</v>
      </c>
      <c r="F12" s="86">
        <v>92.23</v>
      </c>
      <c r="G12" s="17">
        <f t="shared" si="3"/>
        <v>55304.797200000001</v>
      </c>
      <c r="H12" s="86">
        <v>35</v>
      </c>
      <c r="I12" s="86">
        <v>104.09</v>
      </c>
      <c r="J12" s="17">
        <f t="shared" si="4"/>
        <v>3643.15</v>
      </c>
      <c r="K12" s="17">
        <f t="shared" si="0"/>
        <v>58947.947200000002</v>
      </c>
      <c r="L12" s="17"/>
      <c r="M12" s="17">
        <f t="shared" si="1"/>
        <v>280031.77440000005</v>
      </c>
      <c r="N12" s="44"/>
    </row>
    <row r="13" spans="1:14">
      <c r="A13" s="26">
        <v>10</v>
      </c>
      <c r="B13" s="27">
        <v>46091</v>
      </c>
      <c r="C13" s="17"/>
      <c r="D13" s="17"/>
      <c r="E13" s="86">
        <v>0</v>
      </c>
      <c r="F13" s="86">
        <v>0</v>
      </c>
      <c r="G13" s="17">
        <f t="shared" si="3"/>
        <v>0</v>
      </c>
      <c r="H13" s="86">
        <v>0</v>
      </c>
      <c r="I13" s="86">
        <v>0</v>
      </c>
      <c r="J13" s="17">
        <f t="shared" si="4"/>
        <v>0</v>
      </c>
      <c r="K13" s="17">
        <f t="shared" si="0"/>
        <v>0</v>
      </c>
      <c r="L13" s="17"/>
      <c r="M13" s="17">
        <f t="shared" si="1"/>
        <v>280031.77440000005</v>
      </c>
      <c r="N13" s="44"/>
    </row>
    <row r="14" spans="1:14">
      <c r="A14" s="26">
        <v>11</v>
      </c>
      <c r="B14" s="27">
        <v>46092</v>
      </c>
      <c r="C14" s="17"/>
      <c r="D14" s="17"/>
      <c r="E14" s="86">
        <v>600</v>
      </c>
      <c r="F14" s="86">
        <v>92.23</v>
      </c>
      <c r="G14" s="17">
        <f t="shared" si="3"/>
        <v>55338</v>
      </c>
      <c r="H14" s="86">
        <v>0</v>
      </c>
      <c r="I14" s="86">
        <v>0</v>
      </c>
      <c r="J14" s="17">
        <f t="shared" si="4"/>
        <v>0</v>
      </c>
      <c r="K14" s="17">
        <f t="shared" si="0"/>
        <v>55338</v>
      </c>
      <c r="L14" s="17"/>
      <c r="M14" s="17">
        <f t="shared" si="1"/>
        <v>335369.77440000005</v>
      </c>
      <c r="N14" s="44"/>
    </row>
    <row r="15" spans="1:14">
      <c r="A15" s="26">
        <v>12</v>
      </c>
      <c r="B15" s="27">
        <v>46093</v>
      </c>
      <c r="C15" s="17"/>
      <c r="D15" s="17"/>
      <c r="E15" s="86">
        <v>0</v>
      </c>
      <c r="F15" s="86">
        <v>0</v>
      </c>
      <c r="G15" s="17">
        <f t="shared" si="3"/>
        <v>0</v>
      </c>
      <c r="H15" s="86">
        <v>0</v>
      </c>
      <c r="I15" s="86">
        <v>0</v>
      </c>
      <c r="J15" s="17">
        <f t="shared" si="4"/>
        <v>0</v>
      </c>
      <c r="K15" s="17">
        <f t="shared" si="0"/>
        <v>0</v>
      </c>
      <c r="L15" s="17">
        <v>330000</v>
      </c>
      <c r="M15" s="17">
        <f t="shared" si="1"/>
        <v>5369.774400000053</v>
      </c>
      <c r="N15" s="44"/>
    </row>
    <row r="16" spans="1:14">
      <c r="A16" s="26">
        <v>13</v>
      </c>
      <c r="B16" s="27">
        <v>46094</v>
      </c>
      <c r="C16" s="17"/>
      <c r="D16" s="17"/>
      <c r="E16" s="86">
        <v>0</v>
      </c>
      <c r="F16" s="86">
        <v>0</v>
      </c>
      <c r="G16" s="17">
        <f t="shared" si="3"/>
        <v>0</v>
      </c>
      <c r="H16" s="86">
        <v>0</v>
      </c>
      <c r="I16" s="86">
        <v>0</v>
      </c>
      <c r="J16" s="17">
        <f t="shared" si="4"/>
        <v>0</v>
      </c>
      <c r="K16" s="17">
        <f t="shared" si="0"/>
        <v>0</v>
      </c>
      <c r="L16" s="17"/>
      <c r="M16" s="17">
        <f t="shared" si="1"/>
        <v>5369.774400000053</v>
      </c>
      <c r="N16" s="44"/>
    </row>
    <row r="17" spans="1:14">
      <c r="A17" s="26">
        <v>14</v>
      </c>
      <c r="B17" s="27">
        <v>46095</v>
      </c>
      <c r="C17" s="17"/>
      <c r="D17" s="17"/>
      <c r="E17" s="86">
        <v>500</v>
      </c>
      <c r="F17" s="86">
        <v>92.23</v>
      </c>
      <c r="G17" s="17">
        <f t="shared" si="3"/>
        <v>46115</v>
      </c>
      <c r="H17" s="86">
        <v>0</v>
      </c>
      <c r="I17" s="86">
        <v>0</v>
      </c>
      <c r="J17" s="17">
        <f t="shared" si="4"/>
        <v>0</v>
      </c>
      <c r="K17" s="17">
        <f t="shared" si="0"/>
        <v>46115</v>
      </c>
      <c r="L17" s="17"/>
      <c r="M17" s="17">
        <f t="shared" si="1"/>
        <v>51484.774400000053</v>
      </c>
      <c r="N17" s="44"/>
    </row>
    <row r="18" spans="1:14">
      <c r="A18" s="26">
        <v>15</v>
      </c>
      <c r="B18" s="27">
        <v>46096</v>
      </c>
      <c r="C18" s="17"/>
      <c r="D18" s="17"/>
      <c r="E18" s="86">
        <v>0</v>
      </c>
      <c r="F18" s="86">
        <v>0</v>
      </c>
      <c r="G18" s="17">
        <f t="shared" si="3"/>
        <v>0</v>
      </c>
      <c r="H18" s="86">
        <v>0</v>
      </c>
      <c r="I18" s="86">
        <v>0</v>
      </c>
      <c r="J18" s="17">
        <f t="shared" si="4"/>
        <v>0</v>
      </c>
      <c r="K18" s="17">
        <f t="shared" si="0"/>
        <v>0</v>
      </c>
      <c r="L18" s="17"/>
      <c r="M18" s="17">
        <f t="shared" si="1"/>
        <v>51484.774400000053</v>
      </c>
      <c r="N18" s="44"/>
    </row>
    <row r="19" spans="1:14">
      <c r="A19" s="26">
        <v>16</v>
      </c>
      <c r="B19" s="27">
        <v>46097</v>
      </c>
      <c r="C19" s="17"/>
      <c r="D19" s="17"/>
      <c r="E19" s="86">
        <v>0</v>
      </c>
      <c r="F19" s="86">
        <v>0</v>
      </c>
      <c r="G19" s="17">
        <f t="shared" si="3"/>
        <v>0</v>
      </c>
      <c r="H19" s="86">
        <v>0</v>
      </c>
      <c r="I19" s="86">
        <v>0</v>
      </c>
      <c r="J19" s="17">
        <f t="shared" si="4"/>
        <v>0</v>
      </c>
      <c r="K19" s="17">
        <f t="shared" si="0"/>
        <v>0</v>
      </c>
      <c r="L19" s="17"/>
      <c r="M19" s="17">
        <f t="shared" si="1"/>
        <v>51484.774400000053</v>
      </c>
      <c r="N19" s="44"/>
    </row>
    <row r="20" spans="1:14">
      <c r="A20" s="26">
        <v>17</v>
      </c>
      <c r="B20" s="27">
        <v>46098</v>
      </c>
      <c r="C20" s="17"/>
      <c r="D20" s="17"/>
      <c r="E20" s="86">
        <v>0</v>
      </c>
      <c r="F20" s="86">
        <v>0</v>
      </c>
      <c r="G20" s="17">
        <f t="shared" si="3"/>
        <v>0</v>
      </c>
      <c r="H20" s="86">
        <v>0</v>
      </c>
      <c r="I20" s="86">
        <v>0</v>
      </c>
      <c r="J20" s="17">
        <f t="shared" si="4"/>
        <v>0</v>
      </c>
      <c r="K20" s="17">
        <f t="shared" si="0"/>
        <v>0</v>
      </c>
      <c r="L20" s="17"/>
      <c r="M20" s="17">
        <f t="shared" si="1"/>
        <v>51484.774400000053</v>
      </c>
      <c r="N20" s="44"/>
    </row>
    <row r="21" spans="1:14">
      <c r="A21" s="26">
        <v>18</v>
      </c>
      <c r="B21" s="27">
        <v>46099</v>
      </c>
      <c r="C21" s="17"/>
      <c r="D21" s="17"/>
      <c r="E21" s="86">
        <v>600</v>
      </c>
      <c r="F21" s="86">
        <v>92.23</v>
      </c>
      <c r="G21" s="17">
        <f t="shared" si="3"/>
        <v>55338</v>
      </c>
      <c r="H21" s="86">
        <v>35</v>
      </c>
      <c r="I21" s="86">
        <v>104.09</v>
      </c>
      <c r="J21" s="17">
        <f t="shared" si="4"/>
        <v>3643.15</v>
      </c>
      <c r="K21" s="17">
        <f t="shared" si="0"/>
        <v>58981.15</v>
      </c>
      <c r="L21" s="17"/>
      <c r="M21" s="17">
        <f t="shared" si="1"/>
        <v>110465.92440000005</v>
      </c>
      <c r="N21" s="44"/>
    </row>
    <row r="22" spans="1:14">
      <c r="A22" s="26">
        <v>19</v>
      </c>
      <c r="B22" s="27">
        <v>46100</v>
      </c>
      <c r="C22" s="17"/>
      <c r="D22" s="17"/>
      <c r="E22" s="86">
        <v>0</v>
      </c>
      <c r="F22" s="86">
        <v>0</v>
      </c>
      <c r="G22" s="17">
        <f t="shared" si="3"/>
        <v>0</v>
      </c>
      <c r="H22" s="86">
        <v>0</v>
      </c>
      <c r="I22" s="86">
        <v>0</v>
      </c>
      <c r="J22" s="17">
        <f t="shared" si="4"/>
        <v>0</v>
      </c>
      <c r="K22" s="17">
        <f t="shared" si="0"/>
        <v>0</v>
      </c>
      <c r="L22" s="17"/>
      <c r="M22" s="17">
        <f t="shared" si="1"/>
        <v>110465.92440000005</v>
      </c>
      <c r="N22" s="44"/>
    </row>
    <row r="23" spans="1:14">
      <c r="A23" s="26">
        <v>20</v>
      </c>
      <c r="B23" s="27">
        <v>46101</v>
      </c>
      <c r="C23" s="17"/>
      <c r="D23" s="17"/>
      <c r="E23" s="86">
        <v>0</v>
      </c>
      <c r="F23" s="86">
        <v>0</v>
      </c>
      <c r="G23" s="17">
        <f t="shared" si="3"/>
        <v>0</v>
      </c>
      <c r="H23" s="86">
        <v>0</v>
      </c>
      <c r="I23" s="86">
        <v>0</v>
      </c>
      <c r="J23" s="17">
        <f t="shared" si="4"/>
        <v>0</v>
      </c>
      <c r="K23" s="17">
        <f t="shared" si="0"/>
        <v>0</v>
      </c>
      <c r="L23" s="17"/>
      <c r="M23" s="17">
        <f t="shared" si="1"/>
        <v>110465.92440000005</v>
      </c>
      <c r="N23" s="44"/>
    </row>
    <row r="24" spans="1:14">
      <c r="A24" s="26">
        <v>21</v>
      </c>
      <c r="B24" s="27">
        <v>46102</v>
      </c>
      <c r="C24" s="17"/>
      <c r="D24" s="17"/>
      <c r="E24" s="86">
        <v>0</v>
      </c>
      <c r="F24" s="86">
        <v>0</v>
      </c>
      <c r="G24" s="17">
        <f t="shared" si="3"/>
        <v>0</v>
      </c>
      <c r="H24" s="86">
        <v>0</v>
      </c>
      <c r="I24" s="86">
        <v>0</v>
      </c>
      <c r="J24" s="17">
        <f t="shared" si="4"/>
        <v>0</v>
      </c>
      <c r="K24" s="17">
        <f t="shared" si="0"/>
        <v>0</v>
      </c>
      <c r="L24" s="17"/>
      <c r="M24" s="17">
        <f t="shared" si="1"/>
        <v>110465.92440000005</v>
      </c>
      <c r="N24" s="44"/>
    </row>
    <row r="25" spans="1:14">
      <c r="A25" s="26">
        <v>22</v>
      </c>
      <c r="B25" s="27">
        <v>46103</v>
      </c>
      <c r="C25" s="17"/>
      <c r="D25" s="17"/>
      <c r="E25" s="86">
        <v>0</v>
      </c>
      <c r="F25" s="86">
        <v>0</v>
      </c>
      <c r="G25" s="17">
        <f t="shared" si="3"/>
        <v>0</v>
      </c>
      <c r="H25" s="86">
        <v>0</v>
      </c>
      <c r="I25" s="86">
        <v>0</v>
      </c>
      <c r="J25" s="17">
        <f t="shared" si="4"/>
        <v>0</v>
      </c>
      <c r="K25" s="17">
        <f t="shared" si="0"/>
        <v>0</v>
      </c>
      <c r="L25" s="17"/>
      <c r="M25" s="17">
        <f t="shared" si="1"/>
        <v>110465.92440000005</v>
      </c>
      <c r="N25" s="44"/>
    </row>
    <row r="26" spans="1:14">
      <c r="A26" s="26">
        <v>23</v>
      </c>
      <c r="B26" s="27">
        <v>46104</v>
      </c>
      <c r="C26" s="17"/>
      <c r="D26" s="17"/>
      <c r="E26" s="86">
        <v>0</v>
      </c>
      <c r="F26" s="86">
        <v>0</v>
      </c>
      <c r="G26" s="17">
        <f t="shared" si="3"/>
        <v>0</v>
      </c>
      <c r="H26" s="86">
        <v>0</v>
      </c>
      <c r="I26" s="86">
        <v>0</v>
      </c>
      <c r="J26" s="17">
        <f t="shared" si="4"/>
        <v>0</v>
      </c>
      <c r="K26" s="17">
        <f t="shared" si="0"/>
        <v>0</v>
      </c>
      <c r="L26" s="17"/>
      <c r="M26" s="17">
        <f t="shared" si="1"/>
        <v>110465.92440000005</v>
      </c>
      <c r="N26" s="44"/>
    </row>
    <row r="27" spans="1:14">
      <c r="A27" s="26">
        <v>24</v>
      </c>
      <c r="B27" s="27">
        <v>46105</v>
      </c>
      <c r="C27" s="17"/>
      <c r="D27" s="17"/>
      <c r="E27" s="86">
        <v>0</v>
      </c>
      <c r="F27" s="86">
        <v>0</v>
      </c>
      <c r="G27" s="17">
        <f t="shared" si="3"/>
        <v>0</v>
      </c>
      <c r="H27" s="86">
        <v>0</v>
      </c>
      <c r="I27" s="86">
        <v>0</v>
      </c>
      <c r="J27" s="17">
        <f t="shared" si="4"/>
        <v>0</v>
      </c>
      <c r="K27" s="17">
        <f t="shared" si="0"/>
        <v>0</v>
      </c>
      <c r="L27" s="17"/>
      <c r="M27" s="17">
        <f t="shared" si="1"/>
        <v>110465.92440000005</v>
      </c>
      <c r="N27" s="44"/>
    </row>
    <row r="28" spans="1:14">
      <c r="A28" s="26">
        <v>25</v>
      </c>
      <c r="B28" s="27">
        <v>46106</v>
      </c>
      <c r="C28" s="17"/>
      <c r="D28" s="17"/>
      <c r="E28" s="86">
        <v>600</v>
      </c>
      <c r="F28" s="86">
        <v>92.23</v>
      </c>
      <c r="G28" s="17">
        <f t="shared" si="3"/>
        <v>55338</v>
      </c>
      <c r="H28" s="436">
        <v>35</v>
      </c>
      <c r="I28" s="436">
        <v>104.09</v>
      </c>
      <c r="J28" s="17">
        <f t="shared" si="4"/>
        <v>3643.15</v>
      </c>
      <c r="K28" s="17">
        <f t="shared" si="0"/>
        <v>58981.15</v>
      </c>
      <c r="L28" s="17"/>
      <c r="M28" s="17">
        <f t="shared" si="1"/>
        <v>169447.07440000004</v>
      </c>
      <c r="N28" s="44"/>
    </row>
    <row r="29" spans="1:14">
      <c r="A29" s="26">
        <v>26</v>
      </c>
      <c r="B29" s="27">
        <v>46107</v>
      </c>
      <c r="C29" s="17"/>
      <c r="D29" s="17"/>
      <c r="E29" s="86">
        <v>0</v>
      </c>
      <c r="F29" s="86">
        <v>0</v>
      </c>
      <c r="G29" s="17">
        <f t="shared" si="3"/>
        <v>0</v>
      </c>
      <c r="H29" s="86">
        <v>0</v>
      </c>
      <c r="I29" s="86">
        <v>0</v>
      </c>
      <c r="J29" s="17">
        <v>0</v>
      </c>
      <c r="K29" s="17">
        <f t="shared" si="0"/>
        <v>0</v>
      </c>
      <c r="L29" s="17"/>
      <c r="M29" s="17">
        <f t="shared" si="1"/>
        <v>169447.07440000004</v>
      </c>
      <c r="N29" s="44"/>
    </row>
    <row r="30" spans="1:14">
      <c r="A30" s="26">
        <v>27</v>
      </c>
      <c r="B30" s="27">
        <v>46108</v>
      </c>
      <c r="C30" s="17"/>
      <c r="D30" s="17"/>
      <c r="E30" s="86">
        <v>500</v>
      </c>
      <c r="F30" s="86">
        <v>92.23</v>
      </c>
      <c r="G30" s="17">
        <f t="shared" si="3"/>
        <v>46115</v>
      </c>
      <c r="H30" s="86">
        <v>0</v>
      </c>
      <c r="I30" s="86">
        <v>0</v>
      </c>
      <c r="J30" s="17">
        <v>0</v>
      </c>
      <c r="K30" s="17">
        <f t="shared" si="0"/>
        <v>46115</v>
      </c>
      <c r="L30" s="17"/>
      <c r="M30" s="17">
        <f t="shared" si="1"/>
        <v>215562.07440000004</v>
      </c>
      <c r="N30" s="44"/>
    </row>
    <row r="31" spans="1:14">
      <c r="A31" s="26">
        <v>28</v>
      </c>
      <c r="B31" s="27">
        <v>46109</v>
      </c>
      <c r="C31" s="17"/>
      <c r="D31" s="17"/>
      <c r="E31" s="86">
        <v>0</v>
      </c>
      <c r="F31" s="86">
        <v>0</v>
      </c>
      <c r="G31" s="17">
        <v>0</v>
      </c>
      <c r="H31" s="86">
        <v>0</v>
      </c>
      <c r="I31" s="86">
        <v>0</v>
      </c>
      <c r="J31" s="17">
        <v>0</v>
      </c>
      <c r="K31" s="17">
        <f t="shared" si="0"/>
        <v>0</v>
      </c>
      <c r="L31" s="17"/>
      <c r="M31" s="17">
        <f t="shared" si="1"/>
        <v>215562.07440000004</v>
      </c>
      <c r="N31" s="44"/>
    </row>
    <row r="32" spans="1:14">
      <c r="A32" s="26">
        <v>29</v>
      </c>
      <c r="B32" s="27">
        <v>46110</v>
      </c>
      <c r="C32" s="17"/>
      <c r="D32" s="17"/>
      <c r="E32" s="86">
        <v>0</v>
      </c>
      <c r="F32" s="86">
        <v>0</v>
      </c>
      <c r="G32" s="17">
        <v>0</v>
      </c>
      <c r="H32" s="86">
        <v>0</v>
      </c>
      <c r="I32" s="86">
        <v>0</v>
      </c>
      <c r="J32" s="17">
        <v>0</v>
      </c>
      <c r="K32" s="17">
        <f t="shared" si="0"/>
        <v>0</v>
      </c>
      <c r="L32" s="17"/>
      <c r="M32" s="17">
        <f t="shared" si="1"/>
        <v>215562.07440000004</v>
      </c>
      <c r="N32" s="44"/>
    </row>
    <row r="33" spans="1:14">
      <c r="A33" s="26">
        <v>30</v>
      </c>
      <c r="B33" s="27">
        <v>46111</v>
      </c>
      <c r="C33" s="17"/>
      <c r="D33" s="17"/>
      <c r="E33" s="86">
        <v>0</v>
      </c>
      <c r="F33" s="86">
        <v>0</v>
      </c>
      <c r="G33" s="17">
        <v>0</v>
      </c>
      <c r="H33" s="86">
        <v>0</v>
      </c>
      <c r="I33" s="86">
        <v>0</v>
      </c>
      <c r="J33" s="17">
        <v>0</v>
      </c>
      <c r="K33" s="17">
        <f t="shared" si="0"/>
        <v>0</v>
      </c>
      <c r="L33" s="17"/>
      <c r="M33" s="17">
        <f t="shared" si="1"/>
        <v>215562.07440000004</v>
      </c>
      <c r="N33" s="44"/>
    </row>
    <row r="34" spans="1:14">
      <c r="A34" s="26">
        <v>31</v>
      </c>
      <c r="B34" s="27">
        <v>46112</v>
      </c>
      <c r="C34" s="17"/>
      <c r="D34" s="17"/>
      <c r="E34" s="86"/>
      <c r="F34" s="86"/>
      <c r="G34" s="17"/>
      <c r="H34" s="86"/>
      <c r="I34" s="86"/>
      <c r="J34" s="17"/>
      <c r="K34" s="17"/>
      <c r="L34" s="17"/>
      <c r="M34" s="17"/>
      <c r="N34" s="44"/>
    </row>
    <row r="35" spans="1:14">
      <c r="A35" s="42"/>
      <c r="B35" s="42"/>
      <c r="C35" s="42"/>
      <c r="D35" s="42"/>
      <c r="E35" s="42">
        <f>SUM(E4:E34)</f>
        <v>4199.6399999999994</v>
      </c>
      <c r="F35" s="42"/>
      <c r="G35" s="42">
        <f>SUM(G4:G34)</f>
        <v>387332.79720000003</v>
      </c>
      <c r="H35" s="42">
        <f>SUM(H4:H34)</f>
        <v>140</v>
      </c>
      <c r="I35" s="42"/>
      <c r="J35" s="42">
        <f>SUM(J4:J34)</f>
        <v>14572.6</v>
      </c>
      <c r="K35" s="42">
        <f>SUM(K4:K34)</f>
        <v>401905.39720000001</v>
      </c>
      <c r="L35" s="42">
        <f>SUM(L4:L34)</f>
        <v>455000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6C1B-2052-4EFC-AB89-74369C91C58E}">
  <dimension ref="A1:N35"/>
  <sheetViews>
    <sheetView topLeftCell="A5" workbookViewId="0">
      <selection activeCell="I33" sqref="I33"/>
    </sheetView>
  </sheetViews>
  <sheetFormatPr defaultRowHeight="15"/>
  <cols>
    <col min="2" max="2" width="10.140625" bestFit="1" customWidth="1"/>
    <col min="3" max="3" width="15.42578125" customWidth="1"/>
    <col min="4" max="4" width="19.140625" customWidth="1"/>
  </cols>
  <sheetData>
    <row r="1" spans="1:14" ht="15.75">
      <c r="A1" s="469" t="s">
        <v>214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</row>
    <row r="2" spans="1:14" ht="27">
      <c r="A2" s="103" t="s">
        <v>0</v>
      </c>
      <c r="B2" s="106" t="s">
        <v>161</v>
      </c>
      <c r="C2" s="106" t="s">
        <v>162</v>
      </c>
      <c r="D2" s="106" t="s">
        <v>163</v>
      </c>
      <c r="E2" s="106" t="s">
        <v>164</v>
      </c>
      <c r="F2" s="106" t="s">
        <v>165</v>
      </c>
      <c r="G2" s="106" t="s">
        <v>166</v>
      </c>
      <c r="H2" s="106" t="s">
        <v>167</v>
      </c>
      <c r="I2" s="106" t="s">
        <v>165</v>
      </c>
      <c r="J2" s="106" t="s">
        <v>166</v>
      </c>
      <c r="K2" s="106" t="s">
        <v>168</v>
      </c>
      <c r="L2" s="106" t="s">
        <v>169</v>
      </c>
      <c r="M2" s="106" t="s">
        <v>181</v>
      </c>
      <c r="N2" s="106" t="s">
        <v>171</v>
      </c>
    </row>
    <row r="3" spans="1:14">
      <c r="A3" s="472" t="s">
        <v>172</v>
      </c>
      <c r="B3" s="472"/>
      <c r="C3" s="472"/>
      <c r="D3" s="472"/>
      <c r="E3" s="472"/>
      <c r="F3" s="472"/>
      <c r="G3" s="472"/>
      <c r="H3" s="472"/>
      <c r="I3" s="472"/>
      <c r="J3" s="472"/>
      <c r="K3" s="95">
        <v>0</v>
      </c>
      <c r="L3" s="95">
        <v>0</v>
      </c>
      <c r="M3" s="95">
        <v>0</v>
      </c>
      <c r="N3" s="17"/>
    </row>
    <row r="4" spans="1:14">
      <c r="A4" s="26">
        <v>1</v>
      </c>
      <c r="B4" s="27">
        <v>46082</v>
      </c>
      <c r="C4" s="17"/>
      <c r="D4" s="17"/>
      <c r="E4" s="86"/>
      <c r="F4" s="86"/>
      <c r="G4" s="17">
        <f>E4*F4</f>
        <v>0</v>
      </c>
      <c r="H4" s="86"/>
      <c r="I4" s="86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4"/>
    </row>
    <row r="5" spans="1:14">
      <c r="A5" s="26">
        <v>2</v>
      </c>
      <c r="B5" s="27">
        <v>46083</v>
      </c>
      <c r="C5" s="17"/>
      <c r="D5" s="17"/>
      <c r="E5" s="86"/>
      <c r="F5" s="86"/>
      <c r="G5" s="17">
        <f t="shared" ref="G5:G34" si="0">E5*F5</f>
        <v>0</v>
      </c>
      <c r="H5" s="86"/>
      <c r="I5" s="86"/>
      <c r="J5" s="17">
        <f t="shared" ref="J5:J34" si="1">H5*I5</f>
        <v>0</v>
      </c>
      <c r="K5" s="17">
        <f>G5+J5</f>
        <v>0</v>
      </c>
      <c r="L5" s="17">
        <f t="shared" ref="L5:L34" si="2">K5</f>
        <v>0</v>
      </c>
      <c r="M5" s="17">
        <f t="shared" ref="M5:M27" si="3">M4+K5-L5</f>
        <v>0</v>
      </c>
      <c r="N5" s="44"/>
    </row>
    <row r="6" spans="1:14">
      <c r="A6" s="26">
        <v>3</v>
      </c>
      <c r="B6" s="27">
        <v>46084</v>
      </c>
      <c r="C6" s="17"/>
      <c r="D6" s="17"/>
      <c r="E6" s="86"/>
      <c r="F6" s="86"/>
      <c r="G6" s="17">
        <f t="shared" si="0"/>
        <v>0</v>
      </c>
      <c r="H6" s="86"/>
      <c r="I6" s="86"/>
      <c r="J6" s="17">
        <f t="shared" si="1"/>
        <v>0</v>
      </c>
      <c r="K6" s="17">
        <f t="shared" ref="K6:K34" si="4">G6+J6</f>
        <v>0</v>
      </c>
      <c r="L6" s="17">
        <f t="shared" si="2"/>
        <v>0</v>
      </c>
      <c r="M6" s="17">
        <f t="shared" si="3"/>
        <v>0</v>
      </c>
      <c r="N6" s="44"/>
    </row>
    <row r="7" spans="1:14">
      <c r="A7" s="26">
        <v>4</v>
      </c>
      <c r="B7" s="27">
        <v>46085</v>
      </c>
      <c r="C7" s="17"/>
      <c r="D7" s="17"/>
      <c r="E7" s="86"/>
      <c r="F7" s="86"/>
      <c r="G7" s="17">
        <f t="shared" si="0"/>
        <v>0</v>
      </c>
      <c r="H7" s="86"/>
      <c r="I7" s="86"/>
      <c r="J7" s="17">
        <f t="shared" si="1"/>
        <v>0</v>
      </c>
      <c r="K7" s="17">
        <f t="shared" si="4"/>
        <v>0</v>
      </c>
      <c r="L7" s="17">
        <f t="shared" si="2"/>
        <v>0</v>
      </c>
      <c r="M7" s="17">
        <f t="shared" si="3"/>
        <v>0</v>
      </c>
      <c r="N7" s="44"/>
    </row>
    <row r="8" spans="1:14">
      <c r="A8" s="26">
        <v>5</v>
      </c>
      <c r="B8" s="27">
        <v>46086</v>
      </c>
      <c r="C8" s="17"/>
      <c r="D8" s="17"/>
      <c r="E8" s="86">
        <v>40</v>
      </c>
      <c r="F8" s="86">
        <v>92.23</v>
      </c>
      <c r="G8" s="17">
        <f t="shared" si="0"/>
        <v>3689.2000000000003</v>
      </c>
      <c r="H8" s="86"/>
      <c r="I8" s="86"/>
      <c r="J8" s="17">
        <f t="shared" si="1"/>
        <v>0</v>
      </c>
      <c r="K8" s="17">
        <f t="shared" si="4"/>
        <v>3689.2000000000003</v>
      </c>
      <c r="L8" s="17">
        <f t="shared" si="2"/>
        <v>3689.2000000000003</v>
      </c>
      <c r="M8" s="17">
        <f t="shared" si="3"/>
        <v>0</v>
      </c>
      <c r="N8" s="44"/>
    </row>
    <row r="9" spans="1:14">
      <c r="A9" s="26">
        <v>6</v>
      </c>
      <c r="B9" s="27">
        <v>46087</v>
      </c>
      <c r="C9" s="17"/>
      <c r="D9" s="17"/>
      <c r="E9" s="86"/>
      <c r="F9" s="86"/>
      <c r="G9" s="17">
        <f t="shared" si="0"/>
        <v>0</v>
      </c>
      <c r="H9" s="86"/>
      <c r="I9" s="86"/>
      <c r="J9" s="17">
        <f t="shared" si="1"/>
        <v>0</v>
      </c>
      <c r="K9" s="17">
        <f t="shared" si="4"/>
        <v>0</v>
      </c>
      <c r="L9" s="17">
        <f t="shared" si="2"/>
        <v>0</v>
      </c>
      <c r="M9" s="17">
        <f t="shared" si="3"/>
        <v>0</v>
      </c>
      <c r="N9" s="44"/>
    </row>
    <row r="10" spans="1:14">
      <c r="A10" s="26">
        <v>7</v>
      </c>
      <c r="B10" s="27">
        <v>46088</v>
      </c>
      <c r="C10" s="17"/>
      <c r="D10" s="17"/>
      <c r="E10" s="86"/>
      <c r="F10" s="86"/>
      <c r="G10" s="17">
        <f t="shared" si="0"/>
        <v>0</v>
      </c>
      <c r="H10" s="86">
        <v>6</v>
      </c>
      <c r="I10" s="86">
        <v>104.09</v>
      </c>
      <c r="J10" s="17">
        <f t="shared" si="1"/>
        <v>624.54</v>
      </c>
      <c r="K10" s="17">
        <f t="shared" si="4"/>
        <v>624.54</v>
      </c>
      <c r="L10" s="17">
        <f t="shared" si="2"/>
        <v>624.54</v>
      </c>
      <c r="M10" s="17">
        <f t="shared" si="3"/>
        <v>0</v>
      </c>
      <c r="N10" s="44"/>
    </row>
    <row r="11" spans="1:14">
      <c r="A11" s="26">
        <v>8</v>
      </c>
      <c r="B11" s="27">
        <v>46089</v>
      </c>
      <c r="C11" s="17"/>
      <c r="D11" s="17"/>
      <c r="E11" s="86">
        <v>35</v>
      </c>
      <c r="F11" s="86">
        <v>92.23</v>
      </c>
      <c r="G11" s="17">
        <f t="shared" si="0"/>
        <v>3228.05</v>
      </c>
      <c r="H11" s="86"/>
      <c r="I11" s="86"/>
      <c r="J11" s="17">
        <f t="shared" si="1"/>
        <v>0</v>
      </c>
      <c r="K11" s="17">
        <f t="shared" si="4"/>
        <v>3228.05</v>
      </c>
      <c r="L11" s="17">
        <f t="shared" si="2"/>
        <v>3228.05</v>
      </c>
      <c r="M11" s="17">
        <f t="shared" si="3"/>
        <v>0</v>
      </c>
      <c r="N11" s="44"/>
    </row>
    <row r="12" spans="1:14">
      <c r="A12" s="26">
        <v>9</v>
      </c>
      <c r="B12" s="27">
        <v>46090</v>
      </c>
      <c r="C12" s="17"/>
      <c r="D12" s="17"/>
      <c r="E12" s="86"/>
      <c r="F12" s="86"/>
      <c r="G12" s="17">
        <f t="shared" si="0"/>
        <v>0</v>
      </c>
      <c r="H12" s="86"/>
      <c r="I12" s="86"/>
      <c r="J12" s="17">
        <f t="shared" si="1"/>
        <v>0</v>
      </c>
      <c r="K12" s="17">
        <f t="shared" si="4"/>
        <v>0</v>
      </c>
      <c r="L12" s="17">
        <f t="shared" si="2"/>
        <v>0</v>
      </c>
      <c r="M12" s="17">
        <f t="shared" si="3"/>
        <v>0</v>
      </c>
      <c r="N12" s="44"/>
    </row>
    <row r="13" spans="1:14">
      <c r="A13" s="26">
        <v>10</v>
      </c>
      <c r="B13" s="27">
        <v>46091</v>
      </c>
      <c r="C13" s="17"/>
      <c r="D13" s="17"/>
      <c r="E13" s="86"/>
      <c r="F13" s="86"/>
      <c r="G13" s="17">
        <f t="shared" si="0"/>
        <v>0</v>
      </c>
      <c r="H13" s="86"/>
      <c r="I13" s="86"/>
      <c r="J13" s="17">
        <f t="shared" si="1"/>
        <v>0</v>
      </c>
      <c r="K13" s="17">
        <f t="shared" si="4"/>
        <v>0</v>
      </c>
      <c r="L13" s="17">
        <f t="shared" si="2"/>
        <v>0</v>
      </c>
      <c r="M13" s="17">
        <f t="shared" si="3"/>
        <v>0</v>
      </c>
      <c r="N13" s="44"/>
    </row>
    <row r="14" spans="1:14">
      <c r="A14" s="26">
        <v>11</v>
      </c>
      <c r="B14" s="27">
        <v>46092</v>
      </c>
      <c r="C14" s="17"/>
      <c r="D14" s="17"/>
      <c r="E14" s="86"/>
      <c r="F14" s="86"/>
      <c r="G14" s="17">
        <f t="shared" si="0"/>
        <v>0</v>
      </c>
      <c r="H14" s="86"/>
      <c r="I14" s="86"/>
      <c r="J14" s="17">
        <f t="shared" si="1"/>
        <v>0</v>
      </c>
      <c r="K14" s="17">
        <f t="shared" si="4"/>
        <v>0</v>
      </c>
      <c r="L14" s="17">
        <f t="shared" si="2"/>
        <v>0</v>
      </c>
      <c r="M14" s="17">
        <f t="shared" si="3"/>
        <v>0</v>
      </c>
      <c r="N14" s="44"/>
    </row>
    <row r="15" spans="1:14">
      <c r="A15" s="26">
        <v>12</v>
      </c>
      <c r="B15" s="27">
        <v>46093</v>
      </c>
      <c r="C15" s="17"/>
      <c r="D15" s="17"/>
      <c r="E15" s="86"/>
      <c r="F15" s="86"/>
      <c r="G15" s="17">
        <f t="shared" si="0"/>
        <v>0</v>
      </c>
      <c r="H15" s="86"/>
      <c r="I15" s="86"/>
      <c r="J15" s="17">
        <f t="shared" si="1"/>
        <v>0</v>
      </c>
      <c r="K15" s="17">
        <f t="shared" si="4"/>
        <v>0</v>
      </c>
      <c r="L15" s="17">
        <f t="shared" si="2"/>
        <v>0</v>
      </c>
      <c r="M15" s="17">
        <f t="shared" si="3"/>
        <v>0</v>
      </c>
      <c r="N15" s="44"/>
    </row>
    <row r="16" spans="1:14">
      <c r="A16" s="26">
        <v>13</v>
      </c>
      <c r="B16" s="27">
        <v>46094</v>
      </c>
      <c r="C16" s="17"/>
      <c r="D16" s="17"/>
      <c r="E16" s="86">
        <v>20</v>
      </c>
      <c r="F16" s="86">
        <v>92.23</v>
      </c>
      <c r="G16" s="17">
        <f t="shared" si="0"/>
        <v>1844.6000000000001</v>
      </c>
      <c r="H16" s="86">
        <v>12</v>
      </c>
      <c r="I16" s="86">
        <v>104.09</v>
      </c>
      <c r="J16" s="17">
        <f t="shared" si="1"/>
        <v>1249.08</v>
      </c>
      <c r="K16" s="17">
        <f t="shared" si="4"/>
        <v>3093.6800000000003</v>
      </c>
      <c r="L16" s="17">
        <f t="shared" si="2"/>
        <v>3093.6800000000003</v>
      </c>
      <c r="M16" s="17">
        <f t="shared" si="3"/>
        <v>0</v>
      </c>
      <c r="N16" s="44"/>
    </row>
    <row r="17" spans="1:14">
      <c r="A17" s="26">
        <v>14</v>
      </c>
      <c r="B17" s="27">
        <v>46095</v>
      </c>
      <c r="C17" s="17"/>
      <c r="D17" s="17"/>
      <c r="E17" s="86"/>
      <c r="F17" s="86"/>
      <c r="G17" s="17">
        <f t="shared" si="0"/>
        <v>0</v>
      </c>
      <c r="H17" s="86"/>
      <c r="I17" s="86"/>
      <c r="J17" s="17">
        <f t="shared" si="1"/>
        <v>0</v>
      </c>
      <c r="K17" s="17">
        <f t="shared" si="4"/>
        <v>0</v>
      </c>
      <c r="L17" s="17">
        <f t="shared" si="2"/>
        <v>0</v>
      </c>
      <c r="M17" s="17">
        <f t="shared" si="3"/>
        <v>0</v>
      </c>
      <c r="N17" s="44"/>
    </row>
    <row r="18" spans="1:14">
      <c r="A18" s="26">
        <v>15</v>
      </c>
      <c r="B18" s="27">
        <v>46096</v>
      </c>
      <c r="C18" s="17"/>
      <c r="D18" s="17"/>
      <c r="E18" s="86"/>
      <c r="F18" s="86"/>
      <c r="G18" s="17">
        <f t="shared" si="0"/>
        <v>0</v>
      </c>
      <c r="H18" s="86"/>
      <c r="I18" s="86"/>
      <c r="J18" s="17">
        <f t="shared" si="1"/>
        <v>0</v>
      </c>
      <c r="K18" s="17">
        <f t="shared" si="4"/>
        <v>0</v>
      </c>
      <c r="L18" s="17">
        <f t="shared" si="2"/>
        <v>0</v>
      </c>
      <c r="M18" s="17">
        <f t="shared" si="3"/>
        <v>0</v>
      </c>
      <c r="N18" s="44"/>
    </row>
    <row r="19" spans="1:14">
      <c r="A19" s="26">
        <v>16</v>
      </c>
      <c r="B19" s="27">
        <v>46097</v>
      </c>
      <c r="C19" s="17"/>
      <c r="D19" s="17"/>
      <c r="E19" s="86"/>
      <c r="F19" s="86"/>
      <c r="G19" s="17">
        <f t="shared" si="0"/>
        <v>0</v>
      </c>
      <c r="H19" s="86"/>
      <c r="I19" s="86"/>
      <c r="J19" s="17">
        <f t="shared" si="1"/>
        <v>0</v>
      </c>
      <c r="K19" s="17">
        <f t="shared" si="4"/>
        <v>0</v>
      </c>
      <c r="L19" s="17">
        <f t="shared" si="2"/>
        <v>0</v>
      </c>
      <c r="M19" s="17">
        <f t="shared" si="3"/>
        <v>0</v>
      </c>
      <c r="N19" s="44"/>
    </row>
    <row r="20" spans="1:14">
      <c r="A20" s="26">
        <v>17</v>
      </c>
      <c r="B20" s="27">
        <v>46098</v>
      </c>
      <c r="C20" s="17"/>
      <c r="D20" s="17"/>
      <c r="E20" s="86"/>
      <c r="F20" s="86"/>
      <c r="G20" s="17">
        <f t="shared" si="0"/>
        <v>0</v>
      </c>
      <c r="H20" s="86"/>
      <c r="I20" s="86"/>
      <c r="J20" s="17">
        <f t="shared" si="1"/>
        <v>0</v>
      </c>
      <c r="K20" s="17">
        <f t="shared" si="4"/>
        <v>0</v>
      </c>
      <c r="L20" s="17">
        <f t="shared" si="2"/>
        <v>0</v>
      </c>
      <c r="M20" s="17">
        <f t="shared" si="3"/>
        <v>0</v>
      </c>
      <c r="N20" s="44"/>
    </row>
    <row r="21" spans="1:14">
      <c r="A21" s="26">
        <v>18</v>
      </c>
      <c r="B21" s="27">
        <v>46099</v>
      </c>
      <c r="C21" s="17"/>
      <c r="D21" s="17"/>
      <c r="E21" s="86">
        <v>35</v>
      </c>
      <c r="F21" s="86">
        <v>92.23</v>
      </c>
      <c r="G21" s="17">
        <f t="shared" si="0"/>
        <v>3228.05</v>
      </c>
      <c r="H21" s="86">
        <v>6</v>
      </c>
      <c r="I21" s="86">
        <v>104.09</v>
      </c>
      <c r="J21" s="17">
        <f t="shared" si="1"/>
        <v>624.54</v>
      </c>
      <c r="K21" s="17">
        <f t="shared" si="4"/>
        <v>3852.59</v>
      </c>
      <c r="L21" s="17">
        <f t="shared" si="2"/>
        <v>3852.59</v>
      </c>
      <c r="M21" s="17">
        <f t="shared" si="3"/>
        <v>0</v>
      </c>
      <c r="N21" s="44"/>
    </row>
    <row r="22" spans="1:14">
      <c r="A22" s="26">
        <v>19</v>
      </c>
      <c r="B22" s="27">
        <v>46100</v>
      </c>
      <c r="C22" s="17"/>
      <c r="D22" s="17"/>
      <c r="E22" s="86"/>
      <c r="F22" s="86"/>
      <c r="G22" s="17">
        <f t="shared" si="0"/>
        <v>0</v>
      </c>
      <c r="H22" s="86"/>
      <c r="I22" s="86"/>
      <c r="J22" s="17">
        <f t="shared" si="1"/>
        <v>0</v>
      </c>
      <c r="K22" s="17">
        <f t="shared" si="4"/>
        <v>0</v>
      </c>
      <c r="L22" s="17">
        <f t="shared" si="2"/>
        <v>0</v>
      </c>
      <c r="M22" s="17">
        <f t="shared" si="3"/>
        <v>0</v>
      </c>
      <c r="N22" s="44"/>
    </row>
    <row r="23" spans="1:14">
      <c r="A23" s="26">
        <v>20</v>
      </c>
      <c r="B23" s="27">
        <v>46101</v>
      </c>
      <c r="C23" s="17"/>
      <c r="D23" s="17"/>
      <c r="E23" s="86"/>
      <c r="F23" s="86"/>
      <c r="G23" s="17">
        <f t="shared" si="0"/>
        <v>0</v>
      </c>
      <c r="H23" s="86"/>
      <c r="I23" s="86"/>
      <c r="J23" s="17">
        <f t="shared" si="1"/>
        <v>0</v>
      </c>
      <c r="K23" s="17">
        <f t="shared" si="4"/>
        <v>0</v>
      </c>
      <c r="L23" s="17">
        <f t="shared" si="2"/>
        <v>0</v>
      </c>
      <c r="M23" s="17">
        <f t="shared" si="3"/>
        <v>0</v>
      </c>
      <c r="N23" s="44"/>
    </row>
    <row r="24" spans="1:14">
      <c r="A24" s="26">
        <v>21</v>
      </c>
      <c r="B24" s="27">
        <v>46102</v>
      </c>
      <c r="C24" s="17"/>
      <c r="D24" s="17"/>
      <c r="E24" s="86"/>
      <c r="F24" s="86"/>
      <c r="G24" s="17">
        <f t="shared" si="0"/>
        <v>0</v>
      </c>
      <c r="H24" s="86"/>
      <c r="I24" s="86"/>
      <c r="J24" s="17">
        <f t="shared" si="1"/>
        <v>0</v>
      </c>
      <c r="K24" s="17">
        <f t="shared" si="4"/>
        <v>0</v>
      </c>
      <c r="L24" s="17">
        <f t="shared" si="2"/>
        <v>0</v>
      </c>
      <c r="M24" s="17">
        <f t="shared" si="3"/>
        <v>0</v>
      </c>
      <c r="N24" s="44"/>
    </row>
    <row r="25" spans="1:14">
      <c r="A25" s="26">
        <v>22</v>
      </c>
      <c r="B25" s="27">
        <v>46103</v>
      </c>
      <c r="C25" s="17"/>
      <c r="D25" s="17"/>
      <c r="E25" s="86"/>
      <c r="F25" s="86"/>
      <c r="G25" s="17">
        <f t="shared" si="0"/>
        <v>0</v>
      </c>
      <c r="H25" s="86"/>
      <c r="I25" s="86"/>
      <c r="J25" s="17">
        <f t="shared" si="1"/>
        <v>0</v>
      </c>
      <c r="K25" s="17">
        <f t="shared" si="4"/>
        <v>0</v>
      </c>
      <c r="L25" s="17">
        <f t="shared" si="2"/>
        <v>0</v>
      </c>
      <c r="M25" s="17">
        <f t="shared" si="3"/>
        <v>0</v>
      </c>
      <c r="N25" s="44"/>
    </row>
    <row r="26" spans="1:14">
      <c r="A26" s="26">
        <v>23</v>
      </c>
      <c r="B26" s="27">
        <v>46104</v>
      </c>
      <c r="C26" s="17"/>
      <c r="D26" s="17"/>
      <c r="E26" s="86"/>
      <c r="F26" s="86"/>
      <c r="G26" s="17">
        <f t="shared" si="0"/>
        <v>0</v>
      </c>
      <c r="H26" s="86"/>
      <c r="I26" s="86"/>
      <c r="J26" s="17">
        <f t="shared" si="1"/>
        <v>0</v>
      </c>
      <c r="K26" s="17">
        <f t="shared" si="4"/>
        <v>0</v>
      </c>
      <c r="L26" s="17">
        <f t="shared" si="2"/>
        <v>0</v>
      </c>
      <c r="M26" s="17">
        <f t="shared" si="3"/>
        <v>0</v>
      </c>
      <c r="N26" s="44"/>
    </row>
    <row r="27" spans="1:14">
      <c r="A27" s="26">
        <v>24</v>
      </c>
      <c r="B27" s="27">
        <v>46105</v>
      </c>
      <c r="C27" s="17"/>
      <c r="D27" s="17"/>
      <c r="E27" s="86"/>
      <c r="F27" s="86"/>
      <c r="G27" s="17">
        <f t="shared" si="0"/>
        <v>0</v>
      </c>
      <c r="H27" s="86">
        <v>9.99</v>
      </c>
      <c r="I27" s="86">
        <v>104.09</v>
      </c>
      <c r="J27" s="17">
        <f t="shared" si="1"/>
        <v>1039.8591000000001</v>
      </c>
      <c r="K27" s="17">
        <f t="shared" si="4"/>
        <v>1039.8591000000001</v>
      </c>
      <c r="L27" s="17">
        <f t="shared" si="2"/>
        <v>1039.8591000000001</v>
      </c>
      <c r="M27" s="17">
        <f t="shared" si="3"/>
        <v>0</v>
      </c>
      <c r="N27" s="44"/>
    </row>
    <row r="28" spans="1:14">
      <c r="A28" s="26">
        <v>25</v>
      </c>
      <c r="B28" s="27">
        <v>46106</v>
      </c>
      <c r="C28" s="17"/>
      <c r="D28" s="17"/>
      <c r="E28" s="86"/>
      <c r="F28" s="86"/>
      <c r="G28" s="17">
        <f t="shared" si="0"/>
        <v>0</v>
      </c>
      <c r="H28" s="86"/>
      <c r="I28" s="86"/>
      <c r="J28" s="17">
        <f t="shared" si="1"/>
        <v>0</v>
      </c>
      <c r="K28" s="17">
        <f>G28+J28</f>
        <v>0</v>
      </c>
      <c r="L28" s="17">
        <f t="shared" si="2"/>
        <v>0</v>
      </c>
      <c r="M28" s="17">
        <v>0</v>
      </c>
      <c r="N28" s="44"/>
    </row>
    <row r="29" spans="1:14">
      <c r="A29" s="26">
        <v>26</v>
      </c>
      <c r="B29" s="27">
        <v>46107</v>
      </c>
      <c r="C29" s="17"/>
      <c r="D29" s="17"/>
      <c r="E29" s="86"/>
      <c r="F29" s="86"/>
      <c r="G29" s="17">
        <f t="shared" si="0"/>
        <v>0</v>
      </c>
      <c r="H29" s="86"/>
      <c r="I29" s="86"/>
      <c r="J29" s="17">
        <f t="shared" si="1"/>
        <v>0</v>
      </c>
      <c r="K29" s="17">
        <f t="shared" si="4"/>
        <v>0</v>
      </c>
      <c r="L29" s="17">
        <f t="shared" si="2"/>
        <v>0</v>
      </c>
      <c r="M29" s="17">
        <v>0</v>
      </c>
      <c r="N29" s="44"/>
    </row>
    <row r="30" spans="1:14">
      <c r="A30" s="26">
        <v>27</v>
      </c>
      <c r="B30" s="27">
        <v>46108</v>
      </c>
      <c r="C30" s="17"/>
      <c r="D30" s="17"/>
      <c r="E30" s="86">
        <v>30</v>
      </c>
      <c r="F30" s="86">
        <v>92.23</v>
      </c>
      <c r="G30" s="17">
        <f t="shared" si="0"/>
        <v>2766.9</v>
      </c>
      <c r="H30" s="86"/>
      <c r="I30" s="86"/>
      <c r="J30" s="17">
        <f t="shared" si="1"/>
        <v>0</v>
      </c>
      <c r="K30" s="17">
        <f t="shared" si="4"/>
        <v>2766.9</v>
      </c>
      <c r="L30" s="17">
        <f t="shared" si="2"/>
        <v>2766.9</v>
      </c>
      <c r="M30" s="17">
        <v>0</v>
      </c>
      <c r="N30" s="44"/>
    </row>
    <row r="31" spans="1:14">
      <c r="A31" s="26">
        <v>28</v>
      </c>
      <c r="B31" s="27">
        <v>46109</v>
      </c>
      <c r="C31" s="17"/>
      <c r="D31" s="17"/>
      <c r="E31" s="86"/>
      <c r="F31" s="86"/>
      <c r="G31" s="17">
        <f t="shared" si="0"/>
        <v>0</v>
      </c>
      <c r="H31" s="86"/>
      <c r="I31" s="86"/>
      <c r="J31" s="17">
        <f t="shared" si="1"/>
        <v>0</v>
      </c>
      <c r="K31" s="17">
        <f t="shared" si="4"/>
        <v>0</v>
      </c>
      <c r="L31" s="17">
        <f t="shared" si="2"/>
        <v>0</v>
      </c>
      <c r="M31" s="17">
        <v>0</v>
      </c>
      <c r="N31" s="44"/>
    </row>
    <row r="32" spans="1:14">
      <c r="A32" s="26">
        <v>29</v>
      </c>
      <c r="B32" s="27">
        <v>46110</v>
      </c>
      <c r="C32" s="17"/>
      <c r="D32" s="17"/>
      <c r="E32" s="86"/>
      <c r="F32" s="86"/>
      <c r="G32" s="17">
        <f t="shared" si="0"/>
        <v>0</v>
      </c>
      <c r="H32" s="86"/>
      <c r="I32" s="86"/>
      <c r="J32" s="17">
        <f t="shared" si="1"/>
        <v>0</v>
      </c>
      <c r="K32" s="17">
        <f t="shared" si="4"/>
        <v>0</v>
      </c>
      <c r="L32" s="17">
        <f t="shared" si="2"/>
        <v>0</v>
      </c>
      <c r="M32" s="17"/>
      <c r="N32" s="44"/>
    </row>
    <row r="33" spans="1:14">
      <c r="A33" s="26">
        <v>30</v>
      </c>
      <c r="B33" s="27">
        <v>46111</v>
      </c>
      <c r="C33" s="17"/>
      <c r="D33" s="17"/>
      <c r="E33" s="86">
        <v>55.05</v>
      </c>
      <c r="F33" s="86">
        <v>92.23</v>
      </c>
      <c r="G33" s="17">
        <f t="shared" si="0"/>
        <v>5077.2614999999996</v>
      </c>
      <c r="H33" s="86">
        <v>5</v>
      </c>
      <c r="I33" s="86">
        <v>104.09</v>
      </c>
      <c r="J33" s="17">
        <f t="shared" si="1"/>
        <v>520.45000000000005</v>
      </c>
      <c r="K33" s="17">
        <f t="shared" si="4"/>
        <v>5597.7114999999994</v>
      </c>
      <c r="L33" s="17">
        <f t="shared" si="2"/>
        <v>5597.7114999999994</v>
      </c>
      <c r="M33" s="17"/>
      <c r="N33" s="44"/>
    </row>
    <row r="34" spans="1:14">
      <c r="A34" s="26">
        <v>31</v>
      </c>
      <c r="B34" s="27">
        <v>46112</v>
      </c>
      <c r="C34" s="17"/>
      <c r="D34" s="17"/>
      <c r="E34" s="86"/>
      <c r="F34" s="86"/>
      <c r="G34" s="17">
        <f t="shared" si="0"/>
        <v>0</v>
      </c>
      <c r="H34" s="86"/>
      <c r="I34" s="86"/>
      <c r="J34" s="17">
        <f t="shared" si="1"/>
        <v>0</v>
      </c>
      <c r="K34" s="17">
        <f t="shared" si="4"/>
        <v>0</v>
      </c>
      <c r="L34" s="17">
        <f t="shared" si="2"/>
        <v>0</v>
      </c>
      <c r="M34" s="17"/>
      <c r="N34" s="44"/>
    </row>
    <row r="35" spans="1:14">
      <c r="A35" s="42"/>
      <c r="B35" s="42"/>
      <c r="C35" s="42"/>
      <c r="D35" s="42"/>
      <c r="E35" s="42">
        <f>SUM(E4:E34)</f>
        <v>215.05</v>
      </c>
      <c r="F35" s="42"/>
      <c r="G35" s="42">
        <f>SUM(G4:G34)</f>
        <v>19834.0615</v>
      </c>
      <c r="H35" s="42">
        <f>SUM(H4:H34)</f>
        <v>38.99</v>
      </c>
      <c r="I35" s="42"/>
      <c r="J35" s="42">
        <f>SUM(J4:J34)</f>
        <v>4058.4691000000003</v>
      </c>
      <c r="K35" s="42">
        <f>SUM(K4:K34)</f>
        <v>23892.530599999998</v>
      </c>
      <c r="L35" s="42">
        <f>SUM(L4:L34)</f>
        <v>23892.530599999998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46A-CC6F-4EF6-BB30-60E9EE9B0804}">
  <dimension ref="A1:N35"/>
  <sheetViews>
    <sheetView topLeftCell="A9" workbookViewId="0">
      <selection activeCell="L27" sqref="L27"/>
    </sheetView>
  </sheetViews>
  <sheetFormatPr defaultRowHeight="15"/>
  <cols>
    <col min="2" max="2" width="10.140625" bestFit="1" customWidth="1"/>
  </cols>
  <sheetData>
    <row r="1" spans="1:14" ht="15.75">
      <c r="A1" s="469" t="s">
        <v>103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</row>
    <row r="2" spans="1:14" ht="27">
      <c r="A2" s="103" t="s">
        <v>0</v>
      </c>
      <c r="B2" s="106" t="s">
        <v>161</v>
      </c>
      <c r="C2" s="106" t="s">
        <v>162</v>
      </c>
      <c r="D2" s="106" t="s">
        <v>163</v>
      </c>
      <c r="E2" s="106" t="s">
        <v>164</v>
      </c>
      <c r="F2" s="106" t="s">
        <v>165</v>
      </c>
      <c r="G2" s="106" t="s">
        <v>166</v>
      </c>
      <c r="H2" s="106" t="s">
        <v>167</v>
      </c>
      <c r="I2" s="106" t="s">
        <v>165</v>
      </c>
      <c r="J2" s="106" t="s">
        <v>166</v>
      </c>
      <c r="K2" s="106" t="s">
        <v>168</v>
      </c>
      <c r="L2" s="106" t="s">
        <v>169</v>
      </c>
      <c r="M2" s="106" t="s">
        <v>181</v>
      </c>
      <c r="N2" s="106" t="s">
        <v>171</v>
      </c>
    </row>
    <row r="3" spans="1:14">
      <c r="A3" s="472" t="s">
        <v>172</v>
      </c>
      <c r="B3" s="472"/>
      <c r="C3" s="472"/>
      <c r="D3" s="472"/>
      <c r="E3" s="472"/>
      <c r="F3" s="472"/>
      <c r="G3" s="472"/>
      <c r="H3" s="472"/>
      <c r="I3" s="472"/>
      <c r="J3" s="472"/>
      <c r="K3" s="95">
        <v>0</v>
      </c>
      <c r="L3" s="95">
        <v>0</v>
      </c>
      <c r="M3" s="95">
        <f>+K3</f>
        <v>0</v>
      </c>
      <c r="N3" s="17"/>
    </row>
    <row r="4" spans="1:14">
      <c r="A4" s="26">
        <v>1</v>
      </c>
      <c r="B4" s="27">
        <v>46082</v>
      </c>
      <c r="C4" s="17"/>
      <c r="D4" s="17"/>
      <c r="E4" s="86"/>
      <c r="F4" s="86"/>
      <c r="G4" s="17">
        <f>E4*F4</f>
        <v>0</v>
      </c>
      <c r="H4" s="86"/>
      <c r="I4" s="86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4"/>
    </row>
    <row r="5" spans="1:14">
      <c r="A5" s="26">
        <v>2</v>
      </c>
      <c r="B5" s="27">
        <v>46083</v>
      </c>
      <c r="C5" s="17"/>
      <c r="D5" s="17"/>
      <c r="E5" s="86"/>
      <c r="F5" s="86"/>
      <c r="G5" s="17">
        <f t="shared" ref="G5:G34" si="0">E5*F5</f>
        <v>0</v>
      </c>
      <c r="H5" s="86">
        <v>24</v>
      </c>
      <c r="I5" s="86">
        <v>104.14</v>
      </c>
      <c r="J5" s="17">
        <f t="shared" ref="J5:J33" si="1">H5*I5</f>
        <v>2499.36</v>
      </c>
      <c r="K5" s="17">
        <f>G5+J5</f>
        <v>2499.36</v>
      </c>
      <c r="L5" s="17">
        <f t="shared" ref="L5:L34" si="2">K5</f>
        <v>2499.36</v>
      </c>
      <c r="M5" s="17">
        <f t="shared" ref="M5:M27" si="3">M4+K5-L5</f>
        <v>0</v>
      </c>
      <c r="N5" s="44" t="s">
        <v>210</v>
      </c>
    </row>
    <row r="6" spans="1:14">
      <c r="A6" s="26">
        <v>3</v>
      </c>
      <c r="B6" s="27">
        <v>46084</v>
      </c>
      <c r="C6" s="17"/>
      <c r="D6" s="17"/>
      <c r="E6" s="86"/>
      <c r="F6" s="86"/>
      <c r="G6" s="17">
        <f t="shared" si="0"/>
        <v>0</v>
      </c>
      <c r="H6" s="86"/>
      <c r="I6" s="86"/>
      <c r="J6" s="17">
        <f t="shared" si="1"/>
        <v>0</v>
      </c>
      <c r="K6" s="17">
        <f t="shared" ref="K6:K34" si="4">G6+J6</f>
        <v>0</v>
      </c>
      <c r="L6" s="17">
        <f t="shared" si="2"/>
        <v>0</v>
      </c>
      <c r="M6" s="17">
        <f t="shared" si="3"/>
        <v>0</v>
      </c>
      <c r="N6" s="44"/>
    </row>
    <row r="7" spans="1:14">
      <c r="A7" s="26">
        <v>4</v>
      </c>
      <c r="B7" s="27">
        <v>46085</v>
      </c>
      <c r="C7" s="17"/>
      <c r="D7" s="17"/>
      <c r="E7" s="86"/>
      <c r="F7" s="86"/>
      <c r="G7" s="17">
        <f t="shared" si="0"/>
        <v>0</v>
      </c>
      <c r="H7" s="86"/>
      <c r="I7" s="86"/>
      <c r="J7" s="17">
        <f t="shared" si="1"/>
        <v>0</v>
      </c>
      <c r="K7" s="17">
        <f t="shared" si="4"/>
        <v>0</v>
      </c>
      <c r="L7" s="17">
        <f t="shared" si="2"/>
        <v>0</v>
      </c>
      <c r="M7" s="17">
        <f t="shared" si="3"/>
        <v>0</v>
      </c>
      <c r="N7" s="44"/>
    </row>
    <row r="8" spans="1:14">
      <c r="A8" s="26">
        <v>5</v>
      </c>
      <c r="B8" s="27">
        <v>46086</v>
      </c>
      <c r="C8" s="17"/>
      <c r="D8" s="17"/>
      <c r="E8" s="86"/>
      <c r="F8" s="86"/>
      <c r="G8" s="17">
        <f t="shared" si="0"/>
        <v>0</v>
      </c>
      <c r="H8" s="86"/>
      <c r="I8" s="86"/>
      <c r="J8" s="17">
        <f t="shared" si="1"/>
        <v>0</v>
      </c>
      <c r="K8" s="17">
        <f t="shared" si="4"/>
        <v>0</v>
      </c>
      <c r="L8" s="17">
        <f t="shared" si="2"/>
        <v>0</v>
      </c>
      <c r="M8" s="17">
        <f t="shared" si="3"/>
        <v>0</v>
      </c>
      <c r="N8" s="44" t="s">
        <v>210</v>
      </c>
    </row>
    <row r="9" spans="1:14">
      <c r="A9" s="26">
        <v>6</v>
      </c>
      <c r="B9" s="27">
        <v>46087</v>
      </c>
      <c r="C9" s="17"/>
      <c r="D9" s="17"/>
      <c r="E9" s="86"/>
      <c r="F9" s="86"/>
      <c r="G9" s="17">
        <f t="shared" si="0"/>
        <v>0</v>
      </c>
      <c r="H9" s="86"/>
      <c r="I9" s="86"/>
      <c r="J9" s="17">
        <f t="shared" si="1"/>
        <v>0</v>
      </c>
      <c r="K9" s="17">
        <f t="shared" si="4"/>
        <v>0</v>
      </c>
      <c r="L9" s="17">
        <f t="shared" si="2"/>
        <v>0</v>
      </c>
      <c r="M9" s="17">
        <f t="shared" si="3"/>
        <v>0</v>
      </c>
      <c r="N9" s="44"/>
    </row>
    <row r="10" spans="1:14">
      <c r="A10" s="26">
        <v>7</v>
      </c>
      <c r="B10" s="27">
        <v>46088</v>
      </c>
      <c r="C10" s="17"/>
      <c r="D10" s="17"/>
      <c r="E10" s="86">
        <v>210</v>
      </c>
      <c r="F10" s="86">
        <v>92.05</v>
      </c>
      <c r="G10" s="17">
        <f t="shared" si="0"/>
        <v>19330.5</v>
      </c>
      <c r="H10" s="86"/>
      <c r="I10" s="86"/>
      <c r="J10" s="17">
        <f t="shared" si="1"/>
        <v>0</v>
      </c>
      <c r="K10" s="17">
        <f t="shared" si="4"/>
        <v>19330.5</v>
      </c>
      <c r="L10" s="17">
        <f t="shared" si="2"/>
        <v>19330.5</v>
      </c>
      <c r="M10" s="17">
        <f t="shared" si="3"/>
        <v>0</v>
      </c>
      <c r="N10" s="44"/>
    </row>
    <row r="11" spans="1:14">
      <c r="A11" s="26">
        <v>8</v>
      </c>
      <c r="B11" s="27">
        <v>46089</v>
      </c>
      <c r="C11" s="17"/>
      <c r="D11" s="17"/>
      <c r="E11" s="86"/>
      <c r="F11" s="86"/>
      <c r="G11" s="17">
        <f t="shared" si="0"/>
        <v>0</v>
      </c>
      <c r="H11" s="86"/>
      <c r="I11" s="86"/>
      <c r="J11" s="17">
        <f t="shared" si="1"/>
        <v>0</v>
      </c>
      <c r="K11" s="17">
        <f t="shared" si="4"/>
        <v>0</v>
      </c>
      <c r="L11" s="17">
        <f t="shared" si="2"/>
        <v>0</v>
      </c>
      <c r="M11" s="17">
        <f t="shared" si="3"/>
        <v>0</v>
      </c>
      <c r="N11" s="44"/>
    </row>
    <row r="12" spans="1:14">
      <c r="A12" s="26">
        <v>9</v>
      </c>
      <c r="B12" s="27">
        <v>46090</v>
      </c>
      <c r="C12" s="17"/>
      <c r="D12" s="17"/>
      <c r="E12" s="86"/>
      <c r="F12" s="86"/>
      <c r="G12" s="17">
        <f t="shared" si="0"/>
        <v>0</v>
      </c>
      <c r="H12" s="86"/>
      <c r="I12" s="86"/>
      <c r="J12" s="17">
        <f t="shared" si="1"/>
        <v>0</v>
      </c>
      <c r="K12" s="17">
        <f t="shared" si="4"/>
        <v>0</v>
      </c>
      <c r="L12" s="17">
        <f t="shared" si="2"/>
        <v>0</v>
      </c>
      <c r="M12" s="17">
        <f t="shared" si="3"/>
        <v>0</v>
      </c>
      <c r="N12" s="44"/>
    </row>
    <row r="13" spans="1:14">
      <c r="A13" s="26">
        <v>10</v>
      </c>
      <c r="B13" s="27">
        <v>46091</v>
      </c>
      <c r="C13" s="17"/>
      <c r="D13" s="17"/>
      <c r="E13" s="86"/>
      <c r="F13" s="86"/>
      <c r="G13" s="17">
        <f t="shared" si="0"/>
        <v>0</v>
      </c>
      <c r="H13" s="86">
        <v>24</v>
      </c>
      <c r="I13" s="86">
        <v>104.14</v>
      </c>
      <c r="J13" s="17">
        <f t="shared" si="1"/>
        <v>2499.36</v>
      </c>
      <c r="K13" s="17">
        <f t="shared" si="4"/>
        <v>2499.36</v>
      </c>
      <c r="L13" s="17">
        <f t="shared" si="2"/>
        <v>2499.36</v>
      </c>
      <c r="M13" s="17">
        <f t="shared" si="3"/>
        <v>0</v>
      </c>
      <c r="N13" s="44"/>
    </row>
    <row r="14" spans="1:14">
      <c r="A14" s="26">
        <v>11</v>
      </c>
      <c r="B14" s="27">
        <v>46092</v>
      </c>
      <c r="C14" s="17"/>
      <c r="D14" s="17"/>
      <c r="E14" s="86"/>
      <c r="F14" s="86"/>
      <c r="G14" s="17">
        <f t="shared" si="0"/>
        <v>0</v>
      </c>
      <c r="H14" s="86"/>
      <c r="I14" s="86"/>
      <c r="J14" s="17">
        <f t="shared" si="1"/>
        <v>0</v>
      </c>
      <c r="K14" s="17">
        <f t="shared" si="4"/>
        <v>0</v>
      </c>
      <c r="L14" s="17">
        <f t="shared" si="2"/>
        <v>0</v>
      </c>
      <c r="M14" s="17">
        <f t="shared" si="3"/>
        <v>0</v>
      </c>
      <c r="N14" s="44"/>
    </row>
    <row r="15" spans="1:14">
      <c r="A15" s="26">
        <v>12</v>
      </c>
      <c r="B15" s="27">
        <v>46093</v>
      </c>
      <c r="C15" s="17"/>
      <c r="D15" s="17"/>
      <c r="E15" s="86"/>
      <c r="F15" s="86"/>
      <c r="G15" s="17">
        <f t="shared" si="0"/>
        <v>0</v>
      </c>
      <c r="H15" s="86"/>
      <c r="I15" s="86"/>
      <c r="J15" s="17">
        <f t="shared" si="1"/>
        <v>0</v>
      </c>
      <c r="K15" s="17">
        <f t="shared" si="4"/>
        <v>0</v>
      </c>
      <c r="L15" s="17">
        <f t="shared" si="2"/>
        <v>0</v>
      </c>
      <c r="M15" s="17">
        <f t="shared" si="3"/>
        <v>0</v>
      </c>
      <c r="N15" s="44"/>
    </row>
    <row r="16" spans="1:14">
      <c r="A16" s="26">
        <v>13</v>
      </c>
      <c r="B16" s="27">
        <v>46094</v>
      </c>
      <c r="C16" s="17"/>
      <c r="D16" s="17"/>
      <c r="E16" s="86"/>
      <c r="F16" s="86"/>
      <c r="G16" s="17">
        <f t="shared" si="0"/>
        <v>0</v>
      </c>
      <c r="H16" s="86"/>
      <c r="I16" s="86"/>
      <c r="J16" s="17">
        <f t="shared" si="1"/>
        <v>0</v>
      </c>
      <c r="K16" s="17">
        <f t="shared" si="4"/>
        <v>0</v>
      </c>
      <c r="L16" s="17">
        <f t="shared" si="2"/>
        <v>0</v>
      </c>
      <c r="M16" s="17">
        <f t="shared" si="3"/>
        <v>0</v>
      </c>
      <c r="N16" s="44"/>
    </row>
    <row r="17" spans="1:14">
      <c r="A17" s="26">
        <v>14</v>
      </c>
      <c r="B17" s="27">
        <v>46095</v>
      </c>
      <c r="C17" s="17"/>
      <c r="D17" s="17"/>
      <c r="E17" s="86"/>
      <c r="F17" s="86"/>
      <c r="G17" s="17">
        <f t="shared" si="0"/>
        <v>0</v>
      </c>
      <c r="H17" s="86"/>
      <c r="I17" s="86"/>
      <c r="J17" s="17">
        <f t="shared" si="1"/>
        <v>0</v>
      </c>
      <c r="K17" s="17">
        <f t="shared" si="4"/>
        <v>0</v>
      </c>
      <c r="L17" s="17">
        <f t="shared" si="2"/>
        <v>0</v>
      </c>
      <c r="M17" s="17">
        <f t="shared" si="3"/>
        <v>0</v>
      </c>
      <c r="N17" s="44"/>
    </row>
    <row r="18" spans="1:14">
      <c r="A18" s="26">
        <v>15</v>
      </c>
      <c r="B18" s="27">
        <v>46096</v>
      </c>
      <c r="C18" s="17"/>
      <c r="D18" s="17"/>
      <c r="E18" s="86"/>
      <c r="F18" s="86"/>
      <c r="G18" s="17">
        <f t="shared" si="0"/>
        <v>0</v>
      </c>
      <c r="H18" s="86"/>
      <c r="I18" s="86"/>
      <c r="J18" s="17">
        <f t="shared" si="1"/>
        <v>0</v>
      </c>
      <c r="K18" s="17">
        <f t="shared" si="4"/>
        <v>0</v>
      </c>
      <c r="L18" s="17">
        <f t="shared" si="2"/>
        <v>0</v>
      </c>
      <c r="M18" s="17">
        <f t="shared" si="3"/>
        <v>0</v>
      </c>
      <c r="N18" s="44"/>
    </row>
    <row r="19" spans="1:14">
      <c r="A19" s="26">
        <v>16</v>
      </c>
      <c r="B19" s="27">
        <v>46097</v>
      </c>
      <c r="C19" s="17"/>
      <c r="D19" s="17"/>
      <c r="E19" s="86"/>
      <c r="F19" s="86"/>
      <c r="G19" s="17">
        <f t="shared" si="0"/>
        <v>0</v>
      </c>
      <c r="H19" s="86"/>
      <c r="I19" s="86"/>
      <c r="J19" s="17">
        <f t="shared" si="1"/>
        <v>0</v>
      </c>
      <c r="K19" s="17">
        <f t="shared" si="4"/>
        <v>0</v>
      </c>
      <c r="L19" s="17">
        <f t="shared" si="2"/>
        <v>0</v>
      </c>
      <c r="M19" s="17">
        <f t="shared" si="3"/>
        <v>0</v>
      </c>
      <c r="N19" s="44"/>
    </row>
    <row r="20" spans="1:14">
      <c r="A20" s="26">
        <v>17</v>
      </c>
      <c r="B20" s="27">
        <v>46098</v>
      </c>
      <c r="C20" s="17"/>
      <c r="D20" s="17"/>
      <c r="E20" s="86"/>
      <c r="F20" s="86"/>
      <c r="G20" s="17">
        <f t="shared" si="0"/>
        <v>0</v>
      </c>
      <c r="H20" s="86"/>
      <c r="I20" s="86"/>
      <c r="J20" s="17">
        <f t="shared" si="1"/>
        <v>0</v>
      </c>
      <c r="K20" s="17">
        <f t="shared" si="4"/>
        <v>0</v>
      </c>
      <c r="L20" s="17">
        <f t="shared" si="2"/>
        <v>0</v>
      </c>
      <c r="M20" s="17">
        <f t="shared" si="3"/>
        <v>0</v>
      </c>
      <c r="N20" s="44"/>
    </row>
    <row r="21" spans="1:14">
      <c r="A21" s="26">
        <v>18</v>
      </c>
      <c r="B21" s="27">
        <v>46099</v>
      </c>
      <c r="C21" s="17"/>
      <c r="D21" s="17"/>
      <c r="E21" s="86"/>
      <c r="F21" s="86"/>
      <c r="G21" s="17">
        <f t="shared" si="0"/>
        <v>0</v>
      </c>
      <c r="H21" s="86"/>
      <c r="I21" s="86"/>
      <c r="J21" s="17">
        <f t="shared" si="1"/>
        <v>0</v>
      </c>
      <c r="K21" s="17">
        <f t="shared" si="4"/>
        <v>0</v>
      </c>
      <c r="L21" s="17">
        <f t="shared" si="2"/>
        <v>0</v>
      </c>
      <c r="M21" s="17">
        <f t="shared" si="3"/>
        <v>0</v>
      </c>
      <c r="N21" s="44"/>
    </row>
    <row r="22" spans="1:14">
      <c r="A22" s="26">
        <v>19</v>
      </c>
      <c r="B22" s="27">
        <v>46100</v>
      </c>
      <c r="C22" s="17"/>
      <c r="D22" s="17"/>
      <c r="E22" s="86"/>
      <c r="F22" s="86"/>
      <c r="G22" s="17">
        <f t="shared" si="0"/>
        <v>0</v>
      </c>
      <c r="H22" s="86"/>
      <c r="I22" s="86"/>
      <c r="J22" s="17">
        <f t="shared" si="1"/>
        <v>0</v>
      </c>
      <c r="K22" s="17">
        <f t="shared" si="4"/>
        <v>0</v>
      </c>
      <c r="L22" s="17">
        <f t="shared" si="2"/>
        <v>0</v>
      </c>
      <c r="M22" s="17">
        <f t="shared" si="3"/>
        <v>0</v>
      </c>
      <c r="N22" s="44"/>
    </row>
    <row r="23" spans="1:14">
      <c r="A23" s="26">
        <v>20</v>
      </c>
      <c r="B23" s="27">
        <v>46101</v>
      </c>
      <c r="C23" s="17"/>
      <c r="D23" s="17"/>
      <c r="E23" s="86"/>
      <c r="F23" s="86"/>
      <c r="G23" s="17">
        <f t="shared" si="0"/>
        <v>0</v>
      </c>
      <c r="H23" s="86"/>
      <c r="I23" s="86"/>
      <c r="J23" s="17">
        <f t="shared" si="1"/>
        <v>0</v>
      </c>
      <c r="K23" s="17">
        <f t="shared" si="4"/>
        <v>0</v>
      </c>
      <c r="L23" s="17">
        <f t="shared" si="2"/>
        <v>0</v>
      </c>
      <c r="M23" s="17">
        <f t="shared" si="3"/>
        <v>0</v>
      </c>
      <c r="N23" s="44"/>
    </row>
    <row r="24" spans="1:14">
      <c r="A24" s="26">
        <v>21</v>
      </c>
      <c r="B24" s="27">
        <v>46102</v>
      </c>
      <c r="C24" s="17"/>
      <c r="D24" s="17"/>
      <c r="E24" s="86"/>
      <c r="F24" s="86"/>
      <c r="G24" s="17">
        <f t="shared" si="0"/>
        <v>0</v>
      </c>
      <c r="H24" s="86"/>
      <c r="I24" s="86"/>
      <c r="J24" s="17">
        <f t="shared" si="1"/>
        <v>0</v>
      </c>
      <c r="K24" s="17">
        <f t="shared" si="4"/>
        <v>0</v>
      </c>
      <c r="L24" s="17">
        <f t="shared" si="2"/>
        <v>0</v>
      </c>
      <c r="M24" s="17">
        <f t="shared" si="3"/>
        <v>0</v>
      </c>
      <c r="N24" s="44"/>
    </row>
    <row r="25" spans="1:14">
      <c r="A25" s="26">
        <v>22</v>
      </c>
      <c r="B25" s="27">
        <v>46103</v>
      </c>
      <c r="C25" s="17"/>
      <c r="D25" s="17"/>
      <c r="E25" s="86"/>
      <c r="F25" s="86"/>
      <c r="G25" s="17">
        <f t="shared" si="0"/>
        <v>0</v>
      </c>
      <c r="H25" s="86"/>
      <c r="I25" s="86"/>
      <c r="J25" s="17">
        <f t="shared" si="1"/>
        <v>0</v>
      </c>
      <c r="K25" s="17">
        <f t="shared" si="4"/>
        <v>0</v>
      </c>
      <c r="L25" s="17">
        <f t="shared" si="2"/>
        <v>0</v>
      </c>
      <c r="M25" s="17">
        <f t="shared" si="3"/>
        <v>0</v>
      </c>
      <c r="N25" s="44"/>
    </row>
    <row r="26" spans="1:14">
      <c r="A26" s="26">
        <v>23</v>
      </c>
      <c r="B26" s="27">
        <v>46104</v>
      </c>
      <c r="C26" s="17"/>
      <c r="D26" s="17"/>
      <c r="E26" s="86"/>
      <c r="F26" s="86"/>
      <c r="G26" s="17">
        <f t="shared" si="0"/>
        <v>0</v>
      </c>
      <c r="H26" s="86"/>
      <c r="I26" s="86"/>
      <c r="J26" s="17">
        <f t="shared" si="1"/>
        <v>0</v>
      </c>
      <c r="K26" s="17">
        <f t="shared" si="4"/>
        <v>0</v>
      </c>
      <c r="L26" s="17">
        <f t="shared" si="2"/>
        <v>0</v>
      </c>
      <c r="M26" s="17">
        <f t="shared" si="3"/>
        <v>0</v>
      </c>
      <c r="N26" s="44"/>
    </row>
    <row r="27" spans="1:14">
      <c r="A27" s="26">
        <v>24</v>
      </c>
      <c r="B27" s="27">
        <v>46105</v>
      </c>
      <c r="C27" s="17"/>
      <c r="D27" s="17"/>
      <c r="E27" s="86"/>
      <c r="F27" s="86"/>
      <c r="G27" s="17">
        <f t="shared" si="0"/>
        <v>0</v>
      </c>
      <c r="H27" s="311">
        <v>24</v>
      </c>
      <c r="I27" s="311">
        <v>104.14</v>
      </c>
      <c r="J27" s="17">
        <f t="shared" si="1"/>
        <v>2499.36</v>
      </c>
      <c r="K27" s="17">
        <f t="shared" si="4"/>
        <v>2499.36</v>
      </c>
      <c r="L27" s="17">
        <f t="shared" si="2"/>
        <v>2499.36</v>
      </c>
      <c r="M27" s="17">
        <f t="shared" si="3"/>
        <v>0</v>
      </c>
      <c r="N27" s="44"/>
    </row>
    <row r="28" spans="1:14">
      <c r="A28" s="26">
        <v>25</v>
      </c>
      <c r="B28" s="27">
        <v>46106</v>
      </c>
      <c r="C28" s="17"/>
      <c r="D28" s="17"/>
      <c r="E28" s="86"/>
      <c r="F28" s="86"/>
      <c r="G28" s="17">
        <f t="shared" si="0"/>
        <v>0</v>
      </c>
      <c r="H28" s="86"/>
      <c r="I28" s="86"/>
      <c r="J28" s="17">
        <f t="shared" si="1"/>
        <v>0</v>
      </c>
      <c r="K28" s="17">
        <f>G28+J28</f>
        <v>0</v>
      </c>
      <c r="L28" s="17">
        <f t="shared" si="2"/>
        <v>0</v>
      </c>
      <c r="M28" s="17">
        <v>0</v>
      </c>
      <c r="N28" s="44"/>
    </row>
    <row r="29" spans="1:14">
      <c r="A29" s="26">
        <v>26</v>
      </c>
      <c r="B29" s="27">
        <v>46107</v>
      </c>
      <c r="C29" s="17"/>
      <c r="D29" s="17"/>
      <c r="E29" s="86"/>
      <c r="F29" s="86"/>
      <c r="G29" s="17">
        <f t="shared" si="0"/>
        <v>0</v>
      </c>
      <c r="H29" s="86"/>
      <c r="I29" s="86"/>
      <c r="J29" s="17">
        <f t="shared" si="1"/>
        <v>0</v>
      </c>
      <c r="K29" s="17">
        <f t="shared" si="4"/>
        <v>0</v>
      </c>
      <c r="L29" s="17">
        <f t="shared" si="2"/>
        <v>0</v>
      </c>
      <c r="M29" s="17">
        <v>0</v>
      </c>
      <c r="N29" s="44"/>
    </row>
    <row r="30" spans="1:14">
      <c r="A30" s="26">
        <v>27</v>
      </c>
      <c r="B30" s="27">
        <v>46108</v>
      </c>
      <c r="C30" s="17"/>
      <c r="D30" s="17"/>
      <c r="E30" s="86"/>
      <c r="F30" s="86"/>
      <c r="G30" s="17">
        <f t="shared" si="0"/>
        <v>0</v>
      </c>
      <c r="H30" s="86"/>
      <c r="I30" s="330"/>
      <c r="J30" s="17">
        <f t="shared" si="1"/>
        <v>0</v>
      </c>
      <c r="K30" s="17">
        <f t="shared" si="4"/>
        <v>0</v>
      </c>
      <c r="L30" s="17">
        <f t="shared" si="2"/>
        <v>0</v>
      </c>
      <c r="M30" s="17">
        <v>0</v>
      </c>
      <c r="N30" s="44"/>
    </row>
    <row r="31" spans="1:14">
      <c r="A31" s="26">
        <v>28</v>
      </c>
      <c r="B31" s="27">
        <v>46109</v>
      </c>
      <c r="C31" s="17"/>
      <c r="D31" s="17"/>
      <c r="E31" s="86"/>
      <c r="F31" s="86"/>
      <c r="G31" s="17">
        <f t="shared" si="0"/>
        <v>0</v>
      </c>
      <c r="H31" s="86"/>
      <c r="I31" s="330"/>
      <c r="J31" s="17">
        <f t="shared" si="1"/>
        <v>0</v>
      </c>
      <c r="K31" s="17">
        <f t="shared" si="4"/>
        <v>0</v>
      </c>
      <c r="L31" s="17">
        <f t="shared" si="2"/>
        <v>0</v>
      </c>
      <c r="M31" s="17">
        <v>0</v>
      </c>
      <c r="N31" s="44"/>
    </row>
    <row r="32" spans="1:14">
      <c r="A32" s="26">
        <v>29</v>
      </c>
      <c r="B32" s="27">
        <v>46110</v>
      </c>
      <c r="C32" s="17"/>
      <c r="D32" s="17"/>
      <c r="E32" s="86"/>
      <c r="F32" s="86"/>
      <c r="G32" s="17">
        <f t="shared" si="0"/>
        <v>0</v>
      </c>
      <c r="H32" s="86"/>
      <c r="I32" s="330"/>
      <c r="J32" s="17">
        <f t="shared" si="1"/>
        <v>0</v>
      </c>
      <c r="K32" s="17">
        <f t="shared" si="4"/>
        <v>0</v>
      </c>
      <c r="L32" s="17">
        <f t="shared" si="2"/>
        <v>0</v>
      </c>
      <c r="M32" s="17"/>
      <c r="N32" s="44"/>
    </row>
    <row r="33" spans="1:14">
      <c r="A33" s="26">
        <v>30</v>
      </c>
      <c r="B33" s="27">
        <v>46111</v>
      </c>
      <c r="C33" s="17"/>
      <c r="D33" s="17"/>
      <c r="E33" s="86"/>
      <c r="F33" s="86"/>
      <c r="G33" s="17">
        <f t="shared" si="0"/>
        <v>0</v>
      </c>
      <c r="H33" s="86"/>
      <c r="I33" s="86"/>
      <c r="J33" s="17">
        <f t="shared" si="1"/>
        <v>0</v>
      </c>
      <c r="K33" s="17">
        <f t="shared" si="4"/>
        <v>0</v>
      </c>
      <c r="L33" s="17">
        <f t="shared" si="2"/>
        <v>0</v>
      </c>
      <c r="M33" s="17"/>
      <c r="N33" s="44"/>
    </row>
    <row r="34" spans="1:14">
      <c r="A34" s="26">
        <v>31</v>
      </c>
      <c r="B34" s="27">
        <v>46112</v>
      </c>
      <c r="C34" s="17"/>
      <c r="D34" s="17"/>
      <c r="E34" s="86"/>
      <c r="F34" s="86"/>
      <c r="G34" s="17">
        <f t="shared" si="0"/>
        <v>0</v>
      </c>
      <c r="H34" s="86"/>
      <c r="I34" s="86"/>
      <c r="J34" s="17"/>
      <c r="K34" s="17">
        <f t="shared" si="4"/>
        <v>0</v>
      </c>
      <c r="L34" s="17">
        <f t="shared" si="2"/>
        <v>0</v>
      </c>
      <c r="M34" s="17"/>
      <c r="N34" s="44"/>
    </row>
    <row r="35" spans="1:14">
      <c r="A35" s="42"/>
      <c r="B35" s="42"/>
      <c r="C35" s="42"/>
      <c r="D35" s="42"/>
      <c r="E35" s="42">
        <f>SUM(E4:E34)</f>
        <v>210</v>
      </c>
      <c r="F35" s="42"/>
      <c r="G35" s="42">
        <f>SUM(G4:G34)</f>
        <v>19330.5</v>
      </c>
      <c r="H35" s="42">
        <f>SUM(H4:H34)</f>
        <v>72</v>
      </c>
      <c r="I35" s="42"/>
      <c r="J35" s="42">
        <f>SUM(J4:J34)</f>
        <v>7498.08</v>
      </c>
      <c r="K35" s="42">
        <f>SUM(K4:K34)</f>
        <v>26828.58</v>
      </c>
      <c r="L35" s="42">
        <f>SUM(L4:L34)</f>
        <v>26828.58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T37"/>
  <sheetViews>
    <sheetView topLeftCell="A17" workbookViewId="0">
      <selection activeCell="M34" sqref="M34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9.28515625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20" ht="15.75" customHeight="1">
      <c r="A1" s="473" t="s">
        <v>105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</row>
    <row r="2" spans="1:20">
      <c r="A2" s="124" t="s">
        <v>0</v>
      </c>
      <c r="B2" s="124" t="s">
        <v>161</v>
      </c>
      <c r="C2" s="124" t="s">
        <v>162</v>
      </c>
      <c r="D2" s="124" t="s">
        <v>163</v>
      </c>
      <c r="E2" s="175" t="s">
        <v>164</v>
      </c>
      <c r="F2" s="175" t="s">
        <v>165</v>
      </c>
      <c r="G2" s="175" t="s">
        <v>166</v>
      </c>
      <c r="H2" s="175" t="s">
        <v>167</v>
      </c>
      <c r="I2" s="175" t="s">
        <v>165</v>
      </c>
      <c r="J2" s="175" t="s">
        <v>166</v>
      </c>
      <c r="K2" s="175" t="s">
        <v>168</v>
      </c>
      <c r="L2" s="124" t="s">
        <v>215</v>
      </c>
      <c r="M2" s="127" t="s">
        <v>169</v>
      </c>
      <c r="N2" s="124" t="s">
        <v>171</v>
      </c>
    </row>
    <row r="3" spans="1:20">
      <c r="A3" s="17"/>
      <c r="B3" s="17"/>
      <c r="C3" s="17"/>
      <c r="D3" s="17" t="s">
        <v>172</v>
      </c>
      <c r="E3" s="17"/>
      <c r="F3" s="17"/>
      <c r="G3" s="17"/>
      <c r="H3" s="17"/>
      <c r="I3" s="17"/>
      <c r="J3" s="17"/>
      <c r="K3" s="179">
        <v>68785.912599999996</v>
      </c>
      <c r="L3" s="17"/>
      <c r="M3" s="179">
        <v>68785.912599999996</v>
      </c>
      <c r="N3" s="17"/>
    </row>
    <row r="4" spans="1:20">
      <c r="A4" s="26">
        <v>1</v>
      </c>
      <c r="B4" s="27">
        <v>46082</v>
      </c>
      <c r="C4" s="137"/>
      <c r="D4" s="137"/>
      <c r="E4" s="93">
        <v>40</v>
      </c>
      <c r="F4" s="93">
        <v>90.88</v>
      </c>
      <c r="G4" s="179">
        <f>F4*E4</f>
        <v>3635.2</v>
      </c>
      <c r="H4" s="93">
        <v>5</v>
      </c>
      <c r="I4" s="93">
        <v>102.77</v>
      </c>
      <c r="J4" s="179">
        <f t="shared" ref="J4" si="0">H4*I4</f>
        <v>513.85</v>
      </c>
      <c r="K4" s="179">
        <f>G4+J4</f>
        <v>4149.05</v>
      </c>
      <c r="L4" s="179"/>
      <c r="M4" s="179">
        <f>M3+K4-L4</f>
        <v>72934.962599999999</v>
      </c>
      <c r="N4" s="137"/>
    </row>
    <row r="5" spans="1:20">
      <c r="A5" s="26">
        <v>2</v>
      </c>
      <c r="B5" s="27">
        <v>46083</v>
      </c>
      <c r="C5" s="17"/>
      <c r="D5" s="137"/>
      <c r="E5" s="93"/>
      <c r="F5" s="93"/>
      <c r="G5" s="179">
        <f t="shared" ref="G5:G34" si="1">F5*E5</f>
        <v>0</v>
      </c>
      <c r="H5" s="93"/>
      <c r="I5" s="93"/>
      <c r="J5" s="179">
        <f t="shared" ref="J5:J34" si="2">H5*I5</f>
        <v>0</v>
      </c>
      <c r="K5" s="179">
        <f t="shared" ref="K5:K34" si="3">G5+J5</f>
        <v>0</v>
      </c>
      <c r="L5" s="179"/>
      <c r="M5" s="179">
        <f t="shared" ref="M5:M34" si="4">M4+K5-L5</f>
        <v>72934.962599999999</v>
      </c>
      <c r="N5" s="17"/>
      <c r="S5">
        <v>90.88</v>
      </c>
      <c r="T5">
        <v>102.77</v>
      </c>
    </row>
    <row r="6" spans="1:20">
      <c r="A6" s="26">
        <v>3</v>
      </c>
      <c r="B6" s="27">
        <v>46084</v>
      </c>
      <c r="C6" s="17"/>
      <c r="D6" s="137"/>
      <c r="E6" s="93">
        <v>30</v>
      </c>
      <c r="F6" s="93">
        <v>90.88</v>
      </c>
      <c r="G6" s="179">
        <f t="shared" si="1"/>
        <v>2726.3999999999996</v>
      </c>
      <c r="H6" s="93"/>
      <c r="I6" s="93"/>
      <c r="J6" s="179">
        <f t="shared" si="2"/>
        <v>0</v>
      </c>
      <c r="K6" s="179">
        <f t="shared" si="3"/>
        <v>2726.3999999999996</v>
      </c>
      <c r="L6" s="179"/>
      <c r="M6" s="179">
        <f t="shared" si="4"/>
        <v>75661.362599999993</v>
      </c>
      <c r="N6" s="17"/>
    </row>
    <row r="7" spans="1:20">
      <c r="A7" s="26">
        <v>4</v>
      </c>
      <c r="B7" s="27">
        <v>46085</v>
      </c>
      <c r="C7" s="17"/>
      <c r="D7" s="137"/>
      <c r="E7" s="93">
        <v>30</v>
      </c>
      <c r="F7" s="93">
        <v>90.88</v>
      </c>
      <c r="G7" s="179">
        <f t="shared" si="1"/>
        <v>2726.3999999999996</v>
      </c>
      <c r="H7" s="93">
        <v>10</v>
      </c>
      <c r="I7" s="93">
        <v>102.77</v>
      </c>
      <c r="J7" s="179">
        <f t="shared" si="2"/>
        <v>1027.7</v>
      </c>
      <c r="K7" s="179">
        <f t="shared" si="3"/>
        <v>3754.0999999999995</v>
      </c>
      <c r="L7" s="179"/>
      <c r="M7" s="179">
        <f t="shared" si="4"/>
        <v>79415.462599999999</v>
      </c>
      <c r="N7" s="17"/>
    </row>
    <row r="8" spans="1:20">
      <c r="A8" s="26">
        <v>5</v>
      </c>
      <c r="B8" s="27">
        <v>46086</v>
      </c>
      <c r="C8" s="17"/>
      <c r="D8" s="137"/>
      <c r="E8" s="93">
        <v>60</v>
      </c>
      <c r="F8" s="93">
        <v>90.88</v>
      </c>
      <c r="G8" s="179">
        <f t="shared" si="1"/>
        <v>5452.7999999999993</v>
      </c>
      <c r="H8" s="93">
        <v>4</v>
      </c>
      <c r="I8" s="93">
        <v>102.77</v>
      </c>
      <c r="J8" s="179">
        <f t="shared" si="2"/>
        <v>411.08</v>
      </c>
      <c r="K8" s="179">
        <f t="shared" si="3"/>
        <v>5863.8799999999992</v>
      </c>
      <c r="L8" s="179"/>
      <c r="M8" s="179">
        <f t="shared" si="4"/>
        <v>85279.342600000004</v>
      </c>
      <c r="N8" s="17"/>
    </row>
    <row r="9" spans="1:20">
      <c r="A9" s="26">
        <v>6</v>
      </c>
      <c r="B9" s="27">
        <v>46087</v>
      </c>
      <c r="C9" s="17"/>
      <c r="D9" s="137"/>
      <c r="E9" s="93">
        <v>110</v>
      </c>
      <c r="F9" s="93">
        <v>90.88</v>
      </c>
      <c r="G9" s="179">
        <f t="shared" si="1"/>
        <v>9996.7999999999993</v>
      </c>
      <c r="H9" s="93"/>
      <c r="I9" s="93"/>
      <c r="J9" s="179">
        <f t="shared" si="2"/>
        <v>0</v>
      </c>
      <c r="K9" s="179">
        <f t="shared" si="3"/>
        <v>9996.7999999999993</v>
      </c>
      <c r="L9" s="179"/>
      <c r="M9" s="179">
        <f t="shared" si="4"/>
        <v>95276.142600000006</v>
      </c>
      <c r="N9" s="17"/>
    </row>
    <row r="10" spans="1:20">
      <c r="A10" s="26">
        <v>7</v>
      </c>
      <c r="B10" s="27">
        <v>46088</v>
      </c>
      <c r="C10" s="17"/>
      <c r="D10" s="137"/>
      <c r="E10" s="93">
        <v>90</v>
      </c>
      <c r="F10" s="93">
        <v>90.88</v>
      </c>
      <c r="G10" s="179">
        <f t="shared" si="1"/>
        <v>8179.2</v>
      </c>
      <c r="H10" s="93">
        <v>3</v>
      </c>
      <c r="I10" s="93">
        <v>102.77</v>
      </c>
      <c r="J10" s="179">
        <f t="shared" si="2"/>
        <v>308.31</v>
      </c>
      <c r="K10" s="179">
        <f t="shared" si="3"/>
        <v>8487.51</v>
      </c>
      <c r="L10" s="179"/>
      <c r="M10" s="179">
        <f t="shared" si="4"/>
        <v>103763.6526</v>
      </c>
      <c r="N10" s="17"/>
    </row>
    <row r="11" spans="1:20">
      <c r="A11" s="26">
        <v>8</v>
      </c>
      <c r="B11" s="27">
        <v>46089</v>
      </c>
      <c r="C11" s="17"/>
      <c r="D11" s="137"/>
      <c r="E11" s="93">
        <v>10</v>
      </c>
      <c r="F11" s="93">
        <v>90.88</v>
      </c>
      <c r="G11" s="179">
        <f t="shared" si="1"/>
        <v>908.8</v>
      </c>
      <c r="H11" s="93"/>
      <c r="I11" s="93"/>
      <c r="J11" s="179">
        <f t="shared" si="2"/>
        <v>0</v>
      </c>
      <c r="K11" s="179">
        <f t="shared" si="3"/>
        <v>908.8</v>
      </c>
      <c r="L11" s="179"/>
      <c r="M11" s="179">
        <f t="shared" si="4"/>
        <v>104672.4526</v>
      </c>
      <c r="N11" s="17"/>
    </row>
    <row r="12" spans="1:20">
      <c r="A12" s="26">
        <v>9</v>
      </c>
      <c r="B12" s="27">
        <v>46090</v>
      </c>
      <c r="C12" s="17"/>
      <c r="D12" s="137"/>
      <c r="E12" s="93">
        <v>170</v>
      </c>
      <c r="F12" s="93">
        <v>90.88</v>
      </c>
      <c r="G12" s="179">
        <f t="shared" si="1"/>
        <v>15449.599999999999</v>
      </c>
      <c r="H12" s="93">
        <v>5</v>
      </c>
      <c r="I12" s="93">
        <v>102.77</v>
      </c>
      <c r="J12" s="179">
        <f t="shared" si="2"/>
        <v>513.85</v>
      </c>
      <c r="K12" s="179">
        <f t="shared" si="3"/>
        <v>15963.449999999999</v>
      </c>
      <c r="L12" s="179"/>
      <c r="M12" s="179">
        <f t="shared" si="4"/>
        <v>120635.9026</v>
      </c>
      <c r="N12" s="17"/>
    </row>
    <row r="13" spans="1:20">
      <c r="A13" s="26">
        <v>10</v>
      </c>
      <c r="B13" s="27">
        <v>46091</v>
      </c>
      <c r="C13" s="17"/>
      <c r="D13" s="137"/>
      <c r="E13" s="93">
        <v>70.97</v>
      </c>
      <c r="F13" s="93">
        <v>90.88</v>
      </c>
      <c r="G13" s="179">
        <f t="shared" si="1"/>
        <v>6449.7536</v>
      </c>
      <c r="H13" s="93"/>
      <c r="I13" s="93"/>
      <c r="J13" s="179">
        <f t="shared" si="2"/>
        <v>0</v>
      </c>
      <c r="K13" s="179">
        <f t="shared" si="3"/>
        <v>6449.7536</v>
      </c>
      <c r="L13" s="179"/>
      <c r="M13" s="179">
        <f>M12+K13-L13</f>
        <v>127085.6562</v>
      </c>
      <c r="N13" s="17"/>
    </row>
    <row r="14" spans="1:20">
      <c r="A14" s="26">
        <v>11</v>
      </c>
      <c r="B14" s="27">
        <v>46092</v>
      </c>
      <c r="C14" s="17"/>
      <c r="D14" s="137"/>
      <c r="E14" s="93">
        <v>90</v>
      </c>
      <c r="F14" s="93">
        <v>90.88</v>
      </c>
      <c r="G14" s="179">
        <f t="shared" si="1"/>
        <v>8179.2</v>
      </c>
      <c r="H14" s="93"/>
      <c r="I14" s="93"/>
      <c r="J14" s="179">
        <f t="shared" si="2"/>
        <v>0</v>
      </c>
      <c r="K14" s="179">
        <f t="shared" si="3"/>
        <v>8179.2</v>
      </c>
      <c r="L14" s="179"/>
      <c r="M14" s="179">
        <f t="shared" si="4"/>
        <v>135264.85620000001</v>
      </c>
      <c r="N14" s="17"/>
    </row>
    <row r="15" spans="1:20">
      <c r="A15" s="26">
        <v>12</v>
      </c>
      <c r="B15" s="27">
        <v>46093</v>
      </c>
      <c r="C15" s="17"/>
      <c r="D15" s="137"/>
      <c r="E15" s="93">
        <v>30</v>
      </c>
      <c r="F15" s="93">
        <v>90.88</v>
      </c>
      <c r="G15" s="179">
        <f t="shared" si="1"/>
        <v>2726.3999999999996</v>
      </c>
      <c r="H15" s="93">
        <v>12</v>
      </c>
      <c r="I15" s="93">
        <v>102.77</v>
      </c>
      <c r="J15" s="179">
        <f t="shared" si="2"/>
        <v>1233.24</v>
      </c>
      <c r="K15" s="179">
        <f t="shared" si="3"/>
        <v>3959.6399999999994</v>
      </c>
      <c r="L15" s="179">
        <v>110000</v>
      </c>
      <c r="M15" s="179">
        <f t="shared" si="4"/>
        <v>29224.496199999994</v>
      </c>
      <c r="N15" s="17"/>
    </row>
    <row r="16" spans="1:20">
      <c r="A16" s="26">
        <v>13</v>
      </c>
      <c r="B16" s="27">
        <v>46094</v>
      </c>
      <c r="C16" s="17"/>
      <c r="D16" s="137"/>
      <c r="E16" s="93">
        <v>100</v>
      </c>
      <c r="F16" s="93">
        <v>90.88</v>
      </c>
      <c r="G16" s="179">
        <f t="shared" si="1"/>
        <v>9088</v>
      </c>
      <c r="H16" s="93"/>
      <c r="I16" s="93"/>
      <c r="J16" s="179">
        <f t="shared" si="2"/>
        <v>0</v>
      </c>
      <c r="K16" s="179">
        <f t="shared" si="3"/>
        <v>9088</v>
      </c>
      <c r="L16" s="179"/>
      <c r="M16" s="179">
        <f t="shared" si="4"/>
        <v>38312.496199999994</v>
      </c>
      <c r="N16" s="17"/>
    </row>
    <row r="17" spans="1:15">
      <c r="A17" s="26">
        <v>14</v>
      </c>
      <c r="B17" s="27">
        <v>46095</v>
      </c>
      <c r="C17" s="17"/>
      <c r="D17" s="137"/>
      <c r="E17" s="93">
        <v>140</v>
      </c>
      <c r="F17" s="93">
        <v>90.88</v>
      </c>
      <c r="G17" s="179">
        <f t="shared" si="1"/>
        <v>12723.199999999999</v>
      </c>
      <c r="H17" s="93">
        <v>5</v>
      </c>
      <c r="I17" s="93">
        <v>102.77</v>
      </c>
      <c r="J17" s="179">
        <f t="shared" si="2"/>
        <v>513.85</v>
      </c>
      <c r="K17" s="179">
        <f t="shared" si="3"/>
        <v>13237.05</v>
      </c>
      <c r="L17" s="179"/>
      <c r="M17" s="179">
        <f t="shared" si="4"/>
        <v>51549.546199999997</v>
      </c>
      <c r="N17" s="17"/>
    </row>
    <row r="18" spans="1:15">
      <c r="A18" s="26">
        <v>15</v>
      </c>
      <c r="B18" s="27">
        <v>46096</v>
      </c>
      <c r="C18" s="17"/>
      <c r="D18" s="137"/>
      <c r="E18" s="93">
        <v>20</v>
      </c>
      <c r="F18" s="93">
        <v>90.88</v>
      </c>
      <c r="G18" s="179">
        <f t="shared" si="1"/>
        <v>1817.6</v>
      </c>
      <c r="H18" s="93"/>
      <c r="I18" s="93"/>
      <c r="J18" s="179">
        <f t="shared" si="2"/>
        <v>0</v>
      </c>
      <c r="K18" s="179">
        <f t="shared" si="3"/>
        <v>1817.6</v>
      </c>
      <c r="L18" s="179"/>
      <c r="M18" s="179">
        <f>M17+K18-L18</f>
        <v>53367.146199999996</v>
      </c>
      <c r="N18" s="17"/>
    </row>
    <row r="19" spans="1:15">
      <c r="A19" s="26">
        <v>16</v>
      </c>
      <c r="B19" s="27">
        <v>46097</v>
      </c>
      <c r="C19" s="17"/>
      <c r="D19" s="137"/>
      <c r="E19" s="93">
        <v>48.41</v>
      </c>
      <c r="F19" s="93">
        <v>90.88</v>
      </c>
      <c r="G19" s="179">
        <f t="shared" si="1"/>
        <v>4399.5007999999998</v>
      </c>
      <c r="H19" s="93">
        <v>5</v>
      </c>
      <c r="I19" s="93">
        <v>102.77</v>
      </c>
      <c r="J19" s="179">
        <f t="shared" si="2"/>
        <v>513.85</v>
      </c>
      <c r="K19" s="179">
        <f t="shared" si="3"/>
        <v>4913.3508000000002</v>
      </c>
      <c r="L19" s="179"/>
      <c r="M19" s="179">
        <f t="shared" si="4"/>
        <v>58280.496999999996</v>
      </c>
      <c r="N19" s="17"/>
    </row>
    <row r="20" spans="1:15">
      <c r="A20" s="26">
        <v>17</v>
      </c>
      <c r="B20" s="27">
        <v>46098</v>
      </c>
      <c r="C20" s="17"/>
      <c r="D20" s="137"/>
      <c r="E20" s="93">
        <v>80</v>
      </c>
      <c r="F20" s="93">
        <v>90.88</v>
      </c>
      <c r="G20" s="179">
        <f t="shared" si="1"/>
        <v>7270.4</v>
      </c>
      <c r="H20" s="93"/>
      <c r="I20" s="93"/>
      <c r="J20" s="179">
        <f t="shared" si="2"/>
        <v>0</v>
      </c>
      <c r="K20" s="179">
        <f t="shared" si="3"/>
        <v>7270.4</v>
      </c>
      <c r="L20" s="179"/>
      <c r="M20" s="179">
        <f t="shared" si="4"/>
        <v>65550.896999999997</v>
      </c>
      <c r="N20" s="17"/>
      <c r="O20">
        <v>16.68</v>
      </c>
    </row>
    <row r="21" spans="1:15">
      <c r="A21" s="26">
        <v>18</v>
      </c>
      <c r="B21" s="27">
        <v>46099</v>
      </c>
      <c r="C21" s="17"/>
      <c r="D21" s="137"/>
      <c r="E21" s="93">
        <v>60</v>
      </c>
      <c r="F21" s="93">
        <v>90.88</v>
      </c>
      <c r="G21" s="179">
        <f t="shared" si="1"/>
        <v>5452.7999999999993</v>
      </c>
      <c r="H21" s="93"/>
      <c r="I21" s="93"/>
      <c r="J21" s="179">
        <f t="shared" si="2"/>
        <v>0</v>
      </c>
      <c r="K21" s="179">
        <f t="shared" si="3"/>
        <v>5452.7999999999993</v>
      </c>
      <c r="L21" s="179"/>
      <c r="M21" s="179">
        <f>M20+K21-L21</f>
        <v>71003.697</v>
      </c>
      <c r="N21" s="17"/>
    </row>
    <row r="22" spans="1:15">
      <c r="A22" s="26">
        <v>19</v>
      </c>
      <c r="B22" s="27">
        <v>46100</v>
      </c>
      <c r="C22" s="17"/>
      <c r="D22" s="137"/>
      <c r="E22" s="93"/>
      <c r="F22" s="93"/>
      <c r="G22" s="179">
        <f t="shared" si="1"/>
        <v>0</v>
      </c>
      <c r="H22" s="93"/>
      <c r="I22" s="93"/>
      <c r="J22" s="179">
        <f t="shared" si="2"/>
        <v>0</v>
      </c>
      <c r="K22" s="179">
        <f t="shared" si="3"/>
        <v>0</v>
      </c>
      <c r="L22" s="179"/>
      <c r="M22" s="179">
        <f t="shared" si="4"/>
        <v>71003.697</v>
      </c>
      <c r="N22" s="17"/>
    </row>
    <row r="23" spans="1:15">
      <c r="A23" s="26">
        <v>20</v>
      </c>
      <c r="B23" s="27">
        <v>46101</v>
      </c>
      <c r="C23" s="17"/>
      <c r="D23" s="137"/>
      <c r="E23" s="93">
        <v>196.39</v>
      </c>
      <c r="F23" s="93">
        <v>90.88</v>
      </c>
      <c r="G23" s="179">
        <f t="shared" si="1"/>
        <v>17847.923199999997</v>
      </c>
      <c r="H23" s="93"/>
      <c r="I23" s="93"/>
      <c r="J23" s="179">
        <f t="shared" si="2"/>
        <v>0</v>
      </c>
      <c r="K23" s="179">
        <f t="shared" si="3"/>
        <v>17847.923199999997</v>
      </c>
      <c r="L23" s="179"/>
      <c r="M23" s="179">
        <f t="shared" si="4"/>
        <v>88851.620200000005</v>
      </c>
      <c r="N23" s="17">
        <v>0</v>
      </c>
    </row>
    <row r="24" spans="1:15">
      <c r="A24" s="26">
        <v>21</v>
      </c>
      <c r="B24" s="27">
        <v>46102</v>
      </c>
      <c r="C24" s="17"/>
      <c r="D24" s="137"/>
      <c r="E24" s="93"/>
      <c r="F24" s="93"/>
      <c r="G24" s="179">
        <f t="shared" si="1"/>
        <v>0</v>
      </c>
      <c r="H24" s="93"/>
      <c r="I24" s="93"/>
      <c r="J24" s="179">
        <f t="shared" si="2"/>
        <v>0</v>
      </c>
      <c r="K24" s="179">
        <f t="shared" si="3"/>
        <v>0</v>
      </c>
      <c r="L24" s="179"/>
      <c r="M24" s="179">
        <f t="shared" si="4"/>
        <v>88851.620200000005</v>
      </c>
      <c r="N24" s="17"/>
    </row>
    <row r="25" spans="1:15">
      <c r="A25" s="26">
        <v>22</v>
      </c>
      <c r="B25" s="27">
        <v>46103</v>
      </c>
      <c r="C25" s="17"/>
      <c r="D25" s="137"/>
      <c r="E25" s="93">
        <v>50</v>
      </c>
      <c r="F25" s="93">
        <v>90.88</v>
      </c>
      <c r="G25" s="179">
        <f t="shared" si="1"/>
        <v>4544</v>
      </c>
      <c r="H25" s="93"/>
      <c r="I25" s="93"/>
      <c r="J25" s="179">
        <f t="shared" si="2"/>
        <v>0</v>
      </c>
      <c r="K25" s="179">
        <f t="shared" si="3"/>
        <v>4544</v>
      </c>
      <c r="L25" s="179"/>
      <c r="M25" s="179">
        <f t="shared" si="4"/>
        <v>93395.620200000005</v>
      </c>
      <c r="N25" s="17"/>
    </row>
    <row r="26" spans="1:15">
      <c r="A26" s="26">
        <v>23</v>
      </c>
      <c r="B26" s="27">
        <v>46104</v>
      </c>
      <c r="C26" s="17"/>
      <c r="D26" s="137"/>
      <c r="E26" s="93"/>
      <c r="F26" s="93"/>
      <c r="G26" s="179">
        <f t="shared" si="1"/>
        <v>0</v>
      </c>
      <c r="H26" s="93"/>
      <c r="I26" s="93"/>
      <c r="J26" s="179">
        <f t="shared" si="2"/>
        <v>0</v>
      </c>
      <c r="K26" s="179">
        <f t="shared" si="3"/>
        <v>0</v>
      </c>
      <c r="L26" s="179"/>
      <c r="M26" s="179">
        <f t="shared" si="4"/>
        <v>93395.620200000005</v>
      </c>
      <c r="N26" s="17"/>
    </row>
    <row r="27" spans="1:15">
      <c r="A27" s="26">
        <v>24</v>
      </c>
      <c r="B27" s="27">
        <v>46105</v>
      </c>
      <c r="C27" s="17"/>
      <c r="D27" s="137"/>
      <c r="E27" s="93">
        <v>429.19</v>
      </c>
      <c r="F27" s="93">
        <v>90.88</v>
      </c>
      <c r="G27" s="179">
        <f t="shared" si="1"/>
        <v>39004.787199999999</v>
      </c>
      <c r="H27" s="93">
        <v>17</v>
      </c>
      <c r="I27" s="93">
        <v>102.77</v>
      </c>
      <c r="J27" s="179">
        <f t="shared" si="2"/>
        <v>1747.09</v>
      </c>
      <c r="K27" s="179">
        <f t="shared" si="3"/>
        <v>40751.877199999995</v>
      </c>
      <c r="L27" s="179"/>
      <c r="M27" s="179">
        <f t="shared" si="4"/>
        <v>134147.49739999999</v>
      </c>
      <c r="N27" s="17"/>
    </row>
    <row r="28" spans="1:15">
      <c r="A28" s="26">
        <v>25</v>
      </c>
      <c r="B28" s="27">
        <v>46106</v>
      </c>
      <c r="C28" s="17"/>
      <c r="D28" s="137"/>
      <c r="E28" s="93"/>
      <c r="F28" s="93"/>
      <c r="G28" s="179">
        <f t="shared" si="1"/>
        <v>0</v>
      </c>
      <c r="H28" s="93"/>
      <c r="I28" s="93"/>
      <c r="J28" s="179">
        <f t="shared" si="2"/>
        <v>0</v>
      </c>
      <c r="K28" s="179">
        <f t="shared" si="3"/>
        <v>0</v>
      </c>
      <c r="L28" s="179"/>
      <c r="M28" s="179">
        <f t="shared" si="4"/>
        <v>134147.49739999999</v>
      </c>
      <c r="N28" s="17"/>
    </row>
    <row r="29" spans="1:15">
      <c r="A29" s="26">
        <v>26</v>
      </c>
      <c r="B29" s="27">
        <v>46107</v>
      </c>
      <c r="C29" s="17"/>
      <c r="D29" s="137"/>
      <c r="E29" s="93">
        <v>60</v>
      </c>
      <c r="F29" s="93">
        <v>90.88</v>
      </c>
      <c r="G29" s="179">
        <f t="shared" si="1"/>
        <v>5452.7999999999993</v>
      </c>
      <c r="H29" s="93"/>
      <c r="I29" s="93"/>
      <c r="J29" s="179">
        <f t="shared" si="2"/>
        <v>0</v>
      </c>
      <c r="K29" s="179">
        <f t="shared" si="3"/>
        <v>5452.7999999999993</v>
      </c>
      <c r="L29" s="179"/>
      <c r="M29" s="179">
        <f t="shared" si="4"/>
        <v>139600.29739999998</v>
      </c>
      <c r="N29" s="17"/>
    </row>
    <row r="30" spans="1:15">
      <c r="A30" s="26">
        <v>27</v>
      </c>
      <c r="B30" s="27">
        <v>46108</v>
      </c>
      <c r="C30" s="17"/>
      <c r="D30" s="137"/>
      <c r="E30" s="93">
        <v>50</v>
      </c>
      <c r="F30" s="93">
        <v>90.88</v>
      </c>
      <c r="G30" s="179">
        <f t="shared" si="1"/>
        <v>4544</v>
      </c>
      <c r="H30" s="93"/>
      <c r="I30" s="93"/>
      <c r="J30" s="179">
        <f t="shared" si="2"/>
        <v>0</v>
      </c>
      <c r="K30" s="179">
        <f t="shared" si="3"/>
        <v>4544</v>
      </c>
      <c r="L30" s="179"/>
      <c r="M30" s="179">
        <f t="shared" si="4"/>
        <v>144144.29739999998</v>
      </c>
      <c r="N30" s="17"/>
    </row>
    <row r="31" spans="1:15">
      <c r="A31" s="26">
        <v>28</v>
      </c>
      <c r="B31" s="27">
        <v>46109</v>
      </c>
      <c r="C31" s="17"/>
      <c r="D31" s="137"/>
      <c r="E31" s="93"/>
      <c r="F31" s="93"/>
      <c r="G31" s="179">
        <f t="shared" si="1"/>
        <v>0</v>
      </c>
      <c r="H31" s="93"/>
      <c r="I31" s="93"/>
      <c r="J31" s="179">
        <f t="shared" si="2"/>
        <v>0</v>
      </c>
      <c r="K31" s="179">
        <f t="shared" si="3"/>
        <v>0</v>
      </c>
      <c r="L31" s="179"/>
      <c r="M31" s="179">
        <f t="shared" si="4"/>
        <v>144144.29739999998</v>
      </c>
      <c r="N31" s="17"/>
    </row>
    <row r="32" spans="1:15">
      <c r="A32" s="26">
        <v>29</v>
      </c>
      <c r="B32" s="27">
        <v>46110</v>
      </c>
      <c r="C32" s="17"/>
      <c r="D32" s="137"/>
      <c r="E32" s="93"/>
      <c r="F32" s="93"/>
      <c r="G32" s="179">
        <f t="shared" si="1"/>
        <v>0</v>
      </c>
      <c r="H32" s="93"/>
      <c r="I32" s="93"/>
      <c r="J32" s="179">
        <f t="shared" si="2"/>
        <v>0</v>
      </c>
      <c r="K32" s="179">
        <f t="shared" si="3"/>
        <v>0</v>
      </c>
      <c r="L32" s="179"/>
      <c r="M32" s="179">
        <f t="shared" si="4"/>
        <v>144144.29739999998</v>
      </c>
      <c r="N32" s="17"/>
    </row>
    <row r="33" spans="1:14">
      <c r="A33" s="26">
        <v>30</v>
      </c>
      <c r="B33" s="27">
        <v>46111</v>
      </c>
      <c r="C33" s="17"/>
      <c r="D33" s="137"/>
      <c r="E33" s="93">
        <v>50</v>
      </c>
      <c r="F33" s="93">
        <v>90.88</v>
      </c>
      <c r="G33" s="179">
        <f t="shared" si="1"/>
        <v>4544</v>
      </c>
      <c r="H33" s="93">
        <v>10</v>
      </c>
      <c r="I33" s="93">
        <v>102.77</v>
      </c>
      <c r="J33" s="179">
        <f t="shared" si="2"/>
        <v>1027.7</v>
      </c>
      <c r="K33" s="179">
        <f t="shared" si="3"/>
        <v>5571.7</v>
      </c>
      <c r="L33" s="179"/>
      <c r="M33" s="179">
        <f t="shared" si="4"/>
        <v>149715.99739999999</v>
      </c>
      <c r="N33" s="17"/>
    </row>
    <row r="34" spans="1:14">
      <c r="A34" s="26">
        <v>31</v>
      </c>
      <c r="B34" s="27">
        <v>46112</v>
      </c>
      <c r="C34" s="17"/>
      <c r="D34" s="17"/>
      <c r="E34" s="93">
        <v>37.729999999999997</v>
      </c>
      <c r="F34" s="93">
        <v>90.88</v>
      </c>
      <c r="G34" s="179">
        <f t="shared" si="1"/>
        <v>3428.9023999999995</v>
      </c>
      <c r="H34" s="93">
        <v>5</v>
      </c>
      <c r="I34" s="93">
        <v>102.77</v>
      </c>
      <c r="J34" s="179">
        <f t="shared" si="2"/>
        <v>513.85</v>
      </c>
      <c r="K34" s="179">
        <f t="shared" si="3"/>
        <v>3942.7523999999994</v>
      </c>
      <c r="L34" s="137"/>
      <c r="M34" s="179">
        <f t="shared" si="4"/>
        <v>153658.74979999999</v>
      </c>
      <c r="N34" s="17"/>
    </row>
    <row r="35" spans="1:14">
      <c r="A35" s="42"/>
      <c r="B35" s="42"/>
      <c r="C35" s="42"/>
      <c r="D35" s="42"/>
      <c r="E35" s="42">
        <f>SUM(E4:E34)</f>
        <v>2052.69</v>
      </c>
      <c r="F35" s="42"/>
      <c r="G35" s="42">
        <f>SUM(G4:G34)</f>
        <v>186548.46719999996</v>
      </c>
      <c r="H35" s="42">
        <f>SUM(H4:H34)</f>
        <v>81</v>
      </c>
      <c r="I35" s="42"/>
      <c r="J35" s="42">
        <f>SUM(J4:J34)</f>
        <v>8324.3700000000008</v>
      </c>
      <c r="K35" s="42">
        <f>SUM(K4:K34)</f>
        <v>194872.83719999998</v>
      </c>
      <c r="L35" s="42">
        <f>SUM(L4:L34)</f>
        <v>110000</v>
      </c>
      <c r="M35" s="42">
        <f>SUM(M4:M34)</f>
        <v>3019414.6409999994</v>
      </c>
      <c r="N35" s="42"/>
    </row>
    <row r="37" spans="1:14">
      <c r="K37" s="22"/>
    </row>
  </sheetData>
  <mergeCells count="1">
    <mergeCell ref="A1:N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D717-3CA9-494A-8EBD-D74F2C499AC3}">
  <dimension ref="A1:Q37"/>
  <sheetViews>
    <sheetView topLeftCell="A22" workbookViewId="0">
      <selection activeCell="H28" sqref="H28"/>
    </sheetView>
  </sheetViews>
  <sheetFormatPr defaultRowHeight="15"/>
  <cols>
    <col min="1" max="1" width="5.140625" bestFit="1" customWidth="1"/>
    <col min="2" max="2" width="10.28515625" customWidth="1"/>
    <col min="3" max="3" width="8" bestFit="1" customWidth="1"/>
    <col min="4" max="4" width="16" bestFit="1" customWidth="1"/>
    <col min="5" max="5" width="10.7109375" bestFit="1" customWidth="1"/>
    <col min="6" max="6" width="6.140625" bestFit="1" customWidth="1"/>
    <col min="7" max="7" width="10.42578125" bestFit="1" customWidth="1"/>
    <col min="8" max="8" width="10.7109375" bestFit="1" customWidth="1"/>
    <col min="9" max="9" width="9.28515625" customWidth="1"/>
    <col min="10" max="10" width="8.7109375" bestFit="1" customWidth="1"/>
    <col min="11" max="12" width="13.5703125" bestFit="1" customWidth="1"/>
    <col min="13" max="13" width="11.28515625" bestFit="1" customWidth="1"/>
    <col min="14" max="14" width="8.7109375" bestFit="1" customWidth="1"/>
  </cols>
  <sheetData>
    <row r="1" spans="1:17" ht="15.75">
      <c r="A1" s="473" t="s">
        <v>107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92"/>
      <c r="P1" s="92"/>
      <c r="Q1" s="92"/>
    </row>
    <row r="2" spans="1:17">
      <c r="A2" s="64" t="s">
        <v>0</v>
      </c>
      <c r="B2" s="64" t="s">
        <v>161</v>
      </c>
      <c r="C2" s="64" t="s">
        <v>162</v>
      </c>
      <c r="D2" s="64" t="s">
        <v>163</v>
      </c>
      <c r="E2" s="91" t="s">
        <v>164</v>
      </c>
      <c r="F2" s="91" t="s">
        <v>165</v>
      </c>
      <c r="G2" s="91" t="s">
        <v>166</v>
      </c>
      <c r="H2" s="91" t="s">
        <v>167</v>
      </c>
      <c r="I2" s="91" t="s">
        <v>165</v>
      </c>
      <c r="J2" s="91" t="s">
        <v>166</v>
      </c>
      <c r="K2" s="91" t="s">
        <v>168</v>
      </c>
      <c r="L2" s="85" t="s">
        <v>169</v>
      </c>
      <c r="M2" s="85" t="s">
        <v>170</v>
      </c>
      <c r="N2" s="64" t="s">
        <v>171</v>
      </c>
    </row>
    <row r="3" spans="1:17">
      <c r="A3" s="17"/>
      <c r="B3" s="17"/>
      <c r="C3" s="17"/>
      <c r="D3" s="17" t="s">
        <v>172</v>
      </c>
      <c r="E3" s="17"/>
      <c r="F3" s="17"/>
      <c r="G3" s="17"/>
      <c r="H3" s="17"/>
      <c r="I3" s="17"/>
      <c r="J3" s="17"/>
      <c r="K3" s="40">
        <v>0</v>
      </c>
      <c r="L3" s="17"/>
      <c r="M3" s="40">
        <v>0</v>
      </c>
      <c r="N3" s="17"/>
      <c r="O3" s="40">
        <v>26506.399999999994</v>
      </c>
    </row>
    <row r="4" spans="1:17">
      <c r="A4" s="26">
        <v>1</v>
      </c>
      <c r="B4" s="27">
        <v>46082</v>
      </c>
      <c r="C4" s="17"/>
      <c r="D4" s="17"/>
      <c r="E4" s="93">
        <v>0</v>
      </c>
      <c r="F4" s="93">
        <v>0</v>
      </c>
      <c r="G4" s="40">
        <f>E4*F4</f>
        <v>0</v>
      </c>
      <c r="H4" s="44"/>
      <c r="I4" s="44"/>
      <c r="J4" s="40">
        <f>H4*I4</f>
        <v>0</v>
      </c>
      <c r="K4" s="40">
        <f>G4+J4</f>
        <v>0</v>
      </c>
      <c r="L4" s="40"/>
      <c r="M4" s="40">
        <v>0</v>
      </c>
      <c r="N4" s="17"/>
    </row>
    <row r="5" spans="1:17">
      <c r="A5" s="26">
        <v>2</v>
      </c>
      <c r="B5" s="27">
        <v>46083</v>
      </c>
      <c r="C5" s="17"/>
      <c r="D5" s="17"/>
      <c r="E5" s="93">
        <v>0</v>
      </c>
      <c r="F5" s="93">
        <v>0</v>
      </c>
      <c r="G5" s="40">
        <f t="shared" ref="G5:G7" si="0">E5*F5</f>
        <v>0</v>
      </c>
      <c r="H5" s="44"/>
      <c r="I5" s="44"/>
      <c r="J5" s="40">
        <f t="shared" ref="J5:J36" si="1">H5*I5</f>
        <v>0</v>
      </c>
      <c r="K5" s="40">
        <f t="shared" ref="K5:K36" si="2">G5+J5</f>
        <v>0</v>
      </c>
      <c r="L5" s="40"/>
      <c r="M5" s="40">
        <f>M4+K5-L5</f>
        <v>0</v>
      </c>
      <c r="N5" s="17"/>
    </row>
    <row r="6" spans="1:17">
      <c r="A6" s="26">
        <v>3</v>
      </c>
      <c r="B6" s="27">
        <v>46084</v>
      </c>
      <c r="C6" s="17"/>
      <c r="D6" s="17"/>
      <c r="E6" s="93">
        <v>0</v>
      </c>
      <c r="F6" s="93">
        <v>0</v>
      </c>
      <c r="G6" s="40">
        <f t="shared" si="0"/>
        <v>0</v>
      </c>
      <c r="H6" s="44"/>
      <c r="I6" s="44"/>
      <c r="J6" s="40">
        <f t="shared" si="1"/>
        <v>0</v>
      </c>
      <c r="K6" s="40">
        <f t="shared" si="2"/>
        <v>0</v>
      </c>
      <c r="L6" s="40"/>
      <c r="M6" s="40">
        <f>M5+K6-L6</f>
        <v>0</v>
      </c>
      <c r="N6" s="17"/>
    </row>
    <row r="7" spans="1:17">
      <c r="A7" s="26">
        <v>4</v>
      </c>
      <c r="B7" s="27">
        <v>46085</v>
      </c>
      <c r="C7" s="17"/>
      <c r="D7" s="17"/>
      <c r="E7" s="93">
        <v>0</v>
      </c>
      <c r="F7" s="93">
        <v>0</v>
      </c>
      <c r="G7" s="40">
        <f t="shared" si="0"/>
        <v>0</v>
      </c>
      <c r="H7" s="44"/>
      <c r="I7" s="44"/>
      <c r="J7" s="40">
        <f t="shared" si="1"/>
        <v>0</v>
      </c>
      <c r="K7" s="40">
        <f t="shared" si="2"/>
        <v>0</v>
      </c>
      <c r="L7" s="40"/>
      <c r="M7" s="40">
        <f>M6+K7-L7</f>
        <v>0</v>
      </c>
      <c r="N7" s="17"/>
    </row>
    <row r="8" spans="1:17">
      <c r="A8" s="26">
        <v>5</v>
      </c>
      <c r="B8" s="27">
        <v>46086</v>
      </c>
      <c r="C8" s="17"/>
      <c r="D8" s="17"/>
      <c r="E8" s="93">
        <v>0</v>
      </c>
      <c r="F8" s="93">
        <v>0</v>
      </c>
      <c r="G8" s="40">
        <f t="shared" ref="G5:G15" si="3">E8*F8</f>
        <v>0</v>
      </c>
      <c r="H8" s="44"/>
      <c r="I8" s="44"/>
      <c r="J8" s="40">
        <f t="shared" si="1"/>
        <v>0</v>
      </c>
      <c r="K8" s="40">
        <f t="shared" si="2"/>
        <v>0</v>
      </c>
      <c r="L8" s="40"/>
      <c r="M8" s="40">
        <f>M7+K8-L8</f>
        <v>0</v>
      </c>
      <c r="N8" s="17"/>
    </row>
    <row r="9" spans="1:17">
      <c r="A9" s="26">
        <v>6</v>
      </c>
      <c r="B9" s="27">
        <v>46087</v>
      </c>
      <c r="C9" s="17"/>
      <c r="D9" s="17"/>
      <c r="E9" s="93">
        <v>0</v>
      </c>
      <c r="F9" s="93">
        <v>0</v>
      </c>
      <c r="G9" s="40">
        <f t="shared" si="3"/>
        <v>0</v>
      </c>
      <c r="H9" s="44"/>
      <c r="I9" s="44"/>
      <c r="J9" s="40">
        <f t="shared" si="1"/>
        <v>0</v>
      </c>
      <c r="K9" s="40">
        <f t="shared" si="2"/>
        <v>0</v>
      </c>
      <c r="L9" s="40"/>
      <c r="M9" s="40">
        <f t="shared" ref="M9:M36" si="4">M8+K9-L9</f>
        <v>0</v>
      </c>
      <c r="N9" s="17"/>
    </row>
    <row r="10" spans="1:17">
      <c r="A10" s="26">
        <v>7</v>
      </c>
      <c r="B10" s="27">
        <v>46088</v>
      </c>
      <c r="C10" s="17"/>
      <c r="D10" s="17"/>
      <c r="E10" s="93">
        <v>0</v>
      </c>
      <c r="F10" s="93">
        <v>0</v>
      </c>
      <c r="G10" s="40">
        <f t="shared" si="3"/>
        <v>0</v>
      </c>
      <c r="H10" s="44"/>
      <c r="I10" s="44"/>
      <c r="J10" s="40">
        <f t="shared" si="1"/>
        <v>0</v>
      </c>
      <c r="K10" s="40">
        <f t="shared" si="2"/>
        <v>0</v>
      </c>
      <c r="L10" s="40"/>
      <c r="M10" s="40">
        <f t="shared" si="4"/>
        <v>0</v>
      </c>
      <c r="N10" s="17"/>
    </row>
    <row r="11" spans="1:17">
      <c r="A11" s="26">
        <v>8</v>
      </c>
      <c r="B11" s="27">
        <v>46089</v>
      </c>
      <c r="C11" s="17"/>
      <c r="D11" s="17"/>
      <c r="E11" s="93">
        <v>0</v>
      </c>
      <c r="F11" s="93">
        <v>0</v>
      </c>
      <c r="G11" s="40">
        <f t="shared" si="3"/>
        <v>0</v>
      </c>
      <c r="H11" s="44"/>
      <c r="I11" s="44"/>
      <c r="J11" s="40">
        <f t="shared" si="1"/>
        <v>0</v>
      </c>
      <c r="K11" s="40">
        <f t="shared" si="2"/>
        <v>0</v>
      </c>
      <c r="L11" s="40"/>
      <c r="M11" s="40">
        <f t="shared" si="4"/>
        <v>0</v>
      </c>
      <c r="N11" s="17"/>
    </row>
    <row r="12" spans="1:17">
      <c r="A12" s="26">
        <v>9</v>
      </c>
      <c r="B12" s="27">
        <v>46090</v>
      </c>
      <c r="C12" s="17"/>
      <c r="D12" s="17"/>
      <c r="E12" s="93">
        <v>0</v>
      </c>
      <c r="F12" s="93">
        <v>0</v>
      </c>
      <c r="G12" s="40">
        <f t="shared" si="3"/>
        <v>0</v>
      </c>
      <c r="H12" s="44"/>
      <c r="I12" s="44"/>
      <c r="J12" s="40">
        <f t="shared" si="1"/>
        <v>0</v>
      </c>
      <c r="K12" s="40">
        <f t="shared" si="2"/>
        <v>0</v>
      </c>
      <c r="L12" s="40"/>
      <c r="M12" s="40">
        <f>M11+K12-L12</f>
        <v>0</v>
      </c>
      <c r="N12" s="17"/>
    </row>
    <row r="13" spans="1:17">
      <c r="A13" s="26">
        <v>10</v>
      </c>
      <c r="B13" s="27">
        <v>46091</v>
      </c>
      <c r="C13" s="17"/>
      <c r="D13" s="17"/>
      <c r="E13" s="93">
        <v>0</v>
      </c>
      <c r="F13" s="93">
        <v>0</v>
      </c>
      <c r="G13" s="40">
        <f t="shared" si="3"/>
        <v>0</v>
      </c>
      <c r="H13" s="44"/>
      <c r="I13" s="44"/>
      <c r="J13" s="40">
        <f t="shared" si="1"/>
        <v>0</v>
      </c>
      <c r="K13" s="40">
        <f t="shared" si="2"/>
        <v>0</v>
      </c>
      <c r="L13" s="40"/>
      <c r="M13" s="40">
        <f t="shared" si="4"/>
        <v>0</v>
      </c>
      <c r="N13" s="17"/>
    </row>
    <row r="14" spans="1:17">
      <c r="A14" s="26">
        <v>11</v>
      </c>
      <c r="B14" s="27">
        <v>46092</v>
      </c>
      <c r="C14" s="17"/>
      <c r="D14" s="17"/>
      <c r="E14" s="93">
        <v>0</v>
      </c>
      <c r="F14" s="93">
        <v>0</v>
      </c>
      <c r="G14" s="40">
        <f t="shared" si="3"/>
        <v>0</v>
      </c>
      <c r="H14" s="44"/>
      <c r="I14" s="44"/>
      <c r="J14" s="40">
        <f t="shared" si="1"/>
        <v>0</v>
      </c>
      <c r="K14" s="40">
        <f t="shared" si="2"/>
        <v>0</v>
      </c>
      <c r="L14" s="40"/>
      <c r="M14" s="40">
        <f>M13+K14-L14</f>
        <v>0</v>
      </c>
      <c r="N14" s="17"/>
    </row>
    <row r="15" spans="1:17">
      <c r="A15" s="26">
        <v>12</v>
      </c>
      <c r="B15" s="27">
        <v>46093</v>
      </c>
      <c r="C15" s="17"/>
      <c r="D15" s="93"/>
      <c r="E15" s="93">
        <v>0</v>
      </c>
      <c r="F15" s="93">
        <v>0</v>
      </c>
      <c r="G15" s="40">
        <f t="shared" si="3"/>
        <v>0</v>
      </c>
      <c r="H15" s="44"/>
      <c r="I15" s="44"/>
      <c r="J15" s="40">
        <f t="shared" si="1"/>
        <v>0</v>
      </c>
      <c r="K15" s="40">
        <f t="shared" si="2"/>
        <v>0</v>
      </c>
      <c r="L15" s="40"/>
      <c r="M15" s="40">
        <f t="shared" si="4"/>
        <v>0</v>
      </c>
      <c r="N15" s="17"/>
    </row>
    <row r="16" spans="1:17">
      <c r="A16" s="26">
        <v>13</v>
      </c>
      <c r="B16" s="27">
        <v>46094</v>
      </c>
      <c r="C16" s="17"/>
      <c r="D16" s="17">
        <v>0</v>
      </c>
      <c r="E16" s="93"/>
      <c r="F16" s="93"/>
      <c r="G16" s="40">
        <f t="shared" ref="G5:G35" si="5">E16*F16</f>
        <v>0</v>
      </c>
      <c r="H16" s="44"/>
      <c r="I16" s="44"/>
      <c r="J16" s="40">
        <f t="shared" si="1"/>
        <v>0</v>
      </c>
      <c r="K16" s="40">
        <f t="shared" si="2"/>
        <v>0</v>
      </c>
      <c r="L16" s="40"/>
      <c r="M16" s="40">
        <f t="shared" si="4"/>
        <v>0</v>
      </c>
      <c r="N16" s="17"/>
      <c r="Q16" s="340"/>
    </row>
    <row r="17" spans="1:16">
      <c r="A17" s="26">
        <v>14</v>
      </c>
      <c r="B17" s="27">
        <v>46095</v>
      </c>
      <c r="C17" s="17"/>
      <c r="D17" s="17"/>
      <c r="E17" s="93"/>
      <c r="F17" s="93"/>
      <c r="G17" s="40">
        <f t="shared" si="5"/>
        <v>0</v>
      </c>
      <c r="H17" s="44"/>
      <c r="I17" s="44"/>
      <c r="J17" s="40">
        <f t="shared" si="1"/>
        <v>0</v>
      </c>
      <c r="K17" s="40">
        <f t="shared" si="2"/>
        <v>0</v>
      </c>
      <c r="L17" s="40"/>
      <c r="M17" s="40">
        <f t="shared" si="4"/>
        <v>0</v>
      </c>
      <c r="N17" s="17"/>
    </row>
    <row r="18" spans="1:16">
      <c r="A18" s="26">
        <v>15</v>
      </c>
      <c r="B18" s="27">
        <v>46096</v>
      </c>
      <c r="C18" s="17"/>
      <c r="D18" s="17"/>
      <c r="E18" s="93"/>
      <c r="F18" s="93"/>
      <c r="G18" s="40">
        <f t="shared" si="5"/>
        <v>0</v>
      </c>
      <c r="H18" s="44"/>
      <c r="I18" s="44"/>
      <c r="J18" s="40">
        <f t="shared" si="1"/>
        <v>0</v>
      </c>
      <c r="K18" s="40">
        <f t="shared" si="2"/>
        <v>0</v>
      </c>
      <c r="L18" s="40"/>
      <c r="M18" s="40">
        <f t="shared" si="4"/>
        <v>0</v>
      </c>
      <c r="N18" s="17"/>
    </row>
    <row r="19" spans="1:16">
      <c r="A19" s="26">
        <v>16</v>
      </c>
      <c r="B19" s="27">
        <v>46097</v>
      </c>
      <c r="C19" s="17"/>
      <c r="D19" s="17"/>
      <c r="E19" s="93"/>
      <c r="F19" s="93"/>
      <c r="G19" s="40">
        <f t="shared" si="5"/>
        <v>0</v>
      </c>
      <c r="H19" s="44"/>
      <c r="I19" s="44"/>
      <c r="J19" s="40">
        <f t="shared" si="1"/>
        <v>0</v>
      </c>
      <c r="K19" s="40">
        <f t="shared" si="2"/>
        <v>0</v>
      </c>
      <c r="L19" s="40"/>
      <c r="M19" s="40">
        <f t="shared" si="4"/>
        <v>0</v>
      </c>
      <c r="N19" s="17"/>
    </row>
    <row r="20" spans="1:16">
      <c r="A20" s="26">
        <v>17</v>
      </c>
      <c r="B20" s="27">
        <v>46098</v>
      </c>
      <c r="C20" s="17"/>
      <c r="D20" s="17"/>
      <c r="E20" s="93"/>
      <c r="F20" s="93"/>
      <c r="G20" s="40">
        <f t="shared" si="5"/>
        <v>0</v>
      </c>
      <c r="H20" s="44"/>
      <c r="I20" s="44"/>
      <c r="J20" s="40">
        <f t="shared" si="1"/>
        <v>0</v>
      </c>
      <c r="K20" s="40">
        <f t="shared" si="2"/>
        <v>0</v>
      </c>
      <c r="L20" s="40"/>
      <c r="M20" s="40">
        <f t="shared" si="4"/>
        <v>0</v>
      </c>
      <c r="N20" s="17"/>
    </row>
    <row r="21" spans="1:16">
      <c r="A21" s="26">
        <v>18</v>
      </c>
      <c r="B21" s="27">
        <v>46099</v>
      </c>
      <c r="C21" s="17"/>
      <c r="D21" s="17"/>
      <c r="E21" s="93"/>
      <c r="F21" s="93"/>
      <c r="G21" s="40">
        <f t="shared" si="5"/>
        <v>0</v>
      </c>
      <c r="H21" s="44"/>
      <c r="I21" s="44"/>
      <c r="J21" s="40">
        <f t="shared" si="1"/>
        <v>0</v>
      </c>
      <c r="K21" s="40">
        <f t="shared" si="2"/>
        <v>0</v>
      </c>
      <c r="L21" s="40"/>
      <c r="M21" s="40">
        <f t="shared" si="4"/>
        <v>0</v>
      </c>
      <c r="N21" s="17"/>
    </row>
    <row r="22" spans="1:16">
      <c r="A22" s="26">
        <v>19</v>
      </c>
      <c r="B22" s="27">
        <v>46100</v>
      </c>
      <c r="C22" s="17"/>
      <c r="D22" s="17"/>
      <c r="E22" s="93"/>
      <c r="F22" s="93"/>
      <c r="G22" s="40">
        <f t="shared" si="5"/>
        <v>0</v>
      </c>
      <c r="H22" s="44"/>
      <c r="I22" s="44"/>
      <c r="J22" s="40">
        <f t="shared" si="1"/>
        <v>0</v>
      </c>
      <c r="K22" s="40">
        <f t="shared" si="2"/>
        <v>0</v>
      </c>
      <c r="L22" s="40"/>
      <c r="M22" s="40">
        <f t="shared" si="4"/>
        <v>0</v>
      </c>
      <c r="N22" s="17"/>
    </row>
    <row r="23" spans="1:16">
      <c r="A23" s="26">
        <v>20</v>
      </c>
      <c r="B23" s="27">
        <v>46101</v>
      </c>
      <c r="C23" s="17"/>
      <c r="D23" s="17"/>
      <c r="E23" s="93"/>
      <c r="F23" s="93"/>
      <c r="G23" s="40">
        <f t="shared" si="5"/>
        <v>0</v>
      </c>
      <c r="H23" s="44"/>
      <c r="I23" s="44"/>
      <c r="J23" s="40">
        <f t="shared" si="1"/>
        <v>0</v>
      </c>
      <c r="K23" s="40">
        <f t="shared" si="2"/>
        <v>0</v>
      </c>
      <c r="L23" s="40"/>
      <c r="M23" s="40">
        <f t="shared" si="4"/>
        <v>0</v>
      </c>
      <c r="N23" s="17"/>
    </row>
    <row r="24" spans="1:16">
      <c r="A24" s="26">
        <v>21</v>
      </c>
      <c r="B24" s="27">
        <v>46102</v>
      </c>
      <c r="C24" s="17"/>
      <c r="D24" s="17"/>
      <c r="E24" s="93"/>
      <c r="F24" s="93"/>
      <c r="G24" s="40">
        <f t="shared" si="5"/>
        <v>0</v>
      </c>
      <c r="H24" s="44"/>
      <c r="I24" s="44"/>
      <c r="J24" s="40">
        <f t="shared" si="1"/>
        <v>0</v>
      </c>
      <c r="K24" s="40">
        <f t="shared" si="2"/>
        <v>0</v>
      </c>
      <c r="L24" s="40"/>
      <c r="M24" s="40">
        <f t="shared" si="4"/>
        <v>0</v>
      </c>
      <c r="N24" s="17"/>
    </row>
    <row r="25" spans="1:16">
      <c r="A25" s="26">
        <v>22</v>
      </c>
      <c r="B25" s="27">
        <v>46103</v>
      </c>
      <c r="C25" s="17"/>
      <c r="D25" s="17"/>
      <c r="E25" s="93"/>
      <c r="F25" s="93"/>
      <c r="G25" s="40">
        <f t="shared" si="5"/>
        <v>0</v>
      </c>
      <c r="H25" s="44"/>
      <c r="I25" s="44"/>
      <c r="J25" s="40">
        <f t="shared" si="1"/>
        <v>0</v>
      </c>
      <c r="K25" s="40">
        <f t="shared" si="2"/>
        <v>0</v>
      </c>
      <c r="L25" s="40"/>
      <c r="M25" s="40">
        <f t="shared" si="4"/>
        <v>0</v>
      </c>
      <c r="N25" s="17"/>
    </row>
    <row r="26" spans="1:16">
      <c r="A26" s="26">
        <v>23</v>
      </c>
      <c r="B26" s="27">
        <v>46104</v>
      </c>
      <c r="C26" s="17"/>
      <c r="D26" s="17"/>
      <c r="E26" s="93"/>
      <c r="F26" s="93"/>
      <c r="G26" s="40">
        <f t="shared" si="5"/>
        <v>0</v>
      </c>
      <c r="H26" s="44"/>
      <c r="I26" s="44"/>
      <c r="J26" s="40">
        <f t="shared" si="1"/>
        <v>0</v>
      </c>
      <c r="K26" s="40">
        <f t="shared" si="2"/>
        <v>0</v>
      </c>
      <c r="L26" s="40"/>
      <c r="M26" s="40">
        <f t="shared" si="4"/>
        <v>0</v>
      </c>
      <c r="N26" s="17"/>
    </row>
    <row r="27" spans="1:16">
      <c r="A27" s="26">
        <v>24</v>
      </c>
      <c r="B27" s="27">
        <v>46105</v>
      </c>
      <c r="C27" s="17"/>
      <c r="D27" s="17"/>
      <c r="E27" s="93"/>
      <c r="F27" s="93"/>
      <c r="G27" s="40">
        <f t="shared" si="5"/>
        <v>0</v>
      </c>
      <c r="H27" s="44"/>
      <c r="I27" s="44"/>
      <c r="J27" s="40">
        <f t="shared" si="1"/>
        <v>0</v>
      </c>
      <c r="K27" s="40">
        <f t="shared" si="2"/>
        <v>0</v>
      </c>
      <c r="L27" s="40"/>
      <c r="M27" s="40">
        <f t="shared" si="4"/>
        <v>0</v>
      </c>
      <c r="N27" s="17"/>
      <c r="P27" s="22"/>
    </row>
    <row r="28" spans="1:16">
      <c r="A28" s="26">
        <v>25</v>
      </c>
      <c r="B28" s="27">
        <v>46106</v>
      </c>
      <c r="C28" s="17"/>
      <c r="D28" s="17"/>
      <c r="E28" s="93"/>
      <c r="F28" s="93"/>
      <c r="G28" s="40">
        <f t="shared" si="5"/>
        <v>0</v>
      </c>
      <c r="H28" s="44"/>
      <c r="I28" s="44"/>
      <c r="J28" s="40">
        <f t="shared" si="1"/>
        <v>0</v>
      </c>
      <c r="K28" s="40">
        <f t="shared" si="2"/>
        <v>0</v>
      </c>
      <c r="L28" s="40"/>
      <c r="M28" s="40">
        <f t="shared" si="4"/>
        <v>0</v>
      </c>
      <c r="N28" s="17"/>
    </row>
    <row r="29" spans="1:16">
      <c r="A29" s="26">
        <v>26</v>
      </c>
      <c r="B29" s="27">
        <v>46107</v>
      </c>
      <c r="C29" s="17"/>
      <c r="D29" s="230"/>
      <c r="E29" s="93"/>
      <c r="F29" s="93"/>
      <c r="G29" s="40">
        <f t="shared" si="5"/>
        <v>0</v>
      </c>
      <c r="H29" s="44"/>
      <c r="I29" s="44"/>
      <c r="J29" s="40">
        <f t="shared" si="1"/>
        <v>0</v>
      </c>
      <c r="K29" s="40">
        <f t="shared" si="2"/>
        <v>0</v>
      </c>
      <c r="L29" s="40"/>
      <c r="M29" s="40">
        <f t="shared" si="4"/>
        <v>0</v>
      </c>
      <c r="N29" s="17"/>
    </row>
    <row r="30" spans="1:16">
      <c r="A30" s="26">
        <v>27</v>
      </c>
      <c r="B30" s="27">
        <v>46108</v>
      </c>
      <c r="C30" s="17"/>
      <c r="D30" s="17"/>
      <c r="E30" s="93"/>
      <c r="F30" s="93"/>
      <c r="G30" s="40">
        <f t="shared" si="5"/>
        <v>0</v>
      </c>
      <c r="H30" s="44"/>
      <c r="I30" s="44"/>
      <c r="J30" s="40">
        <f t="shared" si="1"/>
        <v>0</v>
      </c>
      <c r="K30" s="40">
        <f t="shared" si="2"/>
        <v>0</v>
      </c>
      <c r="L30" s="40"/>
      <c r="M30" s="40">
        <f t="shared" si="4"/>
        <v>0</v>
      </c>
      <c r="N30" s="17"/>
    </row>
    <row r="31" spans="1:16">
      <c r="A31" s="26">
        <v>28</v>
      </c>
      <c r="B31" s="27">
        <v>46109</v>
      </c>
      <c r="C31" s="17"/>
      <c r="D31" s="17"/>
      <c r="E31" s="93"/>
      <c r="F31" s="93"/>
      <c r="G31" s="40">
        <f t="shared" si="5"/>
        <v>0</v>
      </c>
      <c r="H31" s="44"/>
      <c r="I31" s="44"/>
      <c r="J31" s="40">
        <f t="shared" si="1"/>
        <v>0</v>
      </c>
      <c r="K31" s="40">
        <f t="shared" si="2"/>
        <v>0</v>
      </c>
      <c r="L31" s="40"/>
      <c r="M31" s="40">
        <f t="shared" si="4"/>
        <v>0</v>
      </c>
      <c r="N31" s="17"/>
    </row>
    <row r="32" spans="1:16">
      <c r="A32" s="26">
        <v>29</v>
      </c>
      <c r="B32" s="27">
        <v>46110</v>
      </c>
      <c r="C32" s="17"/>
      <c r="D32" s="17"/>
      <c r="E32" s="93"/>
      <c r="F32" s="93"/>
      <c r="G32" s="40">
        <f t="shared" si="5"/>
        <v>0</v>
      </c>
      <c r="H32" s="44"/>
      <c r="I32" s="44"/>
      <c r="J32" s="40">
        <f t="shared" si="1"/>
        <v>0</v>
      </c>
      <c r="K32" s="40">
        <f t="shared" si="2"/>
        <v>0</v>
      </c>
      <c r="L32" s="40"/>
      <c r="M32" s="40">
        <f t="shared" si="4"/>
        <v>0</v>
      </c>
      <c r="N32" s="17"/>
    </row>
    <row r="33" spans="1:17">
      <c r="A33" s="26">
        <v>30</v>
      </c>
      <c r="B33" s="27">
        <v>46111</v>
      </c>
      <c r="C33" s="17"/>
      <c r="D33" s="17"/>
      <c r="E33" s="93"/>
      <c r="F33" s="93"/>
      <c r="G33" s="40">
        <f t="shared" si="5"/>
        <v>0</v>
      </c>
      <c r="H33" s="44"/>
      <c r="I33" s="44"/>
      <c r="J33" s="40">
        <f t="shared" si="1"/>
        <v>0</v>
      </c>
      <c r="K33" s="40">
        <f t="shared" si="2"/>
        <v>0</v>
      </c>
      <c r="L33" s="40">
        <v>0</v>
      </c>
      <c r="M33" s="40">
        <f t="shared" si="4"/>
        <v>0</v>
      </c>
      <c r="N33" s="17"/>
    </row>
    <row r="34" spans="1:17">
      <c r="A34" s="26">
        <v>31</v>
      </c>
      <c r="B34" s="27"/>
      <c r="C34" s="17"/>
      <c r="D34" s="17"/>
      <c r="E34" s="93"/>
      <c r="F34" s="93"/>
      <c r="G34" s="40">
        <f t="shared" si="5"/>
        <v>0</v>
      </c>
      <c r="H34" s="44"/>
      <c r="I34" s="44"/>
      <c r="J34" s="40">
        <f t="shared" si="1"/>
        <v>0</v>
      </c>
      <c r="K34" s="40">
        <f t="shared" si="2"/>
        <v>0</v>
      </c>
      <c r="L34" s="40">
        <v>0</v>
      </c>
      <c r="M34" s="40">
        <f>M33+K34-L34</f>
        <v>0</v>
      </c>
      <c r="N34" s="17"/>
      <c r="Q34" s="241"/>
    </row>
    <row r="35" spans="1:17">
      <c r="A35" s="26">
        <v>32</v>
      </c>
      <c r="B35" s="27"/>
      <c r="C35" s="17"/>
      <c r="D35" s="17"/>
      <c r="E35" s="93"/>
      <c r="F35" s="93"/>
      <c r="G35" s="40">
        <f t="shared" si="5"/>
        <v>0</v>
      </c>
      <c r="H35" s="44"/>
      <c r="I35" s="44"/>
      <c r="J35" s="40">
        <f t="shared" si="1"/>
        <v>0</v>
      </c>
      <c r="K35" s="40">
        <f t="shared" si="2"/>
        <v>0</v>
      </c>
      <c r="L35" s="40">
        <v>0</v>
      </c>
      <c r="M35" s="40">
        <f t="shared" si="4"/>
        <v>0</v>
      </c>
      <c r="N35" s="17"/>
      <c r="Q35" s="241"/>
    </row>
    <row r="36" spans="1:17">
      <c r="A36" s="26">
        <v>33</v>
      </c>
      <c r="B36" s="27"/>
      <c r="C36" s="17"/>
      <c r="D36" s="17"/>
      <c r="E36" s="93"/>
      <c r="F36" s="93"/>
      <c r="G36" s="40">
        <f t="shared" ref="G5:G36" si="6">E36*F36</f>
        <v>0</v>
      </c>
      <c r="H36" s="44"/>
      <c r="I36" s="44"/>
      <c r="J36" s="40">
        <f t="shared" si="1"/>
        <v>0</v>
      </c>
      <c r="K36" s="40">
        <f t="shared" si="2"/>
        <v>0</v>
      </c>
      <c r="L36" s="40">
        <v>0</v>
      </c>
      <c r="M36" s="40">
        <f t="shared" si="4"/>
        <v>0</v>
      </c>
      <c r="N36" s="17"/>
      <c r="Q36" s="241"/>
    </row>
    <row r="37" spans="1:17">
      <c r="A37" s="42"/>
      <c r="B37" s="42"/>
      <c r="C37" s="42"/>
      <c r="D37" s="42"/>
      <c r="E37" s="42">
        <f>SUM(E4:E36)</f>
        <v>0</v>
      </c>
      <c r="F37" s="42"/>
      <c r="G37" s="42">
        <f>SUM(G4:G36)</f>
        <v>0</v>
      </c>
      <c r="H37" s="42">
        <f>SUM(H4:H36)</f>
        <v>0</v>
      </c>
      <c r="I37" s="42"/>
      <c r="J37" s="42">
        <f>SUM(J4:J36)</f>
        <v>0</v>
      </c>
      <c r="K37" s="42">
        <f>SUM(K4:K36)</f>
        <v>0</v>
      </c>
      <c r="L37" s="42">
        <f>SUM(L4:L36)</f>
        <v>0</v>
      </c>
      <c r="M37" s="42"/>
      <c r="N37" s="42"/>
    </row>
  </sheetData>
  <mergeCells count="1">
    <mergeCell ref="A1:N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425B-F20E-4178-950E-FB51E0DEDA4F}">
  <dimension ref="A1:Q37"/>
  <sheetViews>
    <sheetView topLeftCell="A9" workbookViewId="0">
      <selection activeCell="I27" sqref="I27"/>
    </sheetView>
  </sheetViews>
  <sheetFormatPr defaultRowHeight="15"/>
  <cols>
    <col min="2" max="2" width="14.42578125" customWidth="1"/>
    <col min="7" max="7" width="10.42578125" bestFit="1" customWidth="1"/>
    <col min="11" max="12" width="13.5703125" bestFit="1" customWidth="1"/>
    <col min="13" max="13" width="11.28515625" bestFit="1" customWidth="1"/>
  </cols>
  <sheetData>
    <row r="1" spans="1:17" ht="15.75">
      <c r="A1" s="473" t="s">
        <v>216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92"/>
      <c r="P1" s="92"/>
      <c r="Q1" s="92"/>
    </row>
    <row r="2" spans="1:17">
      <c r="A2" s="64" t="s">
        <v>0</v>
      </c>
      <c r="B2" s="64" t="s">
        <v>161</v>
      </c>
      <c r="C2" s="64" t="s">
        <v>162</v>
      </c>
      <c r="D2" s="64" t="s">
        <v>163</v>
      </c>
      <c r="E2" s="91" t="s">
        <v>164</v>
      </c>
      <c r="F2" s="91" t="s">
        <v>165</v>
      </c>
      <c r="G2" s="91" t="s">
        <v>166</v>
      </c>
      <c r="H2" s="91" t="s">
        <v>167</v>
      </c>
      <c r="I2" s="91" t="s">
        <v>165</v>
      </c>
      <c r="J2" s="91" t="s">
        <v>166</v>
      </c>
      <c r="K2" s="91" t="s">
        <v>168</v>
      </c>
      <c r="L2" s="85" t="s">
        <v>169</v>
      </c>
      <c r="M2" s="85" t="s">
        <v>170</v>
      </c>
      <c r="N2" s="64" t="s">
        <v>171</v>
      </c>
    </row>
    <row r="3" spans="1:17">
      <c r="A3" s="17"/>
      <c r="B3" s="17"/>
      <c r="C3" s="17"/>
      <c r="D3" s="17" t="s">
        <v>172</v>
      </c>
      <c r="E3" s="17"/>
      <c r="F3" s="17"/>
      <c r="G3" s="17"/>
      <c r="H3" s="17"/>
      <c r="I3" s="17"/>
      <c r="J3" s="17"/>
      <c r="K3" s="40">
        <v>738510.09106000012</v>
      </c>
      <c r="L3" s="17"/>
      <c r="M3" s="40">
        <v>738510.09106000012</v>
      </c>
      <c r="N3" s="17"/>
      <c r="O3" s="40">
        <v>26506.399999999994</v>
      </c>
    </row>
    <row r="4" spans="1:17">
      <c r="A4" s="26">
        <v>1</v>
      </c>
      <c r="B4" s="27">
        <v>46082</v>
      </c>
      <c r="C4" s="17"/>
      <c r="D4" s="17"/>
      <c r="E4" s="93"/>
      <c r="F4" s="93"/>
      <c r="G4" s="40"/>
      <c r="H4" s="44"/>
      <c r="I4" s="44"/>
      <c r="J4" s="40">
        <f>H4*I4</f>
        <v>0</v>
      </c>
      <c r="K4" s="40">
        <f>G4+J4</f>
        <v>0</v>
      </c>
      <c r="L4" s="40"/>
      <c r="M4" s="40">
        <f>M3+K4-L4</f>
        <v>738510.09106000012</v>
      </c>
      <c r="N4" s="17"/>
    </row>
    <row r="5" spans="1:17">
      <c r="A5" s="26">
        <v>2</v>
      </c>
      <c r="B5" s="27">
        <v>46083</v>
      </c>
      <c r="C5" s="355" t="s">
        <v>217</v>
      </c>
      <c r="D5" s="17"/>
      <c r="E5" s="401"/>
      <c r="F5" s="93"/>
      <c r="G5" s="40">
        <f t="shared" ref="G5:G36" si="0">E5*F5</f>
        <v>0</v>
      </c>
      <c r="H5" s="44"/>
      <c r="I5" s="44"/>
      <c r="J5" s="40">
        <f t="shared" ref="J5:J36" si="1">H5*I5</f>
        <v>0</v>
      </c>
      <c r="K5" s="40">
        <f t="shared" ref="K5:L36" si="2">G5+J5</f>
        <v>0</v>
      </c>
      <c r="L5" s="40"/>
      <c r="M5" s="40">
        <f>M4+K5-L5</f>
        <v>738510.09106000012</v>
      </c>
      <c r="N5" s="17"/>
    </row>
    <row r="6" spans="1:17">
      <c r="A6" s="26">
        <v>3</v>
      </c>
      <c r="B6" s="27">
        <v>46084</v>
      </c>
      <c r="C6" s="17"/>
      <c r="D6" s="17"/>
      <c r="E6" s="401">
        <v>800</v>
      </c>
      <c r="F6" s="93">
        <v>91.54</v>
      </c>
      <c r="G6" s="40">
        <f t="shared" si="0"/>
        <v>73232</v>
      </c>
      <c r="H6" s="44">
        <v>20</v>
      </c>
      <c r="I6" s="44">
        <v>111.24</v>
      </c>
      <c r="J6" s="40">
        <f t="shared" si="1"/>
        <v>2224.7999999999997</v>
      </c>
      <c r="K6" s="40">
        <f t="shared" si="2"/>
        <v>75456.800000000003</v>
      </c>
      <c r="L6" s="40"/>
      <c r="M6" s="40">
        <f>M5+K6-L6</f>
        <v>813966.89106000017</v>
      </c>
      <c r="N6" s="17"/>
    </row>
    <row r="7" spans="1:17">
      <c r="A7" s="26">
        <v>4</v>
      </c>
      <c r="B7" s="27">
        <v>46085</v>
      </c>
      <c r="C7" s="17"/>
      <c r="D7" s="17"/>
      <c r="E7" s="93"/>
      <c r="F7" s="93"/>
      <c r="G7" s="40">
        <f t="shared" si="0"/>
        <v>0</v>
      </c>
      <c r="H7" s="44"/>
      <c r="I7" s="44"/>
      <c r="J7" s="40">
        <f t="shared" si="1"/>
        <v>0</v>
      </c>
      <c r="K7" s="40">
        <f t="shared" si="2"/>
        <v>0</v>
      </c>
      <c r="L7" s="40"/>
      <c r="M7" s="40">
        <f>M6+K7-L7</f>
        <v>813966.89106000017</v>
      </c>
      <c r="N7" s="17"/>
    </row>
    <row r="8" spans="1:17">
      <c r="A8" s="26">
        <v>5</v>
      </c>
      <c r="B8" s="27">
        <v>46086</v>
      </c>
      <c r="C8" s="17"/>
      <c r="D8" s="17"/>
      <c r="E8" s="93">
        <v>1400</v>
      </c>
      <c r="F8" s="93">
        <v>91.54</v>
      </c>
      <c r="G8" s="40">
        <f t="shared" si="0"/>
        <v>128156.00000000001</v>
      </c>
      <c r="H8" s="44"/>
      <c r="I8" s="44"/>
      <c r="J8" s="40">
        <f t="shared" si="1"/>
        <v>0</v>
      </c>
      <c r="K8" s="40">
        <f t="shared" si="2"/>
        <v>128156.00000000001</v>
      </c>
      <c r="L8" s="40"/>
      <c r="M8" s="40">
        <f>M7+K8-L8</f>
        <v>942122.89106000017</v>
      </c>
      <c r="N8" s="17"/>
    </row>
    <row r="9" spans="1:17">
      <c r="A9" s="26">
        <v>6</v>
      </c>
      <c r="B9" s="27">
        <v>46087</v>
      </c>
      <c r="C9" s="17"/>
      <c r="D9" s="17"/>
      <c r="E9" s="93"/>
      <c r="F9" s="93"/>
      <c r="G9" s="40">
        <f t="shared" si="0"/>
        <v>0</v>
      </c>
      <c r="H9" s="44">
        <v>11</v>
      </c>
      <c r="I9" s="44">
        <v>103.48</v>
      </c>
      <c r="J9" s="40">
        <f t="shared" si="1"/>
        <v>1138.28</v>
      </c>
      <c r="K9" s="40">
        <f t="shared" si="2"/>
        <v>1138.28</v>
      </c>
      <c r="L9" s="40">
        <v>500000</v>
      </c>
      <c r="M9" s="40">
        <f t="shared" ref="M9:M36" si="3">M8+K9-L9</f>
        <v>443261.1710600002</v>
      </c>
      <c r="N9" s="17"/>
    </row>
    <row r="10" spans="1:17">
      <c r="A10" s="26">
        <v>7</v>
      </c>
      <c r="B10" s="27">
        <v>46088</v>
      </c>
      <c r="C10" s="17"/>
      <c r="D10" s="17"/>
      <c r="E10" s="93">
        <v>700</v>
      </c>
      <c r="F10" s="93">
        <v>91.54</v>
      </c>
      <c r="G10" s="40">
        <f t="shared" si="0"/>
        <v>64078.000000000007</v>
      </c>
      <c r="H10" s="44"/>
      <c r="I10" s="44"/>
      <c r="J10" s="40">
        <f t="shared" si="1"/>
        <v>0</v>
      </c>
      <c r="K10" s="40">
        <f t="shared" si="2"/>
        <v>64078.000000000007</v>
      </c>
      <c r="L10" s="40"/>
      <c r="M10" s="40">
        <f t="shared" si="3"/>
        <v>507339.1710600002</v>
      </c>
      <c r="N10" s="17"/>
    </row>
    <row r="11" spans="1:17">
      <c r="A11" s="26">
        <v>8</v>
      </c>
      <c r="B11" s="27">
        <v>46089</v>
      </c>
      <c r="C11" s="17"/>
      <c r="D11" s="17"/>
      <c r="E11" s="93">
        <v>1300</v>
      </c>
      <c r="F11" s="93">
        <v>91.54</v>
      </c>
      <c r="G11" s="40">
        <f t="shared" si="0"/>
        <v>119002.00000000001</v>
      </c>
      <c r="H11" s="44"/>
      <c r="I11" s="44"/>
      <c r="J11" s="40">
        <f t="shared" si="1"/>
        <v>0</v>
      </c>
      <c r="K11" s="40">
        <f t="shared" si="2"/>
        <v>119002.00000000001</v>
      </c>
      <c r="L11" s="40"/>
      <c r="M11" s="40">
        <f t="shared" si="3"/>
        <v>626341.1710600002</v>
      </c>
      <c r="N11" s="17"/>
    </row>
    <row r="12" spans="1:17">
      <c r="A12" s="26">
        <v>9</v>
      </c>
      <c r="B12" s="27">
        <v>46090</v>
      </c>
      <c r="C12" s="17"/>
      <c r="D12" s="17"/>
      <c r="E12" s="93">
        <v>1100</v>
      </c>
      <c r="F12" s="93">
        <v>91.54</v>
      </c>
      <c r="G12" s="40">
        <f t="shared" si="0"/>
        <v>100694</v>
      </c>
      <c r="H12" s="44"/>
      <c r="I12" s="44"/>
      <c r="J12" s="40">
        <f>H12*I12</f>
        <v>0</v>
      </c>
      <c r="K12" s="40">
        <f t="shared" si="2"/>
        <v>100694</v>
      </c>
      <c r="L12" s="40"/>
      <c r="M12" s="40">
        <f>M11+K12-L12</f>
        <v>727035.1710600002</v>
      </c>
      <c r="N12" s="17"/>
    </row>
    <row r="13" spans="1:17">
      <c r="A13" s="26">
        <v>10</v>
      </c>
      <c r="B13" s="27">
        <v>46091</v>
      </c>
      <c r="C13" s="17"/>
      <c r="D13" s="17"/>
      <c r="E13" s="93">
        <v>1000</v>
      </c>
      <c r="F13" s="93">
        <v>91.54</v>
      </c>
      <c r="G13" s="40">
        <f t="shared" si="0"/>
        <v>91540</v>
      </c>
      <c r="J13" s="40">
        <f t="shared" ref="J13:J16" si="4">H13*I13</f>
        <v>0</v>
      </c>
      <c r="K13" s="40">
        <f t="shared" si="2"/>
        <v>91540</v>
      </c>
      <c r="L13" s="40">
        <v>0</v>
      </c>
      <c r="M13" s="40">
        <f t="shared" si="3"/>
        <v>818575.1710600002</v>
      </c>
      <c r="N13" s="17"/>
    </row>
    <row r="14" spans="1:17">
      <c r="A14" s="26">
        <v>11</v>
      </c>
      <c r="B14" s="27">
        <v>46092</v>
      </c>
      <c r="C14" s="17"/>
      <c r="D14" s="17"/>
      <c r="E14" s="93">
        <v>1300</v>
      </c>
      <c r="F14" s="93">
        <v>91.54</v>
      </c>
      <c r="G14" s="40">
        <f t="shared" si="0"/>
        <v>119002.00000000001</v>
      </c>
      <c r="H14" s="44">
        <v>24.15</v>
      </c>
      <c r="I14" s="44">
        <v>103.44</v>
      </c>
      <c r="J14" s="40">
        <f t="shared" si="4"/>
        <v>2498.076</v>
      </c>
      <c r="K14" s="40">
        <f t="shared" si="2"/>
        <v>121500.07600000002</v>
      </c>
      <c r="L14" s="40">
        <v>2498.08</v>
      </c>
      <c r="M14" s="40">
        <f>M13+K14-L14</f>
        <v>937577.16706000024</v>
      </c>
      <c r="N14" s="17"/>
    </row>
    <row r="15" spans="1:17">
      <c r="A15" s="26">
        <v>12</v>
      </c>
      <c r="B15" s="27">
        <v>46093</v>
      </c>
      <c r="C15" s="17"/>
      <c r="D15" s="93"/>
      <c r="E15" s="93"/>
      <c r="F15" s="93"/>
      <c r="G15" s="40">
        <f t="shared" si="0"/>
        <v>0</v>
      </c>
      <c r="H15" s="44">
        <v>9.66</v>
      </c>
      <c r="I15" s="44">
        <v>103.44</v>
      </c>
      <c r="J15" s="40">
        <f t="shared" si="4"/>
        <v>999.23040000000003</v>
      </c>
      <c r="K15" s="40">
        <f t="shared" si="2"/>
        <v>999.23040000000003</v>
      </c>
      <c r="L15" s="40">
        <v>999.23</v>
      </c>
      <c r="M15" s="40">
        <f>M14+K15-L15</f>
        <v>937577.16746000026</v>
      </c>
      <c r="N15" s="17"/>
    </row>
    <row r="16" spans="1:17">
      <c r="A16" s="26">
        <v>13</v>
      </c>
      <c r="B16" s="27">
        <v>46094</v>
      </c>
      <c r="C16" s="17"/>
      <c r="D16" s="17">
        <v>0</v>
      </c>
      <c r="E16" s="93">
        <v>1400</v>
      </c>
      <c r="F16" s="93">
        <v>91.54</v>
      </c>
      <c r="G16" s="40">
        <f t="shared" si="0"/>
        <v>128156.00000000001</v>
      </c>
      <c r="H16" s="44"/>
      <c r="I16" s="44"/>
      <c r="J16" s="40">
        <f t="shared" si="4"/>
        <v>0</v>
      </c>
      <c r="K16" s="40">
        <f t="shared" si="2"/>
        <v>128156.00000000001</v>
      </c>
      <c r="L16" s="40">
        <v>600000</v>
      </c>
      <c r="M16" s="40">
        <f t="shared" si="3"/>
        <v>465733.16746000038</v>
      </c>
      <c r="N16" s="17"/>
      <c r="Q16" s="340"/>
    </row>
    <row r="17" spans="1:17">
      <c r="A17" s="26">
        <v>14</v>
      </c>
      <c r="B17" s="27">
        <v>46095</v>
      </c>
      <c r="C17" s="17"/>
      <c r="D17" s="17"/>
      <c r="E17" s="93"/>
      <c r="F17" s="93"/>
      <c r="G17" s="40">
        <f t="shared" si="0"/>
        <v>0</v>
      </c>
      <c r="H17" s="44"/>
      <c r="I17" s="44"/>
      <c r="J17" s="40">
        <f t="shared" si="1"/>
        <v>0</v>
      </c>
      <c r="K17" s="40">
        <f t="shared" si="2"/>
        <v>0</v>
      </c>
      <c r="L17" s="40"/>
      <c r="M17" s="40">
        <f t="shared" si="3"/>
        <v>465733.16746000038</v>
      </c>
      <c r="N17" s="17"/>
    </row>
    <row r="18" spans="1:17">
      <c r="A18" s="26">
        <v>15</v>
      </c>
      <c r="B18" s="27">
        <v>46096</v>
      </c>
      <c r="C18" s="17"/>
      <c r="D18" s="17"/>
      <c r="E18" s="93"/>
      <c r="F18" s="93"/>
      <c r="G18" s="40">
        <f t="shared" si="0"/>
        <v>0</v>
      </c>
      <c r="H18" s="44"/>
      <c r="I18" s="44"/>
      <c r="J18" s="40">
        <f t="shared" si="1"/>
        <v>0</v>
      </c>
      <c r="K18" s="40">
        <f t="shared" si="2"/>
        <v>0</v>
      </c>
      <c r="L18" s="40"/>
      <c r="M18" s="40">
        <f t="shared" si="3"/>
        <v>465733.16746000038</v>
      </c>
      <c r="N18" s="17"/>
    </row>
    <row r="19" spans="1:17">
      <c r="A19" s="26">
        <v>16</v>
      </c>
      <c r="B19" s="27">
        <v>46097</v>
      </c>
      <c r="C19" s="17"/>
      <c r="D19" s="17"/>
      <c r="E19" s="93">
        <v>700</v>
      </c>
      <c r="F19" s="93">
        <v>91.54</v>
      </c>
      <c r="G19" s="40">
        <f t="shared" si="0"/>
        <v>64078.000000000007</v>
      </c>
      <c r="H19" s="44"/>
      <c r="I19" s="44"/>
      <c r="J19" s="40">
        <f t="shared" si="1"/>
        <v>0</v>
      </c>
      <c r="K19" s="40">
        <f t="shared" si="2"/>
        <v>64078.000000000007</v>
      </c>
      <c r="L19" s="40"/>
      <c r="M19" s="40">
        <f t="shared" si="3"/>
        <v>529811.16746000038</v>
      </c>
      <c r="N19" s="17"/>
    </row>
    <row r="20" spans="1:17">
      <c r="A20" s="26">
        <v>17</v>
      </c>
      <c r="B20" s="27">
        <v>46098</v>
      </c>
      <c r="C20" s="17"/>
      <c r="D20" s="17"/>
      <c r="E20" s="93"/>
      <c r="F20" s="93"/>
      <c r="G20" s="40">
        <f t="shared" si="0"/>
        <v>0</v>
      </c>
      <c r="H20" s="44"/>
      <c r="I20" s="44"/>
      <c r="J20" s="40">
        <f t="shared" si="1"/>
        <v>0</v>
      </c>
      <c r="K20" s="40">
        <f t="shared" si="2"/>
        <v>0</v>
      </c>
      <c r="L20" s="40"/>
      <c r="M20" s="40">
        <f t="shared" si="3"/>
        <v>529811.16746000038</v>
      </c>
      <c r="N20" s="17"/>
    </row>
    <row r="21" spans="1:17">
      <c r="A21" s="26">
        <v>18</v>
      </c>
      <c r="B21" s="27">
        <v>46099</v>
      </c>
      <c r="C21" s="17"/>
      <c r="D21" s="17"/>
      <c r="E21" s="93">
        <v>300</v>
      </c>
      <c r="F21" s="93">
        <v>91.54</v>
      </c>
      <c r="G21" s="40">
        <f t="shared" si="0"/>
        <v>27462.000000000004</v>
      </c>
      <c r="H21" s="44">
        <v>20</v>
      </c>
      <c r="I21" s="44">
        <v>113.41</v>
      </c>
      <c r="J21" s="40">
        <f t="shared" si="1"/>
        <v>2268.1999999999998</v>
      </c>
      <c r="K21" s="40">
        <f t="shared" si="2"/>
        <v>29730.200000000004</v>
      </c>
      <c r="L21" s="40"/>
      <c r="M21" s="40">
        <f t="shared" si="3"/>
        <v>559541.36746000033</v>
      </c>
      <c r="N21" s="17"/>
    </row>
    <row r="22" spans="1:17">
      <c r="A22" s="26">
        <v>19</v>
      </c>
      <c r="B22" s="27">
        <v>46100</v>
      </c>
      <c r="C22" s="17"/>
      <c r="D22" s="17"/>
      <c r="E22" s="93">
        <v>200</v>
      </c>
      <c r="F22" s="93">
        <v>91.54</v>
      </c>
      <c r="G22" s="40">
        <f t="shared" si="0"/>
        <v>18308</v>
      </c>
      <c r="H22" s="44">
        <v>10</v>
      </c>
      <c r="I22" s="44">
        <v>113.41</v>
      </c>
      <c r="J22" s="40">
        <f t="shared" si="1"/>
        <v>1134.0999999999999</v>
      </c>
      <c r="K22" s="40">
        <f t="shared" si="2"/>
        <v>19442.099999999999</v>
      </c>
      <c r="L22" s="40"/>
      <c r="M22" s="40">
        <f t="shared" si="3"/>
        <v>578983.46746000031</v>
      </c>
      <c r="N22" s="17"/>
    </row>
    <row r="23" spans="1:17">
      <c r="A23" s="26">
        <v>20</v>
      </c>
      <c r="B23" s="27">
        <v>46101</v>
      </c>
      <c r="C23" s="17"/>
      <c r="D23" s="17"/>
      <c r="E23" s="93">
        <v>240</v>
      </c>
      <c r="F23" s="93">
        <v>91.54</v>
      </c>
      <c r="G23" s="40">
        <f t="shared" si="0"/>
        <v>21969.600000000002</v>
      </c>
      <c r="H23" s="44">
        <v>10</v>
      </c>
      <c r="I23" s="44">
        <v>113.41</v>
      </c>
      <c r="J23" s="40">
        <f t="shared" si="1"/>
        <v>1134.0999999999999</v>
      </c>
      <c r="K23" s="40">
        <f t="shared" si="2"/>
        <v>23103.7</v>
      </c>
      <c r="L23" s="40"/>
      <c r="M23" s="40">
        <f t="shared" si="3"/>
        <v>602087.16746000026</v>
      </c>
      <c r="N23" s="17"/>
    </row>
    <row r="24" spans="1:17">
      <c r="A24" s="26">
        <v>21</v>
      </c>
      <c r="B24" s="27">
        <v>46102</v>
      </c>
      <c r="C24" s="17"/>
      <c r="D24" s="17"/>
      <c r="E24" s="93"/>
      <c r="F24" s="93"/>
      <c r="G24" s="40">
        <f t="shared" si="0"/>
        <v>0</v>
      </c>
      <c r="H24" s="44"/>
      <c r="I24" s="44"/>
      <c r="J24" s="40">
        <f t="shared" si="1"/>
        <v>0</v>
      </c>
      <c r="K24" s="40">
        <f t="shared" si="2"/>
        <v>0</v>
      </c>
      <c r="L24" s="40"/>
      <c r="M24" s="40">
        <f t="shared" si="3"/>
        <v>602087.16746000026</v>
      </c>
      <c r="N24" s="17"/>
    </row>
    <row r="25" spans="1:17">
      <c r="A25" s="26">
        <v>22</v>
      </c>
      <c r="B25" s="27">
        <v>46103</v>
      </c>
      <c r="C25" s="17"/>
      <c r="D25" s="17"/>
      <c r="E25" s="93">
        <v>400</v>
      </c>
      <c r="F25" s="93">
        <v>91.54</v>
      </c>
      <c r="G25" s="40">
        <f t="shared" si="0"/>
        <v>36616</v>
      </c>
      <c r="H25" s="44">
        <v>20</v>
      </c>
      <c r="I25" s="44">
        <v>113.41</v>
      </c>
      <c r="J25" s="40">
        <f t="shared" si="1"/>
        <v>2268.1999999999998</v>
      </c>
      <c r="K25" s="40">
        <f t="shared" si="2"/>
        <v>38884.199999999997</v>
      </c>
      <c r="L25" s="40"/>
      <c r="M25" s="40">
        <f t="shared" si="3"/>
        <v>640971.36746000021</v>
      </c>
      <c r="N25" s="17"/>
    </row>
    <row r="26" spans="1:17">
      <c r="A26" s="26">
        <v>23</v>
      </c>
      <c r="B26" s="27">
        <v>46104</v>
      </c>
      <c r="C26" s="17"/>
      <c r="D26" s="17"/>
      <c r="E26" s="93">
        <v>200</v>
      </c>
      <c r="F26" s="93">
        <v>91.54</v>
      </c>
      <c r="G26" s="40">
        <f t="shared" si="0"/>
        <v>18308</v>
      </c>
      <c r="H26" s="44"/>
      <c r="I26" s="44"/>
      <c r="J26" s="40">
        <f t="shared" si="1"/>
        <v>0</v>
      </c>
      <c r="K26" s="40">
        <f t="shared" si="2"/>
        <v>18308</v>
      </c>
      <c r="L26" s="40"/>
      <c r="M26" s="40">
        <f t="shared" si="3"/>
        <v>659279.36746000021</v>
      </c>
      <c r="N26" s="17"/>
    </row>
    <row r="27" spans="1:17">
      <c r="A27" s="26">
        <v>24</v>
      </c>
      <c r="B27" s="27">
        <v>46105</v>
      </c>
      <c r="C27" s="17"/>
      <c r="D27" s="17"/>
      <c r="E27" s="93">
        <v>900</v>
      </c>
      <c r="F27" s="93">
        <v>91.54</v>
      </c>
      <c r="G27" s="40">
        <f t="shared" si="0"/>
        <v>82386</v>
      </c>
      <c r="H27" s="44">
        <v>20</v>
      </c>
      <c r="I27" s="44">
        <v>113.41</v>
      </c>
      <c r="J27" s="40">
        <f t="shared" si="1"/>
        <v>2268.1999999999998</v>
      </c>
      <c r="K27" s="40">
        <f t="shared" si="2"/>
        <v>84654.2</v>
      </c>
      <c r="L27" s="40"/>
      <c r="M27" s="40">
        <f t="shared" si="3"/>
        <v>743933.56746000017</v>
      </c>
      <c r="N27" s="17"/>
      <c r="P27" s="22"/>
    </row>
    <row r="28" spans="1:17">
      <c r="A28" s="26">
        <v>25</v>
      </c>
      <c r="B28" s="27">
        <v>46106</v>
      </c>
      <c r="C28" s="17"/>
      <c r="D28" s="17"/>
      <c r="E28" s="93">
        <v>800</v>
      </c>
      <c r="F28" s="93">
        <v>91.54</v>
      </c>
      <c r="G28" s="40">
        <f t="shared" si="0"/>
        <v>73232</v>
      </c>
      <c r="H28" s="44"/>
      <c r="I28" s="44"/>
      <c r="J28" s="40">
        <f t="shared" si="1"/>
        <v>0</v>
      </c>
      <c r="K28" s="40">
        <f t="shared" si="2"/>
        <v>73232</v>
      </c>
      <c r="L28" s="40">
        <v>300000</v>
      </c>
      <c r="M28" s="40">
        <f t="shared" si="3"/>
        <v>517165.56746000017</v>
      </c>
      <c r="N28" s="17"/>
    </row>
    <row r="29" spans="1:17">
      <c r="A29" s="26">
        <v>26</v>
      </c>
      <c r="B29" s="27">
        <v>46107</v>
      </c>
      <c r="C29" s="17"/>
      <c r="D29" s="230"/>
      <c r="E29" s="93"/>
      <c r="F29" s="93"/>
      <c r="G29" s="40">
        <f t="shared" si="0"/>
        <v>0</v>
      </c>
      <c r="H29" s="44"/>
      <c r="I29" s="44"/>
      <c r="J29" s="40">
        <f t="shared" si="1"/>
        <v>0</v>
      </c>
      <c r="K29" s="40">
        <f t="shared" si="2"/>
        <v>0</v>
      </c>
      <c r="L29" s="40"/>
      <c r="M29" s="40">
        <f t="shared" si="3"/>
        <v>517165.56746000017</v>
      </c>
      <c r="N29" s="17"/>
      <c r="Q29">
        <v>166834</v>
      </c>
    </row>
    <row r="30" spans="1:17">
      <c r="A30" s="26">
        <v>27</v>
      </c>
      <c r="B30" s="27">
        <v>46108</v>
      </c>
      <c r="C30" s="17"/>
      <c r="D30" s="17"/>
      <c r="E30" s="93">
        <v>1000</v>
      </c>
      <c r="F30" s="93">
        <v>91.54</v>
      </c>
      <c r="G30" s="40">
        <f t="shared" si="0"/>
        <v>91540</v>
      </c>
      <c r="H30" s="44"/>
      <c r="I30" s="44"/>
      <c r="J30" s="40">
        <f t="shared" si="1"/>
        <v>0</v>
      </c>
      <c r="K30" s="40">
        <f t="shared" si="2"/>
        <v>91540</v>
      </c>
      <c r="L30" s="40">
        <v>0</v>
      </c>
      <c r="M30" s="40">
        <f t="shared" si="3"/>
        <v>608705.56746000017</v>
      </c>
      <c r="N30" s="17"/>
    </row>
    <row r="31" spans="1:17">
      <c r="A31" s="26">
        <v>28</v>
      </c>
      <c r="B31" s="27">
        <v>46109</v>
      </c>
      <c r="C31" s="17"/>
      <c r="D31" s="17"/>
      <c r="E31" s="93">
        <v>840</v>
      </c>
      <c r="F31" s="93">
        <v>91.54</v>
      </c>
      <c r="G31" s="40">
        <f t="shared" si="0"/>
        <v>76893.600000000006</v>
      </c>
      <c r="H31" s="44">
        <v>9.66</v>
      </c>
      <c r="I31" s="44">
        <v>103.44</v>
      </c>
      <c r="J31" s="40">
        <f t="shared" si="1"/>
        <v>999.23040000000003</v>
      </c>
      <c r="K31" s="40">
        <f t="shared" si="2"/>
        <v>77892.830400000006</v>
      </c>
      <c r="L31" s="40">
        <v>166834</v>
      </c>
      <c r="M31" s="40">
        <f t="shared" si="3"/>
        <v>519764.39786000014</v>
      </c>
      <c r="N31" s="17"/>
    </row>
    <row r="32" spans="1:17">
      <c r="A32" s="26">
        <v>29</v>
      </c>
      <c r="B32" s="27">
        <v>46110</v>
      </c>
      <c r="C32" s="17"/>
      <c r="D32" s="17"/>
      <c r="E32" s="93"/>
      <c r="F32" s="93"/>
      <c r="G32" s="40">
        <f t="shared" si="0"/>
        <v>0</v>
      </c>
      <c r="H32" s="44"/>
      <c r="I32" s="44"/>
      <c r="J32" s="40">
        <f t="shared" si="1"/>
        <v>0</v>
      </c>
      <c r="K32" s="40">
        <f t="shared" si="2"/>
        <v>0</v>
      </c>
      <c r="L32" s="40"/>
      <c r="M32" s="40">
        <f t="shared" si="3"/>
        <v>519764.39786000014</v>
      </c>
      <c r="N32" s="17"/>
    </row>
    <row r="33" spans="1:17">
      <c r="A33" s="26">
        <v>30</v>
      </c>
      <c r="B33" s="27">
        <v>46111</v>
      </c>
      <c r="C33" s="17"/>
      <c r="D33" s="17"/>
      <c r="E33" s="93"/>
      <c r="F33" s="93"/>
      <c r="G33" s="40">
        <f t="shared" si="0"/>
        <v>0</v>
      </c>
      <c r="H33" s="44">
        <v>6</v>
      </c>
      <c r="I33" s="44">
        <v>113.41</v>
      </c>
      <c r="J33" s="40">
        <f t="shared" si="1"/>
        <v>680.46</v>
      </c>
      <c r="K33" s="40">
        <f t="shared" si="2"/>
        <v>680.46</v>
      </c>
      <c r="L33" s="40"/>
      <c r="M33" s="40">
        <f t="shared" si="3"/>
        <v>520444.85786000016</v>
      </c>
      <c r="N33" s="17"/>
    </row>
    <row r="34" spans="1:17">
      <c r="A34" s="26">
        <v>31</v>
      </c>
      <c r="B34" s="27">
        <v>46112</v>
      </c>
      <c r="C34" s="17"/>
      <c r="D34" s="17"/>
      <c r="E34" s="93">
        <v>940</v>
      </c>
      <c r="F34" s="93">
        <v>91.54</v>
      </c>
      <c r="G34" s="40">
        <f t="shared" si="0"/>
        <v>86047.6</v>
      </c>
      <c r="H34" s="44">
        <v>5</v>
      </c>
      <c r="I34" s="44">
        <v>113.41</v>
      </c>
      <c r="J34" s="40">
        <f t="shared" si="1"/>
        <v>567.04999999999995</v>
      </c>
      <c r="K34" s="40">
        <f t="shared" si="2"/>
        <v>86614.650000000009</v>
      </c>
      <c r="L34" s="40"/>
      <c r="M34" s="40">
        <f>M33+K34-L34</f>
        <v>607059.50786000013</v>
      </c>
      <c r="N34" s="17"/>
      <c r="Q34" s="241"/>
    </row>
    <row r="35" spans="1:17">
      <c r="A35" s="26">
        <v>32</v>
      </c>
      <c r="B35" s="27"/>
      <c r="C35" s="17"/>
      <c r="D35" s="17"/>
      <c r="E35" s="93"/>
      <c r="F35" s="93"/>
      <c r="G35" s="40">
        <f t="shared" si="0"/>
        <v>0</v>
      </c>
      <c r="H35" s="44"/>
      <c r="I35" s="44"/>
      <c r="J35" s="40">
        <f t="shared" si="1"/>
        <v>0</v>
      </c>
      <c r="K35" s="40">
        <f t="shared" si="2"/>
        <v>0</v>
      </c>
      <c r="L35" s="40"/>
      <c r="M35" s="40">
        <f t="shared" si="3"/>
        <v>607059.50786000013</v>
      </c>
      <c r="N35" s="17"/>
      <c r="Q35" s="241"/>
    </row>
    <row r="36" spans="1:17">
      <c r="A36" s="26">
        <v>33</v>
      </c>
      <c r="B36" s="27"/>
      <c r="C36" s="17"/>
      <c r="D36" s="17"/>
      <c r="E36" s="93"/>
      <c r="F36" s="93"/>
      <c r="G36" s="40">
        <f t="shared" si="0"/>
        <v>0</v>
      </c>
      <c r="H36" s="44"/>
      <c r="I36" s="44"/>
      <c r="J36" s="40">
        <f t="shared" si="1"/>
        <v>0</v>
      </c>
      <c r="K36" s="40">
        <f t="shared" si="2"/>
        <v>0</v>
      </c>
      <c r="L36" s="40"/>
      <c r="M36" s="40">
        <f t="shared" si="3"/>
        <v>607059.50786000013</v>
      </c>
      <c r="N36" s="17"/>
      <c r="Q36" s="241"/>
    </row>
    <row r="37" spans="1:17">
      <c r="A37" s="42"/>
      <c r="B37" s="42"/>
      <c r="C37" s="42"/>
      <c r="D37" s="42"/>
      <c r="E37" s="42">
        <f>SUM(E4:E36)</f>
        <v>15520</v>
      </c>
      <c r="F37" s="42"/>
      <c r="G37" s="42">
        <f>SUM(G4:G36)</f>
        <v>1420700.8000000003</v>
      </c>
      <c r="H37" s="42">
        <f>SUM(H4:H36)</f>
        <v>165.47</v>
      </c>
      <c r="I37" s="42"/>
      <c r="J37" s="42">
        <f>SUM(J4:J36)</f>
        <v>18179.926800000001</v>
      </c>
      <c r="K37" s="42">
        <f>SUM(K4:K36)</f>
        <v>1438880.7267999998</v>
      </c>
      <c r="L37" s="42">
        <f>SUM(L4:L36)</f>
        <v>1570331.31</v>
      </c>
      <c r="M37" s="42"/>
      <c r="N37" s="42"/>
    </row>
  </sheetData>
  <mergeCells count="1">
    <mergeCell ref="A1:N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R44"/>
  <sheetViews>
    <sheetView workbookViewId="0">
      <pane ySplit="2" topLeftCell="A15" activePane="bottomLeft" state="frozen"/>
      <selection pane="bottomLeft" activeCell="K17" sqref="K17"/>
    </sheetView>
  </sheetViews>
  <sheetFormatPr defaultRowHeight="15"/>
  <cols>
    <col min="1" max="1" width="5.140625" style="77" bestFit="1" customWidth="1"/>
    <col min="2" max="2" width="10.85546875" style="77" bestFit="1" customWidth="1"/>
    <col min="3" max="3" width="16" style="77" bestFit="1" customWidth="1"/>
    <col min="4" max="4" width="13.28515625" style="77" bestFit="1" customWidth="1"/>
    <col min="5" max="6" width="10.7109375" style="77" bestFit="1" customWidth="1"/>
    <col min="7" max="7" width="11.5703125" style="77" bestFit="1" customWidth="1"/>
    <col min="8" max="8" width="10.7109375" style="77" bestFit="1" customWidth="1"/>
    <col min="9" max="9" width="7.140625" style="77" bestFit="1" customWidth="1"/>
    <col min="10" max="10" width="9.7109375" style="77" bestFit="1" customWidth="1"/>
    <col min="11" max="11" width="13.5703125" style="77" bestFit="1" customWidth="1"/>
    <col min="12" max="12" width="13.5703125" style="252" bestFit="1" customWidth="1"/>
    <col min="13" max="13" width="15" style="77" customWidth="1"/>
    <col min="14" max="14" width="14.28515625" style="77" bestFit="1" customWidth="1"/>
    <col min="15" max="16384" width="9.140625" style="77"/>
  </cols>
  <sheetData>
    <row r="1" spans="1:15" ht="15.75">
      <c r="A1" s="447" t="s">
        <v>111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53"/>
    </row>
    <row r="2" spans="1:15" ht="30">
      <c r="A2" s="98" t="s">
        <v>0</v>
      </c>
      <c r="B2" s="99" t="s">
        <v>161</v>
      </c>
      <c r="C2" s="99" t="s">
        <v>162</v>
      </c>
      <c r="D2" s="99" t="s">
        <v>180</v>
      </c>
      <c r="E2" s="99" t="s">
        <v>164</v>
      </c>
      <c r="F2" s="99" t="s">
        <v>165</v>
      </c>
      <c r="G2" s="99" t="s">
        <v>166</v>
      </c>
      <c r="H2" s="99" t="s">
        <v>167</v>
      </c>
      <c r="I2" s="99" t="s">
        <v>165</v>
      </c>
      <c r="J2" s="138" t="s">
        <v>166</v>
      </c>
      <c r="K2" s="100" t="s">
        <v>168</v>
      </c>
      <c r="L2" s="227" t="s">
        <v>169</v>
      </c>
      <c r="M2" s="143" t="s">
        <v>181</v>
      </c>
      <c r="N2" s="101" t="s">
        <v>171</v>
      </c>
      <c r="O2" s="59"/>
    </row>
    <row r="3" spans="1:15">
      <c r="A3" s="475" t="s">
        <v>172</v>
      </c>
      <c r="B3" s="476"/>
      <c r="C3" s="476"/>
      <c r="D3" s="476"/>
      <c r="E3" s="476"/>
      <c r="F3" s="476"/>
      <c r="G3" s="476"/>
      <c r="H3" s="476"/>
      <c r="I3" s="476"/>
      <c r="J3" s="477"/>
      <c r="K3" s="209">
        <v>29558.90419999999</v>
      </c>
      <c r="L3" s="209"/>
      <c r="M3" s="209">
        <v>29558.90419999999</v>
      </c>
      <c r="N3" s="156"/>
      <c r="O3" s="8"/>
    </row>
    <row r="4" spans="1:15">
      <c r="A4" s="26">
        <v>1</v>
      </c>
      <c r="B4" s="27">
        <v>46082</v>
      </c>
      <c r="C4" s="25"/>
      <c r="D4" s="18"/>
      <c r="E4" s="47"/>
      <c r="F4" s="47"/>
      <c r="G4" s="8">
        <f>E4*F4</f>
        <v>0</v>
      </c>
      <c r="H4" s="47">
        <v>5</v>
      </c>
      <c r="I4" s="47">
        <v>103.73</v>
      </c>
      <c r="J4" s="8">
        <f>H4*I4</f>
        <v>518.65</v>
      </c>
      <c r="K4" s="8">
        <f>G4+J4</f>
        <v>518.65</v>
      </c>
      <c r="L4" s="250"/>
      <c r="M4" s="8">
        <f>M3+K4-L4</f>
        <v>30077.554199999991</v>
      </c>
      <c r="N4" s="8"/>
      <c r="O4" s="59"/>
    </row>
    <row r="5" spans="1:15">
      <c r="A5" s="26">
        <v>2</v>
      </c>
      <c r="B5" s="27">
        <v>46083</v>
      </c>
      <c r="C5" s="25"/>
      <c r="D5" s="18"/>
      <c r="E5" s="47">
        <v>95</v>
      </c>
      <c r="F5" s="47">
        <v>91.77</v>
      </c>
      <c r="G5" s="8">
        <f t="shared" ref="G5:G34" si="0">E5*F5</f>
        <v>8718.15</v>
      </c>
      <c r="H5" s="47">
        <v>11</v>
      </c>
      <c r="I5" s="47">
        <v>103.73</v>
      </c>
      <c r="J5" s="8">
        <f t="shared" ref="J5:J34" si="1">H5*I5</f>
        <v>1141.03</v>
      </c>
      <c r="K5" s="8">
        <f t="shared" ref="K5:K34" si="2">G5+J5</f>
        <v>9859.18</v>
      </c>
      <c r="L5" s="250"/>
      <c r="M5" s="8">
        <f t="shared" ref="M5:M15" si="3">M4+K5-L5</f>
        <v>39936.734199999992</v>
      </c>
      <c r="N5" s="8"/>
      <c r="O5" s="59"/>
    </row>
    <row r="6" spans="1:15">
      <c r="A6" s="26">
        <v>3</v>
      </c>
      <c r="B6" s="27">
        <v>46084</v>
      </c>
      <c r="C6" s="25"/>
      <c r="D6" s="18"/>
      <c r="E6" s="47"/>
      <c r="F6" s="47"/>
      <c r="G6" s="8">
        <f t="shared" si="0"/>
        <v>0</v>
      </c>
      <c r="H6" s="47">
        <v>3</v>
      </c>
      <c r="I6" s="47">
        <v>103.73</v>
      </c>
      <c r="J6" s="8">
        <f t="shared" si="1"/>
        <v>311.19</v>
      </c>
      <c r="K6" s="8">
        <f t="shared" ref="K6:K33" si="4">G6+J6</f>
        <v>311.19</v>
      </c>
      <c r="L6" s="250"/>
      <c r="M6" s="8">
        <f t="shared" si="3"/>
        <v>40247.924199999994</v>
      </c>
      <c r="N6" s="8"/>
      <c r="O6" s="59"/>
    </row>
    <row r="7" spans="1:15">
      <c r="A7" s="26">
        <v>4</v>
      </c>
      <c r="B7" s="27">
        <v>46085</v>
      </c>
      <c r="C7" s="25"/>
      <c r="D7" s="18"/>
      <c r="E7" s="47"/>
      <c r="F7" s="47"/>
      <c r="G7" s="8">
        <f t="shared" si="0"/>
        <v>0</v>
      </c>
      <c r="H7" s="47">
        <v>5.01</v>
      </c>
      <c r="I7" s="47">
        <v>103.73</v>
      </c>
      <c r="J7" s="8">
        <f t="shared" si="1"/>
        <v>519.68730000000005</v>
      </c>
      <c r="K7" s="8">
        <f t="shared" si="4"/>
        <v>519.68730000000005</v>
      </c>
      <c r="L7" s="250"/>
      <c r="M7" s="8">
        <f t="shared" si="3"/>
        <v>40767.611499999992</v>
      </c>
      <c r="N7" s="8"/>
      <c r="O7" s="59"/>
    </row>
    <row r="8" spans="1:15">
      <c r="A8" s="26">
        <v>5</v>
      </c>
      <c r="B8" s="27">
        <v>46086</v>
      </c>
      <c r="C8" s="25"/>
      <c r="D8" s="18"/>
      <c r="E8" s="47"/>
      <c r="F8" s="47"/>
      <c r="G8" s="8">
        <f t="shared" si="0"/>
        <v>0</v>
      </c>
      <c r="H8" s="47">
        <v>6</v>
      </c>
      <c r="I8" s="47">
        <v>103.73</v>
      </c>
      <c r="J8" s="8">
        <f t="shared" si="1"/>
        <v>622.38</v>
      </c>
      <c r="K8" s="8">
        <f t="shared" si="4"/>
        <v>622.38</v>
      </c>
      <c r="L8" s="250"/>
      <c r="M8" s="8">
        <f t="shared" si="3"/>
        <v>41389.991499999989</v>
      </c>
      <c r="N8" s="8"/>
      <c r="O8" s="59"/>
    </row>
    <row r="9" spans="1:15">
      <c r="A9" s="26">
        <v>6</v>
      </c>
      <c r="B9" s="27">
        <v>46087</v>
      </c>
      <c r="C9" s="25"/>
      <c r="D9" s="18"/>
      <c r="E9" s="47">
        <v>170</v>
      </c>
      <c r="F9" s="47">
        <v>91.77</v>
      </c>
      <c r="G9" s="8">
        <f t="shared" si="0"/>
        <v>15600.9</v>
      </c>
      <c r="H9" s="47"/>
      <c r="I9" s="47"/>
      <c r="J9" s="8">
        <f t="shared" si="1"/>
        <v>0</v>
      </c>
      <c r="K9" s="8">
        <f t="shared" si="4"/>
        <v>15600.9</v>
      </c>
      <c r="L9" s="250"/>
      <c r="M9" s="8">
        <f t="shared" si="3"/>
        <v>56990.891499999991</v>
      </c>
      <c r="N9" s="8"/>
      <c r="O9" s="59"/>
    </row>
    <row r="10" spans="1:15">
      <c r="A10" s="26">
        <v>7</v>
      </c>
      <c r="B10" s="27">
        <v>46088</v>
      </c>
      <c r="C10" s="25"/>
      <c r="D10" s="18"/>
      <c r="E10" s="47">
        <v>770</v>
      </c>
      <c r="F10" s="47">
        <v>91.77</v>
      </c>
      <c r="G10" s="8">
        <f t="shared" si="0"/>
        <v>70662.899999999994</v>
      </c>
      <c r="H10" s="266"/>
      <c r="I10" s="47"/>
      <c r="J10" s="8">
        <f t="shared" si="1"/>
        <v>0</v>
      </c>
      <c r="K10" s="8">
        <f t="shared" si="4"/>
        <v>70662.899999999994</v>
      </c>
      <c r="L10" s="250"/>
      <c r="M10" s="8">
        <f t="shared" si="3"/>
        <v>127653.79149999999</v>
      </c>
      <c r="N10" s="8"/>
      <c r="O10" s="59"/>
    </row>
    <row r="11" spans="1:15">
      <c r="A11" s="26">
        <v>8</v>
      </c>
      <c r="B11" s="27">
        <v>46089</v>
      </c>
      <c r="C11" s="25"/>
      <c r="D11" s="18"/>
      <c r="E11" s="47">
        <v>5</v>
      </c>
      <c r="F11" s="47">
        <v>91.77</v>
      </c>
      <c r="G11" s="8">
        <f t="shared" si="0"/>
        <v>458.84999999999997</v>
      </c>
      <c r="H11" s="266"/>
      <c r="I11" s="47"/>
      <c r="J11" s="8">
        <f t="shared" si="1"/>
        <v>0</v>
      </c>
      <c r="K11" s="8">
        <f t="shared" si="4"/>
        <v>458.84999999999997</v>
      </c>
      <c r="L11" s="250"/>
      <c r="M11" s="8">
        <f t="shared" si="3"/>
        <v>128112.6415</v>
      </c>
      <c r="N11" s="8"/>
      <c r="O11" s="59"/>
    </row>
    <row r="12" spans="1:15">
      <c r="A12" s="26">
        <v>9</v>
      </c>
      <c r="B12" s="27">
        <v>46090</v>
      </c>
      <c r="C12" s="25"/>
      <c r="D12" s="18"/>
      <c r="E12" s="47"/>
      <c r="F12" s="47"/>
      <c r="G12" s="8">
        <f t="shared" si="0"/>
        <v>0</v>
      </c>
      <c r="H12" s="47"/>
      <c r="I12" s="47"/>
      <c r="J12" s="8">
        <f t="shared" si="1"/>
        <v>0</v>
      </c>
      <c r="K12" s="8">
        <f t="shared" si="4"/>
        <v>0</v>
      </c>
      <c r="L12" s="250"/>
      <c r="M12" s="8">
        <f t="shared" si="3"/>
        <v>128112.6415</v>
      </c>
      <c r="N12" s="8"/>
      <c r="O12" s="59"/>
    </row>
    <row r="13" spans="1:15">
      <c r="A13" s="26">
        <v>10</v>
      </c>
      <c r="B13" s="27">
        <v>46091</v>
      </c>
      <c r="C13" s="25"/>
      <c r="D13" s="18"/>
      <c r="E13" s="47"/>
      <c r="F13" s="47"/>
      <c r="G13" s="8">
        <f t="shared" si="0"/>
        <v>0</v>
      </c>
      <c r="H13" s="47"/>
      <c r="I13" s="47"/>
      <c r="J13" s="8">
        <f t="shared" si="1"/>
        <v>0</v>
      </c>
      <c r="K13" s="8">
        <f t="shared" si="4"/>
        <v>0</v>
      </c>
      <c r="L13" s="250"/>
      <c r="M13" s="8">
        <f>M12+K13-L13</f>
        <v>128112.6415</v>
      </c>
      <c r="N13" s="19"/>
      <c r="O13" s="59"/>
    </row>
    <row r="14" spans="1:15">
      <c r="A14" s="26">
        <v>11</v>
      </c>
      <c r="B14" s="27">
        <v>46092</v>
      </c>
      <c r="C14" s="25"/>
      <c r="D14" s="18"/>
      <c r="E14" s="47"/>
      <c r="F14" s="47"/>
      <c r="G14" s="8">
        <f t="shared" si="0"/>
        <v>0</v>
      </c>
      <c r="H14" s="47">
        <v>23</v>
      </c>
      <c r="I14" s="47">
        <v>103.73</v>
      </c>
      <c r="J14" s="8">
        <f t="shared" si="1"/>
        <v>2385.79</v>
      </c>
      <c r="K14" s="8">
        <f t="shared" si="4"/>
        <v>2385.79</v>
      </c>
      <c r="L14" s="250"/>
      <c r="M14" s="8">
        <f>M13+K14-L14</f>
        <v>130498.43149999999</v>
      </c>
      <c r="N14" s="19"/>
      <c r="O14" s="59"/>
    </row>
    <row r="15" spans="1:15">
      <c r="A15" s="26">
        <v>12</v>
      </c>
      <c r="B15" s="27">
        <v>46093</v>
      </c>
      <c r="C15" s="25"/>
      <c r="D15" s="18"/>
      <c r="E15" s="47"/>
      <c r="F15" s="47"/>
      <c r="G15" s="8">
        <f t="shared" si="0"/>
        <v>0</v>
      </c>
      <c r="H15" s="47"/>
      <c r="I15" s="47"/>
      <c r="J15" s="8">
        <f t="shared" si="1"/>
        <v>0</v>
      </c>
      <c r="K15" s="8">
        <f t="shared" si="4"/>
        <v>0</v>
      </c>
      <c r="L15" s="250">
        <v>100000</v>
      </c>
      <c r="M15" s="8">
        <f t="shared" si="3"/>
        <v>30498.431499999992</v>
      </c>
      <c r="N15" s="19"/>
      <c r="O15" s="59"/>
    </row>
    <row r="16" spans="1:15">
      <c r="A16" s="26">
        <v>13</v>
      </c>
      <c r="B16" s="27">
        <v>46094</v>
      </c>
      <c r="C16" s="25"/>
      <c r="D16" s="18"/>
      <c r="E16" s="47"/>
      <c r="F16" s="47"/>
      <c r="G16" s="8">
        <f t="shared" si="0"/>
        <v>0</v>
      </c>
      <c r="H16" s="47"/>
      <c r="I16" s="47"/>
      <c r="J16" s="8">
        <f t="shared" si="1"/>
        <v>0</v>
      </c>
      <c r="K16" s="8">
        <f t="shared" si="4"/>
        <v>0</v>
      </c>
      <c r="L16" s="250"/>
      <c r="M16" s="8">
        <f t="shared" ref="M16:M24" si="5">M15+K16-L16</f>
        <v>30498.431499999992</v>
      </c>
      <c r="N16" s="19"/>
      <c r="O16" s="59"/>
    </row>
    <row r="17" spans="1:18">
      <c r="A17" s="26">
        <v>14</v>
      </c>
      <c r="B17" s="27">
        <v>46095</v>
      </c>
      <c r="C17" s="25"/>
      <c r="D17" s="18"/>
      <c r="E17" s="47"/>
      <c r="F17" s="47"/>
      <c r="G17" s="8">
        <f t="shared" si="0"/>
        <v>0</v>
      </c>
      <c r="H17" s="47">
        <v>5</v>
      </c>
      <c r="I17" s="47">
        <v>103.73</v>
      </c>
      <c r="J17" s="8">
        <f t="shared" si="1"/>
        <v>518.65</v>
      </c>
      <c r="K17" s="8">
        <f t="shared" si="4"/>
        <v>518.65</v>
      </c>
      <c r="L17" s="250"/>
      <c r="M17" s="8">
        <f t="shared" si="5"/>
        <v>31017.081499999993</v>
      </c>
      <c r="N17" s="19"/>
      <c r="O17" s="59"/>
    </row>
    <row r="18" spans="1:18">
      <c r="A18" s="26">
        <v>15</v>
      </c>
      <c r="B18" s="27">
        <v>46096</v>
      </c>
      <c r="C18" s="25"/>
      <c r="D18" s="18"/>
      <c r="E18" s="47"/>
      <c r="F18" s="47"/>
      <c r="G18" s="8">
        <f t="shared" si="0"/>
        <v>0</v>
      </c>
      <c r="H18" s="47"/>
      <c r="I18" s="47"/>
      <c r="J18" s="8">
        <f t="shared" si="1"/>
        <v>0</v>
      </c>
      <c r="K18" s="8">
        <f t="shared" si="4"/>
        <v>0</v>
      </c>
      <c r="L18" s="250"/>
      <c r="M18" s="8">
        <f t="shared" si="5"/>
        <v>31017.081499999993</v>
      </c>
      <c r="N18" s="19"/>
      <c r="O18" s="59"/>
    </row>
    <row r="19" spans="1:18">
      <c r="A19" s="26">
        <v>16</v>
      </c>
      <c r="B19" s="27">
        <v>46097</v>
      </c>
      <c r="C19" s="25"/>
      <c r="D19" s="18"/>
      <c r="E19" s="47">
        <v>620</v>
      </c>
      <c r="F19" s="47">
        <v>91.77</v>
      </c>
      <c r="G19" s="8">
        <f t="shared" si="0"/>
        <v>56897.399999999994</v>
      </c>
      <c r="H19" s="266"/>
      <c r="I19" s="47"/>
      <c r="J19" s="8">
        <f>H19*I19</f>
        <v>0</v>
      </c>
      <c r="K19" s="8">
        <f t="shared" si="4"/>
        <v>56897.399999999994</v>
      </c>
      <c r="L19" s="250"/>
      <c r="M19" s="8">
        <f t="shared" si="5"/>
        <v>87914.481499999994</v>
      </c>
      <c r="N19" s="19"/>
      <c r="O19" s="59"/>
    </row>
    <row r="20" spans="1:18">
      <c r="A20" s="26">
        <v>17</v>
      </c>
      <c r="B20" s="27">
        <v>46098</v>
      </c>
      <c r="C20" s="25"/>
      <c r="D20" s="18"/>
      <c r="E20" s="47">
        <v>200</v>
      </c>
      <c r="F20" s="47">
        <v>91.77</v>
      </c>
      <c r="G20" s="8">
        <f t="shared" si="0"/>
        <v>18354</v>
      </c>
      <c r="H20" s="266"/>
      <c r="I20" s="47"/>
      <c r="J20" s="8">
        <f t="shared" si="1"/>
        <v>0</v>
      </c>
      <c r="K20" s="8">
        <f t="shared" si="4"/>
        <v>18354</v>
      </c>
      <c r="L20" s="250"/>
      <c r="M20" s="8">
        <f t="shared" si="5"/>
        <v>106268.48149999999</v>
      </c>
      <c r="N20" s="19"/>
      <c r="O20" s="59"/>
    </row>
    <row r="21" spans="1:18">
      <c r="A21" s="26">
        <v>18</v>
      </c>
      <c r="B21" s="27">
        <v>46099</v>
      </c>
      <c r="C21" s="25"/>
      <c r="D21" s="18"/>
      <c r="E21" s="47">
        <v>830</v>
      </c>
      <c r="F21" s="47">
        <v>91.77</v>
      </c>
      <c r="G21" s="8">
        <f t="shared" si="0"/>
        <v>76169.099999999991</v>
      </c>
      <c r="H21" s="47">
        <v>11</v>
      </c>
      <c r="I21" s="47">
        <v>103.73</v>
      </c>
      <c r="J21" s="8">
        <f t="shared" si="1"/>
        <v>1141.03</v>
      </c>
      <c r="K21" s="8">
        <f t="shared" si="4"/>
        <v>77310.12999999999</v>
      </c>
      <c r="L21" s="250"/>
      <c r="M21" s="8">
        <f t="shared" si="5"/>
        <v>183578.6115</v>
      </c>
      <c r="N21" s="19"/>
      <c r="O21" s="59"/>
    </row>
    <row r="22" spans="1:18">
      <c r="A22" s="26">
        <v>19</v>
      </c>
      <c r="B22" s="27">
        <v>46100</v>
      </c>
      <c r="C22" s="25"/>
      <c r="D22" s="18"/>
      <c r="E22" s="47"/>
      <c r="F22" s="47"/>
      <c r="G22" s="8">
        <f t="shared" si="0"/>
        <v>0</v>
      </c>
      <c r="H22" s="47">
        <v>6</v>
      </c>
      <c r="I22" s="47">
        <v>103.73</v>
      </c>
      <c r="J22" s="8">
        <f t="shared" si="1"/>
        <v>622.38</v>
      </c>
      <c r="K22" s="8">
        <f t="shared" si="4"/>
        <v>622.38</v>
      </c>
      <c r="L22" s="250"/>
      <c r="M22" s="8">
        <f t="shared" si="5"/>
        <v>184200.9915</v>
      </c>
      <c r="N22" s="19"/>
      <c r="O22" s="59"/>
    </row>
    <row r="23" spans="1:18">
      <c r="A23" s="26">
        <v>20</v>
      </c>
      <c r="B23" s="27">
        <v>46101</v>
      </c>
      <c r="C23" s="25"/>
      <c r="D23" s="18"/>
      <c r="E23" s="47">
        <v>400</v>
      </c>
      <c r="F23" s="47">
        <v>91.77</v>
      </c>
      <c r="G23" s="8">
        <f t="shared" si="0"/>
        <v>36708</v>
      </c>
      <c r="H23" s="47"/>
      <c r="I23" s="47"/>
      <c r="J23" s="8">
        <f t="shared" si="1"/>
        <v>0</v>
      </c>
      <c r="K23" s="8">
        <f t="shared" si="4"/>
        <v>36708</v>
      </c>
      <c r="L23" s="250"/>
      <c r="M23" s="8">
        <f t="shared" si="5"/>
        <v>220908.9915</v>
      </c>
      <c r="N23" s="19"/>
      <c r="O23" s="59"/>
    </row>
    <row r="24" spans="1:18">
      <c r="A24" s="26">
        <v>21</v>
      </c>
      <c r="B24" s="27">
        <v>46102</v>
      </c>
      <c r="C24" s="25"/>
      <c r="D24" s="18"/>
      <c r="E24" s="47"/>
      <c r="F24" s="47"/>
      <c r="G24" s="8">
        <f t="shared" si="0"/>
        <v>0</v>
      </c>
      <c r="H24" s="47"/>
      <c r="I24" s="47"/>
      <c r="J24" s="8">
        <f t="shared" si="1"/>
        <v>0</v>
      </c>
      <c r="K24" s="8">
        <f t="shared" si="4"/>
        <v>0</v>
      </c>
      <c r="L24" s="250"/>
      <c r="M24" s="8">
        <f t="shared" si="5"/>
        <v>220908.9915</v>
      </c>
      <c r="N24" s="19"/>
      <c r="O24" s="59"/>
    </row>
    <row r="25" spans="1:18">
      <c r="A25" s="26">
        <v>22</v>
      </c>
      <c r="B25" s="27">
        <v>46103</v>
      </c>
      <c r="C25" s="25"/>
      <c r="D25" s="18"/>
      <c r="E25" s="47"/>
      <c r="F25" s="47"/>
      <c r="G25" s="8">
        <f t="shared" si="0"/>
        <v>0</v>
      </c>
      <c r="H25" s="47"/>
      <c r="I25" s="47"/>
      <c r="J25" s="8">
        <f t="shared" si="1"/>
        <v>0</v>
      </c>
      <c r="K25" s="8">
        <f t="shared" si="4"/>
        <v>0</v>
      </c>
      <c r="L25" s="250"/>
      <c r="M25" s="8">
        <f t="shared" ref="M25:M34" si="6">M24+K25-L25</f>
        <v>220908.9915</v>
      </c>
      <c r="N25" s="19"/>
      <c r="O25" s="59"/>
    </row>
    <row r="26" spans="1:18">
      <c r="A26" s="26">
        <v>23</v>
      </c>
      <c r="B26" s="27">
        <v>46104</v>
      </c>
      <c r="C26" s="25"/>
      <c r="D26" s="18"/>
      <c r="E26" s="47">
        <v>680</v>
      </c>
      <c r="F26" s="47">
        <v>91.77</v>
      </c>
      <c r="G26" s="8">
        <f t="shared" si="0"/>
        <v>62403.6</v>
      </c>
      <c r="H26" s="47"/>
      <c r="I26" s="47"/>
      <c r="J26" s="8">
        <f t="shared" si="1"/>
        <v>0</v>
      </c>
      <c r="K26" s="8">
        <f t="shared" si="4"/>
        <v>62403.6</v>
      </c>
      <c r="L26" s="250">
        <v>150000</v>
      </c>
      <c r="M26" s="8">
        <f t="shared" si="6"/>
        <v>133312.59149999998</v>
      </c>
      <c r="N26" s="19"/>
      <c r="O26" s="59"/>
      <c r="Q26" s="77" t="s">
        <v>218</v>
      </c>
    </row>
    <row r="27" spans="1:18">
      <c r="A27" s="26">
        <v>24</v>
      </c>
      <c r="B27" s="27">
        <v>46105</v>
      </c>
      <c r="C27" s="25"/>
      <c r="D27" s="18"/>
      <c r="E27" s="47">
        <v>435</v>
      </c>
      <c r="F27" s="47">
        <v>91.77</v>
      </c>
      <c r="G27" s="8">
        <f t="shared" si="0"/>
        <v>39919.949999999997</v>
      </c>
      <c r="H27" s="47">
        <v>12.79</v>
      </c>
      <c r="I27" s="47">
        <v>103.73</v>
      </c>
      <c r="J27" s="8">
        <f t="shared" si="1"/>
        <v>1326.7067</v>
      </c>
      <c r="K27" s="8">
        <f t="shared" si="4"/>
        <v>41246.6567</v>
      </c>
      <c r="L27" s="250"/>
      <c r="M27" s="8">
        <f t="shared" si="6"/>
        <v>174559.24819999997</v>
      </c>
      <c r="N27" s="19"/>
      <c r="O27" s="59"/>
      <c r="Q27" s="77">
        <v>30</v>
      </c>
      <c r="R27" s="77">
        <v>50</v>
      </c>
    </row>
    <row r="28" spans="1:18">
      <c r="A28" s="26">
        <v>25</v>
      </c>
      <c r="B28" s="27">
        <v>46106</v>
      </c>
      <c r="C28" s="25"/>
      <c r="D28" s="18"/>
      <c r="E28" s="47"/>
      <c r="F28" s="47"/>
      <c r="G28" s="8">
        <f t="shared" si="0"/>
        <v>0</v>
      </c>
      <c r="H28" s="47"/>
      <c r="I28" s="47"/>
      <c r="J28" s="8">
        <f t="shared" si="1"/>
        <v>0</v>
      </c>
      <c r="K28" s="8">
        <f t="shared" si="4"/>
        <v>0</v>
      </c>
      <c r="L28" s="250"/>
      <c r="M28" s="8">
        <f t="shared" si="6"/>
        <v>174559.24819999997</v>
      </c>
      <c r="N28" s="19"/>
      <c r="O28" s="59"/>
      <c r="Q28" s="77">
        <v>50</v>
      </c>
      <c r="R28" s="77">
        <v>4.51</v>
      </c>
    </row>
    <row r="29" spans="1:18">
      <c r="A29" s="26">
        <v>26</v>
      </c>
      <c r="B29" s="27">
        <v>46107</v>
      </c>
      <c r="C29" s="25"/>
      <c r="D29" s="18"/>
      <c r="E29" s="47">
        <v>600</v>
      </c>
      <c r="F29" s="47">
        <v>91.77</v>
      </c>
      <c r="G29" s="8">
        <f t="shared" si="0"/>
        <v>55062</v>
      </c>
      <c r="H29" s="47"/>
      <c r="I29" s="47"/>
      <c r="J29" s="8">
        <f t="shared" si="1"/>
        <v>0</v>
      </c>
      <c r="K29" s="8">
        <f t="shared" si="4"/>
        <v>55062</v>
      </c>
      <c r="L29" s="250"/>
      <c r="M29" s="8">
        <f t="shared" si="6"/>
        <v>229621.24819999997</v>
      </c>
      <c r="N29" s="19"/>
      <c r="O29" s="59"/>
    </row>
    <row r="30" spans="1:18">
      <c r="A30" s="26">
        <v>27</v>
      </c>
      <c r="B30" s="27">
        <v>46108</v>
      </c>
      <c r="C30" s="25"/>
      <c r="D30" s="18"/>
      <c r="E30" s="47"/>
      <c r="F30" s="47"/>
      <c r="G30" s="8">
        <f t="shared" si="0"/>
        <v>0</v>
      </c>
      <c r="H30" s="47"/>
      <c r="I30" s="47"/>
      <c r="J30" s="8">
        <f t="shared" si="1"/>
        <v>0</v>
      </c>
      <c r="K30" s="8">
        <f t="shared" si="4"/>
        <v>0</v>
      </c>
      <c r="L30" s="250"/>
      <c r="M30" s="8">
        <f t="shared" si="6"/>
        <v>229621.24819999997</v>
      </c>
      <c r="N30" s="19"/>
      <c r="O30" s="59"/>
    </row>
    <row r="31" spans="1:18">
      <c r="A31" s="217">
        <v>28</v>
      </c>
      <c r="B31" s="27">
        <v>46109</v>
      </c>
      <c r="C31" s="25"/>
      <c r="D31" s="18"/>
      <c r="E31" s="47">
        <v>600</v>
      </c>
      <c r="F31" s="47">
        <v>91.77</v>
      </c>
      <c r="G31" s="8">
        <f t="shared" si="0"/>
        <v>55062</v>
      </c>
      <c r="H31" s="47">
        <v>8</v>
      </c>
      <c r="I31" s="47">
        <v>103.73</v>
      </c>
      <c r="J31" s="8">
        <f t="shared" si="1"/>
        <v>829.84</v>
      </c>
      <c r="K31" s="8">
        <f t="shared" si="4"/>
        <v>55891.839999999997</v>
      </c>
      <c r="L31" s="250"/>
      <c r="M31" s="8">
        <f t="shared" si="6"/>
        <v>285513.0882</v>
      </c>
      <c r="N31" s="19"/>
      <c r="O31" s="59"/>
    </row>
    <row r="32" spans="1:18">
      <c r="A32" s="26">
        <v>29</v>
      </c>
      <c r="B32" s="27">
        <v>46110</v>
      </c>
      <c r="C32" s="25"/>
      <c r="D32" s="18"/>
      <c r="E32" s="47"/>
      <c r="F32" s="47"/>
      <c r="G32" s="8">
        <f t="shared" si="0"/>
        <v>0</v>
      </c>
      <c r="H32" s="47"/>
      <c r="I32" s="47"/>
      <c r="J32" s="8">
        <f t="shared" si="1"/>
        <v>0</v>
      </c>
      <c r="K32" s="8">
        <f t="shared" si="4"/>
        <v>0</v>
      </c>
      <c r="L32" s="250"/>
      <c r="M32" s="8">
        <f t="shared" si="6"/>
        <v>285513.0882</v>
      </c>
      <c r="N32" s="19"/>
      <c r="O32" s="59"/>
    </row>
    <row r="33" spans="1:15">
      <c r="A33" s="26">
        <v>30</v>
      </c>
      <c r="B33" s="27">
        <v>46111</v>
      </c>
      <c r="C33" s="25"/>
      <c r="D33" s="18"/>
      <c r="E33" s="47"/>
      <c r="F33" s="47"/>
      <c r="G33" s="8">
        <f t="shared" si="0"/>
        <v>0</v>
      </c>
      <c r="H33" s="47"/>
      <c r="I33" s="47"/>
      <c r="J33" s="8">
        <f t="shared" si="1"/>
        <v>0</v>
      </c>
      <c r="K33" s="8">
        <f t="shared" si="4"/>
        <v>0</v>
      </c>
      <c r="L33" s="250"/>
      <c r="M33" s="8">
        <f t="shared" si="6"/>
        <v>285513.0882</v>
      </c>
      <c r="N33" s="19"/>
      <c r="O33" s="59"/>
    </row>
    <row r="34" spans="1:15">
      <c r="A34" s="26">
        <v>31</v>
      </c>
      <c r="B34" s="27">
        <v>46112</v>
      </c>
      <c r="C34" s="25"/>
      <c r="D34" s="18"/>
      <c r="E34" s="47"/>
      <c r="F34" s="47"/>
      <c r="G34" s="8">
        <f t="shared" si="0"/>
        <v>0</v>
      </c>
      <c r="H34" s="47"/>
      <c r="I34" s="47"/>
      <c r="J34" s="8">
        <f t="shared" si="1"/>
        <v>0</v>
      </c>
      <c r="K34" s="8">
        <f t="shared" si="2"/>
        <v>0</v>
      </c>
      <c r="L34" s="250">
        <v>200000</v>
      </c>
      <c r="M34" s="8">
        <f>M33+K34-L34</f>
        <v>85513.088199999998</v>
      </c>
      <c r="N34" s="19"/>
      <c r="O34" s="59"/>
    </row>
    <row r="35" spans="1:15">
      <c r="A35" s="160"/>
      <c r="B35" s="160"/>
      <c r="C35" s="160"/>
      <c r="D35" s="160"/>
      <c r="E35" s="161">
        <f>SUM(E4:E34)</f>
        <v>5405</v>
      </c>
      <c r="F35" s="161"/>
      <c r="G35" s="161">
        <f>SUM(G4:G34)</f>
        <v>496016.85</v>
      </c>
      <c r="H35" s="161">
        <f>SUM(H4:H34)</f>
        <v>95.799999999999983</v>
      </c>
      <c r="I35" s="161"/>
      <c r="J35" s="161">
        <f>SUM(J4:J34)</f>
        <v>9937.3340000000007</v>
      </c>
      <c r="K35" s="161">
        <f>SUM(K4:K34)</f>
        <v>505954.18400000001</v>
      </c>
      <c r="L35" s="161">
        <f>SUM(L4:L34)</f>
        <v>450000</v>
      </c>
      <c r="M35" s="161"/>
      <c r="N35" s="161"/>
      <c r="O35" s="59"/>
    </row>
    <row r="36" spans="1:15">
      <c r="A36" s="73"/>
      <c r="B36" s="73"/>
      <c r="C36" s="73"/>
      <c r="D36" s="73"/>
      <c r="E36" s="75"/>
      <c r="F36" s="75"/>
      <c r="G36" s="75"/>
      <c r="H36" s="75"/>
      <c r="I36" s="75"/>
      <c r="J36" s="75"/>
      <c r="K36" s="75"/>
      <c r="L36" s="251"/>
      <c r="M36" s="75"/>
      <c r="N36" s="75"/>
      <c r="O36" s="59"/>
    </row>
    <row r="37" spans="1:15">
      <c r="E37" s="255"/>
      <c r="F37" s="255"/>
      <c r="G37" s="255"/>
      <c r="H37" s="255"/>
      <c r="I37" s="255"/>
      <c r="J37" s="255"/>
      <c r="K37" s="255"/>
      <c r="L37" s="255"/>
      <c r="O37" s="59"/>
    </row>
    <row r="38" spans="1:15">
      <c r="O38" s="59"/>
    </row>
    <row r="39" spans="1:15">
      <c r="O39" s="59"/>
    </row>
    <row r="40" spans="1:15">
      <c r="O40" s="59"/>
    </row>
    <row r="41" spans="1:15">
      <c r="O41" s="59"/>
    </row>
    <row r="42" spans="1:15">
      <c r="A42" s="59"/>
      <c r="B42" s="59"/>
      <c r="C42" s="59"/>
      <c r="D42" s="59"/>
      <c r="E42" s="59"/>
      <c r="F42" s="59"/>
      <c r="G42" s="81"/>
      <c r="H42" s="59"/>
      <c r="I42" s="59"/>
      <c r="J42" s="59"/>
      <c r="K42" s="59"/>
      <c r="L42" s="73"/>
      <c r="M42" s="59"/>
      <c r="N42" s="59"/>
      <c r="O42" s="75"/>
    </row>
    <row r="43" spans="1:15">
      <c r="A43" s="59"/>
      <c r="B43" s="474"/>
      <c r="C43" s="474"/>
      <c r="D43" s="474"/>
      <c r="E43" s="474"/>
      <c r="F43" s="59"/>
      <c r="G43" s="59"/>
      <c r="H43" s="59"/>
      <c r="I43" s="474"/>
      <c r="J43" s="474"/>
      <c r="K43" s="474"/>
      <c r="L43" s="474"/>
      <c r="M43" s="474"/>
      <c r="N43" s="474"/>
      <c r="O43" s="75"/>
    </row>
    <row r="44" spans="1:1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73"/>
      <c r="M44" s="59"/>
      <c r="N44" s="59"/>
      <c r="O44" s="75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23" activePane="bottomLeft" state="frozen"/>
      <selection pane="bottomLeft" activeCell="K41" sqref="K41"/>
    </sheetView>
  </sheetViews>
  <sheetFormatPr defaultRowHeight="15"/>
  <cols>
    <col min="1" max="1" width="5.140625" style="69" bestFit="1" customWidth="1"/>
    <col min="2" max="2" width="10.85546875" style="69" bestFit="1" customWidth="1"/>
    <col min="3" max="3" width="8" style="69" bestFit="1" customWidth="1"/>
    <col min="4" max="4" width="16" style="69" bestFit="1" customWidth="1"/>
    <col min="5" max="5" width="10.7109375" style="69" bestFit="1" customWidth="1"/>
    <col min="6" max="6" width="14.5703125" style="69" bestFit="1" customWidth="1"/>
    <col min="7" max="7" width="11.85546875" style="69" bestFit="1" customWidth="1"/>
    <col min="8" max="8" width="10.7109375" style="69" bestFit="1" customWidth="1"/>
    <col min="9" max="9" width="7.28515625" style="69" bestFit="1" customWidth="1"/>
    <col min="10" max="10" width="10.85546875" style="69" bestFit="1" customWidth="1"/>
    <col min="11" max="11" width="14.5703125" style="69" bestFit="1" customWidth="1"/>
    <col min="12" max="12" width="13.5703125" style="69" bestFit="1" customWidth="1"/>
    <col min="13" max="13" width="13.5703125" style="69" customWidth="1"/>
    <col min="14" max="14" width="14.140625" style="69" bestFit="1" customWidth="1"/>
    <col min="15" max="15" width="11.28515625" style="69" customWidth="1"/>
    <col min="16" max="16" width="11.5703125" style="69" bestFit="1" customWidth="1"/>
    <col min="17" max="16384" width="9.140625" style="69"/>
  </cols>
  <sheetData>
    <row r="1" spans="1:17" ht="15.75">
      <c r="A1" s="469" t="s">
        <v>113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82"/>
    </row>
    <row r="2" spans="1:17">
      <c r="A2" s="64" t="s">
        <v>0</v>
      </c>
      <c r="B2" s="83" t="s">
        <v>161</v>
      </c>
      <c r="C2" s="83" t="s">
        <v>162</v>
      </c>
      <c r="D2" s="83" t="s">
        <v>163</v>
      </c>
      <c r="E2" s="83" t="s">
        <v>164</v>
      </c>
      <c r="F2" s="83" t="s">
        <v>165</v>
      </c>
      <c r="G2" s="83" t="s">
        <v>166</v>
      </c>
      <c r="H2" s="83" t="s">
        <v>167</v>
      </c>
      <c r="I2" s="83" t="s">
        <v>165</v>
      </c>
      <c r="J2" s="84" t="s">
        <v>166</v>
      </c>
      <c r="K2" s="64" t="s">
        <v>168</v>
      </c>
      <c r="L2" s="85" t="s">
        <v>169</v>
      </c>
      <c r="M2" s="85" t="s">
        <v>181</v>
      </c>
      <c r="N2" s="83" t="s">
        <v>171</v>
      </c>
      <c r="O2" s="59"/>
    </row>
    <row r="3" spans="1:17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8"/>
      <c r="K3" s="163">
        <v>215407.74809999997</v>
      </c>
      <c r="L3" s="67">
        <v>0</v>
      </c>
      <c r="M3" s="163">
        <v>215407.74809999997</v>
      </c>
      <c r="N3" s="67"/>
      <c r="O3" s="59"/>
      <c r="P3" s="240"/>
    </row>
    <row r="4" spans="1:17">
      <c r="A4" s="26">
        <v>1</v>
      </c>
      <c r="B4" s="27">
        <v>46082</v>
      </c>
      <c r="C4" s="67"/>
      <c r="D4" s="159"/>
      <c r="E4" s="164">
        <v>215</v>
      </c>
      <c r="F4" s="164">
        <v>91.93</v>
      </c>
      <c r="G4" s="8">
        <f>E4*F4</f>
        <v>19764.95</v>
      </c>
      <c r="H4" s="164"/>
      <c r="I4" s="164"/>
      <c r="J4" s="8">
        <f>H4*I4</f>
        <v>0</v>
      </c>
      <c r="K4" s="8">
        <f>G4+J4</f>
        <v>19764.95</v>
      </c>
      <c r="L4" s="165">
        <v>0</v>
      </c>
      <c r="M4" s="165">
        <f t="shared" ref="M4:M20" si="0">M3+K4-L4</f>
        <v>235172.69809999998</v>
      </c>
      <c r="N4" s="41"/>
    </row>
    <row r="5" spans="1:17">
      <c r="A5" s="26">
        <v>2</v>
      </c>
      <c r="B5" s="27">
        <v>46083</v>
      </c>
      <c r="C5" s="67"/>
      <c r="D5" s="159"/>
      <c r="E5" s="164">
        <v>280</v>
      </c>
      <c r="F5" s="164">
        <v>91.93</v>
      </c>
      <c r="G5" s="8">
        <f t="shared" ref="G5:G6" si="1">E5*F5</f>
        <v>25740.400000000001</v>
      </c>
      <c r="H5" s="164">
        <v>45</v>
      </c>
      <c r="I5" s="164">
        <v>103.89</v>
      </c>
      <c r="J5" s="8">
        <f t="shared" ref="J5:J34" si="2">H5*I5</f>
        <v>4675.05</v>
      </c>
      <c r="K5" s="8">
        <f t="shared" ref="K5:K34" si="3">G5+J5</f>
        <v>30415.45</v>
      </c>
      <c r="L5" s="165">
        <v>0</v>
      </c>
      <c r="M5" s="165">
        <f t="shared" si="0"/>
        <v>265588.14809999999</v>
      </c>
      <c r="N5" s="41"/>
    </row>
    <row r="6" spans="1:17">
      <c r="A6" s="26">
        <v>3</v>
      </c>
      <c r="B6" s="27">
        <v>46084</v>
      </c>
      <c r="C6" s="67"/>
      <c r="D6" s="159"/>
      <c r="E6" s="164"/>
      <c r="F6" s="8"/>
      <c r="G6" s="8">
        <f t="shared" si="1"/>
        <v>0</v>
      </c>
      <c r="H6" s="164"/>
      <c r="I6" s="164"/>
      <c r="J6" s="8">
        <f t="shared" si="2"/>
        <v>0</v>
      </c>
      <c r="K6" s="8">
        <f t="shared" si="3"/>
        <v>0</v>
      </c>
      <c r="L6" s="165">
        <v>0</v>
      </c>
      <c r="M6" s="165">
        <f t="shared" si="0"/>
        <v>265588.14809999999</v>
      </c>
      <c r="N6" s="41"/>
    </row>
    <row r="7" spans="1:17">
      <c r="A7" s="26">
        <v>4</v>
      </c>
      <c r="B7" s="27">
        <v>46085</v>
      </c>
      <c r="C7" s="67"/>
      <c r="D7" s="159"/>
      <c r="E7" s="164"/>
      <c r="F7" s="164"/>
      <c r="G7" s="8">
        <f t="shared" ref="G5:G34" si="4">E7*F7</f>
        <v>0</v>
      </c>
      <c r="H7" s="164"/>
      <c r="I7" s="164"/>
      <c r="J7" s="8">
        <f t="shared" si="2"/>
        <v>0</v>
      </c>
      <c r="K7" s="8">
        <f t="shared" si="3"/>
        <v>0</v>
      </c>
      <c r="L7" s="165">
        <v>0</v>
      </c>
      <c r="M7" s="165">
        <f t="shared" si="0"/>
        <v>265588.14809999999</v>
      </c>
      <c r="N7" s="41"/>
    </row>
    <row r="8" spans="1:17">
      <c r="A8" s="26">
        <v>5</v>
      </c>
      <c r="B8" s="27">
        <v>46086</v>
      </c>
      <c r="C8" s="67"/>
      <c r="D8" s="159"/>
      <c r="E8" s="164">
        <v>405</v>
      </c>
      <c r="F8" s="164">
        <v>91.93</v>
      </c>
      <c r="G8" s="8">
        <f t="shared" si="4"/>
        <v>37231.65</v>
      </c>
      <c r="H8" s="164"/>
      <c r="I8" s="164"/>
      <c r="J8" s="8">
        <f t="shared" si="2"/>
        <v>0</v>
      </c>
      <c r="K8" s="8">
        <f t="shared" si="3"/>
        <v>37231.65</v>
      </c>
      <c r="L8" s="165">
        <v>0</v>
      </c>
      <c r="M8" s="165">
        <f t="shared" si="0"/>
        <v>302819.79810000001</v>
      </c>
      <c r="N8" s="41"/>
      <c r="P8" s="240"/>
    </row>
    <row r="9" spans="1:17">
      <c r="A9" s="26">
        <v>6</v>
      </c>
      <c r="B9" s="27">
        <v>46087</v>
      </c>
      <c r="C9" s="67"/>
      <c r="D9" s="159"/>
      <c r="E9" s="164"/>
      <c r="F9" s="164"/>
      <c r="G9" s="8">
        <f t="shared" si="4"/>
        <v>0</v>
      </c>
      <c r="H9" s="164">
        <v>5</v>
      </c>
      <c r="I9" s="164">
        <v>103.89</v>
      </c>
      <c r="J9" s="8">
        <f t="shared" si="2"/>
        <v>519.45000000000005</v>
      </c>
      <c r="K9" s="8">
        <f t="shared" si="3"/>
        <v>519.45000000000005</v>
      </c>
      <c r="L9" s="165">
        <v>0</v>
      </c>
      <c r="M9" s="165">
        <f t="shared" si="0"/>
        <v>303339.24810000003</v>
      </c>
      <c r="N9" s="41"/>
    </row>
    <row r="10" spans="1:17">
      <c r="A10" s="26">
        <v>7</v>
      </c>
      <c r="B10" s="27">
        <v>46088</v>
      </c>
      <c r="C10" s="67"/>
      <c r="D10" s="159"/>
      <c r="E10" s="164">
        <v>0</v>
      </c>
      <c r="F10" s="164">
        <v>91.93</v>
      </c>
      <c r="G10" s="8">
        <f t="shared" si="4"/>
        <v>0</v>
      </c>
      <c r="H10" s="164">
        <v>15</v>
      </c>
      <c r="I10" s="164">
        <v>103.89</v>
      </c>
      <c r="J10" s="8">
        <f t="shared" si="2"/>
        <v>1558.35</v>
      </c>
      <c r="K10" s="8">
        <f t="shared" si="3"/>
        <v>1558.35</v>
      </c>
      <c r="L10" s="165">
        <v>0</v>
      </c>
      <c r="M10" s="165">
        <f t="shared" si="0"/>
        <v>304897.5981</v>
      </c>
      <c r="N10" s="41"/>
    </row>
    <row r="11" spans="1:17">
      <c r="A11" s="26">
        <v>8</v>
      </c>
      <c r="B11" s="27">
        <v>46089</v>
      </c>
      <c r="C11" s="67"/>
      <c r="D11" s="159"/>
      <c r="E11" s="164">
        <v>570</v>
      </c>
      <c r="F11" s="164">
        <v>91.93</v>
      </c>
      <c r="G11" s="8">
        <f t="shared" si="4"/>
        <v>52400.100000000006</v>
      </c>
      <c r="H11" s="164">
        <v>30</v>
      </c>
      <c r="I11" s="164">
        <v>103.89</v>
      </c>
      <c r="J11" s="8">
        <f t="shared" si="2"/>
        <v>3116.7</v>
      </c>
      <c r="K11" s="8">
        <f t="shared" si="3"/>
        <v>55516.800000000003</v>
      </c>
      <c r="L11" s="165">
        <v>0</v>
      </c>
      <c r="M11" s="165">
        <f t="shared" si="0"/>
        <v>360414.39809999999</v>
      </c>
      <c r="N11" s="41" t="s">
        <v>208</v>
      </c>
      <c r="P11" s="239"/>
      <c r="Q11" s="240"/>
    </row>
    <row r="12" spans="1:17">
      <c r="A12" s="26">
        <v>9</v>
      </c>
      <c r="B12" s="27">
        <v>46090</v>
      </c>
      <c r="C12" s="67"/>
      <c r="D12" s="159"/>
      <c r="E12" s="164">
        <v>370</v>
      </c>
      <c r="F12" s="164">
        <v>91.93</v>
      </c>
      <c r="G12" s="8">
        <f t="shared" si="4"/>
        <v>34014.100000000006</v>
      </c>
      <c r="H12" s="164">
        <v>5</v>
      </c>
      <c r="I12" s="164">
        <v>103.89</v>
      </c>
      <c r="J12" s="8">
        <f t="shared" si="2"/>
        <v>519.45000000000005</v>
      </c>
      <c r="K12" s="8">
        <f t="shared" si="3"/>
        <v>34533.550000000003</v>
      </c>
      <c r="L12" s="165">
        <v>0</v>
      </c>
      <c r="M12" s="165">
        <f t="shared" si="0"/>
        <v>394947.94809999998</v>
      </c>
      <c r="N12" s="41"/>
    </row>
    <row r="13" spans="1:17">
      <c r="A13" s="26">
        <v>10</v>
      </c>
      <c r="B13" s="27">
        <v>46091</v>
      </c>
      <c r="C13" s="67"/>
      <c r="D13" s="159"/>
      <c r="E13" s="164">
        <v>95</v>
      </c>
      <c r="F13" s="164">
        <v>91.93</v>
      </c>
      <c r="G13" s="8">
        <f t="shared" si="4"/>
        <v>8733.35</v>
      </c>
      <c r="H13" s="164"/>
      <c r="I13" s="164"/>
      <c r="J13" s="8">
        <f t="shared" si="2"/>
        <v>0</v>
      </c>
      <c r="K13" s="8">
        <f t="shared" si="3"/>
        <v>8733.35</v>
      </c>
      <c r="L13" s="165">
        <v>0</v>
      </c>
      <c r="M13" s="165">
        <f t="shared" si="0"/>
        <v>403681.29809999996</v>
      </c>
      <c r="N13" s="41"/>
    </row>
    <row r="14" spans="1:17">
      <c r="A14" s="26">
        <v>11</v>
      </c>
      <c r="B14" s="27">
        <v>46092</v>
      </c>
      <c r="C14" s="67"/>
      <c r="D14" s="159"/>
      <c r="E14" s="164"/>
      <c r="F14" s="164"/>
      <c r="G14" s="8">
        <f t="shared" si="4"/>
        <v>0</v>
      </c>
      <c r="H14" s="164"/>
      <c r="I14" s="164"/>
      <c r="J14" s="8">
        <f t="shared" si="2"/>
        <v>0</v>
      </c>
      <c r="K14" s="8">
        <f t="shared" si="3"/>
        <v>0</v>
      </c>
      <c r="L14" s="165">
        <v>0</v>
      </c>
      <c r="M14" s="165">
        <f t="shared" si="0"/>
        <v>403681.29809999996</v>
      </c>
      <c r="N14" s="41"/>
    </row>
    <row r="15" spans="1:17">
      <c r="A15" s="26">
        <v>12</v>
      </c>
      <c r="B15" s="27">
        <v>46093</v>
      </c>
      <c r="C15" s="67"/>
      <c r="D15" s="159"/>
      <c r="E15" s="164">
        <v>235</v>
      </c>
      <c r="F15" s="164">
        <v>91.93</v>
      </c>
      <c r="G15" s="8">
        <f t="shared" si="4"/>
        <v>21603.550000000003</v>
      </c>
      <c r="H15" s="164"/>
      <c r="I15" s="164"/>
      <c r="J15" s="8">
        <f t="shared" si="2"/>
        <v>0</v>
      </c>
      <c r="K15" s="8">
        <f t="shared" si="3"/>
        <v>21603.550000000003</v>
      </c>
      <c r="L15" s="165">
        <v>250000</v>
      </c>
      <c r="M15" s="165">
        <f t="shared" si="0"/>
        <v>175284.84809999994</v>
      </c>
      <c r="N15" s="41"/>
    </row>
    <row r="16" spans="1:17">
      <c r="A16" s="26">
        <v>13</v>
      </c>
      <c r="B16" s="27">
        <v>46094</v>
      </c>
      <c r="C16" s="67"/>
      <c r="D16" s="159"/>
      <c r="E16" s="164">
        <v>100</v>
      </c>
      <c r="F16" s="164">
        <v>91.93</v>
      </c>
      <c r="G16" s="8">
        <f t="shared" si="4"/>
        <v>9193</v>
      </c>
      <c r="H16" s="164">
        <v>45</v>
      </c>
      <c r="I16" s="164">
        <v>103.89</v>
      </c>
      <c r="J16" s="8">
        <f t="shared" si="2"/>
        <v>4675.05</v>
      </c>
      <c r="K16" s="8">
        <f t="shared" si="3"/>
        <v>13868.05</v>
      </c>
      <c r="L16" s="165">
        <v>0</v>
      </c>
      <c r="M16" s="165">
        <f t="shared" si="0"/>
        <v>189152.89809999993</v>
      </c>
      <c r="N16" s="41"/>
    </row>
    <row r="17" spans="1:14">
      <c r="A17" s="26">
        <v>14</v>
      </c>
      <c r="B17" s="27">
        <v>46095</v>
      </c>
      <c r="C17" s="67"/>
      <c r="D17" s="159"/>
      <c r="E17" s="164">
        <v>670</v>
      </c>
      <c r="F17" s="164">
        <v>91.93</v>
      </c>
      <c r="G17" s="8">
        <f t="shared" si="4"/>
        <v>61593.100000000006</v>
      </c>
      <c r="H17" s="164"/>
      <c r="I17" s="164"/>
      <c r="J17" s="8">
        <f t="shared" si="2"/>
        <v>0</v>
      </c>
      <c r="K17" s="8">
        <f t="shared" si="3"/>
        <v>61593.100000000006</v>
      </c>
      <c r="L17" s="165">
        <v>0</v>
      </c>
      <c r="M17" s="165">
        <f t="shared" si="0"/>
        <v>250745.99809999994</v>
      </c>
      <c r="N17" s="41"/>
    </row>
    <row r="18" spans="1:14">
      <c r="A18" s="26">
        <v>15</v>
      </c>
      <c r="B18" s="27">
        <v>46096</v>
      </c>
      <c r="C18" s="67"/>
      <c r="D18" s="159"/>
      <c r="E18" s="164"/>
      <c r="F18" s="164"/>
      <c r="G18" s="8">
        <f t="shared" si="4"/>
        <v>0</v>
      </c>
      <c r="H18" s="164"/>
      <c r="I18" s="164"/>
      <c r="J18" s="8">
        <f t="shared" si="2"/>
        <v>0</v>
      </c>
      <c r="K18" s="8">
        <f t="shared" si="3"/>
        <v>0</v>
      </c>
      <c r="L18" s="165">
        <v>0</v>
      </c>
      <c r="M18" s="165">
        <f t="shared" si="0"/>
        <v>250745.99809999994</v>
      </c>
      <c r="N18" s="41"/>
    </row>
    <row r="19" spans="1:14">
      <c r="A19" s="26">
        <v>16</v>
      </c>
      <c r="B19" s="27">
        <v>46097</v>
      </c>
      <c r="C19" s="67"/>
      <c r="D19" s="159"/>
      <c r="E19" s="164">
        <v>195</v>
      </c>
      <c r="F19" s="164">
        <v>91.93</v>
      </c>
      <c r="G19" s="8">
        <f t="shared" si="4"/>
        <v>17926.350000000002</v>
      </c>
      <c r="H19" s="164"/>
      <c r="I19" s="164"/>
      <c r="J19" s="8">
        <f t="shared" si="2"/>
        <v>0</v>
      </c>
      <c r="K19" s="8">
        <f t="shared" si="3"/>
        <v>17926.350000000002</v>
      </c>
      <c r="L19" s="165">
        <v>0</v>
      </c>
      <c r="M19" s="165">
        <f t="shared" si="0"/>
        <v>268672.34809999994</v>
      </c>
      <c r="N19" s="41"/>
    </row>
    <row r="20" spans="1:14">
      <c r="A20" s="26">
        <v>17</v>
      </c>
      <c r="B20" s="27">
        <v>46098</v>
      </c>
      <c r="C20" s="67"/>
      <c r="D20" s="159"/>
      <c r="E20" s="164">
        <v>435</v>
      </c>
      <c r="F20" s="164">
        <v>91.93</v>
      </c>
      <c r="G20" s="8">
        <f t="shared" si="4"/>
        <v>39989.550000000003</v>
      </c>
      <c r="H20" s="164">
        <v>30</v>
      </c>
      <c r="I20" s="164">
        <v>103.89</v>
      </c>
      <c r="J20" s="8">
        <f t="shared" si="2"/>
        <v>3116.7</v>
      </c>
      <c r="K20" s="8">
        <f t="shared" si="3"/>
        <v>43106.25</v>
      </c>
      <c r="L20" s="165">
        <v>0</v>
      </c>
      <c r="M20" s="165">
        <f t="shared" si="0"/>
        <v>311778.59809999994</v>
      </c>
      <c r="N20" s="41"/>
    </row>
    <row r="21" spans="1:14">
      <c r="A21" s="26">
        <v>18</v>
      </c>
      <c r="B21" s="27">
        <v>46099</v>
      </c>
      <c r="C21" s="67"/>
      <c r="D21" s="159"/>
      <c r="E21" s="164">
        <v>485</v>
      </c>
      <c r="F21" s="164">
        <v>91.93</v>
      </c>
      <c r="G21" s="8">
        <f t="shared" si="4"/>
        <v>44586.05</v>
      </c>
      <c r="H21" s="164"/>
      <c r="I21" s="164"/>
      <c r="J21" s="8">
        <f t="shared" si="2"/>
        <v>0</v>
      </c>
      <c r="K21" s="8">
        <f t="shared" si="3"/>
        <v>44586.05</v>
      </c>
      <c r="L21" s="165">
        <v>0</v>
      </c>
      <c r="M21" s="165">
        <f t="shared" ref="M21:M35" si="5">M20+K21-L21</f>
        <v>356364.64809999993</v>
      </c>
      <c r="N21" s="41"/>
    </row>
    <row r="22" spans="1:14">
      <c r="A22" s="26">
        <v>19</v>
      </c>
      <c r="B22" s="27">
        <v>46100</v>
      </c>
      <c r="C22" s="67"/>
      <c r="D22" s="159"/>
      <c r="E22" s="164"/>
      <c r="F22" s="164"/>
      <c r="G22" s="8">
        <f t="shared" si="4"/>
        <v>0</v>
      </c>
      <c r="H22" s="164"/>
      <c r="I22" s="164"/>
      <c r="J22" s="8">
        <f t="shared" si="2"/>
        <v>0</v>
      </c>
      <c r="K22" s="8">
        <f t="shared" si="3"/>
        <v>0</v>
      </c>
      <c r="L22" s="165">
        <v>0</v>
      </c>
      <c r="M22" s="165">
        <f t="shared" si="5"/>
        <v>356364.64809999993</v>
      </c>
      <c r="N22" s="41"/>
    </row>
    <row r="23" spans="1:14">
      <c r="A23" s="26">
        <v>20</v>
      </c>
      <c r="B23" s="27">
        <v>46101</v>
      </c>
      <c r="C23" s="67"/>
      <c r="D23" s="159"/>
      <c r="E23" s="164">
        <v>144.66</v>
      </c>
      <c r="F23" s="164">
        <v>91.93</v>
      </c>
      <c r="G23" s="8">
        <f t="shared" si="4"/>
        <v>13298.593800000001</v>
      </c>
      <c r="H23" s="164"/>
      <c r="I23" s="164"/>
      <c r="J23" s="8">
        <f t="shared" si="2"/>
        <v>0</v>
      </c>
      <c r="K23" s="8">
        <f t="shared" si="3"/>
        <v>13298.593800000001</v>
      </c>
      <c r="L23" s="165">
        <v>0</v>
      </c>
      <c r="M23" s="165">
        <f t="shared" si="5"/>
        <v>369663.24189999991</v>
      </c>
      <c r="N23" s="41"/>
    </row>
    <row r="24" spans="1:14">
      <c r="A24" s="26">
        <v>21</v>
      </c>
      <c r="B24" s="27">
        <v>46102</v>
      </c>
      <c r="C24" s="67"/>
      <c r="D24" s="159"/>
      <c r="E24" s="164">
        <v>35</v>
      </c>
      <c r="F24" s="164">
        <v>91.93</v>
      </c>
      <c r="G24" s="8">
        <f t="shared" si="4"/>
        <v>3217.55</v>
      </c>
      <c r="H24" s="164"/>
      <c r="I24" s="164"/>
      <c r="J24" s="8">
        <f t="shared" si="2"/>
        <v>0</v>
      </c>
      <c r="K24" s="8">
        <f t="shared" si="3"/>
        <v>3217.55</v>
      </c>
      <c r="L24" s="165">
        <v>0</v>
      </c>
      <c r="M24" s="165">
        <f t="shared" si="5"/>
        <v>372880.79189999989</v>
      </c>
      <c r="N24" s="41"/>
    </row>
    <row r="25" spans="1:14">
      <c r="A25" s="26">
        <v>22</v>
      </c>
      <c r="B25" s="27">
        <v>46103</v>
      </c>
      <c r="C25" s="67"/>
      <c r="D25" s="159"/>
      <c r="E25" s="164"/>
      <c r="F25" s="164"/>
      <c r="G25" s="8">
        <f t="shared" si="4"/>
        <v>0</v>
      </c>
      <c r="H25" s="164"/>
      <c r="I25" s="164"/>
      <c r="J25" s="8">
        <f t="shared" si="2"/>
        <v>0</v>
      </c>
      <c r="K25" s="8">
        <f t="shared" si="3"/>
        <v>0</v>
      </c>
      <c r="L25" s="165">
        <v>0</v>
      </c>
      <c r="M25" s="165">
        <f t="shared" si="5"/>
        <v>372880.79189999989</v>
      </c>
      <c r="N25" s="41"/>
    </row>
    <row r="26" spans="1:14">
      <c r="A26" s="26">
        <v>23</v>
      </c>
      <c r="B26" s="27">
        <v>46104</v>
      </c>
      <c r="C26" s="67"/>
      <c r="D26" s="159"/>
      <c r="E26" s="164">
        <v>430</v>
      </c>
      <c r="F26" s="164">
        <v>91.93</v>
      </c>
      <c r="G26" s="8">
        <f t="shared" si="4"/>
        <v>39529.9</v>
      </c>
      <c r="H26" s="164"/>
      <c r="I26" s="164"/>
      <c r="J26" s="8">
        <f t="shared" si="2"/>
        <v>0</v>
      </c>
      <c r="K26" s="8">
        <f t="shared" si="3"/>
        <v>39529.9</v>
      </c>
      <c r="L26" s="165">
        <v>200000</v>
      </c>
      <c r="M26" s="165">
        <f t="shared" si="5"/>
        <v>212410.69189999992</v>
      </c>
      <c r="N26" s="41"/>
    </row>
    <row r="27" spans="1:14">
      <c r="A27" s="26">
        <v>24</v>
      </c>
      <c r="B27" s="27">
        <v>46105</v>
      </c>
      <c r="C27" s="67"/>
      <c r="D27" s="159"/>
      <c r="E27" s="164">
        <v>20</v>
      </c>
      <c r="F27" s="164">
        <v>91.93</v>
      </c>
      <c r="G27" s="8">
        <f t="shared" si="4"/>
        <v>1838.6000000000001</v>
      </c>
      <c r="H27" s="164">
        <v>5</v>
      </c>
      <c r="I27" s="164">
        <v>113.3</v>
      </c>
      <c r="J27" s="8">
        <f t="shared" si="2"/>
        <v>566.5</v>
      </c>
      <c r="K27" s="8">
        <f t="shared" si="3"/>
        <v>2405.1000000000004</v>
      </c>
      <c r="L27" s="165">
        <v>0</v>
      </c>
      <c r="M27" s="165">
        <f t="shared" si="5"/>
        <v>214815.79189999992</v>
      </c>
      <c r="N27" s="41"/>
    </row>
    <row r="28" spans="1:14">
      <c r="A28" s="26">
        <v>25</v>
      </c>
      <c r="B28" s="27">
        <v>46106</v>
      </c>
      <c r="C28" s="67"/>
      <c r="D28" s="159"/>
      <c r="E28" s="164">
        <v>353.6</v>
      </c>
      <c r="F28" s="164">
        <v>91.93</v>
      </c>
      <c r="G28" s="8">
        <f t="shared" si="4"/>
        <v>32506.448000000004</v>
      </c>
      <c r="H28" s="164"/>
      <c r="I28" s="164"/>
      <c r="J28" s="8">
        <f t="shared" si="2"/>
        <v>0</v>
      </c>
      <c r="K28" s="8">
        <f t="shared" si="3"/>
        <v>32506.448000000004</v>
      </c>
      <c r="L28" s="165">
        <v>0</v>
      </c>
      <c r="M28" s="165">
        <f t="shared" si="5"/>
        <v>247322.23989999993</v>
      </c>
      <c r="N28" s="41"/>
    </row>
    <row r="29" spans="1:14">
      <c r="A29" s="26">
        <v>26</v>
      </c>
      <c r="B29" s="27">
        <v>46107</v>
      </c>
      <c r="C29" s="195"/>
      <c r="D29" s="159"/>
      <c r="E29" s="164">
        <v>65</v>
      </c>
      <c r="F29" s="164">
        <v>91.93</v>
      </c>
      <c r="G29" s="8">
        <f t="shared" si="4"/>
        <v>5975.4500000000007</v>
      </c>
      <c r="H29" s="164"/>
      <c r="I29" s="164"/>
      <c r="J29" s="8">
        <f t="shared" si="2"/>
        <v>0</v>
      </c>
      <c r="K29" s="8">
        <f t="shared" si="3"/>
        <v>5975.4500000000007</v>
      </c>
      <c r="L29" s="165">
        <v>0</v>
      </c>
      <c r="M29" s="165">
        <f t="shared" si="5"/>
        <v>253297.68989999994</v>
      </c>
      <c r="N29" s="41"/>
    </row>
    <row r="30" spans="1:14">
      <c r="A30" s="26">
        <v>27</v>
      </c>
      <c r="B30" s="27">
        <v>46108</v>
      </c>
      <c r="C30" s="67"/>
      <c r="D30" s="159"/>
      <c r="E30" s="164">
        <v>631.53</v>
      </c>
      <c r="F30" s="164">
        <v>91.93</v>
      </c>
      <c r="G30" s="8">
        <f t="shared" si="4"/>
        <v>58056.552900000002</v>
      </c>
      <c r="H30" s="164">
        <v>30</v>
      </c>
      <c r="I30" s="164">
        <v>113.3</v>
      </c>
      <c r="J30" s="8">
        <f t="shared" si="2"/>
        <v>3399</v>
      </c>
      <c r="K30" s="8">
        <f t="shared" si="3"/>
        <v>61455.552900000002</v>
      </c>
      <c r="L30" s="165">
        <v>50974</v>
      </c>
      <c r="M30" s="165">
        <f t="shared" si="5"/>
        <v>263779.24279999995</v>
      </c>
      <c r="N30" s="41"/>
    </row>
    <row r="31" spans="1:14">
      <c r="A31" s="26">
        <v>28</v>
      </c>
      <c r="B31" s="27">
        <v>46109</v>
      </c>
      <c r="C31" s="67"/>
      <c r="D31" s="159"/>
      <c r="E31" s="164">
        <v>355</v>
      </c>
      <c r="F31" s="164">
        <v>91.93</v>
      </c>
      <c r="G31" s="8">
        <f t="shared" si="4"/>
        <v>32635.15</v>
      </c>
      <c r="H31" s="164"/>
      <c r="I31" s="164"/>
      <c r="J31" s="8">
        <f t="shared" si="2"/>
        <v>0</v>
      </c>
      <c r="K31" s="8">
        <f t="shared" si="3"/>
        <v>32635.15</v>
      </c>
      <c r="L31" s="165">
        <v>0</v>
      </c>
      <c r="M31" s="165">
        <f t="shared" si="5"/>
        <v>296414.39279999997</v>
      </c>
      <c r="N31" s="41"/>
    </row>
    <row r="32" spans="1:14">
      <c r="A32" s="26">
        <v>29</v>
      </c>
      <c r="B32" s="27">
        <v>46110</v>
      </c>
      <c r="C32" s="67"/>
      <c r="D32" s="159"/>
      <c r="E32" s="164">
        <v>230</v>
      </c>
      <c r="F32" s="164">
        <v>91.93</v>
      </c>
      <c r="G32" s="8">
        <f t="shared" si="4"/>
        <v>21143.9</v>
      </c>
      <c r="H32" s="164"/>
      <c r="I32" s="164"/>
      <c r="J32" s="8">
        <f t="shared" si="2"/>
        <v>0</v>
      </c>
      <c r="K32" s="8">
        <f t="shared" si="3"/>
        <v>21143.9</v>
      </c>
      <c r="L32" s="165">
        <v>0</v>
      </c>
      <c r="M32" s="165">
        <f t="shared" si="5"/>
        <v>317558.2928</v>
      </c>
      <c r="N32" s="41"/>
    </row>
    <row r="33" spans="1:15">
      <c r="A33" s="26">
        <v>30</v>
      </c>
      <c r="B33" s="27">
        <v>46111</v>
      </c>
      <c r="C33" s="67"/>
      <c r="D33" s="159"/>
      <c r="E33" s="164">
        <v>924</v>
      </c>
      <c r="F33" s="164">
        <v>91.93</v>
      </c>
      <c r="G33" s="8">
        <f t="shared" si="4"/>
        <v>84943.32</v>
      </c>
      <c r="H33" s="164">
        <v>55</v>
      </c>
      <c r="I33" s="164">
        <v>103.89</v>
      </c>
      <c r="J33" s="8">
        <f t="shared" si="2"/>
        <v>5713.95</v>
      </c>
      <c r="K33" s="8">
        <f t="shared" si="3"/>
        <v>90657.27</v>
      </c>
      <c r="L33" s="165">
        <v>0</v>
      </c>
      <c r="M33" s="165">
        <f t="shared" si="5"/>
        <v>408215.56280000001</v>
      </c>
      <c r="N33" s="41"/>
    </row>
    <row r="34" spans="1:15">
      <c r="A34" s="26">
        <v>31</v>
      </c>
      <c r="B34" s="27">
        <v>46112</v>
      </c>
      <c r="C34" s="67"/>
      <c r="D34" s="159"/>
      <c r="E34" s="164">
        <v>285</v>
      </c>
      <c r="F34" s="164">
        <v>91.93</v>
      </c>
      <c r="G34" s="8">
        <f t="shared" si="4"/>
        <v>26200.050000000003</v>
      </c>
      <c r="H34" s="164"/>
      <c r="I34" s="164"/>
      <c r="J34" s="8">
        <f t="shared" si="2"/>
        <v>0</v>
      </c>
      <c r="K34" s="8">
        <f t="shared" si="3"/>
        <v>26200.050000000003</v>
      </c>
      <c r="L34" s="165">
        <v>0</v>
      </c>
      <c r="M34" s="165">
        <f t="shared" si="5"/>
        <v>434415.6128</v>
      </c>
      <c r="N34" s="41"/>
    </row>
    <row r="35" spans="1:15">
      <c r="A35" s="160"/>
      <c r="B35" s="160"/>
      <c r="C35" s="160"/>
      <c r="D35" s="160"/>
      <c r="E35" s="161">
        <f>SUM(E4:E34)</f>
        <v>7528.79</v>
      </c>
      <c r="F35" s="161"/>
      <c r="G35" s="161">
        <f>SUM(G4:G34)</f>
        <v>692121.66470000008</v>
      </c>
      <c r="H35" s="161">
        <f>SUM(H4:H34)</f>
        <v>265</v>
      </c>
      <c r="I35" s="63"/>
      <c r="J35" s="161">
        <f>SUM(J4:J34)</f>
        <v>27860.2</v>
      </c>
      <c r="K35" s="161">
        <f>SUM(K4:K34)</f>
        <v>719981.86470000003</v>
      </c>
      <c r="L35" s="161">
        <f>SUM(L4:L34)</f>
        <v>500974</v>
      </c>
      <c r="M35" s="165">
        <f>M34+K35-L35</f>
        <v>653423.47750000004</v>
      </c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</row>
    <row r="42" spans="1:15">
      <c r="B42" s="59"/>
      <c r="G42" s="76"/>
      <c r="J42" s="59"/>
      <c r="K42" s="59"/>
      <c r="L42" s="59"/>
      <c r="M42" s="59"/>
      <c r="O42" s="74"/>
    </row>
    <row r="43" spans="1:15">
      <c r="B43" s="463"/>
      <c r="C43" s="463"/>
      <c r="D43" s="463"/>
      <c r="E43" s="463"/>
      <c r="I43" s="463"/>
      <c r="J43" s="463"/>
      <c r="K43" s="463"/>
      <c r="L43" s="463"/>
      <c r="M43" s="463"/>
      <c r="N43" s="463"/>
      <c r="O43" s="74"/>
    </row>
    <row r="44" spans="1:15">
      <c r="B44" s="59"/>
      <c r="J44" s="59"/>
      <c r="K44" s="59"/>
      <c r="L44" s="59"/>
      <c r="M44" s="59"/>
      <c r="O44" s="74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topLeftCell="A16" workbookViewId="0">
      <selection activeCell="O31" sqref="O31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2" customWidth="1"/>
    <col min="8" max="8" width="12" style="22" customWidth="1"/>
    <col min="9" max="9" width="9.140625" style="22"/>
    <col min="10" max="10" width="11.140625" style="22" customWidth="1"/>
    <col min="11" max="11" width="12" style="22" customWidth="1"/>
    <col min="12" max="12" width="11.85546875" style="22" customWidth="1"/>
    <col min="13" max="13" width="13.85546875" customWidth="1"/>
  </cols>
  <sheetData>
    <row r="1" spans="1:14" ht="15.75">
      <c r="A1" s="447" t="s">
        <v>115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</row>
    <row r="2" spans="1:14">
      <c r="A2" s="98" t="s">
        <v>0</v>
      </c>
      <c r="B2" s="99" t="s">
        <v>161</v>
      </c>
      <c r="C2" s="99" t="s">
        <v>162</v>
      </c>
      <c r="D2" s="99" t="s">
        <v>180</v>
      </c>
      <c r="E2" s="99" t="s">
        <v>164</v>
      </c>
      <c r="F2" s="99" t="s">
        <v>165</v>
      </c>
      <c r="G2" s="226" t="s">
        <v>166</v>
      </c>
      <c r="H2" s="226" t="s">
        <v>167</v>
      </c>
      <c r="I2" s="226" t="s">
        <v>165</v>
      </c>
      <c r="J2" s="226" t="s">
        <v>166</v>
      </c>
      <c r="K2" s="227" t="s">
        <v>168</v>
      </c>
      <c r="L2" s="227" t="s">
        <v>169</v>
      </c>
      <c r="M2" s="143" t="s">
        <v>181</v>
      </c>
      <c r="N2" s="101" t="s">
        <v>171</v>
      </c>
    </row>
    <row r="3" spans="1:14">
      <c r="A3" s="478" t="s">
        <v>172</v>
      </c>
      <c r="B3" s="479"/>
      <c r="C3" s="479"/>
      <c r="D3" s="479"/>
      <c r="E3" s="479"/>
      <c r="F3" s="479"/>
      <c r="G3" s="479"/>
      <c r="H3" s="479"/>
      <c r="I3" s="479"/>
      <c r="J3" s="480"/>
      <c r="K3" s="214">
        <v>0</v>
      </c>
      <c r="L3" s="214"/>
      <c r="M3" s="173">
        <f>+K3</f>
        <v>0</v>
      </c>
      <c r="N3" s="215"/>
    </row>
    <row r="4" spans="1:14">
      <c r="A4" s="26">
        <v>1</v>
      </c>
      <c r="B4" s="27">
        <v>46082</v>
      </c>
      <c r="C4" s="17"/>
      <c r="D4" s="17"/>
      <c r="E4" s="194"/>
      <c r="F4" s="194"/>
      <c r="G4" s="209">
        <f>E4*F4</f>
        <v>0</v>
      </c>
      <c r="H4" s="266"/>
      <c r="I4" s="209"/>
      <c r="J4" s="209">
        <f>H4*I4</f>
        <v>0</v>
      </c>
      <c r="K4" s="209">
        <f>G4+J4</f>
        <v>0</v>
      </c>
      <c r="L4" s="209">
        <f>+K4</f>
        <v>0</v>
      </c>
      <c r="M4" s="194"/>
      <c r="N4" s="17"/>
    </row>
    <row r="5" spans="1:14">
      <c r="A5" s="26">
        <v>2</v>
      </c>
      <c r="B5" s="27">
        <v>46083</v>
      </c>
      <c r="C5" s="17"/>
      <c r="D5" s="17"/>
      <c r="E5" s="194"/>
      <c r="F5" s="194"/>
      <c r="G5" s="209">
        <f t="shared" ref="G5:G32" si="0">E5*F5</f>
        <v>0</v>
      </c>
      <c r="H5" s="266"/>
      <c r="I5" s="209"/>
      <c r="J5" s="209">
        <f>H5*I5</f>
        <v>0</v>
      </c>
      <c r="K5" s="209">
        <f t="shared" ref="K5:L34" si="1">G5+J5</f>
        <v>0</v>
      </c>
      <c r="L5" s="209">
        <f t="shared" ref="L5:L34" si="2">+K5</f>
        <v>0</v>
      </c>
      <c r="M5" s="194"/>
      <c r="N5" s="17"/>
    </row>
    <row r="6" spans="1:14">
      <c r="A6" s="26">
        <v>3</v>
      </c>
      <c r="B6" s="27">
        <v>46084</v>
      </c>
      <c r="C6" s="17"/>
      <c r="D6" s="17"/>
      <c r="E6" s="194"/>
      <c r="F6" s="194"/>
      <c r="G6" s="209">
        <f t="shared" si="0"/>
        <v>0</v>
      </c>
      <c r="H6" s="266"/>
      <c r="I6" s="209"/>
      <c r="J6" s="209">
        <f t="shared" ref="J6:J34" si="3">H6*I6</f>
        <v>0</v>
      </c>
      <c r="K6" s="209">
        <f t="shared" si="1"/>
        <v>0</v>
      </c>
      <c r="L6" s="209">
        <f t="shared" si="2"/>
        <v>0</v>
      </c>
      <c r="M6" s="194"/>
      <c r="N6" s="17"/>
    </row>
    <row r="7" spans="1:14">
      <c r="A7" s="26">
        <v>4</v>
      </c>
      <c r="B7" s="27">
        <v>46085</v>
      </c>
      <c r="C7" s="17"/>
      <c r="D7" s="17"/>
      <c r="E7" s="194"/>
      <c r="F7" s="194"/>
      <c r="G7" s="209">
        <f t="shared" si="0"/>
        <v>0</v>
      </c>
      <c r="H7" s="266"/>
      <c r="I7" s="209"/>
      <c r="J7" s="209">
        <f t="shared" si="3"/>
        <v>0</v>
      </c>
      <c r="K7" s="209">
        <f t="shared" si="1"/>
        <v>0</v>
      </c>
      <c r="L7" s="209">
        <f t="shared" si="2"/>
        <v>0</v>
      </c>
      <c r="M7" s="194"/>
      <c r="N7" s="17"/>
    </row>
    <row r="8" spans="1:14">
      <c r="A8" s="26">
        <v>5</v>
      </c>
      <c r="B8" s="27">
        <v>46086</v>
      </c>
      <c r="C8" s="17"/>
      <c r="D8" s="17"/>
      <c r="E8" s="194">
        <v>90</v>
      </c>
      <c r="F8" s="194">
        <v>91.6</v>
      </c>
      <c r="G8" s="209">
        <f t="shared" si="0"/>
        <v>8244</v>
      </c>
      <c r="H8" s="266"/>
      <c r="I8" s="209"/>
      <c r="J8" s="209">
        <f t="shared" si="3"/>
        <v>0</v>
      </c>
      <c r="K8" s="209">
        <f t="shared" si="1"/>
        <v>8244</v>
      </c>
      <c r="L8" s="209">
        <f t="shared" si="2"/>
        <v>8244</v>
      </c>
      <c r="M8" s="194"/>
      <c r="N8" s="17"/>
    </row>
    <row r="9" spans="1:14">
      <c r="A9" s="26">
        <v>6</v>
      </c>
      <c r="B9" s="27">
        <v>46087</v>
      </c>
      <c r="C9" s="17"/>
      <c r="D9" s="17"/>
      <c r="E9" s="194"/>
      <c r="F9" s="194"/>
      <c r="G9" s="209">
        <f t="shared" si="0"/>
        <v>0</v>
      </c>
      <c r="H9" s="266"/>
      <c r="I9" s="209"/>
      <c r="J9" s="209">
        <f t="shared" si="3"/>
        <v>0</v>
      </c>
      <c r="K9" s="209">
        <f t="shared" si="1"/>
        <v>0</v>
      </c>
      <c r="L9" s="209">
        <f t="shared" si="2"/>
        <v>0</v>
      </c>
      <c r="M9" s="194"/>
      <c r="N9" s="17"/>
    </row>
    <row r="10" spans="1:14">
      <c r="A10" s="26">
        <v>7</v>
      </c>
      <c r="B10" s="27">
        <v>46088</v>
      </c>
      <c r="C10" s="17"/>
      <c r="D10" s="17"/>
      <c r="E10" s="194"/>
      <c r="F10" s="194"/>
      <c r="G10" s="209">
        <f t="shared" si="0"/>
        <v>0</v>
      </c>
      <c r="H10" s="266"/>
      <c r="I10" s="209"/>
      <c r="J10" s="209">
        <f t="shared" si="3"/>
        <v>0</v>
      </c>
      <c r="K10" s="209">
        <f t="shared" si="1"/>
        <v>0</v>
      </c>
      <c r="L10" s="209">
        <f t="shared" si="2"/>
        <v>0</v>
      </c>
      <c r="M10" s="194"/>
      <c r="N10" s="17"/>
    </row>
    <row r="11" spans="1:14">
      <c r="A11" s="26">
        <v>8</v>
      </c>
      <c r="B11" s="27">
        <v>46089</v>
      </c>
      <c r="C11" s="17"/>
      <c r="D11" s="17"/>
      <c r="E11" s="194"/>
      <c r="F11" s="194"/>
      <c r="G11" s="209">
        <f t="shared" si="0"/>
        <v>0</v>
      </c>
      <c r="H11" s="266"/>
      <c r="I11" s="209"/>
      <c r="J11" s="209">
        <f t="shared" si="3"/>
        <v>0</v>
      </c>
      <c r="K11" s="209">
        <f t="shared" si="1"/>
        <v>0</v>
      </c>
      <c r="L11" s="209">
        <f t="shared" si="2"/>
        <v>0</v>
      </c>
      <c r="M11" s="194"/>
      <c r="N11" s="17"/>
    </row>
    <row r="12" spans="1:14">
      <c r="A12" s="26">
        <v>9</v>
      </c>
      <c r="B12" s="27">
        <v>46090</v>
      </c>
      <c r="C12" s="17"/>
      <c r="D12" s="17"/>
      <c r="E12" s="194">
        <v>25</v>
      </c>
      <c r="F12" s="194">
        <v>91.6</v>
      </c>
      <c r="G12" s="209">
        <f t="shared" si="0"/>
        <v>2290</v>
      </c>
      <c r="H12" s="266"/>
      <c r="I12" s="209"/>
      <c r="J12" s="209">
        <f t="shared" si="3"/>
        <v>0</v>
      </c>
      <c r="K12" s="209">
        <f t="shared" si="1"/>
        <v>2290</v>
      </c>
      <c r="L12" s="209">
        <f t="shared" si="2"/>
        <v>2290</v>
      </c>
      <c r="M12" s="194"/>
      <c r="N12" s="17"/>
    </row>
    <row r="13" spans="1:14">
      <c r="A13" s="26">
        <v>10</v>
      </c>
      <c r="B13" s="27">
        <v>46091</v>
      </c>
      <c r="C13" s="17"/>
      <c r="D13" s="17"/>
      <c r="E13" s="194">
        <v>80</v>
      </c>
      <c r="F13" s="194">
        <v>91.6</v>
      </c>
      <c r="G13" s="209">
        <f t="shared" si="0"/>
        <v>7328</v>
      </c>
      <c r="H13" s="266"/>
      <c r="I13" s="209"/>
      <c r="J13" s="209">
        <f t="shared" si="3"/>
        <v>0</v>
      </c>
      <c r="K13" s="209">
        <f t="shared" si="1"/>
        <v>7328</v>
      </c>
      <c r="L13" s="209">
        <f t="shared" si="2"/>
        <v>7328</v>
      </c>
      <c r="M13" s="194"/>
      <c r="N13" s="17"/>
    </row>
    <row r="14" spans="1:14">
      <c r="A14" s="26">
        <v>11</v>
      </c>
      <c r="B14" s="27">
        <v>46092</v>
      </c>
      <c r="C14" s="17"/>
      <c r="D14" s="17"/>
      <c r="E14" s="194">
        <v>25</v>
      </c>
      <c r="F14" s="194">
        <v>91.6</v>
      </c>
      <c r="G14" s="209">
        <f t="shared" si="0"/>
        <v>2290</v>
      </c>
      <c r="H14" s="266"/>
      <c r="I14" s="209"/>
      <c r="J14" s="209">
        <f t="shared" si="3"/>
        <v>0</v>
      </c>
      <c r="K14" s="209">
        <f t="shared" si="1"/>
        <v>2290</v>
      </c>
      <c r="L14" s="209">
        <f t="shared" si="2"/>
        <v>2290</v>
      </c>
      <c r="M14" s="194"/>
      <c r="N14" s="17"/>
    </row>
    <row r="15" spans="1:14">
      <c r="A15" s="26">
        <v>12</v>
      </c>
      <c r="B15" s="27">
        <v>46093</v>
      </c>
      <c r="C15" s="17"/>
      <c r="D15" s="17"/>
      <c r="E15" s="194"/>
      <c r="F15" s="194"/>
      <c r="G15" s="209">
        <f t="shared" si="0"/>
        <v>0</v>
      </c>
      <c r="H15" s="266"/>
      <c r="I15" s="209"/>
      <c r="J15" s="209">
        <f t="shared" si="3"/>
        <v>0</v>
      </c>
      <c r="K15" s="209">
        <f t="shared" si="1"/>
        <v>0</v>
      </c>
      <c r="L15" s="209">
        <f t="shared" si="2"/>
        <v>0</v>
      </c>
      <c r="M15" s="194"/>
      <c r="N15" s="17"/>
    </row>
    <row r="16" spans="1:14">
      <c r="A16" s="26">
        <v>13</v>
      </c>
      <c r="B16" s="27">
        <v>46094</v>
      </c>
      <c r="C16" s="17"/>
      <c r="D16" s="17"/>
      <c r="E16" s="194"/>
      <c r="F16" s="194"/>
      <c r="G16" s="209">
        <f t="shared" si="0"/>
        <v>0</v>
      </c>
      <c r="H16" s="266"/>
      <c r="I16" s="209"/>
      <c r="J16" s="209">
        <f t="shared" si="3"/>
        <v>0</v>
      </c>
      <c r="K16" s="209">
        <f t="shared" si="1"/>
        <v>0</v>
      </c>
      <c r="L16" s="209">
        <f t="shared" si="2"/>
        <v>0</v>
      </c>
      <c r="M16" s="194"/>
      <c r="N16" s="17"/>
    </row>
    <row r="17" spans="1:15">
      <c r="A17" s="26">
        <v>14</v>
      </c>
      <c r="B17" s="27">
        <v>46095</v>
      </c>
      <c r="C17" s="17"/>
      <c r="D17" s="17"/>
      <c r="E17" s="194">
        <v>90</v>
      </c>
      <c r="F17" s="194">
        <v>91.6</v>
      </c>
      <c r="G17" s="209">
        <f t="shared" si="0"/>
        <v>8244</v>
      </c>
      <c r="H17" s="266">
        <v>8</v>
      </c>
      <c r="I17" s="209">
        <v>103.54</v>
      </c>
      <c r="J17" s="209">
        <f t="shared" si="3"/>
        <v>828.32</v>
      </c>
      <c r="K17" s="209">
        <f t="shared" si="1"/>
        <v>9072.32</v>
      </c>
      <c r="L17" s="209">
        <f t="shared" si="2"/>
        <v>9072.32</v>
      </c>
      <c r="M17" s="194"/>
      <c r="N17" s="17"/>
    </row>
    <row r="18" spans="1:15">
      <c r="A18" s="26">
        <v>15</v>
      </c>
      <c r="B18" s="27">
        <v>46096</v>
      </c>
      <c r="C18" s="17"/>
      <c r="D18" s="17"/>
      <c r="E18" s="194"/>
      <c r="F18" s="194"/>
      <c r="G18" s="209">
        <f t="shared" si="0"/>
        <v>0</v>
      </c>
      <c r="H18" s="266">
        <v>8</v>
      </c>
      <c r="I18" s="209">
        <v>103.54</v>
      </c>
      <c r="J18" s="209">
        <f t="shared" si="3"/>
        <v>828.32</v>
      </c>
      <c r="K18" s="209">
        <f t="shared" si="1"/>
        <v>828.32</v>
      </c>
      <c r="L18" s="209">
        <f t="shared" si="2"/>
        <v>828.32</v>
      </c>
      <c r="M18" s="194"/>
      <c r="N18" s="17"/>
    </row>
    <row r="19" spans="1:15">
      <c r="A19" s="26">
        <v>16</v>
      </c>
      <c r="B19" s="27">
        <v>46097</v>
      </c>
      <c r="C19" s="17"/>
      <c r="D19" s="17"/>
      <c r="E19" s="194"/>
      <c r="F19" s="194"/>
      <c r="G19" s="209">
        <f t="shared" si="0"/>
        <v>0</v>
      </c>
      <c r="H19" s="266"/>
      <c r="I19" s="209"/>
      <c r="J19" s="209">
        <f t="shared" si="3"/>
        <v>0</v>
      </c>
      <c r="K19" s="209">
        <f t="shared" si="1"/>
        <v>0</v>
      </c>
      <c r="L19" s="209">
        <f t="shared" si="2"/>
        <v>0</v>
      </c>
      <c r="M19" s="194"/>
      <c r="N19" s="17"/>
    </row>
    <row r="20" spans="1:15">
      <c r="A20" s="26">
        <v>17</v>
      </c>
      <c r="B20" s="27">
        <v>46098</v>
      </c>
      <c r="C20" s="17"/>
      <c r="D20" s="17"/>
      <c r="E20" s="194"/>
      <c r="F20" s="194"/>
      <c r="G20" s="209">
        <f t="shared" si="0"/>
        <v>0</v>
      </c>
      <c r="H20" s="266"/>
      <c r="I20" s="209"/>
      <c r="J20" s="209">
        <f t="shared" si="3"/>
        <v>0</v>
      </c>
      <c r="K20" s="209">
        <f t="shared" si="1"/>
        <v>0</v>
      </c>
      <c r="L20" s="209">
        <f t="shared" si="2"/>
        <v>0</v>
      </c>
      <c r="M20" s="194"/>
      <c r="N20" s="17"/>
    </row>
    <row r="21" spans="1:15">
      <c r="A21" s="26">
        <v>18</v>
      </c>
      <c r="B21" s="27">
        <v>46099</v>
      </c>
      <c r="C21" s="17"/>
      <c r="D21" s="17"/>
      <c r="E21" s="194"/>
      <c r="F21" s="194"/>
      <c r="G21" s="209">
        <f t="shared" si="0"/>
        <v>0</v>
      </c>
      <c r="H21" s="266"/>
      <c r="I21" s="209"/>
      <c r="J21" s="209">
        <f t="shared" si="3"/>
        <v>0</v>
      </c>
      <c r="K21" s="209">
        <f t="shared" si="1"/>
        <v>0</v>
      </c>
      <c r="L21" s="209">
        <f t="shared" si="2"/>
        <v>0</v>
      </c>
      <c r="M21" s="194"/>
    </row>
    <row r="22" spans="1:15">
      <c r="A22" s="26">
        <v>19</v>
      </c>
      <c r="B22" s="27">
        <v>46100</v>
      </c>
      <c r="C22" s="17"/>
      <c r="D22" s="17"/>
      <c r="E22" s="194"/>
      <c r="F22" s="194"/>
      <c r="G22" s="209">
        <f t="shared" si="0"/>
        <v>0</v>
      </c>
      <c r="H22" s="266"/>
      <c r="I22" s="209"/>
      <c r="J22" s="209">
        <f t="shared" si="3"/>
        <v>0</v>
      </c>
      <c r="K22" s="209">
        <f t="shared" si="1"/>
        <v>0</v>
      </c>
      <c r="L22" s="209">
        <f t="shared" si="2"/>
        <v>0</v>
      </c>
      <c r="M22" s="194"/>
      <c r="N22" s="17"/>
    </row>
    <row r="23" spans="1:15">
      <c r="A23" s="26">
        <v>20</v>
      </c>
      <c r="B23" s="27">
        <v>46101</v>
      </c>
      <c r="C23" s="17"/>
      <c r="D23" s="17"/>
      <c r="E23" s="194"/>
      <c r="F23" s="194"/>
      <c r="G23" s="209">
        <f t="shared" si="0"/>
        <v>0</v>
      </c>
      <c r="H23" s="266"/>
      <c r="I23" s="209"/>
      <c r="J23" s="209">
        <f t="shared" si="3"/>
        <v>0</v>
      </c>
      <c r="K23" s="209">
        <f t="shared" si="1"/>
        <v>0</v>
      </c>
      <c r="L23" s="209">
        <f t="shared" si="2"/>
        <v>0</v>
      </c>
      <c r="M23" s="194"/>
      <c r="N23" s="17"/>
    </row>
    <row r="24" spans="1:15">
      <c r="A24" s="26">
        <v>21</v>
      </c>
      <c r="B24" s="27">
        <v>46102</v>
      </c>
      <c r="C24" s="17"/>
      <c r="D24" s="17"/>
      <c r="E24" s="194"/>
      <c r="F24" s="194"/>
      <c r="G24" s="209">
        <f t="shared" si="0"/>
        <v>0</v>
      </c>
      <c r="H24" s="266"/>
      <c r="I24" s="209"/>
      <c r="J24" s="209">
        <f t="shared" si="3"/>
        <v>0</v>
      </c>
      <c r="K24" s="209">
        <f t="shared" si="1"/>
        <v>0</v>
      </c>
      <c r="L24" s="209">
        <f t="shared" si="2"/>
        <v>0</v>
      </c>
      <c r="M24" s="194"/>
      <c r="N24" s="17"/>
    </row>
    <row r="25" spans="1:15">
      <c r="A25" s="26">
        <v>22</v>
      </c>
      <c r="B25" s="27">
        <v>46103</v>
      </c>
      <c r="C25" s="17"/>
      <c r="D25" s="17"/>
      <c r="E25" s="194"/>
      <c r="F25" s="194"/>
      <c r="G25" s="209">
        <f t="shared" si="0"/>
        <v>0</v>
      </c>
      <c r="H25" s="266"/>
      <c r="I25" s="209"/>
      <c r="J25" s="209">
        <f t="shared" si="3"/>
        <v>0</v>
      </c>
      <c r="K25" s="209">
        <f t="shared" si="1"/>
        <v>0</v>
      </c>
      <c r="L25" s="209">
        <f t="shared" si="2"/>
        <v>0</v>
      </c>
      <c r="M25" s="194"/>
      <c r="N25" s="17"/>
    </row>
    <row r="26" spans="1:15">
      <c r="A26" s="26">
        <v>23</v>
      </c>
      <c r="B26" s="27">
        <v>46104</v>
      </c>
      <c r="C26" s="17"/>
      <c r="D26" s="17"/>
      <c r="E26" s="194"/>
      <c r="F26" s="194"/>
      <c r="G26" s="209">
        <f t="shared" si="0"/>
        <v>0</v>
      </c>
      <c r="H26" s="266"/>
      <c r="I26" s="209"/>
      <c r="J26" s="209">
        <f t="shared" si="3"/>
        <v>0</v>
      </c>
      <c r="K26" s="209">
        <f t="shared" si="1"/>
        <v>0</v>
      </c>
      <c r="L26" s="209">
        <f t="shared" si="2"/>
        <v>0</v>
      </c>
      <c r="M26" s="194"/>
      <c r="N26" s="17"/>
    </row>
    <row r="27" spans="1:15">
      <c r="A27" s="26">
        <v>24</v>
      </c>
      <c r="B27" s="27">
        <v>46105</v>
      </c>
      <c r="C27" s="17"/>
      <c r="D27" s="17"/>
      <c r="E27" s="194"/>
      <c r="F27" s="194"/>
      <c r="G27" s="209">
        <f t="shared" si="0"/>
        <v>0</v>
      </c>
      <c r="H27" s="266"/>
      <c r="I27" s="209"/>
      <c r="J27" s="209">
        <f t="shared" si="3"/>
        <v>0</v>
      </c>
      <c r="K27" s="209">
        <f t="shared" ref="K27:K33" si="4">G27+J27</f>
        <v>0</v>
      </c>
      <c r="L27" s="209">
        <f t="shared" si="2"/>
        <v>0</v>
      </c>
      <c r="M27" s="194"/>
      <c r="N27" s="17"/>
      <c r="O27">
        <v>0</v>
      </c>
    </row>
    <row r="28" spans="1:15">
      <c r="A28" s="26">
        <v>25</v>
      </c>
      <c r="B28" s="27">
        <v>46106</v>
      </c>
      <c r="C28" s="17"/>
      <c r="D28" s="17"/>
      <c r="E28" s="194"/>
      <c r="F28" s="194"/>
      <c r="G28" s="209">
        <f t="shared" si="0"/>
        <v>0</v>
      </c>
      <c r="H28" s="266"/>
      <c r="I28" s="209"/>
      <c r="J28" s="209">
        <f t="shared" si="3"/>
        <v>0</v>
      </c>
      <c r="K28" s="209">
        <f t="shared" si="4"/>
        <v>0</v>
      </c>
      <c r="L28" s="209">
        <f t="shared" si="2"/>
        <v>0</v>
      </c>
      <c r="M28" s="194"/>
      <c r="N28" s="17"/>
    </row>
    <row r="29" spans="1:15">
      <c r="A29" s="26">
        <v>26</v>
      </c>
      <c r="B29" s="27">
        <v>46107</v>
      </c>
      <c r="C29" s="17"/>
      <c r="D29" s="17"/>
      <c r="E29" s="194"/>
      <c r="F29" s="194"/>
      <c r="G29" s="209">
        <f t="shared" si="0"/>
        <v>0</v>
      </c>
      <c r="H29" s="266"/>
      <c r="I29" s="209"/>
      <c r="J29" s="209">
        <f t="shared" si="3"/>
        <v>0</v>
      </c>
      <c r="K29" s="209">
        <f t="shared" si="4"/>
        <v>0</v>
      </c>
      <c r="L29" s="209">
        <f t="shared" si="2"/>
        <v>0</v>
      </c>
      <c r="M29" s="194"/>
      <c r="N29" s="17"/>
    </row>
    <row r="30" spans="1:15">
      <c r="A30" s="26">
        <v>27</v>
      </c>
      <c r="B30" s="27">
        <v>46108</v>
      </c>
      <c r="C30" s="17"/>
      <c r="D30" s="17"/>
      <c r="E30" s="194"/>
      <c r="F30" s="194"/>
      <c r="G30" s="209">
        <f t="shared" si="0"/>
        <v>0</v>
      </c>
      <c r="H30" s="266"/>
      <c r="I30" s="209"/>
      <c r="J30" s="209">
        <f t="shared" si="3"/>
        <v>0</v>
      </c>
      <c r="K30" s="209">
        <f t="shared" si="4"/>
        <v>0</v>
      </c>
      <c r="L30" s="209">
        <f t="shared" si="2"/>
        <v>0</v>
      </c>
      <c r="M30" s="194"/>
      <c r="N30" s="17"/>
    </row>
    <row r="31" spans="1:15">
      <c r="A31" s="217">
        <v>28</v>
      </c>
      <c r="B31" s="27">
        <v>46109</v>
      </c>
      <c r="C31" s="17"/>
      <c r="D31" s="17"/>
      <c r="E31" s="194">
        <v>65</v>
      </c>
      <c r="F31" s="194">
        <v>91.6</v>
      </c>
      <c r="G31" s="209">
        <f t="shared" si="0"/>
        <v>5954</v>
      </c>
      <c r="H31" s="266">
        <v>13</v>
      </c>
      <c r="I31" s="209">
        <v>103.54</v>
      </c>
      <c r="J31" s="209">
        <f t="shared" si="3"/>
        <v>1346.02</v>
      </c>
      <c r="K31" s="209">
        <f t="shared" si="4"/>
        <v>7300.02</v>
      </c>
      <c r="L31" s="209">
        <f t="shared" si="2"/>
        <v>7300.02</v>
      </c>
      <c r="M31" s="194"/>
      <c r="N31" s="94"/>
    </row>
    <row r="32" spans="1:15">
      <c r="A32" s="26">
        <v>29</v>
      </c>
      <c r="B32" s="27">
        <v>46110</v>
      </c>
      <c r="C32" s="17"/>
      <c r="D32" s="17"/>
      <c r="E32" s="194"/>
      <c r="F32" s="194"/>
      <c r="G32" s="209">
        <f t="shared" si="0"/>
        <v>0</v>
      </c>
      <c r="H32" s="266"/>
      <c r="I32" s="209"/>
      <c r="J32" s="209">
        <f t="shared" si="3"/>
        <v>0</v>
      </c>
      <c r="K32" s="209">
        <f t="shared" si="4"/>
        <v>0</v>
      </c>
      <c r="L32" s="209">
        <f t="shared" si="2"/>
        <v>0</v>
      </c>
      <c r="M32" s="194"/>
      <c r="N32" s="17"/>
    </row>
    <row r="33" spans="1:14">
      <c r="A33" s="26">
        <v>30</v>
      </c>
      <c r="B33" s="27">
        <v>46111</v>
      </c>
      <c r="C33" s="17"/>
      <c r="D33" s="17"/>
      <c r="E33" s="194"/>
      <c r="F33" s="194"/>
      <c r="G33" s="209">
        <f t="shared" ref="G33:G34" si="5">E33*F33</f>
        <v>0</v>
      </c>
      <c r="H33" s="266"/>
      <c r="I33" s="209"/>
      <c r="J33" s="209">
        <f t="shared" si="3"/>
        <v>0</v>
      </c>
      <c r="K33" s="209">
        <f t="shared" si="4"/>
        <v>0</v>
      </c>
      <c r="L33" s="209">
        <f t="shared" si="2"/>
        <v>0</v>
      </c>
      <c r="M33" s="194"/>
      <c r="N33" s="17"/>
    </row>
    <row r="34" spans="1:14">
      <c r="A34" s="26">
        <v>31</v>
      </c>
      <c r="B34" s="27">
        <v>46112</v>
      </c>
      <c r="C34" s="17"/>
      <c r="D34" s="17"/>
      <c r="E34" s="194"/>
      <c r="F34" s="194"/>
      <c r="G34" s="209">
        <f t="shared" si="5"/>
        <v>0</v>
      </c>
      <c r="H34" s="209">
        <v>5</v>
      </c>
      <c r="I34" s="209">
        <v>103.53</v>
      </c>
      <c r="J34" s="209">
        <f t="shared" si="3"/>
        <v>517.65</v>
      </c>
      <c r="K34" s="209">
        <f t="shared" si="1"/>
        <v>517.65</v>
      </c>
      <c r="L34" s="209">
        <f t="shared" si="2"/>
        <v>517.65</v>
      </c>
      <c r="M34" s="194"/>
      <c r="N34" s="17"/>
    </row>
    <row r="35" spans="1:14">
      <c r="A35" s="181"/>
      <c r="B35" s="181"/>
      <c r="C35" s="181"/>
      <c r="D35" s="181"/>
      <c r="E35" s="181">
        <f>SUM(E4:E34)</f>
        <v>375</v>
      </c>
      <c r="F35" s="181"/>
      <c r="G35" s="181">
        <f>SUM(G4:G34)</f>
        <v>34350</v>
      </c>
      <c r="H35" s="181">
        <f>SUM(H4:H34)</f>
        <v>34</v>
      </c>
      <c r="I35" s="181"/>
      <c r="J35" s="181">
        <f>SUM(J4:J34)</f>
        <v>3520.31</v>
      </c>
      <c r="K35" s="181">
        <f>SUM(K4:K34)</f>
        <v>37870.310000000005</v>
      </c>
      <c r="L35" s="181">
        <f>SUM(L4:L34)</f>
        <v>37870.310000000005</v>
      </c>
      <c r="M35" s="181"/>
      <c r="N35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R35"/>
  <sheetViews>
    <sheetView tabSelected="1" workbookViewId="0">
      <pane ySplit="2" topLeftCell="A3" activePane="bottomLeft" state="frozen"/>
      <selection pane="bottomLeft" activeCell="B4" sqref="B4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8" ht="15.75" customHeight="1">
      <c r="A1" s="481" t="s">
        <v>117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</row>
    <row r="2" spans="1:18">
      <c r="A2" s="64" t="s">
        <v>0</v>
      </c>
      <c r="B2" s="64" t="s">
        <v>161</v>
      </c>
      <c r="C2" s="64" t="s">
        <v>162</v>
      </c>
      <c r="D2" s="64" t="s">
        <v>163</v>
      </c>
      <c r="E2" s="91" t="s">
        <v>164</v>
      </c>
      <c r="F2" s="91" t="s">
        <v>165</v>
      </c>
      <c r="G2" s="91" t="s">
        <v>166</v>
      </c>
      <c r="H2" s="91" t="s">
        <v>167</v>
      </c>
      <c r="I2" s="91" t="s">
        <v>165</v>
      </c>
      <c r="J2" s="91" t="s">
        <v>166</v>
      </c>
      <c r="K2" s="91" t="s">
        <v>168</v>
      </c>
      <c r="L2" s="85" t="s">
        <v>169</v>
      </c>
      <c r="M2" s="85" t="s">
        <v>181</v>
      </c>
      <c r="N2" s="64" t="s">
        <v>171</v>
      </c>
    </row>
    <row r="3" spans="1:18">
      <c r="A3" s="482" t="s">
        <v>172</v>
      </c>
      <c r="B3" s="482"/>
      <c r="C3" s="482"/>
      <c r="D3" s="482"/>
      <c r="E3" s="482"/>
      <c r="F3" s="482"/>
      <c r="G3" s="482"/>
      <c r="H3" s="482"/>
      <c r="I3" s="482"/>
      <c r="J3" s="482"/>
      <c r="K3" s="178"/>
      <c r="L3" s="102"/>
      <c r="M3" s="102">
        <v>27054.699999999997</v>
      </c>
    </row>
    <row r="4" spans="1:18">
      <c r="A4" s="26">
        <v>1</v>
      </c>
      <c r="B4" s="27">
        <v>46082</v>
      </c>
      <c r="C4" s="6"/>
      <c r="D4" s="6"/>
      <c r="E4" s="265">
        <v>170</v>
      </c>
      <c r="F4" s="44">
        <v>91.97</v>
      </c>
      <c r="G4" s="66">
        <f>E4*F4</f>
        <v>15634.9</v>
      </c>
      <c r="H4" s="44">
        <v>5</v>
      </c>
      <c r="I4" s="44">
        <v>104.01</v>
      </c>
      <c r="J4" s="66">
        <f>H4*I4</f>
        <v>520.05000000000007</v>
      </c>
      <c r="K4" s="66">
        <f>G4+J4</f>
        <v>16154.949999999999</v>
      </c>
      <c r="L4" s="66">
        <v>0</v>
      </c>
      <c r="M4" s="66">
        <f>M3+K4-L4</f>
        <v>43209.649999999994</v>
      </c>
      <c r="N4" s="6"/>
    </row>
    <row r="5" spans="1:18">
      <c r="A5" s="26">
        <v>2</v>
      </c>
      <c r="B5" s="27">
        <v>46083</v>
      </c>
      <c r="C5" s="6"/>
      <c r="D5" s="6"/>
      <c r="E5" s="265"/>
      <c r="F5" s="44"/>
      <c r="G5" s="66">
        <f t="shared" ref="G5:G33" si="0">E5*F5</f>
        <v>0</v>
      </c>
      <c r="H5" s="44">
        <v>10</v>
      </c>
      <c r="I5" s="44">
        <v>104.01</v>
      </c>
      <c r="J5" s="66">
        <f t="shared" ref="J5:J33" si="1">H5*I5</f>
        <v>1040.1000000000001</v>
      </c>
      <c r="K5" s="66">
        <f t="shared" ref="K5:K33" si="2">G5+J5</f>
        <v>1040.1000000000001</v>
      </c>
      <c r="L5" s="66">
        <v>0</v>
      </c>
      <c r="M5" s="66">
        <f t="shared" ref="M5:M30" si="3">M4+K5-L5</f>
        <v>44249.749999999993</v>
      </c>
      <c r="N5" s="6"/>
    </row>
    <row r="6" spans="1:18">
      <c r="A6" s="26">
        <v>3</v>
      </c>
      <c r="B6" s="27">
        <v>46084</v>
      </c>
      <c r="C6" s="6"/>
      <c r="D6" s="6"/>
      <c r="E6" s="265">
        <v>100</v>
      </c>
      <c r="F6" s="44">
        <v>91.97</v>
      </c>
      <c r="G6" s="66">
        <f t="shared" ref="G6:G34" si="4">E6*F6</f>
        <v>9197</v>
      </c>
      <c r="H6" s="44"/>
      <c r="I6" s="44"/>
      <c r="J6" s="66">
        <f t="shared" ref="J6:J34" si="5">H6*I6</f>
        <v>0</v>
      </c>
      <c r="K6" s="66">
        <f t="shared" si="2"/>
        <v>9197</v>
      </c>
      <c r="L6" s="66">
        <v>0</v>
      </c>
      <c r="M6" s="66">
        <f t="shared" si="3"/>
        <v>53446.749999999993</v>
      </c>
      <c r="N6" s="6"/>
    </row>
    <row r="7" spans="1:18">
      <c r="A7" s="26">
        <v>4</v>
      </c>
      <c r="B7" s="27">
        <v>46085</v>
      </c>
      <c r="C7" s="6"/>
      <c r="D7" s="6"/>
      <c r="E7" s="265"/>
      <c r="F7" s="44"/>
      <c r="G7" s="66">
        <f t="shared" si="4"/>
        <v>0</v>
      </c>
      <c r="H7" s="44"/>
      <c r="I7" s="44"/>
      <c r="J7" s="66">
        <f t="shared" si="5"/>
        <v>0</v>
      </c>
      <c r="K7" s="66">
        <f t="shared" si="2"/>
        <v>0</v>
      </c>
      <c r="L7" s="66">
        <v>0</v>
      </c>
      <c r="M7" s="66">
        <f t="shared" si="3"/>
        <v>53446.749999999993</v>
      </c>
      <c r="N7" s="6"/>
    </row>
    <row r="8" spans="1:18">
      <c r="A8" s="26">
        <v>5</v>
      </c>
      <c r="B8" s="27">
        <v>46086</v>
      </c>
      <c r="C8" s="6"/>
      <c r="D8" s="6"/>
      <c r="E8" s="265">
        <v>90</v>
      </c>
      <c r="F8" s="44">
        <v>91.97</v>
      </c>
      <c r="G8" s="66">
        <f t="shared" si="4"/>
        <v>8277.2999999999993</v>
      </c>
      <c r="H8" s="44">
        <v>5</v>
      </c>
      <c r="I8" s="44">
        <v>104.01</v>
      </c>
      <c r="J8" s="66">
        <f t="shared" si="5"/>
        <v>520.05000000000007</v>
      </c>
      <c r="K8" s="66">
        <f t="shared" si="2"/>
        <v>8797.3499999999985</v>
      </c>
      <c r="L8" s="66">
        <v>27053.8</v>
      </c>
      <c r="M8" s="66">
        <f t="shared" si="3"/>
        <v>35190.299999999988</v>
      </c>
      <c r="N8" s="6"/>
    </row>
    <row r="9" spans="1:18">
      <c r="A9" s="26">
        <v>6</v>
      </c>
      <c r="B9" s="27">
        <v>46087</v>
      </c>
      <c r="C9" s="6"/>
      <c r="D9" s="6"/>
      <c r="E9" s="265">
        <v>50</v>
      </c>
      <c r="F9" s="44">
        <v>91.97</v>
      </c>
      <c r="G9" s="66">
        <f t="shared" si="4"/>
        <v>4598.5</v>
      </c>
      <c r="H9" s="44">
        <v>5</v>
      </c>
      <c r="I9" s="44">
        <v>104.01</v>
      </c>
      <c r="J9" s="66">
        <f t="shared" si="5"/>
        <v>520.05000000000007</v>
      </c>
      <c r="K9" s="66">
        <f t="shared" si="2"/>
        <v>5118.55</v>
      </c>
      <c r="L9" s="66">
        <v>0</v>
      </c>
      <c r="M9" s="66">
        <f t="shared" si="3"/>
        <v>40308.849999999991</v>
      </c>
      <c r="N9" s="6"/>
      <c r="R9" s="44"/>
    </row>
    <row r="10" spans="1:18">
      <c r="A10" s="26">
        <v>7</v>
      </c>
      <c r="B10" s="27">
        <v>46088</v>
      </c>
      <c r="C10" s="6"/>
      <c r="D10" s="6"/>
      <c r="E10" s="265">
        <v>130</v>
      </c>
      <c r="F10" s="44">
        <v>91.97</v>
      </c>
      <c r="G10" s="66">
        <f t="shared" si="4"/>
        <v>11956.1</v>
      </c>
      <c r="H10" s="44"/>
      <c r="I10" s="44"/>
      <c r="J10" s="66">
        <f t="shared" si="5"/>
        <v>0</v>
      </c>
      <c r="K10" s="66">
        <f t="shared" si="2"/>
        <v>11956.1</v>
      </c>
      <c r="L10" s="66">
        <v>0</v>
      </c>
      <c r="M10" s="66">
        <f t="shared" si="3"/>
        <v>52264.94999999999</v>
      </c>
      <c r="N10" s="6"/>
    </row>
    <row r="11" spans="1:18">
      <c r="A11" s="26">
        <v>8</v>
      </c>
      <c r="B11" s="27">
        <v>46089</v>
      </c>
      <c r="C11" s="6"/>
      <c r="D11" s="6"/>
      <c r="E11" s="265"/>
      <c r="F11" s="44"/>
      <c r="G11" s="66">
        <f t="shared" si="4"/>
        <v>0</v>
      </c>
      <c r="H11" s="44"/>
      <c r="I11" s="44"/>
      <c r="J11" s="66">
        <f t="shared" si="5"/>
        <v>0</v>
      </c>
      <c r="K11" s="66">
        <f t="shared" si="2"/>
        <v>0</v>
      </c>
      <c r="L11" s="66">
        <v>0</v>
      </c>
      <c r="M11" s="66">
        <f t="shared" si="3"/>
        <v>52264.94999999999</v>
      </c>
      <c r="N11" s="6"/>
    </row>
    <row r="12" spans="1:18">
      <c r="A12" s="26">
        <v>9</v>
      </c>
      <c r="B12" s="27">
        <v>46090</v>
      </c>
      <c r="C12" s="6"/>
      <c r="D12" s="6"/>
      <c r="E12" s="265">
        <v>100</v>
      </c>
      <c r="F12" s="44">
        <v>91.97</v>
      </c>
      <c r="G12" s="66">
        <f t="shared" si="4"/>
        <v>9197</v>
      </c>
      <c r="H12" s="44">
        <v>15</v>
      </c>
      <c r="I12" s="44">
        <v>104.01</v>
      </c>
      <c r="J12" s="66">
        <f t="shared" si="5"/>
        <v>1560.15</v>
      </c>
      <c r="K12" s="66">
        <f t="shared" si="2"/>
        <v>10757.15</v>
      </c>
      <c r="L12" s="66">
        <v>0</v>
      </c>
      <c r="M12" s="66">
        <f t="shared" si="3"/>
        <v>63022.099999999991</v>
      </c>
      <c r="N12" s="6"/>
    </row>
    <row r="13" spans="1:18">
      <c r="A13" s="26">
        <v>10</v>
      </c>
      <c r="B13" s="27">
        <v>46091</v>
      </c>
      <c r="C13" s="6"/>
      <c r="D13" s="6"/>
      <c r="E13" s="265">
        <v>155</v>
      </c>
      <c r="F13" s="44">
        <v>91.97</v>
      </c>
      <c r="G13" s="66">
        <f t="shared" si="4"/>
        <v>14255.35</v>
      </c>
      <c r="H13" s="44"/>
      <c r="I13" s="44"/>
      <c r="J13" s="66">
        <f t="shared" si="5"/>
        <v>0</v>
      </c>
      <c r="K13" s="66">
        <f t="shared" si="2"/>
        <v>14255.35</v>
      </c>
      <c r="L13" s="66">
        <v>0</v>
      </c>
      <c r="M13" s="66">
        <f t="shared" si="3"/>
        <v>77277.45</v>
      </c>
      <c r="N13" s="6"/>
    </row>
    <row r="14" spans="1:18">
      <c r="A14" s="26">
        <v>11</v>
      </c>
      <c r="B14" s="27">
        <v>46092</v>
      </c>
      <c r="C14" s="6"/>
      <c r="D14" s="6"/>
      <c r="E14" s="265">
        <v>30</v>
      </c>
      <c r="F14" s="44">
        <v>91.97</v>
      </c>
      <c r="G14" s="66">
        <f t="shared" si="4"/>
        <v>2759.1</v>
      </c>
      <c r="H14" s="44">
        <v>10</v>
      </c>
      <c r="I14" s="44">
        <v>104.01</v>
      </c>
      <c r="J14" s="66">
        <f t="shared" si="5"/>
        <v>1040.1000000000001</v>
      </c>
      <c r="K14" s="66">
        <f t="shared" si="2"/>
        <v>3799.2</v>
      </c>
      <c r="L14" s="66">
        <v>0</v>
      </c>
      <c r="M14" s="66">
        <f t="shared" si="3"/>
        <v>81076.649999999994</v>
      </c>
      <c r="N14" s="6"/>
    </row>
    <row r="15" spans="1:18">
      <c r="A15" s="26">
        <v>12</v>
      </c>
      <c r="B15" s="27">
        <v>46093</v>
      </c>
      <c r="C15" s="6"/>
      <c r="D15" s="6"/>
      <c r="E15" s="265"/>
      <c r="F15" s="44"/>
      <c r="G15" s="66">
        <f t="shared" si="4"/>
        <v>0</v>
      </c>
      <c r="H15" s="44">
        <v>10</v>
      </c>
      <c r="I15" s="44">
        <v>104.01</v>
      </c>
      <c r="J15" s="66">
        <f t="shared" si="5"/>
        <v>1040.1000000000001</v>
      </c>
      <c r="K15" s="66">
        <f t="shared" si="2"/>
        <v>1040.1000000000001</v>
      </c>
      <c r="L15" s="66">
        <v>0</v>
      </c>
      <c r="M15" s="66">
        <f t="shared" si="3"/>
        <v>82116.75</v>
      </c>
      <c r="N15" s="6"/>
    </row>
    <row r="16" spans="1:18">
      <c r="A16" s="26">
        <v>13</v>
      </c>
      <c r="B16" s="27">
        <v>46094</v>
      </c>
      <c r="C16" s="6"/>
      <c r="D16" s="6"/>
      <c r="E16" s="265">
        <v>130</v>
      </c>
      <c r="F16" s="44">
        <v>91.97</v>
      </c>
      <c r="G16" s="66">
        <f t="shared" si="4"/>
        <v>11956.1</v>
      </c>
      <c r="H16" s="44"/>
      <c r="I16" s="44"/>
      <c r="J16" s="66">
        <f t="shared" si="5"/>
        <v>0</v>
      </c>
      <c r="K16" s="66">
        <f t="shared" si="2"/>
        <v>11956.1</v>
      </c>
      <c r="L16" s="66">
        <v>80000</v>
      </c>
      <c r="M16" s="66">
        <f t="shared" si="3"/>
        <v>14072.850000000006</v>
      </c>
      <c r="N16" s="6"/>
    </row>
    <row r="17" spans="1:14">
      <c r="A17" s="26">
        <v>14</v>
      </c>
      <c r="B17" s="27">
        <v>46095</v>
      </c>
      <c r="C17" s="177"/>
      <c r="D17" s="6"/>
      <c r="E17" s="265"/>
      <c r="F17" s="44"/>
      <c r="G17" s="66">
        <f t="shared" si="4"/>
        <v>0</v>
      </c>
      <c r="H17" s="44">
        <v>5</v>
      </c>
      <c r="I17" s="44">
        <v>104.01</v>
      </c>
      <c r="J17" s="66">
        <f t="shared" si="5"/>
        <v>520.05000000000007</v>
      </c>
      <c r="K17" s="66">
        <f t="shared" si="2"/>
        <v>520.05000000000007</v>
      </c>
      <c r="L17" s="66">
        <v>0</v>
      </c>
      <c r="M17" s="66">
        <f t="shared" si="3"/>
        <v>14592.900000000005</v>
      </c>
      <c r="N17" s="6"/>
    </row>
    <row r="18" spans="1:14">
      <c r="A18" s="26">
        <v>15</v>
      </c>
      <c r="B18" s="27">
        <v>46096</v>
      </c>
      <c r="C18" s="177"/>
      <c r="D18" s="6"/>
      <c r="E18" s="265">
        <v>130</v>
      </c>
      <c r="F18" s="44">
        <v>91.97</v>
      </c>
      <c r="G18" s="66">
        <f t="shared" si="4"/>
        <v>11956.1</v>
      </c>
      <c r="H18" s="44">
        <v>5</v>
      </c>
      <c r="I18" s="44">
        <v>104.01</v>
      </c>
      <c r="J18" s="66">
        <f t="shared" si="5"/>
        <v>520.05000000000007</v>
      </c>
      <c r="K18" s="66">
        <f t="shared" si="2"/>
        <v>12476.15</v>
      </c>
      <c r="L18" s="66">
        <v>0</v>
      </c>
      <c r="M18" s="66">
        <f t="shared" si="3"/>
        <v>27069.050000000003</v>
      </c>
      <c r="N18" s="6"/>
    </row>
    <row r="19" spans="1:14">
      <c r="A19" s="26">
        <v>16</v>
      </c>
      <c r="B19" s="27">
        <v>46097</v>
      </c>
      <c r="C19" s="177"/>
      <c r="D19" s="6"/>
      <c r="E19" s="265">
        <v>80</v>
      </c>
      <c r="F19" s="44">
        <v>91.97</v>
      </c>
      <c r="G19" s="66">
        <f t="shared" si="4"/>
        <v>7357.6</v>
      </c>
      <c r="H19" s="44"/>
      <c r="I19" s="44"/>
      <c r="J19" s="66">
        <f t="shared" si="5"/>
        <v>0</v>
      </c>
      <c r="K19" s="66">
        <f t="shared" si="2"/>
        <v>7357.6</v>
      </c>
      <c r="L19" s="66">
        <v>0</v>
      </c>
      <c r="M19" s="66">
        <f t="shared" si="3"/>
        <v>34426.65</v>
      </c>
      <c r="N19" s="6"/>
    </row>
    <row r="20" spans="1:14">
      <c r="A20" s="26">
        <v>17</v>
      </c>
      <c r="B20" s="27">
        <v>46098</v>
      </c>
      <c r="C20" s="177"/>
      <c r="D20" s="6"/>
      <c r="E20" s="265">
        <v>90</v>
      </c>
      <c r="F20" s="44">
        <v>91.97</v>
      </c>
      <c r="G20" s="66">
        <f t="shared" si="4"/>
        <v>8277.2999999999993</v>
      </c>
      <c r="H20" s="44"/>
      <c r="I20" s="44"/>
      <c r="J20" s="66">
        <f t="shared" si="5"/>
        <v>0</v>
      </c>
      <c r="K20" s="66">
        <f t="shared" si="2"/>
        <v>8277.2999999999993</v>
      </c>
      <c r="L20" s="66">
        <v>0</v>
      </c>
      <c r="M20" s="66">
        <f t="shared" si="3"/>
        <v>42703.95</v>
      </c>
      <c r="N20" s="6"/>
    </row>
    <row r="21" spans="1:14">
      <c r="A21" s="26">
        <v>18</v>
      </c>
      <c r="B21" s="27">
        <v>46099</v>
      </c>
      <c r="C21" s="177"/>
      <c r="D21" s="6"/>
      <c r="E21" s="265"/>
      <c r="F21" s="44"/>
      <c r="G21" s="66">
        <f t="shared" si="4"/>
        <v>0</v>
      </c>
      <c r="H21" s="44">
        <v>15</v>
      </c>
      <c r="I21" s="44">
        <v>104.01</v>
      </c>
      <c r="J21" s="66">
        <f t="shared" si="5"/>
        <v>1560.15</v>
      </c>
      <c r="K21" s="66">
        <f t="shared" si="2"/>
        <v>1560.15</v>
      </c>
      <c r="L21" s="66">
        <v>0</v>
      </c>
      <c r="M21" s="66">
        <f t="shared" si="3"/>
        <v>44264.1</v>
      </c>
      <c r="N21" s="6"/>
    </row>
    <row r="22" spans="1:14">
      <c r="A22" s="26">
        <v>19</v>
      </c>
      <c r="B22" s="27">
        <v>46100</v>
      </c>
      <c r="C22" s="177"/>
      <c r="D22" s="6"/>
      <c r="E22" s="265">
        <v>120</v>
      </c>
      <c r="F22" s="44">
        <v>91.97</v>
      </c>
      <c r="G22" s="66">
        <f t="shared" si="4"/>
        <v>11036.4</v>
      </c>
      <c r="H22" s="44"/>
      <c r="I22" s="44"/>
      <c r="J22" s="66">
        <f t="shared" si="5"/>
        <v>0</v>
      </c>
      <c r="K22" s="66">
        <f t="shared" si="2"/>
        <v>11036.4</v>
      </c>
      <c r="L22" s="66">
        <v>0</v>
      </c>
      <c r="M22" s="66">
        <f t="shared" si="3"/>
        <v>55300.5</v>
      </c>
      <c r="N22" s="6"/>
    </row>
    <row r="23" spans="1:14">
      <c r="A23" s="26">
        <v>20</v>
      </c>
      <c r="B23" s="27">
        <v>46101</v>
      </c>
      <c r="C23" s="177"/>
      <c r="D23" s="6"/>
      <c r="E23" s="265">
        <v>120</v>
      </c>
      <c r="F23" s="44">
        <v>91.97</v>
      </c>
      <c r="G23" s="66">
        <f t="shared" si="4"/>
        <v>11036.4</v>
      </c>
      <c r="H23" s="44">
        <v>5</v>
      </c>
      <c r="I23" s="44">
        <v>104.01</v>
      </c>
      <c r="J23" s="66">
        <f t="shared" si="5"/>
        <v>520.05000000000007</v>
      </c>
      <c r="K23" s="66">
        <f t="shared" si="2"/>
        <v>11556.449999999999</v>
      </c>
      <c r="L23" s="66">
        <v>0</v>
      </c>
      <c r="M23" s="66">
        <f t="shared" si="3"/>
        <v>66856.95</v>
      </c>
      <c r="N23" s="6"/>
    </row>
    <row r="24" spans="1:14">
      <c r="A24" s="26">
        <v>21</v>
      </c>
      <c r="B24" s="27">
        <v>46102</v>
      </c>
      <c r="C24" s="177"/>
      <c r="D24" s="6"/>
      <c r="E24" s="265"/>
      <c r="F24" s="44"/>
      <c r="G24" s="66">
        <f t="shared" si="4"/>
        <v>0</v>
      </c>
      <c r="H24" s="44"/>
      <c r="I24" s="44"/>
      <c r="J24" s="66">
        <f t="shared" si="5"/>
        <v>0</v>
      </c>
      <c r="K24" s="66">
        <f t="shared" si="2"/>
        <v>0</v>
      </c>
      <c r="L24" s="66">
        <v>0</v>
      </c>
      <c r="M24" s="66">
        <f t="shared" si="3"/>
        <v>66856.95</v>
      </c>
      <c r="N24" s="6"/>
    </row>
    <row r="25" spans="1:14">
      <c r="A25" s="26">
        <v>22</v>
      </c>
      <c r="B25" s="27">
        <v>46103</v>
      </c>
      <c r="C25" s="177"/>
      <c r="D25" s="6"/>
      <c r="E25" s="265"/>
      <c r="F25" s="44"/>
      <c r="G25" s="66">
        <f t="shared" si="4"/>
        <v>0</v>
      </c>
      <c r="H25" s="44">
        <v>5</v>
      </c>
      <c r="I25" s="44">
        <v>104.01</v>
      </c>
      <c r="J25" s="66">
        <f t="shared" si="5"/>
        <v>520.05000000000007</v>
      </c>
      <c r="K25" s="66">
        <f t="shared" si="2"/>
        <v>520.05000000000007</v>
      </c>
      <c r="L25" s="66">
        <v>0</v>
      </c>
      <c r="M25" s="66">
        <f t="shared" si="3"/>
        <v>67377</v>
      </c>
      <c r="N25" s="6"/>
    </row>
    <row r="26" spans="1:14">
      <c r="A26" s="26">
        <v>23</v>
      </c>
      <c r="B26" s="27">
        <v>46104</v>
      </c>
      <c r="C26" s="177"/>
      <c r="D26" s="6"/>
      <c r="E26" s="265">
        <v>25</v>
      </c>
      <c r="F26" s="44">
        <v>91.97</v>
      </c>
      <c r="G26" s="66">
        <f t="shared" si="4"/>
        <v>2299.25</v>
      </c>
      <c r="H26" s="44"/>
      <c r="I26" s="44"/>
      <c r="J26" s="66">
        <f t="shared" si="5"/>
        <v>0</v>
      </c>
      <c r="K26" s="66">
        <f t="shared" si="2"/>
        <v>2299.25</v>
      </c>
      <c r="L26" s="66">
        <v>67000</v>
      </c>
      <c r="M26" s="66">
        <f t="shared" si="3"/>
        <v>2676.25</v>
      </c>
      <c r="N26" s="6"/>
    </row>
    <row r="27" spans="1:14">
      <c r="A27" s="26">
        <v>24</v>
      </c>
      <c r="B27" s="27">
        <v>46105</v>
      </c>
      <c r="C27" s="177"/>
      <c r="D27" s="6"/>
      <c r="E27" s="265">
        <v>130</v>
      </c>
      <c r="F27" s="44">
        <v>91.97</v>
      </c>
      <c r="G27" s="66">
        <f t="shared" si="4"/>
        <v>11956.1</v>
      </c>
      <c r="H27" s="44">
        <v>5</v>
      </c>
      <c r="I27" s="44">
        <v>104.01</v>
      </c>
      <c r="J27" s="66">
        <f t="shared" si="5"/>
        <v>520.05000000000007</v>
      </c>
      <c r="K27" s="66">
        <f t="shared" si="2"/>
        <v>12476.15</v>
      </c>
      <c r="L27" s="66">
        <v>0</v>
      </c>
      <c r="M27" s="66">
        <f t="shared" si="3"/>
        <v>15152.4</v>
      </c>
      <c r="N27" s="6"/>
    </row>
    <row r="28" spans="1:14">
      <c r="A28" s="26">
        <v>25</v>
      </c>
      <c r="B28" s="27">
        <v>46106</v>
      </c>
      <c r="C28" s="177"/>
      <c r="D28" s="6"/>
      <c r="E28" s="265">
        <v>35</v>
      </c>
      <c r="F28" s="44">
        <v>91.97</v>
      </c>
      <c r="G28" s="66">
        <f t="shared" si="4"/>
        <v>3218.95</v>
      </c>
      <c r="H28" s="44">
        <v>15</v>
      </c>
      <c r="I28" s="44">
        <v>104.01</v>
      </c>
      <c r="J28" s="66">
        <f t="shared" si="5"/>
        <v>1560.15</v>
      </c>
      <c r="K28" s="66">
        <f t="shared" si="2"/>
        <v>4779.1000000000004</v>
      </c>
      <c r="L28" s="66">
        <v>0</v>
      </c>
      <c r="M28" s="66">
        <f t="shared" si="3"/>
        <v>19931.5</v>
      </c>
      <c r="N28" s="6"/>
    </row>
    <row r="29" spans="1:14">
      <c r="A29" s="26">
        <v>26</v>
      </c>
      <c r="B29" s="27">
        <v>46107</v>
      </c>
      <c r="C29" s="177"/>
      <c r="D29" s="6"/>
      <c r="E29" s="265">
        <v>130</v>
      </c>
      <c r="F29" s="44">
        <v>91.97</v>
      </c>
      <c r="G29" s="66">
        <f t="shared" si="4"/>
        <v>11956.1</v>
      </c>
      <c r="H29" s="44">
        <v>5</v>
      </c>
      <c r="I29" s="44">
        <v>104.01</v>
      </c>
      <c r="J29" s="66">
        <f t="shared" si="5"/>
        <v>520.05000000000007</v>
      </c>
      <c r="K29" s="66">
        <f t="shared" si="2"/>
        <v>12476.15</v>
      </c>
      <c r="L29" s="66">
        <v>0</v>
      </c>
      <c r="M29" s="66">
        <f t="shared" si="3"/>
        <v>32407.65</v>
      </c>
      <c r="N29" s="6"/>
    </row>
    <row r="30" spans="1:14">
      <c r="A30" s="26">
        <v>27</v>
      </c>
      <c r="B30" s="27">
        <v>46108</v>
      </c>
      <c r="C30" s="177"/>
      <c r="D30" s="6"/>
      <c r="E30" s="265"/>
      <c r="F30" s="44"/>
      <c r="G30" s="66">
        <f t="shared" si="4"/>
        <v>0</v>
      </c>
      <c r="H30" s="44">
        <v>5</v>
      </c>
      <c r="I30" s="44">
        <v>104.01</v>
      </c>
      <c r="J30" s="66">
        <f t="shared" si="5"/>
        <v>520.05000000000007</v>
      </c>
      <c r="K30" s="66">
        <f t="shared" si="2"/>
        <v>520.05000000000007</v>
      </c>
      <c r="L30" s="66">
        <v>0</v>
      </c>
      <c r="M30" s="66">
        <f t="shared" si="3"/>
        <v>32927.700000000004</v>
      </c>
      <c r="N30" s="6"/>
    </row>
    <row r="31" spans="1:14">
      <c r="A31" s="217">
        <v>28</v>
      </c>
      <c r="B31" s="27">
        <v>46109</v>
      </c>
      <c r="C31" s="177"/>
      <c r="D31" s="6"/>
      <c r="E31" s="440">
        <v>50</v>
      </c>
      <c r="F31" s="440">
        <v>91.97</v>
      </c>
      <c r="G31" s="66">
        <f t="shared" si="4"/>
        <v>4598.5</v>
      </c>
      <c r="H31" s="44">
        <v>40</v>
      </c>
      <c r="I31" s="44">
        <v>104.01</v>
      </c>
      <c r="J31" s="66">
        <f t="shared" si="5"/>
        <v>4160.4000000000005</v>
      </c>
      <c r="K31" s="66">
        <f t="shared" si="2"/>
        <v>8758.9000000000015</v>
      </c>
      <c r="L31" s="66">
        <v>0</v>
      </c>
      <c r="M31" s="66">
        <f t="shared" ref="M31:M32" si="6">M30+K31-L31</f>
        <v>41686.600000000006</v>
      </c>
      <c r="N31" s="6"/>
    </row>
    <row r="32" spans="1:14">
      <c r="A32" s="26">
        <v>29</v>
      </c>
      <c r="B32" s="27">
        <v>46110</v>
      </c>
      <c r="C32" s="177"/>
      <c r="D32" s="6"/>
      <c r="E32" s="440">
        <v>100</v>
      </c>
      <c r="F32" s="440">
        <v>91.97</v>
      </c>
      <c r="G32" s="66">
        <f t="shared" si="4"/>
        <v>9197</v>
      </c>
      <c r="H32" s="44"/>
      <c r="I32" s="44"/>
      <c r="J32" s="66">
        <f t="shared" si="5"/>
        <v>0</v>
      </c>
      <c r="K32" s="66">
        <f t="shared" si="2"/>
        <v>9197</v>
      </c>
      <c r="L32" s="66">
        <v>0</v>
      </c>
      <c r="M32" s="66">
        <f t="shared" si="6"/>
        <v>50883.600000000006</v>
      </c>
      <c r="N32" s="6"/>
    </row>
    <row r="33" spans="1:14">
      <c r="A33" s="26">
        <v>30</v>
      </c>
      <c r="B33" s="27">
        <v>46111</v>
      </c>
      <c r="C33" s="177"/>
      <c r="D33" s="6"/>
      <c r="E33" s="265">
        <v>50</v>
      </c>
      <c r="F33" s="44">
        <v>91.97</v>
      </c>
      <c r="G33" s="66">
        <f t="shared" si="4"/>
        <v>4598.5</v>
      </c>
      <c r="H33" s="44">
        <v>5</v>
      </c>
      <c r="I33" s="44">
        <v>104.01</v>
      </c>
      <c r="J33" s="66">
        <f t="shared" si="5"/>
        <v>520.05000000000007</v>
      </c>
      <c r="K33" s="66">
        <f t="shared" si="2"/>
        <v>5118.55</v>
      </c>
      <c r="L33" s="66">
        <v>32000</v>
      </c>
      <c r="M33" s="66">
        <f t="shared" ref="M33:M34" si="7">M32+K33-L33</f>
        <v>24002.150000000009</v>
      </c>
      <c r="N33" s="6"/>
    </row>
    <row r="34" spans="1:14">
      <c r="A34" s="26">
        <v>31</v>
      </c>
      <c r="B34" s="27">
        <v>46112</v>
      </c>
      <c r="C34" s="177"/>
      <c r="D34" s="6"/>
      <c r="E34" s="265">
        <v>100</v>
      </c>
      <c r="F34" s="44">
        <v>91.97</v>
      </c>
      <c r="G34" s="66">
        <f t="shared" si="4"/>
        <v>9197</v>
      </c>
      <c r="H34" s="44">
        <v>15</v>
      </c>
      <c r="I34" s="44">
        <v>104.01</v>
      </c>
      <c r="J34" s="66">
        <f t="shared" si="5"/>
        <v>1560.15</v>
      </c>
      <c r="K34" s="66">
        <f t="shared" ref="K34" si="8">G34+J34</f>
        <v>10757.15</v>
      </c>
      <c r="L34" s="66">
        <v>0</v>
      </c>
      <c r="M34" s="66">
        <f t="shared" si="7"/>
        <v>34759.30000000001</v>
      </c>
      <c r="N34" s="6"/>
    </row>
    <row r="35" spans="1:14">
      <c r="A35" s="42"/>
      <c r="B35" s="42"/>
      <c r="C35" s="42"/>
      <c r="D35" s="42"/>
      <c r="E35" s="42">
        <f>SUM(E4:E34)</f>
        <v>2115</v>
      </c>
      <c r="F35" s="42"/>
      <c r="G35" s="42">
        <f>SUM(G4:G34)</f>
        <v>194516.55000000005</v>
      </c>
      <c r="H35" s="42">
        <f>SUM(H4:H34)</f>
        <v>185</v>
      </c>
      <c r="I35" s="42"/>
      <c r="J35" s="42">
        <f>SUM(J4:J34)</f>
        <v>19241.849999999999</v>
      </c>
      <c r="K35" s="42">
        <f>SUM(K4:K34)</f>
        <v>213758.39999999997</v>
      </c>
      <c r="L35" s="42">
        <f>SUM(L4:L34)</f>
        <v>206053.8</v>
      </c>
      <c r="M35" s="42"/>
      <c r="N35" s="42"/>
    </row>
  </sheetData>
  <mergeCells count="2">
    <mergeCell ref="A1:N1"/>
    <mergeCell ref="A3:J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Q55"/>
  <sheetViews>
    <sheetView workbookViewId="0">
      <pane ySplit="2" topLeftCell="A5" activePane="bottomLeft" state="frozen"/>
      <selection pane="bottomLeft" sqref="A1:N1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2" bestFit="1" customWidth="1"/>
    <col min="6" max="6" width="9.5703125" style="22" bestFit="1" customWidth="1"/>
    <col min="7" max="7" width="10.42578125" style="22" bestFit="1" customWidth="1"/>
    <col min="8" max="8" width="10.7109375" style="22" bestFit="1" customWidth="1"/>
    <col min="9" max="9" width="7.140625" style="22" bestFit="1" customWidth="1"/>
    <col min="10" max="10" width="8.7109375" style="22" bestFit="1" customWidth="1"/>
    <col min="11" max="11" width="13.5703125" style="22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4" ht="15.75">
      <c r="A1" s="483" t="s">
        <v>219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</row>
    <row r="2" spans="1:14" ht="30">
      <c r="A2" s="64" t="s">
        <v>0</v>
      </c>
      <c r="B2" s="83" t="s">
        <v>161</v>
      </c>
      <c r="C2" s="83" t="s">
        <v>162</v>
      </c>
      <c r="D2" s="83" t="s">
        <v>163</v>
      </c>
      <c r="E2" s="90" t="s">
        <v>164</v>
      </c>
      <c r="F2" s="90" t="s">
        <v>165</v>
      </c>
      <c r="G2" s="90" t="s">
        <v>166</v>
      </c>
      <c r="H2" s="90" t="s">
        <v>167</v>
      </c>
      <c r="I2" s="90" t="s">
        <v>165</v>
      </c>
      <c r="J2" s="90" t="s">
        <v>166</v>
      </c>
      <c r="K2" s="91" t="s">
        <v>168</v>
      </c>
      <c r="L2" s="85" t="s">
        <v>169</v>
      </c>
      <c r="M2" s="85" t="s">
        <v>181</v>
      </c>
      <c r="N2" s="125" t="s">
        <v>171</v>
      </c>
    </row>
    <row r="3" spans="1:14">
      <c r="A3" s="462" t="s">
        <v>172</v>
      </c>
      <c r="B3" s="462"/>
      <c r="C3" s="462"/>
      <c r="D3" s="462"/>
      <c r="E3" s="462"/>
      <c r="F3" s="462"/>
      <c r="G3" s="462"/>
      <c r="H3" s="462"/>
      <c r="I3" s="462"/>
      <c r="J3" s="466"/>
      <c r="K3" s="202">
        <v>337793.25360000017</v>
      </c>
      <c r="M3" s="135">
        <f>+K3</f>
        <v>337793.25360000017</v>
      </c>
      <c r="N3" s="94"/>
    </row>
    <row r="4" spans="1:14">
      <c r="A4" s="26">
        <v>1</v>
      </c>
      <c r="B4" s="27">
        <v>46082</v>
      </c>
      <c r="C4" s="17"/>
      <c r="D4" s="17"/>
      <c r="E4" s="40"/>
      <c r="F4" s="40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/>
      <c r="M4" s="136">
        <f>M3+K4-L4</f>
        <v>337793.25360000017</v>
      </c>
      <c r="N4" s="17"/>
    </row>
    <row r="5" spans="1:14">
      <c r="A5" s="26">
        <v>2</v>
      </c>
      <c r="B5" s="27">
        <v>46083</v>
      </c>
      <c r="C5" s="17"/>
      <c r="D5" s="17"/>
      <c r="E5" s="40">
        <v>2800</v>
      </c>
      <c r="F5" s="40">
        <v>91.71</v>
      </c>
      <c r="G5" s="40">
        <f t="shared" ref="G5:G39" si="0">E5*F5</f>
        <v>256787.99999999997</v>
      </c>
      <c r="H5" s="40">
        <v>25</v>
      </c>
      <c r="I5" s="40">
        <v>105.19</v>
      </c>
      <c r="J5" s="40">
        <f t="shared" ref="J5:J39" si="1">H5*I5</f>
        <v>2629.75</v>
      </c>
      <c r="K5" s="40">
        <f t="shared" ref="K5:L39" si="2">G5+J5</f>
        <v>259417.74999999997</v>
      </c>
      <c r="L5" s="40"/>
      <c r="M5" s="136">
        <f>M4+K5-L5</f>
        <v>597211.00360000017</v>
      </c>
      <c r="N5" s="17"/>
    </row>
    <row r="6" spans="1:14">
      <c r="A6" s="26"/>
      <c r="B6" s="27">
        <v>46083</v>
      </c>
      <c r="C6" s="17"/>
      <c r="D6" s="17"/>
      <c r="E6" s="40">
        <v>46.51</v>
      </c>
      <c r="F6" s="40">
        <v>95.7</v>
      </c>
      <c r="G6" s="40">
        <f t="shared" si="0"/>
        <v>4451.0069999999996</v>
      </c>
      <c r="H6" s="40"/>
      <c r="I6" s="40"/>
      <c r="J6" s="40"/>
      <c r="K6" s="40">
        <f t="shared" si="2"/>
        <v>4451.0069999999996</v>
      </c>
      <c r="L6" s="40">
        <v>4451.01</v>
      </c>
      <c r="M6" s="136">
        <f>M5+K6-L6</f>
        <v>597211.00060000014</v>
      </c>
      <c r="N6" s="17"/>
    </row>
    <row r="7" spans="1:14">
      <c r="A7" s="26">
        <v>3</v>
      </c>
      <c r="B7" s="27">
        <v>46084</v>
      </c>
      <c r="C7" s="17"/>
      <c r="D7" s="17"/>
      <c r="E7" s="40">
        <v>0</v>
      </c>
      <c r="F7" s="40">
        <v>0</v>
      </c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/>
      <c r="M7" s="136">
        <f t="shared" ref="M5:M16" si="3">M6+K7-L7</f>
        <v>597211.00060000014</v>
      </c>
      <c r="N7" s="17"/>
    </row>
    <row r="8" spans="1:14">
      <c r="A8" s="26">
        <v>4</v>
      </c>
      <c r="B8" s="27">
        <v>46085</v>
      </c>
      <c r="C8" s="17"/>
      <c r="D8" s="17"/>
      <c r="E8" s="40">
        <v>2200</v>
      </c>
      <c r="F8" s="40">
        <v>91.71</v>
      </c>
      <c r="G8" s="40">
        <f t="shared" si="0"/>
        <v>201762</v>
      </c>
      <c r="H8" s="40">
        <v>25</v>
      </c>
      <c r="I8" s="40">
        <v>105.19</v>
      </c>
      <c r="J8" s="40">
        <f t="shared" si="1"/>
        <v>2629.75</v>
      </c>
      <c r="K8" s="40">
        <f t="shared" si="2"/>
        <v>204391.75</v>
      </c>
      <c r="L8" s="40"/>
      <c r="M8" s="136">
        <f t="shared" si="3"/>
        <v>801602.75060000014</v>
      </c>
      <c r="N8" s="17" t="s">
        <v>209</v>
      </c>
    </row>
    <row r="9" spans="1:14">
      <c r="A9" s="26">
        <v>5</v>
      </c>
      <c r="B9" s="27">
        <v>46086</v>
      </c>
      <c r="C9" s="17"/>
      <c r="D9" s="17"/>
      <c r="E9" s="40">
        <v>2800</v>
      </c>
      <c r="F9" s="40">
        <v>91.71</v>
      </c>
      <c r="G9" s="40">
        <f t="shared" si="0"/>
        <v>256787.99999999997</v>
      </c>
      <c r="H9" s="40"/>
      <c r="I9" s="40"/>
      <c r="J9" s="40">
        <f t="shared" si="1"/>
        <v>0</v>
      </c>
      <c r="K9" s="40">
        <f t="shared" si="2"/>
        <v>256787.99999999997</v>
      </c>
      <c r="L9" s="40"/>
      <c r="M9" s="136">
        <f t="shared" si="3"/>
        <v>1058390.7506000001</v>
      </c>
      <c r="N9" s="17" t="s">
        <v>210</v>
      </c>
    </row>
    <row r="10" spans="1:14">
      <c r="A10" s="26">
        <v>6</v>
      </c>
      <c r="B10" s="27">
        <v>46087</v>
      </c>
      <c r="C10" s="17"/>
      <c r="D10" s="17"/>
      <c r="E10" s="40"/>
      <c r="F10" s="40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/>
      <c r="M10" s="136">
        <f t="shared" si="3"/>
        <v>1058390.7506000001</v>
      </c>
      <c r="N10" s="17"/>
    </row>
    <row r="11" spans="1:14">
      <c r="A11" s="26">
        <v>7</v>
      </c>
      <c r="B11" s="27">
        <v>46088</v>
      </c>
      <c r="C11" s="17"/>
      <c r="D11" s="17"/>
      <c r="E11" s="40"/>
      <c r="F11" s="40"/>
      <c r="G11" s="40">
        <f t="shared" si="0"/>
        <v>0</v>
      </c>
      <c r="H11" s="40"/>
      <c r="I11" s="40"/>
      <c r="J11" s="40">
        <f t="shared" si="1"/>
        <v>0</v>
      </c>
      <c r="K11" s="40">
        <f t="shared" si="2"/>
        <v>0</v>
      </c>
      <c r="L11" s="40"/>
      <c r="M11" s="136">
        <f t="shared" si="3"/>
        <v>1058390.7506000001</v>
      </c>
      <c r="N11" s="17"/>
    </row>
    <row r="12" spans="1:14">
      <c r="A12" s="26">
        <v>8</v>
      </c>
      <c r="B12" s="27">
        <v>46089</v>
      </c>
      <c r="C12" s="17"/>
      <c r="D12" s="17"/>
      <c r="E12" s="40">
        <v>2200</v>
      </c>
      <c r="F12" s="40">
        <v>91.71</v>
      </c>
      <c r="G12" s="40">
        <f t="shared" si="0"/>
        <v>201762</v>
      </c>
      <c r="H12" s="40"/>
      <c r="I12" s="40"/>
      <c r="J12" s="40">
        <f t="shared" si="1"/>
        <v>0</v>
      </c>
      <c r="K12" s="40">
        <f t="shared" si="2"/>
        <v>201762</v>
      </c>
      <c r="L12" s="40"/>
      <c r="M12" s="136">
        <f t="shared" si="3"/>
        <v>1260152.7506000001</v>
      </c>
      <c r="N12" s="17"/>
    </row>
    <row r="13" spans="1:14">
      <c r="A13" s="26">
        <v>9</v>
      </c>
      <c r="B13" s="27">
        <v>46090</v>
      </c>
      <c r="C13" s="17"/>
      <c r="D13" s="17"/>
      <c r="E13" s="40">
        <v>0</v>
      </c>
      <c r="F13" s="40">
        <v>91.71</v>
      </c>
      <c r="G13" s="40">
        <f t="shared" si="0"/>
        <v>0</v>
      </c>
      <c r="H13" s="40">
        <v>0</v>
      </c>
      <c r="I13" s="40">
        <v>0</v>
      </c>
      <c r="J13" s="40">
        <f t="shared" si="1"/>
        <v>0</v>
      </c>
      <c r="K13" s="40">
        <f t="shared" si="2"/>
        <v>0</v>
      </c>
      <c r="L13" s="40"/>
      <c r="M13" s="136">
        <f t="shared" si="3"/>
        <v>1260152.7506000001</v>
      </c>
      <c r="N13" s="17"/>
    </row>
    <row r="14" spans="1:14">
      <c r="A14" s="26">
        <v>10</v>
      </c>
      <c r="B14" s="27">
        <v>46091</v>
      </c>
      <c r="C14" s="17"/>
      <c r="D14" s="17"/>
      <c r="E14" s="40">
        <v>895.61</v>
      </c>
      <c r="F14" s="40">
        <v>91.71</v>
      </c>
      <c r="G14" s="40">
        <f t="shared" si="0"/>
        <v>82136.393100000001</v>
      </c>
      <c r="H14" s="40">
        <v>62.74</v>
      </c>
      <c r="I14" s="40">
        <v>105.19</v>
      </c>
      <c r="J14" s="40">
        <f t="shared" si="1"/>
        <v>6599.6206000000002</v>
      </c>
      <c r="K14" s="40">
        <f t="shared" si="2"/>
        <v>88736.013699999996</v>
      </c>
      <c r="L14" s="40"/>
      <c r="M14" s="136">
        <f t="shared" si="3"/>
        <v>1348888.7643000002</v>
      </c>
      <c r="N14" s="44"/>
    </row>
    <row r="15" spans="1:14">
      <c r="A15" s="26">
        <v>11</v>
      </c>
      <c r="B15" s="27">
        <v>46091</v>
      </c>
      <c r="C15" s="17"/>
      <c r="D15" s="17"/>
      <c r="E15" s="40">
        <v>54.96</v>
      </c>
      <c r="F15" s="40">
        <v>91.71</v>
      </c>
      <c r="G15" s="40">
        <f t="shared" si="0"/>
        <v>5040.3815999999997</v>
      </c>
      <c r="H15" s="40"/>
      <c r="I15" s="40"/>
      <c r="J15" s="40">
        <f t="shared" si="1"/>
        <v>0</v>
      </c>
      <c r="K15" s="40">
        <f t="shared" si="2"/>
        <v>5040.3815999999997</v>
      </c>
      <c r="L15" s="40">
        <f t="shared" si="2"/>
        <v>5040.3815999999997</v>
      </c>
      <c r="M15" s="136">
        <f t="shared" si="3"/>
        <v>1348888.7643000002</v>
      </c>
      <c r="N15" s="44"/>
    </row>
    <row r="16" spans="1:14">
      <c r="A16" s="26">
        <v>12</v>
      </c>
      <c r="B16" s="27">
        <v>46092</v>
      </c>
      <c r="C16" s="17"/>
      <c r="D16" s="17"/>
      <c r="E16" s="40">
        <v>2200</v>
      </c>
      <c r="F16" s="40">
        <v>91.71</v>
      </c>
      <c r="G16" s="40">
        <f t="shared" si="0"/>
        <v>201762</v>
      </c>
      <c r="H16" s="40"/>
      <c r="I16" s="40"/>
      <c r="J16" s="40">
        <f t="shared" si="1"/>
        <v>0</v>
      </c>
      <c r="K16" s="40">
        <f t="shared" si="2"/>
        <v>201762</v>
      </c>
      <c r="L16" s="40"/>
      <c r="M16" s="136">
        <f t="shared" si="3"/>
        <v>1550650.7643000002</v>
      </c>
      <c r="N16" s="44"/>
    </row>
    <row r="17" spans="1:16">
      <c r="A17" s="26">
        <v>13</v>
      </c>
      <c r="B17" s="27">
        <v>46093</v>
      </c>
      <c r="C17" s="17"/>
      <c r="D17" s="17"/>
      <c r="E17" s="40">
        <v>2911.88</v>
      </c>
      <c r="F17" s="40">
        <v>91.71</v>
      </c>
      <c r="G17" s="40">
        <f t="shared" si="0"/>
        <v>267048.5148</v>
      </c>
      <c r="H17" s="40"/>
      <c r="I17" s="40"/>
      <c r="J17" s="40">
        <f t="shared" si="1"/>
        <v>0</v>
      </c>
      <c r="K17" s="40">
        <f t="shared" si="2"/>
        <v>267048.5148</v>
      </c>
      <c r="L17" s="40"/>
      <c r="M17" s="136">
        <f t="shared" ref="M5:M54" si="4">M16+K17-L17</f>
        <v>1817699.2791000002</v>
      </c>
      <c r="N17" s="44"/>
    </row>
    <row r="18" spans="1:16">
      <c r="A18" s="26">
        <v>14</v>
      </c>
      <c r="B18" s="27">
        <v>46093</v>
      </c>
      <c r="C18" s="17"/>
      <c r="D18" s="17"/>
      <c r="E18" s="40">
        <v>40</v>
      </c>
      <c r="F18" s="40">
        <v>91.79</v>
      </c>
      <c r="G18" s="40">
        <f t="shared" si="0"/>
        <v>3671.6000000000004</v>
      </c>
      <c r="H18" s="40"/>
      <c r="I18" s="40"/>
      <c r="J18" s="40">
        <f t="shared" si="1"/>
        <v>0</v>
      </c>
      <c r="K18" s="40">
        <f t="shared" si="2"/>
        <v>3671.6000000000004</v>
      </c>
      <c r="L18" s="40">
        <f t="shared" si="2"/>
        <v>3671.6000000000004</v>
      </c>
      <c r="M18" s="136">
        <f t="shared" si="4"/>
        <v>1817699.2791000002</v>
      </c>
      <c r="N18" s="44"/>
    </row>
    <row r="19" spans="1:16">
      <c r="A19" s="26">
        <v>15</v>
      </c>
      <c r="B19" s="27">
        <v>46094</v>
      </c>
      <c r="C19" s="17"/>
      <c r="D19" s="17"/>
      <c r="E19" s="40">
        <v>440</v>
      </c>
      <c r="F19" s="40">
        <v>91.79</v>
      </c>
      <c r="G19" s="40">
        <f t="shared" si="0"/>
        <v>40387.600000000006</v>
      </c>
      <c r="H19" s="40"/>
      <c r="I19" s="40"/>
      <c r="J19" s="40">
        <f t="shared" si="1"/>
        <v>0</v>
      </c>
      <c r="K19" s="40">
        <f t="shared" si="2"/>
        <v>40387.600000000006</v>
      </c>
      <c r="L19" s="40">
        <v>335333</v>
      </c>
      <c r="M19" s="136">
        <f t="shared" si="4"/>
        <v>1522753.8791000003</v>
      </c>
      <c r="N19" s="44"/>
    </row>
    <row r="20" spans="1:16">
      <c r="A20" s="26">
        <v>16</v>
      </c>
      <c r="B20" s="27">
        <v>46094</v>
      </c>
      <c r="C20" s="17"/>
      <c r="D20" s="17"/>
      <c r="E20" s="40">
        <v>700</v>
      </c>
      <c r="F20" s="40">
        <v>91.61</v>
      </c>
      <c r="G20" s="40">
        <f t="shared" si="0"/>
        <v>64127</v>
      </c>
      <c r="H20" s="40"/>
      <c r="I20" s="40"/>
      <c r="J20" s="40">
        <f t="shared" si="1"/>
        <v>0</v>
      </c>
      <c r="K20" s="40">
        <f t="shared" si="2"/>
        <v>64127</v>
      </c>
      <c r="L20" s="40"/>
      <c r="M20" s="136">
        <f t="shared" si="4"/>
        <v>1586880.8791000003</v>
      </c>
      <c r="N20" s="44"/>
      <c r="P20" s="22"/>
    </row>
    <row r="21" spans="1:16">
      <c r="A21" s="26">
        <v>17</v>
      </c>
      <c r="B21" s="27">
        <v>46095</v>
      </c>
      <c r="C21" s="17"/>
      <c r="D21" s="17"/>
      <c r="E21" s="40">
        <v>700</v>
      </c>
      <c r="F21" s="40">
        <v>91.61</v>
      </c>
      <c r="G21" s="40">
        <f t="shared" si="0"/>
        <v>64127</v>
      </c>
      <c r="H21" s="40"/>
      <c r="I21" s="40"/>
      <c r="J21" s="40">
        <f t="shared" si="1"/>
        <v>0</v>
      </c>
      <c r="K21" s="40">
        <f t="shared" si="2"/>
        <v>64127</v>
      </c>
      <c r="L21" s="40"/>
      <c r="M21" s="136">
        <f t="shared" si="4"/>
        <v>1651007.8791000003</v>
      </c>
      <c r="N21" s="44"/>
      <c r="P21" s="22"/>
    </row>
    <row r="22" spans="1:16">
      <c r="A22" s="26">
        <v>18</v>
      </c>
      <c r="B22" s="27">
        <v>46096</v>
      </c>
      <c r="C22" s="17"/>
      <c r="D22" s="17"/>
      <c r="E22" s="40"/>
      <c r="F22" s="40"/>
      <c r="G22" s="40">
        <f t="shared" si="0"/>
        <v>0</v>
      </c>
      <c r="H22" s="40"/>
      <c r="I22" s="40"/>
      <c r="J22" s="40">
        <f t="shared" si="1"/>
        <v>0</v>
      </c>
      <c r="K22" s="40">
        <f t="shared" si="2"/>
        <v>0</v>
      </c>
      <c r="L22" s="40"/>
      <c r="M22" s="136">
        <f t="shared" si="4"/>
        <v>1651007.8791000003</v>
      </c>
      <c r="N22" s="44"/>
      <c r="P22" s="22"/>
    </row>
    <row r="23" spans="1:16">
      <c r="A23" s="26">
        <v>19</v>
      </c>
      <c r="B23" s="27">
        <v>46096</v>
      </c>
      <c r="C23" s="17"/>
      <c r="D23" s="17"/>
      <c r="E23" s="40"/>
      <c r="F23" s="40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/>
      <c r="M23" s="136">
        <f t="shared" si="4"/>
        <v>1651007.8791000003</v>
      </c>
      <c r="N23" s="44"/>
      <c r="P23" s="22"/>
    </row>
    <row r="24" spans="1:16">
      <c r="A24" s="26">
        <v>20</v>
      </c>
      <c r="B24" s="27">
        <v>46101</v>
      </c>
      <c r="C24" s="17"/>
      <c r="D24" s="17"/>
      <c r="E24" s="40"/>
      <c r="F24" s="40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/>
      <c r="M24" s="136">
        <f t="shared" si="4"/>
        <v>1651007.8791000003</v>
      </c>
      <c r="N24" s="44"/>
      <c r="P24" s="22"/>
    </row>
    <row r="25" spans="1:16">
      <c r="A25" s="26">
        <v>21</v>
      </c>
      <c r="B25" s="27">
        <v>46102</v>
      </c>
      <c r="C25" s="17"/>
      <c r="D25" s="17"/>
      <c r="E25" s="40"/>
      <c r="F25" s="40"/>
      <c r="G25" s="40">
        <f t="shared" si="0"/>
        <v>0</v>
      </c>
      <c r="H25" s="40"/>
      <c r="I25" s="40"/>
      <c r="J25" s="40">
        <f t="shared" si="1"/>
        <v>0</v>
      </c>
      <c r="K25" s="40">
        <f t="shared" si="2"/>
        <v>0</v>
      </c>
      <c r="L25" s="40"/>
      <c r="M25" s="136">
        <f t="shared" si="4"/>
        <v>1651007.8791000003</v>
      </c>
      <c r="N25" s="44"/>
      <c r="P25" s="22"/>
    </row>
    <row r="26" spans="1:16">
      <c r="A26" s="26">
        <v>22</v>
      </c>
      <c r="B26" s="27">
        <v>46103</v>
      </c>
      <c r="C26" s="17"/>
      <c r="D26" s="17"/>
      <c r="E26" s="40"/>
      <c r="F26" s="40"/>
      <c r="G26" s="40">
        <f t="shared" si="0"/>
        <v>0</v>
      </c>
      <c r="H26" s="40"/>
      <c r="I26" s="40"/>
      <c r="J26" s="40">
        <f t="shared" si="1"/>
        <v>0</v>
      </c>
      <c r="K26" s="40">
        <f t="shared" si="2"/>
        <v>0</v>
      </c>
      <c r="L26" s="40"/>
      <c r="M26" s="136">
        <f t="shared" si="4"/>
        <v>1651007.8791000003</v>
      </c>
      <c r="N26" s="44"/>
      <c r="P26" s="22"/>
    </row>
    <row r="27" spans="1:16">
      <c r="A27" s="26">
        <v>23</v>
      </c>
      <c r="B27" s="27">
        <v>46104</v>
      </c>
      <c r="C27" s="17"/>
      <c r="D27" s="17"/>
      <c r="E27" s="40"/>
      <c r="F27" s="40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/>
      <c r="M27" s="136">
        <f t="shared" si="4"/>
        <v>1651007.8791000003</v>
      </c>
      <c r="N27" s="44"/>
      <c r="P27" s="22"/>
    </row>
    <row r="28" spans="1:16">
      <c r="A28" s="26">
        <v>24</v>
      </c>
      <c r="B28" s="27">
        <v>46105</v>
      </c>
      <c r="C28" s="17"/>
      <c r="D28" s="17"/>
      <c r="E28" s="40"/>
      <c r="F28" s="40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/>
      <c r="M28" s="136">
        <f t="shared" si="4"/>
        <v>1651007.8791000003</v>
      </c>
      <c r="N28" s="44"/>
      <c r="P28" s="22"/>
    </row>
    <row r="29" spans="1:16">
      <c r="A29" s="26">
        <v>25</v>
      </c>
      <c r="B29" s="27">
        <v>46106</v>
      </c>
      <c r="C29" s="17"/>
      <c r="D29" s="17"/>
      <c r="E29" s="40"/>
      <c r="F29" s="40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/>
      <c r="M29" s="136">
        <f t="shared" si="4"/>
        <v>1651007.8791000003</v>
      </c>
      <c r="N29" s="44"/>
    </row>
    <row r="30" spans="1:16">
      <c r="A30" s="26">
        <v>26</v>
      </c>
      <c r="B30" s="27">
        <v>46107</v>
      </c>
      <c r="C30" s="17"/>
      <c r="D30" s="17"/>
      <c r="E30" s="40"/>
      <c r="F30" s="40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/>
      <c r="M30" s="136">
        <f t="shared" si="4"/>
        <v>1651007.8791000003</v>
      </c>
      <c r="N30" s="44"/>
    </row>
    <row r="31" spans="1:16">
      <c r="A31" s="26">
        <v>27</v>
      </c>
      <c r="B31" s="27">
        <v>46108</v>
      </c>
      <c r="C31" s="17"/>
      <c r="D31" s="17"/>
      <c r="E31" s="40"/>
      <c r="F31" s="40"/>
      <c r="G31" s="40">
        <f t="shared" si="0"/>
        <v>0</v>
      </c>
      <c r="H31" s="40"/>
      <c r="I31" s="40"/>
      <c r="J31" s="40">
        <f t="shared" si="1"/>
        <v>0</v>
      </c>
      <c r="K31" s="40">
        <f t="shared" si="2"/>
        <v>0</v>
      </c>
      <c r="L31" s="40"/>
      <c r="M31" s="136">
        <f t="shared" si="4"/>
        <v>1651007.8791000003</v>
      </c>
      <c r="N31" s="44"/>
    </row>
    <row r="32" spans="1:16">
      <c r="A32" s="26">
        <v>28</v>
      </c>
      <c r="B32" s="27">
        <v>46109</v>
      </c>
      <c r="C32" s="17"/>
      <c r="D32" s="17"/>
      <c r="E32" s="40"/>
      <c r="F32" s="40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/>
      <c r="M32" s="136">
        <f t="shared" si="4"/>
        <v>1651007.8791000003</v>
      </c>
      <c r="N32" s="44"/>
    </row>
    <row r="33" spans="1:17">
      <c r="A33" s="26">
        <v>29</v>
      </c>
      <c r="B33" s="27">
        <v>46110</v>
      </c>
      <c r="C33" s="17"/>
      <c r="D33" s="17"/>
      <c r="E33" s="40"/>
      <c r="F33" s="40"/>
      <c r="G33" s="40">
        <f t="shared" si="0"/>
        <v>0</v>
      </c>
      <c r="H33" s="40"/>
      <c r="I33" s="40"/>
      <c r="J33" s="40">
        <f t="shared" si="1"/>
        <v>0</v>
      </c>
      <c r="K33" s="40">
        <f t="shared" si="2"/>
        <v>0</v>
      </c>
      <c r="L33" s="40"/>
      <c r="M33" s="136">
        <f t="shared" si="4"/>
        <v>1651007.8791000003</v>
      </c>
      <c r="N33" s="44"/>
    </row>
    <row r="34" spans="1:17">
      <c r="A34" s="26">
        <v>30</v>
      </c>
      <c r="B34" s="27">
        <v>46111</v>
      </c>
      <c r="C34" s="17"/>
      <c r="D34" s="17"/>
      <c r="E34" s="40"/>
      <c r="F34" s="40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/>
      <c r="M34" s="136">
        <f t="shared" si="4"/>
        <v>1651007.8791000003</v>
      </c>
      <c r="N34" s="44"/>
    </row>
    <row r="35" spans="1:17">
      <c r="A35" s="26">
        <v>31</v>
      </c>
      <c r="B35" s="27">
        <v>46112</v>
      </c>
      <c r="C35" s="17"/>
      <c r="D35" s="17"/>
      <c r="E35" s="40"/>
      <c r="F35" s="40"/>
      <c r="G35" s="40">
        <f t="shared" si="0"/>
        <v>0</v>
      </c>
      <c r="H35" s="40"/>
      <c r="I35" s="40"/>
      <c r="J35" s="40">
        <f t="shared" si="1"/>
        <v>0</v>
      </c>
      <c r="K35" s="40">
        <f t="shared" si="2"/>
        <v>0</v>
      </c>
      <c r="L35" s="40"/>
      <c r="M35" s="136">
        <f t="shared" si="4"/>
        <v>1651007.8791000003</v>
      </c>
      <c r="N35" s="44"/>
    </row>
    <row r="36" spans="1:17">
      <c r="A36" s="26">
        <v>32</v>
      </c>
      <c r="B36" s="27"/>
      <c r="C36" s="17"/>
      <c r="D36" s="17"/>
      <c r="E36" s="40"/>
      <c r="F36" s="40"/>
      <c r="G36" s="40">
        <f t="shared" si="0"/>
        <v>0</v>
      </c>
      <c r="H36" s="40"/>
      <c r="I36" s="40"/>
      <c r="J36" s="40">
        <f t="shared" si="1"/>
        <v>0</v>
      </c>
      <c r="K36" s="40">
        <f t="shared" si="2"/>
        <v>0</v>
      </c>
      <c r="L36" s="40"/>
      <c r="M36" s="136">
        <f t="shared" si="4"/>
        <v>1651007.8791000003</v>
      </c>
      <c r="N36" s="44"/>
    </row>
    <row r="37" spans="1:17">
      <c r="A37" s="26">
        <v>33</v>
      </c>
      <c r="B37" s="27"/>
      <c r="C37" s="17"/>
      <c r="D37" s="17"/>
      <c r="E37" s="40"/>
      <c r="F37" s="40"/>
      <c r="G37" s="40">
        <f t="shared" si="0"/>
        <v>0</v>
      </c>
      <c r="H37" s="40"/>
      <c r="I37" s="40"/>
      <c r="J37" s="40">
        <f t="shared" si="1"/>
        <v>0</v>
      </c>
      <c r="K37" s="40">
        <f t="shared" si="2"/>
        <v>0</v>
      </c>
      <c r="L37" s="40"/>
      <c r="M37" s="136">
        <f t="shared" si="4"/>
        <v>1651007.8791000003</v>
      </c>
      <c r="N37" s="44"/>
    </row>
    <row r="38" spans="1:17">
      <c r="A38" s="26">
        <v>34</v>
      </c>
      <c r="B38" s="27"/>
      <c r="C38" s="17"/>
      <c r="D38" s="17"/>
      <c r="E38" s="40"/>
      <c r="F38" s="40"/>
      <c r="G38" s="40">
        <f t="shared" si="0"/>
        <v>0</v>
      </c>
      <c r="H38" s="40"/>
      <c r="I38" s="40"/>
      <c r="J38" s="40">
        <f t="shared" si="1"/>
        <v>0</v>
      </c>
      <c r="K38" s="40">
        <f t="shared" si="2"/>
        <v>0</v>
      </c>
      <c r="L38" s="40"/>
      <c r="M38" s="136">
        <f t="shared" si="4"/>
        <v>1651007.8791000003</v>
      </c>
      <c r="N38" s="44"/>
      <c r="P38">
        <v>41</v>
      </c>
    </row>
    <row r="39" spans="1:17">
      <c r="A39" s="26">
        <v>35</v>
      </c>
      <c r="B39" s="27"/>
      <c r="C39" s="17"/>
      <c r="D39" s="17"/>
      <c r="E39" s="40"/>
      <c r="F39" s="40"/>
      <c r="G39" s="40">
        <f t="shared" si="0"/>
        <v>0</v>
      </c>
      <c r="H39" s="40"/>
      <c r="I39" s="40"/>
      <c r="J39" s="40">
        <f t="shared" si="1"/>
        <v>0</v>
      </c>
      <c r="K39" s="40">
        <f t="shared" si="2"/>
        <v>0</v>
      </c>
      <c r="L39" s="40"/>
      <c r="M39" s="136">
        <f t="shared" si="4"/>
        <v>1651007.8791000003</v>
      </c>
      <c r="N39" s="44"/>
      <c r="P39">
        <v>40</v>
      </c>
      <c r="Q39">
        <v>5</v>
      </c>
    </row>
    <row r="40" spans="1:17">
      <c r="A40" s="26">
        <v>36</v>
      </c>
      <c r="B40" s="27"/>
      <c r="C40" s="17"/>
      <c r="D40" s="17"/>
      <c r="E40" s="40"/>
      <c r="F40" s="40"/>
      <c r="G40" s="40">
        <f t="shared" ref="G5:G53" si="5">E40*F40</f>
        <v>0</v>
      </c>
      <c r="H40" s="40"/>
      <c r="I40" s="40"/>
      <c r="J40" s="40">
        <f t="shared" ref="J5:J53" si="6">H40*I40</f>
        <v>0</v>
      </c>
      <c r="K40" s="40">
        <f t="shared" ref="K5:K53" si="7">G40+J40</f>
        <v>0</v>
      </c>
      <c r="L40" s="40"/>
      <c r="M40" s="136">
        <f t="shared" si="4"/>
        <v>1651007.8791000003</v>
      </c>
      <c r="N40" s="44"/>
    </row>
    <row r="41" spans="1:17">
      <c r="A41" s="26">
        <v>37</v>
      </c>
      <c r="B41" s="27"/>
      <c r="C41" s="17"/>
      <c r="D41" s="17"/>
      <c r="E41" s="40"/>
      <c r="F41" s="40"/>
      <c r="G41" s="40">
        <f t="shared" si="5"/>
        <v>0</v>
      </c>
      <c r="H41" s="40"/>
      <c r="I41" s="40"/>
      <c r="J41" s="40">
        <f t="shared" si="6"/>
        <v>0</v>
      </c>
      <c r="K41" s="40">
        <f t="shared" si="7"/>
        <v>0</v>
      </c>
      <c r="L41" s="40"/>
      <c r="M41" s="136">
        <f t="shared" si="4"/>
        <v>1651007.8791000003</v>
      </c>
      <c r="N41" s="44"/>
    </row>
    <row r="42" spans="1:17">
      <c r="A42" s="26">
        <v>38</v>
      </c>
      <c r="B42" s="27"/>
      <c r="C42" s="17"/>
      <c r="D42" s="17"/>
      <c r="E42" s="40"/>
      <c r="F42" s="40"/>
      <c r="G42" s="40">
        <f t="shared" si="5"/>
        <v>0</v>
      </c>
      <c r="H42" s="40"/>
      <c r="I42" s="40"/>
      <c r="J42" s="40">
        <f t="shared" si="6"/>
        <v>0</v>
      </c>
      <c r="K42" s="40">
        <f t="shared" si="7"/>
        <v>0</v>
      </c>
      <c r="L42" s="40"/>
      <c r="M42" s="136">
        <f t="shared" si="4"/>
        <v>1651007.8791000003</v>
      </c>
      <c r="N42" s="44"/>
    </row>
    <row r="43" spans="1:17">
      <c r="A43" s="26">
        <v>39</v>
      </c>
      <c r="B43" s="27"/>
      <c r="C43" s="17"/>
      <c r="D43" s="17"/>
      <c r="E43" s="40"/>
      <c r="F43" s="40"/>
      <c r="G43" s="40">
        <f t="shared" si="5"/>
        <v>0</v>
      </c>
      <c r="H43" s="40"/>
      <c r="I43" s="40"/>
      <c r="J43" s="40">
        <f t="shared" si="6"/>
        <v>0</v>
      </c>
      <c r="K43" s="40">
        <f t="shared" si="7"/>
        <v>0</v>
      </c>
      <c r="L43" s="40"/>
      <c r="M43" s="136">
        <f t="shared" si="4"/>
        <v>1651007.8791000003</v>
      </c>
      <c r="N43" s="44"/>
    </row>
    <row r="44" spans="1:17">
      <c r="A44" s="26">
        <v>40</v>
      </c>
      <c r="B44" s="27"/>
      <c r="C44" s="17"/>
      <c r="D44" s="17"/>
      <c r="E44" s="40"/>
      <c r="F44" s="40"/>
      <c r="G44" s="40">
        <f t="shared" si="5"/>
        <v>0</v>
      </c>
      <c r="H44" s="40"/>
      <c r="I44" s="40"/>
      <c r="J44" s="40">
        <f t="shared" si="6"/>
        <v>0</v>
      </c>
      <c r="K44" s="40">
        <f t="shared" si="7"/>
        <v>0</v>
      </c>
      <c r="L44" s="40"/>
      <c r="M44" s="136">
        <f t="shared" si="4"/>
        <v>1651007.8791000003</v>
      </c>
      <c r="N44" s="44"/>
    </row>
    <row r="45" spans="1:17">
      <c r="A45" s="26">
        <v>41</v>
      </c>
      <c r="B45" s="27"/>
      <c r="C45" s="17"/>
      <c r="D45" s="17"/>
      <c r="E45" s="40"/>
      <c r="F45" s="40"/>
      <c r="G45" s="40">
        <f t="shared" si="5"/>
        <v>0</v>
      </c>
      <c r="H45" s="40"/>
      <c r="I45" s="40"/>
      <c r="J45" s="40">
        <f t="shared" si="6"/>
        <v>0</v>
      </c>
      <c r="K45" s="40">
        <f t="shared" si="7"/>
        <v>0</v>
      </c>
      <c r="L45" s="40"/>
      <c r="M45" s="136">
        <f t="shared" si="4"/>
        <v>1651007.8791000003</v>
      </c>
      <c r="N45" s="44"/>
    </row>
    <row r="46" spans="1:17">
      <c r="A46" s="26">
        <v>42</v>
      </c>
      <c r="B46" s="27"/>
      <c r="C46" s="17"/>
      <c r="D46" s="17"/>
      <c r="E46" s="40"/>
      <c r="F46" s="40"/>
      <c r="G46" s="40">
        <f t="shared" si="5"/>
        <v>0</v>
      </c>
      <c r="H46" s="40"/>
      <c r="I46" s="40"/>
      <c r="J46" s="40">
        <f t="shared" si="6"/>
        <v>0</v>
      </c>
      <c r="K46" s="40">
        <f t="shared" si="7"/>
        <v>0</v>
      </c>
      <c r="L46" s="40"/>
      <c r="M46" s="136">
        <f t="shared" si="4"/>
        <v>1651007.8791000003</v>
      </c>
      <c r="N46" s="44"/>
    </row>
    <row r="47" spans="1:17">
      <c r="A47" s="26">
        <v>43</v>
      </c>
      <c r="B47" s="27"/>
      <c r="C47" s="17"/>
      <c r="D47" s="17"/>
      <c r="E47" s="40"/>
      <c r="F47" s="40"/>
      <c r="G47" s="40">
        <f t="shared" si="5"/>
        <v>0</v>
      </c>
      <c r="H47" s="40"/>
      <c r="I47" s="40"/>
      <c r="J47" s="40">
        <f t="shared" si="6"/>
        <v>0</v>
      </c>
      <c r="K47" s="40">
        <f t="shared" si="7"/>
        <v>0</v>
      </c>
      <c r="L47" s="40"/>
      <c r="M47" s="136">
        <f t="shared" si="4"/>
        <v>1651007.8791000003</v>
      </c>
      <c r="N47" s="44"/>
    </row>
    <row r="48" spans="1:17">
      <c r="A48" s="26">
        <v>44</v>
      </c>
      <c r="B48" s="27"/>
      <c r="C48" s="17"/>
      <c r="D48" s="17"/>
      <c r="E48" s="40"/>
      <c r="F48" s="40"/>
      <c r="G48" s="40">
        <f t="shared" si="5"/>
        <v>0</v>
      </c>
      <c r="H48" s="40"/>
      <c r="I48" s="40"/>
      <c r="J48" s="40">
        <f t="shared" si="6"/>
        <v>0</v>
      </c>
      <c r="K48" s="40">
        <f t="shared" si="7"/>
        <v>0</v>
      </c>
      <c r="L48" s="40"/>
      <c r="M48" s="136">
        <f t="shared" si="4"/>
        <v>1651007.8791000003</v>
      </c>
      <c r="N48" s="44"/>
    </row>
    <row r="49" spans="1:16">
      <c r="A49" s="26">
        <v>45</v>
      </c>
      <c r="B49" s="27"/>
      <c r="C49" s="17"/>
      <c r="D49" s="17"/>
      <c r="E49" s="40"/>
      <c r="F49" s="40"/>
      <c r="G49" s="40">
        <f t="shared" si="5"/>
        <v>0</v>
      </c>
      <c r="H49" s="40"/>
      <c r="I49" s="40"/>
      <c r="J49" s="40">
        <f t="shared" si="6"/>
        <v>0</v>
      </c>
      <c r="K49" s="40">
        <f t="shared" si="7"/>
        <v>0</v>
      </c>
      <c r="L49" s="40"/>
      <c r="M49" s="136">
        <f t="shared" si="4"/>
        <v>1651007.8791000003</v>
      </c>
      <c r="N49" s="44"/>
    </row>
    <row r="50" spans="1:16">
      <c r="A50" s="26">
        <v>46</v>
      </c>
      <c r="B50" s="27"/>
      <c r="C50" s="17"/>
      <c r="D50" s="17"/>
      <c r="E50" s="40"/>
      <c r="F50" s="40"/>
      <c r="G50" s="40">
        <f t="shared" si="5"/>
        <v>0</v>
      </c>
      <c r="H50" s="40"/>
      <c r="I50" s="40"/>
      <c r="J50" s="40">
        <f t="shared" si="6"/>
        <v>0</v>
      </c>
      <c r="K50" s="40">
        <f t="shared" si="7"/>
        <v>0</v>
      </c>
      <c r="L50" s="40"/>
      <c r="M50" s="136">
        <f t="shared" si="4"/>
        <v>1651007.8791000003</v>
      </c>
      <c r="N50" s="44"/>
    </row>
    <row r="51" spans="1:16">
      <c r="A51" s="26">
        <v>47</v>
      </c>
      <c r="B51" s="27"/>
      <c r="C51" s="17"/>
      <c r="D51" s="17"/>
      <c r="E51" s="40"/>
      <c r="F51" s="40"/>
      <c r="G51" s="40">
        <f t="shared" si="5"/>
        <v>0</v>
      </c>
      <c r="H51" s="40"/>
      <c r="I51" s="40"/>
      <c r="J51" s="40">
        <f t="shared" si="6"/>
        <v>0</v>
      </c>
      <c r="K51" s="40">
        <f t="shared" si="7"/>
        <v>0</v>
      </c>
      <c r="L51" s="40">
        <v>0</v>
      </c>
      <c r="M51" s="136">
        <f t="shared" si="4"/>
        <v>1651007.8791000003</v>
      </c>
      <c r="N51" s="44"/>
    </row>
    <row r="52" spans="1:16">
      <c r="A52" s="26">
        <v>48</v>
      </c>
      <c r="B52" s="27"/>
      <c r="C52" s="94"/>
      <c r="D52" s="94"/>
      <c r="E52" s="40"/>
      <c r="F52" s="40"/>
      <c r="G52" s="40">
        <f t="shared" si="5"/>
        <v>0</v>
      </c>
      <c r="H52" s="40"/>
      <c r="I52" s="40"/>
      <c r="J52" s="40">
        <f t="shared" si="6"/>
        <v>0</v>
      </c>
      <c r="K52" s="40">
        <f t="shared" si="7"/>
        <v>0</v>
      </c>
      <c r="L52" s="40">
        <v>0</v>
      </c>
      <c r="M52" s="136">
        <f t="shared" si="4"/>
        <v>1651007.8791000003</v>
      </c>
      <c r="N52" s="224"/>
    </row>
    <row r="53" spans="1:16">
      <c r="A53" s="26">
        <v>49</v>
      </c>
      <c r="B53" s="27"/>
      <c r="C53" s="17"/>
      <c r="D53" s="17"/>
      <c r="E53" s="40"/>
      <c r="F53" s="40"/>
      <c r="G53" s="40">
        <f t="shared" si="5"/>
        <v>0</v>
      </c>
      <c r="H53" s="40"/>
      <c r="I53" s="40"/>
      <c r="J53" s="40">
        <f t="shared" si="6"/>
        <v>0</v>
      </c>
      <c r="K53" s="40">
        <f t="shared" si="7"/>
        <v>0</v>
      </c>
      <c r="L53" s="40">
        <v>0</v>
      </c>
      <c r="M53" s="136">
        <f t="shared" si="4"/>
        <v>1651007.8791000003</v>
      </c>
      <c r="N53" s="44"/>
    </row>
    <row r="54" spans="1:16">
      <c r="A54" s="26">
        <v>50</v>
      </c>
      <c r="B54" s="27"/>
      <c r="C54" s="17"/>
      <c r="D54" s="17"/>
      <c r="E54" s="40"/>
      <c r="F54" s="40"/>
      <c r="G54" s="40">
        <f t="shared" ref="G54" si="8">E54*F54</f>
        <v>0</v>
      </c>
      <c r="H54" s="40"/>
      <c r="I54" s="40"/>
      <c r="J54" s="40">
        <f t="shared" ref="J54" si="9">H54*I54</f>
        <v>0</v>
      </c>
      <c r="K54" s="40">
        <f t="shared" ref="K54" si="10">G54+J54</f>
        <v>0</v>
      </c>
      <c r="L54" s="40">
        <v>0</v>
      </c>
      <c r="M54" s="136">
        <f t="shared" si="4"/>
        <v>1651007.8791000003</v>
      </c>
      <c r="N54" s="44"/>
      <c r="O54">
        <v>1109792.2825999993</v>
      </c>
      <c r="P54" s="174">
        <f>M54-O54</f>
        <v>541215.59650000092</v>
      </c>
    </row>
    <row r="55" spans="1:16">
      <c r="A55" s="181"/>
      <c r="B55" s="181"/>
      <c r="C55" s="181"/>
      <c r="D55" s="181"/>
      <c r="E55" s="181">
        <f>SUM(E4:E54)</f>
        <v>17988.96</v>
      </c>
      <c r="F55" s="181"/>
      <c r="G55" s="181">
        <f>SUM(G4:G54)</f>
        <v>1649851.4965000001</v>
      </c>
      <c r="H55" s="181">
        <f>SUM(H4:H54)</f>
        <v>112.74000000000001</v>
      </c>
      <c r="I55" s="181"/>
      <c r="J55" s="181">
        <f>SUM(J4:J54)</f>
        <v>11859.1206</v>
      </c>
      <c r="K55" s="181">
        <f>SUM(K4:K54)</f>
        <v>1661710.6171000001</v>
      </c>
      <c r="L55" s="181">
        <f>SUM(L4:L54)</f>
        <v>348495.99160000001</v>
      </c>
      <c r="M55" s="181"/>
      <c r="N55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8753-EB45-413F-AA43-E56ACFC36C88}">
  <dimension ref="A1:Q55"/>
  <sheetViews>
    <sheetView topLeftCell="A38" workbookViewId="0">
      <selection activeCell="M54" sqref="M54"/>
    </sheetView>
  </sheetViews>
  <sheetFormatPr defaultRowHeight="15"/>
  <cols>
    <col min="2" max="2" width="10.42578125" bestFit="1" customWidth="1"/>
    <col min="4" max="4" width="11.5703125" customWidth="1"/>
    <col min="7" max="7" width="10.42578125" bestFit="1" customWidth="1"/>
    <col min="11" max="11" width="13.5703125" bestFit="1" customWidth="1"/>
    <col min="12" max="12" width="11.42578125" bestFit="1" customWidth="1"/>
    <col min="13" max="13" width="13.5703125" bestFit="1" customWidth="1"/>
    <col min="14" max="14" width="27.5703125" customWidth="1"/>
  </cols>
  <sheetData>
    <row r="1" spans="1:14" ht="15.75">
      <c r="A1" s="483" t="s">
        <v>220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</row>
    <row r="2" spans="1:14" ht="30.75">
      <c r="A2" s="64" t="s">
        <v>0</v>
      </c>
      <c r="B2" s="83" t="s">
        <v>161</v>
      </c>
      <c r="C2" s="83" t="s">
        <v>162</v>
      </c>
      <c r="D2" s="83" t="s">
        <v>163</v>
      </c>
      <c r="E2" s="90" t="s">
        <v>164</v>
      </c>
      <c r="F2" s="90" t="s">
        <v>165</v>
      </c>
      <c r="G2" s="90" t="s">
        <v>166</v>
      </c>
      <c r="H2" s="90" t="s">
        <v>167</v>
      </c>
      <c r="I2" s="90" t="s">
        <v>165</v>
      </c>
      <c r="J2" s="90" t="s">
        <v>166</v>
      </c>
      <c r="K2" s="91" t="s">
        <v>168</v>
      </c>
      <c r="L2" s="85" t="s">
        <v>169</v>
      </c>
      <c r="M2" s="85" t="s">
        <v>181</v>
      </c>
      <c r="N2" s="125" t="s">
        <v>171</v>
      </c>
    </row>
    <row r="3" spans="1:14">
      <c r="A3" s="462" t="s">
        <v>172</v>
      </c>
      <c r="B3" s="462"/>
      <c r="C3" s="462"/>
      <c r="D3" s="462"/>
      <c r="E3" s="462"/>
      <c r="F3" s="462"/>
      <c r="G3" s="462"/>
      <c r="H3" s="462"/>
      <c r="I3" s="462"/>
      <c r="J3" s="466"/>
      <c r="K3" s="202">
        <v>2953127.7761999997</v>
      </c>
      <c r="M3" s="135">
        <v>2953127.7761999997</v>
      </c>
      <c r="N3" s="94"/>
    </row>
    <row r="4" spans="1:14">
      <c r="A4" s="26">
        <v>1</v>
      </c>
      <c r="B4" s="27">
        <v>46082</v>
      </c>
      <c r="C4" s="17"/>
      <c r="D4" s="17"/>
      <c r="E4" s="40">
        <v>2700</v>
      </c>
      <c r="F4" s="40">
        <v>91.71</v>
      </c>
      <c r="G4" s="40">
        <f>E4*F4</f>
        <v>247616.99999999997</v>
      </c>
      <c r="H4" s="40">
        <v>15</v>
      </c>
      <c r="I4" s="40">
        <v>105.44</v>
      </c>
      <c r="J4" s="40">
        <f>H4*I4</f>
        <v>1581.6</v>
      </c>
      <c r="K4" s="40">
        <f>G4+J4</f>
        <v>249198.59999999998</v>
      </c>
      <c r="L4" s="40"/>
      <c r="M4" s="136">
        <f>M3+K4-L4</f>
        <v>3202326.3761999998</v>
      </c>
      <c r="N4" s="17"/>
    </row>
    <row r="5" spans="1:14">
      <c r="A5" s="26">
        <v>2</v>
      </c>
      <c r="B5" s="27">
        <v>46086</v>
      </c>
      <c r="C5" s="17"/>
      <c r="D5" s="17"/>
      <c r="E5" s="40">
        <v>2100</v>
      </c>
      <c r="F5" s="40">
        <v>91.71</v>
      </c>
      <c r="G5" s="40">
        <f t="shared" ref="G5:G54" si="0">E5*F5</f>
        <v>192591</v>
      </c>
      <c r="H5" s="40"/>
      <c r="I5" s="40"/>
      <c r="J5" s="40">
        <f t="shared" ref="J5:J54" si="1">H5*I5</f>
        <v>0</v>
      </c>
      <c r="K5" s="40">
        <f>G5+J5</f>
        <v>192591</v>
      </c>
      <c r="L5" s="40"/>
      <c r="M5" s="136">
        <f t="shared" ref="M5:M54" si="2">M4+K5-L5</f>
        <v>3394917.3761999998</v>
      </c>
      <c r="N5" s="17"/>
    </row>
    <row r="6" spans="1:14">
      <c r="A6" s="26">
        <v>3</v>
      </c>
      <c r="B6" s="27">
        <v>46087</v>
      </c>
      <c r="C6" s="17"/>
      <c r="D6" s="17"/>
      <c r="E6" s="40">
        <v>40</v>
      </c>
      <c r="F6" s="40">
        <v>91.71</v>
      </c>
      <c r="G6" s="40">
        <f t="shared" si="0"/>
        <v>3668.3999999999996</v>
      </c>
      <c r="H6" s="40">
        <v>40</v>
      </c>
      <c r="I6" s="40">
        <v>105.44</v>
      </c>
      <c r="J6" s="40">
        <f t="shared" si="1"/>
        <v>4217.6000000000004</v>
      </c>
      <c r="K6" s="40">
        <f>G6+J6</f>
        <v>7886</v>
      </c>
      <c r="L6" s="40"/>
      <c r="M6" s="136">
        <f t="shared" si="2"/>
        <v>3402803.3761999998</v>
      </c>
      <c r="N6" s="17"/>
    </row>
    <row r="7" spans="1:14">
      <c r="A7" s="26">
        <v>4</v>
      </c>
      <c r="B7" s="27">
        <v>46088</v>
      </c>
      <c r="C7" s="17"/>
      <c r="D7" s="17"/>
      <c r="E7" s="40">
        <v>2499.81</v>
      </c>
      <c r="F7" s="40">
        <v>91.71</v>
      </c>
      <c r="G7" s="40">
        <f t="shared" si="0"/>
        <v>229257.57509999999</v>
      </c>
      <c r="H7" s="40"/>
      <c r="I7" s="40"/>
      <c r="J7" s="40">
        <f t="shared" si="1"/>
        <v>0</v>
      </c>
      <c r="K7" s="40">
        <f>G7+J7</f>
        <v>229257.57509999999</v>
      </c>
      <c r="L7" s="40"/>
      <c r="M7" s="136">
        <f t="shared" si="2"/>
        <v>3632060.9512999998</v>
      </c>
      <c r="N7" s="17"/>
    </row>
    <row r="8" spans="1:14">
      <c r="A8" s="26">
        <v>5</v>
      </c>
      <c r="B8" s="27">
        <v>46089</v>
      </c>
      <c r="C8" s="17"/>
      <c r="D8" s="17"/>
      <c r="E8" s="40">
        <v>2500</v>
      </c>
      <c r="F8" s="40">
        <v>91.71</v>
      </c>
      <c r="G8" s="40">
        <f t="shared" si="0"/>
        <v>229274.99999999997</v>
      </c>
      <c r="H8" s="40"/>
      <c r="I8" s="40"/>
      <c r="J8" s="40">
        <f t="shared" si="1"/>
        <v>0</v>
      </c>
      <c r="K8" s="40">
        <f>G8+J8</f>
        <v>229274.99999999997</v>
      </c>
      <c r="L8" s="40"/>
      <c r="M8" s="136">
        <f t="shared" si="2"/>
        <v>3861335.9512999998</v>
      </c>
      <c r="N8" s="17"/>
    </row>
    <row r="9" spans="1:14">
      <c r="A9" s="26">
        <v>6</v>
      </c>
      <c r="B9" s="27">
        <v>46090</v>
      </c>
      <c r="C9" s="17"/>
      <c r="D9" s="17"/>
      <c r="E9" s="40">
        <v>400</v>
      </c>
      <c r="F9" s="40">
        <v>91.71</v>
      </c>
      <c r="G9" s="40">
        <f t="shared" si="0"/>
        <v>36684</v>
      </c>
      <c r="H9" s="40"/>
      <c r="I9" s="40"/>
      <c r="J9" s="40">
        <f t="shared" si="1"/>
        <v>0</v>
      </c>
      <c r="K9" s="40">
        <f>G9+J9</f>
        <v>36684</v>
      </c>
      <c r="L9" s="40"/>
      <c r="M9" s="136">
        <f t="shared" si="2"/>
        <v>3898019.9512999998</v>
      </c>
      <c r="N9" s="17"/>
    </row>
    <row r="10" spans="1:14">
      <c r="A10" s="26">
        <v>7</v>
      </c>
      <c r="B10" s="27">
        <v>46091</v>
      </c>
      <c r="C10" s="17">
        <v>100</v>
      </c>
      <c r="D10" s="17"/>
      <c r="E10" s="437">
        <v>120</v>
      </c>
      <c r="F10" s="40">
        <v>91.71</v>
      </c>
      <c r="G10" s="40">
        <f t="shared" ref="G10:G12" si="3">E10*F10</f>
        <v>11005.199999999999</v>
      </c>
      <c r="H10" s="40"/>
      <c r="I10" s="40"/>
      <c r="J10" s="40">
        <f t="shared" ref="J10:J12" si="4">H10*I10</f>
        <v>0</v>
      </c>
      <c r="K10" s="40">
        <f t="shared" ref="K10:K12" si="5">G10+J10</f>
        <v>11005.199999999999</v>
      </c>
      <c r="L10" s="40"/>
      <c r="M10" s="136">
        <f t="shared" si="2"/>
        <v>3909025.1513</v>
      </c>
      <c r="N10" s="17"/>
    </row>
    <row r="11" spans="1:14">
      <c r="A11" s="26">
        <v>8</v>
      </c>
      <c r="B11" s="27">
        <v>46092</v>
      </c>
      <c r="C11" s="17"/>
      <c r="D11" s="17"/>
      <c r="E11" s="40">
        <v>1099.6400000000001</v>
      </c>
      <c r="F11" s="40">
        <v>91.71</v>
      </c>
      <c r="G11" s="40">
        <f t="shared" si="3"/>
        <v>100847.9844</v>
      </c>
      <c r="H11" s="40"/>
      <c r="I11" s="40"/>
      <c r="J11" s="40">
        <f t="shared" si="4"/>
        <v>0</v>
      </c>
      <c r="K11" s="40">
        <f t="shared" si="5"/>
        <v>100847.9844</v>
      </c>
      <c r="L11" s="40"/>
      <c r="M11" s="136">
        <f t="shared" si="2"/>
        <v>4009873.1357</v>
      </c>
      <c r="N11" s="17"/>
    </row>
    <row r="12" spans="1:14">
      <c r="A12" s="26">
        <v>9</v>
      </c>
      <c r="B12" s="27">
        <v>46094</v>
      </c>
      <c r="C12" s="17">
        <v>2700</v>
      </c>
      <c r="D12" s="17"/>
      <c r="E12" s="437">
        <v>2800</v>
      </c>
      <c r="F12" s="40">
        <v>91.71</v>
      </c>
      <c r="G12" s="40">
        <f t="shared" si="3"/>
        <v>256787.99999999997</v>
      </c>
      <c r="H12" s="40">
        <v>25</v>
      </c>
      <c r="I12" s="40">
        <v>105.44</v>
      </c>
      <c r="J12" s="40">
        <f t="shared" si="4"/>
        <v>2636</v>
      </c>
      <c r="K12" s="40">
        <f t="shared" si="5"/>
        <v>259423.99999999997</v>
      </c>
      <c r="L12" s="40"/>
      <c r="M12" s="136">
        <f t="shared" si="2"/>
        <v>4269297.1356999995</v>
      </c>
      <c r="N12" s="17"/>
    </row>
    <row r="13" spans="1:14">
      <c r="A13" s="26">
        <v>10</v>
      </c>
      <c r="B13" s="27">
        <v>46095</v>
      </c>
      <c r="C13" s="17"/>
      <c r="D13" s="17"/>
      <c r="E13" s="40">
        <v>2959</v>
      </c>
      <c r="F13" s="40">
        <v>91.71</v>
      </c>
      <c r="G13" s="40">
        <f t="shared" si="0"/>
        <v>271369.88999999996</v>
      </c>
      <c r="H13" s="40"/>
      <c r="I13" s="40"/>
      <c r="J13" s="40">
        <f t="shared" si="1"/>
        <v>0</v>
      </c>
      <c r="K13" s="40">
        <f>G13+J13</f>
        <v>271369.88999999996</v>
      </c>
      <c r="L13" s="40"/>
      <c r="M13" s="136">
        <f t="shared" si="2"/>
        <v>4540667.0256999992</v>
      </c>
      <c r="N13" s="17"/>
    </row>
    <row r="14" spans="1:14">
      <c r="A14" s="26">
        <v>11</v>
      </c>
      <c r="B14" s="27">
        <v>46096</v>
      </c>
      <c r="C14" s="17"/>
      <c r="D14" s="17"/>
      <c r="E14" s="40">
        <v>2100</v>
      </c>
      <c r="F14" s="40">
        <v>91.71</v>
      </c>
      <c r="G14" s="40">
        <f t="shared" si="0"/>
        <v>192591</v>
      </c>
      <c r="H14" s="40"/>
      <c r="I14" s="40"/>
      <c r="J14" s="40">
        <f t="shared" si="1"/>
        <v>0</v>
      </c>
      <c r="K14" s="40">
        <f>G14+J14</f>
        <v>192591</v>
      </c>
      <c r="L14" s="40"/>
      <c r="M14" s="136">
        <f t="shared" si="2"/>
        <v>4733258.0256999992</v>
      </c>
      <c r="N14" s="44"/>
    </row>
    <row r="15" spans="1:14">
      <c r="A15" s="26">
        <v>12</v>
      </c>
      <c r="B15" s="27">
        <v>46097</v>
      </c>
      <c r="C15" s="17">
        <v>3100</v>
      </c>
      <c r="D15" s="17"/>
      <c r="E15" s="437">
        <v>3310</v>
      </c>
      <c r="F15" s="40">
        <v>91.71</v>
      </c>
      <c r="G15" s="40">
        <f t="shared" si="0"/>
        <v>303560.09999999998</v>
      </c>
      <c r="H15" s="40">
        <v>55</v>
      </c>
      <c r="I15" s="40">
        <v>105.44</v>
      </c>
      <c r="J15" s="40">
        <f t="shared" si="1"/>
        <v>5799.2</v>
      </c>
      <c r="K15" s="40">
        <f>G15+J15</f>
        <v>309359.3</v>
      </c>
      <c r="L15" s="40"/>
      <c r="M15" s="136">
        <f t="shared" si="2"/>
        <v>5042617.325699999</v>
      </c>
      <c r="N15" s="44"/>
    </row>
    <row r="16" spans="1:14">
      <c r="A16" s="26">
        <v>13</v>
      </c>
      <c r="B16" s="27">
        <v>46098</v>
      </c>
      <c r="C16" s="17"/>
      <c r="D16" s="17"/>
      <c r="E16" s="40">
        <v>2700</v>
      </c>
      <c r="F16" s="40">
        <v>91.71</v>
      </c>
      <c r="G16" s="40">
        <f t="shared" si="0"/>
        <v>247616.99999999997</v>
      </c>
      <c r="H16" s="40"/>
      <c r="I16" s="40"/>
      <c r="J16" s="40">
        <f t="shared" si="1"/>
        <v>0</v>
      </c>
      <c r="K16" s="40">
        <f>G16+J16</f>
        <v>247616.99999999997</v>
      </c>
      <c r="L16" s="40">
        <v>1000000</v>
      </c>
      <c r="M16" s="136">
        <f t="shared" si="2"/>
        <v>4290234.325699999</v>
      </c>
      <c r="N16" s="44"/>
    </row>
    <row r="17" spans="1:16">
      <c r="A17" s="26">
        <v>14</v>
      </c>
      <c r="B17" s="27">
        <v>46099</v>
      </c>
      <c r="C17" s="17"/>
      <c r="D17" s="17"/>
      <c r="E17" s="40">
        <v>2850</v>
      </c>
      <c r="F17" s="40">
        <v>91.71</v>
      </c>
      <c r="G17" s="40">
        <f t="shared" si="0"/>
        <v>261373.49999999997</v>
      </c>
      <c r="H17" s="40"/>
      <c r="I17" s="40"/>
      <c r="J17" s="40">
        <f t="shared" si="1"/>
        <v>0</v>
      </c>
      <c r="K17" s="40">
        <f>G17+J17</f>
        <v>261373.49999999997</v>
      </c>
      <c r="L17" s="40"/>
      <c r="M17" s="136">
        <f t="shared" si="2"/>
        <v>4551607.825699999</v>
      </c>
      <c r="N17" s="44"/>
    </row>
    <row r="18" spans="1:16">
      <c r="A18" s="26">
        <v>15</v>
      </c>
      <c r="B18" s="27">
        <v>46100</v>
      </c>
      <c r="C18" s="17"/>
      <c r="D18" s="17"/>
      <c r="E18" s="40">
        <v>900</v>
      </c>
      <c r="F18" s="40">
        <v>91.71</v>
      </c>
      <c r="G18" s="40">
        <f t="shared" si="0"/>
        <v>82539</v>
      </c>
      <c r="H18" s="40"/>
      <c r="I18" s="40"/>
      <c r="J18" s="40">
        <f t="shared" si="1"/>
        <v>0</v>
      </c>
      <c r="K18" s="40">
        <f>G18+J18</f>
        <v>82539</v>
      </c>
      <c r="L18" s="40"/>
      <c r="M18" s="136">
        <f t="shared" si="2"/>
        <v>4634146.825699999</v>
      </c>
      <c r="N18" s="44"/>
    </row>
    <row r="19" spans="1:16">
      <c r="A19" s="26">
        <v>16</v>
      </c>
      <c r="B19" s="27">
        <v>46101</v>
      </c>
      <c r="C19" s="17">
        <v>2929.35</v>
      </c>
      <c r="D19" s="17"/>
      <c r="E19" s="40">
        <v>3129.35</v>
      </c>
      <c r="F19" s="40">
        <v>91.71</v>
      </c>
      <c r="G19" s="40">
        <f t="shared" si="0"/>
        <v>286992.68849999999</v>
      </c>
      <c r="H19" s="40">
        <v>50</v>
      </c>
      <c r="I19" s="40">
        <v>105.44</v>
      </c>
      <c r="J19" s="40">
        <f t="shared" si="1"/>
        <v>5272</v>
      </c>
      <c r="K19" s="40">
        <f>G19+J19</f>
        <v>292264.68849999999</v>
      </c>
      <c r="L19" s="40"/>
      <c r="M19" s="136">
        <f t="shared" si="2"/>
        <v>4926411.5141999992</v>
      </c>
      <c r="N19" s="44"/>
    </row>
    <row r="20" spans="1:16">
      <c r="A20" s="26">
        <v>17</v>
      </c>
      <c r="B20" s="27">
        <v>46102</v>
      </c>
      <c r="C20" s="17"/>
      <c r="D20" s="17"/>
      <c r="E20" s="40">
        <v>1400</v>
      </c>
      <c r="F20" s="40">
        <v>91.71</v>
      </c>
      <c r="G20" s="40">
        <f t="shared" si="0"/>
        <v>128393.99999999999</v>
      </c>
      <c r="H20" s="40"/>
      <c r="I20" s="40"/>
      <c r="J20" s="40">
        <f t="shared" si="1"/>
        <v>0</v>
      </c>
      <c r="K20" s="40">
        <f>G20+J20</f>
        <v>128393.99999999999</v>
      </c>
      <c r="L20" s="40"/>
      <c r="M20" s="136">
        <f t="shared" si="2"/>
        <v>5054805.5141999992</v>
      </c>
      <c r="N20" s="44"/>
      <c r="P20" s="22"/>
    </row>
    <row r="21" spans="1:16">
      <c r="A21" s="26">
        <v>18</v>
      </c>
      <c r="B21" s="27">
        <v>46103</v>
      </c>
      <c r="C21" s="17"/>
      <c r="D21" s="17"/>
      <c r="E21" s="40">
        <v>2900</v>
      </c>
      <c r="F21" s="40">
        <v>91.71</v>
      </c>
      <c r="G21" s="40">
        <f t="shared" si="0"/>
        <v>265959</v>
      </c>
      <c r="H21" s="40"/>
      <c r="I21" s="40"/>
      <c r="J21" s="40">
        <f t="shared" si="1"/>
        <v>0</v>
      </c>
      <c r="K21" s="40">
        <f>G21+J21</f>
        <v>265959</v>
      </c>
      <c r="L21" s="40"/>
      <c r="M21" s="136">
        <f t="shared" si="2"/>
        <v>5320764.5141999992</v>
      </c>
      <c r="N21" s="44"/>
      <c r="P21" s="22"/>
    </row>
    <row r="22" spans="1:16">
      <c r="A22" s="26">
        <v>19</v>
      </c>
      <c r="B22" s="27">
        <v>46104</v>
      </c>
      <c r="C22" s="17"/>
      <c r="D22" s="17"/>
      <c r="E22" s="40">
        <v>5930</v>
      </c>
      <c r="F22" s="40">
        <v>91.71</v>
      </c>
      <c r="G22" s="40">
        <f t="shared" si="0"/>
        <v>543840.29999999993</v>
      </c>
      <c r="H22" s="40">
        <v>55</v>
      </c>
      <c r="I22" s="40">
        <v>105.44</v>
      </c>
      <c r="J22" s="40">
        <f t="shared" si="1"/>
        <v>5799.2</v>
      </c>
      <c r="K22" s="40">
        <f>G22+J22</f>
        <v>549639.49999999988</v>
      </c>
      <c r="L22" s="40">
        <v>1700000</v>
      </c>
      <c r="M22" s="136">
        <f t="shared" si="2"/>
        <v>4170404.0141999992</v>
      </c>
      <c r="N22" s="44"/>
      <c r="P22" s="22"/>
    </row>
    <row r="23" spans="1:16">
      <c r="A23" s="26">
        <v>20</v>
      </c>
      <c r="B23" s="27">
        <v>46105</v>
      </c>
      <c r="C23" s="17"/>
      <c r="D23" s="17"/>
      <c r="E23" s="40">
        <v>3100</v>
      </c>
      <c r="F23" s="40">
        <v>91.71</v>
      </c>
      <c r="G23" s="40">
        <f t="shared" si="0"/>
        <v>284301</v>
      </c>
      <c r="H23" s="40"/>
      <c r="I23" s="40"/>
      <c r="J23" s="40">
        <f t="shared" si="1"/>
        <v>0</v>
      </c>
      <c r="K23" s="40">
        <f>G23+J23</f>
        <v>284301</v>
      </c>
      <c r="L23" s="40"/>
      <c r="M23" s="136">
        <f t="shared" si="2"/>
        <v>4454705.0141999992</v>
      </c>
      <c r="N23" s="44"/>
      <c r="P23" s="22"/>
    </row>
    <row r="24" spans="1:16" ht="15.75">
      <c r="A24" s="26">
        <v>21</v>
      </c>
      <c r="B24" s="27">
        <v>46107</v>
      </c>
      <c r="C24" s="17"/>
      <c r="D24" s="17"/>
      <c r="E24" s="40">
        <v>5899.59</v>
      </c>
      <c r="F24" s="437">
        <v>94.71</v>
      </c>
      <c r="G24" s="40">
        <f t="shared" si="0"/>
        <v>558750.16889999993</v>
      </c>
      <c r="H24" s="40">
        <v>60</v>
      </c>
      <c r="I24" s="438">
        <v>110.44</v>
      </c>
      <c r="J24" s="40">
        <f t="shared" si="1"/>
        <v>6626.4</v>
      </c>
      <c r="K24" s="40">
        <f>G24+J24</f>
        <v>565376.56889999995</v>
      </c>
      <c r="L24" s="40"/>
      <c r="M24" s="136">
        <f t="shared" si="2"/>
        <v>5020081.5830999995</v>
      </c>
      <c r="N24" s="44"/>
      <c r="P24" s="22"/>
    </row>
    <row r="25" spans="1:16">
      <c r="A25" s="26">
        <v>22</v>
      </c>
      <c r="B25" s="27">
        <v>46108</v>
      </c>
      <c r="C25" s="17"/>
      <c r="D25" s="17"/>
      <c r="E25" s="40">
        <v>0</v>
      </c>
      <c r="F25" s="40">
        <v>0</v>
      </c>
      <c r="G25" s="40">
        <f t="shared" si="0"/>
        <v>0</v>
      </c>
      <c r="H25" s="40"/>
      <c r="I25" s="40"/>
      <c r="J25" s="40">
        <f t="shared" si="1"/>
        <v>0</v>
      </c>
      <c r="K25" s="40">
        <f>G25+J25</f>
        <v>0</v>
      </c>
      <c r="L25" s="40">
        <f>H25+K25</f>
        <v>0</v>
      </c>
      <c r="M25" s="136">
        <f t="shared" si="2"/>
        <v>5020081.5830999995</v>
      </c>
      <c r="N25" s="44" t="s">
        <v>125</v>
      </c>
      <c r="P25" s="22"/>
    </row>
    <row r="26" spans="1:16">
      <c r="A26" s="26">
        <v>23</v>
      </c>
      <c r="B26" s="27">
        <v>46110</v>
      </c>
      <c r="C26" s="17"/>
      <c r="D26" s="17"/>
      <c r="E26" s="40"/>
      <c r="F26" s="40"/>
      <c r="G26" s="40">
        <f t="shared" si="0"/>
        <v>0</v>
      </c>
      <c r="H26" s="40">
        <v>35</v>
      </c>
      <c r="I26" s="40">
        <v>110.44</v>
      </c>
      <c r="J26" s="40">
        <f t="shared" si="1"/>
        <v>3865.4</v>
      </c>
      <c r="K26" s="40">
        <f>G26+J26</f>
        <v>3865.4</v>
      </c>
      <c r="L26" s="40"/>
      <c r="M26" s="136">
        <f t="shared" si="2"/>
        <v>5023946.9830999998</v>
      </c>
      <c r="N26" s="44"/>
      <c r="P26" s="22"/>
    </row>
    <row r="27" spans="1:16">
      <c r="A27" s="26">
        <v>24</v>
      </c>
      <c r="B27" s="27">
        <v>46112</v>
      </c>
      <c r="C27" s="17"/>
      <c r="D27" s="17"/>
      <c r="E27" s="40">
        <v>4700</v>
      </c>
      <c r="F27" s="437">
        <v>94.71</v>
      </c>
      <c r="G27" s="40">
        <f>E27*F27</f>
        <v>445136.99999999994</v>
      </c>
      <c r="H27" s="40">
        <v>25</v>
      </c>
      <c r="I27" s="40">
        <v>110.44</v>
      </c>
      <c r="J27" s="40">
        <f t="shared" si="1"/>
        <v>2761</v>
      </c>
      <c r="K27" s="40">
        <f>G27+J27</f>
        <v>447897.99999999994</v>
      </c>
      <c r="L27" s="40"/>
      <c r="M27" s="136">
        <f t="shared" si="2"/>
        <v>5471844.9830999998</v>
      </c>
      <c r="N27" s="44"/>
      <c r="P27" s="22"/>
    </row>
    <row r="28" spans="1:16">
      <c r="A28" s="26">
        <v>25</v>
      </c>
      <c r="B28" s="27"/>
      <c r="C28" s="17"/>
      <c r="D28" s="17"/>
      <c r="E28" s="40"/>
      <c r="F28" s="40"/>
      <c r="G28" s="40">
        <f>E28*F28</f>
        <v>0</v>
      </c>
      <c r="H28" s="40"/>
      <c r="I28" s="40"/>
      <c r="J28" s="40">
        <f t="shared" si="1"/>
        <v>0</v>
      </c>
      <c r="K28" s="40">
        <f>G28+J28</f>
        <v>0</v>
      </c>
      <c r="L28" s="40"/>
      <c r="M28" s="136">
        <f t="shared" si="2"/>
        <v>5471844.9830999998</v>
      </c>
      <c r="N28" s="44"/>
      <c r="P28" s="22"/>
    </row>
    <row r="29" spans="1:16">
      <c r="A29" s="26">
        <v>26</v>
      </c>
      <c r="B29" s="27"/>
      <c r="C29" s="17"/>
      <c r="D29" s="17"/>
      <c r="E29" s="40"/>
      <c r="F29" s="40"/>
      <c r="G29" s="40">
        <f t="shared" si="0"/>
        <v>0</v>
      </c>
      <c r="H29" s="40"/>
      <c r="I29" s="40"/>
      <c r="J29" s="40">
        <f t="shared" si="1"/>
        <v>0</v>
      </c>
      <c r="K29" s="40">
        <f>G29+J29</f>
        <v>0</v>
      </c>
      <c r="L29" s="40"/>
      <c r="M29" s="136">
        <f t="shared" si="2"/>
        <v>5471844.9830999998</v>
      </c>
      <c r="N29" s="44"/>
    </row>
    <row r="30" spans="1:16">
      <c r="A30" s="26">
        <v>27</v>
      </c>
      <c r="B30" s="27"/>
      <c r="C30" s="17"/>
      <c r="D30" s="17"/>
      <c r="E30" s="40"/>
      <c r="F30" s="40"/>
      <c r="G30" s="40">
        <f t="shared" si="0"/>
        <v>0</v>
      </c>
      <c r="H30" s="40"/>
      <c r="I30" s="40"/>
      <c r="J30" s="40">
        <f t="shared" si="1"/>
        <v>0</v>
      </c>
      <c r="K30" s="40">
        <f>G30+J30</f>
        <v>0</v>
      </c>
      <c r="L30" s="40"/>
      <c r="M30" s="136">
        <f t="shared" si="2"/>
        <v>5471844.9830999998</v>
      </c>
      <c r="N30" s="44"/>
    </row>
    <row r="31" spans="1:16">
      <c r="A31" s="26">
        <v>28</v>
      </c>
      <c r="B31" s="27"/>
      <c r="C31" s="17"/>
      <c r="D31" s="17"/>
      <c r="E31" s="40"/>
      <c r="F31" s="40"/>
      <c r="G31" s="40">
        <f t="shared" si="0"/>
        <v>0</v>
      </c>
      <c r="H31" s="40"/>
      <c r="I31" s="40"/>
      <c r="J31" s="40">
        <f t="shared" si="1"/>
        <v>0</v>
      </c>
      <c r="K31" s="40">
        <f>G31+J31</f>
        <v>0</v>
      </c>
      <c r="L31" s="40"/>
      <c r="M31" s="136">
        <f t="shared" si="2"/>
        <v>5471844.9830999998</v>
      </c>
      <c r="N31" s="44"/>
    </row>
    <row r="32" spans="1:16">
      <c r="A32" s="26">
        <v>29</v>
      </c>
      <c r="B32" s="27"/>
      <c r="C32" s="17"/>
      <c r="D32" s="17"/>
      <c r="E32" s="40"/>
      <c r="F32" s="40"/>
      <c r="G32" s="40">
        <f t="shared" si="0"/>
        <v>0</v>
      </c>
      <c r="H32" s="40"/>
      <c r="I32" s="40"/>
      <c r="J32" s="40">
        <f t="shared" si="1"/>
        <v>0</v>
      </c>
      <c r="K32" s="40">
        <f>G32+J32</f>
        <v>0</v>
      </c>
      <c r="L32" s="40"/>
      <c r="M32" s="136">
        <f t="shared" si="2"/>
        <v>5471844.9830999998</v>
      </c>
      <c r="N32" s="44"/>
    </row>
    <row r="33" spans="1:17">
      <c r="A33" s="26">
        <v>30</v>
      </c>
      <c r="B33" s="27"/>
      <c r="C33" s="17"/>
      <c r="D33" s="17"/>
      <c r="E33" s="40"/>
      <c r="F33" s="40"/>
      <c r="G33" s="40">
        <f t="shared" si="0"/>
        <v>0</v>
      </c>
      <c r="H33" s="40"/>
      <c r="I33" s="40"/>
      <c r="J33" s="40">
        <f t="shared" si="1"/>
        <v>0</v>
      </c>
      <c r="K33" s="40">
        <f>G33+J33</f>
        <v>0</v>
      </c>
      <c r="L33" s="40"/>
      <c r="M33" s="136">
        <f t="shared" si="2"/>
        <v>5471844.9830999998</v>
      </c>
      <c r="N33" s="44"/>
    </row>
    <row r="34" spans="1:17">
      <c r="A34" s="26">
        <v>31</v>
      </c>
      <c r="B34" s="27"/>
      <c r="C34" s="17"/>
      <c r="D34" s="17"/>
      <c r="E34" s="40"/>
      <c r="F34" s="40"/>
      <c r="G34" s="40">
        <f t="shared" si="0"/>
        <v>0</v>
      </c>
      <c r="H34" s="40"/>
      <c r="I34" s="40"/>
      <c r="J34" s="40">
        <f t="shared" si="1"/>
        <v>0</v>
      </c>
      <c r="K34" s="40">
        <f>G34+J34</f>
        <v>0</v>
      </c>
      <c r="L34" s="40"/>
      <c r="M34" s="136">
        <f t="shared" si="2"/>
        <v>5471844.9830999998</v>
      </c>
      <c r="N34" s="44"/>
    </row>
    <row r="35" spans="1:17">
      <c r="A35" s="26">
        <v>32</v>
      </c>
      <c r="B35" s="27"/>
      <c r="C35" s="17"/>
      <c r="D35" s="17"/>
      <c r="E35" s="40"/>
      <c r="F35" s="40"/>
      <c r="G35" s="40">
        <f t="shared" si="0"/>
        <v>0</v>
      </c>
      <c r="H35" s="40"/>
      <c r="I35" s="40"/>
      <c r="J35" s="40">
        <f t="shared" si="1"/>
        <v>0</v>
      </c>
      <c r="K35" s="40">
        <f>G35+J35</f>
        <v>0</v>
      </c>
      <c r="L35" s="40"/>
      <c r="M35" s="136">
        <f t="shared" si="2"/>
        <v>5471844.9830999998</v>
      </c>
      <c r="N35" s="44"/>
    </row>
    <row r="36" spans="1:17">
      <c r="A36" s="26">
        <v>33</v>
      </c>
      <c r="B36" s="27"/>
      <c r="C36" s="17"/>
      <c r="D36" s="17"/>
      <c r="E36" s="40"/>
      <c r="F36" s="40"/>
      <c r="G36" s="40">
        <f t="shared" si="0"/>
        <v>0</v>
      </c>
      <c r="H36" s="40"/>
      <c r="I36" s="40"/>
      <c r="J36" s="40">
        <f t="shared" si="1"/>
        <v>0</v>
      </c>
      <c r="K36" s="40">
        <f>G36+J36</f>
        <v>0</v>
      </c>
      <c r="L36" s="40"/>
      <c r="M36" s="136">
        <f t="shared" si="2"/>
        <v>5471844.9830999998</v>
      </c>
      <c r="N36" s="44"/>
    </row>
    <row r="37" spans="1:17">
      <c r="A37" s="26">
        <v>34</v>
      </c>
      <c r="B37" s="27"/>
      <c r="C37" s="17"/>
      <c r="D37" s="17"/>
      <c r="E37" s="40"/>
      <c r="F37" s="40"/>
      <c r="G37" s="40">
        <f t="shared" si="0"/>
        <v>0</v>
      </c>
      <c r="H37" s="40"/>
      <c r="I37" s="40"/>
      <c r="J37" s="40">
        <f t="shared" si="1"/>
        <v>0</v>
      </c>
      <c r="K37" s="40">
        <f>G37+J37</f>
        <v>0</v>
      </c>
      <c r="L37" s="40"/>
      <c r="M37" s="136">
        <f t="shared" si="2"/>
        <v>5471844.9830999998</v>
      </c>
      <c r="N37" s="44"/>
    </row>
    <row r="38" spans="1:17">
      <c r="A38" s="26">
        <v>35</v>
      </c>
      <c r="B38" s="27"/>
      <c r="C38" s="17"/>
      <c r="D38" s="17"/>
      <c r="E38" s="40"/>
      <c r="F38" s="40"/>
      <c r="G38" s="40">
        <f t="shared" si="0"/>
        <v>0</v>
      </c>
      <c r="H38" s="40"/>
      <c r="I38" s="40"/>
      <c r="J38" s="40">
        <f t="shared" si="1"/>
        <v>0</v>
      </c>
      <c r="K38" s="40">
        <f>G38+J38</f>
        <v>0</v>
      </c>
      <c r="L38" s="40"/>
      <c r="M38" s="136">
        <f t="shared" si="2"/>
        <v>5471844.9830999998</v>
      </c>
      <c r="N38" s="44"/>
      <c r="P38">
        <v>41</v>
      </c>
    </row>
    <row r="39" spans="1:17">
      <c r="A39" s="26">
        <v>36</v>
      </c>
      <c r="B39" s="27"/>
      <c r="C39" s="17"/>
      <c r="D39" s="17"/>
      <c r="E39" s="40"/>
      <c r="F39" s="40"/>
      <c r="G39" s="40">
        <f t="shared" si="0"/>
        <v>0</v>
      </c>
      <c r="H39" s="40"/>
      <c r="I39" s="40"/>
      <c r="J39" s="40">
        <f t="shared" si="1"/>
        <v>0</v>
      </c>
      <c r="K39" s="40">
        <f>G39+J39</f>
        <v>0</v>
      </c>
      <c r="L39" s="40"/>
      <c r="M39" s="136">
        <f t="shared" si="2"/>
        <v>5471844.9830999998</v>
      </c>
      <c r="N39" s="44"/>
      <c r="P39">
        <v>40</v>
      </c>
      <c r="Q39">
        <v>5</v>
      </c>
    </row>
    <row r="40" spans="1:17">
      <c r="A40" s="26">
        <v>37</v>
      </c>
      <c r="B40" s="27"/>
      <c r="C40" s="17"/>
      <c r="D40" s="17"/>
      <c r="E40" s="40"/>
      <c r="F40" s="40"/>
      <c r="G40" s="40">
        <f t="shared" si="0"/>
        <v>0</v>
      </c>
      <c r="H40" s="40"/>
      <c r="I40" s="40"/>
      <c r="J40" s="40">
        <f t="shared" si="1"/>
        <v>0</v>
      </c>
      <c r="K40" s="40">
        <f>G40+J40</f>
        <v>0</v>
      </c>
      <c r="L40" s="40"/>
      <c r="M40" s="136">
        <f t="shared" si="2"/>
        <v>5471844.9830999998</v>
      </c>
      <c r="N40" s="44"/>
    </row>
    <row r="41" spans="1:17">
      <c r="A41" s="26">
        <v>38</v>
      </c>
      <c r="B41" s="27"/>
      <c r="C41" s="17"/>
      <c r="D41" s="17"/>
      <c r="E41" s="40"/>
      <c r="F41" s="40"/>
      <c r="G41" s="40">
        <f t="shared" si="0"/>
        <v>0</v>
      </c>
      <c r="H41" s="40"/>
      <c r="I41" s="40"/>
      <c r="J41" s="40">
        <f t="shared" si="1"/>
        <v>0</v>
      </c>
      <c r="K41" s="40">
        <f>G41+J41</f>
        <v>0</v>
      </c>
      <c r="L41" s="40"/>
      <c r="M41" s="136">
        <f t="shared" si="2"/>
        <v>5471844.9830999998</v>
      </c>
      <c r="N41" s="44"/>
    </row>
    <row r="42" spans="1:17">
      <c r="A42" s="26">
        <v>39</v>
      </c>
      <c r="B42" s="27"/>
      <c r="C42" s="17"/>
      <c r="D42" s="17"/>
      <c r="E42" s="40"/>
      <c r="F42" s="40"/>
      <c r="G42" s="40">
        <f t="shared" si="0"/>
        <v>0</v>
      </c>
      <c r="H42" s="40"/>
      <c r="I42" s="40"/>
      <c r="J42" s="40">
        <f t="shared" si="1"/>
        <v>0</v>
      </c>
      <c r="K42" s="40">
        <f>G42+J42</f>
        <v>0</v>
      </c>
      <c r="L42" s="40"/>
      <c r="M42" s="136">
        <f t="shared" si="2"/>
        <v>5471844.9830999998</v>
      </c>
      <c r="N42" s="44"/>
    </row>
    <row r="43" spans="1:17">
      <c r="A43" s="26">
        <v>40</v>
      </c>
      <c r="B43" s="27"/>
      <c r="C43" s="17"/>
      <c r="D43" s="17"/>
      <c r="E43" s="40"/>
      <c r="F43" s="40"/>
      <c r="G43" s="40">
        <f t="shared" si="0"/>
        <v>0</v>
      </c>
      <c r="H43" s="40"/>
      <c r="I43" s="40"/>
      <c r="J43" s="40">
        <f t="shared" si="1"/>
        <v>0</v>
      </c>
      <c r="K43" s="40">
        <f>G43+J43</f>
        <v>0</v>
      </c>
      <c r="L43" s="40"/>
      <c r="M43" s="136">
        <f t="shared" si="2"/>
        <v>5471844.9830999998</v>
      </c>
      <c r="N43" s="44"/>
    </row>
    <row r="44" spans="1:17">
      <c r="A44" s="26">
        <v>41</v>
      </c>
      <c r="B44" s="27"/>
      <c r="C44" s="17"/>
      <c r="D44" s="17"/>
      <c r="E44" s="40"/>
      <c r="F44" s="40"/>
      <c r="G44" s="40">
        <f t="shared" si="0"/>
        <v>0</v>
      </c>
      <c r="H44" s="40"/>
      <c r="I44" s="40"/>
      <c r="J44" s="40">
        <f t="shared" si="1"/>
        <v>0</v>
      </c>
      <c r="K44" s="40">
        <f>G44+J44</f>
        <v>0</v>
      </c>
      <c r="L44" s="40"/>
      <c r="M44" s="136">
        <f t="shared" si="2"/>
        <v>5471844.9830999998</v>
      </c>
      <c r="N44" s="44"/>
    </row>
    <row r="45" spans="1:17">
      <c r="A45" s="26">
        <v>42</v>
      </c>
      <c r="B45" s="27"/>
      <c r="C45" s="17"/>
      <c r="D45" s="17"/>
      <c r="E45" s="40"/>
      <c r="F45" s="40"/>
      <c r="G45" s="40">
        <f t="shared" si="0"/>
        <v>0</v>
      </c>
      <c r="H45" s="40"/>
      <c r="I45" s="40"/>
      <c r="J45" s="40">
        <f t="shared" si="1"/>
        <v>0</v>
      </c>
      <c r="K45" s="40">
        <f>G45+J45</f>
        <v>0</v>
      </c>
      <c r="L45" s="40"/>
      <c r="M45" s="136">
        <f t="shared" si="2"/>
        <v>5471844.9830999998</v>
      </c>
      <c r="N45" s="44"/>
    </row>
    <row r="46" spans="1:17">
      <c r="A46" s="26">
        <v>43</v>
      </c>
      <c r="B46" s="27"/>
      <c r="C46" s="17"/>
      <c r="D46" s="17"/>
      <c r="E46" s="40"/>
      <c r="F46" s="40"/>
      <c r="G46" s="40">
        <f t="shared" si="0"/>
        <v>0</v>
      </c>
      <c r="H46" s="40"/>
      <c r="I46" s="40"/>
      <c r="J46" s="40">
        <f t="shared" si="1"/>
        <v>0</v>
      </c>
      <c r="K46" s="40">
        <f>G46+J46</f>
        <v>0</v>
      </c>
      <c r="L46" s="40"/>
      <c r="M46" s="136">
        <f t="shared" si="2"/>
        <v>5471844.9830999998</v>
      </c>
      <c r="N46" s="44"/>
    </row>
    <row r="47" spans="1:17">
      <c r="A47" s="26">
        <v>44</v>
      </c>
      <c r="B47" s="27"/>
      <c r="C47" s="17"/>
      <c r="D47" s="17"/>
      <c r="E47" s="40"/>
      <c r="F47" s="40"/>
      <c r="G47" s="40">
        <f t="shared" si="0"/>
        <v>0</v>
      </c>
      <c r="H47" s="40"/>
      <c r="I47" s="40"/>
      <c r="J47" s="40">
        <f t="shared" si="1"/>
        <v>0</v>
      </c>
      <c r="K47" s="40">
        <f>G47+J47</f>
        <v>0</v>
      </c>
      <c r="L47" s="40"/>
      <c r="M47" s="136">
        <f t="shared" si="2"/>
        <v>5471844.9830999998</v>
      </c>
      <c r="N47" s="44"/>
    </row>
    <row r="48" spans="1:17">
      <c r="A48" s="26">
        <v>45</v>
      </c>
      <c r="B48" s="27"/>
      <c r="C48" s="17"/>
      <c r="D48" s="17"/>
      <c r="E48" s="40"/>
      <c r="F48" s="40"/>
      <c r="G48" s="40">
        <f t="shared" si="0"/>
        <v>0</v>
      </c>
      <c r="H48" s="40"/>
      <c r="I48" s="40"/>
      <c r="J48" s="40">
        <f t="shared" si="1"/>
        <v>0</v>
      </c>
      <c r="K48" s="40">
        <f>G48+J48</f>
        <v>0</v>
      </c>
      <c r="L48" s="40"/>
      <c r="M48" s="136">
        <f t="shared" si="2"/>
        <v>5471844.9830999998</v>
      </c>
      <c r="N48" s="44"/>
    </row>
    <row r="49" spans="1:16">
      <c r="A49" s="26">
        <v>46</v>
      </c>
      <c r="B49" s="27"/>
      <c r="C49" s="17"/>
      <c r="D49" s="17"/>
      <c r="E49" s="40"/>
      <c r="F49" s="40"/>
      <c r="G49" s="40">
        <f t="shared" si="0"/>
        <v>0</v>
      </c>
      <c r="H49" s="40"/>
      <c r="I49" s="40"/>
      <c r="J49" s="40">
        <f t="shared" si="1"/>
        <v>0</v>
      </c>
      <c r="K49" s="40">
        <f>G49+J49</f>
        <v>0</v>
      </c>
      <c r="L49" s="40"/>
      <c r="M49" s="136">
        <f t="shared" si="2"/>
        <v>5471844.9830999998</v>
      </c>
      <c r="N49" s="44"/>
    </row>
    <row r="50" spans="1:16">
      <c r="A50" s="26">
        <v>47</v>
      </c>
      <c r="B50" s="27"/>
      <c r="C50" s="17"/>
      <c r="D50" s="17"/>
      <c r="E50" s="40"/>
      <c r="F50" s="40"/>
      <c r="G50" s="40">
        <f t="shared" si="0"/>
        <v>0</v>
      </c>
      <c r="H50" s="40"/>
      <c r="I50" s="40"/>
      <c r="J50" s="40">
        <f t="shared" si="1"/>
        <v>0</v>
      </c>
      <c r="K50" s="40">
        <f>G50+J50</f>
        <v>0</v>
      </c>
      <c r="L50" s="40"/>
      <c r="M50" s="136">
        <f t="shared" si="2"/>
        <v>5471844.9830999998</v>
      </c>
      <c r="N50" s="44"/>
    </row>
    <row r="51" spans="1:16">
      <c r="A51" s="26">
        <v>48</v>
      </c>
      <c r="B51" s="27"/>
      <c r="C51" s="17"/>
      <c r="D51" s="17"/>
      <c r="E51" s="40"/>
      <c r="F51" s="40"/>
      <c r="G51" s="40">
        <f t="shared" si="0"/>
        <v>0</v>
      </c>
      <c r="H51" s="40"/>
      <c r="I51" s="40"/>
      <c r="J51" s="40">
        <f t="shared" si="1"/>
        <v>0</v>
      </c>
      <c r="K51" s="40">
        <f>G51+J51</f>
        <v>0</v>
      </c>
      <c r="L51" s="40">
        <v>0</v>
      </c>
      <c r="M51" s="136">
        <f t="shared" si="2"/>
        <v>5471844.9830999998</v>
      </c>
      <c r="N51" s="44"/>
    </row>
    <row r="52" spans="1:16">
      <c r="A52" s="26">
        <v>49</v>
      </c>
      <c r="B52" s="27"/>
      <c r="C52" s="94"/>
      <c r="D52" s="94"/>
      <c r="E52" s="40"/>
      <c r="F52" s="40"/>
      <c r="G52" s="40">
        <f t="shared" si="0"/>
        <v>0</v>
      </c>
      <c r="H52" s="40"/>
      <c r="I52" s="40"/>
      <c r="J52" s="40">
        <f t="shared" si="1"/>
        <v>0</v>
      </c>
      <c r="K52" s="40">
        <f>G52+J52</f>
        <v>0</v>
      </c>
      <c r="L52" s="40">
        <v>0</v>
      </c>
      <c r="M52" s="136">
        <f t="shared" si="2"/>
        <v>5471844.9830999998</v>
      </c>
      <c r="N52" s="224"/>
    </row>
    <row r="53" spans="1:16">
      <c r="A53" s="26">
        <v>50</v>
      </c>
      <c r="B53" s="27"/>
      <c r="C53" s="17"/>
      <c r="D53" s="17"/>
      <c r="E53" s="40"/>
      <c r="F53" s="40"/>
      <c r="G53" s="40">
        <f t="shared" si="0"/>
        <v>0</v>
      </c>
      <c r="H53" s="40"/>
      <c r="I53" s="40"/>
      <c r="J53" s="40">
        <f t="shared" si="1"/>
        <v>0</v>
      </c>
      <c r="K53" s="40">
        <f>G53+J53</f>
        <v>0</v>
      </c>
      <c r="L53" s="40">
        <v>0</v>
      </c>
      <c r="M53" s="136">
        <f t="shared" si="2"/>
        <v>5471844.9830999998</v>
      </c>
      <c r="N53" s="44"/>
    </row>
    <row r="54" spans="1:16">
      <c r="A54" s="26">
        <v>51</v>
      </c>
      <c r="B54" s="27"/>
      <c r="C54" s="17"/>
      <c r="D54" s="17"/>
      <c r="E54" s="40"/>
      <c r="F54" s="40"/>
      <c r="G54" s="40">
        <f t="shared" si="0"/>
        <v>0</v>
      </c>
      <c r="H54" s="40"/>
      <c r="I54" s="40"/>
      <c r="J54" s="40">
        <f t="shared" si="1"/>
        <v>0</v>
      </c>
      <c r="K54" s="40">
        <f>G54+J54</f>
        <v>0</v>
      </c>
      <c r="L54" s="40">
        <v>0</v>
      </c>
      <c r="M54" s="136">
        <f t="shared" si="2"/>
        <v>5471844.9830999998</v>
      </c>
      <c r="N54" s="44"/>
      <c r="O54">
        <v>1109792.2825999993</v>
      </c>
      <c r="P54" s="174">
        <f>M54-O54</f>
        <v>4362052.7005000003</v>
      </c>
    </row>
    <row r="55" spans="1:16">
      <c r="A55" s="181"/>
      <c r="B55" s="181"/>
      <c r="C55" s="181"/>
      <c r="D55" s="181"/>
      <c r="E55" s="181">
        <f>SUM(E4:E54)</f>
        <v>56137.39</v>
      </c>
      <c r="F55" s="181"/>
      <c r="G55" s="181">
        <f>SUM(G4:G54)</f>
        <v>5180158.8069000002</v>
      </c>
      <c r="H55" s="181">
        <f>SUM(H4:H54)</f>
        <v>360</v>
      </c>
      <c r="I55" s="181"/>
      <c r="J55" s="181">
        <f>SUM(J4:J54)</f>
        <v>38558.400000000001</v>
      </c>
      <c r="K55" s="181">
        <f>SUM(K4:K54)</f>
        <v>5218717.2069000006</v>
      </c>
      <c r="L55" s="181">
        <f>SUM(L4:L54)</f>
        <v>2700000</v>
      </c>
      <c r="M55" s="181"/>
      <c r="N55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7AF6-CB13-4ED5-8FE5-368CC36ADC9F}">
  <dimension ref="A1:N55"/>
  <sheetViews>
    <sheetView topLeftCell="A44" workbookViewId="0"/>
  </sheetViews>
  <sheetFormatPr defaultRowHeight="15"/>
  <cols>
    <col min="2" max="2" width="10.42578125" bestFit="1" customWidth="1"/>
    <col min="11" max="12" width="13.5703125" bestFit="1" customWidth="1"/>
    <col min="13" max="13" width="11.5703125" bestFit="1" customWidth="1"/>
  </cols>
  <sheetData>
    <row r="1" spans="1:14" ht="15.75">
      <c r="A1" s="483" t="s">
        <v>221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</row>
    <row r="2" spans="1:14" ht="30.75">
      <c r="A2" s="64" t="s">
        <v>0</v>
      </c>
      <c r="B2" s="83" t="s">
        <v>161</v>
      </c>
      <c r="C2" s="83" t="s">
        <v>162</v>
      </c>
      <c r="D2" s="83" t="s">
        <v>163</v>
      </c>
      <c r="E2" s="90" t="s">
        <v>164</v>
      </c>
      <c r="F2" s="90" t="s">
        <v>165</v>
      </c>
      <c r="G2" s="90" t="s">
        <v>166</v>
      </c>
      <c r="H2" s="90" t="s">
        <v>167</v>
      </c>
      <c r="I2" s="90" t="s">
        <v>165</v>
      </c>
      <c r="J2" s="90" t="s">
        <v>166</v>
      </c>
      <c r="K2" s="91" t="s">
        <v>168</v>
      </c>
      <c r="L2" s="85" t="s">
        <v>169</v>
      </c>
      <c r="M2" s="85" t="s">
        <v>181</v>
      </c>
      <c r="N2" s="125" t="s">
        <v>171</v>
      </c>
    </row>
    <row r="3" spans="1:14">
      <c r="A3" s="462" t="s">
        <v>172</v>
      </c>
      <c r="B3" s="462"/>
      <c r="C3" s="462"/>
      <c r="D3" s="462"/>
      <c r="E3" s="462"/>
      <c r="F3" s="462"/>
      <c r="G3" s="462"/>
      <c r="H3" s="462"/>
      <c r="I3" s="462"/>
      <c r="J3" s="466"/>
      <c r="K3" s="202">
        <v>0</v>
      </c>
      <c r="M3" s="135">
        <f>+K3</f>
        <v>0</v>
      </c>
      <c r="N3" s="94"/>
    </row>
    <row r="4" spans="1:14">
      <c r="A4" s="26">
        <v>1</v>
      </c>
      <c r="B4" s="27">
        <v>46082</v>
      </c>
      <c r="C4" s="17"/>
      <c r="D4" s="17"/>
      <c r="E4" s="40"/>
      <c r="F4" s="40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/>
      <c r="M4" s="136">
        <f>M3+K4-L4</f>
        <v>0</v>
      </c>
      <c r="N4" s="17"/>
    </row>
    <row r="5" spans="1:14">
      <c r="A5" s="26">
        <v>2</v>
      </c>
      <c r="B5" s="27">
        <v>46083</v>
      </c>
      <c r="C5" s="17"/>
      <c r="D5" s="17"/>
      <c r="E5" s="40"/>
      <c r="F5" s="40"/>
      <c r="G5" s="40">
        <f t="shared" ref="G5:G54" si="0">E5*F5</f>
        <v>0</v>
      </c>
      <c r="H5" s="40"/>
      <c r="I5" s="40"/>
      <c r="J5" s="40">
        <f t="shared" ref="J5:J54" si="1">H5*I5</f>
        <v>0</v>
      </c>
      <c r="K5" s="40">
        <f t="shared" ref="K5:L39" si="2">G5+J5</f>
        <v>0</v>
      </c>
      <c r="L5" s="40"/>
      <c r="M5" s="136">
        <f>M4+K5-L5</f>
        <v>0</v>
      </c>
      <c r="N5" s="17"/>
    </row>
    <row r="6" spans="1:14">
      <c r="A6" s="26"/>
      <c r="B6" s="27">
        <v>46083</v>
      </c>
      <c r="C6" s="17"/>
      <c r="D6" s="17"/>
      <c r="E6" s="40"/>
      <c r="F6" s="40"/>
      <c r="G6" s="40">
        <f t="shared" si="0"/>
        <v>0</v>
      </c>
      <c r="H6" s="40"/>
      <c r="I6" s="40"/>
      <c r="J6" s="40"/>
      <c r="K6" s="40">
        <f t="shared" si="2"/>
        <v>0</v>
      </c>
      <c r="L6" s="40"/>
      <c r="M6" s="136">
        <f>M5+K6-L6</f>
        <v>0</v>
      </c>
      <c r="N6" s="17"/>
    </row>
    <row r="7" spans="1:14">
      <c r="A7" s="26">
        <v>3</v>
      </c>
      <c r="B7" s="27">
        <v>46084</v>
      </c>
      <c r="C7" s="17"/>
      <c r="D7" s="17"/>
      <c r="E7" s="40"/>
      <c r="F7" s="40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/>
      <c r="M7" s="136">
        <f t="shared" ref="M7:M54" si="3">M6+K7-L7</f>
        <v>0</v>
      </c>
      <c r="N7" s="17"/>
    </row>
    <row r="8" spans="1:14">
      <c r="A8" s="26">
        <v>4</v>
      </c>
      <c r="B8" s="27">
        <v>46085</v>
      </c>
      <c r="C8" s="17"/>
      <c r="D8" s="17"/>
      <c r="E8" s="40"/>
      <c r="F8" s="40"/>
      <c r="G8" s="40">
        <f t="shared" si="0"/>
        <v>0</v>
      </c>
      <c r="H8" s="40"/>
      <c r="I8" s="40"/>
      <c r="J8" s="40">
        <f t="shared" si="1"/>
        <v>0</v>
      </c>
      <c r="K8" s="40">
        <f t="shared" si="2"/>
        <v>0</v>
      </c>
      <c r="L8" s="40"/>
      <c r="M8" s="136">
        <f t="shared" si="3"/>
        <v>0</v>
      </c>
      <c r="N8" s="17" t="s">
        <v>209</v>
      </c>
    </row>
    <row r="9" spans="1:14">
      <c r="A9" s="26">
        <v>5</v>
      </c>
      <c r="B9" s="27">
        <v>46086</v>
      </c>
      <c r="C9" s="17"/>
      <c r="D9" s="17"/>
      <c r="E9" s="40"/>
      <c r="F9" s="40"/>
      <c r="G9" s="40">
        <f t="shared" si="0"/>
        <v>0</v>
      </c>
      <c r="H9" s="40"/>
      <c r="I9" s="40"/>
      <c r="J9" s="40">
        <f t="shared" si="1"/>
        <v>0</v>
      </c>
      <c r="K9" s="40">
        <f t="shared" si="2"/>
        <v>0</v>
      </c>
      <c r="L9" s="40"/>
      <c r="M9" s="136">
        <f t="shared" si="3"/>
        <v>0</v>
      </c>
      <c r="N9" s="17" t="s">
        <v>210</v>
      </c>
    </row>
    <row r="10" spans="1:14">
      <c r="A10" s="26">
        <v>6</v>
      </c>
      <c r="B10" s="27">
        <v>46087</v>
      </c>
      <c r="C10" s="17"/>
      <c r="D10" s="17"/>
      <c r="E10" s="40"/>
      <c r="F10" s="40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/>
      <c r="M10" s="136">
        <f t="shared" si="3"/>
        <v>0</v>
      </c>
      <c r="N10" s="17"/>
    </row>
    <row r="11" spans="1:14">
      <c r="A11" s="26">
        <v>7</v>
      </c>
      <c r="B11" s="27">
        <v>46088</v>
      </c>
      <c r="C11" s="17"/>
      <c r="D11" s="17"/>
      <c r="E11" s="40"/>
      <c r="F11" s="40"/>
      <c r="G11" s="40">
        <f t="shared" si="0"/>
        <v>0</v>
      </c>
      <c r="H11" s="40"/>
      <c r="I11" s="40"/>
      <c r="J11" s="40">
        <f t="shared" si="1"/>
        <v>0</v>
      </c>
      <c r="K11" s="40">
        <f t="shared" si="2"/>
        <v>0</v>
      </c>
      <c r="L11" s="40"/>
      <c r="M11" s="136">
        <f t="shared" si="3"/>
        <v>0</v>
      </c>
      <c r="N11" s="17"/>
    </row>
    <row r="12" spans="1:14">
      <c r="A12" s="26">
        <v>8</v>
      </c>
      <c r="B12" s="27">
        <v>46089</v>
      </c>
      <c r="C12" s="17"/>
      <c r="D12" s="17"/>
      <c r="E12" s="40"/>
      <c r="F12" s="40"/>
      <c r="G12" s="40">
        <f t="shared" si="0"/>
        <v>0</v>
      </c>
      <c r="H12" s="40"/>
      <c r="I12" s="40"/>
      <c r="J12" s="40">
        <f t="shared" si="1"/>
        <v>0</v>
      </c>
      <c r="K12" s="40">
        <f t="shared" si="2"/>
        <v>0</v>
      </c>
      <c r="L12" s="40"/>
      <c r="M12" s="136">
        <f t="shared" si="3"/>
        <v>0</v>
      </c>
      <c r="N12" s="17"/>
    </row>
    <row r="13" spans="1:14">
      <c r="A13" s="26">
        <v>9</v>
      </c>
      <c r="B13" s="27">
        <v>46090</v>
      </c>
      <c r="C13" s="17"/>
      <c r="D13" s="17"/>
      <c r="E13" s="40"/>
      <c r="F13" s="40"/>
      <c r="G13" s="40">
        <f t="shared" si="0"/>
        <v>0</v>
      </c>
      <c r="H13" s="40"/>
      <c r="I13" s="40"/>
      <c r="J13" s="40">
        <f t="shared" si="1"/>
        <v>0</v>
      </c>
      <c r="K13" s="40">
        <f t="shared" si="2"/>
        <v>0</v>
      </c>
      <c r="L13" s="40"/>
      <c r="M13" s="136">
        <f t="shared" si="3"/>
        <v>0</v>
      </c>
      <c r="N13" s="17"/>
    </row>
    <row r="14" spans="1:14">
      <c r="A14" s="26">
        <v>10</v>
      </c>
      <c r="B14" s="27">
        <v>46091</v>
      </c>
      <c r="C14" s="17"/>
      <c r="D14" s="17"/>
      <c r="E14" s="40"/>
      <c r="F14" s="40"/>
      <c r="G14" s="40">
        <f t="shared" si="0"/>
        <v>0</v>
      </c>
      <c r="H14" s="40"/>
      <c r="I14" s="40"/>
      <c r="J14" s="40">
        <f t="shared" si="1"/>
        <v>0</v>
      </c>
      <c r="K14" s="40">
        <f t="shared" si="2"/>
        <v>0</v>
      </c>
      <c r="L14" s="40"/>
      <c r="M14" s="136">
        <f t="shared" si="3"/>
        <v>0</v>
      </c>
      <c r="N14" s="44"/>
    </row>
    <row r="15" spans="1:14">
      <c r="A15" s="26">
        <v>11</v>
      </c>
      <c r="B15" s="27">
        <v>46091</v>
      </c>
      <c r="C15" s="17"/>
      <c r="D15" s="17"/>
      <c r="E15" s="40"/>
      <c r="F15" s="40"/>
      <c r="G15" s="40">
        <f t="shared" si="0"/>
        <v>0</v>
      </c>
      <c r="H15" s="40"/>
      <c r="I15" s="40"/>
      <c r="J15" s="40">
        <f t="shared" si="1"/>
        <v>0</v>
      </c>
      <c r="K15" s="40">
        <f t="shared" si="2"/>
        <v>0</v>
      </c>
      <c r="L15" s="40"/>
      <c r="M15" s="136">
        <f t="shared" si="3"/>
        <v>0</v>
      </c>
      <c r="N15" s="44"/>
    </row>
    <row r="16" spans="1:14">
      <c r="A16" s="26">
        <v>12</v>
      </c>
      <c r="B16" s="27">
        <v>46092</v>
      </c>
      <c r="C16" s="17"/>
      <c r="D16" s="17"/>
      <c r="E16" s="40"/>
      <c r="F16" s="40"/>
      <c r="G16" s="40">
        <f t="shared" si="0"/>
        <v>0</v>
      </c>
      <c r="H16" s="40"/>
      <c r="I16" s="40"/>
      <c r="J16" s="40">
        <f t="shared" si="1"/>
        <v>0</v>
      </c>
      <c r="K16" s="40">
        <f t="shared" si="2"/>
        <v>0</v>
      </c>
      <c r="L16" s="40"/>
      <c r="M16" s="136">
        <f t="shared" si="3"/>
        <v>0</v>
      </c>
      <c r="N16" s="44"/>
    </row>
    <row r="17" spans="1:14">
      <c r="A17" s="26">
        <v>13</v>
      </c>
      <c r="B17" s="27">
        <v>46093</v>
      </c>
      <c r="C17" s="17"/>
      <c r="D17" s="17"/>
      <c r="E17" s="40"/>
      <c r="F17" s="40"/>
      <c r="G17" s="40">
        <f t="shared" si="0"/>
        <v>0</v>
      </c>
      <c r="H17" s="40"/>
      <c r="I17" s="40"/>
      <c r="J17" s="40">
        <f t="shared" si="1"/>
        <v>0</v>
      </c>
      <c r="K17" s="40">
        <f t="shared" si="2"/>
        <v>0</v>
      </c>
      <c r="L17" s="40"/>
      <c r="M17" s="136">
        <f t="shared" si="3"/>
        <v>0</v>
      </c>
      <c r="N17" s="44"/>
    </row>
    <row r="18" spans="1:14">
      <c r="A18" s="26">
        <v>14</v>
      </c>
      <c r="B18" s="27">
        <v>46093</v>
      </c>
      <c r="C18" s="17"/>
      <c r="D18" s="17"/>
      <c r="E18" s="40"/>
      <c r="F18" s="4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/>
      <c r="M18" s="136">
        <f t="shared" si="3"/>
        <v>0</v>
      </c>
      <c r="N18" s="44"/>
    </row>
    <row r="19" spans="1:14">
      <c r="A19" s="26">
        <v>15</v>
      </c>
      <c r="B19" s="27">
        <v>46094</v>
      </c>
      <c r="C19" s="17"/>
      <c r="D19" s="17"/>
      <c r="E19" s="40"/>
      <c r="F19" s="40"/>
      <c r="G19" s="40">
        <f t="shared" si="0"/>
        <v>0</v>
      </c>
      <c r="H19" s="40"/>
      <c r="I19" s="40"/>
      <c r="J19" s="40">
        <f t="shared" si="1"/>
        <v>0</v>
      </c>
      <c r="K19" s="40">
        <f t="shared" si="2"/>
        <v>0</v>
      </c>
      <c r="L19" s="40"/>
      <c r="M19" s="136">
        <f t="shared" si="3"/>
        <v>0</v>
      </c>
      <c r="N19" s="44"/>
    </row>
    <row r="20" spans="1:14">
      <c r="A20" s="26">
        <v>16</v>
      </c>
      <c r="B20" s="27">
        <v>46094</v>
      </c>
      <c r="C20" s="17"/>
      <c r="D20" s="17"/>
      <c r="E20" s="40"/>
      <c r="F20" s="40"/>
      <c r="G20" s="40">
        <f t="shared" si="0"/>
        <v>0</v>
      </c>
      <c r="H20" s="40"/>
      <c r="I20" s="40"/>
      <c r="J20" s="40">
        <f t="shared" si="1"/>
        <v>0</v>
      </c>
      <c r="K20" s="40">
        <f t="shared" si="2"/>
        <v>0</v>
      </c>
      <c r="L20" s="40"/>
      <c r="M20" s="136">
        <f t="shared" si="3"/>
        <v>0</v>
      </c>
      <c r="N20" s="44"/>
    </row>
    <row r="21" spans="1:14">
      <c r="A21" s="26">
        <v>17</v>
      </c>
      <c r="B21" s="27">
        <v>46095</v>
      </c>
      <c r="C21" s="17"/>
      <c r="D21" s="17"/>
      <c r="E21" s="40"/>
      <c r="F21" s="40"/>
      <c r="G21" s="40">
        <f t="shared" si="0"/>
        <v>0</v>
      </c>
      <c r="H21" s="40"/>
      <c r="I21" s="40"/>
      <c r="J21" s="40">
        <f t="shared" si="1"/>
        <v>0</v>
      </c>
      <c r="K21" s="40">
        <f t="shared" si="2"/>
        <v>0</v>
      </c>
      <c r="L21" s="40"/>
      <c r="M21" s="136">
        <f t="shared" si="3"/>
        <v>0</v>
      </c>
      <c r="N21" s="44"/>
    </row>
    <row r="22" spans="1:14">
      <c r="A22" s="26">
        <v>18</v>
      </c>
      <c r="B22" s="27">
        <v>46096</v>
      </c>
      <c r="C22" s="17"/>
      <c r="D22" s="17"/>
      <c r="E22" s="40"/>
      <c r="F22" s="40"/>
      <c r="G22" s="40">
        <f t="shared" si="0"/>
        <v>0</v>
      </c>
      <c r="H22" s="40"/>
      <c r="I22" s="40"/>
      <c r="J22" s="40">
        <f t="shared" si="1"/>
        <v>0</v>
      </c>
      <c r="K22" s="40">
        <f t="shared" si="2"/>
        <v>0</v>
      </c>
      <c r="L22" s="40"/>
      <c r="M22" s="136">
        <f t="shared" si="3"/>
        <v>0</v>
      </c>
      <c r="N22" s="44"/>
    </row>
    <row r="23" spans="1:14">
      <c r="A23" s="26">
        <v>19</v>
      </c>
      <c r="B23" s="27">
        <v>46096</v>
      </c>
      <c r="C23" s="17"/>
      <c r="D23" s="17"/>
      <c r="E23" s="40"/>
      <c r="F23" s="40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/>
      <c r="M23" s="136">
        <f t="shared" si="3"/>
        <v>0</v>
      </c>
      <c r="N23" s="44"/>
    </row>
    <row r="24" spans="1:14">
      <c r="A24" s="26">
        <v>20</v>
      </c>
      <c r="B24" s="27">
        <v>46101</v>
      </c>
      <c r="C24" s="17"/>
      <c r="D24" s="17"/>
      <c r="E24" s="40"/>
      <c r="F24" s="40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/>
      <c r="M24" s="136">
        <f t="shared" si="3"/>
        <v>0</v>
      </c>
      <c r="N24" s="44"/>
    </row>
    <row r="25" spans="1:14">
      <c r="A25" s="26">
        <v>21</v>
      </c>
      <c r="B25" s="27">
        <v>46102</v>
      </c>
      <c r="C25" s="17"/>
      <c r="D25" s="17"/>
      <c r="E25" s="40"/>
      <c r="F25" s="40"/>
      <c r="G25" s="40">
        <f t="shared" si="0"/>
        <v>0</v>
      </c>
      <c r="H25" s="40"/>
      <c r="I25" s="40"/>
      <c r="J25" s="40">
        <f t="shared" si="1"/>
        <v>0</v>
      </c>
      <c r="K25" s="40">
        <f t="shared" si="2"/>
        <v>0</v>
      </c>
      <c r="L25" s="40"/>
      <c r="M25" s="136">
        <f t="shared" si="3"/>
        <v>0</v>
      </c>
      <c r="N25" s="44"/>
    </row>
    <row r="26" spans="1:14">
      <c r="A26" s="26">
        <v>22</v>
      </c>
      <c r="B26" s="27">
        <v>46103</v>
      </c>
      <c r="C26" s="17"/>
      <c r="D26" s="17"/>
      <c r="E26" s="40"/>
      <c r="F26" s="40"/>
      <c r="G26" s="40">
        <f t="shared" si="0"/>
        <v>0</v>
      </c>
      <c r="H26" s="40"/>
      <c r="I26" s="40"/>
      <c r="J26" s="40">
        <f t="shared" si="1"/>
        <v>0</v>
      </c>
      <c r="K26" s="40">
        <f t="shared" si="2"/>
        <v>0</v>
      </c>
      <c r="L26" s="40"/>
      <c r="M26" s="136">
        <f t="shared" si="3"/>
        <v>0</v>
      </c>
      <c r="N26" s="44"/>
    </row>
    <row r="27" spans="1:14">
      <c r="A27" s="26">
        <v>23</v>
      </c>
      <c r="B27" s="27">
        <v>46104</v>
      </c>
      <c r="C27" s="17"/>
      <c r="D27" s="17"/>
      <c r="E27" s="40"/>
      <c r="F27" s="40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/>
      <c r="M27" s="136">
        <f t="shared" si="3"/>
        <v>0</v>
      </c>
      <c r="N27" s="44"/>
    </row>
    <row r="28" spans="1:14">
      <c r="A28" s="26">
        <v>24</v>
      </c>
      <c r="B28" s="27">
        <v>46105</v>
      </c>
      <c r="C28" s="17"/>
      <c r="D28" s="17"/>
      <c r="E28" s="40"/>
      <c r="F28" s="40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/>
      <c r="M28" s="136">
        <f t="shared" si="3"/>
        <v>0</v>
      </c>
      <c r="N28" s="44"/>
    </row>
    <row r="29" spans="1:14">
      <c r="A29" s="26">
        <v>25</v>
      </c>
      <c r="B29" s="27">
        <v>46106</v>
      </c>
      <c r="C29" s="17"/>
      <c r="D29" s="17"/>
      <c r="E29" s="40"/>
      <c r="F29" s="40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/>
      <c r="M29" s="136">
        <f t="shared" si="3"/>
        <v>0</v>
      </c>
      <c r="N29" s="44"/>
    </row>
    <row r="30" spans="1:14">
      <c r="A30" s="26">
        <v>26</v>
      </c>
      <c r="B30" s="27">
        <v>46107</v>
      </c>
      <c r="C30" s="17"/>
      <c r="D30" s="17"/>
      <c r="E30" s="40"/>
      <c r="F30" s="40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/>
      <c r="M30" s="136">
        <f t="shared" si="3"/>
        <v>0</v>
      </c>
      <c r="N30" s="44"/>
    </row>
    <row r="31" spans="1:14">
      <c r="A31" s="26">
        <v>27</v>
      </c>
      <c r="B31" s="27">
        <v>46108</v>
      </c>
      <c r="C31" s="17"/>
      <c r="D31" s="17"/>
      <c r="E31" s="40">
        <v>1000</v>
      </c>
      <c r="F31" s="40">
        <v>91.97</v>
      </c>
      <c r="G31" s="40">
        <f t="shared" si="0"/>
        <v>91970</v>
      </c>
      <c r="H31" s="40"/>
      <c r="I31" s="40"/>
      <c r="J31" s="40">
        <f t="shared" si="1"/>
        <v>0</v>
      </c>
      <c r="K31" s="40">
        <f t="shared" si="2"/>
        <v>91970</v>
      </c>
      <c r="L31" s="40"/>
      <c r="M31" s="136">
        <f t="shared" si="3"/>
        <v>91970</v>
      </c>
      <c r="N31" s="44"/>
    </row>
    <row r="32" spans="1:14">
      <c r="A32" s="26">
        <v>28</v>
      </c>
      <c r="B32" s="27">
        <v>46109</v>
      </c>
      <c r="C32" s="17"/>
      <c r="D32" s="17"/>
      <c r="E32" s="40"/>
      <c r="F32" s="40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>
        <v>91970</v>
      </c>
      <c r="M32" s="136">
        <f t="shared" si="3"/>
        <v>0</v>
      </c>
      <c r="N32" s="44"/>
    </row>
    <row r="33" spans="1:14">
      <c r="A33" s="26">
        <v>29</v>
      </c>
      <c r="B33" s="27">
        <v>46110</v>
      </c>
      <c r="C33" s="17"/>
      <c r="D33" s="17"/>
      <c r="E33" s="40"/>
      <c r="F33" s="40"/>
      <c r="G33" s="40">
        <f t="shared" si="0"/>
        <v>0</v>
      </c>
      <c r="H33" s="40"/>
      <c r="I33" s="40"/>
      <c r="J33" s="40">
        <f t="shared" si="1"/>
        <v>0</v>
      </c>
      <c r="K33" s="40">
        <f t="shared" si="2"/>
        <v>0</v>
      </c>
      <c r="L33" s="40"/>
      <c r="M33" s="136">
        <f t="shared" si="3"/>
        <v>0</v>
      </c>
      <c r="N33" s="44"/>
    </row>
    <row r="34" spans="1:14">
      <c r="A34" s="26">
        <v>30</v>
      </c>
      <c r="B34" s="27">
        <v>46111</v>
      </c>
      <c r="C34" s="17"/>
      <c r="D34" s="17"/>
      <c r="E34" s="40">
        <v>1500</v>
      </c>
      <c r="F34" s="40">
        <v>91.97</v>
      </c>
      <c r="G34" s="40">
        <f t="shared" si="0"/>
        <v>137955</v>
      </c>
      <c r="H34" s="40"/>
      <c r="I34" s="40"/>
      <c r="J34" s="40">
        <f t="shared" si="1"/>
        <v>0</v>
      </c>
      <c r="K34" s="40">
        <f t="shared" si="2"/>
        <v>137955</v>
      </c>
      <c r="L34" s="40">
        <f t="shared" si="2"/>
        <v>137955</v>
      </c>
      <c r="M34" s="136">
        <f t="shared" si="3"/>
        <v>0</v>
      </c>
      <c r="N34" s="44"/>
    </row>
    <row r="35" spans="1:14">
      <c r="A35" s="26">
        <v>31</v>
      </c>
      <c r="B35" s="27">
        <v>46112</v>
      </c>
      <c r="C35" s="17"/>
      <c r="D35" s="17"/>
      <c r="E35" s="40"/>
      <c r="F35" s="40"/>
      <c r="G35" s="40">
        <f t="shared" si="0"/>
        <v>0</v>
      </c>
      <c r="H35" s="40"/>
      <c r="I35" s="40"/>
      <c r="J35" s="40">
        <f t="shared" si="1"/>
        <v>0</v>
      </c>
      <c r="K35" s="40">
        <f t="shared" si="2"/>
        <v>0</v>
      </c>
      <c r="L35" s="40"/>
      <c r="M35" s="136">
        <f t="shared" si="3"/>
        <v>0</v>
      </c>
      <c r="N35" s="44"/>
    </row>
    <row r="36" spans="1:14">
      <c r="A36" s="26">
        <v>32</v>
      </c>
      <c r="B36" s="27"/>
      <c r="C36" s="17"/>
      <c r="D36" s="17"/>
      <c r="E36" s="40"/>
      <c r="F36" s="40"/>
      <c r="G36" s="40">
        <f t="shared" si="0"/>
        <v>0</v>
      </c>
      <c r="H36" s="40"/>
      <c r="I36" s="40"/>
      <c r="J36" s="40">
        <f t="shared" si="1"/>
        <v>0</v>
      </c>
      <c r="K36" s="40">
        <f t="shared" si="2"/>
        <v>0</v>
      </c>
      <c r="L36" s="40"/>
      <c r="M36" s="136">
        <f t="shared" si="3"/>
        <v>0</v>
      </c>
      <c r="N36" s="44"/>
    </row>
    <row r="37" spans="1:14">
      <c r="A37" s="26">
        <v>33</v>
      </c>
      <c r="B37" s="27"/>
      <c r="C37" s="17"/>
      <c r="D37" s="17"/>
      <c r="E37" s="40"/>
      <c r="F37" s="40"/>
      <c r="G37" s="40">
        <f t="shared" si="0"/>
        <v>0</v>
      </c>
      <c r="H37" s="40"/>
      <c r="I37" s="40"/>
      <c r="J37" s="40">
        <f t="shared" si="1"/>
        <v>0</v>
      </c>
      <c r="K37" s="40">
        <f t="shared" si="2"/>
        <v>0</v>
      </c>
      <c r="L37" s="40"/>
      <c r="M37" s="136">
        <f t="shared" si="3"/>
        <v>0</v>
      </c>
      <c r="N37" s="44"/>
    </row>
    <row r="38" spans="1:14">
      <c r="A38" s="26">
        <v>34</v>
      </c>
      <c r="B38" s="27"/>
      <c r="C38" s="17"/>
      <c r="D38" s="17"/>
      <c r="E38" s="40"/>
      <c r="F38" s="40"/>
      <c r="G38" s="40">
        <f t="shared" si="0"/>
        <v>0</v>
      </c>
      <c r="H38" s="40"/>
      <c r="I38" s="40"/>
      <c r="J38" s="40">
        <f t="shared" si="1"/>
        <v>0</v>
      </c>
      <c r="K38" s="40">
        <f t="shared" si="2"/>
        <v>0</v>
      </c>
      <c r="L38" s="40"/>
      <c r="M38" s="136">
        <f t="shared" si="3"/>
        <v>0</v>
      </c>
      <c r="N38" s="44"/>
    </row>
    <row r="39" spans="1:14">
      <c r="A39" s="26">
        <v>35</v>
      </c>
      <c r="B39" s="27"/>
      <c r="C39" s="17"/>
      <c r="D39" s="17"/>
      <c r="E39" s="40"/>
      <c r="F39" s="40"/>
      <c r="G39" s="40">
        <f t="shared" si="0"/>
        <v>0</v>
      </c>
      <c r="H39" s="40"/>
      <c r="I39" s="40"/>
      <c r="J39" s="40">
        <f t="shared" si="1"/>
        <v>0</v>
      </c>
      <c r="K39" s="40">
        <f t="shared" si="2"/>
        <v>0</v>
      </c>
      <c r="L39" s="40"/>
      <c r="M39" s="136">
        <f t="shared" si="3"/>
        <v>0</v>
      </c>
      <c r="N39" s="44"/>
    </row>
    <row r="40" spans="1:14">
      <c r="A40" s="26">
        <v>36</v>
      </c>
      <c r="B40" s="27"/>
      <c r="C40" s="17"/>
      <c r="D40" s="17"/>
      <c r="E40" s="40"/>
      <c r="F40" s="40"/>
      <c r="G40" s="40">
        <f t="shared" si="0"/>
        <v>0</v>
      </c>
      <c r="H40" s="40"/>
      <c r="I40" s="40"/>
      <c r="J40" s="40">
        <f t="shared" si="1"/>
        <v>0</v>
      </c>
      <c r="K40" s="40">
        <f t="shared" ref="K40:K55" si="4">G40+J40</f>
        <v>0</v>
      </c>
      <c r="L40" s="40"/>
      <c r="M40" s="136">
        <f t="shared" si="3"/>
        <v>0</v>
      </c>
      <c r="N40" s="44"/>
    </row>
    <row r="41" spans="1:14">
      <c r="A41" s="26">
        <v>37</v>
      </c>
      <c r="B41" s="27"/>
      <c r="C41" s="17"/>
      <c r="D41" s="17"/>
      <c r="E41" s="40"/>
      <c r="F41" s="40"/>
      <c r="G41" s="40">
        <f t="shared" si="0"/>
        <v>0</v>
      </c>
      <c r="H41" s="40"/>
      <c r="I41" s="40"/>
      <c r="J41" s="40">
        <f t="shared" si="1"/>
        <v>0</v>
      </c>
      <c r="K41" s="40">
        <f t="shared" si="4"/>
        <v>0</v>
      </c>
      <c r="L41" s="40"/>
      <c r="M41" s="136">
        <f t="shared" si="3"/>
        <v>0</v>
      </c>
      <c r="N41" s="44"/>
    </row>
    <row r="42" spans="1:14">
      <c r="A42" s="26">
        <v>38</v>
      </c>
      <c r="B42" s="27"/>
      <c r="C42" s="17"/>
      <c r="D42" s="17"/>
      <c r="E42" s="40"/>
      <c r="F42" s="40"/>
      <c r="G42" s="40">
        <f t="shared" si="0"/>
        <v>0</v>
      </c>
      <c r="H42" s="40"/>
      <c r="I42" s="40"/>
      <c r="J42" s="40">
        <f t="shared" si="1"/>
        <v>0</v>
      </c>
      <c r="K42" s="40">
        <f t="shared" si="4"/>
        <v>0</v>
      </c>
      <c r="L42" s="40"/>
      <c r="M42" s="136">
        <f t="shared" si="3"/>
        <v>0</v>
      </c>
      <c r="N42" s="44"/>
    </row>
    <row r="43" spans="1:14">
      <c r="A43" s="26">
        <v>39</v>
      </c>
      <c r="B43" s="27"/>
      <c r="C43" s="17"/>
      <c r="D43" s="17"/>
      <c r="E43" s="40"/>
      <c r="F43" s="40"/>
      <c r="G43" s="40">
        <f t="shared" si="0"/>
        <v>0</v>
      </c>
      <c r="H43" s="40"/>
      <c r="I43" s="40"/>
      <c r="J43" s="40">
        <f t="shared" si="1"/>
        <v>0</v>
      </c>
      <c r="K43" s="40">
        <f t="shared" si="4"/>
        <v>0</v>
      </c>
      <c r="L43" s="40"/>
      <c r="M43" s="136">
        <f t="shared" si="3"/>
        <v>0</v>
      </c>
      <c r="N43" s="44"/>
    </row>
    <row r="44" spans="1:14">
      <c r="A44" s="26">
        <v>40</v>
      </c>
      <c r="B44" s="27"/>
      <c r="C44" s="17"/>
      <c r="D44" s="17"/>
      <c r="E44" s="40"/>
      <c r="F44" s="40"/>
      <c r="G44" s="40">
        <f t="shared" si="0"/>
        <v>0</v>
      </c>
      <c r="H44" s="40"/>
      <c r="I44" s="40"/>
      <c r="J44" s="40">
        <f t="shared" si="1"/>
        <v>0</v>
      </c>
      <c r="K44" s="40">
        <f t="shared" si="4"/>
        <v>0</v>
      </c>
      <c r="L44" s="40"/>
      <c r="M44" s="136">
        <f t="shared" si="3"/>
        <v>0</v>
      </c>
      <c r="N44" s="44"/>
    </row>
    <row r="45" spans="1:14">
      <c r="A45" s="26">
        <v>41</v>
      </c>
      <c r="B45" s="27"/>
      <c r="C45" s="17"/>
      <c r="D45" s="17"/>
      <c r="E45" s="40"/>
      <c r="F45" s="40"/>
      <c r="G45" s="40">
        <f t="shared" si="0"/>
        <v>0</v>
      </c>
      <c r="H45" s="40"/>
      <c r="I45" s="40"/>
      <c r="J45" s="40">
        <f t="shared" si="1"/>
        <v>0</v>
      </c>
      <c r="K45" s="40">
        <f t="shared" si="4"/>
        <v>0</v>
      </c>
      <c r="L45" s="40"/>
      <c r="M45" s="136">
        <f t="shared" si="3"/>
        <v>0</v>
      </c>
      <c r="N45" s="44"/>
    </row>
    <row r="46" spans="1:14">
      <c r="A46" s="26">
        <v>42</v>
      </c>
      <c r="B46" s="27"/>
      <c r="C46" s="17"/>
      <c r="D46" s="17"/>
      <c r="E46" s="40"/>
      <c r="F46" s="40"/>
      <c r="G46" s="40">
        <f t="shared" si="0"/>
        <v>0</v>
      </c>
      <c r="H46" s="40"/>
      <c r="I46" s="40"/>
      <c r="J46" s="40">
        <f t="shared" si="1"/>
        <v>0</v>
      </c>
      <c r="K46" s="40">
        <f t="shared" si="4"/>
        <v>0</v>
      </c>
      <c r="L46" s="40"/>
      <c r="M46" s="136">
        <f t="shared" si="3"/>
        <v>0</v>
      </c>
      <c r="N46" s="44"/>
    </row>
    <row r="47" spans="1:14">
      <c r="A47" s="26">
        <v>43</v>
      </c>
      <c r="B47" s="27"/>
      <c r="C47" s="17"/>
      <c r="D47" s="17"/>
      <c r="E47" s="40"/>
      <c r="F47" s="40"/>
      <c r="G47" s="40">
        <f t="shared" si="0"/>
        <v>0</v>
      </c>
      <c r="H47" s="40"/>
      <c r="I47" s="40"/>
      <c r="J47" s="40">
        <f t="shared" si="1"/>
        <v>0</v>
      </c>
      <c r="K47" s="40">
        <f t="shared" si="4"/>
        <v>0</v>
      </c>
      <c r="L47" s="40"/>
      <c r="M47" s="136">
        <f t="shared" si="3"/>
        <v>0</v>
      </c>
      <c r="N47" s="44"/>
    </row>
    <row r="48" spans="1:14">
      <c r="A48" s="26">
        <v>44</v>
      </c>
      <c r="B48" s="27"/>
      <c r="C48" s="17"/>
      <c r="D48" s="17"/>
      <c r="E48" s="40"/>
      <c r="F48" s="40"/>
      <c r="G48" s="40">
        <f t="shared" si="0"/>
        <v>0</v>
      </c>
      <c r="H48" s="40"/>
      <c r="I48" s="40"/>
      <c r="J48" s="40">
        <f t="shared" si="1"/>
        <v>0</v>
      </c>
      <c r="K48" s="40">
        <f t="shared" si="4"/>
        <v>0</v>
      </c>
      <c r="L48" s="40"/>
      <c r="M48" s="136">
        <f t="shared" si="3"/>
        <v>0</v>
      </c>
      <c r="N48" s="44"/>
    </row>
    <row r="49" spans="1:14">
      <c r="A49" s="26">
        <v>45</v>
      </c>
      <c r="B49" s="27"/>
      <c r="C49" s="17"/>
      <c r="D49" s="17"/>
      <c r="E49" s="40"/>
      <c r="F49" s="40"/>
      <c r="G49" s="40">
        <f t="shared" si="0"/>
        <v>0</v>
      </c>
      <c r="H49" s="40"/>
      <c r="I49" s="40"/>
      <c r="J49" s="40">
        <f t="shared" si="1"/>
        <v>0</v>
      </c>
      <c r="K49" s="40">
        <f t="shared" si="4"/>
        <v>0</v>
      </c>
      <c r="L49" s="40"/>
      <c r="M49" s="136">
        <f t="shared" si="3"/>
        <v>0</v>
      </c>
      <c r="N49" s="44"/>
    </row>
    <row r="50" spans="1:14">
      <c r="A50" s="26">
        <v>46</v>
      </c>
      <c r="B50" s="27"/>
      <c r="C50" s="17"/>
      <c r="D50" s="17"/>
      <c r="E50" s="40"/>
      <c r="F50" s="40"/>
      <c r="G50" s="40">
        <f t="shared" si="0"/>
        <v>0</v>
      </c>
      <c r="H50" s="40"/>
      <c r="I50" s="40"/>
      <c r="J50" s="40">
        <f t="shared" si="1"/>
        <v>0</v>
      </c>
      <c r="K50" s="40">
        <f t="shared" si="4"/>
        <v>0</v>
      </c>
      <c r="L50" s="40"/>
      <c r="M50" s="136">
        <f t="shared" si="3"/>
        <v>0</v>
      </c>
      <c r="N50" s="44"/>
    </row>
    <row r="51" spans="1:14">
      <c r="A51" s="26">
        <v>47</v>
      </c>
      <c r="B51" s="27"/>
      <c r="C51" s="17"/>
      <c r="D51" s="17"/>
      <c r="E51" s="40"/>
      <c r="F51" s="40"/>
      <c r="G51" s="40">
        <f t="shared" si="0"/>
        <v>0</v>
      </c>
      <c r="H51" s="40"/>
      <c r="I51" s="40"/>
      <c r="J51" s="40">
        <f t="shared" si="1"/>
        <v>0</v>
      </c>
      <c r="K51" s="40">
        <f t="shared" si="4"/>
        <v>0</v>
      </c>
      <c r="L51" s="40">
        <v>0</v>
      </c>
      <c r="M51" s="136">
        <f t="shared" si="3"/>
        <v>0</v>
      </c>
      <c r="N51" s="44"/>
    </row>
    <row r="52" spans="1:14">
      <c r="A52" s="26">
        <v>48</v>
      </c>
      <c r="B52" s="27"/>
      <c r="C52" s="94"/>
      <c r="D52" s="94"/>
      <c r="E52" s="40"/>
      <c r="F52" s="40"/>
      <c r="G52" s="40">
        <f t="shared" si="0"/>
        <v>0</v>
      </c>
      <c r="H52" s="40"/>
      <c r="I52" s="40"/>
      <c r="J52" s="40">
        <f t="shared" si="1"/>
        <v>0</v>
      </c>
      <c r="K52" s="40">
        <f t="shared" si="4"/>
        <v>0</v>
      </c>
      <c r="L52" s="40">
        <v>0</v>
      </c>
      <c r="M52" s="136">
        <f t="shared" si="3"/>
        <v>0</v>
      </c>
      <c r="N52" s="224"/>
    </row>
    <row r="53" spans="1:14">
      <c r="A53" s="26">
        <v>49</v>
      </c>
      <c r="B53" s="27"/>
      <c r="C53" s="17"/>
      <c r="D53" s="17"/>
      <c r="E53" s="40"/>
      <c r="F53" s="40"/>
      <c r="G53" s="40">
        <f t="shared" si="0"/>
        <v>0</v>
      </c>
      <c r="H53" s="40"/>
      <c r="I53" s="40"/>
      <c r="J53" s="40">
        <f t="shared" si="1"/>
        <v>0</v>
      </c>
      <c r="K53" s="40">
        <f t="shared" si="4"/>
        <v>0</v>
      </c>
      <c r="L53" s="40">
        <v>0</v>
      </c>
      <c r="M53" s="136">
        <f t="shared" si="3"/>
        <v>0</v>
      </c>
      <c r="N53" s="44"/>
    </row>
    <row r="54" spans="1:14">
      <c r="A54" s="26">
        <v>50</v>
      </c>
      <c r="B54" s="27"/>
      <c r="C54" s="17"/>
      <c r="D54" s="17"/>
      <c r="E54" s="40"/>
      <c r="F54" s="40"/>
      <c r="G54" s="40">
        <f t="shared" si="0"/>
        <v>0</v>
      </c>
      <c r="H54" s="40"/>
      <c r="I54" s="40"/>
      <c r="J54" s="40">
        <f t="shared" si="1"/>
        <v>0</v>
      </c>
      <c r="K54" s="40">
        <f t="shared" si="4"/>
        <v>0</v>
      </c>
      <c r="L54" s="40">
        <v>0</v>
      </c>
      <c r="M54" s="136">
        <f t="shared" si="3"/>
        <v>0</v>
      </c>
      <c r="N54" s="44"/>
    </row>
    <row r="55" spans="1:14">
      <c r="A55" s="181"/>
      <c r="B55" s="181"/>
      <c r="C55" s="181"/>
      <c r="D55" s="181"/>
      <c r="E55" s="181">
        <f>SUM(E4:E54)</f>
        <v>2500</v>
      </c>
      <c r="F55" s="181"/>
      <c r="G55" s="181">
        <f>SUM(G4:G54)</f>
        <v>229925</v>
      </c>
      <c r="H55" s="181">
        <f>SUM(H4:H54)</f>
        <v>0</v>
      </c>
      <c r="I55" s="181"/>
      <c r="J55" s="181">
        <f>SUM(J4:J54)</f>
        <v>0</v>
      </c>
      <c r="K55" s="181">
        <f>SUM(K4:K54)</f>
        <v>229925</v>
      </c>
      <c r="L55" s="181">
        <f>SUM(L4:L54)</f>
        <v>229925</v>
      </c>
      <c r="M55" s="181"/>
      <c r="N55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3905-F01E-4B79-926C-1C75E94FE7A7}">
  <dimension ref="A1:N55"/>
  <sheetViews>
    <sheetView topLeftCell="A39" workbookViewId="0">
      <selection activeCell="E56" sqref="E56"/>
    </sheetView>
  </sheetViews>
  <sheetFormatPr defaultRowHeight="15"/>
  <cols>
    <col min="2" max="2" width="10.42578125" bestFit="1" customWidth="1"/>
    <col min="7" max="7" width="10.42578125" bestFit="1" customWidth="1"/>
    <col min="11" max="12" width="13.5703125" bestFit="1" customWidth="1"/>
    <col min="13" max="13" width="11.5703125" bestFit="1" customWidth="1"/>
    <col min="14" max="14" width="29" bestFit="1" customWidth="1"/>
  </cols>
  <sheetData>
    <row r="1" spans="1:14" ht="15.75">
      <c r="A1" s="483" t="s">
        <v>222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</row>
    <row r="2" spans="1:14" ht="30.75">
      <c r="A2" s="64" t="s">
        <v>0</v>
      </c>
      <c r="B2" s="83" t="s">
        <v>161</v>
      </c>
      <c r="C2" s="83" t="s">
        <v>162</v>
      </c>
      <c r="D2" s="83" t="s">
        <v>163</v>
      </c>
      <c r="E2" s="90" t="s">
        <v>164</v>
      </c>
      <c r="F2" s="90" t="s">
        <v>165</v>
      </c>
      <c r="G2" s="90" t="s">
        <v>166</v>
      </c>
      <c r="H2" s="90" t="s">
        <v>167</v>
      </c>
      <c r="I2" s="90" t="s">
        <v>165</v>
      </c>
      <c r="J2" s="90" t="s">
        <v>166</v>
      </c>
      <c r="K2" s="91" t="s">
        <v>168</v>
      </c>
      <c r="L2" s="85" t="s">
        <v>169</v>
      </c>
      <c r="M2" s="85" t="s">
        <v>181</v>
      </c>
      <c r="N2" s="125" t="s">
        <v>171</v>
      </c>
    </row>
    <row r="3" spans="1:14">
      <c r="A3" s="462" t="s">
        <v>172</v>
      </c>
      <c r="B3" s="462"/>
      <c r="C3" s="462"/>
      <c r="D3" s="462"/>
      <c r="E3" s="462"/>
      <c r="F3" s="462"/>
      <c r="G3" s="462"/>
      <c r="H3" s="462"/>
      <c r="I3" s="462"/>
      <c r="J3" s="466"/>
      <c r="K3" s="202">
        <v>0</v>
      </c>
      <c r="M3" s="135">
        <f>+K3</f>
        <v>0</v>
      </c>
      <c r="N3" s="94"/>
    </row>
    <row r="4" spans="1:14">
      <c r="A4" s="26">
        <v>1</v>
      </c>
      <c r="B4" s="27">
        <v>46082</v>
      </c>
      <c r="C4" s="17"/>
      <c r="D4" s="17"/>
      <c r="E4" s="40"/>
      <c r="F4" s="40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/>
      <c r="M4" s="136">
        <f>M3+K4-L4</f>
        <v>0</v>
      </c>
      <c r="N4" s="17"/>
    </row>
    <row r="5" spans="1:14">
      <c r="A5" s="26">
        <v>2</v>
      </c>
      <c r="B5" s="27">
        <v>46083</v>
      </c>
      <c r="C5" s="17"/>
      <c r="D5" s="17"/>
      <c r="E5" s="40"/>
      <c r="F5" s="40"/>
      <c r="G5" s="40">
        <f t="shared" ref="G5:G54" si="0">E5*F5</f>
        <v>0</v>
      </c>
      <c r="H5" s="40"/>
      <c r="I5" s="40"/>
      <c r="J5" s="40">
        <f t="shared" ref="J5:J54" si="1">H5*I5</f>
        <v>0</v>
      </c>
      <c r="K5" s="40">
        <f t="shared" ref="K5:L54" si="2">G5+J5</f>
        <v>0</v>
      </c>
      <c r="L5" s="40"/>
      <c r="M5" s="136">
        <f>M4+K5-L5</f>
        <v>0</v>
      </c>
      <c r="N5" s="17"/>
    </row>
    <row r="6" spans="1:14">
      <c r="A6" s="26"/>
      <c r="B6" s="27">
        <v>46083</v>
      </c>
      <c r="C6" s="17"/>
      <c r="D6" s="17"/>
      <c r="E6" s="40"/>
      <c r="F6" s="40"/>
      <c r="G6" s="40">
        <f t="shared" si="0"/>
        <v>0</v>
      </c>
      <c r="H6" s="40"/>
      <c r="I6" s="40"/>
      <c r="J6" s="40"/>
      <c r="K6" s="40">
        <f t="shared" si="2"/>
        <v>0</v>
      </c>
      <c r="L6" s="40"/>
      <c r="M6" s="136">
        <f>M5+K6-L6</f>
        <v>0</v>
      </c>
      <c r="N6" s="17"/>
    </row>
    <row r="7" spans="1:14">
      <c r="A7" s="26">
        <v>3</v>
      </c>
      <c r="B7" s="27">
        <v>46084</v>
      </c>
      <c r="C7" s="17"/>
      <c r="D7" s="17"/>
      <c r="E7" s="40"/>
      <c r="F7" s="40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/>
      <c r="M7" s="136">
        <f t="shared" ref="M7:M54" si="3">M6+K7-L7</f>
        <v>0</v>
      </c>
      <c r="N7" s="17"/>
    </row>
    <row r="8" spans="1:14">
      <c r="A8" s="26">
        <v>4</v>
      </c>
      <c r="B8" s="27">
        <v>46085</v>
      </c>
      <c r="C8" s="17"/>
      <c r="D8" s="17"/>
      <c r="E8" s="40"/>
      <c r="F8" s="40"/>
      <c r="G8" s="40">
        <f t="shared" si="0"/>
        <v>0</v>
      </c>
      <c r="H8" s="40"/>
      <c r="I8" s="40"/>
      <c r="J8" s="40">
        <f t="shared" si="1"/>
        <v>0</v>
      </c>
      <c r="K8" s="40">
        <f t="shared" si="2"/>
        <v>0</v>
      </c>
      <c r="L8" s="40"/>
      <c r="M8" s="136">
        <f t="shared" si="3"/>
        <v>0</v>
      </c>
      <c r="N8" s="17" t="s">
        <v>209</v>
      </c>
    </row>
    <row r="9" spans="1:14">
      <c r="A9" s="26">
        <v>5</v>
      </c>
      <c r="B9" s="27">
        <v>46086</v>
      </c>
      <c r="C9" s="17"/>
      <c r="D9" s="17"/>
      <c r="E9" s="40"/>
      <c r="F9" s="40"/>
      <c r="G9" s="40">
        <f t="shared" si="0"/>
        <v>0</v>
      </c>
      <c r="H9" s="40"/>
      <c r="I9" s="40"/>
      <c r="J9" s="40">
        <f t="shared" si="1"/>
        <v>0</v>
      </c>
      <c r="K9" s="40">
        <f t="shared" si="2"/>
        <v>0</v>
      </c>
      <c r="L9" s="40"/>
      <c r="M9" s="136">
        <f t="shared" si="3"/>
        <v>0</v>
      </c>
      <c r="N9" s="17" t="s">
        <v>210</v>
      </c>
    </row>
    <row r="10" spans="1:14">
      <c r="A10" s="26">
        <v>6</v>
      </c>
      <c r="B10" s="27">
        <v>46087</v>
      </c>
      <c r="C10" s="17"/>
      <c r="D10" s="17"/>
      <c r="E10" s="40"/>
      <c r="F10" s="40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/>
      <c r="M10" s="136">
        <f t="shared" si="3"/>
        <v>0</v>
      </c>
      <c r="N10" s="17"/>
    </row>
    <row r="11" spans="1:14">
      <c r="A11" s="26">
        <v>7</v>
      </c>
      <c r="B11" s="27">
        <v>46088</v>
      </c>
      <c r="C11" s="17"/>
      <c r="D11" s="17"/>
      <c r="E11" s="40"/>
      <c r="F11" s="40"/>
      <c r="G11" s="40">
        <f t="shared" si="0"/>
        <v>0</v>
      </c>
      <c r="H11" s="40"/>
      <c r="I11" s="40"/>
      <c r="J11" s="40">
        <f t="shared" si="1"/>
        <v>0</v>
      </c>
      <c r="K11" s="40">
        <f t="shared" si="2"/>
        <v>0</v>
      </c>
      <c r="L11" s="40"/>
      <c r="M11" s="136">
        <f t="shared" si="3"/>
        <v>0</v>
      </c>
      <c r="N11" s="17"/>
    </row>
    <row r="12" spans="1:14">
      <c r="A12" s="26">
        <v>8</v>
      </c>
      <c r="B12" s="27">
        <v>46089</v>
      </c>
      <c r="C12" s="17"/>
      <c r="D12" s="17"/>
      <c r="E12" s="40"/>
      <c r="F12" s="40"/>
      <c r="G12" s="40">
        <f t="shared" si="0"/>
        <v>0</v>
      </c>
      <c r="H12" s="40"/>
      <c r="I12" s="40"/>
      <c r="J12" s="40">
        <f t="shared" si="1"/>
        <v>0</v>
      </c>
      <c r="K12" s="40">
        <f t="shared" si="2"/>
        <v>0</v>
      </c>
      <c r="L12" s="40"/>
      <c r="M12" s="136">
        <f t="shared" si="3"/>
        <v>0</v>
      </c>
      <c r="N12" s="17"/>
    </row>
    <row r="13" spans="1:14">
      <c r="A13" s="26">
        <v>9</v>
      </c>
      <c r="B13" s="27">
        <v>46090</v>
      </c>
      <c r="C13" s="17"/>
      <c r="D13" s="17"/>
      <c r="E13" s="40"/>
      <c r="F13" s="40"/>
      <c r="G13" s="40">
        <f t="shared" si="0"/>
        <v>0</v>
      </c>
      <c r="H13" s="40"/>
      <c r="I13" s="40"/>
      <c r="J13" s="40">
        <f t="shared" si="1"/>
        <v>0</v>
      </c>
      <c r="K13" s="40">
        <f t="shared" si="2"/>
        <v>0</v>
      </c>
      <c r="L13" s="40"/>
      <c r="M13" s="136">
        <f t="shared" si="3"/>
        <v>0</v>
      </c>
      <c r="N13" s="17"/>
    </row>
    <row r="14" spans="1:14">
      <c r="A14" s="26">
        <v>10</v>
      </c>
      <c r="B14" s="27">
        <v>46091</v>
      </c>
      <c r="C14" s="17"/>
      <c r="D14" s="17"/>
      <c r="E14" s="40"/>
      <c r="F14" s="40"/>
      <c r="G14" s="40">
        <f t="shared" si="0"/>
        <v>0</v>
      </c>
      <c r="H14" s="40"/>
      <c r="I14" s="40"/>
      <c r="J14" s="40">
        <f t="shared" si="1"/>
        <v>0</v>
      </c>
      <c r="K14" s="40">
        <f t="shared" si="2"/>
        <v>0</v>
      </c>
      <c r="L14" s="40"/>
      <c r="M14" s="136">
        <f t="shared" si="3"/>
        <v>0</v>
      </c>
      <c r="N14" s="44"/>
    </row>
    <row r="15" spans="1:14">
      <c r="A15" s="26">
        <v>11</v>
      </c>
      <c r="B15" s="27">
        <v>46091</v>
      </c>
      <c r="C15" s="17"/>
      <c r="D15" s="17"/>
      <c r="E15" s="40"/>
      <c r="F15" s="40"/>
      <c r="G15" s="40">
        <f t="shared" si="0"/>
        <v>0</v>
      </c>
      <c r="H15" s="40"/>
      <c r="I15" s="40"/>
      <c r="J15" s="40">
        <f t="shared" si="1"/>
        <v>0</v>
      </c>
      <c r="K15" s="40">
        <f t="shared" si="2"/>
        <v>0</v>
      </c>
      <c r="L15" s="40"/>
      <c r="M15" s="136">
        <f t="shared" si="3"/>
        <v>0</v>
      </c>
      <c r="N15" s="44"/>
    </row>
    <row r="16" spans="1:14">
      <c r="A16" s="26">
        <v>12</v>
      </c>
      <c r="B16" s="27">
        <v>46092</v>
      </c>
      <c r="C16" s="17"/>
      <c r="D16" s="17"/>
      <c r="E16" s="40"/>
      <c r="F16" s="40"/>
      <c r="G16" s="40">
        <f t="shared" si="0"/>
        <v>0</v>
      </c>
      <c r="H16" s="40"/>
      <c r="I16" s="40"/>
      <c r="J16" s="40">
        <f t="shared" si="1"/>
        <v>0</v>
      </c>
      <c r="K16" s="40">
        <f t="shared" si="2"/>
        <v>0</v>
      </c>
      <c r="L16" s="40"/>
      <c r="M16" s="136">
        <f t="shared" si="3"/>
        <v>0</v>
      </c>
      <c r="N16" s="44"/>
    </row>
    <row r="17" spans="1:14">
      <c r="A17" s="26">
        <v>13</v>
      </c>
      <c r="B17" s="27">
        <v>46093</v>
      </c>
      <c r="C17" s="17"/>
      <c r="D17" s="17"/>
      <c r="E17" s="40"/>
      <c r="F17" s="40"/>
      <c r="G17" s="40">
        <f t="shared" si="0"/>
        <v>0</v>
      </c>
      <c r="H17" s="40"/>
      <c r="I17" s="40"/>
      <c r="J17" s="40">
        <f t="shared" si="1"/>
        <v>0</v>
      </c>
      <c r="K17" s="40">
        <f t="shared" si="2"/>
        <v>0</v>
      </c>
      <c r="L17" s="40"/>
      <c r="M17" s="136">
        <f t="shared" si="3"/>
        <v>0</v>
      </c>
      <c r="N17" s="44"/>
    </row>
    <row r="18" spans="1:14">
      <c r="A18" s="26">
        <v>14</v>
      </c>
      <c r="B18" s="27">
        <v>46093</v>
      </c>
      <c r="C18" s="17"/>
      <c r="D18" s="17"/>
      <c r="E18" s="40"/>
      <c r="F18" s="4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/>
      <c r="M18" s="136">
        <f t="shared" si="3"/>
        <v>0</v>
      </c>
      <c r="N18" s="44"/>
    </row>
    <row r="19" spans="1:14">
      <c r="A19" s="26">
        <v>15</v>
      </c>
      <c r="B19" s="27">
        <v>46094</v>
      </c>
      <c r="C19" s="17"/>
      <c r="D19" s="17"/>
      <c r="E19" s="40"/>
      <c r="F19" s="40"/>
      <c r="G19" s="40">
        <f t="shared" si="0"/>
        <v>0</v>
      </c>
      <c r="H19" s="40"/>
      <c r="I19" s="40"/>
      <c r="J19" s="40">
        <f t="shared" si="1"/>
        <v>0</v>
      </c>
      <c r="K19" s="40">
        <f t="shared" si="2"/>
        <v>0</v>
      </c>
      <c r="L19" s="40"/>
      <c r="M19" s="136">
        <f t="shared" si="3"/>
        <v>0</v>
      </c>
      <c r="N19" s="44"/>
    </row>
    <row r="20" spans="1:14">
      <c r="A20" s="26">
        <v>16</v>
      </c>
      <c r="B20" s="27">
        <v>46094</v>
      </c>
      <c r="C20" s="17"/>
      <c r="D20" s="17"/>
      <c r="E20" s="40"/>
      <c r="F20" s="40"/>
      <c r="G20" s="40">
        <f t="shared" si="0"/>
        <v>0</v>
      </c>
      <c r="H20" s="40"/>
      <c r="I20" s="40"/>
      <c r="J20" s="40">
        <f t="shared" si="1"/>
        <v>0</v>
      </c>
      <c r="K20" s="40">
        <f t="shared" si="2"/>
        <v>0</v>
      </c>
      <c r="L20" s="40"/>
      <c r="M20" s="136">
        <f t="shared" si="3"/>
        <v>0</v>
      </c>
      <c r="N20" s="44"/>
    </row>
    <row r="21" spans="1:14">
      <c r="A21" s="26">
        <v>17</v>
      </c>
      <c r="B21" s="27">
        <v>46095</v>
      </c>
      <c r="C21" s="17"/>
      <c r="D21" s="17"/>
      <c r="E21" s="40"/>
      <c r="F21" s="40"/>
      <c r="G21" s="40">
        <f t="shared" si="0"/>
        <v>0</v>
      </c>
      <c r="H21" s="40"/>
      <c r="I21" s="40"/>
      <c r="J21" s="40">
        <f t="shared" si="1"/>
        <v>0</v>
      </c>
      <c r="K21" s="40">
        <f t="shared" si="2"/>
        <v>0</v>
      </c>
      <c r="L21" s="40"/>
      <c r="M21" s="136">
        <f t="shared" si="3"/>
        <v>0</v>
      </c>
      <c r="N21" s="44"/>
    </row>
    <row r="22" spans="1:14">
      <c r="A22" s="26">
        <v>18</v>
      </c>
      <c r="B22" s="27">
        <v>46096</v>
      </c>
      <c r="C22" s="17"/>
      <c r="D22" s="17"/>
      <c r="E22" s="40"/>
      <c r="F22" s="40"/>
      <c r="G22" s="40">
        <f t="shared" si="0"/>
        <v>0</v>
      </c>
      <c r="H22" s="40"/>
      <c r="I22" s="40"/>
      <c r="J22" s="40">
        <f t="shared" si="1"/>
        <v>0</v>
      </c>
      <c r="K22" s="40">
        <f t="shared" si="2"/>
        <v>0</v>
      </c>
      <c r="L22" s="40"/>
      <c r="M22" s="136">
        <f t="shared" si="3"/>
        <v>0</v>
      </c>
      <c r="N22" s="44"/>
    </row>
    <row r="23" spans="1:14">
      <c r="A23" s="26">
        <v>19</v>
      </c>
      <c r="B23" s="27">
        <v>46096</v>
      </c>
      <c r="C23" s="17"/>
      <c r="D23" s="17"/>
      <c r="E23" s="40"/>
      <c r="F23" s="40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/>
      <c r="M23" s="136">
        <f t="shared" si="3"/>
        <v>0</v>
      </c>
      <c r="N23" s="44"/>
    </row>
    <row r="24" spans="1:14">
      <c r="A24" s="26">
        <v>20</v>
      </c>
      <c r="B24" s="27">
        <v>46101</v>
      </c>
      <c r="C24" s="17"/>
      <c r="D24" s="17"/>
      <c r="E24" s="40"/>
      <c r="F24" s="40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/>
      <c r="M24" s="136">
        <f t="shared" si="3"/>
        <v>0</v>
      </c>
      <c r="N24" s="44"/>
    </row>
    <row r="25" spans="1:14">
      <c r="A25" s="26">
        <v>21</v>
      </c>
      <c r="B25" s="27">
        <v>46102</v>
      </c>
      <c r="C25" s="17"/>
      <c r="D25" s="17"/>
      <c r="E25" s="40"/>
      <c r="F25" s="40"/>
      <c r="G25" s="40">
        <f t="shared" si="0"/>
        <v>0</v>
      </c>
      <c r="H25" s="40"/>
      <c r="I25" s="40"/>
      <c r="J25" s="40">
        <f t="shared" si="1"/>
        <v>0</v>
      </c>
      <c r="K25" s="40">
        <f t="shared" si="2"/>
        <v>0</v>
      </c>
      <c r="L25" s="40"/>
      <c r="M25" s="136">
        <f t="shared" si="3"/>
        <v>0</v>
      </c>
      <c r="N25" s="44"/>
    </row>
    <row r="26" spans="1:14">
      <c r="A26" s="26">
        <v>22</v>
      </c>
      <c r="B26" s="27">
        <v>46103</v>
      </c>
      <c r="C26" s="17"/>
      <c r="D26" s="17"/>
      <c r="E26" s="40"/>
      <c r="F26" s="40"/>
      <c r="G26" s="40">
        <f t="shared" si="0"/>
        <v>0</v>
      </c>
      <c r="H26" s="40"/>
      <c r="I26" s="40"/>
      <c r="J26" s="40">
        <f t="shared" si="1"/>
        <v>0</v>
      </c>
      <c r="K26" s="40">
        <f t="shared" si="2"/>
        <v>0</v>
      </c>
      <c r="L26" s="40"/>
      <c r="M26" s="136">
        <f t="shared" si="3"/>
        <v>0</v>
      </c>
      <c r="N26" s="44"/>
    </row>
    <row r="27" spans="1:14">
      <c r="A27" s="26">
        <v>23</v>
      </c>
      <c r="B27" s="27">
        <v>46104</v>
      </c>
      <c r="C27" s="17"/>
      <c r="D27" s="17"/>
      <c r="E27" s="40"/>
      <c r="F27" s="40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/>
      <c r="M27" s="136">
        <f t="shared" si="3"/>
        <v>0</v>
      </c>
      <c r="N27" s="44"/>
    </row>
    <row r="28" spans="1:14">
      <c r="A28" s="26">
        <v>24</v>
      </c>
      <c r="B28" s="27">
        <v>46105</v>
      </c>
      <c r="C28" s="17"/>
      <c r="D28" s="17"/>
      <c r="E28" s="40"/>
      <c r="F28" s="40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/>
      <c r="M28" s="136">
        <f t="shared" si="3"/>
        <v>0</v>
      </c>
      <c r="N28" s="44"/>
    </row>
    <row r="29" spans="1:14">
      <c r="A29" s="26">
        <v>25</v>
      </c>
      <c r="B29" s="27">
        <v>46106</v>
      </c>
      <c r="C29" s="17"/>
      <c r="D29" s="17"/>
      <c r="E29" s="40"/>
      <c r="F29" s="40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/>
      <c r="M29" s="136">
        <f t="shared" si="3"/>
        <v>0</v>
      </c>
      <c r="N29" s="44"/>
    </row>
    <row r="30" spans="1:14">
      <c r="A30" s="26">
        <v>26</v>
      </c>
      <c r="B30" s="27">
        <v>46107</v>
      </c>
      <c r="C30" s="17"/>
      <c r="D30" s="17"/>
      <c r="E30" s="40"/>
      <c r="F30" s="40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/>
      <c r="M30" s="136">
        <f t="shared" si="3"/>
        <v>0</v>
      </c>
      <c r="N30" s="44"/>
    </row>
    <row r="31" spans="1:14">
      <c r="A31" s="26">
        <v>27</v>
      </c>
      <c r="B31" s="27">
        <v>46108</v>
      </c>
      <c r="C31" s="17"/>
      <c r="D31" s="17"/>
      <c r="E31" s="40">
        <v>1000</v>
      </c>
      <c r="F31" s="40">
        <v>91.67</v>
      </c>
      <c r="G31" s="40">
        <f t="shared" si="0"/>
        <v>91670</v>
      </c>
      <c r="H31" s="40"/>
      <c r="I31" s="40"/>
      <c r="J31" s="40">
        <f t="shared" si="1"/>
        <v>0</v>
      </c>
      <c r="K31" s="40">
        <f t="shared" si="2"/>
        <v>91670</v>
      </c>
      <c r="L31" s="40">
        <f t="shared" si="2"/>
        <v>91670</v>
      </c>
      <c r="M31" s="136">
        <f t="shared" si="3"/>
        <v>0</v>
      </c>
      <c r="N31" s="44" t="s">
        <v>125</v>
      </c>
    </row>
    <row r="32" spans="1:14">
      <c r="A32" s="26">
        <v>28</v>
      </c>
      <c r="B32" s="27">
        <v>46109</v>
      </c>
      <c r="C32" s="17"/>
      <c r="D32" s="17"/>
      <c r="E32" s="40">
        <v>2000</v>
      </c>
      <c r="F32" s="40">
        <v>91.67</v>
      </c>
      <c r="G32" s="40">
        <f t="shared" si="0"/>
        <v>183340</v>
      </c>
      <c r="H32" s="40"/>
      <c r="I32" s="40"/>
      <c r="J32" s="40">
        <f t="shared" si="1"/>
        <v>0</v>
      </c>
      <c r="K32" s="40">
        <f>G32+J32</f>
        <v>183340</v>
      </c>
      <c r="L32" s="40">
        <f>H32+K32</f>
        <v>183340</v>
      </c>
      <c r="M32" s="136">
        <f t="shared" si="3"/>
        <v>0</v>
      </c>
      <c r="N32" s="44"/>
    </row>
    <row r="33" spans="1:14">
      <c r="A33" s="26">
        <v>29</v>
      </c>
      <c r="B33" s="27">
        <v>46110</v>
      </c>
      <c r="C33" s="17"/>
      <c r="D33" s="17"/>
      <c r="E33" s="40">
        <v>1000</v>
      </c>
      <c r="F33" s="40">
        <v>91.67</v>
      </c>
      <c r="G33" s="40">
        <f t="shared" si="0"/>
        <v>91670</v>
      </c>
      <c r="H33" s="40"/>
      <c r="I33" s="40"/>
      <c r="J33" s="40">
        <f t="shared" si="1"/>
        <v>0</v>
      </c>
      <c r="K33" s="40">
        <f t="shared" si="2"/>
        <v>91670</v>
      </c>
      <c r="L33" s="40">
        <f t="shared" si="2"/>
        <v>91670</v>
      </c>
      <c r="M33" s="136">
        <f t="shared" si="3"/>
        <v>0</v>
      </c>
      <c r="N33" s="44"/>
    </row>
    <row r="34" spans="1:14">
      <c r="A34" s="26">
        <v>30</v>
      </c>
      <c r="B34" s="27">
        <v>46111</v>
      </c>
      <c r="C34" s="17"/>
      <c r="D34" s="17"/>
      <c r="E34" s="40"/>
      <c r="F34" s="40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/>
      <c r="M34" s="136">
        <f t="shared" si="3"/>
        <v>0</v>
      </c>
      <c r="N34" s="44"/>
    </row>
    <row r="35" spans="1:14">
      <c r="A35" s="26">
        <v>31</v>
      </c>
      <c r="B35" s="27">
        <v>46112</v>
      </c>
      <c r="C35" s="17"/>
      <c r="D35" s="17"/>
      <c r="E35" s="40"/>
      <c r="F35" s="40"/>
      <c r="G35" s="40">
        <f t="shared" si="0"/>
        <v>0</v>
      </c>
      <c r="H35" s="40"/>
      <c r="I35" s="40"/>
      <c r="J35" s="40">
        <f t="shared" si="1"/>
        <v>0</v>
      </c>
      <c r="K35" s="40">
        <f t="shared" si="2"/>
        <v>0</v>
      </c>
      <c r="L35" s="40"/>
      <c r="M35" s="136">
        <f t="shared" si="3"/>
        <v>0</v>
      </c>
      <c r="N35" s="44"/>
    </row>
    <row r="36" spans="1:14">
      <c r="A36" s="26">
        <v>32</v>
      </c>
      <c r="B36" s="27"/>
      <c r="C36" s="17"/>
      <c r="D36" s="17"/>
      <c r="E36" s="40"/>
      <c r="F36" s="40"/>
      <c r="G36" s="40">
        <f t="shared" si="0"/>
        <v>0</v>
      </c>
      <c r="H36" s="40"/>
      <c r="I36" s="40"/>
      <c r="J36" s="40">
        <f t="shared" si="1"/>
        <v>0</v>
      </c>
      <c r="K36" s="40">
        <f t="shared" si="2"/>
        <v>0</v>
      </c>
      <c r="L36" s="40"/>
      <c r="M36" s="136">
        <f t="shared" si="3"/>
        <v>0</v>
      </c>
      <c r="N36" s="44"/>
    </row>
    <row r="37" spans="1:14">
      <c r="A37" s="26">
        <v>33</v>
      </c>
      <c r="B37" s="27"/>
      <c r="C37" s="17"/>
      <c r="D37" s="17"/>
      <c r="E37" s="40"/>
      <c r="F37" s="40"/>
      <c r="G37" s="40">
        <f t="shared" si="0"/>
        <v>0</v>
      </c>
      <c r="H37" s="40"/>
      <c r="I37" s="40"/>
      <c r="J37" s="40">
        <f t="shared" si="1"/>
        <v>0</v>
      </c>
      <c r="K37" s="40">
        <f t="shared" si="2"/>
        <v>0</v>
      </c>
      <c r="L37" s="40"/>
      <c r="M37" s="136">
        <f t="shared" si="3"/>
        <v>0</v>
      </c>
      <c r="N37" s="44"/>
    </row>
    <row r="38" spans="1:14">
      <c r="A38" s="26">
        <v>34</v>
      </c>
      <c r="B38" s="27"/>
      <c r="C38" s="17"/>
      <c r="D38" s="17"/>
      <c r="E38" s="40"/>
      <c r="F38" s="40"/>
      <c r="G38" s="40">
        <f t="shared" si="0"/>
        <v>0</v>
      </c>
      <c r="H38" s="40"/>
      <c r="I38" s="40"/>
      <c r="J38" s="40">
        <f t="shared" si="1"/>
        <v>0</v>
      </c>
      <c r="K38" s="40">
        <f t="shared" si="2"/>
        <v>0</v>
      </c>
      <c r="L38" s="40"/>
      <c r="M38" s="136">
        <f t="shared" si="3"/>
        <v>0</v>
      </c>
      <c r="N38" s="44"/>
    </row>
    <row r="39" spans="1:14">
      <c r="A39" s="26">
        <v>35</v>
      </c>
      <c r="B39" s="27"/>
      <c r="C39" s="17"/>
      <c r="D39" s="17"/>
      <c r="E39" s="40"/>
      <c r="F39" s="40"/>
      <c r="G39" s="40">
        <f t="shared" si="0"/>
        <v>0</v>
      </c>
      <c r="H39" s="40"/>
      <c r="I39" s="40"/>
      <c r="J39" s="40">
        <f t="shared" si="1"/>
        <v>0</v>
      </c>
      <c r="K39" s="40">
        <f t="shared" si="2"/>
        <v>0</v>
      </c>
      <c r="L39" s="40"/>
      <c r="M39" s="136">
        <f t="shared" si="3"/>
        <v>0</v>
      </c>
      <c r="N39" s="44"/>
    </row>
    <row r="40" spans="1:14">
      <c r="A40" s="26">
        <v>36</v>
      </c>
      <c r="B40" s="27"/>
      <c r="C40" s="17"/>
      <c r="D40" s="17"/>
      <c r="E40" s="40"/>
      <c r="F40" s="40"/>
      <c r="G40" s="40">
        <f t="shared" si="0"/>
        <v>0</v>
      </c>
      <c r="H40" s="40"/>
      <c r="I40" s="40"/>
      <c r="J40" s="40">
        <f t="shared" si="1"/>
        <v>0</v>
      </c>
      <c r="K40" s="40">
        <f t="shared" si="2"/>
        <v>0</v>
      </c>
      <c r="L40" s="40"/>
      <c r="M40" s="136">
        <f t="shared" si="3"/>
        <v>0</v>
      </c>
      <c r="N40" s="44"/>
    </row>
    <row r="41" spans="1:14">
      <c r="A41" s="26">
        <v>37</v>
      </c>
      <c r="B41" s="27"/>
      <c r="C41" s="17"/>
      <c r="D41" s="17"/>
      <c r="E41" s="40"/>
      <c r="F41" s="40"/>
      <c r="G41" s="40">
        <f t="shared" si="0"/>
        <v>0</v>
      </c>
      <c r="H41" s="40"/>
      <c r="I41" s="40"/>
      <c r="J41" s="40">
        <f t="shared" si="1"/>
        <v>0</v>
      </c>
      <c r="K41" s="40">
        <f t="shared" si="2"/>
        <v>0</v>
      </c>
      <c r="L41" s="40"/>
      <c r="M41" s="136">
        <f t="shared" si="3"/>
        <v>0</v>
      </c>
      <c r="N41" s="44"/>
    </row>
    <row r="42" spans="1:14">
      <c r="A42" s="26">
        <v>38</v>
      </c>
      <c r="B42" s="27"/>
      <c r="C42" s="17"/>
      <c r="D42" s="17"/>
      <c r="E42" s="40"/>
      <c r="F42" s="40"/>
      <c r="G42" s="40">
        <f t="shared" si="0"/>
        <v>0</v>
      </c>
      <c r="H42" s="40"/>
      <c r="I42" s="40"/>
      <c r="J42" s="40">
        <f t="shared" si="1"/>
        <v>0</v>
      </c>
      <c r="K42" s="40">
        <f t="shared" si="2"/>
        <v>0</v>
      </c>
      <c r="L42" s="40"/>
      <c r="M42" s="136">
        <f t="shared" si="3"/>
        <v>0</v>
      </c>
      <c r="N42" s="44"/>
    </row>
    <row r="43" spans="1:14">
      <c r="A43" s="26">
        <v>39</v>
      </c>
      <c r="B43" s="27"/>
      <c r="C43" s="17"/>
      <c r="D43" s="17"/>
      <c r="E43" s="40"/>
      <c r="F43" s="40"/>
      <c r="G43" s="40">
        <f t="shared" si="0"/>
        <v>0</v>
      </c>
      <c r="H43" s="40"/>
      <c r="I43" s="40"/>
      <c r="J43" s="40">
        <f t="shared" si="1"/>
        <v>0</v>
      </c>
      <c r="K43" s="40">
        <f t="shared" si="2"/>
        <v>0</v>
      </c>
      <c r="L43" s="40"/>
      <c r="M43" s="136">
        <f t="shared" si="3"/>
        <v>0</v>
      </c>
      <c r="N43" s="44"/>
    </row>
    <row r="44" spans="1:14">
      <c r="A44" s="26">
        <v>40</v>
      </c>
      <c r="B44" s="27"/>
      <c r="C44" s="17"/>
      <c r="D44" s="17"/>
      <c r="E44" s="40"/>
      <c r="F44" s="40"/>
      <c r="G44" s="40">
        <f t="shared" si="0"/>
        <v>0</v>
      </c>
      <c r="H44" s="40"/>
      <c r="I44" s="40"/>
      <c r="J44" s="40">
        <f t="shared" si="1"/>
        <v>0</v>
      </c>
      <c r="K44" s="40">
        <f t="shared" si="2"/>
        <v>0</v>
      </c>
      <c r="L44" s="40"/>
      <c r="M44" s="136">
        <f t="shared" si="3"/>
        <v>0</v>
      </c>
      <c r="N44" s="44"/>
    </row>
    <row r="45" spans="1:14">
      <c r="A45" s="26">
        <v>41</v>
      </c>
      <c r="B45" s="27"/>
      <c r="C45" s="17"/>
      <c r="D45" s="17"/>
      <c r="E45" s="40"/>
      <c r="F45" s="40"/>
      <c r="G45" s="40">
        <f t="shared" si="0"/>
        <v>0</v>
      </c>
      <c r="H45" s="40"/>
      <c r="I45" s="40"/>
      <c r="J45" s="40">
        <f t="shared" si="1"/>
        <v>0</v>
      </c>
      <c r="K45" s="40">
        <f t="shared" si="2"/>
        <v>0</v>
      </c>
      <c r="L45" s="40"/>
      <c r="M45" s="136">
        <f t="shared" si="3"/>
        <v>0</v>
      </c>
      <c r="N45" s="44"/>
    </row>
    <row r="46" spans="1:14">
      <c r="A46" s="26">
        <v>42</v>
      </c>
      <c r="B46" s="27"/>
      <c r="C46" s="17"/>
      <c r="D46" s="17"/>
      <c r="E46" s="40"/>
      <c r="F46" s="40"/>
      <c r="G46" s="40">
        <f t="shared" si="0"/>
        <v>0</v>
      </c>
      <c r="H46" s="40"/>
      <c r="I46" s="40"/>
      <c r="J46" s="40">
        <f t="shared" si="1"/>
        <v>0</v>
      </c>
      <c r="K46" s="40">
        <f t="shared" si="2"/>
        <v>0</v>
      </c>
      <c r="L46" s="40"/>
      <c r="M46" s="136">
        <f t="shared" si="3"/>
        <v>0</v>
      </c>
      <c r="N46" s="44"/>
    </row>
    <row r="47" spans="1:14">
      <c r="A47" s="26">
        <v>43</v>
      </c>
      <c r="B47" s="27"/>
      <c r="C47" s="17"/>
      <c r="D47" s="17"/>
      <c r="E47" s="40"/>
      <c r="F47" s="40"/>
      <c r="G47" s="40">
        <f t="shared" si="0"/>
        <v>0</v>
      </c>
      <c r="H47" s="40"/>
      <c r="I47" s="40"/>
      <c r="J47" s="40">
        <f t="shared" si="1"/>
        <v>0</v>
      </c>
      <c r="K47" s="40">
        <f t="shared" si="2"/>
        <v>0</v>
      </c>
      <c r="L47" s="40"/>
      <c r="M47" s="136">
        <f t="shared" si="3"/>
        <v>0</v>
      </c>
      <c r="N47" s="44"/>
    </row>
    <row r="48" spans="1:14">
      <c r="A48" s="26">
        <v>44</v>
      </c>
      <c r="B48" s="27"/>
      <c r="C48" s="17"/>
      <c r="D48" s="17"/>
      <c r="E48" s="40"/>
      <c r="F48" s="40"/>
      <c r="G48" s="40">
        <f t="shared" si="0"/>
        <v>0</v>
      </c>
      <c r="H48" s="40"/>
      <c r="I48" s="40"/>
      <c r="J48" s="40">
        <f t="shared" si="1"/>
        <v>0</v>
      </c>
      <c r="K48" s="40">
        <f t="shared" si="2"/>
        <v>0</v>
      </c>
      <c r="L48" s="40"/>
      <c r="M48" s="136">
        <f t="shared" si="3"/>
        <v>0</v>
      </c>
      <c r="N48" s="44"/>
    </row>
    <row r="49" spans="1:14">
      <c r="A49" s="26">
        <v>45</v>
      </c>
      <c r="B49" s="27"/>
      <c r="C49" s="17"/>
      <c r="D49" s="17"/>
      <c r="E49" s="40"/>
      <c r="F49" s="40"/>
      <c r="G49" s="40">
        <f t="shared" si="0"/>
        <v>0</v>
      </c>
      <c r="H49" s="40"/>
      <c r="I49" s="40"/>
      <c r="J49" s="40">
        <f t="shared" si="1"/>
        <v>0</v>
      </c>
      <c r="K49" s="40">
        <f t="shared" si="2"/>
        <v>0</v>
      </c>
      <c r="L49" s="40"/>
      <c r="M49" s="136">
        <f t="shared" si="3"/>
        <v>0</v>
      </c>
      <c r="N49" s="44"/>
    </row>
    <row r="50" spans="1:14">
      <c r="A50" s="26">
        <v>46</v>
      </c>
      <c r="B50" s="27"/>
      <c r="C50" s="17"/>
      <c r="D50" s="17"/>
      <c r="E50" s="40"/>
      <c r="F50" s="40"/>
      <c r="G50" s="40">
        <f t="shared" si="0"/>
        <v>0</v>
      </c>
      <c r="H50" s="40"/>
      <c r="I50" s="40"/>
      <c r="J50" s="40">
        <f t="shared" si="1"/>
        <v>0</v>
      </c>
      <c r="K50" s="40">
        <f t="shared" si="2"/>
        <v>0</v>
      </c>
      <c r="L50" s="40"/>
      <c r="M50" s="136">
        <f t="shared" si="3"/>
        <v>0</v>
      </c>
      <c r="N50" s="44"/>
    </row>
    <row r="51" spans="1:14">
      <c r="A51" s="26">
        <v>47</v>
      </c>
      <c r="B51" s="27"/>
      <c r="C51" s="17"/>
      <c r="D51" s="17"/>
      <c r="E51" s="40"/>
      <c r="F51" s="40"/>
      <c r="G51" s="40">
        <f t="shared" si="0"/>
        <v>0</v>
      </c>
      <c r="H51" s="40"/>
      <c r="I51" s="40"/>
      <c r="J51" s="40">
        <f t="shared" si="1"/>
        <v>0</v>
      </c>
      <c r="K51" s="40">
        <f t="shared" si="2"/>
        <v>0</v>
      </c>
      <c r="L51" s="40">
        <v>0</v>
      </c>
      <c r="M51" s="136">
        <f t="shared" si="3"/>
        <v>0</v>
      </c>
      <c r="N51" s="44"/>
    </row>
    <row r="52" spans="1:14">
      <c r="A52" s="26">
        <v>48</v>
      </c>
      <c r="B52" s="27"/>
      <c r="C52" s="94"/>
      <c r="D52" s="94"/>
      <c r="E52" s="40"/>
      <c r="F52" s="40"/>
      <c r="G52" s="40">
        <f t="shared" si="0"/>
        <v>0</v>
      </c>
      <c r="H52" s="40"/>
      <c r="I52" s="40"/>
      <c r="J52" s="40">
        <f t="shared" si="1"/>
        <v>0</v>
      </c>
      <c r="K52" s="40">
        <f t="shared" si="2"/>
        <v>0</v>
      </c>
      <c r="L52" s="40">
        <v>0</v>
      </c>
      <c r="M52" s="136">
        <f t="shared" si="3"/>
        <v>0</v>
      </c>
      <c r="N52" s="224"/>
    </row>
    <row r="53" spans="1:14">
      <c r="A53" s="26">
        <v>49</v>
      </c>
      <c r="B53" s="27"/>
      <c r="C53" s="17"/>
      <c r="D53" s="17"/>
      <c r="E53" s="40"/>
      <c r="F53" s="40"/>
      <c r="G53" s="40">
        <f t="shared" si="0"/>
        <v>0</v>
      </c>
      <c r="H53" s="40"/>
      <c r="I53" s="40"/>
      <c r="J53" s="40">
        <f t="shared" si="1"/>
        <v>0</v>
      </c>
      <c r="K53" s="40">
        <f t="shared" si="2"/>
        <v>0</v>
      </c>
      <c r="L53" s="40">
        <v>0</v>
      </c>
      <c r="M53" s="136">
        <f t="shared" si="3"/>
        <v>0</v>
      </c>
      <c r="N53" s="44"/>
    </row>
    <row r="54" spans="1:14">
      <c r="A54" s="26">
        <v>50</v>
      </c>
      <c r="B54" s="27"/>
      <c r="C54" s="17"/>
      <c r="D54" s="17"/>
      <c r="E54" s="40"/>
      <c r="F54" s="40"/>
      <c r="G54" s="40">
        <f t="shared" si="0"/>
        <v>0</v>
      </c>
      <c r="H54" s="40"/>
      <c r="I54" s="40"/>
      <c r="J54" s="40">
        <f t="shared" si="1"/>
        <v>0</v>
      </c>
      <c r="K54" s="40">
        <f t="shared" si="2"/>
        <v>0</v>
      </c>
      <c r="L54" s="40">
        <v>0</v>
      </c>
      <c r="M54" s="136">
        <f t="shared" si="3"/>
        <v>0</v>
      </c>
      <c r="N54" s="44"/>
    </row>
    <row r="55" spans="1:14">
      <c r="A55" s="181"/>
      <c r="B55" s="181"/>
      <c r="C55" s="181"/>
      <c r="D55" s="181"/>
      <c r="E55" s="181">
        <f>SUM(E4:E54)</f>
        <v>4000</v>
      </c>
      <c r="F55" s="181"/>
      <c r="G55" s="181">
        <f>SUM(G4:G54)</f>
        <v>366680</v>
      </c>
      <c r="H55" s="181">
        <f>SUM(H4:H54)</f>
        <v>0</v>
      </c>
      <c r="I55" s="181"/>
      <c r="J55" s="181">
        <f>SUM(J4:J54)</f>
        <v>0</v>
      </c>
      <c r="K55" s="181">
        <f>SUM(K4:K54)</f>
        <v>366680</v>
      </c>
      <c r="L55" s="181">
        <f>SUM(L4:L54)</f>
        <v>366680</v>
      </c>
      <c r="M55" s="181"/>
      <c r="N55" s="181"/>
    </row>
  </sheetData>
  <mergeCells count="2">
    <mergeCell ref="A1:N1"/>
    <mergeCell ref="A3:J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41"/>
  <sheetViews>
    <sheetView workbookViewId="0">
      <pane ySplit="2" topLeftCell="A21" activePane="bottomLeft" state="frozen"/>
      <selection pane="bottomLeft" activeCell="K3" sqref="K3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9.7109375" bestFit="1" customWidth="1"/>
  </cols>
  <sheetData>
    <row r="1" spans="1:15" ht="15.75" customHeight="1">
      <c r="A1" s="447" t="s">
        <v>127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53"/>
    </row>
    <row r="2" spans="1:15" ht="30">
      <c r="A2" s="54" t="s">
        <v>0</v>
      </c>
      <c r="B2" s="55" t="s">
        <v>161</v>
      </c>
      <c r="C2" s="55" t="s">
        <v>162</v>
      </c>
      <c r="D2" s="55" t="s">
        <v>163</v>
      </c>
      <c r="E2" s="55" t="s">
        <v>164</v>
      </c>
      <c r="F2" s="55" t="s">
        <v>165</v>
      </c>
      <c r="G2" s="55" t="s">
        <v>166</v>
      </c>
      <c r="H2" s="55" t="s">
        <v>167</v>
      </c>
      <c r="I2" s="55" t="s">
        <v>165</v>
      </c>
      <c r="J2" s="56" t="s">
        <v>166</v>
      </c>
      <c r="K2" s="57" t="s">
        <v>168</v>
      </c>
      <c r="L2" s="58" t="s">
        <v>169</v>
      </c>
      <c r="M2" s="116" t="s">
        <v>181</v>
      </c>
      <c r="N2" s="101" t="s">
        <v>171</v>
      </c>
      <c r="O2" s="59"/>
    </row>
    <row r="3" spans="1:15">
      <c r="A3" s="132" t="s">
        <v>172</v>
      </c>
      <c r="B3" s="133"/>
      <c r="C3" s="133"/>
      <c r="D3" s="133"/>
      <c r="E3" s="133"/>
      <c r="F3" s="133"/>
      <c r="G3" s="133"/>
      <c r="H3" s="133"/>
      <c r="I3" s="133"/>
      <c r="J3" s="133"/>
      <c r="K3" s="261">
        <v>103006.58380000037</v>
      </c>
      <c r="L3" s="134"/>
      <c r="M3" s="262">
        <f>+K3</f>
        <v>103006.58380000037</v>
      </c>
      <c r="N3" s="17"/>
      <c r="O3" s="59">
        <v>1194596.9738</v>
      </c>
    </row>
    <row r="4" spans="1:15">
      <c r="A4" s="46">
        <v>1</v>
      </c>
      <c r="B4" s="201">
        <v>45717</v>
      </c>
      <c r="C4" s="10"/>
      <c r="D4" s="18"/>
      <c r="E4" s="8"/>
      <c r="F4" s="8"/>
      <c r="G4" s="16">
        <f>E4*F4</f>
        <v>0</v>
      </c>
      <c r="H4" s="7"/>
      <c r="I4" s="7"/>
      <c r="J4" s="21">
        <f>H4*I4</f>
        <v>0</v>
      </c>
      <c r="K4" s="8">
        <f>G4+J4</f>
        <v>0</v>
      </c>
      <c r="L4" s="8"/>
      <c r="M4" s="8">
        <f t="shared" ref="M4:M16" si="0">M3+K4-L4</f>
        <v>103006.58380000037</v>
      </c>
      <c r="N4" s="19"/>
      <c r="O4" s="1"/>
    </row>
    <row r="5" spans="1:15">
      <c r="A5" s="46">
        <v>2</v>
      </c>
      <c r="B5" s="201">
        <v>45718</v>
      </c>
      <c r="C5" s="10"/>
      <c r="D5" s="18"/>
      <c r="E5" s="8"/>
      <c r="F5" s="8"/>
      <c r="G5" s="16">
        <f>E5*F5</f>
        <v>0</v>
      </c>
      <c r="H5" s="7"/>
      <c r="I5" s="7"/>
      <c r="J5" s="21">
        <f t="shared" ref="J5" si="1">H5*I5</f>
        <v>0</v>
      </c>
      <c r="K5" s="8">
        <f t="shared" ref="K5:K6" si="2">G5+J5</f>
        <v>0</v>
      </c>
      <c r="L5" s="8"/>
      <c r="M5" s="8">
        <f t="shared" si="0"/>
        <v>103006.58380000037</v>
      </c>
      <c r="N5" s="8"/>
      <c r="O5" s="1"/>
    </row>
    <row r="6" spans="1:15">
      <c r="A6" s="46">
        <v>3</v>
      </c>
      <c r="B6" s="201">
        <v>45719</v>
      </c>
      <c r="C6" s="10"/>
      <c r="D6" s="18"/>
      <c r="E6" s="8"/>
      <c r="F6" s="8"/>
      <c r="G6" s="16">
        <f t="shared" ref="G6:G7" si="3">E6*F6</f>
        <v>0</v>
      </c>
      <c r="H6" s="7"/>
      <c r="I6" s="7"/>
      <c r="J6" s="21">
        <f>H6*I6</f>
        <v>0</v>
      </c>
      <c r="K6" s="8">
        <f t="shared" si="2"/>
        <v>0</v>
      </c>
      <c r="L6" s="8"/>
      <c r="M6" s="8">
        <f t="shared" si="0"/>
        <v>103006.58380000037</v>
      </c>
      <c r="N6" s="8"/>
      <c r="O6" s="1"/>
    </row>
    <row r="7" spans="1:15">
      <c r="A7" s="46">
        <v>4</v>
      </c>
      <c r="B7" s="201">
        <v>45720</v>
      </c>
      <c r="C7" s="10"/>
      <c r="D7" s="18"/>
      <c r="E7" s="8"/>
      <c r="F7" s="8"/>
      <c r="G7" s="16">
        <v>0</v>
      </c>
      <c r="H7" s="7"/>
      <c r="I7" s="339"/>
      <c r="J7" s="21">
        <v>0</v>
      </c>
      <c r="K7" s="8">
        <v>0</v>
      </c>
      <c r="L7" s="8"/>
      <c r="M7" s="8">
        <f t="shared" si="0"/>
        <v>103006.58380000037</v>
      </c>
      <c r="N7" s="8"/>
      <c r="O7" s="1"/>
    </row>
    <row r="8" spans="1:15">
      <c r="A8" s="46">
        <v>5</v>
      </c>
      <c r="B8" s="201">
        <v>45721</v>
      </c>
      <c r="C8" s="10"/>
      <c r="D8" s="18"/>
      <c r="E8" s="8"/>
      <c r="F8" s="8"/>
      <c r="G8" s="16">
        <f t="shared" ref="G8:G37" si="4">E8*F8</f>
        <v>0</v>
      </c>
      <c r="H8" s="7"/>
      <c r="I8" s="7"/>
      <c r="J8" s="21">
        <f t="shared" ref="J8:J37" si="5">H8*I8</f>
        <v>0</v>
      </c>
      <c r="K8" s="8">
        <f t="shared" ref="K8:K37" si="6">G8+J8</f>
        <v>0</v>
      </c>
      <c r="L8" s="8"/>
      <c r="M8" s="8">
        <f t="shared" si="0"/>
        <v>103006.58380000037</v>
      </c>
      <c r="N8" s="8"/>
      <c r="O8" s="1"/>
    </row>
    <row r="9" spans="1:15">
      <c r="A9" s="46">
        <v>6</v>
      </c>
      <c r="B9" s="201">
        <v>45722</v>
      </c>
      <c r="C9" s="10"/>
      <c r="D9" s="18"/>
      <c r="E9" s="8"/>
      <c r="F9" s="8"/>
      <c r="G9" s="16">
        <f t="shared" ref="G9:G36" si="7">E9*F9</f>
        <v>0</v>
      </c>
      <c r="H9" s="7">
        <v>20</v>
      </c>
      <c r="I9" s="21">
        <v>104.6</v>
      </c>
      <c r="J9" s="21">
        <f t="shared" si="5"/>
        <v>2092</v>
      </c>
      <c r="K9" s="8">
        <f t="shared" ref="K9:K36" si="8">G9+J9</f>
        <v>2092</v>
      </c>
      <c r="L9" s="8"/>
      <c r="M9" s="8">
        <f t="shared" si="0"/>
        <v>105098.58380000037</v>
      </c>
      <c r="N9" s="8"/>
      <c r="O9" s="1"/>
    </row>
    <row r="10" spans="1:15">
      <c r="A10" s="46">
        <v>7</v>
      </c>
      <c r="B10" s="201">
        <v>45723</v>
      </c>
      <c r="C10" s="10"/>
      <c r="D10" s="18"/>
      <c r="E10" s="8"/>
      <c r="F10" s="8"/>
      <c r="G10" s="16">
        <f t="shared" si="7"/>
        <v>0</v>
      </c>
      <c r="H10" s="7"/>
      <c r="I10" s="7"/>
      <c r="J10" s="21">
        <f t="shared" ref="J9:J36" si="9">H10*I10</f>
        <v>0</v>
      </c>
      <c r="K10" s="8">
        <f t="shared" si="8"/>
        <v>0</v>
      </c>
      <c r="L10" s="8"/>
      <c r="M10" s="8">
        <f t="shared" si="0"/>
        <v>105098.58380000037</v>
      </c>
      <c r="N10" s="8"/>
      <c r="O10" s="1"/>
    </row>
    <row r="11" spans="1:15">
      <c r="A11" s="46">
        <v>8</v>
      </c>
      <c r="B11" s="201">
        <v>45724</v>
      </c>
      <c r="C11" s="10"/>
      <c r="D11" s="18"/>
      <c r="E11" s="8"/>
      <c r="F11" s="8"/>
      <c r="G11" s="16">
        <f t="shared" si="7"/>
        <v>0</v>
      </c>
      <c r="H11" s="7"/>
      <c r="I11" s="7"/>
      <c r="J11" s="21">
        <f t="shared" si="9"/>
        <v>0</v>
      </c>
      <c r="K11" s="8">
        <f t="shared" si="8"/>
        <v>0</v>
      </c>
      <c r="L11" s="8"/>
      <c r="M11" s="8">
        <f t="shared" si="0"/>
        <v>105098.58380000037</v>
      </c>
      <c r="N11" s="8"/>
      <c r="O11" s="1"/>
    </row>
    <row r="12" spans="1:15">
      <c r="A12" s="46">
        <v>9</v>
      </c>
      <c r="B12" s="201">
        <v>45725</v>
      </c>
      <c r="C12" s="10"/>
      <c r="D12" s="18"/>
      <c r="E12" s="8"/>
      <c r="F12" s="8"/>
      <c r="G12" s="16">
        <f t="shared" si="7"/>
        <v>0</v>
      </c>
      <c r="H12" s="7"/>
      <c r="I12" s="7"/>
      <c r="J12" s="21">
        <f t="shared" si="9"/>
        <v>0</v>
      </c>
      <c r="K12" s="8">
        <f t="shared" si="8"/>
        <v>0</v>
      </c>
      <c r="L12" s="8"/>
      <c r="M12" s="8">
        <f t="shared" si="0"/>
        <v>105098.58380000037</v>
      </c>
      <c r="N12" s="8"/>
      <c r="O12" s="1"/>
    </row>
    <row r="13" spans="1:15">
      <c r="A13" s="46">
        <v>10</v>
      </c>
      <c r="B13" s="201">
        <v>45726</v>
      </c>
      <c r="C13" s="10"/>
      <c r="D13" s="18"/>
      <c r="E13" s="8"/>
      <c r="F13" s="8"/>
      <c r="G13" s="16">
        <f t="shared" si="7"/>
        <v>0</v>
      </c>
      <c r="H13" s="7">
        <v>20.21</v>
      </c>
      <c r="I13" s="7">
        <v>104.6</v>
      </c>
      <c r="J13" s="21">
        <f t="shared" si="9"/>
        <v>2113.9659999999999</v>
      </c>
      <c r="K13" s="8">
        <f t="shared" si="8"/>
        <v>2113.9659999999999</v>
      </c>
      <c r="L13" s="8"/>
      <c r="M13" s="182">
        <f t="shared" si="0"/>
        <v>107212.54980000037</v>
      </c>
      <c r="N13" s="8"/>
      <c r="O13" s="1"/>
    </row>
    <row r="14" spans="1:15">
      <c r="A14" s="46">
        <v>11</v>
      </c>
      <c r="B14" s="201">
        <v>45727</v>
      </c>
      <c r="C14" s="10"/>
      <c r="D14" s="18"/>
      <c r="E14" s="8">
        <v>3000</v>
      </c>
      <c r="F14" s="8">
        <v>91.14</v>
      </c>
      <c r="G14" s="16">
        <f t="shared" si="7"/>
        <v>273420</v>
      </c>
      <c r="H14" s="7">
        <v>10</v>
      </c>
      <c r="I14" s="7">
        <v>104.6</v>
      </c>
      <c r="J14" s="21">
        <f t="shared" si="9"/>
        <v>1046</v>
      </c>
      <c r="K14" s="8">
        <f t="shared" si="8"/>
        <v>274466</v>
      </c>
      <c r="L14" s="8"/>
      <c r="M14" s="8">
        <f t="shared" si="0"/>
        <v>381678.54980000039</v>
      </c>
      <c r="N14" s="193"/>
      <c r="O14" s="1"/>
    </row>
    <row r="15" spans="1:15">
      <c r="A15" s="46">
        <v>12</v>
      </c>
      <c r="B15" s="201">
        <v>45728</v>
      </c>
      <c r="C15" s="10"/>
      <c r="D15" s="18"/>
      <c r="E15" s="8">
        <v>1000</v>
      </c>
      <c r="F15" s="8">
        <v>91.14</v>
      </c>
      <c r="G15" s="16">
        <f t="shared" si="7"/>
        <v>91140</v>
      </c>
      <c r="H15" s="7"/>
      <c r="I15" s="7"/>
      <c r="J15" s="21">
        <f t="shared" si="9"/>
        <v>0</v>
      </c>
      <c r="K15" s="8">
        <f t="shared" si="8"/>
        <v>91140</v>
      </c>
      <c r="L15" s="8"/>
      <c r="M15" s="8">
        <f t="shared" si="0"/>
        <v>472818.54980000039</v>
      </c>
      <c r="N15" s="193"/>
      <c r="O15" s="1"/>
    </row>
    <row r="16" spans="1:15">
      <c r="A16" s="46">
        <v>13</v>
      </c>
      <c r="B16" s="201">
        <v>45729</v>
      </c>
      <c r="C16" s="10"/>
      <c r="D16" s="18"/>
      <c r="E16" s="8"/>
      <c r="F16" s="8"/>
      <c r="G16" s="16">
        <f t="shared" si="7"/>
        <v>0</v>
      </c>
      <c r="H16" s="7"/>
      <c r="I16" s="7"/>
      <c r="J16" s="21">
        <f t="shared" si="9"/>
        <v>0</v>
      </c>
      <c r="K16" s="8">
        <f t="shared" si="8"/>
        <v>0</v>
      </c>
      <c r="L16" s="8"/>
      <c r="M16" s="8">
        <f t="shared" si="0"/>
        <v>472818.54980000039</v>
      </c>
      <c r="N16" s="193"/>
      <c r="O16" s="1"/>
    </row>
    <row r="17" spans="1:17">
      <c r="A17" s="46">
        <v>14</v>
      </c>
      <c r="B17" s="201">
        <v>45730</v>
      </c>
      <c r="C17" s="10"/>
      <c r="D17" s="18"/>
      <c r="E17" s="8"/>
      <c r="F17" s="8"/>
      <c r="G17" s="16">
        <f t="shared" si="7"/>
        <v>0</v>
      </c>
      <c r="H17" s="7"/>
      <c r="I17" s="7"/>
      <c r="J17" s="21">
        <f t="shared" si="9"/>
        <v>0</v>
      </c>
      <c r="K17" s="8">
        <f t="shared" si="8"/>
        <v>0</v>
      </c>
      <c r="L17" s="8"/>
      <c r="M17" s="8">
        <f t="shared" ref="M17:M37" si="10">M16+K17-L17</f>
        <v>472818.54980000039</v>
      </c>
      <c r="N17" s="193"/>
      <c r="O17" s="1"/>
    </row>
    <row r="18" spans="1:17">
      <c r="A18" s="46">
        <v>15</v>
      </c>
      <c r="B18" s="201">
        <v>45731</v>
      </c>
      <c r="C18" s="10"/>
      <c r="D18" s="18"/>
      <c r="E18" s="8"/>
      <c r="F18" s="8"/>
      <c r="G18" s="16">
        <f t="shared" si="7"/>
        <v>0</v>
      </c>
      <c r="H18" s="7"/>
      <c r="I18" s="7"/>
      <c r="J18" s="21">
        <f t="shared" si="9"/>
        <v>0</v>
      </c>
      <c r="K18" s="8">
        <f t="shared" si="8"/>
        <v>0</v>
      </c>
      <c r="L18" s="8"/>
      <c r="M18" s="8">
        <f t="shared" si="10"/>
        <v>472818.54980000039</v>
      </c>
      <c r="N18" s="193"/>
      <c r="O18" s="1"/>
    </row>
    <row r="19" spans="1:17">
      <c r="A19" s="46">
        <v>16</v>
      </c>
      <c r="B19" s="201">
        <v>45732</v>
      </c>
      <c r="C19" s="10"/>
      <c r="D19" s="18"/>
      <c r="E19" s="8"/>
      <c r="F19" s="8"/>
      <c r="G19" s="16">
        <f t="shared" si="7"/>
        <v>0</v>
      </c>
      <c r="H19" s="7"/>
      <c r="I19" s="7"/>
      <c r="J19" s="21">
        <f t="shared" si="9"/>
        <v>0</v>
      </c>
      <c r="K19" s="8">
        <f t="shared" si="8"/>
        <v>0</v>
      </c>
      <c r="L19" s="8"/>
      <c r="M19" s="8">
        <f t="shared" si="10"/>
        <v>472818.54980000039</v>
      </c>
      <c r="N19" s="193"/>
      <c r="O19" s="1"/>
    </row>
    <row r="20" spans="1:17">
      <c r="A20" s="46">
        <v>17</v>
      </c>
      <c r="B20" s="201">
        <v>45733</v>
      </c>
      <c r="C20" s="10"/>
      <c r="D20" s="18"/>
      <c r="E20" s="8"/>
      <c r="F20" s="8"/>
      <c r="G20" s="16">
        <f t="shared" si="7"/>
        <v>0</v>
      </c>
      <c r="H20" s="7"/>
      <c r="I20" s="7"/>
      <c r="J20" s="21">
        <f t="shared" si="9"/>
        <v>0</v>
      </c>
      <c r="K20" s="8">
        <f t="shared" si="8"/>
        <v>0</v>
      </c>
      <c r="L20" s="8"/>
      <c r="M20" s="8">
        <f t="shared" si="10"/>
        <v>472818.54980000039</v>
      </c>
      <c r="N20" s="193"/>
      <c r="O20" s="1"/>
    </row>
    <row r="21" spans="1:17">
      <c r="A21" s="46">
        <v>18</v>
      </c>
      <c r="B21" s="201">
        <v>45734</v>
      </c>
      <c r="C21" s="10"/>
      <c r="D21" s="18"/>
      <c r="E21" s="8">
        <v>3000</v>
      </c>
      <c r="F21" s="8">
        <v>91.14</v>
      </c>
      <c r="G21" s="16">
        <f t="shared" si="7"/>
        <v>273420</v>
      </c>
      <c r="H21" s="7">
        <v>20</v>
      </c>
      <c r="I21" s="7">
        <v>104.6</v>
      </c>
      <c r="J21" s="21">
        <f t="shared" si="9"/>
        <v>2092</v>
      </c>
      <c r="K21" s="8">
        <f t="shared" si="8"/>
        <v>275512</v>
      </c>
      <c r="L21" s="8"/>
      <c r="M21" s="8">
        <f t="shared" si="10"/>
        <v>748330.54980000039</v>
      </c>
      <c r="N21" s="193"/>
      <c r="O21" s="1"/>
    </row>
    <row r="22" spans="1:17">
      <c r="A22" s="46">
        <v>19</v>
      </c>
      <c r="B22" s="201">
        <v>45735</v>
      </c>
      <c r="C22" s="10"/>
      <c r="D22" s="18"/>
      <c r="E22" s="8"/>
      <c r="F22" s="8"/>
      <c r="G22" s="16">
        <f t="shared" si="7"/>
        <v>0</v>
      </c>
      <c r="H22" s="7"/>
      <c r="I22" s="7"/>
      <c r="J22" s="21">
        <f t="shared" si="9"/>
        <v>0</v>
      </c>
      <c r="K22" s="8">
        <f t="shared" si="8"/>
        <v>0</v>
      </c>
      <c r="L22" s="8"/>
      <c r="M22" s="8">
        <f t="shared" si="10"/>
        <v>748330.54980000039</v>
      </c>
      <c r="N22" s="193"/>
      <c r="O22" s="1"/>
      <c r="Q22" s="353">
        <f>3800/26</f>
        <v>146.15384615384616</v>
      </c>
    </row>
    <row r="23" spans="1:17">
      <c r="A23" s="46">
        <v>20</v>
      </c>
      <c r="B23" s="201">
        <v>45736</v>
      </c>
      <c r="C23" s="10"/>
      <c r="D23" s="18"/>
      <c r="E23" s="8"/>
      <c r="F23" s="8"/>
      <c r="G23" s="16"/>
      <c r="H23" s="7"/>
      <c r="I23" s="7"/>
      <c r="J23" s="21">
        <f>H23*I23</f>
        <v>0</v>
      </c>
      <c r="K23" s="8">
        <f t="shared" si="8"/>
        <v>0</v>
      </c>
      <c r="L23" s="8"/>
      <c r="M23" s="8">
        <f t="shared" si="10"/>
        <v>748330.54980000039</v>
      </c>
      <c r="N23" s="193"/>
      <c r="O23" s="1" t="s">
        <v>223</v>
      </c>
    </row>
    <row r="24" spans="1:17">
      <c r="A24" s="46">
        <v>21</v>
      </c>
      <c r="B24" s="201">
        <v>45737</v>
      </c>
      <c r="C24" s="10"/>
      <c r="D24" s="18"/>
      <c r="E24" s="8"/>
      <c r="F24" s="8"/>
      <c r="G24" s="16">
        <f t="shared" si="7"/>
        <v>0</v>
      </c>
      <c r="H24" s="7"/>
      <c r="I24" s="7"/>
      <c r="J24" s="21">
        <f t="shared" si="9"/>
        <v>0</v>
      </c>
      <c r="K24" s="8">
        <f t="shared" si="8"/>
        <v>0</v>
      </c>
      <c r="L24" s="8"/>
      <c r="M24" s="8">
        <f t="shared" si="10"/>
        <v>748330.54980000039</v>
      </c>
      <c r="N24" s="193"/>
      <c r="O24" s="1"/>
    </row>
    <row r="25" spans="1:17">
      <c r="A25" s="46">
        <v>22</v>
      </c>
      <c r="B25" s="201">
        <v>45738</v>
      </c>
      <c r="C25" s="10"/>
      <c r="D25" s="18"/>
      <c r="E25" s="8"/>
      <c r="F25" s="8"/>
      <c r="G25" s="16">
        <f t="shared" si="7"/>
        <v>0</v>
      </c>
      <c r="H25" s="7"/>
      <c r="I25" s="7"/>
      <c r="J25" s="21">
        <f t="shared" si="9"/>
        <v>0</v>
      </c>
      <c r="K25" s="8">
        <f t="shared" si="8"/>
        <v>0</v>
      </c>
      <c r="L25" s="8"/>
      <c r="M25" s="8">
        <f t="shared" si="10"/>
        <v>748330.54980000039</v>
      </c>
      <c r="N25" s="193"/>
      <c r="O25" s="1"/>
    </row>
    <row r="26" spans="1:17">
      <c r="A26" s="46">
        <v>23</v>
      </c>
      <c r="B26" s="201">
        <v>45739</v>
      </c>
      <c r="C26" s="10"/>
      <c r="D26" s="18"/>
      <c r="E26" s="8">
        <v>2000</v>
      </c>
      <c r="F26" s="8">
        <v>91.14</v>
      </c>
      <c r="G26" s="16">
        <f t="shared" si="7"/>
        <v>182280</v>
      </c>
      <c r="H26" s="7">
        <v>10</v>
      </c>
      <c r="I26" s="7">
        <v>104.6</v>
      </c>
      <c r="J26" s="21">
        <f t="shared" si="9"/>
        <v>1046</v>
      </c>
      <c r="K26" s="8">
        <f t="shared" si="8"/>
        <v>183326</v>
      </c>
      <c r="L26" s="8"/>
      <c r="M26" s="8">
        <f t="shared" si="10"/>
        <v>931656.54980000039</v>
      </c>
      <c r="N26" s="193"/>
      <c r="O26" s="1"/>
    </row>
    <row r="27" spans="1:17">
      <c r="A27" s="46">
        <v>24</v>
      </c>
      <c r="B27" s="201">
        <v>45740</v>
      </c>
      <c r="C27" s="10"/>
      <c r="D27" s="18"/>
      <c r="E27" s="8"/>
      <c r="F27" s="8"/>
      <c r="G27" s="16">
        <f t="shared" si="7"/>
        <v>0</v>
      </c>
      <c r="H27" s="7"/>
      <c r="I27" s="7"/>
      <c r="J27" s="21">
        <f t="shared" si="9"/>
        <v>0</v>
      </c>
      <c r="K27" s="8">
        <f t="shared" si="8"/>
        <v>0</v>
      </c>
      <c r="L27" s="8"/>
      <c r="M27" s="8">
        <f t="shared" si="10"/>
        <v>931656.54980000039</v>
      </c>
      <c r="N27" s="193"/>
      <c r="O27" s="1"/>
    </row>
    <row r="28" spans="1:17">
      <c r="A28" s="46">
        <v>25</v>
      </c>
      <c r="B28" s="201">
        <v>45741</v>
      </c>
      <c r="C28" s="10"/>
      <c r="D28" s="18"/>
      <c r="E28" s="8"/>
      <c r="F28" s="8"/>
      <c r="G28" s="16">
        <f t="shared" si="7"/>
        <v>0</v>
      </c>
      <c r="H28" s="7"/>
      <c r="I28" s="7"/>
      <c r="J28" s="21">
        <f t="shared" si="9"/>
        <v>0</v>
      </c>
      <c r="K28" s="8">
        <f t="shared" si="8"/>
        <v>0</v>
      </c>
      <c r="L28" s="8"/>
      <c r="M28" s="8">
        <f t="shared" si="10"/>
        <v>931656.54980000039</v>
      </c>
      <c r="N28" s="193"/>
      <c r="O28" s="1"/>
    </row>
    <row r="29" spans="1:17">
      <c r="A29" s="46">
        <v>26</v>
      </c>
      <c r="B29" s="201">
        <v>45742</v>
      </c>
      <c r="C29" s="10"/>
      <c r="D29" s="18"/>
      <c r="E29" s="8">
        <v>400</v>
      </c>
      <c r="F29" s="8">
        <v>91.14</v>
      </c>
      <c r="G29" s="16">
        <f t="shared" si="7"/>
        <v>36456</v>
      </c>
      <c r="H29" s="7">
        <v>10</v>
      </c>
      <c r="I29" s="7">
        <v>104.6</v>
      </c>
      <c r="J29" s="21">
        <f t="shared" si="9"/>
        <v>1046</v>
      </c>
      <c r="K29" s="8">
        <f t="shared" si="8"/>
        <v>37502</v>
      </c>
      <c r="L29" s="8"/>
      <c r="M29" s="8">
        <f t="shared" si="10"/>
        <v>969158.54980000039</v>
      </c>
      <c r="N29" s="193"/>
      <c r="O29" s="1"/>
    </row>
    <row r="30" spans="1:17">
      <c r="A30" s="46">
        <v>27</v>
      </c>
      <c r="B30" s="201">
        <v>45743</v>
      </c>
      <c r="C30" s="10"/>
      <c r="D30" s="18"/>
      <c r="E30" s="8"/>
      <c r="F30" s="8"/>
      <c r="G30" s="16">
        <f t="shared" si="7"/>
        <v>0</v>
      </c>
      <c r="H30" s="7"/>
      <c r="I30" s="7"/>
      <c r="J30" s="21">
        <f t="shared" si="9"/>
        <v>0</v>
      </c>
      <c r="K30" s="8">
        <f t="shared" si="8"/>
        <v>0</v>
      </c>
      <c r="L30" s="8"/>
      <c r="M30" s="8">
        <f t="shared" si="10"/>
        <v>969158.54980000039</v>
      </c>
      <c r="N30" s="193"/>
      <c r="O30" s="1"/>
    </row>
    <row r="31" spans="1:17">
      <c r="A31" s="46">
        <v>28</v>
      </c>
      <c r="B31" s="201">
        <v>45744</v>
      </c>
      <c r="C31" s="10"/>
      <c r="D31" s="18"/>
      <c r="E31" s="8">
        <v>2000</v>
      </c>
      <c r="F31" s="8">
        <v>91.14</v>
      </c>
      <c r="G31" s="16">
        <f t="shared" si="7"/>
        <v>182280</v>
      </c>
      <c r="H31" s="7">
        <v>10</v>
      </c>
      <c r="I31" s="7">
        <v>104.6</v>
      </c>
      <c r="J31" s="21">
        <f t="shared" si="9"/>
        <v>1046</v>
      </c>
      <c r="K31" s="8">
        <f t="shared" si="8"/>
        <v>183326</v>
      </c>
      <c r="L31" s="8"/>
      <c r="M31" s="8">
        <f t="shared" si="10"/>
        <v>1152484.5498000004</v>
      </c>
      <c r="N31" s="193"/>
      <c r="O31" s="1"/>
    </row>
    <row r="32" spans="1:17">
      <c r="A32" s="46">
        <v>29</v>
      </c>
      <c r="B32" s="201">
        <v>45745</v>
      </c>
      <c r="C32" s="10"/>
      <c r="D32" s="18"/>
      <c r="E32" s="8"/>
      <c r="F32" s="8"/>
      <c r="G32" s="16">
        <f t="shared" si="7"/>
        <v>0</v>
      </c>
      <c r="H32" s="7"/>
      <c r="I32" s="7"/>
      <c r="J32" s="21">
        <f t="shared" si="9"/>
        <v>0</v>
      </c>
      <c r="K32" s="8">
        <f t="shared" si="8"/>
        <v>0</v>
      </c>
      <c r="L32" s="8"/>
      <c r="M32" s="8">
        <f t="shared" si="10"/>
        <v>1152484.5498000004</v>
      </c>
      <c r="N32" s="193"/>
      <c r="O32" s="1"/>
    </row>
    <row r="33" spans="1:17">
      <c r="A33" s="46">
        <v>30</v>
      </c>
      <c r="B33" s="201">
        <v>45746</v>
      </c>
      <c r="C33" s="10"/>
      <c r="D33" s="18"/>
      <c r="E33" s="8">
        <v>3400</v>
      </c>
      <c r="F33" s="8">
        <v>91.14</v>
      </c>
      <c r="G33" s="16">
        <f t="shared" si="7"/>
        <v>309876</v>
      </c>
      <c r="H33" s="7">
        <v>10</v>
      </c>
      <c r="I33" s="7">
        <v>104.6</v>
      </c>
      <c r="J33" s="21">
        <f t="shared" si="9"/>
        <v>1046</v>
      </c>
      <c r="K33" s="8">
        <f t="shared" si="8"/>
        <v>310922</v>
      </c>
      <c r="L33" s="8"/>
      <c r="M33" s="8">
        <f t="shared" si="10"/>
        <v>1463406.5498000004</v>
      </c>
      <c r="N33" s="193"/>
      <c r="O33" s="1"/>
    </row>
    <row r="34" spans="1:17">
      <c r="A34" s="46">
        <v>31</v>
      </c>
      <c r="B34" s="201">
        <v>45747</v>
      </c>
      <c r="C34" s="10"/>
      <c r="D34" s="18"/>
      <c r="E34" s="8"/>
      <c r="F34" s="8"/>
      <c r="G34" s="16">
        <f t="shared" si="7"/>
        <v>0</v>
      </c>
      <c r="H34" s="7"/>
      <c r="I34" s="7"/>
      <c r="J34" s="21">
        <f t="shared" si="9"/>
        <v>0</v>
      </c>
      <c r="K34" s="8">
        <f t="shared" si="8"/>
        <v>0</v>
      </c>
      <c r="L34" s="8"/>
      <c r="M34" s="8">
        <f t="shared" si="10"/>
        <v>1463406.5498000004</v>
      </c>
      <c r="N34" s="193"/>
      <c r="O34" s="1"/>
    </row>
    <row r="35" spans="1:17">
      <c r="A35" s="46">
        <v>32</v>
      </c>
      <c r="B35" s="201"/>
      <c r="C35" s="10"/>
      <c r="D35" s="18"/>
      <c r="E35" s="8"/>
      <c r="F35" s="8"/>
      <c r="G35" s="16">
        <f t="shared" si="7"/>
        <v>0</v>
      </c>
      <c r="H35" s="7"/>
      <c r="I35" s="7"/>
      <c r="J35" s="21">
        <f t="shared" si="9"/>
        <v>0</v>
      </c>
      <c r="K35" s="8">
        <f t="shared" si="8"/>
        <v>0</v>
      </c>
      <c r="L35" s="8"/>
      <c r="M35" s="8">
        <f t="shared" si="10"/>
        <v>1463406.5498000004</v>
      </c>
      <c r="N35" s="193"/>
      <c r="O35" s="1"/>
    </row>
    <row r="36" spans="1:17">
      <c r="A36" s="46">
        <v>31</v>
      </c>
      <c r="B36" s="201"/>
      <c r="C36" s="248"/>
      <c r="D36" s="249"/>
      <c r="E36" s="8"/>
      <c r="F36" s="8"/>
      <c r="G36" s="16">
        <f t="shared" si="7"/>
        <v>0</v>
      </c>
      <c r="H36" s="7"/>
      <c r="I36" s="7"/>
      <c r="J36" s="21">
        <f t="shared" si="9"/>
        <v>0</v>
      </c>
      <c r="K36" s="8">
        <f t="shared" si="8"/>
        <v>0</v>
      </c>
      <c r="L36" s="8"/>
      <c r="M36" s="8">
        <f t="shared" si="10"/>
        <v>1463406.5498000004</v>
      </c>
      <c r="N36" s="193"/>
      <c r="O36" s="1"/>
    </row>
    <row r="37" spans="1:17">
      <c r="A37" s="46">
        <v>32</v>
      </c>
      <c r="B37" s="201"/>
      <c r="C37" s="25"/>
      <c r="D37" s="18"/>
      <c r="E37" s="8">
        <v>0</v>
      </c>
      <c r="F37" s="8">
        <v>0</v>
      </c>
      <c r="G37" s="16">
        <f t="shared" si="4"/>
        <v>0</v>
      </c>
      <c r="H37" s="7"/>
      <c r="I37" s="7"/>
      <c r="J37" s="21">
        <f t="shared" si="5"/>
        <v>0</v>
      </c>
      <c r="K37" s="8">
        <f t="shared" si="6"/>
        <v>0</v>
      </c>
      <c r="L37" s="8"/>
      <c r="M37" s="8">
        <f t="shared" si="10"/>
        <v>1463406.5498000004</v>
      </c>
      <c r="N37" s="193"/>
      <c r="O37" s="1"/>
      <c r="P37">
        <v>1194597.71</v>
      </c>
      <c r="Q37" s="303">
        <f>P37-M37</f>
        <v>-268808.83980000042</v>
      </c>
    </row>
    <row r="38" spans="1:17">
      <c r="A38" s="160"/>
      <c r="B38" s="160"/>
      <c r="C38" s="160"/>
      <c r="D38" s="160"/>
      <c r="E38" s="161">
        <f>SUM(E4:E37)</f>
        <v>14800</v>
      </c>
      <c r="F38" s="161"/>
      <c r="G38" s="161">
        <f>SUM(G4:G37)</f>
        <v>1348872</v>
      </c>
      <c r="H38" s="161">
        <f>SUM(H4:H37)</f>
        <v>110.21000000000001</v>
      </c>
      <c r="I38" s="161"/>
      <c r="J38" s="161">
        <f>SUM(J4:J37)</f>
        <v>11527.966</v>
      </c>
      <c r="K38" s="161">
        <f>SUM(K4:K37)</f>
        <v>1360399.966</v>
      </c>
      <c r="L38" s="161">
        <f>SUM(L4:L37)</f>
        <v>0</v>
      </c>
      <c r="M38" s="161"/>
      <c r="N38" s="63"/>
      <c r="O38" s="59"/>
    </row>
    <row r="39" spans="1:17">
      <c r="A39" s="2"/>
      <c r="B39" s="2"/>
      <c r="C39" s="2"/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1"/>
    </row>
    <row r="40" spans="1:17">
      <c r="A40" s="1"/>
      <c r="B40" s="446"/>
      <c r="C40" s="446"/>
      <c r="D40" s="446"/>
      <c r="E40" s="446"/>
      <c r="F40" s="1"/>
      <c r="G40" s="1"/>
      <c r="H40" s="1"/>
      <c r="I40" s="446"/>
      <c r="J40" s="446"/>
      <c r="K40" s="446"/>
      <c r="L40" s="446"/>
      <c r="M40" s="446"/>
      <c r="N40" s="446"/>
      <c r="O40" s="4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</sheetData>
  <mergeCells count="3">
    <mergeCell ref="B40:E40"/>
    <mergeCell ref="I40:N40"/>
    <mergeCell ref="A1:N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A481-4949-437A-B00D-681FFAC09D30}">
  <sheetPr>
    <tabColor rgb="FF7030A0"/>
  </sheetPr>
  <dimension ref="A1:R52"/>
  <sheetViews>
    <sheetView topLeftCell="A19" workbookViewId="0">
      <selection activeCell="P29" sqref="P29"/>
    </sheetView>
  </sheetViews>
  <sheetFormatPr defaultRowHeight="15"/>
  <cols>
    <col min="2" max="2" width="10" customWidth="1"/>
    <col min="7" max="7" width="10.85546875" bestFit="1" customWidth="1"/>
    <col min="11" max="12" width="13.5703125" bestFit="1" customWidth="1"/>
    <col min="13" max="13" width="11.85546875" bestFit="1" customWidth="1"/>
  </cols>
  <sheetData>
    <row r="1" spans="1:15" ht="15.75">
      <c r="A1" s="459" t="s">
        <v>224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53"/>
    </row>
    <row r="2" spans="1:15" ht="30.75">
      <c r="A2" s="64" t="s">
        <v>0</v>
      </c>
      <c r="B2" s="83" t="s">
        <v>161</v>
      </c>
      <c r="C2" s="83" t="s">
        <v>162</v>
      </c>
      <c r="D2" s="83" t="s">
        <v>163</v>
      </c>
      <c r="E2" s="83" t="s">
        <v>164</v>
      </c>
      <c r="F2" s="83" t="s">
        <v>165</v>
      </c>
      <c r="G2" s="83" t="s">
        <v>166</v>
      </c>
      <c r="H2" s="83" t="s">
        <v>167</v>
      </c>
      <c r="I2" s="83" t="s">
        <v>165</v>
      </c>
      <c r="J2" s="84" t="s">
        <v>166</v>
      </c>
      <c r="K2" s="64" t="s">
        <v>168</v>
      </c>
      <c r="L2" s="85" t="s">
        <v>169</v>
      </c>
      <c r="M2" s="166" t="s">
        <v>181</v>
      </c>
      <c r="N2" s="83" t="s">
        <v>171</v>
      </c>
      <c r="O2" s="59"/>
    </row>
    <row r="3" spans="1:15">
      <c r="A3" s="145"/>
      <c r="B3" s="146"/>
      <c r="C3" s="146"/>
      <c r="D3" s="132" t="s">
        <v>172</v>
      </c>
      <c r="E3" s="146"/>
      <c r="F3" s="146"/>
      <c r="G3" s="146"/>
      <c r="H3" s="146"/>
      <c r="I3" s="146"/>
      <c r="J3" s="147"/>
      <c r="K3" s="263"/>
      <c r="L3" s="231">
        <v>90409.198799999984</v>
      </c>
      <c r="M3" s="231">
        <v>90409.198799999984</v>
      </c>
      <c r="N3" s="146"/>
      <c r="O3" s="59"/>
    </row>
    <row r="4" spans="1:15">
      <c r="A4" s="46">
        <v>1</v>
      </c>
      <c r="B4" s="201">
        <v>46082</v>
      </c>
      <c r="C4" s="25"/>
      <c r="D4" s="25"/>
      <c r="E4" s="8">
        <v>71</v>
      </c>
      <c r="F4" s="8">
        <v>91.49</v>
      </c>
      <c r="G4" s="8">
        <f>E4*F4</f>
        <v>6495.79</v>
      </c>
      <c r="H4" s="9"/>
      <c r="I4" s="9">
        <v>103.43</v>
      </c>
      <c r="J4" s="8">
        <f>H4*I4</f>
        <v>0</v>
      </c>
      <c r="K4" s="8">
        <f>G4+J4</f>
        <v>6495.79</v>
      </c>
      <c r="L4" s="148">
        <v>0</v>
      </c>
      <c r="M4" s="8">
        <f>M3+K4-L4</f>
        <v>96904.988799999977</v>
      </c>
      <c r="N4" s="44"/>
      <c r="O4" s="1"/>
    </row>
    <row r="5" spans="1:15">
      <c r="A5" s="46">
        <v>2</v>
      </c>
      <c r="B5" s="201">
        <v>46083</v>
      </c>
      <c r="C5" s="25"/>
      <c r="D5" s="25"/>
      <c r="E5" s="8"/>
      <c r="F5" s="8"/>
      <c r="G5" s="8">
        <f t="shared" ref="G5:G36" si="0">E5*F5</f>
        <v>0</v>
      </c>
      <c r="H5" s="9"/>
      <c r="I5" s="9"/>
      <c r="J5" s="8">
        <f t="shared" ref="J5:J36" si="1">H5*I5</f>
        <v>0</v>
      </c>
      <c r="K5" s="8">
        <f t="shared" ref="K5:L36" si="2">G5+J5</f>
        <v>0</v>
      </c>
      <c r="L5" s="148">
        <v>0</v>
      </c>
      <c r="M5" s="8">
        <f t="shared" ref="M5:M37" si="3">M4+K5-L5</f>
        <v>96904.988799999977</v>
      </c>
      <c r="N5" s="44"/>
      <c r="O5" s="1"/>
    </row>
    <row r="6" spans="1:15">
      <c r="A6" s="46">
        <v>3</v>
      </c>
      <c r="B6" s="201">
        <v>46084</v>
      </c>
      <c r="C6" s="25"/>
      <c r="D6" s="25"/>
      <c r="E6" s="415">
        <v>80.010000000000005</v>
      </c>
      <c r="F6" s="416">
        <v>91.49</v>
      </c>
      <c r="G6" s="8">
        <f t="shared" si="0"/>
        <v>7320.1149000000005</v>
      </c>
      <c r="H6" s="9">
        <v>9.01</v>
      </c>
      <c r="I6" s="9">
        <v>103.43</v>
      </c>
      <c r="J6" s="8">
        <f t="shared" si="1"/>
        <v>931.90430000000003</v>
      </c>
      <c r="K6" s="8">
        <f t="shared" si="2"/>
        <v>8252.0192000000006</v>
      </c>
      <c r="L6" s="148">
        <v>0</v>
      </c>
      <c r="M6" s="8">
        <f t="shared" si="3"/>
        <v>105157.00799999997</v>
      </c>
      <c r="N6" s="44"/>
      <c r="O6" s="1"/>
    </row>
    <row r="7" spans="1:15">
      <c r="A7" s="46">
        <v>4</v>
      </c>
      <c r="B7" s="201">
        <v>46085</v>
      </c>
      <c r="C7" s="25"/>
      <c r="D7" s="25"/>
      <c r="E7" s="415">
        <v>65</v>
      </c>
      <c r="F7" s="416">
        <v>91.49</v>
      </c>
      <c r="G7" s="8">
        <f t="shared" si="0"/>
        <v>5946.8499999999995</v>
      </c>
      <c r="H7" s="9"/>
      <c r="I7" s="9"/>
      <c r="J7" s="8">
        <f t="shared" si="1"/>
        <v>0</v>
      </c>
      <c r="K7" s="8">
        <f t="shared" si="2"/>
        <v>5946.8499999999995</v>
      </c>
      <c r="L7" s="148">
        <v>0</v>
      </c>
      <c r="M7" s="8">
        <f t="shared" si="3"/>
        <v>111103.85799999998</v>
      </c>
      <c r="N7" s="44"/>
      <c r="O7" s="1"/>
    </row>
    <row r="8" spans="1:15">
      <c r="A8" s="46">
        <v>5</v>
      </c>
      <c r="B8" s="201">
        <v>46086</v>
      </c>
      <c r="C8" s="25"/>
      <c r="D8" s="25"/>
      <c r="E8" s="8">
        <v>165.2</v>
      </c>
      <c r="F8" s="8">
        <v>91.49</v>
      </c>
      <c r="G8" s="8">
        <f t="shared" si="0"/>
        <v>15114.147999999997</v>
      </c>
      <c r="H8" s="9">
        <v>11</v>
      </c>
      <c r="I8" s="9">
        <v>103.43</v>
      </c>
      <c r="J8" s="8">
        <f t="shared" si="1"/>
        <v>1137.73</v>
      </c>
      <c r="K8" s="8">
        <f t="shared" si="2"/>
        <v>16251.877999999997</v>
      </c>
      <c r="L8" s="148">
        <v>0</v>
      </c>
      <c r="M8" s="8">
        <f t="shared" si="3"/>
        <v>127355.73599999998</v>
      </c>
      <c r="N8" s="44"/>
      <c r="O8" s="1"/>
    </row>
    <row r="9" spans="1:15">
      <c r="A9" s="46">
        <v>6</v>
      </c>
      <c r="B9" s="201">
        <v>46087</v>
      </c>
      <c r="C9" s="25"/>
      <c r="D9" s="25"/>
      <c r="E9" s="8"/>
      <c r="F9" s="8"/>
      <c r="G9" s="8">
        <f t="shared" si="0"/>
        <v>0</v>
      </c>
      <c r="H9" s="9"/>
      <c r="I9" s="9"/>
      <c r="J9" s="8">
        <f t="shared" si="1"/>
        <v>0</v>
      </c>
      <c r="K9" s="8">
        <f t="shared" si="2"/>
        <v>0</v>
      </c>
      <c r="L9" s="148">
        <v>0</v>
      </c>
      <c r="M9" s="8">
        <f t="shared" si="3"/>
        <v>127355.73599999998</v>
      </c>
      <c r="N9" s="44"/>
      <c r="O9" s="1"/>
    </row>
    <row r="10" spans="1:15">
      <c r="A10" s="46">
        <v>7</v>
      </c>
      <c r="B10" s="201">
        <v>46088</v>
      </c>
      <c r="C10" s="25"/>
      <c r="D10" s="25"/>
      <c r="E10" s="8">
        <v>110</v>
      </c>
      <c r="F10" s="8">
        <v>91.49</v>
      </c>
      <c r="G10" s="8">
        <f t="shared" si="0"/>
        <v>10063.9</v>
      </c>
      <c r="H10" s="9">
        <v>10</v>
      </c>
      <c r="I10" s="9">
        <v>103.43</v>
      </c>
      <c r="J10" s="8">
        <f t="shared" si="1"/>
        <v>1034.3000000000002</v>
      </c>
      <c r="K10" s="8">
        <f t="shared" si="2"/>
        <v>11098.2</v>
      </c>
      <c r="L10" s="148">
        <v>0</v>
      </c>
      <c r="M10" s="8">
        <f t="shared" si="3"/>
        <v>138453.93599999999</v>
      </c>
      <c r="N10" s="44"/>
      <c r="O10" s="1"/>
    </row>
    <row r="11" spans="1:15">
      <c r="A11" s="46">
        <v>8</v>
      </c>
      <c r="B11" s="201">
        <v>46089</v>
      </c>
      <c r="C11" s="25"/>
      <c r="D11" s="25"/>
      <c r="E11" s="8">
        <v>20</v>
      </c>
      <c r="F11" s="8">
        <v>91.49</v>
      </c>
      <c r="G11" s="8">
        <f t="shared" si="0"/>
        <v>1829.8</v>
      </c>
      <c r="H11" s="9">
        <v>0</v>
      </c>
      <c r="I11" s="9">
        <v>103.43</v>
      </c>
      <c r="J11" s="8">
        <f t="shared" si="1"/>
        <v>0</v>
      </c>
      <c r="K11" s="8">
        <f t="shared" si="2"/>
        <v>1829.8</v>
      </c>
      <c r="L11" s="148">
        <v>0</v>
      </c>
      <c r="M11" s="8">
        <f t="shared" si="3"/>
        <v>140283.73599999998</v>
      </c>
      <c r="N11" s="44"/>
      <c r="O11" s="1"/>
    </row>
    <row r="12" spans="1:15">
      <c r="A12" s="46">
        <v>9</v>
      </c>
      <c r="B12" s="201">
        <v>46090</v>
      </c>
      <c r="C12" s="25"/>
      <c r="D12" s="25"/>
      <c r="E12" s="8">
        <v>37.1</v>
      </c>
      <c r="F12" s="8">
        <v>91.49</v>
      </c>
      <c r="G12" s="8">
        <f t="shared" si="0"/>
        <v>3394.279</v>
      </c>
      <c r="H12" s="9">
        <v>13</v>
      </c>
      <c r="I12" s="9">
        <v>103.43</v>
      </c>
      <c r="J12" s="8">
        <f t="shared" si="1"/>
        <v>1344.5900000000001</v>
      </c>
      <c r="K12" s="8">
        <f t="shared" si="2"/>
        <v>4738.8690000000006</v>
      </c>
      <c r="L12" s="148">
        <v>0</v>
      </c>
      <c r="M12" s="8">
        <f t="shared" si="3"/>
        <v>145022.60499999998</v>
      </c>
      <c r="N12" s="44"/>
      <c r="O12" s="1" t="s">
        <v>225</v>
      </c>
    </row>
    <row r="13" spans="1:15">
      <c r="A13" s="46">
        <v>10</v>
      </c>
      <c r="B13" s="201">
        <v>46091</v>
      </c>
      <c r="C13" s="25"/>
      <c r="D13" s="25"/>
      <c r="E13" s="8">
        <v>45</v>
      </c>
      <c r="F13" s="8">
        <v>91.49</v>
      </c>
      <c r="G13" s="8">
        <f t="shared" si="0"/>
        <v>4117.05</v>
      </c>
      <c r="H13" s="9"/>
      <c r="I13" s="9"/>
      <c r="J13" s="8">
        <f t="shared" si="1"/>
        <v>0</v>
      </c>
      <c r="K13" s="8">
        <f t="shared" si="2"/>
        <v>4117.05</v>
      </c>
      <c r="L13" s="148">
        <v>0</v>
      </c>
      <c r="M13" s="8">
        <f t="shared" si="3"/>
        <v>149139.65499999997</v>
      </c>
      <c r="N13" s="44"/>
      <c r="O13" s="1"/>
    </row>
    <row r="14" spans="1:15">
      <c r="A14" s="46">
        <v>11</v>
      </c>
      <c r="B14" s="201">
        <v>46092</v>
      </c>
      <c r="C14" s="25"/>
      <c r="D14" s="25"/>
      <c r="E14" s="8">
        <v>17.05</v>
      </c>
      <c r="F14" s="8">
        <v>91.47</v>
      </c>
      <c r="G14" s="8">
        <f t="shared" si="0"/>
        <v>1559.5635</v>
      </c>
      <c r="H14" s="9">
        <v>0</v>
      </c>
      <c r="I14" s="9">
        <v>0</v>
      </c>
      <c r="J14" s="8">
        <f t="shared" si="1"/>
        <v>0</v>
      </c>
      <c r="K14" s="8">
        <f t="shared" si="2"/>
        <v>1559.5635</v>
      </c>
      <c r="L14" s="8">
        <f t="shared" si="2"/>
        <v>1559.5635</v>
      </c>
      <c r="M14" s="8">
        <f t="shared" si="3"/>
        <v>149139.65499999997</v>
      </c>
      <c r="N14" s="44"/>
      <c r="O14" s="1"/>
    </row>
    <row r="15" spans="1:15">
      <c r="A15" s="46"/>
      <c r="B15" s="201">
        <v>46092</v>
      </c>
      <c r="C15" s="25"/>
      <c r="D15" s="25"/>
      <c r="E15" s="8"/>
      <c r="F15" s="8"/>
      <c r="G15" s="8"/>
      <c r="H15" s="9">
        <v>6</v>
      </c>
      <c r="I15" s="9">
        <v>103.43</v>
      </c>
      <c r="J15" s="8">
        <f t="shared" si="1"/>
        <v>620.58000000000004</v>
      </c>
      <c r="K15" s="8">
        <f t="shared" si="2"/>
        <v>620.58000000000004</v>
      </c>
      <c r="L15" s="148"/>
      <c r="M15" s="8">
        <f t="shared" si="3"/>
        <v>149760.23499999996</v>
      </c>
      <c r="N15" s="44"/>
      <c r="O15" s="1"/>
    </row>
    <row r="16" spans="1:15">
      <c r="A16" s="46">
        <v>12</v>
      </c>
      <c r="B16" s="201">
        <v>46093</v>
      </c>
      <c r="C16" s="25"/>
      <c r="D16" s="25"/>
      <c r="E16" s="8">
        <v>156</v>
      </c>
      <c r="F16" s="8">
        <v>91.49</v>
      </c>
      <c r="G16" s="8">
        <f t="shared" si="0"/>
        <v>14272.439999999999</v>
      </c>
      <c r="H16" s="9"/>
      <c r="I16" s="9"/>
      <c r="J16" s="8">
        <f t="shared" si="1"/>
        <v>0</v>
      </c>
      <c r="K16" s="8">
        <f t="shared" si="2"/>
        <v>14272.439999999999</v>
      </c>
      <c r="L16" s="148">
        <v>150000</v>
      </c>
      <c r="M16" s="8">
        <f t="shared" si="3"/>
        <v>14032.674999999959</v>
      </c>
      <c r="N16" s="44"/>
      <c r="O16" s="1"/>
    </row>
    <row r="17" spans="1:18">
      <c r="A17" s="46">
        <v>13</v>
      </c>
      <c r="B17" s="201">
        <v>46094</v>
      </c>
      <c r="C17" s="25"/>
      <c r="D17" s="25"/>
      <c r="E17" s="8">
        <v>15.67</v>
      </c>
      <c r="F17" s="8">
        <v>91.49</v>
      </c>
      <c r="G17" s="8">
        <f t="shared" si="0"/>
        <v>1433.6482999999998</v>
      </c>
      <c r="H17" s="9">
        <v>5.6</v>
      </c>
      <c r="I17" s="9">
        <v>110.67</v>
      </c>
      <c r="J17" s="8">
        <f t="shared" si="1"/>
        <v>619.75199999999995</v>
      </c>
      <c r="K17" s="8">
        <f t="shared" si="2"/>
        <v>2053.4002999999998</v>
      </c>
      <c r="L17" s="148">
        <v>0</v>
      </c>
      <c r="M17" s="8">
        <f t="shared" si="3"/>
        <v>16086.075299999959</v>
      </c>
      <c r="N17" s="44"/>
      <c r="O17" s="1"/>
    </row>
    <row r="18" spans="1:18">
      <c r="A18" s="46">
        <v>14</v>
      </c>
      <c r="B18" s="201">
        <v>46095</v>
      </c>
      <c r="C18" s="25"/>
      <c r="D18" s="25"/>
      <c r="E18" s="8">
        <v>118</v>
      </c>
      <c r="F18" s="8">
        <v>91.49</v>
      </c>
      <c r="G18" s="8">
        <f t="shared" si="0"/>
        <v>10795.82</v>
      </c>
      <c r="H18" s="9">
        <v>14.5</v>
      </c>
      <c r="I18" s="9">
        <v>103.43</v>
      </c>
      <c r="J18" s="8">
        <f t="shared" si="1"/>
        <v>1499.7350000000001</v>
      </c>
      <c r="K18" s="8">
        <f t="shared" si="2"/>
        <v>12295.555</v>
      </c>
      <c r="L18" s="148">
        <v>0</v>
      </c>
      <c r="M18" s="8">
        <f t="shared" si="3"/>
        <v>28381.630299999961</v>
      </c>
      <c r="N18" s="44"/>
      <c r="O18" s="1"/>
    </row>
    <row r="19" spans="1:18">
      <c r="A19" s="46">
        <v>15</v>
      </c>
      <c r="B19" s="201">
        <v>46096</v>
      </c>
      <c r="C19" s="25"/>
      <c r="D19" s="25"/>
      <c r="E19" s="8"/>
      <c r="F19" s="8"/>
      <c r="G19" s="8">
        <f t="shared" si="0"/>
        <v>0</v>
      </c>
      <c r="H19" s="9"/>
      <c r="I19" s="9"/>
      <c r="J19" s="8">
        <f t="shared" si="1"/>
        <v>0</v>
      </c>
      <c r="K19" s="8">
        <f t="shared" si="2"/>
        <v>0</v>
      </c>
      <c r="L19" s="148">
        <v>0</v>
      </c>
      <c r="M19" s="8">
        <f t="shared" si="3"/>
        <v>28381.630299999961</v>
      </c>
      <c r="N19" s="44"/>
      <c r="O19" s="1"/>
    </row>
    <row r="20" spans="1:18">
      <c r="A20" s="46">
        <v>16</v>
      </c>
      <c r="B20" s="201">
        <v>46097</v>
      </c>
      <c r="C20" s="25"/>
      <c r="D20" s="25"/>
      <c r="E20" s="8">
        <v>257.73</v>
      </c>
      <c r="F20" s="8">
        <v>91.49</v>
      </c>
      <c r="G20" s="8">
        <f t="shared" si="0"/>
        <v>23579.717700000001</v>
      </c>
      <c r="H20" s="9"/>
      <c r="I20" s="9"/>
      <c r="J20" s="8">
        <f t="shared" si="1"/>
        <v>0</v>
      </c>
      <c r="K20" s="8">
        <f t="shared" si="2"/>
        <v>23579.717700000001</v>
      </c>
      <c r="L20" s="148">
        <v>0</v>
      </c>
      <c r="M20" s="8">
        <f t="shared" si="3"/>
        <v>51961.347999999962</v>
      </c>
      <c r="N20" s="44"/>
      <c r="O20" s="1"/>
    </row>
    <row r="21" spans="1:18">
      <c r="A21" s="46">
        <v>17</v>
      </c>
      <c r="B21" s="201">
        <v>46098</v>
      </c>
      <c r="C21" s="25"/>
      <c r="D21" s="25"/>
      <c r="E21" s="8"/>
      <c r="F21" s="8"/>
      <c r="G21" s="8">
        <f t="shared" si="0"/>
        <v>0</v>
      </c>
      <c r="H21" s="9"/>
      <c r="I21" s="9"/>
      <c r="J21" s="8">
        <f t="shared" si="1"/>
        <v>0</v>
      </c>
      <c r="K21" s="8">
        <f t="shared" si="2"/>
        <v>0</v>
      </c>
      <c r="L21" s="148">
        <v>0</v>
      </c>
      <c r="M21" s="8">
        <f t="shared" si="3"/>
        <v>51961.347999999962</v>
      </c>
      <c r="N21" s="44"/>
      <c r="O21" s="1"/>
      <c r="R21">
        <v>141649</v>
      </c>
    </row>
    <row r="22" spans="1:18">
      <c r="A22" s="46">
        <v>18</v>
      </c>
      <c r="B22" s="201">
        <v>46099</v>
      </c>
      <c r="C22" s="25"/>
      <c r="D22" s="25"/>
      <c r="E22" s="8">
        <v>35</v>
      </c>
      <c r="F22" s="8">
        <v>91.49</v>
      </c>
      <c r="G22" s="8">
        <f t="shared" si="0"/>
        <v>3202.1499999999996</v>
      </c>
      <c r="H22" s="9">
        <v>6</v>
      </c>
      <c r="I22" s="9">
        <v>103.43</v>
      </c>
      <c r="J22" s="8">
        <f t="shared" si="1"/>
        <v>620.58000000000004</v>
      </c>
      <c r="K22" s="8">
        <f t="shared" si="2"/>
        <v>3822.7299999999996</v>
      </c>
      <c r="L22" s="148">
        <v>0</v>
      </c>
      <c r="M22" s="8">
        <f t="shared" si="3"/>
        <v>55784.077999999965</v>
      </c>
      <c r="N22" s="44"/>
      <c r="O22" s="1"/>
    </row>
    <row r="23" spans="1:18">
      <c r="A23" s="46">
        <v>19</v>
      </c>
      <c r="B23" s="201">
        <v>46100</v>
      </c>
      <c r="C23" s="25"/>
      <c r="D23" s="25"/>
      <c r="E23" s="8">
        <v>235.01</v>
      </c>
      <c r="F23" s="8">
        <v>91.49</v>
      </c>
      <c r="G23" s="8">
        <f t="shared" si="0"/>
        <v>21501.064899999998</v>
      </c>
      <c r="H23" s="9"/>
      <c r="I23" s="9"/>
      <c r="J23" s="8">
        <f t="shared" si="1"/>
        <v>0</v>
      </c>
      <c r="K23" s="8">
        <f t="shared" si="2"/>
        <v>21501.064899999998</v>
      </c>
      <c r="L23" s="148">
        <v>0</v>
      </c>
      <c r="M23" s="8">
        <f t="shared" si="3"/>
        <v>77285.142899999963</v>
      </c>
      <c r="N23" s="44"/>
      <c r="O23" s="1"/>
    </row>
    <row r="24" spans="1:18">
      <c r="A24" s="46">
        <v>20</v>
      </c>
      <c r="B24" s="201">
        <v>46101</v>
      </c>
      <c r="C24" s="25"/>
      <c r="D24" s="25"/>
      <c r="E24" s="8"/>
      <c r="F24" s="8"/>
      <c r="G24" s="8">
        <f t="shared" si="0"/>
        <v>0</v>
      </c>
      <c r="H24" s="9"/>
      <c r="I24" s="9"/>
      <c r="J24" s="8">
        <f t="shared" si="1"/>
        <v>0</v>
      </c>
      <c r="K24" s="8">
        <f t="shared" si="2"/>
        <v>0</v>
      </c>
      <c r="L24" s="148">
        <v>0</v>
      </c>
      <c r="M24" s="8">
        <f t="shared" si="3"/>
        <v>77285.142899999963</v>
      </c>
      <c r="N24" s="44"/>
      <c r="O24" s="1"/>
    </row>
    <row r="25" spans="1:18">
      <c r="A25" s="46">
        <v>21</v>
      </c>
      <c r="B25" s="201">
        <v>46102</v>
      </c>
      <c r="C25" s="25"/>
      <c r="D25" s="25"/>
      <c r="E25" s="8"/>
      <c r="F25" s="8"/>
      <c r="G25" s="8">
        <f t="shared" si="0"/>
        <v>0</v>
      </c>
      <c r="H25" s="9"/>
      <c r="I25" s="9"/>
      <c r="J25" s="8">
        <f t="shared" si="1"/>
        <v>0</v>
      </c>
      <c r="K25" s="8">
        <f t="shared" si="2"/>
        <v>0</v>
      </c>
      <c r="L25" s="148">
        <v>0</v>
      </c>
      <c r="M25" s="8">
        <f t="shared" si="3"/>
        <v>77285.142899999963</v>
      </c>
      <c r="N25" s="44"/>
      <c r="O25" s="1"/>
    </row>
    <row r="26" spans="1:18">
      <c r="A26" s="46">
        <v>22</v>
      </c>
      <c r="B26" s="201">
        <v>46103</v>
      </c>
      <c r="C26" s="25"/>
      <c r="D26" s="25"/>
      <c r="E26" s="8"/>
      <c r="F26" s="8"/>
      <c r="G26" s="8">
        <f t="shared" si="0"/>
        <v>0</v>
      </c>
      <c r="H26" s="9"/>
      <c r="I26" s="9"/>
      <c r="J26" s="8">
        <f t="shared" si="1"/>
        <v>0</v>
      </c>
      <c r="K26" s="8">
        <f t="shared" si="2"/>
        <v>0</v>
      </c>
      <c r="L26" s="148">
        <v>0</v>
      </c>
      <c r="M26" s="8">
        <f t="shared" si="3"/>
        <v>77285.142899999963</v>
      </c>
      <c r="N26" s="44"/>
      <c r="O26" s="1"/>
    </row>
    <row r="27" spans="1:18">
      <c r="A27" s="46">
        <v>23</v>
      </c>
      <c r="B27" s="201">
        <v>46104</v>
      </c>
      <c r="C27" s="25"/>
      <c r="D27" s="25"/>
      <c r="E27" s="8"/>
      <c r="F27" s="8"/>
      <c r="G27" s="8">
        <f t="shared" si="0"/>
        <v>0</v>
      </c>
      <c r="H27" s="9"/>
      <c r="I27" s="9"/>
      <c r="J27" s="8">
        <f t="shared" si="1"/>
        <v>0</v>
      </c>
      <c r="K27" s="8">
        <f t="shared" si="2"/>
        <v>0</v>
      </c>
      <c r="L27" s="148">
        <v>0</v>
      </c>
      <c r="M27" s="8">
        <f t="shared" si="3"/>
        <v>77285.142899999963</v>
      </c>
      <c r="N27" s="44"/>
      <c r="O27" s="1"/>
    </row>
    <row r="28" spans="1:18">
      <c r="A28" s="46">
        <v>24</v>
      </c>
      <c r="B28" s="201">
        <v>46105</v>
      </c>
      <c r="C28" s="25"/>
      <c r="D28" s="25"/>
      <c r="E28" s="8"/>
      <c r="F28" s="8"/>
      <c r="G28" s="8">
        <f t="shared" si="0"/>
        <v>0</v>
      </c>
      <c r="H28" s="9"/>
      <c r="I28" s="9"/>
      <c r="J28" s="8">
        <f t="shared" si="1"/>
        <v>0</v>
      </c>
      <c r="K28" s="8">
        <f t="shared" si="2"/>
        <v>0</v>
      </c>
      <c r="L28" s="148">
        <v>0</v>
      </c>
      <c r="M28" s="8">
        <f t="shared" si="3"/>
        <v>77285.142899999963</v>
      </c>
      <c r="N28" s="44"/>
      <c r="O28" s="1"/>
    </row>
    <row r="29" spans="1:18">
      <c r="A29" s="46">
        <v>25</v>
      </c>
      <c r="B29" s="201">
        <v>46106</v>
      </c>
      <c r="C29" s="25"/>
      <c r="D29" s="25"/>
      <c r="E29" s="8"/>
      <c r="F29" s="8"/>
      <c r="G29" s="8">
        <f t="shared" si="0"/>
        <v>0</v>
      </c>
      <c r="H29" s="9"/>
      <c r="I29" s="9"/>
      <c r="J29" s="8">
        <f t="shared" si="1"/>
        <v>0</v>
      </c>
      <c r="K29" s="8">
        <f t="shared" si="2"/>
        <v>0</v>
      </c>
      <c r="L29" s="148">
        <v>0</v>
      </c>
      <c r="M29" s="8">
        <f t="shared" si="3"/>
        <v>77285.142899999963</v>
      </c>
      <c r="N29" s="44"/>
      <c r="O29" s="1"/>
    </row>
    <row r="30" spans="1:18">
      <c r="A30" s="46">
        <v>26</v>
      </c>
      <c r="B30" s="201">
        <v>46107</v>
      </c>
      <c r="C30" s="25"/>
      <c r="D30" s="25"/>
      <c r="E30" s="8"/>
      <c r="F30" s="8"/>
      <c r="G30" s="8">
        <f t="shared" si="0"/>
        <v>0</v>
      </c>
      <c r="H30" s="9"/>
      <c r="I30" s="9"/>
      <c r="J30" s="8">
        <f t="shared" si="1"/>
        <v>0</v>
      </c>
      <c r="K30" s="8">
        <f t="shared" si="2"/>
        <v>0</v>
      </c>
      <c r="L30" s="148">
        <v>0</v>
      </c>
      <c r="M30" s="8">
        <f t="shared" si="3"/>
        <v>77285.142899999963</v>
      </c>
      <c r="N30" s="44"/>
      <c r="O30" s="1"/>
    </row>
    <row r="31" spans="1:18">
      <c r="A31" s="46">
        <v>27</v>
      </c>
      <c r="B31" s="201">
        <v>46108</v>
      </c>
      <c r="C31" s="25"/>
      <c r="D31" s="25"/>
      <c r="E31" s="8"/>
      <c r="F31" s="8"/>
      <c r="G31" s="8">
        <f t="shared" si="0"/>
        <v>0</v>
      </c>
      <c r="H31" s="9"/>
      <c r="I31" s="9"/>
      <c r="J31" s="8">
        <f t="shared" si="1"/>
        <v>0</v>
      </c>
      <c r="K31" s="8">
        <f t="shared" si="2"/>
        <v>0</v>
      </c>
      <c r="L31" s="148">
        <v>0</v>
      </c>
      <c r="M31" s="8">
        <f t="shared" si="3"/>
        <v>77285.142899999963</v>
      </c>
      <c r="N31" s="44"/>
      <c r="O31" s="1"/>
    </row>
    <row r="32" spans="1:18">
      <c r="A32" s="46">
        <v>28</v>
      </c>
      <c r="B32" s="201">
        <v>46109</v>
      </c>
      <c r="C32" s="25"/>
      <c r="D32" s="25"/>
      <c r="E32" s="8"/>
      <c r="F32" s="8"/>
      <c r="G32" s="8">
        <f t="shared" si="0"/>
        <v>0</v>
      </c>
      <c r="H32" s="9"/>
      <c r="I32" s="9"/>
      <c r="J32" s="8">
        <f t="shared" si="1"/>
        <v>0</v>
      </c>
      <c r="K32" s="8">
        <f t="shared" si="2"/>
        <v>0</v>
      </c>
      <c r="L32" s="148">
        <v>0</v>
      </c>
      <c r="M32" s="8">
        <f t="shared" si="3"/>
        <v>77285.142899999963</v>
      </c>
      <c r="N32" s="44"/>
      <c r="O32" s="1"/>
      <c r="R32">
        <v>46.61</v>
      </c>
    </row>
    <row r="33" spans="1:18">
      <c r="A33" s="46">
        <v>29</v>
      </c>
      <c r="B33" s="201">
        <v>46110</v>
      </c>
      <c r="C33" s="25"/>
      <c r="D33" s="25"/>
      <c r="E33" s="8"/>
      <c r="F33" s="8"/>
      <c r="G33" s="8">
        <f t="shared" si="0"/>
        <v>0</v>
      </c>
      <c r="H33" s="9"/>
      <c r="I33" s="9"/>
      <c r="J33" s="8">
        <f t="shared" si="1"/>
        <v>0</v>
      </c>
      <c r="K33" s="8">
        <f t="shared" si="2"/>
        <v>0</v>
      </c>
      <c r="L33" s="148">
        <v>0</v>
      </c>
      <c r="M33" s="8">
        <f t="shared" si="3"/>
        <v>77285.142899999963</v>
      </c>
      <c r="N33" s="44"/>
      <c r="O33" s="1"/>
      <c r="R33">
        <v>100</v>
      </c>
    </row>
    <row r="34" spans="1:18">
      <c r="A34" s="46">
        <v>30</v>
      </c>
      <c r="B34" s="201">
        <v>46111</v>
      </c>
      <c r="C34" s="25"/>
      <c r="D34" s="25"/>
      <c r="E34" s="8"/>
      <c r="F34" s="8"/>
      <c r="G34" s="8">
        <f t="shared" si="0"/>
        <v>0</v>
      </c>
      <c r="H34" s="9"/>
      <c r="I34" s="9"/>
      <c r="J34" s="8">
        <f t="shared" si="1"/>
        <v>0</v>
      </c>
      <c r="K34" s="8">
        <f t="shared" si="2"/>
        <v>0</v>
      </c>
      <c r="L34" s="148">
        <v>0</v>
      </c>
      <c r="M34" s="8">
        <f t="shared" si="3"/>
        <v>77285.142899999963</v>
      </c>
      <c r="N34" s="44"/>
      <c r="O34" s="1"/>
      <c r="R34">
        <v>35</v>
      </c>
    </row>
    <row r="35" spans="1:18">
      <c r="A35" s="46">
        <v>31</v>
      </c>
      <c r="B35" s="201">
        <v>46112</v>
      </c>
      <c r="C35" s="25"/>
      <c r="D35" s="25"/>
      <c r="E35" s="8"/>
      <c r="F35" s="8"/>
      <c r="G35" s="8">
        <f t="shared" si="0"/>
        <v>0</v>
      </c>
      <c r="H35" s="9"/>
      <c r="I35" s="9"/>
      <c r="J35" s="8">
        <f t="shared" si="1"/>
        <v>0</v>
      </c>
      <c r="K35" s="8">
        <f t="shared" si="2"/>
        <v>0</v>
      </c>
      <c r="L35" s="148">
        <v>0</v>
      </c>
      <c r="M35" s="8">
        <f t="shared" si="3"/>
        <v>77285.142899999963</v>
      </c>
      <c r="N35" s="44" t="s">
        <v>226</v>
      </c>
      <c r="O35" s="1"/>
    </row>
    <row r="36" spans="1:18">
      <c r="A36" s="46">
        <v>32</v>
      </c>
      <c r="B36" s="201"/>
      <c r="C36" s="25"/>
      <c r="D36" s="25"/>
      <c r="E36" s="8"/>
      <c r="F36" s="8"/>
      <c r="G36" s="8">
        <f t="shared" si="0"/>
        <v>0</v>
      </c>
      <c r="H36" s="9"/>
      <c r="I36" s="9"/>
      <c r="J36" s="8">
        <f t="shared" si="1"/>
        <v>0</v>
      </c>
      <c r="K36" s="8">
        <f t="shared" si="2"/>
        <v>0</v>
      </c>
      <c r="L36" s="148">
        <v>0</v>
      </c>
      <c r="M36" s="8">
        <f t="shared" si="3"/>
        <v>77285.142899999963</v>
      </c>
      <c r="N36" s="44"/>
      <c r="O36" s="1"/>
    </row>
    <row r="37" spans="1:18">
      <c r="A37" s="196"/>
      <c r="B37" s="201"/>
      <c r="C37" s="25"/>
      <c r="D37" s="25"/>
      <c r="E37" s="8"/>
      <c r="F37" s="8"/>
      <c r="G37" s="8"/>
      <c r="H37" s="9">
        <v>0</v>
      </c>
      <c r="I37" s="9">
        <v>0</v>
      </c>
      <c r="J37" s="8"/>
      <c r="K37" s="8"/>
      <c r="L37" s="148"/>
      <c r="M37" s="8">
        <f t="shared" si="3"/>
        <v>77285.142899999963</v>
      </c>
      <c r="N37" s="44"/>
      <c r="O37" s="1"/>
    </row>
    <row r="38" spans="1:18">
      <c r="A38" s="62"/>
      <c r="B38" s="62"/>
      <c r="C38" s="62"/>
      <c r="D38" s="62"/>
      <c r="E38" s="63">
        <f>SUM(E4:E36)</f>
        <v>1427.7699999999998</v>
      </c>
      <c r="F38" s="63"/>
      <c r="G38" s="63">
        <f>SUM(G4:G36)</f>
        <v>130626.3363</v>
      </c>
      <c r="H38" s="63">
        <f>SUM(H4:H36)</f>
        <v>75.11</v>
      </c>
      <c r="I38" s="63"/>
      <c r="J38" s="63">
        <f>SUM(J4:J36)</f>
        <v>7809.1713000000018</v>
      </c>
      <c r="K38" s="63">
        <f>SUM(K4:K36)</f>
        <v>138435.50760000001</v>
      </c>
      <c r="L38" s="63">
        <f>SUM(L4:L36)</f>
        <v>151559.56349999999</v>
      </c>
      <c r="M38" s="63"/>
      <c r="N38" s="63"/>
      <c r="O38" s="59"/>
    </row>
    <row r="39" spans="1:18">
      <c r="A39" s="2"/>
      <c r="B39" s="2"/>
      <c r="C39" s="2"/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1"/>
    </row>
    <row r="40" spans="1:18">
      <c r="A40" s="1"/>
      <c r="B40" s="1"/>
      <c r="C40" s="1"/>
      <c r="D40" s="1"/>
      <c r="E40" s="1"/>
      <c r="F40" s="1"/>
      <c r="G40" s="3"/>
      <c r="H40" s="1"/>
      <c r="I40" s="1"/>
      <c r="J40" s="1"/>
      <c r="K40" s="1"/>
      <c r="L40" s="8"/>
      <c r="M40" s="1"/>
      <c r="N40" s="1"/>
      <c r="O40" s="4"/>
    </row>
    <row r="41" spans="1:18">
      <c r="A41" s="1"/>
      <c r="B41" s="446"/>
      <c r="C41" s="446"/>
      <c r="D41" s="446"/>
      <c r="E41" s="446"/>
      <c r="F41" s="1"/>
      <c r="G41" s="1"/>
      <c r="H41" s="1"/>
      <c r="I41" s="484">
        <f>K26+L26</f>
        <v>0</v>
      </c>
      <c r="J41" s="446"/>
      <c r="K41" s="446"/>
      <c r="L41" s="446"/>
      <c r="M41" s="446"/>
      <c r="N41" s="446"/>
      <c r="O41" s="4"/>
    </row>
    <row r="42" spans="1: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4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</sheetData>
  <mergeCells count="3">
    <mergeCell ref="A1:N1"/>
    <mergeCell ref="B41:E41"/>
    <mergeCell ref="I41:N4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35C-CCFB-4420-8E82-7D2A8627C32F}">
  <sheetPr>
    <tabColor rgb="FF7030A0"/>
  </sheetPr>
  <dimension ref="A1:R49"/>
  <sheetViews>
    <sheetView topLeftCell="A14" workbookViewId="0">
      <selection activeCell="M34" sqref="M34"/>
    </sheetView>
  </sheetViews>
  <sheetFormatPr defaultRowHeight="15"/>
  <cols>
    <col min="2" max="2" width="14.5703125" customWidth="1"/>
    <col min="7" max="7" width="11.85546875" bestFit="1" customWidth="1"/>
    <col min="11" max="11" width="13.5703125" bestFit="1" customWidth="1"/>
    <col min="12" max="13" width="11.85546875" bestFit="1" customWidth="1"/>
  </cols>
  <sheetData>
    <row r="1" spans="1:15" ht="15.75">
      <c r="A1" s="459" t="s">
        <v>131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53"/>
    </row>
    <row r="2" spans="1:15" ht="30.75">
      <c r="A2" s="64" t="s">
        <v>0</v>
      </c>
      <c r="B2" s="83" t="s">
        <v>161</v>
      </c>
      <c r="C2" s="83" t="s">
        <v>162</v>
      </c>
      <c r="D2" s="83" t="s">
        <v>163</v>
      </c>
      <c r="E2" s="83" t="s">
        <v>164</v>
      </c>
      <c r="F2" s="83" t="s">
        <v>165</v>
      </c>
      <c r="G2" s="83" t="s">
        <v>166</v>
      </c>
      <c r="H2" s="83" t="s">
        <v>167</v>
      </c>
      <c r="I2" s="83" t="s">
        <v>165</v>
      </c>
      <c r="J2" s="84" t="s">
        <v>166</v>
      </c>
      <c r="K2" s="64" t="s">
        <v>168</v>
      </c>
      <c r="L2" s="85" t="s">
        <v>169</v>
      </c>
      <c r="M2" s="166" t="s">
        <v>181</v>
      </c>
      <c r="N2" s="83" t="s">
        <v>171</v>
      </c>
      <c r="O2" s="59"/>
    </row>
    <row r="3" spans="1:15">
      <c r="A3" s="145"/>
      <c r="B3" s="146"/>
      <c r="C3" s="146"/>
      <c r="D3" s="132" t="s">
        <v>172</v>
      </c>
      <c r="E3" s="146"/>
      <c r="F3" s="146"/>
      <c r="G3" s="146"/>
      <c r="H3" s="146"/>
      <c r="I3" s="146"/>
      <c r="J3" s="147"/>
      <c r="K3" s="145">
        <v>118610.54580000014</v>
      </c>
      <c r="L3" s="148">
        <v>0</v>
      </c>
      <c r="M3" s="148">
        <v>118610.54580000014</v>
      </c>
      <c r="N3" s="146"/>
      <c r="O3" s="59"/>
    </row>
    <row r="4" spans="1:15">
      <c r="A4" s="46">
        <v>1</v>
      </c>
      <c r="B4" s="201">
        <v>45717</v>
      </c>
      <c r="C4" s="25"/>
      <c r="D4" s="25"/>
      <c r="E4" s="266"/>
      <c r="F4" s="266"/>
      <c r="G4" s="8">
        <f>E4*F4</f>
        <v>0</v>
      </c>
      <c r="H4" s="9"/>
      <c r="I4" s="9"/>
      <c r="J4" s="8">
        <f>H4*I4</f>
        <v>0</v>
      </c>
      <c r="K4" s="8">
        <f>G4+J4</f>
        <v>0</v>
      </c>
      <c r="L4" s="148"/>
      <c r="M4" s="8">
        <f>M3+K4-L4</f>
        <v>118610.54580000014</v>
      </c>
      <c r="N4" s="44"/>
      <c r="O4" s="1"/>
    </row>
    <row r="5" spans="1:15">
      <c r="A5" s="46">
        <v>2</v>
      </c>
      <c r="B5" s="201">
        <v>45718</v>
      </c>
      <c r="C5" s="25"/>
      <c r="D5" s="25"/>
      <c r="E5" s="410">
        <v>60</v>
      </c>
      <c r="F5" s="266">
        <v>91.78</v>
      </c>
      <c r="G5" s="8">
        <f t="shared" ref="G5:G34" si="0">E5*F5</f>
        <v>5506.8</v>
      </c>
      <c r="H5" s="9">
        <v>15</v>
      </c>
      <c r="I5" s="9">
        <v>103.74</v>
      </c>
      <c r="J5" s="8">
        <f t="shared" ref="J5:J34" si="1">H5*I5</f>
        <v>1556.1</v>
      </c>
      <c r="K5" s="8">
        <f t="shared" ref="K5:K34" si="2">G5+J5</f>
        <v>7062.9</v>
      </c>
      <c r="L5" s="148"/>
      <c r="M5" s="8">
        <f t="shared" ref="M5:M34" si="3">M4+K5-L5</f>
        <v>125673.44580000013</v>
      </c>
      <c r="N5" s="44"/>
      <c r="O5" s="1"/>
    </row>
    <row r="6" spans="1:15">
      <c r="A6" s="46">
        <v>3</v>
      </c>
      <c r="B6" s="201">
        <v>45719</v>
      </c>
      <c r="C6" s="25"/>
      <c r="D6" s="25"/>
      <c r="E6" s="266">
        <v>75</v>
      </c>
      <c r="F6" s="266">
        <v>91.78</v>
      </c>
      <c r="G6" s="8">
        <f t="shared" si="0"/>
        <v>6883.5</v>
      </c>
      <c r="H6" s="9">
        <v>5</v>
      </c>
      <c r="I6" s="9">
        <v>103.74</v>
      </c>
      <c r="J6" s="8">
        <f t="shared" si="1"/>
        <v>518.69999999999993</v>
      </c>
      <c r="K6" s="8">
        <f t="shared" si="2"/>
        <v>7402.2</v>
      </c>
      <c r="L6" s="148"/>
      <c r="M6" s="8">
        <f t="shared" si="3"/>
        <v>133075.64580000014</v>
      </c>
      <c r="N6" s="44"/>
      <c r="O6" s="1"/>
    </row>
    <row r="7" spans="1:15">
      <c r="A7" s="46">
        <v>4</v>
      </c>
      <c r="B7" s="201">
        <v>45720</v>
      </c>
      <c r="C7" s="25"/>
      <c r="D7" s="25"/>
      <c r="E7" s="266"/>
      <c r="F7" s="266"/>
      <c r="G7" s="8">
        <f t="shared" si="0"/>
        <v>0</v>
      </c>
      <c r="H7" s="9"/>
      <c r="I7" s="9"/>
      <c r="J7" s="8">
        <f t="shared" si="1"/>
        <v>0</v>
      </c>
      <c r="K7" s="8">
        <f t="shared" si="2"/>
        <v>0</v>
      </c>
      <c r="L7" s="8"/>
      <c r="M7" s="8">
        <f t="shared" si="3"/>
        <v>133075.64580000014</v>
      </c>
      <c r="N7" s="44"/>
      <c r="O7" s="1"/>
    </row>
    <row r="8" spans="1:15">
      <c r="A8" s="46">
        <v>5</v>
      </c>
      <c r="B8" s="201">
        <v>45721</v>
      </c>
      <c r="C8" s="25"/>
      <c r="D8" s="25"/>
      <c r="E8" s="266">
        <v>60</v>
      </c>
      <c r="F8" s="266">
        <v>91.78</v>
      </c>
      <c r="G8" s="8">
        <f t="shared" si="0"/>
        <v>5506.8</v>
      </c>
      <c r="H8" s="9"/>
      <c r="I8" s="9"/>
      <c r="J8" s="8">
        <f t="shared" si="1"/>
        <v>0</v>
      </c>
      <c r="K8" s="8">
        <f t="shared" si="2"/>
        <v>5506.8</v>
      </c>
      <c r="L8" s="148"/>
      <c r="M8" s="8">
        <f t="shared" si="3"/>
        <v>138582.44580000013</v>
      </c>
      <c r="N8" s="44"/>
      <c r="O8" s="1"/>
    </row>
    <row r="9" spans="1:15">
      <c r="A9" s="46">
        <v>6</v>
      </c>
      <c r="B9" s="201">
        <v>45722</v>
      </c>
      <c r="C9" s="25"/>
      <c r="D9" s="25"/>
      <c r="E9" s="266">
        <v>90</v>
      </c>
      <c r="F9" s="266">
        <v>91.78</v>
      </c>
      <c r="G9" s="8">
        <f t="shared" si="0"/>
        <v>8260.2000000000007</v>
      </c>
      <c r="H9" s="9"/>
      <c r="I9" s="9"/>
      <c r="J9" s="8">
        <f t="shared" si="1"/>
        <v>0</v>
      </c>
      <c r="K9" s="8">
        <f t="shared" si="2"/>
        <v>8260.2000000000007</v>
      </c>
      <c r="L9" s="148"/>
      <c r="M9" s="8">
        <f t="shared" si="3"/>
        <v>146842.64580000014</v>
      </c>
      <c r="N9" s="44"/>
      <c r="O9" s="1"/>
    </row>
    <row r="10" spans="1:15">
      <c r="A10" s="46">
        <v>7</v>
      </c>
      <c r="B10" s="201">
        <v>45723</v>
      </c>
      <c r="C10" s="25"/>
      <c r="D10" s="25"/>
      <c r="E10" s="266">
        <v>97.4</v>
      </c>
      <c r="F10" s="266">
        <v>91.78</v>
      </c>
      <c r="G10" s="8">
        <f t="shared" si="0"/>
        <v>8939.3720000000012</v>
      </c>
      <c r="H10" s="9">
        <v>13</v>
      </c>
      <c r="I10" s="9">
        <v>103.74</v>
      </c>
      <c r="J10" s="8">
        <f t="shared" si="1"/>
        <v>1348.62</v>
      </c>
      <c r="K10" s="8">
        <f t="shared" si="2"/>
        <v>10287.992000000002</v>
      </c>
      <c r="L10" s="148"/>
      <c r="M10" s="8">
        <f t="shared" si="3"/>
        <v>157130.63780000014</v>
      </c>
      <c r="N10" s="44"/>
      <c r="O10" s="1"/>
    </row>
    <row r="11" spans="1:15">
      <c r="A11" s="46">
        <v>8</v>
      </c>
      <c r="B11" s="201">
        <v>45724</v>
      </c>
      <c r="C11" s="25"/>
      <c r="D11" s="25"/>
      <c r="E11" s="266">
        <v>100</v>
      </c>
      <c r="F11" s="266">
        <v>91.78</v>
      </c>
      <c r="G11" s="8">
        <f t="shared" si="0"/>
        <v>9178</v>
      </c>
      <c r="H11" s="9"/>
      <c r="I11" s="9"/>
      <c r="J11" s="8">
        <f t="shared" si="1"/>
        <v>0</v>
      </c>
      <c r="K11" s="8">
        <f t="shared" si="2"/>
        <v>9178</v>
      </c>
      <c r="L11" s="148"/>
      <c r="M11" s="8">
        <f t="shared" si="3"/>
        <v>166308.63780000014</v>
      </c>
      <c r="N11" s="44"/>
      <c r="O11" s="1"/>
    </row>
    <row r="12" spans="1:15">
      <c r="A12" s="46">
        <v>9</v>
      </c>
      <c r="B12" s="201">
        <v>45725</v>
      </c>
      <c r="C12" s="25"/>
      <c r="D12" s="25"/>
      <c r="E12" s="266">
        <v>60</v>
      </c>
      <c r="F12" s="266">
        <v>91.78</v>
      </c>
      <c r="G12" s="8">
        <f t="shared" si="0"/>
        <v>5506.8</v>
      </c>
      <c r="H12" s="9">
        <v>5</v>
      </c>
      <c r="I12" s="9">
        <v>103.74</v>
      </c>
      <c r="J12" s="8">
        <f t="shared" si="1"/>
        <v>518.69999999999993</v>
      </c>
      <c r="K12" s="8">
        <f t="shared" si="2"/>
        <v>6025.5</v>
      </c>
      <c r="L12" s="148"/>
      <c r="M12" s="8">
        <f t="shared" si="3"/>
        <v>172334.13780000014</v>
      </c>
      <c r="N12" s="44"/>
      <c r="O12" s="1" t="s">
        <v>225</v>
      </c>
    </row>
    <row r="13" spans="1:15">
      <c r="A13" s="46">
        <v>10</v>
      </c>
      <c r="B13" s="201">
        <v>45726</v>
      </c>
      <c r="C13" s="25"/>
      <c r="D13" s="25"/>
      <c r="E13" s="266">
        <v>344.01</v>
      </c>
      <c r="F13" s="266">
        <v>91.78</v>
      </c>
      <c r="G13" s="8">
        <f t="shared" si="0"/>
        <v>31573.237799999999</v>
      </c>
      <c r="H13" s="9">
        <v>10</v>
      </c>
      <c r="I13" s="9">
        <v>103.74</v>
      </c>
      <c r="J13" s="8">
        <f t="shared" si="1"/>
        <v>1037.3999999999999</v>
      </c>
      <c r="K13" s="8">
        <f t="shared" si="2"/>
        <v>32610.6378</v>
      </c>
      <c r="L13" s="148"/>
      <c r="M13" s="8">
        <f t="shared" si="3"/>
        <v>204944.77560000014</v>
      </c>
      <c r="N13" s="44"/>
      <c r="O13" s="1"/>
    </row>
    <row r="14" spans="1:15">
      <c r="A14" s="46">
        <v>11</v>
      </c>
      <c r="B14" s="201">
        <v>45727</v>
      </c>
      <c r="C14" s="25"/>
      <c r="D14" s="25"/>
      <c r="E14" s="266"/>
      <c r="F14" s="266"/>
      <c r="G14" s="8">
        <f t="shared" si="0"/>
        <v>0</v>
      </c>
      <c r="H14" s="9"/>
      <c r="I14" s="9"/>
      <c r="J14" s="8">
        <f t="shared" si="1"/>
        <v>0</v>
      </c>
      <c r="K14" s="8">
        <f t="shared" si="2"/>
        <v>0</v>
      </c>
      <c r="L14" s="148"/>
      <c r="M14" s="8">
        <f t="shared" si="3"/>
        <v>204944.77560000014</v>
      </c>
      <c r="N14" s="44"/>
      <c r="O14" s="1"/>
    </row>
    <row r="15" spans="1:15">
      <c r="A15" s="46">
        <v>12</v>
      </c>
      <c r="B15" s="201">
        <v>45728</v>
      </c>
      <c r="C15" s="25"/>
      <c r="D15" s="25"/>
      <c r="E15" s="266">
        <v>185</v>
      </c>
      <c r="F15" s="266">
        <v>91.78</v>
      </c>
      <c r="G15" s="8">
        <f t="shared" si="0"/>
        <v>16979.3</v>
      </c>
      <c r="H15" s="9">
        <v>5</v>
      </c>
      <c r="I15" s="9">
        <v>103.74</v>
      </c>
      <c r="J15" s="8">
        <f t="shared" si="1"/>
        <v>518.69999999999993</v>
      </c>
      <c r="K15" s="8">
        <f t="shared" si="2"/>
        <v>17498</v>
      </c>
      <c r="L15" s="148">
        <v>160000</v>
      </c>
      <c r="M15" s="8">
        <f t="shared" si="3"/>
        <v>62442.775600000139</v>
      </c>
      <c r="N15" s="44"/>
      <c r="O15" s="1"/>
    </row>
    <row r="16" spans="1:15">
      <c r="A16" s="46">
        <v>13</v>
      </c>
      <c r="B16" s="201">
        <v>45729</v>
      </c>
      <c r="C16" s="25"/>
      <c r="D16" s="25"/>
      <c r="E16" s="266">
        <v>280</v>
      </c>
      <c r="F16" s="266">
        <v>91.78</v>
      </c>
      <c r="G16" s="8">
        <f t="shared" si="0"/>
        <v>25698.400000000001</v>
      </c>
      <c r="H16" s="9">
        <v>5</v>
      </c>
      <c r="I16" s="9">
        <v>103.74</v>
      </c>
      <c r="J16" s="8">
        <f t="shared" si="1"/>
        <v>518.69999999999993</v>
      </c>
      <c r="K16" s="8">
        <f t="shared" si="2"/>
        <v>26217.100000000002</v>
      </c>
      <c r="L16" s="148"/>
      <c r="M16" s="8">
        <f t="shared" si="3"/>
        <v>88659.875600000145</v>
      </c>
      <c r="N16" s="44"/>
      <c r="O16" s="1"/>
    </row>
    <row r="17" spans="1:18">
      <c r="A17" s="46">
        <v>14</v>
      </c>
      <c r="B17" s="201">
        <v>45730</v>
      </c>
      <c r="C17" s="25"/>
      <c r="D17" s="25"/>
      <c r="E17" s="266">
        <v>65</v>
      </c>
      <c r="F17" s="266">
        <v>91.78</v>
      </c>
      <c r="G17" s="8">
        <f t="shared" si="0"/>
        <v>5965.7</v>
      </c>
      <c r="H17" s="9"/>
      <c r="I17" s="9"/>
      <c r="J17" s="8">
        <f t="shared" si="1"/>
        <v>0</v>
      </c>
      <c r="K17" s="8">
        <f t="shared" si="2"/>
        <v>5965.7</v>
      </c>
      <c r="L17" s="148"/>
      <c r="M17" s="8">
        <f t="shared" si="3"/>
        <v>94625.575600000142</v>
      </c>
      <c r="N17" s="44"/>
      <c r="O17" s="1"/>
    </row>
    <row r="18" spans="1:18">
      <c r="A18" s="46">
        <v>15</v>
      </c>
      <c r="B18" s="201">
        <v>45731</v>
      </c>
      <c r="C18" s="25"/>
      <c r="D18" s="25"/>
      <c r="E18" s="266">
        <v>320</v>
      </c>
      <c r="F18" s="266">
        <v>91.78</v>
      </c>
      <c r="G18" s="8">
        <f t="shared" si="0"/>
        <v>29369.599999999999</v>
      </c>
      <c r="H18" s="9"/>
      <c r="I18" s="9"/>
      <c r="J18" s="8">
        <f t="shared" si="1"/>
        <v>0</v>
      </c>
      <c r="K18" s="8">
        <f t="shared" si="2"/>
        <v>29369.599999999999</v>
      </c>
      <c r="L18" s="148"/>
      <c r="M18" s="8">
        <f t="shared" si="3"/>
        <v>123995.17560000013</v>
      </c>
      <c r="N18" s="44"/>
      <c r="O18" s="1"/>
    </row>
    <row r="19" spans="1:18">
      <c r="A19" s="46">
        <v>16</v>
      </c>
      <c r="B19" s="201">
        <v>45732</v>
      </c>
      <c r="C19" s="25"/>
      <c r="D19" s="25"/>
      <c r="E19" s="266">
        <v>214</v>
      </c>
      <c r="F19" s="266">
        <v>91.78</v>
      </c>
      <c r="G19" s="8">
        <f t="shared" si="0"/>
        <v>19640.920000000002</v>
      </c>
      <c r="H19" s="9">
        <v>5</v>
      </c>
      <c r="I19" s="9">
        <v>103.74</v>
      </c>
      <c r="J19" s="8">
        <f t="shared" si="1"/>
        <v>518.69999999999993</v>
      </c>
      <c r="K19" s="8">
        <f t="shared" si="2"/>
        <v>20159.620000000003</v>
      </c>
      <c r="L19" s="148"/>
      <c r="M19" s="8">
        <f t="shared" si="3"/>
        <v>144154.79560000013</v>
      </c>
      <c r="N19" s="44"/>
      <c r="O19" s="1"/>
    </row>
    <row r="20" spans="1:18">
      <c r="A20" s="46">
        <v>17</v>
      </c>
      <c r="B20" s="201">
        <v>45733</v>
      </c>
      <c r="C20" s="25"/>
      <c r="D20" s="25"/>
      <c r="E20" s="266">
        <v>235</v>
      </c>
      <c r="F20" s="266">
        <v>91.78</v>
      </c>
      <c r="G20" s="8">
        <f t="shared" si="0"/>
        <v>21568.3</v>
      </c>
      <c r="H20" s="9"/>
      <c r="I20" s="9"/>
      <c r="J20" s="8">
        <f t="shared" si="1"/>
        <v>0</v>
      </c>
      <c r="K20" s="8">
        <f t="shared" si="2"/>
        <v>21568.3</v>
      </c>
      <c r="L20" s="148"/>
      <c r="M20" s="8">
        <f t="shared" si="3"/>
        <v>165723.09560000012</v>
      </c>
      <c r="N20" s="44"/>
      <c r="O20" s="1"/>
    </row>
    <row r="21" spans="1:18">
      <c r="A21" s="46">
        <v>18</v>
      </c>
      <c r="B21" s="201">
        <v>45734</v>
      </c>
      <c r="C21" s="25"/>
      <c r="D21" s="25"/>
      <c r="E21" s="266">
        <v>190</v>
      </c>
      <c r="F21" s="266">
        <v>91.78</v>
      </c>
      <c r="G21" s="8">
        <f t="shared" si="0"/>
        <v>17438.2</v>
      </c>
      <c r="H21" s="9"/>
      <c r="I21" s="9"/>
      <c r="J21" s="8">
        <f t="shared" si="1"/>
        <v>0</v>
      </c>
      <c r="K21" s="8">
        <f t="shared" si="2"/>
        <v>17438.2</v>
      </c>
      <c r="L21" s="148"/>
      <c r="M21" s="8">
        <f t="shared" si="3"/>
        <v>183161.29560000013</v>
      </c>
      <c r="N21" s="44"/>
      <c r="O21" s="1"/>
    </row>
    <row r="22" spans="1:18">
      <c r="A22" s="46">
        <v>19</v>
      </c>
      <c r="B22" s="201">
        <v>45735</v>
      </c>
      <c r="C22" s="25"/>
      <c r="D22" s="25"/>
      <c r="E22" s="266"/>
      <c r="F22" s="266"/>
      <c r="G22" s="8">
        <f t="shared" si="0"/>
        <v>0</v>
      </c>
      <c r="H22" s="9"/>
      <c r="I22" s="9"/>
      <c r="J22" s="8">
        <f t="shared" si="1"/>
        <v>0</v>
      </c>
      <c r="K22" s="8">
        <f t="shared" si="2"/>
        <v>0</v>
      </c>
      <c r="L22" s="148"/>
      <c r="M22" s="8">
        <f t="shared" si="3"/>
        <v>183161.29560000013</v>
      </c>
      <c r="N22" s="44"/>
      <c r="O22" s="1"/>
    </row>
    <row r="23" spans="1:18">
      <c r="A23" s="46">
        <v>20</v>
      </c>
      <c r="B23" s="201">
        <v>45736</v>
      </c>
      <c r="C23" s="25"/>
      <c r="D23" s="25"/>
      <c r="E23" s="266">
        <v>150</v>
      </c>
      <c r="F23" s="266">
        <v>91.78</v>
      </c>
      <c r="G23" s="8">
        <f t="shared" si="0"/>
        <v>13767</v>
      </c>
      <c r="H23" s="9">
        <v>15</v>
      </c>
      <c r="I23" s="9">
        <v>103.74</v>
      </c>
      <c r="J23" s="8">
        <f t="shared" si="1"/>
        <v>1556.1</v>
      </c>
      <c r="K23" s="8">
        <f t="shared" si="2"/>
        <v>15323.1</v>
      </c>
      <c r="L23" s="148"/>
      <c r="M23" s="8">
        <f t="shared" si="3"/>
        <v>198484.39560000013</v>
      </c>
      <c r="N23" s="44"/>
      <c r="O23" s="1"/>
    </row>
    <row r="24" spans="1:18">
      <c r="A24" s="46">
        <v>21</v>
      </c>
      <c r="B24" s="201">
        <v>45737</v>
      </c>
      <c r="C24" s="25"/>
      <c r="D24" s="25"/>
      <c r="E24" s="266"/>
      <c r="F24" s="266"/>
      <c r="G24" s="8">
        <f t="shared" si="0"/>
        <v>0</v>
      </c>
      <c r="H24" s="9">
        <v>5</v>
      </c>
      <c r="I24" s="9">
        <v>103.74</v>
      </c>
      <c r="J24" s="8">
        <f t="shared" si="1"/>
        <v>518.69999999999993</v>
      </c>
      <c r="K24" s="8">
        <f t="shared" si="2"/>
        <v>518.69999999999993</v>
      </c>
      <c r="L24" s="148"/>
      <c r="M24" s="8">
        <f t="shared" si="3"/>
        <v>199003.09560000015</v>
      </c>
      <c r="N24" s="44"/>
      <c r="O24" s="1"/>
    </row>
    <row r="25" spans="1:18">
      <c r="A25" s="46">
        <v>22</v>
      </c>
      <c r="B25" s="201">
        <v>45738</v>
      </c>
      <c r="C25" s="25"/>
      <c r="D25" s="25"/>
      <c r="E25" s="266">
        <v>285</v>
      </c>
      <c r="F25" s="266">
        <v>91.78</v>
      </c>
      <c r="G25" s="8">
        <f t="shared" si="0"/>
        <v>26157.3</v>
      </c>
      <c r="H25" s="9"/>
      <c r="I25" s="9"/>
      <c r="J25" s="8">
        <f t="shared" si="1"/>
        <v>0</v>
      </c>
      <c r="K25" s="8">
        <f t="shared" si="2"/>
        <v>26157.3</v>
      </c>
      <c r="L25" s="148"/>
      <c r="M25" s="8">
        <f t="shared" si="3"/>
        <v>225160.39560000013</v>
      </c>
      <c r="N25" s="44"/>
      <c r="O25" s="1"/>
    </row>
    <row r="26" spans="1:18">
      <c r="A26" s="46">
        <v>23</v>
      </c>
      <c r="B26" s="201">
        <v>45739</v>
      </c>
      <c r="C26" s="25"/>
      <c r="D26" s="25"/>
      <c r="E26" s="266">
        <v>135</v>
      </c>
      <c r="F26" s="266">
        <v>91.78</v>
      </c>
      <c r="G26" s="8">
        <f t="shared" si="0"/>
        <v>12390.3</v>
      </c>
      <c r="H26" s="9">
        <v>7</v>
      </c>
      <c r="I26" s="9">
        <v>103.74</v>
      </c>
      <c r="J26" s="8">
        <f t="shared" si="1"/>
        <v>726.18</v>
      </c>
      <c r="K26" s="8">
        <f t="shared" si="2"/>
        <v>13116.48</v>
      </c>
      <c r="L26" s="148"/>
      <c r="M26" s="8">
        <f t="shared" si="3"/>
        <v>238276.87560000014</v>
      </c>
      <c r="N26" s="44"/>
      <c r="O26" s="1"/>
    </row>
    <row r="27" spans="1:18">
      <c r="A27" s="46">
        <v>24</v>
      </c>
      <c r="B27" s="201">
        <v>45740</v>
      </c>
      <c r="C27" s="25"/>
      <c r="D27" s="25"/>
      <c r="E27" s="266">
        <v>353</v>
      </c>
      <c r="F27" s="266">
        <v>91.78</v>
      </c>
      <c r="G27" s="8">
        <f t="shared" si="0"/>
        <v>32398.34</v>
      </c>
      <c r="H27" s="9">
        <v>11</v>
      </c>
      <c r="I27" s="9">
        <v>103.74</v>
      </c>
      <c r="J27" s="8">
        <f t="shared" si="1"/>
        <v>1141.1399999999999</v>
      </c>
      <c r="K27" s="8">
        <f>G27+J27</f>
        <v>33539.480000000003</v>
      </c>
      <c r="L27" s="148"/>
      <c r="M27" s="8">
        <f>M26+K27-L27</f>
        <v>271816.35560000013</v>
      </c>
      <c r="N27" s="44"/>
      <c r="O27" s="1"/>
    </row>
    <row r="28" spans="1:18">
      <c r="A28" s="46">
        <v>25</v>
      </c>
      <c r="B28" s="201">
        <v>45741</v>
      </c>
      <c r="C28" s="25"/>
      <c r="D28" s="25"/>
      <c r="E28" s="266">
        <v>342.55</v>
      </c>
      <c r="F28" s="266">
        <v>91.78</v>
      </c>
      <c r="G28" s="8">
        <f t="shared" si="0"/>
        <v>31439.239000000001</v>
      </c>
      <c r="H28" s="9">
        <v>20</v>
      </c>
      <c r="I28" s="9">
        <v>103.74</v>
      </c>
      <c r="J28" s="8">
        <f t="shared" si="1"/>
        <v>2074.7999999999997</v>
      </c>
      <c r="K28" s="8">
        <f t="shared" si="2"/>
        <v>33514.039000000004</v>
      </c>
      <c r="L28" s="148"/>
      <c r="M28" s="8">
        <f t="shared" si="3"/>
        <v>305330.39460000012</v>
      </c>
      <c r="N28" s="44"/>
      <c r="O28" s="1"/>
      <c r="R28" t="s">
        <v>227</v>
      </c>
    </row>
    <row r="29" spans="1:18">
      <c r="A29" s="46">
        <v>26</v>
      </c>
      <c r="B29" s="201">
        <v>45742</v>
      </c>
      <c r="C29" s="25"/>
      <c r="D29" s="25"/>
      <c r="E29" s="266">
        <v>15</v>
      </c>
      <c r="F29" s="266">
        <v>91.78</v>
      </c>
      <c r="G29" s="8">
        <f t="shared" si="0"/>
        <v>1376.7</v>
      </c>
      <c r="H29" s="9">
        <v>10</v>
      </c>
      <c r="I29" s="9">
        <v>103.74</v>
      </c>
      <c r="J29" s="8">
        <f t="shared" si="1"/>
        <v>1037.3999999999999</v>
      </c>
      <c r="K29" s="8">
        <f t="shared" si="2"/>
        <v>2414.1</v>
      </c>
      <c r="L29" s="148">
        <v>150000</v>
      </c>
      <c r="M29" s="8">
        <f t="shared" si="3"/>
        <v>157744.49460000009</v>
      </c>
      <c r="N29" s="44"/>
      <c r="O29" s="1"/>
      <c r="Q29">
        <v>30</v>
      </c>
    </row>
    <row r="30" spans="1:18">
      <c r="A30" s="46">
        <v>27</v>
      </c>
      <c r="B30" s="201">
        <v>45743</v>
      </c>
      <c r="C30" s="25"/>
      <c r="D30" s="25"/>
      <c r="E30" s="266">
        <v>116</v>
      </c>
      <c r="F30" s="266">
        <v>91.78</v>
      </c>
      <c r="G30" s="8">
        <f t="shared" si="0"/>
        <v>10646.48</v>
      </c>
      <c r="H30" s="9">
        <v>15</v>
      </c>
      <c r="I30" s="9">
        <v>103.74</v>
      </c>
      <c r="J30" s="8">
        <f t="shared" si="1"/>
        <v>1556.1</v>
      </c>
      <c r="K30" s="8">
        <f t="shared" si="2"/>
        <v>12202.58</v>
      </c>
      <c r="L30" s="148"/>
      <c r="M30" s="8">
        <f t="shared" si="3"/>
        <v>169947.07460000008</v>
      </c>
      <c r="N30" s="44"/>
      <c r="O30" s="1"/>
      <c r="Q30">
        <v>20.02</v>
      </c>
    </row>
    <row r="31" spans="1:18">
      <c r="A31" s="46">
        <v>28</v>
      </c>
      <c r="B31" s="201">
        <v>45744</v>
      </c>
      <c r="C31" s="25"/>
      <c r="D31" s="25"/>
      <c r="E31" s="266">
        <v>80</v>
      </c>
      <c r="F31" s="266">
        <v>91.78</v>
      </c>
      <c r="G31" s="8">
        <f t="shared" si="0"/>
        <v>7342.4</v>
      </c>
      <c r="H31" s="9"/>
      <c r="I31" s="9"/>
      <c r="J31" s="8">
        <f t="shared" si="1"/>
        <v>0</v>
      </c>
      <c r="K31" s="8">
        <f t="shared" si="2"/>
        <v>7342.4</v>
      </c>
      <c r="L31" s="148"/>
      <c r="M31" s="8">
        <f t="shared" si="3"/>
        <v>177289.47460000007</v>
      </c>
      <c r="N31" s="44"/>
      <c r="O31" s="1"/>
    </row>
    <row r="32" spans="1:18">
      <c r="A32" s="196">
        <v>29</v>
      </c>
      <c r="B32" s="201">
        <v>45745</v>
      </c>
      <c r="C32" s="25"/>
      <c r="D32" s="25"/>
      <c r="E32" s="266"/>
      <c r="F32" s="266"/>
      <c r="G32" s="8">
        <f t="shared" si="0"/>
        <v>0</v>
      </c>
      <c r="H32" s="9"/>
      <c r="I32" s="9"/>
      <c r="J32" s="8">
        <f t="shared" si="1"/>
        <v>0</v>
      </c>
      <c r="K32" s="8">
        <f t="shared" si="2"/>
        <v>0</v>
      </c>
      <c r="L32" s="148"/>
      <c r="M32" s="8">
        <f t="shared" si="3"/>
        <v>177289.47460000007</v>
      </c>
      <c r="N32" s="44"/>
      <c r="O32" s="1"/>
    </row>
    <row r="33" spans="1:15">
      <c r="A33" s="196">
        <v>30</v>
      </c>
      <c r="B33" s="201">
        <v>45746</v>
      </c>
      <c r="C33" s="25"/>
      <c r="D33" s="25"/>
      <c r="E33" s="266">
        <v>132</v>
      </c>
      <c r="F33" s="266">
        <v>91.78</v>
      </c>
      <c r="G33" s="8">
        <f t="shared" si="0"/>
        <v>12114.960000000001</v>
      </c>
      <c r="H33" s="9">
        <v>0</v>
      </c>
      <c r="I33" s="9">
        <v>0</v>
      </c>
      <c r="J33" s="8">
        <f t="shared" si="1"/>
        <v>0</v>
      </c>
      <c r="K33" s="8">
        <f t="shared" si="2"/>
        <v>12114.960000000001</v>
      </c>
      <c r="L33" s="148"/>
      <c r="M33" s="8">
        <f t="shared" si="3"/>
        <v>189404.43460000007</v>
      </c>
      <c r="N33" s="44"/>
      <c r="O33" s="1"/>
    </row>
    <row r="34" spans="1:15">
      <c r="A34" s="196">
        <v>31</v>
      </c>
      <c r="B34" s="201">
        <v>45747</v>
      </c>
      <c r="C34" s="25"/>
      <c r="D34" s="25"/>
      <c r="E34" s="266">
        <v>130</v>
      </c>
      <c r="F34" s="266">
        <v>91.78</v>
      </c>
      <c r="G34" s="8">
        <f t="shared" si="0"/>
        <v>11931.4</v>
      </c>
      <c r="H34" s="9">
        <v>25</v>
      </c>
      <c r="I34" s="9">
        <v>103.74</v>
      </c>
      <c r="J34" s="8">
        <f t="shared" si="1"/>
        <v>2593.5</v>
      </c>
      <c r="K34" s="8">
        <f t="shared" si="2"/>
        <v>14524.9</v>
      </c>
      <c r="L34" s="148">
        <v>0</v>
      </c>
      <c r="M34" s="8">
        <f t="shared" si="3"/>
        <v>203929.33460000006</v>
      </c>
      <c r="N34" s="44"/>
      <c r="O34" s="1"/>
    </row>
    <row r="35" spans="1:15">
      <c r="A35" s="62"/>
      <c r="B35" s="62"/>
      <c r="C35" s="62"/>
      <c r="D35" s="62"/>
      <c r="E35" s="63">
        <f>SUM(E4:E34)</f>
        <v>4113.96</v>
      </c>
      <c r="F35" s="63"/>
      <c r="G35" s="63">
        <f>SUM(G4:G34)</f>
        <v>377579.24880000006</v>
      </c>
      <c r="H35" s="63">
        <f>SUM(H4:H34)</f>
        <v>171</v>
      </c>
      <c r="I35" s="63"/>
      <c r="J35" s="63">
        <f>SUM(J4:J34)</f>
        <v>17739.54</v>
      </c>
      <c r="K35" s="63">
        <f>SUM(K4:K34)</f>
        <v>395318.78880000004</v>
      </c>
      <c r="L35" s="63">
        <f>SUM(L4:L34)</f>
        <v>310000</v>
      </c>
      <c r="M35" s="63"/>
      <c r="N35" s="63"/>
      <c r="O35" s="59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46"/>
      <c r="C38" s="446"/>
      <c r="D38" s="446"/>
      <c r="E38" s="446"/>
      <c r="F38" s="1"/>
      <c r="G38" s="1"/>
      <c r="H38" s="1"/>
      <c r="I38" s="484">
        <f>K24+L24</f>
        <v>518.69999999999993</v>
      </c>
      <c r="J38" s="446"/>
      <c r="K38" s="446"/>
      <c r="L38" s="446"/>
      <c r="M38" s="446"/>
      <c r="N38" s="446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Q49"/>
  <sheetViews>
    <sheetView workbookViewId="0">
      <selection activeCell="P6" sqref="P6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0" max="10" width="10.85546875" bestFit="1" customWidth="1"/>
    <col min="11" max="12" width="13.5703125" bestFit="1" customWidth="1"/>
    <col min="13" max="13" width="10.85546875" bestFit="1" customWidth="1"/>
    <col min="14" max="14" width="10.42578125" bestFit="1" customWidth="1"/>
    <col min="17" max="17" width="12.140625" customWidth="1"/>
  </cols>
  <sheetData>
    <row r="1" spans="1:17" ht="15.75">
      <c r="A1" s="459" t="s">
        <v>228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53"/>
    </row>
    <row r="2" spans="1:17" ht="45">
      <c r="A2" s="64" t="s">
        <v>0</v>
      </c>
      <c r="B2" s="83" t="s">
        <v>161</v>
      </c>
      <c r="C2" s="83" t="s">
        <v>162</v>
      </c>
      <c r="D2" s="83" t="s">
        <v>163</v>
      </c>
      <c r="E2" s="83" t="s">
        <v>164</v>
      </c>
      <c r="F2" s="83" t="s">
        <v>165</v>
      </c>
      <c r="G2" s="83" t="s">
        <v>166</v>
      </c>
      <c r="H2" s="83" t="s">
        <v>167</v>
      </c>
      <c r="I2" s="83" t="s">
        <v>165</v>
      </c>
      <c r="J2" s="84" t="s">
        <v>166</v>
      </c>
      <c r="K2" s="64" t="s">
        <v>168</v>
      </c>
      <c r="L2" s="85" t="s">
        <v>169</v>
      </c>
      <c r="M2" s="166" t="s">
        <v>181</v>
      </c>
      <c r="N2" s="83" t="s">
        <v>171</v>
      </c>
      <c r="O2" s="59"/>
    </row>
    <row r="3" spans="1:17">
      <c r="A3" s="145"/>
      <c r="B3" s="146"/>
      <c r="C3" s="146"/>
      <c r="D3" s="132" t="s">
        <v>172</v>
      </c>
      <c r="E3" s="146"/>
      <c r="F3" s="146"/>
      <c r="G3" s="146"/>
      <c r="H3" s="146"/>
      <c r="I3" s="146"/>
      <c r="J3" s="147"/>
      <c r="K3" s="145">
        <v>6442.7239999999874</v>
      </c>
      <c r="L3" s="148"/>
      <c r="M3" s="148">
        <v>6442.7239999999874</v>
      </c>
      <c r="N3" s="146"/>
      <c r="O3" s="59"/>
    </row>
    <row r="4" spans="1:17">
      <c r="A4" s="46">
        <v>1</v>
      </c>
      <c r="B4" s="201">
        <v>46082</v>
      </c>
      <c r="C4" s="25"/>
      <c r="D4" s="25"/>
      <c r="E4" s="8"/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48">
        <v>0</v>
      </c>
      <c r="M4" s="8">
        <f>M3+K4-L4</f>
        <v>6442.7239999999874</v>
      </c>
      <c r="N4" s="44"/>
      <c r="O4" s="1"/>
    </row>
    <row r="5" spans="1:17">
      <c r="A5" s="46">
        <v>2</v>
      </c>
      <c r="B5" s="201">
        <v>46083</v>
      </c>
      <c r="C5" s="25"/>
      <c r="D5" s="25"/>
      <c r="E5" s="8"/>
      <c r="F5" s="8">
        <v>0</v>
      </c>
      <c r="G5" s="8">
        <f t="shared" ref="G5:G33" si="0">E5*F5</f>
        <v>0</v>
      </c>
      <c r="H5" s="9">
        <v>0</v>
      </c>
      <c r="I5" s="9">
        <v>0</v>
      </c>
      <c r="J5" s="8">
        <f t="shared" ref="J5:J33" si="1">H5*I5</f>
        <v>0</v>
      </c>
      <c r="K5" s="8">
        <f t="shared" ref="K5:K33" si="2">G5+J5</f>
        <v>0</v>
      </c>
      <c r="L5" s="148">
        <v>6422</v>
      </c>
      <c r="M5" s="8">
        <f t="shared" ref="M5:M23" si="3">M4+K5-L5</f>
        <v>20.723999999987427</v>
      </c>
      <c r="N5" s="44"/>
      <c r="O5" s="1"/>
    </row>
    <row r="6" spans="1:17">
      <c r="A6" s="46">
        <v>3</v>
      </c>
      <c r="B6" s="201">
        <v>46084</v>
      </c>
      <c r="C6" s="25"/>
      <c r="D6" s="25"/>
      <c r="E6" s="8"/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48">
        <v>20.72</v>
      </c>
      <c r="M6" s="8">
        <f t="shared" si="3"/>
        <v>3.9999999874282821E-3</v>
      </c>
      <c r="N6" s="44" t="s">
        <v>229</v>
      </c>
      <c r="O6" s="1"/>
    </row>
    <row r="7" spans="1:17">
      <c r="A7" s="46">
        <v>4</v>
      </c>
      <c r="B7" s="201">
        <v>46085</v>
      </c>
      <c r="C7" s="25"/>
      <c r="D7" s="25"/>
      <c r="E7" s="8"/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48">
        <v>0</v>
      </c>
      <c r="M7" s="8">
        <f t="shared" si="3"/>
        <v>3.9999999874282821E-3</v>
      </c>
      <c r="N7" s="44"/>
      <c r="O7" s="1"/>
    </row>
    <row r="8" spans="1:17">
      <c r="A8" s="46">
        <v>5</v>
      </c>
      <c r="B8" s="201">
        <v>46086</v>
      </c>
      <c r="C8" s="25"/>
      <c r="D8" s="25"/>
      <c r="E8" s="8"/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48">
        <v>0</v>
      </c>
      <c r="M8" s="8">
        <f t="shared" si="3"/>
        <v>3.9999999874282821E-3</v>
      </c>
      <c r="N8" s="44"/>
      <c r="O8" s="1"/>
    </row>
    <row r="9" spans="1:17">
      <c r="A9" s="46">
        <v>6</v>
      </c>
      <c r="B9" s="201">
        <v>46087</v>
      </c>
      <c r="C9" s="25"/>
      <c r="D9" s="25"/>
      <c r="E9" s="8"/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48">
        <v>0</v>
      </c>
      <c r="M9" s="8">
        <f t="shared" si="3"/>
        <v>3.9999999874282821E-3</v>
      </c>
      <c r="N9" s="44"/>
      <c r="O9" s="1"/>
    </row>
    <row r="10" spans="1:17">
      <c r="A10" s="46">
        <v>7</v>
      </c>
      <c r="B10" s="201">
        <v>46088</v>
      </c>
      <c r="C10" s="25"/>
      <c r="D10" s="25"/>
      <c r="E10" s="8"/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48">
        <v>0</v>
      </c>
      <c r="M10" s="8">
        <f t="shared" si="3"/>
        <v>3.9999999874282821E-3</v>
      </c>
      <c r="N10" s="44"/>
      <c r="O10" s="1"/>
    </row>
    <row r="11" spans="1:17">
      <c r="A11" s="46">
        <v>8</v>
      </c>
      <c r="B11" s="201">
        <v>46089</v>
      </c>
      <c r="C11" s="25"/>
      <c r="D11" s="25"/>
      <c r="E11" s="8"/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48">
        <v>0</v>
      </c>
      <c r="M11" s="8">
        <f t="shared" si="3"/>
        <v>3.9999999874282821E-3</v>
      </c>
      <c r="N11" s="44"/>
      <c r="O11" s="1"/>
    </row>
    <row r="12" spans="1:17">
      <c r="A12" s="46">
        <v>9</v>
      </c>
      <c r="B12" s="201">
        <v>46090</v>
      </c>
      <c r="C12" s="25"/>
      <c r="D12" s="25"/>
      <c r="E12" s="8"/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48">
        <v>0</v>
      </c>
      <c r="M12" s="8">
        <f t="shared" si="3"/>
        <v>3.9999999874282821E-3</v>
      </c>
      <c r="N12" s="44"/>
      <c r="O12" s="1" t="s">
        <v>225</v>
      </c>
    </row>
    <row r="13" spans="1:17">
      <c r="A13" s="46">
        <v>10</v>
      </c>
      <c r="B13" s="201">
        <v>46091</v>
      </c>
      <c r="C13" s="25"/>
      <c r="D13" s="25"/>
      <c r="E13" s="8"/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148">
        <v>0</v>
      </c>
      <c r="M13" s="8">
        <f t="shared" si="3"/>
        <v>3.9999999874282821E-3</v>
      </c>
      <c r="N13" s="44"/>
      <c r="O13" s="1"/>
      <c r="Q13" s="148"/>
    </row>
    <row r="14" spans="1:17">
      <c r="A14" s="46">
        <v>11</v>
      </c>
      <c r="B14" s="201">
        <v>46092</v>
      </c>
      <c r="C14" s="25"/>
      <c r="D14" s="25"/>
      <c r="E14" s="8"/>
      <c r="F14" s="8">
        <v>0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148">
        <v>0</v>
      </c>
      <c r="M14" s="8">
        <f t="shared" si="3"/>
        <v>3.9999999874282821E-3</v>
      </c>
      <c r="N14" s="44"/>
      <c r="O14" s="1"/>
    </row>
    <row r="15" spans="1:17">
      <c r="A15" s="46">
        <v>12</v>
      </c>
      <c r="B15" s="201">
        <v>46093</v>
      </c>
      <c r="C15" s="25"/>
      <c r="D15" s="25"/>
      <c r="E15" s="8"/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48">
        <v>0</v>
      </c>
      <c r="M15" s="8">
        <f t="shared" si="3"/>
        <v>3.9999999874282821E-3</v>
      </c>
      <c r="N15" s="44"/>
      <c r="O15" s="1"/>
    </row>
    <row r="16" spans="1:17">
      <c r="A16" s="46">
        <v>13</v>
      </c>
      <c r="B16" s="201">
        <v>46094</v>
      </c>
      <c r="C16" s="25"/>
      <c r="D16" s="25"/>
      <c r="E16" s="8"/>
      <c r="F16" s="8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148">
        <v>0</v>
      </c>
      <c r="M16" s="8">
        <f t="shared" si="3"/>
        <v>3.9999999874282821E-3</v>
      </c>
      <c r="N16" s="44"/>
      <c r="O16" s="1"/>
    </row>
    <row r="17" spans="1:15">
      <c r="A17" s="46">
        <v>14</v>
      </c>
      <c r="B17" s="201">
        <v>46095</v>
      </c>
      <c r="C17" s="25"/>
      <c r="D17" s="25"/>
      <c r="E17" s="8"/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148">
        <v>0</v>
      </c>
      <c r="M17" s="8">
        <f t="shared" si="3"/>
        <v>3.9999999874282821E-3</v>
      </c>
      <c r="N17" s="44"/>
      <c r="O17" s="1"/>
    </row>
    <row r="18" spans="1:15">
      <c r="A18" s="46">
        <v>15</v>
      </c>
      <c r="B18" s="201">
        <v>46096</v>
      </c>
      <c r="C18" s="25"/>
      <c r="D18" s="25"/>
      <c r="E18" s="8"/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48">
        <v>0</v>
      </c>
      <c r="M18" s="8">
        <f t="shared" si="3"/>
        <v>3.9999999874282821E-3</v>
      </c>
      <c r="N18" s="44"/>
      <c r="O18" s="1"/>
    </row>
    <row r="19" spans="1:15">
      <c r="A19" s="46">
        <v>16</v>
      </c>
      <c r="B19" s="201">
        <v>46097</v>
      </c>
      <c r="C19" s="25"/>
      <c r="D19" s="25"/>
      <c r="E19" s="8"/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148">
        <v>0</v>
      </c>
      <c r="M19" s="8">
        <f t="shared" si="3"/>
        <v>3.9999999874282821E-3</v>
      </c>
      <c r="N19" s="44"/>
      <c r="O19" s="1"/>
    </row>
    <row r="20" spans="1:15">
      <c r="A20" s="46">
        <v>17</v>
      </c>
      <c r="B20" s="201">
        <v>46098</v>
      </c>
      <c r="C20" s="25"/>
      <c r="D20" s="25"/>
      <c r="E20" s="8"/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48">
        <v>0</v>
      </c>
      <c r="M20" s="8">
        <f t="shared" si="3"/>
        <v>3.9999999874282821E-3</v>
      </c>
      <c r="N20" s="44"/>
      <c r="O20" s="1"/>
    </row>
    <row r="21" spans="1:15">
      <c r="A21" s="46">
        <v>18</v>
      </c>
      <c r="B21" s="201">
        <v>46099</v>
      </c>
      <c r="C21" s="25"/>
      <c r="D21" s="25"/>
      <c r="E21" s="8"/>
      <c r="F21" s="8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148">
        <v>0</v>
      </c>
      <c r="M21" s="8">
        <f t="shared" si="3"/>
        <v>3.9999999874282821E-3</v>
      </c>
      <c r="N21" s="44"/>
      <c r="O21" s="1"/>
    </row>
    <row r="22" spans="1:15">
      <c r="A22" s="46">
        <v>19</v>
      </c>
      <c r="B22" s="201">
        <v>46100</v>
      </c>
      <c r="C22" s="25"/>
      <c r="D22" s="25"/>
      <c r="E22" s="8"/>
      <c r="F22" s="8"/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48">
        <v>0</v>
      </c>
      <c r="M22" s="8">
        <f t="shared" si="3"/>
        <v>3.9999999874282821E-3</v>
      </c>
      <c r="N22" s="44"/>
      <c r="O22" s="1"/>
    </row>
    <row r="23" spans="1:15">
      <c r="A23" s="46">
        <v>20</v>
      </c>
      <c r="B23" s="201">
        <v>46101</v>
      </c>
      <c r="C23" s="25"/>
      <c r="D23" s="25"/>
      <c r="E23" s="8"/>
      <c r="F23" s="8"/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48">
        <v>0</v>
      </c>
      <c r="M23" s="8">
        <f t="shared" si="3"/>
        <v>3.9999999874282821E-3</v>
      </c>
      <c r="N23" s="44"/>
      <c r="O23" s="1"/>
    </row>
    <row r="24" spans="1:15">
      <c r="A24" s="46">
        <v>21</v>
      </c>
      <c r="B24" s="201">
        <v>46102</v>
      </c>
      <c r="C24" s="25"/>
      <c r="D24" s="25"/>
      <c r="E24" s="8"/>
      <c r="F24" s="8"/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148">
        <v>0</v>
      </c>
      <c r="M24" s="8">
        <f t="shared" ref="M24:M34" si="4">M23+K24-L24</f>
        <v>3.9999999874282821E-3</v>
      </c>
      <c r="N24" s="44"/>
      <c r="O24" s="1"/>
    </row>
    <row r="25" spans="1:15">
      <c r="A25" s="46">
        <v>22</v>
      </c>
      <c r="B25" s="201">
        <v>46103</v>
      </c>
      <c r="C25" s="25"/>
      <c r="D25" s="25"/>
      <c r="E25" s="8"/>
      <c r="F25" s="8"/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48">
        <v>0</v>
      </c>
      <c r="M25" s="8">
        <f t="shared" si="4"/>
        <v>3.9999999874282821E-3</v>
      </c>
      <c r="N25" s="44"/>
      <c r="O25" s="1"/>
    </row>
    <row r="26" spans="1:15">
      <c r="A26" s="46">
        <v>23</v>
      </c>
      <c r="B26" s="201">
        <v>46104</v>
      </c>
      <c r="C26" s="25"/>
      <c r="D26" s="25"/>
      <c r="E26" s="8"/>
      <c r="F26" s="8"/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48">
        <v>0</v>
      </c>
      <c r="M26" s="8">
        <f t="shared" si="4"/>
        <v>3.9999999874282821E-3</v>
      </c>
      <c r="N26" s="44"/>
      <c r="O26" s="1"/>
    </row>
    <row r="27" spans="1:15">
      <c r="A27" s="46">
        <v>24</v>
      </c>
      <c r="B27" s="201">
        <v>46105</v>
      </c>
      <c r="C27" s="25"/>
      <c r="D27" s="25"/>
      <c r="E27" s="8"/>
      <c r="F27" s="8"/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48">
        <v>0</v>
      </c>
      <c r="M27" s="8">
        <f t="shared" si="4"/>
        <v>3.9999999874282821E-3</v>
      </c>
      <c r="N27" s="44"/>
      <c r="O27" s="1"/>
    </row>
    <row r="28" spans="1:15">
      <c r="A28" s="46">
        <v>25</v>
      </c>
      <c r="B28" s="201">
        <v>46106</v>
      </c>
      <c r="C28" s="25"/>
      <c r="D28" s="25"/>
      <c r="E28" s="8"/>
      <c r="F28" s="8"/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148">
        <v>0</v>
      </c>
      <c r="M28" s="8">
        <f t="shared" si="4"/>
        <v>3.9999999874282821E-3</v>
      </c>
      <c r="N28" s="44"/>
      <c r="O28" s="1"/>
    </row>
    <row r="29" spans="1:15">
      <c r="A29" s="46">
        <v>26</v>
      </c>
      <c r="B29" s="201">
        <v>46107</v>
      </c>
      <c r="C29" s="25"/>
      <c r="D29" s="25"/>
      <c r="E29" s="8"/>
      <c r="F29" s="8"/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48">
        <v>0</v>
      </c>
      <c r="M29" s="8">
        <f t="shared" si="4"/>
        <v>3.9999999874282821E-3</v>
      </c>
      <c r="N29" s="44"/>
      <c r="O29" s="1"/>
    </row>
    <row r="30" spans="1:15">
      <c r="A30" s="46">
        <v>27</v>
      </c>
      <c r="B30" s="201">
        <v>46108</v>
      </c>
      <c r="C30" s="25"/>
      <c r="D30" s="25"/>
      <c r="E30" s="8"/>
      <c r="F30" s="8"/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48">
        <v>0</v>
      </c>
      <c r="M30" s="8">
        <f t="shared" si="4"/>
        <v>3.9999999874282821E-3</v>
      </c>
      <c r="N30" s="44"/>
      <c r="O30" s="1"/>
    </row>
    <row r="31" spans="1:15">
      <c r="A31" s="46">
        <v>28</v>
      </c>
      <c r="B31" s="201">
        <v>46109</v>
      </c>
      <c r="C31" s="25"/>
      <c r="D31" s="25"/>
      <c r="E31" s="8"/>
      <c r="F31" s="8"/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48">
        <v>0</v>
      </c>
      <c r="M31" s="8">
        <f t="shared" si="4"/>
        <v>3.9999999874282821E-3</v>
      </c>
      <c r="N31" s="44"/>
      <c r="O31" s="1"/>
    </row>
    <row r="32" spans="1:15">
      <c r="A32" s="196">
        <v>29</v>
      </c>
      <c r="B32" s="201">
        <v>46110</v>
      </c>
      <c r="C32" s="25"/>
      <c r="D32" s="25"/>
      <c r="E32" s="8"/>
      <c r="F32" s="8"/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>
        <f t="shared" si="2"/>
        <v>0</v>
      </c>
      <c r="L32" s="148">
        <v>0</v>
      </c>
      <c r="M32" s="8">
        <f t="shared" si="4"/>
        <v>3.9999999874282821E-3</v>
      </c>
      <c r="N32" s="44"/>
      <c r="O32" s="1"/>
    </row>
    <row r="33" spans="1:17">
      <c r="A33" s="196">
        <v>30</v>
      </c>
      <c r="B33" s="201">
        <v>46111</v>
      </c>
      <c r="C33" s="25"/>
      <c r="D33" s="25"/>
      <c r="E33" s="8"/>
      <c r="F33" s="8"/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48">
        <v>0</v>
      </c>
      <c r="M33" s="8">
        <f t="shared" si="4"/>
        <v>3.9999999874282821E-3</v>
      </c>
      <c r="N33" s="44"/>
      <c r="O33" s="1"/>
      <c r="Q33">
        <v>30</v>
      </c>
    </row>
    <row r="34" spans="1:17">
      <c r="A34" s="196">
        <v>31</v>
      </c>
      <c r="B34" s="201"/>
      <c r="C34" s="25"/>
      <c r="D34" s="25"/>
      <c r="E34" s="8">
        <v>0</v>
      </c>
      <c r="F34" s="8">
        <v>0</v>
      </c>
      <c r="G34" s="8">
        <f t="shared" ref="G34" si="5">E34*F34</f>
        <v>0</v>
      </c>
      <c r="H34" s="9">
        <v>0</v>
      </c>
      <c r="I34" s="9">
        <v>0</v>
      </c>
      <c r="J34" s="8">
        <f t="shared" ref="J34" si="6">H34*I34</f>
        <v>0</v>
      </c>
      <c r="K34" s="8">
        <f t="shared" ref="K34" si="7">G34+J34</f>
        <v>0</v>
      </c>
      <c r="L34" s="148">
        <f t="shared" ref="L34" si="8">+K34</f>
        <v>0</v>
      </c>
      <c r="M34" s="8">
        <f t="shared" si="4"/>
        <v>3.9999999874282821E-3</v>
      </c>
      <c r="N34" s="44"/>
      <c r="O34" s="1"/>
    </row>
    <row r="35" spans="1:17">
      <c r="A35" s="62"/>
      <c r="B35" s="62"/>
      <c r="C35" s="62"/>
      <c r="D35" s="62"/>
      <c r="E35" s="63">
        <f>SUM(E4:E34)</f>
        <v>0</v>
      </c>
      <c r="F35" s="63"/>
      <c r="G35" s="63">
        <f>SUM(G4:G34)</f>
        <v>0</v>
      </c>
      <c r="H35" s="63">
        <f>SUM(H4:H34)</f>
        <v>0</v>
      </c>
      <c r="I35" s="63"/>
      <c r="J35" s="63">
        <f>SUM(J4:J34)</f>
        <v>0</v>
      </c>
      <c r="K35" s="63">
        <f>SUM(K4:K34)</f>
        <v>0</v>
      </c>
      <c r="L35" s="63">
        <f>SUM(L4:L34)</f>
        <v>6442.72</v>
      </c>
      <c r="M35" s="63"/>
      <c r="N35" s="63"/>
      <c r="O35" s="59"/>
    </row>
    <row r="36" spans="1:17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7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7">
      <c r="A38" s="1"/>
      <c r="B38" s="446"/>
      <c r="C38" s="446"/>
      <c r="D38" s="446"/>
      <c r="E38" s="446"/>
      <c r="F38" s="1"/>
      <c r="G38" s="1"/>
      <c r="H38" s="1"/>
      <c r="I38" s="484">
        <f>K24+L24</f>
        <v>0</v>
      </c>
      <c r="J38" s="446"/>
      <c r="K38" s="446"/>
      <c r="L38" s="446"/>
      <c r="M38" s="446"/>
      <c r="N38" s="446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D1B-A817-4C7F-A5CC-FB5F768C0F89}">
  <sheetPr>
    <tabColor rgb="FF7030A0"/>
  </sheetPr>
  <dimension ref="A1:O51"/>
  <sheetViews>
    <sheetView workbookViewId="0">
      <selection activeCell="M34" sqref="M34"/>
    </sheetView>
  </sheetViews>
  <sheetFormatPr defaultRowHeight="15"/>
  <cols>
    <col min="2" max="2" width="10" bestFit="1" customWidth="1"/>
    <col min="7" max="7" width="11.85546875" bestFit="1" customWidth="1"/>
    <col min="10" max="10" width="10.85546875" bestFit="1" customWidth="1"/>
    <col min="11" max="12" width="13.5703125" bestFit="1" customWidth="1"/>
    <col min="13" max="13" width="11.85546875" bestFit="1" customWidth="1"/>
  </cols>
  <sheetData>
    <row r="1" spans="1:15" ht="15.75">
      <c r="A1" s="459" t="s">
        <v>135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53"/>
    </row>
    <row r="2" spans="1:15" ht="30.75">
      <c r="A2" s="64" t="s">
        <v>0</v>
      </c>
      <c r="B2" s="83" t="s">
        <v>161</v>
      </c>
      <c r="C2" s="83" t="s">
        <v>162</v>
      </c>
      <c r="D2" s="83" t="s">
        <v>163</v>
      </c>
      <c r="E2" s="83" t="s">
        <v>164</v>
      </c>
      <c r="F2" s="83" t="s">
        <v>165</v>
      </c>
      <c r="G2" s="83" t="s">
        <v>166</v>
      </c>
      <c r="H2" s="83" t="s">
        <v>167</v>
      </c>
      <c r="I2" s="83" t="s">
        <v>165</v>
      </c>
      <c r="J2" s="84" t="s">
        <v>166</v>
      </c>
      <c r="K2" s="64" t="s">
        <v>168</v>
      </c>
      <c r="L2" s="85" t="s">
        <v>169</v>
      </c>
      <c r="M2" s="166" t="s">
        <v>181</v>
      </c>
      <c r="N2" s="83" t="s">
        <v>171</v>
      </c>
      <c r="O2" s="59"/>
    </row>
    <row r="3" spans="1:15">
      <c r="A3" s="145"/>
      <c r="B3" s="146"/>
      <c r="C3" s="146"/>
      <c r="D3" s="132" t="s">
        <v>172</v>
      </c>
      <c r="E3" s="146"/>
      <c r="F3" s="146"/>
      <c r="G3" s="146"/>
      <c r="H3" s="146"/>
      <c r="I3" s="146"/>
      <c r="J3" s="147"/>
      <c r="K3" s="263"/>
      <c r="L3" s="231">
        <v>149508.67440000002</v>
      </c>
      <c r="M3" s="231">
        <v>149508.67440000002</v>
      </c>
      <c r="N3" s="146"/>
      <c r="O3" s="59"/>
    </row>
    <row r="4" spans="1:15">
      <c r="A4" s="46">
        <v>1</v>
      </c>
      <c r="B4" s="201">
        <v>46082</v>
      </c>
      <c r="C4" s="25"/>
      <c r="D4" s="25"/>
      <c r="E4" s="8">
        <v>20</v>
      </c>
      <c r="F4" s="8">
        <v>91.89</v>
      </c>
      <c r="G4" s="8">
        <f>E4*F4</f>
        <v>1837.8</v>
      </c>
      <c r="H4" s="9">
        <v>5</v>
      </c>
      <c r="I4" s="9">
        <v>103.85</v>
      </c>
      <c r="J4" s="8">
        <f>H4*I4</f>
        <v>519.25</v>
      </c>
      <c r="K4" s="8">
        <f>G4+J4</f>
        <v>2357.0500000000002</v>
      </c>
      <c r="L4" s="148">
        <v>0</v>
      </c>
      <c r="M4" s="8">
        <f>M3+K4-L4</f>
        <v>151865.72440000001</v>
      </c>
      <c r="N4" s="44"/>
      <c r="O4" s="1"/>
    </row>
    <row r="5" spans="1:15">
      <c r="A5" s="46">
        <v>2</v>
      </c>
      <c r="B5" s="201">
        <v>46083</v>
      </c>
      <c r="C5" s="25"/>
      <c r="D5" s="25"/>
      <c r="E5" s="8">
        <v>100.16</v>
      </c>
      <c r="F5" s="8">
        <v>91.89</v>
      </c>
      <c r="G5" s="8">
        <f t="shared" ref="G5:G35" si="0">E5*F5</f>
        <v>9203.7024000000001</v>
      </c>
      <c r="H5" s="9"/>
      <c r="I5" s="9"/>
      <c r="J5" s="8">
        <f t="shared" ref="J5:J35" si="1">H5*I5</f>
        <v>0</v>
      </c>
      <c r="K5" s="8">
        <f t="shared" ref="K5:K35" si="2">G5+J5</f>
        <v>9203.7024000000001</v>
      </c>
      <c r="L5" s="148">
        <v>0</v>
      </c>
      <c r="M5" s="8">
        <f t="shared" ref="M5:M15" si="3">M4+K5-L5</f>
        <v>161069.42680000002</v>
      </c>
      <c r="N5" s="44"/>
      <c r="O5" s="1"/>
    </row>
    <row r="6" spans="1:15">
      <c r="A6" s="46">
        <v>3</v>
      </c>
      <c r="B6" s="201">
        <v>46084</v>
      </c>
      <c r="C6" s="25"/>
      <c r="D6" s="25"/>
      <c r="E6" s="8">
        <v>391.19</v>
      </c>
      <c r="F6" s="8">
        <v>91.89</v>
      </c>
      <c r="G6" s="8">
        <f t="shared" si="0"/>
        <v>35946.449099999998</v>
      </c>
      <c r="H6" s="9"/>
      <c r="I6" s="9"/>
      <c r="J6" s="8">
        <f t="shared" si="1"/>
        <v>0</v>
      </c>
      <c r="K6" s="8">
        <f t="shared" si="2"/>
        <v>35946.449099999998</v>
      </c>
      <c r="L6" s="148">
        <v>0</v>
      </c>
      <c r="M6" s="8">
        <f t="shared" si="3"/>
        <v>197015.87590000001</v>
      </c>
      <c r="N6" s="44"/>
      <c r="O6" s="1"/>
    </row>
    <row r="7" spans="1:15">
      <c r="A7" s="46">
        <v>4</v>
      </c>
      <c r="B7" s="201">
        <v>46085</v>
      </c>
      <c r="C7" s="25"/>
      <c r="D7" s="25"/>
      <c r="E7" s="8">
        <v>20</v>
      </c>
      <c r="F7" s="8">
        <v>91.89</v>
      </c>
      <c r="G7" s="8">
        <f t="shared" si="0"/>
        <v>1837.8</v>
      </c>
      <c r="H7" s="9">
        <v>10</v>
      </c>
      <c r="I7" s="9">
        <v>103.85</v>
      </c>
      <c r="J7" s="8">
        <f t="shared" si="1"/>
        <v>1038.5</v>
      </c>
      <c r="K7" s="8">
        <f t="shared" si="2"/>
        <v>2876.3</v>
      </c>
      <c r="L7" s="148">
        <v>0</v>
      </c>
      <c r="M7" s="8">
        <f t="shared" si="3"/>
        <v>199892.1759</v>
      </c>
      <c r="N7" s="44"/>
      <c r="O7" s="1"/>
    </row>
    <row r="8" spans="1:15">
      <c r="A8" s="46">
        <v>5</v>
      </c>
      <c r="B8" s="201">
        <v>46086</v>
      </c>
      <c r="C8" s="25"/>
      <c r="D8" s="25"/>
      <c r="E8" s="8">
        <v>70</v>
      </c>
      <c r="F8" s="8">
        <v>91.89</v>
      </c>
      <c r="G8" s="8">
        <f t="shared" si="0"/>
        <v>6432.3</v>
      </c>
      <c r="H8" s="9">
        <v>5</v>
      </c>
      <c r="I8" s="9">
        <v>103.85</v>
      </c>
      <c r="J8" s="8">
        <f t="shared" si="1"/>
        <v>519.25</v>
      </c>
      <c r="K8" s="8">
        <f t="shared" si="2"/>
        <v>6951.55</v>
      </c>
      <c r="L8" s="148">
        <v>0</v>
      </c>
      <c r="M8" s="8">
        <f t="shared" si="3"/>
        <v>206843.72589999999</v>
      </c>
      <c r="N8" s="44"/>
      <c r="O8" s="1"/>
    </row>
    <row r="9" spans="1:15">
      <c r="A9" s="46">
        <v>6</v>
      </c>
      <c r="B9" s="201">
        <v>46087</v>
      </c>
      <c r="C9" s="25"/>
      <c r="D9" s="25"/>
      <c r="E9" s="8">
        <v>218.08</v>
      </c>
      <c r="F9" s="8">
        <v>91.89</v>
      </c>
      <c r="G9" s="8">
        <f t="shared" si="0"/>
        <v>20039.371200000001</v>
      </c>
      <c r="H9" s="9"/>
      <c r="I9" s="9"/>
      <c r="J9" s="8">
        <f t="shared" si="1"/>
        <v>0</v>
      </c>
      <c r="K9" s="8">
        <f t="shared" si="2"/>
        <v>20039.371200000001</v>
      </c>
      <c r="L9" s="148">
        <v>0</v>
      </c>
      <c r="M9" s="8">
        <f t="shared" si="3"/>
        <v>226883.09709999998</v>
      </c>
      <c r="N9" s="44"/>
      <c r="O9" s="1"/>
    </row>
    <row r="10" spans="1:15">
      <c r="A10" s="46">
        <v>7</v>
      </c>
      <c r="B10" s="201">
        <v>46088</v>
      </c>
      <c r="C10" s="25"/>
      <c r="D10" s="25"/>
      <c r="E10" s="8">
        <v>290</v>
      </c>
      <c r="F10" s="8">
        <v>91.89</v>
      </c>
      <c r="G10" s="8">
        <f t="shared" si="0"/>
        <v>26648.1</v>
      </c>
      <c r="H10" s="9">
        <v>6</v>
      </c>
      <c r="I10" s="9">
        <v>103.85</v>
      </c>
      <c r="J10" s="8">
        <f t="shared" si="1"/>
        <v>623.09999999999991</v>
      </c>
      <c r="K10" s="8">
        <f t="shared" si="2"/>
        <v>27271.199999999997</v>
      </c>
      <c r="L10" s="148">
        <v>0</v>
      </c>
      <c r="M10" s="8">
        <f t="shared" si="3"/>
        <v>254154.29709999997</v>
      </c>
      <c r="N10" s="44"/>
      <c r="O10" s="1"/>
    </row>
    <row r="11" spans="1:15">
      <c r="A11" s="46">
        <v>8</v>
      </c>
      <c r="B11" s="201">
        <v>46089</v>
      </c>
      <c r="C11" s="25"/>
      <c r="D11" s="25"/>
      <c r="E11" s="8">
        <v>100</v>
      </c>
      <c r="F11" s="8">
        <v>91.89</v>
      </c>
      <c r="G11" s="8">
        <f t="shared" si="0"/>
        <v>9189</v>
      </c>
      <c r="H11" s="9">
        <v>5</v>
      </c>
      <c r="I11" s="9">
        <v>103.85</v>
      </c>
      <c r="J11" s="8">
        <f t="shared" si="1"/>
        <v>519.25</v>
      </c>
      <c r="K11" s="8">
        <f t="shared" si="2"/>
        <v>9708.25</v>
      </c>
      <c r="L11" s="148">
        <v>0</v>
      </c>
      <c r="M11" s="8">
        <f t="shared" si="3"/>
        <v>263862.54709999997</v>
      </c>
      <c r="N11" s="44"/>
      <c r="O11" s="1"/>
    </row>
    <row r="12" spans="1:15">
      <c r="A12" s="46">
        <v>9</v>
      </c>
      <c r="B12" s="201">
        <v>46090</v>
      </c>
      <c r="C12" s="25"/>
      <c r="D12" s="25"/>
      <c r="E12" s="8">
        <v>205</v>
      </c>
      <c r="F12" s="8">
        <v>91.89</v>
      </c>
      <c r="G12" s="8">
        <f t="shared" si="0"/>
        <v>18837.45</v>
      </c>
      <c r="H12" s="9">
        <v>6</v>
      </c>
      <c r="I12" s="9">
        <v>103.85</v>
      </c>
      <c r="J12" s="8">
        <f t="shared" si="1"/>
        <v>623.09999999999991</v>
      </c>
      <c r="K12" s="8">
        <f t="shared" si="2"/>
        <v>19460.55</v>
      </c>
      <c r="L12" s="148">
        <v>0</v>
      </c>
      <c r="M12" s="8">
        <f t="shared" si="3"/>
        <v>283323.09709999996</v>
      </c>
      <c r="N12" s="44"/>
      <c r="O12" s="1" t="s">
        <v>225</v>
      </c>
    </row>
    <row r="13" spans="1:15">
      <c r="A13" s="46">
        <v>10</v>
      </c>
      <c r="B13" s="201">
        <v>46091</v>
      </c>
      <c r="C13" s="25"/>
      <c r="D13" s="25"/>
      <c r="E13" s="8">
        <v>375</v>
      </c>
      <c r="F13" s="8">
        <v>91.89</v>
      </c>
      <c r="G13" s="8">
        <f t="shared" si="0"/>
        <v>34458.75</v>
      </c>
      <c r="H13" s="9"/>
      <c r="I13" s="9"/>
      <c r="J13" s="8">
        <f t="shared" si="1"/>
        <v>0</v>
      </c>
      <c r="K13" s="8">
        <f t="shared" si="2"/>
        <v>34458.75</v>
      </c>
      <c r="L13" s="148">
        <v>0</v>
      </c>
      <c r="M13" s="8">
        <f t="shared" si="3"/>
        <v>317781.84709999996</v>
      </c>
      <c r="N13" s="44"/>
      <c r="O13" s="1"/>
    </row>
    <row r="14" spans="1:15">
      <c r="A14" s="46">
        <v>11</v>
      </c>
      <c r="B14" s="201">
        <v>46092</v>
      </c>
      <c r="C14" s="25"/>
      <c r="D14" s="25"/>
      <c r="E14" s="8">
        <v>150</v>
      </c>
      <c r="F14" s="8">
        <v>91.89</v>
      </c>
      <c r="G14" s="8">
        <f t="shared" si="0"/>
        <v>13783.5</v>
      </c>
      <c r="H14" s="9">
        <v>5</v>
      </c>
      <c r="I14" s="9">
        <v>103.85</v>
      </c>
      <c r="J14" s="8">
        <f t="shared" si="1"/>
        <v>519.25</v>
      </c>
      <c r="K14" s="8">
        <f t="shared" si="2"/>
        <v>14302.75</v>
      </c>
      <c r="L14" s="148">
        <v>0</v>
      </c>
      <c r="M14" s="8">
        <f t="shared" si="3"/>
        <v>332084.59709999996</v>
      </c>
      <c r="N14" s="44"/>
      <c r="O14" s="1"/>
    </row>
    <row r="15" spans="1:15">
      <c r="A15" s="46">
        <v>12</v>
      </c>
      <c r="B15" s="201">
        <v>46093</v>
      </c>
      <c r="C15" s="25"/>
      <c r="D15" s="25"/>
      <c r="E15" s="8">
        <v>130</v>
      </c>
      <c r="F15" s="8">
        <v>91.89</v>
      </c>
      <c r="G15" s="8">
        <f t="shared" si="0"/>
        <v>11945.7</v>
      </c>
      <c r="H15" s="9">
        <v>5</v>
      </c>
      <c r="I15" s="9">
        <v>103.85</v>
      </c>
      <c r="J15" s="8">
        <f t="shared" si="1"/>
        <v>519.25</v>
      </c>
      <c r="K15" s="8">
        <f t="shared" si="2"/>
        <v>12464.95</v>
      </c>
      <c r="L15" s="148">
        <v>300000</v>
      </c>
      <c r="M15" s="8">
        <f t="shared" si="3"/>
        <v>44549.547099999967</v>
      </c>
      <c r="N15" s="44"/>
      <c r="O15" s="1"/>
    </row>
    <row r="16" spans="1:15">
      <c r="A16" s="46">
        <v>13</v>
      </c>
      <c r="B16" s="201">
        <v>46094</v>
      </c>
      <c r="C16" s="25"/>
      <c r="D16" s="25"/>
      <c r="E16" s="8">
        <v>220</v>
      </c>
      <c r="F16" s="8">
        <v>91.89</v>
      </c>
      <c r="G16" s="8">
        <f t="shared" si="0"/>
        <v>20215.8</v>
      </c>
      <c r="H16" s="9">
        <v>5</v>
      </c>
      <c r="I16" s="9">
        <v>103.85</v>
      </c>
      <c r="J16" s="8">
        <f t="shared" si="1"/>
        <v>519.25</v>
      </c>
      <c r="K16" s="8">
        <f t="shared" si="2"/>
        <v>20735.05</v>
      </c>
      <c r="L16" s="148">
        <v>0</v>
      </c>
      <c r="M16" s="8">
        <f>M15+K16-L16</f>
        <v>65284.59709999997</v>
      </c>
      <c r="N16" s="44"/>
      <c r="O16" s="1"/>
    </row>
    <row r="17" spans="1:15">
      <c r="A17" s="46">
        <v>14</v>
      </c>
      <c r="B17" s="201">
        <v>46095</v>
      </c>
      <c r="C17" s="25"/>
      <c r="D17" s="25"/>
      <c r="E17" s="8">
        <v>104.53</v>
      </c>
      <c r="F17" s="8">
        <v>91.89</v>
      </c>
      <c r="G17" s="8">
        <f t="shared" si="0"/>
        <v>9605.2617000000009</v>
      </c>
      <c r="H17" s="9">
        <v>5</v>
      </c>
      <c r="I17" s="9">
        <v>103.85</v>
      </c>
      <c r="J17" s="8">
        <f t="shared" si="1"/>
        <v>519.25</v>
      </c>
      <c r="K17" s="8">
        <f t="shared" si="2"/>
        <v>10124.511700000001</v>
      </c>
      <c r="L17" s="148">
        <v>0</v>
      </c>
      <c r="M17" s="8">
        <f>M16+K17-L17</f>
        <v>75409.108799999973</v>
      </c>
      <c r="N17" s="44"/>
      <c r="O17" s="1"/>
    </row>
    <row r="18" spans="1:15">
      <c r="A18" s="46">
        <v>15</v>
      </c>
      <c r="B18" s="201">
        <v>46096</v>
      </c>
      <c r="C18" s="25"/>
      <c r="D18" s="25"/>
      <c r="E18" s="8">
        <v>20</v>
      </c>
      <c r="F18" s="8">
        <v>91.89</v>
      </c>
      <c r="G18" s="8">
        <f t="shared" si="0"/>
        <v>1837.8</v>
      </c>
      <c r="H18" s="9">
        <v>12</v>
      </c>
      <c r="I18" s="9">
        <v>103.85</v>
      </c>
      <c r="J18" s="8">
        <f t="shared" si="1"/>
        <v>1246.1999999999998</v>
      </c>
      <c r="K18" s="8">
        <f t="shared" si="2"/>
        <v>3084</v>
      </c>
      <c r="L18" s="148">
        <v>0</v>
      </c>
      <c r="M18" s="8">
        <f t="shared" ref="M18:M36" si="4">M17+K18-L18</f>
        <v>78493.108799999973</v>
      </c>
      <c r="N18" s="44"/>
      <c r="O18" s="1"/>
    </row>
    <row r="19" spans="1:15">
      <c r="A19" s="46">
        <v>16</v>
      </c>
      <c r="B19" s="201">
        <v>46097</v>
      </c>
      <c r="C19" s="25"/>
      <c r="D19" s="25"/>
      <c r="E19" s="8"/>
      <c r="F19" s="8">
        <v>91.89</v>
      </c>
      <c r="G19" s="8">
        <f t="shared" si="0"/>
        <v>0</v>
      </c>
      <c r="H19" s="9"/>
      <c r="I19" s="9">
        <v>103.85</v>
      </c>
      <c r="J19" s="8">
        <f t="shared" si="1"/>
        <v>0</v>
      </c>
      <c r="K19" s="8">
        <f t="shared" si="2"/>
        <v>0</v>
      </c>
      <c r="L19" s="148">
        <v>0</v>
      </c>
      <c r="M19" s="8">
        <f t="shared" si="4"/>
        <v>78493.108799999973</v>
      </c>
      <c r="N19" s="44"/>
      <c r="O19" s="1"/>
    </row>
    <row r="20" spans="1:15">
      <c r="A20" s="46">
        <v>17</v>
      </c>
      <c r="B20" s="201">
        <v>46098</v>
      </c>
      <c r="C20" s="25"/>
      <c r="D20" s="25"/>
      <c r="E20" s="8">
        <v>70</v>
      </c>
      <c r="F20" s="8">
        <v>91.89</v>
      </c>
      <c r="G20" s="8">
        <f t="shared" ref="G20:G34" si="5">E20*F20</f>
        <v>6432.3</v>
      </c>
      <c r="H20" s="9"/>
      <c r="I20" s="9"/>
      <c r="J20" s="8">
        <f t="shared" ref="J20:J34" si="6">H20*I20</f>
        <v>0</v>
      </c>
      <c r="K20" s="8">
        <f t="shared" si="2"/>
        <v>6432.3</v>
      </c>
      <c r="L20" s="148">
        <v>0</v>
      </c>
      <c r="M20" s="8">
        <f t="shared" si="4"/>
        <v>84925.408799999976</v>
      </c>
      <c r="N20" s="44"/>
      <c r="O20" s="1"/>
    </row>
    <row r="21" spans="1:15">
      <c r="A21" s="46">
        <v>18</v>
      </c>
      <c r="B21" s="201">
        <v>46099</v>
      </c>
      <c r="C21" s="25"/>
      <c r="D21" s="25"/>
      <c r="E21" s="8">
        <v>270</v>
      </c>
      <c r="F21" s="8">
        <v>91.89</v>
      </c>
      <c r="G21" s="8">
        <f t="shared" si="5"/>
        <v>24810.3</v>
      </c>
      <c r="H21" s="9"/>
      <c r="I21" s="9"/>
      <c r="J21" s="8">
        <f t="shared" si="6"/>
        <v>0</v>
      </c>
      <c r="K21" s="8">
        <f t="shared" si="2"/>
        <v>24810.3</v>
      </c>
      <c r="L21" s="148">
        <v>0</v>
      </c>
      <c r="M21" s="8">
        <f t="shared" si="4"/>
        <v>109735.70879999998</v>
      </c>
      <c r="N21" s="44"/>
      <c r="O21" s="1"/>
    </row>
    <row r="22" spans="1:15">
      <c r="A22" s="46">
        <v>19</v>
      </c>
      <c r="B22" s="201">
        <v>46100</v>
      </c>
      <c r="C22" s="25"/>
      <c r="D22" s="25"/>
      <c r="E22" s="8"/>
      <c r="F22" s="8"/>
      <c r="G22" s="8">
        <f t="shared" si="5"/>
        <v>0</v>
      </c>
      <c r="H22" s="9"/>
      <c r="I22" s="9"/>
      <c r="J22" s="8">
        <f>H22*I22</f>
        <v>0</v>
      </c>
      <c r="K22" s="8">
        <f>G22+J22</f>
        <v>0</v>
      </c>
      <c r="L22" s="148">
        <v>0</v>
      </c>
      <c r="M22" s="8">
        <f t="shared" si="4"/>
        <v>109735.70879999998</v>
      </c>
      <c r="N22" s="44"/>
      <c r="O22" s="1"/>
    </row>
    <row r="23" spans="1:15">
      <c r="A23" s="46">
        <v>20</v>
      </c>
      <c r="B23" s="201">
        <v>46101</v>
      </c>
      <c r="C23" s="25"/>
      <c r="D23" s="25"/>
      <c r="E23" s="8">
        <v>235</v>
      </c>
      <c r="F23" s="8">
        <v>91.89</v>
      </c>
      <c r="G23" s="8">
        <f t="shared" si="5"/>
        <v>21594.15</v>
      </c>
      <c r="H23" s="9">
        <v>10</v>
      </c>
      <c r="I23" s="9">
        <v>103.85</v>
      </c>
      <c r="J23" s="8">
        <f>H23*I23</f>
        <v>1038.5</v>
      </c>
      <c r="K23" s="8">
        <f>G23+J23</f>
        <v>22632.65</v>
      </c>
      <c r="L23" s="148">
        <v>0</v>
      </c>
      <c r="M23" s="8">
        <f t="shared" si="4"/>
        <v>132368.35879999999</v>
      </c>
      <c r="N23" s="44"/>
      <c r="O23" s="1"/>
    </row>
    <row r="24" spans="1:15">
      <c r="A24" s="46">
        <v>21</v>
      </c>
      <c r="B24" s="201">
        <v>46102</v>
      </c>
      <c r="C24" s="25"/>
      <c r="D24" s="25"/>
      <c r="E24" s="8"/>
      <c r="F24" s="8"/>
      <c r="G24" s="8">
        <f t="shared" si="5"/>
        <v>0</v>
      </c>
      <c r="H24" s="9"/>
      <c r="I24" s="9"/>
      <c r="J24" s="8">
        <f>H24*I24</f>
        <v>0</v>
      </c>
      <c r="K24" s="8">
        <f>G24+J24</f>
        <v>0</v>
      </c>
      <c r="L24" s="148">
        <v>0</v>
      </c>
      <c r="M24" s="8">
        <f t="shared" si="4"/>
        <v>132368.35879999999</v>
      </c>
      <c r="N24" s="44"/>
      <c r="O24" s="1"/>
    </row>
    <row r="25" spans="1:15">
      <c r="A25" s="46">
        <v>22</v>
      </c>
      <c r="B25" s="201">
        <v>46103</v>
      </c>
      <c r="C25" s="25"/>
      <c r="D25" s="25"/>
      <c r="E25" s="8">
        <v>100</v>
      </c>
      <c r="F25" s="8">
        <v>91.89</v>
      </c>
      <c r="G25" s="8">
        <f t="shared" si="5"/>
        <v>9189</v>
      </c>
      <c r="H25" s="9"/>
      <c r="I25" s="9"/>
      <c r="J25" s="8">
        <f>H25*I25</f>
        <v>0</v>
      </c>
      <c r="K25" s="8">
        <f>G25+J25</f>
        <v>9189</v>
      </c>
      <c r="L25" s="148">
        <v>0</v>
      </c>
      <c r="M25" s="8">
        <f t="shared" si="4"/>
        <v>141557.35879999999</v>
      </c>
      <c r="N25" s="44"/>
      <c r="O25" s="1"/>
    </row>
    <row r="26" spans="1:15">
      <c r="A26" s="46">
        <v>23</v>
      </c>
      <c r="B26" s="201">
        <v>46104</v>
      </c>
      <c r="C26" s="25"/>
      <c r="D26" s="25"/>
      <c r="E26" s="8">
        <v>30</v>
      </c>
      <c r="F26" s="8">
        <v>91.89</v>
      </c>
      <c r="G26" s="8">
        <f t="shared" si="5"/>
        <v>2756.7</v>
      </c>
      <c r="H26" s="9"/>
      <c r="I26" s="9"/>
      <c r="J26" s="8">
        <f t="shared" si="6"/>
        <v>0</v>
      </c>
      <c r="K26" s="8">
        <f>G26+J26</f>
        <v>2756.7</v>
      </c>
      <c r="L26" s="148">
        <v>0</v>
      </c>
      <c r="M26" s="8">
        <f t="shared" si="4"/>
        <v>144314.0588</v>
      </c>
      <c r="N26" s="44"/>
      <c r="O26" s="1"/>
    </row>
    <row r="27" spans="1:15">
      <c r="A27" s="46">
        <v>24</v>
      </c>
      <c r="B27" s="201">
        <v>46105</v>
      </c>
      <c r="C27" s="25"/>
      <c r="D27" s="25"/>
      <c r="E27" s="8">
        <v>218.4</v>
      </c>
      <c r="F27" s="8">
        <v>91.89</v>
      </c>
      <c r="G27" s="8">
        <f t="shared" si="5"/>
        <v>20068.776000000002</v>
      </c>
      <c r="H27" s="9"/>
      <c r="I27" s="9"/>
      <c r="J27" s="8">
        <f t="shared" si="6"/>
        <v>0</v>
      </c>
      <c r="K27" s="8">
        <f>G27+J27</f>
        <v>20068.776000000002</v>
      </c>
      <c r="L27" s="148">
        <v>0</v>
      </c>
      <c r="M27" s="8">
        <f t="shared" si="4"/>
        <v>164382.83480000001</v>
      </c>
      <c r="N27" s="44"/>
      <c r="O27" s="1"/>
    </row>
    <row r="28" spans="1:15">
      <c r="A28" s="46">
        <v>25</v>
      </c>
      <c r="B28" s="201">
        <v>46106</v>
      </c>
      <c r="C28" s="25"/>
      <c r="D28" s="25"/>
      <c r="E28" s="8">
        <v>40</v>
      </c>
      <c r="F28" s="8">
        <v>91.89</v>
      </c>
      <c r="G28" s="8">
        <f t="shared" si="5"/>
        <v>3675.6</v>
      </c>
      <c r="H28" s="9">
        <v>5</v>
      </c>
      <c r="I28" s="9">
        <v>103.85</v>
      </c>
      <c r="J28" s="8">
        <f t="shared" si="6"/>
        <v>519.25</v>
      </c>
      <c r="K28" s="8">
        <f t="shared" si="2"/>
        <v>4194.8500000000004</v>
      </c>
      <c r="L28" s="148">
        <v>0</v>
      </c>
      <c r="M28" s="8">
        <f t="shared" si="4"/>
        <v>168577.68480000002</v>
      </c>
      <c r="N28" s="44"/>
      <c r="O28" s="1"/>
    </row>
    <row r="29" spans="1:15">
      <c r="A29" s="46">
        <v>26</v>
      </c>
      <c r="B29" s="201">
        <v>46107</v>
      </c>
      <c r="C29" s="25"/>
      <c r="D29" s="25"/>
      <c r="E29" s="8">
        <v>445.01</v>
      </c>
      <c r="F29" s="8">
        <v>91.89</v>
      </c>
      <c r="G29" s="8">
        <f t="shared" si="5"/>
        <v>40891.9689</v>
      </c>
      <c r="H29" s="9">
        <v>6</v>
      </c>
      <c r="I29" s="9">
        <v>103.85</v>
      </c>
      <c r="J29" s="8">
        <f t="shared" si="6"/>
        <v>623.09999999999991</v>
      </c>
      <c r="K29" s="8">
        <f t="shared" si="2"/>
        <v>41515.068899999998</v>
      </c>
      <c r="L29" s="148">
        <v>0</v>
      </c>
      <c r="M29" s="8">
        <f t="shared" si="4"/>
        <v>210092.7537</v>
      </c>
      <c r="N29" s="44"/>
      <c r="O29" s="1"/>
    </row>
    <row r="30" spans="1:15">
      <c r="A30" s="46">
        <v>27</v>
      </c>
      <c r="B30" s="201">
        <v>46108</v>
      </c>
      <c r="C30" s="25"/>
      <c r="D30" s="25"/>
      <c r="E30" s="8">
        <v>65</v>
      </c>
      <c r="F30" s="8">
        <v>91.89</v>
      </c>
      <c r="G30" s="8">
        <f t="shared" si="5"/>
        <v>5972.85</v>
      </c>
      <c r="H30" s="9">
        <v>20</v>
      </c>
      <c r="I30" s="9">
        <v>103.85</v>
      </c>
      <c r="J30" s="8">
        <f t="shared" si="6"/>
        <v>2077</v>
      </c>
      <c r="K30" s="8">
        <f t="shared" si="2"/>
        <v>8049.85</v>
      </c>
      <c r="L30" s="148">
        <v>0</v>
      </c>
      <c r="M30" s="8">
        <f t="shared" si="4"/>
        <v>218142.60370000001</v>
      </c>
      <c r="N30" s="44"/>
      <c r="O30" s="1"/>
    </row>
    <row r="31" spans="1:15">
      <c r="A31" s="46">
        <v>28</v>
      </c>
      <c r="B31" s="201">
        <v>46109</v>
      </c>
      <c r="C31" s="25"/>
      <c r="D31" s="25"/>
      <c r="E31" s="8">
        <v>115.36</v>
      </c>
      <c r="F31" s="8">
        <v>91.89</v>
      </c>
      <c r="G31" s="8">
        <f t="shared" si="5"/>
        <v>10600.430399999999</v>
      </c>
      <c r="H31" s="9"/>
      <c r="I31" s="9"/>
      <c r="J31" s="8">
        <f t="shared" si="6"/>
        <v>0</v>
      </c>
      <c r="K31" s="8">
        <f t="shared" si="2"/>
        <v>10600.430399999999</v>
      </c>
      <c r="L31" s="148">
        <v>0</v>
      </c>
      <c r="M31" s="8">
        <f t="shared" si="4"/>
        <v>228743.03410000002</v>
      </c>
      <c r="N31" s="44"/>
      <c r="O31" s="1"/>
    </row>
    <row r="32" spans="1:15">
      <c r="A32" s="46">
        <v>29</v>
      </c>
      <c r="B32" s="201">
        <v>46110</v>
      </c>
      <c r="C32" s="25"/>
      <c r="D32" s="25"/>
      <c r="E32" s="8"/>
      <c r="F32" s="8"/>
      <c r="G32" s="8">
        <f t="shared" si="5"/>
        <v>0</v>
      </c>
      <c r="H32" s="9">
        <v>0</v>
      </c>
      <c r="I32" s="9">
        <v>0</v>
      </c>
      <c r="J32" s="8">
        <f t="shared" si="6"/>
        <v>0</v>
      </c>
      <c r="K32" s="8">
        <f t="shared" si="2"/>
        <v>0</v>
      </c>
      <c r="L32" s="148">
        <v>0</v>
      </c>
      <c r="M32" s="8">
        <f t="shared" si="4"/>
        <v>228743.03410000002</v>
      </c>
      <c r="N32" s="44"/>
      <c r="O32" s="1"/>
    </row>
    <row r="33" spans="1:15">
      <c r="A33" s="46">
        <v>30</v>
      </c>
      <c r="B33" s="201">
        <v>46111</v>
      </c>
      <c r="C33" s="25"/>
      <c r="D33" s="25"/>
      <c r="E33" s="8">
        <v>145.88</v>
      </c>
      <c r="F33" s="8">
        <v>91.89</v>
      </c>
      <c r="G33" s="8">
        <f t="shared" si="5"/>
        <v>13404.913199999999</v>
      </c>
      <c r="H33" s="9">
        <v>0</v>
      </c>
      <c r="I33" s="9">
        <v>0</v>
      </c>
      <c r="J33" s="8">
        <f t="shared" si="6"/>
        <v>0</v>
      </c>
      <c r="K33" s="8">
        <f t="shared" si="2"/>
        <v>13404.913199999999</v>
      </c>
      <c r="L33" s="148">
        <v>0</v>
      </c>
      <c r="M33" s="8">
        <f t="shared" si="4"/>
        <v>242147.94730000003</v>
      </c>
      <c r="N33" s="44"/>
      <c r="O33" s="1"/>
    </row>
    <row r="34" spans="1:15">
      <c r="A34" s="46">
        <v>31</v>
      </c>
      <c r="B34" s="201">
        <v>46112</v>
      </c>
      <c r="C34" s="25"/>
      <c r="D34" s="25"/>
      <c r="E34" s="8">
        <v>235</v>
      </c>
      <c r="F34" s="8">
        <v>91.89</v>
      </c>
      <c r="G34" s="8">
        <f t="shared" si="5"/>
        <v>21594.15</v>
      </c>
      <c r="H34" s="9">
        <v>0</v>
      </c>
      <c r="I34" s="9">
        <v>0</v>
      </c>
      <c r="J34" s="8">
        <f t="shared" si="6"/>
        <v>0</v>
      </c>
      <c r="K34" s="8">
        <f t="shared" si="2"/>
        <v>21594.15</v>
      </c>
      <c r="L34" s="148">
        <v>0</v>
      </c>
      <c r="M34" s="8">
        <f t="shared" si="4"/>
        <v>263742.09730000002</v>
      </c>
      <c r="N34" s="44"/>
      <c r="O34" s="1"/>
    </row>
    <row r="35" spans="1:15">
      <c r="A35" s="46">
        <v>32</v>
      </c>
      <c r="B35" s="201"/>
      <c r="C35" s="25"/>
      <c r="D35" s="25"/>
      <c r="E35" s="8"/>
      <c r="F35" s="8"/>
      <c r="G35" s="8">
        <f t="shared" si="0"/>
        <v>0</v>
      </c>
      <c r="H35" s="9">
        <v>0</v>
      </c>
      <c r="I35" s="9">
        <v>0</v>
      </c>
      <c r="J35" s="8">
        <f t="shared" si="1"/>
        <v>0</v>
      </c>
      <c r="K35" s="8">
        <f t="shared" si="2"/>
        <v>0</v>
      </c>
      <c r="L35" s="148">
        <v>0</v>
      </c>
      <c r="M35" s="8">
        <f t="shared" si="4"/>
        <v>263742.09730000002</v>
      </c>
      <c r="N35" s="44"/>
      <c r="O35" s="1"/>
    </row>
    <row r="36" spans="1:15">
      <c r="A36" s="196"/>
      <c r="B36" s="201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48"/>
      <c r="M36" s="8">
        <f t="shared" si="4"/>
        <v>263742.09730000002</v>
      </c>
      <c r="N36" s="44"/>
      <c r="O36" s="1"/>
    </row>
    <row r="37" spans="1:15">
      <c r="A37" s="62"/>
      <c r="B37" s="62"/>
      <c r="C37" s="62"/>
      <c r="D37" s="62"/>
      <c r="E37" s="63">
        <f>SUM(E4:E35)</f>
        <v>4383.6100000000006</v>
      </c>
      <c r="F37" s="63"/>
      <c r="G37" s="63">
        <f>SUM(G4:G35)</f>
        <v>402809.92289999995</v>
      </c>
      <c r="H37" s="63">
        <f>SUM(H4:H35)</f>
        <v>110</v>
      </c>
      <c r="I37" s="63"/>
      <c r="J37" s="63">
        <f>SUM(J4:J35)</f>
        <v>11423.5</v>
      </c>
      <c r="K37" s="63">
        <f>SUM(K4:K35)</f>
        <v>414233.42290000001</v>
      </c>
      <c r="L37" s="63">
        <f>SUM(L4:L35)</f>
        <v>300000</v>
      </c>
      <c r="M37" s="63"/>
      <c r="N37" s="63"/>
      <c r="O37" s="59"/>
    </row>
    <row r="38" spans="1:15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5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5">
      <c r="A40" s="1"/>
      <c r="B40" s="446"/>
      <c r="C40" s="446"/>
      <c r="D40" s="446"/>
      <c r="E40" s="446"/>
      <c r="F40" s="1"/>
      <c r="G40" s="1"/>
      <c r="H40" s="1"/>
      <c r="I40" s="484">
        <f>K25+L25</f>
        <v>9189</v>
      </c>
      <c r="J40" s="446"/>
      <c r="K40" s="446"/>
      <c r="L40" s="446"/>
      <c r="M40" s="446"/>
      <c r="N40" s="446"/>
      <c r="O40" s="4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17" activePane="bottomLeft" state="frozen"/>
      <selection pane="bottomLeft" activeCell="M31" sqref="M31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455" t="s">
        <v>137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82"/>
    </row>
    <row r="2" spans="1:16">
      <c r="A2" s="98" t="s">
        <v>0</v>
      </c>
      <c r="B2" s="99" t="s">
        <v>161</v>
      </c>
      <c r="C2" s="99" t="s">
        <v>162</v>
      </c>
      <c r="D2" s="99" t="s">
        <v>180</v>
      </c>
      <c r="E2" s="99" t="s">
        <v>164</v>
      </c>
      <c r="F2" s="99" t="s">
        <v>165</v>
      </c>
      <c r="G2" s="99" t="s">
        <v>166</v>
      </c>
      <c r="H2" s="99" t="s">
        <v>167</v>
      </c>
      <c r="I2" s="99" t="s">
        <v>165</v>
      </c>
      <c r="J2" s="138" t="s">
        <v>166</v>
      </c>
      <c r="K2" s="100" t="s">
        <v>168</v>
      </c>
      <c r="L2" s="139" t="s">
        <v>169</v>
      </c>
      <c r="M2" s="143" t="s">
        <v>181</v>
      </c>
      <c r="N2" s="101" t="s">
        <v>171</v>
      </c>
      <c r="O2" s="59"/>
    </row>
    <row r="3" spans="1:16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8"/>
      <c r="K3" s="163">
        <v>126102.90150000001</v>
      </c>
      <c r="L3" s="17"/>
      <c r="M3" s="105">
        <v>126102.90150000001</v>
      </c>
      <c r="N3" s="17"/>
      <c r="O3" s="59"/>
    </row>
    <row r="4" spans="1:16">
      <c r="A4" s="46">
        <v>1</v>
      </c>
      <c r="B4" s="201">
        <v>46082</v>
      </c>
      <c r="C4" s="151"/>
      <c r="D4" s="152"/>
      <c r="E4" s="153"/>
      <c r="F4" s="153"/>
      <c r="G4" s="140">
        <f>E4*F4</f>
        <v>0</v>
      </c>
      <c r="H4" s="153">
        <v>15</v>
      </c>
      <c r="I4" s="154">
        <v>103.8</v>
      </c>
      <c r="J4" s="20">
        <f>H4*I4</f>
        <v>1557</v>
      </c>
      <c r="K4" s="20">
        <f>G4+J4</f>
        <v>1557</v>
      </c>
      <c r="L4" s="141"/>
      <c r="M4" s="141">
        <f t="shared" ref="M4:M21" si="0">M3+K4-L4</f>
        <v>127659.90150000001</v>
      </c>
      <c r="N4" s="142"/>
    </row>
    <row r="5" spans="1:16">
      <c r="A5" s="46">
        <v>2</v>
      </c>
      <c r="B5" s="201">
        <v>46083</v>
      </c>
      <c r="C5" s="11"/>
      <c r="D5" s="11"/>
      <c r="E5" s="153">
        <v>220</v>
      </c>
      <c r="F5" s="153">
        <v>91.83</v>
      </c>
      <c r="G5" s="140">
        <f t="shared" ref="G5:G34" si="1">E5*F5</f>
        <v>20202.599999999999</v>
      </c>
      <c r="H5" s="153">
        <v>5</v>
      </c>
      <c r="I5" s="154">
        <v>103.8</v>
      </c>
      <c r="J5" s="20">
        <f t="shared" ref="J5:J34" si="2">H5*I5</f>
        <v>519</v>
      </c>
      <c r="K5" s="20">
        <f t="shared" ref="K5:K34" si="3">G5+J5</f>
        <v>20721.599999999999</v>
      </c>
      <c r="L5" s="141"/>
      <c r="M5" s="14">
        <f t="shared" si="0"/>
        <v>148381.50150000001</v>
      </c>
      <c r="N5" s="12"/>
    </row>
    <row r="6" spans="1:16">
      <c r="A6" s="46">
        <v>3</v>
      </c>
      <c r="B6" s="201">
        <v>46084</v>
      </c>
      <c r="C6" s="11"/>
      <c r="D6" s="11"/>
      <c r="E6" s="153"/>
      <c r="F6" s="153"/>
      <c r="G6" s="140">
        <f t="shared" si="1"/>
        <v>0</v>
      </c>
      <c r="H6" s="153">
        <v>5</v>
      </c>
      <c r="I6" s="154">
        <v>103.8</v>
      </c>
      <c r="J6" s="20">
        <f t="shared" si="2"/>
        <v>519</v>
      </c>
      <c r="K6" s="20">
        <f t="shared" si="3"/>
        <v>519</v>
      </c>
      <c r="L6" s="141"/>
      <c r="M6" s="14">
        <f t="shared" si="0"/>
        <v>148900.50150000001</v>
      </c>
      <c r="N6" s="13"/>
    </row>
    <row r="7" spans="1:16">
      <c r="A7" s="46">
        <v>4</v>
      </c>
      <c r="B7" s="201">
        <v>46085</v>
      </c>
      <c r="C7" s="70"/>
      <c r="D7" s="71"/>
      <c r="E7" s="153"/>
      <c r="F7" s="153"/>
      <c r="G7" s="140">
        <f t="shared" si="1"/>
        <v>0</v>
      </c>
      <c r="H7" s="153">
        <v>5</v>
      </c>
      <c r="I7" s="154">
        <v>103.8</v>
      </c>
      <c r="J7" s="20">
        <f t="shared" si="2"/>
        <v>519</v>
      </c>
      <c r="K7" s="20">
        <f t="shared" si="3"/>
        <v>519</v>
      </c>
      <c r="L7" s="141"/>
      <c r="M7" s="14">
        <f t="shared" si="0"/>
        <v>149419.50150000001</v>
      </c>
      <c r="N7" s="41"/>
    </row>
    <row r="8" spans="1:16">
      <c r="A8" s="46">
        <v>5</v>
      </c>
      <c r="B8" s="201">
        <v>46086</v>
      </c>
      <c r="C8" s="70"/>
      <c r="D8" s="71"/>
      <c r="E8" s="153"/>
      <c r="F8" s="153"/>
      <c r="G8" s="140">
        <f t="shared" ref="G8:G34" si="4">E8*F8</f>
        <v>0</v>
      </c>
      <c r="H8" s="153">
        <v>10</v>
      </c>
      <c r="I8" s="154">
        <v>103.8</v>
      </c>
      <c r="J8" s="20">
        <f t="shared" si="2"/>
        <v>1038</v>
      </c>
      <c r="K8" s="20">
        <f t="shared" si="3"/>
        <v>1038</v>
      </c>
      <c r="L8" s="141"/>
      <c r="M8" s="14">
        <f t="shared" si="0"/>
        <v>150457.50150000001</v>
      </c>
      <c r="N8" s="41"/>
      <c r="O8" s="243">
        <v>8497892194</v>
      </c>
      <c r="P8" s="244" t="s">
        <v>230</v>
      </c>
    </row>
    <row r="9" spans="1:16">
      <c r="A9" s="46">
        <v>6</v>
      </c>
      <c r="B9" s="201">
        <v>46087</v>
      </c>
      <c r="C9" s="70"/>
      <c r="D9" s="71"/>
      <c r="E9" s="153"/>
      <c r="F9" s="153"/>
      <c r="G9" s="140">
        <f t="shared" si="4"/>
        <v>0</v>
      </c>
      <c r="H9" s="153"/>
      <c r="I9" s="154">
        <v>103.8</v>
      </c>
      <c r="J9" s="20">
        <f t="shared" si="2"/>
        <v>0</v>
      </c>
      <c r="K9" s="20">
        <f t="shared" si="3"/>
        <v>0</v>
      </c>
      <c r="L9" s="141"/>
      <c r="M9" s="14">
        <f t="shared" si="0"/>
        <v>150457.50150000001</v>
      </c>
      <c r="N9" s="41"/>
      <c r="O9" s="69"/>
    </row>
    <row r="10" spans="1:16">
      <c r="A10" s="46">
        <v>7</v>
      </c>
      <c r="B10" s="201">
        <v>46088</v>
      </c>
      <c r="C10" s="70"/>
      <c r="D10" s="71"/>
      <c r="E10" s="153">
        <v>110</v>
      </c>
      <c r="F10" s="153">
        <v>91.83</v>
      </c>
      <c r="G10" s="140">
        <f t="shared" si="4"/>
        <v>10101.299999999999</v>
      </c>
      <c r="H10" s="153">
        <v>5</v>
      </c>
      <c r="I10" s="154">
        <v>103.8</v>
      </c>
      <c r="J10" s="20">
        <f t="shared" si="2"/>
        <v>519</v>
      </c>
      <c r="K10" s="20">
        <f t="shared" si="3"/>
        <v>10620.3</v>
      </c>
      <c r="L10" s="141"/>
      <c r="M10" s="14">
        <f t="shared" si="0"/>
        <v>161077.8015</v>
      </c>
      <c r="N10" s="41"/>
      <c r="O10" s="69"/>
    </row>
    <row r="11" spans="1:16">
      <c r="A11" s="46">
        <v>8</v>
      </c>
      <c r="B11" s="201">
        <v>46089</v>
      </c>
      <c r="C11" s="70"/>
      <c r="D11" s="71"/>
      <c r="E11" s="153">
        <v>130</v>
      </c>
      <c r="F11" s="153">
        <v>91.83</v>
      </c>
      <c r="G11" s="140">
        <f t="shared" si="4"/>
        <v>11937.9</v>
      </c>
      <c r="H11" s="153">
        <v>15</v>
      </c>
      <c r="I11" s="154">
        <v>103.8</v>
      </c>
      <c r="J11" s="20">
        <f t="shared" si="2"/>
        <v>1557</v>
      </c>
      <c r="K11" s="20">
        <f t="shared" si="3"/>
        <v>13494.9</v>
      </c>
      <c r="L11" s="141"/>
      <c r="M11" s="14">
        <f t="shared" si="0"/>
        <v>174572.7015</v>
      </c>
      <c r="N11" s="41"/>
      <c r="O11" s="69"/>
    </row>
    <row r="12" spans="1:16">
      <c r="A12" s="46">
        <v>9</v>
      </c>
      <c r="B12" s="201">
        <v>46090</v>
      </c>
      <c r="C12" s="70"/>
      <c r="D12" s="71"/>
      <c r="E12" s="153"/>
      <c r="F12" s="153"/>
      <c r="G12" s="140">
        <f t="shared" si="4"/>
        <v>0</v>
      </c>
      <c r="H12" s="153"/>
      <c r="I12" s="154"/>
      <c r="J12" s="20">
        <f t="shared" si="2"/>
        <v>0</v>
      </c>
      <c r="K12" s="20">
        <f t="shared" si="3"/>
        <v>0</v>
      </c>
      <c r="L12" s="141"/>
      <c r="M12" s="14">
        <f t="shared" si="0"/>
        <v>174572.7015</v>
      </c>
      <c r="N12" s="41"/>
      <c r="O12" s="69"/>
    </row>
    <row r="13" spans="1:16">
      <c r="A13" s="46">
        <v>10</v>
      </c>
      <c r="B13" s="201">
        <v>46091</v>
      </c>
      <c r="C13" s="70"/>
      <c r="D13" s="71"/>
      <c r="E13" s="153">
        <v>40</v>
      </c>
      <c r="F13" s="153">
        <v>91.83</v>
      </c>
      <c r="G13" s="140">
        <f t="shared" si="4"/>
        <v>3673.2</v>
      </c>
      <c r="H13" s="153">
        <v>20</v>
      </c>
      <c r="I13" s="154">
        <v>103.8</v>
      </c>
      <c r="J13" s="20">
        <f t="shared" si="2"/>
        <v>2076</v>
      </c>
      <c r="K13" s="20">
        <f t="shared" si="3"/>
        <v>5749.2</v>
      </c>
      <c r="L13" s="141"/>
      <c r="M13" s="14">
        <f t="shared" si="0"/>
        <v>180321.90150000001</v>
      </c>
      <c r="N13" s="41"/>
      <c r="O13" s="69"/>
    </row>
    <row r="14" spans="1:16">
      <c r="A14" s="46">
        <v>11</v>
      </c>
      <c r="B14" s="201">
        <v>46092</v>
      </c>
      <c r="C14" s="70"/>
      <c r="D14" s="71"/>
      <c r="E14" s="153">
        <v>35</v>
      </c>
      <c r="F14" s="153">
        <v>91.83</v>
      </c>
      <c r="G14" s="140">
        <f t="shared" si="4"/>
        <v>3214.0499999999997</v>
      </c>
      <c r="H14" s="153">
        <v>5</v>
      </c>
      <c r="I14" s="154">
        <v>103.8</v>
      </c>
      <c r="J14" s="20">
        <f t="shared" si="2"/>
        <v>519</v>
      </c>
      <c r="K14" s="20">
        <f t="shared" si="3"/>
        <v>3733.0499999999997</v>
      </c>
      <c r="L14" s="141"/>
      <c r="M14" s="14">
        <f t="shared" si="0"/>
        <v>184054.9515</v>
      </c>
      <c r="N14" s="41"/>
      <c r="O14" s="69"/>
    </row>
    <row r="15" spans="1:16">
      <c r="A15" s="46">
        <v>12</v>
      </c>
      <c r="B15" s="201">
        <v>46093</v>
      </c>
      <c r="C15" s="70"/>
      <c r="D15" s="71"/>
      <c r="E15" s="153">
        <v>190</v>
      </c>
      <c r="F15" s="153">
        <v>91.83</v>
      </c>
      <c r="G15" s="140">
        <f t="shared" si="4"/>
        <v>17447.7</v>
      </c>
      <c r="H15" s="153"/>
      <c r="I15" s="154"/>
      <c r="J15" s="20">
        <f t="shared" si="2"/>
        <v>0</v>
      </c>
      <c r="K15" s="20">
        <f t="shared" si="3"/>
        <v>17447.7</v>
      </c>
      <c r="L15" s="141"/>
      <c r="M15" s="14">
        <f t="shared" si="0"/>
        <v>201502.65150000001</v>
      </c>
      <c r="N15" s="41"/>
      <c r="O15" s="69"/>
    </row>
    <row r="16" spans="1:16">
      <c r="A16" s="46">
        <v>13</v>
      </c>
      <c r="B16" s="201">
        <v>46094</v>
      </c>
      <c r="C16" s="70"/>
      <c r="D16" s="71"/>
      <c r="E16" s="153">
        <v>55</v>
      </c>
      <c r="F16" s="153">
        <v>91.83</v>
      </c>
      <c r="G16" s="140">
        <f t="shared" si="4"/>
        <v>5050.6499999999996</v>
      </c>
      <c r="H16" s="153"/>
      <c r="I16" s="154"/>
      <c r="J16" s="20">
        <f t="shared" si="2"/>
        <v>0</v>
      </c>
      <c r="K16" s="20">
        <f t="shared" si="3"/>
        <v>5050.6499999999996</v>
      </c>
      <c r="L16" s="141"/>
      <c r="M16" s="242">
        <f t="shared" si="0"/>
        <v>206553.3015</v>
      </c>
      <c r="N16" s="41"/>
      <c r="O16" s="69"/>
    </row>
    <row r="17" spans="1:18">
      <c r="A17" s="46">
        <v>14</v>
      </c>
      <c r="B17" s="201">
        <v>46095</v>
      </c>
      <c r="C17" s="70"/>
      <c r="D17" s="71"/>
      <c r="E17" s="153">
        <v>10</v>
      </c>
      <c r="F17" s="153">
        <v>91.83</v>
      </c>
      <c r="G17" s="140">
        <f t="shared" si="4"/>
        <v>918.3</v>
      </c>
      <c r="H17" s="153">
        <v>4.96</v>
      </c>
      <c r="I17" s="154">
        <v>103.8</v>
      </c>
      <c r="J17" s="20">
        <f t="shared" si="2"/>
        <v>514.84799999999996</v>
      </c>
      <c r="K17" s="20">
        <f t="shared" si="3"/>
        <v>1433.1479999999999</v>
      </c>
      <c r="L17" s="141"/>
      <c r="M17" s="14">
        <f t="shared" si="0"/>
        <v>207986.44949999999</v>
      </c>
      <c r="N17" s="41"/>
      <c r="O17" s="69"/>
    </row>
    <row r="18" spans="1:18">
      <c r="A18" s="46">
        <v>15</v>
      </c>
      <c r="B18" s="201">
        <v>46096</v>
      </c>
      <c r="C18" s="70"/>
      <c r="D18" s="71"/>
      <c r="E18" s="153"/>
      <c r="F18" s="153"/>
      <c r="G18" s="140">
        <f t="shared" si="4"/>
        <v>0</v>
      </c>
      <c r="H18" s="153"/>
      <c r="I18" s="154"/>
      <c r="J18" s="20">
        <f t="shared" si="2"/>
        <v>0</v>
      </c>
      <c r="K18" s="20">
        <f t="shared" si="3"/>
        <v>0</v>
      </c>
      <c r="L18" s="141"/>
      <c r="M18" s="14">
        <f t="shared" si="0"/>
        <v>207986.44949999999</v>
      </c>
      <c r="N18" s="41"/>
      <c r="O18" s="69"/>
    </row>
    <row r="19" spans="1:18">
      <c r="A19" s="46">
        <v>16</v>
      </c>
      <c r="B19" s="201">
        <v>46097</v>
      </c>
      <c r="C19" s="190"/>
      <c r="D19" s="191"/>
      <c r="E19" s="153"/>
      <c r="F19" s="153"/>
      <c r="G19" s="140">
        <f t="shared" si="4"/>
        <v>0</v>
      </c>
      <c r="H19" s="153">
        <v>10</v>
      </c>
      <c r="I19" s="154">
        <v>103.8</v>
      </c>
      <c r="J19" s="20">
        <f t="shared" si="2"/>
        <v>1038</v>
      </c>
      <c r="K19" s="20">
        <f t="shared" si="3"/>
        <v>1038</v>
      </c>
      <c r="L19" s="141"/>
      <c r="M19" s="15">
        <f t="shared" si="0"/>
        <v>209024.44949999999</v>
      </c>
      <c r="N19" s="192"/>
      <c r="O19" s="69"/>
    </row>
    <row r="20" spans="1:18">
      <c r="A20" s="46">
        <v>17</v>
      </c>
      <c r="B20" s="201">
        <v>46098</v>
      </c>
      <c r="C20" s="67"/>
      <c r="D20" s="71"/>
      <c r="E20" s="153">
        <v>100</v>
      </c>
      <c r="F20" s="153">
        <v>91.83</v>
      </c>
      <c r="G20" s="140">
        <f t="shared" si="4"/>
        <v>9183</v>
      </c>
      <c r="H20" s="153">
        <v>15</v>
      </c>
      <c r="I20" s="154">
        <v>103.8</v>
      </c>
      <c r="J20" s="20">
        <f t="shared" si="2"/>
        <v>1557</v>
      </c>
      <c r="K20" s="20">
        <f t="shared" si="3"/>
        <v>10740</v>
      </c>
      <c r="L20" s="141">
        <v>200000</v>
      </c>
      <c r="M20" s="15">
        <f t="shared" si="0"/>
        <v>19764.449499999988</v>
      </c>
      <c r="N20" s="41"/>
      <c r="O20" s="69"/>
    </row>
    <row r="21" spans="1:18">
      <c r="A21" s="46">
        <v>18</v>
      </c>
      <c r="B21" s="201">
        <v>46099</v>
      </c>
      <c r="C21" s="67"/>
      <c r="D21" s="71"/>
      <c r="E21" s="153"/>
      <c r="F21" s="153"/>
      <c r="G21" s="140">
        <f t="shared" si="4"/>
        <v>0</v>
      </c>
      <c r="H21" s="153"/>
      <c r="I21" s="154"/>
      <c r="J21" s="20">
        <f t="shared" si="2"/>
        <v>0</v>
      </c>
      <c r="K21" s="20">
        <f t="shared" si="3"/>
        <v>0</v>
      </c>
      <c r="L21" s="141"/>
      <c r="M21" s="15">
        <f t="shared" si="0"/>
        <v>19764.449499999988</v>
      </c>
      <c r="N21" s="41"/>
      <c r="O21" s="69"/>
    </row>
    <row r="22" spans="1:18">
      <c r="A22" s="46">
        <v>19</v>
      </c>
      <c r="B22" s="201">
        <v>46100</v>
      </c>
      <c r="C22" s="67"/>
      <c r="D22" s="71"/>
      <c r="E22" s="153"/>
      <c r="F22" s="153"/>
      <c r="G22" s="140">
        <f t="shared" si="4"/>
        <v>0</v>
      </c>
      <c r="H22" s="153"/>
      <c r="I22" s="154"/>
      <c r="J22" s="20">
        <f t="shared" si="2"/>
        <v>0</v>
      </c>
      <c r="K22" s="20">
        <f t="shared" si="3"/>
        <v>0</v>
      </c>
      <c r="L22" s="141"/>
      <c r="M22" s="15">
        <f t="shared" ref="M22:M30" si="5">M21+K22-L22</f>
        <v>19764.449499999988</v>
      </c>
      <c r="N22" s="41"/>
      <c r="O22" s="69"/>
    </row>
    <row r="23" spans="1:18">
      <c r="A23" s="46">
        <v>20</v>
      </c>
      <c r="B23" s="201">
        <v>46101</v>
      </c>
      <c r="C23" s="67"/>
      <c r="D23" s="71"/>
      <c r="E23" s="153">
        <v>10</v>
      </c>
      <c r="F23" s="153">
        <v>91.83</v>
      </c>
      <c r="G23" s="140">
        <f t="shared" si="4"/>
        <v>918.3</v>
      </c>
      <c r="H23" s="153">
        <v>0</v>
      </c>
      <c r="I23" s="154">
        <v>0</v>
      </c>
      <c r="J23" s="20">
        <f t="shared" si="2"/>
        <v>0</v>
      </c>
      <c r="K23" s="20">
        <f t="shared" si="3"/>
        <v>918.3</v>
      </c>
      <c r="L23" s="141"/>
      <c r="M23" s="15">
        <f t="shared" si="5"/>
        <v>20682.749499999987</v>
      </c>
      <c r="N23" s="41"/>
      <c r="O23" s="69"/>
    </row>
    <row r="24" spans="1:18">
      <c r="A24" s="46">
        <v>21</v>
      </c>
      <c r="B24" s="201">
        <v>46102</v>
      </c>
      <c r="C24" s="67"/>
      <c r="D24" s="71"/>
      <c r="E24" s="153">
        <v>100</v>
      </c>
      <c r="F24" s="153">
        <v>91.83</v>
      </c>
      <c r="G24" s="140">
        <f t="shared" si="4"/>
        <v>9183</v>
      </c>
      <c r="H24" s="153"/>
      <c r="I24" s="154"/>
      <c r="J24" s="20">
        <f t="shared" si="2"/>
        <v>0</v>
      </c>
      <c r="K24" s="20">
        <f t="shared" si="3"/>
        <v>9183</v>
      </c>
      <c r="L24" s="141"/>
      <c r="M24" s="15">
        <f t="shared" si="5"/>
        <v>29865.749499999987</v>
      </c>
      <c r="N24" s="41"/>
      <c r="O24" s="69"/>
    </row>
    <row r="25" spans="1:18">
      <c r="A25" s="46">
        <v>22</v>
      </c>
      <c r="B25" s="201">
        <v>46103</v>
      </c>
      <c r="C25" s="67"/>
      <c r="D25" s="71"/>
      <c r="E25" s="153"/>
      <c r="F25" s="153"/>
      <c r="G25" s="140">
        <f t="shared" si="4"/>
        <v>0</v>
      </c>
      <c r="H25" s="153"/>
      <c r="I25" s="154"/>
      <c r="J25" s="20">
        <f t="shared" si="2"/>
        <v>0</v>
      </c>
      <c r="K25" s="20">
        <f t="shared" si="3"/>
        <v>0</v>
      </c>
      <c r="L25" s="141"/>
      <c r="M25" s="15">
        <f t="shared" si="5"/>
        <v>29865.749499999987</v>
      </c>
      <c r="N25" s="41"/>
      <c r="O25" s="69"/>
    </row>
    <row r="26" spans="1:18">
      <c r="A26" s="46">
        <v>23</v>
      </c>
      <c r="B26" s="201">
        <v>46104</v>
      </c>
      <c r="C26" s="67"/>
      <c r="D26" s="71"/>
      <c r="E26" s="153"/>
      <c r="F26" s="153"/>
      <c r="G26" s="140">
        <f t="shared" si="4"/>
        <v>0</v>
      </c>
      <c r="H26" s="153">
        <v>5</v>
      </c>
      <c r="I26" s="154">
        <v>103.8</v>
      </c>
      <c r="J26" s="20">
        <f t="shared" si="2"/>
        <v>519</v>
      </c>
      <c r="K26" s="20">
        <f t="shared" si="3"/>
        <v>519</v>
      </c>
      <c r="L26" s="141"/>
      <c r="M26" s="15">
        <f t="shared" si="5"/>
        <v>30384.749499999987</v>
      </c>
      <c r="N26" s="41"/>
      <c r="O26" s="69"/>
    </row>
    <row r="27" spans="1:18">
      <c r="A27" s="46">
        <v>24</v>
      </c>
      <c r="B27" s="201">
        <v>46105</v>
      </c>
      <c r="C27" s="67"/>
      <c r="D27" s="71"/>
      <c r="E27" s="153"/>
      <c r="F27" s="153"/>
      <c r="G27" s="140">
        <f t="shared" si="4"/>
        <v>0</v>
      </c>
      <c r="H27" s="153"/>
      <c r="I27" s="154"/>
      <c r="J27" s="20">
        <f t="shared" si="2"/>
        <v>0</v>
      </c>
      <c r="K27" s="20">
        <f t="shared" si="3"/>
        <v>0</v>
      </c>
      <c r="L27" s="141"/>
      <c r="M27" s="15">
        <f t="shared" si="5"/>
        <v>30384.749499999987</v>
      </c>
      <c r="N27" s="41"/>
      <c r="O27" s="69"/>
      <c r="R27">
        <v>66742</v>
      </c>
    </row>
    <row r="28" spans="1:18">
      <c r="A28" s="218">
        <v>25</v>
      </c>
      <c r="B28" s="201">
        <v>46106</v>
      </c>
      <c r="C28" s="195"/>
      <c r="D28" s="191"/>
      <c r="E28" s="153">
        <v>20</v>
      </c>
      <c r="F28" s="153">
        <v>91.83</v>
      </c>
      <c r="G28" s="140">
        <f t="shared" si="4"/>
        <v>1836.6</v>
      </c>
      <c r="H28" s="153">
        <v>5</v>
      </c>
      <c r="I28" s="154">
        <v>103.8</v>
      </c>
      <c r="J28" s="20">
        <f t="shared" si="2"/>
        <v>519</v>
      </c>
      <c r="K28" s="20">
        <f t="shared" si="3"/>
        <v>2355.6</v>
      </c>
      <c r="L28" s="141"/>
      <c r="M28" s="15">
        <f t="shared" si="5"/>
        <v>32740.349499999986</v>
      </c>
      <c r="N28" s="192"/>
      <c r="O28" s="69"/>
    </row>
    <row r="29" spans="1:18">
      <c r="A29" s="46">
        <v>26</v>
      </c>
      <c r="B29" s="201">
        <v>46107</v>
      </c>
      <c r="C29" s="67"/>
      <c r="D29" s="71"/>
      <c r="E29" s="153">
        <v>100</v>
      </c>
      <c r="F29" s="153">
        <v>91.83</v>
      </c>
      <c r="G29" s="140">
        <f t="shared" si="4"/>
        <v>9183</v>
      </c>
      <c r="H29" s="153"/>
      <c r="I29" s="154"/>
      <c r="J29" s="20">
        <f t="shared" si="2"/>
        <v>0</v>
      </c>
      <c r="K29" s="20">
        <f t="shared" si="3"/>
        <v>9183</v>
      </c>
      <c r="L29" s="141"/>
      <c r="M29" s="15">
        <f t="shared" si="5"/>
        <v>41923.349499999982</v>
      </c>
      <c r="N29" s="41"/>
      <c r="O29" s="69"/>
    </row>
    <row r="30" spans="1:18">
      <c r="A30" s="46">
        <v>27</v>
      </c>
      <c r="B30" s="201">
        <v>46108</v>
      </c>
      <c r="C30" s="67"/>
      <c r="D30" s="71"/>
      <c r="E30" s="153">
        <v>31</v>
      </c>
      <c r="F30" s="153">
        <v>91.83</v>
      </c>
      <c r="G30" s="140">
        <f t="shared" si="4"/>
        <v>2846.73</v>
      </c>
      <c r="H30" s="153">
        <v>20</v>
      </c>
      <c r="I30" s="154">
        <v>103.8</v>
      </c>
      <c r="J30" s="20">
        <f t="shared" si="2"/>
        <v>2076</v>
      </c>
      <c r="K30" s="20">
        <f t="shared" si="3"/>
        <v>4922.7299999999996</v>
      </c>
      <c r="L30" s="141"/>
      <c r="M30" s="15">
        <f t="shared" si="5"/>
        <v>46846.079499999978</v>
      </c>
      <c r="N30" s="41"/>
      <c r="O30" s="69"/>
    </row>
    <row r="31" spans="1:18">
      <c r="A31" s="46">
        <v>28</v>
      </c>
      <c r="B31" s="201">
        <v>46109</v>
      </c>
      <c r="C31" s="67"/>
      <c r="D31" s="71"/>
      <c r="E31" s="153"/>
      <c r="F31" s="153"/>
      <c r="G31" s="140">
        <f t="shared" si="4"/>
        <v>0</v>
      </c>
      <c r="H31" s="153">
        <v>5</v>
      </c>
      <c r="I31" s="154">
        <v>103.8</v>
      </c>
      <c r="J31" s="20">
        <f t="shared" si="2"/>
        <v>519</v>
      </c>
      <c r="K31" s="20">
        <f t="shared" si="3"/>
        <v>519</v>
      </c>
      <c r="L31" s="141"/>
      <c r="M31" s="15">
        <f>M30+K31-L31</f>
        <v>47365.079499999978</v>
      </c>
      <c r="N31" s="41"/>
      <c r="O31" s="69"/>
    </row>
    <row r="32" spans="1:18">
      <c r="A32" s="46">
        <v>29</v>
      </c>
      <c r="B32" s="201">
        <v>46110</v>
      </c>
      <c r="C32" s="67"/>
      <c r="D32" s="71"/>
      <c r="E32" s="153"/>
      <c r="F32" s="153"/>
      <c r="G32" s="140">
        <f t="shared" si="4"/>
        <v>0</v>
      </c>
      <c r="H32" s="153"/>
      <c r="I32" s="154"/>
      <c r="J32" s="20">
        <f t="shared" si="2"/>
        <v>0</v>
      </c>
      <c r="K32" s="20">
        <f t="shared" si="3"/>
        <v>0</v>
      </c>
      <c r="L32" s="141"/>
      <c r="M32" s="15">
        <f>M31+K32-L32</f>
        <v>47365.079499999978</v>
      </c>
      <c r="N32" s="41"/>
      <c r="O32" s="69"/>
    </row>
    <row r="33" spans="1:15">
      <c r="A33" s="46">
        <v>30</v>
      </c>
      <c r="B33" s="201">
        <v>46111</v>
      </c>
      <c r="C33" s="67"/>
      <c r="D33" s="71"/>
      <c r="E33" s="153"/>
      <c r="F33" s="153"/>
      <c r="G33" s="140">
        <f t="shared" si="4"/>
        <v>0</v>
      </c>
      <c r="H33" s="153"/>
      <c r="I33" s="154"/>
      <c r="J33" s="20">
        <f t="shared" si="2"/>
        <v>0</v>
      </c>
      <c r="K33" s="20">
        <f t="shared" si="3"/>
        <v>0</v>
      </c>
      <c r="L33" s="141"/>
      <c r="M33" s="15">
        <f>M32+K33-L33</f>
        <v>47365.079499999978</v>
      </c>
      <c r="N33" s="41"/>
      <c r="O33" s="69"/>
    </row>
    <row r="34" spans="1:15">
      <c r="A34" s="46">
        <v>31</v>
      </c>
      <c r="B34" s="201">
        <v>46112</v>
      </c>
      <c r="C34" s="67"/>
      <c r="D34" s="71"/>
      <c r="E34" s="153"/>
      <c r="F34" s="153"/>
      <c r="G34" s="140">
        <f t="shared" si="4"/>
        <v>0</v>
      </c>
      <c r="H34" s="153"/>
      <c r="I34" s="154"/>
      <c r="J34" s="20">
        <f t="shared" si="2"/>
        <v>0</v>
      </c>
      <c r="K34" s="20">
        <f t="shared" si="3"/>
        <v>0</v>
      </c>
      <c r="L34" s="141"/>
      <c r="M34" s="15">
        <f>M33+K34-L34</f>
        <v>47365.079499999978</v>
      </c>
      <c r="N34" s="41"/>
      <c r="O34" s="69"/>
    </row>
    <row r="35" spans="1:15">
      <c r="A35" s="160"/>
      <c r="B35" s="160"/>
      <c r="C35" s="160"/>
      <c r="D35" s="160"/>
      <c r="E35" s="161">
        <f>SUM(E4:E34)</f>
        <v>1151</v>
      </c>
      <c r="F35" s="161"/>
      <c r="G35" s="161">
        <f>SUM(G4:G34)</f>
        <v>105696.33</v>
      </c>
      <c r="H35" s="161">
        <f>SUM(H4:H34)</f>
        <v>149.95999999999998</v>
      </c>
      <c r="I35" s="161"/>
      <c r="J35" s="161">
        <f>SUM(J4:J34)</f>
        <v>15565.848</v>
      </c>
      <c r="K35" s="161">
        <f>SUM(K4:K34)</f>
        <v>121262.178</v>
      </c>
      <c r="L35" s="161">
        <f>SUM(L4:L34)</f>
        <v>200000</v>
      </c>
      <c r="M35" s="161"/>
      <c r="N35" s="161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463"/>
      <c r="C43" s="463"/>
      <c r="D43" s="463"/>
      <c r="E43" s="463"/>
      <c r="F43" s="69"/>
      <c r="G43" s="69"/>
      <c r="H43" s="69"/>
      <c r="I43" s="463"/>
      <c r="J43" s="463"/>
      <c r="K43" s="463"/>
      <c r="L43" s="463"/>
      <c r="M43" s="463"/>
      <c r="N43" s="463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2"/>
  <sheetViews>
    <sheetView topLeftCell="A21" workbookViewId="0">
      <selection activeCell="M39" sqref="M39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22" bestFit="1" customWidth="1"/>
  </cols>
  <sheetData>
    <row r="1" spans="1:16" ht="15.75">
      <c r="A1" s="447" t="s">
        <v>139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</row>
    <row r="2" spans="1:16" ht="30">
      <c r="A2" s="98" t="s">
        <v>0</v>
      </c>
      <c r="B2" s="99" t="s">
        <v>161</v>
      </c>
      <c r="C2" s="99" t="s">
        <v>162</v>
      </c>
      <c r="D2" s="99" t="s">
        <v>163</v>
      </c>
      <c r="E2" s="99" t="s">
        <v>164</v>
      </c>
      <c r="F2" s="99" t="s">
        <v>165</v>
      </c>
      <c r="G2" s="183" t="s">
        <v>166</v>
      </c>
      <c r="H2" s="99" t="s">
        <v>167</v>
      </c>
      <c r="I2" s="99" t="s">
        <v>165</v>
      </c>
      <c r="J2" s="186" t="s">
        <v>166</v>
      </c>
      <c r="K2" s="100" t="s">
        <v>168</v>
      </c>
      <c r="L2" s="139" t="s">
        <v>169</v>
      </c>
      <c r="M2" s="304" t="s">
        <v>181</v>
      </c>
      <c r="N2" s="101" t="s">
        <v>171</v>
      </c>
    </row>
    <row r="3" spans="1:16">
      <c r="A3" s="155"/>
      <c r="B3" s="17"/>
      <c r="C3" s="17"/>
      <c r="D3" s="220" t="s">
        <v>172</v>
      </c>
      <c r="E3" s="17"/>
      <c r="F3" s="17"/>
      <c r="G3" s="184"/>
      <c r="H3" s="17"/>
      <c r="I3" s="17"/>
      <c r="J3" s="184"/>
      <c r="K3" s="318">
        <v>227750.47940000115</v>
      </c>
      <c r="L3" s="17"/>
      <c r="M3" s="40">
        <v>227750.47940000115</v>
      </c>
      <c r="N3" s="17">
        <v>0</v>
      </c>
      <c r="P3" s="22"/>
    </row>
    <row r="4" spans="1:16">
      <c r="A4" s="196">
        <v>1</v>
      </c>
      <c r="B4" s="219">
        <v>46082</v>
      </c>
      <c r="C4" s="137"/>
      <c r="D4" s="137"/>
      <c r="E4" s="245">
        <v>279.83</v>
      </c>
      <c r="F4" s="299">
        <v>91.48</v>
      </c>
      <c r="G4" s="253">
        <f t="shared" ref="G4:G36" si="0">E4*F4</f>
        <v>25598.848399999999</v>
      </c>
      <c r="H4" s="245">
        <v>6</v>
      </c>
      <c r="I4" s="253">
        <v>103.41</v>
      </c>
      <c r="J4" s="245">
        <f>H4*I4</f>
        <v>620.46</v>
      </c>
      <c r="K4" s="253">
        <f>G4+J4</f>
        <v>26219.308399999998</v>
      </c>
      <c r="L4" s="137"/>
      <c r="M4" s="305">
        <f>M3+K4-L4</f>
        <v>253969.78780000116</v>
      </c>
      <c r="N4" s="137"/>
      <c r="O4" s="22"/>
    </row>
    <row r="5" spans="1:16">
      <c r="A5" s="46">
        <v>2</v>
      </c>
      <c r="B5" s="219">
        <v>46083</v>
      </c>
      <c r="C5" s="17"/>
      <c r="D5" s="17"/>
      <c r="E5" s="245">
        <v>90</v>
      </c>
      <c r="F5" s="299">
        <v>91.48</v>
      </c>
      <c r="G5" s="253">
        <f>E5*F5</f>
        <v>8233.2000000000007</v>
      </c>
      <c r="H5" s="245">
        <v>5</v>
      </c>
      <c r="I5" s="253">
        <v>103.41</v>
      </c>
      <c r="J5" s="245">
        <f t="shared" ref="J5:J36" si="1">H5*I5</f>
        <v>517.04999999999995</v>
      </c>
      <c r="K5" s="253">
        <f t="shared" ref="K5:K39" si="2">G5+J5</f>
        <v>8750.25</v>
      </c>
      <c r="L5" s="137"/>
      <c r="M5" s="305">
        <f t="shared" ref="M5:M39" si="3">M4+K5-L5</f>
        <v>262720.03780000116</v>
      </c>
      <c r="N5" s="17"/>
    </row>
    <row r="6" spans="1:16">
      <c r="A6" s="46">
        <v>3</v>
      </c>
      <c r="B6" s="219">
        <v>46084</v>
      </c>
      <c r="C6" s="17"/>
      <c r="D6" s="17"/>
      <c r="E6" s="245">
        <v>655.16</v>
      </c>
      <c r="F6" s="299">
        <v>91.48</v>
      </c>
      <c r="G6" s="253">
        <f t="shared" si="0"/>
        <v>59934.036800000002</v>
      </c>
      <c r="H6" s="245">
        <v>45</v>
      </c>
      <c r="I6" s="253">
        <v>103.41</v>
      </c>
      <c r="J6" s="245">
        <f t="shared" si="1"/>
        <v>4653.45</v>
      </c>
      <c r="K6" s="253">
        <f t="shared" si="2"/>
        <v>64587.486799999999</v>
      </c>
      <c r="L6" s="137"/>
      <c r="M6" s="305">
        <f t="shared" si="3"/>
        <v>327307.52460000117</v>
      </c>
      <c r="N6" s="17"/>
    </row>
    <row r="7" spans="1:16">
      <c r="A7" s="196">
        <v>4</v>
      </c>
      <c r="B7" s="219">
        <v>46085</v>
      </c>
      <c r="C7" s="17"/>
      <c r="D7" s="17"/>
      <c r="E7" s="245"/>
      <c r="F7" s="299"/>
      <c r="G7" s="253">
        <f t="shared" si="0"/>
        <v>0</v>
      </c>
      <c r="H7" s="245"/>
      <c r="I7" s="253"/>
      <c r="J7" s="245">
        <f t="shared" si="1"/>
        <v>0</v>
      </c>
      <c r="K7" s="253">
        <f t="shared" si="2"/>
        <v>0</v>
      </c>
      <c r="L7" s="137"/>
      <c r="M7" s="305">
        <f t="shared" si="3"/>
        <v>327307.52460000117</v>
      </c>
      <c r="N7" s="17"/>
      <c r="P7">
        <v>706.52</v>
      </c>
    </row>
    <row r="8" spans="1:16">
      <c r="A8" s="46">
        <v>5</v>
      </c>
      <c r="B8" s="219">
        <v>46086</v>
      </c>
      <c r="C8" s="17"/>
      <c r="D8" s="17"/>
      <c r="E8" s="245">
        <v>710</v>
      </c>
      <c r="F8" s="299">
        <v>91.48</v>
      </c>
      <c r="G8" s="253">
        <f t="shared" si="0"/>
        <v>64950.8</v>
      </c>
      <c r="H8" s="245">
        <v>12</v>
      </c>
      <c r="I8" s="253">
        <v>103.41</v>
      </c>
      <c r="J8" s="245">
        <f t="shared" si="1"/>
        <v>1240.92</v>
      </c>
      <c r="K8" s="253">
        <f t="shared" si="2"/>
        <v>66191.72</v>
      </c>
      <c r="L8" s="137"/>
      <c r="M8" s="305">
        <f t="shared" si="3"/>
        <v>393499.24460000114</v>
      </c>
      <c r="N8" s="17"/>
    </row>
    <row r="9" spans="1:16">
      <c r="A9" s="46">
        <v>6</v>
      </c>
      <c r="B9" s="219">
        <v>46087</v>
      </c>
      <c r="C9" s="17"/>
      <c r="D9" s="17"/>
      <c r="E9" s="245">
        <v>192.54</v>
      </c>
      <c r="F9" s="299">
        <v>91.48</v>
      </c>
      <c r="G9" s="253">
        <f t="shared" si="0"/>
        <v>17613.5592</v>
      </c>
      <c r="H9" s="245"/>
      <c r="I9" s="245"/>
      <c r="J9" s="245">
        <f t="shared" si="1"/>
        <v>0</v>
      </c>
      <c r="K9" s="253">
        <f t="shared" si="2"/>
        <v>17613.5592</v>
      </c>
      <c r="L9" s="137"/>
      <c r="M9" s="305">
        <f t="shared" si="3"/>
        <v>411112.80380000116</v>
      </c>
      <c r="N9" s="17"/>
      <c r="P9">
        <v>45.43</v>
      </c>
    </row>
    <row r="10" spans="1:16">
      <c r="A10" s="196">
        <v>7</v>
      </c>
      <c r="B10" s="219">
        <v>46088</v>
      </c>
      <c r="C10" s="17"/>
      <c r="D10" s="17"/>
      <c r="E10" s="245">
        <v>290.16000000000003</v>
      </c>
      <c r="F10" s="299">
        <v>91.48</v>
      </c>
      <c r="G10" s="253">
        <f t="shared" si="0"/>
        <v>26543.836800000005</v>
      </c>
      <c r="H10" s="245"/>
      <c r="I10" s="245"/>
      <c r="J10" s="245">
        <f t="shared" si="1"/>
        <v>0</v>
      </c>
      <c r="K10" s="253">
        <f t="shared" si="2"/>
        <v>26543.836800000005</v>
      </c>
      <c r="L10" s="137"/>
      <c r="M10" s="305">
        <f t="shared" si="3"/>
        <v>437656.64060000115</v>
      </c>
      <c r="N10" s="17"/>
      <c r="P10">
        <f>P7-P9</f>
        <v>661.09</v>
      </c>
    </row>
    <row r="11" spans="1:16">
      <c r="A11" s="46">
        <v>8</v>
      </c>
      <c r="B11" s="219">
        <v>46089</v>
      </c>
      <c r="C11" s="17"/>
      <c r="D11" s="17"/>
      <c r="E11" s="245">
        <v>69.75</v>
      </c>
      <c r="F11" s="299">
        <v>91.48</v>
      </c>
      <c r="G11" s="253">
        <f t="shared" si="0"/>
        <v>6380.7300000000005</v>
      </c>
      <c r="H11" s="245">
        <v>10</v>
      </c>
      <c r="I11" s="245">
        <v>103.41</v>
      </c>
      <c r="J11" s="245">
        <f t="shared" si="1"/>
        <v>1034.0999999999999</v>
      </c>
      <c r="K11" s="253">
        <f t="shared" si="2"/>
        <v>7414.83</v>
      </c>
      <c r="L11" s="137"/>
      <c r="M11" s="305">
        <f t="shared" si="3"/>
        <v>445071.47060000116</v>
      </c>
      <c r="N11" s="17"/>
    </row>
    <row r="12" spans="1:16">
      <c r="A12" s="46">
        <v>9</v>
      </c>
      <c r="B12" s="219">
        <v>46090</v>
      </c>
      <c r="C12" s="17"/>
      <c r="D12" s="17"/>
      <c r="E12" s="245">
        <v>295.95</v>
      </c>
      <c r="F12" s="299">
        <v>91.48</v>
      </c>
      <c r="G12" s="253">
        <f t="shared" si="0"/>
        <v>27073.506000000001</v>
      </c>
      <c r="H12" s="245">
        <v>18</v>
      </c>
      <c r="I12" s="245">
        <v>111.17</v>
      </c>
      <c r="J12" s="245">
        <f t="shared" si="1"/>
        <v>2001.06</v>
      </c>
      <c r="K12" s="253">
        <f t="shared" si="2"/>
        <v>29074.566000000003</v>
      </c>
      <c r="L12" s="137"/>
      <c r="M12" s="305">
        <f t="shared" si="3"/>
        <v>474146.03660000116</v>
      </c>
      <c r="N12" s="17"/>
      <c r="P12" s="22"/>
    </row>
    <row r="13" spans="1:16">
      <c r="A13" s="196">
        <v>10</v>
      </c>
      <c r="B13" s="219">
        <v>46091</v>
      </c>
      <c r="C13" s="17"/>
      <c r="D13" s="17"/>
      <c r="E13" s="245">
        <v>296.16000000000003</v>
      </c>
      <c r="F13" s="299">
        <v>91.48</v>
      </c>
      <c r="G13" s="253">
        <f t="shared" si="0"/>
        <v>27092.716800000002</v>
      </c>
      <c r="H13" s="245">
        <v>6</v>
      </c>
      <c r="I13" s="245">
        <v>111.17</v>
      </c>
      <c r="J13" s="245">
        <f t="shared" si="1"/>
        <v>667.02</v>
      </c>
      <c r="K13" s="253">
        <f t="shared" si="2"/>
        <v>27759.736800000002</v>
      </c>
      <c r="L13" s="137"/>
      <c r="M13" s="305">
        <f t="shared" si="3"/>
        <v>501905.77340000117</v>
      </c>
      <c r="N13" s="17"/>
    </row>
    <row r="14" spans="1:16">
      <c r="A14" s="46">
        <v>11</v>
      </c>
      <c r="B14" s="219">
        <v>46092</v>
      </c>
      <c r="C14" s="17"/>
      <c r="D14" s="17"/>
      <c r="E14" s="245">
        <v>651.71</v>
      </c>
      <c r="F14" s="299">
        <v>91.48</v>
      </c>
      <c r="G14" s="253">
        <f t="shared" si="0"/>
        <v>59618.430800000009</v>
      </c>
      <c r="H14" s="245">
        <v>5</v>
      </c>
      <c r="I14" s="245">
        <v>103.41</v>
      </c>
      <c r="J14" s="245">
        <f t="shared" si="1"/>
        <v>517.04999999999995</v>
      </c>
      <c r="K14" s="253">
        <f t="shared" si="2"/>
        <v>60135.480800000012</v>
      </c>
      <c r="L14" s="137"/>
      <c r="M14" s="305">
        <f t="shared" si="3"/>
        <v>562041.25420000113</v>
      </c>
      <c r="N14" s="17"/>
    </row>
    <row r="15" spans="1:16">
      <c r="A15" s="46">
        <v>12</v>
      </c>
      <c r="B15" s="219">
        <v>46093</v>
      </c>
      <c r="C15" s="17"/>
      <c r="D15" s="17"/>
      <c r="E15" s="245">
        <v>618.85</v>
      </c>
      <c r="F15" s="299">
        <v>91.48</v>
      </c>
      <c r="G15" s="253">
        <f t="shared" si="0"/>
        <v>56612.398000000001</v>
      </c>
      <c r="H15" s="245">
        <v>23</v>
      </c>
      <c r="I15" s="245">
        <v>103.41</v>
      </c>
      <c r="J15" s="245">
        <f t="shared" si="1"/>
        <v>2378.4299999999998</v>
      </c>
      <c r="K15" s="253">
        <f t="shared" si="2"/>
        <v>58990.828000000001</v>
      </c>
      <c r="L15" s="137">
        <v>400000</v>
      </c>
      <c r="M15" s="305">
        <f t="shared" si="3"/>
        <v>221032.08220000111</v>
      </c>
      <c r="N15" s="17"/>
    </row>
    <row r="16" spans="1:16">
      <c r="A16" s="196">
        <v>13</v>
      </c>
      <c r="B16" s="219">
        <v>46094</v>
      </c>
      <c r="C16" s="17"/>
      <c r="D16" s="17"/>
      <c r="E16" s="245">
        <v>1089.81</v>
      </c>
      <c r="F16" s="299">
        <v>91.48</v>
      </c>
      <c r="G16" s="253">
        <f t="shared" si="0"/>
        <v>99695.818799999994</v>
      </c>
      <c r="H16" s="245">
        <v>16</v>
      </c>
      <c r="I16" s="245">
        <v>103.41</v>
      </c>
      <c r="J16" s="245">
        <f t="shared" si="1"/>
        <v>1654.56</v>
      </c>
      <c r="K16" s="253">
        <f t="shared" si="2"/>
        <v>101350.37879999999</v>
      </c>
      <c r="L16" s="137"/>
      <c r="M16" s="305">
        <f t="shared" si="3"/>
        <v>322382.46100000112</v>
      </c>
      <c r="N16" s="17"/>
    </row>
    <row r="17" spans="1:16">
      <c r="A17" s="46">
        <v>14</v>
      </c>
      <c r="B17" s="219">
        <v>46095</v>
      </c>
      <c r="C17" s="17"/>
      <c r="D17" s="17"/>
      <c r="E17" s="245">
        <v>687.04</v>
      </c>
      <c r="F17" s="299">
        <v>91.48</v>
      </c>
      <c r="G17" s="253">
        <f t="shared" si="0"/>
        <v>62850.419199999997</v>
      </c>
      <c r="H17" s="245">
        <v>12</v>
      </c>
      <c r="I17" s="245">
        <v>103.41</v>
      </c>
      <c r="J17" s="245">
        <f t="shared" si="1"/>
        <v>1240.92</v>
      </c>
      <c r="K17" s="253">
        <f t="shared" si="2"/>
        <v>64091.339199999995</v>
      </c>
      <c r="L17" s="137"/>
      <c r="M17" s="305">
        <f t="shared" si="3"/>
        <v>386473.8002000011</v>
      </c>
      <c r="N17" s="17"/>
      <c r="P17" s="264"/>
    </row>
    <row r="18" spans="1:16">
      <c r="A18" s="46">
        <v>15</v>
      </c>
      <c r="B18" s="219">
        <v>46096</v>
      </c>
      <c r="C18" s="17"/>
      <c r="D18" s="17"/>
      <c r="E18" s="245">
        <v>36.590000000000003</v>
      </c>
      <c r="F18" s="299">
        <v>91.48</v>
      </c>
      <c r="G18" s="253">
        <f t="shared" si="0"/>
        <v>3347.2532000000006</v>
      </c>
      <c r="H18" s="245">
        <v>6</v>
      </c>
      <c r="I18" s="245">
        <v>103.41</v>
      </c>
      <c r="J18" s="245">
        <f t="shared" si="1"/>
        <v>620.46</v>
      </c>
      <c r="K18" s="253">
        <f t="shared" si="2"/>
        <v>3967.7132000000006</v>
      </c>
      <c r="L18" s="137"/>
      <c r="M18" s="305">
        <f t="shared" si="3"/>
        <v>390441.5134000011</v>
      </c>
      <c r="N18" s="17"/>
    </row>
    <row r="19" spans="1:16">
      <c r="A19" s="196">
        <v>16</v>
      </c>
      <c r="B19" s="219">
        <v>46097</v>
      </c>
      <c r="C19" s="17"/>
      <c r="D19" s="17"/>
      <c r="E19" s="245">
        <v>383.24</v>
      </c>
      <c r="F19" s="299">
        <v>91.48</v>
      </c>
      <c r="G19" s="253">
        <f t="shared" si="0"/>
        <v>35058.7952</v>
      </c>
      <c r="H19" s="245">
        <v>17</v>
      </c>
      <c r="I19" s="245">
        <v>103.41</v>
      </c>
      <c r="J19" s="245">
        <f t="shared" si="1"/>
        <v>1757.97</v>
      </c>
      <c r="K19" s="253">
        <f t="shared" si="2"/>
        <v>36816.765200000002</v>
      </c>
      <c r="L19" s="137"/>
      <c r="M19" s="305">
        <f t="shared" si="3"/>
        <v>427258.27860000113</v>
      </c>
      <c r="N19" s="17"/>
      <c r="P19" s="22"/>
    </row>
    <row r="20" spans="1:16">
      <c r="A20" s="46">
        <v>17</v>
      </c>
      <c r="B20" s="219">
        <v>46098</v>
      </c>
      <c r="C20" s="17"/>
      <c r="D20" s="17"/>
      <c r="E20" s="245">
        <v>679.06</v>
      </c>
      <c r="F20" s="299">
        <v>91.48</v>
      </c>
      <c r="G20" s="253">
        <f t="shared" si="0"/>
        <v>62120.408799999997</v>
      </c>
      <c r="H20" s="245">
        <v>12</v>
      </c>
      <c r="I20" s="245">
        <v>103.41</v>
      </c>
      <c r="J20" s="245">
        <f t="shared" si="1"/>
        <v>1240.92</v>
      </c>
      <c r="K20" s="253">
        <f t="shared" si="2"/>
        <v>63361.328799999996</v>
      </c>
      <c r="L20" s="137"/>
      <c r="M20" s="305">
        <f t="shared" si="3"/>
        <v>490619.60740000114</v>
      </c>
      <c r="N20" s="17"/>
    </row>
    <row r="21" spans="1:16">
      <c r="A21" s="46">
        <v>18</v>
      </c>
      <c r="B21" s="219">
        <v>46099</v>
      </c>
      <c r="C21" s="17"/>
      <c r="D21" s="17"/>
      <c r="E21" s="245">
        <v>106.92</v>
      </c>
      <c r="F21" s="299">
        <v>91.48</v>
      </c>
      <c r="G21" s="253">
        <f t="shared" si="0"/>
        <v>9781.0416000000005</v>
      </c>
      <c r="H21" s="245">
        <v>12</v>
      </c>
      <c r="I21" s="245">
        <v>103.41</v>
      </c>
      <c r="J21" s="245">
        <f t="shared" si="1"/>
        <v>1240.92</v>
      </c>
      <c r="K21" s="253">
        <f t="shared" si="2"/>
        <v>11021.961600000001</v>
      </c>
      <c r="L21" s="137"/>
      <c r="M21" s="305">
        <f t="shared" si="3"/>
        <v>501641.56900000112</v>
      </c>
      <c r="N21" s="17"/>
    </row>
    <row r="22" spans="1:16">
      <c r="A22" s="196">
        <v>19</v>
      </c>
      <c r="B22" s="219">
        <v>46100</v>
      </c>
      <c r="C22" s="17"/>
      <c r="D22" s="17"/>
      <c r="E22" s="245"/>
      <c r="F22" s="299"/>
      <c r="G22" s="253">
        <f t="shared" si="0"/>
        <v>0</v>
      </c>
      <c r="H22" s="245"/>
      <c r="I22" s="245"/>
      <c r="J22" s="245">
        <f t="shared" si="1"/>
        <v>0</v>
      </c>
      <c r="K22" s="253">
        <f t="shared" si="2"/>
        <v>0</v>
      </c>
      <c r="L22" s="137"/>
      <c r="M22" s="305">
        <f t="shared" si="3"/>
        <v>501641.56900000112</v>
      </c>
      <c r="N22" s="17"/>
    </row>
    <row r="23" spans="1:16">
      <c r="A23" s="46">
        <v>20</v>
      </c>
      <c r="B23" s="219">
        <v>46101</v>
      </c>
      <c r="C23" s="17"/>
      <c r="D23" s="17"/>
      <c r="E23" s="245">
        <v>306.25</v>
      </c>
      <c r="F23" s="299">
        <v>91.48</v>
      </c>
      <c r="G23" s="253">
        <f t="shared" si="0"/>
        <v>28015.75</v>
      </c>
      <c r="H23" s="245">
        <v>6</v>
      </c>
      <c r="I23" s="245">
        <v>103.41</v>
      </c>
      <c r="J23" s="245">
        <f t="shared" si="1"/>
        <v>620.46</v>
      </c>
      <c r="K23" s="253">
        <f t="shared" si="2"/>
        <v>28636.21</v>
      </c>
      <c r="L23" s="137"/>
      <c r="M23" s="305">
        <f t="shared" si="3"/>
        <v>530277.77900000114</v>
      </c>
      <c r="N23" s="17"/>
    </row>
    <row r="24" spans="1:16">
      <c r="A24" s="46">
        <v>21</v>
      </c>
      <c r="B24" s="219">
        <v>46102</v>
      </c>
      <c r="C24" s="17"/>
      <c r="D24" s="17"/>
      <c r="E24" s="245"/>
      <c r="F24" s="299"/>
      <c r="G24" s="253">
        <f t="shared" si="0"/>
        <v>0</v>
      </c>
      <c r="H24" s="245"/>
      <c r="I24" s="245"/>
      <c r="J24" s="245">
        <f t="shared" si="1"/>
        <v>0</v>
      </c>
      <c r="K24" s="253">
        <f t="shared" si="2"/>
        <v>0</v>
      </c>
      <c r="L24" s="137"/>
      <c r="M24" s="305">
        <f t="shared" si="3"/>
        <v>530277.77900000114</v>
      </c>
      <c r="N24" s="17"/>
    </row>
    <row r="25" spans="1:16">
      <c r="A25" s="196">
        <v>22</v>
      </c>
      <c r="B25" s="219">
        <v>46103</v>
      </c>
      <c r="C25" s="17"/>
      <c r="D25" s="17"/>
      <c r="E25" s="245">
        <v>51.98</v>
      </c>
      <c r="F25" s="299">
        <v>91.48</v>
      </c>
      <c r="G25" s="253">
        <f t="shared" si="0"/>
        <v>4755.1304</v>
      </c>
      <c r="H25" s="245">
        <v>11</v>
      </c>
      <c r="I25" s="245">
        <v>103.41</v>
      </c>
      <c r="J25" s="245">
        <f t="shared" si="1"/>
        <v>1137.51</v>
      </c>
      <c r="K25" s="253">
        <f t="shared" si="2"/>
        <v>5892.6404000000002</v>
      </c>
      <c r="L25" s="137"/>
      <c r="M25" s="305">
        <f t="shared" si="3"/>
        <v>536170.41940000118</v>
      </c>
      <c r="N25" s="17"/>
    </row>
    <row r="26" spans="1:16">
      <c r="A26" s="46">
        <v>23</v>
      </c>
      <c r="B26" s="219">
        <v>46104</v>
      </c>
      <c r="C26" s="17"/>
      <c r="D26" s="17"/>
      <c r="E26" s="245">
        <v>886.87</v>
      </c>
      <c r="F26" s="299">
        <v>91.48</v>
      </c>
      <c r="G26" s="253">
        <f t="shared" si="0"/>
        <v>81130.867599999998</v>
      </c>
      <c r="H26" s="245">
        <v>33</v>
      </c>
      <c r="I26" s="245">
        <v>103.41</v>
      </c>
      <c r="J26" s="245">
        <f t="shared" si="1"/>
        <v>3412.5299999999997</v>
      </c>
      <c r="K26" s="253">
        <f t="shared" si="2"/>
        <v>84543.397599999997</v>
      </c>
      <c r="L26" s="137"/>
      <c r="M26" s="305">
        <f t="shared" si="3"/>
        <v>620713.8170000012</v>
      </c>
      <c r="N26" s="17"/>
    </row>
    <row r="27" spans="1:16">
      <c r="A27" s="46">
        <v>24</v>
      </c>
      <c r="B27" s="219">
        <v>46105</v>
      </c>
      <c r="C27" s="17"/>
      <c r="D27" s="17"/>
      <c r="E27" s="245"/>
      <c r="F27" s="299"/>
      <c r="G27" s="253">
        <f t="shared" si="0"/>
        <v>0</v>
      </c>
      <c r="H27" s="245">
        <v>12</v>
      </c>
      <c r="I27" s="245">
        <v>103.41</v>
      </c>
      <c r="J27" s="245">
        <f t="shared" si="1"/>
        <v>1240.92</v>
      </c>
      <c r="K27" s="253">
        <f t="shared" si="2"/>
        <v>1240.92</v>
      </c>
      <c r="L27" s="137">
        <v>400000</v>
      </c>
      <c r="M27" s="305">
        <f t="shared" si="3"/>
        <v>221954.73700000125</v>
      </c>
      <c r="N27" s="17"/>
    </row>
    <row r="28" spans="1:16">
      <c r="A28" s="196">
        <v>25</v>
      </c>
      <c r="B28" s="219">
        <v>46106</v>
      </c>
      <c r="C28" s="17"/>
      <c r="D28" s="17"/>
      <c r="E28" s="245">
        <v>1014.22</v>
      </c>
      <c r="F28" s="299">
        <v>91.48</v>
      </c>
      <c r="G28" s="253">
        <f t="shared" si="0"/>
        <v>92780.845600000001</v>
      </c>
      <c r="H28" s="245"/>
      <c r="I28" s="245"/>
      <c r="J28" s="245">
        <f t="shared" si="1"/>
        <v>0</v>
      </c>
      <c r="K28" s="253">
        <f t="shared" si="2"/>
        <v>92780.845600000001</v>
      </c>
      <c r="L28" s="137"/>
      <c r="M28" s="305">
        <f t="shared" si="3"/>
        <v>314735.58260000125</v>
      </c>
      <c r="N28" s="17"/>
      <c r="P28" s="22"/>
    </row>
    <row r="29" spans="1:16">
      <c r="A29" s="46">
        <v>26</v>
      </c>
      <c r="B29" s="219">
        <v>46107</v>
      </c>
      <c r="C29" s="17"/>
      <c r="D29" s="17"/>
      <c r="E29" s="245">
        <v>367.07</v>
      </c>
      <c r="F29" s="299">
        <v>91.48</v>
      </c>
      <c r="G29" s="253">
        <f t="shared" si="0"/>
        <v>33579.563600000001</v>
      </c>
      <c r="H29" s="245">
        <v>17</v>
      </c>
      <c r="I29" s="245">
        <v>103.41</v>
      </c>
      <c r="J29" s="245">
        <f t="shared" si="1"/>
        <v>1757.97</v>
      </c>
      <c r="K29" s="253">
        <f t="shared" si="2"/>
        <v>35337.533600000002</v>
      </c>
      <c r="L29" s="137"/>
      <c r="M29" s="305">
        <f t="shared" si="3"/>
        <v>350073.11620000127</v>
      </c>
      <c r="N29" s="17"/>
    </row>
    <row r="30" spans="1:16">
      <c r="A30" s="46">
        <v>27</v>
      </c>
      <c r="B30" s="219">
        <v>46108</v>
      </c>
      <c r="C30" s="17"/>
      <c r="D30" s="17"/>
      <c r="E30" s="245">
        <v>35.57</v>
      </c>
      <c r="F30" s="299">
        <v>91.48</v>
      </c>
      <c r="G30" s="253">
        <f t="shared" si="0"/>
        <v>3253.9436000000001</v>
      </c>
      <c r="H30" s="245">
        <v>16</v>
      </c>
      <c r="I30" s="245">
        <v>103.41</v>
      </c>
      <c r="J30" s="245">
        <f t="shared" si="1"/>
        <v>1654.56</v>
      </c>
      <c r="K30" s="253">
        <f t="shared" si="2"/>
        <v>4908.5036</v>
      </c>
      <c r="L30" s="137"/>
      <c r="M30" s="305">
        <f t="shared" si="3"/>
        <v>354981.61980000127</v>
      </c>
      <c r="N30" s="17"/>
    </row>
    <row r="31" spans="1:16">
      <c r="A31" s="196">
        <v>28</v>
      </c>
      <c r="B31" s="219">
        <v>46109</v>
      </c>
      <c r="C31" s="94"/>
      <c r="D31" s="94"/>
      <c r="E31" s="245">
        <v>410.01</v>
      </c>
      <c r="F31" s="299">
        <v>91.48</v>
      </c>
      <c r="G31" s="253">
        <f t="shared" si="0"/>
        <v>37507.714800000002</v>
      </c>
      <c r="H31" s="245">
        <v>6</v>
      </c>
      <c r="I31" s="245">
        <v>103.41</v>
      </c>
      <c r="J31" s="245">
        <f t="shared" si="1"/>
        <v>620.46</v>
      </c>
      <c r="K31" s="253">
        <f t="shared" si="2"/>
        <v>38128.174800000001</v>
      </c>
      <c r="L31" s="137"/>
      <c r="M31" s="305">
        <f t="shared" si="3"/>
        <v>393109.79460000125</v>
      </c>
      <c r="N31" s="94"/>
    </row>
    <row r="32" spans="1:16">
      <c r="A32" s="46">
        <v>29</v>
      </c>
      <c r="B32" s="219">
        <v>46110</v>
      </c>
      <c r="C32" s="17"/>
      <c r="D32" s="17"/>
      <c r="E32" s="245">
        <v>79.489999999999995</v>
      </c>
      <c r="F32" s="299">
        <v>91.48</v>
      </c>
      <c r="G32" s="253">
        <f t="shared" si="0"/>
        <v>7271.7452000000003</v>
      </c>
      <c r="H32" s="245">
        <v>6</v>
      </c>
      <c r="I32" s="245">
        <v>103.41</v>
      </c>
      <c r="J32" s="245">
        <f t="shared" si="1"/>
        <v>620.46</v>
      </c>
      <c r="K32" s="253">
        <f t="shared" si="2"/>
        <v>7892.2052000000003</v>
      </c>
      <c r="L32" s="137"/>
      <c r="M32" s="305">
        <f t="shared" si="3"/>
        <v>401001.99980000127</v>
      </c>
      <c r="N32" s="17"/>
    </row>
    <row r="33" spans="1:16">
      <c r="A33" s="46">
        <v>30</v>
      </c>
      <c r="B33" s="219">
        <v>46111</v>
      </c>
      <c r="C33" s="17"/>
      <c r="D33" s="17"/>
      <c r="E33" s="245">
        <v>441.03</v>
      </c>
      <c r="F33" s="299">
        <v>91.48</v>
      </c>
      <c r="G33" s="253">
        <f t="shared" si="0"/>
        <v>40345.424399999996</v>
      </c>
      <c r="H33" s="245">
        <v>18</v>
      </c>
      <c r="I33" s="245">
        <v>103.41</v>
      </c>
      <c r="J33" s="245">
        <f t="shared" si="1"/>
        <v>1861.3799999999999</v>
      </c>
      <c r="K33" s="253">
        <f t="shared" si="2"/>
        <v>42206.804399999994</v>
      </c>
      <c r="L33" s="137">
        <v>150000</v>
      </c>
      <c r="M33" s="305">
        <f t="shared" si="3"/>
        <v>293208.80420000129</v>
      </c>
      <c r="N33" s="17"/>
    </row>
    <row r="34" spans="1:16">
      <c r="A34" s="196">
        <v>31</v>
      </c>
      <c r="B34" s="219">
        <v>46112</v>
      </c>
      <c r="C34" s="17"/>
      <c r="D34" s="17"/>
      <c r="E34" s="245">
        <v>816.88</v>
      </c>
      <c r="F34" s="299">
        <v>91.48</v>
      </c>
      <c r="G34" s="253">
        <f t="shared" si="0"/>
        <v>74728.182400000005</v>
      </c>
      <c r="H34" s="245"/>
      <c r="I34" s="245"/>
      <c r="J34" s="245">
        <f t="shared" si="1"/>
        <v>0</v>
      </c>
      <c r="K34" s="253">
        <f t="shared" si="2"/>
        <v>74728.182400000005</v>
      </c>
      <c r="L34" s="137"/>
      <c r="M34" s="305">
        <f t="shared" si="3"/>
        <v>367936.98660000128</v>
      </c>
      <c r="N34" s="17"/>
    </row>
    <row r="35" spans="1:16">
      <c r="A35" s="46">
        <v>32</v>
      </c>
      <c r="B35" s="219"/>
      <c r="C35" s="17"/>
      <c r="D35" s="17"/>
      <c r="E35" s="245"/>
      <c r="F35" s="299"/>
      <c r="G35" s="253">
        <f t="shared" si="0"/>
        <v>0</v>
      </c>
      <c r="H35" s="245"/>
      <c r="I35" s="245"/>
      <c r="J35" s="245">
        <f t="shared" si="1"/>
        <v>0</v>
      </c>
      <c r="K35" s="253">
        <f t="shared" si="2"/>
        <v>0</v>
      </c>
      <c r="L35" s="137"/>
      <c r="M35" s="305">
        <f t="shared" si="3"/>
        <v>367936.98660000128</v>
      </c>
      <c r="N35" s="17"/>
    </row>
    <row r="36" spans="1:16">
      <c r="A36" s="46">
        <v>33</v>
      </c>
      <c r="B36" s="219"/>
      <c r="C36" s="17"/>
      <c r="D36" s="17"/>
      <c r="E36" s="245"/>
      <c r="F36" s="299"/>
      <c r="G36" s="253">
        <f t="shared" si="0"/>
        <v>0</v>
      </c>
      <c r="H36" s="245"/>
      <c r="I36" s="245"/>
      <c r="J36" s="245">
        <f t="shared" si="1"/>
        <v>0</v>
      </c>
      <c r="K36" s="253">
        <f t="shared" si="2"/>
        <v>0</v>
      </c>
      <c r="L36" s="137"/>
      <c r="M36" s="305">
        <f t="shared" si="3"/>
        <v>367936.98660000128</v>
      </c>
      <c r="N36" s="17"/>
    </row>
    <row r="37" spans="1:16">
      <c r="A37" s="196">
        <v>34</v>
      </c>
      <c r="B37" s="219"/>
      <c r="C37" s="17"/>
      <c r="D37" s="17"/>
      <c r="E37" s="245"/>
      <c r="F37" s="245"/>
      <c r="G37" s="253">
        <f t="shared" ref="G5:G39" si="4">E37*F37</f>
        <v>0</v>
      </c>
      <c r="H37" s="245"/>
      <c r="I37" s="245"/>
      <c r="J37" s="245">
        <f t="shared" ref="J5:J39" si="5">H37*I37</f>
        <v>0</v>
      </c>
      <c r="K37" s="253">
        <f t="shared" si="2"/>
        <v>0</v>
      </c>
      <c r="L37" s="137"/>
      <c r="M37" s="305">
        <f t="shared" si="3"/>
        <v>367936.98660000128</v>
      </c>
      <c r="N37" s="94"/>
    </row>
    <row r="38" spans="1:16">
      <c r="A38" s="46">
        <v>35</v>
      </c>
      <c r="B38" s="219"/>
      <c r="C38" s="17"/>
      <c r="D38" s="17"/>
      <c r="E38" s="245"/>
      <c r="F38" s="245"/>
      <c r="G38" s="253">
        <f t="shared" si="4"/>
        <v>0</v>
      </c>
      <c r="H38" s="245"/>
      <c r="I38" s="245"/>
      <c r="J38" s="245">
        <f t="shared" si="5"/>
        <v>0</v>
      </c>
      <c r="K38" s="253">
        <f t="shared" si="2"/>
        <v>0</v>
      </c>
      <c r="L38" s="137"/>
      <c r="M38" s="305">
        <f t="shared" si="3"/>
        <v>367936.98660000128</v>
      </c>
      <c r="N38" s="17"/>
      <c r="P38" s="22"/>
    </row>
    <row r="39" spans="1:16">
      <c r="A39" s="45"/>
      <c r="B39" s="219"/>
      <c r="C39" s="17"/>
      <c r="D39" s="17"/>
      <c r="E39" s="245">
        <v>0</v>
      </c>
      <c r="F39" s="245">
        <v>0</v>
      </c>
      <c r="G39" s="253">
        <f t="shared" si="4"/>
        <v>0</v>
      </c>
      <c r="H39" s="245"/>
      <c r="I39" s="245"/>
      <c r="J39" s="245">
        <f t="shared" si="5"/>
        <v>0</v>
      </c>
      <c r="K39" s="253">
        <f t="shared" si="2"/>
        <v>0</v>
      </c>
      <c r="L39" s="137"/>
      <c r="M39" s="305">
        <f t="shared" si="3"/>
        <v>367936.98660000128</v>
      </c>
      <c r="N39" s="17"/>
      <c r="P39" s="22"/>
    </row>
    <row r="40" spans="1:16">
      <c r="A40" s="181"/>
      <c r="B40" s="181"/>
      <c r="C40" s="181"/>
      <c r="D40" s="181"/>
      <c r="E40" s="181">
        <f>SUM(E4:E37)</f>
        <v>11542.14</v>
      </c>
      <c r="F40" s="181"/>
      <c r="G40" s="181">
        <f>SUM(G4:G37)</f>
        <v>1055874.9672000001</v>
      </c>
      <c r="H40" s="181">
        <f>SUM(H4:H37)</f>
        <v>330</v>
      </c>
      <c r="I40" s="181"/>
      <c r="J40" s="181">
        <f>SUM(J4:J37)</f>
        <v>34311.539999999994</v>
      </c>
      <c r="K40" s="181">
        <f>SUM(K4:K37)</f>
        <v>1090186.5072000001</v>
      </c>
      <c r="L40" s="181">
        <f>SUM(L4:L37)</f>
        <v>950000</v>
      </c>
      <c r="M40" s="181"/>
      <c r="N40" s="181"/>
    </row>
    <row r="41" spans="1:16">
      <c r="P41" s="22"/>
    </row>
    <row r="42" spans="1:16">
      <c r="E42" s="22"/>
    </row>
  </sheetData>
  <mergeCells count="1">
    <mergeCell ref="A1:N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P35"/>
  <sheetViews>
    <sheetView topLeftCell="A18" workbookViewId="0">
      <selection activeCell="L20" sqref="L20"/>
    </sheetView>
  </sheetViews>
  <sheetFormatPr defaultRowHeight="15"/>
  <cols>
    <col min="2" max="2" width="10.140625" bestFit="1" customWidth="1"/>
    <col min="5" max="5" width="9.710937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6" ht="15.75">
      <c r="A1" s="485" t="s">
        <v>231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7"/>
    </row>
    <row r="2" spans="1:16" ht="45" customHeight="1">
      <c r="A2" s="124" t="s">
        <v>0</v>
      </c>
      <c r="B2" s="213" t="s">
        <v>161</v>
      </c>
      <c r="C2" s="213" t="s">
        <v>162</v>
      </c>
      <c r="D2" s="213" t="s">
        <v>180</v>
      </c>
      <c r="E2" s="213" t="s">
        <v>164</v>
      </c>
      <c r="F2" s="213" t="s">
        <v>165</v>
      </c>
      <c r="G2" s="213" t="s">
        <v>166</v>
      </c>
      <c r="H2" s="213" t="s">
        <v>167</v>
      </c>
      <c r="I2" s="213" t="s">
        <v>165</v>
      </c>
      <c r="J2" s="213" t="s">
        <v>166</v>
      </c>
      <c r="K2" s="175" t="s">
        <v>168</v>
      </c>
      <c r="L2" s="175" t="s">
        <v>169</v>
      </c>
      <c r="M2" s="175" t="s">
        <v>181</v>
      </c>
      <c r="N2" s="213" t="s">
        <v>171</v>
      </c>
    </row>
    <row r="3" spans="1:16">
      <c r="A3" s="488" t="s">
        <v>172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90"/>
      <c r="M3" s="488">
        <v>94860.976399999985</v>
      </c>
      <c r="N3" s="490"/>
    </row>
    <row r="4" spans="1:16">
      <c r="A4" s="196">
        <v>1</v>
      </c>
      <c r="B4" s="219">
        <v>46082</v>
      </c>
      <c r="C4" s="40">
        <v>0</v>
      </c>
      <c r="D4" s="40"/>
      <c r="E4" s="266">
        <v>40</v>
      </c>
      <c r="F4" s="299">
        <v>91.31</v>
      </c>
      <c r="G4" s="40">
        <f>E4*F4</f>
        <v>3652.4</v>
      </c>
      <c r="H4" s="40">
        <v>5</v>
      </c>
      <c r="I4" s="40">
        <v>103.23</v>
      </c>
      <c r="J4" s="40">
        <f>H4*I4</f>
        <v>516.15</v>
      </c>
      <c r="K4" s="40">
        <f>G4+J4</f>
        <v>4168.55</v>
      </c>
      <c r="L4" s="40"/>
      <c r="M4" s="40">
        <f>M3+K4-L4</f>
        <v>99029.526399999988</v>
      </c>
      <c r="N4" s="40"/>
    </row>
    <row r="5" spans="1:16">
      <c r="A5" s="46">
        <v>2</v>
      </c>
      <c r="B5" s="219">
        <v>46083</v>
      </c>
      <c r="C5" s="40">
        <v>0</v>
      </c>
      <c r="D5" s="40"/>
      <c r="E5" s="266">
        <v>600</v>
      </c>
      <c r="F5" s="299">
        <v>91.31</v>
      </c>
      <c r="G5" s="40">
        <f t="shared" ref="G5:G34" si="0">E5*F5</f>
        <v>54786</v>
      </c>
      <c r="H5" s="40"/>
      <c r="I5" s="40"/>
      <c r="J5" s="40">
        <f t="shared" ref="J5:J34" si="1">H5*I5</f>
        <v>0</v>
      </c>
      <c r="K5" s="40">
        <f t="shared" ref="K5:K34" si="2">G5+J5</f>
        <v>54786</v>
      </c>
      <c r="L5" s="40"/>
      <c r="M5" s="40">
        <f t="shared" ref="M5:M34" si="3">M4+K5-L5</f>
        <v>153815.52639999997</v>
      </c>
      <c r="N5" s="40"/>
    </row>
    <row r="6" spans="1:16">
      <c r="A6" s="46">
        <v>3</v>
      </c>
      <c r="B6" s="219">
        <v>46084</v>
      </c>
      <c r="C6" s="40">
        <v>0</v>
      </c>
      <c r="D6" s="40"/>
      <c r="E6" s="299">
        <v>0</v>
      </c>
      <c r="F6" s="299">
        <v>91.31</v>
      </c>
      <c r="G6" s="40">
        <f t="shared" si="0"/>
        <v>0</v>
      </c>
      <c r="H6" s="40">
        <v>22</v>
      </c>
      <c r="I6" s="40">
        <v>103.23</v>
      </c>
      <c r="J6" s="40">
        <f t="shared" si="1"/>
        <v>2271.06</v>
      </c>
      <c r="K6" s="40">
        <f t="shared" si="2"/>
        <v>2271.06</v>
      </c>
      <c r="L6" s="40"/>
      <c r="M6" s="40">
        <f t="shared" si="3"/>
        <v>156086.58639999997</v>
      </c>
      <c r="N6" s="40"/>
    </row>
    <row r="7" spans="1:16">
      <c r="A7" s="46">
        <v>4</v>
      </c>
      <c r="B7" s="219">
        <v>46085</v>
      </c>
      <c r="C7" s="40">
        <v>0</v>
      </c>
      <c r="D7" s="40"/>
      <c r="E7" s="266">
        <v>400</v>
      </c>
      <c r="F7" s="299">
        <v>91.31</v>
      </c>
      <c r="G7" s="40">
        <f t="shared" si="0"/>
        <v>36524</v>
      </c>
      <c r="H7" s="40">
        <v>0</v>
      </c>
      <c r="I7" s="40">
        <v>103.23</v>
      </c>
      <c r="J7" s="40">
        <f t="shared" si="1"/>
        <v>0</v>
      </c>
      <c r="K7" s="40">
        <f t="shared" si="2"/>
        <v>36524</v>
      </c>
      <c r="L7" s="40"/>
      <c r="M7" s="40">
        <f t="shared" si="3"/>
        <v>192610.58639999997</v>
      </c>
      <c r="N7" s="40"/>
    </row>
    <row r="8" spans="1:16">
      <c r="A8" s="46">
        <v>5</v>
      </c>
      <c r="B8" s="219">
        <v>46086</v>
      </c>
      <c r="C8" s="40">
        <v>0</v>
      </c>
      <c r="D8" s="40"/>
      <c r="E8" s="266">
        <v>45</v>
      </c>
      <c r="F8" s="299">
        <v>91.31</v>
      </c>
      <c r="G8" s="40">
        <f t="shared" si="0"/>
        <v>4108.95</v>
      </c>
      <c r="H8" s="40"/>
      <c r="I8" s="40"/>
      <c r="J8" s="40">
        <f t="shared" si="1"/>
        <v>0</v>
      </c>
      <c r="K8" s="40">
        <f t="shared" si="2"/>
        <v>4108.95</v>
      </c>
      <c r="L8" s="40"/>
      <c r="M8" s="40">
        <f t="shared" si="3"/>
        <v>196719.53639999998</v>
      </c>
      <c r="N8" s="40"/>
    </row>
    <row r="9" spans="1:16">
      <c r="A9" s="46">
        <v>6</v>
      </c>
      <c r="B9" s="219">
        <v>46087</v>
      </c>
      <c r="C9" s="40">
        <v>0</v>
      </c>
      <c r="D9" s="40"/>
      <c r="E9" s="266">
        <v>460</v>
      </c>
      <c r="F9" s="299">
        <v>91.31</v>
      </c>
      <c r="G9" s="40">
        <f t="shared" si="0"/>
        <v>42002.6</v>
      </c>
      <c r="H9" s="40"/>
      <c r="I9" s="40"/>
      <c r="J9" s="40">
        <f t="shared" si="1"/>
        <v>0</v>
      </c>
      <c r="K9" s="40">
        <f t="shared" si="2"/>
        <v>42002.6</v>
      </c>
      <c r="L9" s="40"/>
      <c r="M9" s="40">
        <f t="shared" si="3"/>
        <v>238722.13639999999</v>
      </c>
      <c r="N9" s="40"/>
    </row>
    <row r="10" spans="1:16">
      <c r="A10" s="46">
        <v>7</v>
      </c>
      <c r="B10" s="219">
        <v>46088</v>
      </c>
      <c r="C10" s="40">
        <v>0</v>
      </c>
      <c r="D10" s="40"/>
      <c r="E10" s="266">
        <v>71.62</v>
      </c>
      <c r="F10" s="299">
        <v>91.31</v>
      </c>
      <c r="G10" s="40">
        <f t="shared" si="0"/>
        <v>6539.6222000000007</v>
      </c>
      <c r="H10" s="40"/>
      <c r="I10" s="40"/>
      <c r="J10" s="40">
        <f t="shared" si="1"/>
        <v>0</v>
      </c>
      <c r="K10" s="40">
        <f t="shared" si="2"/>
        <v>6539.6222000000007</v>
      </c>
      <c r="L10" s="40"/>
      <c r="M10" s="40">
        <f t="shared" si="3"/>
        <v>245261.7586</v>
      </c>
      <c r="N10" s="40"/>
    </row>
    <row r="11" spans="1:16">
      <c r="A11" s="46">
        <v>8</v>
      </c>
      <c r="B11" s="219">
        <v>46089</v>
      </c>
      <c r="C11" s="40">
        <v>0</v>
      </c>
      <c r="D11" s="40"/>
      <c r="E11" s="266">
        <v>400</v>
      </c>
      <c r="F11" s="299">
        <v>91.31</v>
      </c>
      <c r="G11" s="40">
        <f t="shared" si="0"/>
        <v>36524</v>
      </c>
      <c r="H11" s="40"/>
      <c r="I11" s="40"/>
      <c r="J11" s="40">
        <f t="shared" si="1"/>
        <v>0</v>
      </c>
      <c r="K11" s="40">
        <f t="shared" si="2"/>
        <v>36524</v>
      </c>
      <c r="L11" s="40"/>
      <c r="M11" s="40">
        <f t="shared" si="3"/>
        <v>281785.7586</v>
      </c>
      <c r="N11" s="40"/>
      <c r="P11" s="22"/>
    </row>
    <row r="12" spans="1:16">
      <c r="A12" s="46">
        <v>9</v>
      </c>
      <c r="B12" s="219">
        <v>46090</v>
      </c>
      <c r="C12" s="40">
        <v>0</v>
      </c>
      <c r="D12" s="40"/>
      <c r="E12" s="266">
        <v>442</v>
      </c>
      <c r="F12" s="299">
        <v>91.31</v>
      </c>
      <c r="G12" s="40">
        <f t="shared" si="0"/>
        <v>40359.020000000004</v>
      </c>
      <c r="H12" s="40"/>
      <c r="I12" s="40"/>
      <c r="J12" s="40">
        <f t="shared" si="1"/>
        <v>0</v>
      </c>
      <c r="K12" s="40">
        <f t="shared" si="2"/>
        <v>40359.020000000004</v>
      </c>
      <c r="L12" s="40"/>
      <c r="M12" s="40">
        <f t="shared" si="3"/>
        <v>322144.77860000002</v>
      </c>
      <c r="N12" s="40"/>
    </row>
    <row r="13" spans="1:16">
      <c r="A13" s="46">
        <v>10</v>
      </c>
      <c r="B13" s="219">
        <v>46091</v>
      </c>
      <c r="C13" s="40">
        <v>0</v>
      </c>
      <c r="D13" s="40"/>
      <c r="E13" s="266">
        <v>20</v>
      </c>
      <c r="F13" s="299">
        <v>91.31</v>
      </c>
      <c r="G13" s="40">
        <f t="shared" si="0"/>
        <v>1826.2</v>
      </c>
      <c r="H13" s="40">
        <v>14</v>
      </c>
      <c r="I13" s="40">
        <v>103.23</v>
      </c>
      <c r="J13" s="40">
        <f t="shared" si="1"/>
        <v>1445.22</v>
      </c>
      <c r="K13" s="40">
        <f t="shared" si="2"/>
        <v>3271.42</v>
      </c>
      <c r="L13" s="40"/>
      <c r="M13" s="40">
        <f t="shared" si="3"/>
        <v>325416.1986</v>
      </c>
      <c r="N13" s="40"/>
    </row>
    <row r="14" spans="1:16">
      <c r="A14" s="46">
        <v>11</v>
      </c>
      <c r="B14" s="219">
        <v>46092</v>
      </c>
      <c r="C14" s="40">
        <v>0</v>
      </c>
      <c r="D14" s="40"/>
      <c r="E14" s="266">
        <v>139.35</v>
      </c>
      <c r="F14" s="299">
        <v>91.31</v>
      </c>
      <c r="G14" s="40">
        <f t="shared" si="0"/>
        <v>12724.048499999999</v>
      </c>
      <c r="H14" s="40">
        <v>15</v>
      </c>
      <c r="I14" s="40">
        <v>103.23</v>
      </c>
      <c r="J14" s="40">
        <f t="shared" si="1"/>
        <v>1548.45</v>
      </c>
      <c r="K14" s="40">
        <f t="shared" si="2"/>
        <v>14272.4985</v>
      </c>
      <c r="L14" s="40"/>
      <c r="M14" s="40">
        <f t="shared" si="3"/>
        <v>339688.69709999999</v>
      </c>
      <c r="N14" s="40"/>
    </row>
    <row r="15" spans="1:16">
      <c r="A15" s="46">
        <v>12</v>
      </c>
      <c r="B15" s="219">
        <v>46093</v>
      </c>
      <c r="C15" s="40">
        <v>0</v>
      </c>
      <c r="D15" s="40"/>
      <c r="E15" s="266">
        <v>516</v>
      </c>
      <c r="F15" s="299">
        <v>91.31</v>
      </c>
      <c r="G15" s="40">
        <f t="shared" si="0"/>
        <v>47115.96</v>
      </c>
      <c r="H15" s="40"/>
      <c r="I15" s="40"/>
      <c r="J15" s="40">
        <f t="shared" si="1"/>
        <v>0</v>
      </c>
      <c r="K15" s="40">
        <f t="shared" si="2"/>
        <v>47115.96</v>
      </c>
      <c r="L15" s="40"/>
      <c r="M15" s="40">
        <f t="shared" si="3"/>
        <v>386804.65710000001</v>
      </c>
      <c r="N15" s="40"/>
    </row>
    <row r="16" spans="1:16">
      <c r="A16" s="46">
        <v>13</v>
      </c>
      <c r="B16" s="219">
        <v>46094</v>
      </c>
      <c r="C16" s="40">
        <v>0</v>
      </c>
      <c r="D16" s="40"/>
      <c r="E16" s="266"/>
      <c r="F16" s="299"/>
      <c r="G16" s="40">
        <f t="shared" si="0"/>
        <v>0</v>
      </c>
      <c r="H16" s="40"/>
      <c r="I16" s="40"/>
      <c r="J16" s="40">
        <f t="shared" si="1"/>
        <v>0</v>
      </c>
      <c r="K16" s="40">
        <f t="shared" si="2"/>
        <v>0</v>
      </c>
      <c r="L16" s="40"/>
      <c r="M16" s="40">
        <f>M15+K16-L16</f>
        <v>386804.65710000001</v>
      </c>
      <c r="N16" s="40"/>
    </row>
    <row r="17" spans="1:14">
      <c r="A17" s="46">
        <v>14</v>
      </c>
      <c r="B17" s="219">
        <v>46095</v>
      </c>
      <c r="C17" s="40">
        <v>0</v>
      </c>
      <c r="D17" s="40"/>
      <c r="E17" s="266">
        <v>10</v>
      </c>
      <c r="F17" s="299">
        <v>91.31</v>
      </c>
      <c r="G17" s="40">
        <f t="shared" si="0"/>
        <v>913.1</v>
      </c>
      <c r="H17" s="40"/>
      <c r="I17" s="40"/>
      <c r="J17" s="40">
        <f t="shared" si="1"/>
        <v>0</v>
      </c>
      <c r="K17" s="40">
        <f t="shared" si="2"/>
        <v>913.1</v>
      </c>
      <c r="L17" s="40"/>
      <c r="M17" s="40">
        <f t="shared" si="3"/>
        <v>387717.75709999999</v>
      </c>
      <c r="N17" s="40"/>
    </row>
    <row r="18" spans="1:14">
      <c r="A18" s="46">
        <v>15</v>
      </c>
      <c r="B18" s="219">
        <v>46096</v>
      </c>
      <c r="C18" s="40">
        <v>0</v>
      </c>
      <c r="D18" s="40"/>
      <c r="E18" s="266"/>
      <c r="F18" s="299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/>
      <c r="M18" s="40">
        <f t="shared" si="3"/>
        <v>387717.75709999999</v>
      </c>
      <c r="N18" s="40"/>
    </row>
    <row r="19" spans="1:14">
      <c r="A19" s="46">
        <v>16</v>
      </c>
      <c r="B19" s="219">
        <v>46097</v>
      </c>
      <c r="C19" s="40">
        <v>0</v>
      </c>
      <c r="D19" s="40"/>
      <c r="E19" s="266"/>
      <c r="F19" s="299"/>
      <c r="G19" s="40">
        <f t="shared" si="0"/>
        <v>0</v>
      </c>
      <c r="H19" s="40"/>
      <c r="I19" s="40"/>
      <c r="J19" s="40">
        <f t="shared" si="1"/>
        <v>0</v>
      </c>
      <c r="K19" s="40">
        <f t="shared" si="2"/>
        <v>0</v>
      </c>
      <c r="L19" s="40"/>
      <c r="M19" s="40">
        <f t="shared" si="3"/>
        <v>387717.75709999999</v>
      </c>
      <c r="N19" s="40"/>
    </row>
    <row r="20" spans="1:14">
      <c r="A20" s="46">
        <v>17</v>
      </c>
      <c r="B20" s="219">
        <v>46098</v>
      </c>
      <c r="C20" s="40">
        <v>0</v>
      </c>
      <c r="D20" s="40"/>
      <c r="E20" s="266"/>
      <c r="F20" s="299"/>
      <c r="G20" s="40">
        <f t="shared" si="0"/>
        <v>0</v>
      </c>
      <c r="H20" s="40"/>
      <c r="I20" s="40"/>
      <c r="J20" s="40">
        <f t="shared" si="1"/>
        <v>0</v>
      </c>
      <c r="K20" s="40">
        <f t="shared" si="2"/>
        <v>0</v>
      </c>
      <c r="L20" s="40">
        <v>300000</v>
      </c>
      <c r="M20" s="40">
        <f t="shared" si="3"/>
        <v>87717.757099999988</v>
      </c>
      <c r="N20" s="40"/>
    </row>
    <row r="21" spans="1:14">
      <c r="A21" s="46">
        <v>18</v>
      </c>
      <c r="B21" s="219">
        <v>46099</v>
      </c>
      <c r="C21" s="40">
        <v>0</v>
      </c>
      <c r="D21" s="40"/>
      <c r="E21" s="266"/>
      <c r="F21" s="299"/>
      <c r="G21" s="40">
        <f t="shared" si="0"/>
        <v>0</v>
      </c>
      <c r="H21" s="40"/>
      <c r="I21" s="40"/>
      <c r="J21" s="40">
        <f t="shared" si="1"/>
        <v>0</v>
      </c>
      <c r="K21" s="40">
        <f t="shared" si="2"/>
        <v>0</v>
      </c>
      <c r="L21" s="40"/>
      <c r="M21" s="40">
        <f>M20+K21-L21</f>
        <v>87717.757099999988</v>
      </c>
      <c r="N21" s="40"/>
    </row>
    <row r="22" spans="1:14">
      <c r="A22" s="46">
        <v>19</v>
      </c>
      <c r="B22" s="219">
        <v>46100</v>
      </c>
      <c r="C22" s="40">
        <v>0</v>
      </c>
      <c r="D22" s="40"/>
      <c r="E22" s="266"/>
      <c r="F22" s="299"/>
      <c r="G22" s="40">
        <f t="shared" si="0"/>
        <v>0</v>
      </c>
      <c r="H22" s="40"/>
      <c r="I22" s="40"/>
      <c r="J22" s="40">
        <f t="shared" si="1"/>
        <v>0</v>
      </c>
      <c r="K22" s="40">
        <f t="shared" si="2"/>
        <v>0</v>
      </c>
      <c r="L22" s="40"/>
      <c r="M22" s="40">
        <f t="shared" si="3"/>
        <v>87717.757099999988</v>
      </c>
      <c r="N22" s="40"/>
    </row>
    <row r="23" spans="1:14">
      <c r="A23" s="46">
        <v>20</v>
      </c>
      <c r="B23" s="219">
        <v>46101</v>
      </c>
      <c r="C23" s="40">
        <v>0</v>
      </c>
      <c r="D23" s="40"/>
      <c r="E23" s="266"/>
      <c r="F23" s="299"/>
      <c r="G23" s="40">
        <f t="shared" si="0"/>
        <v>0</v>
      </c>
      <c r="H23" s="40"/>
      <c r="I23" s="40"/>
      <c r="J23" s="40">
        <f t="shared" si="1"/>
        <v>0</v>
      </c>
      <c r="K23" s="40">
        <f t="shared" si="2"/>
        <v>0</v>
      </c>
      <c r="L23" s="40"/>
      <c r="M23" s="40">
        <f t="shared" si="3"/>
        <v>87717.757099999988</v>
      </c>
      <c r="N23" s="40"/>
    </row>
    <row r="24" spans="1:14">
      <c r="A24" s="46">
        <v>21</v>
      </c>
      <c r="B24" s="219">
        <v>46102</v>
      </c>
      <c r="C24" s="40">
        <v>0</v>
      </c>
      <c r="D24" s="40"/>
      <c r="E24" s="266"/>
      <c r="F24" s="299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/>
      <c r="M24" s="40">
        <f t="shared" si="3"/>
        <v>87717.757099999988</v>
      </c>
      <c r="N24" s="40"/>
    </row>
    <row r="25" spans="1:14">
      <c r="A25" s="46">
        <v>22</v>
      </c>
      <c r="B25" s="219">
        <v>46103</v>
      </c>
      <c r="C25" s="40">
        <v>0</v>
      </c>
      <c r="D25" s="40"/>
      <c r="E25" s="266"/>
      <c r="F25" s="299"/>
      <c r="G25" s="40">
        <f t="shared" si="0"/>
        <v>0</v>
      </c>
      <c r="H25" s="40">
        <v>10</v>
      </c>
      <c r="I25" s="40">
        <v>103.24</v>
      </c>
      <c r="J25" s="40">
        <f t="shared" si="1"/>
        <v>1032.3999999999999</v>
      </c>
      <c r="K25" s="40">
        <f t="shared" si="2"/>
        <v>1032.3999999999999</v>
      </c>
      <c r="L25" s="40"/>
      <c r="M25" s="40">
        <f t="shared" si="3"/>
        <v>88750.157099999982</v>
      </c>
      <c r="N25" s="40"/>
    </row>
    <row r="26" spans="1:14">
      <c r="A26" s="46">
        <v>23</v>
      </c>
      <c r="B26" s="219">
        <v>46104</v>
      </c>
      <c r="C26" s="40">
        <v>0</v>
      </c>
      <c r="D26" s="40"/>
      <c r="E26" s="266">
        <v>389.9</v>
      </c>
      <c r="F26" s="299">
        <v>91.32</v>
      </c>
      <c r="G26" s="40">
        <f t="shared" si="0"/>
        <v>35605.667999999998</v>
      </c>
      <c r="H26" s="40"/>
      <c r="I26" s="40"/>
      <c r="J26" s="40">
        <f t="shared" si="1"/>
        <v>0</v>
      </c>
      <c r="K26" s="40">
        <f t="shared" si="2"/>
        <v>35605.667999999998</v>
      </c>
      <c r="L26" s="40"/>
      <c r="M26" s="40">
        <f t="shared" si="3"/>
        <v>124355.82509999999</v>
      </c>
      <c r="N26" s="40"/>
    </row>
    <row r="27" spans="1:14">
      <c r="A27" s="46">
        <v>24</v>
      </c>
      <c r="B27" s="219">
        <v>46105</v>
      </c>
      <c r="C27" s="40">
        <v>0</v>
      </c>
      <c r="D27" s="40"/>
      <c r="E27" s="266">
        <v>649</v>
      </c>
      <c r="F27" s="299">
        <v>91.32</v>
      </c>
      <c r="G27" s="40">
        <f t="shared" si="0"/>
        <v>59266.679999999993</v>
      </c>
      <c r="H27" s="40"/>
      <c r="I27" s="40"/>
      <c r="J27" s="40">
        <f t="shared" si="1"/>
        <v>0</v>
      </c>
      <c r="K27" s="40">
        <f t="shared" si="2"/>
        <v>59266.679999999993</v>
      </c>
      <c r="L27" s="40"/>
      <c r="M27" s="40">
        <f t="shared" si="3"/>
        <v>183622.50509999998</v>
      </c>
      <c r="N27" s="40"/>
    </row>
    <row r="28" spans="1:14">
      <c r="A28" s="221">
        <v>25</v>
      </c>
      <c r="B28" s="219">
        <v>46106</v>
      </c>
      <c r="C28" s="40">
        <v>0</v>
      </c>
      <c r="D28" s="40"/>
      <c r="E28" s="266"/>
      <c r="F28" s="299"/>
      <c r="G28" s="40">
        <f t="shared" si="0"/>
        <v>0</v>
      </c>
      <c r="H28" s="40"/>
      <c r="I28" s="40"/>
      <c r="J28" s="40">
        <f t="shared" si="1"/>
        <v>0</v>
      </c>
      <c r="K28" s="40">
        <f t="shared" si="2"/>
        <v>0</v>
      </c>
      <c r="L28" s="40"/>
      <c r="M28" s="40">
        <f t="shared" si="3"/>
        <v>183622.50509999998</v>
      </c>
      <c r="N28" s="40"/>
    </row>
    <row r="29" spans="1:14">
      <c r="A29" s="221">
        <v>26</v>
      </c>
      <c r="B29" s="219">
        <v>46107</v>
      </c>
      <c r="C29" s="40">
        <v>0</v>
      </c>
      <c r="D29" s="40"/>
      <c r="E29" s="266"/>
      <c r="F29" s="299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/>
      <c r="M29" s="40">
        <f t="shared" si="3"/>
        <v>183622.50509999998</v>
      </c>
      <c r="N29" s="40"/>
    </row>
    <row r="30" spans="1:14">
      <c r="A30" s="221">
        <v>27</v>
      </c>
      <c r="B30" s="219">
        <v>46108</v>
      </c>
      <c r="C30" s="40">
        <v>0</v>
      </c>
      <c r="D30" s="40"/>
      <c r="E30" s="266"/>
      <c r="F30" s="299"/>
      <c r="G30" s="40">
        <f t="shared" si="0"/>
        <v>0</v>
      </c>
      <c r="H30" s="40">
        <v>16</v>
      </c>
      <c r="I30" s="40">
        <v>103.24</v>
      </c>
      <c r="J30" s="40">
        <f t="shared" si="1"/>
        <v>1651.84</v>
      </c>
      <c r="K30" s="40">
        <f t="shared" si="2"/>
        <v>1651.84</v>
      </c>
      <c r="L30" s="40"/>
      <c r="M30" s="40">
        <f t="shared" si="3"/>
        <v>185274.34509999998</v>
      </c>
      <c r="N30" s="40"/>
    </row>
    <row r="31" spans="1:14">
      <c r="A31" s="221">
        <v>28</v>
      </c>
      <c r="B31" s="219">
        <v>46109</v>
      </c>
      <c r="C31" s="40">
        <v>0</v>
      </c>
      <c r="D31" s="40"/>
      <c r="E31" s="266"/>
      <c r="F31" s="299"/>
      <c r="G31" s="40">
        <f t="shared" si="0"/>
        <v>0</v>
      </c>
      <c r="H31" s="40"/>
      <c r="I31" s="40"/>
      <c r="J31" s="40">
        <f t="shared" si="1"/>
        <v>0</v>
      </c>
      <c r="K31" s="40">
        <f t="shared" si="2"/>
        <v>0</v>
      </c>
      <c r="L31" s="40"/>
      <c r="M31" s="40">
        <f t="shared" si="3"/>
        <v>185274.34509999998</v>
      </c>
      <c r="N31" s="40"/>
    </row>
    <row r="32" spans="1:14">
      <c r="A32" s="222">
        <v>29</v>
      </c>
      <c r="B32" s="219">
        <v>46110</v>
      </c>
      <c r="C32" s="40">
        <v>0</v>
      </c>
      <c r="D32" s="40"/>
      <c r="E32" s="266"/>
      <c r="F32" s="299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/>
      <c r="M32" s="40">
        <f t="shared" si="3"/>
        <v>185274.34509999998</v>
      </c>
      <c r="N32" s="40"/>
    </row>
    <row r="33" spans="1:14">
      <c r="A33" s="222">
        <v>30</v>
      </c>
      <c r="B33" s="219">
        <v>46111</v>
      </c>
      <c r="C33" s="40">
        <v>0</v>
      </c>
      <c r="D33" s="40"/>
      <c r="E33" s="266"/>
      <c r="F33" s="299"/>
      <c r="G33" s="40">
        <f t="shared" si="0"/>
        <v>0</v>
      </c>
      <c r="H33" s="40"/>
      <c r="I33" s="40"/>
      <c r="J33" s="40">
        <f t="shared" si="1"/>
        <v>0</v>
      </c>
      <c r="K33" s="40">
        <f t="shared" si="2"/>
        <v>0</v>
      </c>
      <c r="L33" s="40">
        <v>0</v>
      </c>
      <c r="M33" s="40">
        <f t="shared" si="3"/>
        <v>185274.34509999998</v>
      </c>
      <c r="N33" s="40"/>
    </row>
    <row r="34" spans="1:14">
      <c r="A34" s="222">
        <v>31</v>
      </c>
      <c r="B34" s="219">
        <v>46112</v>
      </c>
      <c r="C34" s="40">
        <v>0</v>
      </c>
      <c r="D34" s="40"/>
      <c r="E34" s="266"/>
      <c r="F34" s="299"/>
      <c r="G34" s="40">
        <f t="shared" si="0"/>
        <v>0</v>
      </c>
      <c r="H34" s="40"/>
      <c r="I34" s="40"/>
      <c r="J34" s="40">
        <f t="shared" si="1"/>
        <v>0</v>
      </c>
      <c r="K34" s="40">
        <f t="shared" si="2"/>
        <v>0</v>
      </c>
      <c r="L34" s="40">
        <v>0</v>
      </c>
      <c r="M34" s="40">
        <f t="shared" si="3"/>
        <v>185274.34509999998</v>
      </c>
      <c r="N34" s="40"/>
    </row>
    <row r="35" spans="1:14">
      <c r="A35" s="181"/>
      <c r="B35" s="181"/>
      <c r="C35" s="181"/>
      <c r="D35" s="181"/>
      <c r="E35" s="181">
        <f>SUM(E4:E34)</f>
        <v>4182.87</v>
      </c>
      <c r="F35" s="181"/>
      <c r="G35" s="181">
        <f>SUM(G4:G34)</f>
        <v>381948.2487</v>
      </c>
      <c r="H35" s="181">
        <f>SUM(H4:H34)</f>
        <v>82</v>
      </c>
      <c r="I35" s="181"/>
      <c r="J35" s="181">
        <f>SUM(J4:J34)</f>
        <v>8465.119999999999</v>
      </c>
      <c r="K35" s="181">
        <f>SUM(K4:K34)</f>
        <v>390413.36870000005</v>
      </c>
      <c r="L35" s="181">
        <f>SUM(L4:L34)</f>
        <v>300000</v>
      </c>
      <c r="M35" s="181"/>
      <c r="N35" s="181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677C-45ED-46D2-B6DD-48C42A14EFA2}">
  <sheetPr>
    <tabColor rgb="FF002060"/>
  </sheetPr>
  <dimension ref="A1:P39"/>
  <sheetViews>
    <sheetView topLeftCell="A30" workbookViewId="0">
      <selection activeCell="O39" sqref="O39"/>
    </sheetView>
  </sheetViews>
  <sheetFormatPr defaultRowHeight="15"/>
  <cols>
    <col min="2" max="2" width="12.5703125" customWidth="1"/>
    <col min="7" max="7" width="10.42578125" bestFit="1" customWidth="1"/>
    <col min="11" max="11" width="13.5703125" bestFit="1" customWidth="1"/>
    <col min="12" max="12" width="12.42578125" bestFit="1" customWidth="1"/>
    <col min="13" max="13" width="10.5703125" bestFit="1" customWidth="1"/>
    <col min="15" max="15" width="12.5703125" bestFit="1" customWidth="1"/>
  </cols>
  <sheetData>
    <row r="1" spans="1:16" ht="15.75">
      <c r="A1" s="485" t="s">
        <v>232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7"/>
    </row>
    <row r="2" spans="1:16" ht="30.75">
      <c r="A2" s="124" t="s">
        <v>0</v>
      </c>
      <c r="B2" s="213" t="s">
        <v>161</v>
      </c>
      <c r="C2" s="213" t="s">
        <v>162</v>
      </c>
      <c r="D2" s="213" t="s">
        <v>180</v>
      </c>
      <c r="E2" s="213" t="s">
        <v>164</v>
      </c>
      <c r="F2" s="213" t="s">
        <v>165</v>
      </c>
      <c r="G2" s="213" t="s">
        <v>166</v>
      </c>
      <c r="H2" s="213" t="s">
        <v>167</v>
      </c>
      <c r="I2" s="213" t="s">
        <v>165</v>
      </c>
      <c r="J2" s="213" t="s">
        <v>166</v>
      </c>
      <c r="K2" s="175" t="s">
        <v>168</v>
      </c>
      <c r="L2" s="175" t="s">
        <v>169</v>
      </c>
      <c r="M2" s="175" t="s">
        <v>181</v>
      </c>
      <c r="N2" s="213" t="s">
        <v>171</v>
      </c>
    </row>
    <row r="3" spans="1:16">
      <c r="A3" s="488" t="s">
        <v>172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90"/>
      <c r="M3" s="488">
        <v>301816.68719999993</v>
      </c>
      <c r="N3" s="490"/>
    </row>
    <row r="4" spans="1:16">
      <c r="A4" s="196">
        <v>1</v>
      </c>
      <c r="B4" s="219">
        <v>46082</v>
      </c>
      <c r="C4" s="40"/>
      <c r="D4" s="40"/>
      <c r="E4" s="266"/>
      <c r="F4" s="299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>
        <v>0</v>
      </c>
      <c r="M4" s="40">
        <f>M3+K4-L4</f>
        <v>301816.68719999993</v>
      </c>
      <c r="N4" s="40"/>
    </row>
    <row r="5" spans="1:16">
      <c r="A5" s="46">
        <v>2</v>
      </c>
      <c r="B5" s="219">
        <v>46083</v>
      </c>
      <c r="C5" s="40"/>
      <c r="D5" s="40"/>
      <c r="E5" s="266"/>
      <c r="F5" s="299"/>
      <c r="G5" s="40">
        <f t="shared" ref="G5:G34" si="0">E5*F5</f>
        <v>0</v>
      </c>
      <c r="H5" s="40"/>
      <c r="I5" s="40"/>
      <c r="J5" s="40">
        <f t="shared" ref="J5:J34" si="1">H5*I5</f>
        <v>0</v>
      </c>
      <c r="K5" s="40">
        <f t="shared" ref="K5:K34" si="2">G5+J5</f>
        <v>0</v>
      </c>
      <c r="L5" s="40">
        <v>0</v>
      </c>
      <c r="M5" s="40">
        <f t="shared" ref="M5:M34" si="3">M4+K5-L5</f>
        <v>301816.68719999993</v>
      </c>
      <c r="N5" s="40"/>
    </row>
    <row r="6" spans="1:16">
      <c r="A6" s="46">
        <v>3</v>
      </c>
      <c r="B6" s="219">
        <v>46084</v>
      </c>
      <c r="C6" s="40"/>
      <c r="D6" s="40"/>
      <c r="E6" s="299">
        <v>163.84</v>
      </c>
      <c r="F6" s="40">
        <v>91.32</v>
      </c>
      <c r="G6" s="40">
        <f t="shared" si="0"/>
        <v>14961.868799999998</v>
      </c>
      <c r="H6" s="40">
        <v>6</v>
      </c>
      <c r="I6" s="40">
        <v>103.23</v>
      </c>
      <c r="J6" s="40">
        <f t="shared" si="1"/>
        <v>619.38</v>
      </c>
      <c r="K6" s="40">
        <f>G6+J6</f>
        <v>15581.248799999998</v>
      </c>
      <c r="L6" s="40">
        <v>0</v>
      </c>
      <c r="M6" s="40">
        <f t="shared" si="3"/>
        <v>317397.93599999993</v>
      </c>
      <c r="N6" s="40"/>
    </row>
    <row r="7" spans="1:16">
      <c r="A7" s="46">
        <v>4</v>
      </c>
      <c r="B7" s="219">
        <v>46085</v>
      </c>
      <c r="C7" s="40"/>
      <c r="D7" s="40"/>
      <c r="E7" s="266"/>
      <c r="F7" s="299"/>
      <c r="G7" s="40">
        <f t="shared" si="0"/>
        <v>0</v>
      </c>
      <c r="H7" s="40"/>
      <c r="I7" s="40"/>
      <c r="J7" s="40">
        <f t="shared" si="1"/>
        <v>0</v>
      </c>
      <c r="K7" s="40">
        <f t="shared" si="2"/>
        <v>0</v>
      </c>
      <c r="L7" s="40">
        <v>0</v>
      </c>
      <c r="M7" s="40">
        <f t="shared" si="3"/>
        <v>317397.93599999993</v>
      </c>
      <c r="N7" s="40"/>
    </row>
    <row r="8" spans="1:16">
      <c r="A8" s="46">
        <v>5</v>
      </c>
      <c r="B8" s="219">
        <v>46086</v>
      </c>
      <c r="C8" s="40"/>
      <c r="D8" s="40"/>
      <c r="E8" s="266">
        <v>47.25</v>
      </c>
      <c r="F8" s="299">
        <v>91.32</v>
      </c>
      <c r="G8" s="40">
        <f t="shared" si="0"/>
        <v>4314.87</v>
      </c>
      <c r="H8" s="40"/>
      <c r="I8" s="40"/>
      <c r="J8" s="40">
        <f t="shared" si="1"/>
        <v>0</v>
      </c>
      <c r="K8" s="40">
        <f t="shared" si="2"/>
        <v>4314.87</v>
      </c>
      <c r="L8" s="40">
        <v>0</v>
      </c>
      <c r="M8" s="40">
        <f t="shared" si="3"/>
        <v>321712.80599999992</v>
      </c>
      <c r="N8" s="40"/>
    </row>
    <row r="9" spans="1:16">
      <c r="A9" s="46">
        <v>6</v>
      </c>
      <c r="B9" s="219">
        <v>46087</v>
      </c>
      <c r="C9" s="40"/>
      <c r="D9" s="40"/>
      <c r="E9" s="266">
        <v>797.7</v>
      </c>
      <c r="F9" s="299">
        <v>91.32</v>
      </c>
      <c r="G9" s="40">
        <f t="shared" si="0"/>
        <v>72845.963999999993</v>
      </c>
      <c r="H9" s="40"/>
      <c r="I9" s="40"/>
      <c r="J9" s="40">
        <f t="shared" si="1"/>
        <v>0</v>
      </c>
      <c r="K9" s="40">
        <f t="shared" si="2"/>
        <v>72845.963999999993</v>
      </c>
      <c r="L9" s="40">
        <v>0</v>
      </c>
      <c r="M9" s="40">
        <f t="shared" si="3"/>
        <v>394558.7699999999</v>
      </c>
      <c r="N9" s="40"/>
    </row>
    <row r="10" spans="1:16">
      <c r="A10" s="46">
        <v>7</v>
      </c>
      <c r="B10" s="219">
        <v>46088</v>
      </c>
      <c r="C10" s="40"/>
      <c r="D10" s="40"/>
      <c r="E10" s="266"/>
      <c r="F10" s="299"/>
      <c r="G10" s="40">
        <f t="shared" si="0"/>
        <v>0</v>
      </c>
      <c r="H10" s="40"/>
      <c r="I10" s="40"/>
      <c r="J10" s="40">
        <f t="shared" si="1"/>
        <v>0</v>
      </c>
      <c r="K10" s="40">
        <f t="shared" si="2"/>
        <v>0</v>
      </c>
      <c r="L10" s="40">
        <v>0</v>
      </c>
      <c r="M10" s="40">
        <f t="shared" si="3"/>
        <v>394558.7699999999</v>
      </c>
      <c r="N10" s="40"/>
    </row>
    <row r="11" spans="1:16">
      <c r="A11" s="46">
        <v>8</v>
      </c>
      <c r="B11" s="219">
        <v>46089</v>
      </c>
      <c r="C11" s="40"/>
      <c r="D11" s="40"/>
      <c r="E11" s="266"/>
      <c r="F11" s="299"/>
      <c r="G11" s="40">
        <f t="shared" si="0"/>
        <v>0</v>
      </c>
      <c r="H11" s="40"/>
      <c r="I11" s="40"/>
      <c r="J11" s="40">
        <f t="shared" si="1"/>
        <v>0</v>
      </c>
      <c r="K11" s="40">
        <f t="shared" si="2"/>
        <v>0</v>
      </c>
      <c r="L11" s="40">
        <v>0</v>
      </c>
      <c r="M11" s="40">
        <f t="shared" si="3"/>
        <v>394558.7699999999</v>
      </c>
      <c r="N11" s="40"/>
      <c r="P11" s="22"/>
    </row>
    <row r="12" spans="1:16">
      <c r="A12" s="46">
        <v>9</v>
      </c>
      <c r="B12" s="219">
        <v>46090</v>
      </c>
      <c r="C12" s="40"/>
      <c r="D12" s="40"/>
      <c r="E12" s="266">
        <v>943.74</v>
      </c>
      <c r="F12" s="299">
        <v>91.32</v>
      </c>
      <c r="G12" s="40">
        <f t="shared" si="0"/>
        <v>86182.33679999999</v>
      </c>
      <c r="H12" s="40"/>
      <c r="I12" s="40"/>
      <c r="J12" s="40">
        <f t="shared" si="1"/>
        <v>0</v>
      </c>
      <c r="K12" s="40">
        <f t="shared" si="2"/>
        <v>86182.33679999999</v>
      </c>
      <c r="L12" s="40">
        <v>0</v>
      </c>
      <c r="M12" s="40">
        <f t="shared" si="3"/>
        <v>480741.10679999989</v>
      </c>
      <c r="N12" s="40"/>
    </row>
    <row r="13" spans="1:16">
      <c r="A13" s="46">
        <v>10</v>
      </c>
      <c r="B13" s="219">
        <v>46091</v>
      </c>
      <c r="C13" s="40"/>
      <c r="D13" s="40"/>
      <c r="E13" s="266">
        <v>817.41</v>
      </c>
      <c r="F13" s="299">
        <v>91.32</v>
      </c>
      <c r="G13" s="40">
        <f t="shared" si="0"/>
        <v>74645.881199999989</v>
      </c>
      <c r="H13" s="40"/>
      <c r="I13" s="40"/>
      <c r="J13" s="40">
        <f t="shared" si="1"/>
        <v>0</v>
      </c>
      <c r="K13" s="40">
        <f t="shared" si="2"/>
        <v>74645.881199999989</v>
      </c>
      <c r="L13" s="40">
        <v>0</v>
      </c>
      <c r="M13" s="40">
        <f t="shared" si="3"/>
        <v>555386.9879999999</v>
      </c>
      <c r="N13" s="40"/>
    </row>
    <row r="14" spans="1:16">
      <c r="A14" s="46">
        <v>11</v>
      </c>
      <c r="B14" s="219">
        <v>46092</v>
      </c>
      <c r="C14" s="40"/>
      <c r="D14" s="40"/>
      <c r="E14" s="266">
        <v>639.17999999999995</v>
      </c>
      <c r="F14" s="299">
        <v>91.32</v>
      </c>
      <c r="G14" s="40">
        <f t="shared" si="0"/>
        <v>58369.917599999993</v>
      </c>
      <c r="H14" s="40"/>
      <c r="I14" s="40"/>
      <c r="J14" s="40">
        <f t="shared" si="1"/>
        <v>0</v>
      </c>
      <c r="K14" s="40">
        <f t="shared" si="2"/>
        <v>58369.917599999993</v>
      </c>
      <c r="L14" s="40">
        <v>0</v>
      </c>
      <c r="M14" s="40">
        <f t="shared" si="3"/>
        <v>613756.90559999994</v>
      </c>
      <c r="N14" s="40"/>
    </row>
    <row r="15" spans="1:16">
      <c r="A15" s="46">
        <v>12</v>
      </c>
      <c r="B15" s="219">
        <v>46093</v>
      </c>
      <c r="C15" s="40"/>
      <c r="D15" s="40"/>
      <c r="E15" s="266">
        <v>1231.74</v>
      </c>
      <c r="F15" s="299">
        <v>91.32</v>
      </c>
      <c r="G15" s="40">
        <f t="shared" si="0"/>
        <v>112482.49679999999</v>
      </c>
      <c r="H15" s="40"/>
      <c r="I15" s="40"/>
      <c r="J15" s="40">
        <f t="shared" si="1"/>
        <v>0</v>
      </c>
      <c r="K15" s="40">
        <f t="shared" si="2"/>
        <v>112482.49679999999</v>
      </c>
      <c r="L15" s="40">
        <v>300000</v>
      </c>
      <c r="M15" s="40">
        <f t="shared" si="3"/>
        <v>426239.4023999999</v>
      </c>
      <c r="N15" s="40"/>
    </row>
    <row r="16" spans="1:16">
      <c r="A16" s="46">
        <v>13</v>
      </c>
      <c r="B16" s="219">
        <v>46094</v>
      </c>
      <c r="C16" s="40"/>
      <c r="D16" s="40"/>
      <c r="E16" s="266">
        <v>45.48</v>
      </c>
      <c r="F16" s="299">
        <v>91.32</v>
      </c>
      <c r="G16" s="40">
        <f t="shared" si="0"/>
        <v>4153.2335999999996</v>
      </c>
      <c r="H16" s="40"/>
      <c r="I16" s="40"/>
      <c r="J16" s="40">
        <f t="shared" si="1"/>
        <v>0</v>
      </c>
      <c r="K16" s="40">
        <f t="shared" si="2"/>
        <v>4153.2335999999996</v>
      </c>
      <c r="L16" s="40">
        <v>0</v>
      </c>
      <c r="M16" s="40">
        <f>M15+K16-L16</f>
        <v>430392.63599999988</v>
      </c>
      <c r="N16" s="40"/>
    </row>
    <row r="17" spans="1:14">
      <c r="A17" s="46">
        <v>14</v>
      </c>
      <c r="B17" s="219">
        <v>46095</v>
      </c>
      <c r="C17" s="40"/>
      <c r="D17" s="40"/>
      <c r="E17" s="266">
        <v>1566.31</v>
      </c>
      <c r="F17" s="299">
        <v>91.32</v>
      </c>
      <c r="G17" s="40">
        <f t="shared" si="0"/>
        <v>143035.42919999998</v>
      </c>
      <c r="H17" s="40"/>
      <c r="I17" s="40"/>
      <c r="J17" s="40">
        <f t="shared" si="1"/>
        <v>0</v>
      </c>
      <c r="K17" s="40">
        <f t="shared" si="2"/>
        <v>143035.42919999998</v>
      </c>
      <c r="L17" s="40">
        <v>0</v>
      </c>
      <c r="M17" s="40">
        <f t="shared" si="3"/>
        <v>573428.06519999984</v>
      </c>
      <c r="N17" s="40"/>
    </row>
    <row r="18" spans="1:14">
      <c r="A18" s="46">
        <v>15</v>
      </c>
      <c r="B18" s="219">
        <v>46096</v>
      </c>
      <c r="C18" s="40"/>
      <c r="D18" s="40"/>
      <c r="E18" s="266">
        <v>370.05</v>
      </c>
      <c r="F18" s="299">
        <v>91.32</v>
      </c>
      <c r="G18" s="40">
        <f t="shared" si="0"/>
        <v>33792.966</v>
      </c>
      <c r="H18" s="40"/>
      <c r="I18" s="40"/>
      <c r="J18" s="40">
        <f t="shared" si="1"/>
        <v>0</v>
      </c>
      <c r="K18" s="40">
        <f t="shared" si="2"/>
        <v>33792.966</v>
      </c>
      <c r="L18" s="40">
        <v>0</v>
      </c>
      <c r="M18" s="40">
        <f t="shared" si="3"/>
        <v>607221.03119999985</v>
      </c>
      <c r="N18" s="40"/>
    </row>
    <row r="19" spans="1:14">
      <c r="A19" s="46">
        <v>16</v>
      </c>
      <c r="B19" s="219">
        <v>46097</v>
      </c>
      <c r="C19" s="40"/>
      <c r="D19" s="40"/>
      <c r="E19" s="266">
        <v>870.14</v>
      </c>
      <c r="F19" s="299">
        <v>91.32</v>
      </c>
      <c r="G19" s="40">
        <f t="shared" si="0"/>
        <v>79461.184799999988</v>
      </c>
      <c r="H19" s="40"/>
      <c r="I19" s="40"/>
      <c r="J19" s="40">
        <f t="shared" si="1"/>
        <v>0</v>
      </c>
      <c r="K19" s="40">
        <f t="shared" si="2"/>
        <v>79461.184799999988</v>
      </c>
      <c r="L19" s="40">
        <v>0</v>
      </c>
      <c r="M19" s="40">
        <f t="shared" si="3"/>
        <v>686682.21599999978</v>
      </c>
      <c r="N19" s="40"/>
    </row>
    <row r="20" spans="1:14">
      <c r="A20" s="46">
        <v>17</v>
      </c>
      <c r="B20" s="219">
        <v>46098</v>
      </c>
      <c r="C20" s="40"/>
      <c r="D20" s="40"/>
      <c r="E20" s="266">
        <v>340</v>
      </c>
      <c r="F20" s="299">
        <v>91.32</v>
      </c>
      <c r="G20" s="40">
        <f t="shared" si="0"/>
        <v>31048.799999999999</v>
      </c>
      <c r="H20" s="40"/>
      <c r="I20" s="40"/>
      <c r="J20" s="40">
        <f t="shared" si="1"/>
        <v>0</v>
      </c>
      <c r="K20" s="40">
        <f t="shared" si="2"/>
        <v>31048.799999999999</v>
      </c>
      <c r="L20" s="40">
        <v>0</v>
      </c>
      <c r="M20" s="40">
        <f t="shared" si="3"/>
        <v>717731.01599999983</v>
      </c>
      <c r="N20" s="40"/>
    </row>
    <row r="21" spans="1:14">
      <c r="A21" s="46">
        <v>18</v>
      </c>
      <c r="B21" s="219">
        <v>46099</v>
      </c>
      <c r="C21" s="40"/>
      <c r="D21" s="40"/>
      <c r="E21" s="266">
        <v>472.54</v>
      </c>
      <c r="F21" s="299">
        <v>91.32</v>
      </c>
      <c r="G21" s="40">
        <f t="shared" si="0"/>
        <v>43152.352800000001</v>
      </c>
      <c r="H21" s="40"/>
      <c r="I21" s="40"/>
      <c r="J21" s="40">
        <f t="shared" si="1"/>
        <v>0</v>
      </c>
      <c r="K21" s="40">
        <f t="shared" si="2"/>
        <v>43152.352800000001</v>
      </c>
      <c r="L21" s="40">
        <v>0</v>
      </c>
      <c r="M21" s="40">
        <f>M20+K21-L21</f>
        <v>760883.36879999982</v>
      </c>
      <c r="N21" s="40"/>
    </row>
    <row r="22" spans="1:14">
      <c r="A22" s="46">
        <v>19</v>
      </c>
      <c r="B22" s="219">
        <v>46100</v>
      </c>
      <c r="C22" s="40"/>
      <c r="D22" s="40"/>
      <c r="E22" s="266">
        <v>600</v>
      </c>
      <c r="F22" s="299">
        <v>91.32</v>
      </c>
      <c r="G22" s="40">
        <f t="shared" si="0"/>
        <v>54791.999999999993</v>
      </c>
      <c r="H22" s="40"/>
      <c r="I22" s="40"/>
      <c r="J22" s="40">
        <f t="shared" si="1"/>
        <v>0</v>
      </c>
      <c r="K22" s="40">
        <f t="shared" si="2"/>
        <v>54791.999999999993</v>
      </c>
      <c r="L22" s="40">
        <v>0</v>
      </c>
      <c r="M22" s="40">
        <f t="shared" si="3"/>
        <v>815675.36879999982</v>
      </c>
      <c r="N22" s="40"/>
    </row>
    <row r="23" spans="1:14">
      <c r="A23" s="46">
        <v>20</v>
      </c>
      <c r="B23" s="219">
        <v>46101</v>
      </c>
      <c r="C23" s="40"/>
      <c r="D23" s="40"/>
      <c r="E23" s="266">
        <v>300</v>
      </c>
      <c r="F23" s="299">
        <v>91.32</v>
      </c>
      <c r="G23" s="40">
        <f t="shared" si="0"/>
        <v>27395.999999999996</v>
      </c>
      <c r="H23" s="40"/>
      <c r="I23" s="40"/>
      <c r="J23" s="40">
        <f t="shared" si="1"/>
        <v>0</v>
      </c>
      <c r="K23" s="40">
        <f t="shared" si="2"/>
        <v>27395.999999999996</v>
      </c>
      <c r="L23" s="40">
        <v>0</v>
      </c>
      <c r="M23" s="40">
        <f t="shared" si="3"/>
        <v>843071.36879999982</v>
      </c>
      <c r="N23" s="40"/>
    </row>
    <row r="24" spans="1:14">
      <c r="A24" s="46">
        <v>21</v>
      </c>
      <c r="B24" s="219">
        <v>46102</v>
      </c>
      <c r="C24" s="40"/>
      <c r="D24" s="40"/>
      <c r="E24" s="266"/>
      <c r="F24" s="299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>
        <v>0</v>
      </c>
      <c r="M24" s="40">
        <f t="shared" si="3"/>
        <v>843071.36879999982</v>
      </c>
      <c r="N24" s="40"/>
    </row>
    <row r="25" spans="1:14">
      <c r="A25" s="46">
        <v>22</v>
      </c>
      <c r="B25" s="219">
        <v>46103</v>
      </c>
      <c r="C25" s="40"/>
      <c r="D25" s="40"/>
      <c r="E25" s="266">
        <v>519.79</v>
      </c>
      <c r="F25" s="299">
        <v>91.32</v>
      </c>
      <c r="G25" s="40">
        <f t="shared" si="0"/>
        <v>47467.222799999996</v>
      </c>
      <c r="H25" s="40"/>
      <c r="I25" s="40"/>
      <c r="J25" s="40">
        <f t="shared" si="1"/>
        <v>0</v>
      </c>
      <c r="K25" s="40">
        <f t="shared" si="2"/>
        <v>47467.222799999996</v>
      </c>
      <c r="L25" s="40">
        <v>0</v>
      </c>
      <c r="M25" s="40">
        <f t="shared" si="3"/>
        <v>890538.59159999981</v>
      </c>
      <c r="N25" s="40"/>
    </row>
    <row r="26" spans="1:14">
      <c r="A26" s="46">
        <v>23</v>
      </c>
      <c r="B26" s="219">
        <v>46104</v>
      </c>
      <c r="C26" s="40"/>
      <c r="D26" s="40"/>
      <c r="E26" s="266"/>
      <c r="F26" s="299"/>
      <c r="G26" s="40">
        <f t="shared" si="0"/>
        <v>0</v>
      </c>
      <c r="H26" s="40"/>
      <c r="I26" s="40"/>
      <c r="J26" s="40">
        <f t="shared" si="1"/>
        <v>0</v>
      </c>
      <c r="K26" s="40">
        <f t="shared" si="2"/>
        <v>0</v>
      </c>
      <c r="L26" s="40">
        <v>0</v>
      </c>
      <c r="M26" s="40">
        <f t="shared" si="3"/>
        <v>890538.59159999981</v>
      </c>
      <c r="N26" s="40"/>
    </row>
    <row r="27" spans="1:14">
      <c r="A27" s="46">
        <v>24</v>
      </c>
      <c r="B27" s="219">
        <v>46105</v>
      </c>
      <c r="C27" s="40"/>
      <c r="D27" s="40"/>
      <c r="E27" s="266"/>
      <c r="F27" s="299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>
        <v>0</v>
      </c>
      <c r="M27" s="40">
        <f t="shared" si="3"/>
        <v>890538.59159999981</v>
      </c>
      <c r="N27" s="40"/>
    </row>
    <row r="28" spans="1:14">
      <c r="A28" s="221">
        <v>25</v>
      </c>
      <c r="B28" s="219">
        <v>46106</v>
      </c>
      <c r="C28" s="40"/>
      <c r="D28" s="40"/>
      <c r="E28" s="266">
        <v>646.79999999999995</v>
      </c>
      <c r="F28" s="299">
        <v>91.32</v>
      </c>
      <c r="G28" s="40">
        <f t="shared" si="0"/>
        <v>59065.775999999991</v>
      </c>
      <c r="H28" s="40"/>
      <c r="I28" s="40"/>
      <c r="J28" s="40">
        <f t="shared" si="1"/>
        <v>0</v>
      </c>
      <c r="K28" s="40">
        <f t="shared" si="2"/>
        <v>59065.775999999991</v>
      </c>
      <c r="L28" s="40">
        <v>0</v>
      </c>
      <c r="M28" s="40">
        <f t="shared" si="3"/>
        <v>949604.36759999976</v>
      </c>
      <c r="N28" s="40"/>
    </row>
    <row r="29" spans="1:14">
      <c r="A29" s="221">
        <v>26</v>
      </c>
      <c r="B29" s="219">
        <v>46107</v>
      </c>
      <c r="C29" s="40"/>
      <c r="D29" s="40"/>
      <c r="E29" s="266"/>
      <c r="F29" s="299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>
        <v>0</v>
      </c>
      <c r="M29" s="40">
        <f t="shared" si="3"/>
        <v>949604.36759999976</v>
      </c>
      <c r="N29" s="40"/>
    </row>
    <row r="30" spans="1:14">
      <c r="A30" s="221">
        <v>27</v>
      </c>
      <c r="B30" s="219">
        <v>46108</v>
      </c>
      <c r="C30" s="40"/>
      <c r="D30" s="40"/>
      <c r="E30" s="266"/>
      <c r="F30" s="299"/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>
        <v>0</v>
      </c>
      <c r="M30" s="40">
        <f t="shared" si="3"/>
        <v>949604.36759999976</v>
      </c>
      <c r="N30" s="40"/>
    </row>
    <row r="31" spans="1:14">
      <c r="A31" s="221">
        <v>28</v>
      </c>
      <c r="B31" s="219">
        <v>46109</v>
      </c>
      <c r="C31" s="40"/>
      <c r="D31" s="40"/>
      <c r="E31" s="266"/>
      <c r="F31" s="299"/>
      <c r="G31" s="40">
        <f t="shared" si="0"/>
        <v>0</v>
      </c>
      <c r="H31" s="40"/>
      <c r="I31" s="40"/>
      <c r="J31" s="40">
        <f t="shared" si="1"/>
        <v>0</v>
      </c>
      <c r="K31" s="40">
        <f t="shared" si="2"/>
        <v>0</v>
      </c>
      <c r="L31" s="40">
        <v>400000</v>
      </c>
      <c r="M31" s="40">
        <f t="shared" si="3"/>
        <v>549604.36759999976</v>
      </c>
      <c r="N31" s="40"/>
    </row>
    <row r="32" spans="1:14">
      <c r="A32" s="222">
        <v>29</v>
      </c>
      <c r="B32" s="219">
        <v>46110</v>
      </c>
      <c r="C32" s="40"/>
      <c r="D32" s="40"/>
      <c r="E32" s="266">
        <v>686.35</v>
      </c>
      <c r="F32" s="299">
        <v>91.32</v>
      </c>
      <c r="G32" s="40">
        <f t="shared" si="0"/>
        <v>62677.481999999996</v>
      </c>
      <c r="H32" s="40"/>
      <c r="I32" s="40"/>
      <c r="J32" s="40">
        <f t="shared" si="1"/>
        <v>0</v>
      </c>
      <c r="K32" s="40">
        <f t="shared" si="2"/>
        <v>62677.481999999996</v>
      </c>
      <c r="L32" s="40">
        <v>0</v>
      </c>
      <c r="M32" s="40">
        <f t="shared" si="3"/>
        <v>612281.84959999972</v>
      </c>
      <c r="N32" s="40"/>
    </row>
    <row r="33" spans="1:16">
      <c r="A33" s="222">
        <v>30</v>
      </c>
      <c r="B33" s="219">
        <v>46111</v>
      </c>
      <c r="C33" s="40"/>
      <c r="D33" s="40"/>
      <c r="E33" s="266">
        <v>232.56</v>
      </c>
      <c r="F33" s="299">
        <v>91.32</v>
      </c>
      <c r="G33" s="40">
        <f t="shared" si="0"/>
        <v>21237.379199999999</v>
      </c>
      <c r="H33" s="40"/>
      <c r="I33" s="40"/>
      <c r="J33" s="40">
        <f t="shared" si="1"/>
        <v>0</v>
      </c>
      <c r="K33" s="40">
        <f t="shared" si="2"/>
        <v>21237.379199999999</v>
      </c>
      <c r="L33" s="40">
        <v>0</v>
      </c>
      <c r="M33" s="40">
        <f t="shared" si="3"/>
        <v>633519.22879999969</v>
      </c>
      <c r="N33" s="40"/>
    </row>
    <row r="34" spans="1:16">
      <c r="A34" s="222">
        <v>31</v>
      </c>
      <c r="B34" s="219">
        <v>46112</v>
      </c>
      <c r="C34" s="40"/>
      <c r="D34" s="40"/>
      <c r="E34" s="266">
        <v>800</v>
      </c>
      <c r="F34" s="299">
        <v>91.32</v>
      </c>
      <c r="G34" s="40">
        <f t="shared" si="0"/>
        <v>73056</v>
      </c>
      <c r="H34" s="40"/>
      <c r="I34" s="40"/>
      <c r="J34" s="40">
        <f t="shared" si="1"/>
        <v>0</v>
      </c>
      <c r="K34" s="40">
        <f t="shared" si="2"/>
        <v>73056</v>
      </c>
      <c r="L34" s="40">
        <v>0</v>
      </c>
      <c r="M34" s="40">
        <f t="shared" si="3"/>
        <v>706575.22879999969</v>
      </c>
      <c r="N34" s="40"/>
      <c r="O34">
        <v>706575.35160000005</v>
      </c>
      <c r="P34" s="22">
        <f>O34-M34</f>
        <v>0.12280000036116689</v>
      </c>
    </row>
    <row r="35" spans="1:16">
      <c r="A35" s="181"/>
      <c r="B35" s="181"/>
      <c r="C35" s="181"/>
      <c r="D35" s="181"/>
      <c r="E35" s="181">
        <f>SUM(E4:E34)</f>
        <v>12090.880000000001</v>
      </c>
      <c r="F35" s="181"/>
      <c r="G35" s="181">
        <f>SUM(G4:G34)</f>
        <v>1104139.1615999998</v>
      </c>
      <c r="H35" s="181">
        <f>SUM(H4:H34)</f>
        <v>6</v>
      </c>
      <c r="I35" s="181"/>
      <c r="J35" s="181">
        <f>SUM(J4:J34)</f>
        <v>619.38</v>
      </c>
      <c r="K35" s="181">
        <f>SUM(K4:K34)</f>
        <v>1104758.5415999999</v>
      </c>
      <c r="L35" s="181">
        <f>SUM(L4:L34)</f>
        <v>700000</v>
      </c>
      <c r="M35" s="181"/>
      <c r="N35" s="181"/>
    </row>
    <row r="38" spans="1:16">
      <c r="O38">
        <v>970829</v>
      </c>
    </row>
    <row r="39" spans="1:16">
      <c r="O39" s="22">
        <f>K35-O38</f>
        <v>133929.54159999988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7"/>
  <sheetViews>
    <sheetView topLeftCell="A19" workbookViewId="0">
      <selection activeCell="M35" activeCellId="1" sqref="L34 L35:M35"/>
    </sheetView>
  </sheetViews>
  <sheetFormatPr defaultRowHeight="15"/>
  <cols>
    <col min="2" max="2" width="10.5703125" bestFit="1" customWidth="1"/>
    <col min="11" max="11" width="13.5703125" bestFit="1" customWidth="1"/>
    <col min="12" max="12" width="12.42578125" bestFit="1" customWidth="1"/>
  </cols>
  <sheetData>
    <row r="1" spans="1:14" ht="15.75">
      <c r="A1" s="491" t="s">
        <v>233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</row>
    <row r="2" spans="1:14" ht="45">
      <c r="A2" s="124" t="s">
        <v>0</v>
      </c>
      <c r="B2" s="213" t="s">
        <v>161</v>
      </c>
      <c r="C2" s="213" t="s">
        <v>162</v>
      </c>
      <c r="D2" s="213" t="s">
        <v>180</v>
      </c>
      <c r="E2" s="213" t="s">
        <v>164</v>
      </c>
      <c r="F2" s="213" t="s">
        <v>165</v>
      </c>
      <c r="G2" s="213" t="s">
        <v>166</v>
      </c>
      <c r="H2" s="213" t="s">
        <v>167</v>
      </c>
      <c r="I2" s="213" t="s">
        <v>165</v>
      </c>
      <c r="J2" s="213" t="s">
        <v>166</v>
      </c>
      <c r="K2" s="175" t="s">
        <v>168</v>
      </c>
      <c r="L2" s="175" t="s">
        <v>169</v>
      </c>
      <c r="M2" s="175" t="s">
        <v>181</v>
      </c>
      <c r="N2" s="213" t="s">
        <v>171</v>
      </c>
    </row>
    <row r="3" spans="1:14">
      <c r="A3" s="492" t="s">
        <v>172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>
        <v>0</v>
      </c>
      <c r="N3" s="492"/>
    </row>
    <row r="4" spans="1:14">
      <c r="A4" s="196">
        <v>1</v>
      </c>
      <c r="B4" s="219">
        <v>46082</v>
      </c>
      <c r="C4" s="40"/>
      <c r="D4" s="40"/>
      <c r="E4" s="40"/>
      <c r="F4" s="40"/>
      <c r="G4" s="40">
        <f>E4*F4</f>
        <v>0</v>
      </c>
      <c r="H4" s="40"/>
      <c r="I4" s="40"/>
      <c r="J4" s="40">
        <f>H4*I4</f>
        <v>0</v>
      </c>
      <c r="K4" s="40">
        <f>G4+J4</f>
        <v>0</v>
      </c>
      <c r="L4" s="40">
        <f>+K4</f>
        <v>0</v>
      </c>
      <c r="M4" s="40">
        <f>M3+K4-L4</f>
        <v>0</v>
      </c>
      <c r="N4" s="40"/>
    </row>
    <row r="5" spans="1:14">
      <c r="A5" s="46">
        <v>2</v>
      </c>
      <c r="B5" s="219">
        <v>46083</v>
      </c>
      <c r="C5" s="40"/>
      <c r="D5" s="40"/>
      <c r="E5" s="40">
        <v>80</v>
      </c>
      <c r="F5" s="40">
        <v>91.3</v>
      </c>
      <c r="G5" s="40">
        <f t="shared" ref="G5:G34" si="0">E5*F5</f>
        <v>7304</v>
      </c>
      <c r="H5" s="40"/>
      <c r="I5" s="40"/>
      <c r="J5" s="40">
        <f t="shared" ref="J5:J34" si="1">H5*I5</f>
        <v>0</v>
      </c>
      <c r="K5" s="40">
        <f t="shared" ref="K5:K34" si="2">G5+J5</f>
        <v>7304</v>
      </c>
      <c r="L5" s="40">
        <f t="shared" ref="L5:L32" si="3">+K5</f>
        <v>7304</v>
      </c>
      <c r="M5" s="40">
        <f t="shared" ref="M5:M34" si="4">M4+K5-L5</f>
        <v>0</v>
      </c>
      <c r="N5" s="40"/>
    </row>
    <row r="6" spans="1:14">
      <c r="A6" s="46">
        <v>3</v>
      </c>
      <c r="B6" s="219">
        <v>46084</v>
      </c>
      <c r="C6" s="40"/>
      <c r="D6" s="40"/>
      <c r="E6" s="40"/>
      <c r="F6" s="40"/>
      <c r="G6" s="40">
        <v>0</v>
      </c>
      <c r="H6" s="40">
        <v>6</v>
      </c>
      <c r="I6" s="414">
        <v>103.22</v>
      </c>
      <c r="J6" s="40">
        <f t="shared" si="1"/>
        <v>619.31999999999994</v>
      </c>
      <c r="K6" s="40">
        <f t="shared" si="2"/>
        <v>619.31999999999994</v>
      </c>
      <c r="L6" s="40">
        <f t="shared" si="3"/>
        <v>619.31999999999994</v>
      </c>
      <c r="M6" s="40">
        <f t="shared" si="4"/>
        <v>0</v>
      </c>
      <c r="N6" s="40"/>
    </row>
    <row r="7" spans="1:14">
      <c r="A7" s="46">
        <v>4</v>
      </c>
      <c r="B7" s="219">
        <v>46085</v>
      </c>
      <c r="C7" s="40"/>
      <c r="D7" s="40"/>
      <c r="E7" s="40"/>
      <c r="F7" s="40"/>
      <c r="G7" s="40">
        <v>0</v>
      </c>
      <c r="H7" s="40">
        <v>6</v>
      </c>
      <c r="I7" s="414">
        <v>103.22</v>
      </c>
      <c r="J7" s="40">
        <f t="shared" si="1"/>
        <v>619.31999999999994</v>
      </c>
      <c r="K7" s="40">
        <f t="shared" si="2"/>
        <v>619.31999999999994</v>
      </c>
      <c r="L7" s="40">
        <f t="shared" si="3"/>
        <v>619.31999999999994</v>
      </c>
      <c r="M7" s="40">
        <f t="shared" si="4"/>
        <v>0</v>
      </c>
      <c r="N7" s="40"/>
    </row>
    <row r="8" spans="1:14">
      <c r="A8" s="46">
        <v>5</v>
      </c>
      <c r="B8" s="219">
        <v>46086</v>
      </c>
      <c r="C8" s="40"/>
      <c r="D8" s="40"/>
      <c r="E8" s="40">
        <v>100</v>
      </c>
      <c r="F8" s="40">
        <v>91.3</v>
      </c>
      <c r="G8" s="40">
        <f t="shared" si="0"/>
        <v>9130</v>
      </c>
      <c r="H8" s="40">
        <v>11.78</v>
      </c>
      <c r="I8" s="414">
        <v>103.22</v>
      </c>
      <c r="J8" s="40">
        <f t="shared" si="1"/>
        <v>1215.9315999999999</v>
      </c>
      <c r="K8" s="40">
        <f t="shared" si="2"/>
        <v>10345.9316</v>
      </c>
      <c r="L8" s="40">
        <f t="shared" si="3"/>
        <v>10345.9316</v>
      </c>
      <c r="M8" s="40">
        <f t="shared" si="4"/>
        <v>0</v>
      </c>
      <c r="N8" s="40"/>
    </row>
    <row r="9" spans="1:14">
      <c r="A9" s="46">
        <v>6</v>
      </c>
      <c r="B9" s="219">
        <v>46087</v>
      </c>
      <c r="C9" s="40"/>
      <c r="D9" s="40"/>
      <c r="E9" s="40"/>
      <c r="F9" s="40"/>
      <c r="G9" s="40">
        <f t="shared" si="0"/>
        <v>0</v>
      </c>
      <c r="H9" s="40"/>
      <c r="I9" s="40"/>
      <c r="J9" s="40">
        <f t="shared" si="1"/>
        <v>0</v>
      </c>
      <c r="K9" s="40">
        <f t="shared" si="2"/>
        <v>0</v>
      </c>
      <c r="L9" s="40">
        <f t="shared" si="3"/>
        <v>0</v>
      </c>
      <c r="M9" s="40">
        <f t="shared" si="4"/>
        <v>0</v>
      </c>
      <c r="N9" s="40"/>
    </row>
    <row r="10" spans="1:14">
      <c r="A10" s="46">
        <v>7</v>
      </c>
      <c r="B10" s="219">
        <v>46088</v>
      </c>
      <c r="C10" s="40"/>
      <c r="D10" s="40"/>
      <c r="E10" s="40">
        <v>30</v>
      </c>
      <c r="F10" s="40">
        <v>91.3</v>
      </c>
      <c r="G10" s="40">
        <f t="shared" si="0"/>
        <v>2739</v>
      </c>
      <c r="H10" s="40">
        <v>5</v>
      </c>
      <c r="I10" s="40">
        <v>103.22</v>
      </c>
      <c r="J10" s="40">
        <f t="shared" si="1"/>
        <v>516.1</v>
      </c>
      <c r="K10" s="40">
        <f t="shared" si="2"/>
        <v>3255.1</v>
      </c>
      <c r="L10" s="40">
        <f t="shared" si="3"/>
        <v>3255.1</v>
      </c>
      <c r="M10" s="40">
        <f t="shared" si="4"/>
        <v>0</v>
      </c>
      <c r="N10" s="40"/>
    </row>
    <row r="11" spans="1:14">
      <c r="A11" s="46">
        <v>8</v>
      </c>
      <c r="B11" s="219">
        <v>46089</v>
      </c>
      <c r="C11" s="40"/>
      <c r="D11" s="40"/>
      <c r="E11" s="40"/>
      <c r="F11" s="40"/>
      <c r="G11" s="40">
        <f t="shared" si="0"/>
        <v>0</v>
      </c>
      <c r="H11" s="40"/>
      <c r="I11" s="40"/>
      <c r="J11" s="40">
        <f t="shared" si="1"/>
        <v>0</v>
      </c>
      <c r="K11" s="40">
        <f t="shared" si="2"/>
        <v>0</v>
      </c>
      <c r="L11" s="40">
        <f t="shared" si="3"/>
        <v>0</v>
      </c>
      <c r="M11" s="40">
        <f t="shared" si="4"/>
        <v>0</v>
      </c>
      <c r="N11" s="40"/>
    </row>
    <row r="12" spans="1:14">
      <c r="A12" s="46">
        <v>9</v>
      </c>
      <c r="B12" s="219">
        <v>46090</v>
      </c>
      <c r="C12" s="40"/>
      <c r="D12" s="40"/>
      <c r="E12" s="40">
        <v>30</v>
      </c>
      <c r="F12" s="40">
        <v>91.3</v>
      </c>
      <c r="G12" s="40">
        <f t="shared" si="0"/>
        <v>2739</v>
      </c>
      <c r="H12" s="40"/>
      <c r="I12" s="40"/>
      <c r="J12" s="40">
        <f t="shared" si="1"/>
        <v>0</v>
      </c>
      <c r="K12" s="40">
        <f t="shared" si="2"/>
        <v>2739</v>
      </c>
      <c r="L12" s="40">
        <f t="shared" si="3"/>
        <v>2739</v>
      </c>
      <c r="M12" s="40">
        <f t="shared" si="4"/>
        <v>0</v>
      </c>
      <c r="N12" s="40"/>
    </row>
    <row r="13" spans="1:14">
      <c r="A13" s="46">
        <v>10</v>
      </c>
      <c r="B13" s="219">
        <v>46091</v>
      </c>
      <c r="C13" s="40"/>
      <c r="D13" s="40"/>
      <c r="E13" s="40"/>
      <c r="F13" s="40"/>
      <c r="G13" s="40">
        <f t="shared" si="0"/>
        <v>0</v>
      </c>
      <c r="H13" s="40">
        <v>6</v>
      </c>
      <c r="I13" s="40">
        <v>103.23</v>
      </c>
      <c r="J13" s="40">
        <f t="shared" si="1"/>
        <v>619.38</v>
      </c>
      <c r="K13" s="40">
        <f t="shared" si="2"/>
        <v>619.38</v>
      </c>
      <c r="L13" s="40">
        <f t="shared" si="3"/>
        <v>619.38</v>
      </c>
      <c r="M13" s="40">
        <f t="shared" si="4"/>
        <v>0</v>
      </c>
      <c r="N13" s="40"/>
    </row>
    <row r="14" spans="1:14">
      <c r="A14" s="46">
        <v>11</v>
      </c>
      <c r="B14" s="219">
        <v>46092</v>
      </c>
      <c r="C14" s="40"/>
      <c r="D14" s="40"/>
      <c r="E14" s="40">
        <v>30</v>
      </c>
      <c r="F14" s="40">
        <v>91.3</v>
      </c>
      <c r="G14" s="40">
        <f t="shared" si="0"/>
        <v>2739</v>
      </c>
      <c r="H14" s="40">
        <v>5</v>
      </c>
      <c r="I14" s="40">
        <v>103.23</v>
      </c>
      <c r="J14" s="40">
        <f t="shared" si="1"/>
        <v>516.15</v>
      </c>
      <c r="K14" s="40">
        <f t="shared" si="2"/>
        <v>3255.15</v>
      </c>
      <c r="L14" s="40">
        <f t="shared" si="3"/>
        <v>3255.15</v>
      </c>
      <c r="M14" s="40">
        <f t="shared" si="4"/>
        <v>0</v>
      </c>
      <c r="N14" s="40"/>
    </row>
    <row r="15" spans="1:14">
      <c r="A15" s="46">
        <v>12</v>
      </c>
      <c r="B15" s="219">
        <v>46093</v>
      </c>
      <c r="C15" s="40"/>
      <c r="D15" s="40"/>
      <c r="E15" s="40">
        <v>20</v>
      </c>
      <c r="F15" s="40">
        <v>91.3</v>
      </c>
      <c r="G15" s="40">
        <f t="shared" si="0"/>
        <v>1826</v>
      </c>
      <c r="H15" s="40">
        <v>5</v>
      </c>
      <c r="I15" s="40">
        <v>103.23</v>
      </c>
      <c r="J15" s="40">
        <f t="shared" si="1"/>
        <v>516.15</v>
      </c>
      <c r="K15" s="40">
        <f t="shared" si="2"/>
        <v>2342.15</v>
      </c>
      <c r="L15" s="40">
        <f t="shared" si="3"/>
        <v>2342.15</v>
      </c>
      <c r="M15" s="40">
        <f t="shared" si="4"/>
        <v>0</v>
      </c>
      <c r="N15" s="40"/>
    </row>
    <row r="16" spans="1:14">
      <c r="A16" s="46">
        <v>13</v>
      </c>
      <c r="B16" s="219">
        <v>46094</v>
      </c>
      <c r="C16" s="40"/>
      <c r="D16" s="40"/>
      <c r="E16" s="40">
        <v>30</v>
      </c>
      <c r="F16" s="40">
        <v>91.3</v>
      </c>
      <c r="G16" s="40">
        <f t="shared" si="0"/>
        <v>2739</v>
      </c>
      <c r="H16" s="40">
        <v>6</v>
      </c>
      <c r="I16" s="40">
        <v>103.23</v>
      </c>
      <c r="J16" s="40">
        <f t="shared" si="1"/>
        <v>619.38</v>
      </c>
      <c r="K16" s="40">
        <f t="shared" si="2"/>
        <v>3358.38</v>
      </c>
      <c r="L16" s="40">
        <f t="shared" si="3"/>
        <v>3358.38</v>
      </c>
      <c r="M16" s="40">
        <f t="shared" si="4"/>
        <v>0</v>
      </c>
      <c r="N16" s="40"/>
    </row>
    <row r="17" spans="1:14">
      <c r="A17" s="46">
        <v>14</v>
      </c>
      <c r="B17" s="219">
        <v>46095</v>
      </c>
      <c r="C17" s="40"/>
      <c r="D17" s="40"/>
      <c r="E17" s="40"/>
      <c r="F17" s="40"/>
      <c r="G17" s="40">
        <f t="shared" si="0"/>
        <v>0</v>
      </c>
      <c r="H17" s="40"/>
      <c r="I17" s="40"/>
      <c r="J17" s="40">
        <f t="shared" si="1"/>
        <v>0</v>
      </c>
      <c r="K17" s="40">
        <f t="shared" si="2"/>
        <v>0</v>
      </c>
      <c r="L17" s="40">
        <f t="shared" si="3"/>
        <v>0</v>
      </c>
      <c r="M17" s="40">
        <f t="shared" si="4"/>
        <v>0</v>
      </c>
      <c r="N17" s="40"/>
    </row>
    <row r="18" spans="1:14">
      <c r="A18" s="46">
        <v>15</v>
      </c>
      <c r="B18" s="219">
        <v>46096</v>
      </c>
      <c r="C18" s="40"/>
      <c r="D18" s="40"/>
      <c r="E18" s="40"/>
      <c r="F18" s="40"/>
      <c r="G18" s="40">
        <f t="shared" si="0"/>
        <v>0</v>
      </c>
      <c r="H18" s="40"/>
      <c r="I18" s="40"/>
      <c r="J18" s="40">
        <f t="shared" si="1"/>
        <v>0</v>
      </c>
      <c r="K18" s="40">
        <f t="shared" si="2"/>
        <v>0</v>
      </c>
      <c r="L18" s="40">
        <f t="shared" si="3"/>
        <v>0</v>
      </c>
      <c r="M18" s="40">
        <f t="shared" si="4"/>
        <v>0</v>
      </c>
      <c r="N18" s="40"/>
    </row>
    <row r="19" spans="1:14">
      <c r="A19" s="46">
        <v>16</v>
      </c>
      <c r="B19" s="219">
        <v>46097</v>
      </c>
      <c r="C19" s="40"/>
      <c r="D19" s="40"/>
      <c r="E19" s="40">
        <v>30</v>
      </c>
      <c r="F19" s="40">
        <v>91.3</v>
      </c>
      <c r="G19" s="40">
        <f t="shared" si="0"/>
        <v>2739</v>
      </c>
      <c r="H19" s="40"/>
      <c r="I19" s="40"/>
      <c r="J19" s="40">
        <f t="shared" si="1"/>
        <v>0</v>
      </c>
      <c r="K19" s="40">
        <f t="shared" si="2"/>
        <v>2739</v>
      </c>
      <c r="L19" s="40">
        <f t="shared" si="3"/>
        <v>2739</v>
      </c>
      <c r="M19" s="40">
        <f t="shared" si="4"/>
        <v>0</v>
      </c>
      <c r="N19" s="40"/>
    </row>
    <row r="20" spans="1:14">
      <c r="A20" s="46">
        <v>17</v>
      </c>
      <c r="B20" s="219">
        <v>46098</v>
      </c>
      <c r="C20" s="40"/>
      <c r="D20" s="40"/>
      <c r="E20" s="40">
        <v>20</v>
      </c>
      <c r="F20" s="40">
        <v>91.3</v>
      </c>
      <c r="G20" s="40">
        <f t="shared" si="0"/>
        <v>1826</v>
      </c>
      <c r="H20" s="40">
        <v>6</v>
      </c>
      <c r="I20" s="40">
        <v>103.23</v>
      </c>
      <c r="J20" s="40">
        <f t="shared" si="1"/>
        <v>619.38</v>
      </c>
      <c r="K20" s="40">
        <f t="shared" si="2"/>
        <v>2445.38</v>
      </c>
      <c r="L20" s="40">
        <f t="shared" si="3"/>
        <v>2445.38</v>
      </c>
      <c r="M20" s="40">
        <f t="shared" si="4"/>
        <v>0</v>
      </c>
      <c r="N20" s="40"/>
    </row>
    <row r="21" spans="1:14">
      <c r="A21" s="46">
        <v>18</v>
      </c>
      <c r="B21" s="219">
        <v>46099</v>
      </c>
      <c r="C21" s="40"/>
      <c r="D21" s="40"/>
      <c r="E21" s="40">
        <v>30</v>
      </c>
      <c r="F21" s="40">
        <v>91.3</v>
      </c>
      <c r="G21" s="40">
        <f t="shared" si="0"/>
        <v>2739</v>
      </c>
      <c r="H21" s="40">
        <v>0</v>
      </c>
      <c r="I21" s="40">
        <v>0</v>
      </c>
      <c r="J21" s="40">
        <f t="shared" si="1"/>
        <v>0</v>
      </c>
      <c r="K21" s="40">
        <f t="shared" si="2"/>
        <v>2739</v>
      </c>
      <c r="L21" s="40">
        <f t="shared" si="3"/>
        <v>2739</v>
      </c>
      <c r="M21" s="40">
        <f t="shared" si="4"/>
        <v>0</v>
      </c>
      <c r="N21" s="40"/>
    </row>
    <row r="22" spans="1:14">
      <c r="A22" s="46">
        <v>19</v>
      </c>
      <c r="B22" s="219">
        <v>46100</v>
      </c>
      <c r="C22" s="40"/>
      <c r="D22" s="40"/>
      <c r="E22" s="40">
        <v>5</v>
      </c>
      <c r="F22" s="40">
        <v>91.3</v>
      </c>
      <c r="G22" s="40">
        <f t="shared" si="0"/>
        <v>456.5</v>
      </c>
      <c r="H22" s="40"/>
      <c r="I22" s="40"/>
      <c r="J22" s="40">
        <f t="shared" si="1"/>
        <v>0</v>
      </c>
      <c r="K22" s="40">
        <f t="shared" si="2"/>
        <v>456.5</v>
      </c>
      <c r="L22" s="40">
        <f t="shared" si="3"/>
        <v>456.5</v>
      </c>
      <c r="M22" s="40">
        <f t="shared" si="4"/>
        <v>0</v>
      </c>
      <c r="N22" s="40"/>
    </row>
    <row r="23" spans="1:14">
      <c r="A23" s="46">
        <v>20</v>
      </c>
      <c r="B23" s="219">
        <v>46101</v>
      </c>
      <c r="C23" s="40"/>
      <c r="D23" s="40"/>
      <c r="E23" s="40"/>
      <c r="F23" s="40"/>
      <c r="G23" s="40">
        <f t="shared" si="0"/>
        <v>0</v>
      </c>
      <c r="H23" s="40">
        <v>5</v>
      </c>
      <c r="I23" s="40">
        <v>103.23</v>
      </c>
      <c r="J23" s="40">
        <f t="shared" si="1"/>
        <v>516.15</v>
      </c>
      <c r="K23" s="40">
        <f t="shared" si="2"/>
        <v>516.15</v>
      </c>
      <c r="L23" s="40">
        <f t="shared" si="3"/>
        <v>516.15</v>
      </c>
      <c r="M23" s="40">
        <f t="shared" si="4"/>
        <v>0</v>
      </c>
      <c r="N23" s="40"/>
    </row>
    <row r="24" spans="1:14">
      <c r="A24" s="46">
        <v>21</v>
      </c>
      <c r="B24" s="219">
        <v>46102</v>
      </c>
      <c r="C24" s="40"/>
      <c r="D24" s="40"/>
      <c r="E24" s="40"/>
      <c r="F24" s="40"/>
      <c r="G24" s="40">
        <f t="shared" si="0"/>
        <v>0</v>
      </c>
      <c r="H24" s="40"/>
      <c r="I24" s="40"/>
      <c r="J24" s="40">
        <f t="shared" si="1"/>
        <v>0</v>
      </c>
      <c r="K24" s="40">
        <f t="shared" si="2"/>
        <v>0</v>
      </c>
      <c r="L24" s="40">
        <f t="shared" si="3"/>
        <v>0</v>
      </c>
      <c r="M24" s="40">
        <f t="shared" si="4"/>
        <v>0</v>
      </c>
      <c r="N24" s="40"/>
    </row>
    <row r="25" spans="1:14">
      <c r="A25" s="46">
        <v>22</v>
      </c>
      <c r="B25" s="219">
        <v>46103</v>
      </c>
      <c r="C25" s="40"/>
      <c r="D25" s="40"/>
      <c r="E25" s="40"/>
      <c r="F25" s="40"/>
      <c r="G25" s="40">
        <f t="shared" si="0"/>
        <v>0</v>
      </c>
      <c r="H25" s="40"/>
      <c r="I25" s="40"/>
      <c r="J25" s="40">
        <f t="shared" si="1"/>
        <v>0</v>
      </c>
      <c r="K25" s="40">
        <f t="shared" si="2"/>
        <v>0</v>
      </c>
      <c r="L25" s="40">
        <f t="shared" si="3"/>
        <v>0</v>
      </c>
      <c r="M25" s="40">
        <f t="shared" si="4"/>
        <v>0</v>
      </c>
      <c r="N25" s="40"/>
    </row>
    <row r="26" spans="1:14">
      <c r="A26" s="46">
        <v>23</v>
      </c>
      <c r="B26" s="219">
        <v>46104</v>
      </c>
      <c r="C26" s="40"/>
      <c r="D26" s="40"/>
      <c r="E26" s="40">
        <v>30</v>
      </c>
      <c r="F26" s="40">
        <v>91.3</v>
      </c>
      <c r="G26" s="40">
        <f t="shared" si="0"/>
        <v>2739</v>
      </c>
      <c r="H26" s="40">
        <v>16</v>
      </c>
      <c r="I26" s="40">
        <v>103.22</v>
      </c>
      <c r="J26" s="40">
        <f t="shared" si="1"/>
        <v>1651.52</v>
      </c>
      <c r="K26" s="40">
        <f t="shared" si="2"/>
        <v>4390.5200000000004</v>
      </c>
      <c r="L26" s="40">
        <f t="shared" si="3"/>
        <v>4390.5200000000004</v>
      </c>
      <c r="M26" s="40">
        <f t="shared" si="4"/>
        <v>0</v>
      </c>
      <c r="N26" s="40"/>
    </row>
    <row r="27" spans="1:14">
      <c r="A27" s="46">
        <v>24</v>
      </c>
      <c r="B27" s="219">
        <v>46105</v>
      </c>
      <c r="C27" s="40"/>
      <c r="D27" s="40"/>
      <c r="E27" s="40"/>
      <c r="F27" s="40"/>
      <c r="G27" s="40">
        <f t="shared" si="0"/>
        <v>0</v>
      </c>
      <c r="H27" s="40"/>
      <c r="I27" s="40"/>
      <c r="J27" s="40">
        <f t="shared" si="1"/>
        <v>0</v>
      </c>
      <c r="K27" s="40">
        <f t="shared" si="2"/>
        <v>0</v>
      </c>
      <c r="L27" s="40">
        <f t="shared" si="3"/>
        <v>0</v>
      </c>
      <c r="M27" s="40">
        <f t="shared" si="4"/>
        <v>0</v>
      </c>
      <c r="N27" s="40"/>
    </row>
    <row r="28" spans="1:14">
      <c r="A28" s="221">
        <v>25</v>
      </c>
      <c r="B28" s="219">
        <v>46106</v>
      </c>
      <c r="C28" s="40"/>
      <c r="D28" s="40"/>
      <c r="E28" s="40">
        <v>50</v>
      </c>
      <c r="F28" s="40">
        <v>91.3</v>
      </c>
      <c r="G28" s="40">
        <f t="shared" si="0"/>
        <v>4565</v>
      </c>
      <c r="H28" s="40"/>
      <c r="I28" s="40"/>
      <c r="J28" s="40">
        <f t="shared" si="1"/>
        <v>0</v>
      </c>
      <c r="K28" s="40">
        <f t="shared" si="2"/>
        <v>4565</v>
      </c>
      <c r="L28" s="40">
        <f t="shared" si="3"/>
        <v>4565</v>
      </c>
      <c r="M28" s="40">
        <f t="shared" si="4"/>
        <v>0</v>
      </c>
      <c r="N28" s="40"/>
    </row>
    <row r="29" spans="1:14">
      <c r="A29" s="221">
        <v>26</v>
      </c>
      <c r="B29" s="219">
        <v>46107</v>
      </c>
      <c r="C29" s="40"/>
      <c r="D29" s="40"/>
      <c r="E29" s="40"/>
      <c r="F29" s="40"/>
      <c r="G29" s="40">
        <f t="shared" si="0"/>
        <v>0</v>
      </c>
      <c r="H29" s="40"/>
      <c r="I29" s="40"/>
      <c r="J29" s="40">
        <f t="shared" si="1"/>
        <v>0</v>
      </c>
      <c r="K29" s="40">
        <f t="shared" si="2"/>
        <v>0</v>
      </c>
      <c r="L29" s="40">
        <f t="shared" si="3"/>
        <v>0</v>
      </c>
      <c r="M29" s="40">
        <f t="shared" si="4"/>
        <v>0</v>
      </c>
      <c r="N29" s="40"/>
    </row>
    <row r="30" spans="1:14">
      <c r="A30" s="221">
        <v>27</v>
      </c>
      <c r="B30" s="219">
        <v>46108</v>
      </c>
      <c r="C30" s="40"/>
      <c r="D30" s="40"/>
      <c r="E30" s="40">
        <v>0</v>
      </c>
      <c r="F30" s="40">
        <v>91.3</v>
      </c>
      <c r="G30" s="40">
        <f t="shared" si="0"/>
        <v>0</v>
      </c>
      <c r="H30" s="40"/>
      <c r="I30" s="40"/>
      <c r="J30" s="40">
        <f t="shared" si="1"/>
        <v>0</v>
      </c>
      <c r="K30" s="40">
        <f t="shared" si="2"/>
        <v>0</v>
      </c>
      <c r="L30" s="40">
        <f t="shared" si="3"/>
        <v>0</v>
      </c>
      <c r="M30" s="40">
        <f t="shared" si="4"/>
        <v>0</v>
      </c>
      <c r="N30" s="40"/>
    </row>
    <row r="31" spans="1:14">
      <c r="A31" s="221">
        <v>28</v>
      </c>
      <c r="B31" s="219">
        <v>46109</v>
      </c>
      <c r="C31" s="40"/>
      <c r="D31" s="40"/>
      <c r="E31" s="40">
        <v>30</v>
      </c>
      <c r="F31" s="40">
        <v>91.3</v>
      </c>
      <c r="G31" s="40">
        <f t="shared" si="0"/>
        <v>2739</v>
      </c>
      <c r="H31" s="40"/>
      <c r="I31" s="40"/>
      <c r="J31" s="40">
        <f t="shared" si="1"/>
        <v>0</v>
      </c>
      <c r="K31" s="40">
        <f t="shared" si="2"/>
        <v>2739</v>
      </c>
      <c r="L31" s="40">
        <f t="shared" si="3"/>
        <v>2739</v>
      </c>
      <c r="M31" s="40">
        <f t="shared" si="4"/>
        <v>0</v>
      </c>
      <c r="N31" s="40"/>
    </row>
    <row r="32" spans="1:14">
      <c r="A32" s="222">
        <v>29</v>
      </c>
      <c r="B32" s="219">
        <v>46110</v>
      </c>
      <c r="C32" s="40"/>
      <c r="D32" s="40"/>
      <c r="E32" s="40"/>
      <c r="F32" s="40"/>
      <c r="G32" s="40">
        <f t="shared" si="0"/>
        <v>0</v>
      </c>
      <c r="H32" s="40"/>
      <c r="I32" s="40"/>
      <c r="J32" s="40">
        <f t="shared" si="1"/>
        <v>0</v>
      </c>
      <c r="K32" s="40">
        <f t="shared" si="2"/>
        <v>0</v>
      </c>
      <c r="L32" s="40">
        <f t="shared" si="3"/>
        <v>0</v>
      </c>
      <c r="M32" s="40">
        <f t="shared" si="4"/>
        <v>0</v>
      </c>
      <c r="N32" s="40"/>
    </row>
    <row r="33" spans="1:14">
      <c r="A33" s="222">
        <v>30</v>
      </c>
      <c r="B33" s="219">
        <v>46111</v>
      </c>
      <c r="C33" s="40"/>
      <c r="D33" s="40"/>
      <c r="E33" s="40">
        <v>20</v>
      </c>
      <c r="F33" s="40">
        <v>91.3</v>
      </c>
      <c r="G33" s="40">
        <f t="shared" si="0"/>
        <v>1826</v>
      </c>
      <c r="H33" s="40"/>
      <c r="I33" s="40"/>
      <c r="J33" s="40">
        <f t="shared" si="1"/>
        <v>0</v>
      </c>
      <c r="K33" s="40">
        <f t="shared" si="2"/>
        <v>1826</v>
      </c>
      <c r="L33" s="40">
        <f t="shared" ref="L33:L34" si="5">+K33</f>
        <v>1826</v>
      </c>
      <c r="M33" s="40">
        <f t="shared" si="4"/>
        <v>0</v>
      </c>
      <c r="N33" s="40"/>
    </row>
    <row r="34" spans="1:14">
      <c r="A34" s="222">
        <v>31</v>
      </c>
      <c r="B34" s="219">
        <v>46112</v>
      </c>
      <c r="C34" s="40"/>
      <c r="D34" s="40"/>
      <c r="E34" s="40">
        <v>30</v>
      </c>
      <c r="F34" s="40">
        <v>91.3</v>
      </c>
      <c r="G34" s="40">
        <f t="shared" si="0"/>
        <v>2739</v>
      </c>
      <c r="H34" s="40"/>
      <c r="I34" s="40"/>
      <c r="J34" s="40">
        <f t="shared" si="1"/>
        <v>0</v>
      </c>
      <c r="K34" s="40">
        <f t="shared" si="2"/>
        <v>2739</v>
      </c>
      <c r="L34" s="40">
        <f t="shared" si="5"/>
        <v>2739</v>
      </c>
      <c r="M34" s="40">
        <f t="shared" si="4"/>
        <v>0</v>
      </c>
      <c r="N34" s="40"/>
    </row>
    <row r="35" spans="1:14">
      <c r="A35" s="181"/>
      <c r="B35" s="181"/>
      <c r="C35" s="181"/>
      <c r="D35" s="181"/>
      <c r="E35" s="181">
        <f>SUM(E4:E34)</f>
        <v>565</v>
      </c>
      <c r="F35" s="181"/>
      <c r="G35" s="181">
        <f>SUM(G4:G34)</f>
        <v>51584.5</v>
      </c>
      <c r="H35" s="181">
        <f>SUM(H4:H34)</f>
        <v>77.78</v>
      </c>
      <c r="I35" s="181"/>
      <c r="J35" s="181">
        <f>SUM(J4:J34)</f>
        <v>8028.7815999999984</v>
      </c>
      <c r="K35" s="181">
        <f>SUM(K4:K34)</f>
        <v>59613.281600000002</v>
      </c>
      <c r="L35" s="181">
        <f>SUM(L4:L34)</f>
        <v>59613.281600000002</v>
      </c>
      <c r="M35" s="181"/>
      <c r="N35" s="181"/>
    </row>
    <row r="37" spans="1:14">
      <c r="E37">
        <v>295</v>
      </c>
      <c r="H37">
        <v>41.17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P46"/>
  <sheetViews>
    <sheetView workbookViewId="0">
      <pane ySplit="2" topLeftCell="A3" activePane="bottomLeft" state="frozen"/>
      <selection pane="bottomLeft" activeCell="O3" sqref="O3:Q3"/>
    </sheetView>
  </sheetViews>
  <sheetFormatPr defaultRowHeight="15"/>
  <cols>
    <col min="1" max="1" width="9.140625" style="5"/>
    <col min="2" max="2" width="11.710937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02" bestFit="1" customWidth="1"/>
    <col min="8" max="8" width="11.140625" style="5" customWidth="1"/>
    <col min="9" max="9" width="9.140625" style="5"/>
    <col min="10" max="10" width="10.85546875" style="102" bestFit="1" customWidth="1"/>
    <col min="11" max="11" width="12.85546875" style="5" customWidth="1"/>
    <col min="12" max="12" width="13.5703125" style="102" bestFit="1" customWidth="1"/>
    <col min="13" max="13" width="13.5703125" style="102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6" ht="15.75">
      <c r="A1" s="469" t="s">
        <v>234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</row>
    <row r="2" spans="1:16" ht="18" customHeight="1">
      <c r="A2" s="64" t="s">
        <v>0</v>
      </c>
      <c r="B2" s="83" t="s">
        <v>161</v>
      </c>
      <c r="C2" s="83" t="s">
        <v>162</v>
      </c>
      <c r="D2" s="83" t="s">
        <v>180</v>
      </c>
      <c r="E2" s="83" t="s">
        <v>164</v>
      </c>
      <c r="F2" s="83" t="s">
        <v>165</v>
      </c>
      <c r="G2" s="90" t="s">
        <v>166</v>
      </c>
      <c r="H2" s="83" t="s">
        <v>167</v>
      </c>
      <c r="I2" s="83" t="s">
        <v>165</v>
      </c>
      <c r="J2" s="90" t="s">
        <v>166</v>
      </c>
      <c r="K2" s="64" t="s">
        <v>168</v>
      </c>
      <c r="L2" s="91" t="s">
        <v>169</v>
      </c>
      <c r="M2" s="127" t="s">
        <v>181</v>
      </c>
      <c r="N2" s="83" t="s">
        <v>171</v>
      </c>
    </row>
    <row r="3" spans="1:16" ht="18" customHeight="1">
      <c r="A3" s="493" t="s">
        <v>172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296"/>
      <c r="N3" s="295">
        <v>2423.9634999999794</v>
      </c>
      <c r="P3" s="102"/>
    </row>
    <row r="4" spans="1:16">
      <c r="A4" s="6">
        <v>1</v>
      </c>
      <c r="B4" s="219">
        <v>46082</v>
      </c>
      <c r="C4" s="6"/>
      <c r="D4" s="6"/>
      <c r="E4" s="65"/>
      <c r="F4" s="6"/>
      <c r="G4" s="66">
        <f>E4*F4</f>
        <v>0</v>
      </c>
      <c r="H4" s="65">
        <v>2</v>
      </c>
      <c r="I4" s="329">
        <v>103.44</v>
      </c>
      <c r="J4" s="66">
        <f>H4*I4</f>
        <v>206.88</v>
      </c>
      <c r="K4" s="66">
        <f>G4+J4</f>
        <v>206.88</v>
      </c>
      <c r="L4" s="66"/>
      <c r="M4" s="297">
        <f>N3+K4-L4</f>
        <v>2630.8434999999795</v>
      </c>
      <c r="N4" s="46" t="s">
        <v>235</v>
      </c>
    </row>
    <row r="5" spans="1:16">
      <c r="A5" s="6">
        <v>2</v>
      </c>
      <c r="B5" s="219">
        <v>46084</v>
      </c>
      <c r="C5" s="6"/>
      <c r="D5" s="6"/>
      <c r="E5" s="65"/>
      <c r="F5" s="6"/>
      <c r="G5" s="66">
        <f t="shared" ref="G5:G44" si="0">E5*F5</f>
        <v>0</v>
      </c>
      <c r="H5" s="65">
        <v>5</v>
      </c>
      <c r="I5" s="329">
        <v>103.44</v>
      </c>
      <c r="J5" s="66">
        <f t="shared" ref="J5:J44" si="1">H5*I5</f>
        <v>517.20000000000005</v>
      </c>
      <c r="K5" s="66">
        <f t="shared" ref="K5:K44" si="2">G5+J5</f>
        <v>517.20000000000005</v>
      </c>
      <c r="L5" s="66"/>
      <c r="M5" s="149">
        <f>M4+K5-L5</f>
        <v>3148.0434999999798</v>
      </c>
      <c r="N5" s="46" t="s">
        <v>235</v>
      </c>
    </row>
    <row r="6" spans="1:16">
      <c r="A6" s="6">
        <v>3</v>
      </c>
      <c r="B6" s="219">
        <v>46085</v>
      </c>
      <c r="C6" s="6"/>
      <c r="D6" s="6"/>
      <c r="E6" s="65">
        <v>28.12</v>
      </c>
      <c r="F6" s="6">
        <v>91.5</v>
      </c>
      <c r="G6" s="66">
        <f t="shared" si="0"/>
        <v>2572.98</v>
      </c>
      <c r="H6" s="65"/>
      <c r="I6" s="329"/>
      <c r="J6" s="66">
        <f t="shared" si="1"/>
        <v>0</v>
      </c>
      <c r="K6" s="66">
        <f t="shared" si="2"/>
        <v>2572.98</v>
      </c>
      <c r="L6" s="66"/>
      <c r="M6" s="149">
        <f t="shared" ref="M5:M45" si="3">M5+K6-L6</f>
        <v>5721.0234999999793</v>
      </c>
      <c r="N6" s="46" t="s">
        <v>235</v>
      </c>
    </row>
    <row r="7" spans="1:16">
      <c r="A7" s="6">
        <v>4</v>
      </c>
      <c r="B7" s="219">
        <v>46086</v>
      </c>
      <c r="C7" s="6"/>
      <c r="D7" s="6"/>
      <c r="E7" s="65"/>
      <c r="F7" s="6"/>
      <c r="G7" s="66">
        <f t="shared" si="0"/>
        <v>0</v>
      </c>
      <c r="H7" s="65">
        <v>4.7699999999999996</v>
      </c>
      <c r="I7" s="329">
        <v>103.44</v>
      </c>
      <c r="J7" s="66">
        <f t="shared" si="1"/>
        <v>493.40879999999993</v>
      </c>
      <c r="K7" s="66">
        <f t="shared" si="2"/>
        <v>493.40879999999993</v>
      </c>
      <c r="L7" s="66"/>
      <c r="M7" s="149">
        <f t="shared" si="3"/>
        <v>6214.4322999999795</v>
      </c>
      <c r="N7" s="46" t="s">
        <v>235</v>
      </c>
    </row>
    <row r="8" spans="1:16">
      <c r="A8" s="6">
        <v>5</v>
      </c>
      <c r="B8" s="219">
        <v>46088</v>
      </c>
      <c r="C8" s="6"/>
      <c r="D8" s="6"/>
      <c r="F8" s="6"/>
      <c r="G8" s="66">
        <f>H8*F8</f>
        <v>0</v>
      </c>
      <c r="H8" s="65">
        <v>6.78</v>
      </c>
      <c r="I8" s="329">
        <v>103.44</v>
      </c>
      <c r="J8" s="66">
        <f t="shared" si="1"/>
        <v>701.32320000000004</v>
      </c>
      <c r="K8" s="66">
        <f t="shared" si="2"/>
        <v>701.32320000000004</v>
      </c>
      <c r="L8" s="66"/>
      <c r="M8" s="149">
        <f>M7+K8-L8</f>
        <v>6915.7554999999793</v>
      </c>
      <c r="N8" s="46" t="s">
        <v>235</v>
      </c>
    </row>
    <row r="9" spans="1:16">
      <c r="A9" s="6">
        <v>6</v>
      </c>
      <c r="B9" s="219">
        <v>46089</v>
      </c>
      <c r="C9" s="6"/>
      <c r="D9" s="6"/>
      <c r="F9" s="6"/>
      <c r="G9" s="66">
        <f>H9*F9</f>
        <v>0</v>
      </c>
      <c r="H9" s="65">
        <v>5</v>
      </c>
      <c r="I9" s="329">
        <v>103.44</v>
      </c>
      <c r="J9" s="66">
        <f t="shared" si="1"/>
        <v>517.20000000000005</v>
      </c>
      <c r="K9" s="66">
        <f t="shared" si="2"/>
        <v>517.20000000000005</v>
      </c>
      <c r="L9" s="66"/>
      <c r="M9" s="149">
        <f t="shared" ref="M9:M45" si="4">M8+K9-L9</f>
        <v>7432.9554999999791</v>
      </c>
      <c r="N9" s="46" t="s">
        <v>235</v>
      </c>
    </row>
    <row r="10" spans="1:16">
      <c r="A10" s="6">
        <v>7</v>
      </c>
      <c r="B10" s="219">
        <v>46090</v>
      </c>
      <c r="C10" s="6"/>
      <c r="D10" s="6"/>
      <c r="E10" s="65"/>
      <c r="F10" s="6"/>
      <c r="G10" s="66">
        <f t="shared" si="0"/>
        <v>0</v>
      </c>
      <c r="H10" s="65">
        <v>5</v>
      </c>
      <c r="I10" s="329">
        <v>103.44</v>
      </c>
      <c r="J10" s="66">
        <f t="shared" si="1"/>
        <v>517.20000000000005</v>
      </c>
      <c r="K10" s="66">
        <f t="shared" si="2"/>
        <v>517.20000000000005</v>
      </c>
      <c r="L10" s="66"/>
      <c r="M10" s="149">
        <f t="shared" si="4"/>
        <v>7950.1554999999789</v>
      </c>
      <c r="N10" s="46" t="s">
        <v>235</v>
      </c>
    </row>
    <row r="11" spans="1:16">
      <c r="A11" s="6">
        <v>8</v>
      </c>
      <c r="B11" s="219">
        <v>46091</v>
      </c>
      <c r="C11" s="6"/>
      <c r="D11" s="6"/>
      <c r="E11" s="65">
        <v>33.119999999999997</v>
      </c>
      <c r="F11" s="6">
        <v>95.19</v>
      </c>
      <c r="G11" s="66">
        <f t="shared" si="0"/>
        <v>3152.6927999999998</v>
      </c>
      <c r="H11" s="65"/>
      <c r="I11" s="329"/>
      <c r="J11" s="66">
        <f t="shared" si="1"/>
        <v>0</v>
      </c>
      <c r="K11" s="66">
        <f t="shared" si="2"/>
        <v>3152.6927999999998</v>
      </c>
      <c r="L11" s="66"/>
      <c r="M11" s="149">
        <f t="shared" si="4"/>
        <v>11102.84829999998</v>
      </c>
      <c r="N11" s="46" t="s">
        <v>235</v>
      </c>
    </row>
    <row r="12" spans="1:16">
      <c r="A12" s="6">
        <v>9</v>
      </c>
      <c r="B12" s="219">
        <v>46092</v>
      </c>
      <c r="C12" s="6"/>
      <c r="D12" s="6"/>
      <c r="E12" s="65">
        <v>50</v>
      </c>
      <c r="F12" s="6">
        <v>91.5</v>
      </c>
      <c r="G12" s="66">
        <f t="shared" si="0"/>
        <v>4575</v>
      </c>
      <c r="H12" s="65"/>
      <c r="I12" s="329"/>
      <c r="J12" s="66">
        <f t="shared" si="1"/>
        <v>0</v>
      </c>
      <c r="K12" s="66">
        <f t="shared" si="2"/>
        <v>4575</v>
      </c>
      <c r="L12" s="66">
        <v>11000</v>
      </c>
      <c r="M12" s="149">
        <f t="shared" si="4"/>
        <v>4677.8482999999796</v>
      </c>
      <c r="N12" s="46" t="s">
        <v>235</v>
      </c>
    </row>
    <row r="13" spans="1:16">
      <c r="A13" s="6">
        <v>10</v>
      </c>
      <c r="B13" s="219">
        <v>46094</v>
      </c>
      <c r="C13" s="6"/>
      <c r="D13" s="6"/>
      <c r="E13" s="65">
        <v>33.369999999999997</v>
      </c>
      <c r="F13" s="6">
        <v>91.5</v>
      </c>
      <c r="G13" s="66">
        <f t="shared" si="0"/>
        <v>3053.3549999999996</v>
      </c>
      <c r="H13" s="65"/>
      <c r="I13" s="329"/>
      <c r="J13" s="66">
        <f t="shared" si="1"/>
        <v>0</v>
      </c>
      <c r="K13" s="66">
        <f t="shared" si="2"/>
        <v>3053.3549999999996</v>
      </c>
      <c r="L13" s="66"/>
      <c r="M13" s="149">
        <f t="shared" si="4"/>
        <v>7731.2032999999792</v>
      </c>
      <c r="N13" s="46" t="s">
        <v>235</v>
      </c>
    </row>
    <row r="14" spans="1:16">
      <c r="A14" s="6">
        <v>11</v>
      </c>
      <c r="B14" s="219">
        <v>46096</v>
      </c>
      <c r="C14" s="6"/>
      <c r="D14" s="6"/>
      <c r="E14" s="65"/>
      <c r="F14" s="6"/>
      <c r="G14" s="66">
        <f t="shared" si="0"/>
        <v>0</v>
      </c>
      <c r="H14" s="65">
        <v>4.83</v>
      </c>
      <c r="I14" s="329">
        <v>103.44</v>
      </c>
      <c r="J14" s="66">
        <f t="shared" si="1"/>
        <v>499.61520000000002</v>
      </c>
      <c r="K14" s="66">
        <f t="shared" si="2"/>
        <v>499.61520000000002</v>
      </c>
      <c r="L14" s="66"/>
      <c r="M14" s="149">
        <f t="shared" si="4"/>
        <v>8230.8184999999794</v>
      </c>
      <c r="N14" s="46" t="s">
        <v>235</v>
      </c>
    </row>
    <row r="15" spans="1:16">
      <c r="A15" s="6">
        <v>12</v>
      </c>
      <c r="B15" s="219">
        <v>46097</v>
      </c>
      <c r="C15" s="6"/>
      <c r="D15" s="6"/>
      <c r="E15" s="65"/>
      <c r="F15" s="6"/>
      <c r="G15" s="66">
        <f t="shared" si="0"/>
        <v>0</v>
      </c>
      <c r="H15" s="65">
        <v>5.99</v>
      </c>
      <c r="I15" s="329">
        <v>103.44</v>
      </c>
      <c r="J15" s="66">
        <f t="shared" si="1"/>
        <v>619.60559999999998</v>
      </c>
      <c r="K15" s="66">
        <f t="shared" si="2"/>
        <v>619.60559999999998</v>
      </c>
      <c r="L15" s="66"/>
      <c r="M15" s="149">
        <f t="shared" si="4"/>
        <v>8850.4240999999802</v>
      </c>
      <c r="N15" s="46" t="s">
        <v>235</v>
      </c>
    </row>
    <row r="16" spans="1:16">
      <c r="A16" s="6">
        <v>13</v>
      </c>
      <c r="B16" s="219">
        <v>46098</v>
      </c>
      <c r="C16" s="6"/>
      <c r="D16" s="6"/>
      <c r="E16" s="65">
        <v>75.13</v>
      </c>
      <c r="F16" s="6">
        <v>91.5</v>
      </c>
      <c r="G16" s="66">
        <f t="shared" si="0"/>
        <v>6874.3949999999995</v>
      </c>
      <c r="H16" s="65"/>
      <c r="I16" s="329"/>
      <c r="J16" s="66">
        <f t="shared" si="1"/>
        <v>0</v>
      </c>
      <c r="K16" s="66">
        <f t="shared" si="2"/>
        <v>6874.3949999999995</v>
      </c>
      <c r="L16" s="66"/>
      <c r="M16" s="149">
        <f t="shared" si="4"/>
        <v>15724.819099999979</v>
      </c>
      <c r="N16" s="46" t="s">
        <v>235</v>
      </c>
    </row>
    <row r="17" spans="1:14">
      <c r="A17" s="6">
        <v>14</v>
      </c>
      <c r="B17" s="219">
        <v>46099</v>
      </c>
      <c r="C17" s="6"/>
      <c r="D17" s="6"/>
      <c r="E17" s="65">
        <v>0</v>
      </c>
      <c r="F17" s="6"/>
      <c r="G17" s="66">
        <f t="shared" si="0"/>
        <v>0</v>
      </c>
      <c r="H17" s="65"/>
      <c r="I17" s="329"/>
      <c r="J17" s="66">
        <f t="shared" si="1"/>
        <v>0</v>
      </c>
      <c r="K17" s="66">
        <f t="shared" si="2"/>
        <v>0</v>
      </c>
      <c r="L17" s="66"/>
      <c r="M17" s="149">
        <f t="shared" si="4"/>
        <v>15724.819099999979</v>
      </c>
      <c r="N17" s="46" t="s">
        <v>235</v>
      </c>
    </row>
    <row r="18" spans="1:14">
      <c r="A18" s="6">
        <v>15</v>
      </c>
      <c r="B18" s="219">
        <v>46100</v>
      </c>
      <c r="C18" s="6"/>
      <c r="D18" s="6"/>
      <c r="E18" s="65">
        <v>0</v>
      </c>
      <c r="F18" s="6"/>
      <c r="G18" s="66">
        <f t="shared" si="0"/>
        <v>0</v>
      </c>
      <c r="H18" s="65"/>
      <c r="I18" s="329"/>
      <c r="J18" s="66">
        <f t="shared" si="1"/>
        <v>0</v>
      </c>
      <c r="K18" s="66">
        <f t="shared" si="2"/>
        <v>0</v>
      </c>
      <c r="L18" s="66"/>
      <c r="M18" s="149">
        <f t="shared" si="4"/>
        <v>15724.819099999979</v>
      </c>
      <c r="N18" s="46" t="s">
        <v>235</v>
      </c>
    </row>
    <row r="19" spans="1:14">
      <c r="A19" s="6">
        <v>16</v>
      </c>
      <c r="B19" s="219">
        <v>46101</v>
      </c>
      <c r="C19" s="6"/>
      <c r="D19" s="6"/>
      <c r="E19" s="65">
        <v>0</v>
      </c>
      <c r="F19" s="6">
        <v>0</v>
      </c>
      <c r="G19" s="66">
        <f t="shared" si="0"/>
        <v>0</v>
      </c>
      <c r="H19" s="65">
        <v>4.83</v>
      </c>
      <c r="I19" s="329">
        <v>103.44</v>
      </c>
      <c r="J19" s="66">
        <f t="shared" si="1"/>
        <v>499.61520000000002</v>
      </c>
      <c r="K19" s="66">
        <f t="shared" si="2"/>
        <v>499.61520000000002</v>
      </c>
      <c r="L19" s="66"/>
      <c r="M19" s="149">
        <f t="shared" si="4"/>
        <v>16224.434299999979</v>
      </c>
      <c r="N19" s="46" t="s">
        <v>235</v>
      </c>
    </row>
    <row r="20" spans="1:14">
      <c r="A20" s="6">
        <v>17</v>
      </c>
      <c r="B20" s="219">
        <v>46104</v>
      </c>
      <c r="C20" s="6"/>
      <c r="D20" s="6"/>
      <c r="E20" s="65">
        <v>32.32</v>
      </c>
      <c r="F20" s="6">
        <v>91.5</v>
      </c>
      <c r="G20" s="66">
        <f t="shared" si="0"/>
        <v>2957.28</v>
      </c>
      <c r="H20" s="65">
        <v>4.83</v>
      </c>
      <c r="I20" s="329">
        <v>103.44</v>
      </c>
      <c r="J20" s="66">
        <f t="shared" si="1"/>
        <v>499.61520000000002</v>
      </c>
      <c r="K20" s="66">
        <f>G20+J20</f>
        <v>3456.8952000000004</v>
      </c>
      <c r="L20" s="66"/>
      <c r="M20" s="149">
        <f t="shared" si="4"/>
        <v>19681.329499999978</v>
      </c>
      <c r="N20" s="46" t="s">
        <v>235</v>
      </c>
    </row>
    <row r="21" spans="1:14">
      <c r="A21" s="6">
        <v>18</v>
      </c>
      <c r="B21" s="219">
        <v>46105</v>
      </c>
      <c r="C21" s="6"/>
      <c r="D21" s="6"/>
      <c r="E21" s="65">
        <v>35.840000000000003</v>
      </c>
      <c r="F21" s="6">
        <v>91.5</v>
      </c>
      <c r="G21" s="66">
        <f t="shared" si="0"/>
        <v>3279.36</v>
      </c>
      <c r="H21" s="65"/>
      <c r="I21" s="329"/>
      <c r="J21" s="66">
        <f t="shared" si="1"/>
        <v>0</v>
      </c>
      <c r="K21" s="66">
        <f t="shared" si="2"/>
        <v>3279.36</v>
      </c>
      <c r="L21" s="66"/>
      <c r="M21" s="149">
        <f t="shared" si="4"/>
        <v>22960.689499999979</v>
      </c>
      <c r="N21" s="46" t="s">
        <v>235</v>
      </c>
    </row>
    <row r="22" spans="1:14">
      <c r="A22" s="6">
        <v>19</v>
      </c>
      <c r="B22" s="219">
        <v>46106</v>
      </c>
      <c r="C22" s="6"/>
      <c r="D22" s="6"/>
      <c r="E22" s="65"/>
      <c r="F22" s="6"/>
      <c r="G22" s="66">
        <f t="shared" si="0"/>
        <v>0</v>
      </c>
      <c r="H22" s="65">
        <v>4.83</v>
      </c>
      <c r="I22" s="329">
        <v>103.44</v>
      </c>
      <c r="J22" s="66">
        <f t="shared" si="1"/>
        <v>499.61520000000002</v>
      </c>
      <c r="K22" s="66">
        <f t="shared" si="2"/>
        <v>499.61520000000002</v>
      </c>
      <c r="L22" s="66"/>
      <c r="M22" s="149">
        <f t="shared" si="4"/>
        <v>23460.304699999979</v>
      </c>
      <c r="N22" s="46" t="s">
        <v>235</v>
      </c>
    </row>
    <row r="23" spans="1:14">
      <c r="A23" s="6">
        <v>20</v>
      </c>
      <c r="B23" s="219">
        <v>46107</v>
      </c>
      <c r="C23" s="6"/>
      <c r="D23" s="6"/>
      <c r="E23" s="65">
        <v>0</v>
      </c>
      <c r="F23" s="6">
        <v>0</v>
      </c>
      <c r="G23" s="66">
        <f t="shared" si="0"/>
        <v>0</v>
      </c>
      <c r="H23" s="65">
        <v>0</v>
      </c>
      <c r="I23" s="329">
        <v>103.44</v>
      </c>
      <c r="J23" s="66">
        <f t="shared" si="1"/>
        <v>0</v>
      </c>
      <c r="K23" s="66">
        <f t="shared" si="2"/>
        <v>0</v>
      </c>
      <c r="L23" s="66"/>
      <c r="M23" s="149">
        <f t="shared" si="4"/>
        <v>23460.304699999979</v>
      </c>
      <c r="N23" s="46" t="s">
        <v>235</v>
      </c>
    </row>
    <row r="24" spans="1:14">
      <c r="A24" s="6">
        <v>21</v>
      </c>
      <c r="B24" s="219">
        <v>46108</v>
      </c>
      <c r="C24" s="6"/>
      <c r="D24" s="6"/>
      <c r="E24" s="65">
        <v>33.229999999999997</v>
      </c>
      <c r="F24" s="6">
        <v>91.5</v>
      </c>
      <c r="G24" s="66">
        <f t="shared" si="0"/>
        <v>3040.5449999999996</v>
      </c>
      <c r="H24" s="65"/>
      <c r="I24" s="329"/>
      <c r="J24" s="66">
        <f t="shared" si="1"/>
        <v>0</v>
      </c>
      <c r="K24" s="66">
        <f t="shared" si="2"/>
        <v>3040.5449999999996</v>
      </c>
      <c r="L24" s="66"/>
      <c r="M24" s="149">
        <f t="shared" si="4"/>
        <v>26500.849699999977</v>
      </c>
      <c r="N24" s="46" t="s">
        <v>235</v>
      </c>
    </row>
    <row r="25" spans="1:14">
      <c r="A25" s="6">
        <v>22</v>
      </c>
      <c r="B25" s="219">
        <v>46109</v>
      </c>
      <c r="C25" s="6"/>
      <c r="D25" s="6"/>
      <c r="E25" s="65">
        <v>41.44</v>
      </c>
      <c r="F25" s="6">
        <v>91.5</v>
      </c>
      <c r="G25" s="66">
        <f t="shared" si="0"/>
        <v>3791.7599999999998</v>
      </c>
      <c r="H25" s="65"/>
      <c r="I25" s="329"/>
      <c r="J25" s="66">
        <f t="shared" si="1"/>
        <v>0</v>
      </c>
      <c r="K25" s="66">
        <f t="shared" si="2"/>
        <v>3791.7599999999998</v>
      </c>
      <c r="L25" s="66"/>
      <c r="M25" s="149">
        <f t="shared" si="4"/>
        <v>30292.609699999975</v>
      </c>
      <c r="N25" s="46" t="s">
        <v>235</v>
      </c>
    </row>
    <row r="26" spans="1:14">
      <c r="A26" s="6">
        <v>23</v>
      </c>
      <c r="B26" s="219">
        <v>46111</v>
      </c>
      <c r="C26" s="6"/>
      <c r="D26" s="6"/>
      <c r="E26" s="65"/>
      <c r="F26" s="6"/>
      <c r="G26" s="66">
        <f t="shared" si="0"/>
        <v>0</v>
      </c>
      <c r="H26" s="65">
        <v>5</v>
      </c>
      <c r="I26" s="329">
        <v>103.44</v>
      </c>
      <c r="J26" s="66">
        <f t="shared" si="1"/>
        <v>517.20000000000005</v>
      </c>
      <c r="K26" s="66">
        <f t="shared" si="2"/>
        <v>517.20000000000005</v>
      </c>
      <c r="L26" s="66">
        <v>30000</v>
      </c>
      <c r="M26" s="149">
        <f t="shared" si="4"/>
        <v>809.80969999997615</v>
      </c>
      <c r="N26" s="46" t="s">
        <v>235</v>
      </c>
    </row>
    <row r="27" spans="1:14">
      <c r="A27" s="6">
        <v>24</v>
      </c>
      <c r="B27" s="219">
        <v>46112</v>
      </c>
      <c r="C27" s="6"/>
      <c r="D27" s="6"/>
      <c r="E27" s="65">
        <v>5</v>
      </c>
      <c r="F27" s="6">
        <v>91.5</v>
      </c>
      <c r="G27" s="66">
        <f t="shared" si="0"/>
        <v>457.5</v>
      </c>
      <c r="H27" s="65">
        <v>11.61</v>
      </c>
      <c r="I27" s="329">
        <v>103.44</v>
      </c>
      <c r="J27" s="66">
        <f t="shared" si="1"/>
        <v>1200.9384</v>
      </c>
      <c r="K27" s="66">
        <f t="shared" si="2"/>
        <v>1658.4384</v>
      </c>
      <c r="L27" s="66"/>
      <c r="M27" s="149">
        <f t="shared" si="4"/>
        <v>2468.2480999999761</v>
      </c>
      <c r="N27" s="46" t="s">
        <v>235</v>
      </c>
    </row>
    <row r="28" spans="1:14">
      <c r="A28" s="6">
        <v>25</v>
      </c>
      <c r="B28" s="78"/>
      <c r="C28" s="6"/>
      <c r="D28" s="6"/>
      <c r="E28" s="65"/>
      <c r="F28" s="6"/>
      <c r="G28" s="66">
        <f t="shared" si="0"/>
        <v>0</v>
      </c>
      <c r="H28" s="65"/>
      <c r="I28" s="329"/>
      <c r="J28" s="66">
        <f t="shared" si="1"/>
        <v>0</v>
      </c>
      <c r="K28" s="66">
        <f t="shared" si="2"/>
        <v>0</v>
      </c>
      <c r="L28" s="66"/>
      <c r="M28" s="149">
        <f t="shared" si="4"/>
        <v>2468.2480999999761</v>
      </c>
      <c r="N28" s="46" t="s">
        <v>235</v>
      </c>
    </row>
    <row r="29" spans="1:14">
      <c r="A29" s="6">
        <v>26</v>
      </c>
      <c r="B29" s="78"/>
      <c r="C29" s="6"/>
      <c r="D29" s="6"/>
      <c r="E29" s="65"/>
      <c r="F29" s="6"/>
      <c r="G29" s="66">
        <f t="shared" si="0"/>
        <v>0</v>
      </c>
      <c r="H29" s="65"/>
      <c r="I29" s="6"/>
      <c r="J29" s="66">
        <f t="shared" si="1"/>
        <v>0</v>
      </c>
      <c r="K29" s="66">
        <f t="shared" si="2"/>
        <v>0</v>
      </c>
      <c r="L29" s="66"/>
      <c r="M29" s="149">
        <f t="shared" si="4"/>
        <v>2468.2480999999761</v>
      </c>
      <c r="N29" s="46" t="s">
        <v>235</v>
      </c>
    </row>
    <row r="30" spans="1:14">
      <c r="A30" s="6">
        <v>27</v>
      </c>
      <c r="B30" s="78"/>
      <c r="C30" s="6"/>
      <c r="D30" s="6"/>
      <c r="E30" s="65"/>
      <c r="F30" s="6"/>
      <c r="G30" s="66">
        <f t="shared" si="0"/>
        <v>0</v>
      </c>
      <c r="H30" s="65"/>
      <c r="I30" s="6"/>
      <c r="J30" s="66">
        <f t="shared" si="1"/>
        <v>0</v>
      </c>
      <c r="K30" s="66">
        <f t="shared" si="2"/>
        <v>0</v>
      </c>
      <c r="L30" s="66"/>
      <c r="M30" s="149">
        <f t="shared" si="4"/>
        <v>2468.2480999999761</v>
      </c>
      <c r="N30" s="46" t="s">
        <v>235</v>
      </c>
    </row>
    <row r="31" spans="1:14">
      <c r="A31" s="6">
        <v>28</v>
      </c>
      <c r="B31" s="78"/>
      <c r="C31" s="6"/>
      <c r="D31" s="6"/>
      <c r="E31" s="65"/>
      <c r="F31" s="6"/>
      <c r="G31" s="66">
        <f t="shared" si="0"/>
        <v>0</v>
      </c>
      <c r="H31" s="65"/>
      <c r="I31" s="6"/>
      <c r="J31" s="66">
        <f t="shared" si="1"/>
        <v>0</v>
      </c>
      <c r="K31" s="66">
        <f t="shared" si="2"/>
        <v>0</v>
      </c>
      <c r="L31" s="66"/>
      <c r="M31" s="149">
        <f t="shared" si="4"/>
        <v>2468.2480999999761</v>
      </c>
      <c r="N31" s="46" t="s">
        <v>235</v>
      </c>
    </row>
    <row r="32" spans="1:14">
      <c r="A32" s="6">
        <v>29</v>
      </c>
      <c r="B32" s="78"/>
      <c r="C32" s="6"/>
      <c r="D32" s="6"/>
      <c r="E32" s="65"/>
      <c r="F32" s="6"/>
      <c r="G32" s="66">
        <f t="shared" si="0"/>
        <v>0</v>
      </c>
      <c r="H32" s="65"/>
      <c r="I32" s="6"/>
      <c r="J32" s="66">
        <f t="shared" si="1"/>
        <v>0</v>
      </c>
      <c r="K32" s="66">
        <f t="shared" si="2"/>
        <v>0</v>
      </c>
      <c r="L32" s="66"/>
      <c r="M32" s="149">
        <f t="shared" si="4"/>
        <v>2468.2480999999761</v>
      </c>
      <c r="N32" s="46" t="s">
        <v>235</v>
      </c>
    </row>
    <row r="33" spans="1:15">
      <c r="A33" s="6">
        <v>30</v>
      </c>
      <c r="B33" s="78"/>
      <c r="C33" s="6"/>
      <c r="D33" s="6"/>
      <c r="E33" s="65"/>
      <c r="F33" s="6"/>
      <c r="G33" s="66">
        <f t="shared" si="0"/>
        <v>0</v>
      </c>
      <c r="H33" s="65"/>
      <c r="I33" s="6"/>
      <c r="J33" s="66">
        <f t="shared" si="1"/>
        <v>0</v>
      </c>
      <c r="K33" s="66">
        <f t="shared" si="2"/>
        <v>0</v>
      </c>
      <c r="L33" s="66"/>
      <c r="M33" s="149">
        <f t="shared" si="4"/>
        <v>2468.2480999999761</v>
      </c>
      <c r="N33" s="46" t="s">
        <v>235</v>
      </c>
    </row>
    <row r="34" spans="1:15">
      <c r="A34" s="6">
        <v>31</v>
      </c>
      <c r="B34" s="78"/>
      <c r="C34" s="6"/>
      <c r="D34" s="6"/>
      <c r="E34" s="65"/>
      <c r="F34" s="6"/>
      <c r="G34" s="66">
        <f t="shared" si="0"/>
        <v>0</v>
      </c>
      <c r="H34" s="65"/>
      <c r="I34" s="6"/>
      <c r="J34" s="66">
        <f t="shared" si="1"/>
        <v>0</v>
      </c>
      <c r="K34" s="66">
        <f t="shared" si="2"/>
        <v>0</v>
      </c>
      <c r="L34" s="66"/>
      <c r="M34" s="149">
        <f t="shared" si="4"/>
        <v>2468.2480999999761</v>
      </c>
      <c r="N34" s="46" t="s">
        <v>235</v>
      </c>
    </row>
    <row r="35" spans="1:15">
      <c r="A35" s="6">
        <v>32</v>
      </c>
      <c r="B35" s="78"/>
      <c r="C35" s="6"/>
      <c r="D35" s="6"/>
      <c r="E35" s="65"/>
      <c r="F35" s="6"/>
      <c r="G35" s="66">
        <f t="shared" si="0"/>
        <v>0</v>
      </c>
      <c r="H35" s="65"/>
      <c r="I35" s="6"/>
      <c r="J35" s="66">
        <f t="shared" si="1"/>
        <v>0</v>
      </c>
      <c r="K35" s="66">
        <f t="shared" si="2"/>
        <v>0</v>
      </c>
      <c r="L35" s="66"/>
      <c r="M35" s="149">
        <f t="shared" si="4"/>
        <v>2468.2480999999761</v>
      </c>
      <c r="N35" s="46" t="s">
        <v>235</v>
      </c>
    </row>
    <row r="36" spans="1:15">
      <c r="A36" s="6">
        <v>33</v>
      </c>
      <c r="B36" s="78"/>
      <c r="C36" s="6"/>
      <c r="D36" s="6"/>
      <c r="E36" s="65"/>
      <c r="F36" s="6"/>
      <c r="G36" s="66">
        <f t="shared" si="0"/>
        <v>0</v>
      </c>
      <c r="H36" s="65"/>
      <c r="I36" s="6"/>
      <c r="J36" s="66">
        <f t="shared" si="1"/>
        <v>0</v>
      </c>
      <c r="K36" s="66">
        <f t="shared" si="2"/>
        <v>0</v>
      </c>
      <c r="L36" s="66"/>
      <c r="M36" s="149">
        <f t="shared" si="4"/>
        <v>2468.2480999999761</v>
      </c>
      <c r="N36" s="46" t="s">
        <v>235</v>
      </c>
    </row>
    <row r="37" spans="1:15">
      <c r="A37" s="6">
        <v>34</v>
      </c>
      <c r="B37" s="78"/>
      <c r="C37" s="6"/>
      <c r="D37" s="6"/>
      <c r="E37" s="65"/>
      <c r="F37" s="6"/>
      <c r="G37" s="66">
        <f t="shared" si="0"/>
        <v>0</v>
      </c>
      <c r="H37" s="65"/>
      <c r="I37" s="6"/>
      <c r="J37" s="66">
        <f t="shared" si="1"/>
        <v>0</v>
      </c>
      <c r="K37" s="66">
        <f t="shared" si="2"/>
        <v>0</v>
      </c>
      <c r="L37" s="66"/>
      <c r="M37" s="149">
        <f t="shared" si="4"/>
        <v>2468.2480999999761</v>
      </c>
      <c r="N37" s="46" t="s">
        <v>235</v>
      </c>
    </row>
    <row r="38" spans="1:15">
      <c r="A38" s="6">
        <v>35</v>
      </c>
      <c r="B38" s="78"/>
      <c r="C38" s="6"/>
      <c r="D38" s="6"/>
      <c r="E38" s="65"/>
      <c r="F38" s="6"/>
      <c r="G38" s="66">
        <f t="shared" si="0"/>
        <v>0</v>
      </c>
      <c r="H38" s="65"/>
      <c r="I38" s="6"/>
      <c r="J38" s="66">
        <f t="shared" si="1"/>
        <v>0</v>
      </c>
      <c r="K38" s="66">
        <f t="shared" si="2"/>
        <v>0</v>
      </c>
      <c r="L38" s="66"/>
      <c r="M38" s="149">
        <f t="shared" si="4"/>
        <v>2468.2480999999761</v>
      </c>
      <c r="N38" s="46" t="s">
        <v>235</v>
      </c>
    </row>
    <row r="39" spans="1:15">
      <c r="A39" s="6">
        <v>36</v>
      </c>
      <c r="B39" s="78"/>
      <c r="C39" s="6"/>
      <c r="D39" s="6"/>
      <c r="E39" s="65"/>
      <c r="F39" s="6"/>
      <c r="G39" s="66">
        <f t="shared" si="0"/>
        <v>0</v>
      </c>
      <c r="H39" s="65"/>
      <c r="I39" s="6"/>
      <c r="J39" s="66">
        <f t="shared" si="1"/>
        <v>0</v>
      </c>
      <c r="K39" s="66">
        <f t="shared" si="2"/>
        <v>0</v>
      </c>
      <c r="L39" s="66"/>
      <c r="M39" s="149">
        <f t="shared" si="4"/>
        <v>2468.2480999999761</v>
      </c>
      <c r="N39" s="46" t="s">
        <v>235</v>
      </c>
    </row>
    <row r="40" spans="1:15">
      <c r="A40" s="6">
        <v>37</v>
      </c>
      <c r="B40" s="78"/>
      <c r="C40" s="6"/>
      <c r="D40" s="6"/>
      <c r="E40" s="65"/>
      <c r="F40" s="6"/>
      <c r="G40" s="66">
        <f t="shared" si="0"/>
        <v>0</v>
      </c>
      <c r="H40" s="65"/>
      <c r="I40" s="6"/>
      <c r="J40" s="66">
        <f t="shared" si="1"/>
        <v>0</v>
      </c>
      <c r="K40" s="66">
        <f t="shared" si="2"/>
        <v>0</v>
      </c>
      <c r="L40" s="66"/>
      <c r="M40" s="149">
        <f t="shared" si="4"/>
        <v>2468.2480999999761</v>
      </c>
      <c r="N40" s="46" t="s">
        <v>235</v>
      </c>
    </row>
    <row r="41" spans="1:15">
      <c r="A41" s="6">
        <v>38</v>
      </c>
      <c r="B41" s="78"/>
      <c r="C41" s="6"/>
      <c r="D41" s="6"/>
      <c r="E41" s="65"/>
      <c r="F41" s="6"/>
      <c r="G41" s="66">
        <f t="shared" si="0"/>
        <v>0</v>
      </c>
      <c r="H41" s="65"/>
      <c r="I41" s="6"/>
      <c r="J41" s="66">
        <f t="shared" si="1"/>
        <v>0</v>
      </c>
      <c r="K41" s="66">
        <f t="shared" si="2"/>
        <v>0</v>
      </c>
      <c r="L41" s="66"/>
      <c r="M41" s="149">
        <f t="shared" si="4"/>
        <v>2468.2480999999761</v>
      </c>
      <c r="N41" s="46" t="s">
        <v>235</v>
      </c>
    </row>
    <row r="42" spans="1:15">
      <c r="A42" s="6">
        <v>39</v>
      </c>
      <c r="B42" s="170"/>
      <c r="C42" s="169"/>
      <c r="D42" s="6"/>
      <c r="E42" s="65"/>
      <c r="F42" s="6"/>
      <c r="G42" s="66">
        <f t="shared" si="0"/>
        <v>0</v>
      </c>
      <c r="H42" s="65"/>
      <c r="I42" s="6"/>
      <c r="J42" s="66">
        <f t="shared" si="1"/>
        <v>0</v>
      </c>
      <c r="K42" s="66">
        <f t="shared" si="2"/>
        <v>0</v>
      </c>
      <c r="L42" s="66"/>
      <c r="M42" s="149">
        <f t="shared" si="4"/>
        <v>2468.2480999999761</v>
      </c>
      <c r="N42" s="46" t="s">
        <v>235</v>
      </c>
    </row>
    <row r="43" spans="1:15">
      <c r="A43" s="6">
        <v>40</v>
      </c>
      <c r="B43" s="6"/>
      <c r="C43" s="6"/>
      <c r="D43" s="6"/>
      <c r="E43" s="65"/>
      <c r="F43" s="6"/>
      <c r="G43" s="66">
        <f t="shared" si="0"/>
        <v>0</v>
      </c>
      <c r="H43" s="65"/>
      <c r="I43" s="6"/>
      <c r="J43" s="66">
        <f t="shared" si="1"/>
        <v>0</v>
      </c>
      <c r="K43" s="66">
        <f t="shared" si="2"/>
        <v>0</v>
      </c>
      <c r="L43" s="66"/>
      <c r="M43" s="149">
        <f t="shared" si="4"/>
        <v>2468.2480999999761</v>
      </c>
      <c r="N43" s="46" t="s">
        <v>235</v>
      </c>
    </row>
    <row r="44" spans="1:15">
      <c r="A44" s="6">
        <v>41</v>
      </c>
      <c r="B44" s="169"/>
      <c r="C44" s="169"/>
      <c r="D44" s="6"/>
      <c r="E44" s="65"/>
      <c r="F44" s="6"/>
      <c r="G44" s="66">
        <f t="shared" si="0"/>
        <v>0</v>
      </c>
      <c r="H44" s="65"/>
      <c r="I44" s="6"/>
      <c r="J44" s="66">
        <f t="shared" si="1"/>
        <v>0</v>
      </c>
      <c r="K44" s="66">
        <f t="shared" si="2"/>
        <v>0</v>
      </c>
      <c r="L44" s="66"/>
      <c r="M44" s="149">
        <f t="shared" si="4"/>
        <v>2468.2480999999761</v>
      </c>
      <c r="N44" s="46" t="s">
        <v>235</v>
      </c>
    </row>
    <row r="45" spans="1:15">
      <c r="A45" s="6">
        <v>42</v>
      </c>
      <c r="B45" s="169"/>
      <c r="C45" s="169"/>
      <c r="D45" s="6"/>
      <c r="E45" s="65"/>
      <c r="F45" s="6"/>
      <c r="G45" s="66">
        <f t="shared" ref="G45" si="5">E45*F45</f>
        <v>0</v>
      </c>
      <c r="H45" s="65"/>
      <c r="I45" s="6"/>
      <c r="J45" s="66">
        <f>H45*I45</f>
        <v>0</v>
      </c>
      <c r="K45" s="66">
        <f t="shared" ref="K45" si="6">G45+J45</f>
        <v>0</v>
      </c>
      <c r="L45" s="162"/>
      <c r="M45" s="149">
        <f t="shared" si="4"/>
        <v>2468.2480999999761</v>
      </c>
      <c r="N45" s="46" t="s">
        <v>235</v>
      </c>
    </row>
    <row r="46" spans="1:15">
      <c r="A46" s="62"/>
      <c r="B46" s="62"/>
      <c r="C46" s="62"/>
      <c r="D46" s="62"/>
      <c r="E46" s="63">
        <f>SUM(E4:E45)</f>
        <v>367.57</v>
      </c>
      <c r="F46" s="63"/>
      <c r="G46" s="63">
        <f>SUM(G4:G45)</f>
        <v>33754.8678</v>
      </c>
      <c r="H46" s="63">
        <f>SUM(H4:H45)</f>
        <v>70.47</v>
      </c>
      <c r="I46" s="63"/>
      <c r="J46" s="63">
        <f>SUM(J4:J45)</f>
        <v>7289.4168000000009</v>
      </c>
      <c r="K46" s="63">
        <f>SUM(K4:K45)</f>
        <v>41044.284599999999</v>
      </c>
      <c r="L46" s="63">
        <f>SUM(L4:L45)</f>
        <v>41000</v>
      </c>
      <c r="M46" s="63"/>
      <c r="N46" s="63"/>
      <c r="O46" s="59"/>
    </row>
  </sheetData>
  <mergeCells count="2">
    <mergeCell ref="A1:N1"/>
    <mergeCell ref="A3:L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28" activePane="bottomLeft" state="frozen"/>
      <selection pane="bottomLeft" activeCell="N38" sqref="N38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10.855468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447" t="s">
        <v>149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53"/>
    </row>
    <row r="2" spans="1:15">
      <c r="A2" s="98" t="s">
        <v>0</v>
      </c>
      <c r="B2" s="99" t="s">
        <v>161</v>
      </c>
      <c r="C2" s="99" t="s">
        <v>162</v>
      </c>
      <c r="D2" s="99" t="s">
        <v>180</v>
      </c>
      <c r="E2" s="99" t="s">
        <v>164</v>
      </c>
      <c r="F2" s="99" t="s">
        <v>165</v>
      </c>
      <c r="G2" s="99" t="s">
        <v>166</v>
      </c>
      <c r="H2" s="99" t="s">
        <v>167</v>
      </c>
      <c r="I2" s="99" t="s">
        <v>165</v>
      </c>
      <c r="J2" s="138" t="s">
        <v>166</v>
      </c>
      <c r="K2" s="100" t="s">
        <v>168</v>
      </c>
      <c r="L2" s="139" t="s">
        <v>169</v>
      </c>
      <c r="M2" s="143" t="s">
        <v>181</v>
      </c>
      <c r="N2" s="101" t="s">
        <v>171</v>
      </c>
      <c r="O2" s="59"/>
    </row>
    <row r="3" spans="1:15">
      <c r="A3" s="155"/>
      <c r="B3" s="17" t="s">
        <v>172</v>
      </c>
      <c r="C3" s="156"/>
      <c r="D3" s="156"/>
      <c r="E3" s="156"/>
      <c r="F3" s="156"/>
      <c r="G3" s="156"/>
      <c r="H3" s="156"/>
      <c r="I3" s="156"/>
      <c r="J3" s="157"/>
      <c r="K3" s="68">
        <v>126345.08390000011</v>
      </c>
      <c r="L3" s="158"/>
      <c r="M3" s="80">
        <v>126345.08390000011</v>
      </c>
      <c r="N3" s="156"/>
      <c r="O3" s="59">
        <v>86559.56660000002</v>
      </c>
    </row>
    <row r="4" spans="1:15">
      <c r="A4" s="196">
        <v>1</v>
      </c>
      <c r="B4" s="219">
        <v>46082</v>
      </c>
      <c r="C4" s="67"/>
      <c r="D4" s="159"/>
      <c r="E4" s="65"/>
      <c r="F4" s="6"/>
      <c r="G4" s="8">
        <f>E4*F4</f>
        <v>0</v>
      </c>
      <c r="H4" s="65"/>
      <c r="I4" s="6"/>
      <c r="J4" s="8">
        <f>H4*I4</f>
        <v>0</v>
      </c>
      <c r="K4" s="8">
        <f>G4+J4</f>
        <v>0</v>
      </c>
      <c r="L4" s="68"/>
      <c r="M4" s="68">
        <f>M3+K4-L4</f>
        <v>126345.08390000011</v>
      </c>
      <c r="N4" s="41"/>
      <c r="O4" s="69"/>
    </row>
    <row r="5" spans="1:15">
      <c r="A5" s="46">
        <v>2</v>
      </c>
      <c r="B5" s="219">
        <v>46083</v>
      </c>
      <c r="C5" s="67"/>
      <c r="D5" s="71"/>
      <c r="E5" s="65">
        <v>169.98</v>
      </c>
      <c r="F5" s="6">
        <v>91.23</v>
      </c>
      <c r="G5" s="8">
        <f t="shared" ref="G5:G34" si="0">E5*F5</f>
        <v>15507.2754</v>
      </c>
      <c r="H5" s="65">
        <v>9.49</v>
      </c>
      <c r="I5" s="6">
        <v>101.16</v>
      </c>
      <c r="J5" s="8">
        <f t="shared" ref="J5:J34" si="1">H5*I5</f>
        <v>960.00839999999994</v>
      </c>
      <c r="K5" s="8">
        <f t="shared" ref="K5:K34" si="2">G5+J5</f>
        <v>16467.283800000001</v>
      </c>
      <c r="L5" s="68"/>
      <c r="M5" s="68">
        <f t="shared" ref="M5:M19" si="3">M4+K5-L5</f>
        <v>142812.36770000012</v>
      </c>
      <c r="N5" s="41"/>
      <c r="O5" s="69"/>
    </row>
    <row r="6" spans="1:15">
      <c r="A6" s="46">
        <v>3</v>
      </c>
      <c r="B6" s="219">
        <v>46084</v>
      </c>
      <c r="C6" s="67"/>
      <c r="D6" s="71"/>
      <c r="E6" s="317">
        <v>20</v>
      </c>
      <c r="F6" s="329">
        <v>91.23</v>
      </c>
      <c r="G6" s="8">
        <f t="shared" si="0"/>
        <v>1824.6000000000001</v>
      </c>
      <c r="H6" s="65"/>
      <c r="I6" s="6"/>
      <c r="J6" s="8">
        <f t="shared" si="1"/>
        <v>0</v>
      </c>
      <c r="K6" s="8">
        <f t="shared" si="2"/>
        <v>1824.6000000000001</v>
      </c>
      <c r="L6" s="68"/>
      <c r="M6" s="68">
        <f t="shared" si="3"/>
        <v>144636.96770000012</v>
      </c>
      <c r="N6" s="41"/>
      <c r="O6" s="69"/>
    </row>
    <row r="7" spans="1:15">
      <c r="A7" s="46">
        <v>4</v>
      </c>
      <c r="B7" s="219">
        <v>46085</v>
      </c>
      <c r="C7" s="67"/>
      <c r="D7" s="71"/>
      <c r="E7" s="65"/>
      <c r="F7" s="6"/>
      <c r="G7" s="8">
        <f t="shared" si="0"/>
        <v>0</v>
      </c>
      <c r="H7" s="65"/>
      <c r="I7" s="6"/>
      <c r="J7" s="8">
        <f t="shared" si="1"/>
        <v>0</v>
      </c>
      <c r="K7" s="8">
        <f t="shared" si="2"/>
        <v>0</v>
      </c>
      <c r="L7" s="68"/>
      <c r="M7" s="68">
        <f t="shared" si="3"/>
        <v>144636.96770000012</v>
      </c>
      <c r="N7" s="41"/>
      <c r="O7" s="69"/>
    </row>
    <row r="8" spans="1:15">
      <c r="A8" s="46">
        <v>5</v>
      </c>
      <c r="B8" s="219">
        <v>46086</v>
      </c>
      <c r="C8" s="67"/>
      <c r="D8" s="71"/>
      <c r="E8" s="65"/>
      <c r="F8" s="6"/>
      <c r="G8" s="8">
        <f t="shared" si="0"/>
        <v>0</v>
      </c>
      <c r="H8" s="65"/>
      <c r="I8" s="6"/>
      <c r="J8" s="8">
        <f t="shared" si="1"/>
        <v>0</v>
      </c>
      <c r="K8" s="8">
        <f t="shared" si="2"/>
        <v>0</v>
      </c>
      <c r="L8" s="68"/>
      <c r="M8" s="68">
        <f t="shared" si="3"/>
        <v>144636.96770000012</v>
      </c>
      <c r="N8" s="41"/>
      <c r="O8" s="69"/>
    </row>
    <row r="9" spans="1:15">
      <c r="A9" s="46">
        <v>6</v>
      </c>
      <c r="B9" s="219">
        <v>46087</v>
      </c>
      <c r="C9" s="67"/>
      <c r="D9" s="71"/>
      <c r="E9" s="65"/>
      <c r="F9" s="6"/>
      <c r="G9" s="8">
        <f t="shared" si="0"/>
        <v>0</v>
      </c>
      <c r="H9" s="65">
        <v>5</v>
      </c>
      <c r="I9" s="329">
        <v>103.16</v>
      </c>
      <c r="J9" s="8">
        <f t="shared" si="1"/>
        <v>515.79999999999995</v>
      </c>
      <c r="K9" s="8">
        <f t="shared" si="2"/>
        <v>515.79999999999995</v>
      </c>
      <c r="L9" s="68"/>
      <c r="M9" s="68">
        <f t="shared" si="3"/>
        <v>145152.76770000011</v>
      </c>
      <c r="N9" s="41"/>
      <c r="O9" s="69"/>
    </row>
    <row r="10" spans="1:15">
      <c r="A10" s="46">
        <v>7</v>
      </c>
      <c r="B10" s="219">
        <v>46088</v>
      </c>
      <c r="C10" s="67"/>
      <c r="D10" s="71"/>
      <c r="E10" s="65">
        <v>105.17</v>
      </c>
      <c r="F10" s="6">
        <v>91.23</v>
      </c>
      <c r="G10" s="8">
        <f t="shared" si="0"/>
        <v>9594.6591000000008</v>
      </c>
      <c r="H10" s="65"/>
      <c r="I10" s="329"/>
      <c r="J10" s="8">
        <f t="shared" ref="J10:J11" si="4">H10*I10</f>
        <v>0</v>
      </c>
      <c r="K10" s="8">
        <f t="shared" ref="K10:K11" si="5">G10+J10</f>
        <v>9594.6591000000008</v>
      </c>
      <c r="L10" s="68"/>
      <c r="M10" s="68">
        <f t="shared" si="3"/>
        <v>154747.4268000001</v>
      </c>
      <c r="N10" s="41"/>
      <c r="O10" s="69"/>
    </row>
    <row r="11" spans="1:15">
      <c r="A11" s="46">
        <v>8</v>
      </c>
      <c r="B11" s="219">
        <v>46089</v>
      </c>
      <c r="C11" s="67"/>
      <c r="D11" s="71"/>
      <c r="E11" s="65"/>
      <c r="F11" s="6"/>
      <c r="G11" s="8">
        <f t="shared" si="0"/>
        <v>0</v>
      </c>
      <c r="H11" s="65">
        <v>7.61</v>
      </c>
      <c r="I11" s="6">
        <v>103.16</v>
      </c>
      <c r="J11" s="8">
        <f t="shared" si="4"/>
        <v>785.04759999999999</v>
      </c>
      <c r="K11" s="8">
        <f t="shared" si="5"/>
        <v>785.04759999999999</v>
      </c>
      <c r="L11" s="68"/>
      <c r="M11" s="68">
        <f t="shared" si="3"/>
        <v>155532.47440000009</v>
      </c>
      <c r="N11" s="41"/>
      <c r="O11" s="69"/>
    </row>
    <row r="12" spans="1:15">
      <c r="A12" s="46">
        <v>9</v>
      </c>
      <c r="B12" s="219">
        <v>46090</v>
      </c>
      <c r="C12" s="67"/>
      <c r="D12" s="71"/>
      <c r="E12" s="65">
        <v>40</v>
      </c>
      <c r="F12" s="6">
        <v>91.23</v>
      </c>
      <c r="G12" s="8">
        <f t="shared" si="0"/>
        <v>3649.2000000000003</v>
      </c>
      <c r="H12" s="65">
        <v>6.35</v>
      </c>
      <c r="I12" s="6">
        <v>103.16</v>
      </c>
      <c r="J12" s="8">
        <f t="shared" si="1"/>
        <v>655.06599999999992</v>
      </c>
      <c r="K12" s="8">
        <f t="shared" si="2"/>
        <v>4304.2660000000005</v>
      </c>
      <c r="L12" s="68"/>
      <c r="M12" s="68">
        <f t="shared" si="3"/>
        <v>159836.7404000001</v>
      </c>
      <c r="N12" s="41"/>
      <c r="O12" s="69"/>
    </row>
    <row r="13" spans="1:15">
      <c r="A13" s="46">
        <v>10</v>
      </c>
      <c r="B13" s="219">
        <v>46091</v>
      </c>
      <c r="C13" s="187"/>
      <c r="D13" s="188"/>
      <c r="E13" s="317">
        <v>45.12</v>
      </c>
      <c r="F13" s="329">
        <v>91.23</v>
      </c>
      <c r="G13" s="8">
        <f t="shared" si="0"/>
        <v>4116.2975999999999</v>
      </c>
      <c r="H13" s="65"/>
      <c r="I13" s="6"/>
      <c r="J13" s="8">
        <f t="shared" si="1"/>
        <v>0</v>
      </c>
      <c r="K13" s="8">
        <f t="shared" si="2"/>
        <v>4116.2975999999999</v>
      </c>
      <c r="L13" s="68"/>
      <c r="M13" s="68">
        <f>M12+K13-L13</f>
        <v>163953.03800000009</v>
      </c>
      <c r="N13" s="41"/>
      <c r="O13" s="69"/>
    </row>
    <row r="14" spans="1:15">
      <c r="A14" s="46">
        <v>11</v>
      </c>
      <c r="B14" s="219">
        <v>46092</v>
      </c>
      <c r="C14" s="176"/>
      <c r="D14" s="176"/>
      <c r="E14" s="65">
        <v>40</v>
      </c>
      <c r="F14" s="6">
        <v>91.23</v>
      </c>
      <c r="G14" s="8">
        <f t="shared" si="0"/>
        <v>3649.2000000000003</v>
      </c>
      <c r="H14" s="65">
        <v>5</v>
      </c>
      <c r="I14" s="6">
        <v>103.16</v>
      </c>
      <c r="J14" s="8">
        <f t="shared" si="1"/>
        <v>515.79999999999995</v>
      </c>
      <c r="K14" s="8">
        <f t="shared" si="2"/>
        <v>4165</v>
      </c>
      <c r="L14" s="68"/>
      <c r="M14" s="68">
        <f t="shared" si="3"/>
        <v>168118.03800000009</v>
      </c>
      <c r="N14" s="41"/>
      <c r="O14" s="69"/>
    </row>
    <row r="15" spans="1:15">
      <c r="A15" s="46">
        <v>12</v>
      </c>
      <c r="B15" s="219">
        <v>46093</v>
      </c>
      <c r="C15" s="176"/>
      <c r="D15" s="176"/>
      <c r="E15" s="65">
        <v>186.53</v>
      </c>
      <c r="F15" s="6">
        <v>91.23</v>
      </c>
      <c r="G15" s="8">
        <f t="shared" si="0"/>
        <v>17017.1319</v>
      </c>
      <c r="H15" s="65">
        <v>12.61</v>
      </c>
      <c r="I15" s="6">
        <v>103.16</v>
      </c>
      <c r="J15" s="8">
        <f t="shared" si="1"/>
        <v>1300.8475999999998</v>
      </c>
      <c r="K15" s="8">
        <f t="shared" si="2"/>
        <v>18317.979500000001</v>
      </c>
      <c r="L15" s="68"/>
      <c r="M15" s="68">
        <f>M14+K15-L15</f>
        <v>186436.01750000007</v>
      </c>
      <c r="N15" s="41"/>
      <c r="O15" s="69"/>
    </row>
    <row r="16" spans="1:15">
      <c r="A16" s="46">
        <v>13</v>
      </c>
      <c r="B16" s="219">
        <v>46094</v>
      </c>
      <c r="C16" s="176"/>
      <c r="D16" s="176"/>
      <c r="E16" s="65">
        <v>113.78</v>
      </c>
      <c r="F16" s="6">
        <v>91.23</v>
      </c>
      <c r="G16" s="8">
        <f t="shared" si="0"/>
        <v>10380.1494</v>
      </c>
      <c r="H16" s="65"/>
      <c r="I16" s="6"/>
      <c r="J16" s="8">
        <f t="shared" si="1"/>
        <v>0</v>
      </c>
      <c r="K16" s="8">
        <f t="shared" si="2"/>
        <v>10380.1494</v>
      </c>
      <c r="L16" s="68"/>
      <c r="M16" s="68">
        <f t="shared" si="3"/>
        <v>196816.16690000007</v>
      </c>
      <c r="N16" s="41"/>
      <c r="O16" s="69"/>
    </row>
    <row r="17" spans="1:15">
      <c r="A17" s="46">
        <v>14</v>
      </c>
      <c r="B17" s="219">
        <v>46095</v>
      </c>
      <c r="C17" s="176"/>
      <c r="D17" s="176"/>
      <c r="E17" s="65">
        <v>10</v>
      </c>
      <c r="F17" s="6">
        <v>91.23</v>
      </c>
      <c r="G17" s="8">
        <f t="shared" si="0"/>
        <v>912.30000000000007</v>
      </c>
      <c r="H17" s="65"/>
      <c r="I17" s="6"/>
      <c r="J17" s="8">
        <f t="shared" si="1"/>
        <v>0</v>
      </c>
      <c r="K17" s="8">
        <f t="shared" si="2"/>
        <v>912.30000000000007</v>
      </c>
      <c r="L17" s="68"/>
      <c r="M17" s="68">
        <f t="shared" si="3"/>
        <v>197728.46690000006</v>
      </c>
      <c r="N17" s="41"/>
      <c r="O17" s="69"/>
    </row>
    <row r="18" spans="1:15">
      <c r="A18" s="46">
        <v>15</v>
      </c>
      <c r="B18" s="219">
        <v>46096</v>
      </c>
      <c r="C18" s="176"/>
      <c r="D18" s="176"/>
      <c r="E18" s="65">
        <v>0.98</v>
      </c>
      <c r="F18" s="6">
        <v>91.23</v>
      </c>
      <c r="G18" s="8">
        <f t="shared" si="0"/>
        <v>89.4054</v>
      </c>
      <c r="H18" s="65">
        <v>7</v>
      </c>
      <c r="I18" s="6">
        <v>103.16</v>
      </c>
      <c r="J18" s="8">
        <f t="shared" si="1"/>
        <v>722.12</v>
      </c>
      <c r="K18" s="8">
        <f t="shared" si="2"/>
        <v>811.52539999999999</v>
      </c>
      <c r="L18" s="68"/>
      <c r="M18" s="68">
        <f t="shared" si="3"/>
        <v>198539.99230000007</v>
      </c>
      <c r="N18" s="41"/>
      <c r="O18" s="69"/>
    </row>
    <row r="19" spans="1:15">
      <c r="A19" s="46">
        <v>16</v>
      </c>
      <c r="B19" s="219">
        <v>46097</v>
      </c>
      <c r="C19" s="176"/>
      <c r="D19" s="176"/>
      <c r="E19" s="65">
        <v>110.69</v>
      </c>
      <c r="F19" s="6">
        <v>91.23</v>
      </c>
      <c r="G19" s="8">
        <f t="shared" si="0"/>
        <v>10098.2487</v>
      </c>
      <c r="H19" s="65">
        <v>2</v>
      </c>
      <c r="I19" s="6">
        <v>103.16</v>
      </c>
      <c r="J19" s="8">
        <f t="shared" si="1"/>
        <v>206.32</v>
      </c>
      <c r="K19" s="8">
        <f t="shared" si="2"/>
        <v>10304.5687</v>
      </c>
      <c r="L19" s="68"/>
      <c r="M19" s="68">
        <f t="shared" si="3"/>
        <v>208844.56100000007</v>
      </c>
      <c r="N19" s="41"/>
      <c r="O19" s="69"/>
    </row>
    <row r="20" spans="1:15">
      <c r="A20" s="46">
        <v>17</v>
      </c>
      <c r="B20" s="219">
        <v>46098</v>
      </c>
      <c r="C20" s="176"/>
      <c r="D20" s="176"/>
      <c r="E20" s="65">
        <v>20</v>
      </c>
      <c r="F20" s="6">
        <v>91.23</v>
      </c>
      <c r="G20" s="8">
        <f t="shared" si="0"/>
        <v>1824.6000000000001</v>
      </c>
      <c r="H20" s="65">
        <v>8.76</v>
      </c>
      <c r="I20" s="6">
        <v>103.16</v>
      </c>
      <c r="J20" s="8">
        <f t="shared" si="1"/>
        <v>903.6816</v>
      </c>
      <c r="K20" s="8">
        <f t="shared" si="2"/>
        <v>2728.2816000000003</v>
      </c>
      <c r="L20" s="68">
        <v>200000</v>
      </c>
      <c r="M20" s="68">
        <f t="shared" ref="M20:M34" si="6">M19+K20-L20</f>
        <v>11572.842600000062</v>
      </c>
      <c r="N20" s="41"/>
      <c r="O20" s="69"/>
    </row>
    <row r="21" spans="1:15">
      <c r="A21" s="46">
        <v>18</v>
      </c>
      <c r="B21" s="219">
        <v>46099</v>
      </c>
      <c r="C21" s="176"/>
      <c r="D21" s="176"/>
      <c r="E21" s="65"/>
      <c r="F21" s="6"/>
      <c r="G21" s="8">
        <f t="shared" si="0"/>
        <v>0</v>
      </c>
      <c r="H21" s="65">
        <v>8.6999999999999993</v>
      </c>
      <c r="I21" s="6">
        <v>103.16</v>
      </c>
      <c r="J21" s="8">
        <f t="shared" si="1"/>
        <v>897.49199999999985</v>
      </c>
      <c r="K21" s="8">
        <f t="shared" si="2"/>
        <v>897.49199999999985</v>
      </c>
      <c r="L21" s="68"/>
      <c r="M21" s="68">
        <f t="shared" si="6"/>
        <v>12470.334600000062</v>
      </c>
      <c r="N21" s="41"/>
      <c r="O21" s="69"/>
    </row>
    <row r="22" spans="1:15">
      <c r="A22" s="46">
        <v>19</v>
      </c>
      <c r="B22" s="219">
        <v>46100</v>
      </c>
      <c r="C22" s="176"/>
      <c r="D22" s="176"/>
      <c r="E22" s="65">
        <v>20</v>
      </c>
      <c r="F22" s="6">
        <v>91.23</v>
      </c>
      <c r="G22" s="8">
        <f t="shared" ref="G22" si="7">E22*F22</f>
        <v>1824.6000000000001</v>
      </c>
      <c r="H22" s="65"/>
      <c r="I22" s="6"/>
      <c r="J22" s="8">
        <f t="shared" ref="J22" si="8">H22*I22</f>
        <v>0</v>
      </c>
      <c r="K22" s="8">
        <f t="shared" ref="K22" si="9">G22+J22</f>
        <v>1824.6000000000001</v>
      </c>
      <c r="L22" s="68"/>
      <c r="M22" s="68">
        <f t="shared" si="6"/>
        <v>14294.934600000062</v>
      </c>
      <c r="N22" s="41"/>
      <c r="O22" s="69"/>
    </row>
    <row r="23" spans="1:15">
      <c r="A23" s="46">
        <v>20</v>
      </c>
      <c r="B23" s="219">
        <v>46101</v>
      </c>
      <c r="C23" s="176"/>
      <c r="D23" s="176"/>
      <c r="E23" s="65"/>
      <c r="F23" s="6"/>
      <c r="G23" s="8">
        <f t="shared" si="0"/>
        <v>0</v>
      </c>
      <c r="H23" s="65"/>
      <c r="I23" s="6"/>
      <c r="J23" s="8">
        <f t="shared" si="1"/>
        <v>0</v>
      </c>
      <c r="K23" s="8">
        <f t="shared" si="2"/>
        <v>0</v>
      </c>
      <c r="L23" s="68"/>
      <c r="M23" s="68">
        <f t="shared" si="6"/>
        <v>14294.934600000062</v>
      </c>
      <c r="N23" s="41"/>
      <c r="O23" s="69"/>
    </row>
    <row r="24" spans="1:15">
      <c r="A24" s="46">
        <v>21</v>
      </c>
      <c r="B24" s="219">
        <v>46102</v>
      </c>
      <c r="C24" s="176"/>
      <c r="D24" s="176"/>
      <c r="E24" s="65"/>
      <c r="F24" s="6"/>
      <c r="G24" s="8">
        <f t="shared" si="0"/>
        <v>0</v>
      </c>
      <c r="H24" s="65"/>
      <c r="I24" s="6"/>
      <c r="J24" s="8">
        <f t="shared" si="1"/>
        <v>0</v>
      </c>
      <c r="K24" s="8">
        <f t="shared" si="2"/>
        <v>0</v>
      </c>
      <c r="L24" s="68"/>
      <c r="M24" s="68">
        <f t="shared" si="6"/>
        <v>14294.934600000062</v>
      </c>
      <c r="N24" s="41"/>
      <c r="O24" s="69"/>
    </row>
    <row r="25" spans="1:15">
      <c r="A25" s="46">
        <v>22</v>
      </c>
      <c r="B25" s="219">
        <v>46103</v>
      </c>
      <c r="C25" s="176"/>
      <c r="D25" s="176"/>
      <c r="E25" s="65"/>
      <c r="F25" s="6"/>
      <c r="G25" s="8">
        <f t="shared" si="0"/>
        <v>0</v>
      </c>
      <c r="H25" s="65"/>
      <c r="I25" s="6"/>
      <c r="J25" s="8">
        <f t="shared" si="1"/>
        <v>0</v>
      </c>
      <c r="K25" s="8">
        <f t="shared" si="2"/>
        <v>0</v>
      </c>
      <c r="L25" s="68"/>
      <c r="M25" s="68">
        <f t="shared" si="6"/>
        <v>14294.934600000062</v>
      </c>
      <c r="N25" s="41"/>
      <c r="O25" s="69"/>
    </row>
    <row r="26" spans="1:15">
      <c r="A26" s="46">
        <v>23</v>
      </c>
      <c r="B26" s="219">
        <v>46104</v>
      </c>
      <c r="C26" s="210"/>
      <c r="D26" s="210"/>
      <c r="E26" s="65">
        <v>5</v>
      </c>
      <c r="F26" s="6">
        <v>91.23</v>
      </c>
      <c r="G26" s="8">
        <f t="shared" si="0"/>
        <v>456.15000000000003</v>
      </c>
      <c r="H26" s="65"/>
      <c r="I26" s="6"/>
      <c r="J26" s="8">
        <f t="shared" si="1"/>
        <v>0</v>
      </c>
      <c r="K26" s="8">
        <f t="shared" si="2"/>
        <v>456.15000000000003</v>
      </c>
      <c r="L26" s="68"/>
      <c r="M26" s="68">
        <f t="shared" si="6"/>
        <v>14751.084600000062</v>
      </c>
      <c r="N26" s="211"/>
      <c r="O26" s="69">
        <v>51702</v>
      </c>
    </row>
    <row r="27" spans="1:15">
      <c r="A27" s="46">
        <v>24</v>
      </c>
      <c r="B27" s="219">
        <v>46105</v>
      </c>
      <c r="C27" s="210"/>
      <c r="D27" s="210"/>
      <c r="E27" s="317">
        <v>33.549999999999997</v>
      </c>
      <c r="F27" s="6">
        <v>91.23</v>
      </c>
      <c r="G27" s="8">
        <f t="shared" si="0"/>
        <v>3060.7664999999997</v>
      </c>
      <c r="H27" s="65">
        <v>5</v>
      </c>
      <c r="I27" s="6">
        <v>103.16</v>
      </c>
      <c r="J27" s="8">
        <f t="shared" si="1"/>
        <v>515.79999999999995</v>
      </c>
      <c r="K27" s="8">
        <f t="shared" si="2"/>
        <v>3576.5664999999999</v>
      </c>
      <c r="L27" s="68"/>
      <c r="M27" s="68">
        <f t="shared" si="6"/>
        <v>18327.651100000061</v>
      </c>
      <c r="N27" s="211"/>
      <c r="O27" s="69"/>
    </row>
    <row r="28" spans="1:15">
      <c r="A28" s="221">
        <v>25</v>
      </c>
      <c r="B28" s="219">
        <v>46106</v>
      </c>
      <c r="C28" s="210"/>
      <c r="D28" s="210"/>
      <c r="E28" s="65">
        <v>100</v>
      </c>
      <c r="F28" s="6">
        <v>91.23</v>
      </c>
      <c r="G28" s="8">
        <f t="shared" si="0"/>
        <v>9123</v>
      </c>
      <c r="H28" s="65">
        <v>5</v>
      </c>
      <c r="I28" s="6">
        <v>103.16</v>
      </c>
      <c r="J28" s="8">
        <f t="shared" si="1"/>
        <v>515.79999999999995</v>
      </c>
      <c r="K28" s="8">
        <f t="shared" si="2"/>
        <v>9638.7999999999993</v>
      </c>
      <c r="L28" s="68"/>
      <c r="M28" s="68">
        <f>M27+K28-L28</f>
        <v>27966.45110000006</v>
      </c>
      <c r="N28" s="211"/>
      <c r="O28" s="69"/>
    </row>
    <row r="29" spans="1:15">
      <c r="A29" s="221">
        <v>26</v>
      </c>
      <c r="B29" s="219">
        <v>46107</v>
      </c>
      <c r="C29" s="210"/>
      <c r="D29" s="210"/>
      <c r="E29" s="65">
        <v>46.15</v>
      </c>
      <c r="F29" s="6">
        <v>91.23</v>
      </c>
      <c r="G29" s="8">
        <f t="shared" si="0"/>
        <v>4210.2645000000002</v>
      </c>
      <c r="H29" s="65">
        <v>11</v>
      </c>
      <c r="I29" s="6">
        <v>103.16</v>
      </c>
      <c r="J29" s="8">
        <f t="shared" si="1"/>
        <v>1134.76</v>
      </c>
      <c r="K29" s="8">
        <f t="shared" si="2"/>
        <v>5345.0245000000004</v>
      </c>
      <c r="L29" s="68"/>
      <c r="M29" s="68">
        <f t="shared" si="6"/>
        <v>33311.475600000063</v>
      </c>
      <c r="N29" s="211"/>
      <c r="O29" s="69"/>
    </row>
    <row r="30" spans="1:15">
      <c r="A30" s="221">
        <v>27</v>
      </c>
      <c r="B30" s="219">
        <v>46108</v>
      </c>
      <c r="C30" s="210"/>
      <c r="D30" s="210"/>
      <c r="E30" s="65">
        <v>30</v>
      </c>
      <c r="F30" s="6">
        <v>91.23</v>
      </c>
      <c r="G30" s="8">
        <f t="shared" si="0"/>
        <v>2736.9</v>
      </c>
      <c r="H30" s="65"/>
      <c r="I30" s="6"/>
      <c r="J30" s="8">
        <f t="shared" si="1"/>
        <v>0</v>
      </c>
      <c r="K30" s="8">
        <f t="shared" si="2"/>
        <v>2736.9</v>
      </c>
      <c r="L30" s="68"/>
      <c r="M30" s="68">
        <f t="shared" si="6"/>
        <v>36048.375600000065</v>
      </c>
      <c r="N30" s="211"/>
      <c r="O30" s="69"/>
    </row>
    <row r="31" spans="1:15">
      <c r="A31" s="221">
        <v>28</v>
      </c>
      <c r="B31" s="219">
        <v>46109</v>
      </c>
      <c r="C31" s="210"/>
      <c r="D31" s="210"/>
      <c r="E31" s="65"/>
      <c r="F31" s="6"/>
      <c r="G31" s="8">
        <f t="shared" si="0"/>
        <v>0</v>
      </c>
      <c r="H31" s="65"/>
      <c r="I31" s="6"/>
      <c r="J31" s="8">
        <f t="shared" si="1"/>
        <v>0</v>
      </c>
      <c r="K31" s="8">
        <f t="shared" si="2"/>
        <v>0</v>
      </c>
      <c r="L31" s="68"/>
      <c r="M31" s="68">
        <f t="shared" si="6"/>
        <v>36048.375600000065</v>
      </c>
      <c r="N31" s="211"/>
      <c r="O31" s="69"/>
    </row>
    <row r="32" spans="1:15">
      <c r="A32" s="222">
        <v>29</v>
      </c>
      <c r="B32" s="219">
        <v>46110</v>
      </c>
      <c r="C32" s="210"/>
      <c r="D32" s="210"/>
      <c r="E32" s="317">
        <f>200+24.04</f>
        <v>224.04</v>
      </c>
      <c r="F32" s="6">
        <v>91.23</v>
      </c>
      <c r="G32" s="8">
        <f t="shared" si="0"/>
        <v>20439.1692</v>
      </c>
      <c r="H32" s="65"/>
      <c r="I32" s="6"/>
      <c r="J32" s="8">
        <f t="shared" si="1"/>
        <v>0</v>
      </c>
      <c r="K32" s="8">
        <f t="shared" si="2"/>
        <v>20439.1692</v>
      </c>
      <c r="L32" s="68"/>
      <c r="M32" s="68">
        <f t="shared" si="6"/>
        <v>56487.544800000062</v>
      </c>
      <c r="N32" s="211"/>
      <c r="O32" s="69"/>
    </row>
    <row r="33" spans="1:15">
      <c r="A33" s="222">
        <v>30</v>
      </c>
      <c r="B33" s="219">
        <v>46111</v>
      </c>
      <c r="C33" s="210"/>
      <c r="D33" s="210"/>
      <c r="E33" s="65"/>
      <c r="F33" s="6"/>
      <c r="G33" s="8">
        <f t="shared" si="0"/>
        <v>0</v>
      </c>
      <c r="H33" s="65"/>
      <c r="I33" s="6"/>
      <c r="J33" s="8">
        <f t="shared" si="1"/>
        <v>0</v>
      </c>
      <c r="K33" s="8">
        <f t="shared" si="2"/>
        <v>0</v>
      </c>
      <c r="L33" s="68"/>
      <c r="M33" s="68">
        <f t="shared" si="6"/>
        <v>56487.544800000062</v>
      </c>
      <c r="N33" s="211"/>
      <c r="O33" s="69"/>
    </row>
    <row r="34" spans="1:15">
      <c r="A34" s="222">
        <v>31</v>
      </c>
      <c r="B34" s="219">
        <v>46112</v>
      </c>
      <c r="C34" s="210"/>
      <c r="D34" s="210"/>
      <c r="E34" s="65">
        <v>0</v>
      </c>
      <c r="F34" s="6">
        <v>0</v>
      </c>
      <c r="G34" s="8">
        <f t="shared" si="0"/>
        <v>0</v>
      </c>
      <c r="H34" s="65">
        <v>7</v>
      </c>
      <c r="I34" s="6">
        <v>103.16</v>
      </c>
      <c r="J34" s="8">
        <f t="shared" si="1"/>
        <v>722.12</v>
      </c>
      <c r="K34" s="8">
        <f t="shared" si="2"/>
        <v>722.12</v>
      </c>
      <c r="L34" s="68"/>
      <c r="M34" s="68">
        <f t="shared" si="6"/>
        <v>57209.664800000064</v>
      </c>
      <c r="N34" s="211"/>
      <c r="O34" s="69"/>
    </row>
    <row r="35" spans="1:15">
      <c r="A35" s="160"/>
      <c r="B35" s="160"/>
      <c r="C35" s="160"/>
      <c r="D35" s="160"/>
      <c r="E35" s="161">
        <f>SUM(E4:E34)</f>
        <v>1320.99</v>
      </c>
      <c r="F35" s="161"/>
      <c r="G35" s="161">
        <f>SUM(G4:G34)</f>
        <v>120513.91770000001</v>
      </c>
      <c r="H35" s="161">
        <f>SUM(H4:H34)</f>
        <v>100.52</v>
      </c>
      <c r="I35" s="161"/>
      <c r="J35" s="161">
        <f>SUM(J4:J34)</f>
        <v>10350.663200000001</v>
      </c>
      <c r="K35" s="161">
        <f>SUM(K4:K34)</f>
        <v>130864.5809</v>
      </c>
      <c r="L35" s="161">
        <f>SUM(L4:L34)</f>
        <v>200000</v>
      </c>
      <c r="M35" s="161"/>
      <c r="N35" s="161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</sheetData>
  <mergeCells count="1">
    <mergeCell ref="A1:N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P46"/>
  <sheetViews>
    <sheetView topLeftCell="A3" workbookViewId="0">
      <selection activeCell="M17" sqref="M17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</cols>
  <sheetData>
    <row r="1" spans="1:16" ht="15.75">
      <c r="A1" s="469" t="s">
        <v>151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5"/>
    </row>
    <row r="2" spans="1:16" ht="30">
      <c r="A2" s="64" t="s">
        <v>0</v>
      </c>
      <c r="B2" s="83" t="s">
        <v>161</v>
      </c>
      <c r="C2" s="83" t="s">
        <v>162</v>
      </c>
      <c r="D2" s="83" t="s">
        <v>180</v>
      </c>
      <c r="E2" s="83" t="s">
        <v>164</v>
      </c>
      <c r="F2" s="83" t="s">
        <v>165</v>
      </c>
      <c r="G2" s="90" t="s">
        <v>166</v>
      </c>
      <c r="H2" s="83" t="s">
        <v>167</v>
      </c>
      <c r="I2" s="83" t="s">
        <v>165</v>
      </c>
      <c r="J2" s="90" t="s">
        <v>166</v>
      </c>
      <c r="K2" s="64" t="s">
        <v>168</v>
      </c>
      <c r="L2" s="91" t="s">
        <v>169</v>
      </c>
      <c r="M2" s="85" t="s">
        <v>181</v>
      </c>
      <c r="N2" s="83" t="s">
        <v>171</v>
      </c>
      <c r="O2" s="5"/>
    </row>
    <row r="3" spans="1:16">
      <c r="A3" s="493" t="s">
        <v>172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5"/>
      <c r="M3" s="496">
        <v>4750.3871999999974</v>
      </c>
      <c r="N3" s="497"/>
      <c r="O3" s="5"/>
    </row>
    <row r="4" spans="1:16">
      <c r="A4" s="196">
        <v>1</v>
      </c>
      <c r="B4" s="219">
        <v>46082</v>
      </c>
      <c r="C4" s="6"/>
      <c r="D4" s="6"/>
      <c r="E4" s="65">
        <v>91</v>
      </c>
      <c r="F4" s="6">
        <v>91.23</v>
      </c>
      <c r="G4" s="66">
        <f>E4*F4</f>
        <v>8301.93</v>
      </c>
      <c r="H4" s="65"/>
      <c r="I4" s="6"/>
      <c r="J4" s="66">
        <f>H4*I4</f>
        <v>0</v>
      </c>
      <c r="K4" s="66">
        <f>G4+J4</f>
        <v>8301.93</v>
      </c>
      <c r="L4" s="162">
        <v>0</v>
      </c>
      <c r="M4" s="149">
        <f>M3+K4-L4</f>
        <v>13052.317199999998</v>
      </c>
      <c r="N4" s="46"/>
      <c r="O4" s="5">
        <v>908.20409999999981</v>
      </c>
    </row>
    <row r="5" spans="1:16">
      <c r="A5" s="46">
        <v>2</v>
      </c>
      <c r="B5" s="219">
        <v>46083</v>
      </c>
      <c r="C5" s="6"/>
      <c r="D5" s="6"/>
      <c r="E5" s="65">
        <v>20</v>
      </c>
      <c r="F5" s="6">
        <v>91.23</v>
      </c>
      <c r="G5" s="66">
        <f t="shared" ref="G5:G42" si="0">E5*F5</f>
        <v>1824.6000000000001</v>
      </c>
      <c r="H5" s="65"/>
      <c r="I5" s="6"/>
      <c r="J5" s="66">
        <f t="shared" ref="J5:J42" si="1">H5*I5</f>
        <v>0</v>
      </c>
      <c r="K5" s="66">
        <f t="shared" ref="K5:K42" si="2">G5+J5</f>
        <v>1824.6000000000001</v>
      </c>
      <c r="L5" s="162">
        <v>0</v>
      </c>
      <c r="M5" s="149">
        <f t="shared" ref="M5:M43" si="3">M4+K5-L5</f>
        <v>14876.917199999998</v>
      </c>
      <c r="N5" s="46"/>
      <c r="O5" s="5"/>
    </row>
    <row r="6" spans="1:16">
      <c r="A6" s="46">
        <v>3</v>
      </c>
      <c r="B6" s="219">
        <v>46085</v>
      </c>
      <c r="C6" s="6"/>
      <c r="D6" s="6"/>
      <c r="E6" s="65"/>
      <c r="F6" s="6"/>
      <c r="G6" s="66">
        <f t="shared" si="0"/>
        <v>0</v>
      </c>
      <c r="H6" s="65">
        <v>5</v>
      </c>
      <c r="I6" s="6">
        <v>110.47</v>
      </c>
      <c r="J6" s="66">
        <f t="shared" si="1"/>
        <v>552.35</v>
      </c>
      <c r="K6" s="66">
        <f t="shared" si="2"/>
        <v>552.35</v>
      </c>
      <c r="L6" s="162"/>
      <c r="M6" s="149">
        <f t="shared" si="3"/>
        <v>15429.267199999998</v>
      </c>
      <c r="N6" s="46"/>
      <c r="O6" s="5"/>
    </row>
    <row r="7" spans="1:16">
      <c r="A7" s="46">
        <v>4</v>
      </c>
      <c r="B7" s="219">
        <v>46088</v>
      </c>
      <c r="C7" s="6"/>
      <c r="D7" s="6"/>
      <c r="E7" s="65">
        <v>124</v>
      </c>
      <c r="F7" s="6">
        <v>91.23</v>
      </c>
      <c r="G7" s="66">
        <f t="shared" si="0"/>
        <v>11312.52</v>
      </c>
      <c r="J7" s="66">
        <f t="shared" si="1"/>
        <v>0</v>
      </c>
      <c r="K7" s="66">
        <f t="shared" si="2"/>
        <v>11312.52</v>
      </c>
      <c r="L7" s="162"/>
      <c r="M7" s="149">
        <f t="shared" si="3"/>
        <v>26741.787199999999</v>
      </c>
      <c r="N7" s="46"/>
      <c r="O7" s="5"/>
    </row>
    <row r="8" spans="1:16">
      <c r="A8" s="46">
        <v>5</v>
      </c>
      <c r="B8" s="219">
        <v>46092</v>
      </c>
      <c r="C8" s="6"/>
      <c r="D8" s="6"/>
      <c r="E8" s="65">
        <v>89.6</v>
      </c>
      <c r="F8" s="6">
        <v>91.23</v>
      </c>
      <c r="G8" s="66">
        <f t="shared" si="0"/>
        <v>8174.2079999999996</v>
      </c>
      <c r="H8" s="65"/>
      <c r="I8" s="6"/>
      <c r="J8" s="66">
        <f t="shared" si="1"/>
        <v>0</v>
      </c>
      <c r="K8" s="66">
        <f t="shared" si="2"/>
        <v>8174.2079999999996</v>
      </c>
      <c r="L8" s="162"/>
      <c r="M8" s="149">
        <f t="shared" si="3"/>
        <v>34915.995199999998</v>
      </c>
      <c r="N8" s="46"/>
      <c r="O8" s="5"/>
    </row>
    <row r="9" spans="1:16">
      <c r="A9" s="46">
        <v>6</v>
      </c>
      <c r="B9" s="219">
        <v>46093</v>
      </c>
      <c r="C9" s="6"/>
      <c r="D9" s="6"/>
      <c r="E9" s="65">
        <v>50</v>
      </c>
      <c r="F9" s="6">
        <v>91.23</v>
      </c>
      <c r="G9" s="66">
        <f t="shared" si="0"/>
        <v>4561.5</v>
      </c>
      <c r="H9" s="65">
        <v>5</v>
      </c>
      <c r="I9" s="6">
        <v>110.47</v>
      </c>
      <c r="J9" s="66">
        <f t="shared" si="1"/>
        <v>552.35</v>
      </c>
      <c r="K9" s="66">
        <f t="shared" si="2"/>
        <v>5113.8500000000004</v>
      </c>
      <c r="L9" s="162"/>
      <c r="M9" s="149">
        <f t="shared" si="3"/>
        <v>40029.845199999996</v>
      </c>
      <c r="N9" s="46"/>
      <c r="O9" s="5"/>
    </row>
    <row r="10" spans="1:16">
      <c r="A10" s="46">
        <v>7</v>
      </c>
      <c r="B10" s="219"/>
      <c r="C10" s="6"/>
      <c r="D10" s="6"/>
      <c r="E10" s="65"/>
      <c r="F10" s="6"/>
      <c r="G10" s="66">
        <f t="shared" si="0"/>
        <v>0</v>
      </c>
      <c r="H10" s="65"/>
      <c r="I10" s="6"/>
      <c r="J10" s="66">
        <f t="shared" si="1"/>
        <v>0</v>
      </c>
      <c r="K10" s="66">
        <f t="shared" si="2"/>
        <v>0</v>
      </c>
      <c r="L10" s="162">
        <v>30000</v>
      </c>
      <c r="M10" s="149">
        <f t="shared" si="3"/>
        <v>10029.845199999996</v>
      </c>
      <c r="N10" s="46"/>
      <c r="O10" s="5"/>
    </row>
    <row r="11" spans="1:16">
      <c r="A11" s="46">
        <v>8</v>
      </c>
      <c r="B11" s="219">
        <v>46095</v>
      </c>
      <c r="C11" s="6"/>
      <c r="D11" s="6"/>
      <c r="E11" s="65">
        <v>99</v>
      </c>
      <c r="F11" s="6">
        <v>91.23</v>
      </c>
      <c r="G11" s="66">
        <f t="shared" si="0"/>
        <v>9031.77</v>
      </c>
      <c r="H11" s="65"/>
      <c r="I11" s="6"/>
      <c r="J11" s="66">
        <f t="shared" si="1"/>
        <v>0</v>
      </c>
      <c r="K11" s="66">
        <f t="shared" si="2"/>
        <v>9031.77</v>
      </c>
      <c r="L11" s="162"/>
      <c r="M11" s="149">
        <f t="shared" si="3"/>
        <v>19061.615199999997</v>
      </c>
      <c r="N11" s="46"/>
      <c r="O11" s="5"/>
      <c r="P11" s="68">
        <f>P10+N11-O11</f>
        <v>0</v>
      </c>
    </row>
    <row r="12" spans="1:16">
      <c r="A12" s="46">
        <v>9</v>
      </c>
      <c r="B12" s="219">
        <v>46097</v>
      </c>
      <c r="C12" s="6"/>
      <c r="D12" s="6"/>
      <c r="E12" s="65">
        <v>30</v>
      </c>
      <c r="F12" s="6">
        <v>91.23</v>
      </c>
      <c r="G12" s="66">
        <f t="shared" si="0"/>
        <v>2736.9</v>
      </c>
      <c r="H12" s="65"/>
      <c r="I12" s="6"/>
      <c r="J12" s="66">
        <f t="shared" si="1"/>
        <v>0</v>
      </c>
      <c r="K12" s="66">
        <f t="shared" si="2"/>
        <v>2736.9</v>
      </c>
      <c r="L12" s="162"/>
      <c r="M12" s="149">
        <f t="shared" si="3"/>
        <v>21798.515199999998</v>
      </c>
      <c r="N12" s="46"/>
      <c r="O12" s="5"/>
    </row>
    <row r="13" spans="1:16">
      <c r="A13" s="46">
        <v>10</v>
      </c>
      <c r="B13" s="219">
        <v>46099</v>
      </c>
      <c r="C13" s="6"/>
      <c r="D13" s="6"/>
      <c r="E13" s="65">
        <v>30</v>
      </c>
      <c r="F13" s="6">
        <v>91.23</v>
      </c>
      <c r="G13" s="66">
        <f t="shared" si="0"/>
        <v>2736.9</v>
      </c>
      <c r="H13" s="65">
        <v>0</v>
      </c>
      <c r="I13" s="6"/>
      <c r="J13" s="66">
        <f t="shared" si="1"/>
        <v>0</v>
      </c>
      <c r="K13" s="66">
        <f t="shared" si="2"/>
        <v>2736.9</v>
      </c>
      <c r="L13" s="162"/>
      <c r="M13" s="149">
        <f t="shared" si="3"/>
        <v>24535.415199999999</v>
      </c>
      <c r="N13" s="46"/>
      <c r="O13" s="5"/>
    </row>
    <row r="14" spans="1:16">
      <c r="A14" s="46">
        <v>11</v>
      </c>
      <c r="B14" s="219">
        <v>46102</v>
      </c>
      <c r="C14" s="6"/>
      <c r="D14" s="6"/>
      <c r="E14" s="65">
        <v>87</v>
      </c>
      <c r="F14" s="6">
        <v>91.23</v>
      </c>
      <c r="G14" s="66">
        <f t="shared" si="0"/>
        <v>7937.01</v>
      </c>
      <c r="H14" s="65"/>
      <c r="I14" s="6"/>
      <c r="J14" s="66">
        <f t="shared" si="1"/>
        <v>0</v>
      </c>
      <c r="K14" s="66">
        <f t="shared" si="2"/>
        <v>7937.01</v>
      </c>
      <c r="L14" s="162"/>
      <c r="M14" s="149">
        <f t="shared" si="3"/>
        <v>32472.425199999998</v>
      </c>
      <c r="N14" s="46"/>
      <c r="O14" s="5"/>
    </row>
    <row r="15" spans="1:16">
      <c r="A15" s="46">
        <v>12</v>
      </c>
      <c r="B15" s="219">
        <v>46104</v>
      </c>
      <c r="C15" s="6"/>
      <c r="D15" s="6"/>
      <c r="E15" s="65">
        <v>0</v>
      </c>
      <c r="F15" s="6">
        <v>0</v>
      </c>
      <c r="G15" s="66">
        <f t="shared" si="0"/>
        <v>0</v>
      </c>
      <c r="H15" s="65">
        <v>5</v>
      </c>
      <c r="I15" s="6">
        <v>112.63</v>
      </c>
      <c r="J15" s="66">
        <f t="shared" si="1"/>
        <v>563.15</v>
      </c>
      <c r="K15" s="66">
        <f t="shared" si="2"/>
        <v>563.15</v>
      </c>
      <c r="L15" s="162">
        <v>30000</v>
      </c>
      <c r="M15" s="149">
        <f t="shared" si="3"/>
        <v>3035.5751999999993</v>
      </c>
      <c r="N15" s="46"/>
      <c r="O15" s="5"/>
    </row>
    <row r="16" spans="1:16">
      <c r="A16" s="46">
        <v>13</v>
      </c>
      <c r="B16" s="219">
        <v>46107</v>
      </c>
      <c r="C16" s="6"/>
      <c r="D16" s="6"/>
      <c r="E16" s="65">
        <v>131.35</v>
      </c>
      <c r="F16" s="6">
        <v>91.25</v>
      </c>
      <c r="G16" s="66">
        <f t="shared" si="0"/>
        <v>11985.6875</v>
      </c>
      <c r="H16" s="65">
        <v>5</v>
      </c>
      <c r="I16" s="6">
        <v>112.63</v>
      </c>
      <c r="J16" s="66">
        <f t="shared" si="1"/>
        <v>563.15</v>
      </c>
      <c r="K16" s="66">
        <f t="shared" si="2"/>
        <v>12548.8375</v>
      </c>
      <c r="L16" s="162"/>
      <c r="M16" s="149">
        <f t="shared" si="3"/>
        <v>15584.412699999999</v>
      </c>
      <c r="N16" s="46"/>
      <c r="O16" s="5"/>
    </row>
    <row r="17" spans="1:15">
      <c r="A17" s="46">
        <v>14</v>
      </c>
      <c r="B17" s="219"/>
      <c r="C17" s="6"/>
      <c r="D17" s="6"/>
      <c r="E17" s="65"/>
      <c r="F17" s="6"/>
      <c r="G17" s="66">
        <f t="shared" si="0"/>
        <v>0</v>
      </c>
      <c r="H17" s="65"/>
      <c r="I17" s="6"/>
      <c r="J17" s="66">
        <f t="shared" si="1"/>
        <v>0</v>
      </c>
      <c r="K17" s="66">
        <f t="shared" si="2"/>
        <v>0</v>
      </c>
      <c r="L17" s="162"/>
      <c r="M17" s="149">
        <f t="shared" si="3"/>
        <v>15584.412699999999</v>
      </c>
      <c r="N17" s="46"/>
      <c r="O17" s="5"/>
    </row>
    <row r="18" spans="1:15">
      <c r="A18" s="46">
        <v>15</v>
      </c>
      <c r="B18" s="219"/>
      <c r="C18" s="6"/>
      <c r="D18" s="6"/>
      <c r="E18" s="65"/>
      <c r="F18" s="6"/>
      <c r="G18" s="66">
        <f t="shared" si="0"/>
        <v>0</v>
      </c>
      <c r="H18" s="65"/>
      <c r="I18" s="6"/>
      <c r="J18" s="66">
        <f t="shared" si="1"/>
        <v>0</v>
      </c>
      <c r="K18" s="66">
        <f t="shared" si="2"/>
        <v>0</v>
      </c>
      <c r="L18" s="162">
        <v>0</v>
      </c>
      <c r="M18" s="149">
        <f>M17+K18-L18</f>
        <v>15584.412699999999</v>
      </c>
      <c r="N18" s="46"/>
      <c r="O18" s="5"/>
    </row>
    <row r="19" spans="1:15">
      <c r="A19" s="46">
        <v>16</v>
      </c>
      <c r="B19" s="219"/>
      <c r="C19" s="6"/>
      <c r="D19" s="6"/>
      <c r="E19" s="65"/>
      <c r="F19" s="6"/>
      <c r="G19" s="66">
        <f t="shared" si="0"/>
        <v>0</v>
      </c>
      <c r="H19" s="65"/>
      <c r="I19" s="6"/>
      <c r="J19" s="66">
        <f t="shared" si="1"/>
        <v>0</v>
      </c>
      <c r="K19" s="66">
        <f t="shared" si="2"/>
        <v>0</v>
      </c>
      <c r="L19" s="162">
        <v>0</v>
      </c>
      <c r="M19" s="149">
        <f t="shared" si="3"/>
        <v>15584.412699999999</v>
      </c>
      <c r="N19" s="46"/>
      <c r="O19" s="5"/>
    </row>
    <row r="20" spans="1:15">
      <c r="A20" s="46">
        <v>17</v>
      </c>
      <c r="B20" s="219"/>
      <c r="C20" s="6"/>
      <c r="D20" s="6"/>
      <c r="E20" s="65"/>
      <c r="F20" s="6"/>
      <c r="G20" s="66">
        <f>E20*F20</f>
        <v>0</v>
      </c>
      <c r="H20" s="65"/>
      <c r="I20" s="6"/>
      <c r="J20" s="66">
        <f t="shared" si="1"/>
        <v>0</v>
      </c>
      <c r="K20" s="66">
        <f t="shared" si="2"/>
        <v>0</v>
      </c>
      <c r="L20" s="162">
        <v>0</v>
      </c>
      <c r="M20" s="149">
        <f t="shared" si="3"/>
        <v>15584.412699999999</v>
      </c>
      <c r="N20" s="46"/>
      <c r="O20" s="5"/>
    </row>
    <row r="21" spans="1:15">
      <c r="A21" s="46">
        <v>18</v>
      </c>
      <c r="B21" s="219"/>
      <c r="C21" s="6"/>
      <c r="D21" s="6"/>
      <c r="E21" s="65"/>
      <c r="F21" s="6"/>
      <c r="G21" s="66">
        <f t="shared" si="0"/>
        <v>0</v>
      </c>
      <c r="H21" s="65"/>
      <c r="I21" s="6"/>
      <c r="J21" s="66">
        <f t="shared" si="1"/>
        <v>0</v>
      </c>
      <c r="K21" s="66">
        <f t="shared" si="2"/>
        <v>0</v>
      </c>
      <c r="L21" s="162">
        <v>0</v>
      </c>
      <c r="M21" s="149">
        <f t="shared" si="3"/>
        <v>15584.412699999999</v>
      </c>
      <c r="N21" s="46"/>
      <c r="O21" s="5"/>
    </row>
    <row r="22" spans="1:15">
      <c r="A22" s="46">
        <v>19</v>
      </c>
      <c r="B22" s="219"/>
      <c r="C22" s="6"/>
      <c r="D22" s="6"/>
      <c r="E22" s="65"/>
      <c r="F22" s="6"/>
      <c r="G22" s="66">
        <f t="shared" si="0"/>
        <v>0</v>
      </c>
      <c r="H22" s="65"/>
      <c r="I22" s="6"/>
      <c r="J22" s="66">
        <f t="shared" si="1"/>
        <v>0</v>
      </c>
      <c r="K22" s="66">
        <f t="shared" si="2"/>
        <v>0</v>
      </c>
      <c r="L22" s="162">
        <v>0</v>
      </c>
      <c r="M22" s="149">
        <f t="shared" si="3"/>
        <v>15584.412699999999</v>
      </c>
      <c r="N22" s="46"/>
      <c r="O22" s="5"/>
    </row>
    <row r="23" spans="1:15">
      <c r="A23" s="46">
        <v>20</v>
      </c>
      <c r="B23" s="219"/>
      <c r="C23" s="6"/>
      <c r="D23" s="6"/>
      <c r="E23" s="65"/>
      <c r="F23" s="6"/>
      <c r="G23" s="66">
        <f t="shared" si="0"/>
        <v>0</v>
      </c>
      <c r="H23" s="65"/>
      <c r="I23" s="6"/>
      <c r="J23" s="66">
        <f t="shared" si="1"/>
        <v>0</v>
      </c>
      <c r="K23" s="66">
        <f t="shared" si="2"/>
        <v>0</v>
      </c>
      <c r="L23" s="162">
        <v>0</v>
      </c>
      <c r="M23" s="149">
        <f t="shared" si="3"/>
        <v>15584.412699999999</v>
      </c>
      <c r="N23" s="46"/>
      <c r="O23" s="5"/>
    </row>
    <row r="24" spans="1:15">
      <c r="A24" s="46">
        <v>21</v>
      </c>
      <c r="B24" s="219"/>
      <c r="C24" s="6"/>
      <c r="D24" s="6"/>
      <c r="E24" s="65"/>
      <c r="F24" s="6"/>
      <c r="G24" s="66">
        <f t="shared" si="0"/>
        <v>0</v>
      </c>
      <c r="H24" s="65"/>
      <c r="I24" s="6"/>
      <c r="J24" s="66">
        <f t="shared" si="1"/>
        <v>0</v>
      </c>
      <c r="K24" s="66">
        <f t="shared" si="2"/>
        <v>0</v>
      </c>
      <c r="L24" s="162">
        <v>0</v>
      </c>
      <c r="M24" s="149">
        <f t="shared" si="3"/>
        <v>15584.412699999999</v>
      </c>
      <c r="N24" s="46"/>
      <c r="O24" s="5"/>
    </row>
    <row r="25" spans="1:15">
      <c r="A25" s="46">
        <v>22</v>
      </c>
      <c r="B25" s="219"/>
      <c r="C25" s="6"/>
      <c r="D25" s="6"/>
      <c r="E25" s="65"/>
      <c r="F25" s="6"/>
      <c r="G25" s="66">
        <f t="shared" si="0"/>
        <v>0</v>
      </c>
      <c r="H25" s="65"/>
      <c r="I25" s="6"/>
      <c r="J25" s="66">
        <f t="shared" si="1"/>
        <v>0</v>
      </c>
      <c r="K25" s="66">
        <f t="shared" si="2"/>
        <v>0</v>
      </c>
      <c r="L25" s="162">
        <v>0</v>
      </c>
      <c r="M25" s="149">
        <f t="shared" si="3"/>
        <v>15584.412699999999</v>
      </c>
      <c r="N25" s="46"/>
      <c r="O25" s="5"/>
    </row>
    <row r="26" spans="1:15">
      <c r="A26" s="46">
        <v>23</v>
      </c>
      <c r="B26" s="219"/>
      <c r="C26" s="6"/>
      <c r="D26" s="6"/>
      <c r="E26" s="65"/>
      <c r="F26" s="6"/>
      <c r="G26" s="66">
        <f t="shared" si="0"/>
        <v>0</v>
      </c>
      <c r="H26" s="65"/>
      <c r="I26" s="6"/>
      <c r="J26" s="66">
        <f t="shared" si="1"/>
        <v>0</v>
      </c>
      <c r="K26" s="66">
        <f t="shared" si="2"/>
        <v>0</v>
      </c>
      <c r="L26" s="162">
        <v>0</v>
      </c>
      <c r="M26" s="149">
        <f t="shared" si="3"/>
        <v>15584.412699999999</v>
      </c>
      <c r="N26" s="46"/>
      <c r="O26" s="5"/>
    </row>
    <row r="27" spans="1:15">
      <c r="A27" s="46">
        <v>24</v>
      </c>
      <c r="B27" s="219"/>
      <c r="C27" s="6"/>
      <c r="D27" s="6"/>
      <c r="E27" s="65"/>
      <c r="F27" s="6"/>
      <c r="G27" s="66">
        <f t="shared" si="0"/>
        <v>0</v>
      </c>
      <c r="H27" s="65"/>
      <c r="I27" s="6"/>
      <c r="J27" s="66">
        <f t="shared" si="1"/>
        <v>0</v>
      </c>
      <c r="K27" s="66">
        <f t="shared" si="2"/>
        <v>0</v>
      </c>
      <c r="L27" s="162">
        <v>0</v>
      </c>
      <c r="M27" s="149">
        <f t="shared" si="3"/>
        <v>15584.412699999999</v>
      </c>
      <c r="N27" s="6"/>
      <c r="O27" s="5"/>
    </row>
    <row r="28" spans="1:15">
      <c r="A28" s="221">
        <v>25</v>
      </c>
      <c r="B28" s="219"/>
      <c r="C28" s="6"/>
      <c r="D28" s="6"/>
      <c r="E28" s="65"/>
      <c r="F28" s="6"/>
      <c r="G28" s="66">
        <f t="shared" si="0"/>
        <v>0</v>
      </c>
      <c r="H28" s="65"/>
      <c r="I28" s="6"/>
      <c r="J28" s="66">
        <f t="shared" si="1"/>
        <v>0</v>
      </c>
      <c r="K28" s="66">
        <f t="shared" si="2"/>
        <v>0</v>
      </c>
      <c r="L28" s="162">
        <v>0</v>
      </c>
      <c r="M28" s="149">
        <f t="shared" si="3"/>
        <v>15584.412699999999</v>
      </c>
      <c r="N28" s="6"/>
      <c r="O28" s="5"/>
    </row>
    <row r="29" spans="1:15">
      <c r="A29" s="221">
        <v>26</v>
      </c>
      <c r="B29" s="219"/>
      <c r="C29" s="6"/>
      <c r="D29" s="6"/>
      <c r="E29" s="65"/>
      <c r="F29" s="6"/>
      <c r="G29" s="66">
        <f t="shared" si="0"/>
        <v>0</v>
      </c>
      <c r="H29" s="65"/>
      <c r="I29" s="6"/>
      <c r="J29" s="66">
        <f t="shared" si="1"/>
        <v>0</v>
      </c>
      <c r="K29" s="66">
        <f t="shared" si="2"/>
        <v>0</v>
      </c>
      <c r="L29" s="162">
        <v>0</v>
      </c>
      <c r="M29" s="149">
        <f t="shared" si="3"/>
        <v>15584.412699999999</v>
      </c>
      <c r="N29" s="6"/>
      <c r="O29" s="5"/>
    </row>
    <row r="30" spans="1:15">
      <c r="A30" s="221">
        <v>27</v>
      </c>
      <c r="B30" s="219"/>
      <c r="C30" s="6"/>
      <c r="D30" s="6"/>
      <c r="E30" s="65"/>
      <c r="F30" s="6"/>
      <c r="G30" s="66">
        <f t="shared" si="0"/>
        <v>0</v>
      </c>
      <c r="H30" s="65"/>
      <c r="I30" s="6"/>
      <c r="J30" s="66">
        <f t="shared" si="1"/>
        <v>0</v>
      </c>
      <c r="K30" s="66">
        <f t="shared" si="2"/>
        <v>0</v>
      </c>
      <c r="L30" s="162">
        <v>0</v>
      </c>
      <c r="M30" s="149">
        <f t="shared" si="3"/>
        <v>15584.412699999999</v>
      </c>
      <c r="N30" s="6"/>
      <c r="O30" s="5"/>
    </row>
    <row r="31" spans="1:15">
      <c r="A31" s="221">
        <v>28</v>
      </c>
      <c r="B31" s="219"/>
      <c r="C31" s="6"/>
      <c r="D31" s="6"/>
      <c r="E31" s="65"/>
      <c r="F31" s="6"/>
      <c r="G31" s="66">
        <f t="shared" si="0"/>
        <v>0</v>
      </c>
      <c r="H31" s="65"/>
      <c r="I31" s="6"/>
      <c r="J31" s="66">
        <f t="shared" si="1"/>
        <v>0</v>
      </c>
      <c r="K31" s="66">
        <f t="shared" si="2"/>
        <v>0</v>
      </c>
      <c r="L31" s="162">
        <v>0</v>
      </c>
      <c r="M31" s="149">
        <f t="shared" si="3"/>
        <v>15584.412699999999</v>
      </c>
      <c r="N31" s="6"/>
      <c r="O31" s="5"/>
    </row>
    <row r="32" spans="1:15">
      <c r="A32" s="222">
        <v>29</v>
      </c>
      <c r="B32" s="219"/>
      <c r="C32" s="6"/>
      <c r="D32" s="6"/>
      <c r="E32" s="65"/>
      <c r="F32" s="6"/>
      <c r="G32" s="66">
        <f t="shared" si="0"/>
        <v>0</v>
      </c>
      <c r="H32" s="65"/>
      <c r="I32" s="6"/>
      <c r="J32" s="66">
        <f t="shared" si="1"/>
        <v>0</v>
      </c>
      <c r="K32" s="66">
        <f t="shared" si="2"/>
        <v>0</v>
      </c>
      <c r="L32" s="162">
        <v>0</v>
      </c>
      <c r="M32" s="149">
        <f t="shared" si="3"/>
        <v>15584.412699999999</v>
      </c>
      <c r="N32" s="6"/>
      <c r="O32" s="5"/>
    </row>
    <row r="33" spans="1:15">
      <c r="A33" s="222">
        <v>30</v>
      </c>
      <c r="B33" s="219"/>
      <c r="C33" s="6"/>
      <c r="D33" s="6"/>
      <c r="E33" s="65"/>
      <c r="F33" s="6"/>
      <c r="G33" s="66">
        <f t="shared" si="0"/>
        <v>0</v>
      </c>
      <c r="H33" s="65"/>
      <c r="I33" s="6"/>
      <c r="J33" s="66">
        <f t="shared" si="1"/>
        <v>0</v>
      </c>
      <c r="K33" s="66">
        <f t="shared" si="2"/>
        <v>0</v>
      </c>
      <c r="L33" s="162">
        <v>0</v>
      </c>
      <c r="M33" s="149">
        <f t="shared" si="3"/>
        <v>15584.412699999999</v>
      </c>
      <c r="N33" s="6"/>
      <c r="O33" s="5"/>
    </row>
    <row r="34" spans="1:15">
      <c r="A34" s="222">
        <v>31</v>
      </c>
      <c r="B34" s="219"/>
      <c r="C34" s="6"/>
      <c r="D34" s="6"/>
      <c r="E34" s="65"/>
      <c r="F34" s="6"/>
      <c r="G34" s="66">
        <f t="shared" si="0"/>
        <v>0</v>
      </c>
      <c r="H34" s="65"/>
      <c r="I34" s="6"/>
      <c r="J34" s="66">
        <f t="shared" si="1"/>
        <v>0</v>
      </c>
      <c r="K34" s="66">
        <f t="shared" si="2"/>
        <v>0</v>
      </c>
      <c r="L34" s="162">
        <v>0</v>
      </c>
      <c r="M34" s="149">
        <f t="shared" si="3"/>
        <v>15584.412699999999</v>
      </c>
      <c r="N34" s="6"/>
      <c r="O34" s="5"/>
    </row>
    <row r="35" spans="1:15">
      <c r="A35" s="6">
        <v>34</v>
      </c>
      <c r="B35" s="219"/>
      <c r="C35" s="6"/>
      <c r="D35" s="6"/>
      <c r="E35" s="65"/>
      <c r="F35" s="6"/>
      <c r="G35" s="66">
        <f t="shared" si="0"/>
        <v>0</v>
      </c>
      <c r="H35" s="65"/>
      <c r="I35" s="6"/>
      <c r="J35" s="66">
        <f t="shared" si="1"/>
        <v>0</v>
      </c>
      <c r="K35" s="66">
        <f t="shared" si="2"/>
        <v>0</v>
      </c>
      <c r="L35" s="162">
        <v>0</v>
      </c>
      <c r="M35" s="149">
        <f t="shared" si="3"/>
        <v>15584.412699999999</v>
      </c>
      <c r="N35" s="6"/>
      <c r="O35" s="5"/>
    </row>
    <row r="36" spans="1:15">
      <c r="A36" s="6">
        <v>35</v>
      </c>
      <c r="B36" s="219"/>
      <c r="C36" s="6"/>
      <c r="D36" s="6"/>
      <c r="E36" s="65"/>
      <c r="F36" s="6"/>
      <c r="G36" s="66">
        <f t="shared" si="0"/>
        <v>0</v>
      </c>
      <c r="H36" s="65"/>
      <c r="I36" s="6"/>
      <c r="J36" s="66">
        <f t="shared" si="1"/>
        <v>0</v>
      </c>
      <c r="K36" s="66">
        <f t="shared" si="2"/>
        <v>0</v>
      </c>
      <c r="L36" s="162">
        <v>0</v>
      </c>
      <c r="M36" s="149">
        <f t="shared" si="3"/>
        <v>15584.412699999999</v>
      </c>
      <c r="N36" s="6"/>
      <c r="O36" s="5"/>
    </row>
    <row r="37" spans="1:15">
      <c r="A37" s="6">
        <v>36</v>
      </c>
      <c r="B37" s="219"/>
      <c r="C37" s="6"/>
      <c r="D37" s="6"/>
      <c r="E37" s="65"/>
      <c r="F37" s="6"/>
      <c r="G37" s="66">
        <f t="shared" si="0"/>
        <v>0</v>
      </c>
      <c r="H37" s="65"/>
      <c r="I37" s="6"/>
      <c r="J37" s="66">
        <f t="shared" si="1"/>
        <v>0</v>
      </c>
      <c r="K37" s="66">
        <f t="shared" si="2"/>
        <v>0</v>
      </c>
      <c r="L37" s="162">
        <v>0</v>
      </c>
      <c r="M37" s="149">
        <f t="shared" si="3"/>
        <v>15584.412699999999</v>
      </c>
      <c r="N37" s="6"/>
      <c r="O37" s="5"/>
    </row>
    <row r="38" spans="1:15">
      <c r="A38" s="6">
        <v>37</v>
      </c>
      <c r="B38" s="219"/>
      <c r="C38" s="6"/>
      <c r="D38" s="6"/>
      <c r="E38" s="65"/>
      <c r="F38" s="6"/>
      <c r="G38" s="66">
        <f t="shared" si="0"/>
        <v>0</v>
      </c>
      <c r="H38" s="65"/>
      <c r="I38" s="6"/>
      <c r="J38" s="66">
        <f t="shared" si="1"/>
        <v>0</v>
      </c>
      <c r="K38" s="66">
        <f t="shared" si="2"/>
        <v>0</v>
      </c>
      <c r="L38" s="162">
        <v>0</v>
      </c>
      <c r="M38" s="149">
        <f t="shared" si="3"/>
        <v>15584.412699999999</v>
      </c>
      <c r="N38" s="6"/>
      <c r="O38" s="5"/>
    </row>
    <row r="39" spans="1:15">
      <c r="A39" s="6">
        <v>38</v>
      </c>
      <c r="B39" s="219"/>
      <c r="C39" s="6"/>
      <c r="D39" s="6"/>
      <c r="E39" s="65"/>
      <c r="F39" s="6"/>
      <c r="G39" s="66">
        <f t="shared" si="0"/>
        <v>0</v>
      </c>
      <c r="H39" s="65"/>
      <c r="I39" s="6"/>
      <c r="J39" s="66">
        <f t="shared" si="1"/>
        <v>0</v>
      </c>
      <c r="K39" s="66">
        <f t="shared" si="2"/>
        <v>0</v>
      </c>
      <c r="L39" s="162">
        <v>0</v>
      </c>
      <c r="M39" s="149">
        <f t="shared" si="3"/>
        <v>15584.412699999999</v>
      </c>
      <c r="N39" s="6"/>
      <c r="O39" s="5"/>
    </row>
    <row r="40" spans="1:15">
      <c r="A40" s="169">
        <v>39</v>
      </c>
      <c r="B40" s="219"/>
      <c r="C40" s="6"/>
      <c r="D40" s="6"/>
      <c r="E40" s="65"/>
      <c r="F40" s="6"/>
      <c r="G40" s="66">
        <f t="shared" si="0"/>
        <v>0</v>
      </c>
      <c r="H40" s="65"/>
      <c r="I40" s="6"/>
      <c r="J40" s="66">
        <f t="shared" si="1"/>
        <v>0</v>
      </c>
      <c r="K40" s="66">
        <f t="shared" si="2"/>
        <v>0</v>
      </c>
      <c r="L40" s="162">
        <v>0</v>
      </c>
      <c r="M40" s="149">
        <f t="shared" si="3"/>
        <v>15584.412699999999</v>
      </c>
      <c r="N40" s="169"/>
      <c r="O40" s="5"/>
    </row>
    <row r="41" spans="1:15">
      <c r="A41" s="6">
        <v>40</v>
      </c>
      <c r="B41" s="6"/>
      <c r="C41" s="6"/>
      <c r="D41" s="6"/>
      <c r="E41" s="65"/>
      <c r="F41" s="6"/>
      <c r="G41" s="66">
        <f t="shared" si="0"/>
        <v>0</v>
      </c>
      <c r="H41" s="65"/>
      <c r="I41" s="6"/>
      <c r="J41" s="66">
        <f t="shared" si="1"/>
        <v>0</v>
      </c>
      <c r="K41" s="66">
        <f t="shared" si="2"/>
        <v>0</v>
      </c>
      <c r="L41" s="162">
        <v>0</v>
      </c>
      <c r="M41" s="149">
        <f t="shared" si="3"/>
        <v>15584.412699999999</v>
      </c>
      <c r="N41" s="6"/>
      <c r="O41" s="5"/>
    </row>
    <row r="42" spans="1:15">
      <c r="A42" s="169">
        <v>41</v>
      </c>
      <c r="B42" s="169"/>
      <c r="C42" s="169"/>
      <c r="D42" s="6"/>
      <c r="E42" s="65"/>
      <c r="F42" s="6"/>
      <c r="G42" s="66">
        <f t="shared" si="0"/>
        <v>0</v>
      </c>
      <c r="H42" s="65"/>
      <c r="I42" s="6"/>
      <c r="J42" s="66">
        <f t="shared" si="1"/>
        <v>0</v>
      </c>
      <c r="K42" s="66">
        <f t="shared" si="2"/>
        <v>0</v>
      </c>
      <c r="L42" s="162">
        <v>0</v>
      </c>
      <c r="M42" s="149">
        <f t="shared" si="3"/>
        <v>15584.412699999999</v>
      </c>
      <c r="N42" s="169"/>
      <c r="O42" s="5"/>
    </row>
    <row r="43" spans="1:15">
      <c r="A43" s="169">
        <v>42</v>
      </c>
      <c r="B43" s="169"/>
      <c r="C43" s="169"/>
      <c r="D43" s="6"/>
      <c r="E43" s="65"/>
      <c r="F43" s="6"/>
      <c r="G43" s="66">
        <f t="shared" ref="G43" si="4">E43*F43</f>
        <v>0</v>
      </c>
      <c r="H43" s="65"/>
      <c r="I43" s="6"/>
      <c r="J43" s="66">
        <f t="shared" ref="J43" si="5">H43*I43</f>
        <v>0</v>
      </c>
      <c r="K43" s="66">
        <f t="shared" ref="K43" si="6">G43+J43</f>
        <v>0</v>
      </c>
      <c r="L43" s="162">
        <v>0</v>
      </c>
      <c r="M43" s="149">
        <f t="shared" si="3"/>
        <v>15584.412699999999</v>
      </c>
      <c r="N43" s="169"/>
      <c r="O43" s="5"/>
    </row>
    <row r="44" spans="1:15">
      <c r="A44" s="62"/>
      <c r="B44" s="62"/>
      <c r="C44" s="62"/>
      <c r="D44" s="62"/>
      <c r="E44" s="63">
        <f>SUM(E4:E43)</f>
        <v>751.95</v>
      </c>
      <c r="F44" s="63"/>
      <c r="G44" s="63">
        <f>SUM(G4:G43)</f>
        <v>68603.025500000018</v>
      </c>
      <c r="H44" s="63">
        <f>SUM(H4:H43)</f>
        <v>20</v>
      </c>
      <c r="I44" s="63"/>
      <c r="J44" s="63">
        <f>SUM(J4:J43)</f>
        <v>2231</v>
      </c>
      <c r="K44" s="63">
        <f>SUM(K4:K43)</f>
        <v>70834.025500000003</v>
      </c>
      <c r="L44" s="63">
        <f>SUM(L4:L43)</f>
        <v>60000</v>
      </c>
      <c r="M44" s="63"/>
      <c r="N44" s="63"/>
      <c r="O44" s="59"/>
    </row>
    <row r="45" spans="1:15">
      <c r="A45" s="5"/>
      <c r="B45" s="5"/>
      <c r="C45" s="5"/>
      <c r="D45" s="5"/>
      <c r="E45" s="5"/>
      <c r="F45" s="5"/>
      <c r="G45" s="102"/>
      <c r="H45" s="5"/>
      <c r="I45" s="5"/>
      <c r="J45" s="102"/>
      <c r="K45" s="5"/>
      <c r="L45" s="102"/>
      <c r="M45" s="102"/>
      <c r="N45" s="5"/>
      <c r="O45" s="5"/>
    </row>
    <row r="46" spans="1:15">
      <c r="A46" s="5"/>
      <c r="B46" s="5"/>
      <c r="C46" s="5"/>
      <c r="D46" s="5"/>
      <c r="E46" s="5"/>
      <c r="F46" s="5"/>
      <c r="G46" s="102"/>
      <c r="H46" s="5"/>
      <c r="I46" s="5"/>
      <c r="J46" s="102"/>
      <c r="K46" s="5"/>
      <c r="L46" s="102"/>
      <c r="M46" s="102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O51"/>
  <sheetViews>
    <sheetView workbookViewId="0">
      <selection activeCell="M3" sqref="M3:N3"/>
    </sheetView>
  </sheetViews>
  <sheetFormatPr defaultRowHeight="15"/>
  <cols>
    <col min="2" max="2" width="10.85546875" bestFit="1" customWidth="1"/>
    <col min="7" max="7" width="10.5703125" bestFit="1" customWidth="1"/>
    <col min="11" max="11" width="13.5703125" bestFit="1" customWidth="1"/>
    <col min="12" max="12" width="12.42578125" bestFit="1" customWidth="1"/>
    <col min="13" max="13" width="11.5703125" bestFit="1" customWidth="1"/>
  </cols>
  <sheetData>
    <row r="1" spans="1:15" ht="15.75">
      <c r="A1" s="469" t="s">
        <v>153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5"/>
    </row>
    <row r="2" spans="1:15" ht="45">
      <c r="A2" s="64" t="s">
        <v>0</v>
      </c>
      <c r="B2" s="83" t="s">
        <v>161</v>
      </c>
      <c r="C2" s="83" t="s">
        <v>162</v>
      </c>
      <c r="D2" s="83" t="s">
        <v>180</v>
      </c>
      <c r="E2" s="83" t="s">
        <v>164</v>
      </c>
      <c r="F2" s="83" t="s">
        <v>165</v>
      </c>
      <c r="G2" s="90" t="s">
        <v>166</v>
      </c>
      <c r="H2" s="83" t="s">
        <v>167</v>
      </c>
      <c r="I2" s="83" t="s">
        <v>165</v>
      </c>
      <c r="J2" s="90" t="s">
        <v>166</v>
      </c>
      <c r="K2" s="64" t="s">
        <v>168</v>
      </c>
      <c r="L2" s="91" t="s">
        <v>169</v>
      </c>
      <c r="M2" s="85" t="s">
        <v>181</v>
      </c>
      <c r="N2" s="83" t="s">
        <v>171</v>
      </c>
      <c r="O2" s="5"/>
    </row>
    <row r="3" spans="1:15">
      <c r="A3" s="493" t="s">
        <v>172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5"/>
      <c r="M3" s="496">
        <v>87558.79</v>
      </c>
      <c r="N3" s="497"/>
      <c r="O3" s="5"/>
    </row>
    <row r="4" spans="1:15">
      <c r="A4" s="196">
        <v>1</v>
      </c>
      <c r="B4" s="219">
        <v>46082</v>
      </c>
      <c r="C4" s="6"/>
      <c r="D4" s="6"/>
      <c r="E4" s="65"/>
      <c r="F4" s="6"/>
      <c r="G4" s="66">
        <f>E4*F4</f>
        <v>0</v>
      </c>
      <c r="H4" s="65"/>
      <c r="I4" s="6"/>
      <c r="J4" s="66">
        <f>H4*I4</f>
        <v>0</v>
      </c>
      <c r="K4" s="66">
        <f>G4+J4</f>
        <v>0</v>
      </c>
      <c r="L4" s="298">
        <v>0</v>
      </c>
      <c r="M4" s="149">
        <f>M3+K4-L4</f>
        <v>87558.79</v>
      </c>
      <c r="N4" s="46" t="s">
        <v>235</v>
      </c>
      <c r="O4" s="5"/>
    </row>
    <row r="5" spans="1:15">
      <c r="A5" s="46">
        <v>2</v>
      </c>
      <c r="B5" s="219">
        <v>46083</v>
      </c>
      <c r="C5" s="6"/>
      <c r="D5" s="6"/>
      <c r="E5" s="65">
        <v>30</v>
      </c>
      <c r="F5" s="6">
        <v>91.42</v>
      </c>
      <c r="G5" s="66">
        <f t="shared" ref="G5:G40" si="0">E5*F5</f>
        <v>2742.6</v>
      </c>
      <c r="H5" s="65">
        <v>5</v>
      </c>
      <c r="I5" s="6">
        <v>103.35</v>
      </c>
      <c r="J5" s="66">
        <f t="shared" ref="J5:J40" si="1">H5*I5</f>
        <v>516.75</v>
      </c>
      <c r="K5" s="66">
        <f t="shared" ref="K5:K40" si="2">G5+J5</f>
        <v>3259.35</v>
      </c>
      <c r="L5" s="298">
        <v>0</v>
      </c>
      <c r="M5" s="149">
        <f t="shared" ref="M5:M48" si="3">M4+K5-L5</f>
        <v>90818.14</v>
      </c>
      <c r="N5" s="46" t="s">
        <v>235</v>
      </c>
      <c r="O5" s="5"/>
    </row>
    <row r="6" spans="1:15">
      <c r="A6" s="46">
        <v>3</v>
      </c>
      <c r="B6" s="219">
        <v>46084</v>
      </c>
      <c r="C6" s="6"/>
      <c r="D6" s="6" t="s">
        <v>227</v>
      </c>
      <c r="E6" s="65">
        <v>40</v>
      </c>
      <c r="F6" s="6">
        <v>91.42</v>
      </c>
      <c r="G6" s="66">
        <f t="shared" si="0"/>
        <v>3656.8</v>
      </c>
      <c r="H6" s="65"/>
      <c r="I6" s="6"/>
      <c r="J6" s="66">
        <f t="shared" si="1"/>
        <v>0</v>
      </c>
      <c r="K6" s="66">
        <f t="shared" si="2"/>
        <v>3656.8</v>
      </c>
      <c r="L6" s="298">
        <v>0</v>
      </c>
      <c r="M6" s="149">
        <f t="shared" si="3"/>
        <v>94474.94</v>
      </c>
      <c r="N6" s="46" t="s">
        <v>235</v>
      </c>
      <c r="O6" s="5"/>
    </row>
    <row r="7" spans="1:15">
      <c r="A7" s="196">
        <v>4</v>
      </c>
      <c r="B7" s="219">
        <v>46085</v>
      </c>
      <c r="C7" s="6"/>
      <c r="D7" s="6"/>
      <c r="E7" s="65">
        <v>20</v>
      </c>
      <c r="F7" s="6">
        <v>91.42</v>
      </c>
      <c r="G7" s="66">
        <f t="shared" si="0"/>
        <v>1828.4</v>
      </c>
      <c r="H7" s="65"/>
      <c r="I7" s="6"/>
      <c r="J7" s="66">
        <f t="shared" si="1"/>
        <v>0</v>
      </c>
      <c r="K7" s="66">
        <f t="shared" si="2"/>
        <v>1828.4</v>
      </c>
      <c r="L7" s="298"/>
      <c r="M7" s="149">
        <f t="shared" si="3"/>
        <v>96303.34</v>
      </c>
      <c r="N7" s="46" t="s">
        <v>235</v>
      </c>
      <c r="O7" s="5"/>
    </row>
    <row r="8" spans="1:15">
      <c r="A8" s="46">
        <v>5</v>
      </c>
      <c r="B8" s="219">
        <v>46088</v>
      </c>
      <c r="C8" s="6"/>
      <c r="D8" s="6"/>
      <c r="E8" s="65">
        <v>6.05</v>
      </c>
      <c r="F8" s="6">
        <v>91.42</v>
      </c>
      <c r="G8" s="66">
        <f t="shared" si="0"/>
        <v>553.09100000000001</v>
      </c>
      <c r="H8" s="65">
        <v>4.5199999999999996</v>
      </c>
      <c r="I8" s="6">
        <v>110.61</v>
      </c>
      <c r="J8" s="66">
        <f t="shared" si="1"/>
        <v>499.95719999999994</v>
      </c>
      <c r="K8" s="66">
        <f t="shared" si="2"/>
        <v>1053.0482</v>
      </c>
      <c r="L8" s="298"/>
      <c r="M8" s="149">
        <f t="shared" si="3"/>
        <v>97356.388200000001</v>
      </c>
      <c r="N8" s="46" t="s">
        <v>235</v>
      </c>
      <c r="O8" s="5"/>
    </row>
    <row r="9" spans="1:15">
      <c r="A9" s="46">
        <v>6</v>
      </c>
      <c r="B9" s="219">
        <v>46090</v>
      </c>
      <c r="C9" s="6"/>
      <c r="D9" s="6"/>
      <c r="E9" s="65">
        <v>172</v>
      </c>
      <c r="F9" s="6">
        <v>91.42</v>
      </c>
      <c r="G9" s="66">
        <f t="shared" si="0"/>
        <v>15724.24</v>
      </c>
      <c r="H9" s="65"/>
      <c r="I9" s="6"/>
      <c r="J9" s="66">
        <f t="shared" si="1"/>
        <v>0</v>
      </c>
      <c r="K9" s="66">
        <f t="shared" si="2"/>
        <v>15724.24</v>
      </c>
      <c r="L9" s="298"/>
      <c r="M9" s="149">
        <f t="shared" si="3"/>
        <v>113080.62820000001</v>
      </c>
      <c r="N9" s="46" t="s">
        <v>235</v>
      </c>
      <c r="O9" s="5"/>
    </row>
    <row r="10" spans="1:15">
      <c r="A10" s="196">
        <v>7</v>
      </c>
      <c r="B10" s="219">
        <v>46091</v>
      </c>
      <c r="C10" s="6"/>
      <c r="D10" s="6"/>
      <c r="E10" s="65">
        <v>40</v>
      </c>
      <c r="F10" s="6">
        <v>91.42</v>
      </c>
      <c r="G10" s="66">
        <f t="shared" si="0"/>
        <v>3656.8</v>
      </c>
      <c r="H10" s="65">
        <v>5</v>
      </c>
      <c r="I10" s="6">
        <v>103.35</v>
      </c>
      <c r="J10" s="66">
        <f t="shared" si="1"/>
        <v>516.75</v>
      </c>
      <c r="K10" s="66">
        <f t="shared" si="2"/>
        <v>4173.55</v>
      </c>
      <c r="L10" s="298"/>
      <c r="M10" s="149">
        <f t="shared" si="3"/>
        <v>117254.17820000001</v>
      </c>
      <c r="N10" s="46" t="s">
        <v>235</v>
      </c>
      <c r="O10" s="5"/>
    </row>
    <row r="11" spans="1:15">
      <c r="A11" s="46">
        <v>8</v>
      </c>
      <c r="B11" s="219">
        <v>46093</v>
      </c>
      <c r="C11" s="6"/>
      <c r="D11" s="6"/>
      <c r="E11" s="65">
        <v>40</v>
      </c>
      <c r="F11" s="6">
        <v>91.42</v>
      </c>
      <c r="G11" s="66">
        <f t="shared" si="0"/>
        <v>3656.8</v>
      </c>
      <c r="H11" s="65"/>
      <c r="I11" s="6"/>
      <c r="J11" s="66">
        <f t="shared" si="1"/>
        <v>0</v>
      </c>
      <c r="K11" s="66">
        <f t="shared" si="2"/>
        <v>3656.8</v>
      </c>
      <c r="L11" s="298"/>
      <c r="M11" s="149">
        <f t="shared" si="3"/>
        <v>120910.97820000001</v>
      </c>
      <c r="N11" s="46" t="s">
        <v>235</v>
      </c>
      <c r="O11" s="5"/>
    </row>
    <row r="12" spans="1:15">
      <c r="A12" s="46">
        <v>9</v>
      </c>
      <c r="B12" s="219"/>
      <c r="C12" s="6"/>
      <c r="D12" s="6"/>
      <c r="E12" s="65"/>
      <c r="F12" s="6"/>
      <c r="G12" s="66">
        <f t="shared" si="0"/>
        <v>0</v>
      </c>
      <c r="H12" s="65"/>
      <c r="I12" s="6"/>
      <c r="J12" s="66">
        <f t="shared" si="1"/>
        <v>0</v>
      </c>
      <c r="K12" s="66">
        <f t="shared" si="2"/>
        <v>0</v>
      </c>
      <c r="L12" s="298">
        <v>110000</v>
      </c>
      <c r="M12" s="149">
        <f t="shared" si="3"/>
        <v>10910.978200000012</v>
      </c>
      <c r="N12" s="46" t="s">
        <v>235</v>
      </c>
      <c r="O12" s="5"/>
    </row>
    <row r="13" spans="1:15">
      <c r="A13" s="196">
        <v>10</v>
      </c>
      <c r="B13" s="219">
        <v>46095</v>
      </c>
      <c r="C13" s="6"/>
      <c r="D13" s="6"/>
      <c r="E13" s="65">
        <v>40</v>
      </c>
      <c r="F13" s="6">
        <v>91.42</v>
      </c>
      <c r="G13" s="66">
        <f>E13*F13</f>
        <v>3656.8</v>
      </c>
      <c r="H13" s="65"/>
      <c r="I13" s="6"/>
      <c r="J13" s="66">
        <f t="shared" si="1"/>
        <v>0</v>
      </c>
      <c r="K13" s="66">
        <f t="shared" si="2"/>
        <v>3656.8</v>
      </c>
      <c r="L13" s="298"/>
      <c r="M13" s="149">
        <f t="shared" si="3"/>
        <v>14567.778200000012</v>
      </c>
      <c r="N13" s="46" t="s">
        <v>235</v>
      </c>
      <c r="O13" s="5"/>
    </row>
    <row r="14" spans="1:15">
      <c r="A14" s="46">
        <v>11</v>
      </c>
      <c r="B14" s="219">
        <v>46096</v>
      </c>
      <c r="C14" s="6"/>
      <c r="D14" s="6"/>
      <c r="E14" s="65">
        <v>60</v>
      </c>
      <c r="F14" s="6">
        <v>91.42</v>
      </c>
      <c r="G14" s="66">
        <f>E14*F14</f>
        <v>5485.2</v>
      </c>
      <c r="H14" s="65">
        <v>5</v>
      </c>
      <c r="I14" s="6">
        <v>103.35</v>
      </c>
      <c r="J14" s="66">
        <f t="shared" si="1"/>
        <v>516.75</v>
      </c>
      <c r="K14" s="66">
        <f t="shared" si="2"/>
        <v>6001.95</v>
      </c>
      <c r="L14" s="298"/>
      <c r="M14" s="149">
        <f t="shared" si="3"/>
        <v>20569.728200000012</v>
      </c>
      <c r="N14" s="46" t="s">
        <v>235</v>
      </c>
      <c r="O14" s="5"/>
    </row>
    <row r="15" spans="1:15">
      <c r="A15" s="46"/>
      <c r="B15" s="219">
        <v>46098</v>
      </c>
      <c r="C15" s="6"/>
      <c r="D15" s="6"/>
      <c r="E15" s="65">
        <v>109.3</v>
      </c>
      <c r="F15" s="6">
        <v>91.42</v>
      </c>
      <c r="G15" s="66">
        <f>E15*F15</f>
        <v>9992.2060000000001</v>
      </c>
      <c r="H15" s="65"/>
      <c r="I15" s="6"/>
      <c r="J15" s="66"/>
      <c r="K15" s="66">
        <f t="shared" si="2"/>
        <v>9992.2060000000001</v>
      </c>
      <c r="L15" s="298"/>
      <c r="M15" s="149">
        <f t="shared" si="3"/>
        <v>30561.934200000011</v>
      </c>
      <c r="N15" s="46"/>
      <c r="O15" s="5"/>
    </row>
    <row r="16" spans="1:15">
      <c r="A16" s="46">
        <v>12</v>
      </c>
      <c r="B16" s="219">
        <v>46101</v>
      </c>
      <c r="C16" s="6"/>
      <c r="D16" s="6"/>
      <c r="E16" s="65">
        <v>38.28</v>
      </c>
      <c r="F16" s="6">
        <v>91.42</v>
      </c>
      <c r="G16" s="66">
        <f t="shared" si="0"/>
        <v>3499.5576000000001</v>
      </c>
      <c r="H16" s="65"/>
      <c r="I16" s="6"/>
      <c r="J16" s="66">
        <f t="shared" si="1"/>
        <v>0</v>
      </c>
      <c r="K16" s="66">
        <f t="shared" si="2"/>
        <v>3499.5576000000001</v>
      </c>
      <c r="L16" s="298"/>
      <c r="M16" s="149">
        <f t="shared" si="3"/>
        <v>34061.491800000011</v>
      </c>
      <c r="N16" s="46" t="s">
        <v>235</v>
      </c>
      <c r="O16" s="5"/>
    </row>
    <row r="17" spans="1:15">
      <c r="A17" s="196">
        <v>13</v>
      </c>
      <c r="B17" s="219">
        <v>46106</v>
      </c>
      <c r="C17" s="6"/>
      <c r="D17" s="6"/>
      <c r="E17" s="65"/>
      <c r="F17" s="6"/>
      <c r="G17" s="66">
        <f t="shared" si="0"/>
        <v>0</v>
      </c>
      <c r="H17" s="65">
        <v>11.96</v>
      </c>
      <c r="I17" s="6">
        <v>103.35</v>
      </c>
      <c r="J17" s="66">
        <f t="shared" si="1"/>
        <v>1236.066</v>
      </c>
      <c r="K17" s="66">
        <f t="shared" si="2"/>
        <v>1236.066</v>
      </c>
      <c r="L17" s="298"/>
      <c r="M17" s="149">
        <f t="shared" si="3"/>
        <v>35297.55780000001</v>
      </c>
      <c r="N17" s="46" t="s">
        <v>235</v>
      </c>
      <c r="O17" s="5"/>
    </row>
    <row r="18" spans="1:15">
      <c r="A18" s="46">
        <v>14</v>
      </c>
      <c r="B18" s="219">
        <v>46108</v>
      </c>
      <c r="C18" s="6"/>
      <c r="D18" s="6"/>
      <c r="E18" s="65">
        <v>60</v>
      </c>
      <c r="F18" s="6">
        <v>91.42</v>
      </c>
      <c r="G18" s="66">
        <f t="shared" si="0"/>
        <v>5485.2</v>
      </c>
      <c r="H18" s="65"/>
      <c r="I18" s="6"/>
      <c r="J18" s="66">
        <f t="shared" si="1"/>
        <v>0</v>
      </c>
      <c r="K18" s="66">
        <f t="shared" si="2"/>
        <v>5485.2</v>
      </c>
      <c r="L18" s="298"/>
      <c r="M18" s="149">
        <f t="shared" si="3"/>
        <v>40782.757800000007</v>
      </c>
      <c r="N18" s="46" t="s">
        <v>235</v>
      </c>
      <c r="O18" s="5"/>
    </row>
    <row r="19" spans="1:15">
      <c r="A19" s="46">
        <v>15</v>
      </c>
      <c r="B19" s="219">
        <v>46109</v>
      </c>
      <c r="C19" s="6"/>
      <c r="D19" s="6"/>
      <c r="E19" s="317">
        <v>50</v>
      </c>
      <c r="F19" s="317">
        <v>91.42</v>
      </c>
      <c r="G19" s="66">
        <f t="shared" si="0"/>
        <v>4571</v>
      </c>
      <c r="H19" s="65"/>
      <c r="I19" s="6"/>
      <c r="J19" s="66">
        <f t="shared" si="1"/>
        <v>0</v>
      </c>
      <c r="K19" s="66">
        <f t="shared" si="2"/>
        <v>4571</v>
      </c>
      <c r="L19" s="298"/>
      <c r="M19" s="149">
        <f t="shared" si="3"/>
        <v>45353.757800000007</v>
      </c>
      <c r="N19" s="46" t="s">
        <v>235</v>
      </c>
      <c r="O19" s="5"/>
    </row>
    <row r="20" spans="1:15">
      <c r="A20" s="196">
        <v>16</v>
      </c>
      <c r="B20" s="219">
        <v>46110</v>
      </c>
      <c r="C20" s="6"/>
      <c r="D20" s="6"/>
      <c r="E20" s="317">
        <f>30+40+30+16.73</f>
        <v>116.73</v>
      </c>
      <c r="F20" s="317">
        <v>91.42</v>
      </c>
      <c r="G20" s="66">
        <f t="shared" si="0"/>
        <v>10671.456600000001</v>
      </c>
      <c r="H20" s="65"/>
      <c r="I20" s="6"/>
      <c r="J20" s="66">
        <f t="shared" si="1"/>
        <v>0</v>
      </c>
      <c r="K20" s="66">
        <f t="shared" si="2"/>
        <v>10671.456600000001</v>
      </c>
      <c r="L20" s="298"/>
      <c r="M20" s="149">
        <f t="shared" si="3"/>
        <v>56025.214400000012</v>
      </c>
      <c r="N20" s="46" t="s">
        <v>235</v>
      </c>
      <c r="O20" s="5"/>
    </row>
    <row r="21" spans="1:15">
      <c r="A21" s="46">
        <v>17</v>
      </c>
      <c r="B21" s="219">
        <v>46112</v>
      </c>
      <c r="C21" s="6"/>
      <c r="D21" s="6"/>
      <c r="E21" s="65">
        <v>41.36</v>
      </c>
      <c r="F21" s="6">
        <v>91.42</v>
      </c>
      <c r="G21" s="66">
        <f t="shared" si="0"/>
        <v>3781.1311999999998</v>
      </c>
      <c r="H21" s="65"/>
      <c r="I21" s="6"/>
      <c r="J21" s="66">
        <f t="shared" si="1"/>
        <v>0</v>
      </c>
      <c r="K21" s="66">
        <f t="shared" si="2"/>
        <v>3781.1311999999998</v>
      </c>
      <c r="L21" s="298"/>
      <c r="M21" s="149">
        <f t="shared" si="3"/>
        <v>59806.345600000015</v>
      </c>
      <c r="N21" s="46" t="s">
        <v>235</v>
      </c>
      <c r="O21" s="5"/>
    </row>
    <row r="22" spans="1:15">
      <c r="A22" s="46">
        <v>18</v>
      </c>
      <c r="B22" s="219"/>
      <c r="C22" s="6"/>
      <c r="D22" s="6"/>
      <c r="E22" s="65"/>
      <c r="F22" s="6"/>
      <c r="G22" s="66">
        <f t="shared" si="0"/>
        <v>0</v>
      </c>
      <c r="H22" s="65"/>
      <c r="I22" s="6"/>
      <c r="J22" s="66">
        <f t="shared" si="1"/>
        <v>0</v>
      </c>
      <c r="K22" s="66">
        <f t="shared" si="2"/>
        <v>0</v>
      </c>
      <c r="L22" s="298"/>
      <c r="M22" s="149">
        <f t="shared" si="3"/>
        <v>59806.345600000015</v>
      </c>
      <c r="N22" s="46" t="s">
        <v>235</v>
      </c>
      <c r="O22" s="5"/>
    </row>
    <row r="23" spans="1:15">
      <c r="A23" s="196">
        <v>19</v>
      </c>
      <c r="B23" s="219"/>
      <c r="C23" s="6"/>
      <c r="D23" s="6"/>
      <c r="E23" s="65"/>
      <c r="F23" s="6"/>
      <c r="G23" s="66">
        <f t="shared" si="0"/>
        <v>0</v>
      </c>
      <c r="H23" s="65"/>
      <c r="I23" s="6"/>
      <c r="J23" s="66">
        <f t="shared" si="1"/>
        <v>0</v>
      </c>
      <c r="K23" s="66">
        <f t="shared" si="2"/>
        <v>0</v>
      </c>
      <c r="L23" s="298"/>
      <c r="M23" s="149">
        <f t="shared" si="3"/>
        <v>59806.345600000015</v>
      </c>
      <c r="N23" s="46" t="s">
        <v>235</v>
      </c>
      <c r="O23" s="5"/>
    </row>
    <row r="24" spans="1:15">
      <c r="A24" s="46">
        <v>20</v>
      </c>
      <c r="B24" s="219"/>
      <c r="C24" s="6"/>
      <c r="D24" s="6"/>
      <c r="E24" s="65"/>
      <c r="F24" s="6"/>
      <c r="G24" s="66">
        <f t="shared" si="0"/>
        <v>0</v>
      </c>
      <c r="H24" s="65"/>
      <c r="I24" s="6"/>
      <c r="J24" s="66">
        <f t="shared" si="1"/>
        <v>0</v>
      </c>
      <c r="K24" s="66">
        <f t="shared" si="2"/>
        <v>0</v>
      </c>
      <c r="L24" s="298"/>
      <c r="M24" s="149">
        <f t="shared" si="3"/>
        <v>59806.345600000015</v>
      </c>
      <c r="N24" s="46" t="s">
        <v>235</v>
      </c>
      <c r="O24" s="5"/>
    </row>
    <row r="25" spans="1:15">
      <c r="A25" s="46">
        <v>21</v>
      </c>
      <c r="B25" s="219"/>
      <c r="C25" s="6"/>
      <c r="D25" s="6"/>
      <c r="E25" s="65"/>
      <c r="F25" s="6"/>
      <c r="G25" s="66">
        <f t="shared" si="0"/>
        <v>0</v>
      </c>
      <c r="H25" s="65"/>
      <c r="I25" s="6"/>
      <c r="J25" s="66">
        <f t="shared" si="1"/>
        <v>0</v>
      </c>
      <c r="K25" s="66">
        <f t="shared" si="2"/>
        <v>0</v>
      </c>
      <c r="L25" s="298"/>
      <c r="M25" s="149">
        <f t="shared" si="3"/>
        <v>59806.345600000015</v>
      </c>
      <c r="N25" s="46" t="s">
        <v>235</v>
      </c>
      <c r="O25" s="5"/>
    </row>
    <row r="26" spans="1:15">
      <c r="A26" s="196">
        <v>22</v>
      </c>
      <c r="B26" s="219"/>
      <c r="C26" s="6"/>
      <c r="D26" s="6"/>
      <c r="E26" s="65"/>
      <c r="F26" s="6"/>
      <c r="G26" s="66">
        <f t="shared" si="0"/>
        <v>0</v>
      </c>
      <c r="H26" s="65"/>
      <c r="I26" s="6"/>
      <c r="J26" s="66">
        <f t="shared" si="1"/>
        <v>0</v>
      </c>
      <c r="K26" s="66">
        <f t="shared" si="2"/>
        <v>0</v>
      </c>
      <c r="L26" s="298"/>
      <c r="M26" s="149">
        <f t="shared" si="3"/>
        <v>59806.345600000015</v>
      </c>
      <c r="N26" s="46" t="s">
        <v>235</v>
      </c>
      <c r="O26" s="5"/>
    </row>
    <row r="27" spans="1:15">
      <c r="A27" s="46">
        <v>23</v>
      </c>
      <c r="B27" s="219"/>
      <c r="C27" s="6"/>
      <c r="D27" s="6"/>
      <c r="E27" s="65"/>
      <c r="F27" s="6"/>
      <c r="G27" s="66">
        <f t="shared" si="0"/>
        <v>0</v>
      </c>
      <c r="H27" s="65"/>
      <c r="I27" s="6"/>
      <c r="J27" s="66">
        <f t="shared" si="1"/>
        <v>0</v>
      </c>
      <c r="K27" s="66">
        <f t="shared" si="2"/>
        <v>0</v>
      </c>
      <c r="L27" s="298"/>
      <c r="M27" s="149">
        <f t="shared" si="3"/>
        <v>59806.345600000015</v>
      </c>
      <c r="N27" s="46" t="s">
        <v>235</v>
      </c>
      <c r="O27" s="5"/>
    </row>
    <row r="28" spans="1:15">
      <c r="A28" s="46">
        <v>24</v>
      </c>
      <c r="B28" s="219"/>
      <c r="C28" s="6"/>
      <c r="D28" s="6"/>
      <c r="E28" s="65"/>
      <c r="F28" s="6"/>
      <c r="G28" s="66">
        <f t="shared" si="0"/>
        <v>0</v>
      </c>
      <c r="H28" s="65"/>
      <c r="I28" s="6"/>
      <c r="J28" s="66">
        <f t="shared" si="1"/>
        <v>0</v>
      </c>
      <c r="K28" s="66">
        <f t="shared" si="2"/>
        <v>0</v>
      </c>
      <c r="L28" s="298"/>
      <c r="M28" s="149">
        <f t="shared" si="3"/>
        <v>59806.345600000015</v>
      </c>
      <c r="N28" s="46" t="s">
        <v>235</v>
      </c>
      <c r="O28" s="5"/>
    </row>
    <row r="29" spans="1:15">
      <c r="A29" s="196">
        <v>25</v>
      </c>
      <c r="B29" s="219"/>
      <c r="C29" s="6"/>
      <c r="D29" s="6"/>
      <c r="E29" s="65"/>
      <c r="F29" s="6"/>
      <c r="G29" s="66">
        <f t="shared" si="0"/>
        <v>0</v>
      </c>
      <c r="H29" s="65"/>
      <c r="I29" s="6"/>
      <c r="J29" s="66">
        <f t="shared" si="1"/>
        <v>0</v>
      </c>
      <c r="K29" s="66">
        <f t="shared" si="2"/>
        <v>0</v>
      </c>
      <c r="L29" s="298"/>
      <c r="M29" s="149">
        <f t="shared" si="3"/>
        <v>59806.345600000015</v>
      </c>
      <c r="N29" s="46" t="s">
        <v>235</v>
      </c>
      <c r="O29" s="5"/>
    </row>
    <row r="30" spans="1:15">
      <c r="A30" s="46">
        <v>26</v>
      </c>
      <c r="B30" s="219"/>
      <c r="C30" s="6"/>
      <c r="D30" s="6"/>
      <c r="E30" s="65"/>
      <c r="F30" s="6"/>
      <c r="G30" s="66">
        <f t="shared" si="0"/>
        <v>0</v>
      </c>
      <c r="H30" s="65"/>
      <c r="I30" s="6"/>
      <c r="J30" s="66">
        <f t="shared" si="1"/>
        <v>0</v>
      </c>
      <c r="K30" s="66">
        <f t="shared" si="2"/>
        <v>0</v>
      </c>
      <c r="L30" s="298"/>
      <c r="M30" s="149">
        <f t="shared" si="3"/>
        <v>59806.345600000015</v>
      </c>
      <c r="N30" s="46" t="s">
        <v>235</v>
      </c>
      <c r="O30" s="5"/>
    </row>
    <row r="31" spans="1:15">
      <c r="A31" s="46">
        <v>27</v>
      </c>
      <c r="B31" s="219"/>
      <c r="C31" s="6"/>
      <c r="D31" s="6"/>
      <c r="E31" s="65"/>
      <c r="F31" s="6"/>
      <c r="G31" s="66">
        <f t="shared" si="0"/>
        <v>0</v>
      </c>
      <c r="H31" s="65"/>
      <c r="I31" s="6"/>
      <c r="J31" s="66">
        <f t="shared" si="1"/>
        <v>0</v>
      </c>
      <c r="K31" s="66">
        <f t="shared" si="2"/>
        <v>0</v>
      </c>
      <c r="L31" s="298"/>
      <c r="M31" s="149">
        <f t="shared" si="3"/>
        <v>59806.345600000015</v>
      </c>
      <c r="N31" s="46" t="s">
        <v>235</v>
      </c>
      <c r="O31" s="5"/>
    </row>
    <row r="32" spans="1:15">
      <c r="A32" s="196">
        <v>28</v>
      </c>
      <c r="B32" s="219"/>
      <c r="C32" s="6"/>
      <c r="D32" s="6"/>
      <c r="E32" s="65"/>
      <c r="F32" s="6"/>
      <c r="G32" s="66">
        <f t="shared" si="0"/>
        <v>0</v>
      </c>
      <c r="H32" s="65"/>
      <c r="I32" s="6"/>
      <c r="J32" s="66">
        <f t="shared" si="1"/>
        <v>0</v>
      </c>
      <c r="K32" s="66">
        <f t="shared" si="2"/>
        <v>0</v>
      </c>
      <c r="L32" s="298">
        <v>0</v>
      </c>
      <c r="M32" s="149">
        <f t="shared" si="3"/>
        <v>59806.345600000015</v>
      </c>
      <c r="N32" s="46" t="s">
        <v>235</v>
      </c>
      <c r="O32" s="5"/>
    </row>
    <row r="33" spans="1:15">
      <c r="A33" s="46">
        <v>29</v>
      </c>
      <c r="B33" s="219"/>
      <c r="C33" s="6"/>
      <c r="D33" s="6"/>
      <c r="E33" s="65"/>
      <c r="F33" s="6"/>
      <c r="G33" s="66">
        <f t="shared" si="0"/>
        <v>0</v>
      </c>
      <c r="H33" s="65"/>
      <c r="I33" s="6"/>
      <c r="J33" s="66">
        <f t="shared" si="1"/>
        <v>0</v>
      </c>
      <c r="K33" s="66">
        <f t="shared" si="2"/>
        <v>0</v>
      </c>
      <c r="L33" s="298">
        <v>0</v>
      </c>
      <c r="M33" s="149">
        <f t="shared" si="3"/>
        <v>59806.345600000015</v>
      </c>
      <c r="N33" s="46" t="s">
        <v>235</v>
      </c>
      <c r="O33" s="5"/>
    </row>
    <row r="34" spans="1:15">
      <c r="A34" s="46">
        <v>30</v>
      </c>
      <c r="B34" s="219"/>
      <c r="C34" s="6"/>
      <c r="D34" s="6"/>
      <c r="E34" s="65"/>
      <c r="F34" s="6"/>
      <c r="G34" s="66">
        <f t="shared" si="0"/>
        <v>0</v>
      </c>
      <c r="H34" s="65"/>
      <c r="I34" s="6"/>
      <c r="J34" s="66">
        <f t="shared" si="1"/>
        <v>0</v>
      </c>
      <c r="K34" s="66">
        <f t="shared" si="2"/>
        <v>0</v>
      </c>
      <c r="L34" s="298">
        <v>0</v>
      </c>
      <c r="M34" s="149">
        <f t="shared" si="3"/>
        <v>59806.345600000015</v>
      </c>
      <c r="N34" s="46" t="s">
        <v>235</v>
      </c>
      <c r="O34" s="5"/>
    </row>
    <row r="35" spans="1:15">
      <c r="A35" s="196">
        <v>31</v>
      </c>
      <c r="B35" s="219"/>
      <c r="C35" s="6"/>
      <c r="D35" s="6"/>
      <c r="E35" s="65"/>
      <c r="F35" s="6"/>
      <c r="G35" s="66">
        <f t="shared" si="0"/>
        <v>0</v>
      </c>
      <c r="H35" s="65"/>
      <c r="I35" s="6"/>
      <c r="J35" s="66">
        <f t="shared" si="1"/>
        <v>0</v>
      </c>
      <c r="K35" s="66">
        <f t="shared" si="2"/>
        <v>0</v>
      </c>
      <c r="L35" s="298">
        <v>0</v>
      </c>
      <c r="M35" s="149">
        <f t="shared" si="3"/>
        <v>59806.345600000015</v>
      </c>
      <c r="N35" s="46" t="s">
        <v>235</v>
      </c>
      <c r="O35" s="5"/>
    </row>
    <row r="36" spans="1:15">
      <c r="A36" s="46">
        <v>32</v>
      </c>
      <c r="B36" s="219"/>
      <c r="C36" s="6"/>
      <c r="D36" s="6"/>
      <c r="E36" s="65"/>
      <c r="F36" s="6"/>
      <c r="G36" s="66">
        <f t="shared" si="0"/>
        <v>0</v>
      </c>
      <c r="H36" s="65"/>
      <c r="I36" s="6"/>
      <c r="J36" s="66">
        <f t="shared" si="1"/>
        <v>0</v>
      </c>
      <c r="K36" s="66">
        <f t="shared" si="2"/>
        <v>0</v>
      </c>
      <c r="L36" s="298">
        <v>0</v>
      </c>
      <c r="M36" s="149">
        <f t="shared" si="3"/>
        <v>59806.345600000015</v>
      </c>
      <c r="N36" s="46" t="s">
        <v>235</v>
      </c>
      <c r="O36" s="5"/>
    </row>
    <row r="37" spans="1:15">
      <c r="A37" s="46">
        <v>33</v>
      </c>
      <c r="B37" s="219"/>
      <c r="C37" s="6"/>
      <c r="D37" s="6"/>
      <c r="E37" s="65"/>
      <c r="F37" s="6"/>
      <c r="G37" s="66">
        <f t="shared" si="0"/>
        <v>0</v>
      </c>
      <c r="H37" s="65"/>
      <c r="I37" s="6"/>
      <c r="J37" s="66">
        <f t="shared" si="1"/>
        <v>0</v>
      </c>
      <c r="K37" s="66">
        <f t="shared" si="2"/>
        <v>0</v>
      </c>
      <c r="L37" s="298">
        <v>0</v>
      </c>
      <c r="M37" s="149">
        <f t="shared" si="3"/>
        <v>59806.345600000015</v>
      </c>
      <c r="N37" s="46" t="s">
        <v>235</v>
      </c>
      <c r="O37" s="5"/>
    </row>
    <row r="38" spans="1:15">
      <c r="A38" s="196">
        <v>34</v>
      </c>
      <c r="B38" s="219"/>
      <c r="C38" s="6"/>
      <c r="D38" s="6"/>
      <c r="E38" s="65"/>
      <c r="F38" s="6"/>
      <c r="G38" s="66">
        <f t="shared" si="0"/>
        <v>0</v>
      </c>
      <c r="H38" s="65"/>
      <c r="I38" s="6"/>
      <c r="J38" s="66">
        <f t="shared" si="1"/>
        <v>0</v>
      </c>
      <c r="K38" s="66">
        <f t="shared" si="2"/>
        <v>0</v>
      </c>
      <c r="L38" s="298">
        <v>0</v>
      </c>
      <c r="M38" s="149">
        <f t="shared" si="3"/>
        <v>59806.345600000015</v>
      </c>
      <c r="N38" s="46" t="s">
        <v>235</v>
      </c>
      <c r="O38" s="5"/>
    </row>
    <row r="39" spans="1:15">
      <c r="A39" s="46">
        <v>35</v>
      </c>
      <c r="B39" s="219"/>
      <c r="C39" s="6"/>
      <c r="D39" s="6"/>
      <c r="E39" s="65"/>
      <c r="F39" s="6"/>
      <c r="G39" s="66">
        <f t="shared" si="0"/>
        <v>0</v>
      </c>
      <c r="H39" s="65"/>
      <c r="I39" s="6"/>
      <c r="J39" s="66">
        <f t="shared" si="1"/>
        <v>0</v>
      </c>
      <c r="K39" s="66">
        <f t="shared" si="2"/>
        <v>0</v>
      </c>
      <c r="L39" s="298">
        <v>0</v>
      </c>
      <c r="M39" s="149">
        <f t="shared" si="3"/>
        <v>59806.345600000015</v>
      </c>
      <c r="N39" s="46" t="s">
        <v>235</v>
      </c>
      <c r="O39" s="5"/>
    </row>
    <row r="40" spans="1:15">
      <c r="A40" s="46">
        <v>36</v>
      </c>
      <c r="B40" s="219"/>
      <c r="C40" s="6"/>
      <c r="D40" s="6"/>
      <c r="E40" s="65"/>
      <c r="F40" s="6"/>
      <c r="G40" s="66">
        <f t="shared" si="0"/>
        <v>0</v>
      </c>
      <c r="H40" s="65"/>
      <c r="I40" s="6"/>
      <c r="J40" s="66">
        <f t="shared" si="1"/>
        <v>0</v>
      </c>
      <c r="K40" s="66">
        <f t="shared" si="2"/>
        <v>0</v>
      </c>
      <c r="L40" s="298">
        <v>0</v>
      </c>
      <c r="M40" s="149">
        <f t="shared" si="3"/>
        <v>59806.345600000015</v>
      </c>
      <c r="N40" s="6"/>
      <c r="O40" s="5"/>
    </row>
    <row r="41" spans="1:15">
      <c r="A41" s="196">
        <v>37</v>
      </c>
      <c r="B41" s="219"/>
      <c r="C41" s="6"/>
      <c r="D41" s="6"/>
      <c r="E41" s="65"/>
      <c r="F41" s="6"/>
      <c r="G41" s="66">
        <f t="shared" ref="G24:G48" si="4">E41*F41</f>
        <v>0</v>
      </c>
      <c r="H41" s="65"/>
      <c r="I41" s="6"/>
      <c r="J41" s="66">
        <f t="shared" ref="J24:J48" si="5">H41*I41</f>
        <v>0</v>
      </c>
      <c r="K41" s="66">
        <f t="shared" ref="K5:K48" si="6">G41+J41</f>
        <v>0</v>
      </c>
      <c r="L41" s="298">
        <v>0</v>
      </c>
      <c r="M41" s="149">
        <f t="shared" si="3"/>
        <v>59806.345600000015</v>
      </c>
      <c r="N41" s="6"/>
      <c r="O41" s="5"/>
    </row>
    <row r="42" spans="1:15">
      <c r="A42" s="46">
        <v>38</v>
      </c>
      <c r="B42" s="219"/>
      <c r="C42" s="6"/>
      <c r="D42" s="6"/>
      <c r="E42" s="65"/>
      <c r="F42" s="6"/>
      <c r="G42" s="66">
        <f t="shared" si="4"/>
        <v>0</v>
      </c>
      <c r="H42" s="65"/>
      <c r="I42" s="6"/>
      <c r="J42" s="66">
        <f t="shared" si="5"/>
        <v>0</v>
      </c>
      <c r="K42" s="66">
        <f t="shared" si="6"/>
        <v>0</v>
      </c>
      <c r="L42" s="298">
        <v>0</v>
      </c>
      <c r="M42" s="149">
        <f t="shared" si="3"/>
        <v>59806.345600000015</v>
      </c>
      <c r="N42" s="6"/>
      <c r="O42" s="5"/>
    </row>
    <row r="43" spans="1:15">
      <c r="A43" s="46">
        <v>39</v>
      </c>
      <c r="B43" s="219"/>
      <c r="C43" s="6"/>
      <c r="D43" s="6"/>
      <c r="E43" s="65"/>
      <c r="F43" s="6"/>
      <c r="G43" s="66">
        <f t="shared" si="4"/>
        <v>0</v>
      </c>
      <c r="H43" s="65"/>
      <c r="I43" s="6"/>
      <c r="J43" s="66">
        <f t="shared" si="5"/>
        <v>0</v>
      </c>
      <c r="K43" s="66">
        <f t="shared" si="6"/>
        <v>0</v>
      </c>
      <c r="L43" s="298">
        <v>0</v>
      </c>
      <c r="M43" s="149">
        <f t="shared" si="3"/>
        <v>59806.345600000015</v>
      </c>
      <c r="N43" s="6"/>
      <c r="O43" s="5"/>
    </row>
    <row r="44" spans="1:15">
      <c r="A44" s="196">
        <v>40</v>
      </c>
      <c r="B44" s="219"/>
      <c r="C44" s="6"/>
      <c r="D44" s="6"/>
      <c r="E44" s="65"/>
      <c r="F44" s="6"/>
      <c r="G44" s="66">
        <f t="shared" si="4"/>
        <v>0</v>
      </c>
      <c r="H44" s="65"/>
      <c r="I44" s="6"/>
      <c r="J44" s="66">
        <f t="shared" si="5"/>
        <v>0</v>
      </c>
      <c r="K44" s="66">
        <f t="shared" si="6"/>
        <v>0</v>
      </c>
      <c r="L44" s="298">
        <v>0</v>
      </c>
      <c r="M44" s="149">
        <f t="shared" si="3"/>
        <v>59806.345600000015</v>
      </c>
      <c r="N44" s="6"/>
      <c r="O44" s="5"/>
    </row>
    <row r="45" spans="1:15">
      <c r="A45" s="46">
        <v>41</v>
      </c>
      <c r="B45" s="170"/>
      <c r="C45" s="169"/>
      <c r="D45" s="6"/>
      <c r="E45" s="65"/>
      <c r="F45" s="6"/>
      <c r="G45" s="66">
        <f t="shared" si="4"/>
        <v>0</v>
      </c>
      <c r="H45" s="65"/>
      <c r="I45" s="6"/>
      <c r="J45" s="66">
        <f t="shared" si="5"/>
        <v>0</v>
      </c>
      <c r="K45" s="66">
        <f t="shared" si="6"/>
        <v>0</v>
      </c>
      <c r="L45" s="298">
        <v>0</v>
      </c>
      <c r="M45" s="149">
        <f t="shared" si="3"/>
        <v>59806.345600000015</v>
      </c>
      <c r="N45" s="169"/>
      <c r="O45" s="5"/>
    </row>
    <row r="46" spans="1:15">
      <c r="A46" s="46">
        <v>42</v>
      </c>
      <c r="B46" s="6"/>
      <c r="C46" s="6"/>
      <c r="D46" s="6"/>
      <c r="E46" s="65"/>
      <c r="F46" s="6"/>
      <c r="G46" s="66">
        <f t="shared" si="4"/>
        <v>0</v>
      </c>
      <c r="H46" s="65"/>
      <c r="I46" s="6"/>
      <c r="J46" s="66">
        <f t="shared" si="5"/>
        <v>0</v>
      </c>
      <c r="K46" s="66">
        <f t="shared" si="6"/>
        <v>0</v>
      </c>
      <c r="L46" s="298">
        <v>0</v>
      </c>
      <c r="M46" s="149">
        <f t="shared" si="3"/>
        <v>59806.345600000015</v>
      </c>
      <c r="N46" s="6"/>
      <c r="O46" s="5"/>
    </row>
    <row r="47" spans="1:15">
      <c r="A47" s="196">
        <v>43</v>
      </c>
      <c r="B47" s="169"/>
      <c r="C47" s="169"/>
      <c r="D47" s="6"/>
      <c r="E47" s="65"/>
      <c r="F47" s="6"/>
      <c r="G47" s="66">
        <f t="shared" si="4"/>
        <v>0</v>
      </c>
      <c r="H47" s="65"/>
      <c r="I47" s="6"/>
      <c r="J47" s="66">
        <f t="shared" si="5"/>
        <v>0</v>
      </c>
      <c r="K47" s="171">
        <f t="shared" si="6"/>
        <v>0</v>
      </c>
      <c r="L47" s="162">
        <f t="shared" ref="L47:L48" si="7">+K47</f>
        <v>0</v>
      </c>
      <c r="M47" s="149">
        <f t="shared" si="3"/>
        <v>59806.345600000015</v>
      </c>
      <c r="N47" s="169"/>
      <c r="O47" s="5"/>
    </row>
    <row r="48" spans="1:15">
      <c r="A48" s="46"/>
      <c r="B48" s="169"/>
      <c r="C48" s="169"/>
      <c r="D48" s="6"/>
      <c r="E48" s="65"/>
      <c r="F48" s="6"/>
      <c r="G48" s="66">
        <f t="shared" si="4"/>
        <v>0</v>
      </c>
      <c r="H48" s="65"/>
      <c r="I48" s="6"/>
      <c r="J48" s="66">
        <f t="shared" si="5"/>
        <v>0</v>
      </c>
      <c r="K48" s="171">
        <f t="shared" si="6"/>
        <v>0</v>
      </c>
      <c r="L48" s="172">
        <f t="shared" si="7"/>
        <v>0</v>
      </c>
      <c r="M48" s="149">
        <f t="shared" si="3"/>
        <v>59806.345600000015</v>
      </c>
      <c r="N48" s="169"/>
      <c r="O48" s="5"/>
    </row>
    <row r="49" spans="1:15">
      <c r="A49" s="62"/>
      <c r="B49" s="62"/>
      <c r="C49" s="62"/>
      <c r="D49" s="62"/>
      <c r="E49" s="63">
        <f>SUM(E4:E48)</f>
        <v>863.72</v>
      </c>
      <c r="F49" s="63"/>
      <c r="G49" s="63">
        <f>SUM(G4:G48)</f>
        <v>78961.282399999996</v>
      </c>
      <c r="H49" s="63">
        <f>SUM(H4:H48)</f>
        <v>31.48</v>
      </c>
      <c r="I49" s="63"/>
      <c r="J49" s="63">
        <f>SUM(J4:J48)</f>
        <v>3286.2731999999996</v>
      </c>
      <c r="K49" s="63">
        <f>SUM(K4:K48)</f>
        <v>82247.555599999992</v>
      </c>
      <c r="L49" s="63">
        <f>SUM(L4:L48)</f>
        <v>110000</v>
      </c>
      <c r="M49" s="63"/>
      <c r="N49" s="63"/>
      <c r="O49" s="59"/>
    </row>
    <row r="50" spans="1:15">
      <c r="A50" s="5"/>
      <c r="B50" s="5"/>
      <c r="C50" s="5"/>
      <c r="D50" s="5"/>
      <c r="E50" s="5"/>
      <c r="F50" s="5"/>
      <c r="G50" s="102"/>
      <c r="H50" s="5"/>
      <c r="I50" s="5"/>
      <c r="J50" s="102"/>
      <c r="K50" s="5"/>
      <c r="L50" s="102"/>
      <c r="M50" s="102"/>
      <c r="N50" s="5"/>
      <c r="O50" s="5"/>
    </row>
    <row r="51" spans="1:15">
      <c r="A51" s="5"/>
      <c r="B51" s="5"/>
      <c r="C51" s="5"/>
      <c r="D51" s="5"/>
      <c r="E51" s="5"/>
      <c r="F51" s="5"/>
      <c r="G51" s="102"/>
      <c r="H51" s="5"/>
      <c r="I51" s="5"/>
      <c r="J51" s="102"/>
      <c r="K51" s="5"/>
      <c r="L51" s="102"/>
      <c r="M51" s="102"/>
      <c r="N51" s="5"/>
      <c r="O51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topLeftCell="A11" workbookViewId="0">
      <selection activeCell="M29" sqref="M29"/>
    </sheetView>
  </sheetViews>
  <sheetFormatPr defaultRowHeight="15"/>
  <cols>
    <col min="1" max="1" width="6.140625" customWidth="1"/>
    <col min="2" max="2" width="11.5703125" bestFit="1" customWidth="1"/>
    <col min="6" max="6" width="9.42578125" bestFit="1" customWidth="1"/>
    <col min="7" max="7" width="11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469" t="s">
        <v>155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5"/>
    </row>
    <row r="2" spans="1:15" ht="45">
      <c r="A2" s="64" t="s">
        <v>0</v>
      </c>
      <c r="B2" s="83" t="s">
        <v>161</v>
      </c>
      <c r="C2" s="83" t="s">
        <v>162</v>
      </c>
      <c r="D2" s="83" t="s">
        <v>180</v>
      </c>
      <c r="E2" s="83" t="s">
        <v>164</v>
      </c>
      <c r="F2" s="83" t="s">
        <v>165</v>
      </c>
      <c r="G2" s="90" t="s">
        <v>166</v>
      </c>
      <c r="H2" s="83" t="s">
        <v>167</v>
      </c>
      <c r="I2" s="83" t="s">
        <v>165</v>
      </c>
      <c r="J2" s="90" t="s">
        <v>166</v>
      </c>
      <c r="K2" s="64" t="s">
        <v>168</v>
      </c>
      <c r="L2" s="91" t="s">
        <v>169</v>
      </c>
      <c r="M2" s="85" t="s">
        <v>181</v>
      </c>
      <c r="N2" s="83" t="s">
        <v>171</v>
      </c>
      <c r="O2" s="5"/>
    </row>
    <row r="3" spans="1:15">
      <c r="A3" s="493" t="s">
        <v>172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5"/>
      <c r="M3" s="496">
        <v>57123.166900000004</v>
      </c>
      <c r="N3" s="497"/>
      <c r="O3" s="5"/>
    </row>
    <row r="4" spans="1:15">
      <c r="A4" s="196">
        <v>1</v>
      </c>
      <c r="B4" s="219">
        <v>46082</v>
      </c>
      <c r="C4" s="6"/>
      <c r="D4" s="6"/>
      <c r="E4" s="65">
        <v>38.270000000000003</v>
      </c>
      <c r="F4" s="6">
        <v>91.46</v>
      </c>
      <c r="G4" s="66">
        <f>E4*F4</f>
        <v>3500.1741999999999</v>
      </c>
      <c r="H4" s="65">
        <v>10</v>
      </c>
      <c r="I4" s="6">
        <v>103.4</v>
      </c>
      <c r="J4" s="66">
        <f>H4*I4</f>
        <v>1034</v>
      </c>
      <c r="K4" s="66">
        <f>G4+J4</f>
        <v>4534.1741999999995</v>
      </c>
      <c r="L4" s="162">
        <v>0</v>
      </c>
      <c r="M4" s="301">
        <f>M3+K4-L4</f>
        <v>61657.341100000005</v>
      </c>
      <c r="N4" s="46" t="s">
        <v>235</v>
      </c>
      <c r="O4" s="5"/>
    </row>
    <row r="5" spans="1:15">
      <c r="A5" s="46">
        <v>2</v>
      </c>
      <c r="B5" s="219">
        <v>46083</v>
      </c>
      <c r="C5" s="6"/>
      <c r="D5" s="6"/>
      <c r="E5" s="65">
        <v>68.27</v>
      </c>
      <c r="F5" s="6">
        <v>91.46</v>
      </c>
      <c r="G5" s="66">
        <f>E5*F5</f>
        <v>6243.9741999999997</v>
      </c>
      <c r="H5" s="65">
        <v>5</v>
      </c>
      <c r="I5" s="6">
        <v>103.4</v>
      </c>
      <c r="J5" s="66">
        <f t="shared" ref="J5:J41" si="0">H5*I5</f>
        <v>517</v>
      </c>
      <c r="K5" s="66">
        <f t="shared" ref="K5:K41" si="1">G5+J5</f>
        <v>6760.9741999999997</v>
      </c>
      <c r="L5" s="162">
        <v>0</v>
      </c>
      <c r="M5" s="301">
        <f t="shared" ref="M5:M18" si="2">M4+K5-L5</f>
        <v>68418.315300000002</v>
      </c>
      <c r="N5" s="46" t="s">
        <v>235</v>
      </c>
      <c r="O5" s="5"/>
    </row>
    <row r="6" spans="1:15">
      <c r="A6" s="46">
        <v>3</v>
      </c>
      <c r="B6" s="219">
        <v>46084</v>
      </c>
      <c r="C6" s="6"/>
      <c r="D6" s="6"/>
      <c r="E6" s="65">
        <v>95.06</v>
      </c>
      <c r="F6" s="6">
        <v>91.46</v>
      </c>
      <c r="G6" s="66">
        <f>E6*F6</f>
        <v>8694.1875999999993</v>
      </c>
      <c r="H6" s="65">
        <v>15</v>
      </c>
      <c r="I6" s="6">
        <v>103.4</v>
      </c>
      <c r="J6" s="66">
        <f t="shared" si="0"/>
        <v>1551</v>
      </c>
      <c r="K6" s="66">
        <f t="shared" si="1"/>
        <v>10245.187599999999</v>
      </c>
      <c r="L6" s="162">
        <v>0</v>
      </c>
      <c r="M6" s="301">
        <f t="shared" si="2"/>
        <v>78663.502900000007</v>
      </c>
      <c r="N6" s="46" t="s">
        <v>235</v>
      </c>
      <c r="O6" s="5"/>
    </row>
    <row r="7" spans="1:15">
      <c r="A7" s="46">
        <v>4</v>
      </c>
      <c r="B7" s="219">
        <v>46086</v>
      </c>
      <c r="C7" s="169"/>
      <c r="D7" s="169"/>
      <c r="E7" s="65">
        <v>100</v>
      </c>
      <c r="F7" s="6">
        <v>91.46</v>
      </c>
      <c r="G7" s="66">
        <f t="shared" ref="G7:G30" si="3">E7*F7</f>
        <v>9146</v>
      </c>
      <c r="H7" s="65">
        <v>5</v>
      </c>
      <c r="I7" s="6">
        <v>103.4</v>
      </c>
      <c r="J7" s="66">
        <f t="shared" si="0"/>
        <v>517</v>
      </c>
      <c r="K7" s="66">
        <f t="shared" si="1"/>
        <v>9663</v>
      </c>
      <c r="L7" s="162">
        <v>0</v>
      </c>
      <c r="M7" s="301">
        <f t="shared" si="2"/>
        <v>88326.502900000007</v>
      </c>
      <c r="N7" s="46" t="s">
        <v>235</v>
      </c>
      <c r="O7" s="5"/>
    </row>
    <row r="8" spans="1:15">
      <c r="A8" s="221">
        <v>5</v>
      </c>
      <c r="B8" s="219">
        <v>46087</v>
      </c>
      <c r="C8" s="6"/>
      <c r="D8" s="6"/>
      <c r="E8" s="65">
        <v>48.73</v>
      </c>
      <c r="F8" s="6">
        <v>91.46</v>
      </c>
      <c r="G8" s="66">
        <f t="shared" si="3"/>
        <v>4456.8457999999991</v>
      </c>
      <c r="H8" s="65">
        <v>5</v>
      </c>
      <c r="I8" s="6">
        <v>103.4</v>
      </c>
      <c r="J8" s="66">
        <f t="shared" si="0"/>
        <v>517</v>
      </c>
      <c r="K8" s="66">
        <f t="shared" si="1"/>
        <v>4973.8457999999991</v>
      </c>
      <c r="L8" s="162">
        <v>0</v>
      </c>
      <c r="M8" s="301">
        <f t="shared" si="2"/>
        <v>93300.348700000002</v>
      </c>
      <c r="N8" s="46" t="s">
        <v>235</v>
      </c>
      <c r="O8" s="5"/>
    </row>
    <row r="9" spans="1:15">
      <c r="A9" s="221">
        <v>6</v>
      </c>
      <c r="B9" s="219">
        <v>46088</v>
      </c>
      <c r="C9" s="6"/>
      <c r="D9" s="6"/>
      <c r="E9" s="65">
        <v>40</v>
      </c>
      <c r="F9" s="6">
        <v>91.46</v>
      </c>
      <c r="G9" s="66">
        <f t="shared" si="3"/>
        <v>3658.3999999999996</v>
      </c>
      <c r="H9" s="65">
        <v>5</v>
      </c>
      <c r="I9" s="6">
        <v>103.4</v>
      </c>
      <c r="J9" s="66">
        <f t="shared" si="0"/>
        <v>517</v>
      </c>
      <c r="K9" s="66">
        <f t="shared" si="1"/>
        <v>4175.3999999999996</v>
      </c>
      <c r="L9" s="162">
        <v>0</v>
      </c>
      <c r="M9" s="301">
        <f t="shared" si="2"/>
        <v>97475.748699999996</v>
      </c>
      <c r="N9" s="46" t="s">
        <v>235</v>
      </c>
      <c r="O9" s="5"/>
    </row>
    <row r="10" spans="1:15">
      <c r="A10" s="221">
        <v>7</v>
      </c>
      <c r="B10" s="219">
        <v>46089</v>
      </c>
      <c r="C10" s="6"/>
      <c r="D10" s="6"/>
      <c r="E10" s="65"/>
      <c r="F10" s="6"/>
      <c r="G10" s="66">
        <f t="shared" si="3"/>
        <v>0</v>
      </c>
      <c r="H10" s="65"/>
      <c r="I10" s="6"/>
      <c r="J10" s="66">
        <f t="shared" si="0"/>
        <v>0</v>
      </c>
      <c r="K10" s="66">
        <f t="shared" si="1"/>
        <v>0</v>
      </c>
      <c r="L10" s="162">
        <v>0</v>
      </c>
      <c r="M10" s="301">
        <f t="shared" si="2"/>
        <v>97475.748699999996</v>
      </c>
      <c r="N10" s="46" t="s">
        <v>235</v>
      </c>
      <c r="O10" s="5"/>
    </row>
    <row r="11" spans="1:15">
      <c r="A11" s="221">
        <v>8</v>
      </c>
      <c r="B11" s="219">
        <v>46090</v>
      </c>
      <c r="C11" s="6"/>
      <c r="D11" s="6"/>
      <c r="E11" s="65">
        <v>123.73999999999998</v>
      </c>
      <c r="F11" s="6">
        <v>91.46</v>
      </c>
      <c r="G11" s="66">
        <f t="shared" si="3"/>
        <v>11317.260399999997</v>
      </c>
      <c r="H11" s="65">
        <v>5</v>
      </c>
      <c r="I11" s="6">
        <v>103.4</v>
      </c>
      <c r="J11" s="66">
        <f t="shared" si="0"/>
        <v>517</v>
      </c>
      <c r="K11" s="66">
        <f>G11+J11</f>
        <v>11834.260399999997</v>
      </c>
      <c r="L11" s="162">
        <v>0</v>
      </c>
      <c r="M11" s="301">
        <f t="shared" si="2"/>
        <v>109310.0091</v>
      </c>
      <c r="N11" s="46" t="s">
        <v>235</v>
      </c>
      <c r="O11" s="5"/>
    </row>
    <row r="12" spans="1:15">
      <c r="A12" s="221">
        <v>9</v>
      </c>
      <c r="B12" s="219">
        <v>46091</v>
      </c>
      <c r="C12" s="6"/>
      <c r="D12" s="6"/>
      <c r="E12" s="65">
        <v>20</v>
      </c>
      <c r="F12" s="6">
        <v>91.46</v>
      </c>
      <c r="G12" s="66">
        <f t="shared" si="3"/>
        <v>1829.1999999999998</v>
      </c>
      <c r="H12" s="65">
        <v>2</v>
      </c>
      <c r="I12" s="6">
        <v>103.4</v>
      </c>
      <c r="J12" s="66">
        <f t="shared" si="0"/>
        <v>206.8</v>
      </c>
      <c r="K12" s="66">
        <f>G12+J12</f>
        <v>2035.9999999999998</v>
      </c>
      <c r="L12" s="162">
        <v>0</v>
      </c>
      <c r="M12" s="301">
        <f t="shared" si="2"/>
        <v>111346.0091</v>
      </c>
      <c r="N12" s="46" t="s">
        <v>235</v>
      </c>
      <c r="O12" s="5"/>
    </row>
    <row r="13" spans="1:15">
      <c r="A13" s="221">
        <v>10</v>
      </c>
      <c r="B13" s="219">
        <v>46093</v>
      </c>
      <c r="C13" s="6"/>
      <c r="D13" s="6"/>
      <c r="E13" s="65">
        <v>15</v>
      </c>
      <c r="F13" s="6">
        <v>91.46</v>
      </c>
      <c r="G13" s="66">
        <f t="shared" si="3"/>
        <v>1371.8999999999999</v>
      </c>
      <c r="H13" s="65">
        <v>5</v>
      </c>
      <c r="I13" s="6">
        <v>103.4</v>
      </c>
      <c r="J13" s="66">
        <f t="shared" si="0"/>
        <v>517</v>
      </c>
      <c r="K13" s="66">
        <f>G13+J13</f>
        <v>1888.8999999999999</v>
      </c>
      <c r="L13" s="162">
        <v>80000</v>
      </c>
      <c r="M13" s="301">
        <f t="shared" si="2"/>
        <v>33234.90909999999</v>
      </c>
      <c r="N13" s="46" t="s">
        <v>235</v>
      </c>
      <c r="O13" s="5"/>
    </row>
    <row r="14" spans="1:15">
      <c r="A14" s="221">
        <v>11</v>
      </c>
      <c r="B14" s="219">
        <v>46094</v>
      </c>
      <c r="C14" s="6"/>
      <c r="D14" s="6"/>
      <c r="E14" s="65">
        <v>143.72999999999999</v>
      </c>
      <c r="F14" s="6">
        <v>91.46</v>
      </c>
      <c r="G14" s="66">
        <f t="shared" si="3"/>
        <v>13145.545799999998</v>
      </c>
      <c r="H14" s="65">
        <v>5</v>
      </c>
      <c r="I14" s="6">
        <v>103.4</v>
      </c>
      <c r="J14" s="66">
        <f t="shared" si="0"/>
        <v>517</v>
      </c>
      <c r="K14" s="66">
        <f t="shared" si="1"/>
        <v>13662.545799999998</v>
      </c>
      <c r="L14" s="162">
        <v>20000</v>
      </c>
      <c r="M14" s="301">
        <f t="shared" si="2"/>
        <v>26897.45489999999</v>
      </c>
      <c r="N14" s="46" t="s">
        <v>235</v>
      </c>
      <c r="O14" s="5"/>
    </row>
    <row r="15" spans="1:15">
      <c r="A15" s="221">
        <v>12</v>
      </c>
      <c r="B15" s="219">
        <v>46095</v>
      </c>
      <c r="C15" s="6"/>
      <c r="D15" s="6"/>
      <c r="E15" s="65">
        <v>118.73</v>
      </c>
      <c r="F15" s="6">
        <v>91.46</v>
      </c>
      <c r="G15" s="66">
        <f t="shared" si="3"/>
        <v>10859.0458</v>
      </c>
      <c r="H15" s="65">
        <v>10</v>
      </c>
      <c r="I15" s="6">
        <v>103.4</v>
      </c>
      <c r="J15" s="66">
        <f t="shared" si="0"/>
        <v>1034</v>
      </c>
      <c r="K15" s="66">
        <f t="shared" si="1"/>
        <v>11893.0458</v>
      </c>
      <c r="L15" s="162">
        <v>0</v>
      </c>
      <c r="M15" s="301">
        <f t="shared" si="2"/>
        <v>38790.50069999999</v>
      </c>
      <c r="N15" s="46" t="s">
        <v>235</v>
      </c>
      <c r="O15" s="5"/>
    </row>
    <row r="16" spans="1:15">
      <c r="A16" s="221">
        <v>13</v>
      </c>
      <c r="B16" s="219">
        <v>46096</v>
      </c>
      <c r="C16" s="6"/>
      <c r="D16" s="6"/>
      <c r="E16" s="65"/>
      <c r="F16" s="6"/>
      <c r="G16" s="66">
        <f t="shared" si="3"/>
        <v>0</v>
      </c>
      <c r="H16" s="65">
        <v>5</v>
      </c>
      <c r="I16" s="6">
        <v>103.4</v>
      </c>
      <c r="J16" s="66">
        <f t="shared" si="0"/>
        <v>517</v>
      </c>
      <c r="K16" s="66">
        <f t="shared" si="1"/>
        <v>517</v>
      </c>
      <c r="L16" s="162">
        <v>0</v>
      </c>
      <c r="M16" s="301">
        <f t="shared" si="2"/>
        <v>39307.50069999999</v>
      </c>
      <c r="N16" s="46" t="s">
        <v>235</v>
      </c>
      <c r="O16" s="5"/>
    </row>
    <row r="17" spans="1:15">
      <c r="A17" s="221">
        <v>14</v>
      </c>
      <c r="B17" s="219">
        <v>46097</v>
      </c>
      <c r="C17" s="6"/>
      <c r="D17" s="6"/>
      <c r="E17" s="65">
        <v>98.73</v>
      </c>
      <c r="F17" s="6">
        <v>91.46</v>
      </c>
      <c r="G17" s="66">
        <f t="shared" si="3"/>
        <v>9029.8457999999991</v>
      </c>
      <c r="H17" s="65"/>
      <c r="I17" s="6">
        <v>103.4</v>
      </c>
      <c r="J17" s="66">
        <f t="shared" si="0"/>
        <v>0</v>
      </c>
      <c r="K17" s="66">
        <f t="shared" si="1"/>
        <v>9029.8457999999991</v>
      </c>
      <c r="L17" s="162">
        <v>0</v>
      </c>
      <c r="M17" s="301">
        <f t="shared" si="2"/>
        <v>48337.346499999985</v>
      </c>
      <c r="N17" s="46" t="s">
        <v>235</v>
      </c>
      <c r="O17" s="5"/>
    </row>
    <row r="18" spans="1:15">
      <c r="A18" s="221">
        <v>15</v>
      </c>
      <c r="B18" s="219">
        <v>46098</v>
      </c>
      <c r="C18" s="6"/>
      <c r="D18" s="6"/>
      <c r="E18" s="65">
        <v>30</v>
      </c>
      <c r="F18" s="6">
        <v>91.46</v>
      </c>
      <c r="G18" s="66">
        <f t="shared" si="3"/>
        <v>2743.7999999999997</v>
      </c>
      <c r="H18" s="65">
        <v>5</v>
      </c>
      <c r="I18" s="6">
        <v>103.4</v>
      </c>
      <c r="J18" s="66">
        <f t="shared" si="0"/>
        <v>517</v>
      </c>
      <c r="K18" s="66">
        <f t="shared" si="1"/>
        <v>3260.7999999999997</v>
      </c>
      <c r="L18" s="162">
        <v>0</v>
      </c>
      <c r="M18" s="301">
        <f t="shared" si="2"/>
        <v>51598.146499999988</v>
      </c>
      <c r="N18" s="46" t="s">
        <v>235</v>
      </c>
      <c r="O18" s="5"/>
    </row>
    <row r="19" spans="1:15">
      <c r="A19" s="221">
        <v>16</v>
      </c>
      <c r="B19" s="219">
        <v>46099</v>
      </c>
      <c r="C19" s="6"/>
      <c r="D19" s="6"/>
      <c r="E19" s="65"/>
      <c r="F19" s="6"/>
      <c r="G19" s="66">
        <f t="shared" si="3"/>
        <v>0</v>
      </c>
      <c r="H19" s="65">
        <v>5</v>
      </c>
      <c r="I19" s="6">
        <v>103.4</v>
      </c>
      <c r="J19" s="66">
        <f t="shared" si="0"/>
        <v>517</v>
      </c>
      <c r="K19" s="66">
        <f t="shared" si="1"/>
        <v>517</v>
      </c>
      <c r="L19" s="162">
        <v>0</v>
      </c>
      <c r="M19" s="302">
        <f t="shared" ref="M15:M42" si="4">M18+K19-L19</f>
        <v>52115.146499999988</v>
      </c>
      <c r="N19" s="46" t="s">
        <v>235</v>
      </c>
      <c r="O19" s="5"/>
    </row>
    <row r="20" spans="1:15">
      <c r="A20" s="221">
        <v>17</v>
      </c>
      <c r="B20" s="219">
        <v>46100</v>
      </c>
      <c r="C20" s="6"/>
      <c r="D20" s="6"/>
      <c r="E20" s="65">
        <v>133.37</v>
      </c>
      <c r="F20" s="6">
        <v>91.46</v>
      </c>
      <c r="G20" s="66">
        <f t="shared" si="3"/>
        <v>12198.020199999999</v>
      </c>
      <c r="H20" s="65">
        <v>7</v>
      </c>
      <c r="I20" s="6">
        <v>103.4</v>
      </c>
      <c r="J20" s="66">
        <f t="shared" si="0"/>
        <v>723.80000000000007</v>
      </c>
      <c r="K20" s="66">
        <f t="shared" si="1"/>
        <v>12921.820199999998</v>
      </c>
      <c r="L20" s="162">
        <v>0</v>
      </c>
      <c r="M20" s="302">
        <f t="shared" si="4"/>
        <v>65036.96669999999</v>
      </c>
      <c r="N20" s="46" t="s">
        <v>235</v>
      </c>
      <c r="O20" s="5"/>
    </row>
    <row r="21" spans="1:15">
      <c r="A21" s="221">
        <v>18</v>
      </c>
      <c r="B21" s="219">
        <v>46103</v>
      </c>
      <c r="C21" s="6"/>
      <c r="D21" s="6"/>
      <c r="E21" s="65">
        <v>43.73</v>
      </c>
      <c r="F21" s="6">
        <v>91.46</v>
      </c>
      <c r="G21" s="66">
        <f t="shared" si="3"/>
        <v>3999.5457999999994</v>
      </c>
      <c r="H21" s="65"/>
      <c r="I21" s="6"/>
      <c r="J21" s="66">
        <f t="shared" si="0"/>
        <v>0</v>
      </c>
      <c r="K21" s="66">
        <f t="shared" si="1"/>
        <v>3999.5457999999994</v>
      </c>
      <c r="L21" s="162">
        <v>0</v>
      </c>
      <c r="M21" s="302">
        <f t="shared" si="4"/>
        <v>69036.512499999983</v>
      </c>
      <c r="N21" s="46" t="s">
        <v>235</v>
      </c>
      <c r="O21" s="5"/>
    </row>
    <row r="22" spans="1:15">
      <c r="A22" s="221">
        <v>19</v>
      </c>
      <c r="B22" s="219">
        <v>46104</v>
      </c>
      <c r="C22" s="6"/>
      <c r="D22" s="6"/>
      <c r="E22" s="65"/>
      <c r="F22" s="6"/>
      <c r="G22" s="66">
        <f t="shared" si="3"/>
        <v>0</v>
      </c>
      <c r="H22" s="65">
        <v>8</v>
      </c>
      <c r="I22" s="6">
        <v>103.4</v>
      </c>
      <c r="J22" s="66">
        <f t="shared" si="0"/>
        <v>827.2</v>
      </c>
      <c r="K22" s="66">
        <f t="shared" si="1"/>
        <v>827.2</v>
      </c>
      <c r="L22" s="162">
        <v>60000</v>
      </c>
      <c r="M22" s="302">
        <f t="shared" si="4"/>
        <v>9863.7124999999796</v>
      </c>
      <c r="N22" s="46" t="s">
        <v>235</v>
      </c>
      <c r="O22" s="5"/>
    </row>
    <row r="23" spans="1:15">
      <c r="A23" s="221">
        <v>20</v>
      </c>
      <c r="B23" s="219">
        <v>46105</v>
      </c>
      <c r="C23" s="6"/>
      <c r="D23" s="6"/>
      <c r="E23" s="65">
        <v>82.72999999999999</v>
      </c>
      <c r="F23" s="6">
        <v>91.46</v>
      </c>
      <c r="G23" s="66">
        <f t="shared" si="3"/>
        <v>7566.4857999999986</v>
      </c>
      <c r="H23" s="65"/>
      <c r="I23" s="6"/>
      <c r="J23" s="66">
        <f t="shared" si="0"/>
        <v>0</v>
      </c>
      <c r="K23" s="66">
        <f t="shared" si="1"/>
        <v>7566.4857999999986</v>
      </c>
      <c r="L23" s="162">
        <v>0</v>
      </c>
      <c r="M23" s="302">
        <f t="shared" si="4"/>
        <v>17430.198299999978</v>
      </c>
      <c r="N23" s="46"/>
      <c r="O23" s="5"/>
    </row>
    <row r="24" spans="1:15">
      <c r="A24" s="221">
        <v>21</v>
      </c>
      <c r="B24" s="219">
        <v>46106</v>
      </c>
      <c r="C24" s="6"/>
      <c r="D24" s="6"/>
      <c r="E24" s="65">
        <v>190</v>
      </c>
      <c r="F24" s="6">
        <v>91.46</v>
      </c>
      <c r="G24" s="66">
        <f t="shared" si="3"/>
        <v>17377.399999999998</v>
      </c>
      <c r="H24" s="65">
        <v>7</v>
      </c>
      <c r="I24" s="6">
        <v>103.4</v>
      </c>
      <c r="J24" s="66">
        <f t="shared" si="0"/>
        <v>723.80000000000007</v>
      </c>
      <c r="K24" s="66">
        <f t="shared" si="1"/>
        <v>18101.199999999997</v>
      </c>
      <c r="L24" s="162">
        <v>0</v>
      </c>
      <c r="M24" s="302">
        <f t="shared" si="4"/>
        <v>35531.398299999972</v>
      </c>
      <c r="N24" s="46"/>
      <c r="O24" s="5"/>
    </row>
    <row r="25" spans="1:15">
      <c r="A25" s="46">
        <v>22</v>
      </c>
      <c r="B25" s="337">
        <v>46108</v>
      </c>
      <c r="C25" s="338"/>
      <c r="D25" s="338"/>
      <c r="E25" s="65"/>
      <c r="F25" s="6"/>
      <c r="G25" s="66">
        <f t="shared" si="3"/>
        <v>0</v>
      </c>
      <c r="H25" s="65">
        <v>9.64</v>
      </c>
      <c r="I25" s="6">
        <v>103.4</v>
      </c>
      <c r="J25" s="66">
        <f t="shared" si="0"/>
        <v>996.77600000000007</v>
      </c>
      <c r="K25" s="66">
        <f t="shared" si="1"/>
        <v>996.77600000000007</v>
      </c>
      <c r="L25" s="162">
        <v>0</v>
      </c>
      <c r="M25" s="259">
        <f t="shared" si="4"/>
        <v>36528.17429999997</v>
      </c>
      <c r="N25" s="46"/>
      <c r="O25" s="5"/>
    </row>
    <row r="26" spans="1:15">
      <c r="A26" s="46">
        <v>23</v>
      </c>
      <c r="B26" s="337">
        <v>46110</v>
      </c>
      <c r="C26" s="6"/>
      <c r="D26" s="6"/>
      <c r="E26" s="65">
        <v>39.96</v>
      </c>
      <c r="F26" s="6">
        <v>91.46</v>
      </c>
      <c r="G26" s="66">
        <f t="shared" si="3"/>
        <v>3654.7415999999998</v>
      </c>
      <c r="H26" s="65"/>
      <c r="I26" s="6"/>
      <c r="J26" s="66">
        <f t="shared" si="0"/>
        <v>0</v>
      </c>
      <c r="K26" s="66">
        <f t="shared" si="1"/>
        <v>3654.7415999999998</v>
      </c>
      <c r="L26" s="162">
        <v>0</v>
      </c>
      <c r="M26" s="259">
        <f t="shared" si="4"/>
        <v>40182.915899999971</v>
      </c>
      <c r="N26" s="6"/>
      <c r="O26" s="5"/>
    </row>
    <row r="27" spans="1:15">
      <c r="A27" s="46">
        <v>24</v>
      </c>
      <c r="B27" s="337">
        <v>46111</v>
      </c>
      <c r="C27" s="6"/>
      <c r="D27" s="6"/>
      <c r="E27" s="65">
        <v>5</v>
      </c>
      <c r="F27" s="6">
        <v>91.46</v>
      </c>
      <c r="G27" s="66">
        <f t="shared" si="3"/>
        <v>457.29999999999995</v>
      </c>
      <c r="H27" s="65"/>
      <c r="I27" s="6"/>
      <c r="J27" s="66">
        <f t="shared" si="0"/>
        <v>0</v>
      </c>
      <c r="K27" s="66">
        <f t="shared" si="1"/>
        <v>457.29999999999995</v>
      </c>
      <c r="L27" s="162">
        <v>40000</v>
      </c>
      <c r="M27" s="259">
        <f t="shared" si="4"/>
        <v>640.21589999997377</v>
      </c>
      <c r="N27" s="6"/>
      <c r="O27" s="5"/>
    </row>
    <row r="28" spans="1:15">
      <c r="A28" s="221">
        <v>25</v>
      </c>
      <c r="B28" s="337"/>
      <c r="C28" s="6"/>
      <c r="D28" s="6"/>
      <c r="E28" s="65"/>
      <c r="F28" s="6"/>
      <c r="G28" s="66">
        <f t="shared" si="3"/>
        <v>0</v>
      </c>
      <c r="H28" s="65">
        <v>6.3</v>
      </c>
      <c r="I28" s="6">
        <v>103.4</v>
      </c>
      <c r="J28" s="66">
        <f t="shared" si="0"/>
        <v>651.42000000000007</v>
      </c>
      <c r="K28" s="66">
        <f t="shared" si="1"/>
        <v>651.42000000000007</v>
      </c>
      <c r="L28" s="162">
        <v>0</v>
      </c>
      <c r="M28" s="259">
        <f t="shared" si="4"/>
        <v>1291.6358999999738</v>
      </c>
      <c r="N28" s="6"/>
      <c r="O28" s="5"/>
    </row>
    <row r="29" spans="1:15">
      <c r="A29" s="221">
        <v>26</v>
      </c>
      <c r="B29" s="219"/>
      <c r="C29" s="6"/>
      <c r="D29" s="6"/>
      <c r="E29" s="65"/>
      <c r="F29" s="6"/>
      <c r="G29" s="66">
        <f t="shared" si="3"/>
        <v>0</v>
      </c>
      <c r="H29" s="65"/>
      <c r="I29" s="6"/>
      <c r="J29" s="66">
        <f t="shared" si="0"/>
        <v>0</v>
      </c>
      <c r="K29" s="66">
        <f t="shared" si="1"/>
        <v>0</v>
      </c>
      <c r="L29" s="162">
        <v>0</v>
      </c>
      <c r="M29" s="259">
        <f t="shared" si="4"/>
        <v>1291.6358999999738</v>
      </c>
      <c r="N29" s="6"/>
      <c r="O29" s="5"/>
    </row>
    <row r="30" spans="1:15">
      <c r="A30" s="221">
        <v>27</v>
      </c>
      <c r="B30" s="219"/>
      <c r="C30" s="6"/>
      <c r="D30" s="6"/>
      <c r="E30" s="65"/>
      <c r="F30" s="6"/>
      <c r="G30" s="66">
        <f t="shared" si="3"/>
        <v>0</v>
      </c>
      <c r="H30" s="65"/>
      <c r="I30" s="6"/>
      <c r="J30" s="66">
        <f t="shared" si="0"/>
        <v>0</v>
      </c>
      <c r="K30" s="66">
        <f t="shared" si="1"/>
        <v>0</v>
      </c>
      <c r="L30" s="162">
        <v>0</v>
      </c>
      <c r="M30" s="259">
        <f t="shared" si="4"/>
        <v>1291.6358999999738</v>
      </c>
      <c r="N30" s="6"/>
      <c r="O30" s="5"/>
    </row>
    <row r="31" spans="1:15">
      <c r="A31" s="221">
        <v>28</v>
      </c>
      <c r="B31" s="219"/>
      <c r="C31" s="6"/>
      <c r="D31" s="6"/>
      <c r="E31" s="65"/>
      <c r="F31" s="6"/>
      <c r="G31" s="66">
        <v>0</v>
      </c>
      <c r="H31" s="65"/>
      <c r="I31" s="6"/>
      <c r="J31" s="66">
        <f t="shared" si="0"/>
        <v>0</v>
      </c>
      <c r="K31" s="66">
        <f t="shared" si="1"/>
        <v>0</v>
      </c>
      <c r="L31" s="162">
        <v>0</v>
      </c>
      <c r="M31" s="259">
        <f t="shared" si="4"/>
        <v>1291.6358999999738</v>
      </c>
      <c r="N31" s="6"/>
      <c r="O31" s="5"/>
    </row>
    <row r="32" spans="1:15">
      <c r="A32" s="222">
        <v>29</v>
      </c>
      <c r="B32" s="219"/>
      <c r="C32" s="6"/>
      <c r="D32" s="6"/>
      <c r="E32" s="65"/>
      <c r="F32" s="6"/>
      <c r="G32" s="66">
        <v>0</v>
      </c>
      <c r="H32" s="65"/>
      <c r="I32" s="6"/>
      <c r="J32" s="66">
        <f t="shared" si="0"/>
        <v>0</v>
      </c>
      <c r="K32" s="66">
        <f t="shared" si="1"/>
        <v>0</v>
      </c>
      <c r="L32" s="162">
        <v>0</v>
      </c>
      <c r="M32" s="259">
        <f t="shared" si="4"/>
        <v>1291.6358999999738</v>
      </c>
      <c r="N32" s="6"/>
      <c r="O32" s="5"/>
    </row>
    <row r="33" spans="1:15">
      <c r="A33" s="222">
        <v>30</v>
      </c>
      <c r="B33" s="219"/>
      <c r="C33" s="6"/>
      <c r="D33" s="6"/>
      <c r="E33" s="65"/>
      <c r="F33" s="6"/>
      <c r="G33" s="66">
        <v>0</v>
      </c>
      <c r="H33" s="65"/>
      <c r="I33" s="6"/>
      <c r="J33" s="66">
        <f t="shared" si="0"/>
        <v>0</v>
      </c>
      <c r="K33" s="66">
        <f t="shared" si="1"/>
        <v>0</v>
      </c>
      <c r="L33" s="162">
        <v>0</v>
      </c>
      <c r="M33" s="259">
        <f t="shared" si="4"/>
        <v>1291.6358999999738</v>
      </c>
      <c r="N33" s="6"/>
      <c r="O33" s="5"/>
    </row>
    <row r="34" spans="1:15">
      <c r="A34" s="222">
        <v>31</v>
      </c>
      <c r="B34" s="219"/>
      <c r="C34" s="6"/>
      <c r="D34" s="6"/>
      <c r="E34" s="65"/>
      <c r="F34" s="6"/>
      <c r="G34" s="66">
        <v>0</v>
      </c>
      <c r="H34" s="65"/>
      <c r="I34" s="6"/>
      <c r="J34" s="66">
        <f t="shared" si="0"/>
        <v>0</v>
      </c>
      <c r="K34" s="66">
        <f t="shared" si="1"/>
        <v>0</v>
      </c>
      <c r="L34" s="162">
        <v>0</v>
      </c>
      <c r="M34" s="259">
        <f t="shared" si="4"/>
        <v>1291.6358999999738</v>
      </c>
      <c r="N34" s="6"/>
      <c r="O34" s="5"/>
    </row>
    <row r="35" spans="1:15">
      <c r="A35" s="6">
        <v>35</v>
      </c>
      <c r="B35" s="78"/>
      <c r="C35" s="6"/>
      <c r="D35" s="6"/>
      <c r="E35" s="65"/>
      <c r="F35" s="6"/>
      <c r="G35" s="66">
        <v>0</v>
      </c>
      <c r="H35" s="65"/>
      <c r="I35" s="6"/>
      <c r="J35" s="66">
        <f t="shared" si="0"/>
        <v>0</v>
      </c>
      <c r="K35" s="66">
        <f t="shared" si="1"/>
        <v>0</v>
      </c>
      <c r="L35" s="162">
        <v>0</v>
      </c>
      <c r="M35" s="259">
        <f t="shared" si="4"/>
        <v>1291.6358999999738</v>
      </c>
      <c r="N35" s="6"/>
      <c r="O35" s="5"/>
    </row>
    <row r="36" spans="1:15">
      <c r="A36" s="6">
        <v>36</v>
      </c>
      <c r="B36" s="78"/>
      <c r="C36" s="6"/>
      <c r="D36" s="6"/>
      <c r="E36" s="65"/>
      <c r="F36" s="6"/>
      <c r="G36" s="66">
        <v>0</v>
      </c>
      <c r="H36" s="65"/>
      <c r="I36" s="6"/>
      <c r="J36" s="66">
        <f t="shared" si="0"/>
        <v>0</v>
      </c>
      <c r="K36" s="66">
        <f t="shared" si="1"/>
        <v>0</v>
      </c>
      <c r="L36" s="162">
        <v>0</v>
      </c>
      <c r="M36" s="259">
        <f t="shared" si="4"/>
        <v>1291.6358999999738</v>
      </c>
      <c r="N36" s="6"/>
      <c r="O36" s="5"/>
    </row>
    <row r="37" spans="1:15">
      <c r="A37" s="6">
        <v>37</v>
      </c>
      <c r="B37" s="78"/>
      <c r="C37" s="6"/>
      <c r="D37" s="6"/>
      <c r="E37" s="65"/>
      <c r="F37" s="6"/>
      <c r="G37" s="66">
        <v>0</v>
      </c>
      <c r="H37" s="65"/>
      <c r="I37" s="6"/>
      <c r="J37" s="66">
        <f t="shared" si="0"/>
        <v>0</v>
      </c>
      <c r="K37" s="66">
        <f t="shared" si="1"/>
        <v>0</v>
      </c>
      <c r="L37" s="162">
        <v>0</v>
      </c>
      <c r="M37" s="259">
        <f t="shared" si="4"/>
        <v>1291.6358999999738</v>
      </c>
      <c r="N37" s="6"/>
      <c r="O37" s="5"/>
    </row>
    <row r="38" spans="1:15">
      <c r="A38" s="6">
        <v>38</v>
      </c>
      <c r="B38" s="78"/>
      <c r="C38" s="6"/>
      <c r="D38" s="6"/>
      <c r="E38" s="65"/>
      <c r="F38" s="6"/>
      <c r="G38" s="66">
        <v>0</v>
      </c>
      <c r="H38" s="65"/>
      <c r="I38" s="6"/>
      <c r="J38" s="66">
        <f t="shared" si="0"/>
        <v>0</v>
      </c>
      <c r="K38" s="66">
        <f t="shared" si="1"/>
        <v>0</v>
      </c>
      <c r="L38" s="162">
        <v>0</v>
      </c>
      <c r="M38" s="259">
        <f t="shared" si="4"/>
        <v>1291.6358999999738</v>
      </c>
      <c r="N38" s="6"/>
      <c r="O38" s="5"/>
    </row>
    <row r="39" spans="1:15">
      <c r="A39" s="169">
        <v>39</v>
      </c>
      <c r="B39" s="170"/>
      <c r="C39" s="169"/>
      <c r="D39" s="6"/>
      <c r="E39" s="65"/>
      <c r="F39" s="6"/>
      <c r="G39" s="66">
        <v>0</v>
      </c>
      <c r="H39" s="65"/>
      <c r="I39" s="6"/>
      <c r="J39" s="66">
        <f t="shared" si="0"/>
        <v>0</v>
      </c>
      <c r="K39" s="66">
        <f t="shared" si="1"/>
        <v>0</v>
      </c>
      <c r="L39" s="162">
        <v>0</v>
      </c>
      <c r="M39" s="259">
        <f t="shared" si="4"/>
        <v>1291.6358999999738</v>
      </c>
      <c r="N39" s="169"/>
      <c r="O39" s="5"/>
    </row>
    <row r="40" spans="1:15">
      <c r="A40" s="6">
        <v>40</v>
      </c>
      <c r="B40" s="6"/>
      <c r="C40" s="6"/>
      <c r="D40" s="6"/>
      <c r="E40" s="65"/>
      <c r="F40" s="6"/>
      <c r="G40" s="66">
        <v>0</v>
      </c>
      <c r="H40" s="65"/>
      <c r="I40" s="6"/>
      <c r="J40" s="66">
        <f t="shared" si="0"/>
        <v>0</v>
      </c>
      <c r="K40" s="66">
        <f t="shared" si="1"/>
        <v>0</v>
      </c>
      <c r="L40" s="162">
        <v>0</v>
      </c>
      <c r="M40" s="259">
        <f t="shared" si="4"/>
        <v>1291.6358999999738</v>
      </c>
      <c r="N40" s="6"/>
      <c r="O40" s="5"/>
    </row>
    <row r="41" spans="1:15">
      <c r="A41" s="169">
        <v>41</v>
      </c>
      <c r="B41" s="169"/>
      <c r="C41" s="169"/>
      <c r="D41" s="6"/>
      <c r="E41" s="65"/>
      <c r="F41" s="6"/>
      <c r="G41" s="66">
        <v>0</v>
      </c>
      <c r="H41" s="65"/>
      <c r="I41" s="6"/>
      <c r="J41" s="66">
        <f t="shared" si="0"/>
        <v>0</v>
      </c>
      <c r="K41" s="66">
        <f t="shared" si="1"/>
        <v>0</v>
      </c>
      <c r="L41" s="162">
        <v>0</v>
      </c>
      <c r="M41" s="259">
        <f t="shared" si="4"/>
        <v>1291.6358999999738</v>
      </c>
      <c r="N41" s="169"/>
      <c r="O41" s="5"/>
    </row>
    <row r="42" spans="1:15">
      <c r="A42" s="169">
        <v>42</v>
      </c>
      <c r="B42" s="169"/>
      <c r="C42" s="169"/>
      <c r="D42" s="6"/>
      <c r="E42" s="65"/>
      <c r="F42" s="6"/>
      <c r="G42" s="66">
        <f t="shared" ref="G42" si="5">E42*F42</f>
        <v>0</v>
      </c>
      <c r="H42" s="65"/>
      <c r="I42" s="6"/>
      <c r="J42" s="66">
        <f t="shared" ref="J42" si="6">H42*I42</f>
        <v>0</v>
      </c>
      <c r="K42" s="171">
        <f t="shared" ref="K42" si="7">G42+J42</f>
        <v>0</v>
      </c>
      <c r="L42" s="172">
        <f t="shared" ref="L42" si="8">+K42</f>
        <v>0</v>
      </c>
      <c r="M42" s="259">
        <f t="shared" si="4"/>
        <v>1291.6358999999738</v>
      </c>
      <c r="N42" s="169"/>
      <c r="O42" s="5"/>
    </row>
    <row r="43" spans="1:15">
      <c r="A43" s="62"/>
      <c r="B43" s="62"/>
      <c r="C43" s="62"/>
      <c r="D43" s="62"/>
      <c r="E43" s="63">
        <f>SUM(E4:E42)</f>
        <v>1435.0500000000002</v>
      </c>
      <c r="F43" s="63"/>
      <c r="G43" s="63">
        <f>SUM(G4:G42)</f>
        <v>131249.67299999998</v>
      </c>
      <c r="H43" s="63">
        <f>SUM(H4:H42)</f>
        <v>124.94</v>
      </c>
      <c r="I43" s="63"/>
      <c r="J43" s="63">
        <f>SUM(J4:J42)</f>
        <v>12918.795999999998</v>
      </c>
      <c r="K43" s="63">
        <f>SUM(K4:K42)</f>
        <v>144168.46900000001</v>
      </c>
      <c r="L43" s="63">
        <f>SUM(L4:L42)</f>
        <v>200000</v>
      </c>
      <c r="M43" s="63"/>
      <c r="N43" s="63"/>
      <c r="O43" s="59"/>
    </row>
    <row r="44" spans="1:15">
      <c r="A44" s="5"/>
      <c r="B44" s="5"/>
      <c r="C44" s="5"/>
      <c r="D44" s="5"/>
      <c r="E44" s="5"/>
      <c r="F44" s="5"/>
      <c r="G44" s="102"/>
      <c r="H44" s="5"/>
      <c r="I44" s="5"/>
      <c r="J44" s="102"/>
      <c r="K44" s="5"/>
      <c r="L44" s="102"/>
      <c r="M44" s="102"/>
      <c r="N44" s="5"/>
      <c r="O44" s="5"/>
    </row>
    <row r="45" spans="1:15">
      <c r="A45" s="5"/>
      <c r="B45" s="5"/>
      <c r="C45" s="5"/>
      <c r="D45" s="5"/>
      <c r="E45" s="5"/>
      <c r="F45" s="5"/>
      <c r="G45" s="102"/>
      <c r="H45" s="5"/>
      <c r="I45" s="5"/>
      <c r="J45" s="102"/>
      <c r="K45" s="5"/>
      <c r="L45" s="102"/>
      <c r="M45" s="102"/>
      <c r="N45" s="5"/>
      <c r="O45" s="5"/>
    </row>
    <row r="46" spans="1:15">
      <c r="L46">
        <v>41648.541499999999</v>
      </c>
    </row>
    <row r="47" spans="1:15">
      <c r="L47" s="174">
        <f>L43+L46</f>
        <v>241648.54149999999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topLeftCell="A25" workbookViewId="0">
      <selection activeCell="Q40" sqref="Q40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469" t="s">
        <v>157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</row>
    <row r="2" spans="1:18" ht="45">
      <c r="A2" s="64" t="s">
        <v>0</v>
      </c>
      <c r="B2" s="83" t="s">
        <v>161</v>
      </c>
      <c r="C2" s="83" t="s">
        <v>162</v>
      </c>
      <c r="D2" s="83" t="s">
        <v>180</v>
      </c>
      <c r="E2" s="83" t="s">
        <v>164</v>
      </c>
      <c r="F2" s="83" t="s">
        <v>165</v>
      </c>
      <c r="G2" s="90" t="s">
        <v>166</v>
      </c>
      <c r="H2" s="83" t="s">
        <v>167</v>
      </c>
      <c r="I2" s="83" t="s">
        <v>165</v>
      </c>
      <c r="J2" s="90" t="s">
        <v>166</v>
      </c>
      <c r="K2" s="64" t="s">
        <v>168</v>
      </c>
      <c r="L2" s="91" t="s">
        <v>169</v>
      </c>
      <c r="M2" s="85" t="s">
        <v>181</v>
      </c>
      <c r="N2" s="83" t="s">
        <v>171</v>
      </c>
    </row>
    <row r="3" spans="1:18">
      <c r="A3" s="493" t="s">
        <v>172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5"/>
      <c r="M3" s="496">
        <v>39139.75</v>
      </c>
      <c r="N3" s="497"/>
    </row>
    <row r="4" spans="1:18">
      <c r="A4" s="196">
        <v>1</v>
      </c>
      <c r="B4" s="219">
        <v>46082</v>
      </c>
      <c r="C4" s="6"/>
      <c r="D4" s="6"/>
      <c r="E4" s="65">
        <v>15</v>
      </c>
      <c r="F4" s="317">
        <v>91.62</v>
      </c>
      <c r="G4" s="66">
        <f>E4*F4</f>
        <v>1374.3000000000002</v>
      </c>
      <c r="H4" s="65"/>
      <c r="I4" s="6"/>
      <c r="J4" s="66">
        <f>H4*I4</f>
        <v>0</v>
      </c>
      <c r="K4" s="66">
        <f>G4+J4</f>
        <v>1374.3000000000002</v>
      </c>
      <c r="L4" s="162">
        <v>0</v>
      </c>
      <c r="M4" s="149">
        <f>M3+K4-L4</f>
        <v>40514.050000000003</v>
      </c>
      <c r="N4" s="46" t="s">
        <v>235</v>
      </c>
    </row>
    <row r="5" spans="1:18">
      <c r="A5" s="46">
        <v>2</v>
      </c>
      <c r="B5" s="219">
        <v>46083</v>
      </c>
      <c r="C5" s="6"/>
      <c r="D5" s="6"/>
      <c r="E5" s="65">
        <v>62.68</v>
      </c>
      <c r="F5" s="317">
        <v>91.62</v>
      </c>
      <c r="G5" s="66">
        <f t="shared" ref="G5:G40" si="0">E5*F5</f>
        <v>5742.7416000000003</v>
      </c>
      <c r="H5" s="65"/>
      <c r="I5" s="6"/>
      <c r="J5" s="66">
        <f t="shared" ref="J5:J40" si="1">H5*I5</f>
        <v>0</v>
      </c>
      <c r="K5" s="66">
        <f t="shared" ref="K5:K40" si="2">G5+J5</f>
        <v>5742.7416000000003</v>
      </c>
      <c r="L5" s="162">
        <v>0</v>
      </c>
      <c r="M5" s="149">
        <f t="shared" ref="M5:M33" si="3">M4+K5-L5</f>
        <v>46256.791600000004</v>
      </c>
      <c r="N5" s="46" t="s">
        <v>235</v>
      </c>
    </row>
    <row r="6" spans="1:18">
      <c r="A6" s="46">
        <v>3</v>
      </c>
      <c r="B6" s="219">
        <v>46084</v>
      </c>
      <c r="C6" s="6"/>
      <c r="D6" s="6"/>
      <c r="E6" s="65"/>
      <c r="F6" s="317"/>
      <c r="G6" s="66">
        <f t="shared" si="0"/>
        <v>0</v>
      </c>
      <c r="H6" s="65"/>
      <c r="I6" s="6"/>
      <c r="J6" s="66">
        <f t="shared" si="1"/>
        <v>0</v>
      </c>
      <c r="K6" s="66">
        <f t="shared" si="2"/>
        <v>0</v>
      </c>
      <c r="L6" s="162">
        <v>0</v>
      </c>
      <c r="M6" s="149">
        <f t="shared" si="3"/>
        <v>46256.791600000004</v>
      </c>
      <c r="N6" s="46" t="s">
        <v>235</v>
      </c>
    </row>
    <row r="7" spans="1:18">
      <c r="A7" s="46">
        <v>4</v>
      </c>
      <c r="B7" s="219">
        <v>46085</v>
      </c>
      <c r="C7" s="6"/>
      <c r="D7" s="6"/>
      <c r="E7" s="65"/>
      <c r="F7" s="317"/>
      <c r="G7" s="66">
        <f t="shared" si="0"/>
        <v>0</v>
      </c>
      <c r="H7" s="65"/>
      <c r="I7" s="6"/>
      <c r="J7" s="66">
        <f t="shared" si="1"/>
        <v>0</v>
      </c>
      <c r="K7" s="66">
        <f t="shared" si="2"/>
        <v>0</v>
      </c>
      <c r="L7" s="162">
        <v>0</v>
      </c>
      <c r="M7" s="149">
        <f>M6+K7-L7</f>
        <v>46256.791600000004</v>
      </c>
      <c r="N7" s="46" t="s">
        <v>235</v>
      </c>
    </row>
    <row r="8" spans="1:18">
      <c r="A8" s="46">
        <v>5</v>
      </c>
      <c r="B8" s="219">
        <v>46086</v>
      </c>
      <c r="C8" s="6"/>
      <c r="D8" s="6"/>
      <c r="E8" s="65">
        <v>54.15</v>
      </c>
      <c r="F8" s="317">
        <v>91.62</v>
      </c>
      <c r="G8" s="66">
        <f t="shared" si="0"/>
        <v>4961.223</v>
      </c>
      <c r="H8" s="65">
        <v>7.07</v>
      </c>
      <c r="I8" s="6">
        <v>103.57</v>
      </c>
      <c r="J8" s="66">
        <f t="shared" si="1"/>
        <v>732.23990000000003</v>
      </c>
      <c r="K8" s="66">
        <f t="shared" si="2"/>
        <v>5693.4629000000004</v>
      </c>
      <c r="L8" s="162">
        <v>0</v>
      </c>
      <c r="M8" s="149">
        <f t="shared" si="3"/>
        <v>51950.254500000003</v>
      </c>
      <c r="N8" s="46" t="s">
        <v>235</v>
      </c>
    </row>
    <row r="9" spans="1:18">
      <c r="A9" s="46">
        <v>6</v>
      </c>
      <c r="B9" s="219">
        <v>46087</v>
      </c>
      <c r="C9" s="6"/>
      <c r="D9" s="6"/>
      <c r="E9" s="65">
        <v>34.25</v>
      </c>
      <c r="F9" s="317">
        <v>91.62</v>
      </c>
      <c r="G9" s="66">
        <f t="shared" si="0"/>
        <v>3137.9850000000001</v>
      </c>
      <c r="H9" s="65">
        <v>4.83</v>
      </c>
      <c r="I9" s="6">
        <v>103.57</v>
      </c>
      <c r="J9" s="66">
        <f t="shared" si="1"/>
        <v>500.24309999999997</v>
      </c>
      <c r="K9" s="66">
        <f t="shared" si="2"/>
        <v>3638.2281000000003</v>
      </c>
      <c r="L9" s="162">
        <v>0</v>
      </c>
      <c r="M9" s="149">
        <f t="shared" si="3"/>
        <v>55588.482600000003</v>
      </c>
      <c r="N9" s="46" t="s">
        <v>235</v>
      </c>
    </row>
    <row r="10" spans="1:18">
      <c r="A10" s="46">
        <v>7</v>
      </c>
      <c r="B10" s="219">
        <v>46088</v>
      </c>
      <c r="C10" s="6"/>
      <c r="D10" s="6"/>
      <c r="E10" s="65">
        <v>0</v>
      </c>
      <c r="F10" s="317">
        <v>0</v>
      </c>
      <c r="G10" s="66">
        <f t="shared" si="0"/>
        <v>0</v>
      </c>
      <c r="H10" s="65"/>
      <c r="I10" s="6"/>
      <c r="J10" s="66">
        <f t="shared" si="1"/>
        <v>0</v>
      </c>
      <c r="K10" s="66">
        <f t="shared" si="2"/>
        <v>0</v>
      </c>
      <c r="L10" s="162">
        <v>0</v>
      </c>
      <c r="M10" s="149">
        <f t="shared" si="3"/>
        <v>55588.482600000003</v>
      </c>
      <c r="N10" s="46" t="s">
        <v>235</v>
      </c>
    </row>
    <row r="11" spans="1:18">
      <c r="A11" s="46">
        <v>8</v>
      </c>
      <c r="B11" s="219">
        <v>46089</v>
      </c>
      <c r="C11" s="6"/>
      <c r="D11" s="6"/>
      <c r="E11" s="65"/>
      <c r="F11" s="317"/>
      <c r="G11" s="66">
        <f t="shared" si="0"/>
        <v>0</v>
      </c>
      <c r="H11" s="65"/>
      <c r="I11" s="6"/>
      <c r="J11" s="66">
        <f t="shared" si="1"/>
        <v>0</v>
      </c>
      <c r="K11" s="66">
        <f t="shared" si="2"/>
        <v>0</v>
      </c>
      <c r="L11" s="162">
        <v>0</v>
      </c>
      <c r="M11" s="149">
        <f t="shared" si="3"/>
        <v>55588.482600000003</v>
      </c>
      <c r="N11" s="46" t="s">
        <v>235</v>
      </c>
    </row>
    <row r="12" spans="1:18">
      <c r="A12" s="46">
        <v>9</v>
      </c>
      <c r="B12" s="219">
        <v>46090</v>
      </c>
      <c r="C12" s="6"/>
      <c r="D12" s="6"/>
      <c r="E12" s="65">
        <v>25</v>
      </c>
      <c r="F12" s="317">
        <v>91.62</v>
      </c>
      <c r="G12" s="66">
        <f t="shared" si="0"/>
        <v>2290.5</v>
      </c>
      <c r="H12" s="65"/>
      <c r="I12" s="6"/>
      <c r="J12" s="66">
        <f t="shared" si="1"/>
        <v>0</v>
      </c>
      <c r="K12" s="66">
        <f t="shared" si="2"/>
        <v>2290.5</v>
      </c>
      <c r="L12" s="162">
        <v>0</v>
      </c>
      <c r="M12" s="149">
        <f t="shared" si="3"/>
        <v>57878.982600000003</v>
      </c>
      <c r="N12" s="46" t="s">
        <v>235</v>
      </c>
      <c r="R12" s="238"/>
    </row>
    <row r="13" spans="1:18">
      <c r="A13" s="46">
        <v>10</v>
      </c>
      <c r="B13" s="219">
        <v>46091</v>
      </c>
      <c r="C13" s="6"/>
      <c r="D13" s="6"/>
      <c r="E13" s="65"/>
      <c r="F13" s="317"/>
      <c r="G13" s="66">
        <f t="shared" si="0"/>
        <v>0</v>
      </c>
      <c r="H13" s="65"/>
      <c r="I13" s="6"/>
      <c r="J13" s="66">
        <f t="shared" si="1"/>
        <v>0</v>
      </c>
      <c r="K13" s="66">
        <f t="shared" si="2"/>
        <v>0</v>
      </c>
      <c r="L13" s="162">
        <v>0</v>
      </c>
      <c r="M13" s="149">
        <f t="shared" si="3"/>
        <v>57878.982600000003</v>
      </c>
      <c r="N13" s="46" t="s">
        <v>235</v>
      </c>
    </row>
    <row r="14" spans="1:18">
      <c r="A14" s="46">
        <v>11</v>
      </c>
      <c r="B14" s="219">
        <v>46092</v>
      </c>
      <c r="C14" s="6"/>
      <c r="D14" s="6"/>
      <c r="E14" s="65">
        <v>32.74</v>
      </c>
      <c r="F14" s="317">
        <v>91.62</v>
      </c>
      <c r="G14" s="66">
        <f t="shared" si="0"/>
        <v>2999.6388000000002</v>
      </c>
      <c r="H14" s="65"/>
      <c r="I14" s="6"/>
      <c r="J14" s="66">
        <f t="shared" si="1"/>
        <v>0</v>
      </c>
      <c r="K14" s="66">
        <f t="shared" si="2"/>
        <v>2999.6388000000002</v>
      </c>
      <c r="L14" s="162">
        <v>0</v>
      </c>
      <c r="M14" s="149">
        <f t="shared" si="3"/>
        <v>60878.621400000004</v>
      </c>
      <c r="N14" s="46" t="s">
        <v>235</v>
      </c>
    </row>
    <row r="15" spans="1:18">
      <c r="A15" s="46">
        <v>12</v>
      </c>
      <c r="B15" s="219">
        <v>46093</v>
      </c>
      <c r="C15" s="6"/>
      <c r="D15" s="6"/>
      <c r="E15" s="65"/>
      <c r="F15" s="317"/>
      <c r="G15" s="66">
        <f t="shared" si="0"/>
        <v>0</v>
      </c>
      <c r="H15" s="65">
        <v>12.95</v>
      </c>
      <c r="I15" s="6">
        <v>103.57</v>
      </c>
      <c r="J15" s="66">
        <f t="shared" si="1"/>
        <v>1341.2314999999999</v>
      </c>
      <c r="K15" s="66">
        <f t="shared" si="2"/>
        <v>1341.2314999999999</v>
      </c>
      <c r="L15" s="162">
        <v>0</v>
      </c>
      <c r="M15" s="149">
        <f>M14+K15-L15</f>
        <v>62219.852900000005</v>
      </c>
      <c r="N15" s="46" t="s">
        <v>235</v>
      </c>
    </row>
    <row r="16" spans="1:18">
      <c r="A16" s="46">
        <v>13</v>
      </c>
      <c r="B16" s="219">
        <v>46094</v>
      </c>
      <c r="C16" s="6"/>
      <c r="D16" s="6"/>
      <c r="E16" s="65">
        <v>120.03</v>
      </c>
      <c r="F16" s="317">
        <v>91.62</v>
      </c>
      <c r="G16" s="66">
        <f t="shared" si="0"/>
        <v>10997.1486</v>
      </c>
      <c r="H16" s="65"/>
      <c r="I16" s="6"/>
      <c r="J16" s="66">
        <f t="shared" si="1"/>
        <v>0</v>
      </c>
      <c r="K16" s="66">
        <f t="shared" si="2"/>
        <v>10997.1486</v>
      </c>
      <c r="L16" s="162">
        <v>50000</v>
      </c>
      <c r="M16" s="149">
        <f t="shared" si="3"/>
        <v>23217.001500000013</v>
      </c>
      <c r="N16" s="46" t="s">
        <v>235</v>
      </c>
    </row>
    <row r="17" spans="1:14">
      <c r="A17" s="46">
        <v>14</v>
      </c>
      <c r="B17" s="219">
        <v>46095</v>
      </c>
      <c r="C17" s="6"/>
      <c r="D17" s="6"/>
      <c r="E17" s="65"/>
      <c r="F17" s="317"/>
      <c r="G17" s="66">
        <f t="shared" si="0"/>
        <v>0</v>
      </c>
      <c r="H17" s="65"/>
      <c r="I17" s="6"/>
      <c r="J17" s="66">
        <f t="shared" si="1"/>
        <v>0</v>
      </c>
      <c r="K17" s="66">
        <f t="shared" si="2"/>
        <v>0</v>
      </c>
      <c r="L17" s="162">
        <v>0</v>
      </c>
      <c r="M17" s="149">
        <f t="shared" si="3"/>
        <v>23217.001500000013</v>
      </c>
      <c r="N17" s="46" t="s">
        <v>235</v>
      </c>
    </row>
    <row r="18" spans="1:14">
      <c r="A18" s="46">
        <v>15</v>
      </c>
      <c r="B18" s="219">
        <v>46096</v>
      </c>
      <c r="C18" s="6"/>
      <c r="D18" s="6"/>
      <c r="E18" s="65"/>
      <c r="F18" s="317"/>
      <c r="G18" s="66">
        <f t="shared" si="0"/>
        <v>0</v>
      </c>
      <c r="H18" s="65"/>
      <c r="I18" s="6"/>
      <c r="J18" s="66">
        <f t="shared" si="1"/>
        <v>0</v>
      </c>
      <c r="K18" s="66">
        <f t="shared" si="2"/>
        <v>0</v>
      </c>
      <c r="L18" s="162">
        <v>0</v>
      </c>
      <c r="M18" s="149">
        <f t="shared" si="3"/>
        <v>23217.001500000013</v>
      </c>
      <c r="N18" s="46" t="s">
        <v>235</v>
      </c>
    </row>
    <row r="19" spans="1:14">
      <c r="A19" s="46">
        <v>16</v>
      </c>
      <c r="B19" s="219">
        <v>46097</v>
      </c>
      <c r="C19" s="6"/>
      <c r="D19" s="6"/>
      <c r="E19" s="65">
        <v>52.48</v>
      </c>
      <c r="F19" s="317">
        <v>91.62</v>
      </c>
      <c r="G19" s="66">
        <f t="shared" si="0"/>
        <v>4808.2175999999999</v>
      </c>
      <c r="H19" s="65">
        <v>9.66</v>
      </c>
      <c r="I19" s="6">
        <v>103.57</v>
      </c>
      <c r="J19" s="66">
        <f t="shared" si="1"/>
        <v>1000.4861999999999</v>
      </c>
      <c r="K19" s="66">
        <f t="shared" si="2"/>
        <v>5808.7038000000002</v>
      </c>
      <c r="L19" s="162">
        <v>0</v>
      </c>
      <c r="M19" s="149">
        <f t="shared" si="3"/>
        <v>29025.705300000012</v>
      </c>
      <c r="N19" s="46" t="s">
        <v>235</v>
      </c>
    </row>
    <row r="20" spans="1:14">
      <c r="A20" s="46">
        <v>17</v>
      </c>
      <c r="B20" s="219">
        <v>46098</v>
      </c>
      <c r="C20" s="6"/>
      <c r="D20" s="6"/>
      <c r="E20" s="65"/>
      <c r="F20" s="317"/>
      <c r="G20" s="66">
        <f t="shared" si="0"/>
        <v>0</v>
      </c>
      <c r="H20" s="65"/>
      <c r="I20" s="6"/>
      <c r="J20" s="66">
        <f t="shared" si="1"/>
        <v>0</v>
      </c>
      <c r="K20" s="66">
        <f t="shared" si="2"/>
        <v>0</v>
      </c>
      <c r="L20" s="162">
        <v>0</v>
      </c>
      <c r="M20" s="149">
        <f t="shared" si="3"/>
        <v>29025.705300000012</v>
      </c>
      <c r="N20" s="46" t="s">
        <v>235</v>
      </c>
    </row>
    <row r="21" spans="1:14">
      <c r="A21" s="46">
        <v>18</v>
      </c>
      <c r="B21" s="219">
        <v>46099</v>
      </c>
      <c r="C21" s="6"/>
      <c r="D21" s="6"/>
      <c r="E21" s="65">
        <v>21.83</v>
      </c>
      <c r="F21" s="317">
        <v>91.62</v>
      </c>
      <c r="G21" s="66">
        <f t="shared" si="0"/>
        <v>2000.0645999999999</v>
      </c>
      <c r="H21" s="65"/>
      <c r="I21" s="6"/>
      <c r="J21" s="66">
        <f t="shared" si="1"/>
        <v>0</v>
      </c>
      <c r="K21" s="66">
        <f t="shared" si="2"/>
        <v>2000.0645999999999</v>
      </c>
      <c r="L21" s="162">
        <v>0</v>
      </c>
      <c r="M21" s="149">
        <f t="shared" si="3"/>
        <v>31025.769900000014</v>
      </c>
      <c r="N21" s="46" t="s">
        <v>235</v>
      </c>
    </row>
    <row r="22" spans="1:14">
      <c r="A22" s="46">
        <v>19</v>
      </c>
      <c r="B22" s="219">
        <v>46100</v>
      </c>
      <c r="C22" s="6"/>
      <c r="D22" s="6"/>
      <c r="E22" s="65"/>
      <c r="F22" s="317"/>
      <c r="G22" s="66">
        <f t="shared" si="0"/>
        <v>0</v>
      </c>
      <c r="H22" s="65"/>
      <c r="I22" s="6"/>
      <c r="J22" s="66">
        <f t="shared" si="1"/>
        <v>0</v>
      </c>
      <c r="K22" s="66">
        <f t="shared" si="2"/>
        <v>0</v>
      </c>
      <c r="L22" s="162">
        <v>0</v>
      </c>
      <c r="M22" s="149">
        <f t="shared" si="3"/>
        <v>31025.769900000014</v>
      </c>
      <c r="N22" s="46" t="s">
        <v>235</v>
      </c>
    </row>
    <row r="23" spans="1:14">
      <c r="A23" s="46">
        <v>20</v>
      </c>
      <c r="B23" s="219">
        <v>46101</v>
      </c>
      <c r="C23" s="6"/>
      <c r="D23" s="6"/>
      <c r="E23" s="65"/>
      <c r="F23" s="317"/>
      <c r="G23" s="66">
        <f t="shared" si="0"/>
        <v>0</v>
      </c>
      <c r="H23" s="65"/>
      <c r="I23" s="6"/>
      <c r="J23" s="66">
        <f t="shared" si="1"/>
        <v>0</v>
      </c>
      <c r="K23" s="66">
        <f t="shared" si="2"/>
        <v>0</v>
      </c>
      <c r="L23" s="162">
        <v>0</v>
      </c>
      <c r="M23" s="149">
        <f t="shared" si="3"/>
        <v>31025.769900000014</v>
      </c>
      <c r="N23" s="46"/>
    </row>
    <row r="24" spans="1:14">
      <c r="A24" s="46">
        <v>21</v>
      </c>
      <c r="B24" s="219">
        <v>46102</v>
      </c>
      <c r="C24" s="6"/>
      <c r="D24" s="6"/>
      <c r="E24" s="65"/>
      <c r="F24" s="317"/>
      <c r="G24" s="66">
        <f t="shared" si="0"/>
        <v>0</v>
      </c>
      <c r="H24" s="65"/>
      <c r="I24" s="6"/>
      <c r="J24" s="66">
        <f t="shared" si="1"/>
        <v>0</v>
      </c>
      <c r="K24" s="66">
        <f t="shared" si="2"/>
        <v>0</v>
      </c>
      <c r="L24" s="162">
        <v>0</v>
      </c>
      <c r="M24" s="149">
        <f>M23+K24-L24</f>
        <v>31025.769900000014</v>
      </c>
      <c r="N24" s="46"/>
    </row>
    <row r="25" spans="1:14">
      <c r="A25" s="46">
        <v>22</v>
      </c>
      <c r="B25" s="219">
        <v>46103</v>
      </c>
      <c r="C25" s="6"/>
      <c r="D25" s="6"/>
      <c r="E25" s="65"/>
      <c r="F25" s="317"/>
      <c r="G25" s="66">
        <f t="shared" si="0"/>
        <v>0</v>
      </c>
      <c r="H25" s="65"/>
      <c r="I25" s="6"/>
      <c r="J25" s="66">
        <f t="shared" si="1"/>
        <v>0</v>
      </c>
      <c r="K25" s="66">
        <f t="shared" si="2"/>
        <v>0</v>
      </c>
      <c r="L25" s="162">
        <v>0</v>
      </c>
      <c r="M25" s="149">
        <f t="shared" si="3"/>
        <v>31025.769900000014</v>
      </c>
      <c r="N25" s="46"/>
    </row>
    <row r="26" spans="1:14">
      <c r="A26" s="46">
        <v>23</v>
      </c>
      <c r="B26" s="219">
        <v>46104</v>
      </c>
      <c r="C26" s="6"/>
      <c r="D26" s="6"/>
      <c r="E26" s="65"/>
      <c r="F26" s="317"/>
      <c r="G26" s="66">
        <f t="shared" si="0"/>
        <v>0</v>
      </c>
      <c r="H26" s="65"/>
      <c r="I26" s="6"/>
      <c r="J26" s="66">
        <f t="shared" si="1"/>
        <v>0</v>
      </c>
      <c r="K26" s="66">
        <f t="shared" si="2"/>
        <v>0</v>
      </c>
      <c r="L26" s="162">
        <v>0</v>
      </c>
      <c r="M26" s="149">
        <f t="shared" si="3"/>
        <v>31025.769900000014</v>
      </c>
      <c r="N26" s="6"/>
    </row>
    <row r="27" spans="1:14">
      <c r="A27" s="46">
        <v>24</v>
      </c>
      <c r="B27" s="219">
        <v>46105</v>
      </c>
      <c r="C27" s="6"/>
      <c r="D27" s="6"/>
      <c r="E27" s="65">
        <v>21.83</v>
      </c>
      <c r="F27" s="317">
        <v>91.62</v>
      </c>
      <c r="G27" s="66">
        <f t="shared" si="0"/>
        <v>2000.0645999999999</v>
      </c>
      <c r="H27" s="65">
        <v>4.83</v>
      </c>
      <c r="I27" s="6">
        <v>103.57</v>
      </c>
      <c r="J27" s="66">
        <f t="shared" si="1"/>
        <v>500.24309999999997</v>
      </c>
      <c r="K27" s="66">
        <f t="shared" si="2"/>
        <v>2500.3076999999998</v>
      </c>
      <c r="L27" s="162">
        <v>0</v>
      </c>
      <c r="M27" s="149">
        <f t="shared" si="3"/>
        <v>33526.077600000011</v>
      </c>
      <c r="N27" s="6"/>
    </row>
    <row r="28" spans="1:14">
      <c r="A28" s="221">
        <v>25</v>
      </c>
      <c r="B28" s="219">
        <v>46106</v>
      </c>
      <c r="C28" s="6"/>
      <c r="D28" s="6"/>
      <c r="E28" s="65">
        <v>32.74</v>
      </c>
      <c r="F28" s="317">
        <v>91.62</v>
      </c>
      <c r="G28" s="66">
        <f t="shared" si="0"/>
        <v>2999.6388000000002</v>
      </c>
      <c r="H28" s="65">
        <v>16.32</v>
      </c>
      <c r="I28" s="6">
        <v>103.57</v>
      </c>
      <c r="J28" s="66">
        <f t="shared" si="1"/>
        <v>1690.2623999999998</v>
      </c>
      <c r="K28" s="66">
        <f t="shared" si="2"/>
        <v>4689.9012000000002</v>
      </c>
      <c r="L28" s="162">
        <v>0</v>
      </c>
      <c r="M28" s="149">
        <f t="shared" si="3"/>
        <v>38215.978800000012</v>
      </c>
      <c r="N28" s="6"/>
    </row>
    <row r="29" spans="1:14">
      <c r="A29" s="221">
        <v>26</v>
      </c>
      <c r="B29" s="219">
        <v>46107</v>
      </c>
      <c r="C29" s="6"/>
      <c r="D29" s="6"/>
      <c r="E29" s="65">
        <v>54.57</v>
      </c>
      <c r="F29" s="317">
        <v>91.62</v>
      </c>
      <c r="G29" s="66">
        <f t="shared" si="0"/>
        <v>4999.7034000000003</v>
      </c>
      <c r="H29" s="65"/>
      <c r="I29" s="6"/>
      <c r="J29" s="66">
        <f t="shared" si="1"/>
        <v>0</v>
      </c>
      <c r="K29" s="66">
        <f t="shared" si="2"/>
        <v>4999.7034000000003</v>
      </c>
      <c r="L29" s="162">
        <v>0</v>
      </c>
      <c r="M29" s="149">
        <f t="shared" si="3"/>
        <v>43215.68220000001</v>
      </c>
      <c r="N29" s="6"/>
    </row>
    <row r="30" spans="1:14">
      <c r="A30" s="221">
        <v>27</v>
      </c>
      <c r="B30" s="219">
        <v>46108</v>
      </c>
      <c r="C30" s="6"/>
      <c r="D30" s="6"/>
      <c r="E30" s="65">
        <v>5</v>
      </c>
      <c r="F30" s="317">
        <v>91.62</v>
      </c>
      <c r="G30" s="66">
        <f t="shared" si="0"/>
        <v>458.1</v>
      </c>
      <c r="H30" s="65"/>
      <c r="I30" s="6"/>
      <c r="J30" s="66">
        <f t="shared" si="1"/>
        <v>0</v>
      </c>
      <c r="K30" s="66">
        <f t="shared" si="2"/>
        <v>458.1</v>
      </c>
      <c r="L30" s="162">
        <v>0</v>
      </c>
      <c r="M30" s="149">
        <f t="shared" si="3"/>
        <v>43673.782200000009</v>
      </c>
      <c r="N30" s="6"/>
    </row>
    <row r="31" spans="1:14">
      <c r="A31" s="221">
        <v>28</v>
      </c>
      <c r="B31" s="219">
        <v>46109</v>
      </c>
      <c r="C31" s="6"/>
      <c r="D31" s="6"/>
      <c r="E31" s="317">
        <v>32.74</v>
      </c>
      <c r="F31" s="317">
        <v>91.62</v>
      </c>
      <c r="G31" s="66">
        <f t="shared" si="0"/>
        <v>2999.6388000000002</v>
      </c>
      <c r="H31" s="65"/>
      <c r="I31" s="6"/>
      <c r="J31" s="66">
        <f t="shared" si="1"/>
        <v>0</v>
      </c>
      <c r="K31" s="66">
        <f t="shared" si="2"/>
        <v>2999.6388000000002</v>
      </c>
      <c r="L31" s="162">
        <v>0</v>
      </c>
      <c r="M31" s="149">
        <f t="shared" si="3"/>
        <v>46673.421000000009</v>
      </c>
      <c r="N31" s="6"/>
    </row>
    <row r="32" spans="1:14">
      <c r="A32" s="222">
        <v>29</v>
      </c>
      <c r="B32" s="219">
        <v>46110</v>
      </c>
      <c r="C32" s="6"/>
      <c r="D32" s="6"/>
      <c r="E32" s="317">
        <v>32.74</v>
      </c>
      <c r="F32" s="317">
        <v>91.62</v>
      </c>
      <c r="G32" s="66">
        <f t="shared" si="0"/>
        <v>2999.6388000000002</v>
      </c>
      <c r="H32" s="65"/>
      <c r="I32" s="6"/>
      <c r="J32" s="66">
        <f t="shared" si="1"/>
        <v>0</v>
      </c>
      <c r="K32" s="66">
        <f t="shared" si="2"/>
        <v>2999.6388000000002</v>
      </c>
      <c r="L32" s="162">
        <v>0</v>
      </c>
      <c r="M32" s="149">
        <f t="shared" si="3"/>
        <v>49673.05980000001</v>
      </c>
      <c r="N32" s="6"/>
    </row>
    <row r="33" spans="1:17">
      <c r="A33" s="222">
        <v>30</v>
      </c>
      <c r="B33" s="219">
        <v>46111</v>
      </c>
      <c r="C33" s="6"/>
      <c r="D33" s="6"/>
      <c r="E33" s="65">
        <v>32.74</v>
      </c>
      <c r="F33" s="317">
        <v>91.62</v>
      </c>
      <c r="G33" s="66">
        <f t="shared" si="0"/>
        <v>2999.6388000000002</v>
      </c>
      <c r="H33" s="65">
        <v>4.83</v>
      </c>
      <c r="I33" s="6">
        <v>103.57</v>
      </c>
      <c r="J33" s="66">
        <f t="shared" si="1"/>
        <v>500.24309999999997</v>
      </c>
      <c r="K33" s="66">
        <f t="shared" si="2"/>
        <v>3499.8819000000003</v>
      </c>
      <c r="L33" s="162">
        <v>0</v>
      </c>
      <c r="M33" s="149">
        <f t="shared" si="3"/>
        <v>53172.94170000001</v>
      </c>
      <c r="N33" s="6"/>
    </row>
    <row r="34" spans="1:17">
      <c r="A34" s="222">
        <v>31</v>
      </c>
      <c r="B34" s="219">
        <v>46112</v>
      </c>
      <c r="C34" s="6"/>
      <c r="D34" s="6"/>
      <c r="E34" s="65"/>
      <c r="F34" s="317"/>
      <c r="G34" s="66">
        <f t="shared" si="0"/>
        <v>0</v>
      </c>
      <c r="H34" s="65"/>
      <c r="I34" s="6"/>
      <c r="J34" s="66">
        <f t="shared" si="1"/>
        <v>0</v>
      </c>
      <c r="K34" s="66">
        <f t="shared" si="2"/>
        <v>0</v>
      </c>
      <c r="L34" s="162">
        <v>0</v>
      </c>
      <c r="M34" s="149">
        <f t="shared" ref="M34:M39" si="4">M33+K34-L34</f>
        <v>53172.94170000001</v>
      </c>
      <c r="N34" s="6"/>
    </row>
    <row r="35" spans="1:17">
      <c r="A35" s="6">
        <v>35</v>
      </c>
      <c r="B35" s="78"/>
      <c r="C35" s="6"/>
      <c r="D35" s="6"/>
      <c r="E35" s="65"/>
      <c r="F35" s="317"/>
      <c r="G35" s="66">
        <f t="shared" si="0"/>
        <v>0</v>
      </c>
      <c r="H35" s="65"/>
      <c r="I35" s="6"/>
      <c r="J35" s="66">
        <f t="shared" si="1"/>
        <v>0</v>
      </c>
      <c r="K35" s="66">
        <f t="shared" si="2"/>
        <v>0</v>
      </c>
      <c r="L35" s="162">
        <v>0</v>
      </c>
      <c r="M35" s="149">
        <f t="shared" si="4"/>
        <v>53172.94170000001</v>
      </c>
      <c r="N35" s="6"/>
    </row>
    <row r="36" spans="1:17">
      <c r="A36" s="6">
        <v>36</v>
      </c>
      <c r="B36" s="78"/>
      <c r="C36" s="6"/>
      <c r="D36" s="6"/>
      <c r="E36" s="65"/>
      <c r="F36" s="317"/>
      <c r="G36" s="66">
        <f t="shared" si="0"/>
        <v>0</v>
      </c>
      <c r="H36" s="65"/>
      <c r="I36" s="6"/>
      <c r="J36" s="66">
        <f t="shared" si="1"/>
        <v>0</v>
      </c>
      <c r="K36" s="66">
        <f t="shared" si="2"/>
        <v>0</v>
      </c>
      <c r="L36" s="162">
        <v>0</v>
      </c>
      <c r="M36" s="149">
        <f t="shared" si="4"/>
        <v>53172.94170000001</v>
      </c>
      <c r="N36" s="6"/>
    </row>
    <row r="37" spans="1:17">
      <c r="A37" s="6">
        <v>37</v>
      </c>
      <c r="B37" s="78"/>
      <c r="C37" s="6"/>
      <c r="D37" s="6"/>
      <c r="E37" s="65"/>
      <c r="F37" s="317"/>
      <c r="G37" s="66">
        <f t="shared" si="0"/>
        <v>0</v>
      </c>
      <c r="H37" s="65"/>
      <c r="I37" s="6"/>
      <c r="J37" s="66">
        <f t="shared" si="1"/>
        <v>0</v>
      </c>
      <c r="K37" s="66">
        <f t="shared" si="2"/>
        <v>0</v>
      </c>
      <c r="L37" s="162">
        <v>0</v>
      </c>
      <c r="M37" s="149">
        <f t="shared" si="4"/>
        <v>53172.94170000001</v>
      </c>
      <c r="N37" s="6"/>
    </row>
    <row r="38" spans="1:17">
      <c r="A38" s="6">
        <v>38</v>
      </c>
      <c r="B38" s="78"/>
      <c r="C38" s="6"/>
      <c r="D38" s="6"/>
      <c r="E38" s="65"/>
      <c r="F38" s="317"/>
      <c r="G38" s="66">
        <f t="shared" si="0"/>
        <v>0</v>
      </c>
      <c r="H38" s="65"/>
      <c r="I38" s="6"/>
      <c r="J38" s="66">
        <f t="shared" si="1"/>
        <v>0</v>
      </c>
      <c r="K38" s="66">
        <f t="shared" si="2"/>
        <v>0</v>
      </c>
      <c r="L38" s="162">
        <v>0</v>
      </c>
      <c r="M38" s="149">
        <f t="shared" si="4"/>
        <v>53172.94170000001</v>
      </c>
      <c r="N38" s="6"/>
    </row>
    <row r="39" spans="1:17">
      <c r="A39" s="169">
        <v>39</v>
      </c>
      <c r="B39" s="170"/>
      <c r="C39" s="169"/>
      <c r="D39" s="6"/>
      <c r="E39" s="65"/>
      <c r="F39" s="317"/>
      <c r="G39" s="66">
        <f t="shared" si="0"/>
        <v>0</v>
      </c>
      <c r="H39" s="65"/>
      <c r="I39" s="6"/>
      <c r="J39" s="66">
        <f t="shared" si="1"/>
        <v>0</v>
      </c>
      <c r="K39" s="66">
        <f t="shared" si="2"/>
        <v>0</v>
      </c>
      <c r="L39" s="162">
        <v>0</v>
      </c>
      <c r="M39" s="149">
        <f>M38+K39-L39</f>
        <v>53172.94170000001</v>
      </c>
      <c r="N39" s="169"/>
    </row>
    <row r="40" spans="1:17">
      <c r="A40" s="6">
        <v>40</v>
      </c>
      <c r="B40" s="6"/>
      <c r="C40" s="6"/>
      <c r="D40" s="6"/>
      <c r="E40" s="65"/>
      <c r="F40" s="317"/>
      <c r="G40" s="66">
        <f t="shared" si="0"/>
        <v>0</v>
      </c>
      <c r="H40" s="65"/>
      <c r="I40" s="6"/>
      <c r="J40" s="66">
        <f t="shared" si="1"/>
        <v>0</v>
      </c>
      <c r="K40" s="66">
        <f t="shared" si="2"/>
        <v>0</v>
      </c>
      <c r="L40" s="162">
        <v>0</v>
      </c>
      <c r="M40" s="149">
        <v>0</v>
      </c>
      <c r="N40" s="6"/>
    </row>
    <row r="41" spans="1:17">
      <c r="A41" s="169">
        <v>41</v>
      </c>
      <c r="B41" s="169"/>
      <c r="C41" s="169"/>
      <c r="D41" s="6"/>
      <c r="E41" s="65">
        <v>0</v>
      </c>
      <c r="F41" s="317">
        <v>0</v>
      </c>
      <c r="G41" s="66">
        <f t="shared" ref="G5:G41" si="5">E41*F41</f>
        <v>0</v>
      </c>
      <c r="H41" s="65"/>
      <c r="I41" s="6"/>
      <c r="J41" s="66">
        <f t="shared" ref="J5:J41" si="6">H41*I41</f>
        <v>0</v>
      </c>
      <c r="K41" s="66">
        <f t="shared" ref="K5:K41" si="7">G41+J41</f>
        <v>0</v>
      </c>
      <c r="L41" s="162">
        <v>0</v>
      </c>
      <c r="M41" s="173">
        <v>0</v>
      </c>
      <c r="N41" s="169"/>
    </row>
    <row r="42" spans="1:17">
      <c r="A42" s="169">
        <v>42</v>
      </c>
      <c r="B42" s="169"/>
      <c r="C42" s="169"/>
      <c r="D42" s="6"/>
      <c r="E42" s="65">
        <v>0</v>
      </c>
      <c r="F42" s="6">
        <v>0</v>
      </c>
      <c r="G42" s="66">
        <f t="shared" ref="G42" si="8">E42*F42</f>
        <v>0</v>
      </c>
      <c r="H42" s="65">
        <v>0</v>
      </c>
      <c r="I42" s="6">
        <v>0</v>
      </c>
      <c r="J42" s="66">
        <f t="shared" ref="J42" si="9">H42*I42</f>
        <v>0</v>
      </c>
      <c r="K42" s="171">
        <f t="shared" ref="K42" si="10">G42+J42</f>
        <v>0</v>
      </c>
      <c r="L42" s="172">
        <f t="shared" ref="L42" si="11">+K42</f>
        <v>0</v>
      </c>
      <c r="M42" s="173">
        <v>0</v>
      </c>
      <c r="N42" s="169"/>
    </row>
    <row r="43" spans="1:17">
      <c r="A43" s="62"/>
      <c r="B43" s="62"/>
      <c r="C43" s="62"/>
      <c r="D43" s="62"/>
      <c r="E43" s="63">
        <f>SUM(E4:E42)</f>
        <v>630.5200000000001</v>
      </c>
      <c r="F43" s="63"/>
      <c r="G43" s="63">
        <f>SUM(G4:G42)</f>
        <v>57768.242399999996</v>
      </c>
      <c r="H43" s="63">
        <f>SUM(H4:H42)</f>
        <v>60.49</v>
      </c>
      <c r="I43" s="63"/>
      <c r="J43" s="63">
        <f>SUM(J4:J42)</f>
        <v>6264.9492999999993</v>
      </c>
      <c r="K43" s="63">
        <f>SUM(K4:K42)</f>
        <v>64033.191700000003</v>
      </c>
      <c r="L43" s="63">
        <f>SUM(L4:L42)</f>
        <v>50000</v>
      </c>
      <c r="M43" s="63"/>
      <c r="N43" s="63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2" topLeftCell="A3" activePane="bottomLeft" state="frozen"/>
      <selection pane="bottomLeft" activeCell="M27" sqref="M27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455" t="s">
        <v>159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82"/>
    </row>
    <row r="2" spans="1:15" ht="16.5" customHeight="1">
      <c r="A2" s="98" t="s">
        <v>0</v>
      </c>
      <c r="B2" s="99" t="s">
        <v>161</v>
      </c>
      <c r="C2" s="99" t="s">
        <v>162</v>
      </c>
      <c r="D2" s="99" t="s">
        <v>180</v>
      </c>
      <c r="E2" s="99" t="s">
        <v>164</v>
      </c>
      <c r="F2" s="99" t="s">
        <v>165</v>
      </c>
      <c r="G2" s="99" t="s">
        <v>166</v>
      </c>
      <c r="H2" s="99" t="s">
        <v>167</v>
      </c>
      <c r="I2" s="99" t="s">
        <v>165</v>
      </c>
      <c r="J2" s="138" t="s">
        <v>166</v>
      </c>
      <c r="K2" s="100" t="s">
        <v>168</v>
      </c>
      <c r="L2" s="139" t="s">
        <v>169</v>
      </c>
      <c r="M2" s="143" t="s">
        <v>181</v>
      </c>
      <c r="N2" s="101" t="s">
        <v>171</v>
      </c>
      <c r="O2" s="59"/>
    </row>
    <row r="3" spans="1:15" ht="16.5" customHeight="1">
      <c r="A3" s="456" t="s">
        <v>172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  <c r="M3" s="148">
        <v>0</v>
      </c>
      <c r="N3" s="156"/>
      <c r="O3" s="59"/>
    </row>
    <row r="4" spans="1:15">
      <c r="A4" s="196">
        <v>1</v>
      </c>
      <c r="B4" s="219">
        <v>46082</v>
      </c>
      <c r="C4" s="67"/>
      <c r="D4" s="159"/>
      <c r="E4" s="65"/>
      <c r="F4" s="65"/>
      <c r="G4" s="8">
        <f>E4*F4</f>
        <v>0</v>
      </c>
      <c r="H4" s="65"/>
      <c r="I4" s="66"/>
      <c r="J4" s="8">
        <f>H4*I4</f>
        <v>0</v>
      </c>
      <c r="K4" s="8">
        <f>G4+J4</f>
        <v>0</v>
      </c>
      <c r="L4" s="68">
        <f>+K4</f>
        <v>0</v>
      </c>
      <c r="M4" s="68">
        <v>0</v>
      </c>
      <c r="N4" s="8"/>
    </row>
    <row r="5" spans="1:15">
      <c r="A5" s="46">
        <v>2</v>
      </c>
      <c r="B5" s="219">
        <v>46083</v>
      </c>
      <c r="C5" s="67"/>
      <c r="D5" s="159"/>
      <c r="E5" s="65"/>
      <c r="F5" s="65"/>
      <c r="G5" s="8">
        <f t="shared" ref="G5:G34" si="0">E5*F5</f>
        <v>0</v>
      </c>
      <c r="H5" s="65"/>
      <c r="I5" s="66"/>
      <c r="J5" s="8">
        <f t="shared" ref="J5:J8" si="1">H5*I5</f>
        <v>0</v>
      </c>
      <c r="K5" s="8">
        <f t="shared" ref="K5:K33" si="2">G5+J5</f>
        <v>0</v>
      </c>
      <c r="L5" s="68">
        <f t="shared" ref="L5:L33" si="3">+K5</f>
        <v>0</v>
      </c>
      <c r="M5" s="68">
        <v>0</v>
      </c>
      <c r="N5" s="8"/>
    </row>
    <row r="6" spans="1:15">
      <c r="A6" s="46">
        <v>3</v>
      </c>
      <c r="B6" s="219">
        <v>46084</v>
      </c>
      <c r="C6" s="67"/>
      <c r="D6" s="159"/>
      <c r="E6" s="65"/>
      <c r="F6" s="65"/>
      <c r="G6" s="8">
        <f t="shared" si="0"/>
        <v>0</v>
      </c>
      <c r="H6" s="65"/>
      <c r="I6" s="66"/>
      <c r="J6" s="8">
        <f t="shared" si="1"/>
        <v>0</v>
      </c>
      <c r="K6" s="8">
        <f t="shared" si="2"/>
        <v>0</v>
      </c>
      <c r="L6" s="68">
        <f t="shared" si="3"/>
        <v>0</v>
      </c>
      <c r="M6" s="68">
        <v>0</v>
      </c>
      <c r="N6" s="8"/>
    </row>
    <row r="7" spans="1:15">
      <c r="A7" s="46">
        <v>4</v>
      </c>
      <c r="B7" s="219">
        <v>46085</v>
      </c>
      <c r="C7" s="67"/>
      <c r="D7" s="159"/>
      <c r="E7" s="65"/>
      <c r="F7" s="65"/>
      <c r="G7" s="8">
        <f t="shared" si="0"/>
        <v>0</v>
      </c>
      <c r="H7" s="65"/>
      <c r="I7" s="66"/>
      <c r="J7" s="8">
        <f t="shared" ref="J7" si="4">H7*I7</f>
        <v>0</v>
      </c>
      <c r="K7" s="8">
        <f t="shared" si="2"/>
        <v>0</v>
      </c>
      <c r="L7" s="68">
        <f t="shared" si="3"/>
        <v>0</v>
      </c>
      <c r="M7" s="68">
        <v>0</v>
      </c>
      <c r="N7" s="8"/>
    </row>
    <row r="8" spans="1:15">
      <c r="A8" s="46">
        <v>5</v>
      </c>
      <c r="B8" s="219">
        <v>46086</v>
      </c>
      <c r="C8" s="67"/>
      <c r="D8" s="159"/>
      <c r="E8" s="65"/>
      <c r="F8" s="65"/>
      <c r="G8" s="8">
        <f t="shared" si="0"/>
        <v>0</v>
      </c>
      <c r="H8" s="65">
        <v>9.25</v>
      </c>
      <c r="I8" s="66">
        <v>102.47</v>
      </c>
      <c r="J8" s="8">
        <f t="shared" si="1"/>
        <v>947.84749999999997</v>
      </c>
      <c r="K8" s="8">
        <f t="shared" si="2"/>
        <v>947.84749999999997</v>
      </c>
      <c r="L8" s="68">
        <f t="shared" si="3"/>
        <v>947.84749999999997</v>
      </c>
      <c r="M8" s="68">
        <v>0</v>
      </c>
      <c r="N8" s="8"/>
      <c r="O8" s="69"/>
    </row>
    <row r="9" spans="1:15">
      <c r="A9" s="46">
        <v>6</v>
      </c>
      <c r="B9" s="219">
        <v>46087</v>
      </c>
      <c r="C9" s="67"/>
      <c r="D9" s="159"/>
      <c r="E9" s="65"/>
      <c r="F9" s="65"/>
      <c r="G9" s="8">
        <f t="shared" si="0"/>
        <v>0</v>
      </c>
      <c r="H9" s="65"/>
      <c r="I9" s="66"/>
      <c r="J9" s="8">
        <f t="shared" ref="J9:J34" si="5">H9*I9</f>
        <v>0</v>
      </c>
      <c r="K9" s="8">
        <f t="shared" si="2"/>
        <v>0</v>
      </c>
      <c r="L9" s="68">
        <f t="shared" si="3"/>
        <v>0</v>
      </c>
      <c r="M9" s="68">
        <v>0</v>
      </c>
      <c r="N9" s="8"/>
      <c r="O9" s="69"/>
    </row>
    <row r="10" spans="1:15">
      <c r="A10" s="46">
        <v>7</v>
      </c>
      <c r="B10" s="219">
        <v>46088</v>
      </c>
      <c r="C10" s="67"/>
      <c r="D10" s="159"/>
      <c r="E10" s="65"/>
      <c r="F10" s="65"/>
      <c r="G10" s="8">
        <f t="shared" si="0"/>
        <v>0</v>
      </c>
      <c r="H10" s="65"/>
      <c r="I10" s="66"/>
      <c r="J10" s="8">
        <f t="shared" si="5"/>
        <v>0</v>
      </c>
      <c r="K10" s="8">
        <f t="shared" si="2"/>
        <v>0</v>
      </c>
      <c r="L10" s="68">
        <f t="shared" si="3"/>
        <v>0</v>
      </c>
      <c r="M10" s="68">
        <v>0</v>
      </c>
      <c r="N10" s="8"/>
      <c r="O10" s="69"/>
    </row>
    <row r="11" spans="1:15">
      <c r="A11" s="46">
        <v>8</v>
      </c>
      <c r="B11" s="219">
        <v>46089</v>
      </c>
      <c r="C11" s="67"/>
      <c r="D11" s="159"/>
      <c r="E11" s="65"/>
      <c r="F11" s="65"/>
      <c r="G11" s="8">
        <f t="shared" si="0"/>
        <v>0</v>
      </c>
      <c r="H11" s="65"/>
      <c r="I11" s="66"/>
      <c r="J11" s="8">
        <f t="shared" si="5"/>
        <v>0</v>
      </c>
      <c r="K11" s="8">
        <f t="shared" si="2"/>
        <v>0</v>
      </c>
      <c r="L11" s="68">
        <f t="shared" si="3"/>
        <v>0</v>
      </c>
      <c r="M11" s="68">
        <v>0</v>
      </c>
      <c r="N11" s="8"/>
      <c r="O11" s="69"/>
    </row>
    <row r="12" spans="1:15">
      <c r="A12" s="46">
        <v>9</v>
      </c>
      <c r="B12" s="219">
        <v>46090</v>
      </c>
      <c r="C12" s="67"/>
      <c r="D12" s="159"/>
      <c r="E12" s="65"/>
      <c r="F12" s="65"/>
      <c r="G12" s="8">
        <f t="shared" si="0"/>
        <v>0</v>
      </c>
      <c r="H12" s="65"/>
      <c r="I12" s="66"/>
      <c r="J12" s="8">
        <f t="shared" si="5"/>
        <v>0</v>
      </c>
      <c r="K12" s="8">
        <f t="shared" si="2"/>
        <v>0</v>
      </c>
      <c r="L12" s="68">
        <f t="shared" si="3"/>
        <v>0</v>
      </c>
      <c r="M12" s="68">
        <v>0</v>
      </c>
      <c r="N12" s="8"/>
      <c r="O12" s="69"/>
    </row>
    <row r="13" spans="1:15">
      <c r="A13" s="46">
        <v>10</v>
      </c>
      <c r="B13" s="219">
        <v>46091</v>
      </c>
      <c r="C13" s="67"/>
      <c r="D13" s="159"/>
      <c r="E13" s="65"/>
      <c r="F13" s="65"/>
      <c r="G13" s="8">
        <f t="shared" si="0"/>
        <v>0</v>
      </c>
      <c r="H13" s="65"/>
      <c r="I13" s="66"/>
      <c r="J13" s="8">
        <f t="shared" si="5"/>
        <v>0</v>
      </c>
      <c r="K13" s="8">
        <f t="shared" si="2"/>
        <v>0</v>
      </c>
      <c r="L13" s="68">
        <f t="shared" si="3"/>
        <v>0</v>
      </c>
      <c r="M13" s="68">
        <v>0</v>
      </c>
      <c r="N13" s="8"/>
      <c r="O13" s="69"/>
    </row>
    <row r="14" spans="1:15">
      <c r="A14" s="46">
        <v>11</v>
      </c>
      <c r="B14" s="219">
        <v>46092</v>
      </c>
      <c r="C14" s="67"/>
      <c r="D14" s="159"/>
      <c r="E14" s="65"/>
      <c r="F14" s="65"/>
      <c r="G14" s="8">
        <f t="shared" si="0"/>
        <v>0</v>
      </c>
      <c r="H14" s="65"/>
      <c r="I14" s="66"/>
      <c r="J14" s="8">
        <f t="shared" si="5"/>
        <v>0</v>
      </c>
      <c r="K14" s="8">
        <f t="shared" si="2"/>
        <v>0</v>
      </c>
      <c r="L14" s="68">
        <f t="shared" si="3"/>
        <v>0</v>
      </c>
      <c r="M14" s="68">
        <v>0</v>
      </c>
      <c r="N14" s="8"/>
      <c r="O14" s="69"/>
    </row>
    <row r="15" spans="1:15">
      <c r="A15" s="46">
        <v>12</v>
      </c>
      <c r="B15" s="219">
        <v>46093</v>
      </c>
      <c r="C15" s="67"/>
      <c r="D15" s="159"/>
      <c r="E15" s="65"/>
      <c r="F15" s="65"/>
      <c r="G15" s="8">
        <f t="shared" si="0"/>
        <v>0</v>
      </c>
      <c r="H15" s="65"/>
      <c r="I15" s="66"/>
      <c r="J15" s="8">
        <f t="shared" si="5"/>
        <v>0</v>
      </c>
      <c r="K15" s="8">
        <f t="shared" si="2"/>
        <v>0</v>
      </c>
      <c r="L15" s="68">
        <f t="shared" si="3"/>
        <v>0</v>
      </c>
      <c r="M15" s="68">
        <v>0</v>
      </c>
      <c r="N15" s="8"/>
      <c r="O15" s="69"/>
    </row>
    <row r="16" spans="1:15">
      <c r="A16" s="46">
        <v>13</v>
      </c>
      <c r="B16" s="219">
        <v>46094</v>
      </c>
      <c r="C16" s="67"/>
      <c r="D16" s="159"/>
      <c r="E16" s="65"/>
      <c r="F16" s="65"/>
      <c r="G16" s="8">
        <f t="shared" si="0"/>
        <v>0</v>
      </c>
      <c r="H16" s="65"/>
      <c r="I16" s="66"/>
      <c r="J16" s="8">
        <f t="shared" si="5"/>
        <v>0</v>
      </c>
      <c r="K16" s="8">
        <f t="shared" si="2"/>
        <v>0</v>
      </c>
      <c r="L16" s="68">
        <f t="shared" si="3"/>
        <v>0</v>
      </c>
      <c r="M16" s="68">
        <v>0</v>
      </c>
      <c r="N16" s="8"/>
      <c r="O16" s="69"/>
    </row>
    <row r="17" spans="1:15">
      <c r="A17" s="46">
        <v>14</v>
      </c>
      <c r="B17" s="219">
        <v>46095</v>
      </c>
      <c r="C17" s="67"/>
      <c r="D17" s="159"/>
      <c r="E17" s="65"/>
      <c r="F17" s="65"/>
      <c r="G17" s="8">
        <f t="shared" si="0"/>
        <v>0</v>
      </c>
      <c r="H17" s="65"/>
      <c r="I17" s="66"/>
      <c r="J17" s="8">
        <f t="shared" si="5"/>
        <v>0</v>
      </c>
      <c r="K17" s="8">
        <f t="shared" si="2"/>
        <v>0</v>
      </c>
      <c r="L17" s="68">
        <f t="shared" si="3"/>
        <v>0</v>
      </c>
      <c r="M17" s="68">
        <v>0</v>
      </c>
      <c r="N17" s="8"/>
      <c r="O17" s="69"/>
    </row>
    <row r="18" spans="1:15">
      <c r="A18" s="46">
        <v>15</v>
      </c>
      <c r="B18" s="219">
        <v>46096</v>
      </c>
      <c r="C18" s="67"/>
      <c r="D18" s="159"/>
      <c r="E18" s="65"/>
      <c r="F18" s="65"/>
      <c r="G18" s="8">
        <f t="shared" si="0"/>
        <v>0</v>
      </c>
      <c r="H18" s="65"/>
      <c r="I18" s="66"/>
      <c r="J18" s="8">
        <f t="shared" si="5"/>
        <v>0</v>
      </c>
      <c r="K18" s="8">
        <f t="shared" si="2"/>
        <v>0</v>
      </c>
      <c r="L18" s="68">
        <f t="shared" si="3"/>
        <v>0</v>
      </c>
      <c r="M18" s="68">
        <v>0</v>
      </c>
      <c r="N18" s="8"/>
      <c r="O18" s="69"/>
    </row>
    <row r="19" spans="1:15">
      <c r="A19" s="46">
        <v>16</v>
      </c>
      <c r="B19" s="219">
        <v>46097</v>
      </c>
      <c r="C19" s="67"/>
      <c r="D19" s="159"/>
      <c r="E19" s="65"/>
      <c r="F19" s="65"/>
      <c r="G19" s="8">
        <f t="shared" si="0"/>
        <v>0</v>
      </c>
      <c r="H19" s="65"/>
      <c r="I19" s="66"/>
      <c r="J19" s="8">
        <f t="shared" si="5"/>
        <v>0</v>
      </c>
      <c r="K19" s="8">
        <f t="shared" si="2"/>
        <v>0</v>
      </c>
      <c r="L19" s="68">
        <f>+K19</f>
        <v>0</v>
      </c>
      <c r="M19" s="68">
        <v>0</v>
      </c>
      <c r="N19" s="8"/>
      <c r="O19" s="69"/>
    </row>
    <row r="20" spans="1:15">
      <c r="A20" s="46">
        <v>17</v>
      </c>
      <c r="B20" s="219">
        <v>46098</v>
      </c>
      <c r="C20" s="67"/>
      <c r="D20" s="159"/>
      <c r="E20" s="65"/>
      <c r="F20" s="65"/>
      <c r="G20" s="8">
        <f t="shared" si="0"/>
        <v>0</v>
      </c>
      <c r="H20" s="65"/>
      <c r="I20" s="66"/>
      <c r="J20" s="8">
        <f t="shared" si="5"/>
        <v>0</v>
      </c>
      <c r="K20" s="8">
        <f t="shared" si="2"/>
        <v>0</v>
      </c>
      <c r="L20" s="68">
        <f t="shared" si="3"/>
        <v>0</v>
      </c>
      <c r="M20" s="68">
        <v>0</v>
      </c>
      <c r="N20" s="8"/>
      <c r="O20" s="69"/>
    </row>
    <row r="21" spans="1:15">
      <c r="A21" s="46">
        <v>18</v>
      </c>
      <c r="B21" s="219">
        <v>46099</v>
      </c>
      <c r="C21" s="67"/>
      <c r="D21" s="159"/>
      <c r="E21" s="65"/>
      <c r="F21" s="65"/>
      <c r="G21" s="8">
        <f t="shared" si="0"/>
        <v>0</v>
      </c>
      <c r="H21" s="65"/>
      <c r="I21" s="66"/>
      <c r="J21" s="8">
        <f t="shared" si="5"/>
        <v>0</v>
      </c>
      <c r="K21" s="8">
        <f t="shared" si="2"/>
        <v>0</v>
      </c>
      <c r="L21" s="68">
        <f t="shared" si="3"/>
        <v>0</v>
      </c>
      <c r="M21" s="68">
        <v>0</v>
      </c>
      <c r="N21" s="8"/>
      <c r="O21" s="69"/>
    </row>
    <row r="22" spans="1:15">
      <c r="A22" s="46">
        <v>19</v>
      </c>
      <c r="B22" s="219">
        <v>46100</v>
      </c>
      <c r="C22" s="67"/>
      <c r="D22" s="159"/>
      <c r="E22" s="65"/>
      <c r="F22" s="65"/>
      <c r="G22" s="8">
        <f t="shared" si="0"/>
        <v>0</v>
      </c>
      <c r="H22" s="65"/>
      <c r="I22" s="66"/>
      <c r="J22" s="8">
        <f t="shared" si="5"/>
        <v>0</v>
      </c>
      <c r="K22" s="8">
        <f t="shared" si="2"/>
        <v>0</v>
      </c>
      <c r="L22" s="68">
        <f t="shared" si="3"/>
        <v>0</v>
      </c>
      <c r="M22" s="68">
        <v>0</v>
      </c>
      <c r="N22" s="8"/>
      <c r="O22" s="69"/>
    </row>
    <row r="23" spans="1:15">
      <c r="A23" s="46">
        <v>20</v>
      </c>
      <c r="B23" s="219">
        <v>46101</v>
      </c>
      <c r="C23" s="67"/>
      <c r="D23" s="159"/>
      <c r="E23" s="65"/>
      <c r="F23" s="65"/>
      <c r="G23" s="8">
        <f t="shared" si="0"/>
        <v>0</v>
      </c>
      <c r="H23" s="65">
        <v>9.25</v>
      </c>
      <c r="I23" s="66">
        <v>102.47</v>
      </c>
      <c r="J23" s="8">
        <f t="shared" si="5"/>
        <v>947.84749999999997</v>
      </c>
      <c r="K23" s="8">
        <f t="shared" si="2"/>
        <v>947.84749999999997</v>
      </c>
      <c r="L23" s="68">
        <f t="shared" si="3"/>
        <v>947.84749999999997</v>
      </c>
      <c r="M23" s="68">
        <v>0</v>
      </c>
      <c r="N23" s="8"/>
      <c r="O23" s="69"/>
    </row>
    <row r="24" spans="1:15">
      <c r="A24" s="46">
        <v>21</v>
      </c>
      <c r="B24" s="219">
        <v>46102</v>
      </c>
      <c r="C24" s="67"/>
      <c r="D24" s="159"/>
      <c r="E24" s="65"/>
      <c r="F24" s="65"/>
      <c r="G24" s="8">
        <f t="shared" si="0"/>
        <v>0</v>
      </c>
      <c r="H24" s="65"/>
      <c r="I24" s="66"/>
      <c r="J24" s="8">
        <f t="shared" si="5"/>
        <v>0</v>
      </c>
      <c r="K24" s="8">
        <f t="shared" si="2"/>
        <v>0</v>
      </c>
      <c r="L24" s="68">
        <f t="shared" si="3"/>
        <v>0</v>
      </c>
      <c r="M24" s="68">
        <v>0</v>
      </c>
      <c r="N24" s="8"/>
      <c r="O24" s="69"/>
    </row>
    <row r="25" spans="1:15">
      <c r="A25" s="46">
        <v>22</v>
      </c>
      <c r="B25" s="219">
        <v>46103</v>
      </c>
      <c r="C25" s="67"/>
      <c r="D25" s="159"/>
      <c r="E25" s="65"/>
      <c r="F25" s="65"/>
      <c r="G25" s="8">
        <f t="shared" si="0"/>
        <v>0</v>
      </c>
      <c r="H25" s="65"/>
      <c r="I25" s="66"/>
      <c r="J25" s="8">
        <f t="shared" si="5"/>
        <v>0</v>
      </c>
      <c r="K25" s="8">
        <f t="shared" si="2"/>
        <v>0</v>
      </c>
      <c r="L25" s="68">
        <f t="shared" si="3"/>
        <v>0</v>
      </c>
      <c r="M25" s="68">
        <v>0</v>
      </c>
      <c r="N25" s="8"/>
      <c r="O25" s="69"/>
    </row>
    <row r="26" spans="1:15">
      <c r="A26" s="46">
        <v>23</v>
      </c>
      <c r="B26" s="219">
        <v>46104</v>
      </c>
      <c r="C26" s="67"/>
      <c r="D26" s="159"/>
      <c r="E26" s="65"/>
      <c r="F26" s="65"/>
      <c r="G26" s="8">
        <f t="shared" si="0"/>
        <v>0</v>
      </c>
      <c r="H26" s="65"/>
      <c r="I26" s="66"/>
      <c r="J26" s="8">
        <f t="shared" si="5"/>
        <v>0</v>
      </c>
      <c r="K26" s="8">
        <f t="shared" si="2"/>
        <v>0</v>
      </c>
      <c r="L26" s="68">
        <f t="shared" si="3"/>
        <v>0</v>
      </c>
      <c r="M26" s="68">
        <v>0</v>
      </c>
      <c r="N26" s="8"/>
      <c r="O26" s="69"/>
    </row>
    <row r="27" spans="1:15">
      <c r="A27" s="46">
        <v>24</v>
      </c>
      <c r="B27" s="219">
        <v>46105</v>
      </c>
      <c r="C27" s="67"/>
      <c r="D27" s="159"/>
      <c r="E27" s="65"/>
      <c r="F27" s="65"/>
      <c r="G27" s="8">
        <f t="shared" si="0"/>
        <v>0</v>
      </c>
      <c r="H27" s="65"/>
      <c r="I27" s="66"/>
      <c r="J27" s="8">
        <f t="shared" si="5"/>
        <v>0</v>
      </c>
      <c r="K27" s="8">
        <f t="shared" si="2"/>
        <v>0</v>
      </c>
      <c r="L27" s="68">
        <f t="shared" si="3"/>
        <v>0</v>
      </c>
      <c r="M27" s="68">
        <v>0</v>
      </c>
      <c r="N27" s="8"/>
      <c r="O27" s="69"/>
    </row>
    <row r="28" spans="1:15">
      <c r="A28" s="221">
        <v>25</v>
      </c>
      <c r="B28" s="219">
        <v>46106</v>
      </c>
      <c r="C28" s="67"/>
      <c r="D28" s="159"/>
      <c r="E28" s="65"/>
      <c r="F28" s="65"/>
      <c r="G28" s="8">
        <f t="shared" si="0"/>
        <v>0</v>
      </c>
      <c r="H28" s="65"/>
      <c r="I28" s="66"/>
      <c r="J28" s="8">
        <f t="shared" si="5"/>
        <v>0</v>
      </c>
      <c r="K28" s="8">
        <f t="shared" si="2"/>
        <v>0</v>
      </c>
      <c r="L28" s="68">
        <f t="shared" si="3"/>
        <v>0</v>
      </c>
      <c r="M28" s="68">
        <v>0</v>
      </c>
      <c r="N28" s="8"/>
      <c r="O28" s="69"/>
    </row>
    <row r="29" spans="1:15">
      <c r="A29" s="221">
        <v>26</v>
      </c>
      <c r="B29" s="219">
        <v>46107</v>
      </c>
      <c r="C29" s="67"/>
      <c r="D29" s="159"/>
      <c r="E29" s="65"/>
      <c r="F29" s="65"/>
      <c r="G29" s="8">
        <f t="shared" si="0"/>
        <v>0</v>
      </c>
      <c r="H29" s="65"/>
      <c r="I29" s="66"/>
      <c r="J29" s="8">
        <f t="shared" si="5"/>
        <v>0</v>
      </c>
      <c r="K29" s="8">
        <f t="shared" si="2"/>
        <v>0</v>
      </c>
      <c r="L29" s="68">
        <f t="shared" si="3"/>
        <v>0</v>
      </c>
      <c r="M29" s="68">
        <v>0</v>
      </c>
      <c r="N29" s="8"/>
      <c r="O29" s="69"/>
    </row>
    <row r="30" spans="1:15">
      <c r="A30" s="221">
        <v>27</v>
      </c>
      <c r="B30" s="219">
        <v>46108</v>
      </c>
      <c r="C30" s="67"/>
      <c r="D30" s="159"/>
      <c r="E30" s="65"/>
      <c r="F30" s="65"/>
      <c r="G30" s="8">
        <f t="shared" si="0"/>
        <v>0</v>
      </c>
      <c r="H30" s="65"/>
      <c r="I30" s="66"/>
      <c r="J30" s="8">
        <f t="shared" si="5"/>
        <v>0</v>
      </c>
      <c r="K30" s="8">
        <f t="shared" si="2"/>
        <v>0</v>
      </c>
      <c r="L30" s="68">
        <f t="shared" si="3"/>
        <v>0</v>
      </c>
      <c r="M30" s="68">
        <v>0</v>
      </c>
      <c r="N30" s="8"/>
      <c r="O30" s="69"/>
    </row>
    <row r="31" spans="1:15">
      <c r="A31" s="221">
        <v>28</v>
      </c>
      <c r="B31" s="219">
        <v>46109</v>
      </c>
      <c r="C31" s="67"/>
      <c r="D31" s="159"/>
      <c r="E31" s="65"/>
      <c r="F31" s="65"/>
      <c r="G31" s="8">
        <f t="shared" si="0"/>
        <v>0</v>
      </c>
      <c r="H31" s="65"/>
      <c r="I31" s="66"/>
      <c r="J31" s="8">
        <f t="shared" si="5"/>
        <v>0</v>
      </c>
      <c r="K31" s="8">
        <f t="shared" si="2"/>
        <v>0</v>
      </c>
      <c r="L31" s="68">
        <f t="shared" si="3"/>
        <v>0</v>
      </c>
      <c r="M31" s="68">
        <v>0</v>
      </c>
      <c r="N31" s="8"/>
      <c r="O31" s="69"/>
    </row>
    <row r="32" spans="1:15">
      <c r="A32" s="222">
        <v>29</v>
      </c>
      <c r="B32" s="219">
        <v>46110</v>
      </c>
      <c r="C32" s="67"/>
      <c r="D32" s="159"/>
      <c r="E32" s="65"/>
      <c r="F32" s="65"/>
      <c r="G32" s="8">
        <f t="shared" ref="G32:G33" si="6">E32*F32</f>
        <v>0</v>
      </c>
      <c r="H32" s="65"/>
      <c r="I32" s="66"/>
      <c r="J32" s="8">
        <f t="shared" si="5"/>
        <v>0</v>
      </c>
      <c r="K32" s="8">
        <f t="shared" si="2"/>
        <v>0</v>
      </c>
      <c r="L32" s="68">
        <f t="shared" si="3"/>
        <v>0</v>
      </c>
      <c r="M32" s="68">
        <v>0</v>
      </c>
      <c r="N32" s="8"/>
      <c r="O32" s="69"/>
    </row>
    <row r="33" spans="1:15">
      <c r="A33" s="222">
        <v>30</v>
      </c>
      <c r="B33" s="219">
        <v>46111</v>
      </c>
      <c r="C33" s="67"/>
      <c r="D33" s="159"/>
      <c r="E33" s="65"/>
      <c r="F33" s="65"/>
      <c r="G33" s="8">
        <f t="shared" si="6"/>
        <v>0</v>
      </c>
      <c r="H33" s="65"/>
      <c r="I33" s="66"/>
      <c r="J33" s="8">
        <f t="shared" si="5"/>
        <v>0</v>
      </c>
      <c r="K33" s="8">
        <f t="shared" si="2"/>
        <v>0</v>
      </c>
      <c r="L33" s="68">
        <f t="shared" si="3"/>
        <v>0</v>
      </c>
      <c r="M33" s="68">
        <v>0</v>
      </c>
      <c r="N33" s="8"/>
      <c r="O33" s="69"/>
    </row>
    <row r="34" spans="1:15">
      <c r="A34" s="222">
        <v>31</v>
      </c>
      <c r="B34" s="219">
        <v>46112</v>
      </c>
      <c r="C34" s="67"/>
      <c r="D34" s="159"/>
      <c r="E34" s="65"/>
      <c r="F34" s="65"/>
      <c r="G34" s="8">
        <f t="shared" si="0"/>
        <v>0</v>
      </c>
      <c r="H34" s="65"/>
      <c r="I34" s="66"/>
      <c r="J34" s="8">
        <f t="shared" si="5"/>
        <v>0</v>
      </c>
      <c r="K34" s="8">
        <f t="shared" ref="K34" si="7">G34+J34</f>
        <v>0</v>
      </c>
      <c r="L34" s="68">
        <f t="shared" ref="L34" si="8">+K34</f>
        <v>0</v>
      </c>
      <c r="M34" s="68">
        <v>0</v>
      </c>
      <c r="N34" s="8"/>
      <c r="O34" s="69"/>
    </row>
    <row r="35" spans="1:15">
      <c r="A35" s="62"/>
      <c r="B35" s="62"/>
      <c r="C35" s="62"/>
      <c r="D35" s="62"/>
      <c r="E35" s="63">
        <f>SUM(E4:E34)</f>
        <v>0</v>
      </c>
      <c r="F35" s="63"/>
      <c r="G35" s="63">
        <f>SUM(G4:G34)</f>
        <v>0</v>
      </c>
      <c r="H35" s="63">
        <f>SUM(H4:H34)</f>
        <v>18.5</v>
      </c>
      <c r="I35" s="63"/>
      <c r="J35" s="63">
        <f>SUM(J4:J34)</f>
        <v>1895.6949999999999</v>
      </c>
      <c r="K35" s="63">
        <f>SUM(K4:K34)</f>
        <v>1895.6949999999999</v>
      </c>
      <c r="L35" s="63">
        <f>SUM(L4:L34)</f>
        <v>1895.6949999999999</v>
      </c>
      <c r="M35" s="63"/>
      <c r="N35" s="63"/>
      <c r="O35" s="59"/>
    </row>
    <row r="36" spans="1:15">
      <c r="A36" s="72"/>
      <c r="B36" s="73"/>
      <c r="C36" s="72"/>
      <c r="D36" s="72"/>
      <c r="E36" s="74"/>
      <c r="F36" s="74"/>
      <c r="G36" s="74"/>
      <c r="H36" s="74"/>
      <c r="I36" s="74"/>
      <c r="J36" s="75"/>
      <c r="K36" s="75"/>
      <c r="L36" s="75"/>
      <c r="M36" s="75"/>
      <c r="N36" s="74"/>
      <c r="O36" s="69"/>
    </row>
    <row r="37" spans="1:15">
      <c r="O37" s="69"/>
    </row>
    <row r="38" spans="1:15">
      <c r="O38" s="69"/>
    </row>
    <row r="39" spans="1:15">
      <c r="O39" s="69"/>
    </row>
    <row r="40" spans="1:15">
      <c r="O40" s="69"/>
    </row>
    <row r="41" spans="1:15">
      <c r="O41" s="69"/>
    </row>
    <row r="42" spans="1:15">
      <c r="A42" s="69"/>
      <c r="B42" s="59"/>
      <c r="C42" s="69"/>
      <c r="D42" s="69"/>
      <c r="E42" s="69"/>
      <c r="F42" s="69"/>
      <c r="G42" s="76"/>
      <c r="H42" s="69"/>
      <c r="I42" s="69"/>
      <c r="J42" s="59"/>
      <c r="K42" s="59"/>
      <c r="L42" s="59"/>
      <c r="M42" s="59"/>
      <c r="N42" s="69"/>
      <c r="O42" s="74"/>
    </row>
    <row r="43" spans="1:15">
      <c r="A43" s="69"/>
      <c r="B43" s="463"/>
      <c r="C43" s="463"/>
      <c r="D43" s="463"/>
      <c r="E43" s="463"/>
      <c r="F43" s="69"/>
      <c r="G43" s="69"/>
      <c r="H43" s="69"/>
      <c r="I43" s="463"/>
      <c r="J43" s="463"/>
      <c r="K43" s="463"/>
      <c r="L43" s="463"/>
      <c r="M43" s="463"/>
      <c r="N43" s="463"/>
      <c r="O43" s="74"/>
    </row>
    <row r="44" spans="1:15">
      <c r="A44" s="69"/>
      <c r="B44" s="59"/>
      <c r="C44" s="69"/>
      <c r="D44" s="69"/>
      <c r="E44" s="69"/>
      <c r="F44" s="69"/>
      <c r="G44" s="69"/>
      <c r="H44" s="69"/>
      <c r="I44" s="69"/>
      <c r="J44" s="59"/>
      <c r="K44" s="59"/>
      <c r="L44" s="59"/>
      <c r="M44" s="59"/>
      <c r="N44" s="69"/>
      <c r="O44" s="74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92"/>
  <sheetViews>
    <sheetView workbookViewId="0">
      <pane ySplit="4" topLeftCell="B6" activePane="bottomLeft" state="frozen"/>
      <selection pane="bottomLeft" activeCell="C2" sqref="C2"/>
    </sheetView>
  </sheetViews>
  <sheetFormatPr defaultRowHeight="15"/>
  <cols>
    <col min="1" max="1" width="15" customWidth="1"/>
    <col min="2" max="2" width="18.7109375" customWidth="1"/>
    <col min="3" max="3" width="63.5703125" bestFit="1" customWidth="1"/>
    <col min="4" max="4" width="15.5703125" customWidth="1"/>
    <col min="5" max="5" width="12.28515625" style="185" customWidth="1"/>
    <col min="6" max="6" width="12.85546875" style="185" customWidth="1"/>
    <col min="7" max="7" width="12.5703125" style="185" bestFit="1" customWidth="1"/>
    <col min="8" max="8" width="12.5703125" style="185" customWidth="1"/>
    <col min="9" max="10" width="9.140625" style="185"/>
    <col min="11" max="11" width="18.7109375" style="185" customWidth="1"/>
    <col min="12" max="12" width="24.140625" style="185" customWidth="1"/>
    <col min="13" max="13" width="16.5703125" style="185" customWidth="1"/>
    <col min="14" max="14" width="19.85546875" style="185" customWidth="1"/>
    <col min="15" max="15" width="13.42578125" style="185" customWidth="1"/>
    <col min="16" max="21" width="9.140625" style="185"/>
  </cols>
  <sheetData>
    <row r="1" spans="1:15" ht="15.75">
      <c r="A1" s="246" t="s">
        <v>236</v>
      </c>
      <c r="B1" s="246"/>
      <c r="C1" s="246"/>
      <c r="D1" s="246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</row>
    <row r="2" spans="1:15" ht="26.25" customHeight="1">
      <c r="A2" s="64" t="s">
        <v>0</v>
      </c>
      <c r="B2" s="83" t="s">
        <v>161</v>
      </c>
      <c r="C2" s="83" t="s">
        <v>237</v>
      </c>
      <c r="D2" s="83" t="s">
        <v>238</v>
      </c>
      <c r="E2" s="281" t="s">
        <v>164</v>
      </c>
      <c r="F2" s="281" t="s">
        <v>165</v>
      </c>
      <c r="G2" s="282" t="s">
        <v>166</v>
      </c>
      <c r="H2" s="281" t="s">
        <v>167</v>
      </c>
      <c r="I2" s="281" t="s">
        <v>165</v>
      </c>
      <c r="J2" s="282" t="s">
        <v>166</v>
      </c>
      <c r="K2" s="283" t="s">
        <v>168</v>
      </c>
      <c r="L2" s="284" t="s">
        <v>239</v>
      </c>
      <c r="M2" s="285" t="s">
        <v>181</v>
      </c>
      <c r="N2" s="281" t="s">
        <v>171</v>
      </c>
      <c r="O2" s="281" t="s">
        <v>240</v>
      </c>
    </row>
    <row r="3" spans="1:15" ht="15.75">
      <c r="A3" s="247" t="s">
        <v>172</v>
      </c>
      <c r="B3" s="247"/>
      <c r="C3" s="247"/>
      <c r="D3" s="247"/>
      <c r="E3" s="286"/>
      <c r="F3" s="286"/>
      <c r="G3" s="286"/>
      <c r="H3" s="286"/>
      <c r="I3" s="286"/>
      <c r="J3" s="286"/>
      <c r="K3" s="309">
        <v>281642.49</v>
      </c>
      <c r="L3" s="309"/>
      <c r="M3" s="309"/>
      <c r="N3" s="287"/>
      <c r="O3" s="288"/>
    </row>
    <row r="4" spans="1:15">
      <c r="A4" s="307">
        <v>1</v>
      </c>
      <c r="B4" s="332">
        <v>46082</v>
      </c>
      <c r="C4" s="104" t="s">
        <v>241</v>
      </c>
      <c r="D4" s="104" t="s">
        <v>53</v>
      </c>
      <c r="E4" s="289">
        <v>38</v>
      </c>
      <c r="F4" s="289">
        <v>92.3</v>
      </c>
      <c r="G4" s="289">
        <f>E4*F4</f>
        <v>3507.4</v>
      </c>
      <c r="H4" s="104"/>
      <c r="I4" s="104"/>
      <c r="J4" s="289"/>
      <c r="K4" s="289">
        <f t="shared" ref="K4:K70" si="0">G4+J4</f>
        <v>3507.4</v>
      </c>
      <c r="L4" s="290"/>
      <c r="M4" s="306">
        <f>K3+L4-K4</f>
        <v>278135.08999999997</v>
      </c>
      <c r="N4" s="306"/>
      <c r="O4" s="290"/>
    </row>
    <row r="5" spans="1:15">
      <c r="A5" s="97">
        <v>2</v>
      </c>
      <c r="B5" s="332">
        <v>46083</v>
      </c>
      <c r="C5" s="104" t="s">
        <v>242</v>
      </c>
      <c r="D5" s="104" t="s">
        <v>53</v>
      </c>
      <c r="E5" s="311">
        <v>45</v>
      </c>
      <c r="F5" s="311">
        <v>91.8</v>
      </c>
      <c r="G5" s="291">
        <f t="shared" ref="G5:G67" si="1">E5*F5</f>
        <v>4131</v>
      </c>
      <c r="H5" s="311"/>
      <c r="I5" s="311"/>
      <c r="J5" s="291">
        <f>H5*I5</f>
        <v>0</v>
      </c>
      <c r="K5" s="289">
        <f t="shared" si="0"/>
        <v>4131</v>
      </c>
      <c r="L5" s="420"/>
      <c r="M5" s="313">
        <f>M4+L5-K5</f>
        <v>274004.08999999997</v>
      </c>
      <c r="N5" s="292"/>
      <c r="O5" s="289"/>
    </row>
    <row r="6" spans="1:15">
      <c r="A6" s="97">
        <v>3</v>
      </c>
      <c r="B6" s="332">
        <v>46083</v>
      </c>
      <c r="C6" s="315" t="s">
        <v>243</v>
      </c>
      <c r="D6" s="370" t="s">
        <v>244</v>
      </c>
      <c r="E6" s="184">
        <v>35</v>
      </c>
      <c r="F6" s="184">
        <v>92.23</v>
      </c>
      <c r="G6" s="289">
        <f t="shared" si="1"/>
        <v>3228.05</v>
      </c>
      <c r="H6" s="104">
        <v>5</v>
      </c>
      <c r="I6" s="104">
        <v>104.09</v>
      </c>
      <c r="J6" s="289">
        <f t="shared" ref="J6:J45" si="2">H6*I6</f>
        <v>520.45000000000005</v>
      </c>
      <c r="K6" s="289">
        <f t="shared" si="0"/>
        <v>3748.5</v>
      </c>
      <c r="L6" s="290"/>
      <c r="M6" s="289">
        <f>M5+L6-K6</f>
        <v>270255.58999999997</v>
      </c>
      <c r="N6" s="292"/>
      <c r="O6" s="289"/>
    </row>
    <row r="7" spans="1:15">
      <c r="A7" s="307">
        <v>4</v>
      </c>
      <c r="B7" s="332">
        <v>46084</v>
      </c>
      <c r="C7" s="104" t="s">
        <v>245</v>
      </c>
      <c r="D7" s="390" t="s">
        <v>246</v>
      </c>
      <c r="E7" s="184">
        <v>43</v>
      </c>
      <c r="F7" s="184">
        <v>86.75</v>
      </c>
      <c r="G7" s="289">
        <f t="shared" si="1"/>
        <v>3730.25</v>
      </c>
      <c r="H7" s="289">
        <v>9.81</v>
      </c>
      <c r="I7" s="104">
        <v>96.91</v>
      </c>
      <c r="J7" s="289">
        <f t="shared" si="2"/>
        <v>950.68709999999999</v>
      </c>
      <c r="K7" s="289">
        <f t="shared" si="0"/>
        <v>4680.9371000000001</v>
      </c>
      <c r="L7" s="290"/>
      <c r="M7" s="289">
        <f t="shared" ref="M7:M70" si="3">M6+L7-K7</f>
        <v>265574.65289999999</v>
      </c>
      <c r="N7" s="292"/>
      <c r="O7" s="289"/>
    </row>
    <row r="8" spans="1:15">
      <c r="A8" s="97">
        <v>5</v>
      </c>
      <c r="B8" s="332">
        <v>46084</v>
      </c>
      <c r="C8" s="104" t="s">
        <v>247</v>
      </c>
      <c r="D8" s="424" t="s">
        <v>40</v>
      </c>
      <c r="E8" s="294">
        <v>46.51</v>
      </c>
      <c r="F8" s="294">
        <v>95.7</v>
      </c>
      <c r="G8" s="291">
        <f t="shared" si="1"/>
        <v>4451.0069999999996</v>
      </c>
      <c r="H8" s="291">
        <v>3.74</v>
      </c>
      <c r="I8" s="311">
        <v>107.46</v>
      </c>
      <c r="J8" s="289">
        <f t="shared" si="2"/>
        <v>401.90039999999999</v>
      </c>
      <c r="K8" s="289">
        <f t="shared" si="0"/>
        <v>4852.9074000000001</v>
      </c>
      <c r="L8" s="290"/>
      <c r="M8" s="289">
        <f t="shared" si="3"/>
        <v>260721.74549999999</v>
      </c>
      <c r="N8" s="292"/>
      <c r="O8" s="289"/>
    </row>
    <row r="9" spans="1:15">
      <c r="A9" s="97">
        <v>6</v>
      </c>
      <c r="B9" s="332">
        <v>46085</v>
      </c>
      <c r="C9" s="371" t="s">
        <v>242</v>
      </c>
      <c r="D9" s="104" t="s">
        <v>53</v>
      </c>
      <c r="E9" s="289">
        <v>45</v>
      </c>
      <c r="F9" s="289">
        <v>91.8</v>
      </c>
      <c r="G9" s="289">
        <f t="shared" si="1"/>
        <v>4131</v>
      </c>
      <c r="H9" s="104"/>
      <c r="I9" s="104"/>
      <c r="J9" s="292">
        <f t="shared" si="2"/>
        <v>0</v>
      </c>
      <c r="K9" s="289">
        <f t="shared" si="0"/>
        <v>4131</v>
      </c>
      <c r="L9" s="290"/>
      <c r="M9" s="289">
        <f t="shared" si="3"/>
        <v>256590.74549999999</v>
      </c>
      <c r="N9" s="292"/>
      <c r="O9" s="289"/>
    </row>
    <row r="10" spans="1:15">
      <c r="A10" s="307">
        <v>7</v>
      </c>
      <c r="B10" s="332">
        <v>46086</v>
      </c>
      <c r="C10" s="371" t="s">
        <v>247</v>
      </c>
      <c r="D10" s="104" t="s">
        <v>46</v>
      </c>
      <c r="E10" s="104">
        <v>33.44</v>
      </c>
      <c r="F10" s="104">
        <v>95.7</v>
      </c>
      <c r="G10" s="289">
        <f t="shared" si="1"/>
        <v>3200.2080000000001</v>
      </c>
      <c r="H10" s="104"/>
      <c r="I10" s="104"/>
      <c r="J10" s="292">
        <f t="shared" si="2"/>
        <v>0</v>
      </c>
      <c r="K10" s="289">
        <f t="shared" si="0"/>
        <v>3200.2080000000001</v>
      </c>
      <c r="L10" s="290"/>
      <c r="M10" s="289">
        <f t="shared" si="3"/>
        <v>253390.53749999998</v>
      </c>
      <c r="N10" s="313"/>
      <c r="O10" s="291"/>
    </row>
    <row r="11" spans="1:15">
      <c r="A11" s="97">
        <v>8</v>
      </c>
      <c r="B11" s="332">
        <v>46086</v>
      </c>
      <c r="C11" s="371" t="s">
        <v>248</v>
      </c>
      <c r="D11" s="104" t="s">
        <v>249</v>
      </c>
      <c r="E11" s="104">
        <v>294.14999999999998</v>
      </c>
      <c r="F11" s="104">
        <v>91.97</v>
      </c>
      <c r="G11" s="289">
        <f t="shared" si="1"/>
        <v>27052.975499999997</v>
      </c>
      <c r="H11" s="104"/>
      <c r="I11" s="104"/>
      <c r="J11" s="292">
        <f t="shared" si="2"/>
        <v>0</v>
      </c>
      <c r="K11" s="289">
        <f t="shared" si="0"/>
        <v>27052.975499999997</v>
      </c>
      <c r="L11" s="290"/>
      <c r="M11" s="289">
        <f t="shared" si="3"/>
        <v>226337.56199999998</v>
      </c>
      <c r="N11" s="313"/>
      <c r="O11" s="291"/>
    </row>
    <row r="12" spans="1:15">
      <c r="A12" s="97">
        <v>9</v>
      </c>
      <c r="B12" s="332">
        <v>46086</v>
      </c>
      <c r="C12" s="423" t="s">
        <v>243</v>
      </c>
      <c r="D12" s="104" t="s">
        <v>244</v>
      </c>
      <c r="E12" s="104">
        <v>40</v>
      </c>
      <c r="F12" s="104">
        <v>92.23</v>
      </c>
      <c r="G12" s="289">
        <f t="shared" si="1"/>
        <v>3689.2000000000003</v>
      </c>
      <c r="H12" s="104"/>
      <c r="I12" s="104"/>
      <c r="J12" s="292">
        <f t="shared" si="2"/>
        <v>0</v>
      </c>
      <c r="K12" s="289">
        <f t="shared" si="0"/>
        <v>3689.2000000000003</v>
      </c>
      <c r="L12" s="290"/>
      <c r="M12" s="289">
        <f t="shared" si="3"/>
        <v>222648.36199999996</v>
      </c>
      <c r="N12" s="313"/>
      <c r="O12" s="291"/>
    </row>
    <row r="13" spans="1:15">
      <c r="A13" s="307">
        <v>10</v>
      </c>
      <c r="B13" s="332">
        <v>46087</v>
      </c>
      <c r="C13" s="308" t="s">
        <v>243</v>
      </c>
      <c r="D13" s="425" t="s">
        <v>249</v>
      </c>
      <c r="E13" s="308">
        <v>1355.3</v>
      </c>
      <c r="F13" s="308">
        <v>92.23</v>
      </c>
      <c r="G13" s="293">
        <f t="shared" si="1"/>
        <v>124999.319</v>
      </c>
      <c r="H13" s="308"/>
      <c r="I13" s="308"/>
      <c r="J13" s="289">
        <f t="shared" si="2"/>
        <v>0</v>
      </c>
      <c r="K13" s="289">
        <f t="shared" si="0"/>
        <v>124999.319</v>
      </c>
      <c r="L13" s="290"/>
      <c r="M13" s="289">
        <f t="shared" si="3"/>
        <v>97649.042999999961</v>
      </c>
      <c r="N13" s="292"/>
      <c r="O13" s="289"/>
    </row>
    <row r="14" spans="1:15">
      <c r="A14" s="97">
        <v>11</v>
      </c>
      <c r="B14" s="332">
        <v>46087</v>
      </c>
      <c r="C14" s="104" t="s">
        <v>247</v>
      </c>
      <c r="D14" s="104" t="s">
        <v>40</v>
      </c>
      <c r="E14" s="421">
        <v>0</v>
      </c>
      <c r="F14" s="293">
        <v>0</v>
      </c>
      <c r="G14" s="422">
        <f t="shared" si="1"/>
        <v>0</v>
      </c>
      <c r="H14" s="308">
        <v>4.1500000000000004</v>
      </c>
      <c r="I14" s="308">
        <v>107.46</v>
      </c>
      <c r="J14" s="293">
        <f t="shared" si="2"/>
        <v>445.959</v>
      </c>
      <c r="K14" s="289">
        <f t="shared" si="0"/>
        <v>445.959</v>
      </c>
      <c r="L14" s="310"/>
      <c r="M14" s="421">
        <f t="shared" si="3"/>
        <v>97203.083999999959</v>
      </c>
      <c r="N14" s="292"/>
      <c r="O14" s="289"/>
    </row>
    <row r="15" spans="1:15">
      <c r="A15" s="97">
        <v>12</v>
      </c>
      <c r="B15" s="332">
        <v>46088</v>
      </c>
      <c r="C15" s="104" t="s">
        <v>243</v>
      </c>
      <c r="D15" s="311" t="s">
        <v>244</v>
      </c>
      <c r="E15" s="313">
        <v>0</v>
      </c>
      <c r="F15" s="291">
        <v>0</v>
      </c>
      <c r="G15" s="402">
        <f t="shared" si="1"/>
        <v>0</v>
      </c>
      <c r="H15" s="104">
        <v>6</v>
      </c>
      <c r="I15" s="104">
        <v>104.09</v>
      </c>
      <c r="J15" s="289">
        <f t="shared" si="2"/>
        <v>624.54</v>
      </c>
      <c r="K15" s="289">
        <f t="shared" si="0"/>
        <v>624.54</v>
      </c>
      <c r="L15" s="290"/>
      <c r="M15" s="292">
        <f t="shared" si="3"/>
        <v>96578.543999999965</v>
      </c>
      <c r="N15" s="292"/>
      <c r="O15" s="289"/>
    </row>
    <row r="16" spans="1:15">
      <c r="A16" s="307">
        <v>13</v>
      </c>
      <c r="B16" s="332">
        <v>46089</v>
      </c>
      <c r="C16" s="370" t="s">
        <v>243</v>
      </c>
      <c r="D16" s="324" t="s">
        <v>244</v>
      </c>
      <c r="E16" s="104">
        <v>35</v>
      </c>
      <c r="F16" s="104">
        <v>92.23</v>
      </c>
      <c r="G16" s="289">
        <f t="shared" si="1"/>
        <v>3228.05</v>
      </c>
      <c r="H16" s="314"/>
      <c r="I16" s="104"/>
      <c r="J16" s="289">
        <f t="shared" si="2"/>
        <v>0</v>
      </c>
      <c r="K16" s="289">
        <f t="shared" si="0"/>
        <v>3228.05</v>
      </c>
      <c r="L16" s="290"/>
      <c r="M16" s="292">
        <f t="shared" si="3"/>
        <v>93350.493999999962</v>
      </c>
      <c r="N16" s="292"/>
      <c r="O16" s="289"/>
    </row>
    <row r="17" spans="1:15">
      <c r="A17" s="97">
        <v>14</v>
      </c>
      <c r="B17" s="332">
        <v>46090</v>
      </c>
      <c r="C17" s="370" t="s">
        <v>250</v>
      </c>
      <c r="D17" s="167" t="s">
        <v>246</v>
      </c>
      <c r="E17" s="104">
        <v>46.57</v>
      </c>
      <c r="F17" s="104">
        <v>97.71</v>
      </c>
      <c r="G17" s="289">
        <f t="shared" si="1"/>
        <v>4550.3546999999999</v>
      </c>
      <c r="H17" s="331">
        <v>5.12</v>
      </c>
      <c r="I17" s="308">
        <v>109.94</v>
      </c>
      <c r="J17" s="289">
        <f t="shared" si="2"/>
        <v>562.89279999999997</v>
      </c>
      <c r="K17" s="289">
        <f t="shared" si="0"/>
        <v>5113.2474999999995</v>
      </c>
      <c r="L17" s="290"/>
      <c r="M17" s="292">
        <f t="shared" si="3"/>
        <v>88237.246499999965</v>
      </c>
      <c r="N17" s="292"/>
      <c r="O17" s="289"/>
    </row>
    <row r="18" spans="1:15">
      <c r="A18" s="97">
        <v>15</v>
      </c>
      <c r="B18" s="332">
        <v>46090</v>
      </c>
      <c r="C18" s="94" t="s">
        <v>251</v>
      </c>
      <c r="D18" s="167" t="s">
        <v>246</v>
      </c>
      <c r="E18" s="403"/>
      <c r="F18" s="404"/>
      <c r="G18" s="293">
        <f t="shared" si="1"/>
        <v>0</v>
      </c>
      <c r="H18" s="104">
        <v>5</v>
      </c>
      <c r="I18" s="104">
        <v>108.86</v>
      </c>
      <c r="J18" s="289">
        <f t="shared" si="2"/>
        <v>544.29999999999995</v>
      </c>
      <c r="K18" s="289">
        <f t="shared" si="0"/>
        <v>544.29999999999995</v>
      </c>
      <c r="L18" s="290"/>
      <c r="M18" s="292">
        <f t="shared" si="3"/>
        <v>87692.946499999962</v>
      </c>
      <c r="N18" s="292"/>
      <c r="O18" s="289"/>
    </row>
    <row r="19" spans="1:15">
      <c r="A19" s="307">
        <v>16</v>
      </c>
      <c r="B19" s="332">
        <v>46091</v>
      </c>
      <c r="C19" s="94" t="s">
        <v>251</v>
      </c>
      <c r="D19" s="167" t="s">
        <v>246</v>
      </c>
      <c r="E19" s="104"/>
      <c r="F19" s="104"/>
      <c r="G19" s="292">
        <f t="shared" si="1"/>
        <v>0</v>
      </c>
      <c r="H19" s="104">
        <v>5</v>
      </c>
      <c r="I19" s="104">
        <v>108.86</v>
      </c>
      <c r="J19" s="289">
        <f t="shared" si="2"/>
        <v>544.29999999999995</v>
      </c>
      <c r="K19" s="289">
        <f t="shared" si="0"/>
        <v>544.29999999999995</v>
      </c>
      <c r="L19" s="290"/>
      <c r="M19" s="292">
        <f t="shared" si="3"/>
        <v>87148.646499999959</v>
      </c>
      <c r="N19" s="313"/>
      <c r="O19" s="291"/>
    </row>
    <row r="20" spans="1:15">
      <c r="A20" s="97">
        <v>17</v>
      </c>
      <c r="B20" s="332">
        <v>46091</v>
      </c>
      <c r="C20" s="104" t="s">
        <v>247</v>
      </c>
      <c r="D20" s="405" t="s">
        <v>40</v>
      </c>
      <c r="E20" s="104"/>
      <c r="F20" s="104"/>
      <c r="G20" s="292">
        <f t="shared" si="1"/>
        <v>0</v>
      </c>
      <c r="H20" s="104">
        <v>4.7</v>
      </c>
      <c r="I20" s="104">
        <v>107.46</v>
      </c>
      <c r="J20" s="289">
        <f t="shared" si="2"/>
        <v>505.06200000000001</v>
      </c>
      <c r="K20" s="289">
        <f t="shared" si="0"/>
        <v>505.06200000000001</v>
      </c>
      <c r="L20" s="290"/>
      <c r="M20" s="292">
        <f t="shared" si="3"/>
        <v>86643.584499999954</v>
      </c>
      <c r="N20" s="292"/>
      <c r="O20" s="289"/>
    </row>
    <row r="21" spans="1:15">
      <c r="A21" s="97">
        <v>18</v>
      </c>
      <c r="B21" s="332">
        <v>46091</v>
      </c>
      <c r="C21" s="104" t="s">
        <v>243</v>
      </c>
      <c r="D21" s="390" t="s">
        <v>244</v>
      </c>
      <c r="E21" s="445">
        <v>0</v>
      </c>
      <c r="F21" s="104">
        <v>0</v>
      </c>
      <c r="G21" s="292">
        <f t="shared" si="1"/>
        <v>0</v>
      </c>
      <c r="H21" s="104">
        <v>22.15</v>
      </c>
      <c r="I21" s="104">
        <v>104.09</v>
      </c>
      <c r="J21" s="289">
        <f t="shared" si="2"/>
        <v>2305.5934999999999</v>
      </c>
      <c r="K21" s="289">
        <f t="shared" si="0"/>
        <v>2305.5934999999999</v>
      </c>
      <c r="L21" s="290"/>
      <c r="M21" s="292">
        <f t="shared" si="3"/>
        <v>84337.990999999951</v>
      </c>
      <c r="N21" s="292"/>
      <c r="O21" s="289"/>
    </row>
    <row r="22" spans="1:15">
      <c r="A22" s="307">
        <v>19</v>
      </c>
      <c r="B22" s="332">
        <v>46092</v>
      </c>
      <c r="C22" s="316" t="s">
        <v>252</v>
      </c>
      <c r="D22" s="324" t="s">
        <v>246</v>
      </c>
      <c r="E22" s="293">
        <v>50.49</v>
      </c>
      <c r="F22" s="293">
        <v>97.47</v>
      </c>
      <c r="G22" s="289">
        <f t="shared" si="1"/>
        <v>4921.2602999999999</v>
      </c>
      <c r="H22" s="104"/>
      <c r="I22" s="104"/>
      <c r="J22" s="289">
        <f t="shared" si="2"/>
        <v>0</v>
      </c>
      <c r="K22" s="289">
        <f t="shared" si="0"/>
        <v>4921.2602999999999</v>
      </c>
      <c r="L22" s="290"/>
      <c r="M22" s="292">
        <f t="shared" si="3"/>
        <v>79416.730699999956</v>
      </c>
      <c r="N22" s="313"/>
      <c r="O22" s="291"/>
    </row>
    <row r="23" spans="1:15">
      <c r="A23" s="97">
        <v>20</v>
      </c>
      <c r="B23" s="332">
        <v>46092</v>
      </c>
      <c r="C23" s="167" t="s">
        <v>253</v>
      </c>
      <c r="D23" s="324" t="s">
        <v>46</v>
      </c>
      <c r="E23" s="289">
        <v>34.479999999999997</v>
      </c>
      <c r="F23" s="289">
        <v>95.7</v>
      </c>
      <c r="G23" s="289">
        <f t="shared" si="1"/>
        <v>3299.7359999999999</v>
      </c>
      <c r="H23" s="104"/>
      <c r="I23" s="104"/>
      <c r="J23" s="289">
        <f t="shared" si="2"/>
        <v>0</v>
      </c>
      <c r="K23" s="289">
        <f t="shared" si="0"/>
        <v>3299.7359999999999</v>
      </c>
      <c r="L23" s="290"/>
      <c r="M23" s="292">
        <f t="shared" si="3"/>
        <v>76116.994699999952</v>
      </c>
      <c r="N23" s="292"/>
      <c r="O23" s="289"/>
    </row>
    <row r="24" spans="1:15">
      <c r="A24" s="97">
        <v>21</v>
      </c>
      <c r="B24" s="332">
        <v>46093</v>
      </c>
      <c r="C24" s="167" t="s">
        <v>247</v>
      </c>
      <c r="D24" s="104" t="s">
        <v>40</v>
      </c>
      <c r="E24" s="289">
        <v>38.56</v>
      </c>
      <c r="F24" s="289">
        <v>95.7</v>
      </c>
      <c r="G24" s="289">
        <f t="shared" si="1"/>
        <v>3690.1920000000005</v>
      </c>
      <c r="H24" s="104"/>
      <c r="I24" s="104"/>
      <c r="J24" s="289">
        <f t="shared" si="2"/>
        <v>0</v>
      </c>
      <c r="K24" s="289">
        <f t="shared" si="0"/>
        <v>3690.1920000000005</v>
      </c>
      <c r="L24" s="290">
        <v>1700000</v>
      </c>
      <c r="M24" s="292">
        <f t="shared" si="3"/>
        <v>1772426.8026999999</v>
      </c>
      <c r="N24" s="313"/>
      <c r="O24" s="291"/>
    </row>
    <row r="25" spans="1:15">
      <c r="A25" s="307">
        <v>22</v>
      </c>
      <c r="B25" s="332">
        <v>46093</v>
      </c>
      <c r="C25" s="104" t="s">
        <v>254</v>
      </c>
      <c r="D25" s="311" t="s">
        <v>255</v>
      </c>
      <c r="E25" s="289">
        <v>3285.15</v>
      </c>
      <c r="F25" s="289">
        <v>91.32</v>
      </c>
      <c r="G25" s="289">
        <f t="shared" si="1"/>
        <v>299999.89799999999</v>
      </c>
      <c r="H25" s="104"/>
      <c r="I25" s="104"/>
      <c r="J25" s="289">
        <f t="shared" si="2"/>
        <v>0</v>
      </c>
      <c r="K25" s="289">
        <f t="shared" si="0"/>
        <v>299999.89799999999</v>
      </c>
      <c r="L25" s="290"/>
      <c r="M25" s="292">
        <f t="shared" si="3"/>
        <v>1472426.9046999998</v>
      </c>
      <c r="N25" s="313"/>
      <c r="O25" s="291"/>
    </row>
    <row r="26" spans="1:15">
      <c r="A26" s="97">
        <v>23</v>
      </c>
      <c r="B26" s="332">
        <v>46093</v>
      </c>
      <c r="C26" s="408" t="s">
        <v>256</v>
      </c>
      <c r="D26" s="104" t="s">
        <v>257</v>
      </c>
      <c r="E26" s="292">
        <v>47.63</v>
      </c>
      <c r="F26" s="289">
        <v>91.32</v>
      </c>
      <c r="G26" s="289">
        <f t="shared" si="1"/>
        <v>4349.5716000000002</v>
      </c>
      <c r="H26" s="104"/>
      <c r="I26" s="104"/>
      <c r="J26" s="289">
        <f t="shared" si="2"/>
        <v>0</v>
      </c>
      <c r="K26" s="289">
        <f t="shared" si="0"/>
        <v>4349.5716000000002</v>
      </c>
      <c r="L26" s="290"/>
      <c r="M26" s="292">
        <f t="shared" si="3"/>
        <v>1468077.3330999999</v>
      </c>
      <c r="N26" s="289"/>
      <c r="O26" s="289"/>
    </row>
    <row r="27" spans="1:15">
      <c r="A27" s="97">
        <v>24</v>
      </c>
      <c r="B27" s="332">
        <v>46093</v>
      </c>
      <c r="C27" s="370" t="s">
        <v>258</v>
      </c>
      <c r="D27" s="104" t="s">
        <v>259</v>
      </c>
      <c r="E27" s="314">
        <v>1210.3800000000001</v>
      </c>
      <c r="F27" s="289">
        <v>90.88</v>
      </c>
      <c r="G27" s="289">
        <f t="shared" si="1"/>
        <v>109999.33440000001</v>
      </c>
      <c r="H27" s="104"/>
      <c r="I27" s="104"/>
      <c r="J27" s="289">
        <f t="shared" si="2"/>
        <v>0</v>
      </c>
      <c r="K27" s="289">
        <f t="shared" si="0"/>
        <v>109999.33440000001</v>
      </c>
      <c r="L27" s="290"/>
      <c r="M27" s="292">
        <f t="shared" si="3"/>
        <v>1358077.9986999999</v>
      </c>
      <c r="N27" s="289"/>
      <c r="O27" s="289"/>
    </row>
    <row r="28" spans="1:15">
      <c r="A28" s="307">
        <v>25</v>
      </c>
      <c r="B28" s="332">
        <v>46093</v>
      </c>
      <c r="C28" s="370" t="s">
        <v>260</v>
      </c>
      <c r="D28" s="104" t="s">
        <v>249</v>
      </c>
      <c r="E28" s="314">
        <v>1639.53</v>
      </c>
      <c r="F28" s="104">
        <v>91.49</v>
      </c>
      <c r="G28" s="289">
        <f t="shared" si="1"/>
        <v>150000.59969999999</v>
      </c>
      <c r="H28" s="104"/>
      <c r="I28" s="104"/>
      <c r="J28" s="289">
        <f t="shared" si="2"/>
        <v>0</v>
      </c>
      <c r="K28" s="289">
        <f t="shared" si="0"/>
        <v>150000.59969999999</v>
      </c>
      <c r="L28" s="290"/>
      <c r="M28" s="292">
        <f t="shared" si="3"/>
        <v>1208077.399</v>
      </c>
      <c r="N28" s="289"/>
      <c r="O28" s="289"/>
    </row>
    <row r="29" spans="1:15" ht="14.25" customHeight="1">
      <c r="A29" s="97">
        <v>26</v>
      </c>
      <c r="B29" s="332">
        <v>46093</v>
      </c>
      <c r="C29" s="370" t="s">
        <v>243</v>
      </c>
      <c r="D29" s="104" t="s">
        <v>249</v>
      </c>
      <c r="E29" s="292">
        <v>3578</v>
      </c>
      <c r="F29" s="289">
        <v>92.23</v>
      </c>
      <c r="G29" s="289">
        <f t="shared" si="1"/>
        <v>329998.94</v>
      </c>
      <c r="H29" s="104"/>
      <c r="I29" s="104"/>
      <c r="J29" s="289">
        <f t="shared" si="2"/>
        <v>0</v>
      </c>
      <c r="K29" s="289">
        <f t="shared" si="0"/>
        <v>329998.94</v>
      </c>
      <c r="L29" s="290"/>
      <c r="M29" s="292">
        <f t="shared" si="3"/>
        <v>878078.45900000003</v>
      </c>
      <c r="N29" s="289"/>
      <c r="O29" s="289"/>
    </row>
    <row r="30" spans="1:15">
      <c r="A30" s="97">
        <v>27</v>
      </c>
      <c r="B30" s="332">
        <v>46093</v>
      </c>
      <c r="C30" s="308" t="s">
        <v>261</v>
      </c>
      <c r="D30" s="104" t="s">
        <v>249</v>
      </c>
      <c r="E30" s="104">
        <v>2719.47</v>
      </c>
      <c r="F30" s="104">
        <v>91.93</v>
      </c>
      <c r="G30" s="289">
        <f t="shared" si="1"/>
        <v>250000.87710000001</v>
      </c>
      <c r="H30" s="104"/>
      <c r="I30" s="104"/>
      <c r="J30" s="289">
        <f t="shared" si="2"/>
        <v>0</v>
      </c>
      <c r="K30" s="289">
        <f t="shared" si="0"/>
        <v>250000.87710000001</v>
      </c>
      <c r="L30" s="290"/>
      <c r="M30" s="292">
        <f t="shared" si="3"/>
        <v>628077.58189999999</v>
      </c>
      <c r="N30" s="289"/>
      <c r="O30" s="289"/>
    </row>
    <row r="31" spans="1:15">
      <c r="A31" s="307">
        <v>28</v>
      </c>
      <c r="B31" s="332">
        <v>46093</v>
      </c>
      <c r="C31" s="104" t="s">
        <v>262</v>
      </c>
      <c r="D31" s="104" t="s">
        <v>249</v>
      </c>
      <c r="E31" s="104">
        <v>2301.58</v>
      </c>
      <c r="F31" s="104">
        <v>92.17</v>
      </c>
      <c r="G31" s="289">
        <f t="shared" si="1"/>
        <v>212136.6286</v>
      </c>
      <c r="H31" s="104"/>
      <c r="I31" s="104"/>
      <c r="J31" s="289">
        <f t="shared" si="2"/>
        <v>0</v>
      </c>
      <c r="K31" s="289">
        <f t="shared" si="0"/>
        <v>212136.6286</v>
      </c>
      <c r="L31" s="290"/>
      <c r="M31" s="292">
        <f t="shared" si="3"/>
        <v>415940.95329999999</v>
      </c>
      <c r="N31" s="289"/>
      <c r="O31" s="289"/>
    </row>
    <row r="32" spans="1:15">
      <c r="A32" s="97">
        <v>29</v>
      </c>
      <c r="B32" s="332">
        <v>46094</v>
      </c>
      <c r="C32" s="104" t="s">
        <v>263</v>
      </c>
      <c r="D32" s="104" t="s">
        <v>249</v>
      </c>
      <c r="E32" s="104">
        <v>42.28</v>
      </c>
      <c r="F32" s="104">
        <v>96.67</v>
      </c>
      <c r="G32" s="289">
        <f t="shared" si="1"/>
        <v>4087.2076000000002</v>
      </c>
      <c r="H32" s="104"/>
      <c r="I32" s="104"/>
      <c r="J32" s="289">
        <f t="shared" si="2"/>
        <v>0</v>
      </c>
      <c r="K32" s="289">
        <f t="shared" si="0"/>
        <v>4087.2076000000002</v>
      </c>
      <c r="L32" s="290"/>
      <c r="M32" s="292">
        <f t="shared" si="3"/>
        <v>411853.74569999997</v>
      </c>
      <c r="N32" s="293"/>
      <c r="O32" s="293"/>
    </row>
    <row r="33" spans="1:15">
      <c r="A33" s="97">
        <v>30</v>
      </c>
      <c r="B33" s="332">
        <v>46094</v>
      </c>
      <c r="C33" s="167" t="s">
        <v>264</v>
      </c>
      <c r="D33" s="324" t="s">
        <v>249</v>
      </c>
      <c r="E33" s="289">
        <v>400</v>
      </c>
      <c r="F33" s="289">
        <v>92.22</v>
      </c>
      <c r="G33" s="289">
        <f t="shared" si="1"/>
        <v>36888</v>
      </c>
      <c r="H33" s="104">
        <v>95</v>
      </c>
      <c r="I33" s="104">
        <v>104.08</v>
      </c>
      <c r="J33" s="289">
        <f t="shared" si="2"/>
        <v>9887.6</v>
      </c>
      <c r="K33" s="289">
        <f t="shared" si="0"/>
        <v>46775.6</v>
      </c>
      <c r="L33" s="290"/>
      <c r="M33" s="292">
        <f t="shared" si="3"/>
        <v>365078.14569999999</v>
      </c>
      <c r="N33" s="291"/>
      <c r="O33" s="291"/>
    </row>
    <row r="34" spans="1:15">
      <c r="A34" s="307">
        <v>31</v>
      </c>
      <c r="B34" s="332">
        <v>46094</v>
      </c>
      <c r="C34" s="324" t="s">
        <v>247</v>
      </c>
      <c r="D34" s="324" t="s">
        <v>249</v>
      </c>
      <c r="E34" s="289">
        <v>42.84</v>
      </c>
      <c r="F34" s="289">
        <v>95.7</v>
      </c>
      <c r="G34" s="289">
        <f t="shared" si="1"/>
        <v>4099.7880000000005</v>
      </c>
      <c r="H34" s="104"/>
      <c r="I34" s="104"/>
      <c r="J34" s="289">
        <f t="shared" si="2"/>
        <v>0</v>
      </c>
      <c r="K34" s="289">
        <f t="shared" si="0"/>
        <v>4099.7880000000005</v>
      </c>
      <c r="L34" s="290"/>
      <c r="M34" s="292">
        <f t="shared" si="3"/>
        <v>360978.35769999999</v>
      </c>
      <c r="N34" s="291"/>
      <c r="O34" s="291"/>
    </row>
    <row r="35" spans="1:15">
      <c r="A35" s="97">
        <v>32</v>
      </c>
      <c r="B35" s="332">
        <v>46094</v>
      </c>
      <c r="C35" s="324" t="s">
        <v>247</v>
      </c>
      <c r="D35" s="324" t="s">
        <v>40</v>
      </c>
      <c r="E35" s="104">
        <v>0</v>
      </c>
      <c r="F35" s="104">
        <v>0</v>
      </c>
      <c r="G35" s="289">
        <f t="shared" si="1"/>
        <v>0</v>
      </c>
      <c r="H35" s="104">
        <v>4.1900000000000004</v>
      </c>
      <c r="I35" s="104">
        <v>107.46</v>
      </c>
      <c r="J35" s="289">
        <f t="shared" si="2"/>
        <v>450.25740000000002</v>
      </c>
      <c r="K35" s="289">
        <f t="shared" si="0"/>
        <v>450.25740000000002</v>
      </c>
      <c r="L35" s="290"/>
      <c r="M35" s="292">
        <f t="shared" si="3"/>
        <v>360528.10029999999</v>
      </c>
      <c r="N35" s="291"/>
      <c r="O35" s="291"/>
    </row>
    <row r="36" spans="1:15">
      <c r="A36" s="97">
        <v>33</v>
      </c>
      <c r="B36" s="332">
        <v>46094</v>
      </c>
      <c r="C36" s="167" t="s">
        <v>243</v>
      </c>
      <c r="D36" s="104" t="s">
        <v>244</v>
      </c>
      <c r="E36" s="104">
        <v>20</v>
      </c>
      <c r="F36" s="104">
        <v>92.23</v>
      </c>
      <c r="G36" s="289">
        <f t="shared" si="1"/>
        <v>1844.6000000000001</v>
      </c>
      <c r="H36" s="104">
        <v>12</v>
      </c>
      <c r="I36" s="104">
        <v>104.09</v>
      </c>
      <c r="J36" s="289">
        <f t="shared" si="2"/>
        <v>1249.08</v>
      </c>
      <c r="K36" s="289">
        <f t="shared" si="0"/>
        <v>3093.6800000000003</v>
      </c>
      <c r="L36" s="290"/>
      <c r="M36" s="292">
        <f t="shared" si="3"/>
        <v>357434.4203</v>
      </c>
      <c r="N36" s="291"/>
      <c r="O36" s="291"/>
    </row>
    <row r="37" spans="1:15">
      <c r="A37" s="307">
        <v>34</v>
      </c>
      <c r="B37" s="332">
        <v>46094</v>
      </c>
      <c r="C37" s="167" t="s">
        <v>248</v>
      </c>
      <c r="D37" s="324" t="s">
        <v>249</v>
      </c>
      <c r="E37" s="104">
        <v>869.85</v>
      </c>
      <c r="F37" s="104">
        <v>91.97</v>
      </c>
      <c r="G37" s="289">
        <f t="shared" si="1"/>
        <v>80000.104500000001</v>
      </c>
      <c r="H37" s="104"/>
      <c r="I37" s="104"/>
      <c r="J37" s="289">
        <f t="shared" si="2"/>
        <v>0</v>
      </c>
      <c r="K37" s="289">
        <f t="shared" si="0"/>
        <v>80000.104500000001</v>
      </c>
      <c r="L37" s="290"/>
      <c r="M37" s="292">
        <f t="shared" si="3"/>
        <v>277434.31579999998</v>
      </c>
      <c r="N37" s="291"/>
      <c r="O37" s="291"/>
    </row>
    <row r="38" spans="1:15">
      <c r="A38" s="97">
        <v>35</v>
      </c>
      <c r="B38" s="332">
        <v>46094</v>
      </c>
      <c r="C38" s="104" t="s">
        <v>242</v>
      </c>
      <c r="D38" s="324" t="s">
        <v>53</v>
      </c>
      <c r="E38" s="104">
        <v>30</v>
      </c>
      <c r="F38" s="104">
        <v>91.8</v>
      </c>
      <c r="G38" s="289">
        <f t="shared" si="1"/>
        <v>2754</v>
      </c>
      <c r="H38" s="104"/>
      <c r="I38" s="104"/>
      <c r="J38" s="289">
        <f t="shared" si="2"/>
        <v>0</v>
      </c>
      <c r="K38" s="289">
        <f t="shared" si="0"/>
        <v>2754</v>
      </c>
      <c r="L38" s="290"/>
      <c r="M38" s="292">
        <f t="shared" si="3"/>
        <v>274680.31579999998</v>
      </c>
      <c r="N38" s="291"/>
      <c r="O38" s="291"/>
    </row>
    <row r="39" spans="1:15">
      <c r="A39" s="97">
        <v>36</v>
      </c>
      <c r="B39" s="332">
        <v>46095</v>
      </c>
      <c r="C39" s="311" t="s">
        <v>247</v>
      </c>
      <c r="D39" s="324" t="s">
        <v>44</v>
      </c>
      <c r="E39" s="311">
        <v>30</v>
      </c>
      <c r="F39" s="311">
        <v>95.7</v>
      </c>
      <c r="G39" s="291">
        <f t="shared" si="1"/>
        <v>2871</v>
      </c>
      <c r="H39" s="311"/>
      <c r="I39" s="311"/>
      <c r="J39" s="289">
        <f t="shared" si="2"/>
        <v>0</v>
      </c>
      <c r="K39" s="289">
        <f t="shared" si="0"/>
        <v>2871</v>
      </c>
      <c r="L39" s="290"/>
      <c r="M39" s="292">
        <f t="shared" si="3"/>
        <v>271809.31579999998</v>
      </c>
      <c r="N39" s="291"/>
      <c r="O39" s="291"/>
    </row>
    <row r="40" spans="1:15">
      <c r="A40" s="307">
        <v>37</v>
      </c>
      <c r="B40" s="332">
        <v>46095</v>
      </c>
      <c r="C40" s="104" t="s">
        <v>265</v>
      </c>
      <c r="D40" s="314" t="s">
        <v>249</v>
      </c>
      <c r="E40" s="104">
        <v>1203.23</v>
      </c>
      <c r="F40" s="104">
        <v>91.42</v>
      </c>
      <c r="G40" s="289">
        <f t="shared" si="1"/>
        <v>109999.28660000001</v>
      </c>
      <c r="H40" s="104">
        <v>0</v>
      </c>
      <c r="I40" s="104">
        <v>0</v>
      </c>
      <c r="J40" s="289">
        <f t="shared" si="2"/>
        <v>0</v>
      </c>
      <c r="K40" s="289">
        <f t="shared" si="0"/>
        <v>109999.28660000001</v>
      </c>
      <c r="L40" s="290"/>
      <c r="M40" s="292">
        <f t="shared" si="3"/>
        <v>161810.02919999999</v>
      </c>
      <c r="N40" s="289"/>
      <c r="O40" s="289"/>
    </row>
    <row r="41" spans="1:15">
      <c r="A41" s="97">
        <v>38</v>
      </c>
      <c r="B41" s="332">
        <v>46095</v>
      </c>
      <c r="C41" s="104" t="s">
        <v>266</v>
      </c>
      <c r="D41" s="314" t="s">
        <v>246</v>
      </c>
      <c r="E41" s="104">
        <v>0</v>
      </c>
      <c r="F41" s="104">
        <v>0</v>
      </c>
      <c r="G41" s="289">
        <f t="shared" si="1"/>
        <v>0</v>
      </c>
      <c r="H41" s="104">
        <v>5</v>
      </c>
      <c r="I41" s="104">
        <v>109.94</v>
      </c>
      <c r="J41" s="289">
        <f t="shared" si="2"/>
        <v>549.70000000000005</v>
      </c>
      <c r="K41" s="289">
        <f t="shared" si="0"/>
        <v>549.70000000000005</v>
      </c>
      <c r="L41" s="290"/>
      <c r="M41" s="292">
        <f t="shared" si="3"/>
        <v>161260.32919999998</v>
      </c>
      <c r="N41" s="289"/>
      <c r="O41" s="289"/>
    </row>
    <row r="42" spans="1:15">
      <c r="A42" s="97">
        <v>39</v>
      </c>
      <c r="B42" s="332">
        <v>46096</v>
      </c>
      <c r="C42" s="104" t="s">
        <v>267</v>
      </c>
      <c r="D42" s="324" t="s">
        <v>48</v>
      </c>
      <c r="E42" s="289">
        <v>44.38</v>
      </c>
      <c r="F42" s="289">
        <v>95.7</v>
      </c>
      <c r="G42" s="289">
        <f t="shared" si="1"/>
        <v>4247.1660000000002</v>
      </c>
      <c r="H42" s="104"/>
      <c r="I42" s="104"/>
      <c r="J42" s="289">
        <f t="shared" si="2"/>
        <v>0</v>
      </c>
      <c r="K42" s="289">
        <f t="shared" si="0"/>
        <v>4247.1660000000002</v>
      </c>
      <c r="L42" s="290"/>
      <c r="M42" s="292">
        <f t="shared" si="3"/>
        <v>157013.16319999998</v>
      </c>
      <c r="N42" s="289"/>
      <c r="O42" s="289"/>
    </row>
    <row r="43" spans="1:15">
      <c r="A43" s="307">
        <v>40</v>
      </c>
      <c r="B43" s="332">
        <v>46096</v>
      </c>
      <c r="C43" s="104" t="s">
        <v>250</v>
      </c>
      <c r="D43" s="324" t="s">
        <v>246</v>
      </c>
      <c r="E43" s="289">
        <v>0</v>
      </c>
      <c r="F43" s="289">
        <v>0</v>
      </c>
      <c r="G43" s="289">
        <f t="shared" si="1"/>
        <v>0</v>
      </c>
      <c r="H43" s="104">
        <v>5</v>
      </c>
      <c r="I43" s="104">
        <v>109.94</v>
      </c>
      <c r="J43" s="289">
        <f t="shared" si="2"/>
        <v>549.70000000000005</v>
      </c>
      <c r="K43" s="289">
        <f t="shared" si="0"/>
        <v>549.70000000000005</v>
      </c>
      <c r="L43" s="290"/>
      <c r="M43" s="292">
        <f t="shared" si="3"/>
        <v>156463.46319999997</v>
      </c>
      <c r="N43" s="289"/>
      <c r="O43" s="289"/>
    </row>
    <row r="44" spans="1:15">
      <c r="A44" s="97">
        <v>41</v>
      </c>
      <c r="B44" s="332">
        <v>46097</v>
      </c>
      <c r="C44" s="308" t="s">
        <v>242</v>
      </c>
      <c r="D44" s="308" t="s">
        <v>53</v>
      </c>
      <c r="E44" s="293">
        <v>45</v>
      </c>
      <c r="F44" s="293">
        <v>91.8</v>
      </c>
      <c r="G44" s="289">
        <f t="shared" si="1"/>
        <v>4131</v>
      </c>
      <c r="H44" s="308"/>
      <c r="I44" s="308"/>
      <c r="J44" s="289">
        <f t="shared" si="2"/>
        <v>0</v>
      </c>
      <c r="K44" s="289">
        <f t="shared" si="0"/>
        <v>4131</v>
      </c>
      <c r="L44" s="290"/>
      <c r="M44" s="292">
        <f t="shared" si="3"/>
        <v>152332.46319999997</v>
      </c>
      <c r="N44" s="289"/>
      <c r="O44" s="289">
        <f>M43-N43</f>
        <v>156463.46319999997</v>
      </c>
    </row>
    <row r="45" spans="1:15">
      <c r="A45" s="97">
        <v>42</v>
      </c>
      <c r="B45" s="332">
        <v>46098</v>
      </c>
      <c r="C45" s="104" t="s">
        <v>247</v>
      </c>
      <c r="D45" s="324" t="s">
        <v>40</v>
      </c>
      <c r="E45" s="289">
        <v>0</v>
      </c>
      <c r="F45" s="289">
        <v>0</v>
      </c>
      <c r="G45" s="289">
        <v>0</v>
      </c>
      <c r="H45" s="104">
        <v>4.1900000000000004</v>
      </c>
      <c r="I45" s="104">
        <v>107.46</v>
      </c>
      <c r="J45" s="289">
        <f t="shared" si="2"/>
        <v>450.25740000000002</v>
      </c>
      <c r="K45" s="289">
        <f t="shared" si="0"/>
        <v>450.25740000000002</v>
      </c>
      <c r="L45" s="290">
        <v>102308</v>
      </c>
      <c r="M45" s="292">
        <f t="shared" si="3"/>
        <v>254190.20579999997</v>
      </c>
      <c r="N45" s="289"/>
      <c r="O45" s="289"/>
    </row>
    <row r="46" spans="1:15">
      <c r="A46" s="307">
        <v>43</v>
      </c>
      <c r="B46" s="407">
        <v>46099</v>
      </c>
      <c r="C46" s="311" t="s">
        <v>243</v>
      </c>
      <c r="D46" s="429" t="s">
        <v>244</v>
      </c>
      <c r="E46" s="291">
        <v>35</v>
      </c>
      <c r="F46" s="289">
        <v>92.23</v>
      </c>
      <c r="G46" s="289">
        <f t="shared" si="1"/>
        <v>3228.05</v>
      </c>
      <c r="H46" s="104">
        <v>5</v>
      </c>
      <c r="I46" s="104">
        <v>104.09</v>
      </c>
      <c r="J46" s="289">
        <f t="shared" ref="J46:J67" si="4">H46*I46</f>
        <v>520.45000000000005</v>
      </c>
      <c r="K46" s="289">
        <f t="shared" si="0"/>
        <v>3748.5</v>
      </c>
      <c r="L46" s="290"/>
      <c r="M46" s="292">
        <f t="shared" si="3"/>
        <v>250441.70579999997</v>
      </c>
      <c r="N46" s="289"/>
      <c r="O46" s="289"/>
    </row>
    <row r="47" spans="1:15">
      <c r="A47" s="97">
        <v>44</v>
      </c>
      <c r="B47" s="223">
        <v>46099</v>
      </c>
      <c r="C47" s="104" t="s">
        <v>268</v>
      </c>
      <c r="D47" s="104" t="s">
        <v>51</v>
      </c>
      <c r="E47" s="289">
        <v>245.01</v>
      </c>
      <c r="F47" s="292">
        <v>92.25</v>
      </c>
      <c r="G47" s="289">
        <f t="shared" si="1"/>
        <v>22602.172500000001</v>
      </c>
      <c r="H47" s="104"/>
      <c r="I47" s="104"/>
      <c r="J47" s="289">
        <f t="shared" si="4"/>
        <v>0</v>
      </c>
      <c r="K47" s="289">
        <f t="shared" si="0"/>
        <v>22602.172500000001</v>
      </c>
      <c r="L47" s="290"/>
      <c r="M47" s="292">
        <f t="shared" si="3"/>
        <v>227839.53329999995</v>
      </c>
      <c r="N47" s="289"/>
      <c r="O47" s="289"/>
    </row>
    <row r="48" spans="1:15">
      <c r="A48" s="97">
        <v>45</v>
      </c>
      <c r="B48" s="223">
        <v>46099</v>
      </c>
      <c r="C48" s="104" t="s">
        <v>250</v>
      </c>
      <c r="D48" s="104" t="s">
        <v>246</v>
      </c>
      <c r="E48" s="104">
        <v>43.76</v>
      </c>
      <c r="F48" s="314">
        <v>97.71</v>
      </c>
      <c r="G48" s="289">
        <f t="shared" si="1"/>
        <v>4275.7895999999992</v>
      </c>
      <c r="H48" s="104">
        <v>5</v>
      </c>
      <c r="I48" s="104">
        <v>109.94</v>
      </c>
      <c r="J48" s="289">
        <f t="shared" si="4"/>
        <v>549.70000000000005</v>
      </c>
      <c r="K48" s="289">
        <f t="shared" si="0"/>
        <v>4825.489599999999</v>
      </c>
      <c r="L48" s="290"/>
      <c r="M48" s="292">
        <f t="shared" si="3"/>
        <v>223014.04369999995</v>
      </c>
      <c r="N48" s="289"/>
      <c r="O48" s="289"/>
    </row>
    <row r="49" spans="1:15">
      <c r="A49" s="307">
        <v>46</v>
      </c>
      <c r="B49" s="223">
        <v>46100</v>
      </c>
      <c r="C49" s="104" t="s">
        <v>269</v>
      </c>
      <c r="D49" s="104" t="s">
        <v>40</v>
      </c>
      <c r="E49" s="104">
        <v>41.8</v>
      </c>
      <c r="F49" s="314">
        <v>95.7</v>
      </c>
      <c r="G49" s="289">
        <f t="shared" si="1"/>
        <v>4000.2599999999998</v>
      </c>
      <c r="H49" s="104"/>
      <c r="I49" s="104"/>
      <c r="J49" s="289">
        <f t="shared" si="4"/>
        <v>0</v>
      </c>
      <c r="K49" s="289">
        <f t="shared" si="0"/>
        <v>4000.2599999999998</v>
      </c>
      <c r="L49" s="290"/>
      <c r="M49" s="292">
        <f t="shared" si="3"/>
        <v>219013.78369999994</v>
      </c>
      <c r="N49" s="289"/>
      <c r="O49" s="289"/>
    </row>
    <row r="50" spans="1:15">
      <c r="A50" s="97">
        <v>47</v>
      </c>
      <c r="B50" s="223">
        <v>46100</v>
      </c>
      <c r="C50" s="104" t="s">
        <v>251</v>
      </c>
      <c r="D50" s="104" t="s">
        <v>246</v>
      </c>
      <c r="E50" s="104"/>
      <c r="F50" s="314"/>
      <c r="G50" s="289">
        <f t="shared" si="1"/>
        <v>0</v>
      </c>
      <c r="H50" s="104">
        <v>5</v>
      </c>
      <c r="I50" s="104">
        <v>108.86</v>
      </c>
      <c r="J50" s="289">
        <f t="shared" si="4"/>
        <v>544.29999999999995</v>
      </c>
      <c r="K50" s="289">
        <f t="shared" si="0"/>
        <v>544.29999999999995</v>
      </c>
      <c r="L50" s="290"/>
      <c r="M50" s="292">
        <f t="shared" si="3"/>
        <v>218469.48369999995</v>
      </c>
      <c r="N50" s="289"/>
      <c r="O50" s="289"/>
    </row>
    <row r="51" spans="1:15">
      <c r="A51" s="97">
        <v>48</v>
      </c>
      <c r="B51" s="223">
        <v>46101</v>
      </c>
      <c r="C51" s="104" t="s">
        <v>247</v>
      </c>
      <c r="D51" s="324" t="s">
        <v>40</v>
      </c>
      <c r="E51" s="308"/>
      <c r="F51" s="104"/>
      <c r="G51" s="289">
        <f t="shared" si="1"/>
        <v>0</v>
      </c>
      <c r="H51" s="104">
        <v>3.79</v>
      </c>
      <c r="I51" s="104">
        <v>107.46</v>
      </c>
      <c r="J51" s="289">
        <f t="shared" si="4"/>
        <v>407.27339999999998</v>
      </c>
      <c r="K51" s="289">
        <f t="shared" si="0"/>
        <v>407.27339999999998</v>
      </c>
      <c r="L51" s="290"/>
      <c r="M51" s="292">
        <f t="shared" si="3"/>
        <v>218062.21029999995</v>
      </c>
      <c r="N51" s="313"/>
      <c r="O51" s="291"/>
    </row>
    <row r="52" spans="1:15">
      <c r="A52" s="307">
        <v>49</v>
      </c>
      <c r="B52" s="223">
        <v>46101</v>
      </c>
      <c r="C52" s="315" t="s">
        <v>270</v>
      </c>
      <c r="D52" s="104" t="s">
        <v>53</v>
      </c>
      <c r="E52" s="104">
        <v>37.979999999999997</v>
      </c>
      <c r="F52" s="104">
        <v>92.17</v>
      </c>
      <c r="G52" s="289">
        <f t="shared" si="1"/>
        <v>3500.6165999999998</v>
      </c>
      <c r="H52" s="104"/>
      <c r="I52" s="104"/>
      <c r="J52" s="289">
        <f t="shared" si="4"/>
        <v>0</v>
      </c>
      <c r="K52" s="289">
        <f t="shared" si="0"/>
        <v>3500.6165999999998</v>
      </c>
      <c r="L52" s="290"/>
      <c r="M52" s="292">
        <f t="shared" si="3"/>
        <v>214561.59369999994</v>
      </c>
      <c r="N52" s="313"/>
      <c r="O52" s="291"/>
    </row>
    <row r="53" spans="1:15">
      <c r="A53" s="307">
        <v>50</v>
      </c>
      <c r="B53" s="332">
        <v>46102</v>
      </c>
      <c r="C53" s="104" t="s">
        <v>247</v>
      </c>
      <c r="D53" s="434" t="s">
        <v>46</v>
      </c>
      <c r="E53" s="104">
        <v>34.479999999999997</v>
      </c>
      <c r="F53" s="104">
        <v>95.7</v>
      </c>
      <c r="G53" s="289">
        <f t="shared" si="1"/>
        <v>3299.7359999999999</v>
      </c>
      <c r="H53" s="104"/>
      <c r="I53" s="104"/>
      <c r="J53" s="289">
        <f t="shared" si="4"/>
        <v>0</v>
      </c>
      <c r="K53" s="289">
        <f t="shared" si="0"/>
        <v>3299.7359999999999</v>
      </c>
      <c r="L53" s="290"/>
      <c r="M53" s="292">
        <f t="shared" si="3"/>
        <v>211261.85769999993</v>
      </c>
      <c r="N53" s="313"/>
      <c r="O53" s="291"/>
    </row>
    <row r="54" spans="1:15">
      <c r="A54" s="97">
        <v>51</v>
      </c>
      <c r="B54" s="332">
        <v>46102</v>
      </c>
      <c r="C54" s="104" t="s">
        <v>243</v>
      </c>
      <c r="D54" s="314" t="s">
        <v>244</v>
      </c>
      <c r="E54" s="292">
        <v>30</v>
      </c>
      <c r="F54" s="289">
        <v>92.23</v>
      </c>
      <c r="G54" s="289">
        <f t="shared" si="1"/>
        <v>2766.9</v>
      </c>
      <c r="H54" s="104">
        <v>5</v>
      </c>
      <c r="I54" s="104">
        <v>104.09</v>
      </c>
      <c r="J54" s="289">
        <f t="shared" si="4"/>
        <v>520.45000000000005</v>
      </c>
      <c r="K54" s="289">
        <f t="shared" si="0"/>
        <v>3287.3500000000004</v>
      </c>
      <c r="L54" s="290"/>
      <c r="M54" s="292">
        <f t="shared" si="3"/>
        <v>207974.50769999993</v>
      </c>
      <c r="N54" s="292"/>
      <c r="O54" s="289"/>
    </row>
    <row r="55" spans="1:15">
      <c r="A55" s="307">
        <v>52</v>
      </c>
      <c r="B55" s="223">
        <v>46103</v>
      </c>
      <c r="C55" s="372" t="s">
        <v>251</v>
      </c>
      <c r="D55" s="104" t="s">
        <v>246</v>
      </c>
      <c r="E55" s="314">
        <v>0</v>
      </c>
      <c r="F55" s="104">
        <v>0</v>
      </c>
      <c r="G55" s="289">
        <f t="shared" si="1"/>
        <v>0</v>
      </c>
      <c r="H55" s="104">
        <v>5</v>
      </c>
      <c r="I55" s="104">
        <v>108.86</v>
      </c>
      <c r="J55" s="289">
        <f t="shared" si="4"/>
        <v>544.29999999999995</v>
      </c>
      <c r="K55" s="289">
        <f t="shared" si="0"/>
        <v>544.29999999999995</v>
      </c>
      <c r="L55" s="290"/>
      <c r="M55" s="292">
        <f t="shared" si="3"/>
        <v>207430.20769999994</v>
      </c>
      <c r="N55" s="289"/>
      <c r="O55" s="289"/>
    </row>
    <row r="56" spans="1:15">
      <c r="A56" s="307">
        <v>53</v>
      </c>
      <c r="B56" s="223">
        <v>46104</v>
      </c>
      <c r="C56" s="372" t="s">
        <v>251</v>
      </c>
      <c r="D56" s="104" t="s">
        <v>246</v>
      </c>
      <c r="E56" s="331"/>
      <c r="F56" s="308"/>
      <c r="G56" s="289">
        <f t="shared" si="1"/>
        <v>0</v>
      </c>
      <c r="H56" s="308">
        <v>5</v>
      </c>
      <c r="I56" s="308">
        <v>108.86</v>
      </c>
      <c r="J56" s="289">
        <f t="shared" si="4"/>
        <v>544.29999999999995</v>
      </c>
      <c r="K56" s="289">
        <f t="shared" si="0"/>
        <v>544.29999999999995</v>
      </c>
      <c r="L56" s="290">
        <v>600000</v>
      </c>
      <c r="M56" s="292">
        <f t="shared" si="3"/>
        <v>806885.90769999987</v>
      </c>
      <c r="N56" s="289"/>
      <c r="O56" s="289"/>
    </row>
    <row r="57" spans="1:15">
      <c r="A57" s="97">
        <v>54</v>
      </c>
      <c r="B57" s="223">
        <v>46104</v>
      </c>
      <c r="C57" s="167" t="s">
        <v>271</v>
      </c>
      <c r="D57" s="341" t="s">
        <v>246</v>
      </c>
      <c r="E57" s="324">
        <v>36.229999999999997</v>
      </c>
      <c r="F57" s="293">
        <v>96.63</v>
      </c>
      <c r="G57" s="289">
        <f t="shared" si="1"/>
        <v>3500.9048999999995</v>
      </c>
      <c r="H57" s="308"/>
      <c r="I57" s="308"/>
      <c r="J57" s="289">
        <f t="shared" si="4"/>
        <v>0</v>
      </c>
      <c r="K57" s="289">
        <f t="shared" si="0"/>
        <v>3500.9048999999995</v>
      </c>
      <c r="L57" s="290"/>
      <c r="M57" s="292">
        <f t="shared" si="3"/>
        <v>803385.0027999999</v>
      </c>
      <c r="N57" s="289"/>
      <c r="O57" s="289"/>
    </row>
    <row r="58" spans="1:15">
      <c r="A58" s="307">
        <v>55</v>
      </c>
      <c r="B58" s="223">
        <v>46104</v>
      </c>
      <c r="C58" s="167" t="s">
        <v>261</v>
      </c>
      <c r="D58" s="314" t="s">
        <v>249</v>
      </c>
      <c r="E58" s="292">
        <v>2175.58</v>
      </c>
      <c r="F58" s="289">
        <v>91.93</v>
      </c>
      <c r="G58" s="289">
        <f t="shared" si="1"/>
        <v>200001.06940000001</v>
      </c>
      <c r="H58" s="104"/>
      <c r="I58" s="104"/>
      <c r="J58" s="289">
        <f t="shared" si="4"/>
        <v>0</v>
      </c>
      <c r="K58" s="289">
        <f t="shared" si="0"/>
        <v>200001.06940000001</v>
      </c>
      <c r="L58" s="290"/>
      <c r="M58" s="292">
        <f t="shared" si="3"/>
        <v>603383.93339999986</v>
      </c>
      <c r="N58" s="291"/>
      <c r="O58" s="291"/>
    </row>
    <row r="59" spans="1:15">
      <c r="A59" s="307">
        <v>56</v>
      </c>
      <c r="B59" s="223">
        <v>46104</v>
      </c>
      <c r="C59" s="167" t="s">
        <v>262</v>
      </c>
      <c r="D59" s="314" t="s">
        <v>249</v>
      </c>
      <c r="E59" s="292">
        <v>2307.19</v>
      </c>
      <c r="F59" s="289">
        <v>92.17</v>
      </c>
      <c r="G59" s="289">
        <f t="shared" si="1"/>
        <v>212653.7023</v>
      </c>
      <c r="H59" s="104"/>
      <c r="I59" s="104"/>
      <c r="J59" s="289">
        <f t="shared" si="4"/>
        <v>0</v>
      </c>
      <c r="K59" s="289">
        <f t="shared" si="0"/>
        <v>212653.7023</v>
      </c>
      <c r="L59" s="290"/>
      <c r="M59" s="292">
        <f t="shared" si="3"/>
        <v>390730.23109999986</v>
      </c>
      <c r="N59" s="289"/>
      <c r="O59" s="289"/>
    </row>
    <row r="60" spans="1:15">
      <c r="A60" s="97">
        <v>57</v>
      </c>
      <c r="B60" s="223">
        <v>46104</v>
      </c>
      <c r="C60" s="316" t="s">
        <v>248</v>
      </c>
      <c r="D60" s="314" t="s">
        <v>249</v>
      </c>
      <c r="E60" s="292">
        <v>728.5</v>
      </c>
      <c r="F60" s="289">
        <v>91.97</v>
      </c>
      <c r="G60" s="289">
        <f t="shared" si="1"/>
        <v>67000.145000000004</v>
      </c>
      <c r="H60" s="104"/>
      <c r="I60" s="104"/>
      <c r="J60" s="289">
        <f t="shared" si="4"/>
        <v>0</v>
      </c>
      <c r="K60" s="289">
        <f t="shared" si="0"/>
        <v>67000.145000000004</v>
      </c>
      <c r="L60" s="290"/>
      <c r="M60" s="292">
        <f t="shared" si="3"/>
        <v>323730.08609999984</v>
      </c>
      <c r="N60" s="291"/>
      <c r="O60" s="291"/>
    </row>
    <row r="61" spans="1:15">
      <c r="A61" s="97">
        <v>58</v>
      </c>
      <c r="B61" s="223">
        <v>46105</v>
      </c>
      <c r="C61" s="167" t="s">
        <v>247</v>
      </c>
      <c r="D61" s="104" t="s">
        <v>40</v>
      </c>
      <c r="E61" s="292">
        <v>35</v>
      </c>
      <c r="F61" s="289">
        <v>95.7</v>
      </c>
      <c r="G61" s="289">
        <f t="shared" si="1"/>
        <v>3349.5</v>
      </c>
      <c r="H61" s="104">
        <v>3.26</v>
      </c>
      <c r="I61" s="104">
        <v>107.46</v>
      </c>
      <c r="J61" s="289">
        <f t="shared" si="4"/>
        <v>350.31959999999998</v>
      </c>
      <c r="K61" s="289">
        <f t="shared" si="0"/>
        <v>3699.8195999999998</v>
      </c>
      <c r="L61" s="290"/>
      <c r="M61" s="292">
        <f t="shared" si="3"/>
        <v>320030.26649999985</v>
      </c>
      <c r="N61" s="289"/>
      <c r="O61" s="289"/>
    </row>
    <row r="62" spans="1:15">
      <c r="A62" s="307">
        <v>59</v>
      </c>
      <c r="B62" s="223">
        <v>46105</v>
      </c>
      <c r="C62" s="167" t="s">
        <v>272</v>
      </c>
      <c r="D62" s="104" t="s">
        <v>273</v>
      </c>
      <c r="E62" s="292">
        <v>1036.92</v>
      </c>
      <c r="F62" s="289">
        <v>96.44</v>
      </c>
      <c r="G62" s="289">
        <f t="shared" si="1"/>
        <v>100000.56480000001</v>
      </c>
      <c r="H62" s="104"/>
      <c r="I62" s="104"/>
      <c r="J62" s="289">
        <f t="shared" si="4"/>
        <v>0</v>
      </c>
      <c r="K62" s="289">
        <f t="shared" si="0"/>
        <v>100000.56480000001</v>
      </c>
      <c r="L62" s="290"/>
      <c r="M62" s="292">
        <f t="shared" si="3"/>
        <v>220029.70169999986</v>
      </c>
      <c r="N62" s="289"/>
      <c r="O62" s="289"/>
    </row>
    <row r="63" spans="1:15">
      <c r="A63" s="307">
        <v>60</v>
      </c>
      <c r="B63" s="223">
        <v>46105</v>
      </c>
      <c r="C63" s="167" t="s">
        <v>243</v>
      </c>
      <c r="D63" s="167" t="s">
        <v>244</v>
      </c>
      <c r="E63" s="292">
        <v>30</v>
      </c>
      <c r="F63" s="289">
        <v>92.23</v>
      </c>
      <c r="G63" s="289">
        <f t="shared" si="1"/>
        <v>2766.9</v>
      </c>
      <c r="H63" s="104">
        <v>9.99</v>
      </c>
      <c r="I63" s="104">
        <v>104.09</v>
      </c>
      <c r="J63" s="289">
        <f t="shared" si="4"/>
        <v>1039.8591000000001</v>
      </c>
      <c r="K63" s="289">
        <f t="shared" si="0"/>
        <v>3806.7591000000002</v>
      </c>
      <c r="L63" s="290"/>
      <c r="M63" s="292">
        <f t="shared" si="3"/>
        <v>216222.94259999986</v>
      </c>
      <c r="N63" s="289"/>
      <c r="O63" s="289"/>
    </row>
    <row r="64" spans="1:15">
      <c r="A64" s="97">
        <v>61</v>
      </c>
      <c r="B64" s="223">
        <v>46105</v>
      </c>
      <c r="C64" s="315" t="s">
        <v>242</v>
      </c>
      <c r="D64" s="167" t="s">
        <v>53</v>
      </c>
      <c r="E64" s="289">
        <v>43.02</v>
      </c>
      <c r="F64" s="289">
        <v>91.8</v>
      </c>
      <c r="G64" s="289">
        <f t="shared" si="1"/>
        <v>3949.2360000000003</v>
      </c>
      <c r="H64" s="104"/>
      <c r="I64" s="104"/>
      <c r="J64" s="289">
        <f t="shared" si="4"/>
        <v>0</v>
      </c>
      <c r="K64" s="289">
        <f t="shared" si="0"/>
        <v>3949.2360000000003</v>
      </c>
      <c r="L64" s="290"/>
      <c r="M64" s="292">
        <f t="shared" si="3"/>
        <v>212273.70659999986</v>
      </c>
      <c r="N64" s="289"/>
      <c r="O64" s="289"/>
    </row>
    <row r="65" spans="1:15">
      <c r="A65" s="97">
        <v>62</v>
      </c>
      <c r="B65" s="223">
        <v>46105</v>
      </c>
      <c r="C65" s="104" t="s">
        <v>251</v>
      </c>
      <c r="D65" s="315" t="s">
        <v>246</v>
      </c>
      <c r="E65" s="291"/>
      <c r="F65" s="291"/>
      <c r="G65" s="289">
        <f t="shared" si="1"/>
        <v>0</v>
      </c>
      <c r="H65" s="311">
        <v>3</v>
      </c>
      <c r="I65" s="311">
        <v>108.86</v>
      </c>
      <c r="J65" s="289">
        <f t="shared" si="4"/>
        <v>326.58</v>
      </c>
      <c r="K65" s="289">
        <f t="shared" si="0"/>
        <v>326.58</v>
      </c>
      <c r="L65" s="290"/>
      <c r="M65" s="292">
        <f t="shared" si="3"/>
        <v>211947.12659999987</v>
      </c>
      <c r="N65" s="391"/>
      <c r="O65" s="289">
        <f>M65-N65</f>
        <v>211947.12659999987</v>
      </c>
    </row>
    <row r="66" spans="1:15">
      <c r="A66" s="97"/>
      <c r="B66" s="223">
        <v>46106</v>
      </c>
      <c r="C66" s="324" t="s">
        <v>274</v>
      </c>
      <c r="D66" s="167" t="s">
        <v>48</v>
      </c>
      <c r="E66" s="104">
        <v>33.229999999999997</v>
      </c>
      <c r="F66" s="104">
        <v>95.7</v>
      </c>
      <c r="G66" s="289">
        <f t="shared" si="1"/>
        <v>3180.1109999999999</v>
      </c>
      <c r="H66" s="104"/>
      <c r="I66" s="104"/>
      <c r="J66" s="289">
        <f t="shared" si="4"/>
        <v>0</v>
      </c>
      <c r="K66" s="289">
        <f t="shared" si="0"/>
        <v>3180.1109999999999</v>
      </c>
      <c r="L66" s="290"/>
      <c r="M66" s="292">
        <f t="shared" si="3"/>
        <v>208767.01559999987</v>
      </c>
      <c r="N66" s="326"/>
      <c r="O66" s="184"/>
    </row>
    <row r="67" spans="1:15">
      <c r="A67" s="307"/>
      <c r="B67" s="223">
        <v>46106</v>
      </c>
      <c r="C67" s="324" t="s">
        <v>275</v>
      </c>
      <c r="D67" s="314" t="s">
        <v>246</v>
      </c>
      <c r="E67" s="104"/>
      <c r="F67" s="104"/>
      <c r="G67" s="289">
        <f t="shared" si="1"/>
        <v>0</v>
      </c>
      <c r="H67" s="104">
        <v>5</v>
      </c>
      <c r="I67" s="104">
        <v>109.94</v>
      </c>
      <c r="J67" s="289">
        <f t="shared" si="4"/>
        <v>549.70000000000005</v>
      </c>
      <c r="K67" s="289">
        <f t="shared" si="0"/>
        <v>549.70000000000005</v>
      </c>
      <c r="L67" s="290"/>
      <c r="M67" s="292">
        <f t="shared" si="3"/>
        <v>208217.31559999986</v>
      </c>
      <c r="N67" s="326"/>
      <c r="O67" s="184"/>
    </row>
    <row r="68" spans="1:15">
      <c r="A68" s="97"/>
      <c r="B68" s="223">
        <v>46107</v>
      </c>
      <c r="C68" s="104" t="s">
        <v>242</v>
      </c>
      <c r="D68" s="351" t="s">
        <v>53</v>
      </c>
      <c r="E68" s="104">
        <v>42.01</v>
      </c>
      <c r="F68" s="104">
        <v>91.8</v>
      </c>
      <c r="G68" s="289">
        <f t="shared" ref="G68:G89" si="5">E68*F68</f>
        <v>3856.5179999999996</v>
      </c>
      <c r="H68" s="289">
        <v>0</v>
      </c>
      <c r="I68" s="289">
        <v>0</v>
      </c>
      <c r="J68" s="289">
        <f t="shared" ref="J68:J90" si="6">H68*I68</f>
        <v>0</v>
      </c>
      <c r="K68" s="289">
        <f t="shared" si="0"/>
        <v>3856.5179999999996</v>
      </c>
      <c r="L68" s="290"/>
      <c r="M68" s="292">
        <f t="shared" si="3"/>
        <v>204360.79759999985</v>
      </c>
      <c r="N68" s="326"/>
      <c r="O68" s="184"/>
    </row>
    <row r="69" spans="1:15">
      <c r="A69" s="97"/>
      <c r="B69" s="223">
        <v>46108</v>
      </c>
      <c r="C69" s="104" t="s">
        <v>243</v>
      </c>
      <c r="D69" s="324" t="s">
        <v>244</v>
      </c>
      <c r="E69" s="104">
        <v>30</v>
      </c>
      <c r="F69" s="104">
        <v>92.23</v>
      </c>
      <c r="G69" s="289">
        <f t="shared" si="5"/>
        <v>2766.9</v>
      </c>
      <c r="H69" s="289">
        <v>0</v>
      </c>
      <c r="I69" s="289">
        <v>0</v>
      </c>
      <c r="J69" s="289">
        <f t="shared" si="6"/>
        <v>0</v>
      </c>
      <c r="K69" s="289">
        <f t="shared" si="0"/>
        <v>2766.9</v>
      </c>
      <c r="L69" s="290"/>
      <c r="M69" s="292">
        <f t="shared" si="3"/>
        <v>201593.89759999985</v>
      </c>
      <c r="N69" s="327"/>
      <c r="O69" s="294"/>
    </row>
    <row r="70" spans="1:15">
      <c r="A70" s="307">
        <v>64</v>
      </c>
      <c r="B70" s="223">
        <v>46108</v>
      </c>
      <c r="C70" s="104" t="s">
        <v>247</v>
      </c>
      <c r="D70" s="324" t="s">
        <v>40</v>
      </c>
      <c r="E70" s="293">
        <v>0</v>
      </c>
      <c r="F70" s="293">
        <v>0</v>
      </c>
      <c r="G70" s="289">
        <v>0</v>
      </c>
      <c r="H70" s="404">
        <v>1.86</v>
      </c>
      <c r="I70" s="404">
        <v>107.46</v>
      </c>
      <c r="J70" s="289">
        <f t="shared" si="6"/>
        <v>199.87559999999999</v>
      </c>
      <c r="K70" s="289">
        <f t="shared" si="0"/>
        <v>199.87559999999999</v>
      </c>
      <c r="L70" s="310"/>
      <c r="M70" s="292">
        <f t="shared" si="3"/>
        <v>201394.02199999985</v>
      </c>
      <c r="N70" s="184"/>
      <c r="O70" s="184"/>
    </row>
    <row r="71" spans="1:15">
      <c r="A71" s="97">
        <v>65</v>
      </c>
      <c r="B71" s="223">
        <v>46108</v>
      </c>
      <c r="C71" s="308" t="s">
        <v>276</v>
      </c>
      <c r="D71" s="324" t="s">
        <v>249</v>
      </c>
      <c r="E71" s="289">
        <v>1000</v>
      </c>
      <c r="F71" s="289">
        <v>91.67</v>
      </c>
      <c r="G71" s="443">
        <f t="shared" si="5"/>
        <v>91670</v>
      </c>
      <c r="H71" s="104">
        <v>0</v>
      </c>
      <c r="I71" s="104">
        <v>0</v>
      </c>
      <c r="J71" s="292">
        <f t="shared" si="6"/>
        <v>0</v>
      </c>
      <c r="K71" s="289">
        <f t="shared" ref="K71:K90" si="7">G71+J71</f>
        <v>91670</v>
      </c>
      <c r="L71" s="290"/>
      <c r="M71" s="292">
        <f t="shared" ref="M71:M90" si="8">M70+L71-K71</f>
        <v>109724.02199999985</v>
      </c>
      <c r="N71" s="184"/>
      <c r="O71" s="184"/>
    </row>
    <row r="72" spans="1:15">
      <c r="A72" s="97">
        <v>66</v>
      </c>
      <c r="B72" s="223">
        <v>46108</v>
      </c>
      <c r="C72" s="104" t="s">
        <v>261</v>
      </c>
      <c r="D72" s="324" t="s">
        <v>249</v>
      </c>
      <c r="E72" s="289">
        <v>554.49</v>
      </c>
      <c r="F72" s="289">
        <v>91.93</v>
      </c>
      <c r="G72" s="443">
        <f t="shared" si="5"/>
        <v>50974.265700000004</v>
      </c>
      <c r="H72" s="104">
        <v>0</v>
      </c>
      <c r="I72" s="104">
        <v>0</v>
      </c>
      <c r="J72" s="292">
        <f t="shared" si="6"/>
        <v>0</v>
      </c>
      <c r="K72" s="289">
        <f t="shared" si="7"/>
        <v>50974.265700000004</v>
      </c>
      <c r="L72" s="290"/>
      <c r="M72" s="292">
        <f t="shared" si="8"/>
        <v>58749.756299999848</v>
      </c>
      <c r="N72" s="184"/>
      <c r="O72" s="184"/>
    </row>
    <row r="73" spans="1:15">
      <c r="A73" s="307">
        <v>67</v>
      </c>
      <c r="B73" s="223">
        <v>46109</v>
      </c>
      <c r="C73" s="167" t="s">
        <v>251</v>
      </c>
      <c r="D73" s="167" t="s">
        <v>246</v>
      </c>
      <c r="E73" s="289">
        <v>0</v>
      </c>
      <c r="F73" s="289">
        <v>0</v>
      </c>
      <c r="G73" s="289">
        <f t="shared" si="5"/>
        <v>0</v>
      </c>
      <c r="H73" s="293">
        <v>10</v>
      </c>
      <c r="I73" s="293">
        <v>108.86</v>
      </c>
      <c r="J73" s="289">
        <f t="shared" si="6"/>
        <v>1088.5999999999999</v>
      </c>
      <c r="K73" s="289">
        <f t="shared" si="7"/>
        <v>1088.5999999999999</v>
      </c>
      <c r="L73" s="290">
        <v>22996</v>
      </c>
      <c r="M73" s="292">
        <f t="shared" si="8"/>
        <v>80657.156299999842</v>
      </c>
      <c r="N73" s="294"/>
      <c r="O73" s="294"/>
    </row>
    <row r="74" spans="1:15">
      <c r="A74" s="97">
        <v>68</v>
      </c>
      <c r="B74" s="223">
        <v>46109</v>
      </c>
      <c r="C74" s="104" t="s">
        <v>277</v>
      </c>
      <c r="D74" s="167" t="s">
        <v>40</v>
      </c>
      <c r="E74" s="289">
        <v>0</v>
      </c>
      <c r="F74" s="289">
        <v>0</v>
      </c>
      <c r="G74" s="289">
        <f t="shared" si="5"/>
        <v>0</v>
      </c>
      <c r="H74" s="289">
        <v>3.21</v>
      </c>
      <c r="I74" s="289">
        <v>107.46</v>
      </c>
      <c r="J74" s="289">
        <f t="shared" si="6"/>
        <v>344.94659999999999</v>
      </c>
      <c r="K74" s="289">
        <f t="shared" si="7"/>
        <v>344.94659999999999</v>
      </c>
      <c r="L74" s="290">
        <v>790000</v>
      </c>
      <c r="M74" s="292">
        <f t="shared" si="8"/>
        <v>870312.20969999977</v>
      </c>
      <c r="N74" s="184"/>
      <c r="O74" s="184"/>
    </row>
    <row r="75" spans="1:15">
      <c r="A75" s="97">
        <v>69</v>
      </c>
      <c r="B75" s="223">
        <v>46109</v>
      </c>
      <c r="C75" s="308" t="s">
        <v>278</v>
      </c>
      <c r="D75" s="167" t="s">
        <v>279</v>
      </c>
      <c r="E75" s="289">
        <v>35.409999999999997</v>
      </c>
      <c r="F75" s="289">
        <v>96.08</v>
      </c>
      <c r="G75" s="289">
        <f t="shared" si="5"/>
        <v>3402.1927999999998</v>
      </c>
      <c r="H75" s="289">
        <v>0</v>
      </c>
      <c r="I75" s="289">
        <v>0</v>
      </c>
      <c r="J75" s="289">
        <f t="shared" si="6"/>
        <v>0</v>
      </c>
      <c r="K75" s="289">
        <f t="shared" si="7"/>
        <v>3402.1927999999998</v>
      </c>
      <c r="L75" s="290">
        <v>200000</v>
      </c>
      <c r="M75" s="292">
        <f t="shared" si="8"/>
        <v>1066910.0168999997</v>
      </c>
      <c r="N75" s="294"/>
      <c r="O75" s="294"/>
    </row>
    <row r="76" spans="1:15">
      <c r="A76" s="307">
        <v>70</v>
      </c>
      <c r="B76" s="223">
        <v>46109</v>
      </c>
      <c r="C76" s="324" t="s">
        <v>254</v>
      </c>
      <c r="D76" s="324" t="s">
        <v>255</v>
      </c>
      <c r="E76" s="289">
        <v>4380.2</v>
      </c>
      <c r="F76" s="289">
        <v>91.32</v>
      </c>
      <c r="G76" s="289">
        <f t="shared" si="5"/>
        <v>399999.86399999994</v>
      </c>
      <c r="H76" s="289">
        <v>0</v>
      </c>
      <c r="I76" s="289">
        <v>0</v>
      </c>
      <c r="J76" s="289">
        <f t="shared" si="6"/>
        <v>0</v>
      </c>
      <c r="K76" s="289">
        <f t="shared" si="7"/>
        <v>399999.86399999994</v>
      </c>
      <c r="L76" s="290"/>
      <c r="M76" s="292">
        <f t="shared" si="8"/>
        <v>666910.15289999975</v>
      </c>
      <c r="N76" s="294"/>
      <c r="O76" s="294"/>
    </row>
    <row r="77" spans="1:15">
      <c r="A77" s="97">
        <v>71</v>
      </c>
      <c r="B77" s="223">
        <v>46109</v>
      </c>
      <c r="C77" s="167" t="s">
        <v>280</v>
      </c>
      <c r="D77" s="167" t="s">
        <v>249</v>
      </c>
      <c r="E77" s="289">
        <v>1000</v>
      </c>
      <c r="F77" s="289">
        <v>91.97</v>
      </c>
      <c r="G77" s="289">
        <f t="shared" si="5"/>
        <v>91970</v>
      </c>
      <c r="H77" s="289">
        <v>0</v>
      </c>
      <c r="I77" s="289">
        <v>0</v>
      </c>
      <c r="J77" s="289">
        <f t="shared" si="6"/>
        <v>0</v>
      </c>
      <c r="K77" s="289">
        <f t="shared" si="7"/>
        <v>91970</v>
      </c>
      <c r="L77" s="290"/>
      <c r="M77" s="292">
        <f t="shared" si="8"/>
        <v>574940.15289999975</v>
      </c>
      <c r="N77" s="184"/>
      <c r="O77" s="184"/>
    </row>
    <row r="78" spans="1:15">
      <c r="A78" s="97">
        <v>72</v>
      </c>
      <c r="B78" s="223">
        <v>46109</v>
      </c>
      <c r="C78" s="167" t="s">
        <v>281</v>
      </c>
      <c r="D78" s="167" t="s">
        <v>249</v>
      </c>
      <c r="E78" s="289">
        <v>2000</v>
      </c>
      <c r="F78" s="289">
        <v>91.97</v>
      </c>
      <c r="G78" s="289">
        <f t="shared" si="5"/>
        <v>183940</v>
      </c>
      <c r="H78" s="289">
        <v>0</v>
      </c>
      <c r="I78" s="289">
        <v>0</v>
      </c>
      <c r="J78" s="289">
        <f t="shared" si="6"/>
        <v>0</v>
      </c>
      <c r="K78" s="289">
        <f t="shared" si="7"/>
        <v>183940</v>
      </c>
      <c r="L78" s="290"/>
      <c r="M78" s="292">
        <f t="shared" si="8"/>
        <v>391000.15289999975</v>
      </c>
      <c r="N78" s="294"/>
      <c r="O78" s="294"/>
    </row>
    <row r="79" spans="1:15">
      <c r="A79" s="307">
        <v>73</v>
      </c>
      <c r="B79" s="223">
        <v>46110</v>
      </c>
      <c r="C79" s="167" t="s">
        <v>281</v>
      </c>
      <c r="D79" s="167" t="s">
        <v>249</v>
      </c>
      <c r="E79" s="289">
        <v>1000</v>
      </c>
      <c r="F79" s="289">
        <v>91.67</v>
      </c>
      <c r="G79" s="289">
        <f t="shared" si="5"/>
        <v>91670</v>
      </c>
      <c r="H79" s="289">
        <v>0</v>
      </c>
      <c r="I79" s="289">
        <v>0</v>
      </c>
      <c r="J79" s="289">
        <f t="shared" si="6"/>
        <v>0</v>
      </c>
      <c r="K79" s="289">
        <f t="shared" si="7"/>
        <v>91670</v>
      </c>
      <c r="L79" s="290"/>
      <c r="M79" s="292">
        <f t="shared" si="8"/>
        <v>299330.15289999975</v>
      </c>
      <c r="N79" s="184"/>
      <c r="O79" s="184"/>
    </row>
    <row r="80" spans="1:15">
      <c r="A80" s="97">
        <v>74</v>
      </c>
      <c r="B80" s="223">
        <v>46111</v>
      </c>
      <c r="C80" s="167" t="s">
        <v>243</v>
      </c>
      <c r="D80" s="167" t="s">
        <v>244</v>
      </c>
      <c r="E80" s="289">
        <v>55.05</v>
      </c>
      <c r="F80" s="289">
        <v>92.23</v>
      </c>
      <c r="G80" s="289">
        <f t="shared" si="5"/>
        <v>5077.2614999999996</v>
      </c>
      <c r="H80" s="289">
        <v>5</v>
      </c>
      <c r="I80" s="289">
        <v>104.09</v>
      </c>
      <c r="J80" s="289">
        <f t="shared" si="6"/>
        <v>520.45000000000005</v>
      </c>
      <c r="K80" s="289">
        <f t="shared" si="7"/>
        <v>5597.7114999999994</v>
      </c>
      <c r="L80" s="289">
        <v>1000000</v>
      </c>
      <c r="M80" s="292">
        <f t="shared" si="8"/>
        <v>1293732.4413999997</v>
      </c>
      <c r="N80" s="184"/>
      <c r="O80" s="184"/>
    </row>
    <row r="81" spans="1:15">
      <c r="A81" s="97">
        <v>75</v>
      </c>
      <c r="B81" s="223">
        <v>46111</v>
      </c>
      <c r="C81" s="167" t="s">
        <v>275</v>
      </c>
      <c r="D81" s="167" t="s">
        <v>246</v>
      </c>
      <c r="E81" s="289">
        <v>45.36</v>
      </c>
      <c r="F81" s="289">
        <v>97.71</v>
      </c>
      <c r="G81" s="289">
        <f t="shared" si="5"/>
        <v>4432.1255999999994</v>
      </c>
      <c r="H81" s="289">
        <v>0</v>
      </c>
      <c r="I81" s="289">
        <v>0</v>
      </c>
      <c r="J81" s="289">
        <f t="shared" si="6"/>
        <v>0</v>
      </c>
      <c r="K81" s="289">
        <f t="shared" si="7"/>
        <v>4432.1255999999994</v>
      </c>
      <c r="L81" s="289"/>
      <c r="M81" s="292">
        <f t="shared" si="8"/>
        <v>1289300.3157999997</v>
      </c>
      <c r="N81" s="184"/>
      <c r="O81" s="184"/>
    </row>
    <row r="82" spans="1:15">
      <c r="A82" s="307">
        <v>76</v>
      </c>
      <c r="B82" s="223">
        <v>46111</v>
      </c>
      <c r="C82" s="167" t="s">
        <v>272</v>
      </c>
      <c r="D82" s="167" t="s">
        <v>273</v>
      </c>
      <c r="E82" s="289">
        <v>2073.83</v>
      </c>
      <c r="F82" s="289">
        <v>96.44</v>
      </c>
      <c r="G82" s="289">
        <f t="shared" si="5"/>
        <v>200000.16519999999</v>
      </c>
      <c r="H82" s="289">
        <v>0</v>
      </c>
      <c r="I82" s="289">
        <v>0</v>
      </c>
      <c r="J82" s="289">
        <f t="shared" si="6"/>
        <v>0</v>
      </c>
      <c r="K82" s="289">
        <f t="shared" si="7"/>
        <v>200000.16519999999</v>
      </c>
      <c r="L82" s="289"/>
      <c r="M82" s="292">
        <f t="shared" si="8"/>
        <v>1089300.1505999998</v>
      </c>
      <c r="N82" s="184"/>
      <c r="O82" s="184"/>
    </row>
    <row r="83" spans="1:15">
      <c r="A83" s="97">
        <v>77</v>
      </c>
      <c r="B83" s="223">
        <v>46111</v>
      </c>
      <c r="C83" s="167" t="s">
        <v>280</v>
      </c>
      <c r="D83" s="167" t="s">
        <v>249</v>
      </c>
      <c r="E83" s="289">
        <v>1500</v>
      </c>
      <c r="F83" s="289">
        <v>91.97</v>
      </c>
      <c r="G83" s="289">
        <f t="shared" si="5"/>
        <v>137955</v>
      </c>
      <c r="H83" s="289">
        <v>0</v>
      </c>
      <c r="I83" s="289">
        <v>0</v>
      </c>
      <c r="J83" s="289">
        <f t="shared" si="6"/>
        <v>0</v>
      </c>
      <c r="K83" s="289">
        <f t="shared" si="7"/>
        <v>137955</v>
      </c>
      <c r="L83" s="289"/>
      <c r="M83" s="292">
        <f t="shared" si="8"/>
        <v>951345.15059999982</v>
      </c>
      <c r="N83" s="184"/>
      <c r="O83" s="184"/>
    </row>
    <row r="84" spans="1:15">
      <c r="A84" s="97">
        <v>78</v>
      </c>
      <c r="B84" s="223">
        <v>46111</v>
      </c>
      <c r="C84" s="324" t="s">
        <v>248</v>
      </c>
      <c r="D84" s="167" t="s">
        <v>249</v>
      </c>
      <c r="E84" s="289">
        <v>347.94</v>
      </c>
      <c r="F84" s="289">
        <v>91.97</v>
      </c>
      <c r="G84" s="289">
        <f t="shared" si="5"/>
        <v>32000.041799999999</v>
      </c>
      <c r="H84" s="289">
        <v>0</v>
      </c>
      <c r="I84" s="289">
        <v>0</v>
      </c>
      <c r="J84" s="289">
        <f t="shared" si="6"/>
        <v>0</v>
      </c>
      <c r="K84" s="289">
        <f t="shared" si="7"/>
        <v>32000.041799999999</v>
      </c>
      <c r="L84" s="289"/>
      <c r="M84" s="292">
        <f t="shared" si="8"/>
        <v>919345.10879999981</v>
      </c>
      <c r="N84" s="184"/>
      <c r="O84" s="184"/>
    </row>
    <row r="85" spans="1:15">
      <c r="A85" s="307">
        <v>79</v>
      </c>
      <c r="B85" s="223">
        <v>46111</v>
      </c>
      <c r="C85" s="167" t="s">
        <v>242</v>
      </c>
      <c r="D85" s="167" t="s">
        <v>53</v>
      </c>
      <c r="E85" s="289">
        <v>45</v>
      </c>
      <c r="F85" s="289">
        <v>91.8</v>
      </c>
      <c r="G85" s="289">
        <f t="shared" si="5"/>
        <v>4131</v>
      </c>
      <c r="H85" s="289">
        <v>0</v>
      </c>
      <c r="I85" s="289">
        <v>0</v>
      </c>
      <c r="J85" s="289">
        <f t="shared" si="6"/>
        <v>0</v>
      </c>
      <c r="K85" s="289">
        <f t="shared" si="7"/>
        <v>4131</v>
      </c>
      <c r="L85" s="289"/>
      <c r="M85" s="292">
        <f t="shared" si="8"/>
        <v>915214.10879999981</v>
      </c>
      <c r="N85" s="184"/>
      <c r="O85" s="184"/>
    </row>
    <row r="86" spans="1:15">
      <c r="A86" s="97">
        <v>80</v>
      </c>
      <c r="B86" s="223">
        <v>46111</v>
      </c>
      <c r="C86" s="104" t="s">
        <v>266</v>
      </c>
      <c r="D86" s="167" t="s">
        <v>246</v>
      </c>
      <c r="E86" s="289">
        <v>0</v>
      </c>
      <c r="F86" s="289">
        <v>0</v>
      </c>
      <c r="G86" s="289">
        <f t="shared" si="5"/>
        <v>0</v>
      </c>
      <c r="H86" s="289">
        <v>10</v>
      </c>
      <c r="I86" s="289">
        <v>109.94</v>
      </c>
      <c r="J86" s="289">
        <f t="shared" si="6"/>
        <v>1099.4000000000001</v>
      </c>
      <c r="K86" s="289">
        <f t="shared" si="7"/>
        <v>1099.4000000000001</v>
      </c>
      <c r="L86" s="289"/>
      <c r="M86" s="292">
        <f t="shared" si="8"/>
        <v>914114.70879999979</v>
      </c>
      <c r="N86" s="444"/>
      <c r="O86" s="444"/>
    </row>
    <row r="87" spans="1:15">
      <c r="A87" s="97">
        <v>81</v>
      </c>
      <c r="B87" s="223">
        <v>46112</v>
      </c>
      <c r="C87" s="230" t="s">
        <v>282</v>
      </c>
      <c r="D87" s="104" t="s">
        <v>51</v>
      </c>
      <c r="E87" s="289">
        <v>172.26</v>
      </c>
      <c r="F87" s="289">
        <v>92.25</v>
      </c>
      <c r="G87" s="289">
        <f t="shared" si="5"/>
        <v>15890.984999999999</v>
      </c>
      <c r="H87" s="289"/>
      <c r="I87" s="289"/>
      <c r="J87" s="289">
        <f t="shared" si="6"/>
        <v>0</v>
      </c>
      <c r="K87" s="289">
        <f t="shared" si="7"/>
        <v>15890.984999999999</v>
      </c>
      <c r="L87" s="289"/>
      <c r="M87" s="292">
        <f t="shared" si="8"/>
        <v>898223.7237999998</v>
      </c>
      <c r="N87" s="184"/>
      <c r="O87" s="184"/>
    </row>
    <row r="88" spans="1:15">
      <c r="A88" s="307">
        <v>82</v>
      </c>
      <c r="B88" s="223">
        <v>46112</v>
      </c>
      <c r="C88" s="17" t="s">
        <v>283</v>
      </c>
      <c r="D88" s="230" t="s">
        <v>284</v>
      </c>
      <c r="E88" s="289">
        <v>45.91</v>
      </c>
      <c r="F88" s="289">
        <v>96.66</v>
      </c>
      <c r="G88" s="289">
        <f t="shared" si="5"/>
        <v>4437.6605999999992</v>
      </c>
      <c r="H88" s="289"/>
      <c r="I88" s="289"/>
      <c r="J88" s="289">
        <f t="shared" si="6"/>
        <v>0</v>
      </c>
      <c r="K88" s="289">
        <f t="shared" si="7"/>
        <v>4437.6605999999992</v>
      </c>
      <c r="L88" s="289"/>
      <c r="M88" s="292">
        <f t="shared" si="8"/>
        <v>893786.06319999986</v>
      </c>
      <c r="N88" s="184"/>
      <c r="O88" s="184"/>
    </row>
    <row r="89" spans="1:15">
      <c r="A89" s="307"/>
      <c r="B89" s="223">
        <v>46112</v>
      </c>
      <c r="C89" t="s">
        <v>285</v>
      </c>
      <c r="D89" s="230" t="s">
        <v>53</v>
      </c>
      <c r="E89" s="289">
        <v>40</v>
      </c>
      <c r="F89" s="289">
        <v>91.8</v>
      </c>
      <c r="G89" s="289">
        <f t="shared" si="5"/>
        <v>3672</v>
      </c>
      <c r="H89" s="289"/>
      <c r="I89" s="289"/>
      <c r="J89" s="289">
        <f t="shared" si="6"/>
        <v>0</v>
      </c>
      <c r="K89" s="289">
        <f t="shared" si="7"/>
        <v>3672</v>
      </c>
      <c r="L89" s="289"/>
      <c r="M89" s="292">
        <f t="shared" si="8"/>
        <v>890114.06319999986</v>
      </c>
      <c r="N89" s="184"/>
      <c r="O89" s="184"/>
    </row>
    <row r="90" spans="1:15">
      <c r="A90" s="307"/>
      <c r="B90" s="223">
        <v>46112</v>
      </c>
      <c r="C90" t="s">
        <v>286</v>
      </c>
      <c r="D90" s="230" t="s">
        <v>287</v>
      </c>
      <c r="E90" s="289"/>
      <c r="F90" s="289"/>
      <c r="G90" s="289"/>
      <c r="H90" s="289">
        <v>3.34</v>
      </c>
      <c r="I90" s="289">
        <v>107.51</v>
      </c>
      <c r="J90" s="289">
        <f t="shared" si="6"/>
        <v>359.08339999999998</v>
      </c>
      <c r="K90" s="289">
        <f t="shared" si="7"/>
        <v>359.08339999999998</v>
      </c>
      <c r="L90" s="289"/>
      <c r="M90" s="292">
        <f t="shared" si="8"/>
        <v>889754.97979999986</v>
      </c>
      <c r="N90" s="184" t="s">
        <v>288</v>
      </c>
      <c r="O90" s="184">
        <v>1144.4612000000197</v>
      </c>
    </row>
    <row r="91" spans="1:15">
      <c r="A91" s="307"/>
      <c r="B91" s="223"/>
      <c r="D91" s="230"/>
      <c r="E91" s="289"/>
      <c r="F91" s="289"/>
      <c r="G91" s="289"/>
      <c r="H91" s="289"/>
      <c r="I91" s="289"/>
      <c r="J91" s="289"/>
      <c r="K91" s="289"/>
      <c r="L91" s="289"/>
      <c r="M91" s="292"/>
      <c r="N91" s="184"/>
      <c r="O91" s="184"/>
    </row>
    <row r="92" spans="1:15">
      <c r="A92" s="97">
        <v>83</v>
      </c>
      <c r="B92" s="17"/>
      <c r="D92" s="17"/>
      <c r="E92" s="289"/>
      <c r="F92" s="289"/>
      <c r="G92" s="289"/>
      <c r="H92" s="289"/>
      <c r="I92" s="289"/>
      <c r="J92" s="289"/>
      <c r="K92" s="289"/>
      <c r="L92" s="289"/>
      <c r="M92" s="292"/>
      <c r="N92" s="184"/>
      <c r="O92" s="184"/>
    </row>
  </sheetData>
  <autoFilter ref="A1:O90" xr:uid="{E4D2B0F2-641D-4F53-BA0F-B63DE3F29F26}"/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P39"/>
  <sheetViews>
    <sheetView topLeftCell="A23" workbookViewId="0">
      <selection activeCell="O40" sqref="O40"/>
    </sheetView>
  </sheetViews>
  <sheetFormatPr defaultRowHeight="15"/>
  <cols>
    <col min="1" max="1" width="9.140625" style="5"/>
    <col min="2" max="2" width="11.5703125" style="5" customWidth="1"/>
    <col min="3" max="3" width="46" style="5" bestFit="1" customWidth="1"/>
    <col min="4" max="4" width="34.5703125" style="5" customWidth="1"/>
    <col min="5" max="5" width="40.85546875" style="5" bestFit="1" customWidth="1"/>
    <col min="6" max="6" width="15.7109375" style="5" customWidth="1"/>
    <col min="7" max="7" width="9.140625" style="5"/>
    <col min="8" max="8" width="22.42578125" style="5" customWidth="1"/>
    <col min="9" max="9" width="22.140625" style="5" customWidth="1"/>
    <col min="10" max="10" width="17.7109375" style="5" bestFit="1" customWidth="1"/>
    <col min="11" max="11" width="10.42578125" style="5" bestFit="1" customWidth="1"/>
    <col min="12" max="12" width="15.42578125" style="5" customWidth="1"/>
    <col min="13" max="13" width="17.7109375" style="5" customWidth="1"/>
    <col min="14" max="14" width="12.7109375" style="5" customWidth="1"/>
    <col min="15" max="15" width="15.140625" style="5" customWidth="1"/>
    <col min="16" max="16" width="20.5703125" style="5" customWidth="1"/>
    <col min="17" max="16384" width="9.140625" style="5"/>
  </cols>
  <sheetData>
    <row r="1" spans="1:16" ht="15.75">
      <c r="A1" s="469" t="s">
        <v>289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</row>
    <row r="2" spans="1:16">
      <c r="A2" s="64" t="s">
        <v>0</v>
      </c>
      <c r="B2" s="83" t="s">
        <v>161</v>
      </c>
      <c r="C2" s="83" t="s">
        <v>237</v>
      </c>
      <c r="D2" s="83"/>
      <c r="E2" s="83" t="s">
        <v>238</v>
      </c>
      <c r="F2" s="83" t="s">
        <v>164</v>
      </c>
      <c r="G2" s="83" t="s">
        <v>165</v>
      </c>
      <c r="H2" s="90" t="s">
        <v>166</v>
      </c>
      <c r="I2" s="83" t="s">
        <v>167</v>
      </c>
      <c r="J2" s="83" t="s">
        <v>165</v>
      </c>
      <c r="K2" s="90" t="s">
        <v>166</v>
      </c>
      <c r="L2" s="64" t="s">
        <v>168</v>
      </c>
      <c r="M2" s="91" t="s">
        <v>239</v>
      </c>
      <c r="N2" s="85" t="s">
        <v>181</v>
      </c>
      <c r="O2" s="83" t="s">
        <v>171</v>
      </c>
      <c r="P2" s="83" t="s">
        <v>240</v>
      </c>
    </row>
    <row r="3" spans="1:16">
      <c r="A3" s="498" t="s">
        <v>172</v>
      </c>
      <c r="B3" s="498"/>
      <c r="C3" s="498"/>
      <c r="D3" s="498"/>
      <c r="E3" s="498"/>
      <c r="F3" s="498"/>
      <c r="G3" s="498"/>
      <c r="H3" s="498"/>
      <c r="I3" s="498"/>
      <c r="J3" s="498"/>
      <c r="K3" s="498"/>
      <c r="L3" s="102">
        <v>1084388.75</v>
      </c>
      <c r="M3" s="224"/>
      <c r="N3" s="392">
        <f>+L3</f>
        <v>1084388.75</v>
      </c>
      <c r="O3" s="169"/>
      <c r="P3" s="169"/>
    </row>
    <row r="4" spans="1:16">
      <c r="A4" s="393">
        <v>1</v>
      </c>
      <c r="B4" s="78" t="s">
        <v>290</v>
      </c>
      <c r="C4" s="6" t="s">
        <v>291</v>
      </c>
      <c r="D4" s="6" t="s">
        <v>292</v>
      </c>
      <c r="E4" s="394" t="s">
        <v>293</v>
      </c>
      <c r="F4" s="66">
        <v>200</v>
      </c>
      <c r="G4" s="66">
        <v>97.79</v>
      </c>
      <c r="H4" s="66">
        <v>19558</v>
      </c>
      <c r="I4" s="66"/>
      <c r="J4" s="66"/>
      <c r="K4" s="66"/>
      <c r="L4" s="66">
        <f>H4+K4</f>
        <v>19558</v>
      </c>
      <c r="M4" s="44"/>
      <c r="N4" s="395">
        <f>SUM(N3+M4-L4)</f>
        <v>1064830.75</v>
      </c>
      <c r="O4" s="169"/>
      <c r="P4" s="169"/>
    </row>
    <row r="5" spans="1:16">
      <c r="A5" s="393">
        <v>2</v>
      </c>
      <c r="B5" s="78" t="s">
        <v>290</v>
      </c>
      <c r="C5" s="6" t="s">
        <v>294</v>
      </c>
      <c r="D5" s="6" t="s">
        <v>295</v>
      </c>
      <c r="E5" s="394" t="s">
        <v>296</v>
      </c>
      <c r="F5" s="66">
        <v>5462.1</v>
      </c>
      <c r="G5" s="66">
        <v>91.5</v>
      </c>
      <c r="H5" s="66">
        <v>500000</v>
      </c>
      <c r="I5" s="66"/>
      <c r="J5" s="66"/>
      <c r="K5" s="66"/>
      <c r="L5" s="66">
        <f>H5+K5</f>
        <v>500000</v>
      </c>
      <c r="M5" s="44"/>
      <c r="N5" s="395">
        <f t="shared" ref="N5:N39" si="0">SUM(N4+M5-L5)</f>
        <v>564830.75</v>
      </c>
      <c r="O5" s="169"/>
      <c r="P5" s="169"/>
    </row>
    <row r="6" spans="1:16">
      <c r="A6" s="393">
        <v>3</v>
      </c>
      <c r="B6" s="78" t="s">
        <v>297</v>
      </c>
      <c r="C6" s="6" t="s">
        <v>298</v>
      </c>
      <c r="D6" s="6" t="s">
        <v>295</v>
      </c>
      <c r="E6" s="394" t="s">
        <v>296</v>
      </c>
      <c r="F6" s="66">
        <v>79.989999999999995</v>
      </c>
      <c r="G6" s="66">
        <v>91.51</v>
      </c>
      <c r="H6" s="66">
        <v>7320</v>
      </c>
      <c r="I6" s="66"/>
      <c r="J6" s="66"/>
      <c r="K6" s="66"/>
      <c r="L6" s="66">
        <f>H6+K6</f>
        <v>7320</v>
      </c>
      <c r="M6" s="44"/>
      <c r="N6" s="395">
        <f t="shared" si="0"/>
        <v>557510.75</v>
      </c>
      <c r="O6" s="169"/>
      <c r="P6" s="169"/>
    </row>
    <row r="7" spans="1:16">
      <c r="A7" s="393">
        <v>4</v>
      </c>
      <c r="B7" s="78" t="s">
        <v>297</v>
      </c>
      <c r="C7" s="6" t="s">
        <v>299</v>
      </c>
      <c r="D7" s="6" t="s">
        <v>103</v>
      </c>
      <c r="E7" s="394" t="s">
        <v>293</v>
      </c>
      <c r="F7" s="66">
        <v>210</v>
      </c>
      <c r="G7" s="66">
        <v>92.05</v>
      </c>
      <c r="H7" s="66">
        <v>19330.5</v>
      </c>
      <c r="I7" s="66"/>
      <c r="J7" s="66"/>
      <c r="K7" s="66"/>
      <c r="L7" s="66">
        <f>H7+K7</f>
        <v>19330.5</v>
      </c>
      <c r="M7" s="44"/>
      <c r="N7" s="395">
        <f t="shared" si="0"/>
        <v>538180.25</v>
      </c>
      <c r="O7" s="6"/>
      <c r="P7" s="6"/>
    </row>
    <row r="8" spans="1:16">
      <c r="A8" s="393">
        <v>5</v>
      </c>
      <c r="B8" s="78" t="s">
        <v>300</v>
      </c>
      <c r="C8" s="6" t="s">
        <v>298</v>
      </c>
      <c r="D8" s="6" t="s">
        <v>295</v>
      </c>
      <c r="E8" s="394" t="s">
        <v>296</v>
      </c>
      <c r="F8" s="66">
        <v>10.93</v>
      </c>
      <c r="G8" s="66">
        <v>91.51</v>
      </c>
      <c r="H8" s="66">
        <v>1000</v>
      </c>
      <c r="I8" s="66"/>
      <c r="J8" s="66"/>
      <c r="K8" s="66"/>
      <c r="L8" s="66">
        <f>H8+K8</f>
        <v>1000</v>
      </c>
      <c r="M8" s="44"/>
      <c r="N8" s="395">
        <f t="shared" si="0"/>
        <v>537180.25</v>
      </c>
      <c r="O8" s="6"/>
      <c r="P8" s="6"/>
    </row>
    <row r="9" spans="1:16">
      <c r="A9" s="393">
        <v>6</v>
      </c>
      <c r="B9" s="46" t="s">
        <v>301</v>
      </c>
      <c r="C9" s="6" t="s">
        <v>302</v>
      </c>
      <c r="D9" s="6" t="s">
        <v>303</v>
      </c>
      <c r="E9" s="430" t="s">
        <v>304</v>
      </c>
      <c r="F9" s="66">
        <v>437.97</v>
      </c>
      <c r="G9" s="66">
        <v>91.33</v>
      </c>
      <c r="H9" s="66">
        <v>40000</v>
      </c>
      <c r="I9" s="66"/>
      <c r="J9" s="66"/>
      <c r="K9" s="66"/>
      <c r="L9" s="66">
        <f>H9+K9</f>
        <v>40000</v>
      </c>
      <c r="M9" s="44"/>
      <c r="N9" s="395">
        <f t="shared" si="0"/>
        <v>497180.25</v>
      </c>
      <c r="O9" s="6"/>
      <c r="P9" s="6"/>
    </row>
    <row r="10" spans="1:16">
      <c r="A10" s="393">
        <v>7</v>
      </c>
      <c r="B10" s="46" t="s">
        <v>301</v>
      </c>
      <c r="C10" s="6" t="s">
        <v>298</v>
      </c>
      <c r="D10" s="6" t="s">
        <v>295</v>
      </c>
      <c r="E10" s="394" t="s">
        <v>296</v>
      </c>
      <c r="F10" s="66">
        <v>27.32</v>
      </c>
      <c r="G10" s="66">
        <v>91.51</v>
      </c>
      <c r="H10" s="66">
        <v>2500</v>
      </c>
      <c r="I10" s="66"/>
      <c r="J10" s="66"/>
      <c r="K10" s="66"/>
      <c r="L10" s="66">
        <f>H10+K10</f>
        <v>2500</v>
      </c>
      <c r="M10" s="44"/>
      <c r="N10" s="395">
        <f t="shared" si="0"/>
        <v>494680.25</v>
      </c>
      <c r="O10" s="6"/>
      <c r="P10" s="6"/>
    </row>
    <row r="11" spans="1:16">
      <c r="A11" s="393">
        <v>8</v>
      </c>
      <c r="B11" s="46" t="s">
        <v>305</v>
      </c>
      <c r="C11" s="6" t="s">
        <v>306</v>
      </c>
      <c r="D11" s="6" t="s">
        <v>307</v>
      </c>
      <c r="E11" s="394" t="s">
        <v>293</v>
      </c>
      <c r="F11" s="66">
        <v>4372.5600000000004</v>
      </c>
      <c r="G11" s="66">
        <v>91.48</v>
      </c>
      <c r="H11" s="66">
        <v>400000</v>
      </c>
      <c r="I11" s="66"/>
      <c r="J11" s="66"/>
      <c r="K11" s="66"/>
      <c r="L11" s="66">
        <f t="shared" ref="L11:L36" si="1">H11+K11</f>
        <v>400000</v>
      </c>
      <c r="M11" s="66">
        <v>2200000</v>
      </c>
      <c r="N11" s="395">
        <f t="shared" si="0"/>
        <v>2294680.25</v>
      </c>
      <c r="O11" s="6"/>
      <c r="P11" s="6"/>
    </row>
    <row r="12" spans="1:16">
      <c r="A12" s="393">
        <v>9</v>
      </c>
      <c r="B12" s="46" t="s">
        <v>305</v>
      </c>
      <c r="C12" s="6" t="s">
        <v>298</v>
      </c>
      <c r="D12" s="6" t="s">
        <v>295</v>
      </c>
      <c r="E12" s="394" t="s">
        <v>296</v>
      </c>
      <c r="F12" s="66">
        <v>0</v>
      </c>
      <c r="G12" s="66">
        <v>0</v>
      </c>
      <c r="H12" s="66">
        <v>0</v>
      </c>
      <c r="I12" s="66">
        <v>9.67</v>
      </c>
      <c r="J12" s="66">
        <v>103.44</v>
      </c>
      <c r="K12" s="66">
        <v>1000</v>
      </c>
      <c r="L12" s="66">
        <f t="shared" si="1"/>
        <v>1000</v>
      </c>
      <c r="M12" s="396"/>
      <c r="N12" s="395">
        <f t="shared" si="0"/>
        <v>2293680.25</v>
      </c>
      <c r="O12" s="6"/>
      <c r="P12" s="6"/>
    </row>
    <row r="13" spans="1:16">
      <c r="A13" s="393">
        <v>10</v>
      </c>
      <c r="B13" s="46" t="s">
        <v>305</v>
      </c>
      <c r="C13" s="6" t="s">
        <v>308</v>
      </c>
      <c r="D13" s="6" t="s">
        <v>309</v>
      </c>
      <c r="E13" s="394" t="s">
        <v>310</v>
      </c>
      <c r="F13" s="406">
        <v>1743.3</v>
      </c>
      <c r="G13" s="66">
        <v>91.78</v>
      </c>
      <c r="H13" s="66">
        <v>160000</v>
      </c>
      <c r="I13" s="66"/>
      <c r="J13" s="66"/>
      <c r="K13" s="66"/>
      <c r="L13" s="66">
        <f t="shared" si="1"/>
        <v>160000</v>
      </c>
      <c r="M13" s="396"/>
      <c r="N13" s="395">
        <f t="shared" si="0"/>
        <v>2133680.25</v>
      </c>
      <c r="O13" s="6"/>
      <c r="P13" s="6"/>
    </row>
    <row r="14" spans="1:16">
      <c r="A14" s="393">
        <v>11</v>
      </c>
      <c r="B14" s="46" t="s">
        <v>305</v>
      </c>
      <c r="C14" s="6" t="s">
        <v>311</v>
      </c>
      <c r="D14" s="6" t="s">
        <v>303</v>
      </c>
      <c r="E14" s="430" t="s">
        <v>304</v>
      </c>
      <c r="F14" s="66">
        <v>5036.6899999999996</v>
      </c>
      <c r="G14" s="66">
        <v>91.33</v>
      </c>
      <c r="H14" s="66">
        <v>460000</v>
      </c>
      <c r="I14" s="66"/>
      <c r="J14" s="66"/>
      <c r="K14" s="66"/>
      <c r="L14" s="66">
        <f t="shared" si="1"/>
        <v>460000</v>
      </c>
      <c r="M14" s="396"/>
      <c r="N14" s="395">
        <f t="shared" si="0"/>
        <v>1673680.25</v>
      </c>
      <c r="O14" s="6"/>
      <c r="P14" s="6"/>
    </row>
    <row r="15" spans="1:16">
      <c r="A15" s="393">
        <v>12</v>
      </c>
      <c r="B15" s="46" t="s">
        <v>305</v>
      </c>
      <c r="C15" s="6" t="s">
        <v>312</v>
      </c>
      <c r="D15" s="397" t="s">
        <v>313</v>
      </c>
      <c r="E15" s="394" t="s">
        <v>314</v>
      </c>
      <c r="F15" s="66">
        <v>3264.7</v>
      </c>
      <c r="G15" s="66">
        <v>91.89</v>
      </c>
      <c r="H15" s="66">
        <v>300000</v>
      </c>
      <c r="I15" s="66"/>
      <c r="J15" s="66"/>
      <c r="K15" s="66"/>
      <c r="L15" s="66">
        <f t="shared" si="1"/>
        <v>300000</v>
      </c>
      <c r="M15" s="6">
        <v>4500000</v>
      </c>
      <c r="N15" s="395">
        <f t="shared" si="0"/>
        <v>5873680.25</v>
      </c>
      <c r="O15" s="6"/>
      <c r="P15" s="6"/>
    </row>
    <row r="16" spans="1:16">
      <c r="A16" s="393">
        <v>13</v>
      </c>
      <c r="B16" s="46" t="s">
        <v>315</v>
      </c>
      <c r="C16" s="6" t="s">
        <v>311</v>
      </c>
      <c r="D16" s="6" t="s">
        <v>303</v>
      </c>
      <c r="E16" s="430" t="s">
        <v>304</v>
      </c>
      <c r="F16" s="66">
        <v>3722.77</v>
      </c>
      <c r="G16" s="66">
        <v>91.33</v>
      </c>
      <c r="H16" s="66">
        <v>340000</v>
      </c>
      <c r="I16" s="66"/>
      <c r="J16" s="66"/>
      <c r="K16" s="66"/>
      <c r="L16" s="66">
        <f>H16+K16</f>
        <v>340000</v>
      </c>
      <c r="M16" s="44">
        <v>351000</v>
      </c>
      <c r="N16" s="395">
        <f t="shared" si="0"/>
        <v>5884680.25</v>
      </c>
      <c r="O16" s="6"/>
      <c r="P16" s="6"/>
    </row>
    <row r="17" spans="1:16">
      <c r="A17" s="393">
        <v>14</v>
      </c>
      <c r="B17" s="46" t="s">
        <v>315</v>
      </c>
      <c r="C17" s="6" t="s">
        <v>294</v>
      </c>
      <c r="D17" s="6" t="s">
        <v>307</v>
      </c>
      <c r="E17" s="394" t="s">
        <v>296</v>
      </c>
      <c r="F17" s="66">
        <v>6554.48</v>
      </c>
      <c r="G17" s="66">
        <v>91.54</v>
      </c>
      <c r="H17" s="66">
        <v>600000</v>
      </c>
      <c r="I17" s="66"/>
      <c r="J17" s="66"/>
      <c r="K17" s="66"/>
      <c r="L17" s="66">
        <f>H17+K17</f>
        <v>600000</v>
      </c>
      <c r="M17" s="44"/>
      <c r="N17" s="395">
        <f t="shared" si="0"/>
        <v>5284680.25</v>
      </c>
      <c r="O17" s="6"/>
      <c r="P17" s="6"/>
    </row>
    <row r="18" spans="1:16">
      <c r="A18" s="393">
        <v>15</v>
      </c>
      <c r="B18" s="46" t="s">
        <v>316</v>
      </c>
      <c r="C18" s="6" t="s">
        <v>298</v>
      </c>
      <c r="D18" s="6" t="s">
        <v>295</v>
      </c>
      <c r="E18" s="394" t="s">
        <v>296</v>
      </c>
      <c r="F18" s="66">
        <v>0</v>
      </c>
      <c r="G18" s="66">
        <v>0</v>
      </c>
      <c r="H18" s="66">
        <v>0</v>
      </c>
      <c r="I18" s="66">
        <v>14.5</v>
      </c>
      <c r="J18" s="66">
        <v>103.44</v>
      </c>
      <c r="K18" s="66">
        <v>1500</v>
      </c>
      <c r="L18" s="66">
        <f t="shared" si="1"/>
        <v>1500</v>
      </c>
      <c r="M18" s="44"/>
      <c r="N18" s="395">
        <f t="shared" si="0"/>
        <v>5283180.25</v>
      </c>
      <c r="O18" s="6"/>
      <c r="P18" s="6"/>
    </row>
    <row r="19" spans="1:16">
      <c r="A19" s="393">
        <v>16</v>
      </c>
      <c r="B19" s="46" t="s">
        <v>317</v>
      </c>
      <c r="C19" s="6" t="s">
        <v>318</v>
      </c>
      <c r="D19" s="6" t="s">
        <v>319</v>
      </c>
      <c r="E19" s="394" t="s">
        <v>320</v>
      </c>
      <c r="F19" s="66">
        <v>0</v>
      </c>
      <c r="G19" s="66">
        <v>0</v>
      </c>
      <c r="H19" s="66">
        <v>0</v>
      </c>
      <c r="I19" s="66">
        <v>350</v>
      </c>
      <c r="J19" s="66">
        <v>108.1</v>
      </c>
      <c r="K19" s="66">
        <v>37835</v>
      </c>
      <c r="L19" s="66">
        <f t="shared" si="1"/>
        <v>37835</v>
      </c>
      <c r="M19" s="44"/>
      <c r="N19" s="395">
        <f t="shared" si="0"/>
        <v>5245345.25</v>
      </c>
      <c r="O19" s="6"/>
      <c r="P19" s="6"/>
    </row>
    <row r="20" spans="1:16">
      <c r="A20" s="393">
        <v>17</v>
      </c>
      <c r="B20" s="46" t="s">
        <v>321</v>
      </c>
      <c r="C20" s="6" t="s">
        <v>322</v>
      </c>
      <c r="D20" s="6" t="s">
        <v>323</v>
      </c>
      <c r="E20" s="394" t="s">
        <v>324</v>
      </c>
      <c r="F20" s="66">
        <v>47031.75</v>
      </c>
      <c r="G20" s="66">
        <v>95.68</v>
      </c>
      <c r="H20" s="66">
        <v>4500000</v>
      </c>
      <c r="I20" s="66">
        <v>0</v>
      </c>
      <c r="J20" s="66">
        <v>0</v>
      </c>
      <c r="K20" s="66">
        <v>0</v>
      </c>
      <c r="L20" s="66">
        <f t="shared" si="1"/>
        <v>4500000</v>
      </c>
      <c r="M20" s="224"/>
      <c r="N20" s="395">
        <f t="shared" si="0"/>
        <v>745345.25</v>
      </c>
      <c r="O20" s="169"/>
      <c r="P20" s="169"/>
    </row>
    <row r="21" spans="1:16">
      <c r="A21" s="393"/>
      <c r="B21" s="46" t="s">
        <v>325</v>
      </c>
      <c r="C21" s="6"/>
      <c r="D21" s="6"/>
      <c r="E21" s="394"/>
      <c r="F21" s="66"/>
      <c r="G21" s="66"/>
      <c r="H21" s="66"/>
      <c r="I21" s="66"/>
      <c r="J21" s="66"/>
      <c r="K21" s="66"/>
      <c r="L21" s="66">
        <f t="shared" si="1"/>
        <v>0</v>
      </c>
      <c r="M21" s="224">
        <v>1000000</v>
      </c>
      <c r="N21" s="395">
        <f t="shared" si="0"/>
        <v>1745345.25</v>
      </c>
      <c r="O21" s="169"/>
      <c r="P21" s="169"/>
    </row>
    <row r="22" spans="1:16">
      <c r="A22" s="393">
        <v>18</v>
      </c>
      <c r="B22" s="46" t="s">
        <v>326</v>
      </c>
      <c r="C22" s="6" t="s">
        <v>327</v>
      </c>
      <c r="D22" s="6" t="s">
        <v>323</v>
      </c>
      <c r="E22" s="394" t="s">
        <v>324</v>
      </c>
      <c r="F22" s="66">
        <v>1569.97</v>
      </c>
      <c r="G22" s="66">
        <v>95.68</v>
      </c>
      <c r="H22" s="66">
        <v>150217</v>
      </c>
      <c r="I22" s="66"/>
      <c r="J22" s="66"/>
      <c r="K22" s="66"/>
      <c r="L22" s="66">
        <f t="shared" si="1"/>
        <v>150217</v>
      </c>
      <c r="M22" s="224"/>
      <c r="N22" s="395">
        <f t="shared" si="0"/>
        <v>1595128.25</v>
      </c>
      <c r="O22" s="169"/>
      <c r="P22" s="169"/>
    </row>
    <row r="23" spans="1:16">
      <c r="A23" s="393">
        <v>19</v>
      </c>
      <c r="B23" s="46" t="s">
        <v>326</v>
      </c>
      <c r="C23" s="6" t="s">
        <v>328</v>
      </c>
      <c r="D23" s="6" t="s">
        <v>329</v>
      </c>
      <c r="E23" s="394" t="s">
        <v>293</v>
      </c>
      <c r="F23" s="66">
        <v>40.76</v>
      </c>
      <c r="G23" s="66">
        <v>90.8</v>
      </c>
      <c r="H23" s="66">
        <v>3701</v>
      </c>
      <c r="I23" s="66"/>
      <c r="J23" s="66"/>
      <c r="K23" s="66"/>
      <c r="L23" s="66">
        <f t="shared" si="1"/>
        <v>3701</v>
      </c>
      <c r="M23" s="224"/>
      <c r="N23" s="395">
        <f t="shared" si="0"/>
        <v>1591427.25</v>
      </c>
      <c r="O23" s="169"/>
      <c r="P23" s="169"/>
    </row>
    <row r="24" spans="1:16">
      <c r="A24" s="393">
        <v>20</v>
      </c>
      <c r="B24" s="46" t="s">
        <v>326</v>
      </c>
      <c r="C24" s="6" t="s">
        <v>306</v>
      </c>
      <c r="D24" s="6" t="s">
        <v>307</v>
      </c>
      <c r="E24" s="394" t="s">
        <v>293</v>
      </c>
      <c r="F24" s="66">
        <v>4372.5600000000004</v>
      </c>
      <c r="G24" s="66">
        <v>91.48</v>
      </c>
      <c r="H24" s="66">
        <v>400000</v>
      </c>
      <c r="I24" s="66"/>
      <c r="J24" s="66"/>
      <c r="K24" s="66"/>
      <c r="L24" s="66">
        <f t="shared" si="1"/>
        <v>400000</v>
      </c>
      <c r="M24" s="224"/>
      <c r="N24" s="395">
        <f t="shared" si="0"/>
        <v>1191427.25</v>
      </c>
      <c r="O24" s="169"/>
      <c r="P24" s="169"/>
    </row>
    <row r="25" spans="1:16">
      <c r="A25" s="393">
        <v>21</v>
      </c>
      <c r="B25" s="46" t="s">
        <v>330</v>
      </c>
      <c r="C25" s="6" t="s">
        <v>311</v>
      </c>
      <c r="D25" s="6" t="s">
        <v>303</v>
      </c>
      <c r="E25" s="430" t="s">
        <v>304</v>
      </c>
      <c r="F25" s="66">
        <v>459.87</v>
      </c>
      <c r="G25" s="66">
        <v>91.33</v>
      </c>
      <c r="H25" s="66">
        <v>42000</v>
      </c>
      <c r="I25" s="66"/>
      <c r="J25" s="66"/>
      <c r="K25" s="66"/>
      <c r="L25" s="66">
        <f t="shared" si="1"/>
        <v>42000</v>
      </c>
      <c r="M25" s="224"/>
      <c r="N25" s="395">
        <f t="shared" si="0"/>
        <v>1149427.25</v>
      </c>
      <c r="O25" s="169"/>
      <c r="P25" s="169"/>
    </row>
    <row r="26" spans="1:16">
      <c r="A26" s="393">
        <v>22</v>
      </c>
      <c r="B26" s="46" t="s">
        <v>330</v>
      </c>
      <c r="C26" s="6" t="s">
        <v>294</v>
      </c>
      <c r="D26" s="169" t="s">
        <v>295</v>
      </c>
      <c r="E26" s="394" t="s">
        <v>293</v>
      </c>
      <c r="F26" s="66">
        <v>3277.25</v>
      </c>
      <c r="G26" s="66">
        <v>91.54</v>
      </c>
      <c r="H26" s="66">
        <v>300000</v>
      </c>
      <c r="I26" s="66"/>
      <c r="J26" s="66"/>
      <c r="K26" s="66"/>
      <c r="L26" s="66">
        <f t="shared" si="1"/>
        <v>300000</v>
      </c>
      <c r="M26" s="44"/>
      <c r="N26" s="395">
        <f t="shared" si="0"/>
        <v>849427.25</v>
      </c>
      <c r="O26" s="398"/>
      <c r="P26" s="169"/>
    </row>
    <row r="27" spans="1:16">
      <c r="A27" s="393">
        <v>23</v>
      </c>
      <c r="B27" s="46" t="s">
        <v>330</v>
      </c>
      <c r="C27" s="6" t="s">
        <v>291</v>
      </c>
      <c r="D27" s="6" t="s">
        <v>292</v>
      </c>
      <c r="E27" s="394" t="s">
        <v>293</v>
      </c>
      <c r="F27" s="66">
        <v>200</v>
      </c>
      <c r="G27" s="66">
        <v>97.79</v>
      </c>
      <c r="H27" s="66">
        <v>19558</v>
      </c>
      <c r="I27" s="66"/>
      <c r="J27" s="66"/>
      <c r="K27" s="66"/>
      <c r="L27" s="66">
        <f t="shared" si="1"/>
        <v>19558</v>
      </c>
      <c r="M27" s="44"/>
      <c r="N27" s="395">
        <f t="shared" si="0"/>
        <v>829869.25</v>
      </c>
      <c r="O27" s="398"/>
      <c r="P27" s="169"/>
    </row>
    <row r="28" spans="1:16">
      <c r="A28" s="393">
        <v>24</v>
      </c>
      <c r="B28" s="46" t="s">
        <v>331</v>
      </c>
      <c r="C28" s="397" t="s">
        <v>327</v>
      </c>
      <c r="D28" s="6" t="s">
        <v>323</v>
      </c>
      <c r="E28" s="394" t="s">
        <v>324</v>
      </c>
      <c r="F28" s="66">
        <v>2612.88</v>
      </c>
      <c r="G28" s="66">
        <v>95.68</v>
      </c>
      <c r="H28" s="66">
        <v>250000</v>
      </c>
      <c r="I28" s="66"/>
      <c r="J28" s="66"/>
      <c r="K28" s="66"/>
      <c r="L28" s="66">
        <f t="shared" si="1"/>
        <v>250000</v>
      </c>
      <c r="M28" s="44"/>
      <c r="N28" s="395">
        <f t="shared" si="0"/>
        <v>579869.25</v>
      </c>
      <c r="O28" s="398"/>
      <c r="P28" s="169"/>
    </row>
    <row r="29" spans="1:16">
      <c r="A29" s="393">
        <v>25</v>
      </c>
      <c r="B29" s="46" t="s">
        <v>331</v>
      </c>
      <c r="C29" s="397" t="s">
        <v>308</v>
      </c>
      <c r="D29" s="397" t="s">
        <v>309</v>
      </c>
      <c r="E29" s="394" t="s">
        <v>310</v>
      </c>
      <c r="F29" s="66">
        <v>1634.35</v>
      </c>
      <c r="G29" s="66">
        <v>91.78</v>
      </c>
      <c r="H29" s="171">
        <v>150000</v>
      </c>
      <c r="I29" s="66"/>
      <c r="J29" s="66"/>
      <c r="K29" s="66"/>
      <c r="L29" s="66">
        <f t="shared" si="1"/>
        <v>150000</v>
      </c>
      <c r="M29" s="79"/>
      <c r="N29" s="395">
        <f t="shared" si="0"/>
        <v>429869.25</v>
      </c>
      <c r="O29" s="6"/>
      <c r="P29" s="6"/>
    </row>
    <row r="30" spans="1:16">
      <c r="A30" s="393">
        <v>26</v>
      </c>
      <c r="B30" s="46" t="s">
        <v>331</v>
      </c>
      <c r="C30" s="399" t="s">
        <v>332</v>
      </c>
      <c r="D30" s="399" t="s">
        <v>333</v>
      </c>
      <c r="E30" s="394" t="s">
        <v>293</v>
      </c>
      <c r="F30" s="171">
        <v>300</v>
      </c>
      <c r="G30" s="171">
        <v>90.8</v>
      </c>
      <c r="H30" s="171">
        <v>27240</v>
      </c>
      <c r="I30" s="66"/>
      <c r="J30" s="66"/>
      <c r="K30" s="66"/>
      <c r="L30" s="66">
        <f t="shared" si="1"/>
        <v>27240</v>
      </c>
      <c r="M30" s="47"/>
      <c r="N30" s="395">
        <f t="shared" si="0"/>
        <v>402629.25</v>
      </c>
      <c r="O30" s="6"/>
      <c r="P30" s="6"/>
    </row>
    <row r="31" spans="1:16">
      <c r="A31" s="393">
        <v>27</v>
      </c>
      <c r="B31" s="46" t="s">
        <v>334</v>
      </c>
      <c r="C31" s="400" t="s">
        <v>327</v>
      </c>
      <c r="D31" s="400" t="s">
        <v>323</v>
      </c>
      <c r="E31" s="394" t="s">
        <v>324</v>
      </c>
      <c r="F31" s="171">
        <v>2090.3000000000002</v>
      </c>
      <c r="G31" s="171">
        <v>95.68</v>
      </c>
      <c r="H31" s="66">
        <v>200000</v>
      </c>
      <c r="I31" s="66"/>
      <c r="J31" s="66"/>
      <c r="K31" s="66"/>
      <c r="L31" s="66">
        <f t="shared" si="1"/>
        <v>200000</v>
      </c>
      <c r="M31" s="47"/>
      <c r="N31" s="395">
        <f t="shared" si="0"/>
        <v>202629.25</v>
      </c>
      <c r="O31" s="6"/>
      <c r="P31" s="6"/>
    </row>
    <row r="32" spans="1:16">
      <c r="A32" s="393">
        <v>28</v>
      </c>
      <c r="B32" s="46" t="s">
        <v>334</v>
      </c>
      <c r="C32" s="397" t="s">
        <v>335</v>
      </c>
      <c r="D32" s="397" t="s">
        <v>336</v>
      </c>
      <c r="E32" s="394" t="s">
        <v>293</v>
      </c>
      <c r="F32" s="66">
        <v>54.69</v>
      </c>
      <c r="G32" s="66">
        <v>95.81</v>
      </c>
      <c r="H32" s="66">
        <v>5239.84</v>
      </c>
      <c r="I32" s="66"/>
      <c r="J32" s="66"/>
      <c r="K32" s="66"/>
      <c r="L32" s="66">
        <f t="shared" si="1"/>
        <v>5239.84</v>
      </c>
      <c r="M32" s="47"/>
      <c r="N32" s="395">
        <f t="shared" si="0"/>
        <v>197389.41</v>
      </c>
      <c r="O32" s="6"/>
      <c r="P32" s="6"/>
    </row>
    <row r="33" spans="1:16">
      <c r="A33" s="393">
        <v>29</v>
      </c>
      <c r="B33" s="46" t="s">
        <v>337</v>
      </c>
      <c r="C33" s="169" t="s">
        <v>298</v>
      </c>
      <c r="D33" s="169" t="s">
        <v>295</v>
      </c>
      <c r="E33" s="394" t="s">
        <v>296</v>
      </c>
      <c r="F33" s="169">
        <v>0</v>
      </c>
      <c r="G33" s="169">
        <v>0</v>
      </c>
      <c r="H33" s="169">
        <v>0</v>
      </c>
      <c r="I33" s="169">
        <v>9.67</v>
      </c>
      <c r="J33" s="169">
        <v>103.44</v>
      </c>
      <c r="K33" s="169">
        <v>1000</v>
      </c>
      <c r="L33" s="66">
        <f t="shared" si="1"/>
        <v>1000</v>
      </c>
      <c r="M33" s="393"/>
      <c r="N33" s="395">
        <f t="shared" si="0"/>
        <v>196389.41</v>
      </c>
      <c r="O33" s="398"/>
      <c r="P33" s="169"/>
    </row>
    <row r="34" spans="1:16">
      <c r="A34" s="393">
        <v>30</v>
      </c>
      <c r="B34" s="46" t="s">
        <v>337</v>
      </c>
      <c r="C34" s="169" t="s">
        <v>294</v>
      </c>
      <c r="D34" s="169" t="s">
        <v>295</v>
      </c>
      <c r="E34" s="394" t="s">
        <v>293</v>
      </c>
      <c r="F34" s="169">
        <v>1811.61</v>
      </c>
      <c r="G34" s="169">
        <v>91.54</v>
      </c>
      <c r="H34" s="169">
        <v>165835</v>
      </c>
      <c r="I34" s="169"/>
      <c r="J34" s="169"/>
      <c r="K34" s="169"/>
      <c r="L34" s="66">
        <f t="shared" si="1"/>
        <v>165835</v>
      </c>
      <c r="M34" s="393"/>
      <c r="N34" s="395">
        <f t="shared" si="0"/>
        <v>30554.410000000003</v>
      </c>
      <c r="O34" s="398"/>
      <c r="P34" s="169"/>
    </row>
    <row r="35" spans="1:16">
      <c r="A35" s="393">
        <v>31</v>
      </c>
      <c r="B35" s="46" t="s">
        <v>337</v>
      </c>
      <c r="C35" s="400" t="s">
        <v>338</v>
      </c>
      <c r="D35" s="400" t="s">
        <v>339</v>
      </c>
      <c r="E35" s="394" t="s">
        <v>293</v>
      </c>
      <c r="F35" s="169">
        <v>35</v>
      </c>
      <c r="G35" s="169">
        <v>95.64</v>
      </c>
      <c r="H35" s="169">
        <v>3347.4</v>
      </c>
      <c r="I35" s="169"/>
      <c r="J35" s="169"/>
      <c r="K35" s="169"/>
      <c r="L35" s="66">
        <f t="shared" si="1"/>
        <v>3347.4</v>
      </c>
      <c r="M35" s="169"/>
      <c r="N35" s="395">
        <f t="shared" si="0"/>
        <v>27207.010000000002</v>
      </c>
      <c r="O35" s="169"/>
      <c r="P35" s="169"/>
    </row>
    <row r="36" spans="1:16">
      <c r="A36" s="393">
        <v>32</v>
      </c>
      <c r="B36" s="46" t="s">
        <v>340</v>
      </c>
      <c r="C36" s="6" t="s">
        <v>298</v>
      </c>
      <c r="D36" s="6" t="s">
        <v>295</v>
      </c>
      <c r="E36" s="394" t="s">
        <v>296</v>
      </c>
      <c r="F36" s="6">
        <v>21.86</v>
      </c>
      <c r="G36" s="6">
        <v>91.51</v>
      </c>
      <c r="H36" s="6">
        <v>2000</v>
      </c>
      <c r="I36" s="6"/>
      <c r="J36" s="6"/>
      <c r="K36" s="6"/>
      <c r="L36" s="66">
        <f t="shared" si="1"/>
        <v>2000</v>
      </c>
      <c r="M36" s="6">
        <v>500000</v>
      </c>
      <c r="N36" s="395">
        <f t="shared" si="0"/>
        <v>525207.01</v>
      </c>
      <c r="O36" s="6"/>
      <c r="P36" s="6"/>
    </row>
    <row r="37" spans="1:16">
      <c r="A37" s="393">
        <v>33</v>
      </c>
      <c r="B37" s="46" t="s">
        <v>340</v>
      </c>
      <c r="C37" s="6" t="s">
        <v>311</v>
      </c>
      <c r="D37" s="6" t="s">
        <v>303</v>
      </c>
      <c r="E37" s="430" t="s">
        <v>304</v>
      </c>
      <c r="F37" s="6">
        <v>2189.87</v>
      </c>
      <c r="G37" s="6">
        <v>91.33</v>
      </c>
      <c r="H37" s="6">
        <v>200000</v>
      </c>
      <c r="I37" s="6"/>
      <c r="J37" s="6"/>
      <c r="K37" s="6"/>
      <c r="L37" s="66">
        <f t="shared" ref="L37:L39" si="2">H37+K37</f>
        <v>200000</v>
      </c>
      <c r="M37" s="6"/>
      <c r="N37" s="395">
        <f t="shared" si="0"/>
        <v>325207.01</v>
      </c>
      <c r="O37" s="6"/>
      <c r="P37" s="6"/>
    </row>
    <row r="38" spans="1:16">
      <c r="A38" s="393">
        <v>34</v>
      </c>
      <c r="B38" s="46" t="s">
        <v>340</v>
      </c>
      <c r="C38" s="6" t="s">
        <v>306</v>
      </c>
      <c r="D38" s="6" t="s">
        <v>307</v>
      </c>
      <c r="E38" s="394" t="s">
        <v>293</v>
      </c>
      <c r="F38" s="6">
        <v>1639.71</v>
      </c>
      <c r="G38" s="6">
        <v>91.48</v>
      </c>
      <c r="H38" s="6">
        <v>150000</v>
      </c>
      <c r="I38" s="6"/>
      <c r="J38" s="6"/>
      <c r="K38" s="6"/>
      <c r="L38" s="66">
        <f t="shared" si="2"/>
        <v>150000</v>
      </c>
      <c r="M38" s="6"/>
      <c r="N38" s="395">
        <f t="shared" si="0"/>
        <v>175207.01</v>
      </c>
      <c r="O38" s="6">
        <v>175209.06</v>
      </c>
      <c r="P38" s="66">
        <f>N38-O38</f>
        <v>-2.0499999999883585</v>
      </c>
    </row>
    <row r="39" spans="1:16">
      <c r="A39" s="393">
        <v>35</v>
      </c>
      <c r="B39" s="6"/>
      <c r="C39" s="6"/>
      <c r="D39" s="6"/>
      <c r="E39" s="394"/>
      <c r="F39" s="6"/>
      <c r="G39" s="6"/>
      <c r="H39" s="6"/>
      <c r="I39" s="6"/>
      <c r="J39" s="6"/>
      <c r="K39" s="6"/>
      <c r="L39" s="66">
        <f t="shared" si="2"/>
        <v>0</v>
      </c>
      <c r="M39" s="6"/>
      <c r="N39" s="395">
        <f t="shared" si="0"/>
        <v>175207.01</v>
      </c>
      <c r="O39" s="6"/>
      <c r="P39" s="6"/>
    </row>
  </sheetData>
  <mergeCells count="2">
    <mergeCell ref="A1:P1"/>
    <mergeCell ref="A3:K3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36F0-8AEE-4D71-B274-AD3D9F13445A}">
  <dimension ref="B2:B7"/>
  <sheetViews>
    <sheetView workbookViewId="0">
      <selection activeCell="I11" sqref="I11"/>
    </sheetView>
  </sheetViews>
  <sheetFormatPr defaultRowHeight="15"/>
  <cols>
    <col min="2" max="2" width="29.28515625" customWidth="1"/>
  </cols>
  <sheetData>
    <row r="2" spans="2:2" ht="30" customHeight="1">
      <c r="B2" s="412" t="s">
        <v>53</v>
      </c>
    </row>
    <row r="3" spans="2:2" ht="30" customHeight="1">
      <c r="B3" s="412" t="s">
        <v>244</v>
      </c>
    </row>
    <row r="4" spans="2:2" ht="30" customHeight="1">
      <c r="B4" s="412" t="s">
        <v>246</v>
      </c>
    </row>
    <row r="5" spans="2:2" ht="30" customHeight="1">
      <c r="B5" s="412" t="s">
        <v>40</v>
      </c>
    </row>
    <row r="6" spans="2:2" ht="30" customHeight="1">
      <c r="B6" s="412" t="s">
        <v>341</v>
      </c>
    </row>
    <row r="7" spans="2:2" ht="30" customHeight="1">
      <c r="B7" s="413"/>
    </row>
  </sheetData>
  <dataValidations count="1">
    <dataValidation type="list" allowBlank="1" showInputMessage="1" showErrorMessage="1" sqref="C15" xr:uid="{D64AB095-6DAA-485D-A4E6-9BA7B6FD6BF7}">
      <formula1>$B$2:$B$5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2026-10-07T04:43:01Z</dcterms:modified>
  <cp:category/>
  <cp:contentStatus/>
</cp:coreProperties>
</file>